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bartd\Desktop\"/>
    </mc:Choice>
  </mc:AlternateContent>
  <xr:revisionPtr revIDLastSave="0" documentId="8_{2446E5E9-3302-4EEA-A78B-BA12FA91F01C}" xr6:coauthVersionLast="47" xr6:coauthVersionMax="47" xr10:uidLastSave="{00000000-0000-0000-0000-000000000000}"/>
  <bookViews>
    <workbookView xWindow="-120" yWindow="-120" windowWidth="29040" windowHeight="15840" xr2:uid="{9747A058-5CC4-4FE4-9FB9-8B2A7A6807DE}"/>
  </bookViews>
  <sheets>
    <sheet name="Pre-trauma" sheetId="3" r:id="rId1"/>
    <sheet name="Peri-trauma" sheetId="4" r:id="rId2"/>
    <sheet name="Post-trauma" sheetId="5" r:id="rId3"/>
  </sheets>
  <externalReferences>
    <externalReference r:id="rId4"/>
  </externalReferences>
  <definedNames>
    <definedName name="_xlnm._FilterDatabase" localSheetId="1" hidden="1">'Peri-trauma'!$A$2:$X$92</definedName>
    <definedName name="_xlnm._FilterDatabase" localSheetId="2" hidden="1">'Post-trauma'!$A$2:$Q$92</definedName>
    <definedName name="_xlnm._FilterDatabase" localSheetId="0" hidden="1">'Pre-trauma'!$A$2:$W$92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0" i="5" l="1"/>
  <c r="Q10" i="5" l="1"/>
  <c r="Q14" i="5"/>
  <c r="Q26" i="5"/>
  <c r="Q30" i="5"/>
  <c r="Q88" i="5"/>
  <c r="O17" i="5"/>
  <c r="O33" i="5"/>
  <c r="O37" i="5"/>
  <c r="O57" i="5"/>
  <c r="P4" i="5"/>
  <c r="P39" i="5"/>
  <c r="O30" i="5"/>
  <c r="O49" i="5"/>
  <c r="P88" i="5"/>
  <c r="O9" i="5"/>
  <c r="O25" i="5"/>
  <c r="Q37" i="5"/>
  <c r="O41" i="5"/>
  <c r="Q45" i="5"/>
  <c r="O91" i="5"/>
  <c r="O10" i="5"/>
  <c r="Q92" i="5"/>
  <c r="P82" i="5"/>
  <c r="P86" i="5"/>
  <c r="P6" i="5"/>
  <c r="O50" i="5"/>
  <c r="O40" i="5"/>
  <c r="Q79" i="5"/>
  <c r="Q3" i="5"/>
  <c r="O7" i="5"/>
  <c r="P23" i="5"/>
  <c r="Q29" i="5"/>
  <c r="Q62" i="5"/>
  <c r="Q66" i="5"/>
  <c r="Q82" i="5"/>
  <c r="Q86" i="5"/>
  <c r="P31" i="5"/>
  <c r="O60" i="5"/>
  <c r="P84" i="5"/>
  <c r="P3" i="5"/>
  <c r="O3" i="5"/>
  <c r="O6" i="5"/>
  <c r="P47" i="5"/>
  <c r="Q53" i="5"/>
  <c r="O64" i="5"/>
  <c r="Q4" i="5"/>
  <c r="P55" i="5"/>
  <c r="Q61" i="5"/>
  <c r="Q73" i="5"/>
  <c r="Q81" i="5"/>
  <c r="Q85" i="5"/>
  <c r="O18" i="5"/>
  <c r="P63" i="5"/>
  <c r="P5" i="5"/>
  <c r="O26" i="5"/>
  <c r="P87" i="5"/>
  <c r="Q89" i="5"/>
  <c r="P92" i="5"/>
  <c r="O5" i="5"/>
  <c r="O24" i="5"/>
  <c r="O34" i="5"/>
  <c r="P91" i="5"/>
  <c r="Q7" i="5"/>
  <c r="O14" i="5"/>
  <c r="O32" i="5"/>
  <c r="O42" i="5"/>
  <c r="Q84" i="5"/>
  <c r="O22" i="5"/>
  <c r="O13" i="5"/>
  <c r="O48" i="5"/>
  <c r="O4" i="5"/>
  <c r="Q6" i="5"/>
  <c r="O8" i="5"/>
  <c r="Q18" i="5"/>
  <c r="O21" i="5"/>
  <c r="Q22" i="5"/>
  <c r="O38" i="5"/>
  <c r="O45" i="5"/>
  <c r="O56" i="5"/>
  <c r="O62" i="5"/>
  <c r="P90" i="5"/>
  <c r="O29" i="5"/>
  <c r="O53" i="5"/>
  <c r="O16" i="5"/>
  <c r="Q34" i="5"/>
  <c r="Q38" i="5"/>
  <c r="O61" i="5"/>
  <c r="P85" i="5"/>
  <c r="Q87" i="5"/>
  <c r="O90" i="5"/>
  <c r="P7" i="5"/>
  <c r="Q13" i="5"/>
  <c r="Q42" i="5"/>
  <c r="Q46" i="5"/>
  <c r="Q91" i="5"/>
  <c r="Q5" i="5"/>
  <c r="P15" i="5"/>
  <c r="Q21" i="5"/>
  <c r="Q54" i="5"/>
  <c r="P89" i="5"/>
  <c r="P11" i="5"/>
  <c r="P19" i="5"/>
  <c r="P27" i="5"/>
  <c r="P35" i="5"/>
  <c r="P43" i="5"/>
  <c r="P51" i="5"/>
  <c r="P59" i="5"/>
  <c r="Q74" i="5"/>
  <c r="P77" i="5"/>
  <c r="O77" i="5"/>
  <c r="P10" i="5"/>
  <c r="P18" i="5"/>
  <c r="P26" i="5"/>
  <c r="P34" i="5"/>
  <c r="P42" i="5"/>
  <c r="P50" i="5"/>
  <c r="P58" i="5"/>
  <c r="Q68" i="5"/>
  <c r="P71" i="5"/>
  <c r="O71" i="5"/>
  <c r="P76" i="5"/>
  <c r="O76" i="5"/>
  <c r="P9" i="5"/>
  <c r="P17" i="5"/>
  <c r="P25" i="5"/>
  <c r="P33" i="5"/>
  <c r="P41" i="5"/>
  <c r="P49" i="5"/>
  <c r="P57" i="5"/>
  <c r="P65" i="5"/>
  <c r="O65" i="5"/>
  <c r="Q78" i="5"/>
  <c r="P81" i="5"/>
  <c r="O81" i="5"/>
  <c r="Q12" i="5"/>
  <c r="O15" i="5"/>
  <c r="Q20" i="5"/>
  <c r="O23" i="5"/>
  <c r="Q28" i="5"/>
  <c r="O31" i="5"/>
  <c r="Q36" i="5"/>
  <c r="O39" i="5"/>
  <c r="Q44" i="5"/>
  <c r="O47" i="5"/>
  <c r="Q52" i="5"/>
  <c r="O55" i="5"/>
  <c r="Q60" i="5"/>
  <c r="O63" i="5"/>
  <c r="Q67" i="5"/>
  <c r="P70" i="5"/>
  <c r="O70" i="5"/>
  <c r="Q83" i="5"/>
  <c r="P8" i="5"/>
  <c r="P16" i="5"/>
  <c r="P24" i="5"/>
  <c r="P32" i="5"/>
  <c r="P40" i="5"/>
  <c r="P48" i="5"/>
  <c r="P56" i="5"/>
  <c r="P64" i="5"/>
  <c r="Q72" i="5"/>
  <c r="P75" i="5"/>
  <c r="O75" i="5"/>
  <c r="Q11" i="5"/>
  <c r="Q19" i="5"/>
  <c r="Q27" i="5"/>
  <c r="Q35" i="5"/>
  <c r="Q43" i="5"/>
  <c r="O46" i="5"/>
  <c r="Q51" i="5"/>
  <c r="O54" i="5"/>
  <c r="Q59" i="5"/>
  <c r="Q77" i="5"/>
  <c r="P80" i="5"/>
  <c r="O80" i="5"/>
  <c r="P69" i="5"/>
  <c r="O69" i="5"/>
  <c r="Q50" i="5"/>
  <c r="Q58" i="5"/>
  <c r="Q71" i="5"/>
  <c r="P74" i="5"/>
  <c r="O74" i="5"/>
  <c r="P14" i="5"/>
  <c r="P22" i="5"/>
  <c r="P30" i="5"/>
  <c r="P38" i="5"/>
  <c r="P46" i="5"/>
  <c r="P54" i="5"/>
  <c r="P62" i="5"/>
  <c r="Q76" i="5"/>
  <c r="P79" i="5"/>
  <c r="O79" i="5"/>
  <c r="Q9" i="5"/>
  <c r="O12" i="5"/>
  <c r="Q17" i="5"/>
  <c r="O20" i="5"/>
  <c r="Q25" i="5"/>
  <c r="O28" i="5"/>
  <c r="Q33" i="5"/>
  <c r="O36" i="5"/>
  <c r="Q41" i="5"/>
  <c r="O44" i="5"/>
  <c r="Q49" i="5"/>
  <c r="O52" i="5"/>
  <c r="Q57" i="5"/>
  <c r="Q65" i="5"/>
  <c r="P68" i="5"/>
  <c r="O68" i="5"/>
  <c r="P66" i="5"/>
  <c r="O66" i="5"/>
  <c r="P13" i="5"/>
  <c r="P21" i="5"/>
  <c r="P29" i="5"/>
  <c r="P37" i="5"/>
  <c r="P45" i="5"/>
  <c r="P53" i="5"/>
  <c r="P61" i="5"/>
  <c r="Q70" i="5"/>
  <c r="P73" i="5"/>
  <c r="O73" i="5"/>
  <c r="Q8" i="5"/>
  <c r="O11" i="5"/>
  <c r="Q16" i="5"/>
  <c r="O19" i="5"/>
  <c r="Q24" i="5"/>
  <c r="O27" i="5"/>
  <c r="Q32" i="5"/>
  <c r="O35" i="5"/>
  <c r="Q40" i="5"/>
  <c r="O43" i="5"/>
  <c r="Q48" i="5"/>
  <c r="O51" i="5"/>
  <c r="Q56" i="5"/>
  <c r="O59" i="5"/>
  <c r="Q64" i="5"/>
  <c r="Q75" i="5"/>
  <c r="P78" i="5"/>
  <c r="O78" i="5"/>
  <c r="P12" i="5"/>
  <c r="P20" i="5"/>
  <c r="P28" i="5"/>
  <c r="P36" i="5"/>
  <c r="P44" i="5"/>
  <c r="P52" i="5"/>
  <c r="P60" i="5"/>
  <c r="P67" i="5"/>
  <c r="O67" i="5"/>
  <c r="Q80" i="5"/>
  <c r="P83" i="5"/>
  <c r="Q15" i="5"/>
  <c r="Q23" i="5"/>
  <c r="Q31" i="5"/>
  <c r="Q39" i="5"/>
  <c r="Q47" i="5"/>
  <c r="Q55" i="5"/>
  <c r="O58" i="5"/>
  <c r="Q63" i="5"/>
  <c r="Q69" i="5"/>
  <c r="P72" i="5"/>
  <c r="O72" i="5"/>
  <c r="O82" i="5"/>
  <c r="O83" i="5"/>
  <c r="O84" i="5"/>
  <c r="O85" i="5"/>
  <c r="O86" i="5"/>
  <c r="O87" i="5"/>
  <c r="O88" i="5"/>
  <c r="O89" i="5"/>
  <c r="O92" i="5"/>
  <c r="U91" i="4" l="1"/>
  <c r="V76" i="4"/>
  <c r="X62" i="4"/>
  <c r="V28" i="4"/>
  <c r="V10" i="4"/>
  <c r="W31" i="4" l="1"/>
  <c r="X10" i="4"/>
  <c r="V19" i="4"/>
  <c r="X26" i="4"/>
  <c r="W79" i="4"/>
  <c r="W80" i="4"/>
  <c r="V26" i="4"/>
  <c r="X42" i="4"/>
  <c r="X58" i="4"/>
  <c r="T21" i="4"/>
  <c r="X28" i="4"/>
  <c r="V74" i="4"/>
  <c r="X12" i="4"/>
  <c r="W19" i="4"/>
  <c r="X44" i="4"/>
  <c r="V60" i="4"/>
  <c r="V8" i="4"/>
  <c r="X14" i="4"/>
  <c r="W54" i="4"/>
  <c r="X91" i="4"/>
  <c r="X30" i="4"/>
  <c r="X46" i="4"/>
  <c r="U85" i="4"/>
  <c r="V40" i="4"/>
  <c r="V42" i="4"/>
  <c r="X47" i="4"/>
  <c r="T43" i="4"/>
  <c r="V35" i="4"/>
  <c r="W55" i="4"/>
  <c r="X21" i="4"/>
  <c r="X36" i="4"/>
  <c r="V37" i="4"/>
  <c r="W7" i="4"/>
  <c r="T10" i="4"/>
  <c r="V14" i="4"/>
  <c r="W32" i="4"/>
  <c r="W43" i="4"/>
  <c r="U44" i="4"/>
  <c r="X48" i="4"/>
  <c r="U53" i="4"/>
  <c r="U55" i="4"/>
  <c r="X60" i="4"/>
  <c r="T66" i="4"/>
  <c r="W67" i="4"/>
  <c r="W68" i="4"/>
  <c r="X70" i="4"/>
  <c r="U81" i="4"/>
  <c r="V84" i="4"/>
  <c r="V86" i="4"/>
  <c r="X87" i="4"/>
  <c r="X4" i="4"/>
  <c r="V5" i="4"/>
  <c r="T11" i="4"/>
  <c r="X15" i="4"/>
  <c r="W22" i="4"/>
  <c r="X27" i="4"/>
  <c r="V38" i="4"/>
  <c r="V44" i="4"/>
  <c r="X49" i="4"/>
  <c r="T56" i="4"/>
  <c r="V56" i="4"/>
  <c r="V61" i="4"/>
  <c r="U69" i="4"/>
  <c r="X75" i="4"/>
  <c r="U79" i="4"/>
  <c r="W81" i="4"/>
  <c r="W82" i="4"/>
  <c r="X88" i="4"/>
  <c r="W11" i="4"/>
  <c r="U12" i="4"/>
  <c r="X16" i="4"/>
  <c r="U21" i="4"/>
  <c r="U23" i="4"/>
  <c r="T33" i="4"/>
  <c r="W34" i="4"/>
  <c r="X39" i="4"/>
  <c r="U43" i="4"/>
  <c r="T44" i="4"/>
  <c r="W53" i="4"/>
  <c r="W57" i="4"/>
  <c r="U67" i="4"/>
  <c r="W70" i="4"/>
  <c r="W83" i="4"/>
  <c r="X89" i="4"/>
  <c r="T67" i="4"/>
  <c r="V4" i="4"/>
  <c r="V12" i="4"/>
  <c r="X17" i="4"/>
  <c r="T24" i="4"/>
  <c r="V24" i="4"/>
  <c r="T35" i="4"/>
  <c r="X40" i="4"/>
  <c r="U45" i="4"/>
  <c r="X50" i="4"/>
  <c r="X51" i="4"/>
  <c r="W58" i="4"/>
  <c r="X61" i="4"/>
  <c r="V62" i="4"/>
  <c r="W71" i="4"/>
  <c r="X76" i="4"/>
  <c r="T82" i="4"/>
  <c r="U83" i="4"/>
  <c r="V90" i="4"/>
  <c r="W3" i="4"/>
  <c r="X7" i="4"/>
  <c r="U11" i="4"/>
  <c r="T12" i="4"/>
  <c r="W21" i="4"/>
  <c r="T23" i="4"/>
  <c r="T34" i="4"/>
  <c r="X38" i="4"/>
  <c r="X41" i="4"/>
  <c r="W44" i="4"/>
  <c r="W45" i="4"/>
  <c r="W46" i="4"/>
  <c r="X63" i="4"/>
  <c r="T70" i="4"/>
  <c r="T72" i="4"/>
  <c r="V72" i="4"/>
  <c r="V77" i="4"/>
  <c r="W84" i="4"/>
  <c r="X86" i="4"/>
  <c r="X18" i="4"/>
  <c r="X19" i="4"/>
  <c r="W25" i="4"/>
  <c r="W26" i="4"/>
  <c r="X29" i="4"/>
  <c r="W36" i="4"/>
  <c r="U58" i="4"/>
  <c r="W59" i="4"/>
  <c r="X64" i="4"/>
  <c r="W73" i="4"/>
  <c r="V78" i="4"/>
  <c r="T13" i="4"/>
  <c r="V6" i="4"/>
  <c r="X9" i="4"/>
  <c r="W12" i="4"/>
  <c r="W13" i="4"/>
  <c r="W14" i="4"/>
  <c r="U35" i="4"/>
  <c r="T37" i="4"/>
  <c r="W47" i="4"/>
  <c r="X52" i="4"/>
  <c r="V53" i="4"/>
  <c r="U60" i="4"/>
  <c r="X65" i="4"/>
  <c r="W69" i="4"/>
  <c r="U74" i="4"/>
  <c r="W86" i="4"/>
  <c r="X92" i="4"/>
  <c r="T3" i="4"/>
  <c r="W4" i="4"/>
  <c r="W23" i="4"/>
  <c r="T26" i="4"/>
  <c r="V30" i="4"/>
  <c r="X37" i="4"/>
  <c r="W48" i="4"/>
  <c r="X66" i="4"/>
  <c r="X74" i="4"/>
  <c r="X79" i="4"/>
  <c r="W87" i="4"/>
  <c r="V91" i="4"/>
  <c r="T5" i="4"/>
  <c r="X6" i="4"/>
  <c r="W15" i="4"/>
  <c r="X20" i="4"/>
  <c r="V21" i="4"/>
  <c r="T27" i="4"/>
  <c r="X31" i="4"/>
  <c r="W38" i="4"/>
  <c r="X43" i="4"/>
  <c r="V54" i="4"/>
  <c r="U59" i="4"/>
  <c r="T60" i="4"/>
  <c r="U61" i="4"/>
  <c r="V67" i="4"/>
  <c r="T74" i="4"/>
  <c r="W75" i="4"/>
  <c r="X77" i="4"/>
  <c r="T86" i="4"/>
  <c r="T88" i="4"/>
  <c r="V88" i="4"/>
  <c r="X5" i="4"/>
  <c r="W16" i="4"/>
  <c r="W27" i="4"/>
  <c r="U28" i="4"/>
  <c r="X32" i="4"/>
  <c r="U37" i="4"/>
  <c r="U39" i="4"/>
  <c r="U49" i="4"/>
  <c r="W50" i="4"/>
  <c r="X55" i="4"/>
  <c r="W61" i="4"/>
  <c r="W62" i="4"/>
  <c r="X67" i="4"/>
  <c r="W76" i="4"/>
  <c r="X80" i="4"/>
  <c r="X81" i="4"/>
  <c r="W89" i="4"/>
  <c r="X8" i="4"/>
  <c r="X11" i="4"/>
  <c r="X33" i="4"/>
  <c r="T40" i="4"/>
  <c r="T51" i="4"/>
  <c r="X56" i="4"/>
  <c r="W60" i="4"/>
  <c r="X68" i="4"/>
  <c r="X69" i="4"/>
  <c r="V82" i="4"/>
  <c r="W85" i="4"/>
  <c r="U90" i="4"/>
  <c r="W6" i="4"/>
  <c r="V22" i="4"/>
  <c r="U5" i="4"/>
  <c r="U7" i="4"/>
  <c r="T17" i="4"/>
  <c r="W18" i="4"/>
  <c r="X23" i="4"/>
  <c r="U27" i="4"/>
  <c r="T28" i="4"/>
  <c r="W37" i="4"/>
  <c r="T50" i="4"/>
  <c r="V51" i="4"/>
  <c r="X54" i="4"/>
  <c r="X57" i="4"/>
  <c r="W63" i="4"/>
  <c r="U75" i="4"/>
  <c r="U77" i="4"/>
  <c r="X82" i="4"/>
  <c r="V83" i="4"/>
  <c r="X90" i="4"/>
  <c r="U29" i="4"/>
  <c r="X34" i="4"/>
  <c r="X35" i="4"/>
  <c r="W41" i="4"/>
  <c r="W42" i="4"/>
  <c r="X45" i="4"/>
  <c r="W52" i="4"/>
  <c r="W64" i="4"/>
  <c r="V70" i="4"/>
  <c r="X71" i="4"/>
  <c r="W77" i="4"/>
  <c r="W78" i="4"/>
  <c r="W90" i="4"/>
  <c r="W91" i="4"/>
  <c r="T8" i="4"/>
  <c r="T19" i="4"/>
  <c r="T7" i="4"/>
  <c r="T18" i="4"/>
  <c r="X22" i="4"/>
  <c r="X25" i="4"/>
  <c r="W28" i="4"/>
  <c r="W29" i="4"/>
  <c r="W30" i="4"/>
  <c r="U51" i="4"/>
  <c r="T53" i="4"/>
  <c r="V58" i="4"/>
  <c r="X72" i="4"/>
  <c r="X78" i="4"/>
  <c r="X83" i="4"/>
  <c r="X84" i="4"/>
  <c r="W92" i="4"/>
  <c r="W5" i="4"/>
  <c r="X3" i="4"/>
  <c r="W9" i="4"/>
  <c r="W10" i="4"/>
  <c r="X13" i="4"/>
  <c r="W20" i="4"/>
  <c r="X24" i="4"/>
  <c r="W39" i="4"/>
  <c r="T42" i="4"/>
  <c r="V46" i="4"/>
  <c r="X53" i="4"/>
  <c r="X59" i="4"/>
  <c r="U65" i="4"/>
  <c r="W66" i="4"/>
  <c r="X73" i="4"/>
  <c r="X85" i="4"/>
  <c r="V92" i="4"/>
  <c r="T90" i="4"/>
  <c r="U8" i="4"/>
  <c r="T15" i="4"/>
  <c r="V17" i="4"/>
  <c r="U24" i="4"/>
  <c r="T31" i="4"/>
  <c r="V33" i="4"/>
  <c r="U40" i="4"/>
  <c r="T47" i="4"/>
  <c r="V49" i="4"/>
  <c r="U56" i="4"/>
  <c r="T63" i="4"/>
  <c r="V65" i="4"/>
  <c r="U72" i="4"/>
  <c r="W74" i="4"/>
  <c r="T79" i="4"/>
  <c r="V81" i="4"/>
  <c r="U88" i="4"/>
  <c r="U26" i="4"/>
  <c r="T49" i="4"/>
  <c r="U17" i="4"/>
  <c r="W35" i="4"/>
  <c r="U15" i="4"/>
  <c r="T22" i="4"/>
  <c r="U31" i="4"/>
  <c r="W33" i="4"/>
  <c r="T38" i="4"/>
  <c r="U47" i="4"/>
  <c r="W49" i="4"/>
  <c r="T54" i="4"/>
  <c r="U63" i="4"/>
  <c r="W65" i="4"/>
  <c r="T58" i="4"/>
  <c r="W17" i="4"/>
  <c r="U6" i="4"/>
  <c r="W8" i="4"/>
  <c r="V15" i="4"/>
  <c r="U22" i="4"/>
  <c r="W24" i="4"/>
  <c r="T29" i="4"/>
  <c r="V31" i="4"/>
  <c r="U38" i="4"/>
  <c r="W40" i="4"/>
  <c r="T45" i="4"/>
  <c r="V47" i="4"/>
  <c r="U54" i="4"/>
  <c r="W56" i="4"/>
  <c r="T61" i="4"/>
  <c r="V63" i="4"/>
  <c r="U70" i="4"/>
  <c r="W72" i="4"/>
  <c r="T77" i="4"/>
  <c r="V79" i="4"/>
  <c r="U86" i="4"/>
  <c r="W88" i="4"/>
  <c r="T4" i="4"/>
  <c r="U13" i="4"/>
  <c r="T20" i="4"/>
  <c r="T36" i="4"/>
  <c r="T52" i="4"/>
  <c r="T68" i="4"/>
  <c r="T84" i="4"/>
  <c r="U10" i="4"/>
  <c r="T6" i="4"/>
  <c r="U4" i="4"/>
  <c r="V13" i="4"/>
  <c r="U20" i="4"/>
  <c r="V29" i="4"/>
  <c r="U36" i="4"/>
  <c r="V45" i="4"/>
  <c r="U52" i="4"/>
  <c r="T59" i="4"/>
  <c r="U68" i="4"/>
  <c r="T75" i="4"/>
  <c r="U84" i="4"/>
  <c r="T91" i="4"/>
  <c r="U42" i="4"/>
  <c r="V20" i="4"/>
  <c r="V36" i="4"/>
  <c r="V52" i="4"/>
  <c r="V68" i="4"/>
  <c r="U3" i="4"/>
  <c r="T9" i="4"/>
  <c r="V11" i="4"/>
  <c r="U18" i="4"/>
  <c r="T25" i="4"/>
  <c r="V27" i="4"/>
  <c r="U34" i="4"/>
  <c r="T41" i="4"/>
  <c r="V43" i="4"/>
  <c r="U50" i="4"/>
  <c r="T57" i="4"/>
  <c r="V59" i="4"/>
  <c r="U66" i="4"/>
  <c r="T73" i="4"/>
  <c r="V75" i="4"/>
  <c r="U82" i="4"/>
  <c r="T89" i="4"/>
  <c r="V3" i="4"/>
  <c r="U9" i="4"/>
  <c r="T16" i="4"/>
  <c r="V18" i="4"/>
  <c r="U25" i="4"/>
  <c r="T32" i="4"/>
  <c r="V34" i="4"/>
  <c r="U41" i="4"/>
  <c r="T48" i="4"/>
  <c r="V50" i="4"/>
  <c r="U57" i="4"/>
  <c r="T64" i="4"/>
  <c r="V66" i="4"/>
  <c r="U73" i="4"/>
  <c r="T80" i="4"/>
  <c r="U89" i="4"/>
  <c r="V9" i="4"/>
  <c r="U16" i="4"/>
  <c r="V25" i="4"/>
  <c r="U32" i="4"/>
  <c r="T39" i="4"/>
  <c r="V41" i="4"/>
  <c r="U48" i="4"/>
  <c r="T55" i="4"/>
  <c r="V57" i="4"/>
  <c r="U64" i="4"/>
  <c r="T71" i="4"/>
  <c r="V73" i="4"/>
  <c r="U80" i="4"/>
  <c r="T87" i="4"/>
  <c r="V89" i="4"/>
  <c r="W51" i="4"/>
  <c r="T14" i="4"/>
  <c r="V16" i="4"/>
  <c r="T30" i="4"/>
  <c r="V32" i="4"/>
  <c r="T46" i="4"/>
  <c r="V48" i="4"/>
  <c r="T62" i="4"/>
  <c r="V64" i="4"/>
  <c r="U71" i="4"/>
  <c r="T78" i="4"/>
  <c r="V80" i="4"/>
  <c r="U87" i="4"/>
  <c r="U33" i="4"/>
  <c r="V7" i="4"/>
  <c r="U14" i="4"/>
  <c r="V23" i="4"/>
  <c r="U30" i="4"/>
  <c r="V39" i="4"/>
  <c r="U46" i="4"/>
  <c r="V55" i="4"/>
  <c r="U62" i="4"/>
  <c r="T69" i="4"/>
  <c r="V71" i="4"/>
  <c r="U78" i="4"/>
  <c r="T85" i="4"/>
  <c r="V87" i="4"/>
  <c r="U19" i="4"/>
  <c r="T65" i="4"/>
  <c r="T76" i="4"/>
  <c r="T92" i="4"/>
  <c r="V69" i="4"/>
  <c r="U76" i="4"/>
  <c r="T83" i="4"/>
  <c r="V85" i="4"/>
  <c r="U92" i="4"/>
  <c r="T81" i="4"/>
  <c r="V41" i="3" l="1"/>
  <c r="U34" i="3"/>
  <c r="T26" i="3"/>
  <c r="S31" i="3" l="1"/>
  <c r="V43" i="3"/>
  <c r="V44" i="3"/>
  <c r="V45" i="3"/>
  <c r="T46" i="3"/>
  <c r="T47" i="3"/>
  <c r="V48" i="3"/>
  <c r="V51" i="3"/>
  <c r="V52" i="3"/>
  <c r="V53" i="3"/>
  <c r="T54" i="3"/>
  <c r="T55" i="3"/>
  <c r="V56" i="3"/>
  <c r="V59" i="3"/>
  <c r="V60" i="3"/>
  <c r="V61" i="3"/>
  <c r="V62" i="3"/>
  <c r="T63" i="3"/>
  <c r="V64" i="3"/>
  <c r="V67" i="3"/>
  <c r="V68" i="3"/>
  <c r="V69" i="3"/>
  <c r="V70" i="3"/>
  <c r="T71" i="3"/>
  <c r="V72" i="3"/>
  <c r="S74" i="3"/>
  <c r="V75" i="3"/>
  <c r="V76" i="3"/>
  <c r="V77" i="3"/>
  <c r="V78" i="3"/>
  <c r="T79" i="3"/>
  <c r="V80" i="3"/>
  <c r="V81" i="3"/>
  <c r="S82" i="3"/>
  <c r="V83" i="3"/>
  <c r="V84" i="3"/>
  <c r="V85" i="3"/>
  <c r="V86" i="3"/>
  <c r="T87" i="3"/>
  <c r="V88" i="3"/>
  <c r="V89" i="3"/>
  <c r="V91" i="3"/>
  <c r="V92" i="3"/>
  <c r="V22" i="3"/>
  <c r="W8" i="3"/>
  <c r="W9" i="3"/>
  <c r="W12" i="3"/>
  <c r="W15" i="3"/>
  <c r="W23" i="3"/>
  <c r="W24" i="3"/>
  <c r="W25" i="3"/>
  <c r="W5" i="3"/>
  <c r="W7" i="3"/>
  <c r="W19" i="3"/>
  <c r="W21" i="3"/>
  <c r="W31" i="3"/>
  <c r="U5" i="3"/>
  <c r="U7" i="3"/>
  <c r="U10" i="3"/>
  <c r="U13" i="3"/>
  <c r="U18" i="3"/>
  <c r="U27" i="3"/>
  <c r="U32" i="3"/>
  <c r="U33" i="3"/>
  <c r="W34" i="3"/>
  <c r="U42" i="3"/>
  <c r="U9" i="3"/>
  <c r="U26" i="3"/>
  <c r="V32" i="3"/>
  <c r="T34" i="3"/>
  <c r="S90" i="3"/>
  <c r="V31" i="3"/>
  <c r="T40" i="3"/>
  <c r="T42" i="3"/>
  <c r="S47" i="3"/>
  <c r="S48" i="3"/>
  <c r="V49" i="3"/>
  <c r="S50" i="3"/>
  <c r="S55" i="3"/>
  <c r="S56" i="3"/>
  <c r="V57" i="3"/>
  <c r="S58" i="3"/>
  <c r="S63" i="3"/>
  <c r="S64" i="3"/>
  <c r="V65" i="3"/>
  <c r="S66" i="3"/>
  <c r="S71" i="3"/>
  <c r="V73" i="3"/>
  <c r="S79" i="3"/>
  <c r="T81" i="3"/>
  <c r="S87" i="3"/>
  <c r="S89" i="3"/>
  <c r="V30" i="3"/>
  <c r="W11" i="3"/>
  <c r="W13" i="3"/>
  <c r="W16" i="3"/>
  <c r="W17" i="3"/>
  <c r="V38" i="3"/>
  <c r="T48" i="3"/>
  <c r="T50" i="3"/>
  <c r="T56" i="3"/>
  <c r="T58" i="3"/>
  <c r="T64" i="3"/>
  <c r="V66" i="3"/>
  <c r="T72" i="3"/>
  <c r="T74" i="3"/>
  <c r="T80" i="3"/>
  <c r="T82" i="3"/>
  <c r="T88" i="3"/>
  <c r="T90" i="3"/>
  <c r="W14" i="3"/>
  <c r="U15" i="3"/>
  <c r="W20" i="3"/>
  <c r="V39" i="3"/>
  <c r="V46" i="3"/>
  <c r="V54" i="3"/>
  <c r="V47" i="3"/>
  <c r="V55" i="3"/>
  <c r="V63" i="3"/>
  <c r="V71" i="3"/>
  <c r="V79" i="3"/>
  <c r="V87" i="3"/>
  <c r="U16" i="3"/>
  <c r="U17" i="3"/>
  <c r="W18" i="3"/>
  <c r="U20" i="3"/>
  <c r="U21" i="3"/>
  <c r="W22" i="3"/>
  <c r="U23" i="3"/>
  <c r="W28" i="3"/>
  <c r="W10" i="3"/>
  <c r="U4" i="3"/>
  <c r="U19" i="3"/>
  <c r="W27" i="3"/>
  <c r="W29" i="3"/>
  <c r="W32" i="3"/>
  <c r="W33" i="3"/>
  <c r="S40" i="3"/>
  <c r="U11" i="3"/>
  <c r="V5" i="3"/>
  <c r="T6" i="3"/>
  <c r="T7" i="3"/>
  <c r="U24" i="3"/>
  <c r="U25" i="3"/>
  <c r="W26" i="3"/>
  <c r="U28" i="3"/>
  <c r="U29" i="3"/>
  <c r="W30" i="3"/>
  <c r="U31" i="3"/>
  <c r="W36" i="3"/>
  <c r="W39" i="3"/>
  <c r="W40" i="3"/>
  <c r="W41" i="3"/>
  <c r="S3" i="3"/>
  <c r="W35" i="3"/>
  <c r="W37" i="3"/>
  <c r="W44" i="3"/>
  <c r="W47" i="3"/>
  <c r="W48" i="3"/>
  <c r="W49" i="3"/>
  <c r="W52" i="3"/>
  <c r="W55" i="3"/>
  <c r="W56" i="3"/>
  <c r="W57" i="3"/>
  <c r="W60" i="3"/>
  <c r="W63" i="3"/>
  <c r="W64" i="3"/>
  <c r="W65" i="3"/>
  <c r="W66" i="3"/>
  <c r="W68" i="3"/>
  <c r="W71" i="3"/>
  <c r="W72" i="3"/>
  <c r="W73" i="3"/>
  <c r="W74" i="3"/>
  <c r="W76" i="3"/>
  <c r="W79" i="3"/>
  <c r="W80" i="3"/>
  <c r="W81" i="3"/>
  <c r="W82" i="3"/>
  <c r="W84" i="3"/>
  <c r="W85" i="3"/>
  <c r="W86" i="3"/>
  <c r="W87" i="3"/>
  <c r="W88" i="3"/>
  <c r="W89" i="3"/>
  <c r="W90" i="3"/>
  <c r="W91" i="3"/>
  <c r="W92" i="3"/>
  <c r="S39" i="3"/>
  <c r="T3" i="3"/>
  <c r="T8" i="3"/>
  <c r="V11" i="3"/>
  <c r="T14" i="3"/>
  <c r="U36" i="3"/>
  <c r="W38" i="3"/>
  <c r="U39" i="3"/>
  <c r="W43" i="3"/>
  <c r="W45" i="3"/>
  <c r="W51" i="3"/>
  <c r="W53" i="3"/>
  <c r="W59" i="3"/>
  <c r="W61" i="3"/>
  <c r="W67" i="3"/>
  <c r="W69" i="3"/>
  <c r="W75" i="3"/>
  <c r="W77" i="3"/>
  <c r="W83" i="3"/>
  <c r="S7" i="3"/>
  <c r="V9" i="3"/>
  <c r="V12" i="3"/>
  <c r="T15" i="3"/>
  <c r="V6" i="3"/>
  <c r="T10" i="3"/>
  <c r="S15" i="3"/>
  <c r="V16" i="3"/>
  <c r="U35" i="3"/>
  <c r="U37" i="3"/>
  <c r="U40" i="3"/>
  <c r="U41" i="3"/>
  <c r="W42" i="3"/>
  <c r="U44" i="3"/>
  <c r="U45" i="3"/>
  <c r="W46" i="3"/>
  <c r="U47" i="3"/>
  <c r="U52" i="3"/>
  <c r="U53" i="3"/>
  <c r="W54" i="3"/>
  <c r="U55" i="3"/>
  <c r="U60" i="3"/>
  <c r="U61" i="3"/>
  <c r="W62" i="3"/>
  <c r="U63" i="3"/>
  <c r="U65" i="3"/>
  <c r="U68" i="3"/>
  <c r="U69" i="3"/>
  <c r="W70" i="3"/>
  <c r="U71" i="3"/>
  <c r="U72" i="3"/>
  <c r="U73" i="3"/>
  <c r="U75" i="3"/>
  <c r="U76" i="3"/>
  <c r="U77" i="3"/>
  <c r="W78" i="3"/>
  <c r="U79" i="3"/>
  <c r="U80" i="3"/>
  <c r="U81" i="3"/>
  <c r="U83" i="3"/>
  <c r="U84" i="3"/>
  <c r="U85" i="3"/>
  <c r="U86" i="3"/>
  <c r="U87" i="3"/>
  <c r="U88" i="3"/>
  <c r="U89" i="3"/>
  <c r="U91" i="3"/>
  <c r="U92" i="3"/>
  <c r="T32" i="3"/>
  <c r="V4" i="3"/>
  <c r="V8" i="3"/>
  <c r="U12" i="3"/>
  <c r="S10" i="3"/>
  <c r="V13" i="3"/>
  <c r="V7" i="3"/>
  <c r="T16" i="3"/>
  <c r="V17" i="3"/>
  <c r="S18" i="3"/>
  <c r="V19" i="3"/>
  <c r="V20" i="3"/>
  <c r="V21" i="3"/>
  <c r="T22" i="3"/>
  <c r="T23" i="3"/>
  <c r="U43" i="3"/>
  <c r="U48" i="3"/>
  <c r="U49" i="3"/>
  <c r="W50" i="3"/>
  <c r="U51" i="3"/>
  <c r="U56" i="3"/>
  <c r="U57" i="3"/>
  <c r="W58" i="3"/>
  <c r="U59" i="3"/>
  <c r="U64" i="3"/>
  <c r="U67" i="3"/>
  <c r="U82" i="3"/>
  <c r="W3" i="3"/>
  <c r="V14" i="3"/>
  <c r="T18" i="3"/>
  <c r="S23" i="3"/>
  <c r="V24" i="3"/>
  <c r="S42" i="3"/>
  <c r="W6" i="3"/>
  <c r="U8" i="3"/>
  <c r="V15" i="3"/>
  <c r="T24" i="3"/>
  <c r="V25" i="3"/>
  <c r="S26" i="3"/>
  <c r="V27" i="3"/>
  <c r="V28" i="3"/>
  <c r="V29" i="3"/>
  <c r="T30" i="3"/>
  <c r="T31" i="3"/>
  <c r="W4" i="3"/>
  <c r="V23" i="3"/>
  <c r="S32" i="3"/>
  <c r="V33" i="3"/>
  <c r="S34" i="3"/>
  <c r="V35" i="3"/>
  <c r="V36" i="3"/>
  <c r="V37" i="3"/>
  <c r="T38" i="3"/>
  <c r="T39" i="3"/>
  <c r="V40" i="3"/>
  <c r="U50" i="3"/>
  <c r="U58" i="3"/>
  <c r="U66" i="3"/>
  <c r="U74" i="3"/>
  <c r="U90" i="3"/>
  <c r="T66" i="3"/>
  <c r="U3" i="3"/>
  <c r="S5" i="3"/>
  <c r="S13" i="3"/>
  <c r="S21" i="3"/>
  <c r="S29" i="3"/>
  <c r="S37" i="3"/>
  <c r="S45" i="3"/>
  <c r="S53" i="3"/>
  <c r="S61" i="3"/>
  <c r="S69" i="3"/>
  <c r="S77" i="3"/>
  <c r="S85" i="3"/>
  <c r="V3" i="3"/>
  <c r="T5" i="3"/>
  <c r="V10" i="3"/>
  <c r="T13" i="3"/>
  <c r="V18" i="3"/>
  <c r="T21" i="3"/>
  <c r="V26" i="3"/>
  <c r="T29" i="3"/>
  <c r="V34" i="3"/>
  <c r="T37" i="3"/>
  <c r="V42" i="3"/>
  <c r="T45" i="3"/>
  <c r="V50" i="3"/>
  <c r="T53" i="3"/>
  <c r="V58" i="3"/>
  <c r="T61" i="3"/>
  <c r="T69" i="3"/>
  <c r="V74" i="3"/>
  <c r="T77" i="3"/>
  <c r="V82" i="3"/>
  <c r="T85" i="3"/>
  <c r="V90" i="3"/>
  <c r="S8" i="3"/>
  <c r="S16" i="3"/>
  <c r="S24" i="3"/>
  <c r="S72" i="3"/>
  <c r="S80" i="3"/>
  <c r="S88" i="3"/>
  <c r="S11" i="3"/>
  <c r="S19" i="3"/>
  <c r="S27" i="3"/>
  <c r="S35" i="3"/>
  <c r="S43" i="3"/>
  <c r="S51" i="3"/>
  <c r="S59" i="3"/>
  <c r="S67" i="3"/>
  <c r="S75" i="3"/>
  <c r="S83" i="3"/>
  <c r="S91" i="3"/>
  <c r="T11" i="3"/>
  <c r="T19" i="3"/>
  <c r="T27" i="3"/>
  <c r="T35" i="3"/>
  <c r="T43" i="3"/>
  <c r="T51" i="3"/>
  <c r="T59" i="3"/>
  <c r="T67" i="3"/>
  <c r="T75" i="3"/>
  <c r="T83" i="3"/>
  <c r="T91" i="3"/>
  <c r="S6" i="3"/>
  <c r="S14" i="3"/>
  <c r="S22" i="3"/>
  <c r="S30" i="3"/>
  <c r="S38" i="3"/>
  <c r="S46" i="3"/>
  <c r="S54" i="3"/>
  <c r="S62" i="3"/>
  <c r="S70" i="3"/>
  <c r="S78" i="3"/>
  <c r="S86" i="3"/>
  <c r="T62" i="3"/>
  <c r="T70" i="3"/>
  <c r="T78" i="3"/>
  <c r="T86" i="3"/>
  <c r="U6" i="3"/>
  <c r="S9" i="3"/>
  <c r="U14" i="3"/>
  <c r="S17" i="3"/>
  <c r="U22" i="3"/>
  <c r="S25" i="3"/>
  <c r="U30" i="3"/>
  <c r="S33" i="3"/>
  <c r="U38" i="3"/>
  <c r="S41" i="3"/>
  <c r="U46" i="3"/>
  <c r="S49" i="3"/>
  <c r="U54" i="3"/>
  <c r="S57" i="3"/>
  <c r="U62" i="3"/>
  <c r="S65" i="3"/>
  <c r="U70" i="3"/>
  <c r="S73" i="3"/>
  <c r="U78" i="3"/>
  <c r="S81" i="3"/>
  <c r="T9" i="3"/>
  <c r="T17" i="3"/>
  <c r="T25" i="3"/>
  <c r="T33" i="3"/>
  <c r="T41" i="3"/>
  <c r="T49" i="3"/>
  <c r="T57" i="3"/>
  <c r="T65" i="3"/>
  <c r="T73" i="3"/>
  <c r="T89" i="3"/>
  <c r="S4" i="3"/>
  <c r="S12" i="3"/>
  <c r="S20" i="3"/>
  <c r="S28" i="3"/>
  <c r="S36" i="3"/>
  <c r="S44" i="3"/>
  <c r="S52" i="3"/>
  <c r="S60" i="3"/>
  <c r="S68" i="3"/>
  <c r="S76" i="3"/>
  <c r="S84" i="3"/>
  <c r="S92" i="3"/>
  <c r="T4" i="3"/>
  <c r="T12" i="3"/>
  <c r="T20" i="3"/>
  <c r="T28" i="3"/>
  <c r="T36" i="3"/>
  <c r="T44" i="3"/>
  <c r="T52" i="3"/>
  <c r="T60" i="3"/>
  <c r="T68" i="3"/>
  <c r="T76" i="3"/>
  <c r="T84" i="3"/>
  <c r="T92" i="3"/>
</calcChain>
</file>

<file path=xl/sharedStrings.xml><?xml version="1.0" encoding="utf-8"?>
<sst xmlns="http://schemas.openxmlformats.org/spreadsheetml/2006/main" count="322" uniqueCount="116">
  <si>
    <t>Cluster</t>
  </si>
  <si>
    <t>Name</t>
  </si>
  <si>
    <t>124</t>
  </si>
  <si>
    <t>143</t>
  </si>
  <si>
    <t>146</t>
  </si>
  <si>
    <t>152</t>
  </si>
  <si>
    <t>170</t>
  </si>
  <si>
    <t>171</t>
  </si>
  <si>
    <t>175</t>
  </si>
  <si>
    <t>183</t>
  </si>
  <si>
    <t>200</t>
  </si>
  <si>
    <t>113</t>
  </si>
  <si>
    <t>172</t>
  </si>
  <si>
    <t>177</t>
  </si>
  <si>
    <t>178</t>
  </si>
  <si>
    <t>179</t>
  </si>
  <si>
    <t>180</t>
  </si>
  <si>
    <t>184</t>
  </si>
  <si>
    <t>207</t>
  </si>
  <si>
    <t>T-test</t>
  </si>
  <si>
    <t>Gem 0</t>
  </si>
  <si>
    <t>Gem 1</t>
  </si>
  <si>
    <t>SEM 0</t>
  </si>
  <si>
    <t>SEM 1</t>
  </si>
  <si>
    <t>Group</t>
  </si>
  <si>
    <t>frontal pole</t>
  </si>
  <si>
    <t>primary motor</t>
  </si>
  <si>
    <t>secondary motor</t>
  </si>
  <si>
    <t>SS, nose</t>
  </si>
  <si>
    <t>SS, barrel</t>
  </si>
  <si>
    <t>SS, lower limb</t>
  </si>
  <si>
    <t>SS, mouth</t>
  </si>
  <si>
    <t>SS, upper limb</t>
  </si>
  <si>
    <t>SS, trunk</t>
  </si>
  <si>
    <t>supplemental somatosensory</t>
  </si>
  <si>
    <t>gustatory</t>
  </si>
  <si>
    <t>visceral</t>
  </si>
  <si>
    <t>auditory</t>
  </si>
  <si>
    <t>primary-posterior auditory</t>
  </si>
  <si>
    <t>ventral auditory</t>
  </si>
  <si>
    <t>anterolateral visual</t>
  </si>
  <si>
    <t>anteromedial visual</t>
  </si>
  <si>
    <t>lateral visual</t>
  </si>
  <si>
    <t>primary visual</t>
  </si>
  <si>
    <t>posterolateral visual</t>
  </si>
  <si>
    <t>posteromedial visual</t>
  </si>
  <si>
    <t>dACC</t>
  </si>
  <si>
    <t>vACC</t>
  </si>
  <si>
    <t>PrL</t>
  </si>
  <si>
    <t>IL</t>
  </si>
  <si>
    <t>lateral orbital</t>
  </si>
  <si>
    <t>medial orbital</t>
  </si>
  <si>
    <t>ventral orbital</t>
  </si>
  <si>
    <t>agranular insula, dorsal</t>
  </si>
  <si>
    <t>agranular insula posterior</t>
  </si>
  <si>
    <t>agranular insula, ventral</t>
  </si>
  <si>
    <t>RSP lateral agranular</t>
  </si>
  <si>
    <t>RSP dorsal</t>
  </si>
  <si>
    <t>RSP ventral</t>
  </si>
  <si>
    <t>temporal association</t>
  </si>
  <si>
    <t>PRh</t>
  </si>
  <si>
    <t>Ectorhinal</t>
  </si>
  <si>
    <t>main olfactory bulb</t>
  </si>
  <si>
    <t>accessory olfactory bulb</t>
  </si>
  <si>
    <t>anterior olfactory nucleus</t>
  </si>
  <si>
    <t>Taenia tecta - peduncular area</t>
  </si>
  <si>
    <t>piriform area</t>
  </si>
  <si>
    <t>nucleus of the lateral olfactory tract</t>
  </si>
  <si>
    <t>cortical amygdalar area</t>
  </si>
  <si>
    <t>piriform-amygdalar area</t>
  </si>
  <si>
    <t>postpiriform transition area</t>
  </si>
  <si>
    <t>dCA1</t>
  </si>
  <si>
    <t>dCA3</t>
  </si>
  <si>
    <t>vCA1</t>
  </si>
  <si>
    <t>vCA3</t>
  </si>
  <si>
    <t>dDG</t>
  </si>
  <si>
    <t>vDG</t>
  </si>
  <si>
    <t>Entorhinal, lateral</t>
  </si>
  <si>
    <t>Entorhinal, medial</t>
  </si>
  <si>
    <t>Entorhinal, ventral</t>
  </si>
  <si>
    <t>parasubiculum</t>
  </si>
  <si>
    <t>postsubiculum</t>
  </si>
  <si>
    <t>presubiculum</t>
  </si>
  <si>
    <t>subiculum</t>
  </si>
  <si>
    <t>cortical subplate</t>
  </si>
  <si>
    <t>BLA, BMA, LA</t>
  </si>
  <si>
    <t>dorsal striatum</t>
  </si>
  <si>
    <t xml:space="preserve">ventral striatum </t>
  </si>
  <si>
    <t>LS complex</t>
  </si>
  <si>
    <t>striatum-like amygdalar nuclei</t>
  </si>
  <si>
    <t>pallidum, dorsal</t>
  </si>
  <si>
    <t>pallidum, ventral</t>
  </si>
  <si>
    <t>pallidum, medial</t>
  </si>
  <si>
    <t>pallidum, caudal</t>
  </si>
  <si>
    <t>ventral group dorsal thalamus</t>
  </si>
  <si>
    <t>geniculate group, dorsal thalamus</t>
  </si>
  <si>
    <t>thalamus, lateral</t>
  </si>
  <si>
    <t>thalamus, anterior</t>
  </si>
  <si>
    <t>thalamus, medial-midline</t>
  </si>
  <si>
    <t>thalamus, interlaminar</t>
  </si>
  <si>
    <t>thalamus, geniculate</t>
  </si>
  <si>
    <t>hypothalamus, periventricular</t>
  </si>
  <si>
    <t xml:space="preserve">hypothalamus, medial </t>
  </si>
  <si>
    <t>hypothalamus, lateral</t>
  </si>
  <si>
    <t>midbrain, sensory</t>
  </si>
  <si>
    <t>midbrain, motor</t>
  </si>
  <si>
    <t>midbrain, reticular</t>
  </si>
  <si>
    <t>midbrain, superior colliculus</t>
  </si>
  <si>
    <t>PAG</t>
  </si>
  <si>
    <t xml:space="preserve">pretectal </t>
  </si>
  <si>
    <t>midbrain, behavioral state</t>
  </si>
  <si>
    <t>pons, sensory</t>
  </si>
  <si>
    <t>pons, motor</t>
  </si>
  <si>
    <t>pons, behavioral state</t>
  </si>
  <si>
    <t xml:space="preserve">medulla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</si>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</sst>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right"/>
    </xf>
  </cellXfs>
  <cellStyles count="1">
    <cellStyle name="Standaard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DISCO_results\peri-trauma\Peri-trauma%20annotated%20counts%20-%2012%20pixel%20thresh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counts"/>
      <sheetName val="Total-corrected counts"/>
      <sheetName val="Activation map"/>
      <sheetName val="Total-corrected counts Z&lt;3"/>
      <sheetName val="Cluster counts corrected Z&lt;3"/>
      <sheetName val="Total-corrected counts Z&lt;2"/>
      <sheetName val="Activation map corrected"/>
      <sheetName val="Brain networks"/>
      <sheetName val="Activation map corrected Z&lt;3"/>
      <sheetName val="Activation map corrected Z&lt;2"/>
      <sheetName val="Brain networks corrected"/>
      <sheetName val="Correlations activation map"/>
      <sheetName val="Brain networks corrected Z&lt;3"/>
      <sheetName val="Correlations brain networks"/>
      <sheetName val="Brain networks corrected Z&lt;2"/>
      <sheetName val="Z-scores"/>
      <sheetName val="Z-scores&lt;3"/>
      <sheetName val="Z-scores&lt;2"/>
      <sheetName val="Region order"/>
    </sheetNames>
    <sheetDataSet>
      <sheetData sheetId="0" refreshError="1"/>
      <sheetData sheetId="1" refreshError="1"/>
      <sheetData sheetId="2" refreshError="1"/>
      <sheetData sheetId="3"/>
      <sheetData sheetId="4">
        <row r="3">
          <cell r="A3">
            <v>1</v>
          </cell>
          <cell r="V3">
            <v>12.86536336736205</v>
          </cell>
          <cell r="W3">
            <v>7.9360238161977783</v>
          </cell>
          <cell r="X3">
            <v>3.7312783817215731</v>
          </cell>
          <cell r="Y3">
            <v>4.4345122082309816</v>
          </cell>
        </row>
        <row r="4">
          <cell r="A4">
            <v>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A5">
            <v>3</v>
          </cell>
          <cell r="V5">
            <v>352.02836420234706</v>
          </cell>
          <cell r="W5">
            <v>409.05259294663006</v>
          </cell>
          <cell r="X5">
            <v>49.970214823496001</v>
          </cell>
          <cell r="Y5">
            <v>39.419836288074734</v>
          </cell>
        </row>
        <row r="6">
          <cell r="A6">
            <v>4</v>
          </cell>
          <cell r="V6">
            <v>185.70172977076672</v>
          </cell>
          <cell r="W6">
            <v>208.0855482869282</v>
          </cell>
          <cell r="X6">
            <v>34.848073870468518</v>
          </cell>
          <cell r="Y6">
            <v>18.302900135163306</v>
          </cell>
        </row>
        <row r="7">
          <cell r="A7">
            <v>5</v>
          </cell>
          <cell r="V7">
            <v>112.08597755427235</v>
          </cell>
          <cell r="W7">
            <v>130.76812830423017</v>
          </cell>
          <cell r="X7">
            <v>24.379172969488494</v>
          </cell>
          <cell r="Y7">
            <v>14.138344280043448</v>
          </cell>
        </row>
        <row r="8">
          <cell r="A8">
            <v>6</v>
          </cell>
          <cell r="V8">
            <v>129.62014254988318</v>
          </cell>
          <cell r="W8">
            <v>188.27062301544674</v>
          </cell>
          <cell r="X8">
            <v>20.558593120560829</v>
          </cell>
          <cell r="Y8">
            <v>24.030154861083044</v>
          </cell>
        </row>
        <row r="9">
          <cell r="A9">
            <v>7</v>
          </cell>
          <cell r="V9">
            <v>33.346102308942982</v>
          </cell>
          <cell r="W9">
            <v>67.633909219241787</v>
          </cell>
          <cell r="X9">
            <v>8.7443187901736774</v>
          </cell>
          <cell r="Y9">
            <v>8.4509705680782563</v>
          </cell>
        </row>
        <row r="10">
          <cell r="A10">
            <v>8</v>
          </cell>
          <cell r="V10">
            <v>172.99453462462762</v>
          </cell>
          <cell r="W10">
            <v>159.05263579045973</v>
          </cell>
          <cell r="X10">
            <v>31.659403274038699</v>
          </cell>
          <cell r="Y10">
            <v>19.740083984251275</v>
          </cell>
        </row>
        <row r="11">
          <cell r="A11">
            <v>9</v>
          </cell>
          <cell r="V11">
            <v>68.040663675257235</v>
          </cell>
          <cell r="W11">
            <v>89.978166575070674</v>
          </cell>
          <cell r="X11">
            <v>13.648351690101952</v>
          </cell>
          <cell r="Y11">
            <v>5.928609979048435</v>
          </cell>
        </row>
        <row r="12">
          <cell r="A12">
            <v>10</v>
          </cell>
          <cell r="V12">
            <v>15.24210795029072</v>
          </cell>
          <cell r="W12">
            <v>24.062700304430088</v>
          </cell>
          <cell r="X12">
            <v>3.5853306283734567</v>
          </cell>
          <cell r="Y12">
            <v>3.0869058983801878</v>
          </cell>
        </row>
        <row r="13">
          <cell r="A13">
            <v>11</v>
          </cell>
          <cell r="V13">
            <v>182.62677703051159</v>
          </cell>
          <cell r="W13">
            <v>232.08901064082403</v>
          </cell>
          <cell r="X13">
            <v>31.486178533790959</v>
          </cell>
          <cell r="Y13">
            <v>11.443444902797271</v>
          </cell>
        </row>
        <row r="14">
          <cell r="A14">
            <v>12</v>
          </cell>
          <cell r="V14">
            <v>85.327330795923885</v>
          </cell>
          <cell r="W14">
            <v>78.601910187792157</v>
          </cell>
          <cell r="X14">
            <v>13.191177739013632</v>
          </cell>
          <cell r="Y14">
            <v>9.8634494671453421</v>
          </cell>
        </row>
        <row r="15">
          <cell r="A15">
            <v>13</v>
          </cell>
          <cell r="V15">
            <v>61.016523953357542</v>
          </cell>
          <cell r="W15">
            <v>79.07064064044647</v>
          </cell>
          <cell r="X15">
            <v>8.9579454550270246</v>
          </cell>
          <cell r="Y15">
            <v>6.2681367486910515</v>
          </cell>
        </row>
        <row r="16">
          <cell r="A16">
            <v>14</v>
          </cell>
          <cell r="V16">
            <v>79.869393872129137</v>
          </cell>
          <cell r="W16">
            <v>123.64171521610622</v>
          </cell>
          <cell r="X16">
            <v>13.822903364435767</v>
          </cell>
          <cell r="Y16">
            <v>11.629860228217412</v>
          </cell>
        </row>
        <row r="17">
          <cell r="A17">
            <v>15</v>
          </cell>
          <cell r="V17">
            <v>62.235913528291057</v>
          </cell>
          <cell r="W17">
            <v>77.192370453565516</v>
          </cell>
          <cell r="X17">
            <v>11.356578406425015</v>
          </cell>
          <cell r="Y17">
            <v>8.1759426704634546</v>
          </cell>
        </row>
        <row r="18">
          <cell r="A18">
            <v>16</v>
          </cell>
          <cell r="V18">
            <v>51.56104206192169</v>
          </cell>
          <cell r="W18">
            <v>73.532959760761969</v>
          </cell>
          <cell r="X18">
            <v>10.083979760752799</v>
          </cell>
          <cell r="Y18">
            <v>5.8929053448589608</v>
          </cell>
        </row>
        <row r="19">
          <cell r="A19">
            <v>17</v>
          </cell>
          <cell r="V19">
            <v>14.687076492428897</v>
          </cell>
          <cell r="W19">
            <v>24.752297184933315</v>
          </cell>
          <cell r="X19">
            <v>2.8604306082481457</v>
          </cell>
          <cell r="Y19">
            <v>2.0717512078766296</v>
          </cell>
        </row>
        <row r="20">
          <cell r="A20">
            <v>18</v>
          </cell>
          <cell r="V20">
            <v>9.6871449871663096</v>
          </cell>
          <cell r="W20">
            <v>18.513463734644379</v>
          </cell>
          <cell r="X20">
            <v>3.0642101998009128</v>
          </cell>
          <cell r="Y20">
            <v>4.1171789085138659</v>
          </cell>
        </row>
        <row r="21">
          <cell r="A21">
            <v>19</v>
          </cell>
          <cell r="V21">
            <v>31.128360973608331</v>
          </cell>
          <cell r="W21">
            <v>54.490224468804911</v>
          </cell>
          <cell r="X21">
            <v>8.7589333744609501</v>
          </cell>
          <cell r="Y21">
            <v>4.3730965801828843</v>
          </cell>
        </row>
        <row r="22">
          <cell r="A22">
            <v>20</v>
          </cell>
          <cell r="V22">
            <v>197.09339425427527</v>
          </cell>
          <cell r="W22">
            <v>340.5378158950989</v>
          </cell>
          <cell r="X22">
            <v>45.496047342995745</v>
          </cell>
          <cell r="Y22">
            <v>23.018467574570767</v>
          </cell>
        </row>
        <row r="23">
          <cell r="A23">
            <v>21</v>
          </cell>
          <cell r="V23">
            <v>16.826577149317597</v>
          </cell>
          <cell r="W23">
            <v>29.904667668945972</v>
          </cell>
          <cell r="X23">
            <v>2.9209622509266921</v>
          </cell>
          <cell r="Y23">
            <v>3.9018114716724308</v>
          </cell>
        </row>
        <row r="24">
          <cell r="A24">
            <v>22</v>
          </cell>
          <cell r="V24">
            <v>16.988972226442133</v>
          </cell>
          <cell r="W24">
            <v>39.149690511390581</v>
          </cell>
          <cell r="X24">
            <v>8.077536986129898</v>
          </cell>
          <cell r="Y24">
            <v>8.3914127430403305</v>
          </cell>
        </row>
        <row r="25">
          <cell r="A25">
            <v>23</v>
          </cell>
          <cell r="V25">
            <v>19.36506840488234</v>
          </cell>
          <cell r="W25">
            <v>23.470930355418016</v>
          </cell>
          <cell r="X25">
            <v>5.7088016422279928</v>
          </cell>
          <cell r="Y25">
            <v>5.9075270732446699</v>
          </cell>
        </row>
        <row r="26">
          <cell r="A26">
            <v>24</v>
          </cell>
          <cell r="V26">
            <v>14.581780152099883</v>
          </cell>
          <cell r="W26">
            <v>14.662135236856106</v>
          </cell>
          <cell r="X26">
            <v>5.2929108851854814</v>
          </cell>
          <cell r="Y26">
            <v>5.0897887506062887</v>
          </cell>
        </row>
        <row r="27">
          <cell r="A27">
            <v>25</v>
          </cell>
          <cell r="V27">
            <v>14.847789063828328</v>
          </cell>
          <cell r="W27">
            <v>10.966698653827082</v>
          </cell>
          <cell r="X27">
            <v>4.753733391168427</v>
          </cell>
          <cell r="Y27">
            <v>2.7415876743429797</v>
          </cell>
        </row>
        <row r="28">
          <cell r="A28">
            <v>26</v>
          </cell>
          <cell r="V28">
            <v>15.077285177151404</v>
          </cell>
          <cell r="W28">
            <v>9.8250167173167071</v>
          </cell>
          <cell r="X28">
            <v>5.1068842554589562</v>
          </cell>
          <cell r="Y28">
            <v>2.0111590448950341</v>
          </cell>
        </row>
        <row r="29">
          <cell r="A29">
            <v>27</v>
          </cell>
          <cell r="V29">
            <v>44.762687418259489</v>
          </cell>
          <cell r="W29">
            <v>44.369153221905293</v>
          </cell>
          <cell r="X29">
            <v>13.879840190100929</v>
          </cell>
          <cell r="Y29">
            <v>9.4483264577529233</v>
          </cell>
        </row>
        <row r="30">
          <cell r="A30">
            <v>28</v>
          </cell>
          <cell r="V30">
            <v>9.8890868430199603</v>
          </cell>
          <cell r="W30">
            <v>8.6726851186179026</v>
          </cell>
          <cell r="X30">
            <v>2.9699417286775471</v>
          </cell>
          <cell r="Y30">
            <v>3.3296075453863909</v>
          </cell>
        </row>
        <row r="31">
          <cell r="A31">
            <v>29</v>
          </cell>
          <cell r="V31">
            <v>31.016489519351452</v>
          </cell>
          <cell r="W31">
            <v>22.68252167776841</v>
          </cell>
          <cell r="X31">
            <v>7.759070875574781</v>
          </cell>
          <cell r="Y31">
            <v>5.4846841338945191</v>
          </cell>
        </row>
        <row r="32">
          <cell r="A32">
            <v>30</v>
          </cell>
          <cell r="V32">
            <v>86.498089931855532</v>
          </cell>
          <cell r="W32">
            <v>67.594535029479928</v>
          </cell>
          <cell r="X32">
            <v>15.988855561296637</v>
          </cell>
          <cell r="Y32">
            <v>8.704827206839381</v>
          </cell>
        </row>
        <row r="33">
          <cell r="A33">
            <v>31</v>
          </cell>
          <cell r="V33">
            <v>59.03164532858149</v>
          </cell>
          <cell r="W33">
            <v>54.030716369052428</v>
          </cell>
          <cell r="X33">
            <v>8.1824718210691572</v>
          </cell>
          <cell r="Y33">
            <v>4.074830415452146</v>
          </cell>
        </row>
        <row r="34">
          <cell r="A34">
            <v>32</v>
          </cell>
          <cell r="V34">
            <v>51.328912573981171</v>
          </cell>
          <cell r="W34">
            <v>37.511404395312894</v>
          </cell>
          <cell r="X34">
            <v>7.6747396667723145</v>
          </cell>
          <cell r="Y34">
            <v>5.002799770274569</v>
          </cell>
        </row>
        <row r="35">
          <cell r="A35">
            <v>33</v>
          </cell>
          <cell r="V35">
            <v>18.302434390648809</v>
          </cell>
          <cell r="W35">
            <v>41.879252332734758</v>
          </cell>
          <cell r="X35">
            <v>5.0283244753663849</v>
          </cell>
          <cell r="Y35">
            <v>4.8603461960096688</v>
          </cell>
        </row>
        <row r="36">
          <cell r="A36">
            <v>34</v>
          </cell>
          <cell r="V36">
            <v>45.348809068690315</v>
          </cell>
          <cell r="W36">
            <v>99.199713939138917</v>
          </cell>
          <cell r="X36">
            <v>11.812166687985481</v>
          </cell>
          <cell r="Y36">
            <v>8.3281708519389124</v>
          </cell>
        </row>
        <row r="37">
          <cell r="A37">
            <v>35</v>
          </cell>
          <cell r="V37">
            <v>29.829632881553167</v>
          </cell>
          <cell r="W37">
            <v>52.609034177236488</v>
          </cell>
          <cell r="X37">
            <v>12.305169037682433</v>
          </cell>
          <cell r="Y37">
            <v>9.460477314535181</v>
          </cell>
        </row>
        <row r="38">
          <cell r="A38">
            <v>36</v>
          </cell>
          <cell r="V38">
            <v>62.283889462242968</v>
          </cell>
          <cell r="W38">
            <v>86.417367122558829</v>
          </cell>
          <cell r="X38">
            <v>6.9702728120241249</v>
          </cell>
          <cell r="Y38">
            <v>11.040739121881227</v>
          </cell>
        </row>
        <row r="39">
          <cell r="A39">
            <v>37</v>
          </cell>
          <cell r="V39">
            <v>39.459699929701785</v>
          </cell>
          <cell r="W39">
            <v>46.509515810714021</v>
          </cell>
          <cell r="X39">
            <v>6.7445097067247461</v>
          </cell>
          <cell r="Y39">
            <v>8.6754866450634829</v>
          </cell>
        </row>
        <row r="40">
          <cell r="A40">
            <v>38</v>
          </cell>
          <cell r="V40">
            <v>42.034366607073082</v>
          </cell>
          <cell r="W40">
            <v>51.861987082032236</v>
          </cell>
          <cell r="X40">
            <v>5.7545516714584393</v>
          </cell>
          <cell r="Y40">
            <v>7.3610314006243778</v>
          </cell>
        </row>
        <row r="41">
          <cell r="A41">
            <v>39</v>
          </cell>
          <cell r="V41">
            <v>103.89380158270082</v>
          </cell>
          <cell r="W41">
            <v>104.95577392163258</v>
          </cell>
          <cell r="X41">
            <v>16.869154150857817</v>
          </cell>
          <cell r="Y41">
            <v>15.799885234794539</v>
          </cell>
        </row>
        <row r="42">
          <cell r="A42">
            <v>40</v>
          </cell>
          <cell r="V42">
            <v>4.7726444381227342</v>
          </cell>
          <cell r="W42">
            <v>5.7292425212350144</v>
          </cell>
          <cell r="X42">
            <v>2.3096548497364444</v>
          </cell>
          <cell r="Y42">
            <v>1.8873112743753486</v>
          </cell>
        </row>
        <row r="43">
          <cell r="A43">
            <v>41</v>
          </cell>
          <cell r="V43">
            <v>81.882984407970866</v>
          </cell>
          <cell r="W43">
            <v>41.328173060761408</v>
          </cell>
          <cell r="X43">
            <v>19.785169568393368</v>
          </cell>
          <cell r="Y43">
            <v>6.7110721803680633</v>
          </cell>
        </row>
        <row r="44">
          <cell r="A44">
            <v>42</v>
          </cell>
          <cell r="V44">
            <v>17.331383919861974</v>
          </cell>
          <cell r="W44">
            <v>10.220160682348444</v>
          </cell>
          <cell r="X44">
            <v>3.0838697088067053</v>
          </cell>
          <cell r="Y44">
            <v>3.6815228867539509</v>
          </cell>
        </row>
        <row r="45">
          <cell r="A45">
            <v>43</v>
          </cell>
          <cell r="V45">
            <v>382.2518897428497</v>
          </cell>
          <cell r="W45">
            <v>383.30847037352311</v>
          </cell>
          <cell r="X45">
            <v>52.623455881598254</v>
          </cell>
          <cell r="Y45">
            <v>37.95919325806716</v>
          </cell>
        </row>
        <row r="46">
          <cell r="A46">
            <v>44</v>
          </cell>
          <cell r="V46">
            <v>5.8922231843951192</v>
          </cell>
          <cell r="W46">
            <v>7.949535988808444</v>
          </cell>
          <cell r="X46">
            <v>1.2995429696412941</v>
          </cell>
          <cell r="Y46">
            <v>1.1597506801684554</v>
          </cell>
        </row>
        <row r="47">
          <cell r="A47">
            <v>45</v>
          </cell>
          <cell r="V47">
            <v>39.788013888748424</v>
          </cell>
          <cell r="W47">
            <v>39.761009173456742</v>
          </cell>
          <cell r="X47">
            <v>9.626647669947948</v>
          </cell>
          <cell r="Y47">
            <v>4.8744975474697476</v>
          </cell>
        </row>
        <row r="48">
          <cell r="A48">
            <v>46</v>
          </cell>
          <cell r="V48">
            <v>8.0067905426517481</v>
          </cell>
          <cell r="W48">
            <v>10.388993938131414</v>
          </cell>
          <cell r="X48">
            <v>2.1445044350329909</v>
          </cell>
          <cell r="Y48">
            <v>2.7350570291043446</v>
          </cell>
        </row>
        <row r="49">
          <cell r="A49">
            <v>47</v>
          </cell>
          <cell r="V49">
            <v>12.153337194518958</v>
          </cell>
          <cell r="W49">
            <v>11.662642706585171</v>
          </cell>
          <cell r="X49">
            <v>3.6644198443920075</v>
          </cell>
          <cell r="Y49">
            <v>2.8547127128883756</v>
          </cell>
        </row>
        <row r="50">
          <cell r="A50">
            <v>48</v>
          </cell>
          <cell r="V50">
            <v>6.5142387023021886</v>
          </cell>
          <cell r="W50">
            <v>11.657547044315242</v>
          </cell>
          <cell r="X50">
            <v>1.9210510039063964</v>
          </cell>
          <cell r="Y50">
            <v>3.6126920120026087</v>
          </cell>
        </row>
        <row r="51">
          <cell r="A51">
            <v>49</v>
          </cell>
          <cell r="V51">
            <v>4.8079624499585112</v>
          </cell>
          <cell r="W51">
            <v>6.3041125461695371</v>
          </cell>
          <cell r="X51">
            <v>1.3243281758465622</v>
          </cell>
          <cell r="Y51">
            <v>1.2682422896232348</v>
          </cell>
        </row>
        <row r="52">
          <cell r="A52">
            <v>50</v>
          </cell>
          <cell r="V52">
            <v>77.104511759338763</v>
          </cell>
          <cell r="W52">
            <v>73.698448413076392</v>
          </cell>
          <cell r="X52">
            <v>17.450157243521549</v>
          </cell>
          <cell r="Y52">
            <v>9.3330158324125421</v>
          </cell>
        </row>
        <row r="53">
          <cell r="A53">
            <v>51</v>
          </cell>
          <cell r="V53">
            <v>31.54236021613729</v>
          </cell>
          <cell r="W53">
            <v>28.123350643123079</v>
          </cell>
          <cell r="X53">
            <v>11.110736661685493</v>
          </cell>
          <cell r="Y53">
            <v>2.9587565349876757</v>
          </cell>
        </row>
        <row r="54">
          <cell r="A54">
            <v>52</v>
          </cell>
          <cell r="V54">
            <v>47.592216311985844</v>
          </cell>
          <cell r="W54">
            <v>59.698770434378986</v>
          </cell>
          <cell r="X54">
            <v>7.5626074414146673</v>
          </cell>
          <cell r="Y54">
            <v>7.0775292940588415</v>
          </cell>
        </row>
        <row r="55">
          <cell r="A55">
            <v>53</v>
          </cell>
          <cell r="V55">
            <v>17.43219525005831</v>
          </cell>
          <cell r="W55">
            <v>26.029507204559064</v>
          </cell>
          <cell r="X55">
            <v>2.9889520662596509</v>
          </cell>
          <cell r="Y55">
            <v>3.5810578095824712</v>
          </cell>
        </row>
        <row r="56">
          <cell r="A56">
            <v>54</v>
          </cell>
          <cell r="V56">
            <v>161.1586268872303</v>
          </cell>
          <cell r="W56">
            <v>161.68691005691781</v>
          </cell>
          <cell r="X56">
            <v>27.765997310606263</v>
          </cell>
          <cell r="Y56">
            <v>15.05477444656</v>
          </cell>
        </row>
        <row r="57">
          <cell r="A57">
            <v>55</v>
          </cell>
          <cell r="V57">
            <v>77.2712087876385</v>
          </cell>
          <cell r="W57">
            <v>72.490329418133271</v>
          </cell>
          <cell r="X57">
            <v>14.972330669898495</v>
          </cell>
          <cell r="Y57">
            <v>9.6371610192626331</v>
          </cell>
        </row>
        <row r="58">
          <cell r="A58">
            <v>56</v>
          </cell>
          <cell r="V58">
            <v>5.1655447186856982</v>
          </cell>
          <cell r="W58">
            <v>4.1568826173362767</v>
          </cell>
          <cell r="X58">
            <v>1.4339182580022583</v>
          </cell>
          <cell r="Y58">
            <v>0.80326780887784255</v>
          </cell>
        </row>
        <row r="59">
          <cell r="A59">
            <v>57</v>
          </cell>
          <cell r="V59">
            <v>22.511970667715296</v>
          </cell>
          <cell r="W59">
            <v>26.48823664757029</v>
          </cell>
          <cell r="X59">
            <v>3.4090856664190512</v>
          </cell>
          <cell r="Y59">
            <v>4.5483710253781107</v>
          </cell>
        </row>
        <row r="60">
          <cell r="A60">
            <v>58</v>
          </cell>
          <cell r="V60">
            <v>27.308815966834356</v>
          </cell>
          <cell r="W60">
            <v>49.587606685894009</v>
          </cell>
          <cell r="X60">
            <v>8.7350986531832095</v>
          </cell>
          <cell r="Y60">
            <v>6.0559352805329123</v>
          </cell>
        </row>
        <row r="61">
          <cell r="A61">
            <v>59</v>
          </cell>
          <cell r="V61">
            <v>26.801254369196648</v>
          </cell>
          <cell r="W61">
            <v>45.194341114670863</v>
          </cell>
          <cell r="X61">
            <v>4.2186121152991776</v>
          </cell>
          <cell r="Y61">
            <v>4.5109110812046769</v>
          </cell>
        </row>
        <row r="62">
          <cell r="A62">
            <v>60</v>
          </cell>
          <cell r="V62">
            <v>67.614226288428341</v>
          </cell>
          <cell r="W62">
            <v>73.229241448891088</v>
          </cell>
          <cell r="X62">
            <v>10.102485172319133</v>
          </cell>
          <cell r="Y62">
            <v>6.222005782738802</v>
          </cell>
        </row>
        <row r="63">
          <cell r="A63">
            <v>61</v>
          </cell>
          <cell r="V63">
            <v>105.20061361050847</v>
          </cell>
          <cell r="W63">
            <v>75.089527664496259</v>
          </cell>
          <cell r="X63">
            <v>24.943384783552037</v>
          </cell>
          <cell r="Y63">
            <v>8.8111297591895603</v>
          </cell>
        </row>
        <row r="64">
          <cell r="A64">
            <v>62</v>
          </cell>
          <cell r="V64">
            <v>56.076779030643905</v>
          </cell>
          <cell r="W64">
            <v>54.629017082040669</v>
          </cell>
          <cell r="X64">
            <v>11.079730160217823</v>
          </cell>
          <cell r="Y64">
            <v>13.498978347199586</v>
          </cell>
        </row>
        <row r="65">
          <cell r="A65">
            <v>63</v>
          </cell>
          <cell r="V65">
            <v>629.63978242698192</v>
          </cell>
          <cell r="W65">
            <v>538.4070075955583</v>
          </cell>
          <cell r="X65">
            <v>101.46403334543935</v>
          </cell>
          <cell r="Y65">
            <v>42.137103842150722</v>
          </cell>
        </row>
        <row r="66">
          <cell r="A66">
            <v>64</v>
          </cell>
          <cell r="V66">
            <v>258.58842089218138</v>
          </cell>
          <cell r="W66">
            <v>206.23668801545719</v>
          </cell>
          <cell r="X66">
            <v>37.886750380556627</v>
          </cell>
          <cell r="Y66">
            <v>34.318355723883172</v>
          </cell>
        </row>
        <row r="67">
          <cell r="A67">
            <v>65</v>
          </cell>
          <cell r="V67">
            <v>21.330856852976751</v>
          </cell>
          <cell r="W67">
            <v>18.378369080028406</v>
          </cell>
          <cell r="X67">
            <v>6.8081952666580134</v>
          </cell>
          <cell r="Y67">
            <v>7.6485337985455928</v>
          </cell>
        </row>
        <row r="68">
          <cell r="A68">
            <v>66</v>
          </cell>
          <cell r="V68">
            <v>89.779366347272557</v>
          </cell>
          <cell r="W68">
            <v>63.890104040492446</v>
          </cell>
          <cell r="X68">
            <v>17.453470368926961</v>
          </cell>
          <cell r="Y68">
            <v>10.702050509916178</v>
          </cell>
        </row>
        <row r="69">
          <cell r="A69">
            <v>72</v>
          </cell>
          <cell r="V69">
            <v>204.57101817306102</v>
          </cell>
          <cell r="W69">
            <v>172.98553073917918</v>
          </cell>
          <cell r="X69">
            <v>37.939403367493107</v>
          </cell>
          <cell r="Y69">
            <v>30.215899264860099</v>
          </cell>
        </row>
        <row r="70">
          <cell r="A70">
            <v>73</v>
          </cell>
          <cell r="V70">
            <v>13.173986895114885</v>
          </cell>
          <cell r="W70">
            <v>10.243609092830694</v>
          </cell>
          <cell r="X70">
            <v>3.2685436612933656</v>
          </cell>
          <cell r="Y70">
            <v>1.5572483692641328</v>
          </cell>
        </row>
        <row r="71">
          <cell r="A71">
            <v>74</v>
          </cell>
          <cell r="V71">
            <v>16.434278997935987</v>
          </cell>
          <cell r="W71">
            <v>10.447306703857555</v>
          </cell>
          <cell r="X71">
            <v>3.8753811713401589</v>
          </cell>
          <cell r="Y71">
            <v>3.7757278387783781</v>
          </cell>
        </row>
        <row r="72">
          <cell r="A72">
            <v>75</v>
          </cell>
          <cell r="V72">
            <v>24.092566312572039</v>
          </cell>
          <cell r="W72">
            <v>15.449651573365941</v>
          </cell>
          <cell r="X72">
            <v>4.7429931934020066</v>
          </cell>
          <cell r="Y72">
            <v>4.6449057675100365</v>
          </cell>
        </row>
        <row r="73">
          <cell r="A73">
            <v>76</v>
          </cell>
          <cell r="V73">
            <v>106.37916855755128</v>
          </cell>
          <cell r="W73">
            <v>93.265777326719302</v>
          </cell>
          <cell r="X73">
            <v>21.735351829527286</v>
          </cell>
          <cell r="Y73">
            <v>23.664367419350462</v>
          </cell>
        </row>
        <row r="74">
          <cell r="A74">
            <v>77</v>
          </cell>
          <cell r="V74">
            <v>12.303931183101973</v>
          </cell>
          <cell r="W74">
            <v>14.070542023548324</v>
          </cell>
          <cell r="X74">
            <v>4.8296620176706728</v>
          </cell>
          <cell r="Y74">
            <v>3.3457262586948922</v>
          </cell>
        </row>
        <row r="75">
          <cell r="A75">
            <v>78</v>
          </cell>
          <cell r="V75">
            <v>23.051997225393119</v>
          </cell>
          <cell r="W75">
            <v>29.254013082127049</v>
          </cell>
          <cell r="X75">
            <v>6.6866181716181403</v>
          </cell>
          <cell r="Y75">
            <v>8.1828769961642589</v>
          </cell>
        </row>
        <row r="76">
          <cell r="A76">
            <v>79</v>
          </cell>
          <cell r="V76">
            <v>22.622522187125575</v>
          </cell>
          <cell r="W76">
            <v>32.875238660438242</v>
          </cell>
          <cell r="X76">
            <v>5.5396340602696474</v>
          </cell>
          <cell r="Y76">
            <v>10.403261225185732</v>
          </cell>
        </row>
        <row r="77">
          <cell r="A77">
            <v>80</v>
          </cell>
          <cell r="V77">
            <v>7.9841940353242045</v>
          </cell>
          <cell r="W77">
            <v>7.5041120492937852</v>
          </cell>
          <cell r="X77">
            <v>5.3599630886387324</v>
          </cell>
          <cell r="Y77">
            <v>4.4128129536596923</v>
          </cell>
        </row>
        <row r="78">
          <cell r="A78">
            <v>81</v>
          </cell>
          <cell r="V78">
            <v>48.005067402536589</v>
          </cell>
          <cell r="W78">
            <v>41.366221400645529</v>
          </cell>
          <cell r="X78">
            <v>8.2382402989623085</v>
          </cell>
          <cell r="Y78">
            <v>7.5099961906513464</v>
          </cell>
        </row>
        <row r="79">
          <cell r="A79">
            <v>82</v>
          </cell>
          <cell r="V79">
            <v>5.4022477752543496</v>
          </cell>
          <cell r="W79">
            <v>8.5622033972628699</v>
          </cell>
          <cell r="X79">
            <v>1.8523297642715251</v>
          </cell>
          <cell r="Y79">
            <v>2.0368449748912218</v>
          </cell>
        </row>
        <row r="80">
          <cell r="A80">
            <v>83</v>
          </cell>
          <cell r="V80">
            <v>16.325210803421058</v>
          </cell>
          <cell r="W80">
            <v>9.0728936715666677</v>
          </cell>
          <cell r="X80">
            <v>4.155311683672295</v>
          </cell>
          <cell r="Y80">
            <v>3.7612018528526576</v>
          </cell>
        </row>
        <row r="81">
          <cell r="A81">
            <v>84</v>
          </cell>
          <cell r="V81">
            <v>12.856002203220928</v>
          </cell>
          <cell r="W81">
            <v>8.4766757908919761</v>
          </cell>
          <cell r="X81">
            <v>3.3856468960879891</v>
          </cell>
          <cell r="Y81">
            <v>4.0237097641194932</v>
          </cell>
        </row>
        <row r="82">
          <cell r="A82">
            <v>85</v>
          </cell>
          <cell r="V82">
            <v>145.12091572471024</v>
          </cell>
          <cell r="W82">
            <v>111.16096706430413</v>
          </cell>
          <cell r="X82">
            <v>31.928172212225515</v>
          </cell>
          <cell r="Y82">
            <v>30.05524544005408</v>
          </cell>
        </row>
        <row r="83">
          <cell r="A83">
            <v>86</v>
          </cell>
          <cell r="V83">
            <v>122.37614106797635</v>
          </cell>
          <cell r="W83">
            <v>144.09416203207002</v>
          </cell>
          <cell r="X83">
            <v>29.881741048521548</v>
          </cell>
          <cell r="Y83">
            <v>15.412404907406705</v>
          </cell>
        </row>
        <row r="84">
          <cell r="A84">
            <v>87</v>
          </cell>
          <cell r="V84">
            <v>160.5792913259323</v>
          </cell>
          <cell r="W84">
            <v>160.64579710458224</v>
          </cell>
          <cell r="X84">
            <v>40.476309599115716</v>
          </cell>
          <cell r="Y84">
            <v>38.296187315401554</v>
          </cell>
        </row>
        <row r="85">
          <cell r="A85">
            <v>88</v>
          </cell>
          <cell r="V85">
            <v>12.494604354634758</v>
          </cell>
          <cell r="W85">
            <v>13.701771349425293</v>
          </cell>
          <cell r="X85">
            <v>3.6737222254372597</v>
          </cell>
          <cell r="Y85">
            <v>2.8212017575719499</v>
          </cell>
        </row>
        <row r="86">
          <cell r="A86">
            <v>89</v>
          </cell>
          <cell r="V86">
            <v>113.89370013984752</v>
          </cell>
          <cell r="W86">
            <v>95.893149372710099</v>
          </cell>
          <cell r="X86">
            <v>34.227065082221117</v>
          </cell>
          <cell r="Y86">
            <v>22.516548488664874</v>
          </cell>
        </row>
        <row r="87">
          <cell r="A87">
            <v>90</v>
          </cell>
          <cell r="V87">
            <v>20.998415552874256</v>
          </cell>
          <cell r="W87">
            <v>20.704629979449251</v>
          </cell>
          <cell r="X87">
            <v>6.7777303163846625</v>
          </cell>
          <cell r="Y87">
            <v>10.221175788330248</v>
          </cell>
        </row>
        <row r="88">
          <cell r="A88">
            <v>91</v>
          </cell>
          <cell r="V88">
            <v>40.749044497013919</v>
          </cell>
          <cell r="W88">
            <v>46.332641662515613</v>
          </cell>
          <cell r="X88">
            <v>10.484309068663363</v>
          </cell>
          <cell r="Y88">
            <v>13.920935643325519</v>
          </cell>
        </row>
        <row r="89">
          <cell r="A89">
            <v>92</v>
          </cell>
          <cell r="V89">
            <v>19.683906784060532</v>
          </cell>
          <cell r="W89">
            <v>21.642941175424973</v>
          </cell>
          <cell r="X89">
            <v>5.3429509625096188</v>
          </cell>
          <cell r="Y89">
            <v>4.4476243382502822</v>
          </cell>
        </row>
        <row r="90">
          <cell r="A90">
            <v>93</v>
          </cell>
          <cell r="V90">
            <v>82.881966432890124</v>
          </cell>
          <cell r="W90">
            <v>67.121662384101526</v>
          </cell>
          <cell r="X90">
            <v>15.584365665295136</v>
          </cell>
          <cell r="Y90">
            <v>9.2666439281529769</v>
          </cell>
        </row>
        <row r="91">
          <cell r="A91">
            <v>94</v>
          </cell>
          <cell r="V91">
            <v>94.684747159676533</v>
          </cell>
          <cell r="W91">
            <v>80.567599022844732</v>
          </cell>
          <cell r="X91">
            <v>25.025082489209591</v>
          </cell>
          <cell r="Y91">
            <v>15.636539001731871</v>
          </cell>
        </row>
        <row r="92">
          <cell r="A92">
            <v>95</v>
          </cell>
          <cell r="V92">
            <v>174.62455574449223</v>
          </cell>
          <cell r="W92">
            <v>189.61024829061296</v>
          </cell>
          <cell r="X92">
            <v>35.436277192731758</v>
          </cell>
          <cell r="Y92">
            <v>30.700110048149547</v>
          </cell>
        </row>
        <row r="93">
          <cell r="A93">
            <v>96</v>
          </cell>
          <cell r="V93">
            <v>224.22088732647381</v>
          </cell>
          <cell r="W93">
            <v>263.29480852693632</v>
          </cell>
          <cell r="X93">
            <v>64.782432480247891</v>
          </cell>
          <cell r="Y93">
            <v>92.475379183675244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8895-80BB-4C08-92D2-F99FC5D4FE71}">
  <dimension ref="A1:W92"/>
  <sheetViews>
    <sheetView tabSelected="1" zoomScale="85" zoomScaleNormal="85" workbookViewId="0"/>
  </sheetViews>
  <sheetFormatPr defaultRowHeight="15" x14ac:dyDescent="0.25"/>
  <cols>
    <col min="1" max="1" width="12.28515625" bestFit="1" customWidth="1"/>
    <col min="2" max="2" width="35" bestFit="1" customWidth="1"/>
    <col min="3" max="23" width="12" bestFit="1" customWidth="1"/>
  </cols>
  <sheetData>
    <row r="1" spans="1:23" x14ac:dyDescent="0.25">
      <c r="B1" s="3" t="s">
        <v>24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</row>
    <row r="2" spans="1:23" x14ac:dyDescent="0.25">
      <c r="A2" s="1" t="s">
        <v>0</v>
      </c>
      <c r="B2" s="1" t="s">
        <v>1</v>
      </c>
      <c r="C2" s="1">
        <v>345391</v>
      </c>
      <c r="D2" s="1">
        <v>348028</v>
      </c>
      <c r="E2" s="1">
        <v>348030</v>
      </c>
      <c r="F2" s="1">
        <v>348035</v>
      </c>
      <c r="G2" s="1">
        <v>348465</v>
      </c>
      <c r="H2" s="1">
        <v>349038</v>
      </c>
      <c r="I2" s="1">
        <v>349438</v>
      </c>
      <c r="J2" s="1">
        <v>354044</v>
      </c>
      <c r="K2" s="1">
        <v>354519</v>
      </c>
      <c r="L2" s="1">
        <v>354522</v>
      </c>
      <c r="M2" s="1">
        <v>348034</v>
      </c>
      <c r="N2" s="1">
        <v>349022</v>
      </c>
      <c r="O2" s="1">
        <v>349440</v>
      </c>
      <c r="P2" s="1">
        <v>350322</v>
      </c>
      <c r="Q2" s="1">
        <v>350324</v>
      </c>
      <c r="R2" s="1">
        <v>354043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x14ac:dyDescent="0.25">
      <c r="A3">
        <v>1</v>
      </c>
      <c r="B3" t="s">
        <v>25</v>
      </c>
      <c r="C3">
        <v>27.884384744543055</v>
      </c>
      <c r="D3">
        <v>11.980973378236701</v>
      </c>
      <c r="E3">
        <v>10.513555351455635</v>
      </c>
      <c r="F3">
        <v>15.231100041991862</v>
      </c>
      <c r="G3">
        <v>18.399798738646517</v>
      </c>
      <c r="H3">
        <v>42.743847356453855</v>
      </c>
      <c r="I3">
        <v>22.382315578689642</v>
      </c>
      <c r="J3">
        <v>43.132854770680389</v>
      </c>
      <c r="K3">
        <v>39.446304170813356</v>
      </c>
      <c r="L3">
        <v>8.7772306401510232</v>
      </c>
      <c r="M3">
        <v>3.4323764630504674</v>
      </c>
      <c r="N3">
        <v>58.884698436707033</v>
      </c>
      <c r="O3">
        <v>21.074702254397973</v>
      </c>
      <c r="P3">
        <v>12.302714606605367</v>
      </c>
      <c r="Q3">
        <v>17.670564510671699</v>
      </c>
      <c r="R3">
        <v>29.518785027706514</v>
      </c>
      <c r="S3">
        <f>IFERROR(_xlfn.T.TEST(C3:L3,M3:R3,2,2),"")</f>
        <v>0.97740588344186219</v>
      </c>
      <c r="T3">
        <f>IFERROR(AVERAGE(C3:L3),"")</f>
        <v>24.049236477166204</v>
      </c>
      <c r="U3">
        <f>IFERROR(AVERAGE(M3:R3),"")</f>
        <v>23.813973549856509</v>
      </c>
      <c r="V3">
        <f>IFERROR(STDEV(C3:L3)/SQRT(COUNT(C3:L3)),"")</f>
        <v>4.2687457449808761</v>
      </c>
      <c r="W3">
        <f>IFERROR(STDEV(K3:R3)/SQRT(COUNT(M3:R3)),"")</f>
        <v>7.4419872851412441</v>
      </c>
    </row>
    <row r="4" spans="1:23" x14ac:dyDescent="0.25">
      <c r="A4">
        <v>3</v>
      </c>
      <c r="B4" t="s">
        <v>26</v>
      </c>
      <c r="C4">
        <v>1035.6725233869033</v>
      </c>
      <c r="D4">
        <v>1023.3045776487761</v>
      </c>
      <c r="E4">
        <v>839.73438408263121</v>
      </c>
      <c r="F4">
        <v>856.63399024051205</v>
      </c>
      <c r="G4">
        <v>813.48624569500237</v>
      </c>
      <c r="H4">
        <v>583.21812227257431</v>
      </c>
      <c r="I4">
        <v>994.34718388609974</v>
      </c>
      <c r="J4">
        <v>693.93372493660399</v>
      </c>
      <c r="K4">
        <v>726.91318452650216</v>
      </c>
      <c r="L4">
        <v>551.34242935765155</v>
      </c>
      <c r="M4">
        <v>994.51201141074489</v>
      </c>
      <c r="N4">
        <v>854.10592445908344</v>
      </c>
      <c r="O4">
        <v>963.51330129940345</v>
      </c>
      <c r="P4">
        <v>1046.6615627838914</v>
      </c>
      <c r="Q4">
        <v>803.34666450119778</v>
      </c>
      <c r="R4">
        <v>638.4199177784285</v>
      </c>
      <c r="S4">
        <f t="shared" ref="S4:S66" si="0">IFERROR(_xlfn.T.TEST(C4:L4,M4:R4,2,2),"")</f>
        <v>0.41725563925627407</v>
      </c>
      <c r="T4">
        <f t="shared" ref="T4:T66" si="1">IFERROR(AVERAGE(C4:L4),"")</f>
        <v>811.85863660332564</v>
      </c>
      <c r="U4">
        <f t="shared" ref="U4:U66" si="2">IFERROR(AVERAGE(M4:R4),"")</f>
        <v>883.42656370545819</v>
      </c>
      <c r="V4">
        <f t="shared" ref="V4:V66" si="3">IFERROR(STDEV(C4:L4)/SQRT(COUNT(C4:L4)),"")</f>
        <v>54.990488485091547</v>
      </c>
      <c r="W4">
        <f t="shared" ref="W4:W66" si="4">IFERROR(STDEV(K4:R4)/SQRT(COUNT(M4:R4)),"")</f>
        <v>71.984727665092606</v>
      </c>
    </row>
    <row r="5" spans="1:23" x14ac:dyDescent="0.25">
      <c r="A5">
        <v>4</v>
      </c>
      <c r="B5" t="s">
        <v>27</v>
      </c>
      <c r="C5">
        <v>416.14445910290237</v>
      </c>
      <c r="D5">
        <v>319.98031263800539</v>
      </c>
      <c r="E5">
        <v>247.54071641870394</v>
      </c>
      <c r="F5">
        <v>275.09194769841156</v>
      </c>
      <c r="G5">
        <v>333.02681460532818</v>
      </c>
      <c r="H5">
        <v>385.39381673190888</v>
      </c>
      <c r="I5">
        <v>401.10476375978476</v>
      </c>
      <c r="J5">
        <v>417.59811893125777</v>
      </c>
      <c r="K5">
        <v>442.91788913158678</v>
      </c>
      <c r="L5">
        <v>299.03762597760618</v>
      </c>
      <c r="M5">
        <v>298.68667106519354</v>
      </c>
      <c r="N5">
        <v>435.89271557886286</v>
      </c>
      <c r="O5">
        <v>350.99884336526929</v>
      </c>
      <c r="P5">
        <v>343.66063845677058</v>
      </c>
      <c r="Q5">
        <v>375.74268815894538</v>
      </c>
      <c r="R5">
        <v>280.9835676586444</v>
      </c>
      <c r="S5">
        <f t="shared" si="0"/>
        <v>0.85479803230509821</v>
      </c>
      <c r="T5">
        <f t="shared" si="1"/>
        <v>353.7836464995496</v>
      </c>
      <c r="U5">
        <f t="shared" si="2"/>
        <v>347.66085404728096</v>
      </c>
      <c r="V5">
        <f t="shared" si="3"/>
        <v>21.394481094315339</v>
      </c>
      <c r="W5">
        <f t="shared" si="4"/>
        <v>25.171416073055017</v>
      </c>
    </row>
    <row r="6" spans="1:23" x14ac:dyDescent="0.25">
      <c r="A6">
        <v>5</v>
      </c>
      <c r="B6" t="s">
        <v>28</v>
      </c>
      <c r="C6">
        <v>274.54875269848884</v>
      </c>
      <c r="D6">
        <v>185.76239646436554</v>
      </c>
      <c r="E6">
        <v>257.92136588081979</v>
      </c>
      <c r="F6">
        <v>327.41887606608651</v>
      </c>
      <c r="G6">
        <v>228.69188795294647</v>
      </c>
      <c r="H6">
        <v>125.3695221918411</v>
      </c>
      <c r="I6">
        <v>102.31793652136102</v>
      </c>
      <c r="J6">
        <v>113.64075191260582</v>
      </c>
      <c r="K6">
        <v>203.21567512375438</v>
      </c>
      <c r="L6">
        <v>239.319995605142</v>
      </c>
      <c r="M6">
        <v>291.45325548195012</v>
      </c>
      <c r="N6">
        <v>153.92448561923052</v>
      </c>
      <c r="O6">
        <v>193.70225654918423</v>
      </c>
      <c r="P6">
        <v>175.26858521668291</v>
      </c>
      <c r="Q6">
        <v>193.68258286302054</v>
      </c>
      <c r="R6">
        <v>328.3529454022206</v>
      </c>
      <c r="S6">
        <f t="shared" si="0"/>
        <v>0.66040572296459243</v>
      </c>
      <c r="T6">
        <f t="shared" si="1"/>
        <v>205.82071604174112</v>
      </c>
      <c r="U6">
        <f t="shared" si="2"/>
        <v>222.73068518871483</v>
      </c>
      <c r="V6">
        <f t="shared" si="3"/>
        <v>23.561011500435914</v>
      </c>
      <c r="W6">
        <f t="shared" si="4"/>
        <v>24.4984014757413</v>
      </c>
    </row>
    <row r="7" spans="1:23" x14ac:dyDescent="0.25">
      <c r="A7">
        <v>6</v>
      </c>
      <c r="B7" t="s">
        <v>29</v>
      </c>
      <c r="C7">
        <v>414.57034060925878</v>
      </c>
      <c r="D7">
        <v>378.96149165478346</v>
      </c>
      <c r="E7">
        <v>366.05079942892439</v>
      </c>
      <c r="F7">
        <v>311.19227928932395</v>
      </c>
      <c r="G7">
        <v>277.64524216425355</v>
      </c>
      <c r="H7">
        <v>146.55033379355606</v>
      </c>
      <c r="I7">
        <v>265.64904016600502</v>
      </c>
      <c r="J7">
        <v>185.6718684968184</v>
      </c>
      <c r="K7">
        <v>344.13410709438938</v>
      </c>
      <c r="L7">
        <v>300.89794939920296</v>
      </c>
      <c r="M7">
        <v>291.52953051446241</v>
      </c>
      <c r="N7">
        <v>225.36395569840687</v>
      </c>
      <c r="O7">
        <v>274.63800488038191</v>
      </c>
      <c r="P7">
        <v>312.35906897673885</v>
      </c>
      <c r="Q7">
        <v>295.88256391516774</v>
      </c>
      <c r="R7">
        <v>344.66882252483572</v>
      </c>
      <c r="S7">
        <f t="shared" si="0"/>
        <v>0.82403064335724596</v>
      </c>
      <c r="T7">
        <f t="shared" si="1"/>
        <v>299.13234520965159</v>
      </c>
      <c r="U7">
        <f t="shared" si="2"/>
        <v>290.74032441833225</v>
      </c>
      <c r="V7">
        <f t="shared" si="3"/>
        <v>26.684951680600843</v>
      </c>
      <c r="W7">
        <f t="shared" si="4"/>
        <v>15.724789707071784</v>
      </c>
    </row>
    <row r="8" spans="1:23" x14ac:dyDescent="0.25">
      <c r="A8">
        <v>7</v>
      </c>
      <c r="B8" t="s">
        <v>30</v>
      </c>
      <c r="C8">
        <v>101.34324778124251</v>
      </c>
      <c r="D8">
        <v>63.909761762693122</v>
      </c>
      <c r="E8">
        <v>90.578861108449104</v>
      </c>
      <c r="F8">
        <v>68.236776183374118</v>
      </c>
      <c r="G8">
        <v>111.17954768245816</v>
      </c>
      <c r="H8">
        <v>14.49655019395545</v>
      </c>
      <c r="I8">
        <v>55.460302571318003</v>
      </c>
      <c r="J8">
        <v>34.411887118712428</v>
      </c>
      <c r="K8">
        <v>90.511948921430502</v>
      </c>
      <c r="L8">
        <v>42.94974879391112</v>
      </c>
      <c r="M8">
        <v>110.06487191515166</v>
      </c>
      <c r="N8">
        <v>56.305746005526089</v>
      </c>
      <c r="O8">
        <v>52.338976439214292</v>
      </c>
      <c r="P8">
        <v>65.561563000361502</v>
      </c>
      <c r="Q8">
        <v>62.062676790233738</v>
      </c>
      <c r="R8">
        <v>80.240591159385104</v>
      </c>
      <c r="S8">
        <f t="shared" si="0"/>
        <v>0.79796003951972061</v>
      </c>
      <c r="T8">
        <f t="shared" si="1"/>
        <v>67.307863211754452</v>
      </c>
      <c r="U8">
        <f t="shared" si="2"/>
        <v>71.095737551645399</v>
      </c>
      <c r="V8">
        <f t="shared" si="3"/>
        <v>9.8772316564051845</v>
      </c>
      <c r="W8">
        <f t="shared" si="4"/>
        <v>9.0562590997631478</v>
      </c>
    </row>
    <row r="9" spans="1:23" x14ac:dyDescent="0.25">
      <c r="A9">
        <v>8</v>
      </c>
      <c r="B9" t="s">
        <v>31</v>
      </c>
      <c r="C9">
        <v>409.1658671144159</v>
      </c>
      <c r="D9">
        <v>423.55471502206399</v>
      </c>
      <c r="E9">
        <v>374.01815774250252</v>
      </c>
      <c r="F9">
        <v>493.67588074311118</v>
      </c>
      <c r="G9">
        <v>446.29705134767028</v>
      </c>
      <c r="H9">
        <v>503.65956320169596</v>
      </c>
      <c r="I9">
        <v>423.99110858242204</v>
      </c>
      <c r="J9">
        <v>492.11787573103805</v>
      </c>
      <c r="K9">
        <v>330.69237828126819</v>
      </c>
      <c r="L9">
        <v>560.54416332890514</v>
      </c>
      <c r="M9">
        <v>421.1398795108737</v>
      </c>
      <c r="N9">
        <v>434.6156780405932</v>
      </c>
      <c r="O9">
        <v>510.26737408062598</v>
      </c>
      <c r="P9">
        <v>518.05612779814601</v>
      </c>
      <c r="Q9">
        <v>389.69135301203187</v>
      </c>
      <c r="R9">
        <v>376.3318555799973</v>
      </c>
      <c r="S9">
        <f t="shared" si="0"/>
        <v>0.90519373868827546</v>
      </c>
      <c r="T9">
        <f t="shared" si="1"/>
        <v>445.77167610950926</v>
      </c>
      <c r="U9">
        <f t="shared" si="2"/>
        <v>441.68371133704471</v>
      </c>
      <c r="V9">
        <f t="shared" si="3"/>
        <v>21.516550290218621</v>
      </c>
      <c r="W9">
        <f t="shared" si="4"/>
        <v>32.521671883971244</v>
      </c>
    </row>
    <row r="10" spans="1:23" x14ac:dyDescent="0.25">
      <c r="A10">
        <v>9</v>
      </c>
      <c r="B10" t="s">
        <v>32</v>
      </c>
      <c r="C10">
        <v>227.50509714559848</v>
      </c>
      <c r="D10">
        <v>163.83660837993912</v>
      </c>
      <c r="E10">
        <v>193.91668759351504</v>
      </c>
      <c r="F10">
        <v>200.70119170009121</v>
      </c>
      <c r="G10">
        <v>208.54840248800673</v>
      </c>
      <c r="H10">
        <v>47.805986748941194</v>
      </c>
      <c r="I10">
        <v>105.76071254357932</v>
      </c>
      <c r="J10">
        <v>106.17483126590263</v>
      </c>
      <c r="K10">
        <v>97.038942239340315</v>
      </c>
      <c r="L10">
        <v>161.11149954553176</v>
      </c>
      <c r="M10">
        <v>227.04534677807905</v>
      </c>
      <c r="N10">
        <v>131.02902689739585</v>
      </c>
      <c r="O10">
        <v>130.30605286387205</v>
      </c>
      <c r="P10">
        <v>158.43443086054785</v>
      </c>
      <c r="Q10">
        <v>117.45976964824665</v>
      </c>
      <c r="R10">
        <v>147.23473638266447</v>
      </c>
      <c r="S10">
        <f t="shared" si="0"/>
        <v>0.98053818692941963</v>
      </c>
      <c r="T10">
        <f t="shared" si="1"/>
        <v>151.23999596504459</v>
      </c>
      <c r="U10">
        <f t="shared" si="2"/>
        <v>151.91822723846767</v>
      </c>
      <c r="V10">
        <f t="shared" si="3"/>
        <v>18.666676491910621</v>
      </c>
      <c r="W10">
        <f t="shared" si="4"/>
        <v>15.912454590822229</v>
      </c>
    </row>
    <row r="11" spans="1:23" x14ac:dyDescent="0.25">
      <c r="A11">
        <v>10</v>
      </c>
      <c r="B11" t="s">
        <v>33</v>
      </c>
      <c r="C11">
        <v>53.999760134324781</v>
      </c>
      <c r="D11">
        <v>45.631529445079337</v>
      </c>
      <c r="E11">
        <v>46.174303975355052</v>
      </c>
      <c r="F11">
        <v>15.783148231273803</v>
      </c>
      <c r="G11">
        <v>34.014903750227717</v>
      </c>
      <c r="H11">
        <v>17.060248781310918</v>
      </c>
      <c r="I11">
        <v>57.279933570654222</v>
      </c>
      <c r="J11">
        <v>27.889933450328027</v>
      </c>
      <c r="K11">
        <v>57.579713329283585</v>
      </c>
      <c r="L11">
        <v>31.837749832695746</v>
      </c>
      <c r="M11">
        <v>28.113705733467071</v>
      </c>
      <c r="N11">
        <v>29.288938864730213</v>
      </c>
      <c r="O11">
        <v>23.182889550346598</v>
      </c>
      <c r="P11">
        <v>32.001489313955894</v>
      </c>
      <c r="Q11">
        <v>45.703236022575012</v>
      </c>
      <c r="R11">
        <v>33.404554295734258</v>
      </c>
      <c r="S11">
        <f t="shared" si="0"/>
        <v>0.3436311091924138</v>
      </c>
      <c r="T11">
        <f t="shared" si="1"/>
        <v>38.72512245005332</v>
      </c>
      <c r="U11">
        <f t="shared" si="2"/>
        <v>31.949135630134844</v>
      </c>
      <c r="V11">
        <f t="shared" si="3"/>
        <v>4.9654408407578314</v>
      </c>
      <c r="W11">
        <f t="shared" si="4"/>
        <v>4.539419349362686</v>
      </c>
    </row>
    <row r="12" spans="1:23" x14ac:dyDescent="0.25">
      <c r="A12">
        <v>11</v>
      </c>
      <c r="B12" t="s">
        <v>34</v>
      </c>
      <c r="C12">
        <v>356.6277884384744</v>
      </c>
      <c r="D12">
        <v>297.21848589353317</v>
      </c>
      <c r="E12">
        <v>402.7118397462757</v>
      </c>
      <c r="F12">
        <v>389.17587350313488</v>
      </c>
      <c r="G12">
        <v>425.93668942423642</v>
      </c>
      <c r="H12">
        <v>311.70845806115398</v>
      </c>
      <c r="I12">
        <v>270.88581858193504</v>
      </c>
      <c r="J12">
        <v>232.2266035639044</v>
      </c>
      <c r="K12">
        <v>486.35793772860632</v>
      </c>
      <c r="L12">
        <v>433.70506507386358</v>
      </c>
      <c r="M12">
        <v>434.67869778179494</v>
      </c>
      <c r="N12">
        <v>247.9028390037117</v>
      </c>
      <c r="O12">
        <v>364.22879425311015</v>
      </c>
      <c r="P12">
        <v>320.95293003038518</v>
      </c>
      <c r="Q12">
        <v>312.41118193998943</v>
      </c>
      <c r="R12">
        <v>500.08870873819166</v>
      </c>
      <c r="S12">
        <f t="shared" si="0"/>
        <v>0.95127127715195914</v>
      </c>
      <c r="T12">
        <f t="shared" si="1"/>
        <v>360.65545600151182</v>
      </c>
      <c r="U12">
        <f t="shared" si="2"/>
        <v>363.37719195786389</v>
      </c>
      <c r="V12">
        <f t="shared" si="3"/>
        <v>25.597306758080585</v>
      </c>
      <c r="W12">
        <f t="shared" si="4"/>
        <v>36.808899333934875</v>
      </c>
    </row>
    <row r="13" spans="1:23" x14ac:dyDescent="0.25">
      <c r="A13">
        <v>12</v>
      </c>
      <c r="B13" t="s">
        <v>35</v>
      </c>
      <c r="C13">
        <v>91.186435596066204</v>
      </c>
      <c r="D13">
        <v>93.393609023823728</v>
      </c>
      <c r="E13">
        <v>70.747903409595665</v>
      </c>
      <c r="F13">
        <v>93.775792415400872</v>
      </c>
      <c r="G13">
        <v>102.44376393431246</v>
      </c>
      <c r="H13">
        <v>163.52667971200808</v>
      </c>
      <c r="I13">
        <v>158.40186849620741</v>
      </c>
      <c r="J13">
        <v>73.843962258483899</v>
      </c>
      <c r="K13">
        <v>133.56425534114848</v>
      </c>
      <c r="L13">
        <v>81.254931729876049</v>
      </c>
      <c r="M13">
        <v>111.80012890480495</v>
      </c>
      <c r="N13">
        <v>91.357938695564201</v>
      </c>
      <c r="O13">
        <v>135.84183719200925</v>
      </c>
      <c r="P13">
        <v>138.23777503422031</v>
      </c>
      <c r="Q13">
        <v>86.449578410275151</v>
      </c>
      <c r="R13">
        <v>84.485549183280966</v>
      </c>
      <c r="S13">
        <f t="shared" si="0"/>
        <v>0.91064360642755005</v>
      </c>
      <c r="T13">
        <f t="shared" si="1"/>
        <v>106.2139201916923</v>
      </c>
      <c r="U13">
        <f t="shared" si="2"/>
        <v>108.02880123669247</v>
      </c>
      <c r="V13">
        <f t="shared" si="3"/>
        <v>10.668794363509004</v>
      </c>
      <c r="W13">
        <f t="shared" si="4"/>
        <v>10.196805064332386</v>
      </c>
    </row>
    <row r="14" spans="1:23" x14ac:dyDescent="0.25">
      <c r="A14">
        <v>13</v>
      </c>
      <c r="B14" t="s">
        <v>36</v>
      </c>
      <c r="C14">
        <v>55.963660350203888</v>
      </c>
      <c r="D14">
        <v>31.90431402690831</v>
      </c>
      <c r="E14">
        <v>66.236098218851239</v>
      </c>
      <c r="F14">
        <v>69.006023660242391</v>
      </c>
      <c r="G14">
        <v>90.90593634242191</v>
      </c>
      <c r="H14">
        <v>127.28064295696062</v>
      </c>
      <c r="I14">
        <v>55.041702012785258</v>
      </c>
      <c r="J14">
        <v>49.933707773568067</v>
      </c>
      <c r="K14">
        <v>97.620555505292685</v>
      </c>
      <c r="L14">
        <v>88.746166984627976</v>
      </c>
      <c r="M14">
        <v>103.17469397821331</v>
      </c>
      <c r="N14">
        <v>53.021935192832665</v>
      </c>
      <c r="O14">
        <v>43.562033411183293</v>
      </c>
      <c r="P14">
        <v>92.425496419946128</v>
      </c>
      <c r="Q14">
        <v>56.555957069579222</v>
      </c>
      <c r="R14">
        <v>83.8433632258198</v>
      </c>
      <c r="S14">
        <f t="shared" si="0"/>
        <v>0.93367392818611905</v>
      </c>
      <c r="T14">
        <f t="shared" si="1"/>
        <v>73.263880783186238</v>
      </c>
      <c r="U14">
        <f t="shared" si="2"/>
        <v>72.097246549595738</v>
      </c>
      <c r="V14">
        <f t="shared" si="3"/>
        <v>8.8291038590070912</v>
      </c>
      <c r="W14">
        <f t="shared" si="4"/>
        <v>9.3133136200435036</v>
      </c>
    </row>
    <row r="15" spans="1:23" x14ac:dyDescent="0.25">
      <c r="A15">
        <v>14</v>
      </c>
      <c r="B15" t="s">
        <v>37</v>
      </c>
      <c r="C15">
        <v>126.58161429599424</v>
      </c>
      <c r="D15">
        <v>182.50589103854205</v>
      </c>
      <c r="E15">
        <v>126.77822833651491</v>
      </c>
      <c r="F15">
        <v>143.35152980698223</v>
      </c>
      <c r="G15">
        <v>79.767161434160641</v>
      </c>
      <c r="H15">
        <v>214.62352319308192</v>
      </c>
      <c r="I15">
        <v>195.60606099437283</v>
      </c>
      <c r="J15">
        <v>152.32194422871461</v>
      </c>
      <c r="K15">
        <v>283.80142430626461</v>
      </c>
      <c r="L15">
        <v>229.83109761578953</v>
      </c>
      <c r="M15">
        <v>142.29107315156995</v>
      </c>
      <c r="N15">
        <v>99.749899661336286</v>
      </c>
      <c r="O15">
        <v>138.73163134257828</v>
      </c>
      <c r="P15">
        <v>173.10388469939164</v>
      </c>
      <c r="Q15">
        <v>203.18188585272105</v>
      </c>
      <c r="R15">
        <v>224.76508511140838</v>
      </c>
      <c r="S15">
        <f t="shared" si="0"/>
        <v>0.73410435360017079</v>
      </c>
      <c r="T15">
        <f t="shared" si="1"/>
        <v>173.51684752504175</v>
      </c>
      <c r="U15">
        <f t="shared" si="2"/>
        <v>163.63724330316759</v>
      </c>
      <c r="V15">
        <f t="shared" si="3"/>
        <v>18.893875045568937</v>
      </c>
      <c r="W15">
        <f t="shared" si="4"/>
        <v>24.410888642734676</v>
      </c>
    </row>
    <row r="16" spans="1:23" x14ac:dyDescent="0.25">
      <c r="A16">
        <v>15</v>
      </c>
      <c r="B16" t="s">
        <v>38</v>
      </c>
      <c r="C16">
        <v>68.729011753418092</v>
      </c>
      <c r="D16">
        <v>65.1840464945371</v>
      </c>
      <c r="E16">
        <v>51.65142562551457</v>
      </c>
      <c r="F16">
        <v>101.85741590767583</v>
      </c>
      <c r="G16">
        <v>33.338249199725865</v>
      </c>
      <c r="H16">
        <v>122.10663308066142</v>
      </c>
      <c r="I16">
        <v>91.31472183992885</v>
      </c>
      <c r="J16">
        <v>106.03538159865097</v>
      </c>
      <c r="K16">
        <v>143.58092825477246</v>
      </c>
      <c r="L16">
        <v>124.81646473625858</v>
      </c>
      <c r="M16">
        <v>59.736062962496838</v>
      </c>
      <c r="N16">
        <v>66.513753860136191</v>
      </c>
      <c r="O16">
        <v>77.479468478656031</v>
      </c>
      <c r="P16">
        <v>61.975375810048973</v>
      </c>
      <c r="Q16">
        <v>131.53531744420533</v>
      </c>
      <c r="R16">
        <v>196.42182692108841</v>
      </c>
      <c r="S16">
        <f t="shared" si="0"/>
        <v>0.72309094502013971</v>
      </c>
      <c r="T16">
        <f t="shared" si="1"/>
        <v>90.861427849114364</v>
      </c>
      <c r="U16">
        <f t="shared" si="2"/>
        <v>98.943634246105304</v>
      </c>
      <c r="V16">
        <f t="shared" si="3"/>
        <v>11.183038404444794</v>
      </c>
      <c r="W16">
        <f t="shared" si="4"/>
        <v>20.13108284850702</v>
      </c>
    </row>
    <row r="17" spans="1:23" x14ac:dyDescent="0.25">
      <c r="A17">
        <v>16</v>
      </c>
      <c r="B17" t="s">
        <v>39</v>
      </c>
      <c r="C17">
        <v>46.833773087071236</v>
      </c>
      <c r="D17">
        <v>68.137150793731053</v>
      </c>
      <c r="E17">
        <v>80.512988752664242</v>
      </c>
      <c r="F17">
        <v>72.978960629009137</v>
      </c>
      <c r="G17">
        <v>62.434394871305514</v>
      </c>
      <c r="H17">
        <v>146.08420677767324</v>
      </c>
      <c r="I17">
        <v>102.25813644157063</v>
      </c>
      <c r="J17">
        <v>67.354189282542194</v>
      </c>
      <c r="K17">
        <v>117.25323441599565</v>
      </c>
      <c r="L17">
        <v>113.41730175694438</v>
      </c>
      <c r="M17">
        <v>70.020479846229534</v>
      </c>
      <c r="N17">
        <v>65.725970963151667</v>
      </c>
      <c r="O17">
        <v>78.132002641687748</v>
      </c>
      <c r="P17">
        <v>87.605429934777575</v>
      </c>
      <c r="Q17">
        <v>97.023156982960472</v>
      </c>
      <c r="R17">
        <v>145.88505742122064</v>
      </c>
      <c r="S17">
        <f t="shared" si="0"/>
        <v>0.85031511030935114</v>
      </c>
      <c r="T17">
        <f t="shared" si="1"/>
        <v>87.726433680850732</v>
      </c>
      <c r="U17">
        <f t="shared" si="2"/>
        <v>90.732016298337939</v>
      </c>
      <c r="V17">
        <f t="shared" si="3"/>
        <v>9.7347257809273913</v>
      </c>
      <c r="W17">
        <f t="shared" si="4"/>
        <v>11.147901271275874</v>
      </c>
    </row>
    <row r="18" spans="1:23" x14ac:dyDescent="0.25">
      <c r="A18">
        <v>17</v>
      </c>
      <c r="B18" t="s">
        <v>40</v>
      </c>
      <c r="C18">
        <v>21.408011513552413</v>
      </c>
      <c r="D18">
        <v>29.35574456322037</v>
      </c>
      <c r="E18">
        <v>9.555233938847902</v>
      </c>
      <c r="F18">
        <v>23.186023949841442</v>
      </c>
      <c r="G18">
        <v>8.2760056561380377</v>
      </c>
      <c r="H18">
        <v>43.256587073924948</v>
      </c>
      <c r="I18">
        <v>21.97225788869838</v>
      </c>
      <c r="J18">
        <v>22.730295762017345</v>
      </c>
      <c r="K18">
        <v>34.47027956210983</v>
      </c>
      <c r="L18">
        <v>27.043359269654506</v>
      </c>
      <c r="M18">
        <v>24.083841515737443</v>
      </c>
      <c r="N18">
        <v>16.510271030486368</v>
      </c>
      <c r="O18">
        <v>5.5501257383137235</v>
      </c>
      <c r="P18">
        <v>17.158859433728775</v>
      </c>
      <c r="Q18">
        <v>27.89732970617294</v>
      </c>
      <c r="R18">
        <v>30.933771035671796</v>
      </c>
      <c r="S18">
        <f t="shared" si="0"/>
        <v>0.47959706038483685</v>
      </c>
      <c r="T18">
        <f t="shared" si="1"/>
        <v>24.125379917800515</v>
      </c>
      <c r="U18">
        <f t="shared" si="2"/>
        <v>20.355699743351842</v>
      </c>
      <c r="V18">
        <f t="shared" si="3"/>
        <v>3.3119847138173615</v>
      </c>
      <c r="W18">
        <f t="shared" si="4"/>
        <v>3.8320001478304286</v>
      </c>
    </row>
    <row r="19" spans="1:23" x14ac:dyDescent="0.25">
      <c r="A19">
        <v>18</v>
      </c>
      <c r="B19" t="s">
        <v>41</v>
      </c>
      <c r="C19">
        <v>30.612856800191892</v>
      </c>
      <c r="D19">
        <v>40.413030067051643</v>
      </c>
      <c r="E19">
        <v>24.020990736459513</v>
      </c>
      <c r="F19">
        <v>5.8462808241988959</v>
      </c>
      <c r="G19">
        <v>16.525986137256773</v>
      </c>
      <c r="H19">
        <v>17.349247531158262</v>
      </c>
      <c r="I19">
        <v>36.691620385676345</v>
      </c>
      <c r="J19">
        <v>12.722100412341939</v>
      </c>
      <c r="K19">
        <v>61.418360884569161</v>
      </c>
      <c r="L19">
        <v>31.163538659768072</v>
      </c>
      <c r="M19">
        <v>15.394844062052281</v>
      </c>
      <c r="N19">
        <v>18.798987657515116</v>
      </c>
      <c r="O19">
        <v>20.400655976101472</v>
      </c>
      <c r="P19">
        <v>21.776887203950146</v>
      </c>
      <c r="Q19">
        <v>30.79871966651779</v>
      </c>
      <c r="R19">
        <v>32.076644349797604</v>
      </c>
      <c r="S19">
        <f t="shared" si="0"/>
        <v>0.53365367897281901</v>
      </c>
      <c r="T19">
        <f t="shared" si="1"/>
        <v>27.676401243867247</v>
      </c>
      <c r="U19">
        <f t="shared" si="2"/>
        <v>23.207789819322404</v>
      </c>
      <c r="V19">
        <f t="shared" si="3"/>
        <v>5.1069971462593555</v>
      </c>
      <c r="W19">
        <f t="shared" si="4"/>
        <v>5.9434066735941649</v>
      </c>
    </row>
    <row r="20" spans="1:23" x14ac:dyDescent="0.25">
      <c r="A20">
        <v>19</v>
      </c>
      <c r="B20" t="s">
        <v>42</v>
      </c>
      <c r="C20">
        <v>40.537299112497003</v>
      </c>
      <c r="D20">
        <v>31.20986255928964</v>
      </c>
      <c r="E20">
        <v>21.530754073040878</v>
      </c>
      <c r="F20">
        <v>22.226727096335122</v>
      </c>
      <c r="G20">
        <v>16.977089170924675</v>
      </c>
      <c r="H20">
        <v>25.236116639895439</v>
      </c>
      <c r="I20">
        <v>21.305914142462587</v>
      </c>
      <c r="J20">
        <v>21.453794961790788</v>
      </c>
      <c r="K20">
        <v>51.169042664564238</v>
      </c>
      <c r="L20">
        <v>29.228302885623819</v>
      </c>
      <c r="M20">
        <v>28.196337018688652</v>
      </c>
      <c r="N20">
        <v>34.944390819924436</v>
      </c>
      <c r="O20">
        <v>8.0598725192049407</v>
      </c>
      <c r="P20">
        <v>28.227694745478122</v>
      </c>
      <c r="Q20">
        <v>42.311232016457566</v>
      </c>
      <c r="R20">
        <v>34.993692427756805</v>
      </c>
      <c r="S20">
        <f t="shared" si="0"/>
        <v>0.81266524340103474</v>
      </c>
      <c r="T20">
        <f t="shared" si="1"/>
        <v>28.087490330642417</v>
      </c>
      <c r="U20">
        <f t="shared" si="2"/>
        <v>29.455536591251754</v>
      </c>
      <c r="V20">
        <f t="shared" si="3"/>
        <v>3.3295192015355495</v>
      </c>
      <c r="W20">
        <f t="shared" si="4"/>
        <v>5.1194207948630588</v>
      </c>
    </row>
    <row r="21" spans="1:23" x14ac:dyDescent="0.25">
      <c r="A21">
        <v>20</v>
      </c>
      <c r="B21" t="s">
        <v>43</v>
      </c>
      <c r="C21">
        <v>120.20268649556247</v>
      </c>
      <c r="D21">
        <v>156.99996965988734</v>
      </c>
      <c r="E21">
        <v>217.39206467900081</v>
      </c>
      <c r="F21">
        <v>438.40771202270457</v>
      </c>
      <c r="G21">
        <v>146.60848594206794</v>
      </c>
      <c r="H21">
        <v>85.273276285601611</v>
      </c>
      <c r="I21">
        <v>131.8848045434392</v>
      </c>
      <c r="J21">
        <v>222.77620688323555</v>
      </c>
      <c r="K21">
        <v>365.91229271949436</v>
      </c>
      <c r="L21">
        <v>264.15344047464464</v>
      </c>
      <c r="M21">
        <v>198.1688907194897</v>
      </c>
      <c r="N21">
        <v>258.30986569545473</v>
      </c>
      <c r="O21">
        <v>78.167856167129059</v>
      </c>
      <c r="P21">
        <v>131.99622187603049</v>
      </c>
      <c r="Q21">
        <v>238.94595801697184</v>
      </c>
      <c r="R21">
        <v>283.13870019385308</v>
      </c>
      <c r="S21">
        <f t="shared" si="0"/>
        <v>0.75516800713571985</v>
      </c>
      <c r="T21">
        <f t="shared" si="1"/>
        <v>214.96109397056389</v>
      </c>
      <c r="U21">
        <f t="shared" si="2"/>
        <v>198.12124877815481</v>
      </c>
      <c r="V21">
        <f t="shared" si="3"/>
        <v>35.890706743513469</v>
      </c>
      <c r="W21">
        <f t="shared" si="4"/>
        <v>36.826023719057531</v>
      </c>
    </row>
    <row r="22" spans="1:23" x14ac:dyDescent="0.25">
      <c r="A22">
        <v>21</v>
      </c>
      <c r="B22" t="s">
        <v>44</v>
      </c>
      <c r="C22">
        <v>13.020208683137444</v>
      </c>
      <c r="D22">
        <v>8.3131908696487624</v>
      </c>
      <c r="E22">
        <v>8.6318877602769479</v>
      </c>
      <c r="F22">
        <v>13.520655652249459</v>
      </c>
      <c r="G22">
        <v>7.0788476052501448</v>
      </c>
      <c r="H22">
        <v>12.063367171047172</v>
      </c>
      <c r="I22">
        <v>9.0298120483492195</v>
      </c>
      <c r="J22">
        <v>13.000999746845221</v>
      </c>
      <c r="K22" t="s">
        <v>115</v>
      </c>
      <c r="L22">
        <v>5.6558826173377152</v>
      </c>
      <c r="M22">
        <v>8.4919536196952308</v>
      </c>
      <c r="N22">
        <v>11.153347330991545</v>
      </c>
      <c r="O22">
        <v>7.1133394475545382</v>
      </c>
      <c r="P22">
        <v>6.4724545467008889</v>
      </c>
      <c r="Q22">
        <v>10.717379241273838</v>
      </c>
      <c r="R22">
        <v>11.200158478432893</v>
      </c>
      <c r="S22">
        <f t="shared" si="0"/>
        <v>0.55400762221450539</v>
      </c>
      <c r="T22">
        <f t="shared" si="1"/>
        <v>10.034983572682453</v>
      </c>
      <c r="U22">
        <f t="shared" si="2"/>
        <v>9.1914387774414887</v>
      </c>
      <c r="V22">
        <f t="shared" si="3"/>
        <v>0.97062375114939192</v>
      </c>
      <c r="W22">
        <f t="shared" si="4"/>
        <v>0.95927644118366473</v>
      </c>
    </row>
    <row r="23" spans="1:23" x14ac:dyDescent="0.25">
      <c r="A23">
        <v>22</v>
      </c>
      <c r="B23" t="s">
        <v>45</v>
      </c>
      <c r="C23">
        <v>24.173962580954665</v>
      </c>
      <c r="D23">
        <v>28.506221408657719</v>
      </c>
      <c r="E23">
        <v>31.869433254312622</v>
      </c>
      <c r="F23">
        <v>13.511605681933363</v>
      </c>
      <c r="G23">
        <v>23.032279892082276</v>
      </c>
      <c r="H23">
        <v>12.650687211059516</v>
      </c>
      <c r="I23">
        <v>19.127482664384011</v>
      </c>
      <c r="J23">
        <v>27.342861678802365</v>
      </c>
      <c r="K23">
        <v>55.330808700934462</v>
      </c>
      <c r="L23">
        <v>34.784302366231508</v>
      </c>
      <c r="M23">
        <v>22.774453457610786</v>
      </c>
      <c r="N23">
        <v>27.671910813025121</v>
      </c>
      <c r="O23">
        <v>15.244919017642086</v>
      </c>
      <c r="P23">
        <v>20.340969194146936</v>
      </c>
      <c r="Q23">
        <v>38.115636038816035</v>
      </c>
      <c r="R23">
        <v>42.721692932797964</v>
      </c>
      <c r="S23">
        <f t="shared" si="0"/>
        <v>0.89965513010577403</v>
      </c>
      <c r="T23">
        <f t="shared" si="1"/>
        <v>27.032964543935247</v>
      </c>
      <c r="U23">
        <f t="shared" si="2"/>
        <v>27.811596909006493</v>
      </c>
      <c r="V23">
        <f t="shared" si="3"/>
        <v>3.8913896889156097</v>
      </c>
      <c r="W23">
        <f t="shared" si="4"/>
        <v>5.4002254769149873</v>
      </c>
    </row>
    <row r="24" spans="1:23" x14ac:dyDescent="0.25">
      <c r="A24">
        <v>23</v>
      </c>
      <c r="B24" t="s">
        <v>46</v>
      </c>
      <c r="C24">
        <v>61.57801631086592</v>
      </c>
      <c r="D24">
        <v>48.638571722340778</v>
      </c>
      <c r="E24">
        <v>37.451480606582479</v>
      </c>
      <c r="F24">
        <v>57.476361477534361</v>
      </c>
      <c r="G24">
        <v>43.574818040651323</v>
      </c>
      <c r="H24">
        <v>105.38199575078613</v>
      </c>
      <c r="I24" t="s">
        <v>115</v>
      </c>
      <c r="J24">
        <v>49.311547719676135</v>
      </c>
      <c r="K24">
        <v>76.243036796732625</v>
      </c>
      <c r="L24">
        <v>52.176453549347265</v>
      </c>
      <c r="M24">
        <v>29.52479383494337</v>
      </c>
      <c r="N24">
        <v>55.949170588996253</v>
      </c>
      <c r="O24">
        <v>80.448140385195927</v>
      </c>
      <c r="P24">
        <v>49.84583724482691</v>
      </c>
      <c r="Q24">
        <v>34.030005278330421</v>
      </c>
      <c r="R24">
        <v>46.106774844161059</v>
      </c>
      <c r="S24">
        <f t="shared" si="0"/>
        <v>0.36416517130911918</v>
      </c>
      <c r="T24">
        <f t="shared" si="1"/>
        <v>59.09247577494633</v>
      </c>
      <c r="U24">
        <f t="shared" si="2"/>
        <v>49.317453696075653</v>
      </c>
      <c r="V24">
        <f t="shared" si="3"/>
        <v>6.8794819133884628</v>
      </c>
      <c r="W24">
        <f t="shared" si="4"/>
        <v>7.3539965920812591</v>
      </c>
    </row>
    <row r="25" spans="1:23" x14ac:dyDescent="0.25">
      <c r="A25">
        <v>24</v>
      </c>
      <c r="B25" t="s">
        <v>47</v>
      </c>
      <c r="C25">
        <v>38.775785560086348</v>
      </c>
      <c r="D25">
        <v>23.584380910001112</v>
      </c>
      <c r="E25">
        <v>66.690776261329347</v>
      </c>
      <c r="F25">
        <v>31.674896106340771</v>
      </c>
      <c r="G25">
        <v>4.0686023613508802</v>
      </c>
      <c r="H25">
        <v>54.285152269712277</v>
      </c>
      <c r="I25" t="s">
        <v>115</v>
      </c>
      <c r="J25">
        <v>40.472584195418328</v>
      </c>
      <c r="K25">
        <v>54.309754300706977</v>
      </c>
      <c r="L25">
        <v>30.776491504939219</v>
      </c>
      <c r="M25">
        <v>17.14916980983363</v>
      </c>
      <c r="N25">
        <v>19.868713907104642</v>
      </c>
      <c r="O25">
        <v>32.942219175469305</v>
      </c>
      <c r="P25">
        <v>24.360096487917723</v>
      </c>
      <c r="Q25">
        <v>18.228849459309487</v>
      </c>
      <c r="R25">
        <v>22.258818356069256</v>
      </c>
      <c r="S25">
        <f t="shared" si="0"/>
        <v>6.879911870526631E-2</v>
      </c>
      <c r="T25">
        <f t="shared" si="1"/>
        <v>38.293158163320584</v>
      </c>
      <c r="U25">
        <f t="shared" si="2"/>
        <v>22.467977865950672</v>
      </c>
      <c r="V25">
        <f t="shared" si="3"/>
        <v>6.2490585806970875</v>
      </c>
      <c r="W25">
        <f t="shared" si="4"/>
        <v>4.9946974139445075</v>
      </c>
    </row>
    <row r="26" spans="1:23" x14ac:dyDescent="0.25">
      <c r="A26">
        <v>25</v>
      </c>
      <c r="B26" t="s">
        <v>48</v>
      </c>
      <c r="C26">
        <v>44.210242264331974</v>
      </c>
      <c r="D26">
        <v>26.079012395621586</v>
      </c>
      <c r="E26">
        <v>16.452350090900634</v>
      </c>
      <c r="F26">
        <v>21.004981103661979</v>
      </c>
      <c r="G26">
        <v>26.250726536135954</v>
      </c>
      <c r="H26">
        <v>74.43116189616741</v>
      </c>
      <c r="I26">
        <v>112.97943646113379</v>
      </c>
      <c r="J26">
        <v>35.817110688709725</v>
      </c>
      <c r="K26">
        <v>65.257008439854729</v>
      </c>
      <c r="L26">
        <v>14.63287953094879</v>
      </c>
      <c r="M26">
        <v>13.799424632004751</v>
      </c>
      <c r="N26">
        <v>25.723184699431801</v>
      </c>
      <c r="O26">
        <v>55.745061356138095</v>
      </c>
      <c r="P26">
        <v>22.217042975799369</v>
      </c>
      <c r="Q26">
        <v>13.449591944455722</v>
      </c>
      <c r="R26">
        <v>21.910514107954725</v>
      </c>
      <c r="S26">
        <f t="shared" si="0"/>
        <v>0.21200335157828537</v>
      </c>
      <c r="T26">
        <f t="shared" si="1"/>
        <v>43.711490940746657</v>
      </c>
      <c r="U26">
        <f t="shared" si="2"/>
        <v>25.474136619297411</v>
      </c>
      <c r="V26">
        <f t="shared" si="3"/>
        <v>9.993620387576458</v>
      </c>
      <c r="W26">
        <f t="shared" si="4"/>
        <v>8.1883994032094094</v>
      </c>
    </row>
    <row r="27" spans="1:23" x14ac:dyDescent="0.25">
      <c r="A27">
        <v>26</v>
      </c>
      <c r="B27" t="s">
        <v>49</v>
      </c>
      <c r="C27">
        <v>53.070280642840011</v>
      </c>
      <c r="D27">
        <v>35.4035403540354</v>
      </c>
      <c r="E27">
        <v>20.250660507294786</v>
      </c>
      <c r="F27">
        <v>24.697368992629702</v>
      </c>
      <c r="G27">
        <v>35.446288376289331</v>
      </c>
      <c r="H27">
        <v>27.725234904709652</v>
      </c>
      <c r="I27">
        <v>118.73732985809441</v>
      </c>
      <c r="J27">
        <v>21.603971526523328</v>
      </c>
      <c r="K27">
        <v>77.121919065282853</v>
      </c>
      <c r="L27">
        <v>13.072205519542136</v>
      </c>
      <c r="M27">
        <v>18.236089023132948</v>
      </c>
      <c r="N27">
        <v>45.981643829255106</v>
      </c>
      <c r="O27">
        <v>27.155460169242978</v>
      </c>
      <c r="P27">
        <v>44.744359692410491</v>
      </c>
      <c r="Q27">
        <v>23.667898277098814</v>
      </c>
      <c r="R27">
        <v>22.258818356069256</v>
      </c>
      <c r="S27">
        <f t="shared" si="0"/>
        <v>0.39140241843742429</v>
      </c>
      <c r="T27">
        <f t="shared" si="1"/>
        <v>42.712879974724153</v>
      </c>
      <c r="U27">
        <f t="shared" si="2"/>
        <v>30.340711557868264</v>
      </c>
      <c r="V27">
        <f t="shared" si="3"/>
        <v>10.303774681089688</v>
      </c>
      <c r="W27">
        <f t="shared" si="4"/>
        <v>8.5862885198982344</v>
      </c>
    </row>
    <row r="28" spans="1:23" x14ac:dyDescent="0.25">
      <c r="A28" s="2">
        <v>27</v>
      </c>
      <c r="B28" s="2" t="s">
        <v>50</v>
      </c>
      <c r="C28">
        <v>69.426121372031659</v>
      </c>
      <c r="D28">
        <v>72.18249914879128</v>
      </c>
      <c r="E28">
        <v>41.907325422868063</v>
      </c>
      <c r="F28">
        <v>37.792676040022592</v>
      </c>
      <c r="G28">
        <v>83.280560061766408</v>
      </c>
      <c r="H28">
        <v>44.720225903796972</v>
      </c>
      <c r="I28">
        <v>85.206570832767369</v>
      </c>
      <c r="J28">
        <v>49.847892593720907</v>
      </c>
      <c r="K28">
        <v>55.641002442775722</v>
      </c>
      <c r="L28">
        <v>34.060149624938823</v>
      </c>
      <c r="M28">
        <v>63.950258508797688</v>
      </c>
      <c r="N28">
        <v>84.641052942327661</v>
      </c>
      <c r="O28">
        <v>67.562383341591598</v>
      </c>
      <c r="P28">
        <v>100.96884779485566</v>
      </c>
      <c r="Q28">
        <v>70.073219916900129</v>
      </c>
      <c r="R28">
        <v>116.54042451757141</v>
      </c>
      <c r="S28">
        <f t="shared" si="0"/>
        <v>2.0354277365483394E-2</v>
      </c>
      <c r="T28">
        <f t="shared" si="1"/>
        <v>57.406502344347984</v>
      </c>
      <c r="U28">
        <f t="shared" si="2"/>
        <v>83.956031170340694</v>
      </c>
      <c r="V28">
        <f t="shared" si="3"/>
        <v>5.9593829172435919</v>
      </c>
      <c r="W28">
        <f t="shared" si="4"/>
        <v>10.623518930578831</v>
      </c>
    </row>
    <row r="29" spans="1:23" x14ac:dyDescent="0.25">
      <c r="A29">
        <v>28</v>
      </c>
      <c r="B29" t="s">
        <v>51</v>
      </c>
      <c r="C29">
        <v>19.976313264571839</v>
      </c>
      <c r="D29">
        <v>13.10692867039513</v>
      </c>
      <c r="E29">
        <v>6.3305173606569181</v>
      </c>
      <c r="F29">
        <v>7.855374234372511</v>
      </c>
      <c r="G29">
        <v>14.261795910577499</v>
      </c>
      <c r="H29">
        <v>28.638843855839966</v>
      </c>
      <c r="I29" t="s">
        <v>115</v>
      </c>
      <c r="J29">
        <v>11.520687894481656</v>
      </c>
      <c r="K29">
        <v>32.673740807279216</v>
      </c>
      <c r="L29">
        <v>8.1404756434971084</v>
      </c>
      <c r="M29">
        <v>7.4368156699426793</v>
      </c>
      <c r="N29">
        <v>22.431081435191174</v>
      </c>
      <c r="O29">
        <v>34.555627820327949</v>
      </c>
      <c r="P29">
        <v>13.370633528469059</v>
      </c>
      <c r="Q29">
        <v>7.6552708866241694</v>
      </c>
      <c r="R29">
        <v>12.451876870094489</v>
      </c>
      <c r="S29">
        <f t="shared" si="0"/>
        <v>0.92707389654111338</v>
      </c>
      <c r="T29">
        <f t="shared" si="1"/>
        <v>15.83385307129687</v>
      </c>
      <c r="U29">
        <f t="shared" si="2"/>
        <v>16.316884368441588</v>
      </c>
      <c r="V29">
        <f t="shared" si="3"/>
        <v>3.1322206115537559</v>
      </c>
      <c r="W29">
        <f t="shared" si="4"/>
        <v>4.5606193716937842</v>
      </c>
    </row>
    <row r="30" spans="1:23" x14ac:dyDescent="0.25">
      <c r="A30">
        <v>29</v>
      </c>
      <c r="B30" t="s">
        <v>52</v>
      </c>
      <c r="C30">
        <v>37.658911009834497</v>
      </c>
      <c r="D30">
        <v>36.731763063946843</v>
      </c>
      <c r="E30">
        <v>26.01457907655589</v>
      </c>
      <c r="F30">
        <v>23.665672376594607</v>
      </c>
      <c r="G30">
        <v>41.831131314358089</v>
      </c>
      <c r="H30">
        <v>27.725234904709652</v>
      </c>
      <c r="I30">
        <v>79.149677036854783</v>
      </c>
      <c r="J30">
        <v>39.710974474274749</v>
      </c>
      <c r="K30">
        <v>62.878856419071738</v>
      </c>
      <c r="L30">
        <v>17.779198337944607</v>
      </c>
      <c r="M30">
        <v>34.450889684691724</v>
      </c>
      <c r="N30">
        <v>52.549265454641947</v>
      </c>
      <c r="O30">
        <v>33.616265453765799</v>
      </c>
      <c r="P30">
        <v>47.688352395926607</v>
      </c>
      <c r="Q30">
        <v>42.108219307862008</v>
      </c>
      <c r="R30">
        <v>34.438582532324268</v>
      </c>
      <c r="S30">
        <f t="shared" si="0"/>
        <v>0.85738889835221177</v>
      </c>
      <c r="T30">
        <f t="shared" si="1"/>
        <v>39.314599801414538</v>
      </c>
      <c r="U30">
        <f t="shared" si="2"/>
        <v>40.808595804868723</v>
      </c>
      <c r="V30">
        <f t="shared" si="3"/>
        <v>5.9421996850688812</v>
      </c>
      <c r="W30">
        <f t="shared" si="4"/>
        <v>5.6419455151734281</v>
      </c>
    </row>
    <row r="31" spans="1:23" x14ac:dyDescent="0.25">
      <c r="A31">
        <v>30</v>
      </c>
      <c r="B31" t="s">
        <v>53</v>
      </c>
      <c r="C31">
        <v>84.650095946270085</v>
      </c>
      <c r="D31">
        <v>70.34860789449732</v>
      </c>
      <c r="E31">
        <v>48.188877455873495</v>
      </c>
      <c r="F31">
        <v>77.304846440103674</v>
      </c>
      <c r="G31">
        <v>73.58184483790653</v>
      </c>
      <c r="H31">
        <v>85.478372172590056</v>
      </c>
      <c r="I31">
        <v>91.075521520767296</v>
      </c>
      <c r="J31">
        <v>56.155308312487399</v>
      </c>
      <c r="K31">
        <v>84.980160525261397</v>
      </c>
      <c r="L31">
        <v>45.846359759081878</v>
      </c>
      <c r="M31">
        <v>63.854914718157403</v>
      </c>
      <c r="N31">
        <v>68.528819586107161</v>
      </c>
      <c r="O31">
        <v>91.311758593910781</v>
      </c>
      <c r="P31">
        <v>88.009507364671947</v>
      </c>
      <c r="Q31">
        <v>71.147495499884954</v>
      </c>
      <c r="R31">
        <v>144.81837566136991</v>
      </c>
      <c r="S31">
        <f t="shared" si="0"/>
        <v>0.17970531536096918</v>
      </c>
      <c r="T31">
        <f t="shared" si="1"/>
        <v>71.760999486483911</v>
      </c>
      <c r="U31">
        <f t="shared" si="2"/>
        <v>87.94514523735036</v>
      </c>
      <c r="V31">
        <f t="shared" si="3"/>
        <v>5.1735306599334301</v>
      </c>
      <c r="W31">
        <f t="shared" si="4"/>
        <v>11.96488161038498</v>
      </c>
    </row>
    <row r="32" spans="1:23" x14ac:dyDescent="0.25">
      <c r="A32">
        <v>31</v>
      </c>
      <c r="B32" t="s">
        <v>54</v>
      </c>
      <c r="C32">
        <v>66.068001918925404</v>
      </c>
      <c r="D32">
        <v>39.83319680282635</v>
      </c>
      <c r="E32">
        <v>36.094441525955475</v>
      </c>
      <c r="F32">
        <v>66.824980814062926</v>
      </c>
      <c r="G32">
        <v>59.623675969220898</v>
      </c>
      <c r="H32">
        <v>47.600890861952749</v>
      </c>
      <c r="I32">
        <v>34.427760222182926</v>
      </c>
      <c r="J32">
        <v>38.434473674048206</v>
      </c>
      <c r="K32">
        <v>35.194064959739435</v>
      </c>
      <c r="L32">
        <v>45.796418190716864</v>
      </c>
      <c r="M32">
        <v>38.061241223604071</v>
      </c>
      <c r="N32">
        <v>23.434468072403053</v>
      </c>
      <c r="O32">
        <v>43.562033411183293</v>
      </c>
      <c r="P32">
        <v>35.472225810012894</v>
      </c>
      <c r="Q32">
        <v>38.318648747411586</v>
      </c>
      <c r="R32">
        <v>62.259384350472445</v>
      </c>
      <c r="S32">
        <f t="shared" si="0"/>
        <v>0.31808821520883168</v>
      </c>
      <c r="T32">
        <f t="shared" si="1"/>
        <v>46.98979049396312</v>
      </c>
      <c r="U32">
        <f t="shared" si="2"/>
        <v>40.184666935847893</v>
      </c>
      <c r="V32">
        <f t="shared" si="3"/>
        <v>4.0261481774873848</v>
      </c>
      <c r="W32">
        <f t="shared" si="4"/>
        <v>4.5403393232114171</v>
      </c>
    </row>
    <row r="33" spans="1:23" x14ac:dyDescent="0.25">
      <c r="A33">
        <v>32</v>
      </c>
      <c r="B33" t="s">
        <v>55</v>
      </c>
      <c r="C33">
        <v>39.697769249220435</v>
      </c>
      <c r="D33">
        <v>42.428961997323327</v>
      </c>
      <c r="E33">
        <v>29.099394718599758</v>
      </c>
      <c r="F33">
        <v>34.706636162233387</v>
      </c>
      <c r="G33">
        <v>42.09138306455111</v>
      </c>
      <c r="H33">
        <v>61.099929241918993</v>
      </c>
      <c r="I33">
        <v>51.197411169117188</v>
      </c>
      <c r="J33">
        <v>26.806516804757596</v>
      </c>
      <c r="K33">
        <v>45.701877964612066</v>
      </c>
      <c r="L33">
        <v>24.646163988133882</v>
      </c>
      <c r="M33">
        <v>32.709276442329084</v>
      </c>
      <c r="N33">
        <v>38.045767698579333</v>
      </c>
      <c r="O33">
        <v>52.869608615745577</v>
      </c>
      <c r="P33">
        <v>43.864048148712037</v>
      </c>
      <c r="Q33">
        <v>35.857119655690447</v>
      </c>
      <c r="R33">
        <v>50.515000484360591</v>
      </c>
      <c r="S33">
        <f t="shared" si="0"/>
        <v>0.63935340525199591</v>
      </c>
      <c r="T33">
        <f t="shared" si="1"/>
        <v>39.747604436046771</v>
      </c>
      <c r="U33">
        <f t="shared" si="2"/>
        <v>42.310136840902842</v>
      </c>
      <c r="V33">
        <f t="shared" si="3"/>
        <v>3.6047494384749572</v>
      </c>
      <c r="W33">
        <f t="shared" si="4"/>
        <v>3.8769693529290277</v>
      </c>
    </row>
    <row r="34" spans="1:23" x14ac:dyDescent="0.25">
      <c r="A34">
        <v>33</v>
      </c>
      <c r="B34" t="s">
        <v>56</v>
      </c>
      <c r="C34">
        <v>44.847385464140082</v>
      </c>
      <c r="D34">
        <v>39.43540421457876</v>
      </c>
      <c r="E34">
        <v>46.412135566805141</v>
      </c>
      <c r="F34">
        <v>20.308133389322485</v>
      </c>
      <c r="G34">
        <v>25.478646343896663</v>
      </c>
      <c r="H34">
        <v>59.337969121881962</v>
      </c>
      <c r="I34">
        <v>46.379233311719879</v>
      </c>
      <c r="J34">
        <v>25.926911211324175</v>
      </c>
      <c r="K34">
        <v>56.494035232839181</v>
      </c>
      <c r="L34">
        <v>28.504150144331135</v>
      </c>
      <c r="M34">
        <v>20.76587760145533</v>
      </c>
      <c r="N34">
        <v>22.182307888775004</v>
      </c>
      <c r="O34">
        <v>20.493875142248864</v>
      </c>
      <c r="P34">
        <v>26.250601606352099</v>
      </c>
      <c r="Q34">
        <v>46.506827994099098</v>
      </c>
      <c r="R34">
        <v>46.803383340390127</v>
      </c>
      <c r="S34">
        <f t="shared" si="0"/>
        <v>0.22062003889171633</v>
      </c>
      <c r="T34">
        <f t="shared" si="1"/>
        <v>39.312400400083945</v>
      </c>
      <c r="U34">
        <f t="shared" si="2"/>
        <v>30.500478928886753</v>
      </c>
      <c r="V34">
        <f t="shared" si="3"/>
        <v>4.3150306358004062</v>
      </c>
      <c r="W34">
        <f t="shared" si="4"/>
        <v>5.7977886662349745</v>
      </c>
    </row>
    <row r="35" spans="1:23" x14ac:dyDescent="0.25">
      <c r="A35">
        <v>34</v>
      </c>
      <c r="B35" t="s">
        <v>57</v>
      </c>
      <c r="C35">
        <v>95.706404413528432</v>
      </c>
      <c r="D35">
        <v>129.3904671366013</v>
      </c>
      <c r="E35">
        <v>93.08308786548244</v>
      </c>
      <c r="F35">
        <v>151.51460303210206</v>
      </c>
      <c r="G35">
        <v>103.05969307643595</v>
      </c>
      <c r="H35">
        <v>194.97160820346258</v>
      </c>
      <c r="I35">
        <v>102.44607954948329</v>
      </c>
      <c r="J35">
        <v>150.92744755619822</v>
      </c>
      <c r="K35">
        <v>195.93904692972819</v>
      </c>
      <c r="L35">
        <v>211.365202712826</v>
      </c>
      <c r="M35">
        <v>134.12964467276103</v>
      </c>
      <c r="N35">
        <v>115.37287837627164</v>
      </c>
      <c r="O35">
        <v>117.26971101341424</v>
      </c>
      <c r="P35">
        <v>91.667851238894187</v>
      </c>
      <c r="Q35">
        <v>147.66636891469406</v>
      </c>
      <c r="R35">
        <v>110.33625509803132</v>
      </c>
      <c r="S35">
        <f t="shared" si="0"/>
        <v>0.25379212978300458</v>
      </c>
      <c r="T35">
        <f t="shared" si="1"/>
        <v>142.84036404758484</v>
      </c>
      <c r="U35">
        <f t="shared" si="2"/>
        <v>119.40711821901107</v>
      </c>
      <c r="V35">
        <f t="shared" si="3"/>
        <v>14.32400084185924</v>
      </c>
      <c r="W35">
        <f t="shared" si="4"/>
        <v>17.356722296819179</v>
      </c>
    </row>
    <row r="36" spans="1:23" x14ac:dyDescent="0.25">
      <c r="A36">
        <v>35</v>
      </c>
      <c r="B36" t="s">
        <v>58</v>
      </c>
      <c r="C36">
        <v>60.738486447589352</v>
      </c>
      <c r="D36">
        <v>78.675283258662944</v>
      </c>
      <c r="E36">
        <v>181.49348446365127</v>
      </c>
      <c r="F36">
        <v>168.05794876992803</v>
      </c>
      <c r="G36">
        <v>87.531338648252401</v>
      </c>
      <c r="H36">
        <v>285.68924803457543</v>
      </c>
      <c r="I36">
        <v>160.61447144845192</v>
      </c>
      <c r="J36">
        <v>87.113134442351509</v>
      </c>
      <c r="K36">
        <v>143.23196029520105</v>
      </c>
      <c r="L36">
        <v>115.55230380454869</v>
      </c>
      <c r="M36">
        <v>73.268524980708776</v>
      </c>
      <c r="N36">
        <v>70.626809827550176</v>
      </c>
      <c r="O36">
        <v>103.17927551498211</v>
      </c>
      <c r="P36">
        <v>63.216470773295967</v>
      </c>
      <c r="Q36">
        <v>85.451432593013649</v>
      </c>
      <c r="R36">
        <v>88.295126897033654</v>
      </c>
      <c r="S36">
        <f t="shared" si="0"/>
        <v>6.4887844401898376E-2</v>
      </c>
      <c r="T36">
        <f t="shared" si="1"/>
        <v>136.86976596132129</v>
      </c>
      <c r="U36">
        <f t="shared" si="2"/>
        <v>80.672940097764055</v>
      </c>
      <c r="V36">
        <f t="shared" si="3"/>
        <v>21.150916008510869</v>
      </c>
      <c r="W36">
        <f t="shared" si="4"/>
        <v>10.901470480071438</v>
      </c>
    </row>
    <row r="37" spans="1:23" x14ac:dyDescent="0.25">
      <c r="A37">
        <v>36</v>
      </c>
      <c r="B37" t="s">
        <v>59</v>
      </c>
      <c r="C37">
        <v>39.315483329335578</v>
      </c>
      <c r="D37">
        <v>49.103786783172694</v>
      </c>
      <c r="E37">
        <v>54.02274649320816</v>
      </c>
      <c r="F37">
        <v>77.721145074644156</v>
      </c>
      <c r="G37">
        <v>44.598474924743869</v>
      </c>
      <c r="H37">
        <v>152.79643580638577</v>
      </c>
      <c r="I37">
        <v>76.270730338374477</v>
      </c>
      <c r="J37">
        <v>63.40669100957269</v>
      </c>
      <c r="K37">
        <v>96.767522715229219</v>
      </c>
      <c r="L37">
        <v>88.034499635426556</v>
      </c>
      <c r="M37">
        <v>52.25475352358869</v>
      </c>
      <c r="N37">
        <v>56.073557362204333</v>
      </c>
      <c r="O37">
        <v>50.811616255414776</v>
      </c>
      <c r="P37">
        <v>57.003780288670036</v>
      </c>
      <c r="Q37">
        <v>73.735907534478315</v>
      </c>
      <c r="R37">
        <v>105.64503225623874</v>
      </c>
      <c r="S37">
        <f t="shared" si="0"/>
        <v>0.59797282009434749</v>
      </c>
      <c r="T37">
        <f t="shared" si="1"/>
        <v>74.203751611009324</v>
      </c>
      <c r="U37">
        <f t="shared" si="2"/>
        <v>65.920774536765819</v>
      </c>
      <c r="V37">
        <f t="shared" si="3"/>
        <v>10.615182635760153</v>
      </c>
      <c r="W37">
        <f t="shared" si="4"/>
        <v>8.8916192036707802</v>
      </c>
    </row>
    <row r="38" spans="1:23" x14ac:dyDescent="0.25">
      <c r="A38">
        <v>37</v>
      </c>
      <c r="B38" t="s">
        <v>60</v>
      </c>
      <c r="C38">
        <v>34.23332933557208</v>
      </c>
      <c r="D38">
        <v>42.496384469907667</v>
      </c>
      <c r="E38">
        <v>33.891001781638423</v>
      </c>
      <c r="F38">
        <v>56.589464386556813</v>
      </c>
      <c r="G38">
        <v>36.062217518412815</v>
      </c>
      <c r="H38">
        <v>81.460357295680211</v>
      </c>
      <c r="I38">
        <v>47.190805823160915</v>
      </c>
      <c r="J38">
        <v>31.848158620778428</v>
      </c>
      <c r="K38">
        <v>38.03750759328431</v>
      </c>
      <c r="L38">
        <v>43.998521729576396</v>
      </c>
      <c r="M38">
        <v>31.431669647749185</v>
      </c>
      <c r="N38">
        <v>23.252034138364529</v>
      </c>
      <c r="O38">
        <v>41.633113742441175</v>
      </c>
      <c r="P38">
        <v>37.997709746852706</v>
      </c>
      <c r="Q38">
        <v>42.421197233613491</v>
      </c>
      <c r="R38">
        <v>51.309569550371876</v>
      </c>
      <c r="S38">
        <f t="shared" si="0"/>
        <v>0.3555896150429082</v>
      </c>
      <c r="T38">
        <f t="shared" si="1"/>
        <v>44.580774855456809</v>
      </c>
      <c r="U38">
        <f t="shared" si="2"/>
        <v>38.007549009898831</v>
      </c>
      <c r="V38">
        <f t="shared" si="3"/>
        <v>4.7312774264685311</v>
      </c>
      <c r="W38">
        <f t="shared" si="4"/>
        <v>3.4568684768345177</v>
      </c>
    </row>
    <row r="39" spans="1:23" x14ac:dyDescent="0.25">
      <c r="A39">
        <v>38</v>
      </c>
      <c r="B39" t="s">
        <v>61</v>
      </c>
      <c r="C39">
        <v>29.938234588630365</v>
      </c>
      <c r="D39">
        <v>36.111476316170943</v>
      </c>
      <c r="E39">
        <v>25.489950566004211</v>
      </c>
      <c r="F39">
        <v>54.526071154486608</v>
      </c>
      <c r="G39">
        <v>27.482584820382915</v>
      </c>
      <c r="H39" t="s">
        <v>115</v>
      </c>
      <c r="I39">
        <v>45.328460481117276</v>
      </c>
      <c r="J39">
        <v>36.063829330770318</v>
      </c>
      <c r="K39">
        <v>45.546781093691436</v>
      </c>
      <c r="L39">
        <v>49.342269544632785</v>
      </c>
      <c r="M39">
        <v>28.920949827554864</v>
      </c>
      <c r="N39">
        <v>28.998703060578016</v>
      </c>
      <c r="O39">
        <v>34.964358010358801</v>
      </c>
      <c r="P39">
        <v>30.428473604724239</v>
      </c>
      <c r="Q39">
        <v>44.425947730994622</v>
      </c>
      <c r="R39">
        <v>48.065986239805298</v>
      </c>
      <c r="S39">
        <f t="shared" si="0"/>
        <v>0.57515854733713878</v>
      </c>
      <c r="T39">
        <f t="shared" si="1"/>
        <v>38.869961988431868</v>
      </c>
      <c r="U39">
        <f t="shared" si="2"/>
        <v>35.967403079002644</v>
      </c>
      <c r="V39">
        <f t="shared" si="3"/>
        <v>3.4258647294190792</v>
      </c>
      <c r="W39">
        <f t="shared" si="4"/>
        <v>3.6273208770548422</v>
      </c>
    </row>
    <row r="40" spans="1:23" x14ac:dyDescent="0.25">
      <c r="A40">
        <v>39</v>
      </c>
      <c r="B40" t="s">
        <v>62</v>
      </c>
      <c r="C40">
        <v>145.13372511393621</v>
      </c>
      <c r="D40">
        <v>160.32389755829516</v>
      </c>
      <c r="E40">
        <v>78.407479663650165</v>
      </c>
      <c r="F40">
        <v>175.33412490407034</v>
      </c>
      <c r="G40">
        <v>290.59710426552618</v>
      </c>
      <c r="H40">
        <v>250.79497962558813</v>
      </c>
      <c r="I40">
        <v>267.8616431182495</v>
      </c>
      <c r="J40">
        <v>127.33899999570924</v>
      </c>
      <c r="K40">
        <v>133.88737382223314</v>
      </c>
      <c r="L40">
        <v>124.36699062097345</v>
      </c>
      <c r="M40">
        <v>114.19643617623092</v>
      </c>
      <c r="N40">
        <v>223.97911629002354</v>
      </c>
      <c r="O40">
        <v>233.05508607355853</v>
      </c>
      <c r="P40">
        <v>220.48196335450652</v>
      </c>
      <c r="Q40">
        <v>205.38119019583959</v>
      </c>
      <c r="R40" t="s">
        <v>115</v>
      </c>
      <c r="S40">
        <f t="shared" si="0"/>
        <v>0.5089193904007101</v>
      </c>
      <c r="T40">
        <f t="shared" si="1"/>
        <v>175.40463186882317</v>
      </c>
      <c r="U40">
        <f t="shared" si="2"/>
        <v>199.41875841803181</v>
      </c>
      <c r="V40">
        <f t="shared" si="3"/>
        <v>22.284111559183977</v>
      </c>
      <c r="W40">
        <f t="shared" si="4"/>
        <v>23.509163220589311</v>
      </c>
    </row>
    <row r="41" spans="1:23" x14ac:dyDescent="0.25">
      <c r="A41">
        <v>40</v>
      </c>
      <c r="B41" t="s">
        <v>63</v>
      </c>
      <c r="C41">
        <v>5.7942552170784367</v>
      </c>
      <c r="D41">
        <v>2.6968989033734831</v>
      </c>
      <c r="E41">
        <v>2.2454100251611835</v>
      </c>
      <c r="F41">
        <v>42.77015971387614</v>
      </c>
      <c r="G41">
        <v>22.346950283240655</v>
      </c>
      <c r="H41">
        <v>12.939685960906859</v>
      </c>
      <c r="I41">
        <v>11.396186634340451</v>
      </c>
      <c r="J41">
        <v>5.5243522026611283</v>
      </c>
      <c r="K41">
        <v>8.9309948171795632</v>
      </c>
      <c r="L41">
        <v>4.3449164477561251</v>
      </c>
      <c r="M41">
        <v>7.5067344497455588</v>
      </c>
      <c r="N41">
        <v>30.856212207152073</v>
      </c>
      <c r="O41">
        <v>18.199249514005462</v>
      </c>
      <c r="P41">
        <v>8.7598214266386609</v>
      </c>
      <c r="Q41">
        <v>15.970333076183902</v>
      </c>
      <c r="R41">
        <v>38.803270141509486</v>
      </c>
      <c r="S41">
        <f t="shared" si="0"/>
        <v>0.22621163746593903</v>
      </c>
      <c r="T41">
        <f t="shared" si="1"/>
        <v>11.898981020557404</v>
      </c>
      <c r="U41">
        <f t="shared" si="2"/>
        <v>20.015936802539191</v>
      </c>
      <c r="V41">
        <f t="shared" si="3"/>
        <v>3.9231106651994194</v>
      </c>
      <c r="W41">
        <f t="shared" si="4"/>
        <v>5.0054604269371099</v>
      </c>
    </row>
    <row r="42" spans="1:23" x14ac:dyDescent="0.25">
      <c r="A42">
        <v>41</v>
      </c>
      <c r="B42" t="s">
        <v>64</v>
      </c>
      <c r="C42">
        <v>76.487167186375629</v>
      </c>
      <c r="D42">
        <v>69.809228113822627</v>
      </c>
      <c r="E42">
        <v>44.012834511882133</v>
      </c>
      <c r="F42">
        <v>30.118301211972025</v>
      </c>
      <c r="G42">
        <v>73.443043904470258</v>
      </c>
      <c r="H42">
        <v>109.81020240167283</v>
      </c>
      <c r="I42">
        <v>209.97516588114991</v>
      </c>
      <c r="J42">
        <v>121.86828228045258</v>
      </c>
      <c r="K42">
        <v>117.47295498313321</v>
      </c>
      <c r="L42">
        <v>32.749183455357233</v>
      </c>
      <c r="M42">
        <v>78.111989545235545</v>
      </c>
      <c r="N42">
        <v>68.105904557199665</v>
      </c>
      <c r="O42">
        <v>75.586402335355231</v>
      </c>
      <c r="P42">
        <v>63.764861571009753</v>
      </c>
      <c r="Q42">
        <v>81.991757684031029</v>
      </c>
      <c r="R42">
        <v>164.51933469534805</v>
      </c>
      <c r="S42">
        <f t="shared" si="0"/>
        <v>0.9967296654926372</v>
      </c>
      <c r="T42">
        <f t="shared" si="1"/>
        <v>88.57463639302884</v>
      </c>
      <c r="U42">
        <f t="shared" si="2"/>
        <v>88.680041731363204</v>
      </c>
      <c r="V42">
        <f t="shared" si="3"/>
        <v>17.120231226973569</v>
      </c>
      <c r="W42">
        <f t="shared" si="4"/>
        <v>16.175197207009926</v>
      </c>
    </row>
    <row r="43" spans="1:23" x14ac:dyDescent="0.25">
      <c r="A43">
        <v>42</v>
      </c>
      <c r="B43" t="s">
        <v>65</v>
      </c>
      <c r="C43">
        <v>22.127608539218038</v>
      </c>
      <c r="D43">
        <v>17.401740174017402</v>
      </c>
      <c r="E43">
        <v>10.163803011087849</v>
      </c>
      <c r="F43">
        <v>8.5250720377637155</v>
      </c>
      <c r="G43">
        <v>63.232500238564107</v>
      </c>
      <c r="H43">
        <v>10.385309913869051</v>
      </c>
      <c r="I43">
        <v>30.327183322270319</v>
      </c>
      <c r="J43">
        <v>75.217005136038509</v>
      </c>
      <c r="K43">
        <v>33.940365253131013</v>
      </c>
      <c r="L43">
        <v>4.1451501742960737</v>
      </c>
      <c r="M43">
        <v>7.7864095689570787</v>
      </c>
      <c r="N43">
        <v>96.92217368373916</v>
      </c>
      <c r="O43">
        <v>22.164649427813586</v>
      </c>
      <c r="P43">
        <v>15.56419671932421</v>
      </c>
      <c r="Q43">
        <v>13.035107664406459</v>
      </c>
      <c r="R43">
        <v>18.155358932969936</v>
      </c>
      <c r="S43">
        <f t="shared" si="0"/>
        <v>0.92442688610272183</v>
      </c>
      <c r="T43">
        <f t="shared" si="1"/>
        <v>27.546573780025607</v>
      </c>
      <c r="U43">
        <f t="shared" si="2"/>
        <v>28.937982666201737</v>
      </c>
      <c r="V43">
        <f t="shared" si="3"/>
        <v>7.6252245265814675</v>
      </c>
      <c r="W43">
        <f t="shared" si="4"/>
        <v>12.202549021853478</v>
      </c>
    </row>
    <row r="44" spans="1:23" x14ac:dyDescent="0.25">
      <c r="A44">
        <v>43</v>
      </c>
      <c r="B44" t="s">
        <v>66</v>
      </c>
      <c r="C44">
        <v>340.90909090909088</v>
      </c>
      <c r="D44">
        <v>322.28616120038976</v>
      </c>
      <c r="E44">
        <v>267.20379299418084</v>
      </c>
      <c r="F44">
        <v>361.73636350472771</v>
      </c>
      <c r="G44">
        <v>344.85091912243109</v>
      </c>
      <c r="H44">
        <v>369.79720678046999</v>
      </c>
      <c r="I44">
        <v>258.62680222490468</v>
      </c>
      <c r="J44">
        <v>257.2202746943907</v>
      </c>
      <c r="K44">
        <v>241.38243010947255</v>
      </c>
      <c r="L44">
        <v>179.21531807784893</v>
      </c>
      <c r="M44">
        <v>306.10441797700815</v>
      </c>
      <c r="N44">
        <v>168.30359660208507</v>
      </c>
      <c r="O44">
        <v>371.33496299557635</v>
      </c>
      <c r="P44">
        <v>254.1141937248218</v>
      </c>
      <c r="Q44">
        <v>317.0212621976803</v>
      </c>
      <c r="R44">
        <v>408.07108018943399</v>
      </c>
      <c r="S44">
        <f t="shared" si="0"/>
        <v>0.79390544554319842</v>
      </c>
      <c r="T44">
        <f t="shared" si="1"/>
        <v>294.3228359617907</v>
      </c>
      <c r="U44">
        <f t="shared" si="2"/>
        <v>304.15825228110094</v>
      </c>
      <c r="V44">
        <f t="shared" si="3"/>
        <v>19.772302416482638</v>
      </c>
      <c r="W44">
        <f t="shared" si="4"/>
        <v>35.046729124459944</v>
      </c>
    </row>
    <row r="45" spans="1:23" x14ac:dyDescent="0.25">
      <c r="A45">
        <v>44</v>
      </c>
      <c r="B45" t="s">
        <v>67</v>
      </c>
      <c r="C45">
        <v>6.0641041017030464</v>
      </c>
      <c r="D45">
        <v>6.9782259124788881</v>
      </c>
      <c r="E45">
        <v>5.6589928671507703</v>
      </c>
      <c r="F45">
        <v>2.9050404714672533</v>
      </c>
      <c r="G45">
        <v>8.7357837481457068</v>
      </c>
      <c r="H45">
        <v>9.0521866484442075</v>
      </c>
      <c r="I45">
        <v>6.8855520444365848</v>
      </c>
      <c r="J45">
        <v>7.7448199812064757</v>
      </c>
      <c r="K45">
        <v>7.3671013687298856</v>
      </c>
      <c r="L45">
        <v>3.208745767452081</v>
      </c>
      <c r="M45">
        <v>7.8499720960506059</v>
      </c>
      <c r="N45">
        <v>2.5540750765393274</v>
      </c>
      <c r="O45">
        <v>9.1928439231501198</v>
      </c>
      <c r="P45">
        <v>9.308212224352447</v>
      </c>
      <c r="Q45">
        <v>5.4136722292148818</v>
      </c>
      <c r="R45">
        <v>5.3334087992537587</v>
      </c>
      <c r="S45">
        <f t="shared" si="0"/>
        <v>0.90203233874157429</v>
      </c>
      <c r="T45">
        <f t="shared" si="1"/>
        <v>6.4600552911214901</v>
      </c>
      <c r="U45">
        <f t="shared" si="2"/>
        <v>6.6086973914268574</v>
      </c>
      <c r="V45">
        <f t="shared" si="3"/>
        <v>0.65683253825210608</v>
      </c>
      <c r="W45">
        <f t="shared" si="4"/>
        <v>1.0495235955845357</v>
      </c>
    </row>
    <row r="46" spans="1:23" x14ac:dyDescent="0.25">
      <c r="A46">
        <v>45</v>
      </c>
      <c r="B46" t="s">
        <v>68</v>
      </c>
      <c r="C46">
        <v>25.253358119453104</v>
      </c>
      <c r="D46">
        <v>23.004547645775812</v>
      </c>
      <c r="E46">
        <v>16.298459061138807</v>
      </c>
      <c r="F46">
        <v>10.642765091730499</v>
      </c>
      <c r="G46">
        <v>26.484953111309672</v>
      </c>
      <c r="H46" t="s">
        <v>115</v>
      </c>
      <c r="I46">
        <v>37.998679272523489</v>
      </c>
      <c r="J46">
        <v>44.484443853273206</v>
      </c>
      <c r="K46">
        <v>36.938904757596518</v>
      </c>
      <c r="L46">
        <v>26.706253683190671</v>
      </c>
      <c r="M46">
        <v>22.8125909738669</v>
      </c>
      <c r="N46">
        <v>24.454439612709344</v>
      </c>
      <c r="O46">
        <v>27.972920549304693</v>
      </c>
      <c r="P46">
        <v>31.56133354210667</v>
      </c>
      <c r="Q46">
        <v>29.63985545495148</v>
      </c>
      <c r="R46">
        <v>25.61124674417162</v>
      </c>
      <c r="S46">
        <f t="shared" si="0"/>
        <v>0.91020234153757351</v>
      </c>
      <c r="T46">
        <f t="shared" si="1"/>
        <v>27.534707177332415</v>
      </c>
      <c r="U46">
        <f t="shared" si="2"/>
        <v>27.008731146185113</v>
      </c>
      <c r="V46">
        <f t="shared" si="3"/>
        <v>3.5830104784199559</v>
      </c>
      <c r="W46">
        <f t="shared" si="4"/>
        <v>1.8372916083569371</v>
      </c>
    </row>
    <row r="47" spans="1:23" x14ac:dyDescent="0.25">
      <c r="A47">
        <v>46</v>
      </c>
      <c r="B47" t="s">
        <v>69</v>
      </c>
      <c r="C47">
        <v>10.02938354521468</v>
      </c>
      <c r="D47">
        <v>12.702393834889106</v>
      </c>
      <c r="E47">
        <v>8.0582939220737799</v>
      </c>
      <c r="F47">
        <v>4.0272367906633262</v>
      </c>
      <c r="G47">
        <v>11.737353933705204</v>
      </c>
      <c r="H47">
        <v>21.581680835374193</v>
      </c>
      <c r="I47">
        <v>10.4820997004016</v>
      </c>
      <c r="J47">
        <v>11.606503074328817</v>
      </c>
      <c r="K47">
        <v>10.520737744116012</v>
      </c>
      <c r="L47">
        <v>12.04840336805937</v>
      </c>
      <c r="M47">
        <v>8.2949097857052969</v>
      </c>
      <c r="N47">
        <v>7.8031969059204789</v>
      </c>
      <c r="O47">
        <v>13.036341850457813</v>
      </c>
      <c r="P47">
        <v>9.1711145249240005</v>
      </c>
      <c r="Q47">
        <v>18.507991933628379</v>
      </c>
      <c r="R47">
        <v>8.892642834674124</v>
      </c>
      <c r="S47">
        <f t="shared" si="0"/>
        <v>0.88493536238648562</v>
      </c>
      <c r="T47">
        <f t="shared" si="1"/>
        <v>11.27940867488261</v>
      </c>
      <c r="U47">
        <f t="shared" si="2"/>
        <v>10.951032972551682</v>
      </c>
      <c r="V47">
        <f t="shared" si="3"/>
        <v>1.3936888668191274</v>
      </c>
      <c r="W47">
        <f t="shared" si="4"/>
        <v>1.4405590506269206</v>
      </c>
    </row>
    <row r="48" spans="1:23" x14ac:dyDescent="0.25">
      <c r="A48">
        <v>47</v>
      </c>
      <c r="B48" t="s">
        <v>70</v>
      </c>
      <c r="C48">
        <v>7.5557687694890863</v>
      </c>
      <c r="D48">
        <v>8.3873555894915324</v>
      </c>
      <c r="E48">
        <v>7.2958338200720076</v>
      </c>
      <c r="F48">
        <v>3.7014378592838213</v>
      </c>
      <c r="G48">
        <v>7.6861016890338583</v>
      </c>
      <c r="H48">
        <v>31.025414177159963</v>
      </c>
      <c r="I48">
        <v>12.950988708890648</v>
      </c>
      <c r="J48">
        <v>14.588580574017739</v>
      </c>
      <c r="K48">
        <v>11.270372620232386</v>
      </c>
      <c r="L48">
        <v>9.0643946582498476</v>
      </c>
      <c r="M48">
        <v>10.59587326649098</v>
      </c>
      <c r="N48">
        <v>8.6904892214714788</v>
      </c>
      <c r="O48">
        <v>10.275620391477474</v>
      </c>
      <c r="P48">
        <v>10.332837135870314</v>
      </c>
      <c r="Q48">
        <v>21.646230054001379</v>
      </c>
      <c r="R48">
        <v>12.419223346833752</v>
      </c>
      <c r="S48">
        <f t="shared" si="0"/>
        <v>0.78237184325307385</v>
      </c>
      <c r="T48">
        <f t="shared" si="1"/>
        <v>11.352624846592089</v>
      </c>
      <c r="U48">
        <f t="shared" si="2"/>
        <v>12.326712236024228</v>
      </c>
      <c r="V48">
        <f t="shared" si="3"/>
        <v>2.3966136411021166</v>
      </c>
      <c r="W48">
        <f t="shared" si="4"/>
        <v>1.6951585615730063</v>
      </c>
    </row>
    <row r="49" spans="1:23" x14ac:dyDescent="0.25">
      <c r="A49">
        <v>48</v>
      </c>
      <c r="B49" t="s">
        <v>71</v>
      </c>
      <c r="C49">
        <v>14.242024466298872</v>
      </c>
      <c r="D49">
        <v>23.658545629843886</v>
      </c>
      <c r="E49">
        <v>41.074914852792737</v>
      </c>
      <c r="F49">
        <v>15.909847815699164</v>
      </c>
      <c r="G49">
        <v>37.615052961231164</v>
      </c>
      <c r="H49">
        <v>44.03035792029042</v>
      </c>
      <c r="I49">
        <v>14.061561619283646</v>
      </c>
      <c r="J49">
        <v>37.597775670538361</v>
      </c>
      <c r="K49">
        <v>35.375011309146835</v>
      </c>
      <c r="L49">
        <v>32.087457674520806</v>
      </c>
      <c r="M49">
        <v>11.040810956145672</v>
      </c>
      <c r="N49">
        <v>27.398259911967337</v>
      </c>
      <c r="O49">
        <v>22.487331156785316</v>
      </c>
      <c r="P49">
        <v>22.094376613152868</v>
      </c>
      <c r="Q49">
        <v>20.935685573916928</v>
      </c>
      <c r="R49">
        <v>16.838333494786866</v>
      </c>
      <c r="S49">
        <f t="shared" si="0"/>
        <v>8.5441818693131236E-2</v>
      </c>
      <c r="T49">
        <f t="shared" si="1"/>
        <v>29.565254991964594</v>
      </c>
      <c r="U49">
        <f t="shared" si="2"/>
        <v>20.132466284459163</v>
      </c>
      <c r="V49">
        <f t="shared" si="3"/>
        <v>3.6631379172153031</v>
      </c>
      <c r="W49">
        <f t="shared" si="4"/>
        <v>3.2335100197228508</v>
      </c>
    </row>
    <row r="50" spans="1:23" x14ac:dyDescent="0.25">
      <c r="A50">
        <v>49</v>
      </c>
      <c r="B50" t="s">
        <v>72</v>
      </c>
      <c r="C50">
        <v>27.284720556488367</v>
      </c>
      <c r="D50">
        <v>22.323580672674012</v>
      </c>
      <c r="E50">
        <v>37.206653968325028</v>
      </c>
      <c r="F50">
        <v>15.918897786015261</v>
      </c>
      <c r="G50">
        <v>25.617447277332943</v>
      </c>
      <c r="H50">
        <v>19.176465433418883</v>
      </c>
      <c r="I50">
        <v>9.7901273485413487</v>
      </c>
      <c r="J50">
        <v>11.284696149901958</v>
      </c>
      <c r="K50">
        <v>22.954336896253118</v>
      </c>
      <c r="L50">
        <v>10.612583277565248</v>
      </c>
      <c r="M50">
        <v>29.111637408835445</v>
      </c>
      <c r="N50">
        <v>25.66513753860136</v>
      </c>
      <c r="O50">
        <v>11.5089816666583</v>
      </c>
      <c r="P50">
        <v>12.071813218094299</v>
      </c>
      <c r="Q50">
        <v>11.072651481316065</v>
      </c>
      <c r="R50">
        <v>10.699471121768255</v>
      </c>
      <c r="S50">
        <f t="shared" si="0"/>
        <v>0.43905252240130188</v>
      </c>
      <c r="T50">
        <f t="shared" si="1"/>
        <v>20.216950936651617</v>
      </c>
      <c r="U50">
        <f t="shared" si="2"/>
        <v>16.688282072545618</v>
      </c>
      <c r="V50">
        <f t="shared" si="3"/>
        <v>2.748744122883497</v>
      </c>
      <c r="W50">
        <f t="shared" si="4"/>
        <v>3.1871573476474375</v>
      </c>
    </row>
    <row r="51" spans="1:23" x14ac:dyDescent="0.25">
      <c r="A51">
        <v>50</v>
      </c>
      <c r="B51" t="s">
        <v>73</v>
      </c>
      <c r="C51">
        <v>50.04197649316383</v>
      </c>
      <c r="D51">
        <v>55.050448865111228</v>
      </c>
      <c r="E51">
        <v>64.865069044609513</v>
      </c>
      <c r="F51">
        <v>95.504336745775475</v>
      </c>
      <c r="G51">
        <v>54.002238165051658</v>
      </c>
      <c r="H51">
        <v>101.914010752618</v>
      </c>
      <c r="I51">
        <v>38.793166046881552</v>
      </c>
      <c r="J51">
        <v>128.85149254051549</v>
      </c>
      <c r="K51">
        <v>123.71560403768854</v>
      </c>
      <c r="L51">
        <v>131.58354724971784</v>
      </c>
      <c r="M51">
        <v>64.172727353625035</v>
      </c>
      <c r="N51">
        <v>76.174459912630724</v>
      </c>
      <c r="O51">
        <v>87.9917221380461</v>
      </c>
      <c r="P51">
        <v>40.386095984264067</v>
      </c>
      <c r="Q51">
        <v>71.401261385629411</v>
      </c>
      <c r="R51">
        <v>92.224434196075691</v>
      </c>
      <c r="S51">
        <f t="shared" si="0"/>
        <v>0.45066072255857503</v>
      </c>
      <c r="T51">
        <f t="shared" si="1"/>
        <v>84.432188994113318</v>
      </c>
      <c r="U51">
        <f t="shared" si="2"/>
        <v>72.058450161711846</v>
      </c>
      <c r="V51">
        <f t="shared" si="3"/>
        <v>11.355598831137758</v>
      </c>
      <c r="W51">
        <f t="shared" si="4"/>
        <v>12.353661745926669</v>
      </c>
    </row>
    <row r="52" spans="1:23" x14ac:dyDescent="0.25">
      <c r="A52">
        <v>51</v>
      </c>
      <c r="B52" t="s">
        <v>74</v>
      </c>
      <c r="C52">
        <v>46.97619333173423</v>
      </c>
      <c r="D52">
        <v>56.358444833247368</v>
      </c>
      <c r="E52">
        <v>40.361420078442457</v>
      </c>
      <c r="F52">
        <v>34.398937171486075</v>
      </c>
      <c r="G52">
        <v>21.878497132893216</v>
      </c>
      <c r="H52">
        <v>90.698994750477539</v>
      </c>
      <c r="I52">
        <v>29.942754237903511</v>
      </c>
      <c r="J52">
        <v>45.878940525789609</v>
      </c>
      <c r="K52">
        <v>40.880950226829171</v>
      </c>
      <c r="L52">
        <v>40.202962533835411</v>
      </c>
      <c r="M52">
        <v>50.82459666398433</v>
      </c>
      <c r="N52">
        <v>47.880615233565194</v>
      </c>
      <c r="O52">
        <v>24.265666018673951</v>
      </c>
      <c r="P52">
        <v>23.761196011467138</v>
      </c>
      <c r="Q52">
        <v>22.957353797014356</v>
      </c>
      <c r="R52">
        <v>58.754572853819973</v>
      </c>
      <c r="S52">
        <f t="shared" si="0"/>
        <v>0.48064412614656471</v>
      </c>
      <c r="T52">
        <f t="shared" si="1"/>
        <v>44.757809482263859</v>
      </c>
      <c r="U52">
        <f t="shared" si="2"/>
        <v>38.074000096420825</v>
      </c>
      <c r="V52">
        <f t="shared" si="3"/>
        <v>5.9223731592249846</v>
      </c>
      <c r="W52">
        <f t="shared" si="4"/>
        <v>5.605777196348158</v>
      </c>
    </row>
    <row r="53" spans="1:23" x14ac:dyDescent="0.25">
      <c r="A53">
        <v>52</v>
      </c>
      <c r="B53" t="s">
        <v>75</v>
      </c>
      <c r="C53">
        <v>62.230151115375392</v>
      </c>
      <c r="D53">
        <v>74.8659135576479</v>
      </c>
      <c r="E53">
        <v>40.655212044351394</v>
      </c>
      <c r="F53">
        <v>89.857155268530718</v>
      </c>
      <c r="G53">
        <v>60.083454061228558</v>
      </c>
      <c r="H53">
        <v>61.817764846378523</v>
      </c>
      <c r="I53">
        <v>35.478533052785529</v>
      </c>
      <c r="J53">
        <v>110.47631715574168</v>
      </c>
      <c r="K53">
        <v>119.64431117602201</v>
      </c>
      <c r="L53">
        <v>172.91019507176605</v>
      </c>
      <c r="M53">
        <v>34.508095959075902</v>
      </c>
      <c r="N53">
        <v>49.000096192437944</v>
      </c>
      <c r="O53">
        <v>62.033769718542658</v>
      </c>
      <c r="P53">
        <v>35.291834100238617</v>
      </c>
      <c r="Q53">
        <v>49.391300228727651</v>
      </c>
      <c r="R53">
        <v>127.50112382542555</v>
      </c>
      <c r="S53">
        <f t="shared" si="0"/>
        <v>0.27443993696658925</v>
      </c>
      <c r="T53">
        <f t="shared" si="1"/>
        <v>82.801900734982766</v>
      </c>
      <c r="U53">
        <f t="shared" si="2"/>
        <v>59.621036670741383</v>
      </c>
      <c r="V53">
        <f t="shared" si="3"/>
        <v>13.229176889517436</v>
      </c>
      <c r="W53">
        <f t="shared" si="4"/>
        <v>21.121037951738845</v>
      </c>
    </row>
    <row r="54" spans="1:23" x14ac:dyDescent="0.25">
      <c r="A54">
        <v>53</v>
      </c>
      <c r="B54" t="s">
        <v>76</v>
      </c>
      <c r="C54">
        <v>16.610698009114895</v>
      </c>
      <c r="D54">
        <v>15.493684199880661</v>
      </c>
      <c r="E54">
        <v>10.27572376000554</v>
      </c>
      <c r="F54">
        <v>19.837534932885418</v>
      </c>
      <c r="G54">
        <v>13.550441126716578</v>
      </c>
      <c r="H54">
        <v>20.658749343926225</v>
      </c>
      <c r="I54">
        <v>15.906821224244318</v>
      </c>
      <c r="J54">
        <v>18.471717462101871</v>
      </c>
      <c r="K54">
        <v>35.749828747205029</v>
      </c>
      <c r="L54">
        <v>37.393749313303431</v>
      </c>
      <c r="M54">
        <v>14.937193866978888</v>
      </c>
      <c r="N54">
        <v>15.28298820149994</v>
      </c>
      <c r="O54">
        <v>14.341410176521247</v>
      </c>
      <c r="P54">
        <v>8.6804490743379805</v>
      </c>
      <c r="Q54">
        <v>13.331167864441646</v>
      </c>
      <c r="R54">
        <v>25.545939697650144</v>
      </c>
      <c r="S54">
        <f t="shared" si="0"/>
        <v>0.24102929858888433</v>
      </c>
      <c r="T54">
        <f t="shared" si="1"/>
        <v>20.394894811938393</v>
      </c>
      <c r="U54">
        <f t="shared" si="2"/>
        <v>15.353191480238307</v>
      </c>
      <c r="V54">
        <f t="shared" si="3"/>
        <v>2.8607359491046305</v>
      </c>
      <c r="W54">
        <f t="shared" si="4"/>
        <v>4.446513966985715</v>
      </c>
    </row>
    <row r="55" spans="1:23" x14ac:dyDescent="0.25">
      <c r="A55">
        <v>54</v>
      </c>
      <c r="B55" t="s">
        <v>77</v>
      </c>
      <c r="C55">
        <v>114.01864955624849</v>
      </c>
      <c r="D55">
        <v>92.031675077620136</v>
      </c>
      <c r="E55">
        <v>74.252421860080872</v>
      </c>
      <c r="F55">
        <v>84.816321802464486</v>
      </c>
      <c r="G55">
        <v>93.690630069487213</v>
      </c>
      <c r="H55">
        <v>168.56085148354245</v>
      </c>
      <c r="I55">
        <v>118.25038635122978</v>
      </c>
      <c r="J55">
        <v>103.76127933270116</v>
      </c>
      <c r="K55">
        <v>143.03808920655027</v>
      </c>
      <c r="L55">
        <v>80.980253103868478</v>
      </c>
      <c r="M55">
        <v>99.259242309252031</v>
      </c>
      <c r="N55">
        <v>90.05602380265293</v>
      </c>
      <c r="O55">
        <v>96.883396447489289</v>
      </c>
      <c r="P55">
        <v>84.192418785848346</v>
      </c>
      <c r="Q55">
        <v>137.43114485633467</v>
      </c>
      <c r="R55">
        <v>80.578010899746062</v>
      </c>
      <c r="S55">
        <f t="shared" si="0"/>
        <v>0.51322033351827523</v>
      </c>
      <c r="T55">
        <f t="shared" si="1"/>
        <v>107.34005578437932</v>
      </c>
      <c r="U55">
        <f t="shared" si="2"/>
        <v>98.066706183553904</v>
      </c>
      <c r="V55">
        <f t="shared" si="3"/>
        <v>9.3786901690002473</v>
      </c>
      <c r="W55">
        <f t="shared" si="4"/>
        <v>10.156019499596557</v>
      </c>
    </row>
    <row r="56" spans="1:23" x14ac:dyDescent="0.25">
      <c r="A56">
        <v>55</v>
      </c>
      <c r="B56" t="s">
        <v>78</v>
      </c>
      <c r="C56">
        <v>47.268529623410892</v>
      </c>
      <c r="D56">
        <v>45.220252362314881</v>
      </c>
      <c r="E56">
        <v>43.628106937477568</v>
      </c>
      <c r="F56">
        <v>32.398893731628561</v>
      </c>
      <c r="G56">
        <v>49.569283353430556</v>
      </c>
      <c r="H56">
        <v>51.246004126156343</v>
      </c>
      <c r="I56">
        <v>59.501079391440214</v>
      </c>
      <c r="J56">
        <v>31.923246903144701</v>
      </c>
      <c r="K56" t="s">
        <v>115</v>
      </c>
      <c r="L56">
        <v>25.857247020985447</v>
      </c>
      <c r="M56">
        <v>36.205215432473075</v>
      </c>
      <c r="N56">
        <v>40.492040905004991</v>
      </c>
      <c r="O56">
        <v>52.26009868324342</v>
      </c>
      <c r="P56">
        <v>39.043981663543484</v>
      </c>
      <c r="Q56">
        <v>54.88110222366587</v>
      </c>
      <c r="R56">
        <v>35.7229544472466</v>
      </c>
      <c r="S56">
        <f t="shared" si="0"/>
        <v>0.97849281299545288</v>
      </c>
      <c r="T56">
        <f t="shared" si="1"/>
        <v>42.956960383332131</v>
      </c>
      <c r="U56">
        <f t="shared" si="2"/>
        <v>43.100898892529578</v>
      </c>
      <c r="V56">
        <f t="shared" si="3"/>
        <v>3.6053919771413732</v>
      </c>
      <c r="W56">
        <f t="shared" si="4"/>
        <v>4.0919271678553208</v>
      </c>
    </row>
    <row r="57" spans="1:23" x14ac:dyDescent="0.25">
      <c r="A57">
        <v>56</v>
      </c>
      <c r="B57" t="s">
        <v>79</v>
      </c>
      <c r="C57">
        <v>1.6041017030462941</v>
      </c>
      <c r="D57">
        <v>2.3395597986764969</v>
      </c>
      <c r="E57">
        <v>1.5738855316550351</v>
      </c>
      <c r="F57">
        <v>0.97739679413851521</v>
      </c>
      <c r="G57">
        <v>1.2492084009264963</v>
      </c>
      <c r="H57" t="s">
        <v>115</v>
      </c>
      <c r="I57">
        <v>2.289488769117872</v>
      </c>
      <c r="J57">
        <v>3.9474982729695056</v>
      </c>
      <c r="K57">
        <v>2.7917436765713255</v>
      </c>
      <c r="L57">
        <v>2.2598559685168351</v>
      </c>
      <c r="M57">
        <v>1.3729505852201871</v>
      </c>
      <c r="N57">
        <v>2.4877354641616827</v>
      </c>
      <c r="O57">
        <v>1.276385505710391</v>
      </c>
      <c r="P57">
        <v>2.1430535121183545</v>
      </c>
      <c r="Q57">
        <v>3.2059090232381879</v>
      </c>
      <c r="R57">
        <v>1.872135333615605</v>
      </c>
      <c r="S57">
        <f t="shared" si="0"/>
        <v>0.90276311178278612</v>
      </c>
      <c r="T57">
        <f t="shared" si="1"/>
        <v>2.1147487684020421</v>
      </c>
      <c r="U57">
        <f t="shared" si="2"/>
        <v>2.0596949040107346</v>
      </c>
      <c r="V57">
        <f t="shared" si="3"/>
        <v>0.30081939317192763</v>
      </c>
      <c r="W57">
        <f t="shared" si="4"/>
        <v>0.27131413486738049</v>
      </c>
    </row>
    <row r="58" spans="1:23" x14ac:dyDescent="0.25">
      <c r="A58">
        <v>57</v>
      </c>
      <c r="B58" t="s">
        <v>80</v>
      </c>
      <c r="C58">
        <v>40.334912449028543</v>
      </c>
      <c r="D58">
        <v>15.554364425206565</v>
      </c>
      <c r="E58">
        <v>16.501315418552124</v>
      </c>
      <c r="F58">
        <v>17.375943006906937</v>
      </c>
      <c r="G58">
        <v>16.673462129032817</v>
      </c>
      <c r="H58">
        <v>19.97820390073732</v>
      </c>
      <c r="I58">
        <v>25.175833591755108</v>
      </c>
      <c r="J58">
        <v>10.43727124891122</v>
      </c>
      <c r="K58">
        <v>44.991017306225842</v>
      </c>
      <c r="L58">
        <v>10.175594554371386</v>
      </c>
      <c r="M58">
        <v>17.269938611311332</v>
      </c>
      <c r="N58">
        <v>28.716759707973026</v>
      </c>
      <c r="O58">
        <v>23.46254704878876</v>
      </c>
      <c r="P58">
        <v>13.031497114093426</v>
      </c>
      <c r="Q58">
        <v>19.683773870910986</v>
      </c>
      <c r="R58">
        <v>11.722614850604689</v>
      </c>
      <c r="S58">
        <f t="shared" si="0"/>
        <v>0.61399429391186755</v>
      </c>
      <c r="T58">
        <f t="shared" si="1"/>
        <v>21.719791803072788</v>
      </c>
      <c r="U58">
        <f t="shared" si="2"/>
        <v>18.981188533947037</v>
      </c>
      <c r="V58">
        <f t="shared" si="3"/>
        <v>3.7611954698109296</v>
      </c>
      <c r="W58">
        <f t="shared" si="4"/>
        <v>4.6889513215607685</v>
      </c>
    </row>
    <row r="59" spans="1:23" x14ac:dyDescent="0.25">
      <c r="A59">
        <v>58</v>
      </c>
      <c r="B59" t="s">
        <v>81</v>
      </c>
      <c r="C59">
        <v>48.325437754857276</v>
      </c>
      <c r="D59">
        <v>21.467315270852929</v>
      </c>
      <c r="E59">
        <v>28.113093118762606</v>
      </c>
      <c r="F59">
        <v>74.055907096624722</v>
      </c>
      <c r="G59">
        <v>24.663190859958533</v>
      </c>
      <c r="H59">
        <v>19.633269908984037</v>
      </c>
      <c r="I59">
        <v>19.392311589170035</v>
      </c>
      <c r="J59">
        <v>58.021788474163195</v>
      </c>
      <c r="K59">
        <v>40.157164829199573</v>
      </c>
      <c r="L59">
        <v>29.877543274368989</v>
      </c>
      <c r="M59">
        <v>18.477626626088348</v>
      </c>
      <c r="N59">
        <v>31.121570656662655</v>
      </c>
      <c r="O59">
        <v>26.976192542036465</v>
      </c>
      <c r="P59">
        <v>19.604971018267907</v>
      </c>
      <c r="Q59">
        <v>23.126531054177324</v>
      </c>
      <c r="R59">
        <v>29.028982178795456</v>
      </c>
      <c r="S59">
        <f t="shared" si="0"/>
        <v>0.15888856643694674</v>
      </c>
      <c r="T59">
        <f t="shared" si="1"/>
        <v>36.370702217694188</v>
      </c>
      <c r="U59">
        <f t="shared" si="2"/>
        <v>24.722645679338026</v>
      </c>
      <c r="V59">
        <f t="shared" si="3"/>
        <v>5.8538976361624115</v>
      </c>
      <c r="W59">
        <f t="shared" si="4"/>
        <v>2.8623771653780841</v>
      </c>
    </row>
    <row r="60" spans="1:23" x14ac:dyDescent="0.25">
      <c r="A60">
        <v>59</v>
      </c>
      <c r="B60" t="s">
        <v>82</v>
      </c>
      <c r="C60">
        <v>52.46312065243464</v>
      </c>
      <c r="D60">
        <v>27.238678924072179</v>
      </c>
      <c r="E60">
        <v>30.449438752419411</v>
      </c>
      <c r="F60">
        <v>32.073094800249052</v>
      </c>
      <c r="G60">
        <v>21.427394099225314</v>
      </c>
      <c r="H60">
        <v>30.708447806359654</v>
      </c>
      <c r="I60">
        <v>34.265445719894721</v>
      </c>
      <c r="J60">
        <v>35.602572739091819</v>
      </c>
      <c r="K60">
        <v>57.8382081141513</v>
      </c>
      <c r="L60">
        <v>28.429237791783613</v>
      </c>
      <c r="M60">
        <v>22.907934764507193</v>
      </c>
      <c r="N60">
        <v>40.467163550363374</v>
      </c>
      <c r="O60">
        <v>33.350949365500163</v>
      </c>
      <c r="P60">
        <v>24.042607078715008</v>
      </c>
      <c r="Q60">
        <v>30.130469500724079</v>
      </c>
      <c r="R60">
        <v>40.022335009910343</v>
      </c>
      <c r="S60">
        <f t="shared" si="0"/>
        <v>0.54874307995061078</v>
      </c>
      <c r="T60">
        <f t="shared" si="1"/>
        <v>35.049563939968174</v>
      </c>
      <c r="U60">
        <f t="shared" si="2"/>
        <v>31.820243211620024</v>
      </c>
      <c r="V60">
        <f t="shared" si="3"/>
        <v>3.5943518726020351</v>
      </c>
      <c r="W60">
        <f t="shared" si="4"/>
        <v>4.658833920388016</v>
      </c>
    </row>
    <row r="61" spans="1:23" x14ac:dyDescent="0.25">
      <c r="A61">
        <v>60</v>
      </c>
      <c r="B61" t="s">
        <v>83</v>
      </c>
      <c r="C61">
        <v>52.830414967618132</v>
      </c>
      <c r="D61">
        <v>49.353249931734744</v>
      </c>
      <c r="E61">
        <v>42.075206546244608</v>
      </c>
      <c r="F61">
        <v>62.607694646761566</v>
      </c>
      <c r="G61">
        <v>34.943134992582827</v>
      </c>
      <c r="H61" t="s">
        <v>115</v>
      </c>
      <c r="I61">
        <v>44.371659204470994</v>
      </c>
      <c r="J61">
        <v>85.311015665561087</v>
      </c>
      <c r="K61">
        <v>73.981207429140113</v>
      </c>
      <c r="L61">
        <v>60.229531448205606</v>
      </c>
      <c r="M61">
        <v>53.86288545905493</v>
      </c>
      <c r="N61">
        <v>48.485964196511198</v>
      </c>
      <c r="O61">
        <v>55.164234243988972</v>
      </c>
      <c r="P61">
        <v>39.029550326761544</v>
      </c>
      <c r="Q61">
        <v>54.483535669332895</v>
      </c>
      <c r="R61">
        <v>47.957141162269501</v>
      </c>
      <c r="S61">
        <f t="shared" si="0"/>
        <v>0.37670896157276357</v>
      </c>
      <c r="T61">
        <f t="shared" si="1"/>
        <v>56.189234981368848</v>
      </c>
      <c r="U61">
        <f t="shared" si="2"/>
        <v>49.830551842986516</v>
      </c>
      <c r="V61">
        <f t="shared" si="3"/>
        <v>5.3624505151096225</v>
      </c>
      <c r="W61">
        <f t="shared" si="4"/>
        <v>4.1705333640118445</v>
      </c>
    </row>
    <row r="62" spans="1:23" x14ac:dyDescent="0.25">
      <c r="A62">
        <v>61</v>
      </c>
      <c r="B62" t="s">
        <v>84</v>
      </c>
      <c r="C62">
        <v>95.489026145358594</v>
      </c>
      <c r="D62">
        <v>104.67338868718333</v>
      </c>
      <c r="E62">
        <v>111.36114517310293</v>
      </c>
      <c r="F62">
        <v>167.45160075874949</v>
      </c>
      <c r="G62">
        <v>79.411484042230185</v>
      </c>
      <c r="H62">
        <v>100.53427478560488</v>
      </c>
      <c r="I62">
        <v>90.118720244121008</v>
      </c>
      <c r="J62">
        <v>45.41768393411111</v>
      </c>
      <c r="K62">
        <v>72.998927246642793</v>
      </c>
      <c r="L62">
        <v>44.610305942047802</v>
      </c>
      <c r="M62">
        <v>103.33995654865649</v>
      </c>
      <c r="N62">
        <v>72.384809555557766</v>
      </c>
      <c r="O62">
        <v>128.36996249004167</v>
      </c>
      <c r="P62">
        <v>118.17100123893026</v>
      </c>
      <c r="Q62">
        <v>62.705550367453</v>
      </c>
      <c r="R62">
        <v>104.61100401964872</v>
      </c>
      <c r="S62">
        <f t="shared" si="0"/>
        <v>0.67806044998334314</v>
      </c>
      <c r="T62">
        <f t="shared" si="1"/>
        <v>91.206655695915217</v>
      </c>
      <c r="U62">
        <f t="shared" si="2"/>
        <v>98.263714036714646</v>
      </c>
      <c r="V62">
        <f t="shared" si="3"/>
        <v>11.178288461857678</v>
      </c>
      <c r="W62">
        <f t="shared" si="4"/>
        <v>11.993381880144151</v>
      </c>
    </row>
    <row r="63" spans="1:23" x14ac:dyDescent="0.25">
      <c r="A63">
        <v>62</v>
      </c>
      <c r="B63" t="s">
        <v>85</v>
      </c>
      <c r="C63">
        <v>51.406212520988248</v>
      </c>
      <c r="D63">
        <v>71.494789928431047</v>
      </c>
      <c r="E63">
        <v>72.90237782626123</v>
      </c>
      <c r="F63">
        <v>46.996495851493606</v>
      </c>
      <c r="G63">
        <v>47.417868885168254</v>
      </c>
      <c r="H63">
        <v>96.81458119886004</v>
      </c>
      <c r="I63">
        <v>103.37725222050511</v>
      </c>
      <c r="J63">
        <v>45.803852243423343</v>
      </c>
      <c r="K63">
        <v>66.471933928732994</v>
      </c>
      <c r="L63">
        <v>38.804598619615049</v>
      </c>
      <c r="M63">
        <v>58.998737648211922</v>
      </c>
      <c r="N63">
        <v>60.435386876034485</v>
      </c>
      <c r="O63">
        <v>79.852971862870291</v>
      </c>
      <c r="P63">
        <v>89.928875156670188</v>
      </c>
      <c r="Q63">
        <v>60.69234100721372</v>
      </c>
      <c r="R63">
        <v>53.105513329712416</v>
      </c>
      <c r="S63">
        <f t="shared" si="0"/>
        <v>0.77204155891427551</v>
      </c>
      <c r="T63">
        <f t="shared" si="1"/>
        <v>64.148996322347898</v>
      </c>
      <c r="U63">
        <f t="shared" si="2"/>
        <v>67.168970980118843</v>
      </c>
      <c r="V63">
        <f t="shared" si="3"/>
        <v>7.03741994202427</v>
      </c>
      <c r="W63">
        <f t="shared" si="4"/>
        <v>6.4182985273605055</v>
      </c>
    </row>
    <row r="64" spans="1:23" x14ac:dyDescent="0.25">
      <c r="A64">
        <v>63</v>
      </c>
      <c r="B64" t="s">
        <v>86</v>
      </c>
      <c r="C64">
        <v>1078.848344926841</v>
      </c>
      <c r="D64">
        <v>901.70140609566579</v>
      </c>
      <c r="E64">
        <v>1152.5039119799269</v>
      </c>
      <c r="F64">
        <v>1214.7775155297491</v>
      </c>
      <c r="G64">
        <v>1416.819203109141</v>
      </c>
      <c r="H64">
        <v>1021.3495495814645</v>
      </c>
      <c r="I64">
        <v>1008.7162887728767</v>
      </c>
      <c r="J64">
        <v>1151.2320914446557</v>
      </c>
      <c r="K64">
        <v>874.8755993847825</v>
      </c>
      <c r="L64">
        <v>1029.6827711577455</v>
      </c>
      <c r="M64">
        <v>863.1791179300991</v>
      </c>
      <c r="N64">
        <v>1136.9448618311724</v>
      </c>
      <c r="O64">
        <v>970.40434888922198</v>
      </c>
      <c r="P64">
        <v>883.70290784220481</v>
      </c>
      <c r="Q64">
        <v>821.87157416054242</v>
      </c>
      <c r="R64">
        <v>1004.8359867949152</v>
      </c>
      <c r="S64">
        <f t="shared" si="0"/>
        <v>8.5616646693563447E-2</v>
      </c>
      <c r="T64">
        <f t="shared" si="1"/>
        <v>1085.0506681982849</v>
      </c>
      <c r="U64">
        <f t="shared" si="2"/>
        <v>946.82313290802597</v>
      </c>
      <c r="V64">
        <f t="shared" si="3"/>
        <v>50.178425072858559</v>
      </c>
      <c r="W64">
        <f t="shared" si="4"/>
        <v>43.284357626726496</v>
      </c>
    </row>
    <row r="65" spans="1:23" x14ac:dyDescent="0.25">
      <c r="A65">
        <v>64</v>
      </c>
      <c r="B65" t="s">
        <v>87</v>
      </c>
      <c r="C65">
        <v>193.2717678100264</v>
      </c>
      <c r="D65">
        <v>201.48531707103294</v>
      </c>
      <c r="E65">
        <v>194.24545479346074</v>
      </c>
      <c r="F65">
        <v>185.53344145031204</v>
      </c>
      <c r="G65">
        <v>182.77480416055801</v>
      </c>
      <c r="H65">
        <v>235.39414302082002</v>
      </c>
      <c r="I65">
        <v>247.64067328055549</v>
      </c>
      <c r="J65">
        <v>200.16390699350808</v>
      </c>
      <c r="K65">
        <v>229.63384213723486</v>
      </c>
      <c r="L65">
        <v>105.7762417970974</v>
      </c>
      <c r="M65">
        <v>188.24678024019008</v>
      </c>
      <c r="N65">
        <v>251.29445168651881</v>
      </c>
      <c r="O65">
        <v>269.85514458651204</v>
      </c>
      <c r="P65">
        <v>187.83827955375421</v>
      </c>
      <c r="Q65">
        <v>215.19347111129156</v>
      </c>
      <c r="R65">
        <v>330.11623565830047</v>
      </c>
      <c r="S65">
        <f t="shared" si="0"/>
        <v>8.9619299759105014E-2</v>
      </c>
      <c r="T65">
        <f t="shared" si="1"/>
        <v>197.59195925146062</v>
      </c>
      <c r="U65">
        <f t="shared" si="2"/>
        <v>240.4240604727612</v>
      </c>
      <c r="V65">
        <f t="shared" si="3"/>
        <v>12.386049202967241</v>
      </c>
      <c r="W65">
        <f t="shared" si="4"/>
        <v>27.060686663434119</v>
      </c>
    </row>
    <row r="66" spans="1:23" x14ac:dyDescent="0.25">
      <c r="A66">
        <v>65</v>
      </c>
      <c r="B66" t="s">
        <v>88</v>
      </c>
      <c r="C66">
        <v>70.655432957543766</v>
      </c>
      <c r="D66">
        <v>29.086054672883016</v>
      </c>
      <c r="E66">
        <v>37.829213134179689</v>
      </c>
      <c r="F66">
        <v>19.982334457942976</v>
      </c>
      <c r="G66">
        <v>41.050376063779026</v>
      </c>
      <c r="H66">
        <v>31.650024378442929</v>
      </c>
      <c r="I66">
        <v>53.777357468645533</v>
      </c>
      <c r="J66">
        <v>51.32820444608447</v>
      </c>
      <c r="K66">
        <v>67.699784156854633</v>
      </c>
      <c r="L66">
        <v>21.374991260225535</v>
      </c>
      <c r="M66">
        <v>37.298490898481745</v>
      </c>
      <c r="N66">
        <v>53.983859572308525</v>
      </c>
      <c r="O66">
        <v>25.384296012442604</v>
      </c>
      <c r="P66">
        <v>48.619173618361856</v>
      </c>
      <c r="Q66">
        <v>35.823284204257853</v>
      </c>
      <c r="R66">
        <v>14.955313653417681</v>
      </c>
      <c r="S66">
        <f t="shared" si="0"/>
        <v>0.47045945021641411</v>
      </c>
      <c r="T66">
        <f t="shared" si="1"/>
        <v>42.443377299658167</v>
      </c>
      <c r="U66">
        <f t="shared" si="2"/>
        <v>36.010736326545043</v>
      </c>
      <c r="V66">
        <f t="shared" si="3"/>
        <v>5.6840187914532967</v>
      </c>
      <c r="W66">
        <f t="shared" si="4"/>
        <v>7.2735663816067975</v>
      </c>
    </row>
    <row r="67" spans="1:23" x14ac:dyDescent="0.25">
      <c r="A67">
        <v>66</v>
      </c>
      <c r="B67" t="s">
        <v>89</v>
      </c>
      <c r="C67">
        <v>108.40429359558647</v>
      </c>
      <c r="D67">
        <v>101.15393561828093</v>
      </c>
      <c r="E67">
        <v>111.02538292634986</v>
      </c>
      <c r="F67">
        <v>76.571798844499781</v>
      </c>
      <c r="G67">
        <v>101.20323059172574</v>
      </c>
      <c r="H67">
        <v>140.43474734517358</v>
      </c>
      <c r="I67">
        <v>123.4102789502865</v>
      </c>
      <c r="J67">
        <v>79.175230306488913</v>
      </c>
      <c r="K67">
        <v>76.760026366468054</v>
      </c>
      <c r="L67">
        <v>35.046495600147828</v>
      </c>
      <c r="M67">
        <v>70.59254259007129</v>
      </c>
      <c r="N67">
        <v>68.910272357278615</v>
      </c>
      <c r="O67">
        <v>94.172869924126772</v>
      </c>
      <c r="P67">
        <v>116.51139750900695</v>
      </c>
      <c r="Q67">
        <v>86.914815867473308</v>
      </c>
      <c r="R67">
        <v>73.296275212601643</v>
      </c>
      <c r="S67">
        <f t="shared" ref="S67:S92" si="5">IFERROR(_xlfn.T.TEST(C67:L67,M67:R67,2,2),"")</f>
        <v>0.46057607831542091</v>
      </c>
      <c r="T67">
        <f t="shared" ref="T67:T92" si="6">IFERROR(AVERAGE(C67:L67),"")</f>
        <v>95.318542014500778</v>
      </c>
      <c r="U67">
        <f t="shared" ref="U67:U92" si="7">IFERROR(AVERAGE(M67:R67),"")</f>
        <v>85.066362243426425</v>
      </c>
      <c r="V67">
        <f t="shared" ref="V67:V92" si="8">IFERROR(STDEV(C67:L67)/SQRT(COUNT(C67:L67)),"")</f>
        <v>9.3692320128522351</v>
      </c>
      <c r="W67">
        <f t="shared" ref="W67:W92" si="9">IFERROR(STDEV(K67:R67)/SQRT(COUNT(M67:R67)),"")</f>
        <v>9.5492709612418203</v>
      </c>
    </row>
    <row r="68" spans="1:23" x14ac:dyDescent="0.25">
      <c r="A68">
        <v>72</v>
      </c>
      <c r="B68" t="s">
        <v>90</v>
      </c>
      <c r="C68">
        <v>372.60134324778119</v>
      </c>
      <c r="D68">
        <v>355.90974827819861</v>
      </c>
      <c r="E68">
        <v>372.73806417675644</v>
      </c>
      <c r="F68">
        <v>442.1091498819884</v>
      </c>
      <c r="G68">
        <v>357.51650429849138</v>
      </c>
      <c r="H68">
        <v>240.88511926791955</v>
      </c>
      <c r="I68">
        <v>323.50134592893869</v>
      </c>
      <c r="J68">
        <v>303.51756422193523</v>
      </c>
      <c r="K68">
        <v>278.55398017344999</v>
      </c>
      <c r="L68">
        <v>308.888600337605</v>
      </c>
      <c r="M68">
        <v>253.39837051105545</v>
      </c>
      <c r="N68">
        <v>333.99507096680031</v>
      </c>
      <c r="O68">
        <v>358.40618172144247</v>
      </c>
      <c r="P68">
        <v>314.68972986702244</v>
      </c>
      <c r="Q68">
        <v>306.70144951073939</v>
      </c>
      <c r="R68">
        <v>396.66411606368308</v>
      </c>
      <c r="S68">
        <f t="shared" si="5"/>
        <v>0.77038895030003762</v>
      </c>
      <c r="T68">
        <f t="shared" si="6"/>
        <v>335.62214198130636</v>
      </c>
      <c r="U68">
        <f t="shared" si="7"/>
        <v>327.30915310679052</v>
      </c>
      <c r="V68">
        <f t="shared" si="8"/>
        <v>17.98136824372812</v>
      </c>
      <c r="W68">
        <f t="shared" si="9"/>
        <v>18.271028350909468</v>
      </c>
    </row>
    <row r="69" spans="1:23" x14ac:dyDescent="0.25">
      <c r="A69">
        <v>73</v>
      </c>
      <c r="B69" t="s">
        <v>91</v>
      </c>
      <c r="C69">
        <v>26.370232669704965</v>
      </c>
      <c r="D69">
        <v>24.501326537148095</v>
      </c>
      <c r="E69">
        <v>20.936175094415642</v>
      </c>
      <c r="F69">
        <v>27.158960918608187</v>
      </c>
      <c r="G69">
        <v>25.183694360344571</v>
      </c>
      <c r="H69">
        <v>7.7656760846076462</v>
      </c>
      <c r="I69">
        <v>19.614426171248631</v>
      </c>
      <c r="J69">
        <v>15.843627579282499</v>
      </c>
      <c r="K69">
        <v>7.4834240219203583</v>
      </c>
      <c r="L69">
        <v>21.125283418400471</v>
      </c>
      <c r="M69">
        <v>15.197800228062347</v>
      </c>
      <c r="N69">
        <v>12.720620673413404</v>
      </c>
      <c r="O69">
        <v>27.019216772566033</v>
      </c>
      <c r="P69">
        <v>17.360898148675961</v>
      </c>
      <c r="Q69">
        <v>22.365233396943982</v>
      </c>
      <c r="R69">
        <v>16.653296862976021</v>
      </c>
      <c r="S69">
        <f t="shared" si="5"/>
        <v>0.76164632729665338</v>
      </c>
      <c r="T69">
        <f t="shared" si="6"/>
        <v>19.598282685568108</v>
      </c>
      <c r="U69">
        <f t="shared" si="7"/>
        <v>18.552844347106291</v>
      </c>
      <c r="V69">
        <f t="shared" si="8"/>
        <v>2.2687725189497039</v>
      </c>
      <c r="W69">
        <f t="shared" si="9"/>
        <v>2.4719310724256167</v>
      </c>
    </row>
    <row r="70" spans="1:23" x14ac:dyDescent="0.25">
      <c r="A70" s="2">
        <v>74</v>
      </c>
      <c r="B70" s="2" t="s">
        <v>92</v>
      </c>
      <c r="C70">
        <v>33.491244902854397</v>
      </c>
      <c r="D70">
        <v>39.772516577500447</v>
      </c>
      <c r="E70">
        <v>38.430787159612279</v>
      </c>
      <c r="F70">
        <v>25.258467152227741</v>
      </c>
      <c r="G70">
        <v>6.3414676463699218</v>
      </c>
      <c r="H70">
        <v>4.3909164896160888</v>
      </c>
      <c r="I70">
        <v>12.763045600977987</v>
      </c>
      <c r="J70">
        <v>24.961490438043587</v>
      </c>
      <c r="K70">
        <v>26.12089801088263</v>
      </c>
      <c r="L70">
        <v>12.897410030264592</v>
      </c>
      <c r="M70">
        <v>42.141955463008514</v>
      </c>
      <c r="N70">
        <v>22.912043624929101</v>
      </c>
      <c r="O70">
        <v>43.547692001006773</v>
      </c>
      <c r="P70">
        <v>35.234108753110853</v>
      </c>
      <c r="Q70">
        <v>32.947270832487447</v>
      </c>
      <c r="R70">
        <v>35.83179952478239</v>
      </c>
      <c r="S70">
        <f t="shared" si="5"/>
        <v>4.1006472747207E-2</v>
      </c>
      <c r="T70">
        <f t="shared" si="6"/>
        <v>22.442824400834965</v>
      </c>
      <c r="U70">
        <f t="shared" si="7"/>
        <v>35.435811699887516</v>
      </c>
      <c r="V70">
        <f t="shared" si="8"/>
        <v>4.0493327976958788</v>
      </c>
      <c r="W70">
        <f t="shared" si="9"/>
        <v>4.2029695100733253</v>
      </c>
    </row>
    <row r="71" spans="1:23" x14ac:dyDescent="0.25">
      <c r="A71">
        <v>75</v>
      </c>
      <c r="B71" t="s">
        <v>93</v>
      </c>
      <c r="C71">
        <v>35.252758455265052</v>
      </c>
      <c r="D71">
        <v>29.220899618051696</v>
      </c>
      <c r="E71">
        <v>16.983973648259667</v>
      </c>
      <c r="F71">
        <v>19.837534932885418</v>
      </c>
      <c r="G71">
        <v>3.9731767196134395</v>
      </c>
      <c r="H71">
        <v>12.827815477094983</v>
      </c>
      <c r="I71">
        <v>19.050596847510651</v>
      </c>
      <c r="J71">
        <v>36.449997640082557</v>
      </c>
      <c r="K71">
        <v>27.426296674464592</v>
      </c>
      <c r="L71">
        <v>20.126452051100213</v>
      </c>
      <c r="M71">
        <v>30.611713048242688</v>
      </c>
      <c r="N71">
        <v>12.496724481638854</v>
      </c>
      <c r="O71">
        <v>21.512115264781873</v>
      </c>
      <c r="P71">
        <v>21.83461255107791</v>
      </c>
      <c r="Q71">
        <v>16.359440767658722</v>
      </c>
      <c r="R71">
        <v>9.9484400867712957</v>
      </c>
      <c r="S71">
        <f t="shared" si="5"/>
        <v>0.49813371460495515</v>
      </c>
      <c r="T71">
        <f t="shared" si="6"/>
        <v>22.11495020643283</v>
      </c>
      <c r="U71">
        <f t="shared" si="7"/>
        <v>18.79384103336189</v>
      </c>
      <c r="V71">
        <f t="shared" si="8"/>
        <v>3.1920617732305421</v>
      </c>
      <c r="W71">
        <f t="shared" si="9"/>
        <v>2.8619042442495655</v>
      </c>
    </row>
    <row r="72" spans="1:23" x14ac:dyDescent="0.25">
      <c r="A72" s="2">
        <v>76</v>
      </c>
      <c r="B72" s="2" t="s">
        <v>94</v>
      </c>
      <c r="C72">
        <v>278.38660350203884</v>
      </c>
      <c r="D72">
        <v>242.59279860570325</v>
      </c>
      <c r="E72">
        <v>311.58036994004544</v>
      </c>
      <c r="F72">
        <v>316.32361245855111</v>
      </c>
      <c r="G72">
        <v>311.54737015606429</v>
      </c>
      <c r="H72">
        <v>226.11821540475208</v>
      </c>
      <c r="I72">
        <v>239.10634760761238</v>
      </c>
      <c r="J72">
        <v>242.15971063121356</v>
      </c>
      <c r="K72">
        <v>253.37658812733451</v>
      </c>
      <c r="L72">
        <v>333.93429687265899</v>
      </c>
      <c r="M72">
        <v>186.12379183526627</v>
      </c>
      <c r="N72">
        <v>287.70660643029862</v>
      </c>
      <c r="O72">
        <v>222.44244254293281</v>
      </c>
      <c r="P72">
        <v>221.88901869074584</v>
      </c>
      <c r="Q72">
        <v>259.93239676803768</v>
      </c>
      <c r="R72">
        <v>169.46090121547297</v>
      </c>
      <c r="S72">
        <f t="shared" si="5"/>
        <v>3.1677857601896911E-2</v>
      </c>
      <c r="T72">
        <f t="shared" si="6"/>
        <v>275.5125913305975</v>
      </c>
      <c r="U72">
        <f t="shared" si="7"/>
        <v>224.59252624712568</v>
      </c>
      <c r="V72">
        <f t="shared" si="8"/>
        <v>12.533348406757217</v>
      </c>
      <c r="W72">
        <f t="shared" si="9"/>
        <v>21.910459997073509</v>
      </c>
    </row>
    <row r="73" spans="1:23" x14ac:dyDescent="0.25">
      <c r="A73">
        <v>77</v>
      </c>
      <c r="B73" t="s">
        <v>95</v>
      </c>
      <c r="C73">
        <v>57.140501319261212</v>
      </c>
      <c r="D73">
        <v>59.264353401632299</v>
      </c>
      <c r="E73">
        <v>60.4441994623607</v>
      </c>
      <c r="F73">
        <v>44.272454786348305</v>
      </c>
      <c r="G73">
        <v>36.244393743547924</v>
      </c>
      <c r="H73">
        <v>95.276362046446749</v>
      </c>
      <c r="I73">
        <v>51.769783361396662</v>
      </c>
      <c r="J73">
        <v>54.696450255085615</v>
      </c>
      <c r="K73">
        <v>59.893241653849635</v>
      </c>
      <c r="L73">
        <v>59.755086548737978</v>
      </c>
      <c r="M73">
        <v>57.860968413237792</v>
      </c>
      <c r="N73">
        <v>73.570630126808169</v>
      </c>
      <c r="O73">
        <v>47.756895887815752</v>
      </c>
      <c r="P73">
        <v>46.649296147626799</v>
      </c>
      <c r="Q73">
        <v>37.438927010164164</v>
      </c>
      <c r="R73">
        <v>55.423913481224766</v>
      </c>
      <c r="S73">
        <f t="shared" si="5"/>
        <v>0.5307991199470099</v>
      </c>
      <c r="T73">
        <f t="shared" si="6"/>
        <v>57.875682657866705</v>
      </c>
      <c r="U73">
        <f t="shared" si="7"/>
        <v>53.116771844479565</v>
      </c>
      <c r="V73">
        <f t="shared" si="8"/>
        <v>4.848630610954392</v>
      </c>
      <c r="W73">
        <f t="shared" si="9"/>
        <v>4.4455305613090399</v>
      </c>
    </row>
    <row r="74" spans="1:23" x14ac:dyDescent="0.25">
      <c r="A74">
        <v>78</v>
      </c>
      <c r="B74" t="s">
        <v>96</v>
      </c>
      <c r="C74">
        <v>136.7159390741185</v>
      </c>
      <c r="D74">
        <v>121.94702616329049</v>
      </c>
      <c r="E74">
        <v>180.57713333188767</v>
      </c>
      <c r="F74">
        <v>113.38707809038387</v>
      </c>
      <c r="G74">
        <v>153.82613448075438</v>
      </c>
      <c r="H74">
        <v>194.2164824377324</v>
      </c>
      <c r="I74">
        <v>107.93914402165788</v>
      </c>
      <c r="J74">
        <v>128.25078628158536</v>
      </c>
      <c r="K74">
        <v>78.362694032647894</v>
      </c>
      <c r="L74">
        <v>136.26556928393779</v>
      </c>
      <c r="M74">
        <v>106.49901414520478</v>
      </c>
      <c r="N74">
        <v>175.00389745222719</v>
      </c>
      <c r="O74">
        <v>98.425098041465318</v>
      </c>
      <c r="P74">
        <v>124.18886867699999</v>
      </c>
      <c r="Q74">
        <v>81.974839958314732</v>
      </c>
      <c r="R74">
        <v>40.610098428603614</v>
      </c>
      <c r="S74">
        <f t="shared" si="5"/>
        <v>0.14309521037131004</v>
      </c>
      <c r="T74">
        <f t="shared" si="6"/>
        <v>135.1487987197996</v>
      </c>
      <c r="U74">
        <f t="shared" si="7"/>
        <v>104.45030278380261</v>
      </c>
      <c r="V74">
        <f t="shared" si="8"/>
        <v>10.834994577887509</v>
      </c>
      <c r="W74">
        <f t="shared" si="9"/>
        <v>16.674269378465173</v>
      </c>
    </row>
    <row r="75" spans="1:23" x14ac:dyDescent="0.25">
      <c r="A75">
        <v>79</v>
      </c>
      <c r="B75" t="s">
        <v>97</v>
      </c>
      <c r="C75">
        <v>114.7982130007196</v>
      </c>
      <c r="D75">
        <v>65.305406945188906</v>
      </c>
      <c r="E75">
        <v>143.20959328699348</v>
      </c>
      <c r="F75">
        <v>114.36447488452238</v>
      </c>
      <c r="G75">
        <v>32.245191848915184</v>
      </c>
      <c r="H75">
        <v>46.230477435257285</v>
      </c>
      <c r="I75">
        <v>64.524286093833155</v>
      </c>
      <c r="J75">
        <v>90.159573326925795</v>
      </c>
      <c r="K75">
        <v>51.815279626733535</v>
      </c>
      <c r="L75">
        <v>103.40401729975927</v>
      </c>
      <c r="M75">
        <v>80.349390498927704</v>
      </c>
      <c r="N75">
        <v>88.148759946795622</v>
      </c>
      <c r="O75">
        <v>85.066074462035772</v>
      </c>
      <c r="P75">
        <v>99.042264334466438</v>
      </c>
      <c r="Q75">
        <v>63.830579127586716</v>
      </c>
      <c r="R75">
        <v>50.515000484360591</v>
      </c>
      <c r="S75">
        <f t="shared" si="5"/>
        <v>0.76747084424424838</v>
      </c>
      <c r="T75">
        <f t="shared" si="6"/>
        <v>82.605651374884843</v>
      </c>
      <c r="U75">
        <f t="shared" si="7"/>
        <v>77.825344809028806</v>
      </c>
      <c r="V75">
        <f t="shared" si="8"/>
        <v>11.373002054078489</v>
      </c>
      <c r="W75">
        <f t="shared" si="9"/>
        <v>8.2922893546571128</v>
      </c>
    </row>
    <row r="76" spans="1:23" x14ac:dyDescent="0.25">
      <c r="A76">
        <v>80</v>
      </c>
      <c r="B76" t="s">
        <v>98</v>
      </c>
      <c r="C76">
        <v>52.650515711201727</v>
      </c>
      <c r="D76">
        <v>35.767621705990827</v>
      </c>
      <c r="E76">
        <v>60.346268807057726</v>
      </c>
      <c r="F76">
        <v>41.647963394680069</v>
      </c>
      <c r="G76">
        <v>39.584291204358351</v>
      </c>
      <c r="H76">
        <v>6.0596512064765546</v>
      </c>
      <c r="I76">
        <v>31.796556711405668</v>
      </c>
      <c r="J76">
        <v>46.308016425025421</v>
      </c>
      <c r="K76">
        <v>12.808416590195293</v>
      </c>
      <c r="L76">
        <v>42.999690362276134</v>
      </c>
      <c r="M76">
        <v>21.80830304578917</v>
      </c>
      <c r="N76">
        <v>57.657415607720601</v>
      </c>
      <c r="O76">
        <v>54.189018351985531</v>
      </c>
      <c r="P76">
        <v>48.402703566632724</v>
      </c>
      <c r="Q76">
        <v>39.875079513310865</v>
      </c>
      <c r="R76">
        <v>9.1647555285136004</v>
      </c>
      <c r="S76">
        <f t="shared" si="5"/>
        <v>0.87003912469868072</v>
      </c>
      <c r="T76">
        <f t="shared" si="6"/>
        <v>36.996899211866776</v>
      </c>
      <c r="U76">
        <f t="shared" si="7"/>
        <v>38.516212602325417</v>
      </c>
      <c r="V76">
        <f t="shared" si="8"/>
        <v>5.2831354975616422</v>
      </c>
      <c r="W76">
        <f t="shared" si="9"/>
        <v>7.6795296506225021</v>
      </c>
    </row>
    <row r="77" spans="1:23" x14ac:dyDescent="0.25">
      <c r="A77">
        <v>81</v>
      </c>
      <c r="B77" t="s">
        <v>99</v>
      </c>
      <c r="C77">
        <v>128.74040537299112</v>
      </c>
      <c r="D77">
        <v>88.910014596965311</v>
      </c>
      <c r="E77">
        <v>161.71149209244933</v>
      </c>
      <c r="F77">
        <v>117.88491333748425</v>
      </c>
      <c r="G77">
        <v>129.39717019596958</v>
      </c>
      <c r="H77">
        <v>79.838235280408028</v>
      </c>
      <c r="I77">
        <v>88.162403348121046</v>
      </c>
      <c r="J77">
        <v>114.18782368413147</v>
      </c>
      <c r="K77">
        <v>60.461930180558603</v>
      </c>
      <c r="L77">
        <v>114.59092861352218</v>
      </c>
      <c r="M77">
        <v>90.754576184138102</v>
      </c>
      <c r="N77">
        <v>118.14255719303833</v>
      </c>
      <c r="O77">
        <v>99.873580469293955</v>
      </c>
      <c r="P77">
        <v>110.13996231977966</v>
      </c>
      <c r="Q77">
        <v>93.115162342495978</v>
      </c>
      <c r="R77">
        <v>82.134495508507882</v>
      </c>
      <c r="S77">
        <f t="shared" si="5"/>
        <v>0.47757113397815654</v>
      </c>
      <c r="T77">
        <f t="shared" si="6"/>
        <v>108.38853167026009</v>
      </c>
      <c r="U77">
        <f t="shared" si="7"/>
        <v>99.026722336208991</v>
      </c>
      <c r="V77">
        <f t="shared" si="8"/>
        <v>9.2866511085985124</v>
      </c>
      <c r="W77">
        <f t="shared" si="9"/>
        <v>7.7792734800183334</v>
      </c>
    </row>
    <row r="78" spans="1:23" x14ac:dyDescent="0.25">
      <c r="A78">
        <v>82</v>
      </c>
      <c r="B78" t="s">
        <v>100</v>
      </c>
      <c r="C78">
        <v>32.524286399616216</v>
      </c>
      <c r="D78">
        <v>36.866608009115517</v>
      </c>
      <c r="E78">
        <v>39.270192776494966</v>
      </c>
      <c r="F78">
        <v>36.489480314504569</v>
      </c>
      <c r="G78">
        <v>22.4944262750167</v>
      </c>
      <c r="H78">
        <v>33.775563570868549</v>
      </c>
      <c r="I78">
        <v>27.320093595667739</v>
      </c>
      <c r="J78">
        <v>35.334400302069433</v>
      </c>
      <c r="K78">
        <v>24.531155083946182</v>
      </c>
      <c r="L78">
        <v>34.234945114216366</v>
      </c>
      <c r="M78">
        <v>35.289915042326285</v>
      </c>
      <c r="N78">
        <v>42.225163278370971</v>
      </c>
      <c r="O78">
        <v>32.899194944939744</v>
      </c>
      <c r="P78">
        <v>26.402130642562486</v>
      </c>
      <c r="Q78">
        <v>38.487826004574551</v>
      </c>
      <c r="R78">
        <v>35.429072737899965</v>
      </c>
      <c r="S78">
        <f t="shared" si="5"/>
        <v>0.33619331723004175</v>
      </c>
      <c r="T78">
        <f t="shared" si="6"/>
        <v>32.284115144151627</v>
      </c>
      <c r="U78">
        <f t="shared" si="7"/>
        <v>35.122217108445668</v>
      </c>
      <c r="V78">
        <f t="shared" si="8"/>
        <v>1.7747287846010376</v>
      </c>
      <c r="W78">
        <f t="shared" si="9"/>
        <v>2.3873277222245708</v>
      </c>
    </row>
    <row r="79" spans="1:23" x14ac:dyDescent="0.25">
      <c r="A79">
        <v>83</v>
      </c>
      <c r="B79" t="s">
        <v>101</v>
      </c>
      <c r="C79">
        <v>28.529023746701846</v>
      </c>
      <c r="D79">
        <v>22.256158200089672</v>
      </c>
      <c r="E79">
        <v>10.450599930189432</v>
      </c>
      <c r="F79">
        <v>23.41227320774388</v>
      </c>
      <c r="G79">
        <v>20.039384764862543</v>
      </c>
      <c r="H79">
        <v>1.640767095907498</v>
      </c>
      <c r="I79">
        <v>8.5599542785675649</v>
      </c>
      <c r="J79">
        <v>36.975615616646429</v>
      </c>
      <c r="K79">
        <v>12.640394980031278</v>
      </c>
      <c r="L79">
        <v>5.1439815415963324</v>
      </c>
      <c r="M79" t="s">
        <v>115</v>
      </c>
      <c r="N79">
        <v>14.047412920966302</v>
      </c>
      <c r="O79">
        <v>17.984128361357644</v>
      </c>
      <c r="P79">
        <v>25.60119145116472</v>
      </c>
      <c r="Q79">
        <v>18.516450796486527</v>
      </c>
      <c r="R79">
        <v>15.869612304718325</v>
      </c>
      <c r="S79">
        <f t="shared" si="5"/>
        <v>0.7885448772378526</v>
      </c>
      <c r="T79">
        <f t="shared" si="6"/>
        <v>16.964815336233649</v>
      </c>
      <c r="U79">
        <f t="shared" si="7"/>
        <v>18.403759166938706</v>
      </c>
      <c r="V79">
        <f t="shared" si="8"/>
        <v>3.526912267356983</v>
      </c>
      <c r="W79">
        <f t="shared" si="9"/>
        <v>2.7972153486548881</v>
      </c>
    </row>
    <row r="80" spans="1:23" x14ac:dyDescent="0.25">
      <c r="A80">
        <v>84</v>
      </c>
      <c r="B80" t="s">
        <v>102</v>
      </c>
      <c r="C80">
        <v>27.05984648596786</v>
      </c>
      <c r="D80">
        <v>18.622086927793902</v>
      </c>
      <c r="E80">
        <v>44.915195550031022</v>
      </c>
      <c r="F80">
        <v>24.48016970504337</v>
      </c>
      <c r="G80">
        <v>75.17805557242373</v>
      </c>
      <c r="H80">
        <v>1.0068343543068738</v>
      </c>
      <c r="I80">
        <v>10.755471493729107</v>
      </c>
      <c r="J80">
        <v>29.638417739713979</v>
      </c>
      <c r="K80">
        <v>10.365640873195384</v>
      </c>
      <c r="L80">
        <v>28.404267007601106</v>
      </c>
      <c r="M80" t="s">
        <v>115</v>
      </c>
      <c r="N80">
        <v>23.641779361083191</v>
      </c>
      <c r="O80">
        <v>34.799431793328807</v>
      </c>
      <c r="P80">
        <v>29.69247542884521</v>
      </c>
      <c r="Q80">
        <v>35.31575243276896</v>
      </c>
      <c r="R80">
        <v>6.7157412839583044</v>
      </c>
      <c r="S80">
        <f t="shared" si="5"/>
        <v>0.92258670178743296</v>
      </c>
      <c r="T80">
        <f t="shared" si="6"/>
        <v>27.042598570980637</v>
      </c>
      <c r="U80">
        <f t="shared" si="7"/>
        <v>26.033036059996896</v>
      </c>
      <c r="V80">
        <f t="shared" si="8"/>
        <v>6.6196409452380447</v>
      </c>
      <c r="W80">
        <f t="shared" si="9"/>
        <v>5.1026809355636038</v>
      </c>
    </row>
    <row r="81" spans="1:23" x14ac:dyDescent="0.25">
      <c r="A81">
        <v>85</v>
      </c>
      <c r="B81" t="s">
        <v>103</v>
      </c>
      <c r="C81">
        <v>371.63438474454301</v>
      </c>
      <c r="D81">
        <v>384.20696002184485</v>
      </c>
      <c r="E81">
        <v>393.85611048816332</v>
      </c>
      <c r="F81">
        <v>381.50149867508435</v>
      </c>
      <c r="G81">
        <v>312.94405454876681</v>
      </c>
      <c r="H81">
        <v>187.0194813125018</v>
      </c>
      <c r="I81">
        <v>313.81373300289522</v>
      </c>
      <c r="J81">
        <v>304.22553945567432</v>
      </c>
      <c r="K81">
        <v>160.33139031420043</v>
      </c>
      <c r="L81">
        <v>388.37060639052311</v>
      </c>
      <c r="M81">
        <v>473.96033952559475</v>
      </c>
      <c r="N81">
        <v>361.75819874684476</v>
      </c>
      <c r="O81">
        <v>378.63474077542571</v>
      </c>
      <c r="P81">
        <v>389.12656498827818</v>
      </c>
      <c r="Q81">
        <v>376.25021993043435</v>
      </c>
      <c r="R81">
        <v>229.55426852298319</v>
      </c>
      <c r="S81">
        <f t="shared" si="5"/>
        <v>0.27474598254075761</v>
      </c>
      <c r="T81">
        <f t="shared" si="6"/>
        <v>319.79037589541969</v>
      </c>
      <c r="U81">
        <f t="shared" si="7"/>
        <v>368.21405541492686</v>
      </c>
      <c r="V81">
        <f t="shared" si="8"/>
        <v>26.711353461048986</v>
      </c>
      <c r="W81">
        <f t="shared" si="9"/>
        <v>40.905625159121058</v>
      </c>
    </row>
    <row r="82" spans="1:23" x14ac:dyDescent="0.25">
      <c r="A82">
        <v>86</v>
      </c>
      <c r="B82" t="s">
        <v>104</v>
      </c>
      <c r="C82">
        <v>153.81386423602783</v>
      </c>
      <c r="D82">
        <v>200.77063886163899</v>
      </c>
      <c r="E82">
        <v>155.98954380403237</v>
      </c>
      <c r="F82">
        <v>129.88517397662935</v>
      </c>
      <c r="G82">
        <v>85.813677096978481</v>
      </c>
      <c r="H82">
        <v>228.87768733877832</v>
      </c>
      <c r="I82">
        <v>95.338412922968089</v>
      </c>
      <c r="J82">
        <v>202.78126997884658</v>
      </c>
      <c r="K82">
        <v>120.56196766230241</v>
      </c>
      <c r="L82">
        <v>280.98374901365401</v>
      </c>
      <c r="M82">
        <v>175.10204963724865</v>
      </c>
      <c r="N82">
        <v>247.27261268612406</v>
      </c>
      <c r="O82">
        <v>224.21360669973319</v>
      </c>
      <c r="P82">
        <v>212.85500186525027</v>
      </c>
      <c r="Q82">
        <v>192.43067116001461</v>
      </c>
      <c r="R82">
        <v>86.325030993635835</v>
      </c>
      <c r="S82">
        <f t="shared" si="5"/>
        <v>0.44886559339815379</v>
      </c>
      <c r="T82">
        <f t="shared" si="6"/>
        <v>165.48159848918564</v>
      </c>
      <c r="U82">
        <f t="shared" si="7"/>
        <v>189.69982884033445</v>
      </c>
      <c r="V82">
        <f t="shared" si="8"/>
        <v>19.656650188684864</v>
      </c>
      <c r="W82">
        <f t="shared" si="9"/>
        <v>26.277086599369706</v>
      </c>
    </row>
    <row r="83" spans="1:23" x14ac:dyDescent="0.25">
      <c r="A83">
        <v>87</v>
      </c>
      <c r="B83" t="s">
        <v>105</v>
      </c>
      <c r="C83">
        <v>237.3695730390981</v>
      </c>
      <c r="D83">
        <v>461.03486753169699</v>
      </c>
      <c r="E83">
        <v>471.57807556469265</v>
      </c>
      <c r="F83">
        <v>163.28861441334473</v>
      </c>
      <c r="G83">
        <v>459.26626356562252</v>
      </c>
      <c r="H83">
        <v>175.20782273003135</v>
      </c>
      <c r="I83">
        <v>295.4551085072448</v>
      </c>
      <c r="J83">
        <v>461.78220965506591</v>
      </c>
      <c r="K83">
        <v>223.59798891057375</v>
      </c>
      <c r="L83">
        <v>512.01344427020388</v>
      </c>
      <c r="M83">
        <v>367.39776285329646</v>
      </c>
      <c r="N83">
        <v>523.21223037093796</v>
      </c>
      <c r="O83">
        <v>417.02669581797312</v>
      </c>
      <c r="P83">
        <v>430.88363796682671</v>
      </c>
      <c r="Q83">
        <v>494.0483440930069</v>
      </c>
      <c r="R83">
        <v>171.23507597930637</v>
      </c>
      <c r="S83">
        <f t="shared" si="5"/>
        <v>0.44518918520911588</v>
      </c>
      <c r="T83">
        <f t="shared" si="6"/>
        <v>346.05939681875742</v>
      </c>
      <c r="U83">
        <f t="shared" si="7"/>
        <v>400.63395784689124</v>
      </c>
      <c r="V83">
        <f t="shared" si="8"/>
        <v>44.056667425789882</v>
      </c>
      <c r="W83">
        <f t="shared" si="9"/>
        <v>53.86760991169961</v>
      </c>
    </row>
    <row r="84" spans="1:23" x14ac:dyDescent="0.25">
      <c r="A84">
        <v>88</v>
      </c>
      <c r="B84" t="s">
        <v>106</v>
      </c>
      <c r="C84">
        <v>2.9683377308707124</v>
      </c>
      <c r="D84">
        <v>16.046548475072228</v>
      </c>
      <c r="E84">
        <v>19.075492643659025</v>
      </c>
      <c r="F84">
        <v>0.94119691287412577</v>
      </c>
      <c r="G84">
        <v>15.259427619650742</v>
      </c>
      <c r="H84">
        <v>2.423860482590622</v>
      </c>
      <c r="I84">
        <v>9.4996698181308723</v>
      </c>
      <c r="J84">
        <v>19.329869260573503</v>
      </c>
      <c r="K84">
        <v>8.8405216424758635</v>
      </c>
      <c r="L84">
        <v>14.520511002127511</v>
      </c>
      <c r="M84">
        <v>16.119456870918491</v>
      </c>
      <c r="N84">
        <v>9.9675267597411423</v>
      </c>
      <c r="O84">
        <v>11.458786731040476</v>
      </c>
      <c r="P84">
        <v>20.579086251048977</v>
      </c>
      <c r="Q84">
        <v>19.201618687996536</v>
      </c>
      <c r="R84">
        <v>2.4925522755696137</v>
      </c>
      <c r="S84">
        <f t="shared" si="5"/>
        <v>0.50848162359629412</v>
      </c>
      <c r="T84">
        <f t="shared" si="6"/>
        <v>10.89054355880252</v>
      </c>
      <c r="U84">
        <f t="shared" si="7"/>
        <v>13.303171262719204</v>
      </c>
      <c r="V84">
        <f t="shared" si="8"/>
        <v>2.202615853654927</v>
      </c>
      <c r="W84">
        <f t="shared" si="9"/>
        <v>2.425757123612311</v>
      </c>
    </row>
    <row r="85" spans="1:23" x14ac:dyDescent="0.25">
      <c r="A85">
        <v>89</v>
      </c>
      <c r="B85" t="s">
        <v>107</v>
      </c>
      <c r="C85">
        <v>101.21581914128089</v>
      </c>
      <c r="D85">
        <v>255.38958390221043</v>
      </c>
      <c r="E85">
        <v>227.57685283051072</v>
      </c>
      <c r="F85">
        <v>71.847714339496974</v>
      </c>
      <c r="G85">
        <v>156.22045058253016</v>
      </c>
      <c r="H85">
        <v>176.89520252752712</v>
      </c>
      <c r="I85">
        <v>176.95697896831192</v>
      </c>
      <c r="J85">
        <v>312.24925877138406</v>
      </c>
      <c r="K85">
        <v>169.93447157203602</v>
      </c>
      <c r="L85">
        <v>344.49693858185924</v>
      </c>
      <c r="M85">
        <v>274.77444837260862</v>
      </c>
      <c r="N85">
        <v>312.30201771931047</v>
      </c>
      <c r="O85">
        <v>282.54729259273336</v>
      </c>
      <c r="P85">
        <v>237.6841167985811</v>
      </c>
      <c r="Q85">
        <v>235.94306170232923</v>
      </c>
      <c r="R85">
        <v>155.19131155053077</v>
      </c>
      <c r="S85">
        <f t="shared" si="5"/>
        <v>0.22312752515314838</v>
      </c>
      <c r="T85">
        <f t="shared" si="6"/>
        <v>199.27832712171477</v>
      </c>
      <c r="U85">
        <f t="shared" si="7"/>
        <v>249.74037478934895</v>
      </c>
      <c r="V85">
        <f t="shared" si="8"/>
        <v>27.359593522203372</v>
      </c>
      <c r="W85">
        <f t="shared" si="9"/>
        <v>26.820412764111047</v>
      </c>
    </row>
    <row r="86" spans="1:23" x14ac:dyDescent="0.25">
      <c r="A86">
        <v>90</v>
      </c>
      <c r="B86" t="s">
        <v>108</v>
      </c>
      <c r="C86">
        <v>5.554389541856561</v>
      </c>
      <c r="D86">
        <v>72.593776231555736</v>
      </c>
      <c r="E86">
        <v>37.605371636344309</v>
      </c>
      <c r="F86">
        <v>2.2534426087082435</v>
      </c>
      <c r="G86">
        <v>14.062269568762851</v>
      </c>
      <c r="H86">
        <v>144.49005238335405</v>
      </c>
      <c r="I86">
        <v>38.767537441257097</v>
      </c>
      <c r="J86">
        <v>76.708043885882972</v>
      </c>
      <c r="K86">
        <v>39.317056778379495</v>
      </c>
      <c r="L86">
        <v>18.728088136879851</v>
      </c>
      <c r="M86">
        <v>62.596376681705564</v>
      </c>
      <c r="N86">
        <v>59.581264366672301</v>
      </c>
      <c r="O86">
        <v>53.084729768393395</v>
      </c>
      <c r="P86">
        <v>104.95911241506256</v>
      </c>
      <c r="Q86">
        <v>66.402073436463795</v>
      </c>
      <c r="R86">
        <v>17.676440591812455</v>
      </c>
      <c r="S86">
        <f t="shared" si="5"/>
        <v>0.44236826933813622</v>
      </c>
      <c r="T86">
        <f t="shared" si="6"/>
        <v>45.008002821298113</v>
      </c>
      <c r="U86">
        <f t="shared" si="7"/>
        <v>60.716666210018353</v>
      </c>
      <c r="V86">
        <f t="shared" si="8"/>
        <v>13.671335482527024</v>
      </c>
      <c r="W86">
        <f t="shared" si="9"/>
        <v>11.57169577284858</v>
      </c>
    </row>
    <row r="87" spans="1:23" x14ac:dyDescent="0.25">
      <c r="A87">
        <v>91</v>
      </c>
      <c r="B87" t="s">
        <v>109</v>
      </c>
      <c r="C87">
        <v>107.60973854641401</v>
      </c>
      <c r="D87">
        <v>164.92211018854695</v>
      </c>
      <c r="E87">
        <v>187.90094733918912</v>
      </c>
      <c r="F87">
        <v>89.395606782409743</v>
      </c>
      <c r="G87">
        <v>224.39773407476164</v>
      </c>
      <c r="H87">
        <v>107.13463333050551</v>
      </c>
      <c r="I87">
        <v>144.79307890962244</v>
      </c>
      <c r="J87">
        <v>186.91618860460227</v>
      </c>
      <c r="K87">
        <v>93.213219423298142</v>
      </c>
      <c r="L87">
        <v>244.87599508574965</v>
      </c>
      <c r="M87">
        <v>143.18094853087931</v>
      </c>
      <c r="N87">
        <v>218.75487181528399</v>
      </c>
      <c r="O87">
        <v>146.65526046510627</v>
      </c>
      <c r="P87">
        <v>173.25541373560205</v>
      </c>
      <c r="Q87">
        <v>188.68339491385493</v>
      </c>
      <c r="R87">
        <v>58.950493993384391</v>
      </c>
      <c r="S87">
        <f t="shared" si="5"/>
        <v>0.99444207127966178</v>
      </c>
      <c r="T87">
        <f t="shared" si="6"/>
        <v>155.11592522850992</v>
      </c>
      <c r="U87">
        <f t="shared" si="7"/>
        <v>154.91339724235181</v>
      </c>
      <c r="V87">
        <f t="shared" si="8"/>
        <v>17.592872108045661</v>
      </c>
      <c r="W87">
        <f t="shared" si="9"/>
        <v>25.245290729455977</v>
      </c>
    </row>
    <row r="88" spans="1:23" x14ac:dyDescent="0.25">
      <c r="A88">
        <v>92</v>
      </c>
      <c r="B88" t="s">
        <v>110</v>
      </c>
      <c r="C88">
        <v>5.5618853442072433</v>
      </c>
      <c r="D88">
        <v>39.448888709095627</v>
      </c>
      <c r="E88">
        <v>32.43603204570843</v>
      </c>
      <c r="F88">
        <v>2.8959905011511564</v>
      </c>
      <c r="G88">
        <v>23.11035541714018</v>
      </c>
      <c r="H88">
        <v>5.1740098762992117</v>
      </c>
      <c r="I88">
        <v>10.063499141868855</v>
      </c>
      <c r="J88">
        <v>37.436872208324935</v>
      </c>
      <c r="K88">
        <v>9.6418554755657802</v>
      </c>
      <c r="L88">
        <v>20.563440774294072</v>
      </c>
      <c r="M88">
        <v>24.852948093569125</v>
      </c>
      <c r="N88">
        <v>11.84162080940961</v>
      </c>
      <c r="O88">
        <v>11.9463946770422</v>
      </c>
      <c r="P88">
        <v>41.049937476233396</v>
      </c>
      <c r="Q88">
        <v>46.980524314155396</v>
      </c>
      <c r="R88">
        <v>7.0531610243192553</v>
      </c>
      <c r="S88">
        <f t="shared" si="5"/>
        <v>0.50368617174209751</v>
      </c>
      <c r="T88">
        <f t="shared" si="6"/>
        <v>18.633282949365551</v>
      </c>
      <c r="U88">
        <f t="shared" si="7"/>
        <v>23.95409773245483</v>
      </c>
      <c r="V88">
        <f t="shared" si="8"/>
        <v>4.4160223240976055</v>
      </c>
      <c r="W88">
        <f t="shared" si="9"/>
        <v>6.1275984460632866</v>
      </c>
    </row>
    <row r="89" spans="1:23" x14ac:dyDescent="0.25">
      <c r="A89">
        <v>93</v>
      </c>
      <c r="B89" t="s">
        <v>111</v>
      </c>
      <c r="C89">
        <v>15.898596785799953</v>
      </c>
      <c r="D89">
        <v>70.968894642273213</v>
      </c>
      <c r="E89">
        <v>60.227353011332674</v>
      </c>
      <c r="F89">
        <v>4.7602843862672133</v>
      </c>
      <c r="G89">
        <v>25.096943776946901</v>
      </c>
      <c r="H89">
        <v>39.434345543685893</v>
      </c>
      <c r="I89">
        <v>13.096217474095885</v>
      </c>
      <c r="J89">
        <v>126.15904127281075</v>
      </c>
      <c r="K89">
        <v>58.432746119347044</v>
      </c>
      <c r="L89">
        <v>37.556059410489723</v>
      </c>
      <c r="M89">
        <v>107.72577091810986</v>
      </c>
      <c r="N89">
        <v>19.810666746274201</v>
      </c>
      <c r="O89">
        <v>37.997566262693041</v>
      </c>
      <c r="P89">
        <v>81.890620569128615</v>
      </c>
      <c r="Q89">
        <v>106.12489341832799</v>
      </c>
      <c r="R89">
        <v>3.3415438803487829</v>
      </c>
      <c r="S89">
        <f t="shared" si="5"/>
        <v>0.49408583012987994</v>
      </c>
      <c r="T89">
        <f t="shared" si="6"/>
        <v>45.163048242304924</v>
      </c>
      <c r="U89">
        <f t="shared" si="7"/>
        <v>59.481843632480413</v>
      </c>
      <c r="V89">
        <f t="shared" si="8"/>
        <v>11.372343010432353</v>
      </c>
      <c r="W89">
        <f t="shared" si="9"/>
        <v>15.892626003050326</v>
      </c>
    </row>
    <row r="90" spans="1:23" x14ac:dyDescent="0.25">
      <c r="A90">
        <v>94</v>
      </c>
      <c r="B90" t="s">
        <v>112</v>
      </c>
      <c r="C90">
        <v>70.580474934036943</v>
      </c>
      <c r="D90">
        <v>122.47292144944832</v>
      </c>
      <c r="E90">
        <v>34.975234036778559</v>
      </c>
      <c r="F90">
        <v>8.2445229579646977</v>
      </c>
      <c r="G90">
        <v>29.712074813703122</v>
      </c>
      <c r="H90">
        <v>30.130450306664965</v>
      </c>
      <c r="I90">
        <v>4.3312343505326902</v>
      </c>
      <c r="J90">
        <v>190.92804826245717</v>
      </c>
      <c r="K90">
        <v>10.869705703687428</v>
      </c>
      <c r="L90">
        <v>61.902573988433538</v>
      </c>
      <c r="M90">
        <v>152.36573369589399</v>
      </c>
      <c r="N90">
        <v>28.509448419292887</v>
      </c>
      <c r="O90">
        <v>29.959205858752885</v>
      </c>
      <c r="P90">
        <v>124.53522075976659</v>
      </c>
      <c r="Q90">
        <v>214.1276543911649</v>
      </c>
      <c r="R90">
        <v>0.17415212405726557</v>
      </c>
      <c r="S90">
        <f t="shared" si="5"/>
        <v>0.34326054685651131</v>
      </c>
      <c r="T90">
        <f t="shared" si="6"/>
        <v>56.414724080370739</v>
      </c>
      <c r="U90">
        <f t="shared" si="7"/>
        <v>91.611902541488078</v>
      </c>
      <c r="V90">
        <f t="shared" si="8"/>
        <v>18.755520062273622</v>
      </c>
      <c r="W90">
        <f t="shared" si="9"/>
        <v>31.549629603233203</v>
      </c>
    </row>
    <row r="91" spans="1:23" x14ac:dyDescent="0.25">
      <c r="A91">
        <v>95</v>
      </c>
      <c r="B91" t="s">
        <v>113</v>
      </c>
      <c r="C91">
        <v>5.0971455984648602</v>
      </c>
      <c r="D91">
        <v>100.97863718956165</v>
      </c>
      <c r="E91">
        <v>24.335767842790521</v>
      </c>
      <c r="F91">
        <v>0.60634801117852333</v>
      </c>
      <c r="G91">
        <v>33.745976941694934</v>
      </c>
      <c r="H91">
        <v>44.449872234584952</v>
      </c>
      <c r="I91">
        <v>2.4261746657816254</v>
      </c>
      <c r="J91">
        <v>92.004599693639804</v>
      </c>
      <c r="K91">
        <v>1.8999366687777073</v>
      </c>
      <c r="L91">
        <v>20.913031752849164</v>
      </c>
      <c r="M91">
        <v>162.21792539539069</v>
      </c>
      <c r="N91">
        <v>9.453394763814396</v>
      </c>
      <c r="O91">
        <v>9.7019639844166239</v>
      </c>
      <c r="P91">
        <v>86.010767220373012</v>
      </c>
      <c r="Q91">
        <v>116.21631680809887</v>
      </c>
      <c r="R91">
        <v>0.52245637217179675</v>
      </c>
      <c r="S91">
        <f t="shared" si="5"/>
        <v>0.24437678834007556</v>
      </c>
      <c r="T91">
        <f t="shared" si="6"/>
        <v>32.645749059932371</v>
      </c>
      <c r="U91">
        <f t="shared" si="7"/>
        <v>64.020470757377566</v>
      </c>
      <c r="V91">
        <f t="shared" si="8"/>
        <v>11.635240266648909</v>
      </c>
      <c r="W91">
        <f t="shared" si="9"/>
        <v>25.422093707134611</v>
      </c>
    </row>
    <row r="92" spans="1:23" x14ac:dyDescent="0.25">
      <c r="A92">
        <v>96</v>
      </c>
      <c r="B92" t="s">
        <v>114</v>
      </c>
      <c r="C92">
        <v>10.171803789877668</v>
      </c>
      <c r="D92">
        <v>2.4744047438451711</v>
      </c>
      <c r="E92">
        <v>1.6438359997285923</v>
      </c>
      <c r="F92">
        <v>8.4164723939705475</v>
      </c>
      <c r="G92">
        <v>1.2058331092276595</v>
      </c>
      <c r="H92">
        <v>35.546846231223242</v>
      </c>
      <c r="I92">
        <v>5.9116650307073408</v>
      </c>
      <c r="J92">
        <v>29.434606687576967</v>
      </c>
      <c r="K92">
        <v>2.3393778030528232</v>
      </c>
      <c r="L92">
        <v>16.218524326537949</v>
      </c>
      <c r="M92">
        <v>1.4174443541856558</v>
      </c>
      <c r="N92">
        <v>11.684064230012703</v>
      </c>
      <c r="O92">
        <v>11.336884744540047</v>
      </c>
      <c r="P92">
        <v>3.1532470868542792</v>
      </c>
      <c r="Q92">
        <v>20.96106216249137</v>
      </c>
      <c r="R92">
        <v>1.2734874071687545</v>
      </c>
      <c r="S92">
        <f t="shared" si="5"/>
        <v>0.59569695322094618</v>
      </c>
      <c r="T92">
        <f t="shared" si="6"/>
        <v>11.336337011574797</v>
      </c>
      <c r="U92">
        <f t="shared" si="7"/>
        <v>8.3043649975421339</v>
      </c>
      <c r="V92">
        <f t="shared" si="8"/>
        <v>3.8483639983269327</v>
      </c>
      <c r="W92">
        <f t="shared" si="9"/>
        <v>3.0935706697445329</v>
      </c>
    </row>
  </sheetData>
  <autoFilter ref="A2:W92" xr:uid="{BE5EDD1D-634E-4691-9FD1-39098D9477DA}"/>
  <conditionalFormatting sqref="S3:S92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462-656F-4858-9AAD-B849F4E35BA8}">
  <dimension ref="A1:X92"/>
  <sheetViews>
    <sheetView zoomScale="85" zoomScaleNormal="85" workbookViewId="0"/>
  </sheetViews>
  <sheetFormatPr defaultRowHeight="15" x14ac:dyDescent="0.25"/>
  <cols>
    <col min="1" max="1" width="12.28515625" bestFit="1" customWidth="1"/>
    <col min="2" max="2" width="35" bestFit="1" customWidth="1"/>
    <col min="3" max="24" width="12" bestFit="1" customWidth="1"/>
  </cols>
  <sheetData>
    <row r="1" spans="1:24" x14ac:dyDescent="0.25">
      <c r="B1" s="3" t="s">
        <v>24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</row>
    <row r="2" spans="1:2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x14ac:dyDescent="0.25">
      <c r="A3">
        <v>1</v>
      </c>
      <c r="B3" t="s">
        <v>25</v>
      </c>
      <c r="C3">
        <v>22.78041596929468</v>
      </c>
      <c r="D3">
        <v>40.208645209580837</v>
      </c>
      <c r="E3">
        <v>34.909586585702904</v>
      </c>
      <c r="F3">
        <v>24.781999587834026</v>
      </c>
      <c r="G3">
        <v>4.9479671074642111</v>
      </c>
      <c r="H3">
        <v>17.698366923415701</v>
      </c>
      <c r="I3">
        <v>30.936607597857755</v>
      </c>
      <c r="J3">
        <v>0</v>
      </c>
      <c r="K3">
        <v>7.6438305638755875</v>
      </c>
      <c r="L3">
        <v>52.855529925011453</v>
      </c>
      <c r="M3">
        <v>3.3190752417147276</v>
      </c>
      <c r="N3">
        <v>12.87728627640813</v>
      </c>
      <c r="O3">
        <v>5.2574623105670613</v>
      </c>
      <c r="P3">
        <v>0.57500326462133888</v>
      </c>
      <c r="Q3">
        <v>11.995882954572183</v>
      </c>
      <c r="R3">
        <v>0.28624417821085463</v>
      </c>
      <c r="S3">
        <v>2.6113964303507236</v>
      </c>
      <c r="T3">
        <f>IFERROR(_xlfn.T.TEST(C3:K3,L3:S3,2,2),"")</f>
        <v>0.24642949869914574</v>
      </c>
      <c r="U3">
        <f>IFERROR(AVERAGE(C3:K3),"")</f>
        <v>20.434157727225074</v>
      </c>
      <c r="V3">
        <f>IFERROR(AVERAGE(L3:S3),"")</f>
        <v>11.222235072682059</v>
      </c>
      <c r="W3">
        <f>IFERROR(STDEV(C3:K3)/SQRT(COUNT(C3:K3)),"")</f>
        <v>4.6603117860283172</v>
      </c>
      <c r="X3">
        <f>IFERROR(STDEV(L3:S3)/SQRT(COUNT(L3:S3)),"")</f>
        <v>6.1843890438422697</v>
      </c>
    </row>
    <row r="4" spans="1:24" x14ac:dyDescent="0.25">
      <c r="A4">
        <v>3</v>
      </c>
      <c r="B4" t="s">
        <v>26</v>
      </c>
      <c r="C4">
        <v>947.02271291200236</v>
      </c>
      <c r="D4">
        <v>682.02657185628743</v>
      </c>
      <c r="E4">
        <v>396.80473976124097</v>
      </c>
      <c r="F4">
        <v>600.08659648742992</v>
      </c>
      <c r="G4">
        <v>462.40601503759399</v>
      </c>
      <c r="H4">
        <v>384.80994708215559</v>
      </c>
      <c r="I4">
        <v>732.31661586684993</v>
      </c>
      <c r="J4">
        <v>490.40639632281881</v>
      </c>
      <c r="K4">
        <v>590.78161665108644</v>
      </c>
      <c r="L4">
        <v>805.16035873658768</v>
      </c>
      <c r="M4">
        <v>501.37704743917362</v>
      </c>
      <c r="N4">
        <v>440.7944439679431</v>
      </c>
      <c r="O4">
        <v>532.31805894491492</v>
      </c>
      <c r="P4">
        <v>607.42377579386721</v>
      </c>
      <c r="Q4">
        <v>430.06740891361426</v>
      </c>
      <c r="R4">
        <v>789.98622449892366</v>
      </c>
      <c r="S4">
        <v>522.0693865934735</v>
      </c>
      <c r="T4">
        <f t="shared" ref="T4:T66" si="0">IFERROR(_xlfn.T.TEST(C4:K4,L4:S4,2,2),"")</f>
        <v>0.91474953703659201</v>
      </c>
      <c r="U4">
        <f t="shared" ref="U4:U66" si="1">IFERROR(AVERAGE(C4:K4),"")</f>
        <v>587.40680133082958</v>
      </c>
      <c r="V4">
        <f t="shared" ref="V4:V66" si="2">IFERROR(AVERAGE(L4:S4),"")</f>
        <v>578.64958811106226</v>
      </c>
      <c r="W4">
        <f t="shared" ref="W4:W66" si="3">IFERROR(STDEV(C4:K4)/SQRT(COUNT(C4:K4)),"")</f>
        <v>60.30667368413841</v>
      </c>
      <c r="X4">
        <f t="shared" ref="X4:X66" si="4">IFERROR(STDEV(L4:S4)/SQRT(COUNT(L4:S4)),"")</f>
        <v>51.616362481883328</v>
      </c>
    </row>
    <row r="5" spans="1:24" x14ac:dyDescent="0.25">
      <c r="A5">
        <v>4</v>
      </c>
      <c r="B5" t="s">
        <v>27</v>
      </c>
      <c r="C5">
        <v>208.97837526353345</v>
      </c>
      <c r="D5">
        <v>517.18048278443109</v>
      </c>
      <c r="E5">
        <v>364.7931050212382</v>
      </c>
      <c r="F5">
        <v>263.01601410523551</v>
      </c>
      <c r="G5">
        <v>343.88371396876266</v>
      </c>
      <c r="H5">
        <v>145.11842770871596</v>
      </c>
      <c r="I5">
        <v>330.38109477611226</v>
      </c>
      <c r="J5">
        <v>34.737738876989219</v>
      </c>
      <c r="K5">
        <v>204.51380277390925</v>
      </c>
      <c r="L5">
        <v>341.67278983494327</v>
      </c>
      <c r="M5">
        <v>219.95388698130847</v>
      </c>
      <c r="N5">
        <v>294.86753196704075</v>
      </c>
      <c r="O5">
        <v>196.90656759271025</v>
      </c>
      <c r="P5">
        <v>263.41598154400737</v>
      </c>
      <c r="Q5">
        <v>379.81285124861813</v>
      </c>
      <c r="R5">
        <v>392.8820614351568</v>
      </c>
      <c r="S5">
        <v>270.22088215811232</v>
      </c>
      <c r="T5">
        <f t="shared" si="0"/>
        <v>0.63343137688165796</v>
      </c>
      <c r="U5">
        <f t="shared" si="1"/>
        <v>268.06697280876972</v>
      </c>
      <c r="V5">
        <f t="shared" si="2"/>
        <v>294.96656909523711</v>
      </c>
      <c r="W5">
        <f t="shared" si="3"/>
        <v>46.868546912324547</v>
      </c>
      <c r="X5">
        <f t="shared" si="4"/>
        <v>25.290551266720332</v>
      </c>
    </row>
    <row r="6" spans="1:24" x14ac:dyDescent="0.25">
      <c r="A6">
        <v>5</v>
      </c>
      <c r="B6" t="s">
        <v>28</v>
      </c>
      <c r="C6">
        <v>109.28979163292675</v>
      </c>
      <c r="D6">
        <v>61.178424401197603</v>
      </c>
      <c r="E6">
        <v>131.09207168674214</v>
      </c>
      <c r="F6">
        <v>139.98030762569499</v>
      </c>
      <c r="G6">
        <v>39.627757919388635</v>
      </c>
      <c r="H6">
        <v>167.05731243889767</v>
      </c>
      <c r="I6">
        <v>165.88463794313625</v>
      </c>
      <c r="J6">
        <v>342.82604053616751</v>
      </c>
      <c r="K6">
        <v>216.36110422191274</v>
      </c>
      <c r="L6">
        <v>238.96997642046836</v>
      </c>
      <c r="M6">
        <v>162.87070997232138</v>
      </c>
      <c r="N6">
        <v>164.38513895367348</v>
      </c>
      <c r="O6">
        <v>195.34393296151393</v>
      </c>
      <c r="P6">
        <v>153.65484434876581</v>
      </c>
      <c r="Q6">
        <v>146.81371018303656</v>
      </c>
      <c r="R6">
        <v>290.80023138071073</v>
      </c>
      <c r="S6">
        <v>129.85986740526587</v>
      </c>
      <c r="T6">
        <f t="shared" si="0"/>
        <v>0.38439298579684755</v>
      </c>
      <c r="U6">
        <f t="shared" si="1"/>
        <v>152.58860537845158</v>
      </c>
      <c r="V6">
        <f t="shared" si="2"/>
        <v>185.33730145321954</v>
      </c>
      <c r="W6">
        <f t="shared" si="3"/>
        <v>29.873616416079106</v>
      </c>
      <c r="X6">
        <f t="shared" si="4"/>
        <v>19.183492622204565</v>
      </c>
    </row>
    <row r="7" spans="1:24" x14ac:dyDescent="0.25">
      <c r="A7">
        <v>6</v>
      </c>
      <c r="B7" t="s">
        <v>29</v>
      </c>
      <c r="C7">
        <v>109.23184831366109</v>
      </c>
      <c r="D7">
        <v>62.149139221556887</v>
      </c>
      <c r="E7">
        <v>205.59358371995052</v>
      </c>
      <c r="F7">
        <v>280.82449847935732</v>
      </c>
      <c r="G7">
        <v>231.18980120089449</v>
      </c>
      <c r="H7">
        <v>232.83987886572282</v>
      </c>
      <c r="I7">
        <v>279.22872417141809</v>
      </c>
      <c r="J7">
        <v>96.745043047939404</v>
      </c>
      <c r="K7">
        <v>170.34549859778318</v>
      </c>
      <c r="L7">
        <v>349.17420435082045</v>
      </c>
      <c r="M7">
        <v>161.89711456808507</v>
      </c>
      <c r="N7">
        <v>290.00330156701068</v>
      </c>
      <c r="O7">
        <v>316.68908390179644</v>
      </c>
      <c r="P7">
        <v>137.09797464504297</v>
      </c>
      <c r="Q7">
        <v>266.55354795068308</v>
      </c>
      <c r="R7">
        <v>413.730179081514</v>
      </c>
      <c r="S7">
        <v>205.31872926856823</v>
      </c>
      <c r="T7">
        <f t="shared" si="0"/>
        <v>7.2164152290326758E-2</v>
      </c>
      <c r="U7">
        <f t="shared" si="1"/>
        <v>185.34977951314264</v>
      </c>
      <c r="V7">
        <f t="shared" si="2"/>
        <v>267.55801691669012</v>
      </c>
      <c r="W7">
        <f t="shared" si="3"/>
        <v>26.807796319780721</v>
      </c>
      <c r="X7">
        <f t="shared" si="4"/>
        <v>33.542069104346467</v>
      </c>
    </row>
    <row r="8" spans="1:24" x14ac:dyDescent="0.25">
      <c r="A8" s="2">
        <v>7</v>
      </c>
      <c r="B8" s="2" t="s">
        <v>30</v>
      </c>
      <c r="C8">
        <v>16.128522917596776</v>
      </c>
      <c r="D8">
        <v>0.24560254491017963</v>
      </c>
      <c r="E8">
        <v>16.52905867547501</v>
      </c>
      <c r="F8">
        <v>72.462108832633547</v>
      </c>
      <c r="G8">
        <v>122.00876899508725</v>
      </c>
      <c r="H8">
        <v>35.880780091655183</v>
      </c>
      <c r="I8">
        <v>69.240791131025077</v>
      </c>
      <c r="J8">
        <v>31.226541569714328</v>
      </c>
      <c r="K8">
        <v>56.393918003701096</v>
      </c>
      <c r="L8">
        <v>72.735558496952066</v>
      </c>
      <c r="M8">
        <v>91.921174175726094</v>
      </c>
      <c r="N8">
        <v>123.75589082975075</v>
      </c>
      <c r="O8">
        <v>166.54472274918547</v>
      </c>
      <c r="P8">
        <v>54.603814689882469</v>
      </c>
      <c r="Q8">
        <v>83.476421479686877</v>
      </c>
      <c r="R8">
        <v>109.79849602538032</v>
      </c>
      <c r="S8">
        <v>74.193291489255301</v>
      </c>
      <c r="T8">
        <f t="shared" si="0"/>
        <v>1.2559086467277049E-2</v>
      </c>
      <c r="U8">
        <f t="shared" si="1"/>
        <v>46.679565862422052</v>
      </c>
      <c r="V8">
        <f t="shared" si="2"/>
        <v>97.128671241977429</v>
      </c>
      <c r="W8">
        <f t="shared" si="3"/>
        <v>12.525833240021306</v>
      </c>
      <c r="X8">
        <f t="shared" si="4"/>
        <v>12.557754048584389</v>
      </c>
    </row>
    <row r="9" spans="1:24" x14ac:dyDescent="0.25">
      <c r="A9">
        <v>8</v>
      </c>
      <c r="B9" t="s">
        <v>31</v>
      </c>
      <c r="C9">
        <v>318.67666729728313</v>
      </c>
      <c r="D9">
        <v>462.08364520958082</v>
      </c>
      <c r="E9">
        <v>264.00877972077694</v>
      </c>
      <c r="F9">
        <v>268.16808877805278</v>
      </c>
      <c r="G9">
        <v>46.18689581095596</v>
      </c>
      <c r="H9">
        <v>243.64569996495777</v>
      </c>
      <c r="I9">
        <v>225.97304885435997</v>
      </c>
      <c r="J9">
        <v>332.15486251296062</v>
      </c>
      <c r="K9">
        <v>249.96979351482662</v>
      </c>
      <c r="L9">
        <v>383.68583154332003</v>
      </c>
      <c r="M9">
        <v>210.35069594861383</v>
      </c>
      <c r="N9">
        <v>213.93801748538087</v>
      </c>
      <c r="O9">
        <v>108.5958048371574</v>
      </c>
      <c r="P9">
        <v>210.76825272629469</v>
      </c>
      <c r="Q9">
        <v>227.50001419391154</v>
      </c>
      <c r="R9">
        <v>194.04969914544185</v>
      </c>
      <c r="S9">
        <v>251.00273301465654</v>
      </c>
      <c r="T9">
        <f t="shared" si="0"/>
        <v>0.37061861011245167</v>
      </c>
      <c r="U9">
        <f t="shared" si="1"/>
        <v>267.87416462930611</v>
      </c>
      <c r="V9">
        <f t="shared" si="2"/>
        <v>224.98638111184707</v>
      </c>
      <c r="W9">
        <f t="shared" si="3"/>
        <v>36.563070698531249</v>
      </c>
      <c r="X9">
        <f t="shared" si="4"/>
        <v>27.028739273260644</v>
      </c>
    </row>
    <row r="10" spans="1:24" x14ac:dyDescent="0.25">
      <c r="A10">
        <v>9</v>
      </c>
      <c r="B10" t="s">
        <v>32</v>
      </c>
      <c r="C10">
        <v>94.073875993764148</v>
      </c>
      <c r="D10">
        <v>23.80005613772455</v>
      </c>
      <c r="E10">
        <v>35.124249685384399</v>
      </c>
      <c r="F10">
        <v>94.319395323373342</v>
      </c>
      <c r="G10">
        <v>182.12392808719693</v>
      </c>
      <c r="H10">
        <v>95.125313436987412</v>
      </c>
      <c r="I10">
        <v>95.886657115660128</v>
      </c>
      <c r="J10">
        <v>139.16558982611318</v>
      </c>
      <c r="K10">
        <v>146.00225117805292</v>
      </c>
      <c r="L10">
        <v>138.69936225175567</v>
      </c>
      <c r="M10">
        <v>138.54065916342586</v>
      </c>
      <c r="N10">
        <v>131.11685784815378</v>
      </c>
      <c r="O10">
        <v>142.24356362478662</v>
      </c>
      <c r="P10">
        <v>134.55613778367947</v>
      </c>
      <c r="Q10">
        <v>93.136392134788636</v>
      </c>
      <c r="R10">
        <v>149.41946102606613</v>
      </c>
      <c r="S10">
        <v>92.553322183967012</v>
      </c>
      <c r="T10">
        <f t="shared" si="0"/>
        <v>0.1858216203607817</v>
      </c>
      <c r="U10">
        <f t="shared" si="1"/>
        <v>100.62459075380633</v>
      </c>
      <c r="V10">
        <f t="shared" si="2"/>
        <v>127.5332195020779</v>
      </c>
      <c r="W10">
        <f t="shared" si="3"/>
        <v>16.879616191397044</v>
      </c>
      <c r="X10">
        <f t="shared" si="4"/>
        <v>7.8035558039330519</v>
      </c>
    </row>
    <row r="11" spans="1:24" x14ac:dyDescent="0.25">
      <c r="A11" s="2">
        <v>10</v>
      </c>
      <c r="B11" s="2" t="s">
        <v>33</v>
      </c>
      <c r="C11">
        <v>8.4944906043459234</v>
      </c>
      <c r="D11">
        <v>1.4736152694610778</v>
      </c>
      <c r="E11">
        <v>32.199464952224041</v>
      </c>
      <c r="F11">
        <v>43.496000116572198</v>
      </c>
      <c r="G11">
        <v>24.616576570231199</v>
      </c>
      <c r="H11">
        <v>21.768445911581797</v>
      </c>
      <c r="I11">
        <v>38.508504562368394</v>
      </c>
      <c r="J11">
        <v>2.7627289157554795</v>
      </c>
      <c r="K11">
        <v>18.734380067535341</v>
      </c>
      <c r="L11">
        <v>41.078565156057586</v>
      </c>
      <c r="M11">
        <v>37.862043498079117</v>
      </c>
      <c r="N11">
        <v>102.12533970304695</v>
      </c>
      <c r="O11">
        <v>6.6886603839992054</v>
      </c>
      <c r="P11">
        <v>38.342507411899561</v>
      </c>
      <c r="Q11">
        <v>43.814577228261619</v>
      </c>
      <c r="R11">
        <v>44.773360208481179</v>
      </c>
      <c r="S11">
        <v>34.287696865645195</v>
      </c>
      <c r="T11">
        <f t="shared" si="0"/>
        <v>4.7485756565325367E-2</v>
      </c>
      <c r="U11">
        <f t="shared" si="1"/>
        <v>21.339356330008382</v>
      </c>
      <c r="V11">
        <f t="shared" si="2"/>
        <v>43.621593806933802</v>
      </c>
      <c r="W11">
        <f t="shared" si="3"/>
        <v>5.0360891950262436</v>
      </c>
      <c r="X11">
        <f t="shared" si="4"/>
        <v>9.3948346971893955</v>
      </c>
    </row>
    <row r="12" spans="1:24" x14ac:dyDescent="0.25">
      <c r="A12">
        <v>11</v>
      </c>
      <c r="B12" t="s">
        <v>34</v>
      </c>
      <c r="C12">
        <v>128.06632424096424</v>
      </c>
      <c r="D12">
        <v>168.77572979041918</v>
      </c>
      <c r="E12">
        <v>232.89604671069048</v>
      </c>
      <c r="F12">
        <v>250.12021507569909</v>
      </c>
      <c r="G12">
        <v>96.546988079097048</v>
      </c>
      <c r="H12">
        <v>235.64871059624951</v>
      </c>
      <c r="I12">
        <v>273.81421689758952</v>
      </c>
      <c r="J12">
        <v>409.3351619443448</v>
      </c>
      <c r="K12">
        <v>456.77928916191308</v>
      </c>
      <c r="L12">
        <v>354.44823639952585</v>
      </c>
      <c r="M12">
        <v>417.09220489364458</v>
      </c>
      <c r="N12">
        <v>286.62536378921197</v>
      </c>
      <c r="O12">
        <v>261.28127277320914</v>
      </c>
      <c r="P12">
        <v>317.21909075324891</v>
      </c>
      <c r="Q12">
        <v>354.15025918082472</v>
      </c>
      <c r="R12">
        <v>310.7061286071239</v>
      </c>
      <c r="S12">
        <v>337.40106172094107</v>
      </c>
      <c r="T12">
        <f t="shared" si="0"/>
        <v>9.888069543136252E-2</v>
      </c>
      <c r="U12">
        <f t="shared" si="1"/>
        <v>250.22029805521854</v>
      </c>
      <c r="V12">
        <f t="shared" si="2"/>
        <v>329.86545226471628</v>
      </c>
      <c r="W12">
        <f t="shared" si="3"/>
        <v>39.830125010893816</v>
      </c>
      <c r="X12">
        <f t="shared" si="4"/>
        <v>16.881870018086605</v>
      </c>
    </row>
    <row r="13" spans="1:24" x14ac:dyDescent="0.25">
      <c r="A13">
        <v>12</v>
      </c>
      <c r="B13" t="s">
        <v>35</v>
      </c>
      <c r="C13">
        <v>149.1055434663258</v>
      </c>
      <c r="D13">
        <v>181.52367140718565</v>
      </c>
      <c r="E13">
        <v>105.10442018155132</v>
      </c>
      <c r="F13">
        <v>204.81318264989415</v>
      </c>
      <c r="G13">
        <v>106.28444647919564</v>
      </c>
      <c r="H13">
        <v>116.9073944540572</v>
      </c>
      <c r="I13">
        <v>86.4638520042691</v>
      </c>
      <c r="J13">
        <v>154.81738471935736</v>
      </c>
      <c r="K13">
        <v>92.190192749171715</v>
      </c>
      <c r="L13">
        <v>172.02049191869799</v>
      </c>
      <c r="M13">
        <v>111.43241944850247</v>
      </c>
      <c r="N13">
        <v>61.061365673807536</v>
      </c>
      <c r="O13">
        <v>95.977895291796457</v>
      </c>
      <c r="P13">
        <v>109.20762937976494</v>
      </c>
      <c r="Q13">
        <v>173.32793694334521</v>
      </c>
      <c r="R13">
        <v>95.653262885460592</v>
      </c>
      <c r="S13">
        <v>77.61959177021194</v>
      </c>
      <c r="T13">
        <f t="shared" si="0"/>
        <v>0.31148023901394234</v>
      </c>
      <c r="U13">
        <f t="shared" si="1"/>
        <v>133.02334312344533</v>
      </c>
      <c r="V13">
        <f t="shared" si="2"/>
        <v>112.03757416394839</v>
      </c>
      <c r="W13">
        <f t="shared" si="3"/>
        <v>13.858897741605018</v>
      </c>
      <c r="X13">
        <f t="shared" si="4"/>
        <v>14.437280658412462</v>
      </c>
    </row>
    <row r="14" spans="1:24" x14ac:dyDescent="0.25">
      <c r="A14">
        <v>13</v>
      </c>
      <c r="B14" t="s">
        <v>36</v>
      </c>
      <c r="C14">
        <v>34.803654716919361</v>
      </c>
      <c r="D14">
        <v>55.225486526946106</v>
      </c>
      <c r="E14">
        <v>52.820538965377523</v>
      </c>
      <c r="F14">
        <v>97.264924883792105</v>
      </c>
      <c r="G14">
        <v>81.923192055079141</v>
      </c>
      <c r="H14">
        <v>98.050043564162024</v>
      </c>
      <c r="I14">
        <v>78.393171350826421</v>
      </c>
      <c r="J14">
        <v>140.62950594482027</v>
      </c>
      <c r="K14">
        <v>115.96746602565325</v>
      </c>
      <c r="L14">
        <v>138.54574966781277</v>
      </c>
      <c r="M14">
        <v>124.39894005946799</v>
      </c>
      <c r="N14">
        <v>85.705624765747359</v>
      </c>
      <c r="O14">
        <v>105.10543402541983</v>
      </c>
      <c r="P14">
        <v>96.159891748918113</v>
      </c>
      <c r="Q14">
        <v>162.24857513405138</v>
      </c>
      <c r="R14">
        <v>79.56395470185879</v>
      </c>
      <c r="S14">
        <v>111.12325235534993</v>
      </c>
      <c r="T14">
        <f t="shared" si="0"/>
        <v>7.2519183164785575E-2</v>
      </c>
      <c r="U14">
        <f t="shared" si="1"/>
        <v>83.897553781508478</v>
      </c>
      <c r="V14">
        <f t="shared" si="2"/>
        <v>112.85642780732826</v>
      </c>
      <c r="W14">
        <f t="shared" si="3"/>
        <v>11.091944518751198</v>
      </c>
      <c r="X14">
        <f t="shared" si="4"/>
        <v>9.838123780979112</v>
      </c>
    </row>
    <row r="15" spans="1:24" x14ac:dyDescent="0.25">
      <c r="A15" s="2">
        <v>14</v>
      </c>
      <c r="B15" s="2" t="s">
        <v>37</v>
      </c>
      <c r="C15">
        <v>98.680369875384187</v>
      </c>
      <c r="D15">
        <v>98.884262724550908</v>
      </c>
      <c r="E15">
        <v>193.62611591270726</v>
      </c>
      <c r="F15">
        <v>105.91416539512771</v>
      </c>
      <c r="G15">
        <v>42.418693102780374</v>
      </c>
      <c r="H15">
        <v>104.39036761607906</v>
      </c>
      <c r="I15">
        <v>158.11442939145985</v>
      </c>
      <c r="J15">
        <v>127.08002668069678</v>
      </c>
      <c r="K15">
        <v>133.20106072457409</v>
      </c>
      <c r="L15">
        <v>219.89641391422785</v>
      </c>
      <c r="M15">
        <v>127.47707502437677</v>
      </c>
      <c r="N15">
        <v>174.77743796050106</v>
      </c>
      <c r="O15">
        <v>227.22460025031361</v>
      </c>
      <c r="P15">
        <v>120.86353667849095</v>
      </c>
      <c r="Q15">
        <v>176.77502974638318</v>
      </c>
      <c r="R15">
        <v>233.22937103805259</v>
      </c>
      <c r="S15">
        <v>126.8533660776517</v>
      </c>
      <c r="T15">
        <f t="shared" si="0"/>
        <v>1.7849339882663667E-2</v>
      </c>
      <c r="U15">
        <f t="shared" si="1"/>
        <v>118.03438793592892</v>
      </c>
      <c r="V15">
        <f t="shared" si="2"/>
        <v>175.88710383624974</v>
      </c>
      <c r="W15">
        <f t="shared" si="3"/>
        <v>14.15414559712749</v>
      </c>
      <c r="X15">
        <f t="shared" si="4"/>
        <v>16.710745346041556</v>
      </c>
    </row>
    <row r="16" spans="1:24" x14ac:dyDescent="0.25">
      <c r="A16">
        <v>15</v>
      </c>
      <c r="B16" t="s">
        <v>38</v>
      </c>
      <c r="C16">
        <v>61.115715995456078</v>
      </c>
      <c r="D16">
        <v>56.207896706586823</v>
      </c>
      <c r="E16">
        <v>149.19085427863808</v>
      </c>
      <c r="F16">
        <v>76.125806377748034</v>
      </c>
      <c r="G16">
        <v>72.555510556250113</v>
      </c>
      <c r="H16">
        <v>50.811220601008181</v>
      </c>
      <c r="I16">
        <v>92.142774727652082</v>
      </c>
      <c r="J16">
        <v>155.51081867032389</v>
      </c>
      <c r="K16">
        <v>71.083808688021065</v>
      </c>
      <c r="L16">
        <v>142.06603804983703</v>
      </c>
      <c r="M16">
        <v>82.524503380293737</v>
      </c>
      <c r="N16">
        <v>95.316592077884081</v>
      </c>
      <c r="O16">
        <v>165.31798154338645</v>
      </c>
      <c r="P16">
        <v>69.102495137998091</v>
      </c>
      <c r="Q16">
        <v>129.8540135920897</v>
      </c>
      <c r="R16">
        <v>130.56312578642607</v>
      </c>
      <c r="S16">
        <v>72.538789731964542</v>
      </c>
      <c r="T16">
        <f t="shared" si="0"/>
        <v>0.21215745943625378</v>
      </c>
      <c r="U16">
        <f t="shared" si="1"/>
        <v>87.193822955742689</v>
      </c>
      <c r="V16">
        <f t="shared" si="2"/>
        <v>110.91044241248497</v>
      </c>
      <c r="W16">
        <f t="shared" si="3"/>
        <v>12.961234242708569</v>
      </c>
      <c r="X16">
        <f t="shared" si="4"/>
        <v>12.638628566514603</v>
      </c>
    </row>
    <row r="17" spans="1:24" x14ac:dyDescent="0.25">
      <c r="A17" s="2">
        <v>16</v>
      </c>
      <c r="B17" s="2" t="s">
        <v>39</v>
      </c>
      <c r="C17">
        <v>46.099704807760006</v>
      </c>
      <c r="D17">
        <v>29.495696107784429</v>
      </c>
      <c r="E17">
        <v>74.877172457651</v>
      </c>
      <c r="F17">
        <v>73.169868585667032</v>
      </c>
      <c r="G17">
        <v>67.704389780070784</v>
      </c>
      <c r="H17">
        <v>39.896318657869294</v>
      </c>
      <c r="I17">
        <v>60.352826360778053</v>
      </c>
      <c r="J17">
        <v>151.71344227217392</v>
      </c>
      <c r="K17">
        <v>94.05981519990334</v>
      </c>
      <c r="L17">
        <v>141.04195415688451</v>
      </c>
      <c r="M17">
        <v>88.302152875130488</v>
      </c>
      <c r="N17">
        <v>98.095313067273239</v>
      </c>
      <c r="O17">
        <v>135.59871542670879</v>
      </c>
      <c r="P17">
        <v>63.61578174380756</v>
      </c>
      <c r="Q17">
        <v>111.0288314842046</v>
      </c>
      <c r="R17">
        <v>105.39749178538843</v>
      </c>
      <c r="S17">
        <v>95.732681904133969</v>
      </c>
      <c r="T17">
        <f t="shared" si="0"/>
        <v>4.20492148341262E-2</v>
      </c>
      <c r="U17">
        <f t="shared" si="1"/>
        <v>70.818803803295324</v>
      </c>
      <c r="V17">
        <f t="shared" si="2"/>
        <v>104.85161530544146</v>
      </c>
      <c r="W17">
        <f t="shared" si="3"/>
        <v>12.076236097511062</v>
      </c>
      <c r="X17">
        <f t="shared" si="4"/>
        <v>8.8606896856142416</v>
      </c>
    </row>
    <row r="18" spans="1:24" x14ac:dyDescent="0.25">
      <c r="A18" s="2">
        <v>17</v>
      </c>
      <c r="B18" s="2" t="s">
        <v>40</v>
      </c>
      <c r="C18">
        <v>12.840239549270509</v>
      </c>
      <c r="D18">
        <v>22.303050149700599</v>
      </c>
      <c r="E18">
        <v>21.332145530848425</v>
      </c>
      <c r="F18">
        <v>29.0285581060349</v>
      </c>
      <c r="G18">
        <v>1.5055202408832384</v>
      </c>
      <c r="H18">
        <v>18.693729624039236</v>
      </c>
      <c r="I18">
        <v>41.777641029585681</v>
      </c>
      <c r="J18">
        <v>21.876190119776957</v>
      </c>
      <c r="K18">
        <v>18.308309645089697</v>
      </c>
      <c r="L18">
        <v>37.494271530723793</v>
      </c>
      <c r="M18">
        <v>40.561558028007092</v>
      </c>
      <c r="N18">
        <v>42.374026419585689</v>
      </c>
      <c r="O18">
        <v>45.856754597723807</v>
      </c>
      <c r="P18">
        <v>26.310429753140887</v>
      </c>
      <c r="Q18">
        <v>41.227229924334289</v>
      </c>
      <c r="R18">
        <v>42.173308923065917</v>
      </c>
      <c r="S18">
        <v>21.168979573694163</v>
      </c>
      <c r="T18">
        <f t="shared" si="0"/>
        <v>4.2302244902823558E-3</v>
      </c>
      <c r="U18">
        <f t="shared" si="1"/>
        <v>20.851709332803253</v>
      </c>
      <c r="V18">
        <f t="shared" si="2"/>
        <v>37.145819843784459</v>
      </c>
      <c r="W18">
        <f t="shared" si="3"/>
        <v>3.6471577253474758</v>
      </c>
      <c r="X18">
        <f t="shared" si="4"/>
        <v>3.0752522321877125</v>
      </c>
    </row>
    <row r="19" spans="1:24" x14ac:dyDescent="0.25">
      <c r="A19">
        <v>18</v>
      </c>
      <c r="B19" t="s">
        <v>41</v>
      </c>
      <c r="C19">
        <v>4.0850040082291104</v>
      </c>
      <c r="D19">
        <v>0.8303705089820359</v>
      </c>
      <c r="E19">
        <v>15.455743177067543</v>
      </c>
      <c r="F19">
        <v>23.595461178336723</v>
      </c>
      <c r="G19">
        <v>4.2172175168600656</v>
      </c>
      <c r="H19">
        <v>27.481555111051119</v>
      </c>
      <c r="I19">
        <v>35.401623030104901</v>
      </c>
      <c r="J19">
        <v>2.3719843878299041</v>
      </c>
      <c r="K19">
        <v>7.6501898239120898</v>
      </c>
      <c r="L19">
        <v>45.930162598920099</v>
      </c>
      <c r="M19">
        <v>22.176339763160623</v>
      </c>
      <c r="N19">
        <v>45.851833662119276</v>
      </c>
      <c r="O19">
        <v>19.189737433569775</v>
      </c>
      <c r="P19">
        <v>16.540748116864307</v>
      </c>
      <c r="Q19">
        <v>5.7667834893176622</v>
      </c>
      <c r="R19">
        <v>40.909063802634641</v>
      </c>
      <c r="S19">
        <v>11.69263555339071</v>
      </c>
      <c r="T19">
        <f t="shared" si="0"/>
        <v>9.0220327149401397E-2</v>
      </c>
      <c r="U19">
        <f t="shared" si="1"/>
        <v>13.45434986026372</v>
      </c>
      <c r="V19">
        <f t="shared" si="2"/>
        <v>26.007163052497141</v>
      </c>
      <c r="W19">
        <f t="shared" si="3"/>
        <v>4.2069291538415081</v>
      </c>
      <c r="X19">
        <f t="shared" si="4"/>
        <v>5.6349478413096037</v>
      </c>
    </row>
    <row r="20" spans="1:24" x14ac:dyDescent="0.25">
      <c r="A20" s="2">
        <v>19</v>
      </c>
      <c r="B20" s="2" t="s">
        <v>42</v>
      </c>
      <c r="C20">
        <v>29.571372987230163</v>
      </c>
      <c r="D20">
        <v>13.835610029940119</v>
      </c>
      <c r="E20">
        <v>71.20106687560542</v>
      </c>
      <c r="F20">
        <v>56.776903717612178</v>
      </c>
      <c r="G20">
        <v>15.064006620767376</v>
      </c>
      <c r="H20">
        <v>35.410368952319395</v>
      </c>
      <c r="I20">
        <v>118.10957376229533</v>
      </c>
      <c r="J20">
        <v>16.983628354624326</v>
      </c>
      <c r="K20">
        <v>46.823231648765343</v>
      </c>
      <c r="L20">
        <v>77.971187399671777</v>
      </c>
      <c r="M20">
        <v>81.059193125433012</v>
      </c>
      <c r="N20">
        <v>99.640352433466376</v>
      </c>
      <c r="O20">
        <v>102.08239319684377</v>
      </c>
      <c r="P20">
        <v>55.377650859092491</v>
      </c>
      <c r="Q20">
        <v>87.539935583974028</v>
      </c>
      <c r="R20">
        <v>50.975317403049687</v>
      </c>
      <c r="S20">
        <v>67.40242606753948</v>
      </c>
      <c r="T20">
        <f t="shared" si="0"/>
        <v>2.8230094136690191E-2</v>
      </c>
      <c r="U20">
        <f t="shared" si="1"/>
        <v>44.863973661017738</v>
      </c>
      <c r="V20">
        <f t="shared" si="2"/>
        <v>77.756057008633832</v>
      </c>
      <c r="W20">
        <f t="shared" si="3"/>
        <v>11.276611934890576</v>
      </c>
      <c r="X20">
        <f t="shared" si="4"/>
        <v>6.6849685290579419</v>
      </c>
    </row>
    <row r="21" spans="1:24" x14ac:dyDescent="0.25">
      <c r="A21" s="2">
        <v>20</v>
      </c>
      <c r="B21" s="2" t="s">
        <v>43</v>
      </c>
      <c r="C21">
        <v>109.33035195641271</v>
      </c>
      <c r="D21">
        <v>138.19236526946108</v>
      </c>
      <c r="E21">
        <v>311.81156873109956</v>
      </c>
      <c r="F21">
        <v>445.73252093615798</v>
      </c>
      <c r="G21">
        <v>129.76527970981317</v>
      </c>
      <c r="H21">
        <v>200.23152409118612</v>
      </c>
      <c r="I21">
        <v>679.07896887589777</v>
      </c>
      <c r="J21">
        <v>177.60164310825715</v>
      </c>
      <c r="K21">
        <v>264.41167305772302</v>
      </c>
      <c r="L21">
        <v>473.15236064138372</v>
      </c>
      <c r="M21">
        <v>515.56302087968766</v>
      </c>
      <c r="N21">
        <v>666.00008694518112</v>
      </c>
      <c r="O21">
        <v>526.63707883710777</v>
      </c>
      <c r="P21">
        <v>377.82013575450907</v>
      </c>
      <c r="Q21">
        <v>490.97145563834886</v>
      </c>
      <c r="R21">
        <v>430.34426825850238</v>
      </c>
      <c r="S21">
        <v>393.0429435808727</v>
      </c>
      <c r="T21">
        <f t="shared" si="0"/>
        <v>1.0755982506153563E-2</v>
      </c>
      <c r="U21">
        <f t="shared" si="1"/>
        <v>272.90621063733425</v>
      </c>
      <c r="V21">
        <f t="shared" si="2"/>
        <v>484.19141881694912</v>
      </c>
      <c r="W21">
        <f t="shared" si="3"/>
        <v>61.935204219589927</v>
      </c>
      <c r="X21">
        <f t="shared" si="4"/>
        <v>32.329343980372556</v>
      </c>
    </row>
    <row r="22" spans="1:24" x14ac:dyDescent="0.25">
      <c r="A22" s="2">
        <v>21</v>
      </c>
      <c r="B22" s="2" t="s">
        <v>44</v>
      </c>
      <c r="C22">
        <v>13.147339141378511</v>
      </c>
      <c r="D22">
        <v>20.747567365269465</v>
      </c>
      <c r="E22">
        <v>42.167882643683406</v>
      </c>
      <c r="F22">
        <v>41.122923297577586</v>
      </c>
      <c r="G22">
        <v>17.995809195118945</v>
      </c>
      <c r="H22">
        <v>23.541009625020962</v>
      </c>
      <c r="I22">
        <v>30.371720046537117</v>
      </c>
      <c r="J22">
        <v>14.022775452878411</v>
      </c>
      <c r="K22">
        <v>7.9872306058467037</v>
      </c>
      <c r="L22">
        <v>42.269062681614876</v>
      </c>
      <c r="M22">
        <v>76.279724777363811</v>
      </c>
      <c r="N22">
        <v>53.054184471825643</v>
      </c>
      <c r="O22">
        <v>64.360101118525108</v>
      </c>
      <c r="P22">
        <v>29.738953891724197</v>
      </c>
      <c r="Q22">
        <v>41.129900245189681</v>
      </c>
      <c r="R22">
        <v>26.632635414368266</v>
      </c>
      <c r="S22">
        <v>20.891171442805788</v>
      </c>
      <c r="T22">
        <f t="shared" si="0"/>
        <v>1.6289579074915298E-2</v>
      </c>
      <c r="U22">
        <f t="shared" si="1"/>
        <v>23.456028597034567</v>
      </c>
      <c r="V22">
        <f t="shared" si="2"/>
        <v>44.294466755427173</v>
      </c>
      <c r="W22">
        <f t="shared" si="3"/>
        <v>4.0513637499048434</v>
      </c>
      <c r="X22">
        <f t="shared" si="4"/>
        <v>6.798178961769203</v>
      </c>
    </row>
    <row r="23" spans="1:24" x14ac:dyDescent="0.25">
      <c r="A23">
        <v>22</v>
      </c>
      <c r="B23" t="s">
        <v>45</v>
      </c>
      <c r="C23">
        <v>5.3307853724408245</v>
      </c>
      <c r="D23">
        <v>7.2043413173652686</v>
      </c>
      <c r="E23">
        <v>22.271296591954965</v>
      </c>
      <c r="F23">
        <v>8.9614874612033173</v>
      </c>
      <c r="G23">
        <v>12.28187564931063</v>
      </c>
      <c r="H23">
        <v>13.09651882121786</v>
      </c>
      <c r="I23">
        <v>108.63869311462169</v>
      </c>
      <c r="J23">
        <v>10.957357114081994</v>
      </c>
      <c r="K23">
        <v>19.624676472645643</v>
      </c>
      <c r="L23">
        <v>53.841210671978253</v>
      </c>
      <c r="M23">
        <v>35.349380611388412</v>
      </c>
      <c r="N23">
        <v>16.443213634884287</v>
      </c>
      <c r="O23">
        <v>92.22465136453053</v>
      </c>
      <c r="P23">
        <v>70.349231188392025</v>
      </c>
      <c r="Q23">
        <v>31.372599910943347</v>
      </c>
      <c r="R23">
        <v>111.74257106906238</v>
      </c>
      <c r="S23">
        <v>32.688756734532106</v>
      </c>
      <c r="T23">
        <f t="shared" si="0"/>
        <v>6.1178664383779419E-2</v>
      </c>
      <c r="U23">
        <f t="shared" si="1"/>
        <v>23.151892434982464</v>
      </c>
      <c r="V23">
        <f t="shared" si="2"/>
        <v>55.501451898213915</v>
      </c>
      <c r="W23">
        <f t="shared" si="3"/>
        <v>10.841322774428994</v>
      </c>
      <c r="X23">
        <f t="shared" si="4"/>
        <v>11.778568861382611</v>
      </c>
    </row>
    <row r="24" spans="1:24" x14ac:dyDescent="0.25">
      <c r="A24">
        <v>23</v>
      </c>
      <c r="B24" t="s">
        <v>46</v>
      </c>
      <c r="C24">
        <v>38.202030391850386</v>
      </c>
      <c r="D24">
        <v>58.383233532934128</v>
      </c>
      <c r="E24">
        <v>69.121518097440941</v>
      </c>
      <c r="F24">
        <v>19.650741378341301</v>
      </c>
      <c r="G24">
        <v>9.0331214452994306</v>
      </c>
      <c r="H24">
        <v>21.707087936885824</v>
      </c>
      <c r="I24">
        <v>35.149226464621215</v>
      </c>
      <c r="J24">
        <v>2.553598041654467</v>
      </c>
      <c r="K24">
        <v>6.1112488950785693</v>
      </c>
      <c r="L24">
        <v>61.649850355741144</v>
      </c>
      <c r="M24">
        <v>25.677349499606382</v>
      </c>
      <c r="N24">
        <v>16.637077889957947</v>
      </c>
      <c r="O24">
        <v>0.5549543550043009</v>
      </c>
      <c r="P24">
        <v>7.3353220206367054</v>
      </c>
      <c r="Q24">
        <v>49.046047482283967</v>
      </c>
      <c r="R24">
        <v>48.291778232322926</v>
      </c>
      <c r="S24">
        <v>57.623579860268684</v>
      </c>
      <c r="T24">
        <f t="shared" si="0"/>
        <v>0.70119959432542034</v>
      </c>
      <c r="U24">
        <f t="shared" si="1"/>
        <v>28.879089576011804</v>
      </c>
      <c r="V24">
        <f t="shared" si="2"/>
        <v>33.351994961977759</v>
      </c>
      <c r="W24">
        <f t="shared" si="3"/>
        <v>7.7800028106275851</v>
      </c>
      <c r="X24">
        <f t="shared" si="4"/>
        <v>8.3987463363439723</v>
      </c>
    </row>
    <row r="25" spans="1:24" x14ac:dyDescent="0.25">
      <c r="A25">
        <v>24</v>
      </c>
      <c r="B25" t="s">
        <v>47</v>
      </c>
      <c r="C25">
        <v>24.785254815886553</v>
      </c>
      <c r="D25">
        <v>44.641186377245504</v>
      </c>
      <c r="E25">
        <v>64.264765467147157</v>
      </c>
      <c r="F25">
        <v>18.183180713963058</v>
      </c>
      <c r="G25">
        <v>1.1269391276786815</v>
      </c>
      <c r="H25">
        <v>14.296408104161298</v>
      </c>
      <c r="I25">
        <v>22.246954414776496</v>
      </c>
      <c r="J25">
        <v>1.5959987760340422</v>
      </c>
      <c r="K25">
        <v>1.424474248176482</v>
      </c>
      <c r="L25">
        <v>53.969221158597307</v>
      </c>
      <c r="M25">
        <v>22.048493901998278</v>
      </c>
      <c r="N25">
        <v>1.4040471806850103</v>
      </c>
      <c r="O25">
        <v>4.3812185921392174E-2</v>
      </c>
      <c r="P25">
        <v>3.8369376723330459</v>
      </c>
      <c r="Q25">
        <v>14.680559937644119</v>
      </c>
      <c r="R25">
        <v>24.819755619032851</v>
      </c>
      <c r="S25">
        <v>45.609921577851409</v>
      </c>
      <c r="T25">
        <f t="shared" si="0"/>
        <v>0.95397055549747001</v>
      </c>
      <c r="U25">
        <f t="shared" si="1"/>
        <v>21.396129116118807</v>
      </c>
      <c r="V25">
        <f t="shared" si="2"/>
        <v>20.801593654257928</v>
      </c>
      <c r="W25">
        <f t="shared" si="3"/>
        <v>7.122679002748515</v>
      </c>
      <c r="X25">
        <f t="shared" si="4"/>
        <v>7.1534980721981096</v>
      </c>
    </row>
    <row r="26" spans="1:24" x14ac:dyDescent="0.25">
      <c r="A26">
        <v>25</v>
      </c>
      <c r="B26" t="s">
        <v>48</v>
      </c>
      <c r="C26">
        <v>34.458891967288679</v>
      </c>
      <c r="D26">
        <v>33.682634730538922</v>
      </c>
      <c r="E26">
        <v>63.728107717943423</v>
      </c>
      <c r="F26">
        <v>25.958129765669071</v>
      </c>
      <c r="G26">
        <v>7.7124896550509758</v>
      </c>
      <c r="H26">
        <v>10.021802533675302</v>
      </c>
      <c r="I26">
        <v>20.083555282059173</v>
      </c>
      <c r="J26">
        <v>0.98511648589687428</v>
      </c>
      <c r="K26">
        <v>6.7916897189842986</v>
      </c>
      <c r="L26">
        <v>24.257987214312596</v>
      </c>
      <c r="M26">
        <v>10.842312456268109</v>
      </c>
      <c r="N26">
        <v>35.195174307464008</v>
      </c>
      <c r="O26">
        <v>0.99307621421822256</v>
      </c>
      <c r="P26">
        <v>2.6869311430903688</v>
      </c>
      <c r="Q26">
        <v>16.594710294154623</v>
      </c>
      <c r="R26">
        <v>12.785573293418173</v>
      </c>
      <c r="S26">
        <v>24.50267714435466</v>
      </c>
      <c r="T26">
        <f t="shared" si="0"/>
        <v>0.41823023817294613</v>
      </c>
      <c r="U26">
        <f t="shared" si="1"/>
        <v>22.602490873011856</v>
      </c>
      <c r="V26">
        <f t="shared" si="2"/>
        <v>15.982305258410094</v>
      </c>
      <c r="W26">
        <f t="shared" si="3"/>
        <v>6.5293607272421497</v>
      </c>
      <c r="X26">
        <f t="shared" si="4"/>
        <v>4.1159003688690907</v>
      </c>
    </row>
    <row r="27" spans="1:24" x14ac:dyDescent="0.25">
      <c r="A27">
        <v>26</v>
      </c>
      <c r="B27" t="s">
        <v>49</v>
      </c>
      <c r="C27">
        <v>46.737081319682275</v>
      </c>
      <c r="D27">
        <v>57.845247005988021</v>
      </c>
      <c r="E27">
        <v>55.906321023298993</v>
      </c>
      <c r="F27">
        <v>12.240080434814287</v>
      </c>
      <c r="G27">
        <v>12.026553503195929</v>
      </c>
      <c r="H27">
        <v>11.84208911632245</v>
      </c>
      <c r="I27">
        <v>19.777073738257549</v>
      </c>
      <c r="J27">
        <v>6.9563532858863084</v>
      </c>
      <c r="K27">
        <v>10.499138320265054</v>
      </c>
      <c r="L27">
        <v>19.739217036659646</v>
      </c>
      <c r="M27">
        <v>13.787684411508291</v>
      </c>
      <c r="N27">
        <v>10.791776865767215</v>
      </c>
      <c r="O27">
        <v>1.5772386931701183</v>
      </c>
      <c r="P27">
        <v>10.242581517460486</v>
      </c>
      <c r="Q27">
        <v>10.462940508044703</v>
      </c>
      <c r="R27">
        <v>18.570091061429192</v>
      </c>
      <c r="S27">
        <v>28.046274191686372</v>
      </c>
      <c r="T27">
        <f t="shared" si="0"/>
        <v>0.15711929093008817</v>
      </c>
      <c r="U27">
        <f t="shared" si="1"/>
        <v>25.981104194190095</v>
      </c>
      <c r="V27">
        <f t="shared" si="2"/>
        <v>14.152225535715754</v>
      </c>
      <c r="W27">
        <f t="shared" si="3"/>
        <v>7.0368397267639269</v>
      </c>
      <c r="X27">
        <f t="shared" si="4"/>
        <v>2.8101491376255137</v>
      </c>
    </row>
    <row r="28" spans="1:24" x14ac:dyDescent="0.25">
      <c r="A28">
        <v>27</v>
      </c>
      <c r="B28" t="s">
        <v>50</v>
      </c>
      <c r="C28">
        <v>102.7335050580172</v>
      </c>
      <c r="D28">
        <v>175.43038922155688</v>
      </c>
      <c r="E28">
        <v>24.458176919960181</v>
      </c>
      <c r="F28">
        <v>141.26052012015262</v>
      </c>
      <c r="G28">
        <v>18.858621964747936</v>
      </c>
      <c r="H28">
        <v>49.986296718984562</v>
      </c>
      <c r="I28">
        <v>91.836293183850458</v>
      </c>
      <c r="J28">
        <v>21.270811273695081</v>
      </c>
      <c r="K28">
        <v>44.419431354967536</v>
      </c>
      <c r="L28">
        <v>59.9601119323695</v>
      </c>
      <c r="M28">
        <v>27.098405417910911</v>
      </c>
      <c r="N28">
        <v>80.371420414023561</v>
      </c>
      <c r="O28">
        <v>12.004538942461457</v>
      </c>
      <c r="P28">
        <v>125.90421950292848</v>
      </c>
      <c r="Q28">
        <v>58.357253453784217</v>
      </c>
      <c r="R28">
        <v>82.748421184454557</v>
      </c>
      <c r="S28">
        <v>49.017701316748806</v>
      </c>
      <c r="T28">
        <f t="shared" si="0"/>
        <v>0.59805903110635017</v>
      </c>
      <c r="U28">
        <f t="shared" si="1"/>
        <v>74.472671757325827</v>
      </c>
      <c r="V28">
        <f t="shared" si="2"/>
        <v>61.932759020585188</v>
      </c>
      <c r="W28">
        <f t="shared" si="3"/>
        <v>18.885928573023453</v>
      </c>
      <c r="X28">
        <f t="shared" si="4"/>
        <v>12.503826146365748</v>
      </c>
    </row>
    <row r="29" spans="1:24" x14ac:dyDescent="0.25">
      <c r="A29">
        <v>28</v>
      </c>
      <c r="B29" t="s">
        <v>51</v>
      </c>
      <c r="C29">
        <v>17.719067031439177</v>
      </c>
      <c r="D29">
        <v>16.15129116766467</v>
      </c>
      <c r="E29">
        <v>41.886137325351442</v>
      </c>
      <c r="F29">
        <v>14.300910303941182</v>
      </c>
      <c r="G29">
        <v>8.0558539205155757</v>
      </c>
      <c r="H29">
        <v>9.2377839681156697</v>
      </c>
      <c r="I29">
        <v>16.363710662192435</v>
      </c>
      <c r="J29">
        <v>2.2013776221159201E-2</v>
      </c>
      <c r="K29">
        <v>5.5961488321218944</v>
      </c>
      <c r="L29">
        <v>12.365813007401565</v>
      </c>
      <c r="M29">
        <v>10.493194912324782</v>
      </c>
      <c r="N29">
        <v>45.440606454387265</v>
      </c>
      <c r="O29">
        <v>0.59876654092569304</v>
      </c>
      <c r="P29">
        <v>2.5848277596529345</v>
      </c>
      <c r="Q29">
        <v>8.4271280526034467</v>
      </c>
      <c r="R29">
        <v>4.4010042399918898</v>
      </c>
      <c r="S29">
        <v>17.458697647829425</v>
      </c>
      <c r="T29">
        <f t="shared" si="0"/>
        <v>0.79856569275020972</v>
      </c>
      <c r="U29">
        <f t="shared" si="1"/>
        <v>14.370324109729243</v>
      </c>
      <c r="V29">
        <f t="shared" si="2"/>
        <v>12.721254826889627</v>
      </c>
      <c r="W29">
        <f t="shared" si="3"/>
        <v>3.9520739479113853</v>
      </c>
      <c r="X29">
        <f t="shared" si="4"/>
        <v>5.0629217563128801</v>
      </c>
    </row>
    <row r="30" spans="1:24" x14ac:dyDescent="0.25">
      <c r="A30">
        <v>29</v>
      </c>
      <c r="B30" t="s">
        <v>52</v>
      </c>
      <c r="C30">
        <v>63.427654434155961</v>
      </c>
      <c r="D30">
        <v>101.21163922155689</v>
      </c>
      <c r="E30">
        <v>58.992103081220463</v>
      </c>
      <c r="F30">
        <v>61.585506745574939</v>
      </c>
      <c r="G30">
        <v>24.581359722491239</v>
      </c>
      <c r="H30">
        <v>29.58136135620213</v>
      </c>
      <c r="I30">
        <v>77.161235733584604</v>
      </c>
      <c r="J30">
        <v>7.968986992059631</v>
      </c>
      <c r="K30">
        <v>16.489561274650082</v>
      </c>
      <c r="L30">
        <v>27.368642039155848</v>
      </c>
      <c r="M30">
        <v>18.970358937089511</v>
      </c>
      <c r="N30">
        <v>68.798311853565522</v>
      </c>
      <c r="O30">
        <v>6.2505385247852843</v>
      </c>
      <c r="P30">
        <v>51.626694983338339</v>
      </c>
      <c r="Q30">
        <v>11.517345365444557</v>
      </c>
      <c r="R30">
        <v>36.794303740853607</v>
      </c>
      <c r="S30">
        <v>31.231807425873072</v>
      </c>
      <c r="T30">
        <f t="shared" si="0"/>
        <v>0.19990540826447378</v>
      </c>
      <c r="U30">
        <f t="shared" si="1"/>
        <v>48.99993428461066</v>
      </c>
      <c r="V30">
        <f t="shared" si="2"/>
        <v>31.569750358763216</v>
      </c>
      <c r="W30">
        <f t="shared" si="3"/>
        <v>10.340945421437686</v>
      </c>
      <c r="X30">
        <f t="shared" si="4"/>
        <v>7.3620799556788823</v>
      </c>
    </row>
    <row r="31" spans="1:24" x14ac:dyDescent="0.25">
      <c r="A31">
        <v>30</v>
      </c>
      <c r="B31" t="s">
        <v>53</v>
      </c>
      <c r="C31">
        <v>147.49471919074043</v>
      </c>
      <c r="D31">
        <v>240.24607035928142</v>
      </c>
      <c r="E31">
        <v>134.88892526235855</v>
      </c>
      <c r="F31">
        <v>201.74275430952832</v>
      </c>
      <c r="G31">
        <v>73.321476994594221</v>
      </c>
      <c r="H31">
        <v>99.147669555945512</v>
      </c>
      <c r="I31">
        <v>123.65628876090112</v>
      </c>
      <c r="J31">
        <v>101.69814269770022</v>
      </c>
      <c r="K31">
        <v>106.50488709133805</v>
      </c>
      <c r="L31">
        <v>82.413151285353294</v>
      </c>
      <c r="M31">
        <v>82.131131499794222</v>
      </c>
      <c r="N31">
        <v>76.605754126077557</v>
      </c>
      <c r="O31">
        <v>62.227908070350686</v>
      </c>
      <c r="P31">
        <v>153.75694773220326</v>
      </c>
      <c r="Q31">
        <v>130.84353199672648</v>
      </c>
      <c r="R31">
        <v>110.84805801215346</v>
      </c>
      <c r="S31">
        <v>65.729403768189485</v>
      </c>
      <c r="T31">
        <f t="shared" si="0"/>
        <v>8.0748888420599768E-2</v>
      </c>
      <c r="U31">
        <f t="shared" si="1"/>
        <v>136.52232602470977</v>
      </c>
      <c r="V31">
        <f t="shared" si="2"/>
        <v>95.56948581135606</v>
      </c>
      <c r="W31">
        <f t="shared" si="3"/>
        <v>17.797432078326434</v>
      </c>
      <c r="X31">
        <f t="shared" si="4"/>
        <v>11.633439144467399</v>
      </c>
    </row>
    <row r="32" spans="1:24" x14ac:dyDescent="0.25">
      <c r="A32">
        <v>31</v>
      </c>
      <c r="B32" t="s">
        <v>54</v>
      </c>
      <c r="C32">
        <v>27.998211869167459</v>
      </c>
      <c r="D32">
        <v>44.734749251497007</v>
      </c>
      <c r="E32">
        <v>55.369663274095267</v>
      </c>
      <c r="F32">
        <v>123.63938391595146</v>
      </c>
      <c r="G32">
        <v>118.52230106883133</v>
      </c>
      <c r="H32">
        <v>103.28592407155158</v>
      </c>
      <c r="I32">
        <v>65.298597155851269</v>
      </c>
      <c r="J32">
        <v>118.60472283555049</v>
      </c>
      <c r="K32">
        <v>108.94048368531837</v>
      </c>
      <c r="L32">
        <v>68.28079356260865</v>
      </c>
      <c r="M32">
        <v>95.515609733790498</v>
      </c>
      <c r="N32">
        <v>73.868155857461602</v>
      </c>
      <c r="O32">
        <v>102.18462163066036</v>
      </c>
      <c r="P32">
        <v>79.296711894882961</v>
      </c>
      <c r="Q32">
        <v>88.464567535847735</v>
      </c>
      <c r="R32">
        <v>46.38348371091724</v>
      </c>
      <c r="S32">
        <v>62.994537057443935</v>
      </c>
      <c r="T32">
        <f t="shared" si="0"/>
        <v>0.58454244031959868</v>
      </c>
      <c r="U32">
        <f t="shared" si="1"/>
        <v>85.154893014201576</v>
      </c>
      <c r="V32">
        <f t="shared" si="2"/>
        <v>77.123560122951616</v>
      </c>
      <c r="W32">
        <f t="shared" si="3"/>
        <v>12.241735479329412</v>
      </c>
      <c r="X32">
        <f t="shared" si="4"/>
        <v>6.4545652428004496</v>
      </c>
    </row>
    <row r="33" spans="1:24" x14ac:dyDescent="0.25">
      <c r="A33" s="2">
        <v>32</v>
      </c>
      <c r="B33" s="2" t="s">
        <v>55</v>
      </c>
      <c r="C33">
        <v>92.51230353955458</v>
      </c>
      <c r="D33">
        <v>109.32821856287426</v>
      </c>
      <c r="E33">
        <v>57.073551627817118</v>
      </c>
      <c r="F33">
        <v>133.51679576343338</v>
      </c>
      <c r="G33">
        <v>42.1369583208607</v>
      </c>
      <c r="H33">
        <v>84.898984320992199</v>
      </c>
      <c r="I33">
        <v>59.36126842494928</v>
      </c>
      <c r="J33">
        <v>58.875844503490285</v>
      </c>
      <c r="K33">
        <v>78.263413269231989</v>
      </c>
      <c r="L33">
        <v>38.761575348252528</v>
      </c>
      <c r="M33">
        <v>46.329373225831354</v>
      </c>
      <c r="N33">
        <v>34.860317866882227</v>
      </c>
      <c r="O33">
        <v>46.630769882335073</v>
      </c>
      <c r="P33">
        <v>81.188311419618572</v>
      </c>
      <c r="Q33">
        <v>88.91066189859383</v>
      </c>
      <c r="R33">
        <v>47.683509353624864</v>
      </c>
      <c r="S33">
        <v>42.319438605329097</v>
      </c>
      <c r="T33">
        <f t="shared" si="0"/>
        <v>4.9672637229725425E-2</v>
      </c>
      <c r="U33">
        <f t="shared" si="1"/>
        <v>79.551926481467092</v>
      </c>
      <c r="V33">
        <f t="shared" si="2"/>
        <v>53.33549470005844</v>
      </c>
      <c r="W33">
        <f t="shared" si="3"/>
        <v>9.6734010818453431</v>
      </c>
      <c r="X33">
        <f t="shared" si="4"/>
        <v>7.1244557535731134</v>
      </c>
    </row>
    <row r="34" spans="1:24" x14ac:dyDescent="0.25">
      <c r="A34" s="2">
        <v>33</v>
      </c>
      <c r="B34" s="2" t="s">
        <v>56</v>
      </c>
      <c r="C34">
        <v>9.2883140782854809</v>
      </c>
      <c r="D34">
        <v>0.65494011976047894</v>
      </c>
      <c r="E34">
        <v>39.712673441076319</v>
      </c>
      <c r="F34">
        <v>46.608061383587057</v>
      </c>
      <c r="G34">
        <v>24.660597629906146</v>
      </c>
      <c r="H34">
        <v>27.795162537274969</v>
      </c>
      <c r="I34">
        <v>61.20015768775901</v>
      </c>
      <c r="J34">
        <v>1.904191643130271</v>
      </c>
      <c r="K34">
        <v>17.818646622279033</v>
      </c>
      <c r="L34">
        <v>59.806499348426627</v>
      </c>
      <c r="M34">
        <v>57.51588607753655</v>
      </c>
      <c r="N34">
        <v>65.373376680597474</v>
      </c>
      <c r="O34">
        <v>66.273233237092569</v>
      </c>
      <c r="P34">
        <v>63.185872760913107</v>
      </c>
      <c r="Q34">
        <v>38.234342290637777</v>
      </c>
      <c r="R34">
        <v>91.967869090995833</v>
      </c>
      <c r="S34">
        <v>31.435533388524547</v>
      </c>
      <c r="T34">
        <f t="shared" si="0"/>
        <v>3.0736215768696344E-3</v>
      </c>
      <c r="U34">
        <f t="shared" si="1"/>
        <v>25.515860571450972</v>
      </c>
      <c r="V34">
        <f t="shared" si="2"/>
        <v>59.224076609340564</v>
      </c>
      <c r="W34">
        <f t="shared" si="3"/>
        <v>6.8959356252667403</v>
      </c>
      <c r="X34">
        <f t="shared" si="4"/>
        <v>6.5347771406995134</v>
      </c>
    </row>
    <row r="35" spans="1:24" x14ac:dyDescent="0.25">
      <c r="A35" s="2">
        <v>34</v>
      </c>
      <c r="B35" s="2" t="s">
        <v>57</v>
      </c>
      <c r="C35">
        <v>22.473316377186674</v>
      </c>
      <c r="D35">
        <v>2.0934693113772456</v>
      </c>
      <c r="E35">
        <v>127.63062920437807</v>
      </c>
      <c r="F35">
        <v>117.18628028535207</v>
      </c>
      <c r="G35">
        <v>58.354316705111728</v>
      </c>
      <c r="H35">
        <v>57.560597817565018</v>
      </c>
      <c r="I35">
        <v>122.95919348480332</v>
      </c>
      <c r="J35">
        <v>12.536845557950166</v>
      </c>
      <c r="K35">
        <v>46.9758538896414</v>
      </c>
      <c r="L35">
        <v>135.21747701571712</v>
      </c>
      <c r="M35">
        <v>156.99963465586598</v>
      </c>
      <c r="N35">
        <v>111.80092843354157</v>
      </c>
      <c r="O35">
        <v>106.77029709043273</v>
      </c>
      <c r="P35">
        <v>144.12698651536735</v>
      </c>
      <c r="Q35">
        <v>165.62267067773087</v>
      </c>
      <c r="R35">
        <v>199.36907012386024</v>
      </c>
      <c r="S35">
        <v>108.46864132686103</v>
      </c>
      <c r="T35">
        <f t="shared" si="0"/>
        <v>1.6363204030469098E-3</v>
      </c>
      <c r="U35">
        <f t="shared" si="1"/>
        <v>63.08561140370729</v>
      </c>
      <c r="V35">
        <f t="shared" si="2"/>
        <v>141.04696322992211</v>
      </c>
      <c r="W35">
        <f t="shared" si="3"/>
        <v>16.208194246287274</v>
      </c>
      <c r="X35">
        <f t="shared" si="4"/>
        <v>11.491423959586289</v>
      </c>
    </row>
    <row r="36" spans="1:24" x14ac:dyDescent="0.25">
      <c r="A36">
        <v>35</v>
      </c>
      <c r="B36" t="s">
        <v>58</v>
      </c>
      <c r="C36">
        <v>14.85087272778895</v>
      </c>
      <c r="D36">
        <v>1.1578405688622755</v>
      </c>
      <c r="E36">
        <v>160.52774923056697</v>
      </c>
      <c r="F36">
        <v>16.205616698134222</v>
      </c>
      <c r="G36">
        <v>36.907256431476817</v>
      </c>
      <c r="H36">
        <v>45.39808372227472</v>
      </c>
      <c r="I36">
        <v>62.077536224916585</v>
      </c>
      <c r="J36">
        <v>6.5270846495737036</v>
      </c>
      <c r="K36">
        <v>23.115910232685327</v>
      </c>
      <c r="L36">
        <v>106.12069340720392</v>
      </c>
      <c r="M36">
        <v>94.66986019071652</v>
      </c>
      <c r="N36">
        <v>32.193215691020328</v>
      </c>
      <c r="O36">
        <v>20.708559878844703</v>
      </c>
      <c r="P36">
        <v>72.26770002455855</v>
      </c>
      <c r="Q36">
        <v>44.763541599921489</v>
      </c>
      <c r="R36">
        <v>110.64530171925409</v>
      </c>
      <c r="S36">
        <v>112.83948925283812</v>
      </c>
      <c r="T36">
        <f t="shared" si="0"/>
        <v>0.1369521486506719</v>
      </c>
      <c r="U36">
        <f t="shared" si="1"/>
        <v>40.751994498475511</v>
      </c>
      <c r="V36">
        <f t="shared" si="2"/>
        <v>74.276045220544717</v>
      </c>
      <c r="W36">
        <f t="shared" si="3"/>
        <v>16.31327170475268</v>
      </c>
      <c r="X36">
        <f t="shared" si="4"/>
        <v>13.198560993328451</v>
      </c>
    </row>
    <row r="37" spans="1:24" x14ac:dyDescent="0.25">
      <c r="A37">
        <v>36</v>
      </c>
      <c r="B37" t="s">
        <v>59</v>
      </c>
      <c r="C37">
        <v>73.075217091888547</v>
      </c>
      <c r="D37">
        <v>60.055669910179645</v>
      </c>
      <c r="E37">
        <v>98.007121448331944</v>
      </c>
      <c r="F37">
        <v>102.11516083840388</v>
      </c>
      <c r="G37">
        <v>91.352503037453118</v>
      </c>
      <c r="H37">
        <v>52.815581107743242</v>
      </c>
      <c r="I37">
        <v>82.641846869801839</v>
      </c>
      <c r="J37">
        <v>132.30829853322209</v>
      </c>
      <c r="K37">
        <v>89.951733216322936</v>
      </c>
      <c r="L37">
        <v>168.58981087730706</v>
      </c>
      <c r="M37">
        <v>80.818252848627054</v>
      </c>
      <c r="N37">
        <v>121.12403670026589</v>
      </c>
      <c r="O37">
        <v>203.05487768367894</v>
      </c>
      <c r="P37">
        <v>55.968775710572373</v>
      </c>
      <c r="Q37">
        <v>139.58698150654988</v>
      </c>
      <c r="R37">
        <v>117.65828408542004</v>
      </c>
      <c r="S37">
        <v>102.04818674632969</v>
      </c>
      <c r="T37">
        <f t="shared" si="0"/>
        <v>5.6627031490463796E-2</v>
      </c>
      <c r="U37">
        <f t="shared" si="1"/>
        <v>86.924792450371925</v>
      </c>
      <c r="V37">
        <f t="shared" si="2"/>
        <v>123.60615076984388</v>
      </c>
      <c r="W37">
        <f t="shared" si="3"/>
        <v>7.9385988553039368</v>
      </c>
      <c r="X37">
        <f t="shared" si="4"/>
        <v>16.638444816224336</v>
      </c>
    </row>
    <row r="38" spans="1:24" x14ac:dyDescent="0.25">
      <c r="A38">
        <v>37</v>
      </c>
      <c r="B38" t="s">
        <v>60</v>
      </c>
      <c r="C38">
        <v>91.87202986166902</v>
      </c>
      <c r="D38">
        <v>63.073072604790418</v>
      </c>
      <c r="E38">
        <v>91.473313351776483</v>
      </c>
      <c r="F38">
        <v>47.565618696514697</v>
      </c>
      <c r="G38">
        <v>81.544610941874595</v>
      </c>
      <c r="H38">
        <v>29.376834773882226</v>
      </c>
      <c r="I38">
        <v>32.99784621597454</v>
      </c>
      <c r="J38">
        <v>76.541899920970536</v>
      </c>
      <c r="K38">
        <v>52.934480543843918</v>
      </c>
      <c r="L38">
        <v>83.501240421615336</v>
      </c>
      <c r="M38">
        <v>38.693041595634355</v>
      </c>
      <c r="N38">
        <v>56.696482597452039</v>
      </c>
      <c r="O38">
        <v>136.0952535338179</v>
      </c>
      <c r="P38">
        <v>30.308583294059357</v>
      </c>
      <c r="Q38">
        <v>104.57262943427935</v>
      </c>
      <c r="R38">
        <v>45.524751176284674</v>
      </c>
      <c r="S38">
        <v>40.288352492834093</v>
      </c>
      <c r="T38">
        <f t="shared" si="0"/>
        <v>0.79841948592397194</v>
      </c>
      <c r="U38">
        <f t="shared" si="1"/>
        <v>63.04218965681072</v>
      </c>
      <c r="V38">
        <f t="shared" si="2"/>
        <v>66.960041818247134</v>
      </c>
      <c r="W38">
        <f t="shared" si="3"/>
        <v>7.9423092863165179</v>
      </c>
      <c r="X38">
        <f t="shared" si="4"/>
        <v>13.28703688559799</v>
      </c>
    </row>
    <row r="39" spans="1:24" x14ac:dyDescent="0.25">
      <c r="A39">
        <v>38</v>
      </c>
      <c r="B39" t="s">
        <v>61</v>
      </c>
      <c r="C39">
        <v>69.529085952830087</v>
      </c>
      <c r="D39">
        <v>48.746257485029936</v>
      </c>
      <c r="E39">
        <v>89.165685030200422</v>
      </c>
      <c r="F39">
        <v>79.987260324445401</v>
      </c>
      <c r="G39">
        <v>58.275078797696814</v>
      </c>
      <c r="H39">
        <v>33.992317981568064</v>
      </c>
      <c r="I39">
        <v>42.745161197273156</v>
      </c>
      <c r="J39">
        <v>77.383926861429885</v>
      </c>
      <c r="K39">
        <v>67.662526788382905</v>
      </c>
      <c r="L39">
        <v>93.383649988607061</v>
      </c>
      <c r="M39">
        <v>53.331392698722865</v>
      </c>
      <c r="N39">
        <v>66.565935583020305</v>
      </c>
      <c r="O39">
        <v>120.77559252330443</v>
      </c>
      <c r="P39">
        <v>34.849496925882079</v>
      </c>
      <c r="Q39">
        <v>116.43062867673002</v>
      </c>
      <c r="R39">
        <v>62.639767665142017</v>
      </c>
      <c r="S39">
        <v>47.579272550149</v>
      </c>
      <c r="T39">
        <f t="shared" si="0"/>
        <v>0.37658726484690563</v>
      </c>
      <c r="U39">
        <f t="shared" si="1"/>
        <v>63.054144490984072</v>
      </c>
      <c r="V39">
        <f t="shared" si="2"/>
        <v>74.44446707644471</v>
      </c>
      <c r="W39">
        <f t="shared" si="3"/>
        <v>6.1482239308077817</v>
      </c>
      <c r="X39">
        <f t="shared" si="4"/>
        <v>11.342703786860113</v>
      </c>
    </row>
    <row r="40" spans="1:24" x14ac:dyDescent="0.25">
      <c r="A40">
        <v>39</v>
      </c>
      <c r="B40" t="s">
        <v>62</v>
      </c>
      <c r="C40">
        <v>262.61071157582938</v>
      </c>
      <c r="D40">
        <v>233.32241766467067</v>
      </c>
      <c r="E40">
        <v>171.04624111496014</v>
      </c>
      <c r="F40">
        <v>177.637289779741</v>
      </c>
      <c r="G40">
        <v>153.37817611945556</v>
      </c>
      <c r="H40">
        <v>136.20106871956816</v>
      </c>
      <c r="I40">
        <v>114.45583300481717</v>
      </c>
      <c r="J40">
        <v>85.826210042244441</v>
      </c>
      <c r="K40">
        <v>226.85388328214131</v>
      </c>
      <c r="L40">
        <v>97.85121597161239</v>
      </c>
      <c r="M40">
        <v>239.2536948683163</v>
      </c>
      <c r="N40">
        <v>127.44518635054652</v>
      </c>
      <c r="O40">
        <v>156.67237685489843</v>
      </c>
      <c r="P40">
        <v>95.455915789428431</v>
      </c>
      <c r="Q40">
        <v>270.47106753625326</v>
      </c>
      <c r="R40">
        <v>136.13296042077894</v>
      </c>
      <c r="S40">
        <v>82.891772743071314</v>
      </c>
      <c r="T40">
        <f t="shared" si="0"/>
        <v>0.47413491617092041</v>
      </c>
      <c r="U40">
        <f t="shared" si="1"/>
        <v>173.48131458926977</v>
      </c>
      <c r="V40">
        <f t="shared" si="2"/>
        <v>150.7717738168632</v>
      </c>
      <c r="W40">
        <f t="shared" si="3"/>
        <v>19.492953699785016</v>
      </c>
      <c r="X40">
        <f t="shared" si="4"/>
        <v>24.428590196844215</v>
      </c>
    </row>
    <row r="41" spans="1:24" x14ac:dyDescent="0.25">
      <c r="A41">
        <v>40</v>
      </c>
      <c r="B41" t="s">
        <v>63</v>
      </c>
      <c r="C41">
        <v>7.6948727984797989</v>
      </c>
      <c r="D41">
        <v>30.267589820359284</v>
      </c>
      <c r="E41">
        <v>1.4221430353898954</v>
      </c>
      <c r="F41">
        <v>13.676416404205758</v>
      </c>
      <c r="G41">
        <v>0.72194537866915542</v>
      </c>
      <c r="H41">
        <v>1.0839908862954919</v>
      </c>
      <c r="I41">
        <v>0.9314635154755152</v>
      </c>
      <c r="J41">
        <v>5.5034440552898002E-3</v>
      </c>
      <c r="K41">
        <v>9.0746640720885718</v>
      </c>
      <c r="L41">
        <v>9.972016907625072</v>
      </c>
      <c r="M41">
        <v>14.805534152300806</v>
      </c>
      <c r="N41">
        <v>20.890342152786182</v>
      </c>
      <c r="O41">
        <v>11.186711471928803</v>
      </c>
      <c r="P41">
        <v>0.76846230692384532</v>
      </c>
      <c r="Q41">
        <v>6.85363157309905</v>
      </c>
      <c r="R41">
        <v>0.35780522276356824</v>
      </c>
      <c r="S41">
        <v>0.67908654217158304</v>
      </c>
      <c r="T41">
        <f t="shared" si="0"/>
        <v>0.82262494357385729</v>
      </c>
      <c r="U41">
        <f t="shared" si="1"/>
        <v>7.2087321505576405</v>
      </c>
      <c r="V41">
        <f t="shared" si="2"/>
        <v>8.189198791199864</v>
      </c>
      <c r="W41">
        <f t="shared" si="3"/>
        <v>3.2948317449611189</v>
      </c>
      <c r="X41">
        <f t="shared" si="4"/>
        <v>2.6452181924228464</v>
      </c>
    </row>
    <row r="42" spans="1:24" x14ac:dyDescent="0.25">
      <c r="A42" s="2">
        <v>41</v>
      </c>
      <c r="B42" s="2" t="s">
        <v>64</v>
      </c>
      <c r="C42">
        <v>143.95438238360853</v>
      </c>
      <c r="D42">
        <v>264.13968937125748</v>
      </c>
      <c r="E42">
        <v>216.29990581656503</v>
      </c>
      <c r="F42">
        <v>122.25508910487126</v>
      </c>
      <c r="G42">
        <v>87.408216090577739</v>
      </c>
      <c r="H42">
        <v>117.89593960193673</v>
      </c>
      <c r="I42">
        <v>104.7445746757305</v>
      </c>
      <c r="J42">
        <v>30.235921639762161</v>
      </c>
      <c r="K42">
        <v>81.354013646972035</v>
      </c>
      <c r="L42">
        <v>56.452624599007152</v>
      </c>
      <c r="M42">
        <v>66.902722575956417</v>
      </c>
      <c r="N42">
        <v>102.61293767792921</v>
      </c>
      <c r="O42">
        <v>20.723163940818498</v>
      </c>
      <c r="P42">
        <v>28.266515625310678</v>
      </c>
      <c r="Q42">
        <v>61.350141087480722</v>
      </c>
      <c r="R42">
        <v>77.643733339694322</v>
      </c>
      <c r="S42">
        <v>53.876256850285493</v>
      </c>
      <c r="T42">
        <f t="shared" si="0"/>
        <v>1.7506974924438215E-2</v>
      </c>
      <c r="U42">
        <f t="shared" si="1"/>
        <v>129.80974803680908</v>
      </c>
      <c r="V42">
        <f t="shared" si="2"/>
        <v>58.47851196206031</v>
      </c>
      <c r="W42">
        <f t="shared" si="3"/>
        <v>23.750210771317565</v>
      </c>
      <c r="X42">
        <f t="shared" si="4"/>
        <v>9.2174938690000641</v>
      </c>
    </row>
    <row r="43" spans="1:24" x14ac:dyDescent="0.25">
      <c r="A43" s="2">
        <v>42</v>
      </c>
      <c r="B43" s="2" t="s">
        <v>65</v>
      </c>
      <c r="C43">
        <v>32.028169724094191</v>
      </c>
      <c r="D43">
        <v>31.85815868263473</v>
      </c>
      <c r="E43">
        <v>43.107033704789934</v>
      </c>
      <c r="F43">
        <v>24.500977332953088</v>
      </c>
      <c r="G43">
        <v>33.235900054586111</v>
      </c>
      <c r="H43">
        <v>24.863614857356342</v>
      </c>
      <c r="I43">
        <v>28.989548378412163</v>
      </c>
      <c r="J43">
        <v>13.043162411036826</v>
      </c>
      <c r="K43">
        <v>16.082568632313944</v>
      </c>
      <c r="L43">
        <v>3.6867020146290383</v>
      </c>
      <c r="M43">
        <v>40.084594622901427</v>
      </c>
      <c r="N43">
        <v>30.959534067824293</v>
      </c>
      <c r="O43">
        <v>5.8416247895189566E-2</v>
      </c>
      <c r="P43">
        <v>0.83294865435801424</v>
      </c>
      <c r="Q43">
        <v>5.7424510695315112</v>
      </c>
      <c r="R43">
        <v>19.977458270965897</v>
      </c>
      <c r="S43">
        <v>14.612707684728518</v>
      </c>
      <c r="T43">
        <f t="shared" si="0"/>
        <v>4.3474951278171782E-2</v>
      </c>
      <c r="U43">
        <f t="shared" si="1"/>
        <v>27.523237086464146</v>
      </c>
      <c r="V43">
        <f t="shared" si="2"/>
        <v>14.494351579104238</v>
      </c>
      <c r="W43">
        <f t="shared" si="3"/>
        <v>3.0584454317583094</v>
      </c>
      <c r="X43">
        <f t="shared" si="4"/>
        <v>5.251653567800294</v>
      </c>
    </row>
    <row r="44" spans="1:24" x14ac:dyDescent="0.25">
      <c r="A44">
        <v>43</v>
      </c>
      <c r="B44" t="s">
        <v>66</v>
      </c>
      <c r="C44">
        <v>484.90446160661179</v>
      </c>
      <c r="D44">
        <v>444.99672529940119</v>
      </c>
      <c r="E44">
        <v>529.47995180813416</v>
      </c>
      <c r="F44">
        <v>601.97048641829849</v>
      </c>
      <c r="G44">
        <v>652.25123699177686</v>
      </c>
      <c r="H44">
        <v>652.70568215751007</v>
      </c>
      <c r="I44">
        <v>514.75678586194635</v>
      </c>
      <c r="J44">
        <v>676.97314979714304</v>
      </c>
      <c r="K44">
        <v>654.57135407723956</v>
      </c>
      <c r="L44">
        <v>373.40658946780923</v>
      </c>
      <c r="M44">
        <v>449.65847945049882</v>
      </c>
      <c r="N44">
        <v>627.1978625584677</v>
      </c>
      <c r="O44">
        <v>700.87814224648434</v>
      </c>
      <c r="P44">
        <v>678.84240557720921</v>
      </c>
      <c r="Q44">
        <v>667.66537731877827</v>
      </c>
      <c r="R44">
        <v>558.97524584200517</v>
      </c>
      <c r="S44">
        <v>300.85385872407051</v>
      </c>
      <c r="T44">
        <f t="shared" si="0"/>
        <v>0.56853844610098536</v>
      </c>
      <c r="U44">
        <f t="shared" si="1"/>
        <v>579.17887044645124</v>
      </c>
      <c r="V44">
        <f t="shared" si="2"/>
        <v>544.68474514816535</v>
      </c>
      <c r="W44">
        <f t="shared" si="3"/>
        <v>28.873687547775504</v>
      </c>
      <c r="X44">
        <f t="shared" si="4"/>
        <v>53.843560258418108</v>
      </c>
    </row>
    <row r="45" spans="1:24" x14ac:dyDescent="0.25">
      <c r="A45">
        <v>44</v>
      </c>
      <c r="B45" t="s">
        <v>67</v>
      </c>
      <c r="C45">
        <v>2.581374873285204</v>
      </c>
      <c r="D45">
        <v>5.1810441616766472</v>
      </c>
      <c r="E45">
        <v>0.64398929904448088</v>
      </c>
      <c r="F45">
        <v>9.4298578860048838</v>
      </c>
      <c r="G45">
        <v>31.246148157278441</v>
      </c>
      <c r="H45">
        <v>7.3084165415645739</v>
      </c>
      <c r="I45">
        <v>8.3411055450323559</v>
      </c>
      <c r="J45">
        <v>15.849918879234624</v>
      </c>
      <c r="K45">
        <v>14.651735124100959</v>
      </c>
      <c r="L45">
        <v>5.9140844818007494</v>
      </c>
      <c r="M45">
        <v>8.8754530537704941</v>
      </c>
      <c r="N45">
        <v>16.296346774979995</v>
      </c>
      <c r="O45">
        <v>20.299646143578375</v>
      </c>
      <c r="P45">
        <v>12.005208347327766</v>
      </c>
      <c r="Q45">
        <v>10.584602606975455</v>
      </c>
      <c r="R45">
        <v>9.3625699956467034</v>
      </c>
      <c r="S45">
        <v>7.2538789731964544</v>
      </c>
      <c r="T45">
        <f t="shared" si="0"/>
        <v>0.84116815757951291</v>
      </c>
      <c r="U45">
        <f t="shared" si="1"/>
        <v>10.581510051913575</v>
      </c>
      <c r="V45">
        <f t="shared" si="2"/>
        <v>11.323973797159498</v>
      </c>
      <c r="W45">
        <f t="shared" si="3"/>
        <v>3.0739282263872596</v>
      </c>
      <c r="X45">
        <f t="shared" si="4"/>
        <v>1.7006977053231713</v>
      </c>
    </row>
    <row r="46" spans="1:24" x14ac:dyDescent="0.25">
      <c r="A46">
        <v>45</v>
      </c>
      <c r="B46" t="s">
        <v>68</v>
      </c>
      <c r="C46">
        <v>54.437748450088641</v>
      </c>
      <c r="D46">
        <v>111.81933008982035</v>
      </c>
      <c r="E46">
        <v>68.973937216409922</v>
      </c>
      <c r="F46">
        <v>54.247703423683724</v>
      </c>
      <c r="G46">
        <v>127.84596150798542</v>
      </c>
      <c r="H46">
        <v>22.804713928669308</v>
      </c>
      <c r="I46">
        <v>41.615386094631887</v>
      </c>
      <c r="J46">
        <v>44.743000169506082</v>
      </c>
      <c r="K46">
        <v>21.837698965348395</v>
      </c>
      <c r="L46">
        <v>66.616657236560812</v>
      </c>
      <c r="M46">
        <v>41.382721828549847</v>
      </c>
      <c r="N46">
        <v>47.796350887252075</v>
      </c>
      <c r="O46">
        <v>83.301569498540317</v>
      </c>
      <c r="P46">
        <v>35.870530760256415</v>
      </c>
      <c r="Q46">
        <v>56.061895187290695</v>
      </c>
      <c r="R46">
        <v>85.801692418703681</v>
      </c>
      <c r="S46">
        <v>36.436079744515297</v>
      </c>
      <c r="T46">
        <f t="shared" si="0"/>
        <v>0.77496003312891815</v>
      </c>
      <c r="U46">
        <f t="shared" si="1"/>
        <v>60.925053316238191</v>
      </c>
      <c r="V46">
        <f t="shared" si="2"/>
        <v>56.658437195208649</v>
      </c>
      <c r="W46">
        <f t="shared" si="3"/>
        <v>12.267728473629818</v>
      </c>
      <c r="X46">
        <f t="shared" si="4"/>
        <v>7.0857914685690648</v>
      </c>
    </row>
    <row r="47" spans="1:24" x14ac:dyDescent="0.25">
      <c r="A47">
        <v>46</v>
      </c>
      <c r="B47" t="s">
        <v>69</v>
      </c>
      <c r="C47">
        <v>12.029033079551251</v>
      </c>
      <c r="D47">
        <v>29.484000748502993</v>
      </c>
      <c r="E47">
        <v>4.3737606560104325</v>
      </c>
      <c r="F47">
        <v>15.091935910272717</v>
      </c>
      <c r="G47">
        <v>22.124984592629115</v>
      </c>
      <c r="H47">
        <v>3.176979578702511</v>
      </c>
      <c r="I47">
        <v>8.136784515831275</v>
      </c>
      <c r="J47">
        <v>1.9537226396278791</v>
      </c>
      <c r="K47">
        <v>6.6899415584002648</v>
      </c>
      <c r="L47">
        <v>26.574977022117654</v>
      </c>
      <c r="M47">
        <v>10.699715149587034</v>
      </c>
      <c r="N47">
        <v>7.742820854154159</v>
      </c>
      <c r="O47" t="s">
        <v>115</v>
      </c>
      <c r="P47">
        <v>9.3773896893853852</v>
      </c>
      <c r="Q47">
        <v>18.484528230878976</v>
      </c>
      <c r="R47">
        <v>33.180470990941565</v>
      </c>
      <c r="S47">
        <v>11.192580917791636</v>
      </c>
      <c r="T47">
        <f t="shared" si="0"/>
        <v>0.28775998443201378</v>
      </c>
      <c r="U47">
        <f t="shared" si="1"/>
        <v>11.451238142169828</v>
      </c>
      <c r="V47">
        <f t="shared" si="2"/>
        <v>16.750354693550914</v>
      </c>
      <c r="W47">
        <f t="shared" si="3"/>
        <v>3.1071385299651939</v>
      </c>
      <c r="X47">
        <f t="shared" si="4"/>
        <v>3.6919302292985265</v>
      </c>
    </row>
    <row r="48" spans="1:24" x14ac:dyDescent="0.25">
      <c r="A48">
        <v>47</v>
      </c>
      <c r="B48" t="s">
        <v>70</v>
      </c>
      <c r="C48">
        <v>67.22294184605677</v>
      </c>
      <c r="D48">
        <v>31.589165419161677</v>
      </c>
      <c r="E48">
        <v>45.495160688746559</v>
      </c>
      <c r="F48">
        <v>20.951770336123435</v>
      </c>
      <c r="G48">
        <v>24.810269232800973</v>
      </c>
      <c r="H48">
        <v>3.5042221104143572</v>
      </c>
      <c r="I48">
        <v>6.7005278693883827</v>
      </c>
      <c r="J48">
        <v>11.436156746892205</v>
      </c>
      <c r="K48">
        <v>6.8934378795683342</v>
      </c>
      <c r="L48">
        <v>38.249533401776276</v>
      </c>
      <c r="M48">
        <v>7.1642853735975685</v>
      </c>
      <c r="N48">
        <v>7.7898182493235311</v>
      </c>
      <c r="O48">
        <v>25.790773445726195</v>
      </c>
      <c r="P48">
        <v>6.3680268091241725</v>
      </c>
      <c r="Q48">
        <v>18.865736140862001</v>
      </c>
      <c r="R48">
        <v>20.967386053945102</v>
      </c>
      <c r="S48">
        <v>8.0379152537036447</v>
      </c>
      <c r="T48">
        <f t="shared" si="0"/>
        <v>0.37807836648380733</v>
      </c>
      <c r="U48">
        <f t="shared" si="1"/>
        <v>24.289294681016969</v>
      </c>
      <c r="V48">
        <f t="shared" si="2"/>
        <v>16.654184341007308</v>
      </c>
      <c r="W48">
        <f t="shared" si="3"/>
        <v>7.0384739866649921</v>
      </c>
      <c r="X48">
        <f t="shared" si="4"/>
        <v>4.0576456277876387</v>
      </c>
    </row>
    <row r="49" spans="1:24" x14ac:dyDescent="0.25">
      <c r="A49">
        <v>48</v>
      </c>
      <c r="B49" t="s">
        <v>71</v>
      </c>
      <c r="C49">
        <v>3.8010817438273707</v>
      </c>
      <c r="D49">
        <v>0.29238398203592814</v>
      </c>
      <c r="E49">
        <v>20.782071337914601</v>
      </c>
      <c r="F49">
        <v>5.734935645903632</v>
      </c>
      <c r="G49">
        <v>2.9670194220915285</v>
      </c>
      <c r="H49">
        <v>22.007060257621681</v>
      </c>
      <c r="I49">
        <v>11.994846302510503</v>
      </c>
      <c r="J49">
        <v>5.7455955937225518</v>
      </c>
      <c r="K49">
        <v>6.9379526998238488</v>
      </c>
      <c r="L49">
        <v>43.946000056324614</v>
      </c>
      <c r="M49">
        <v>34.110259187814911</v>
      </c>
      <c r="N49">
        <v>9.563969916967352</v>
      </c>
      <c r="O49">
        <v>6.1629141529425002</v>
      </c>
      <c r="P49">
        <v>9.2269215453723259</v>
      </c>
      <c r="Q49">
        <v>5.0287000891377653</v>
      </c>
      <c r="R49">
        <v>15.361770897315864</v>
      </c>
      <c r="S49">
        <v>8.636746113618587</v>
      </c>
      <c r="T49">
        <f t="shared" si="0"/>
        <v>0.19079098323019392</v>
      </c>
      <c r="U49">
        <f t="shared" si="1"/>
        <v>8.9181052206057387</v>
      </c>
      <c r="V49">
        <f t="shared" si="2"/>
        <v>16.504660244936741</v>
      </c>
      <c r="W49">
        <f t="shared" si="3"/>
        <v>2.5864539750587139</v>
      </c>
      <c r="X49">
        <f t="shared" si="4"/>
        <v>5.1164694687089094</v>
      </c>
    </row>
    <row r="50" spans="1:24" x14ac:dyDescent="0.25">
      <c r="A50">
        <v>49</v>
      </c>
      <c r="B50" t="s">
        <v>72</v>
      </c>
      <c r="C50">
        <v>6.81413434564175</v>
      </c>
      <c r="D50">
        <v>0.24560254491017963</v>
      </c>
      <c r="E50">
        <v>6.8692191898077954</v>
      </c>
      <c r="F50">
        <v>1.7381746875969268</v>
      </c>
      <c r="G50">
        <v>2.1570319240724762</v>
      </c>
      <c r="H50">
        <v>18.311946670375416</v>
      </c>
      <c r="I50">
        <v>10.10788150341817</v>
      </c>
      <c r="J50">
        <v>7.5011942473599982</v>
      </c>
      <c r="K50">
        <v>5.6851784726329244</v>
      </c>
      <c r="L50">
        <v>18.02387651596419</v>
      </c>
      <c r="M50">
        <v>9.8244627154755957</v>
      </c>
      <c r="N50">
        <v>6.0802880000375978</v>
      </c>
      <c r="O50">
        <v>5.4619191782002243</v>
      </c>
      <c r="P50">
        <v>9.0979488505039878</v>
      </c>
      <c r="Q50">
        <v>2.2791366533027611</v>
      </c>
      <c r="R50">
        <v>13.274573764528382</v>
      </c>
      <c r="S50">
        <v>6.9205092161304052</v>
      </c>
      <c r="T50">
        <f t="shared" si="0"/>
        <v>0.3839025318332242</v>
      </c>
      <c r="U50">
        <f t="shared" si="1"/>
        <v>6.6033737317572934</v>
      </c>
      <c r="V50">
        <f t="shared" si="2"/>
        <v>8.8703393617678934</v>
      </c>
      <c r="W50">
        <f t="shared" si="3"/>
        <v>1.8066154847877334</v>
      </c>
      <c r="X50">
        <f t="shared" si="4"/>
        <v>1.7463951956761614</v>
      </c>
    </row>
    <row r="51" spans="1:24" x14ac:dyDescent="0.25">
      <c r="A51">
        <v>50</v>
      </c>
      <c r="B51" t="s">
        <v>73</v>
      </c>
      <c r="C51">
        <v>218.27827800567206</v>
      </c>
      <c r="D51">
        <v>95.761601796407192</v>
      </c>
      <c r="E51">
        <v>68.383613692285806</v>
      </c>
      <c r="F51">
        <v>62.386940583568737</v>
      </c>
      <c r="G51">
        <v>81.914387843144155</v>
      </c>
      <c r="H51">
        <v>111.22155546556385</v>
      </c>
      <c r="I51">
        <v>115.83800467294212</v>
      </c>
      <c r="J51">
        <v>160.71707674662801</v>
      </c>
      <c r="K51">
        <v>249.98251203489963</v>
      </c>
      <c r="L51">
        <v>182.36373923751833</v>
      </c>
      <c r="M51">
        <v>122.29931764730179</v>
      </c>
      <c r="N51">
        <v>78.779383652661053</v>
      </c>
      <c r="O51">
        <v>95.379128750870763</v>
      </c>
      <c r="P51">
        <v>64.857143931915317</v>
      </c>
      <c r="Q51">
        <v>87.612932843332473</v>
      </c>
      <c r="R51">
        <v>119.49501756227302</v>
      </c>
      <c r="S51">
        <v>87.157670930712811</v>
      </c>
      <c r="T51">
        <f t="shared" si="0"/>
        <v>0.3693361923807732</v>
      </c>
      <c r="U51">
        <f t="shared" si="1"/>
        <v>129.3871078712346</v>
      </c>
      <c r="V51">
        <f t="shared" si="2"/>
        <v>104.74304181957319</v>
      </c>
      <c r="W51">
        <f t="shared" si="3"/>
        <v>22.215737227042297</v>
      </c>
      <c r="X51">
        <f t="shared" si="4"/>
        <v>13.028938562326017</v>
      </c>
    </row>
    <row r="52" spans="1:24" x14ac:dyDescent="0.25">
      <c r="A52">
        <v>51</v>
      </c>
      <c r="B52" t="s">
        <v>74</v>
      </c>
      <c r="C52">
        <v>157.15966484425272</v>
      </c>
      <c r="D52">
        <v>55.319049401197603</v>
      </c>
      <c r="E52">
        <v>36.801305151646062</v>
      </c>
      <c r="F52">
        <v>19.192779185201992</v>
      </c>
      <c r="G52">
        <v>18.885034600552906</v>
      </c>
      <c r="H52">
        <v>9.1150680187237274</v>
      </c>
      <c r="I52">
        <v>26.123044527561703</v>
      </c>
      <c r="J52">
        <v>132.95770493174629</v>
      </c>
      <c r="K52">
        <v>81.233187706278486</v>
      </c>
      <c r="L52">
        <v>56.606237182950025</v>
      </c>
      <c r="M52">
        <v>34.375785207152092</v>
      </c>
      <c r="N52">
        <v>44.242172877568265</v>
      </c>
      <c r="O52">
        <v>55.787516739906039</v>
      </c>
      <c r="P52">
        <v>27.374454485804673</v>
      </c>
      <c r="Q52">
        <v>44.098455459100038</v>
      </c>
      <c r="R52">
        <v>35.553912301939903</v>
      </c>
      <c r="S52">
        <v>22.712358078629578</v>
      </c>
      <c r="T52">
        <f t="shared" si="0"/>
        <v>0.32982629144548359</v>
      </c>
      <c r="U52">
        <f t="shared" si="1"/>
        <v>59.642982040795722</v>
      </c>
      <c r="V52">
        <f t="shared" si="2"/>
        <v>40.093861541631327</v>
      </c>
      <c r="W52">
        <f t="shared" si="3"/>
        <v>17.820561272078908</v>
      </c>
      <c r="X52">
        <f t="shared" si="4"/>
        <v>4.3699504262023448</v>
      </c>
    </row>
    <row r="53" spans="1:24" x14ac:dyDescent="0.25">
      <c r="A53">
        <v>52</v>
      </c>
      <c r="B53" t="s">
        <v>75</v>
      </c>
      <c r="C53">
        <v>112.45059969886857</v>
      </c>
      <c r="D53">
        <v>47.448072604790418</v>
      </c>
      <c r="E53">
        <v>93.110119486847864</v>
      </c>
      <c r="F53">
        <v>66.165128676968038</v>
      </c>
      <c r="G53">
        <v>59.199521050870736</v>
      </c>
      <c r="H53">
        <v>62.571499084402667</v>
      </c>
      <c r="I53">
        <v>80.917137005663292</v>
      </c>
      <c r="J53">
        <v>56.465336007273358</v>
      </c>
      <c r="K53">
        <v>116.32994384773387</v>
      </c>
      <c r="L53">
        <v>179.76512635915134</v>
      </c>
      <c r="M53">
        <v>111.9290514476331</v>
      </c>
      <c r="N53">
        <v>37.603790809894363</v>
      </c>
      <c r="O53">
        <v>87.536747470941563</v>
      </c>
      <c r="P53">
        <v>103.8337670935842</v>
      </c>
      <c r="Q53">
        <v>65.437987611554007</v>
      </c>
      <c r="R53">
        <v>95.677116566978157</v>
      </c>
      <c r="S53">
        <v>60.426355225231397</v>
      </c>
      <c r="T53">
        <f t="shared" si="0"/>
        <v>0.36824426355758166</v>
      </c>
      <c r="U53">
        <f t="shared" si="1"/>
        <v>77.184150829268745</v>
      </c>
      <c r="V53">
        <f t="shared" si="2"/>
        <v>92.776242823121024</v>
      </c>
      <c r="W53">
        <f t="shared" si="3"/>
        <v>8.3463117059340615</v>
      </c>
      <c r="X53">
        <f t="shared" si="4"/>
        <v>15.195116136694855</v>
      </c>
    </row>
    <row r="54" spans="1:24" x14ac:dyDescent="0.25">
      <c r="A54">
        <v>53</v>
      </c>
      <c r="B54" t="s">
        <v>76</v>
      </c>
      <c r="C54">
        <v>33.421706552433349</v>
      </c>
      <c r="D54">
        <v>19.44938248502994</v>
      </c>
      <c r="E54">
        <v>43.241198142090866</v>
      </c>
      <c r="F54">
        <v>26.780380066987377</v>
      </c>
      <c r="G54">
        <v>31.607120846613018</v>
      </c>
      <c r="H54">
        <v>16.839355277672105</v>
      </c>
      <c r="I54">
        <v>32.390892570406621</v>
      </c>
      <c r="J54">
        <v>19.438164403283576</v>
      </c>
      <c r="K54">
        <v>26.123840229950844</v>
      </c>
      <c r="L54">
        <v>48.784796450525228</v>
      </c>
      <c r="M54">
        <v>35.201866156201092</v>
      </c>
      <c r="N54">
        <v>28.257183845585356</v>
      </c>
      <c r="O54">
        <v>62.242512132324485</v>
      </c>
      <c r="P54">
        <v>41.754909963624321</v>
      </c>
      <c r="Q54">
        <v>25.605816421625679</v>
      </c>
      <c r="R54">
        <v>39.811794452826362</v>
      </c>
      <c r="S54">
        <v>14.446022806195492</v>
      </c>
      <c r="T54">
        <f t="shared" si="0"/>
        <v>0.12555360456971759</v>
      </c>
      <c r="U54">
        <f t="shared" si="1"/>
        <v>27.699115619385296</v>
      </c>
      <c r="V54">
        <f t="shared" si="2"/>
        <v>37.013112778613511</v>
      </c>
      <c r="W54">
        <f t="shared" si="3"/>
        <v>2.8115610184999889</v>
      </c>
      <c r="X54">
        <f t="shared" si="4"/>
        <v>5.2180306453487484</v>
      </c>
    </row>
    <row r="55" spans="1:24" x14ac:dyDescent="0.25">
      <c r="A55">
        <v>54</v>
      </c>
      <c r="B55" t="s">
        <v>77</v>
      </c>
      <c r="C55">
        <v>462.05161648823503</v>
      </c>
      <c r="D55">
        <v>275.42571107784431</v>
      </c>
      <c r="E55">
        <v>343.31337860935872</v>
      </c>
      <c r="F55">
        <v>316.48310015425</v>
      </c>
      <c r="G55">
        <v>330.783046609498</v>
      </c>
      <c r="H55">
        <v>99.665803564489266</v>
      </c>
      <c r="I55">
        <v>152.19512898666386</v>
      </c>
      <c r="J55">
        <v>218.71787364532724</v>
      </c>
      <c r="K55">
        <v>270.01418114988138</v>
      </c>
      <c r="L55">
        <v>234.9888502866155</v>
      </c>
      <c r="M55">
        <v>251.39905167873908</v>
      </c>
      <c r="N55">
        <v>208.65081052882644</v>
      </c>
      <c r="O55">
        <v>314.96580458888832</v>
      </c>
      <c r="P55">
        <v>203.55652953824014</v>
      </c>
      <c r="Q55">
        <v>333.63802930109995</v>
      </c>
      <c r="R55">
        <v>170.20794446862942</v>
      </c>
      <c r="S55">
        <v>132.92193035905777</v>
      </c>
      <c r="T55">
        <f t="shared" si="0"/>
        <v>0.34970160499282354</v>
      </c>
      <c r="U55">
        <f t="shared" si="1"/>
        <v>274.29442669839426</v>
      </c>
      <c r="V55">
        <f t="shared" si="2"/>
        <v>231.29111884376209</v>
      </c>
      <c r="W55">
        <f t="shared" si="3"/>
        <v>36.036049555155422</v>
      </c>
      <c r="X55">
        <f t="shared" si="4"/>
        <v>24.121636603017826</v>
      </c>
    </row>
    <row r="56" spans="1:24" x14ac:dyDescent="0.25">
      <c r="A56">
        <v>55</v>
      </c>
      <c r="B56" t="s">
        <v>78</v>
      </c>
      <c r="C56">
        <v>169.86663475921219</v>
      </c>
      <c r="D56">
        <v>102.83729416167665</v>
      </c>
      <c r="E56">
        <v>197.04730906388107</v>
      </c>
      <c r="F56">
        <v>180.61404403514652</v>
      </c>
      <c r="G56">
        <v>92.24172844288708</v>
      </c>
      <c r="H56">
        <v>59.735397142899991</v>
      </c>
      <c r="I56">
        <v>82.491610818918673</v>
      </c>
      <c r="J56">
        <v>85.44647240242945</v>
      </c>
      <c r="K56">
        <v>161.27083452569457</v>
      </c>
      <c r="L56">
        <v>81.773098852257974</v>
      </c>
      <c r="M56">
        <v>129.27675137766207</v>
      </c>
      <c r="N56">
        <v>86.5222045068152</v>
      </c>
      <c r="O56">
        <v>84.791183819867655</v>
      </c>
      <c r="P56">
        <v>120.15956071900128</v>
      </c>
      <c r="Q56">
        <v>189.23322867689222</v>
      </c>
      <c r="R56">
        <v>61.5782788376101</v>
      </c>
      <c r="S56">
        <v>75.032889395940174</v>
      </c>
      <c r="T56">
        <f t="shared" si="0"/>
        <v>0.34424091093898801</v>
      </c>
      <c r="U56">
        <f t="shared" si="1"/>
        <v>125.72792503919401</v>
      </c>
      <c r="V56">
        <f t="shared" si="2"/>
        <v>103.54589952325584</v>
      </c>
      <c r="W56">
        <f t="shared" si="3"/>
        <v>16.997858967747387</v>
      </c>
      <c r="X56">
        <f t="shared" si="4"/>
        <v>14.620363848612341</v>
      </c>
    </row>
    <row r="57" spans="1:24" x14ac:dyDescent="0.25">
      <c r="A57">
        <v>56</v>
      </c>
      <c r="B57" t="s">
        <v>79</v>
      </c>
      <c r="C57">
        <v>10.287836335618136</v>
      </c>
      <c r="D57">
        <v>13.157279191616768</v>
      </c>
      <c r="E57">
        <v>18.031700373245464</v>
      </c>
      <c r="F57">
        <v>7.1504551519705908</v>
      </c>
      <c r="G57">
        <v>11.075698614217043</v>
      </c>
      <c r="H57">
        <v>3.5246747686463475</v>
      </c>
      <c r="I57">
        <v>4.2546849610107396</v>
      </c>
      <c r="J57">
        <v>5.448409614736903</v>
      </c>
      <c r="K57">
        <v>1.5325816687970186</v>
      </c>
      <c r="L57">
        <v>9.4343728638250042</v>
      </c>
      <c r="M57">
        <v>3.5255954789769777</v>
      </c>
      <c r="N57">
        <v>3.859661078284736</v>
      </c>
      <c r="O57">
        <v>4.4542389020082043</v>
      </c>
      <c r="P57">
        <v>4.186238720934794</v>
      </c>
      <c r="Q57">
        <v>6.8211883467175163</v>
      </c>
      <c r="R57">
        <v>11.676377102851111</v>
      </c>
      <c r="S57">
        <v>3.1423186360485067</v>
      </c>
      <c r="T57">
        <f t="shared" si="0"/>
        <v>0.28441007834637405</v>
      </c>
      <c r="U57">
        <f t="shared" si="1"/>
        <v>8.273702297762112</v>
      </c>
      <c r="V57">
        <f t="shared" si="2"/>
        <v>5.8874988912058566</v>
      </c>
      <c r="W57">
        <f t="shared" si="3"/>
        <v>1.7652832714694668</v>
      </c>
      <c r="X57">
        <f t="shared" si="4"/>
        <v>1.1111323925178798</v>
      </c>
    </row>
    <row r="58" spans="1:24" x14ac:dyDescent="0.25">
      <c r="A58">
        <v>57</v>
      </c>
      <c r="B58" t="s">
        <v>80</v>
      </c>
      <c r="C58">
        <v>37.277834449563095</v>
      </c>
      <c r="D58">
        <v>48.009449850299404</v>
      </c>
      <c r="E58">
        <v>19.494092739825639</v>
      </c>
      <c r="F58">
        <v>43.974778773036014</v>
      </c>
      <c r="G58">
        <v>43.307918508214328</v>
      </c>
      <c r="H58">
        <v>27.19521789580325</v>
      </c>
      <c r="I58">
        <v>32.156524331028912</v>
      </c>
      <c r="J58">
        <v>34.071822146299155</v>
      </c>
      <c r="K58">
        <v>32.692955847657565</v>
      </c>
      <c r="L58">
        <v>25.934924589022334</v>
      </c>
      <c r="M58">
        <v>11.294690118842563</v>
      </c>
      <c r="N58">
        <v>47.620110655366922</v>
      </c>
      <c r="O58">
        <v>69.340086251590023</v>
      </c>
      <c r="P58">
        <v>41.061681728707008</v>
      </c>
      <c r="Q58">
        <v>49.670579590128497</v>
      </c>
      <c r="R58">
        <v>40.276941242418999</v>
      </c>
      <c r="S58">
        <v>16.779611105657843</v>
      </c>
      <c r="T58">
        <f t="shared" si="0"/>
        <v>0.73948433578268469</v>
      </c>
      <c r="U58">
        <f t="shared" si="1"/>
        <v>35.353399393525265</v>
      </c>
      <c r="V58">
        <f t="shared" si="2"/>
        <v>37.747328160216782</v>
      </c>
      <c r="W58">
        <f t="shared" si="3"/>
        <v>2.9779177180473635</v>
      </c>
      <c r="X58">
        <f t="shared" si="4"/>
        <v>6.7268679038359167</v>
      </c>
    </row>
    <row r="59" spans="1:24" x14ac:dyDescent="0.25">
      <c r="A59" s="2">
        <v>58</v>
      </c>
      <c r="B59" s="2" t="s">
        <v>81</v>
      </c>
      <c r="C59">
        <v>12.637437931840694</v>
      </c>
      <c r="D59">
        <v>11.286021706586824</v>
      </c>
      <c r="E59">
        <v>107.57304582788849</v>
      </c>
      <c r="F59">
        <v>73.430074377223463</v>
      </c>
      <c r="G59">
        <v>16.067686781356201</v>
      </c>
      <c r="H59">
        <v>11.876176880042431</v>
      </c>
      <c r="I59">
        <v>65.376719902310512</v>
      </c>
      <c r="J59">
        <v>11.535218739887421</v>
      </c>
      <c r="K59">
        <v>30.530807435246832</v>
      </c>
      <c r="L59">
        <v>31.298563978361106</v>
      </c>
      <c r="M59">
        <v>53.891947628434686</v>
      </c>
      <c r="N59">
        <v>80.676903482624468</v>
      </c>
      <c r="O59">
        <v>94.575905342311913</v>
      </c>
      <c r="P59">
        <v>86.863109993825432</v>
      </c>
      <c r="Q59">
        <v>105.07549944319314</v>
      </c>
      <c r="R59">
        <v>62.902158161835303</v>
      </c>
      <c r="S59">
        <v>50.03015761598644</v>
      </c>
      <c r="T59">
        <f t="shared" si="0"/>
        <v>4.6454505352434533E-2</v>
      </c>
      <c r="U59">
        <f t="shared" si="1"/>
        <v>37.812576620264764</v>
      </c>
      <c r="V59">
        <f t="shared" si="2"/>
        <v>70.664280705821554</v>
      </c>
      <c r="W59">
        <f t="shared" si="3"/>
        <v>11.856443216785509</v>
      </c>
      <c r="X59">
        <f t="shared" si="4"/>
        <v>8.899780139057901</v>
      </c>
    </row>
    <row r="60" spans="1:24" x14ac:dyDescent="0.25">
      <c r="A60" s="2">
        <v>59</v>
      </c>
      <c r="B60" s="2" t="s">
        <v>82</v>
      </c>
      <c r="C60">
        <v>26.398976257435212</v>
      </c>
      <c r="D60">
        <v>39.635572604790426</v>
      </c>
      <c r="E60">
        <v>52.699790971806685</v>
      </c>
      <c r="F60">
        <v>60.565500042673747</v>
      </c>
      <c r="G60">
        <v>22.406719374548786</v>
      </c>
      <c r="H60">
        <v>17.950616374943586</v>
      </c>
      <c r="I60">
        <v>63.105150812957312</v>
      </c>
      <c r="J60">
        <v>20.428784333235736</v>
      </c>
      <c r="K60">
        <v>33.615048552950377</v>
      </c>
      <c r="L60">
        <v>41.744219686476718</v>
      </c>
      <c r="M60">
        <v>45.478706534251131</v>
      </c>
      <c r="N60">
        <v>95.099229125225733</v>
      </c>
      <c r="O60">
        <v>57.99273009794944</v>
      </c>
      <c r="P60">
        <v>68.715577053393076</v>
      </c>
      <c r="Q60">
        <v>76.987776203380093</v>
      </c>
      <c r="R60">
        <v>65.931575714566847</v>
      </c>
      <c r="S60">
        <v>60.296711430816821</v>
      </c>
      <c r="T60">
        <f t="shared" si="0"/>
        <v>6.51278158645329E-3</v>
      </c>
      <c r="U60">
        <f t="shared" si="1"/>
        <v>37.42290659170466</v>
      </c>
      <c r="V60">
        <f t="shared" si="2"/>
        <v>64.030815730757482</v>
      </c>
      <c r="W60">
        <f t="shared" si="3"/>
        <v>5.8486933086537141</v>
      </c>
      <c r="X60">
        <f t="shared" si="4"/>
        <v>6.0503307828946644</v>
      </c>
    </row>
    <row r="61" spans="1:24" x14ac:dyDescent="0.25">
      <c r="A61">
        <v>60</v>
      </c>
      <c r="B61" t="s">
        <v>83</v>
      </c>
      <c r="C61">
        <v>165.57593196758998</v>
      </c>
      <c r="D61">
        <v>117.22258607784431</v>
      </c>
      <c r="E61">
        <v>144.29385231715401</v>
      </c>
      <c r="F61">
        <v>102.59393949486771</v>
      </c>
      <c r="G61">
        <v>99.408356957968707</v>
      </c>
      <c r="H61">
        <v>74.202244065661219</v>
      </c>
      <c r="I61">
        <v>77.257386806149825</v>
      </c>
      <c r="J61">
        <v>99.568309848303073</v>
      </c>
      <c r="K61">
        <v>122.65740758405352</v>
      </c>
      <c r="L61">
        <v>119.28017143164368</v>
      </c>
      <c r="M61">
        <v>73.870322009304218</v>
      </c>
      <c r="N61">
        <v>82.421681778287436</v>
      </c>
      <c r="O61">
        <v>99.950200148669339</v>
      </c>
      <c r="P61">
        <v>88.555876613972373</v>
      </c>
      <c r="Q61">
        <v>111.80746891736143</v>
      </c>
      <c r="R61">
        <v>150.40938880904531</v>
      </c>
      <c r="S61">
        <v>105.2522405225756</v>
      </c>
      <c r="T61">
        <f t="shared" si="0"/>
        <v>0.58113094046685432</v>
      </c>
      <c r="U61">
        <f t="shared" si="1"/>
        <v>111.42000167995474</v>
      </c>
      <c r="V61">
        <f t="shared" si="2"/>
        <v>103.94341877885743</v>
      </c>
      <c r="W61">
        <f t="shared" si="3"/>
        <v>9.9221913440775182</v>
      </c>
      <c r="X61">
        <f t="shared" si="4"/>
        <v>8.5337117337378618</v>
      </c>
    </row>
    <row r="62" spans="1:24" x14ac:dyDescent="0.25">
      <c r="A62">
        <v>61</v>
      </c>
      <c r="B62" t="s">
        <v>84</v>
      </c>
      <c r="C62">
        <v>243.47493038834483</v>
      </c>
      <c r="D62">
        <v>184.42412050898204</v>
      </c>
      <c r="E62">
        <v>103.21270161560815</v>
      </c>
      <c r="F62">
        <v>88.05363986269461</v>
      </c>
      <c r="G62">
        <v>168.86478491310243</v>
      </c>
      <c r="H62">
        <v>156.84461842839048</v>
      </c>
      <c r="I62">
        <v>58.86248473601723</v>
      </c>
      <c r="J62">
        <v>337.62528590391867</v>
      </c>
      <c r="K62">
        <v>175.69363628848149</v>
      </c>
      <c r="L62">
        <v>118.52490956059121</v>
      </c>
      <c r="M62">
        <v>71.372410568132253</v>
      </c>
      <c r="N62">
        <v>83.590741983125582</v>
      </c>
      <c r="O62">
        <v>107.92401798636274</v>
      </c>
      <c r="P62">
        <v>112.66839669206533</v>
      </c>
      <c r="Q62">
        <v>93.631151337107028</v>
      </c>
      <c r="R62">
        <v>178.4374645921915</v>
      </c>
      <c r="S62">
        <v>83.848667416131264</v>
      </c>
      <c r="T62">
        <f t="shared" si="0"/>
        <v>7.0790672391645743E-2</v>
      </c>
      <c r="U62">
        <f t="shared" si="1"/>
        <v>168.56180029394886</v>
      </c>
      <c r="V62">
        <f t="shared" si="2"/>
        <v>106.24972001696335</v>
      </c>
      <c r="W62">
        <f t="shared" si="3"/>
        <v>28.240118255210177</v>
      </c>
      <c r="X62">
        <f t="shared" si="4"/>
        <v>11.799398336826021</v>
      </c>
    </row>
    <row r="63" spans="1:24" x14ac:dyDescent="0.25">
      <c r="A63">
        <v>62</v>
      </c>
      <c r="B63" t="s">
        <v>85</v>
      </c>
      <c r="C63">
        <v>164.86033197465906</v>
      </c>
      <c r="D63">
        <v>87.878929640718553</v>
      </c>
      <c r="E63">
        <v>45.186582482954407</v>
      </c>
      <c r="F63">
        <v>102.04230321676809</v>
      </c>
      <c r="G63">
        <v>118.98012008945078</v>
      </c>
      <c r="H63">
        <v>31.606174521169184</v>
      </c>
      <c r="I63">
        <v>61.398469274924764</v>
      </c>
      <c r="J63">
        <v>154.16247487677788</v>
      </c>
      <c r="K63">
        <v>68.699086174332763</v>
      </c>
      <c r="L63">
        <v>120.84189936839626</v>
      </c>
      <c r="M63">
        <v>59.256556648746937</v>
      </c>
      <c r="N63">
        <v>68.986301434243003</v>
      </c>
      <c r="O63">
        <v>19.291965867386356</v>
      </c>
      <c r="P63">
        <v>54.426477234438501</v>
      </c>
      <c r="Q63">
        <v>54.415401448427843</v>
      </c>
      <c r="R63">
        <v>186.36881369678392</v>
      </c>
      <c r="S63">
        <v>50.7215911861975</v>
      </c>
      <c r="T63">
        <f t="shared" si="0"/>
        <v>0.51615851730033513</v>
      </c>
      <c r="U63">
        <f t="shared" si="1"/>
        <v>92.75716358352841</v>
      </c>
      <c r="V63">
        <f t="shared" si="2"/>
        <v>76.78862586057754</v>
      </c>
      <c r="W63">
        <f t="shared" si="3"/>
        <v>15.515089441098226</v>
      </c>
      <c r="X63">
        <f t="shared" si="4"/>
        <v>18.565877522995667</v>
      </c>
    </row>
    <row r="64" spans="1:24" x14ac:dyDescent="0.25">
      <c r="A64">
        <v>63</v>
      </c>
      <c r="B64" t="s">
        <v>86</v>
      </c>
      <c r="C64">
        <v>705.11804647575696</v>
      </c>
      <c r="D64">
        <v>1313.8098802395209</v>
      </c>
      <c r="E64">
        <v>562.96739535844711</v>
      </c>
      <c r="F64">
        <v>1180.3142869632736</v>
      </c>
      <c r="G64">
        <v>877.09320138754379</v>
      </c>
      <c r="H64">
        <v>901.3350131783294</v>
      </c>
      <c r="I64">
        <v>673.18370623924307</v>
      </c>
      <c r="J64">
        <v>1288.0260467000248</v>
      </c>
      <c r="K64">
        <v>1013.2145423558516</v>
      </c>
      <c r="L64">
        <v>876.35979139411097</v>
      </c>
      <c r="M64">
        <v>601.22958215547135</v>
      </c>
      <c r="N64">
        <v>721.05753538610122</v>
      </c>
      <c r="O64">
        <v>513.11371744937139</v>
      </c>
      <c r="P64">
        <v>666.7350938464441</v>
      </c>
      <c r="Q64">
        <v>846.4032222612442</v>
      </c>
      <c r="R64">
        <v>947.65905933006934</v>
      </c>
      <c r="S64">
        <v>931.80551208372765</v>
      </c>
      <c r="T64">
        <f t="shared" si="0"/>
        <v>0.11918699623975954</v>
      </c>
      <c r="U64">
        <f t="shared" si="1"/>
        <v>946.11801321088797</v>
      </c>
      <c r="V64">
        <f t="shared" si="2"/>
        <v>763.04543923831773</v>
      </c>
      <c r="W64">
        <f t="shared" si="3"/>
        <v>91.104084925987479</v>
      </c>
      <c r="X64">
        <f t="shared" si="4"/>
        <v>57.014991318762569</v>
      </c>
    </row>
    <row r="65" spans="1:24" x14ac:dyDescent="0.25">
      <c r="A65">
        <v>64</v>
      </c>
      <c r="B65" t="s">
        <v>87</v>
      </c>
      <c r="C65">
        <v>222.31692735848864</v>
      </c>
      <c r="D65">
        <v>405.25589446107784</v>
      </c>
      <c r="E65">
        <v>233.835197771797</v>
      </c>
      <c r="F65">
        <v>222.43431885409532</v>
      </c>
      <c r="G65">
        <v>621.49812470285781</v>
      </c>
      <c r="H65">
        <v>469.4294117406439</v>
      </c>
      <c r="I65">
        <v>377.87371518129282</v>
      </c>
      <c r="J65">
        <v>366.06158133760107</v>
      </c>
      <c r="K65">
        <v>435.17052355787877</v>
      </c>
      <c r="L65">
        <v>129.94344496701169</v>
      </c>
      <c r="M65">
        <v>193.57830239381542</v>
      </c>
      <c r="N65">
        <v>349.04377924853515</v>
      </c>
      <c r="O65">
        <v>181.04655628916629</v>
      </c>
      <c r="P65">
        <v>463.87716640540742</v>
      </c>
      <c r="Q65">
        <v>405.19967589216844</v>
      </c>
      <c r="R65">
        <v>417.26052394611452</v>
      </c>
      <c r="S65">
        <v>187.69334674220576</v>
      </c>
      <c r="T65">
        <f t="shared" si="0"/>
        <v>0.22200868073013852</v>
      </c>
      <c r="U65">
        <f t="shared" si="1"/>
        <v>372.65285499619262</v>
      </c>
      <c r="V65">
        <f t="shared" si="2"/>
        <v>290.95534948555314</v>
      </c>
      <c r="W65">
        <f t="shared" si="3"/>
        <v>44.216737533172982</v>
      </c>
      <c r="X65">
        <f t="shared" si="4"/>
        <v>46.374078808766406</v>
      </c>
    </row>
    <row r="66" spans="1:24" x14ac:dyDescent="0.25">
      <c r="A66">
        <v>65</v>
      </c>
      <c r="B66" t="s">
        <v>88</v>
      </c>
      <c r="C66">
        <v>17.692992537769626</v>
      </c>
      <c r="D66">
        <v>99.679547155688624</v>
      </c>
      <c r="E66">
        <v>157.72371249097742</v>
      </c>
      <c r="F66">
        <v>4.5171725414195576</v>
      </c>
      <c r="G66">
        <v>8.6809529678998434</v>
      </c>
      <c r="H66">
        <v>39.821325577685329</v>
      </c>
      <c r="I66">
        <v>38.13591915617819</v>
      </c>
      <c r="J66">
        <v>25.007649787236854</v>
      </c>
      <c r="K66">
        <v>10.817101322090162</v>
      </c>
      <c r="L66">
        <v>28.738354245979831</v>
      </c>
      <c r="M66">
        <v>92.757089421787597</v>
      </c>
      <c r="N66">
        <v>8.8061369198612169</v>
      </c>
      <c r="O66">
        <v>0</v>
      </c>
      <c r="P66">
        <v>6.3357836354070889</v>
      </c>
      <c r="Q66">
        <v>3.0821065062457267</v>
      </c>
      <c r="R66">
        <v>18.331554246253482</v>
      </c>
      <c r="S66">
        <v>53.536713579199706</v>
      </c>
      <c r="T66">
        <f t="shared" si="0"/>
        <v>0.40063851692038399</v>
      </c>
      <c r="U66">
        <f t="shared" si="1"/>
        <v>44.675152615216177</v>
      </c>
      <c r="V66">
        <f t="shared" si="2"/>
        <v>26.448467319341834</v>
      </c>
      <c r="W66">
        <f t="shared" si="3"/>
        <v>17.095013307593451</v>
      </c>
      <c r="X66">
        <f t="shared" si="4"/>
        <v>11.309773285129058</v>
      </c>
    </row>
    <row r="67" spans="1:24" x14ac:dyDescent="0.25">
      <c r="A67">
        <v>66</v>
      </c>
      <c r="B67" t="s">
        <v>89</v>
      </c>
      <c r="C67">
        <v>67.376491642110764</v>
      </c>
      <c r="D67">
        <v>77.540232035928142</v>
      </c>
      <c r="E67">
        <v>73.709941853132875</v>
      </c>
      <c r="F67">
        <v>100.85576480727077</v>
      </c>
      <c r="G67">
        <v>167.29763518867426</v>
      </c>
      <c r="H67">
        <v>100.27256575870499</v>
      </c>
      <c r="I67">
        <v>94.961203042219935</v>
      </c>
      <c r="J67">
        <v>263.66450124487903</v>
      </c>
      <c r="K67">
        <v>160.0371380786132</v>
      </c>
      <c r="L67">
        <v>62.033881815598335</v>
      </c>
      <c r="M67">
        <v>75.134029175408941</v>
      </c>
      <c r="N67">
        <v>146.44975802216163</v>
      </c>
      <c r="O67">
        <v>38.802992664379673</v>
      </c>
      <c r="P67">
        <v>77.953246323337765</v>
      </c>
      <c r="Q67">
        <v>76.282136029581736</v>
      </c>
      <c r="R67">
        <v>156.83795597803075</v>
      </c>
      <c r="S67">
        <v>86.33659356608716</v>
      </c>
      <c r="T67">
        <f t="shared" ref="T67:T92" si="5">IFERROR(_xlfn.T.TEST(C67:K67,L67:S67,2,2),"")</f>
        <v>0.23134046817177115</v>
      </c>
      <c r="U67">
        <f t="shared" ref="U67:U92" si="6">IFERROR(AVERAGE(C67:K67),"")</f>
        <v>122.85727485017044</v>
      </c>
      <c r="V67">
        <f t="shared" ref="V67:V92" si="7">IFERROR(AVERAGE(L67:S67),"")</f>
        <v>89.97882419682324</v>
      </c>
      <c r="W67">
        <f t="shared" ref="W67:W92" si="8">IFERROR(STDEV(C67:K67)/SQRT(COUNT(C67:K67)),"")</f>
        <v>21.247059021462899</v>
      </c>
      <c r="X67">
        <f t="shared" ref="X67:X92" si="9">IFERROR(STDEV(L67:S67)/SQRT(COUNT(L67:S67)),"")</f>
        <v>14.407861805096728</v>
      </c>
    </row>
    <row r="68" spans="1:24" x14ac:dyDescent="0.25">
      <c r="A68">
        <v>72</v>
      </c>
      <c r="B68" t="s">
        <v>90</v>
      </c>
      <c r="C68">
        <v>112.56648633739988</v>
      </c>
      <c r="D68">
        <v>170.16747754491016</v>
      </c>
      <c r="E68">
        <v>100.28791688244782</v>
      </c>
      <c r="F68">
        <v>293.72029750889385</v>
      </c>
      <c r="G68">
        <v>234.35051328555579</v>
      </c>
      <c r="H68">
        <v>477.50821174228014</v>
      </c>
      <c r="I68">
        <v>298.39884426410777</v>
      </c>
      <c r="J68">
        <v>501.17113289496569</v>
      </c>
      <c r="K68">
        <v>337.68942645833732</v>
      </c>
      <c r="L68">
        <v>114.47977818342879</v>
      </c>
      <c r="M68">
        <v>305.88105712792304</v>
      </c>
      <c r="N68">
        <v>394.07315849519046</v>
      </c>
      <c r="O68">
        <v>102.28685006447692</v>
      </c>
      <c r="P68">
        <v>354.68028475021481</v>
      </c>
      <c r="Q68">
        <v>216.16110657356541</v>
      </c>
      <c r="R68">
        <v>138.51832857253606</v>
      </c>
      <c r="S68">
        <v>325.33801532636591</v>
      </c>
      <c r="T68">
        <f t="shared" si="5"/>
        <v>0.57461111773354601</v>
      </c>
      <c r="U68">
        <f t="shared" si="6"/>
        <v>280.65114521321095</v>
      </c>
      <c r="V68">
        <f t="shared" si="7"/>
        <v>243.92732238671266</v>
      </c>
      <c r="W68">
        <f t="shared" si="8"/>
        <v>48.05301683238801</v>
      </c>
      <c r="X68">
        <f t="shared" si="9"/>
        <v>40.965287082857152</v>
      </c>
    </row>
    <row r="69" spans="1:24" x14ac:dyDescent="0.25">
      <c r="A69">
        <v>73</v>
      </c>
      <c r="B69" t="s">
        <v>91</v>
      </c>
      <c r="C69">
        <v>3.572205632728009</v>
      </c>
      <c r="D69">
        <v>6.0581961077844309</v>
      </c>
      <c r="E69">
        <v>0.49640841801345398</v>
      </c>
      <c r="F69">
        <v>14.134378597345069</v>
      </c>
      <c r="G69">
        <v>29.564543677695408</v>
      </c>
      <c r="H69">
        <v>26.533915279635561</v>
      </c>
      <c r="I69">
        <v>20.900839398863493</v>
      </c>
      <c r="J69">
        <v>37.428923020025934</v>
      </c>
      <c r="K69">
        <v>23.179502833050343</v>
      </c>
      <c r="L69">
        <v>8.5254984088296517</v>
      </c>
      <c r="M69">
        <v>17.785326147084696</v>
      </c>
      <c r="N69">
        <v>22.646869797241486</v>
      </c>
      <c r="O69">
        <v>8.5287721926976765</v>
      </c>
      <c r="P69">
        <v>18.44309536617229</v>
      </c>
      <c r="Q69">
        <v>14.980659781673308</v>
      </c>
      <c r="R69">
        <v>6.1542498315333747</v>
      </c>
      <c r="S69">
        <v>18.909473442468716</v>
      </c>
      <c r="T69">
        <f t="shared" si="5"/>
        <v>0.49011071814975149</v>
      </c>
      <c r="U69">
        <f t="shared" si="6"/>
        <v>17.985434773904636</v>
      </c>
      <c r="V69">
        <f t="shared" si="7"/>
        <v>14.496743120962648</v>
      </c>
      <c r="W69">
        <f t="shared" si="8"/>
        <v>4.2350657828040008</v>
      </c>
      <c r="X69">
        <f t="shared" si="9"/>
        <v>2.127158727555956</v>
      </c>
    </row>
    <row r="70" spans="1:24" x14ac:dyDescent="0.25">
      <c r="A70">
        <v>74</v>
      </c>
      <c r="B70" t="s">
        <v>92</v>
      </c>
      <c r="C70">
        <v>4.5195789027215687</v>
      </c>
      <c r="D70">
        <v>25.718095059880241</v>
      </c>
      <c r="E70">
        <v>11.377144283119163</v>
      </c>
      <c r="F70">
        <v>11.074358488641497</v>
      </c>
      <c r="G70">
        <v>19.809476853726824</v>
      </c>
      <c r="H70">
        <v>45.200374692698809</v>
      </c>
      <c r="I70">
        <v>37.318635039373866</v>
      </c>
      <c r="J70">
        <v>39.377142215598525</v>
      </c>
      <c r="K70">
        <v>7.1732453211744289</v>
      </c>
      <c r="L70">
        <v>5.3508383406768685</v>
      </c>
      <c r="M70">
        <v>71.278984746513615</v>
      </c>
      <c r="N70">
        <v>17.947130280304215</v>
      </c>
      <c r="O70">
        <v>3.1106652004188442</v>
      </c>
      <c r="P70">
        <v>9.6568305282667843</v>
      </c>
      <c r="Q70">
        <v>7.7458202985912346</v>
      </c>
      <c r="R70">
        <v>7.1322507737537935</v>
      </c>
      <c r="S70">
        <v>17.026551666447507</v>
      </c>
      <c r="T70">
        <f t="shared" si="5"/>
        <v>0.59494676397077384</v>
      </c>
      <c r="U70">
        <f t="shared" si="6"/>
        <v>22.396450095214991</v>
      </c>
      <c r="V70">
        <f t="shared" si="7"/>
        <v>17.40613397937161</v>
      </c>
      <c r="W70">
        <f t="shared" si="8"/>
        <v>5.0685626762476179</v>
      </c>
      <c r="X70">
        <f t="shared" si="9"/>
        <v>7.9184881206737332</v>
      </c>
    </row>
    <row r="71" spans="1:24" x14ac:dyDescent="0.25">
      <c r="A71">
        <v>75</v>
      </c>
      <c r="B71" t="s">
        <v>93</v>
      </c>
      <c r="C71">
        <v>9.1492501120478948</v>
      </c>
      <c r="D71">
        <v>38.547904191616766</v>
      </c>
      <c r="E71">
        <v>60.011752804707562</v>
      </c>
      <c r="F71">
        <v>21.440957224249512</v>
      </c>
      <c r="G71">
        <v>53.388741173777539</v>
      </c>
      <c r="H71">
        <v>53.974565074222696</v>
      </c>
      <c r="I71">
        <v>19.182138976760285</v>
      </c>
      <c r="J71">
        <v>31.848430747962077</v>
      </c>
      <c r="K71">
        <v>11.503901406032394</v>
      </c>
      <c r="L71">
        <v>12.225001472120596</v>
      </c>
      <c r="M71">
        <v>57.776494948367478</v>
      </c>
      <c r="N71">
        <v>13.212142716989911</v>
      </c>
      <c r="O71">
        <v>0</v>
      </c>
      <c r="P71">
        <v>27.589408977251903</v>
      </c>
      <c r="Q71">
        <v>2.0763664884181736</v>
      </c>
      <c r="R71">
        <v>32.285957934032645</v>
      </c>
      <c r="S71">
        <v>29.126639145141166</v>
      </c>
      <c r="T71">
        <f t="shared" si="5"/>
        <v>0.23751585660934035</v>
      </c>
      <c r="U71">
        <f t="shared" si="6"/>
        <v>33.227515745708523</v>
      </c>
      <c r="V71">
        <f t="shared" si="7"/>
        <v>21.786501460290236</v>
      </c>
      <c r="W71">
        <f t="shared" si="8"/>
        <v>6.4252028679016933</v>
      </c>
      <c r="X71">
        <f t="shared" si="9"/>
        <v>6.7097377939641554</v>
      </c>
    </row>
    <row r="72" spans="1:24" x14ac:dyDescent="0.25">
      <c r="A72">
        <v>76</v>
      </c>
      <c r="B72" t="s">
        <v>94</v>
      </c>
      <c r="C72">
        <v>128.11847322830334</v>
      </c>
      <c r="D72">
        <v>175.78125</v>
      </c>
      <c r="E72">
        <v>13.939685035566992</v>
      </c>
      <c r="F72">
        <v>126.47042292808537</v>
      </c>
      <c r="G72">
        <v>98.809670546389398</v>
      </c>
      <c r="H72">
        <v>226.5200074720378</v>
      </c>
      <c r="I72">
        <v>159.38242166091362</v>
      </c>
      <c r="J72">
        <v>271.85362599915027</v>
      </c>
      <c r="K72">
        <v>192.06237162243804</v>
      </c>
      <c r="L72">
        <v>20.302463177783526</v>
      </c>
      <c r="M72">
        <v>163.76563100045777</v>
      </c>
      <c r="N72">
        <v>276.87927896596329</v>
      </c>
      <c r="O72">
        <v>21.497179225429761</v>
      </c>
      <c r="P72">
        <v>188.99336274269035</v>
      </c>
      <c r="Q72">
        <v>85.982660717660394</v>
      </c>
      <c r="R72">
        <v>87.36410855810459</v>
      </c>
      <c r="S72">
        <v>202.5468214737042</v>
      </c>
      <c r="T72">
        <f t="shared" si="5"/>
        <v>0.56461645619245948</v>
      </c>
      <c r="U72">
        <f t="shared" si="6"/>
        <v>154.77088094365388</v>
      </c>
      <c r="V72">
        <f t="shared" si="7"/>
        <v>130.9164382327242</v>
      </c>
      <c r="W72">
        <f t="shared" si="8"/>
        <v>25.051617022265276</v>
      </c>
      <c r="X72">
        <f t="shared" si="9"/>
        <v>32.462048392044096</v>
      </c>
    </row>
    <row r="73" spans="1:24" x14ac:dyDescent="0.25">
      <c r="A73">
        <v>77</v>
      </c>
      <c r="B73" t="s">
        <v>95</v>
      </c>
      <c r="C73">
        <v>41.942271650448816</v>
      </c>
      <c r="D73">
        <v>18.502058383233535</v>
      </c>
      <c r="E73">
        <v>2.9113682894302571</v>
      </c>
      <c r="F73">
        <v>3.309817668597741</v>
      </c>
      <c r="G73">
        <v>8.8394287827296587</v>
      </c>
      <c r="H73">
        <v>9.8036408458674043</v>
      </c>
      <c r="I73">
        <v>8.8519081180350572</v>
      </c>
      <c r="J73">
        <v>50.719740413550802</v>
      </c>
      <c r="K73">
        <v>45.36696110040635</v>
      </c>
      <c r="L73">
        <v>3.9683250851909788</v>
      </c>
      <c r="M73">
        <v>11.088169881580312</v>
      </c>
      <c r="N73">
        <v>41.081598052427942</v>
      </c>
      <c r="O73">
        <v>7.8861934658505923</v>
      </c>
      <c r="P73">
        <v>12.800539965682516</v>
      </c>
      <c r="Q73">
        <v>21.623410383292384</v>
      </c>
      <c r="R73">
        <v>30.544639183249945</v>
      </c>
      <c r="S73">
        <v>29.824246229371976</v>
      </c>
      <c r="T73">
        <f t="shared" si="5"/>
        <v>0.87598958401614646</v>
      </c>
      <c r="U73">
        <f t="shared" si="6"/>
        <v>21.138577250255512</v>
      </c>
      <c r="V73">
        <f t="shared" si="7"/>
        <v>19.852140280830831</v>
      </c>
      <c r="W73">
        <f t="shared" si="8"/>
        <v>6.4362392184164605</v>
      </c>
      <c r="X73">
        <f t="shared" si="9"/>
        <v>4.6090195296652094</v>
      </c>
    </row>
    <row r="74" spans="1:24" x14ac:dyDescent="0.25">
      <c r="A74">
        <v>78</v>
      </c>
      <c r="B74" t="s">
        <v>96</v>
      </c>
      <c r="C74">
        <v>81.743537654031442</v>
      </c>
      <c r="D74">
        <v>65.529098053892213</v>
      </c>
      <c r="E74">
        <v>5.8227365788605141</v>
      </c>
      <c r="F74">
        <v>1.8838899308685253</v>
      </c>
      <c r="G74">
        <v>30.603440686024193</v>
      </c>
      <c r="H74">
        <v>69.941273600663209</v>
      </c>
      <c r="I74">
        <v>21.982538965222158</v>
      </c>
      <c r="J74">
        <v>57.516493821833699</v>
      </c>
      <c r="K74">
        <v>29.653229550209538</v>
      </c>
      <c r="L74">
        <v>8.1414669489724592</v>
      </c>
      <c r="M74">
        <v>52.613489016811236</v>
      </c>
      <c r="N74">
        <v>91.568549813126609</v>
      </c>
      <c r="O74">
        <v>3.0084367666022631</v>
      </c>
      <c r="P74">
        <v>53.416191124636526</v>
      </c>
      <c r="Q74">
        <v>23.41589864087214</v>
      </c>
      <c r="R74">
        <v>21.742630703266165</v>
      </c>
      <c r="S74">
        <v>74.55752881642006</v>
      </c>
      <c r="T74">
        <f t="shared" si="5"/>
        <v>0.97145398809071548</v>
      </c>
      <c r="U74">
        <f t="shared" si="6"/>
        <v>40.519582093511723</v>
      </c>
      <c r="V74">
        <f t="shared" si="7"/>
        <v>41.058023978838435</v>
      </c>
      <c r="W74">
        <f t="shared" si="8"/>
        <v>9.6724397872780319</v>
      </c>
      <c r="X74">
        <f t="shared" si="9"/>
        <v>11.31953347207136</v>
      </c>
    </row>
    <row r="75" spans="1:24" x14ac:dyDescent="0.25">
      <c r="A75">
        <v>79</v>
      </c>
      <c r="B75" t="s">
        <v>97</v>
      </c>
      <c r="C75">
        <v>19.173444345007272</v>
      </c>
      <c r="D75">
        <v>26.29116766467066</v>
      </c>
      <c r="E75">
        <v>9.1500146239236653</v>
      </c>
      <c r="F75">
        <v>22.159125208945252</v>
      </c>
      <c r="G75">
        <v>33.077424239756297</v>
      </c>
      <c r="H75">
        <v>83.917256725856646</v>
      </c>
      <c r="I75">
        <v>21.399623087795543</v>
      </c>
      <c r="J75">
        <v>17.699076081811999</v>
      </c>
      <c r="K75">
        <v>51.319228494572371</v>
      </c>
      <c r="L75">
        <v>13.812331506196987</v>
      </c>
      <c r="M75">
        <v>108.52638468131222</v>
      </c>
      <c r="N75">
        <v>28.010447520946151</v>
      </c>
      <c r="O75">
        <v>2.4096702256765696</v>
      </c>
      <c r="P75">
        <v>48.923642253389424</v>
      </c>
      <c r="Q75">
        <v>17.705890797722162</v>
      </c>
      <c r="R75">
        <v>39.835648134343941</v>
      </c>
      <c r="S75">
        <v>114.43225586993147</v>
      </c>
      <c r="T75">
        <f t="shared" si="5"/>
        <v>0.36820610417485033</v>
      </c>
      <c r="U75">
        <f t="shared" si="6"/>
        <v>31.576262274704408</v>
      </c>
      <c r="V75">
        <f t="shared" si="7"/>
        <v>46.707033873689866</v>
      </c>
      <c r="W75">
        <f t="shared" si="8"/>
        <v>7.638662037581617</v>
      </c>
      <c r="X75">
        <f t="shared" si="9"/>
        <v>15.056686717186814</v>
      </c>
    </row>
    <row r="76" spans="1:24" x14ac:dyDescent="0.25">
      <c r="A76">
        <v>80</v>
      </c>
      <c r="B76" t="s">
        <v>98</v>
      </c>
      <c r="C76">
        <v>9.9343820880976015</v>
      </c>
      <c r="D76">
        <v>1.403443113772455</v>
      </c>
      <c r="E76">
        <v>2.9784505080807242</v>
      </c>
      <c r="F76">
        <v>4.1632926649028186E-2</v>
      </c>
      <c r="G76">
        <v>5.053617650684088</v>
      </c>
      <c r="H76">
        <v>69.743564571087305</v>
      </c>
      <c r="I76">
        <v>7.9925579069834525</v>
      </c>
      <c r="J76">
        <v>2.096812185065414</v>
      </c>
      <c r="K76">
        <v>0.85214084489128838</v>
      </c>
      <c r="L76">
        <v>5.9652886764483748</v>
      </c>
      <c r="M76">
        <v>90.839401504352409</v>
      </c>
      <c r="N76">
        <v>4.112272077320115E-2</v>
      </c>
      <c r="O76">
        <v>0</v>
      </c>
      <c r="P76">
        <v>6.8570482771666201</v>
      </c>
      <c r="Q76">
        <v>2.4332419786150476E-2</v>
      </c>
      <c r="R76">
        <v>1.4908550948482011</v>
      </c>
      <c r="S76">
        <v>18.736615049915947</v>
      </c>
      <c r="T76">
        <f t="shared" si="5"/>
        <v>0.74110290499886122</v>
      </c>
      <c r="U76">
        <f t="shared" si="6"/>
        <v>11.121844643923486</v>
      </c>
      <c r="V76">
        <f t="shared" si="7"/>
        <v>15.494332967911365</v>
      </c>
      <c r="W76">
        <f t="shared" si="8"/>
        <v>7.4114993646506626</v>
      </c>
      <c r="X76">
        <f t="shared" si="9"/>
        <v>10.992766687009176</v>
      </c>
    </row>
    <row r="77" spans="1:24" x14ac:dyDescent="0.25">
      <c r="A77">
        <v>81</v>
      </c>
      <c r="B77" t="s">
        <v>99</v>
      </c>
      <c r="C77">
        <v>42.46955585576633</v>
      </c>
      <c r="D77">
        <v>37.039202844311376</v>
      </c>
      <c r="E77">
        <v>24.968001781703727</v>
      </c>
      <c r="F77">
        <v>107.65234008272463</v>
      </c>
      <c r="G77">
        <v>53.045376908312939</v>
      </c>
      <c r="H77">
        <v>118.43452626871249</v>
      </c>
      <c r="I77">
        <v>61.650865840408457</v>
      </c>
      <c r="J77">
        <v>88.236718538461361</v>
      </c>
      <c r="K77">
        <v>78.231616969049469</v>
      </c>
      <c r="L77">
        <v>21.09612819482172</v>
      </c>
      <c r="M77">
        <v>82.155717242325437</v>
      </c>
      <c r="N77">
        <v>84.160585399554236</v>
      </c>
      <c r="O77">
        <v>17.057544385395353</v>
      </c>
      <c r="P77">
        <v>65.512755130829362</v>
      </c>
      <c r="Q77">
        <v>53.085229166784949</v>
      </c>
      <c r="R77">
        <v>46.478898436987521</v>
      </c>
      <c r="S77">
        <v>99.955365493637274</v>
      </c>
      <c r="T77">
        <f t="shared" si="5"/>
        <v>0.54995179732518062</v>
      </c>
      <c r="U77">
        <f t="shared" si="6"/>
        <v>67.969800565494538</v>
      </c>
      <c r="V77">
        <f t="shared" si="7"/>
        <v>58.687777931291976</v>
      </c>
      <c r="W77">
        <f t="shared" si="8"/>
        <v>10.773057787515727</v>
      </c>
      <c r="X77">
        <f t="shared" si="9"/>
        <v>10.58625790401004</v>
      </c>
    </row>
    <row r="78" spans="1:24" x14ac:dyDescent="0.25">
      <c r="A78">
        <v>82</v>
      </c>
      <c r="B78" t="s">
        <v>100</v>
      </c>
      <c r="C78">
        <v>17.498882418229663</v>
      </c>
      <c r="D78">
        <v>7.8943675149700603</v>
      </c>
      <c r="E78">
        <v>2.2673789903857764</v>
      </c>
      <c r="F78">
        <v>0.77020914300702148</v>
      </c>
      <c r="G78">
        <v>8.6193234843549149</v>
      </c>
      <c r="H78">
        <v>10.280869537947179</v>
      </c>
      <c r="I78">
        <v>1.7848042844917935</v>
      </c>
      <c r="J78">
        <v>23.389637234981652</v>
      </c>
      <c r="K78">
        <v>7.0969342007364018</v>
      </c>
      <c r="L78">
        <v>4.8771995401863322</v>
      </c>
      <c r="M78">
        <v>20.24881754871296</v>
      </c>
      <c r="N78">
        <v>29.109011633030239</v>
      </c>
      <c r="O78">
        <v>5.0091932570125053</v>
      </c>
      <c r="P78">
        <v>6.1262030062460404</v>
      </c>
      <c r="Q78">
        <v>12.644747482202863</v>
      </c>
      <c r="R78">
        <v>12.380060707619462</v>
      </c>
      <c r="S78">
        <v>11.390133366423367</v>
      </c>
      <c r="T78">
        <f t="shared" si="5"/>
        <v>0.32991399065637728</v>
      </c>
      <c r="U78">
        <f t="shared" si="6"/>
        <v>8.8447118676782743</v>
      </c>
      <c r="V78">
        <f t="shared" si="7"/>
        <v>12.723170817679222</v>
      </c>
      <c r="W78">
        <f t="shared" si="8"/>
        <v>2.5022821497752057</v>
      </c>
      <c r="X78">
        <f t="shared" si="9"/>
        <v>2.9629157362263818</v>
      </c>
    </row>
    <row r="79" spans="1:24" x14ac:dyDescent="0.25">
      <c r="A79">
        <v>83</v>
      </c>
      <c r="B79" t="s">
        <v>101</v>
      </c>
      <c r="C79">
        <v>4.957050963177311</v>
      </c>
      <c r="D79">
        <v>35.167945359281433</v>
      </c>
      <c r="E79">
        <v>19.453843408635361</v>
      </c>
      <c r="F79">
        <v>4.8294194912872692</v>
      </c>
      <c r="G79">
        <v>29.097920445140957</v>
      </c>
      <c r="H79">
        <v>33.685528108088207</v>
      </c>
      <c r="I79">
        <v>22.823860850167783</v>
      </c>
      <c r="J79">
        <v>48.446818018716115</v>
      </c>
      <c r="K79">
        <v>3.275018918798609</v>
      </c>
      <c r="L79">
        <v>1.3953143041477958</v>
      </c>
      <c r="M79">
        <v>65.594761073295501</v>
      </c>
      <c r="N79">
        <v>10.844648935332758</v>
      </c>
      <c r="O79">
        <v>5.8416247895189566E-2</v>
      </c>
      <c r="P79">
        <v>9.6030919054049768</v>
      </c>
      <c r="Q79">
        <v>0.6164213012491454</v>
      </c>
      <c r="R79">
        <v>17.568236437691201</v>
      </c>
      <c r="S79">
        <v>15.538734787689766</v>
      </c>
      <c r="T79">
        <f t="shared" si="5"/>
        <v>0.43591340067300088</v>
      </c>
      <c r="U79">
        <f t="shared" si="6"/>
        <v>22.415267284810337</v>
      </c>
      <c r="V79">
        <f t="shared" si="7"/>
        <v>15.152453124088293</v>
      </c>
      <c r="W79">
        <f t="shared" si="8"/>
        <v>5.2721576219212585</v>
      </c>
      <c r="X79">
        <f t="shared" si="9"/>
        <v>7.5924648730715685</v>
      </c>
    </row>
    <row r="80" spans="1:24" x14ac:dyDescent="0.25">
      <c r="A80">
        <v>84</v>
      </c>
      <c r="B80" t="s">
        <v>102</v>
      </c>
      <c r="C80">
        <v>11.55389786157283</v>
      </c>
      <c r="D80">
        <v>8.0814932634730532</v>
      </c>
      <c r="E80">
        <v>27.034134116138102</v>
      </c>
      <c r="F80">
        <v>6.5780024105464525</v>
      </c>
      <c r="G80">
        <v>48.475990914053277</v>
      </c>
      <c r="H80">
        <v>9.8172759513553984</v>
      </c>
      <c r="I80">
        <v>24.302183590857954</v>
      </c>
      <c r="J80">
        <v>65.144267282465364</v>
      </c>
      <c r="K80">
        <v>8.4832528886938725</v>
      </c>
      <c r="L80">
        <v>0.78086396837628946</v>
      </c>
      <c r="M80">
        <v>38.275083972603618</v>
      </c>
      <c r="N80">
        <v>5.0757186782922554</v>
      </c>
      <c r="O80">
        <v>0</v>
      </c>
      <c r="P80">
        <v>2.4236118910675124</v>
      </c>
      <c r="Q80">
        <v>0.57586726827222789</v>
      </c>
      <c r="R80">
        <v>36.80623058161239</v>
      </c>
      <c r="S80">
        <v>12.3285074974241</v>
      </c>
      <c r="T80">
        <f t="shared" si="5"/>
        <v>0.23720778923043992</v>
      </c>
      <c r="U80">
        <f t="shared" si="6"/>
        <v>23.274499808795145</v>
      </c>
      <c r="V80">
        <f t="shared" si="7"/>
        <v>12.033235482206049</v>
      </c>
      <c r="W80">
        <f t="shared" si="8"/>
        <v>6.922421711136181</v>
      </c>
      <c r="X80">
        <f t="shared" si="9"/>
        <v>5.7412369511475037</v>
      </c>
    </row>
    <row r="81" spans="1:24" x14ac:dyDescent="0.25">
      <c r="A81">
        <v>85</v>
      </c>
      <c r="B81" t="s">
        <v>103</v>
      </c>
      <c r="C81">
        <v>121.5940554789899</v>
      </c>
      <c r="D81">
        <v>128.94133607784431</v>
      </c>
      <c r="E81">
        <v>71.120568213224857</v>
      </c>
      <c r="F81">
        <v>90.676514241583376</v>
      </c>
      <c r="G81">
        <v>278.61809089468403</v>
      </c>
      <c r="H81">
        <v>334.59185356987513</v>
      </c>
      <c r="I81">
        <v>169.46626539619049</v>
      </c>
      <c r="J81">
        <v>420.5456774849701</v>
      </c>
      <c r="K81">
        <v>182.31362598648022</v>
      </c>
      <c r="L81">
        <v>32.425056260608869</v>
      </c>
      <c r="M81">
        <v>228.46055389711063</v>
      </c>
      <c r="N81">
        <v>353.93738302054612</v>
      </c>
      <c r="O81">
        <v>15.655554435910805</v>
      </c>
      <c r="P81">
        <v>222.40803843816215</v>
      </c>
      <c r="Q81">
        <v>50.287000891377645</v>
      </c>
      <c r="R81">
        <v>160.63069133932458</v>
      </c>
      <c r="S81">
        <v>180.07523044184455</v>
      </c>
      <c r="T81">
        <f t="shared" si="5"/>
        <v>0.45267162381671766</v>
      </c>
      <c r="U81">
        <f t="shared" si="6"/>
        <v>199.7631097048714</v>
      </c>
      <c r="V81">
        <f t="shared" si="7"/>
        <v>155.48493859061065</v>
      </c>
      <c r="W81">
        <f t="shared" si="8"/>
        <v>39.780497939174658</v>
      </c>
      <c r="X81">
        <f t="shared" si="9"/>
        <v>41.313538306768912</v>
      </c>
    </row>
    <row r="82" spans="1:24" x14ac:dyDescent="0.25">
      <c r="A82">
        <v>86</v>
      </c>
      <c r="B82" t="s">
        <v>104</v>
      </c>
      <c r="C82">
        <v>182.61995932958422</v>
      </c>
      <c r="D82">
        <v>33.261601796407184</v>
      </c>
      <c r="E82">
        <v>242.09972710953451</v>
      </c>
      <c r="F82">
        <v>111.4617528711107</v>
      </c>
      <c r="G82">
        <v>161.70696060995581</v>
      </c>
      <c r="H82">
        <v>335.80537795830656</v>
      </c>
      <c r="I82">
        <v>350.60286722498392</v>
      </c>
      <c r="J82">
        <v>97.653111317062212</v>
      </c>
      <c r="K82">
        <v>164.76842754577078</v>
      </c>
      <c r="L82">
        <v>132.40124631009772</v>
      </c>
      <c r="M82">
        <v>244.66747537369096</v>
      </c>
      <c r="N82">
        <v>164.81399018459402</v>
      </c>
      <c r="O82">
        <v>246.53117017967375</v>
      </c>
      <c r="P82">
        <v>255.76897551077215</v>
      </c>
      <c r="Q82">
        <v>162.04580496916677</v>
      </c>
      <c r="R82">
        <v>138.86420695454086</v>
      </c>
      <c r="S82">
        <v>294.22350466686794</v>
      </c>
      <c r="T82">
        <f t="shared" si="5"/>
        <v>0.67714975090279506</v>
      </c>
      <c r="U82">
        <f t="shared" si="6"/>
        <v>186.66442064030173</v>
      </c>
      <c r="V82">
        <f t="shared" si="7"/>
        <v>204.91454676867551</v>
      </c>
      <c r="W82">
        <f t="shared" si="8"/>
        <v>35.438024710992309</v>
      </c>
      <c r="X82">
        <f t="shared" si="9"/>
        <v>21.933792973375894</v>
      </c>
    </row>
    <row r="83" spans="1:24" x14ac:dyDescent="0.25">
      <c r="A83">
        <v>87</v>
      </c>
      <c r="B83" t="s">
        <v>105</v>
      </c>
      <c r="C83">
        <v>326.18901864007609</v>
      </c>
      <c r="D83">
        <v>51.845527694610773</v>
      </c>
      <c r="E83">
        <v>195.3568371538893</v>
      </c>
      <c r="F83">
        <v>23.709951726621547</v>
      </c>
      <c r="G83">
        <v>394.70162525752318</v>
      </c>
      <c r="H83">
        <v>439.527625405474</v>
      </c>
      <c r="I83">
        <v>388.38422930107788</v>
      </c>
      <c r="J83">
        <v>211.15614151335907</v>
      </c>
      <c r="K83">
        <v>269.07301066447906</v>
      </c>
      <c r="L83">
        <v>141.16996464350359</v>
      </c>
      <c r="M83">
        <v>277.94673646395063</v>
      </c>
      <c r="N83">
        <v>181.9034180030572</v>
      </c>
      <c r="O83">
        <v>36.232677756991329</v>
      </c>
      <c r="P83">
        <v>418.24770173344677</v>
      </c>
      <c r="Q83">
        <v>307.36712673865281</v>
      </c>
      <c r="R83">
        <v>42.602675190382193</v>
      </c>
      <c r="S83">
        <v>411.26098345313034</v>
      </c>
      <c r="T83">
        <f t="shared" si="5"/>
        <v>0.7011737800823592</v>
      </c>
      <c r="U83">
        <f t="shared" si="6"/>
        <v>255.54932970634562</v>
      </c>
      <c r="V83">
        <f t="shared" si="7"/>
        <v>227.09141049788934</v>
      </c>
      <c r="W83">
        <f t="shared" si="8"/>
        <v>49.563086657428784</v>
      </c>
      <c r="X83">
        <f t="shared" si="9"/>
        <v>53.348117673443667</v>
      </c>
    </row>
    <row r="84" spans="1:24" x14ac:dyDescent="0.25">
      <c r="A84">
        <v>88</v>
      </c>
      <c r="B84" t="s">
        <v>106</v>
      </c>
      <c r="C84">
        <v>24.223204619009639</v>
      </c>
      <c r="D84">
        <v>0.43272829341317365</v>
      </c>
      <c r="E84">
        <v>11.833303369942335</v>
      </c>
      <c r="F84">
        <v>5.5996286342942909</v>
      </c>
      <c r="G84">
        <v>39.715800038738536</v>
      </c>
      <c r="H84">
        <v>29.533638486994157</v>
      </c>
      <c r="I84">
        <v>35.023028181879369</v>
      </c>
      <c r="J84">
        <v>7.1654841599873196</v>
      </c>
      <c r="K84">
        <v>25.72956610768771</v>
      </c>
      <c r="L84">
        <v>12.711441321273037</v>
      </c>
      <c r="M84">
        <v>20.691360914274924</v>
      </c>
      <c r="N84">
        <v>22.817235354730464</v>
      </c>
      <c r="O84">
        <v>3.4465586258161847</v>
      </c>
      <c r="P84">
        <v>28.271889487596859</v>
      </c>
      <c r="Q84">
        <v>34.357376738044472</v>
      </c>
      <c r="R84">
        <v>4.7349557812378871</v>
      </c>
      <c r="S84">
        <v>28.404338004831391</v>
      </c>
      <c r="T84">
        <f t="shared" si="5"/>
        <v>0.93888610333156564</v>
      </c>
      <c r="U84">
        <f t="shared" si="6"/>
        <v>19.917375765771837</v>
      </c>
      <c r="V84">
        <f t="shared" si="7"/>
        <v>19.429394528475655</v>
      </c>
      <c r="W84">
        <f t="shared" si="8"/>
        <v>4.6808785115705529</v>
      </c>
      <c r="X84">
        <f t="shared" si="9"/>
        <v>4.0337028226906479</v>
      </c>
    </row>
    <row r="85" spans="1:24" x14ac:dyDescent="0.25">
      <c r="A85">
        <v>89</v>
      </c>
      <c r="B85" t="s">
        <v>107</v>
      </c>
      <c r="C85">
        <v>116.74130249049078</v>
      </c>
      <c r="D85">
        <v>15.905688622754491</v>
      </c>
      <c r="E85">
        <v>248.35178988775803</v>
      </c>
      <c r="F85">
        <v>45.619279375672626</v>
      </c>
      <c r="G85">
        <v>53.81134334665704</v>
      </c>
      <c r="H85">
        <v>430.58981375809412</v>
      </c>
      <c r="I85">
        <v>266.86129246271742</v>
      </c>
      <c r="J85">
        <v>36.311723876802105</v>
      </c>
      <c r="K85">
        <v>200.65373193175242</v>
      </c>
      <c r="L85">
        <v>140.44030486977493</v>
      </c>
      <c r="M85">
        <v>137.83750692703296</v>
      </c>
      <c r="N85">
        <v>46.421677078547923</v>
      </c>
      <c r="O85">
        <v>51.114216908290871</v>
      </c>
      <c r="P85">
        <v>241.09295760721258</v>
      </c>
      <c r="Q85">
        <v>127.43699322666542</v>
      </c>
      <c r="R85">
        <v>56.724054648784353</v>
      </c>
      <c r="S85">
        <v>282.32096963680601</v>
      </c>
      <c r="T85">
        <f t="shared" si="5"/>
        <v>0.71035871727226363</v>
      </c>
      <c r="U85">
        <f t="shared" si="6"/>
        <v>157.20510730585545</v>
      </c>
      <c r="V85">
        <f t="shared" si="7"/>
        <v>135.42358511288938</v>
      </c>
      <c r="W85">
        <f t="shared" si="8"/>
        <v>46.595019433181726</v>
      </c>
      <c r="X85">
        <f t="shared" si="9"/>
        <v>31.070962358364625</v>
      </c>
    </row>
    <row r="86" spans="1:24" x14ac:dyDescent="0.25">
      <c r="A86">
        <v>90</v>
      </c>
      <c r="B86" t="s">
        <v>108</v>
      </c>
      <c r="C86">
        <v>28.638485547053016</v>
      </c>
      <c r="D86">
        <v>2.7484094311377247</v>
      </c>
      <c r="E86">
        <v>60.950903865814091</v>
      </c>
      <c r="F86">
        <v>0.16653170659611274</v>
      </c>
      <c r="G86">
        <v>38.333538764945146</v>
      </c>
      <c r="H86">
        <v>78.899537906275015</v>
      </c>
      <c r="I86">
        <v>37.979673663259717</v>
      </c>
      <c r="J86">
        <v>3.7203281813759048</v>
      </c>
      <c r="K86">
        <v>10.607245740885592</v>
      </c>
      <c r="L86">
        <v>8.6663099441106208</v>
      </c>
      <c r="M86">
        <v>30.786266797593942</v>
      </c>
      <c r="N86">
        <v>2.3146217120916073</v>
      </c>
      <c r="O86">
        <v>0.20445686763316348</v>
      </c>
      <c r="P86">
        <v>95.987928155760315</v>
      </c>
      <c r="Q86">
        <v>1.9790368092735717</v>
      </c>
      <c r="R86">
        <v>4.3652237177155326</v>
      </c>
      <c r="S86">
        <v>86.071132463238271</v>
      </c>
      <c r="T86">
        <f t="shared" si="5"/>
        <v>0.98478511372041266</v>
      </c>
      <c r="U86">
        <f t="shared" si="6"/>
        <v>29.11607275637137</v>
      </c>
      <c r="V86">
        <f t="shared" si="7"/>
        <v>28.796872058427127</v>
      </c>
      <c r="W86">
        <f t="shared" si="8"/>
        <v>9.2619691184867818</v>
      </c>
      <c r="X86">
        <f t="shared" si="9"/>
        <v>14.040193365072689</v>
      </c>
    </row>
    <row r="87" spans="1:24" x14ac:dyDescent="0.25">
      <c r="A87">
        <v>91</v>
      </c>
      <c r="B87" t="s">
        <v>109</v>
      </c>
      <c r="C87">
        <v>103.18546294828936</v>
      </c>
      <c r="D87">
        <v>29.413828592814369</v>
      </c>
      <c r="E87">
        <v>50.566576418721837</v>
      </c>
      <c r="F87">
        <v>0.78061737466927839</v>
      </c>
      <c r="G87">
        <v>93.104541212516068</v>
      </c>
      <c r="H87">
        <v>107.64915782770954</v>
      </c>
      <c r="I87">
        <v>120.62752997509688</v>
      </c>
      <c r="J87">
        <v>53.834689748844831</v>
      </c>
      <c r="K87">
        <v>42.848694125951504</v>
      </c>
      <c r="L87">
        <v>51.767440788749418</v>
      </c>
      <c r="M87">
        <v>70.521743876552037</v>
      </c>
      <c r="N87">
        <v>41.686689515233624</v>
      </c>
      <c r="O87">
        <v>2.9938327046284652</v>
      </c>
      <c r="P87">
        <v>165.4558459292187</v>
      </c>
      <c r="Q87">
        <v>72.372727250606886</v>
      </c>
      <c r="R87">
        <v>6.929494480854439</v>
      </c>
      <c r="S87">
        <v>108.41925321470309</v>
      </c>
      <c r="T87">
        <f t="shared" si="5"/>
        <v>0.93596160864796585</v>
      </c>
      <c r="U87">
        <f t="shared" si="6"/>
        <v>66.890122024957066</v>
      </c>
      <c r="V87">
        <f t="shared" si="7"/>
        <v>65.018378470068328</v>
      </c>
      <c r="W87">
        <f t="shared" si="8"/>
        <v>13.613406097722383</v>
      </c>
      <c r="X87">
        <f t="shared" si="9"/>
        <v>18.896811926142135</v>
      </c>
    </row>
    <row r="88" spans="1:24" x14ac:dyDescent="0.25">
      <c r="A88">
        <v>92</v>
      </c>
      <c r="B88" t="s">
        <v>110</v>
      </c>
      <c r="C88">
        <v>38.903144554964889</v>
      </c>
      <c r="D88">
        <v>1.0058008982035929</v>
      </c>
      <c r="E88">
        <v>28.30869627049697</v>
      </c>
      <c r="F88">
        <v>15.393774628478171</v>
      </c>
      <c r="G88">
        <v>64.983888292158966</v>
      </c>
      <c r="H88">
        <v>49.22954836440092</v>
      </c>
      <c r="I88">
        <v>38.580617866792302</v>
      </c>
      <c r="J88">
        <v>9.3228342296609217</v>
      </c>
      <c r="K88">
        <v>42.422623703505863</v>
      </c>
      <c r="L88">
        <v>17.716651348078436</v>
      </c>
      <c r="M88">
        <v>33.382521208890793</v>
      </c>
      <c r="N88">
        <v>42.379901093981864</v>
      </c>
      <c r="O88">
        <v>5.3888988683312373</v>
      </c>
      <c r="P88">
        <v>41.190654423575353</v>
      </c>
      <c r="Q88">
        <v>41.146121858380447</v>
      </c>
      <c r="R88">
        <v>9.2910089510939891</v>
      </c>
      <c r="S88">
        <v>54.401005541963535</v>
      </c>
      <c r="T88">
        <f t="shared" si="5"/>
        <v>0.8824439823926733</v>
      </c>
      <c r="U88">
        <f t="shared" si="6"/>
        <v>32.016769867629172</v>
      </c>
      <c r="V88">
        <f t="shared" si="7"/>
        <v>30.61209541178696</v>
      </c>
      <c r="W88">
        <f t="shared" si="8"/>
        <v>6.8197704663898699</v>
      </c>
      <c r="X88">
        <f t="shared" si="9"/>
        <v>6.2564698343431582</v>
      </c>
    </row>
    <row r="89" spans="1:24" x14ac:dyDescent="0.25">
      <c r="A89">
        <v>93</v>
      </c>
      <c r="B89" t="s">
        <v>111</v>
      </c>
      <c r="C89">
        <v>167.73432061023587</v>
      </c>
      <c r="D89">
        <v>120.12303517964071</v>
      </c>
      <c r="E89">
        <v>127.17447011755489</v>
      </c>
      <c r="F89">
        <v>160.63023924361298</v>
      </c>
      <c r="G89">
        <v>239.96760050007924</v>
      </c>
      <c r="H89">
        <v>125.24526145996529</v>
      </c>
      <c r="I89">
        <v>65.593059815582237</v>
      </c>
      <c r="J89">
        <v>62.73375878624843</v>
      </c>
      <c r="K89">
        <v>139.58575780122226</v>
      </c>
      <c r="L89">
        <v>43.433958109848355</v>
      </c>
      <c r="M89">
        <v>88.203809905005613</v>
      </c>
      <c r="N89">
        <v>120.3779530519521</v>
      </c>
      <c r="O89">
        <v>126.83627824243034</v>
      </c>
      <c r="P89">
        <v>128.48367340029526</v>
      </c>
      <c r="Q89">
        <v>101.98528213035202</v>
      </c>
      <c r="R89">
        <v>36.519986403401532</v>
      </c>
      <c r="S89">
        <v>117.91411777706575</v>
      </c>
      <c r="T89">
        <f t="shared" si="5"/>
        <v>0.10727965777067945</v>
      </c>
      <c r="U89">
        <f t="shared" si="6"/>
        <v>134.30972261268244</v>
      </c>
      <c r="V89">
        <f t="shared" si="7"/>
        <v>95.469382377543866</v>
      </c>
      <c r="W89">
        <f t="shared" si="8"/>
        <v>17.943133080702818</v>
      </c>
      <c r="X89">
        <f t="shared" si="9"/>
        <v>13.008232808980567</v>
      </c>
    </row>
    <row r="90" spans="1:24" x14ac:dyDescent="0.25">
      <c r="A90">
        <v>94</v>
      </c>
      <c r="B90" t="s">
        <v>112</v>
      </c>
      <c r="C90">
        <v>198.11110573525872</v>
      </c>
      <c r="D90">
        <v>81.692084580838326</v>
      </c>
      <c r="E90">
        <v>235.64641767535963</v>
      </c>
      <c r="F90">
        <v>103.57231327111987</v>
      </c>
      <c r="G90">
        <v>348.11853990949271</v>
      </c>
      <c r="H90">
        <v>165.63926146814637</v>
      </c>
      <c r="I90">
        <v>64.619530205859448</v>
      </c>
      <c r="J90">
        <v>31.716348090635119</v>
      </c>
      <c r="K90">
        <v>140.74950238790214</v>
      </c>
      <c r="L90">
        <v>76.332653170947765</v>
      </c>
      <c r="M90">
        <v>86.615570937488783</v>
      </c>
      <c r="N90">
        <v>96.902754164850407</v>
      </c>
      <c r="O90">
        <v>182.68221123023159</v>
      </c>
      <c r="P90">
        <v>205.57710175784408</v>
      </c>
      <c r="Q90">
        <v>33.29486107404923</v>
      </c>
      <c r="R90">
        <v>68.138041254942195</v>
      </c>
      <c r="S90">
        <v>161.62877055085647</v>
      </c>
      <c r="T90">
        <f t="shared" si="5"/>
        <v>0.35812326475438605</v>
      </c>
      <c r="U90">
        <f t="shared" si="6"/>
        <v>152.2072337027347</v>
      </c>
      <c r="V90">
        <f t="shared" si="7"/>
        <v>113.89649551765132</v>
      </c>
      <c r="W90">
        <f t="shared" si="8"/>
        <v>32.763801762371209</v>
      </c>
      <c r="X90">
        <f t="shared" si="9"/>
        <v>21.732840637156233</v>
      </c>
    </row>
    <row r="91" spans="1:24" x14ac:dyDescent="0.25">
      <c r="A91">
        <v>95</v>
      </c>
      <c r="B91" t="s">
        <v>113</v>
      </c>
      <c r="C91">
        <v>380.1023800508105</v>
      </c>
      <c r="D91">
        <v>303.64661302395211</v>
      </c>
      <c r="E91">
        <v>377.49847723363666</v>
      </c>
      <c r="F91">
        <v>251.87920622662048</v>
      </c>
      <c r="G91">
        <v>502.79973939532675</v>
      </c>
      <c r="H91">
        <v>298.27475010260417</v>
      </c>
      <c r="I91">
        <v>171.26308856475293</v>
      </c>
      <c r="J91">
        <v>88.952166265649055</v>
      </c>
      <c r="K91">
        <v>192.25314942353307</v>
      </c>
      <c r="L91">
        <v>270.97259807523432</v>
      </c>
      <c r="M91">
        <v>265.28999620887851</v>
      </c>
      <c r="N91">
        <v>216.27026322066101</v>
      </c>
      <c r="O91">
        <v>466.58517600085293</v>
      </c>
      <c r="P91">
        <v>250.50796433260123</v>
      </c>
      <c r="Q91">
        <v>139.89519215717445</v>
      </c>
      <c r="R91">
        <v>109.38105659882282</v>
      </c>
      <c r="S91">
        <v>445.64128302907164</v>
      </c>
      <c r="T91">
        <f t="shared" si="5"/>
        <v>0.81603689295724613</v>
      </c>
      <c r="U91">
        <f t="shared" si="6"/>
        <v>285.18550780965398</v>
      </c>
      <c r="V91">
        <f t="shared" si="7"/>
        <v>270.5679412029121</v>
      </c>
      <c r="W91">
        <f t="shared" si="8"/>
        <v>41.937547204570286</v>
      </c>
      <c r="X91">
        <f t="shared" si="9"/>
        <v>45.416460087332474</v>
      </c>
    </row>
    <row r="92" spans="1:24" x14ac:dyDescent="0.25">
      <c r="A92">
        <v>96</v>
      </c>
      <c r="B92" t="s">
        <v>114</v>
      </c>
      <c r="C92">
        <v>516.42273012116812</v>
      </c>
      <c r="D92">
        <v>736.45677395209577</v>
      </c>
      <c r="E92">
        <v>655.25911177775924</v>
      </c>
      <c r="F92">
        <v>510.14906669386681</v>
      </c>
      <c r="G92">
        <v>452.21954182881086</v>
      </c>
      <c r="H92">
        <v>177.53589100642077</v>
      </c>
      <c r="I92">
        <v>31.158956953164811</v>
      </c>
      <c r="J92">
        <v>88.643973398552802</v>
      </c>
      <c r="K92">
        <v>80.527309842226771</v>
      </c>
      <c r="L92">
        <v>343.83616705880547</v>
      </c>
      <c r="M92">
        <v>455.90325805342877</v>
      </c>
      <c r="N92">
        <v>122.94518576307908</v>
      </c>
      <c r="O92">
        <v>1288.8084691876197</v>
      </c>
      <c r="P92">
        <v>151.04314727768198</v>
      </c>
      <c r="Q92">
        <v>197.72524318225877</v>
      </c>
      <c r="R92">
        <v>49.317486537578496</v>
      </c>
      <c r="S92">
        <v>488.92996333550025</v>
      </c>
      <c r="T92">
        <f t="shared" si="5"/>
        <v>0.87339656439943114</v>
      </c>
      <c r="U92">
        <f t="shared" si="6"/>
        <v>360.93037284156276</v>
      </c>
      <c r="V92">
        <f t="shared" si="7"/>
        <v>387.3136150494941</v>
      </c>
      <c r="W92">
        <f t="shared" si="8"/>
        <v>89.56498047679365</v>
      </c>
      <c r="X92">
        <f t="shared" si="9"/>
        <v>140.5037630322509</v>
      </c>
    </row>
  </sheetData>
  <autoFilter ref="A2:X92" xr:uid="{235535F4-2A25-48B4-A268-A1F41A00A5BA}"/>
  <conditionalFormatting sqref="T3:T92">
    <cfRule type="cellIs" dxfId="1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46D1-F533-4CC2-95BF-AD360240EAF0}">
  <dimension ref="A1:Q92"/>
  <sheetViews>
    <sheetView zoomScale="85" zoomScaleNormal="85" workbookViewId="0"/>
  </sheetViews>
  <sheetFormatPr defaultRowHeight="15" x14ac:dyDescent="0.25"/>
  <cols>
    <col min="1" max="1" width="12.28515625" bestFit="1" customWidth="1"/>
    <col min="2" max="2" width="35" bestFit="1" customWidth="1"/>
    <col min="3" max="17" width="12" bestFit="1" customWidth="1"/>
  </cols>
  <sheetData>
    <row r="1" spans="1:17" x14ac:dyDescent="0.25">
      <c r="B1" s="3" t="s">
        <v>24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1</v>
      </c>
      <c r="K1">
        <v>1</v>
      </c>
      <c r="L1">
        <v>1</v>
      </c>
      <c r="M1">
        <v>1</v>
      </c>
      <c r="N1">
        <v>1</v>
      </c>
    </row>
    <row r="2" spans="1:17" x14ac:dyDescent="0.25">
      <c r="A2" s="1" t="s">
        <v>0</v>
      </c>
      <c r="B2" s="1" t="s">
        <v>1</v>
      </c>
      <c r="C2" s="1">
        <v>67898</v>
      </c>
      <c r="D2" s="1">
        <v>190211</v>
      </c>
      <c r="E2" s="1">
        <v>191735</v>
      </c>
      <c r="F2" s="1">
        <v>212741</v>
      </c>
      <c r="G2" s="1">
        <v>277750</v>
      </c>
      <c r="H2" s="1">
        <v>340773</v>
      </c>
      <c r="I2" s="1">
        <v>340805</v>
      </c>
      <c r="J2" s="1">
        <v>190196</v>
      </c>
      <c r="K2" s="1">
        <v>190198</v>
      </c>
      <c r="L2" s="1">
        <v>340770</v>
      </c>
      <c r="M2" s="1">
        <v>340771</v>
      </c>
      <c r="N2" s="1">
        <v>343011</v>
      </c>
      <c r="O2" s="1" t="s">
        <v>19</v>
      </c>
      <c r="P2" s="1" t="s">
        <v>20</v>
      </c>
      <c r="Q2" s="1" t="s">
        <v>21</v>
      </c>
    </row>
    <row r="3" spans="1:17" x14ac:dyDescent="0.25">
      <c r="A3">
        <v>1</v>
      </c>
      <c r="B3" t="s">
        <v>25</v>
      </c>
      <c r="C3">
        <v>16.213122507531466</v>
      </c>
      <c r="D3">
        <v>14.563669872965274</v>
      </c>
      <c r="E3">
        <v>59.951756959384575</v>
      </c>
      <c r="F3">
        <v>13.762745558510783</v>
      </c>
      <c r="G3">
        <v>4.7761342799769917</v>
      </c>
      <c r="H3">
        <v>11.152783870788356</v>
      </c>
      <c r="I3">
        <v>8.5364168905586002</v>
      </c>
      <c r="J3">
        <v>27.714349405647702</v>
      </c>
      <c r="K3">
        <v>18.399161754201653</v>
      </c>
      <c r="L3">
        <v>5.723304831423162</v>
      </c>
      <c r="M3">
        <v>13.347676498642377</v>
      </c>
      <c r="N3">
        <v>22.659303965566917</v>
      </c>
      <c r="O3">
        <f>IFERROR(_xlfn.T.TEST(C3:I3,J3:N3,2,2),"")</f>
        <v>0.92674411687804259</v>
      </c>
      <c r="P3">
        <f>AVERAGE(C3:I3)</f>
        <v>18.422375705673719</v>
      </c>
      <c r="Q3">
        <f>AVERAGE(J3:N3)</f>
        <v>17.568759291096363</v>
      </c>
    </row>
    <row r="4" spans="1:17" x14ac:dyDescent="0.25">
      <c r="A4">
        <v>3</v>
      </c>
      <c r="B4" t="s">
        <v>26</v>
      </c>
      <c r="C4">
        <v>961.28541904756639</v>
      </c>
      <c r="D4">
        <v>740.89985436330119</v>
      </c>
      <c r="E4">
        <v>1337.2970858595736</v>
      </c>
      <c r="F4">
        <v>509.35265943212295</v>
      </c>
      <c r="G4">
        <v>829.34456901617864</v>
      </c>
      <c r="H4">
        <v>961.58004980135081</v>
      </c>
      <c r="I4">
        <v>355.64279837766838</v>
      </c>
      <c r="J4">
        <v>1046.2769386488651</v>
      </c>
      <c r="K4">
        <v>1133.466185286785</v>
      </c>
      <c r="L4">
        <v>1475.769679128904</v>
      </c>
      <c r="M4">
        <v>617.34527513583851</v>
      </c>
      <c r="N4">
        <v>751.29243586888549</v>
      </c>
      <c r="O4">
        <f>IFERROR(_xlfn.T.TEST(C4:I4,J4:N4,2,2),"")</f>
        <v>0.34389702701261049</v>
      </c>
      <c r="P4">
        <f>AVERAGE(C4:I4)</f>
        <v>813.62891941396595</v>
      </c>
      <c r="Q4">
        <f>AVERAGE(J4:N4)</f>
        <v>1004.8301028138555</v>
      </c>
    </row>
    <row r="5" spans="1:17" x14ac:dyDescent="0.25">
      <c r="A5">
        <v>4</v>
      </c>
      <c r="B5" t="s">
        <v>27</v>
      </c>
      <c r="C5">
        <v>254.88279991976253</v>
      </c>
      <c r="D5">
        <v>263.84300449798297</v>
      </c>
      <c r="E5">
        <v>451.32016428711125</v>
      </c>
      <c r="F5">
        <v>179.76767174759561</v>
      </c>
      <c r="G5">
        <v>234.17594032739362</v>
      </c>
      <c r="H5">
        <v>177.95023572227404</v>
      </c>
      <c r="I5">
        <v>431.89320818753725</v>
      </c>
      <c r="J5">
        <v>299.07397923833736</v>
      </c>
      <c r="K5">
        <v>287.35488425482004</v>
      </c>
      <c r="L5">
        <v>445.89646807760181</v>
      </c>
      <c r="M5">
        <v>348.22808070773164</v>
      </c>
      <c r="N5">
        <v>452.56958520011528</v>
      </c>
      <c r="O5">
        <f>IFERROR(_xlfn.T.TEST(C5:I5,J5:N5,2,2),"")</f>
        <v>0.19383637416674324</v>
      </c>
      <c r="P5">
        <f>AVERAGE(C5:I5)</f>
        <v>284.83328924137965</v>
      </c>
      <c r="Q5">
        <f>AVERAGE(J5:N5)</f>
        <v>366.62459949572121</v>
      </c>
    </row>
    <row r="6" spans="1:17" x14ac:dyDescent="0.25">
      <c r="A6">
        <v>5</v>
      </c>
      <c r="B6" t="s">
        <v>28</v>
      </c>
      <c r="C6">
        <v>345.99649973223507</v>
      </c>
      <c r="D6">
        <v>238.25992069458826</v>
      </c>
      <c r="E6">
        <v>225.41234761066562</v>
      </c>
      <c r="F6">
        <v>219.26456693773449</v>
      </c>
      <c r="G6">
        <v>270.64068726495708</v>
      </c>
      <c r="H6">
        <v>261.05546733562772</v>
      </c>
      <c r="I6">
        <v>221.49321313618472</v>
      </c>
      <c r="J6">
        <v>295.57956126979917</v>
      </c>
      <c r="K6">
        <v>240.43980111117597</v>
      </c>
      <c r="L6">
        <v>192.85097113169479</v>
      </c>
      <c r="M6">
        <v>462.39947340673541</v>
      </c>
      <c r="N6">
        <v>214.42671709336867</v>
      </c>
      <c r="O6">
        <f>IFERROR(_xlfn.T.TEST(C6:I6,J6:N6,2,2),"")</f>
        <v>0.56833818608120446</v>
      </c>
      <c r="P6">
        <f>AVERAGE(C6:I6)</f>
        <v>254.58895753028472</v>
      </c>
      <c r="Q6">
        <f>AVERAGE(J6:N6)</f>
        <v>281.13930480255476</v>
      </c>
    </row>
    <row r="7" spans="1:17" x14ac:dyDescent="0.25">
      <c r="A7">
        <v>6</v>
      </c>
      <c r="B7" t="s">
        <v>29</v>
      </c>
      <c r="C7">
        <v>362.33844387149486</v>
      </c>
      <c r="D7">
        <v>298.19006663201174</v>
      </c>
      <c r="E7">
        <v>379.97261881478585</v>
      </c>
      <c r="F7">
        <v>279.18712418693303</v>
      </c>
      <c r="G7">
        <v>360.82656195165305</v>
      </c>
      <c r="H7">
        <v>402.64330245979124</v>
      </c>
      <c r="I7">
        <v>259.08231456490046</v>
      </c>
      <c r="J7">
        <v>386.61517420878545</v>
      </c>
      <c r="K7">
        <v>321.59622455871192</v>
      </c>
      <c r="L7">
        <v>291.65562120595354</v>
      </c>
      <c r="M7">
        <v>390.16050733360356</v>
      </c>
      <c r="N7">
        <v>262.06032331970755</v>
      </c>
      <c r="O7">
        <f>IFERROR(_xlfn.T.TEST(C7:I7,J7:N7,2,2),"")</f>
        <v>0.90068484082113287</v>
      </c>
      <c r="P7">
        <f>AVERAGE(C7:I7)</f>
        <v>334.60577606879576</v>
      </c>
      <c r="Q7">
        <f>AVERAGE(J7:N7)</f>
        <v>330.41757012535243</v>
      </c>
    </row>
    <row r="8" spans="1:17" x14ac:dyDescent="0.25">
      <c r="A8">
        <v>7</v>
      </c>
      <c r="B8" t="s">
        <v>30</v>
      </c>
      <c r="C8">
        <v>100.62809747012717</v>
      </c>
      <c r="D8">
        <v>62.937393403817481</v>
      </c>
      <c r="E8">
        <v>60.02998891713932</v>
      </c>
      <c r="F8">
        <v>64.226145939716986</v>
      </c>
      <c r="G8">
        <v>90.310469493999733</v>
      </c>
      <c r="H8">
        <v>74.176825689093761</v>
      </c>
      <c r="I8">
        <v>48.86789379377749</v>
      </c>
      <c r="J8">
        <v>103.56731875719217</v>
      </c>
      <c r="K8">
        <v>63.980166704187617</v>
      </c>
      <c r="L8">
        <v>59.617758660657934</v>
      </c>
      <c r="M8">
        <v>100.76276790584707</v>
      </c>
      <c r="N8">
        <v>30.006907250348196</v>
      </c>
      <c r="O8">
        <f>IFERROR(_xlfn.T.TEST(C8:I8,J8:N8,2,2),"")</f>
        <v>0.99946370695220532</v>
      </c>
      <c r="P8">
        <f>AVERAGE(C8:I8)</f>
        <v>71.596687815381713</v>
      </c>
      <c r="Q8">
        <f>AVERAGE(J8:N8)</f>
        <v>71.586983855646594</v>
      </c>
    </row>
    <row r="9" spans="1:17" x14ac:dyDescent="0.25">
      <c r="A9">
        <v>8</v>
      </c>
      <c r="B9" t="s">
        <v>31</v>
      </c>
      <c r="C9">
        <v>454.77716618174526</v>
      </c>
      <c r="D9">
        <v>600.74064209029473</v>
      </c>
      <c r="E9">
        <v>802.9467370754287</v>
      </c>
      <c r="F9">
        <v>371.20090877811941</v>
      </c>
      <c r="G9">
        <v>545.41376897215514</v>
      </c>
      <c r="H9">
        <v>726.72281161372439</v>
      </c>
      <c r="I9">
        <v>500.3701175922356</v>
      </c>
      <c r="J9">
        <v>848.26996186264535</v>
      </c>
      <c r="K9">
        <v>842.35920611230154</v>
      </c>
      <c r="L9">
        <v>775.75182153049604</v>
      </c>
      <c r="M9">
        <v>499.22748036703058</v>
      </c>
      <c r="N9">
        <v>581.47976200811001</v>
      </c>
      <c r="O9">
        <f>IFERROR(_xlfn.T.TEST(C9:I9,J9:N9,2,2),"")</f>
        <v>0.15995569398316545</v>
      </c>
      <c r="P9">
        <f>AVERAGE(C9:I9)</f>
        <v>571.73887890052902</v>
      </c>
      <c r="Q9">
        <f>AVERAGE(J9:N9)</f>
        <v>709.41764637611664</v>
      </c>
    </row>
    <row r="10" spans="1:17" x14ac:dyDescent="0.25">
      <c r="A10">
        <v>9</v>
      </c>
      <c r="B10" t="s">
        <v>32</v>
      </c>
      <c r="C10">
        <v>249.23305121395984</v>
      </c>
      <c r="D10">
        <v>143.05905804417219</v>
      </c>
      <c r="E10">
        <v>177.53438946476302</v>
      </c>
      <c r="F10">
        <v>114.19801969383353</v>
      </c>
      <c r="G10">
        <v>159.58518235488339</v>
      </c>
      <c r="H10">
        <v>188.11440717238312</v>
      </c>
      <c r="I10">
        <v>114.87047946208202</v>
      </c>
      <c r="J10">
        <v>184.541417890215</v>
      </c>
      <c r="K10">
        <v>164.50851725546764</v>
      </c>
      <c r="L10">
        <v>224.46224781688088</v>
      </c>
      <c r="M10">
        <v>179.91936540635751</v>
      </c>
      <c r="N10">
        <v>123.53787098162218</v>
      </c>
      <c r="O10">
        <f>IFERROR(_xlfn.T.TEST(C10:I10,J10:N10,2,2),"")</f>
        <v>0.65680912975295769</v>
      </c>
      <c r="P10">
        <f>AVERAGE(C10:I10)</f>
        <v>163.79922677229675</v>
      </c>
      <c r="Q10">
        <f>AVERAGE(J10:N10)</f>
        <v>175.39388387010865</v>
      </c>
    </row>
    <row r="11" spans="1:17" x14ac:dyDescent="0.25">
      <c r="A11">
        <v>10</v>
      </c>
      <c r="B11" t="s">
        <v>33</v>
      </c>
      <c r="C11">
        <v>37.836753547655725</v>
      </c>
      <c r="D11">
        <v>36.666938750961243</v>
      </c>
      <c r="E11">
        <v>53.093421996218787</v>
      </c>
      <c r="F11">
        <v>40.130418398387796</v>
      </c>
      <c r="G11">
        <v>37.731460811818231</v>
      </c>
      <c r="H11">
        <v>65.001266659663997</v>
      </c>
      <c r="I11">
        <v>20.928654936997532</v>
      </c>
      <c r="J11">
        <v>38.378349068255623</v>
      </c>
      <c r="K11">
        <v>43.746647433706045</v>
      </c>
      <c r="L11">
        <v>50.245292415401011</v>
      </c>
      <c r="M11">
        <v>42.724754454558479</v>
      </c>
      <c r="N11">
        <v>18.155122499896201</v>
      </c>
      <c r="O11">
        <f>IFERROR(_xlfn.T.TEST(C11:I11,J11:N11,2,2),"")</f>
        <v>0.7095532257628645</v>
      </c>
      <c r="P11">
        <f>AVERAGE(C11:I11)</f>
        <v>41.626987871671908</v>
      </c>
      <c r="Q11">
        <f>AVERAGE(J11:N11)</f>
        <v>38.650033174363479</v>
      </c>
    </row>
    <row r="12" spans="1:17" x14ac:dyDescent="0.25">
      <c r="A12">
        <v>11</v>
      </c>
      <c r="B12" t="s">
        <v>34</v>
      </c>
      <c r="C12">
        <v>283.79405469766482</v>
      </c>
      <c r="D12">
        <v>522.65960965927889</v>
      </c>
      <c r="E12">
        <v>556.51607014798878</v>
      </c>
      <c r="F12">
        <v>394.88156938990625</v>
      </c>
      <c r="G12">
        <v>465.23701047219356</v>
      </c>
      <c r="H12">
        <v>504.40859351346677</v>
      </c>
      <c r="I12">
        <v>341.31234007105428</v>
      </c>
      <c r="J12">
        <v>493.28529512769688</v>
      </c>
      <c r="K12">
        <v>524.90418261307013</v>
      </c>
      <c r="L12">
        <v>373.13507332152437</v>
      </c>
      <c r="M12">
        <v>408.49070690879387</v>
      </c>
      <c r="N12">
        <v>362.33497773701373</v>
      </c>
      <c r="O12">
        <f>IFERROR(_xlfn.T.TEST(C12:I12,J12:N12,2,2),"")</f>
        <v>0.91288404425691705</v>
      </c>
      <c r="P12">
        <f>AVERAGE(C12:I12)</f>
        <v>438.4013211359362</v>
      </c>
      <c r="Q12">
        <f>AVERAGE(J12:N12)</f>
        <v>432.43004714161981</v>
      </c>
    </row>
    <row r="13" spans="1:17" x14ac:dyDescent="0.25">
      <c r="A13">
        <v>12</v>
      </c>
      <c r="B13" t="s">
        <v>35</v>
      </c>
      <c r="C13">
        <v>60.730197814817068</v>
      </c>
      <c r="D13">
        <v>241.99749968853507</v>
      </c>
      <c r="E13">
        <v>262.31175435165267</v>
      </c>
      <c r="F13">
        <v>95.858615096421147</v>
      </c>
      <c r="G13">
        <v>172.3976817059521</v>
      </c>
      <c r="H13">
        <v>166.73566357519323</v>
      </c>
      <c r="I13">
        <v>58.620853188063037</v>
      </c>
      <c r="J13">
        <v>230.63158592352048</v>
      </c>
      <c r="K13">
        <v>223.09678459362033</v>
      </c>
      <c r="L13">
        <v>214.5906561502789</v>
      </c>
      <c r="M13">
        <v>77.770023800309005</v>
      </c>
      <c r="N13">
        <v>131.85425072689688</v>
      </c>
      <c r="O13">
        <f>IFERROR(_xlfn.T.TEST(C13:I13,J13:N13,2,2),"")</f>
        <v>0.60122500306060189</v>
      </c>
      <c r="P13">
        <f>AVERAGE(C13:I13)</f>
        <v>151.23603791723349</v>
      </c>
      <c r="Q13">
        <f>AVERAGE(J13:N13)</f>
        <v>175.58866023892512</v>
      </c>
    </row>
    <row r="14" spans="1:17" x14ac:dyDescent="0.25">
      <c r="A14">
        <v>13</v>
      </c>
      <c r="B14" t="s">
        <v>36</v>
      </c>
      <c r="C14">
        <v>32.647082098025898</v>
      </c>
      <c r="D14">
        <v>213.60049147015735</v>
      </c>
      <c r="E14">
        <v>161.86192059456289</v>
      </c>
      <c r="F14">
        <v>89.261235479484228</v>
      </c>
      <c r="G14">
        <v>96.166425437275848</v>
      </c>
      <c r="H14">
        <v>117.67577219898297</v>
      </c>
      <c r="I14">
        <v>90.828300490122302</v>
      </c>
      <c r="J14">
        <v>124.2928322257635</v>
      </c>
      <c r="K14">
        <v>136.77080814565912</v>
      </c>
      <c r="L14">
        <v>115.68618099175112</v>
      </c>
      <c r="M14">
        <v>58.053250524917182</v>
      </c>
      <c r="N14">
        <v>132.01781038905813</v>
      </c>
      <c r="O14">
        <f>IFERROR(_xlfn.T.TEST(C14:I14,J14:N14,2,2),"")</f>
        <v>0.96736132726433133</v>
      </c>
      <c r="P14">
        <f>AVERAGE(C14:I14)</f>
        <v>114.57731825265877</v>
      </c>
      <c r="Q14">
        <f>AVERAGE(J14:N14)</f>
        <v>113.36417645542981</v>
      </c>
    </row>
    <row r="15" spans="1:17" x14ac:dyDescent="0.25">
      <c r="A15">
        <v>14</v>
      </c>
      <c r="B15" t="s">
        <v>37</v>
      </c>
      <c r="C15">
        <v>101.87950760691734</v>
      </c>
      <c r="D15">
        <v>202.49515618354519</v>
      </c>
      <c r="E15">
        <v>257.48745029011019</v>
      </c>
      <c r="F15">
        <v>221.97342479369536</v>
      </c>
      <c r="G15">
        <v>229.21291383646101</v>
      </c>
      <c r="H15">
        <v>214.93051908330912</v>
      </c>
      <c r="I15">
        <v>120.0253205795691</v>
      </c>
      <c r="J15">
        <v>369.26358153742336</v>
      </c>
      <c r="K15">
        <v>269.87290125875836</v>
      </c>
      <c r="L15">
        <v>219.54863533563966</v>
      </c>
      <c r="M15">
        <v>119.00154503926595</v>
      </c>
      <c r="N15">
        <v>123.47496341925248</v>
      </c>
      <c r="O15">
        <f>IFERROR(_xlfn.T.TEST(C15:I15,J15:N15,2,2),"")</f>
        <v>0.57030470672364264</v>
      </c>
      <c r="P15">
        <f>AVERAGE(C15:I15)</f>
        <v>192.57204176765819</v>
      </c>
      <c r="Q15">
        <f>AVERAGE(J15:N15)</f>
        <v>220.23232531806798</v>
      </c>
    </row>
    <row r="16" spans="1:17" x14ac:dyDescent="0.25">
      <c r="A16">
        <v>15</v>
      </c>
      <c r="B16" t="s">
        <v>38</v>
      </c>
      <c r="C16">
        <v>44.903540202470801</v>
      </c>
      <c r="D16">
        <v>93.611317561036387</v>
      </c>
      <c r="E16">
        <v>107.20385944324923</v>
      </c>
      <c r="F16">
        <v>114.46016722828136</v>
      </c>
      <c r="G16">
        <v>131.94590093466871</v>
      </c>
      <c r="H16">
        <v>129.97163918118176</v>
      </c>
      <c r="I16">
        <v>52.991766687767146</v>
      </c>
      <c r="J16">
        <v>214.03310057296406</v>
      </c>
      <c r="K16">
        <v>125.34776361246139</v>
      </c>
      <c r="L16">
        <v>85.860664147377321</v>
      </c>
      <c r="M16">
        <v>83.941038619886811</v>
      </c>
      <c r="N16">
        <v>47.633606226338891</v>
      </c>
      <c r="O16">
        <f>IFERROR(_xlfn.T.TEST(C16:I16,J16:N16,2,2),"")</f>
        <v>0.61113690536911003</v>
      </c>
      <c r="P16">
        <f>AVERAGE(C16:I16)</f>
        <v>96.441170176950777</v>
      </c>
      <c r="Q16">
        <f>AVERAGE(J16:N16)</f>
        <v>111.3632346358057</v>
      </c>
    </row>
    <row r="17" spans="1:17" x14ac:dyDescent="0.25">
      <c r="A17">
        <v>16</v>
      </c>
      <c r="B17" t="s">
        <v>39</v>
      </c>
      <c r="C17">
        <v>34.763437476421039</v>
      </c>
      <c r="D17">
        <v>154.72288214597179</v>
      </c>
      <c r="E17">
        <v>176.25660082143557</v>
      </c>
      <c r="F17">
        <v>134.68921863650513</v>
      </c>
      <c r="G17">
        <v>166.4586625578068</v>
      </c>
      <c r="H17">
        <v>142.79270651186644</v>
      </c>
      <c r="I17">
        <v>75.219441586371431</v>
      </c>
      <c r="J17">
        <v>106.85086667590478</v>
      </c>
      <c r="K17">
        <v>79.544412296865744</v>
      </c>
      <c r="L17">
        <v>132.56771190924346</v>
      </c>
      <c r="M17">
        <v>60.186440832919395</v>
      </c>
      <c r="N17">
        <v>99.884627530613969</v>
      </c>
      <c r="O17">
        <f>IFERROR(_xlfn.T.TEST(C17:I17,J17:N17,2,2),"")</f>
        <v>0.2612329084984652</v>
      </c>
      <c r="P17">
        <f>AVERAGE(C17:I17)</f>
        <v>126.41470710519688</v>
      </c>
      <c r="Q17">
        <f>AVERAGE(J17:N17)</f>
        <v>95.806811849109465</v>
      </c>
    </row>
    <row r="18" spans="1:17" x14ac:dyDescent="0.25">
      <c r="A18">
        <v>17</v>
      </c>
      <c r="B18" t="s">
        <v>40</v>
      </c>
      <c r="C18">
        <v>8.999111130741074</v>
      </c>
      <c r="D18">
        <v>28.246645845058019</v>
      </c>
      <c r="E18">
        <v>22.217876002346959</v>
      </c>
      <c r="F18">
        <v>15.903617089834682</v>
      </c>
      <c r="G18">
        <v>17.609399432262997</v>
      </c>
      <c r="H18">
        <v>20.359237038364341</v>
      </c>
      <c r="I18">
        <v>6.2682867988642856</v>
      </c>
      <c r="J18">
        <v>68.562890486145832</v>
      </c>
      <c r="K18">
        <v>103.14092034719386</v>
      </c>
      <c r="L18">
        <v>12.511410561715749</v>
      </c>
      <c r="M18">
        <v>13.027697952442045</v>
      </c>
      <c r="N18">
        <v>8.2786352078528775</v>
      </c>
      <c r="O18">
        <f>IFERROR(_xlfn.T.TEST(C18:I18,J18:N18,2,2),"")</f>
        <v>0.16841731323255002</v>
      </c>
      <c r="P18">
        <f>AVERAGE(C18:I18)</f>
        <v>17.086310476781765</v>
      </c>
      <c r="Q18">
        <f>AVERAGE(J18:N18)</f>
        <v>41.104310911070073</v>
      </c>
    </row>
    <row r="19" spans="1:17" x14ac:dyDescent="0.25">
      <c r="A19">
        <v>18</v>
      </c>
      <c r="B19" t="s">
        <v>41</v>
      </c>
      <c r="C19">
        <v>41.425356145804002</v>
      </c>
      <c r="D19">
        <v>16.905026828943466</v>
      </c>
      <c r="E19">
        <v>35.465154182150073</v>
      </c>
      <c r="F19">
        <v>24.532640098742238</v>
      </c>
      <c r="G19">
        <v>21.222648844071678</v>
      </c>
      <c r="H19">
        <v>45.908689285295011</v>
      </c>
      <c r="I19">
        <v>9.196236553596945</v>
      </c>
      <c r="J19">
        <v>31.269015959850343</v>
      </c>
      <c r="K19">
        <v>41.773323438920066</v>
      </c>
      <c r="L19">
        <v>27.895565215172972</v>
      </c>
      <c r="M19">
        <v>48.240575108107045</v>
      </c>
      <c r="N19">
        <v>19.375529209868436</v>
      </c>
      <c r="O19">
        <f>IFERROR(_xlfn.T.TEST(C19:I19,J19:N19,2,2),"")</f>
        <v>0.44569056078613523</v>
      </c>
      <c r="P19">
        <f>AVERAGE(C19:I19)</f>
        <v>27.807964562657627</v>
      </c>
      <c r="Q19">
        <f>AVERAGE(J19:N19)</f>
        <v>33.710801786383769</v>
      </c>
    </row>
    <row r="20" spans="1:17" x14ac:dyDescent="0.25">
      <c r="A20">
        <v>19</v>
      </c>
      <c r="B20" t="s">
        <v>42</v>
      </c>
      <c r="C20">
        <v>19.599291112963687</v>
      </c>
      <c r="D20">
        <v>50.156591671642943</v>
      </c>
      <c r="E20">
        <v>48.52989112719213</v>
      </c>
      <c r="F20">
        <v>35.57560498735684</v>
      </c>
      <c r="G20">
        <v>24.212924219361614</v>
      </c>
      <c r="H20">
        <v>32.407950915393315</v>
      </c>
      <c r="I20">
        <v>16.371775389138957</v>
      </c>
      <c r="J20">
        <v>81.395839232674007</v>
      </c>
      <c r="K20">
        <v>85.492177576924902</v>
      </c>
      <c r="L20">
        <v>12.256302013028282</v>
      </c>
      <c r="M20">
        <v>31.266475085860911</v>
      </c>
      <c r="N20">
        <v>12.669583061258125</v>
      </c>
      <c r="O20">
        <f>IFERROR(_xlfn.T.TEST(C20:I20,J20:N20,2,2),"")</f>
        <v>0.42706495777243736</v>
      </c>
      <c r="P20">
        <f>AVERAGE(C20:I20)</f>
        <v>32.407718489007067</v>
      </c>
      <c r="Q20">
        <f>AVERAGE(J20:N20)</f>
        <v>44.616075393949252</v>
      </c>
    </row>
    <row r="21" spans="1:17" x14ac:dyDescent="0.25">
      <c r="A21">
        <v>20</v>
      </c>
      <c r="B21" t="s">
        <v>43</v>
      </c>
      <c r="C21">
        <v>347.32152223001287</v>
      </c>
      <c r="D21">
        <v>342.2677223537296</v>
      </c>
      <c r="E21">
        <v>263.38092444096748</v>
      </c>
      <c r="F21">
        <v>164.63957444716908</v>
      </c>
      <c r="G21">
        <v>119.52795180672854</v>
      </c>
      <c r="H21">
        <v>260.28311388197204</v>
      </c>
      <c r="I21">
        <v>141.28388534808579</v>
      </c>
      <c r="J21">
        <v>389.02511763536353</v>
      </c>
      <c r="K21">
        <v>540.07932206593125</v>
      </c>
      <c r="L21">
        <v>93.735754128599112</v>
      </c>
      <c r="M21">
        <v>233.69099824164172</v>
      </c>
      <c r="N21">
        <v>114.18980721348436</v>
      </c>
      <c r="O21">
        <f>IFERROR(_xlfn.T.TEST(C21:I21,J21:N21,2,2),"")</f>
        <v>0.63601310492425966</v>
      </c>
      <c r="P21">
        <f>AVERAGE(C21:I21)</f>
        <v>234.10067064409506</v>
      </c>
      <c r="Q21">
        <f>AVERAGE(J21:N21)</f>
        <v>274.14419985700397</v>
      </c>
    </row>
    <row r="22" spans="1:17" x14ac:dyDescent="0.25">
      <c r="A22">
        <v>21</v>
      </c>
      <c r="B22" t="s">
        <v>44</v>
      </c>
      <c r="C22">
        <v>7.3980422792595331</v>
      </c>
      <c r="D22">
        <v>23.15580549123387</v>
      </c>
      <c r="E22">
        <v>23.912901753699717</v>
      </c>
      <c r="F22">
        <v>10.83543142384341</v>
      </c>
      <c r="G22">
        <v>3.3848255984184767</v>
      </c>
      <c r="H22">
        <v>7.0129693591937867</v>
      </c>
      <c r="I22">
        <v>4.8661700149078007</v>
      </c>
      <c r="J22">
        <v>5.8742371022840238</v>
      </c>
      <c r="K22">
        <v>23.540921458925681</v>
      </c>
      <c r="L22">
        <v>5.1798127059585584</v>
      </c>
      <c r="M22">
        <v>21.484273816307933</v>
      </c>
      <c r="N22">
        <v>4.7809747400974061</v>
      </c>
      <c r="O22">
        <f>IFERROR(_xlfn.T.TEST(C22:I22,J22:N22,2,2),"")</f>
        <v>0.90160773939759875</v>
      </c>
      <c r="P22">
        <f>AVERAGE(C22:I22)</f>
        <v>11.509449417222369</v>
      </c>
      <c r="Q22">
        <f>AVERAGE(J22:N22)</f>
        <v>12.172043964714721</v>
      </c>
    </row>
    <row r="23" spans="1:17" x14ac:dyDescent="0.25">
      <c r="A23">
        <v>22</v>
      </c>
      <c r="B23" t="s">
        <v>45</v>
      </c>
      <c r="C23">
        <v>54.399534769878557</v>
      </c>
      <c r="D23">
        <v>35.335157730129609</v>
      </c>
      <c r="E23">
        <v>30.171458374079144</v>
      </c>
      <c r="F23">
        <v>24.346952261841697</v>
      </c>
      <c r="G23">
        <v>27.597749817780095</v>
      </c>
      <c r="H23">
        <v>42.108710293308953</v>
      </c>
      <c r="I23">
        <v>6.0414737896948543</v>
      </c>
      <c r="J23">
        <v>40.336428102350297</v>
      </c>
      <c r="K23">
        <v>67.843434806655935</v>
      </c>
      <c r="L23">
        <v>20.652700767654899</v>
      </c>
      <c r="M23">
        <v>23.830783155110364</v>
      </c>
      <c r="N23">
        <v>17.211509064350661</v>
      </c>
      <c r="O23">
        <f>IFERROR(_xlfn.T.TEST(C23:I23,J23:N23,2,2),"")</f>
        <v>0.81042227519587851</v>
      </c>
      <c r="P23">
        <f>AVERAGE(C23:I23)</f>
        <v>31.42871957667327</v>
      </c>
      <c r="Q23">
        <f>AVERAGE(J23:N23)</f>
        <v>33.974971179224426</v>
      </c>
    </row>
    <row r="24" spans="1:17" x14ac:dyDescent="0.25">
      <c r="A24">
        <v>23</v>
      </c>
      <c r="B24" t="s">
        <v>46</v>
      </c>
      <c r="C24">
        <v>27.346992106914591</v>
      </c>
      <c r="D24">
        <v>62.271502893401674</v>
      </c>
      <c r="E24">
        <v>34.056978942564704</v>
      </c>
      <c r="F24">
        <v>26.039988421817231</v>
      </c>
      <c r="G24">
        <v>25.417340689964512</v>
      </c>
      <c r="H24">
        <v>57.524885228276787</v>
      </c>
      <c r="I24">
        <v>59.425008402391022</v>
      </c>
      <c r="J24">
        <v>36.450394326993177</v>
      </c>
      <c r="K24">
        <v>30.656005158435683</v>
      </c>
      <c r="L24">
        <v>104.77197177833952</v>
      </c>
      <c r="M24">
        <v>42.892362264472936</v>
      </c>
      <c r="N24">
        <v>64.908022853059265</v>
      </c>
      <c r="O24">
        <f>IFERROR(_xlfn.T.TEST(C24:I24,J24:N24,2,2),"")</f>
        <v>0.32164843217040845</v>
      </c>
      <c r="P24">
        <f>AVERAGE(C24:I24)</f>
        <v>41.726099526475785</v>
      </c>
      <c r="Q24">
        <f>AVERAGE(J24:N24)</f>
        <v>55.935751276260113</v>
      </c>
    </row>
    <row r="25" spans="1:17" x14ac:dyDescent="0.25">
      <c r="A25">
        <v>24</v>
      </c>
      <c r="B25" t="s">
        <v>47</v>
      </c>
      <c r="C25">
        <v>15.587417439136379</v>
      </c>
      <c r="D25">
        <v>41.392613341008968</v>
      </c>
      <c r="E25">
        <v>22.009257448334314</v>
      </c>
      <c r="F25">
        <v>29.68820827621612</v>
      </c>
      <c r="G25">
        <v>21.118819837985217</v>
      </c>
      <c r="H25">
        <v>57.432202813838103</v>
      </c>
      <c r="I25">
        <v>29.691884836725563</v>
      </c>
      <c r="J25">
        <v>15.815253736918525</v>
      </c>
      <c r="K25">
        <v>27.932262179717007</v>
      </c>
      <c r="L25">
        <v>45.032204681352788</v>
      </c>
      <c r="M25">
        <v>13.195305762356504</v>
      </c>
      <c r="N25">
        <v>57.963027967444077</v>
      </c>
      <c r="O25">
        <f>IFERROR(_xlfn.T.TEST(C25:I25,J25:N25,2,2),"")</f>
        <v>0.9193896815292375</v>
      </c>
      <c r="P25">
        <f>AVERAGE(C25:I25)</f>
        <v>30.988629141892094</v>
      </c>
      <c r="Q25">
        <f>AVERAGE(J25:N25)</f>
        <v>31.98761086555778</v>
      </c>
    </row>
    <row r="26" spans="1:17" x14ac:dyDescent="0.25">
      <c r="A26">
        <v>25</v>
      </c>
      <c r="B26" t="s">
        <v>48</v>
      </c>
      <c r="C26">
        <v>5.981004330247135</v>
      </c>
      <c r="D26">
        <v>57.352505251942901</v>
      </c>
      <c r="E26">
        <v>11.421865832192452</v>
      </c>
      <c r="F26">
        <v>9.2407005892858116</v>
      </c>
      <c r="G26">
        <v>9.4899711563021096</v>
      </c>
      <c r="H26">
        <v>19.803142551732236</v>
      </c>
      <c r="I26">
        <v>31.320814629851476</v>
      </c>
      <c r="J26">
        <v>18.436067213322165</v>
      </c>
      <c r="K26">
        <v>6.2534915327724647</v>
      </c>
      <c r="L26">
        <v>52.907294662574579</v>
      </c>
      <c r="M26">
        <v>4.5406479413189818</v>
      </c>
      <c r="N26">
        <v>18.633219973905945</v>
      </c>
      <c r="O26">
        <f>IFERROR(_xlfn.T.TEST(C26:I26,J26:N26,2,2),"")</f>
        <v>0.96434008181941588</v>
      </c>
      <c r="P26">
        <f>AVERAGE(C26:I26)</f>
        <v>20.658572048793445</v>
      </c>
      <c r="Q26">
        <f>AVERAGE(J26:N26)</f>
        <v>20.154144264778825</v>
      </c>
    </row>
    <row r="27" spans="1:17" x14ac:dyDescent="0.25">
      <c r="A27">
        <v>26</v>
      </c>
      <c r="B27" t="s">
        <v>49</v>
      </c>
      <c r="C27">
        <v>17.906206810247578</v>
      </c>
      <c r="D27">
        <v>62.980354081908828</v>
      </c>
      <c r="E27">
        <v>26.494556359606232</v>
      </c>
      <c r="F27">
        <v>9.6448447048928738</v>
      </c>
      <c r="G27">
        <v>19.519853144253791</v>
      </c>
      <c r="H27">
        <v>17.640552881496262</v>
      </c>
      <c r="I27">
        <v>13.773735465925469</v>
      </c>
      <c r="J27">
        <v>24.521174365431772</v>
      </c>
      <c r="K27">
        <v>8.69930155447903</v>
      </c>
      <c r="L27">
        <v>35.038604578422031</v>
      </c>
      <c r="M27">
        <v>6.8109719119784735</v>
      </c>
      <c r="N27">
        <v>22.697048502988739</v>
      </c>
      <c r="O27">
        <f>IFERROR(_xlfn.T.TEST(C27:I27,J27:N27,2,2),"")</f>
        <v>0.64102163554276337</v>
      </c>
      <c r="P27">
        <f>AVERAGE(C27:I27)</f>
        <v>23.99430049261872</v>
      </c>
      <c r="Q27">
        <f>AVERAGE(J27:N27)</f>
        <v>19.553420182660009</v>
      </c>
    </row>
    <row r="28" spans="1:17" x14ac:dyDescent="0.25">
      <c r="A28">
        <v>27</v>
      </c>
      <c r="B28" t="s">
        <v>50</v>
      </c>
      <c r="C28">
        <v>42.897603365557146</v>
      </c>
      <c r="D28">
        <v>33.466368233156196</v>
      </c>
      <c r="E28">
        <v>54.658061151313646</v>
      </c>
      <c r="F28">
        <v>30.234348972982421</v>
      </c>
      <c r="G28">
        <v>31.522486247848146</v>
      </c>
      <c r="H28">
        <v>54.62083624253134</v>
      </c>
      <c r="I28">
        <v>25.011289102047296</v>
      </c>
      <c r="J28">
        <v>56.001060375107691</v>
      </c>
      <c r="K28">
        <v>40.995111159286161</v>
      </c>
      <c r="L28">
        <v>57.709990383516882</v>
      </c>
      <c r="M28">
        <v>40.881068545499424</v>
      </c>
      <c r="N28">
        <v>62.026856496526868</v>
      </c>
      <c r="O28">
        <f>IFERROR(_xlfn.T.TEST(C28:I28,J28:N28,2,2),"")</f>
        <v>8.3665163506217805E-2</v>
      </c>
      <c r="P28">
        <f>AVERAGE(C28:I28)</f>
        <v>38.915856187919459</v>
      </c>
      <c r="Q28">
        <f>AVERAGE(J28:N28)</f>
        <v>51.522817391987402</v>
      </c>
    </row>
    <row r="29" spans="1:17" x14ac:dyDescent="0.25">
      <c r="A29">
        <v>28</v>
      </c>
      <c r="B29" t="s">
        <v>51</v>
      </c>
      <c r="C29">
        <v>6.4410815864199922</v>
      </c>
      <c r="D29">
        <v>13.446692242590357</v>
      </c>
      <c r="E29">
        <v>6.8583349631657864</v>
      </c>
      <c r="F29">
        <v>3.8775989470407368</v>
      </c>
      <c r="G29">
        <v>2.8864463692034863</v>
      </c>
      <c r="H29">
        <v>7.6308521221183492</v>
      </c>
      <c r="I29">
        <v>9.2580946470067893</v>
      </c>
      <c r="J29">
        <v>7.470824622391989</v>
      </c>
      <c r="K29">
        <v>2.5569832045114076</v>
      </c>
      <c r="L29">
        <v>28.206132144009882</v>
      </c>
      <c r="M29">
        <v>2.6055395904884091</v>
      </c>
      <c r="N29">
        <v>10.669122577901581</v>
      </c>
      <c r="O29">
        <f>IFERROR(_xlfn.T.TEST(C29:I29,J29:N29,2,2),"")</f>
        <v>0.48014591111081328</v>
      </c>
      <c r="P29">
        <f>AVERAGE(C29:I29)</f>
        <v>7.1998715539350702</v>
      </c>
      <c r="Q29">
        <f>AVERAGE(J29:N29)</f>
        <v>10.301720427860655</v>
      </c>
    </row>
    <row r="30" spans="1:17" x14ac:dyDescent="0.25">
      <c r="A30">
        <v>29</v>
      </c>
      <c r="B30" t="s">
        <v>52</v>
      </c>
      <c r="C30">
        <v>22.948653537902086</v>
      </c>
      <c r="D30">
        <v>20.320400737205237</v>
      </c>
      <c r="E30">
        <v>23.834669795944979</v>
      </c>
      <c r="F30">
        <v>18.514169620377604</v>
      </c>
      <c r="G30">
        <v>19.312195132080877</v>
      </c>
      <c r="H30">
        <v>23.634015681864522</v>
      </c>
      <c r="I30">
        <v>18.495569929543631</v>
      </c>
      <c r="J30">
        <v>43.107863042915064</v>
      </c>
      <c r="K30">
        <v>26.403630916150409</v>
      </c>
      <c r="L30">
        <v>22.283177144048704</v>
      </c>
      <c r="M30">
        <v>15.816082426473502</v>
      </c>
      <c r="N30">
        <v>36.536712224323338</v>
      </c>
      <c r="O30">
        <f>IFERROR(_xlfn.T.TEST(C30:I30,J30:N30,2,2),"")</f>
        <v>9.2572836149381471E-2</v>
      </c>
      <c r="P30">
        <f>AVERAGE(C30:I30)</f>
        <v>21.00852491927413</v>
      </c>
      <c r="Q30">
        <f>AVERAGE(J30:N30)</f>
        <v>28.829493150782206</v>
      </c>
    </row>
    <row r="31" spans="1:17" x14ac:dyDescent="0.25">
      <c r="A31">
        <v>30</v>
      </c>
      <c r="B31" t="s">
        <v>53</v>
      </c>
      <c r="C31">
        <v>53.534589528273585</v>
      </c>
      <c r="D31">
        <v>130.19233495581494</v>
      </c>
      <c r="E31">
        <v>107.88186974379035</v>
      </c>
      <c r="F31">
        <v>48.114995385111108</v>
      </c>
      <c r="G31">
        <v>85.139784990894199</v>
      </c>
      <c r="H31">
        <v>85.607656803198154</v>
      </c>
      <c r="I31">
        <v>30.207368948474272</v>
      </c>
      <c r="J31">
        <v>82.570686653130821</v>
      </c>
      <c r="K31">
        <v>104.97527786347378</v>
      </c>
      <c r="L31">
        <v>131.91330302347995</v>
      </c>
      <c r="M31">
        <v>77.739549653051839</v>
      </c>
      <c r="N31">
        <v>58.805989303198096</v>
      </c>
      <c r="O31">
        <f>IFERROR(_xlfn.T.TEST(C31:I31,J31:N31,2,2),"")</f>
        <v>0.48177813565146288</v>
      </c>
      <c r="P31">
        <f>AVERAGE(C31:I31)</f>
        <v>77.239800050793818</v>
      </c>
      <c r="Q31">
        <f>AVERAGE(J31:N31)</f>
        <v>91.200961299266893</v>
      </c>
    </row>
    <row r="32" spans="1:17" x14ac:dyDescent="0.25">
      <c r="A32">
        <v>31</v>
      </c>
      <c r="B32" t="s">
        <v>54</v>
      </c>
      <c r="C32">
        <v>21.899677393827972</v>
      </c>
      <c r="D32">
        <v>193.88154022623092</v>
      </c>
      <c r="E32">
        <v>108.42949344807354</v>
      </c>
      <c r="F32">
        <v>32.746596178107403</v>
      </c>
      <c r="G32">
        <v>59.784741704581556</v>
      </c>
      <c r="H32">
        <v>48.380220336993261</v>
      </c>
      <c r="I32">
        <v>28.104193772539546</v>
      </c>
      <c r="J32">
        <v>96.096494134800196</v>
      </c>
      <c r="K32">
        <v>102.2515348847551</v>
      </c>
      <c r="L32">
        <v>36.103405477291453</v>
      </c>
      <c r="M32">
        <v>52.750748902168851</v>
      </c>
      <c r="N32">
        <v>31.000846735789494</v>
      </c>
      <c r="O32">
        <f>IFERROR(_xlfn.T.TEST(C32:I32,J32:N32,2,2),"")</f>
        <v>0.82819230497039742</v>
      </c>
      <c r="P32">
        <f>AVERAGE(C32:I32)</f>
        <v>70.460923294336311</v>
      </c>
      <c r="Q32">
        <f>AVERAGE(J32:N32)</f>
        <v>63.640606026961017</v>
      </c>
    </row>
    <row r="33" spans="1:17" x14ac:dyDescent="0.25">
      <c r="A33">
        <v>32</v>
      </c>
      <c r="B33" t="s">
        <v>55</v>
      </c>
      <c r="C33">
        <v>23.758389508766314</v>
      </c>
      <c r="D33">
        <v>69.295573761336243</v>
      </c>
      <c r="E33">
        <v>61.646782710737334</v>
      </c>
      <c r="F33">
        <v>22.80683549696073</v>
      </c>
      <c r="G33">
        <v>41.843089452841909</v>
      </c>
      <c r="H33">
        <v>42.448545812917459</v>
      </c>
      <c r="I33">
        <v>22.784397739292881</v>
      </c>
      <c r="J33">
        <v>43.951343242217391</v>
      </c>
      <c r="K33">
        <v>64.591619209614251</v>
      </c>
      <c r="L33">
        <v>83.29848698447276</v>
      </c>
      <c r="M33">
        <v>35.51761862823674</v>
      </c>
      <c r="N33">
        <v>36.977065160911252</v>
      </c>
      <c r="O33">
        <f>IFERROR(_xlfn.T.TEST(C33:I33,J33:N33,2,2),"")</f>
        <v>0.31490461207195081</v>
      </c>
      <c r="P33">
        <f>AVERAGE(C33:I33)</f>
        <v>40.654802068978988</v>
      </c>
      <c r="Q33">
        <f>AVERAGE(J33:N33)</f>
        <v>52.867226645090476</v>
      </c>
    </row>
    <row r="34" spans="1:17" x14ac:dyDescent="0.25">
      <c r="A34">
        <v>33</v>
      </c>
      <c r="B34" t="s">
        <v>56</v>
      </c>
      <c r="C34">
        <v>46.946283219878282</v>
      </c>
      <c r="D34">
        <v>16.776144794669438</v>
      </c>
      <c r="E34">
        <v>49.233978746984803</v>
      </c>
      <c r="F34">
        <v>27.525491117021566</v>
      </c>
      <c r="G34">
        <v>27.390091805607181</v>
      </c>
      <c r="H34">
        <v>55.084248314724768</v>
      </c>
      <c r="I34">
        <v>10.639592066493325</v>
      </c>
      <c r="J34">
        <v>58.591749558679112</v>
      </c>
      <c r="K34">
        <v>50.11131214928335</v>
      </c>
      <c r="L34">
        <v>21.440209765777077</v>
      </c>
      <c r="M34">
        <v>43.425659841473482</v>
      </c>
      <c r="N34">
        <v>20.231072058096395</v>
      </c>
      <c r="O34">
        <f>IFERROR(_xlfn.T.TEST(C34:I34,J34:N34,2,2),"")</f>
        <v>0.60416819859348081</v>
      </c>
      <c r="P34">
        <f>AVERAGE(C34:I34)</f>
        <v>33.370832866482765</v>
      </c>
      <c r="Q34">
        <f>AVERAGE(J34:N34)</f>
        <v>38.760000674661882</v>
      </c>
    </row>
    <row r="35" spans="1:17" x14ac:dyDescent="0.25">
      <c r="A35">
        <v>34</v>
      </c>
      <c r="B35" t="s">
        <v>57</v>
      </c>
      <c r="C35">
        <v>90.948072000250278</v>
      </c>
      <c r="D35">
        <v>39.760107573537937</v>
      </c>
      <c r="E35">
        <v>50.955081817589154</v>
      </c>
      <c r="F35">
        <v>54.865294397142591</v>
      </c>
      <c r="G35">
        <v>48.799632860634475</v>
      </c>
      <c r="H35">
        <v>84.588150244372628</v>
      </c>
      <c r="I35">
        <v>58.641472552532989</v>
      </c>
      <c r="J35">
        <v>61.965670355888392</v>
      </c>
      <c r="K35">
        <v>81.628909474456577</v>
      </c>
      <c r="L35">
        <v>69.555900383439237</v>
      </c>
      <c r="M35">
        <v>120.02242897238128</v>
      </c>
      <c r="N35">
        <v>142.57369935469424</v>
      </c>
      <c r="O35">
        <f>IFERROR(_xlfn.T.TEST(C35:I35,J35:N35,2,2),"")</f>
        <v>5.3392012355351265E-2</v>
      </c>
      <c r="P35">
        <f>AVERAGE(C35:I35)</f>
        <v>61.22254449229429</v>
      </c>
      <c r="Q35">
        <f>AVERAGE(J35:N35)</f>
        <v>95.149321708171939</v>
      </c>
    </row>
    <row r="36" spans="1:17" x14ac:dyDescent="0.25">
      <c r="A36">
        <v>35</v>
      </c>
      <c r="B36" t="s">
        <v>58</v>
      </c>
      <c r="C36">
        <v>90.856056549015705</v>
      </c>
      <c r="D36">
        <v>15.186599705289748</v>
      </c>
      <c r="E36">
        <v>17.028489471282352</v>
      </c>
      <c r="F36">
        <v>49.600498080315447</v>
      </c>
      <c r="G36">
        <v>60.885329169097993</v>
      </c>
      <c r="H36">
        <v>85.298715421735892</v>
      </c>
      <c r="I36">
        <v>66.229398677473966</v>
      </c>
      <c r="J36">
        <v>28.377083847956673</v>
      </c>
      <c r="K36">
        <v>47.193016100656202</v>
      </c>
      <c r="L36">
        <v>104.06210451242656</v>
      </c>
      <c r="M36">
        <v>88.451212413948639</v>
      </c>
      <c r="N36">
        <v>167.74930581504924</v>
      </c>
      <c r="O36">
        <f>IFERROR(_xlfn.T.TEST(C36:I36,J36:N36,2,2),"")</f>
        <v>0.21561805516424207</v>
      </c>
      <c r="P36">
        <f>AVERAGE(C36:I36)</f>
        <v>55.012155296315875</v>
      </c>
      <c r="Q36">
        <f>AVERAGE(J36:N36)</f>
        <v>87.166544538007457</v>
      </c>
    </row>
    <row r="37" spans="1:17" x14ac:dyDescent="0.25">
      <c r="A37">
        <v>36</v>
      </c>
      <c r="B37" t="s">
        <v>59</v>
      </c>
      <c r="C37">
        <v>23.868808050247797</v>
      </c>
      <c r="D37">
        <v>115.45682237048429</v>
      </c>
      <c r="E37">
        <v>173.62279157702588</v>
      </c>
      <c r="F37">
        <v>151.30281863213602</v>
      </c>
      <c r="G37">
        <v>142.93100977861579</v>
      </c>
      <c r="H37">
        <v>143.10164789332873</v>
      </c>
      <c r="I37">
        <v>55.775380891210169</v>
      </c>
      <c r="J37">
        <v>92.812946216087582</v>
      </c>
      <c r="K37">
        <v>108.75516607883846</v>
      </c>
      <c r="L37">
        <v>86.60380644137993</v>
      </c>
      <c r="M37">
        <v>42.679043233672715</v>
      </c>
      <c r="N37">
        <v>85.541703310321751</v>
      </c>
      <c r="O37">
        <f>IFERROR(_xlfn.T.TEST(C37:I37,J37:N37,2,2),"")</f>
        <v>0.25741880059609779</v>
      </c>
      <c r="P37">
        <f>AVERAGE(C37:I37)</f>
        <v>115.15132559900697</v>
      </c>
      <c r="Q37">
        <f>AVERAGE(J37:N37)</f>
        <v>83.278533056060084</v>
      </c>
    </row>
    <row r="38" spans="1:17" x14ac:dyDescent="0.25">
      <c r="A38">
        <v>37</v>
      </c>
      <c r="B38" t="s">
        <v>60</v>
      </c>
      <c r="C38">
        <v>15.329774175679582</v>
      </c>
      <c r="D38">
        <v>99.840615884281121</v>
      </c>
      <c r="E38">
        <v>115.65291088076145</v>
      </c>
      <c r="F38">
        <v>104.96824191848305</v>
      </c>
      <c r="G38">
        <v>131.11526888597706</v>
      </c>
      <c r="H38">
        <v>100.40594897524143</v>
      </c>
      <c r="I38">
        <v>40.042805800639613</v>
      </c>
      <c r="J38">
        <v>30.244790003554666</v>
      </c>
      <c r="K38">
        <v>97.72122768545772</v>
      </c>
      <c r="L38">
        <v>33.873978595283596</v>
      </c>
      <c r="M38">
        <v>41.292469533471284</v>
      </c>
      <c r="N38">
        <v>48.489149074566846</v>
      </c>
      <c r="O38">
        <f>IFERROR(_xlfn.T.TEST(C38:I38,J38:N38,2,2),"")</f>
        <v>0.12458428245002318</v>
      </c>
      <c r="P38">
        <f>AVERAGE(C38:I38)</f>
        <v>86.765080931580471</v>
      </c>
      <c r="Q38">
        <f>AVERAGE(J38:N38)</f>
        <v>50.324322978466824</v>
      </c>
    </row>
    <row r="39" spans="1:17" x14ac:dyDescent="0.25">
      <c r="A39">
        <v>38</v>
      </c>
      <c r="B39" t="s">
        <v>61</v>
      </c>
      <c r="C39">
        <v>15.23775872444501</v>
      </c>
      <c r="D39">
        <v>86.716128727375846</v>
      </c>
      <c r="E39">
        <v>115.15744181498142</v>
      </c>
      <c r="F39">
        <v>94.427726470893418</v>
      </c>
      <c r="G39">
        <v>101.17098353064306</v>
      </c>
      <c r="H39">
        <v>109.85955524798725</v>
      </c>
      <c r="I39">
        <v>38.805643932442713</v>
      </c>
      <c r="J39">
        <v>60.549828592773785</v>
      </c>
      <c r="K39">
        <v>94.219272427105139</v>
      </c>
      <c r="L39">
        <v>35.571005027856742</v>
      </c>
      <c r="M39">
        <v>31.936906325518745</v>
      </c>
      <c r="N39">
        <v>53.697895238778237</v>
      </c>
      <c r="O39">
        <f>IFERROR(_xlfn.T.TEST(C39:I39,J39:N39,2,2),"")</f>
        <v>0.23084230850139797</v>
      </c>
      <c r="P39">
        <f>AVERAGE(C39:I39)</f>
        <v>80.196462635538396</v>
      </c>
      <c r="Q39">
        <f>AVERAGE(J39:N39)</f>
        <v>55.194981522406536</v>
      </c>
    </row>
    <row r="40" spans="1:17" x14ac:dyDescent="0.25">
      <c r="A40">
        <v>39</v>
      </c>
      <c r="B40" t="s">
        <v>62</v>
      </c>
      <c r="C40">
        <v>82.372231945188233</v>
      </c>
      <c r="D40">
        <v>90.797393146053423</v>
      </c>
      <c r="E40">
        <v>296.99458895625531</v>
      </c>
      <c r="F40">
        <v>102.90383008470643</v>
      </c>
      <c r="G40">
        <v>43.774308966049993</v>
      </c>
      <c r="H40">
        <v>70.284164282668996</v>
      </c>
      <c r="I40">
        <v>65.981966303834582</v>
      </c>
      <c r="J40">
        <v>81.425963525506248</v>
      </c>
      <c r="K40">
        <v>78.62723353872579</v>
      </c>
      <c r="L40">
        <v>39.663833482886105</v>
      </c>
      <c r="M40">
        <v>193.12990824234259</v>
      </c>
      <c r="N40">
        <v>83.918688201183414</v>
      </c>
      <c r="O40">
        <f>IFERROR(_xlfn.T.TEST(C40:I40,J40:N40,2,2),"")</f>
        <v>0.78811496608959919</v>
      </c>
      <c r="P40">
        <f>AVERAGE(C40:I40)</f>
        <v>107.58692624067955</v>
      </c>
      <c r="Q40">
        <f>AVERAGE(J40:N40)</f>
        <v>95.353125398128824</v>
      </c>
    </row>
    <row r="41" spans="1:17" x14ac:dyDescent="0.25">
      <c r="A41">
        <v>40</v>
      </c>
      <c r="B41" t="s">
        <v>63</v>
      </c>
      <c r="C41">
        <v>3.7174242298766811</v>
      </c>
      <c r="D41">
        <v>6.4011410356101059</v>
      </c>
      <c r="E41">
        <v>14.864071973401133</v>
      </c>
      <c r="F41">
        <v>4.7077328061255139</v>
      </c>
      <c r="G41">
        <v>2.4918961460749518</v>
      </c>
      <c r="H41">
        <v>2.6568958805756195</v>
      </c>
      <c r="I41">
        <v>17.237788696876784</v>
      </c>
      <c r="J41">
        <v>5.3621241241361854</v>
      </c>
      <c r="K41">
        <v>7.4763965436257465</v>
      </c>
      <c r="L41">
        <v>2.3958020224562073</v>
      </c>
      <c r="M41">
        <v>6.2929114086065088</v>
      </c>
      <c r="N41">
        <v>2.9063293814802651</v>
      </c>
      <c r="O41">
        <f>IFERROR(_xlfn.T.TEST(C41:I41,J41:N41,2,2),"")</f>
        <v>0.39431924576445565</v>
      </c>
      <c r="P41">
        <f>AVERAGE(C41:I41)</f>
        <v>7.4395643955058262</v>
      </c>
      <c r="Q41">
        <f>AVERAGE(J41:N41)</f>
        <v>4.8867126960609832</v>
      </c>
    </row>
    <row r="42" spans="1:17" x14ac:dyDescent="0.25">
      <c r="A42">
        <v>41</v>
      </c>
      <c r="B42" t="s">
        <v>64</v>
      </c>
      <c r="C42">
        <v>34.064120047038301</v>
      </c>
      <c r="D42">
        <v>25.51864278625774</v>
      </c>
      <c r="E42">
        <v>86.002998891713929</v>
      </c>
      <c r="F42">
        <v>59.966248504939841</v>
      </c>
      <c r="G42">
        <v>5.3991083164957301</v>
      </c>
      <c r="H42">
        <v>33.921763684558492</v>
      </c>
      <c r="I42">
        <v>48.125596672859352</v>
      </c>
      <c r="J42">
        <v>45.608179347989804</v>
      </c>
      <c r="K42">
        <v>12.729329431154616</v>
      </c>
      <c r="L42">
        <v>17.369564662807502</v>
      </c>
      <c r="M42">
        <v>101.25035426196187</v>
      </c>
      <c r="N42">
        <v>51.483549043364704</v>
      </c>
      <c r="O42">
        <f>IFERROR(_xlfn.T.TEST(C42:I42,J42:N42,2,2),"")</f>
        <v>0.83214496748557165</v>
      </c>
      <c r="P42">
        <f>AVERAGE(C42:I42)</f>
        <v>41.856925557694765</v>
      </c>
      <c r="Q42">
        <f>AVERAGE(J42:N42)</f>
        <v>45.688195349455704</v>
      </c>
    </row>
    <row r="43" spans="1:17" x14ac:dyDescent="0.25">
      <c r="A43">
        <v>42</v>
      </c>
      <c r="B43" t="s">
        <v>65</v>
      </c>
      <c r="C43">
        <v>4.3431292982717657</v>
      </c>
      <c r="D43">
        <v>12.222312916987082</v>
      </c>
      <c r="E43">
        <v>2.7381185214159984</v>
      </c>
      <c r="F43">
        <v>6.5318427333249582</v>
      </c>
      <c r="G43">
        <v>2.035048519294544</v>
      </c>
      <c r="H43">
        <v>3.2438845053539538</v>
      </c>
      <c r="I43">
        <v>0.65981966303834583</v>
      </c>
      <c r="J43">
        <v>10.995366883762404</v>
      </c>
      <c r="K43">
        <v>5.5308658445409797</v>
      </c>
      <c r="L43">
        <v>4.8914291291814234</v>
      </c>
      <c r="M43">
        <v>3.3826303455463558</v>
      </c>
      <c r="N43">
        <v>6.2026856496526879</v>
      </c>
      <c r="O43">
        <f>IFERROR(_xlfn.T.TEST(C43:I43,J43:N43,2,2),"")</f>
        <v>0.4361819450212443</v>
      </c>
      <c r="P43">
        <f>AVERAGE(C43:I43)</f>
        <v>4.5391651653838068</v>
      </c>
      <c r="Q43">
        <f>AVERAGE(J43:N43)</f>
        <v>6.2005955705367715</v>
      </c>
    </row>
    <row r="44" spans="1:17" x14ac:dyDescent="0.25">
      <c r="A44">
        <v>43</v>
      </c>
      <c r="B44" t="s">
        <v>66</v>
      </c>
      <c r="C44">
        <v>138.96173445444961</v>
      </c>
      <c r="D44">
        <v>877.62221238900042</v>
      </c>
      <c r="E44">
        <v>702.65336723384837</v>
      </c>
      <c r="F44">
        <v>253.31097797414569</v>
      </c>
      <c r="G44">
        <v>211.93576722367467</v>
      </c>
      <c r="H44">
        <v>368.44349153191672</v>
      </c>
      <c r="I44">
        <v>273.12410176893525</v>
      </c>
      <c r="J44">
        <v>360.82877954440022</v>
      </c>
      <c r="K44">
        <v>569.95711494473301</v>
      </c>
      <c r="L44">
        <v>217.81833387497684</v>
      </c>
      <c r="M44">
        <v>609.19344074454432</v>
      </c>
      <c r="N44">
        <v>193.23945008725281</v>
      </c>
      <c r="O44">
        <f>IFERROR(_xlfn.T.TEST(C44:I44,J44:N44,2,2),"")</f>
        <v>0.92747557907641376</v>
      </c>
      <c r="P44">
        <f>AVERAGE(C44:I44)</f>
        <v>403.72166465371009</v>
      </c>
      <c r="Q44">
        <f>AVERAGE(J44:N44)</f>
        <v>390.20742383918139</v>
      </c>
    </row>
    <row r="45" spans="1:17" x14ac:dyDescent="0.25">
      <c r="A45">
        <v>44</v>
      </c>
      <c r="B45" t="s">
        <v>67</v>
      </c>
      <c r="C45">
        <v>3.0917191614815964</v>
      </c>
      <c r="D45">
        <v>0.12888203427402897</v>
      </c>
      <c r="E45">
        <v>0.88662885455375184</v>
      </c>
      <c r="F45">
        <v>1.5182711370103166</v>
      </c>
      <c r="G45">
        <v>1.079821663299146</v>
      </c>
      <c r="H45">
        <v>1.1430831114104409</v>
      </c>
      <c r="I45">
        <v>2.2681300916943137</v>
      </c>
      <c r="J45">
        <v>0.99410166346345019</v>
      </c>
      <c r="K45">
        <v>0.6392458011278519</v>
      </c>
      <c r="L45">
        <v>1.4862845880052398</v>
      </c>
      <c r="M45">
        <v>1.5694185837444803</v>
      </c>
      <c r="N45">
        <v>16.645341003023336</v>
      </c>
      <c r="O45">
        <f>IFERROR(_xlfn.T.TEST(C45:I45,J45:N45,2,2),"")</f>
        <v>0.30397592200387058</v>
      </c>
      <c r="P45">
        <f>AVERAGE(C45:I45)</f>
        <v>1.4452194362462278</v>
      </c>
      <c r="Q45">
        <f>AVERAGE(J45:N45)</f>
        <v>4.2668783278728721</v>
      </c>
    </row>
    <row r="46" spans="1:17" x14ac:dyDescent="0.25">
      <c r="A46">
        <v>45</v>
      </c>
      <c r="B46" t="s">
        <v>68</v>
      </c>
      <c r="C46">
        <v>14.391216573086954</v>
      </c>
      <c r="D46">
        <v>7.4966383269393519</v>
      </c>
      <c r="E46">
        <v>19.010365734402505</v>
      </c>
      <c r="F46">
        <v>12.801537932202093</v>
      </c>
      <c r="G46">
        <v>27.223965395868852</v>
      </c>
      <c r="H46">
        <v>13.284479402878098</v>
      </c>
      <c r="I46">
        <v>11.505605374231155</v>
      </c>
      <c r="J46">
        <v>8.6757963356810208</v>
      </c>
      <c r="K46">
        <v>42.301396057243075</v>
      </c>
      <c r="L46">
        <v>11.069492677830068</v>
      </c>
      <c r="M46">
        <v>12.616296964470193</v>
      </c>
      <c r="N46">
        <v>13.978060358547943</v>
      </c>
      <c r="O46">
        <f>IFERROR(_xlfn.T.TEST(C46:I46,J46:N46,2,2),"")</f>
        <v>0.66526866555772457</v>
      </c>
      <c r="P46">
        <f>AVERAGE(C46:I46)</f>
        <v>15.101972677087003</v>
      </c>
      <c r="Q46">
        <f>AVERAGE(J46:N46)</f>
        <v>17.72820847875446</v>
      </c>
    </row>
    <row r="47" spans="1:17" x14ac:dyDescent="0.25">
      <c r="A47">
        <v>46</v>
      </c>
      <c r="B47" t="s">
        <v>69</v>
      </c>
      <c r="C47">
        <v>6.4778877669138204</v>
      </c>
      <c r="D47">
        <v>12.179352238895738</v>
      </c>
      <c r="E47">
        <v>9.7789947193428528</v>
      </c>
      <c r="F47">
        <v>6.673839314484197</v>
      </c>
      <c r="G47">
        <v>5.2329819067573986</v>
      </c>
      <c r="H47">
        <v>5.3755800374436955</v>
      </c>
      <c r="I47">
        <v>2.1031751759347275</v>
      </c>
      <c r="J47">
        <v>3.7956608968604462</v>
      </c>
      <c r="K47">
        <v>17.231843334750792</v>
      </c>
      <c r="L47">
        <v>4.3590286797467099</v>
      </c>
      <c r="M47">
        <v>26.466796892855946</v>
      </c>
      <c r="N47">
        <v>2.2269277078874761</v>
      </c>
      <c r="O47">
        <f>IFERROR(_xlfn.T.TEST(C47:I47,J47:N47,2,2),"")</f>
        <v>0.36552657381955844</v>
      </c>
      <c r="P47">
        <f>AVERAGE(C47:I47)</f>
        <v>6.8316873085389185</v>
      </c>
      <c r="Q47">
        <f>AVERAGE(J47:N47)</f>
        <v>10.816051502420276</v>
      </c>
    </row>
    <row r="48" spans="1:17" x14ac:dyDescent="0.25">
      <c r="A48">
        <v>47</v>
      </c>
      <c r="B48" t="s">
        <v>70</v>
      </c>
      <c r="C48">
        <v>11.704365397037471</v>
      </c>
      <c r="D48">
        <v>17.850161746953013</v>
      </c>
      <c r="E48">
        <v>49.286133385487979</v>
      </c>
      <c r="F48">
        <v>17.214354762073803</v>
      </c>
      <c r="G48">
        <v>6.6658221907504966</v>
      </c>
      <c r="H48">
        <v>10.287748002693968</v>
      </c>
      <c r="I48">
        <v>4.2063503518694549</v>
      </c>
      <c r="J48">
        <v>4.1872767036793812</v>
      </c>
      <c r="K48">
        <v>54.724999235684365</v>
      </c>
      <c r="L48">
        <v>8.8844324999417683</v>
      </c>
      <c r="M48">
        <v>33.689169792806268</v>
      </c>
      <c r="N48">
        <v>3.0321445062196704</v>
      </c>
      <c r="O48">
        <f>IFERROR(_xlfn.T.TEST(C48:I48,J48:N48,2,2),"")</f>
        <v>0.70966651798860791</v>
      </c>
      <c r="P48">
        <f>AVERAGE(C48:I48)</f>
        <v>16.744990833838031</v>
      </c>
      <c r="Q48">
        <f>AVERAGE(J48:N48)</f>
        <v>20.903604547666291</v>
      </c>
    </row>
    <row r="49" spans="1:17" x14ac:dyDescent="0.25">
      <c r="A49">
        <v>48</v>
      </c>
      <c r="B49" t="s">
        <v>71</v>
      </c>
      <c r="C49">
        <v>26.187597421358998</v>
      </c>
      <c r="D49">
        <v>17.012428524171824</v>
      </c>
      <c r="E49">
        <v>7.2494947519395003</v>
      </c>
      <c r="F49">
        <v>32.724750550236749</v>
      </c>
      <c r="G49">
        <v>34.865780243832042</v>
      </c>
      <c r="H49">
        <v>21.656790840505924</v>
      </c>
      <c r="I49">
        <v>32.722931413807963</v>
      </c>
      <c r="J49">
        <v>9.7301465848089208</v>
      </c>
      <c r="K49">
        <v>8.3101954146620756</v>
      </c>
      <c r="L49">
        <v>66.638789587578216</v>
      </c>
      <c r="M49">
        <v>11.290671558783105</v>
      </c>
      <c r="N49">
        <v>46.551596153580007</v>
      </c>
      <c r="O49">
        <f>IFERROR(_xlfn.T.TEST(C49:I49,J49:N49,2,2),"")</f>
        <v>0.72892924869718712</v>
      </c>
      <c r="P49">
        <f>AVERAGE(C49:I49)</f>
        <v>24.631396249407572</v>
      </c>
      <c r="Q49">
        <f>AVERAGE(J49:N49)</f>
        <v>28.504279859882466</v>
      </c>
    </row>
    <row r="50" spans="1:17" x14ac:dyDescent="0.25">
      <c r="A50">
        <v>49</v>
      </c>
      <c r="B50" t="s">
        <v>72</v>
      </c>
      <c r="C50">
        <v>42.437526109384294</v>
      </c>
      <c r="D50">
        <v>8.8284193477709856</v>
      </c>
      <c r="E50">
        <v>5.2154638503161879</v>
      </c>
      <c r="F50">
        <v>19.671987897522161</v>
      </c>
      <c r="G50">
        <v>32.353118296539797</v>
      </c>
      <c r="H50">
        <v>15.169021829798012</v>
      </c>
      <c r="I50">
        <v>33.774519001775332</v>
      </c>
      <c r="J50">
        <v>7.5009489152242148</v>
      </c>
      <c r="K50">
        <v>4.0856144680780107</v>
      </c>
      <c r="L50">
        <v>75.600863819729213</v>
      </c>
      <c r="M50">
        <v>10.757373981782555</v>
      </c>
      <c r="N50">
        <v>47.595861688917068</v>
      </c>
      <c r="O50">
        <f>IFERROR(_xlfn.T.TEST(C50:I50,J50:N50,2,2),"")</f>
        <v>0.62778343783313328</v>
      </c>
      <c r="P50">
        <f>AVERAGE(C50:I50)</f>
        <v>22.492865190443826</v>
      </c>
      <c r="Q50">
        <f>AVERAGE(J50:N50)</f>
        <v>29.108132574746207</v>
      </c>
    </row>
    <row r="51" spans="1:17" x14ac:dyDescent="0.25">
      <c r="A51">
        <v>50</v>
      </c>
      <c r="B51" t="s">
        <v>73</v>
      </c>
      <c r="C51">
        <v>79.906217852101733</v>
      </c>
      <c r="D51">
        <v>55.891842196837231</v>
      </c>
      <c r="E51">
        <v>28.711128495990611</v>
      </c>
      <c r="F51">
        <v>122.76150581912913</v>
      </c>
      <c r="G51">
        <v>145.94205095512302</v>
      </c>
      <c r="H51">
        <v>54.435471413653978</v>
      </c>
      <c r="I51">
        <v>66.002585668304533</v>
      </c>
      <c r="J51">
        <v>33.196970701112789</v>
      </c>
      <c r="K51">
        <v>49.944552375076086</v>
      </c>
      <c r="L51">
        <v>110.16252632886598</v>
      </c>
      <c r="M51">
        <v>35.350010818322275</v>
      </c>
      <c r="N51">
        <v>64.970930415428953</v>
      </c>
      <c r="O51">
        <f>IFERROR(_xlfn.T.TEST(C51:I51,J51:N51,2,2),"")</f>
        <v>0.37756879190085202</v>
      </c>
      <c r="P51">
        <f>AVERAGE(C51:I51)</f>
        <v>79.092971771591465</v>
      </c>
      <c r="Q51">
        <f>AVERAGE(J51:N51)</f>
        <v>58.724998127761218</v>
      </c>
    </row>
    <row r="52" spans="1:17" x14ac:dyDescent="0.25">
      <c r="A52">
        <v>51</v>
      </c>
      <c r="B52" t="s">
        <v>74</v>
      </c>
      <c r="C52">
        <v>51.491846510866104</v>
      </c>
      <c r="D52">
        <v>20.427802432433591</v>
      </c>
      <c r="E52">
        <v>21.174783232283719</v>
      </c>
      <c r="F52">
        <v>20.676886779572154</v>
      </c>
      <c r="G52">
        <v>85.077487587242317</v>
      </c>
      <c r="H52">
        <v>27.372206397558127</v>
      </c>
      <c r="I52">
        <v>38.805643932442713</v>
      </c>
      <c r="J52">
        <v>32.684857722964949</v>
      </c>
      <c r="K52">
        <v>17.092876856244736</v>
      </c>
      <c r="L52">
        <v>88.97742511177637</v>
      </c>
      <c r="M52">
        <v>15.389444364873059</v>
      </c>
      <c r="N52">
        <v>47.872654963343763</v>
      </c>
      <c r="O52">
        <f>IFERROR(_xlfn.T.TEST(C52:I52,J52:N52,2,2),"")</f>
        <v>0.87333415060881392</v>
      </c>
      <c r="P52">
        <f>AVERAGE(C52:I52)</f>
        <v>37.860950981771246</v>
      </c>
      <c r="Q52">
        <f>AVERAGE(J52:N52)</f>
        <v>40.403451803840582</v>
      </c>
    </row>
    <row r="53" spans="1:17" x14ac:dyDescent="0.25">
      <c r="A53">
        <v>52</v>
      </c>
      <c r="B53" t="s">
        <v>75</v>
      </c>
      <c r="C53">
        <v>109.88485186432506</v>
      </c>
      <c r="D53">
        <v>129.6123658015818</v>
      </c>
      <c r="E53">
        <v>73.1990351391877</v>
      </c>
      <c r="F53">
        <v>44.73984587909537</v>
      </c>
      <c r="G53">
        <v>87.839339149142063</v>
      </c>
      <c r="H53">
        <v>148.47722793077241</v>
      </c>
      <c r="I53">
        <v>76.085454894109247</v>
      </c>
      <c r="J53">
        <v>144.14474120220029</v>
      </c>
      <c r="K53">
        <v>79.516619001164543</v>
      </c>
      <c r="L53">
        <v>125.66868941865199</v>
      </c>
      <c r="M53">
        <v>79.689895077510997</v>
      </c>
      <c r="N53">
        <v>79.615810935095752</v>
      </c>
      <c r="O53">
        <f>IFERROR(_xlfn.T.TEST(C53:I53,J53:N53,2,2),"")</f>
        <v>0.76763632623752964</v>
      </c>
      <c r="P53">
        <f>AVERAGE(C53:I53)</f>
        <v>95.691160094030536</v>
      </c>
      <c r="Q53">
        <f>AVERAGE(J53:N53)</f>
        <v>101.72715112692471</v>
      </c>
    </row>
    <row r="54" spans="1:17" x14ac:dyDescent="0.25">
      <c r="A54">
        <v>53</v>
      </c>
      <c r="B54" t="s">
        <v>76</v>
      </c>
      <c r="C54">
        <v>25.08341200654414</v>
      </c>
      <c r="D54">
        <v>36.366214004321847</v>
      </c>
      <c r="E54">
        <v>33.796205750048898</v>
      </c>
      <c r="F54">
        <v>14.603802231530887</v>
      </c>
      <c r="G54">
        <v>26.600991359350115</v>
      </c>
      <c r="H54">
        <v>38.803037511662538</v>
      </c>
      <c r="I54">
        <v>27.980477585719854</v>
      </c>
      <c r="J54">
        <v>44.041716120714064</v>
      </c>
      <c r="K54">
        <v>22.651535996486928</v>
      </c>
      <c r="L54">
        <v>24.789895926803812</v>
      </c>
      <c r="M54">
        <v>21.347140153650649</v>
      </c>
      <c r="N54">
        <v>22.772537577832381</v>
      </c>
      <c r="O54">
        <f>IFERROR(_xlfn.T.TEST(C54:I54,J54:N54,2,2),"")</f>
        <v>0.71686633252158705</v>
      </c>
      <c r="P54">
        <f>AVERAGE(C54:I54)</f>
        <v>29.033448635596898</v>
      </c>
      <c r="Q54">
        <f>AVERAGE(J54:N54)</f>
        <v>27.120565155097562</v>
      </c>
    </row>
    <row r="55" spans="1:17" x14ac:dyDescent="0.25">
      <c r="A55">
        <v>54</v>
      </c>
      <c r="B55" t="s">
        <v>77</v>
      </c>
      <c r="C55">
        <v>30.990803975803615</v>
      </c>
      <c r="D55">
        <v>100.78575080229066</v>
      </c>
      <c r="E55">
        <v>494.58243692548405</v>
      </c>
      <c r="F55">
        <v>393.94220739146823</v>
      </c>
      <c r="G55">
        <v>154.53909265908163</v>
      </c>
      <c r="H55">
        <v>378.32961573870978</v>
      </c>
      <c r="I55">
        <v>166.76941983294191</v>
      </c>
      <c r="J55">
        <v>98.898053368197182</v>
      </c>
      <c r="K55">
        <v>367.56633564851489</v>
      </c>
      <c r="L55">
        <v>86.570531413290269</v>
      </c>
      <c r="M55">
        <v>179.66033515467154</v>
      </c>
      <c r="N55">
        <v>92.524442733358754</v>
      </c>
      <c r="O55">
        <f>IFERROR(_xlfn.T.TEST(C55:I55,J55:N55,2,2),"")</f>
        <v>0.39493865323942245</v>
      </c>
      <c r="P55">
        <f>AVERAGE(C55:I55)</f>
        <v>245.70561818939709</v>
      </c>
      <c r="Q55">
        <f>AVERAGE(J55:N55)</f>
        <v>165.04393966360652</v>
      </c>
    </row>
    <row r="56" spans="1:17" x14ac:dyDescent="0.25">
      <c r="A56">
        <v>55</v>
      </c>
      <c r="B56" t="s">
        <v>78</v>
      </c>
      <c r="C56">
        <v>15.458595807407979</v>
      </c>
      <c r="D56">
        <v>21.845504809447913</v>
      </c>
      <c r="E56">
        <v>48.94712823521742</v>
      </c>
      <c r="F56">
        <v>23.396667449468332</v>
      </c>
      <c r="G56">
        <v>14.099979026540771</v>
      </c>
      <c r="H56">
        <v>17.424293914472667</v>
      </c>
      <c r="I56">
        <v>20.227596545019292</v>
      </c>
      <c r="J56">
        <v>20.514643418745745</v>
      </c>
      <c r="K56">
        <v>35.631005088952442</v>
      </c>
      <c r="L56">
        <v>20.142483670279969</v>
      </c>
      <c r="M56">
        <v>25.46115003336919</v>
      </c>
      <c r="N56">
        <v>17.941236787839212</v>
      </c>
      <c r="O56">
        <f>IFERROR(_xlfn.T.TEST(C56:I56,J56:N56,2,2),"")</f>
        <v>0.88622057056075187</v>
      </c>
      <c r="P56">
        <f>AVERAGE(C56:I56)</f>
        <v>23.057109398224906</v>
      </c>
      <c r="Q56">
        <f>AVERAGE(J56:N56)</f>
        <v>23.938103799837315</v>
      </c>
    </row>
    <row r="57" spans="1:17" x14ac:dyDescent="0.25">
      <c r="A57">
        <v>56</v>
      </c>
      <c r="B57" t="s">
        <v>79</v>
      </c>
      <c r="C57">
        <v>0.79133288061731333</v>
      </c>
      <c r="D57">
        <v>0.73033152755283093</v>
      </c>
      <c r="E57">
        <v>6.3628658973857481</v>
      </c>
      <c r="F57">
        <v>1.1905867189505361</v>
      </c>
      <c r="G57">
        <v>0.95522685599539825</v>
      </c>
      <c r="H57">
        <v>1.2666596639953536</v>
      </c>
      <c r="I57">
        <v>2.4330850074539003</v>
      </c>
      <c r="J57">
        <v>1.0242259562956759</v>
      </c>
      <c r="K57">
        <v>5.5308658445409797</v>
      </c>
      <c r="L57">
        <v>0.84296737827162849</v>
      </c>
      <c r="M57">
        <v>1.5389444364873059</v>
      </c>
      <c r="N57">
        <v>0.9687764604934217</v>
      </c>
      <c r="O57">
        <f>IFERROR(_xlfn.T.TEST(C57:I57,J57:N57,2,2),"")</f>
        <v>0.98699698144158099</v>
      </c>
      <c r="P57">
        <f>AVERAGE(C57:I57)</f>
        <v>1.9614412217072974</v>
      </c>
      <c r="Q57">
        <f>AVERAGE(J57:N57)</f>
        <v>1.981156015217802</v>
      </c>
    </row>
    <row r="58" spans="1:17" x14ac:dyDescent="0.25">
      <c r="A58">
        <v>57</v>
      </c>
      <c r="B58" s="2" t="s">
        <v>80</v>
      </c>
      <c r="C58">
        <v>8.3365998818521607</v>
      </c>
      <c r="D58">
        <v>5.5634078128289177</v>
      </c>
      <c r="E58">
        <v>6.884412282417367</v>
      </c>
      <c r="F58">
        <v>17.978951737546627</v>
      </c>
      <c r="G58">
        <v>8.7424023124796246</v>
      </c>
      <c r="H58">
        <v>14.73650389575082</v>
      </c>
      <c r="I58">
        <v>6.495099808033717</v>
      </c>
      <c r="J58">
        <v>39.67369366004133</v>
      </c>
      <c r="K58">
        <v>14.924999791550283</v>
      </c>
      <c r="L58">
        <v>14.119703586049777</v>
      </c>
      <c r="M58">
        <v>38.854537752897329</v>
      </c>
      <c r="N58">
        <v>8.1528200831134718</v>
      </c>
      <c r="O58">
        <f>IFERROR(_xlfn.T.TEST(C58:I58,J58:N58,2,2),"")</f>
        <v>4.8416790792834077E-2</v>
      </c>
      <c r="P58">
        <f>AVERAGE(C58:I58)</f>
        <v>9.8196253901298913</v>
      </c>
      <c r="Q58">
        <f>AVERAGE(J58:N58)</f>
        <v>23.145150974730438</v>
      </c>
    </row>
    <row r="59" spans="1:17" x14ac:dyDescent="0.25">
      <c r="A59">
        <v>58</v>
      </c>
      <c r="B59" t="s">
        <v>81</v>
      </c>
      <c r="C59">
        <v>52.448807203705648</v>
      </c>
      <c r="D59">
        <v>26.270454652856241</v>
      </c>
      <c r="E59">
        <v>8.7098246300280326</v>
      </c>
      <c r="F59">
        <v>23.167288356826486</v>
      </c>
      <c r="G59">
        <v>30.006582758985882</v>
      </c>
      <c r="H59">
        <v>55.176930729163445</v>
      </c>
      <c r="I59">
        <v>13.505683727816141</v>
      </c>
      <c r="J59">
        <v>26.961242084842059</v>
      </c>
      <c r="K59">
        <v>29.377513556179977</v>
      </c>
      <c r="L59">
        <v>25.444304812567314</v>
      </c>
      <c r="M59">
        <v>48.514842433421606</v>
      </c>
      <c r="N59">
        <v>21.816342629812901</v>
      </c>
      <c r="O59">
        <f>IFERROR(_xlfn.T.TEST(C59:I59,J59:N59,2,2),"")</f>
        <v>0.95464425891337168</v>
      </c>
      <c r="P59">
        <f>AVERAGE(C59:I59)</f>
        <v>29.897938865625981</v>
      </c>
      <c r="Q59">
        <f>AVERAGE(J59:N59)</f>
        <v>30.422849103364769</v>
      </c>
    </row>
    <row r="60" spans="1:17" x14ac:dyDescent="0.25">
      <c r="A60">
        <v>59</v>
      </c>
      <c r="B60" t="s">
        <v>82</v>
      </c>
      <c r="C60">
        <v>40.210752189507659</v>
      </c>
      <c r="D60">
        <v>33.144163147471119</v>
      </c>
      <c r="E60">
        <v>27.928808918443181</v>
      </c>
      <c r="F60">
        <v>32.069381714117192</v>
      </c>
      <c r="G60">
        <v>34.388166815834339</v>
      </c>
      <c r="H60">
        <v>53.354176578535991</v>
      </c>
      <c r="I60">
        <v>20.660603198888204</v>
      </c>
      <c r="J60">
        <v>51.060676350622671</v>
      </c>
      <c r="K60">
        <v>24.013407485846262</v>
      </c>
      <c r="L60">
        <v>29.437308183327659</v>
      </c>
      <c r="M60">
        <v>64.285213639009356</v>
      </c>
      <c r="N60">
        <v>20.809821631897659</v>
      </c>
      <c r="O60">
        <f>IFERROR(_xlfn.T.TEST(C60:I60,J60:N60,2,2),"")</f>
        <v>0.69536380059533665</v>
      </c>
      <c r="P60">
        <f>AVERAGE(C60:I60)</f>
        <v>34.536578937542529</v>
      </c>
      <c r="Q60">
        <f>AVERAGE(J60:N60)</f>
        <v>37.921285458140723</v>
      </c>
    </row>
    <row r="61" spans="1:17" x14ac:dyDescent="0.25">
      <c r="A61">
        <v>60</v>
      </c>
      <c r="B61" t="s">
        <v>83</v>
      </c>
      <c r="C61">
        <v>37.910365908643378</v>
      </c>
      <c r="D61">
        <v>39.351981131670186</v>
      </c>
      <c r="E61">
        <v>17.263185344546578</v>
      </c>
      <c r="F61">
        <v>47.405012479314927</v>
      </c>
      <c r="G61">
        <v>91.888670386513851</v>
      </c>
      <c r="H61">
        <v>50.202974487620715</v>
      </c>
      <c r="I61">
        <v>42.166600341044287</v>
      </c>
      <c r="J61">
        <v>25.726146078720802</v>
      </c>
      <c r="K61">
        <v>38.827234094591702</v>
      </c>
      <c r="L61">
        <v>64.963946507064847</v>
      </c>
      <c r="M61">
        <v>37.635571862610355</v>
      </c>
      <c r="N61">
        <v>44.67695079496287</v>
      </c>
      <c r="O61">
        <f>IFERROR(_xlfn.T.TEST(C61:I61,J61:N61,2,2),"")</f>
        <v>0.72200545011780237</v>
      </c>
      <c r="P61">
        <f>AVERAGE(C61:I61)</f>
        <v>46.598398582764844</v>
      </c>
      <c r="Q61">
        <f>AVERAGE(J61:N61)</f>
        <v>42.365969867590117</v>
      </c>
    </row>
    <row r="62" spans="1:17" x14ac:dyDescent="0.25">
      <c r="A62">
        <v>61</v>
      </c>
      <c r="B62" t="s">
        <v>84</v>
      </c>
      <c r="C62">
        <v>33.475221159137043</v>
      </c>
      <c r="D62">
        <v>11.126815625657835</v>
      </c>
      <c r="E62">
        <v>43.783819023404391</v>
      </c>
      <c r="F62">
        <v>51.719523983768703</v>
      </c>
      <c r="G62">
        <v>98.6998531857854</v>
      </c>
      <c r="H62">
        <v>42.108710293308953</v>
      </c>
      <c r="I62">
        <v>27.135083642451974</v>
      </c>
      <c r="J62">
        <v>36.781761548147657</v>
      </c>
      <c r="K62">
        <v>50.61159147190515</v>
      </c>
      <c r="L62">
        <v>79.782425682997683</v>
      </c>
      <c r="M62">
        <v>42.343827613843793</v>
      </c>
      <c r="N62">
        <v>74.658695020363183</v>
      </c>
      <c r="O62">
        <f>IFERROR(_xlfn.T.TEST(C62:I62,J62:N62,2,2),"")</f>
        <v>0.39310310294512629</v>
      </c>
      <c r="P62">
        <f>AVERAGE(C62:I62)</f>
        <v>44.007003844787768</v>
      </c>
      <c r="Q62">
        <f>AVERAGE(J62:N62)</f>
        <v>56.835660267451502</v>
      </c>
    </row>
    <row r="63" spans="1:17" x14ac:dyDescent="0.25">
      <c r="A63">
        <v>62</v>
      </c>
      <c r="B63" t="s">
        <v>85</v>
      </c>
      <c r="C63">
        <v>19.599291112963687</v>
      </c>
      <c r="D63">
        <v>14.92883563674169</v>
      </c>
      <c r="E63">
        <v>28.39820066497164</v>
      </c>
      <c r="F63">
        <v>57.47584692768551</v>
      </c>
      <c r="G63">
        <v>93.176150061985922</v>
      </c>
      <c r="H63">
        <v>42.479439951063682</v>
      </c>
      <c r="I63">
        <v>24.70199863499807</v>
      </c>
      <c r="J63">
        <v>33.618710800763957</v>
      </c>
      <c r="K63">
        <v>50.139105444984558</v>
      </c>
      <c r="L63">
        <v>53.228953267441383</v>
      </c>
      <c r="M63">
        <v>18.330199575190388</v>
      </c>
      <c r="N63">
        <v>44.664369282488927</v>
      </c>
      <c r="O63">
        <f>IFERROR(_xlfn.T.TEST(C63:I63,J63:N63,2,2),"")</f>
        <v>0.99355650604797741</v>
      </c>
      <c r="P63">
        <f>AVERAGE(C63:I63)</f>
        <v>40.108537570058601</v>
      </c>
      <c r="Q63">
        <f>AVERAGE(J63:N63)</f>
        <v>39.996267674173843</v>
      </c>
    </row>
    <row r="64" spans="1:17" x14ac:dyDescent="0.25">
      <c r="A64">
        <v>63</v>
      </c>
      <c r="B64" t="s">
        <v>86</v>
      </c>
      <c r="C64">
        <v>1506.4585645221546</v>
      </c>
      <c r="D64">
        <v>1522.0538640981908</v>
      </c>
      <c r="E64">
        <v>870.69561249103583</v>
      </c>
      <c r="F64">
        <v>1419.8893518948353</v>
      </c>
      <c r="G64">
        <v>1337.3175983935575</v>
      </c>
      <c r="H64">
        <v>1405.0345087523094</v>
      </c>
      <c r="I64">
        <v>1448.3453990981091</v>
      </c>
      <c r="J64">
        <v>1507.6907319600671</v>
      </c>
      <c r="K64">
        <v>1335.9403444701068</v>
      </c>
      <c r="L64">
        <v>970.45510255918248</v>
      </c>
      <c r="M64">
        <v>1372.0222948861333</v>
      </c>
      <c r="N64">
        <v>1087.3194710228895</v>
      </c>
      <c r="O64">
        <f>IFERROR(_xlfn.T.TEST(C64:I64,J64:N64,2,2),"")</f>
        <v>0.44349964826888377</v>
      </c>
      <c r="P64">
        <f>AVERAGE(C64:I64)</f>
        <v>1358.542128464313</v>
      </c>
      <c r="Q64">
        <f>AVERAGE(J64:N64)</f>
        <v>1254.6855889796757</v>
      </c>
    </row>
    <row r="65" spans="1:17" x14ac:dyDescent="0.25">
      <c r="A65">
        <v>64</v>
      </c>
      <c r="B65" t="s">
        <v>87</v>
      </c>
      <c r="C65">
        <v>138.15199848358537</v>
      </c>
      <c r="D65">
        <v>106.82172607412434</v>
      </c>
      <c r="E65">
        <v>80.474607210378778</v>
      </c>
      <c r="F65">
        <v>153.83691146513164</v>
      </c>
      <c r="G65">
        <v>90.871146126866591</v>
      </c>
      <c r="H65">
        <v>60.428934214022227</v>
      </c>
      <c r="I65">
        <v>137.07753499621634</v>
      </c>
      <c r="J65">
        <v>80.61260761903614</v>
      </c>
      <c r="K65">
        <v>101.08421646530424</v>
      </c>
      <c r="L65">
        <v>151.9892366375806</v>
      </c>
      <c r="M65">
        <v>301.60263540425478</v>
      </c>
      <c r="N65">
        <v>143.07695985365183</v>
      </c>
      <c r="O65">
        <f>IFERROR(_xlfn.T.TEST(C65:I65,J65:N65,2,2),"")</f>
        <v>0.22686506695921299</v>
      </c>
      <c r="P65">
        <f>AVERAGE(C65:I65)</f>
        <v>109.66612265290362</v>
      </c>
      <c r="Q65">
        <f>AVERAGE(J65:N65)</f>
        <v>155.67313119596551</v>
      </c>
    </row>
    <row r="66" spans="1:17" x14ac:dyDescent="0.25">
      <c r="A66">
        <v>65</v>
      </c>
      <c r="B66" t="s">
        <v>88</v>
      </c>
      <c r="C66">
        <v>30.788369983087563</v>
      </c>
      <c r="D66">
        <v>18.473091579277487</v>
      </c>
      <c r="E66">
        <v>18.175891518351914</v>
      </c>
      <c r="F66">
        <v>13.424138326515678</v>
      </c>
      <c r="G66">
        <v>62.754251278654209</v>
      </c>
      <c r="H66">
        <v>21.069802215727588</v>
      </c>
      <c r="I66">
        <v>32.351782853348894</v>
      </c>
      <c r="J66">
        <v>30.696654396038053</v>
      </c>
      <c r="K66">
        <v>24.624859991272903</v>
      </c>
      <c r="L66">
        <v>62.512686104459185</v>
      </c>
      <c r="M66">
        <v>31.083630202317867</v>
      </c>
      <c r="N66">
        <v>7.7124671465255528</v>
      </c>
      <c r="O66">
        <f>IFERROR(_xlfn.T.TEST(C66:I66,J66:N66,2,2),"")</f>
        <v>0.76980847068255687</v>
      </c>
      <c r="P66">
        <f>AVERAGE(C66:I66)</f>
        <v>28.148189679280474</v>
      </c>
      <c r="Q66">
        <f>AVERAGE(J66:N66)</f>
        <v>31.326059568122709</v>
      </c>
    </row>
    <row r="67" spans="1:17" x14ac:dyDescent="0.25">
      <c r="A67">
        <v>66</v>
      </c>
      <c r="B67" t="s">
        <v>89</v>
      </c>
      <c r="C67">
        <v>31.138028697778932</v>
      </c>
      <c r="D67">
        <v>22.124749217041643</v>
      </c>
      <c r="E67">
        <v>33.32681400352044</v>
      </c>
      <c r="F67">
        <v>47.383166851444265</v>
      </c>
      <c r="G67">
        <v>84.205323936116088</v>
      </c>
      <c r="H67">
        <v>50.233868625766945</v>
      </c>
      <c r="I67">
        <v>45.774989123285245</v>
      </c>
      <c r="J67">
        <v>24.551298658263995</v>
      </c>
      <c r="K67">
        <v>25.98673148063224</v>
      </c>
      <c r="L67">
        <v>30.158267125270495</v>
      </c>
      <c r="M67">
        <v>27.381021310571175</v>
      </c>
      <c r="N67">
        <v>133.8798742352013</v>
      </c>
      <c r="O67">
        <f>IFERROR(_xlfn.T.TEST(C67:I67,J67:N67,2,2),"")</f>
        <v>0.86375038485463373</v>
      </c>
      <c r="P67">
        <f>AVERAGE(C67:I67)</f>
        <v>44.883848636421938</v>
      </c>
      <c r="Q67">
        <f>AVERAGE(J67:N67)</f>
        <v>48.39143856198784</v>
      </c>
    </row>
    <row r="68" spans="1:17" x14ac:dyDescent="0.25">
      <c r="A68">
        <v>72</v>
      </c>
      <c r="B68" t="s">
        <v>90</v>
      </c>
      <c r="C68">
        <v>363.95791581322334</v>
      </c>
      <c r="D68">
        <v>388.8800580828368</v>
      </c>
      <c r="E68">
        <v>115.20959645348458</v>
      </c>
      <c r="F68">
        <v>435.70012506621958</v>
      </c>
      <c r="G68">
        <v>288.52004211304489</v>
      </c>
      <c r="H68">
        <v>370.42071637327535</v>
      </c>
      <c r="I68">
        <v>311.88850697243811</v>
      </c>
      <c r="J68">
        <v>296.54353864043043</v>
      </c>
      <c r="K68">
        <v>148.9164783670883</v>
      </c>
      <c r="L68">
        <v>141.01956904401953</v>
      </c>
      <c r="M68">
        <v>445.53203289988937</v>
      </c>
      <c r="N68">
        <v>227.86377241553714</v>
      </c>
      <c r="O68">
        <f>IFERROR(_xlfn.T.TEST(C68:I68,J68:N68,2,2),"")</f>
        <v>0.29722409365756269</v>
      </c>
      <c r="P68">
        <f>AVERAGE(C68:I68)</f>
        <v>324.93956583921744</v>
      </c>
      <c r="Q68">
        <f>AVERAGE(J68:N68)</f>
        <v>251.97507827339297</v>
      </c>
    </row>
    <row r="69" spans="1:17" x14ac:dyDescent="0.25">
      <c r="A69">
        <v>73</v>
      </c>
      <c r="B69" t="s">
        <v>91</v>
      </c>
      <c r="C69">
        <v>2.3739986418519399</v>
      </c>
      <c r="D69">
        <v>0.83773322278118834</v>
      </c>
      <c r="E69">
        <v>0.9909381315600756</v>
      </c>
      <c r="F69">
        <v>7.1435203137032159</v>
      </c>
      <c r="G69">
        <v>3.2186991886801462</v>
      </c>
      <c r="H69">
        <v>1.9463307032123724</v>
      </c>
      <c r="I69">
        <v>11.588082832110949</v>
      </c>
      <c r="J69">
        <v>0.60248585664451526</v>
      </c>
      <c r="K69">
        <v>0.19455306990847668</v>
      </c>
      <c r="L69">
        <v>4.6917789606434059</v>
      </c>
      <c r="M69">
        <v>3.5502381554608151</v>
      </c>
      <c r="N69">
        <v>20.256235083044274</v>
      </c>
      <c r="O69">
        <f>IFERROR(_xlfn.T.TEST(C69:I69,J69:N69,2,2),"")</f>
        <v>0.61464168929280905</v>
      </c>
      <c r="P69">
        <f>AVERAGE(C69:I69)</f>
        <v>4.0141861476999834</v>
      </c>
      <c r="Q69">
        <f>AVERAGE(J69:N69)</f>
        <v>5.8590582251402976</v>
      </c>
    </row>
    <row r="70" spans="1:17" x14ac:dyDescent="0.25">
      <c r="A70">
        <v>74</v>
      </c>
      <c r="B70" t="s">
        <v>92</v>
      </c>
      <c r="C70">
        <v>1.4354410392593124</v>
      </c>
      <c r="D70">
        <v>0.90217423991820289</v>
      </c>
      <c r="E70">
        <v>1.9818762631201512</v>
      </c>
      <c r="F70">
        <v>5.3303332004390969</v>
      </c>
      <c r="G70">
        <v>1.4120744827758063</v>
      </c>
      <c r="H70">
        <v>7.7235345365570334</v>
      </c>
      <c r="I70">
        <v>3.9795373427000231</v>
      </c>
      <c r="J70">
        <v>2.4400677194102869</v>
      </c>
      <c r="K70">
        <v>2.0011172904871888</v>
      </c>
      <c r="L70">
        <v>3.7046197939832095</v>
      </c>
      <c r="M70">
        <v>11.854443283040833</v>
      </c>
      <c r="N70">
        <v>7.9766789084783039</v>
      </c>
      <c r="O70">
        <f>IFERROR(_xlfn.T.TEST(C70:I70,J70:N70,2,2),"")</f>
        <v>0.25527153037897504</v>
      </c>
      <c r="P70">
        <f>AVERAGE(C70:I70)</f>
        <v>3.2521387292528035</v>
      </c>
      <c r="Q70">
        <f>AVERAGE(J70:N70)</f>
        <v>5.595385399079964</v>
      </c>
    </row>
    <row r="71" spans="1:17" x14ac:dyDescent="0.25">
      <c r="A71">
        <v>75</v>
      </c>
      <c r="B71" t="s">
        <v>93</v>
      </c>
      <c r="C71">
        <v>1.2330070465432554</v>
      </c>
      <c r="D71">
        <v>1.0954972913292462</v>
      </c>
      <c r="E71">
        <v>4.9286133385487974</v>
      </c>
      <c r="F71">
        <v>29.928510182793289</v>
      </c>
      <c r="G71">
        <v>10.79821663299146</v>
      </c>
      <c r="H71">
        <v>7.2910166025098402</v>
      </c>
      <c r="I71">
        <v>9.093139731247204</v>
      </c>
      <c r="J71">
        <v>16.508112472059718</v>
      </c>
      <c r="K71">
        <v>12.006703742923131</v>
      </c>
      <c r="L71">
        <v>8.7735157396428693</v>
      </c>
      <c r="M71">
        <v>16.852203433217429</v>
      </c>
      <c r="N71">
        <v>12.103414999930802</v>
      </c>
      <c r="O71">
        <f>IFERROR(_xlfn.T.TEST(C71:I71,J71:N71,2,2),"")</f>
        <v>0.40350171500444476</v>
      </c>
      <c r="P71">
        <f>AVERAGE(C71:I71)</f>
        <v>9.1954286894232986</v>
      </c>
      <c r="Q71">
        <f>AVERAGE(J71:N71)</f>
        <v>13.248790077554791</v>
      </c>
    </row>
    <row r="72" spans="1:17" x14ac:dyDescent="0.25">
      <c r="A72">
        <v>76</v>
      </c>
      <c r="B72" t="s">
        <v>94</v>
      </c>
      <c r="C72">
        <v>506.15859415112988</v>
      </c>
      <c r="D72">
        <v>234.45790068350436</v>
      </c>
      <c r="E72">
        <v>77.293174261685891</v>
      </c>
      <c r="F72">
        <v>437.58977187703096</v>
      </c>
      <c r="G72">
        <v>397.31207469043386</v>
      </c>
      <c r="H72">
        <v>238.41006407444249</v>
      </c>
      <c r="I72">
        <v>390.71633734105046</v>
      </c>
      <c r="J72">
        <v>180.20351972237449</v>
      </c>
      <c r="K72">
        <v>111.17318280484382</v>
      </c>
      <c r="L72">
        <v>276.63749186148272</v>
      </c>
      <c r="M72">
        <v>300.99315245911129</v>
      </c>
      <c r="N72">
        <v>218.05019268586352</v>
      </c>
      <c r="O72">
        <f>IFERROR(_xlfn.T.TEST(C72:I72,J72:N72,2,2),"")</f>
        <v>0.16753234326176084</v>
      </c>
      <c r="P72">
        <f>AVERAGE(C72:I72)</f>
        <v>325.99113101132542</v>
      </c>
      <c r="Q72">
        <f>AVERAGE(J72:N72)</f>
        <v>217.41150790673518</v>
      </c>
    </row>
    <row r="73" spans="1:17" x14ac:dyDescent="0.25">
      <c r="A73">
        <v>77</v>
      </c>
      <c r="B73" t="s">
        <v>95</v>
      </c>
      <c r="C73">
        <v>166.71359454679632</v>
      </c>
      <c r="D73">
        <v>117.06784779890965</v>
      </c>
      <c r="E73">
        <v>12.360649325249364</v>
      </c>
      <c r="F73">
        <v>138.96003888521761</v>
      </c>
      <c r="G73">
        <v>127.79274069121045</v>
      </c>
      <c r="H73">
        <v>87.492199230118089</v>
      </c>
      <c r="I73">
        <v>137.51054165008526</v>
      </c>
      <c r="J73">
        <v>103.95893456401112</v>
      </c>
      <c r="K73">
        <v>51.111870794526943</v>
      </c>
      <c r="L73">
        <v>98.050416104226258</v>
      </c>
      <c r="M73">
        <v>100.96084986301869</v>
      </c>
      <c r="N73">
        <v>104.01136362206647</v>
      </c>
      <c r="O73">
        <f>IFERROR(_xlfn.T.TEST(C73:I73,J73:N73,2,2),"")</f>
        <v>0.40939964429466302</v>
      </c>
      <c r="P73">
        <f>AVERAGE(C73:I73)</f>
        <v>112.55680173251241</v>
      </c>
      <c r="Q73">
        <f>AVERAGE(J73:N73)</f>
        <v>91.618686989569895</v>
      </c>
    </row>
    <row r="74" spans="1:17" x14ac:dyDescent="0.25">
      <c r="A74">
        <v>78</v>
      </c>
      <c r="B74" t="s">
        <v>96</v>
      </c>
      <c r="C74">
        <v>209.66640718309418</v>
      </c>
      <c r="D74">
        <v>107.07949014267241</v>
      </c>
      <c r="E74">
        <v>16.819870917269704</v>
      </c>
      <c r="F74">
        <v>246.35314549734301</v>
      </c>
      <c r="G74">
        <v>171.50475225360856</v>
      </c>
      <c r="H74">
        <v>58.482603510809852</v>
      </c>
      <c r="I74">
        <v>281.10379581880528</v>
      </c>
      <c r="J74">
        <v>52.506642406569505</v>
      </c>
      <c r="K74">
        <v>22.651535996486928</v>
      </c>
      <c r="L74">
        <v>206.50482432448922</v>
      </c>
      <c r="M74">
        <v>63.066247748722368</v>
      </c>
      <c r="N74">
        <v>241.95506638635055</v>
      </c>
      <c r="O74">
        <f>IFERROR(_xlfn.T.TEST(C74:I74,J74:N74,2,2),"")</f>
        <v>0.52094932552286366</v>
      </c>
      <c r="P74">
        <f>AVERAGE(C74:I74)</f>
        <v>155.85858076051474</v>
      </c>
      <c r="Q74">
        <f>AVERAGE(J74:N74)</f>
        <v>117.33686337252371</v>
      </c>
    </row>
    <row r="75" spans="1:17" x14ac:dyDescent="0.25">
      <c r="A75">
        <v>79</v>
      </c>
      <c r="B75" t="s">
        <v>97</v>
      </c>
      <c r="C75">
        <v>193.12202905111826</v>
      </c>
      <c r="D75">
        <v>52.648311000940843</v>
      </c>
      <c r="E75">
        <v>22.713345068126998</v>
      </c>
      <c r="F75">
        <v>141.42859483460128</v>
      </c>
      <c r="G75">
        <v>137.92645168524859</v>
      </c>
      <c r="H75">
        <v>62.900465265720484</v>
      </c>
      <c r="I75">
        <v>145.16032586843608</v>
      </c>
      <c r="J75">
        <v>28.015592333969959</v>
      </c>
      <c r="K75">
        <v>20.594832114597317</v>
      </c>
      <c r="L75">
        <v>85.073155149255129</v>
      </c>
      <c r="M75">
        <v>116.94454009940667</v>
      </c>
      <c r="N75">
        <v>115.29698031119112</v>
      </c>
      <c r="O75">
        <f>IFERROR(_xlfn.T.TEST(C75:I75,J75:N75,2,2),"")</f>
        <v>0.31559996294331238</v>
      </c>
      <c r="P75">
        <f>AVERAGE(C75:I75)</f>
        <v>107.98564611059895</v>
      </c>
      <c r="Q75">
        <f>AVERAGE(J75:N75)</f>
        <v>73.185020001684038</v>
      </c>
    </row>
    <row r="76" spans="1:17" x14ac:dyDescent="0.25">
      <c r="A76">
        <v>80</v>
      </c>
      <c r="B76" t="s">
        <v>98</v>
      </c>
      <c r="C76">
        <v>31.726927585680187</v>
      </c>
      <c r="D76">
        <v>1.3532613598773042</v>
      </c>
      <c r="E76">
        <v>1.3299432818306278</v>
      </c>
      <c r="F76">
        <v>16.31868401937707</v>
      </c>
      <c r="G76">
        <v>28.656805679861947</v>
      </c>
      <c r="H76">
        <v>2.7804724331605319</v>
      </c>
      <c r="I76">
        <v>42.0016454252847</v>
      </c>
      <c r="J76">
        <v>1.2350960061212564</v>
      </c>
      <c r="K76">
        <v>2.9182960486271501</v>
      </c>
      <c r="L76">
        <v>22.150077031690028</v>
      </c>
      <c r="M76">
        <v>7.1461875318073913</v>
      </c>
      <c r="N76">
        <v>19.337784672446613</v>
      </c>
      <c r="O76">
        <f>IFERROR(_xlfn.T.TEST(C76:I76,J76:N76,2,2),"")</f>
        <v>0.41015582913048942</v>
      </c>
      <c r="P76">
        <f>AVERAGE(C76:I76)</f>
        <v>17.738248540724623</v>
      </c>
      <c r="Q76">
        <f>AVERAGE(J76:N76)</f>
        <v>10.557488258138488</v>
      </c>
    </row>
    <row r="77" spans="1:17" x14ac:dyDescent="0.25">
      <c r="A77">
        <v>81</v>
      </c>
      <c r="B77" t="s">
        <v>99</v>
      </c>
      <c r="C77">
        <v>226.5604440297615</v>
      </c>
      <c r="D77">
        <v>85.685072453183608</v>
      </c>
      <c r="E77">
        <v>15.437772996935914</v>
      </c>
      <c r="F77">
        <v>198.27091855403788</v>
      </c>
      <c r="G77">
        <v>172.10696048891003</v>
      </c>
      <c r="H77">
        <v>111.99125078007698</v>
      </c>
      <c r="I77">
        <v>196.37882721178769</v>
      </c>
      <c r="J77">
        <v>133.11925002560565</v>
      </c>
      <c r="K77">
        <v>40.439245245261944</v>
      </c>
      <c r="L77">
        <v>79.405308697981425</v>
      </c>
      <c r="M77">
        <v>182.58585329136028</v>
      </c>
      <c r="N77">
        <v>124.43115836727196</v>
      </c>
      <c r="O77">
        <f>IFERROR(_xlfn.T.TEST(C77:I77,J77:N77,2,2),"")</f>
        <v>0.44224290952982537</v>
      </c>
      <c r="P77">
        <f>AVERAGE(C77:I77)</f>
        <v>143.77589235924194</v>
      </c>
      <c r="Q77">
        <f>AVERAGE(J77:N77)</f>
        <v>111.99616312549624</v>
      </c>
    </row>
    <row r="78" spans="1:17" x14ac:dyDescent="0.25">
      <c r="A78">
        <v>82</v>
      </c>
      <c r="B78" t="s">
        <v>100</v>
      </c>
      <c r="C78">
        <v>85.960834543336517</v>
      </c>
      <c r="D78">
        <v>18.967139377327932</v>
      </c>
      <c r="E78">
        <v>7.9796596909837669</v>
      </c>
      <c r="F78">
        <v>52.866419446977929</v>
      </c>
      <c r="G78">
        <v>75.359092617550004</v>
      </c>
      <c r="H78">
        <v>20.513707729095483</v>
      </c>
      <c r="I78">
        <v>60.950841373167194</v>
      </c>
      <c r="J78">
        <v>23.828315630290579</v>
      </c>
      <c r="K78">
        <v>29.016200712064236</v>
      </c>
      <c r="L78">
        <v>50.167650683191788</v>
      </c>
      <c r="M78">
        <v>62.990062380579431</v>
      </c>
      <c r="N78">
        <v>38.222634895831369</v>
      </c>
      <c r="O78">
        <f>IFERROR(_xlfn.T.TEST(C78:I78,J78:N78,2,2),"")</f>
        <v>0.73418942638468954</v>
      </c>
      <c r="P78">
        <f>AVERAGE(C78:I78)</f>
        <v>46.0853849683484</v>
      </c>
      <c r="Q78">
        <f>AVERAGE(J78:N78)</f>
        <v>40.844972860391479</v>
      </c>
    </row>
    <row r="79" spans="1:17" x14ac:dyDescent="0.25">
      <c r="A79">
        <v>83</v>
      </c>
      <c r="B79" t="s">
        <v>101</v>
      </c>
      <c r="C79">
        <v>5.0424467276545082</v>
      </c>
      <c r="D79">
        <v>0.27924440759372943</v>
      </c>
      <c r="E79">
        <v>0.78231957754742809</v>
      </c>
      <c r="F79">
        <v>2.9382369486026989</v>
      </c>
      <c r="G79">
        <v>4.6930710751078264</v>
      </c>
      <c r="H79">
        <v>1.637389321750091</v>
      </c>
      <c r="I79">
        <v>2.8867110257927631</v>
      </c>
      <c r="J79">
        <v>0.39161580681893493</v>
      </c>
      <c r="K79">
        <v>0.69483239253027385</v>
      </c>
      <c r="L79">
        <v>2.861652415711581</v>
      </c>
      <c r="M79">
        <v>18.193065912533104</v>
      </c>
      <c r="N79">
        <v>4.7558117151495249</v>
      </c>
      <c r="O79">
        <f>IFERROR(_xlfn.T.TEST(C79:I79,J79:N79,2,2),"")</f>
        <v>0.35482050515460484</v>
      </c>
      <c r="P79">
        <f>AVERAGE(C79:I79)</f>
        <v>2.6084884405784345</v>
      </c>
      <c r="Q79">
        <f>AVERAGE(J79:N79)</f>
        <v>5.3793956485486847</v>
      </c>
    </row>
    <row r="80" spans="1:17" x14ac:dyDescent="0.25">
      <c r="A80">
        <v>84</v>
      </c>
      <c r="B80" t="s">
        <v>102</v>
      </c>
      <c r="C80">
        <v>11.373109772593013</v>
      </c>
      <c r="D80">
        <v>2.5776406854805796</v>
      </c>
      <c r="E80">
        <v>0.88662885455375184</v>
      </c>
      <c r="F80">
        <v>8.0828823121412547</v>
      </c>
      <c r="G80">
        <v>12.106462109680807</v>
      </c>
      <c r="H80">
        <v>2.8731548475992166</v>
      </c>
      <c r="I80">
        <v>11.588082832110949</v>
      </c>
      <c r="J80">
        <v>0.8133559064700957</v>
      </c>
      <c r="K80">
        <v>1.5286312635666026</v>
      </c>
      <c r="L80">
        <v>6.0671467883497474</v>
      </c>
      <c r="M80">
        <v>24.790718793711356</v>
      </c>
      <c r="N80">
        <v>2.7553512317929787</v>
      </c>
      <c r="O80">
        <f>IFERROR(_xlfn.T.TEST(C80:I80,J80:N80,2,2),"")</f>
        <v>0.9781552087817964</v>
      </c>
      <c r="P80">
        <f>AVERAGE(C80:I80)</f>
        <v>7.0697087734513673</v>
      </c>
      <c r="Q80">
        <f>AVERAGE(J80:N80)</f>
        <v>7.1910407967781556</v>
      </c>
    </row>
    <row r="81" spans="1:17" x14ac:dyDescent="0.25">
      <c r="A81">
        <v>85</v>
      </c>
      <c r="B81" t="s">
        <v>103</v>
      </c>
      <c r="C81">
        <v>342.18706005112375</v>
      </c>
      <c r="D81">
        <v>64.935064935064943</v>
      </c>
      <c r="E81">
        <v>35.647695416911141</v>
      </c>
      <c r="F81">
        <v>367.5089976679792</v>
      </c>
      <c r="G81">
        <v>220.82353014467535</v>
      </c>
      <c r="H81">
        <v>137.97322096105486</v>
      </c>
      <c r="I81">
        <v>356.73562469457568</v>
      </c>
      <c r="J81">
        <v>47.626506967748931</v>
      </c>
      <c r="K81">
        <v>49.80558589657003</v>
      </c>
      <c r="L81">
        <v>154.03010502708034</v>
      </c>
      <c r="M81">
        <v>341.84374685735355</v>
      </c>
      <c r="N81">
        <v>184.77209219229081</v>
      </c>
      <c r="O81">
        <f>IFERROR(_xlfn.T.TEST(C81:I81,J81:N81,2,2),"")</f>
        <v>0.44391628146251083</v>
      </c>
      <c r="P81">
        <f>AVERAGE(C81:I81)</f>
        <v>217.97302769591215</v>
      </c>
      <c r="Q81">
        <f>AVERAGE(J81:N81)</f>
        <v>155.61560738820873</v>
      </c>
    </row>
    <row r="82" spans="1:17" x14ac:dyDescent="0.25">
      <c r="A82">
        <v>86</v>
      </c>
      <c r="B82" t="s">
        <v>104</v>
      </c>
      <c r="C82">
        <v>135.64917821000503</v>
      </c>
      <c r="D82">
        <v>72.195419532501901</v>
      </c>
      <c r="E82">
        <v>104.28319968707217</v>
      </c>
      <c r="F82">
        <v>128.6707481581405</v>
      </c>
      <c r="G82">
        <v>37.31614478747241</v>
      </c>
      <c r="H82">
        <v>86.441798533146326</v>
      </c>
      <c r="I82">
        <v>275.28913503827982</v>
      </c>
      <c r="J82">
        <v>43.800721778056257</v>
      </c>
      <c r="K82">
        <v>43.079608336876973</v>
      </c>
      <c r="L82">
        <v>24.501512350026676</v>
      </c>
      <c r="M82">
        <v>91.026277857179863</v>
      </c>
      <c r="N82">
        <v>224.07673716088104</v>
      </c>
      <c r="O82">
        <f>IFERROR(_xlfn.T.TEST(C82:I82,J82:N82,2,2),"")</f>
        <v>0.46723612231388434</v>
      </c>
      <c r="P82">
        <f>AVERAGE(C82:I82)</f>
        <v>119.97794627808831</v>
      </c>
      <c r="Q82">
        <f>AVERAGE(J82:N82)</f>
        <v>85.296971496604172</v>
      </c>
    </row>
    <row r="83" spans="1:17" x14ac:dyDescent="0.25">
      <c r="A83">
        <v>87</v>
      </c>
      <c r="B83" t="s">
        <v>105</v>
      </c>
      <c r="C83">
        <v>333.13273964964196</v>
      </c>
      <c r="D83">
        <v>74.214571402795016</v>
      </c>
      <c r="E83">
        <v>6.5193298128952337</v>
      </c>
      <c r="F83">
        <v>449.81240067066079</v>
      </c>
      <c r="G83">
        <v>270.84834527713002</v>
      </c>
      <c r="H83">
        <v>82.70360781745272</v>
      </c>
      <c r="I83">
        <v>707.88340161779536</v>
      </c>
      <c r="J83">
        <v>27.895095162641056</v>
      </c>
      <c r="K83">
        <v>16.89832378633626</v>
      </c>
      <c r="L83">
        <v>256.15116623427616</v>
      </c>
      <c r="M83">
        <v>178.45660633801316</v>
      </c>
      <c r="N83">
        <v>578.46019901436432</v>
      </c>
      <c r="O83">
        <f>IFERROR(_xlfn.T.TEST(C83:I83,J83:N83,2,2),"")</f>
        <v>0.66238668128142941</v>
      </c>
      <c r="P83">
        <f>AVERAGE(C83:I83)</f>
        <v>275.01634232119585</v>
      </c>
      <c r="Q83">
        <f>AVERAGE(J83:N83)</f>
        <v>211.57227810712621</v>
      </c>
    </row>
    <row r="84" spans="1:17" x14ac:dyDescent="0.25">
      <c r="A84">
        <v>88</v>
      </c>
      <c r="B84" t="s">
        <v>106</v>
      </c>
      <c r="C84">
        <v>0.46007725617285655</v>
      </c>
      <c r="D84">
        <v>6.4441017137014486E-2</v>
      </c>
      <c r="E84">
        <v>0</v>
      </c>
      <c r="F84">
        <v>2.0753346477119434</v>
      </c>
      <c r="G84">
        <v>3.9455022312853405</v>
      </c>
      <c r="H84">
        <v>1.9772248413586007</v>
      </c>
      <c r="I84">
        <v>23.815365962790295</v>
      </c>
      <c r="J84">
        <v>6.0248585664451529E-2</v>
      </c>
      <c r="K84">
        <v>0.22234636560968762</v>
      </c>
      <c r="L84">
        <v>0.54349212546460257</v>
      </c>
      <c r="M84">
        <v>2.6360137377455839</v>
      </c>
      <c r="N84">
        <v>30.082396325191834</v>
      </c>
      <c r="O84">
        <f>IFERROR(_xlfn.T.TEST(C84:I84,J84:N84,2,2),"")</f>
        <v>0.74396180103110088</v>
      </c>
      <c r="P84">
        <f>AVERAGE(C84:I84)</f>
        <v>4.6197065652080074</v>
      </c>
      <c r="Q84">
        <f>AVERAGE(J84:N84)</f>
        <v>6.7088994279352319</v>
      </c>
    </row>
    <row r="85" spans="1:17" x14ac:dyDescent="0.25">
      <c r="A85">
        <v>89</v>
      </c>
      <c r="B85" t="s">
        <v>107</v>
      </c>
      <c r="C85">
        <v>158.59783174790712</v>
      </c>
      <c r="D85">
        <v>47.707833020436389</v>
      </c>
      <c r="E85">
        <v>21.148705913032138</v>
      </c>
      <c r="F85">
        <v>201.62422243218299</v>
      </c>
      <c r="G85">
        <v>140.93749286175583</v>
      </c>
      <c r="H85">
        <v>64.290701482300747</v>
      </c>
      <c r="I85">
        <v>322.01261492718271</v>
      </c>
      <c r="J85">
        <v>57.236156381228952</v>
      </c>
      <c r="K85">
        <v>9.7832400868262557</v>
      </c>
      <c r="L85">
        <v>160.20816857572899</v>
      </c>
      <c r="M85">
        <v>54.79251676839953</v>
      </c>
      <c r="N85">
        <v>467.34028084452143</v>
      </c>
      <c r="O85">
        <f>IFERROR(_xlfn.T.TEST(C85:I85,J85:N85,2,2),"")</f>
        <v>0.87713646909466847</v>
      </c>
      <c r="P85">
        <f>AVERAGE(C85:I85)</f>
        <v>136.61705748354257</v>
      </c>
      <c r="Q85">
        <f>AVERAGE(J85:N85)</f>
        <v>149.87207253134102</v>
      </c>
    </row>
    <row r="86" spans="1:17" x14ac:dyDescent="0.25">
      <c r="A86">
        <v>90</v>
      </c>
      <c r="B86" t="s">
        <v>108</v>
      </c>
      <c r="C86">
        <v>12.642922999630096</v>
      </c>
      <c r="D86">
        <v>0.38664610282208695</v>
      </c>
      <c r="E86">
        <v>0.10430927700632375</v>
      </c>
      <c r="F86">
        <v>16.034690857058596</v>
      </c>
      <c r="G86">
        <v>20.973459229464179</v>
      </c>
      <c r="H86">
        <v>1.9772248413586007</v>
      </c>
      <c r="I86">
        <v>98.849233268932181</v>
      </c>
      <c r="J86">
        <v>0.12049717132890306</v>
      </c>
      <c r="K86">
        <v>1.3340781936581259</v>
      </c>
      <c r="L86">
        <v>16.315855439967965</v>
      </c>
      <c r="M86">
        <v>2.5903025168598219</v>
      </c>
      <c r="N86">
        <v>109.86176692244881</v>
      </c>
      <c r="O86">
        <f>IFERROR(_xlfn.T.TEST(C86:I86,J86:N86,2,2),"")</f>
        <v>0.85369218198511643</v>
      </c>
      <c r="P86">
        <f>AVERAGE(C86:I86)</f>
        <v>21.56692665375315</v>
      </c>
      <c r="Q86">
        <f>AVERAGE(J86:N86)</f>
        <v>26.044500048852722</v>
      </c>
    </row>
    <row r="87" spans="1:17" x14ac:dyDescent="0.25">
      <c r="A87">
        <v>91</v>
      </c>
      <c r="B87" t="s">
        <v>109</v>
      </c>
      <c r="C87">
        <v>265.99826642889872</v>
      </c>
      <c r="D87">
        <v>97.026691469298143</v>
      </c>
      <c r="E87">
        <v>9.4139122498207186</v>
      </c>
      <c r="F87">
        <v>245.53393445219356</v>
      </c>
      <c r="G87">
        <v>209.75535809585909</v>
      </c>
      <c r="H87">
        <v>52.087516914540636</v>
      </c>
      <c r="I87">
        <v>329.43558613636412</v>
      </c>
      <c r="J87">
        <v>30.967773031528086</v>
      </c>
      <c r="K87">
        <v>19.455306990847667</v>
      </c>
      <c r="L87">
        <v>214.60174782630878</v>
      </c>
      <c r="M87">
        <v>96.770654615157241</v>
      </c>
      <c r="N87">
        <v>268.6907803934742</v>
      </c>
      <c r="O87">
        <f>IFERROR(_xlfn.T.TEST(C87:I87,J87:N87,2,2),"")</f>
        <v>0.51049943682609089</v>
      </c>
      <c r="P87">
        <f>AVERAGE(C87:I87)</f>
        <v>172.75018082099646</v>
      </c>
      <c r="Q87">
        <f>AVERAGE(J87:N87)</f>
        <v>126.0972525714632</v>
      </c>
    </row>
    <row r="88" spans="1:17" x14ac:dyDescent="0.25">
      <c r="A88">
        <v>92</v>
      </c>
      <c r="B88" t="s">
        <v>110</v>
      </c>
      <c r="C88">
        <v>5.5577332545681069</v>
      </c>
      <c r="D88">
        <v>1.9761911922017776</v>
      </c>
      <c r="E88">
        <v>0</v>
      </c>
      <c r="F88">
        <v>9.3826971704450504</v>
      </c>
      <c r="G88">
        <v>6.9565434077925747</v>
      </c>
      <c r="H88">
        <v>4.0162379590096569</v>
      </c>
      <c r="I88">
        <v>37.486004606366023</v>
      </c>
      <c r="J88">
        <v>0.84348019930232132</v>
      </c>
      <c r="K88">
        <v>0.61145250542664098</v>
      </c>
      <c r="L88">
        <v>8.0747401497598101</v>
      </c>
      <c r="M88">
        <v>8.5175241583802386</v>
      </c>
      <c r="N88">
        <v>44.224016345901006</v>
      </c>
      <c r="O88">
        <f>IFERROR(_xlfn.T.TEST(C88:I88,J88:N88,2,2),"")</f>
        <v>0.73309543757572371</v>
      </c>
      <c r="P88">
        <f>AVERAGE(C88:I88)</f>
        <v>9.3393439414833122</v>
      </c>
      <c r="Q88">
        <f>AVERAGE(J88:N88)</f>
        <v>12.454242671754004</v>
      </c>
    </row>
    <row r="89" spans="1:17" x14ac:dyDescent="0.25">
      <c r="A89">
        <v>93</v>
      </c>
      <c r="B89" t="s">
        <v>111</v>
      </c>
      <c r="C89">
        <v>10.7105985237041</v>
      </c>
      <c r="D89">
        <v>3.8879413672665413</v>
      </c>
      <c r="E89">
        <v>13.899211161092641</v>
      </c>
      <c r="F89">
        <v>14.625647859401539</v>
      </c>
      <c r="G89">
        <v>0.22842381339020396</v>
      </c>
      <c r="H89">
        <v>37.721742676544551</v>
      </c>
      <c r="I89">
        <v>73.40493751301598</v>
      </c>
      <c r="J89">
        <v>27.051614963338736</v>
      </c>
      <c r="K89">
        <v>78.043574329000364</v>
      </c>
      <c r="L89">
        <v>4.7472373407928554</v>
      </c>
      <c r="M89">
        <v>13.027697952442045</v>
      </c>
      <c r="N89">
        <v>65.310631252225363</v>
      </c>
      <c r="O89">
        <f>IFERROR(_xlfn.T.TEST(C89:I89,J89:N89,2,2),"")</f>
        <v>0.37326850584517557</v>
      </c>
      <c r="P89">
        <f>AVERAGE(C89:I89)</f>
        <v>22.068357559202223</v>
      </c>
      <c r="Q89">
        <f>AVERAGE(J89:N89)</f>
        <v>37.636151167559873</v>
      </c>
    </row>
    <row r="90" spans="1:17" x14ac:dyDescent="0.25">
      <c r="A90">
        <v>94</v>
      </c>
      <c r="B90" t="s">
        <v>112</v>
      </c>
      <c r="C90">
        <v>2.7972697175309675</v>
      </c>
      <c r="D90">
        <v>0.51552813709611589</v>
      </c>
      <c r="E90">
        <v>9.4139122498207186</v>
      </c>
      <c r="F90">
        <v>2.1954856010005299</v>
      </c>
      <c r="G90">
        <v>0</v>
      </c>
      <c r="H90">
        <v>0.40162379590096575</v>
      </c>
      <c r="I90">
        <v>32.02187302182972</v>
      </c>
      <c r="J90">
        <v>9.0071635568355024</v>
      </c>
      <c r="K90">
        <v>19.816619834963408</v>
      </c>
      <c r="L90">
        <v>0.74314229400261989</v>
      </c>
      <c r="M90">
        <v>0.99040978585816719</v>
      </c>
      <c r="N90">
        <v>25.452399734781718</v>
      </c>
      <c r="O90">
        <f>IFERROR(_xlfn.T.TEST(C90:I90,J90:N90,2,2),"")</f>
        <v>0.5216305446450854</v>
      </c>
      <c r="P90">
        <f>AVERAGE(C90:I90)</f>
        <v>6.763670360454145</v>
      </c>
      <c r="Q90">
        <f>AVERAGE(J90:N90)</f>
        <v>11.201947041288284</v>
      </c>
    </row>
    <row r="91" spans="1:17" x14ac:dyDescent="0.25">
      <c r="A91">
        <v>95</v>
      </c>
      <c r="B91" t="s">
        <v>113</v>
      </c>
      <c r="C91">
        <v>7.3612360987657041E-2</v>
      </c>
      <c r="D91">
        <v>4.2960678091342998E-2</v>
      </c>
      <c r="E91">
        <v>7.8231957754742815E-2</v>
      </c>
      <c r="F91">
        <v>1.3325833001097742</v>
      </c>
      <c r="G91">
        <v>0.53991083164957299</v>
      </c>
      <c r="H91">
        <v>2.5024251898444789</v>
      </c>
      <c r="I91">
        <v>18.969815312352441</v>
      </c>
      <c r="J91">
        <v>0.2711186354900319</v>
      </c>
      <c r="K91">
        <v>0.41689943551816433</v>
      </c>
      <c r="L91">
        <v>1.319909447556892</v>
      </c>
      <c r="M91">
        <v>0.50282342974337724</v>
      </c>
      <c r="N91">
        <v>34.083317291904926</v>
      </c>
      <c r="O91">
        <f>IFERROR(_xlfn.T.TEST(C91:I91,J91:N91,2,2),"")</f>
        <v>0.54873787566132259</v>
      </c>
      <c r="P91">
        <f>AVERAGE(C91:I91)</f>
        <v>3.3627913758271442</v>
      </c>
      <c r="Q91">
        <f>AVERAGE(J91:N91)</f>
        <v>7.3188136480426778</v>
      </c>
    </row>
    <row r="92" spans="1:17" x14ac:dyDescent="0.25">
      <c r="A92">
        <v>96</v>
      </c>
      <c r="B92" t="s">
        <v>114</v>
      </c>
      <c r="C92">
        <v>4.4535478397532513</v>
      </c>
      <c r="D92">
        <v>0.98809559610088882</v>
      </c>
      <c r="E92">
        <v>11.865180259469327</v>
      </c>
      <c r="F92">
        <v>4.958957526638013</v>
      </c>
      <c r="G92">
        <v>0</v>
      </c>
      <c r="H92">
        <v>0.98861242067930033</v>
      </c>
      <c r="I92">
        <v>8.103410236689685</v>
      </c>
      <c r="J92">
        <v>2.1689490839202552</v>
      </c>
      <c r="K92">
        <v>10.005586452435944</v>
      </c>
      <c r="L92">
        <v>0.26620022471735638</v>
      </c>
      <c r="M92">
        <v>9.5993563860099282</v>
      </c>
      <c r="N92">
        <v>1.019102510389184</v>
      </c>
      <c r="O92">
        <f>IFERROR(_xlfn.T.TEST(C92:I92,J92:N92,2,2),"")</f>
        <v>0.96113851912358927</v>
      </c>
      <c r="P92">
        <f>AVERAGE(C92:I92)</f>
        <v>4.4796862684757803</v>
      </c>
      <c r="Q92">
        <f>AVERAGE(J92:N92)</f>
        <v>4.6118389314945336</v>
      </c>
    </row>
  </sheetData>
  <autoFilter ref="A2:Q92" xr:uid="{8A9558DE-F560-4ACE-AF9D-28EF0A98E552}"/>
  <conditionalFormatting sqref="O3:O92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Pre-trauma</vt:lpstr>
      <vt:lpstr>Peri-trauma</vt:lpstr>
      <vt:lpstr>Post-trauma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Dirven</dc:creator>
  <cp:lastModifiedBy>Bart Dirven</cp:lastModifiedBy>
  <dcterms:created xsi:type="dcterms:W3CDTF">2021-06-16T13:31:07Z</dcterms:created>
  <dcterms:modified xsi:type="dcterms:W3CDTF">2021-06-16T13:42:18Z</dcterms:modified>
</cp:coreProperties>
</file>
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6" activeTab="6"/>
  </bookViews>
  <sheets>
    <sheet name="Activation map" sheetId="1" state="hidden" r:id="rId2"/>
    <sheet name="Total-corrected counts Z&lt;2" sheetId="2" state="hidden" r:id="rId3"/>
    <sheet name="Brain networks" sheetId="3" state="hidden" r:id="rId4"/>
    <sheet name="Activation map corrected Z&lt;2" sheetId="4" state="hidden" r:id="rId5"/>
    <sheet name="Brain networks corrected Z&lt;2" sheetId="5" state="hidden" r:id="rId6"/>
    <sheet name="Z-scores&lt;2" sheetId="6" state="hidden" r:id="rId7"/>
    <sheet name="Region order" sheetId="7" state="visible" r:id="rId8"/>
    <sheet name="Blad1" sheetId="8" state="visible" r:id="rId9"/>
    <sheet name="Cluster counts corrected Z&lt;3" sheetId="9" state="hidden" r:id="rId10"/>
  </sheets>
  <definedNames>
    <definedName function="false" hidden="true" localSheetId="1" name="_xlnm._FilterDatabase" vbProcedure="false">'Total-corrected counts Z&lt;2'!$A$2:$Y$1244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<sst xmlns="http://schemas.openxmlformats.org/spreadsheetml/2006/main" count="4663" uniqueCount="1546">
  <si>
    <t xml:space="preserve">Group</t>
  </si>
  <si>
    <t xml:space="preserve">region</t>
  </si>
  <si>
    <t xml:space="preserve">id</t>
  </si>
  <si>
    <t xml:space="preserve">name</t>
  </si>
  <si>
    <t xml:space="preserve">structure_order</t>
  </si>
  <si>
    <t xml:space="preserve">parent_id</t>
  </si>
  <si>
    <t xml:space="preserve">124</t>
  </si>
  <si>
    <t xml:space="preserve">143</t>
  </si>
  <si>
    <t xml:space="preserve">146</t>
  </si>
  <si>
    <t xml:space="preserve">152</t>
  </si>
  <si>
    <t xml:space="preserve">170</t>
  </si>
  <si>
    <t xml:space="preserve">171</t>
  </si>
  <si>
    <t xml:space="preserve">175</t>
  </si>
  <si>
    <t xml:space="preserve">183</t>
  </si>
  <si>
    <t xml:space="preserve">200</t>
  </si>
  <si>
    <t xml:space="preserve">113</t>
  </si>
  <si>
    <t xml:space="preserve">172</t>
  </si>
  <si>
    <t xml:space="preserve">177</t>
  </si>
  <si>
    <t xml:space="preserve">178</t>
  </si>
  <si>
    <t xml:space="preserve">179</t>
  </si>
  <si>
    <t xml:space="preserve">180</t>
  </si>
  <si>
    <t xml:space="preserve">184</t>
  </si>
  <si>
    <t xml:space="preserve">207</t>
  </si>
  <si>
    <t xml:space="preserve">T-test</t>
  </si>
  <si>
    <t xml:space="preserve">Gem 0</t>
  </si>
  <si>
    <t xml:space="preserve">Gem 1</t>
  </si>
  <si>
    <t xml:space="preserve">dCA1</t>
  </si>
  <si>
    <t xml:space="preserve">Field CA1</t>
  </si>
  <si>
    <t xml:space="preserve">dCA3</t>
  </si>
  <si>
    <t xml:space="preserve">Field CA3</t>
  </si>
  <si>
    <t xml:space="preserve">dDG</t>
  </si>
  <si>
    <t xml:space="preserve">Dentate gyrus</t>
  </si>
  <si>
    <t xml:space="preserve">vCA1</t>
  </si>
  <si>
    <t xml:space="preserve">Field CA1 ventral</t>
  </si>
  <si>
    <t xml:space="preserve">vCA3</t>
  </si>
  <si>
    <t xml:space="preserve">Field CA3 ventral</t>
  </si>
  <si>
    <t xml:space="preserve">vDG</t>
  </si>
  <si>
    <t xml:space="preserve">Dentate gyrus ventral</t>
  </si>
  <si>
    <t xml:space="preserve">RSP</t>
  </si>
  <si>
    <t xml:space="preserve">Retrosplenial area</t>
  </si>
  <si>
    <t xml:space="preserve">ACC</t>
  </si>
  <si>
    <t xml:space="preserve">Anterior cingulate area</t>
  </si>
  <si>
    <t xml:space="preserve">PL</t>
  </si>
  <si>
    <t xml:space="preserve">Prelimbic area</t>
  </si>
  <si>
    <t xml:space="preserve">IL</t>
  </si>
  <si>
    <t xml:space="preserve">Infralimbic area</t>
  </si>
  <si>
    <t xml:space="preserve">CeA</t>
  </si>
  <si>
    <t xml:space="preserve">Central amygdalar nucleus</t>
  </si>
  <si>
    <t xml:space="preserve">BLA</t>
  </si>
  <si>
    <t xml:space="preserve">Basolateral amygdalar nucleus</t>
  </si>
  <si>
    <t xml:space="preserve">Dentate gyrus, granule cell layer</t>
  </si>
  <si>
    <t xml:space="preserve">Dentate gyrus, molecular layer</t>
  </si>
  <si>
    <t xml:space="preserve">Dentate gyrus, polymorph layer</t>
  </si>
  <si>
    <t xml:space="preserve">Dentate gyrus, granule cell layer ventral</t>
  </si>
  <si>
    <t xml:space="preserve">Dentate gyrus, subgranular zone ventral</t>
  </si>
  <si>
    <t xml:space="preserve">Retrosplenial area, lateral agranular part</t>
  </si>
  <si>
    <t xml:space="preserve">Retrosplenial area, dorsal part, layer 6a</t>
  </si>
  <si>
    <t xml:space="preserve">Retrosplenial area, dorsal part, layer 6b</t>
  </si>
  <si>
    <t xml:space="preserve">Retrosplenial area, dorsal part, layer 2/3</t>
  </si>
  <si>
    <t xml:space="preserve">Retrosplenial area, dorsal part, layer 1</t>
  </si>
  <si>
    <t xml:space="preserve">Retrosplenial area, dorsal part, layer 4</t>
  </si>
  <si>
    <t xml:space="preserve">Retrosplenial area, dorsal part, layer 5</t>
  </si>
  <si>
    <t xml:space="preserve">Retrosplenial area, ventral part, layer 2/3</t>
  </si>
  <si>
    <t xml:space="preserve">Retrosplenial area, ventral part, layer 1</t>
  </si>
  <si>
    <t xml:space="preserve">Retrosplenial area, ventral part, layer 6a</t>
  </si>
  <si>
    <t xml:space="preserve">Retrosplenial area, ventral part, layer 6b</t>
  </si>
  <si>
    <t xml:space="preserve">Retrosplenial area, ventral part, layer 5</t>
  </si>
  <si>
    <t xml:space="preserve">Retrosplenial area, lateral agranular part, layer 6b</t>
  </si>
  <si>
    <t xml:space="preserve">Retrosplenial area, lateral agranular part, layer 1</t>
  </si>
  <si>
    <t xml:space="preserve">Retrosplenial area, lateral agranular part, layer 5</t>
  </si>
  <si>
    <t xml:space="preserve">Retrosplenial area, lateral agranular part, layer 6a</t>
  </si>
  <si>
    <t xml:space="preserve">Retrosplenial area, lateral agranular part, layer 2/3</t>
  </si>
  <si>
    <t xml:space="preserve">Anterior cingulate area, dorsal part, layer 2/3</t>
  </si>
  <si>
    <t xml:space="preserve">Anterior cingulate area, dorsal part, layer 6a</t>
  </si>
  <si>
    <t xml:space="preserve">Anterior cingulate area, dorsal part, layer 6b</t>
  </si>
  <si>
    <t xml:space="preserve">Anterior cingulate area, dorsal part, layer 1</t>
  </si>
  <si>
    <t xml:space="preserve">Anterior cingulate area, dorsal part, layer 5</t>
  </si>
  <si>
    <t xml:space="preserve">Anterior cingulate area, ventral part, layer 2/3</t>
  </si>
  <si>
    <t xml:space="preserve">Anterior cingulate area, ventral part, layer 1</t>
  </si>
  <si>
    <t xml:space="preserve">Anterior cingulate area, ventral part, layer 5</t>
  </si>
  <si>
    <t xml:space="preserve">Anterior cingulate area, ventral part, 6a</t>
  </si>
  <si>
    <t xml:space="preserve">Anterior cingulate area, ventral part, 6b</t>
  </si>
  <si>
    <t xml:space="preserve">Prelimbic area, layer 6a</t>
  </si>
  <si>
    <t xml:space="preserve">Prelimbic area, layer 6b</t>
  </si>
  <si>
    <t xml:space="preserve">Prelimbic area, layer 1</t>
  </si>
  <si>
    <t xml:space="preserve">Prelimbic area, layer 2/3</t>
  </si>
  <si>
    <t xml:space="preserve">Prelimbic area, layer 5</t>
  </si>
  <si>
    <t xml:space="preserve">Infralimbic area, layer 2/3</t>
  </si>
  <si>
    <t xml:space="preserve">Infralimbic area, layer 1</t>
  </si>
  <si>
    <t xml:space="preserve">Infralimbic area, layer 5</t>
  </si>
  <si>
    <t xml:space="preserve">Infralimbic area, layer 6a</t>
  </si>
  <si>
    <t xml:space="preserve">Infralimbic area, layer 6b</t>
  </si>
  <si>
    <t xml:space="preserve">Basolateral amygdalar nucleus, anterior part</t>
  </si>
  <si>
    <t xml:space="preserve">Basolateral amygdalar nucleus, posterior part</t>
  </si>
  <si>
    <t xml:space="preserve">Basolateral amygdalar nucleus, ventral part</t>
  </si>
  <si>
    <t xml:space="preserve">Filter</t>
  </si>
  <si>
    <t xml:space="preserve">background</t>
  </si>
  <si>
    <t xml:space="preserve">Tuberomammillary nucleus, ventral part</t>
  </si>
  <si>
    <t xml:space="preserve">Primary somatosensory area, mouth, layer 6b</t>
  </si>
  <si>
    <t xml:space="preserve">secondary fissure</t>
  </si>
  <si>
    <t xml:space="preserve">Inferior colliculus</t>
  </si>
  <si>
    <t xml:space="preserve">internal capsule</t>
  </si>
  <si>
    <t xml:space="preserve">Principal sensory nucleus of the trigeminal</t>
  </si>
  <si>
    <t xml:space="preserve">Basic cell groups and regions</t>
  </si>
  <si>
    <t xml:space="preserve">Primary somatosensory area, trunk, layer 6a</t>
  </si>
  <si>
    <t xml:space="preserve">Superior colliculus, motor related, intermediate gray layer</t>
  </si>
  <si>
    <t xml:space="preserve">posterolateral fissure</t>
  </si>
  <si>
    <t xml:space="preserve">Interfascicular nucleus raphÈ</t>
  </si>
  <si>
    <t xml:space="preserve">internal medullary lamina of the thalamus</t>
  </si>
  <si>
    <t xml:space="preserve">Parataenial nucleus</t>
  </si>
  <si>
    <t xml:space="preserve">Layer 6b, isocortex</t>
  </si>
  <si>
    <t xml:space="preserve">Superior colliculus, motor related, intermediate white layer</t>
  </si>
  <si>
    <t xml:space="preserve">nodular fissure</t>
  </si>
  <si>
    <t xml:space="preserve">Induseum griseum</t>
  </si>
  <si>
    <t xml:space="preserve">Entorhinal area, lateral part, layer 2</t>
  </si>
  <si>
    <t xml:space="preserve">lateral olfactory tract, general</t>
  </si>
  <si>
    <t xml:space="preserve">Posterior parietal association areas</t>
  </si>
  <si>
    <t xml:space="preserve">Anterior amygdalar area</t>
  </si>
  <si>
    <t xml:space="preserve">simple fissure</t>
  </si>
  <si>
    <t xml:space="preserve">Superior colliculus, motor related, deep gray layer</t>
  </si>
  <si>
    <t xml:space="preserve">Intergeniculate leaflet of the lateral geniculate complex</t>
  </si>
  <si>
    <t xml:space="preserve">Entorhinal area, lateral part, layer 6a</t>
  </si>
  <si>
    <t xml:space="preserve">lateral spinothalamic tract</t>
  </si>
  <si>
    <t xml:space="preserve">Periventricular hypothalamic nucleus, anterior part</t>
  </si>
  <si>
    <t xml:space="preserve">Primary visual area, layer 6a</t>
  </si>
  <si>
    <t xml:space="preserve">intercrural fissure</t>
  </si>
  <si>
    <t xml:space="preserve">Oculomotor nucleus</t>
  </si>
  <si>
    <t xml:space="preserve">Gustatory areas, layer 1</t>
  </si>
  <si>
    <t xml:space="preserve">longitudinal association bundle</t>
  </si>
  <si>
    <t xml:space="preserve">Paraventricular hypothalamic nucleus</t>
  </si>
  <si>
    <t xml:space="preserve">Anterior cingulate area, dorsal part</t>
  </si>
  <si>
    <t xml:space="preserve">posteromedial visual area, layer 2/3</t>
  </si>
  <si>
    <t xml:space="preserve">Superior colliculus, motor related, deep white layer</t>
  </si>
  <si>
    <t xml:space="preserve">ansoparamedian fissure</t>
  </si>
  <si>
    <t xml:space="preserve">Spinal nucleus of the trigeminal, oral part, rostral dorsomedial part</t>
  </si>
  <si>
    <t xml:space="preserve">mammillary related</t>
  </si>
  <si>
    <t xml:space="preserve">Paraventricular hypothalamic nucleus, magnocellular division, anterior magnocellular part</t>
  </si>
  <si>
    <t xml:space="preserve">Anterior cingulate area, ventral part</t>
  </si>
  <si>
    <t xml:space="preserve">intraparafloccular fissure</t>
  </si>
  <si>
    <t xml:space="preserve">Precommissural nucleus</t>
  </si>
  <si>
    <t xml:space="preserve">Intralaminar nuclei of the dorsal thalamus</t>
  </si>
  <si>
    <t xml:space="preserve">Entorhinal area, lateral part, layer 3</t>
  </si>
  <si>
    <t xml:space="preserve">Spinal nucleus of the trigeminal, oral part, middle dorsomedial part, dorsal zone</t>
  </si>
  <si>
    <t xml:space="preserve">medial forebrain bundle</t>
  </si>
  <si>
    <t xml:space="preserve">Paraventricular hypothalamic nucleus, parvicellular division, anterior parvicellular part</t>
  </si>
  <si>
    <t xml:space="preserve">Nucleus accumbens</t>
  </si>
  <si>
    <t xml:space="preserve">paramedian sulcus</t>
  </si>
  <si>
    <t xml:space="preserve">Medial terminal nucleus of the accessory optic tract</t>
  </si>
  <si>
    <t xml:space="preserve">Intermediodorsal nucleus of the thalamus</t>
  </si>
  <si>
    <t xml:space="preserve">Entorhinal area, lateral part, layer 6b</t>
  </si>
  <si>
    <t xml:space="preserve">Spinal nucleus of the trigeminal, oral part, middle dorsomedial part, ventral zone</t>
  </si>
  <si>
    <t xml:space="preserve">medial longitudinal fascicle</t>
  </si>
  <si>
    <t xml:space="preserve">Paraventricular hypothalamic nucleus, descending division</t>
  </si>
  <si>
    <t xml:space="preserve">Anterodorsal nucleus</t>
  </si>
  <si>
    <t xml:space="preserve">parafloccular sulcus</t>
  </si>
  <si>
    <t xml:space="preserve">Lateral terminal nucleus of the accessory optic tract</t>
  </si>
  <si>
    <t xml:space="preserve">Interstitial nucleus of Cajal</t>
  </si>
  <si>
    <t xml:space="preserve">Frontal pole, layer 1</t>
  </si>
  <si>
    <t xml:space="preserve">Spinal nucleus of the trigeminal, oral part, ventrolateral part</t>
  </si>
  <si>
    <t xml:space="preserve">midbrain related</t>
  </si>
  <si>
    <t xml:space="preserve">Paraventricular hypothalamic nucleus, magnocellular division</t>
  </si>
  <si>
    <t xml:space="preserve">Anterodorsal preoptic nucleus</t>
  </si>
  <si>
    <t xml:space="preserve">ventricular systems</t>
  </si>
  <si>
    <t xml:space="preserve">Lateral visual area, layer 6a</t>
  </si>
  <si>
    <t xml:space="preserve">Dorsal terminal nucleus of the accessory optic tract</t>
  </si>
  <si>
    <t xml:space="preserve">Interstitial nucleus of the vestibular nerve</t>
  </si>
  <si>
    <t xml:space="preserve">Spinal nucleus of the trigeminal, oral part, caudal dorsomedial part</t>
  </si>
  <si>
    <t xml:space="preserve">middle cerebellar peduncle</t>
  </si>
  <si>
    <t xml:space="preserve">Paraventricular hypothalamic nucleus, magnocellular division, medial magnocellular part</t>
  </si>
  <si>
    <t xml:space="preserve">Anterior hypothalamic area</t>
  </si>
  <si>
    <t xml:space="preserve">lateral ventricle</t>
  </si>
  <si>
    <t xml:space="preserve">Nucleus of the lateral lemniscus, dorsal part</t>
  </si>
  <si>
    <t xml:space="preserve">Inferior olivary complex</t>
  </si>
  <si>
    <t xml:space="preserve">spinocerebellar tract</t>
  </si>
  <si>
    <t xml:space="preserve">middle thalamic commissure</t>
  </si>
  <si>
    <t xml:space="preserve">Paraventricular hypothalamic nucleus, parvicellular division, medial parvicellular part, dorsal zone</t>
  </si>
  <si>
    <t xml:space="preserve">Anterior hypothalamic nucleus</t>
  </si>
  <si>
    <t xml:space="preserve">rhinocele</t>
  </si>
  <si>
    <t xml:space="preserve">Nucleus of the lateral lemniscus, horizontal part</t>
  </si>
  <si>
    <t xml:space="preserve">Interposed nucleus</t>
  </si>
  <si>
    <t xml:space="preserve">Entorhinal area, lateral part, layer 4</t>
  </si>
  <si>
    <t xml:space="preserve">motor root of the trigeminal nerve</t>
  </si>
  <si>
    <t xml:space="preserve">Paraventricular hypothalamic nucleus, parvicellular division</t>
  </si>
  <si>
    <t xml:space="preserve">Agranular insular area</t>
  </si>
  <si>
    <t xml:space="preserve">Dorsal cochlear nucleus</t>
  </si>
  <si>
    <t xml:space="preserve">Temporal association areas, layer 1</t>
  </si>
  <si>
    <t xml:space="preserve">subependymal zone</t>
  </si>
  <si>
    <t xml:space="preserve">Nucleus of the lateral lemniscus, ventral part</t>
  </si>
  <si>
    <t xml:space="preserve">Interpeduncular nucleus</t>
  </si>
  <si>
    <t xml:space="preserve">Ventral cochlear nucleus</t>
  </si>
  <si>
    <t xml:space="preserve">nigrostriatal tract</t>
  </si>
  <si>
    <t xml:space="preserve">Paraventricular hypothalamic nucleus, magnocellular division, posterior magnocellular part</t>
  </si>
  <si>
    <t xml:space="preserve">Agranular insular area, dorsal part</t>
  </si>
  <si>
    <t xml:space="preserve">Superior olivary complex, medial part</t>
  </si>
  <si>
    <t xml:space="preserve">Inferior salivatory nucleus</t>
  </si>
  <si>
    <t xml:space="preserve">Somatomotor areas, Layer 1</t>
  </si>
  <si>
    <t xml:space="preserve">choroid plexus</t>
  </si>
  <si>
    <t xml:space="preserve">nigrothalamic fibers</t>
  </si>
  <si>
    <t xml:space="preserve">Paraventricular hypothalamic nucleus, parvicellular division, periventricular part</t>
  </si>
  <si>
    <t xml:space="preserve">Agranular insular area, posterior part</t>
  </si>
  <si>
    <t xml:space="preserve">Granular lamina of the cochlear nuclei</t>
  </si>
  <si>
    <t xml:space="preserve">Primary somatosensory area, lower limb, layer 2/3</t>
  </si>
  <si>
    <t xml:space="preserve">Superior olivary complex, lateral part</t>
  </si>
  <si>
    <t xml:space="preserve">Trochlear nucleus</t>
  </si>
  <si>
    <t xml:space="preserve">choroid fissure</t>
  </si>
  <si>
    <t xml:space="preserve">optic chiasm</t>
  </si>
  <si>
    <t xml:space="preserve">Periventricular hypothalamic nucleus, intermediate part</t>
  </si>
  <si>
    <t xml:space="preserve">Agranular insular area, ventral part</t>
  </si>
  <si>
    <t xml:space="preserve">Agranular insular area, posterior part, layer 1</t>
  </si>
  <si>
    <t xml:space="preserve">Lateral visual area, layer 6b</t>
  </si>
  <si>
    <t xml:space="preserve">Superior olivary complex, periolivary region</t>
  </si>
  <si>
    <t xml:space="preserve">Kolliker-Fuse subnucleus</t>
  </si>
  <si>
    <t xml:space="preserve">interventricular foramen</t>
  </si>
  <si>
    <t xml:space="preserve">optic tract</t>
  </si>
  <si>
    <t xml:space="preserve">Periventricular hypothalamic nucleus, posterior part</t>
  </si>
  <si>
    <t xml:space="preserve">Anteromedial nucleus</t>
  </si>
  <si>
    <t xml:space="preserve">Midbrain reticular nucleus</t>
  </si>
  <si>
    <t xml:space="preserve">third ventricle</t>
  </si>
  <si>
    <t xml:space="preserve">Superior central nucleus raphÈ, medial part</t>
  </si>
  <si>
    <t xml:space="preserve">Lateral amygdalar nucleus</t>
  </si>
  <si>
    <t xml:space="preserve">Periventricular hypothalamic nucleus, preoptic part</t>
  </si>
  <si>
    <t xml:space="preserve">pallidotegmental fascicle</t>
  </si>
  <si>
    <t xml:space="preserve">Nucleus ambiguus</t>
  </si>
  <si>
    <t xml:space="preserve">Intermediate reticular nucleus</t>
  </si>
  <si>
    <t xml:space="preserve">Superior central nucleus raphÈ, lateral part</t>
  </si>
  <si>
    <t xml:space="preserve">Lateral group of the dorsal thalamus</t>
  </si>
  <si>
    <t xml:space="preserve">Entorhinal area, lateral part, layer 5</t>
  </si>
  <si>
    <t xml:space="preserve">cerebral aqueduct</t>
  </si>
  <si>
    <t xml:space="preserve">Periventricular region</t>
  </si>
  <si>
    <t xml:space="preserve">pallidothalmic pathway</t>
  </si>
  <si>
    <t xml:space="preserve">Nucleus ambiguus, ventral division</t>
  </si>
  <si>
    <t xml:space="preserve">Olfactory tubercle, layers 1-3</t>
  </si>
  <si>
    <t xml:space="preserve">fourth ventricle</t>
  </si>
  <si>
    <t xml:space="preserve">Pontine reticular nucleus</t>
  </si>
  <si>
    <t xml:space="preserve">Locus ceruleus</t>
  </si>
  <si>
    <t xml:space="preserve">Gustatory areas, layer 4</t>
  </si>
  <si>
    <t xml:space="preserve">Paraventricular nucleus of the thalamus</t>
  </si>
  <si>
    <t xml:space="preserve">periventricular bundle of the hypothalamus</t>
  </si>
  <si>
    <t xml:space="preserve">Accessory olfactory bulb</t>
  </si>
  <si>
    <t xml:space="preserve">Piriform area, layers 1-3</t>
  </si>
  <si>
    <t xml:space="preserve">lateral recess</t>
  </si>
  <si>
    <t xml:space="preserve">Perihypoglossal nuclei</t>
  </si>
  <si>
    <t xml:space="preserve">Lateral dorsal nucleus of thalamus</t>
  </si>
  <si>
    <t xml:space="preserve">Dorsal auditory area, layer 6a</t>
  </si>
  <si>
    <t xml:space="preserve">Periventricular zone</t>
  </si>
  <si>
    <t xml:space="preserve">posterior commissure</t>
  </si>
  <si>
    <t xml:space="preserve">Anterior olfactory nucleus</t>
  </si>
  <si>
    <t xml:space="preserve">Anterior olfactory nucleus, layer 1</t>
  </si>
  <si>
    <t xml:space="preserve">Nucleus intercalatus</t>
  </si>
  <si>
    <t xml:space="preserve">Laterodorsal tegmental nucleus</t>
  </si>
  <si>
    <t xml:space="preserve">Agranular insular area, posterior part, layer 2/3</t>
  </si>
  <si>
    <t xml:space="preserve">central canal, spinal cord/medulla</t>
  </si>
  <si>
    <t xml:space="preserve">Midbrain raphÈ nuclei</t>
  </si>
  <si>
    <t xml:space="preserve">premammillary commissure</t>
  </si>
  <si>
    <t xml:space="preserve">Anterior olfactory nucleus, dorsal part</t>
  </si>
  <si>
    <t xml:space="preserve">Anterior olfactory nucleus, layer 2</t>
  </si>
  <si>
    <t xml:space="preserve">Nucleus prepositus</t>
  </si>
  <si>
    <t xml:space="preserve">Dorsal part of the lateral geniculate complex</t>
  </si>
  <si>
    <t xml:space="preserve">Retrochiasmatic area</t>
  </si>
  <si>
    <t xml:space="preserve">preoptic commissure</t>
  </si>
  <si>
    <t xml:space="preserve">Anterior olfactory nucleus, external part</t>
  </si>
  <si>
    <t xml:space="preserve">Nucleus of Roller</t>
  </si>
  <si>
    <t xml:space="preserve">Ventral part of the lateral geniculate complex</t>
  </si>
  <si>
    <t xml:space="preserve">Anterior cingulate area, layer 6a</t>
  </si>
  <si>
    <t xml:space="preserve">Gustatory areas, layer 2/3</t>
  </si>
  <si>
    <t xml:space="preserve">Nucleus of reunions</t>
  </si>
  <si>
    <t xml:space="preserve">propriohypothalamic pathways</t>
  </si>
  <si>
    <t xml:space="preserve">Anterior olfactory nucleus, lateral part</t>
  </si>
  <si>
    <t xml:space="preserve">Frontal pole, cerebral cortex</t>
  </si>
  <si>
    <t xml:space="preserve">Parapyramidal nucleus, deep part</t>
  </si>
  <si>
    <t xml:space="preserve">Lateral habenula</t>
  </si>
  <si>
    <t xml:space="preserve">Gustatory areas, layer 5</t>
  </si>
  <si>
    <t xml:space="preserve">Accessory olfactory bulb, glomerular layer</t>
  </si>
  <si>
    <t xml:space="preserve">Rhomboid nucleus</t>
  </si>
  <si>
    <t xml:space="preserve">pyramid</t>
  </si>
  <si>
    <t xml:space="preserve">Anterior olfactory nucleus, medial part</t>
  </si>
  <si>
    <t xml:space="preserve">Cortical amygdalar area, anterior part, layer 1</t>
  </si>
  <si>
    <t xml:space="preserve">Parapyramidal nucleus, superficial part</t>
  </si>
  <si>
    <t xml:space="preserve">Lateral hypothalamic area</t>
  </si>
  <si>
    <t xml:space="preserve">Prelimbic area, layer 2</t>
  </si>
  <si>
    <t xml:space="preserve">Accessory olfactory bulb, granular layer</t>
  </si>
  <si>
    <t xml:space="preserve">Rostral linear nucleus raphÈ</t>
  </si>
  <si>
    <t xml:space="preserve">pyramidal decussation</t>
  </si>
  <si>
    <t xml:space="preserve">Anterior olfactory nucleus, posteroventral part</t>
  </si>
  <si>
    <t xml:space="preserve">Cortical amygdalar area, anterior part, layer 2</t>
  </si>
  <si>
    <t xml:space="preserve">Primary somatosensory area, barrel field, layer 2/3</t>
  </si>
  <si>
    <t xml:space="preserve">Medial vestibular nucleus</t>
  </si>
  <si>
    <t xml:space="preserve">Linear nucleus of the medulla</t>
  </si>
  <si>
    <t xml:space="preserve">Accessory olfactory bulb, mitral layer</t>
  </si>
  <si>
    <t xml:space="preserve">retriculospinal tract, lateral part</t>
  </si>
  <si>
    <t xml:space="preserve">Nucleus raphÈ magnus</t>
  </si>
  <si>
    <t xml:space="preserve">Area postrema</t>
  </si>
  <si>
    <t xml:space="preserve">Cortical amygdalar area, anterior part, layer 3</t>
  </si>
  <si>
    <t xml:space="preserve">Lateral vestibular nucleus</t>
  </si>
  <si>
    <t xml:space="preserve">Lateral mammillary nucleus</t>
  </si>
  <si>
    <t xml:space="preserve">Main olfactory bulb, glomerular layer</t>
  </si>
  <si>
    <t xml:space="preserve">retriculospinal tract, medial part</t>
  </si>
  <si>
    <t xml:space="preserve">Red nucleus</t>
  </si>
  <si>
    <t xml:space="preserve">Anterior pretectal nucleus</t>
  </si>
  <si>
    <t xml:space="preserve">Cortical amygdalar area, posterior part, lateral zone, layer 1</t>
  </si>
  <si>
    <t xml:space="preserve">Superior vestibular nucleus</t>
  </si>
  <si>
    <t xml:space="preserve">Lateral posterior nucleus of the thalamus</t>
  </si>
  <si>
    <t xml:space="preserve">Somatomotor areas, Layer 2/3</t>
  </si>
  <si>
    <t xml:space="preserve">Main olfactory bulb, granule layer</t>
  </si>
  <si>
    <t xml:space="preserve">rubroreticular tract</t>
  </si>
  <si>
    <t xml:space="preserve">Nucleus raphÈ obscurus</t>
  </si>
  <si>
    <t xml:space="preserve">Arcuate hypothalamic nucleus</t>
  </si>
  <si>
    <t xml:space="preserve">Cortical amygdalar area, posterior part, lateral zone, layer 2</t>
  </si>
  <si>
    <t xml:space="preserve">Spinal vestibular nucleus</t>
  </si>
  <si>
    <t xml:space="preserve">Lateral preoptic area</t>
  </si>
  <si>
    <t xml:space="preserve">Anterior cingulate area, layer 6b</t>
  </si>
  <si>
    <t xml:space="preserve">Main olfactory bulb, inner plexiform layer</t>
  </si>
  <si>
    <t xml:space="preserve">sensory root of the trigeminal nerve</t>
  </si>
  <si>
    <t xml:space="preserve">Nucleus raphÈ pallidus</t>
  </si>
  <si>
    <t xml:space="preserve">Anterior tegmental nucleus</t>
  </si>
  <si>
    <t xml:space="preserve">Cortical amygdalar area, posterior part, lateral zone, layer 3</t>
  </si>
  <si>
    <t xml:space="preserve">Anterolateral visual area, layer 5</t>
  </si>
  <si>
    <t xml:space="preserve">Temporal association areas, layer 4</t>
  </si>
  <si>
    <t xml:space="preserve">Lateral reticular nucleus</t>
  </si>
  <si>
    <t xml:space="preserve">Main olfactory bulb, mitral layer</t>
  </si>
  <si>
    <t xml:space="preserve">solitary tract</t>
  </si>
  <si>
    <t xml:space="preserve">Nucleus raphÈ pontis</t>
  </si>
  <si>
    <t xml:space="preserve">Anterior group of the dorsal thalamus</t>
  </si>
  <si>
    <t xml:space="preserve">Cortical amygdalar area, posterior part, medial zone, layer 1</t>
  </si>
  <si>
    <t xml:space="preserve">Posterior parietal association areas, layer 2/3</t>
  </si>
  <si>
    <t xml:space="preserve">Lateral septal nucleus</t>
  </si>
  <si>
    <t xml:space="preserve">Dorsal auditory area, layer 6b</t>
  </si>
  <si>
    <t xml:space="preserve">Main olfactory bulb, outer plexiform layer</t>
  </si>
  <si>
    <t xml:space="preserve">spinocervical tract</t>
  </si>
  <si>
    <t xml:space="preserve">Midbrain reticular nucleus, retrorubral area</t>
  </si>
  <si>
    <t xml:space="preserve">Auditory areas</t>
  </si>
  <si>
    <t xml:space="preserve">Cortical amygdalar area, posterior part, medial zone, layer 2</t>
  </si>
  <si>
    <t xml:space="preserve">Posterior auditory area, layer 6a</t>
  </si>
  <si>
    <t xml:space="preserve">Lateral septal nucleus, caudal (caudodorsal) part</t>
  </si>
  <si>
    <t xml:space="preserve">Primary auditory area, layer 2/3</t>
  </si>
  <si>
    <t xml:space="preserve">Dorsal auditory area, layer 5</t>
  </si>
  <si>
    <t xml:space="preserve">spinohypothalamic pathway</t>
  </si>
  <si>
    <t xml:space="preserve">Anteroventral nucleus of thalamus</t>
  </si>
  <si>
    <t xml:space="preserve">Cortical amygdalar area, posterior part, medial zone, layer 3</t>
  </si>
  <si>
    <t xml:space="preserve">posteromedial visual area, layer 6a</t>
  </si>
  <si>
    <t xml:space="preserve">Lateral septal nucleus, rostral (rostroventral) part</t>
  </si>
  <si>
    <t xml:space="preserve">Entorhinal area, medial part, ventral zone, layer 1</t>
  </si>
  <si>
    <t xml:space="preserve">Nucleus of the lateral olfactory tract, molecular layer</t>
  </si>
  <si>
    <t xml:space="preserve">spino-olivary pathway</t>
  </si>
  <si>
    <t xml:space="preserve">Reticular nucleus of the thalamus</t>
  </si>
  <si>
    <t xml:space="preserve">Anteroventral preoptic nucleus</t>
  </si>
  <si>
    <t xml:space="preserve">Orbital area, layer 1</t>
  </si>
  <si>
    <t xml:space="preserve">Lateral septal nucleus, ventral part</t>
  </si>
  <si>
    <t xml:space="preserve">Dorsal peduncular area, layer 6a</t>
  </si>
  <si>
    <t xml:space="preserve">Nucleus of the lateral olfactory tract, pyramidal layer</t>
  </si>
  <si>
    <t xml:space="preserve">Posterolateral visual area, layer 2/3</t>
  </si>
  <si>
    <t xml:space="preserve">spinoreticular pathway</t>
  </si>
  <si>
    <t xml:space="preserve">Nucleus sagulum</t>
  </si>
  <si>
    <t xml:space="preserve">Anteroventral periventricular nucleus</t>
  </si>
  <si>
    <t xml:space="preserve">Lateral septal complex</t>
  </si>
  <si>
    <t xml:space="preserve">Piriform area, molecular layer</t>
  </si>
  <si>
    <t xml:space="preserve">spinotectal pathway</t>
  </si>
  <si>
    <t xml:space="preserve">Striatum-like amygdalar nuclei</t>
  </si>
  <si>
    <t xml:space="preserve">Barrington's nucleus</t>
  </si>
  <si>
    <t xml:space="preserve">Anteromedial visual area, layer 1</t>
  </si>
  <si>
    <t xml:space="preserve">Lateral tegmental nucleus</t>
  </si>
  <si>
    <t xml:space="preserve">Piriform area, pyramidal layer</t>
  </si>
  <si>
    <t xml:space="preserve">spinotelenchephalic pathway</t>
  </si>
  <si>
    <t xml:space="preserve">Suprachiasmatic nucleus</t>
  </si>
  <si>
    <t xml:space="preserve">Bed nucleus of the anterior commissure</t>
  </si>
  <si>
    <t xml:space="preserve">Orbital area, ventrolateral part, layer 2/3</t>
  </si>
  <si>
    <t xml:space="preserve">Temporal association areas, layer 5</t>
  </si>
  <si>
    <t xml:space="preserve">Hypothalamic lateral zone</t>
  </si>
  <si>
    <t xml:space="preserve">Piriform area, polymorph layer</t>
  </si>
  <si>
    <t xml:space="preserve">Bed nucleus of the accessory olfactory tract</t>
  </si>
  <si>
    <t xml:space="preserve">spinovestibular pathway</t>
  </si>
  <si>
    <t xml:space="preserve">Superior colliculus, motor related</t>
  </si>
  <si>
    <t xml:space="preserve">Taenia tecta, dorsal part, layers 1-4</t>
  </si>
  <si>
    <t xml:space="preserve">Magnocellular nucleus</t>
  </si>
  <si>
    <t xml:space="preserve">Somatomotor areas, Layer 5</t>
  </si>
  <si>
    <t xml:space="preserve">Ventral part of the lateral geniculate complex, lateral zone</t>
  </si>
  <si>
    <t xml:space="preserve">stria terminalis</t>
  </si>
  <si>
    <t xml:space="preserve">Superior colliculus, sensory related</t>
  </si>
  <si>
    <t xml:space="preserve">Primary visual area, layer 6b</t>
  </si>
  <si>
    <t xml:space="preserve">Taenia tecta, ventral part, layers 1-3</t>
  </si>
  <si>
    <t xml:space="preserve">Magnocellular reticular nucleus</t>
  </si>
  <si>
    <t xml:space="preserve">Posterior parietal association areas, layer 6a</t>
  </si>
  <si>
    <t xml:space="preserve">striatonigral pathway</t>
  </si>
  <si>
    <t xml:space="preserve">Septofimbrial nucleus</t>
  </si>
  <si>
    <t xml:space="preserve">Entorhinal area, lateral part, layer 4/5</t>
  </si>
  <si>
    <t xml:space="preserve">Midbrain</t>
  </si>
  <si>
    <t xml:space="preserve">Agranular insular area, posterior part, layer 6a</t>
  </si>
  <si>
    <t xml:space="preserve">Isocortex</t>
  </si>
  <si>
    <t xml:space="preserve">Ventral part of the lateral geniculate complex, medial zone</t>
  </si>
  <si>
    <t xml:space="preserve">subthalamic fascicle</t>
  </si>
  <si>
    <t xml:space="preserve">Supragenual nucleus</t>
  </si>
  <si>
    <t xml:space="preserve">Basomedial amygdalar nucleus</t>
  </si>
  <si>
    <t xml:space="preserve">Primary motor area, Layer 1</t>
  </si>
  <si>
    <t xml:space="preserve">Subgeniculate nucleus</t>
  </si>
  <si>
    <t xml:space="preserve">Primary somatosensory area</t>
  </si>
  <si>
    <t xml:space="preserve">Midbrain, motor related</t>
  </si>
  <si>
    <t xml:space="preserve">Entorhinal area, medial part, ventral zone, layer 2</t>
  </si>
  <si>
    <t xml:space="preserve">Suprageniculate nucleus</t>
  </si>
  <si>
    <t xml:space="preserve">superior cerebelar peduncles</t>
  </si>
  <si>
    <t xml:space="preserve">Basomedial amygdalar nucleus, anterior part</t>
  </si>
  <si>
    <t xml:space="preserve">Agranular insular area, dorsal part, layer 2/3</t>
  </si>
  <si>
    <t xml:space="preserve">Primary somatosensory area, barrel field</t>
  </si>
  <si>
    <t xml:space="preserve">Mammillary body</t>
  </si>
  <si>
    <t xml:space="preserve">Accessory supraoptic group</t>
  </si>
  <si>
    <t xml:space="preserve">Septohippocampal nucleus</t>
  </si>
  <si>
    <t xml:space="preserve">Basomedial amygdalar nucleus, posterior part</t>
  </si>
  <si>
    <t xml:space="preserve">Perirhinal area, layer 6a</t>
  </si>
  <si>
    <t xml:space="preserve">superior colliculus commissure</t>
  </si>
  <si>
    <t xml:space="preserve">Primary somatosensory area, lower limb</t>
  </si>
  <si>
    <t xml:space="preserve">Subfornical organ</t>
  </si>
  <si>
    <t xml:space="preserve">Midbrain, sensory related</t>
  </si>
  <si>
    <t xml:space="preserve">Posterior parietal association areas, layer 6b</t>
  </si>
  <si>
    <t xml:space="preserve">supramammillary decussation</t>
  </si>
  <si>
    <t xml:space="preserve">Substantia innominata</t>
  </si>
  <si>
    <t xml:space="preserve">Brain stem</t>
  </si>
  <si>
    <t xml:space="preserve">Agranular insular area, posterior part, layer 5</t>
  </si>
  <si>
    <t xml:space="preserve">Primary somatosensory area, mouth</t>
  </si>
  <si>
    <t xml:space="preserve">Primary somatosensory area, layer 2/3</t>
  </si>
  <si>
    <t xml:space="preserve">Subparaventricular zone</t>
  </si>
  <si>
    <t xml:space="preserve">Midbrain, behavioral state related</t>
  </si>
  <si>
    <t xml:space="preserve">supraoptic commissures</t>
  </si>
  <si>
    <t xml:space="preserve">Subceruleus nucleus</t>
  </si>
  <si>
    <t xml:space="preserve">Bed nuclei of the stria terminalis</t>
  </si>
  <si>
    <t xml:space="preserve">Orbital area, layer 5</t>
  </si>
  <si>
    <t xml:space="preserve">Primary somatosensory area, nose</t>
  </si>
  <si>
    <t xml:space="preserve">Medulla</t>
  </si>
  <si>
    <t xml:space="preserve">Agranular insular area, posterior part, layer 6b</t>
  </si>
  <si>
    <t xml:space="preserve">Preparasubthalamic nucleus</t>
  </si>
  <si>
    <t xml:space="preserve">tectothalamic pathway</t>
  </si>
  <si>
    <t xml:space="preserve">Sublaterodorsal nucleus</t>
  </si>
  <si>
    <t xml:space="preserve">Bed nuclei of the stria terminalis, anterior division</t>
  </si>
  <si>
    <t xml:space="preserve">Dorsal peduncular area, layer 2/3</t>
  </si>
  <si>
    <t xml:space="preserve">Primary somatosensory area, trunk</t>
  </si>
  <si>
    <t xml:space="preserve">Mediodorsal nucleus of thalamus</t>
  </si>
  <si>
    <t xml:space="preserve">Parasubthalamic nucleus</t>
  </si>
  <si>
    <t xml:space="preserve">thalamic peduncles</t>
  </si>
  <si>
    <t xml:space="preserve">Submedial nucleus of the thalamus</t>
  </si>
  <si>
    <t xml:space="preserve">Bed nuclei of the stria terminalis, posterior division</t>
  </si>
  <si>
    <t xml:space="preserve">Perirhinal area, layer 6b</t>
  </si>
  <si>
    <t xml:space="preserve">Primary somatosensory area, upper limb</t>
  </si>
  <si>
    <t xml:space="preserve">Medulla, motor related</t>
  </si>
  <si>
    <t xml:space="preserve">Entorhinal area, medial part, ventral zone, layer 3</t>
  </si>
  <si>
    <t xml:space="preserve">Infracerebellar nucleus</t>
  </si>
  <si>
    <t xml:space="preserve">trigeminocerebellar tract</t>
  </si>
  <si>
    <t xml:space="preserve">Substantia nigra, compact part</t>
  </si>
  <si>
    <t xml:space="preserve">Ammon's horn</t>
  </si>
  <si>
    <t xml:space="preserve">Cortical amygdalar area, posterior part, lateral zone, layers 1-3</t>
  </si>
  <si>
    <t xml:space="preserve">Posterolateral visual area, layer 6a</t>
  </si>
  <si>
    <t xml:space="preserve">Supplemental somatosensory area</t>
  </si>
  <si>
    <t xml:space="preserve">Medulla, behavioral state related</t>
  </si>
  <si>
    <t xml:space="preserve">cuneate fascicle</t>
  </si>
  <si>
    <t xml:space="preserve">Substantia nigra, reticular part</t>
  </si>
  <si>
    <t xml:space="preserve">Cortical amygdalar area, posterior part, medial zone, layers 1-3</t>
  </si>
  <si>
    <t xml:space="preserve">trochlear nerve decussation</t>
  </si>
  <si>
    <t xml:space="preserve">Primary visual area</t>
  </si>
  <si>
    <t xml:space="preserve">Medulla, sensory related</t>
  </si>
  <si>
    <t xml:space="preserve">Entorhinal area, lateral part, layer 5/6</t>
  </si>
  <si>
    <t xml:space="preserve">gracile fascicle</t>
  </si>
  <si>
    <t xml:space="preserve">ventral spinothalamic tract</t>
  </si>
  <si>
    <t xml:space="preserve">Supraoptic nucleus</t>
  </si>
  <si>
    <t xml:space="preserve">Field CA1, stratum lacunosum-moleculare</t>
  </si>
  <si>
    <t xml:space="preserve">Nucleus of the lateral olfactory tract, layers 1-3</t>
  </si>
  <si>
    <t xml:space="preserve">Posterolateral visual area, layer 6b</t>
  </si>
  <si>
    <t xml:space="preserve">Anteromedial visual area</t>
  </si>
  <si>
    <t xml:space="preserve">Medullary reticular nucleus</t>
  </si>
  <si>
    <t xml:space="preserve">internal arcuate fibers</t>
  </si>
  <si>
    <t xml:space="preserve">ventral tegmental decussation</t>
  </si>
  <si>
    <t xml:space="preserve">Superior olivary complex</t>
  </si>
  <si>
    <t xml:space="preserve">Field CA1, stratum oriens</t>
  </si>
  <si>
    <t xml:space="preserve">Piriform-amygdalar area, layers 1-3</t>
  </si>
  <si>
    <t xml:space="preserve">Anteromedial visual area, layer 4</t>
  </si>
  <si>
    <t xml:space="preserve">Anterolateral visual area</t>
  </si>
  <si>
    <t xml:space="preserve">Medial amygdalar nucleus</t>
  </si>
  <si>
    <t xml:space="preserve">olivocerebellar tract</t>
  </si>
  <si>
    <t xml:space="preserve">ventrolateral hypothalamic tract</t>
  </si>
  <si>
    <t xml:space="preserve">Subparafascicular nucleus</t>
  </si>
  <si>
    <t xml:space="preserve">Field CA1, pyramidal layer</t>
  </si>
  <si>
    <t xml:space="preserve">Piriform-amygdalar area, molecular layer</t>
  </si>
  <si>
    <t xml:space="preserve">Lateral visual area</t>
  </si>
  <si>
    <t xml:space="preserve">reticulocerebellar tract</t>
  </si>
  <si>
    <t xml:space="preserve">Medial amygdalar nucleus, anterodorsal part</t>
  </si>
  <si>
    <t xml:space="preserve">Orbital area, lateral part, layer 2/3</t>
  </si>
  <si>
    <t xml:space="preserve">vestibular nerve</t>
  </si>
  <si>
    <t xml:space="preserve">Subparafascicular nucleus, magnocellular part</t>
  </si>
  <si>
    <t xml:space="preserve">Field CA1, stratum radiatum</t>
  </si>
  <si>
    <t xml:space="preserve">Piriform-amygdalar area, pyramidal layer</t>
  </si>
  <si>
    <t xml:space="preserve">Medial amygdalar nucleus, anteroventral part</t>
  </si>
  <si>
    <t xml:space="preserve">Entorhinal area, medial part, ventral zone, layer 4</t>
  </si>
  <si>
    <t xml:space="preserve">precommissural fornix diagonal band</t>
  </si>
  <si>
    <t xml:space="preserve">Lateral visual area, layer 1</t>
  </si>
  <si>
    <t xml:space="preserve">Subparafascicular nucleus, parvicellular part</t>
  </si>
  <si>
    <t xml:space="preserve">Field CA2</t>
  </si>
  <si>
    <t xml:space="preserve">Piriform-amygdalar area, polymorph layer</t>
  </si>
  <si>
    <t xml:space="preserve">Posterolateral visual area</t>
  </si>
  <si>
    <t xml:space="preserve">Medial amygdalar nucleus, posterodorsal part</t>
  </si>
  <si>
    <t xml:space="preserve">Ectorhinal area/Layer 2/3</t>
  </si>
  <si>
    <t xml:space="preserve">medial corticohypothalmic tract</t>
  </si>
  <si>
    <t xml:space="preserve">Spinal nucleus of the trigeminal, caudal part</t>
  </si>
  <si>
    <t xml:space="preserve">Field CA2, stratum lacunosum-moleculare</t>
  </si>
  <si>
    <t xml:space="preserve">Nucleus circularis</t>
  </si>
  <si>
    <t xml:space="preserve">Anteromedial visual area, layer 5</t>
  </si>
  <si>
    <t xml:space="preserve">Medial amygdalar nucleus, posteroventral part</t>
  </si>
  <si>
    <t xml:space="preserve">columns of the fornix</t>
  </si>
  <si>
    <t xml:space="preserve">Spinal nucleus of the trigeminal, interpolar part</t>
  </si>
  <si>
    <t xml:space="preserve">Field CA2, stratum oriens</t>
  </si>
  <si>
    <t xml:space="preserve">Paraventricular hypothalamic nucleus, descending division, dorsal parvicellular part</t>
  </si>
  <si>
    <t xml:space="preserve">Orbital area, lateral part, layer 6a</t>
  </si>
  <si>
    <t xml:space="preserve">Anteromedial visual area, layer 6b</t>
  </si>
  <si>
    <t xml:space="preserve">dorsal hippocampal commissure</t>
  </si>
  <si>
    <t xml:space="preserve">Medial group of the dorsal thalamus</t>
  </si>
  <si>
    <t xml:space="preserve">Spinal nucleus of the trigeminal, oral part</t>
  </si>
  <si>
    <t xml:space="preserve">Field CA2, pyramidal layer</t>
  </si>
  <si>
    <t xml:space="preserve">Paraventricular hypothalamic nucleus, descending division, forniceal part</t>
  </si>
  <si>
    <t xml:space="preserve">Orbital area, lateral part, layer 1</t>
  </si>
  <si>
    <t xml:space="preserve">ventral hippocampal commissure</t>
  </si>
  <si>
    <t xml:space="preserve">Primary somatosensory area, upper limb, layer 1</t>
  </si>
  <si>
    <t xml:space="preserve">Median preoptic nucleus</t>
  </si>
  <si>
    <t xml:space="preserve">Somatosensory areas</t>
  </si>
  <si>
    <t xml:space="preserve">Field CA2, stratum radiatum</t>
  </si>
  <si>
    <t xml:space="preserve">Paraventricular hypothalamic nucleus, descending division, lateral parvicellular part</t>
  </si>
  <si>
    <t xml:space="preserve">Posterior auditory area, layer 6b</t>
  </si>
  <si>
    <t xml:space="preserve">Visual areas, layer 6a</t>
  </si>
  <si>
    <t xml:space="preserve">Olfactory tubercle, molecular layer</t>
  </si>
  <si>
    <t xml:space="preserve">accessory olfactory tract</t>
  </si>
  <si>
    <t xml:space="preserve">Midbrain trigeminal nucleus</t>
  </si>
  <si>
    <t xml:space="preserve">Primary somatosensory area, trunk, layer 6b</t>
  </si>
  <si>
    <t xml:space="preserve">Superior salivatory nucleus</t>
  </si>
  <si>
    <t xml:space="preserve">Paraventricular hypothalamic nucleus, descending division, medial parvicellular part, ventral zone</t>
  </si>
  <si>
    <t xml:space="preserve">Olfactory tubercle, pyramidal layer</t>
  </si>
  <si>
    <t xml:space="preserve">alveus</t>
  </si>
  <si>
    <t xml:space="preserve">Hypothalamic medial zone</t>
  </si>
  <si>
    <t xml:space="preserve">Entorhinal area, medial part, dorsal zone, layer 2a</t>
  </si>
  <si>
    <t xml:space="preserve">posteromedial visual area, layer 6b</t>
  </si>
  <si>
    <t xml:space="preserve">Subthalamic nucleus</t>
  </si>
  <si>
    <t xml:space="preserve">Field CA3, stratum lacunosum-moleculare</t>
  </si>
  <si>
    <t xml:space="preserve">Medial amygdalar nucleus, posterodorsal part, sublayer a</t>
  </si>
  <si>
    <t xml:space="preserve">Olfactory tubercle, polymorph layer</t>
  </si>
  <si>
    <t xml:space="preserve">angular path</t>
  </si>
  <si>
    <t xml:space="preserve">Medial geniculate complex</t>
  </si>
  <si>
    <t xml:space="preserve">Orbital area, layer 6a</t>
  </si>
  <si>
    <t xml:space="preserve">Striatum</t>
  </si>
  <si>
    <t xml:space="preserve">Primary somatosensory area, lower limb, layer 6a</t>
  </si>
  <si>
    <t xml:space="preserve">Field CA3, stratum lucidum</t>
  </si>
  <si>
    <t xml:space="preserve">Medial amygdalar nucleus, posterodorsal part, sublayer b</t>
  </si>
  <si>
    <t xml:space="preserve">Islands of Calleja</t>
  </si>
  <si>
    <t xml:space="preserve">brachium of the inferior colliculus</t>
  </si>
  <si>
    <t xml:space="preserve">Medial habenula</t>
  </si>
  <si>
    <t xml:space="preserve">Orbital area, medial part, layer 1</t>
  </si>
  <si>
    <t xml:space="preserve">Striatum dorsal region</t>
  </si>
  <si>
    <t xml:space="preserve">Field CA3, stratum oriens</t>
  </si>
  <si>
    <t xml:space="preserve">Medial amygdalar nucleus, posterodorsal part, sublayer c</t>
  </si>
  <si>
    <t xml:space="preserve">Orbital area, lateral part, layer 6b</t>
  </si>
  <si>
    <t xml:space="preserve">Major island of Calleja</t>
  </si>
  <si>
    <t xml:space="preserve">bulbocerebellar tract</t>
  </si>
  <si>
    <t xml:space="preserve">Medial mammillary nucleus</t>
  </si>
  <si>
    <t xml:space="preserve">Orbital area, layer 2/3</t>
  </si>
  <si>
    <t xml:space="preserve">Striatum ventral region</t>
  </si>
  <si>
    <t xml:space="preserve">Superior colliculus, motor related, intermediate gray layer, sublayer a</t>
  </si>
  <si>
    <t xml:space="preserve">Field CA3, pyramidal layer</t>
  </si>
  <si>
    <t xml:space="preserve">Dorsal peduncular area, layer 1</t>
  </si>
  <si>
    <t xml:space="preserve">Visual areas, layer 6b</t>
  </si>
  <si>
    <t xml:space="preserve">Bed nuclei of the stria terminalis, anterior division, anteromedial area</t>
  </si>
  <si>
    <t xml:space="preserve">cuneocerebellar tract</t>
  </si>
  <si>
    <t xml:space="preserve">Somatomotor areas</t>
  </si>
  <si>
    <t xml:space="preserve">posteromedial visual area, layer 4</t>
  </si>
  <si>
    <t xml:space="preserve">Subiculum</t>
  </si>
  <si>
    <t xml:space="preserve">Superior colliculus, motor related, intermediate gray layer, sublayer b</t>
  </si>
  <si>
    <t xml:space="preserve">Field CA3, stratum radiatum</t>
  </si>
  <si>
    <t xml:space="preserve">Bed nuclei of the stria terminalis, anterior division, dorsomedial nucleus</t>
  </si>
  <si>
    <t xml:space="preserve">dorsal acoustic stria</t>
  </si>
  <si>
    <t xml:space="preserve">Main olfactory bulb</t>
  </si>
  <si>
    <t xml:space="preserve">Entorhinal area, medial part, dorsal zone, layer 2b</t>
  </si>
  <si>
    <t xml:space="preserve">Subiculum, dorsal part</t>
  </si>
  <si>
    <t xml:space="preserve">Primary somatosensory area, lower limb, layer 6b</t>
  </si>
  <si>
    <t xml:space="preserve">Superior colliculus, motor related, intermediate gray layer, sublayer c</t>
  </si>
  <si>
    <t xml:space="preserve">Cerebellum</t>
  </si>
  <si>
    <t xml:space="preserve">Bed nuclei of the stria terminalis, anterior division, fusiform nucleus</t>
  </si>
  <si>
    <t xml:space="preserve">dorsal column</t>
  </si>
  <si>
    <t xml:space="preserve">Medial preoptic nucleus</t>
  </si>
  <si>
    <t xml:space="preserve">Orbital area, layer 6b</t>
  </si>
  <si>
    <t xml:space="preserve">Postpiriform transition area, layers 1-3</t>
  </si>
  <si>
    <t xml:space="preserve">Subiculum, ventral part</t>
  </si>
  <si>
    <t xml:space="preserve">Cerebellar nuclei</t>
  </si>
  <si>
    <t xml:space="preserve">Ventral auditory area, layer 6a</t>
  </si>
  <si>
    <t xml:space="preserve">Bed nuclei of the stria terminalis, anterior division, magnocellular nucleus</t>
  </si>
  <si>
    <t xml:space="preserve">dorsal commissure of the spinal cord</t>
  </si>
  <si>
    <t xml:space="preserve">Medial preoptic area</t>
  </si>
  <si>
    <t xml:space="preserve">Orbital area, medial part, layer 2</t>
  </si>
  <si>
    <t xml:space="preserve">Supramammillary nucleus</t>
  </si>
  <si>
    <t xml:space="preserve">Entorhinal area, medial part, dorsal zone, layer 1</t>
  </si>
  <si>
    <t xml:space="preserve">Dorsal auditory area, layer 1</t>
  </si>
  <si>
    <t xml:space="preserve">Cerebellar cortex</t>
  </si>
  <si>
    <t xml:space="preserve">Bed nuclei of the stria terminalis, anterior division, ventral nucleus</t>
  </si>
  <si>
    <t xml:space="preserve">dorsal fornix</t>
  </si>
  <si>
    <t xml:space="preserve">Medial pretectal area</t>
  </si>
  <si>
    <t xml:space="preserve">Posterior parietal association areas, layer 1</t>
  </si>
  <si>
    <t xml:space="preserve">posteromedial visual area</t>
  </si>
  <si>
    <t xml:space="preserve">Supratrigeminal nucleus</t>
  </si>
  <si>
    <t xml:space="preserve">Dorsal peduncular area, layer 2</t>
  </si>
  <si>
    <t xml:space="preserve">Bed nuclei of the stria terminalis, anterior division, anterolateral area</t>
  </si>
  <si>
    <t xml:space="preserve">dorsal limb</t>
  </si>
  <si>
    <t xml:space="preserve">Midbrain reticular nucleus, magnocellular part</t>
  </si>
  <si>
    <t xml:space="preserve">Perirhinal area, layer 1</t>
  </si>
  <si>
    <t xml:space="preserve">Temporal association areas</t>
  </si>
  <si>
    <t xml:space="preserve">Entorhinal area, medial part, dorsal zone, layer 2</t>
  </si>
  <si>
    <t xml:space="preserve">Central amygdalar nucleus, capsular part</t>
  </si>
  <si>
    <t xml:space="preserve">Bed nuclei of the stria terminalis, anterior division, juxtacapsular nucleus</t>
  </si>
  <si>
    <t xml:space="preserve">dorsal longitudinal fascicle</t>
  </si>
  <si>
    <t xml:space="preserve">Midbrain reticular nucleus, magnocellular part, general</t>
  </si>
  <si>
    <t xml:space="preserve">Thalamus</t>
  </si>
  <si>
    <t xml:space="preserve">Entorhinal area, medial part, dorsal zone, layer 5/6</t>
  </si>
  <si>
    <t xml:space="preserve">Central amygdalar nucleus, lateral part</t>
  </si>
  <si>
    <t xml:space="preserve">Pontine reticular nucleus, ventral part</t>
  </si>
  <si>
    <t xml:space="preserve">dorsal spinocerebellar tract</t>
  </si>
  <si>
    <t xml:space="preserve">Bed nuclei of the stria terminalis, anterior division, oval nucleus</t>
  </si>
  <si>
    <t xml:space="preserve">Midbrain reticular nucleus, parvicellular part</t>
  </si>
  <si>
    <t xml:space="preserve">Tuberomammillary nucleus</t>
  </si>
  <si>
    <t xml:space="preserve">Primary somatosensory area, nose, layer 1</t>
  </si>
  <si>
    <t xml:space="preserve">Central amygdalar nucleus, medial part</t>
  </si>
  <si>
    <t xml:space="preserve">Cochlear nucleus, subpedunclular granular region</t>
  </si>
  <si>
    <t xml:space="preserve">Visual areas, layer 2/3</t>
  </si>
  <si>
    <t xml:space="preserve">Bed nuclei of the stria terminalis, anterior division, rhomboid nucleus</t>
  </si>
  <si>
    <t xml:space="preserve">dorsal tegmental tract</t>
  </si>
  <si>
    <t xml:space="preserve">Medial septal nucleus</t>
  </si>
  <si>
    <t xml:space="preserve">posteromedial visual area, layer 5</t>
  </si>
  <si>
    <t xml:space="preserve">Postpiriform transition area</t>
  </si>
  <si>
    <t xml:space="preserve">Cerebrum</t>
  </si>
  <si>
    <t xml:space="preserve">Accessory abducens nucleus</t>
  </si>
  <si>
    <t xml:space="preserve">Bed nuclei of the stria terminalis, posterior division, dorsal nucleus</t>
  </si>
  <si>
    <t xml:space="preserve">dorsolateral fascicle</t>
  </si>
  <si>
    <t xml:space="preserve">Midline group of the dorsal thalamus</t>
  </si>
  <si>
    <t xml:space="preserve">Anterior cingulate area, layer 1</t>
  </si>
  <si>
    <t xml:space="preserve">Lateral visual area, layer 4</t>
  </si>
  <si>
    <t xml:space="preserve">Tegmental reticular nucleus</t>
  </si>
  <si>
    <t xml:space="preserve">Central lateral nucleus of the thalamus</t>
  </si>
  <si>
    <t xml:space="preserve">Accessory facial motor nucleus</t>
  </si>
  <si>
    <t xml:space="preserve">Primary somatosensory area, upper limb, layer 4</t>
  </si>
  <si>
    <t xml:space="preserve">Bed nuclei of the stria terminalis, posterior division, principal nucleus</t>
  </si>
  <si>
    <t xml:space="preserve">external capsule</t>
  </si>
  <si>
    <t xml:space="preserve">Nucleus of the brachium of the inferior colliculus</t>
  </si>
  <si>
    <t xml:space="preserve">Triangular nucleus of septum</t>
  </si>
  <si>
    <t xml:space="preserve">Orbital area, medial part, layer 2/3</t>
  </si>
  <si>
    <t xml:space="preserve">Claustrum</t>
  </si>
  <si>
    <t xml:space="preserve">Cortical amygdalar area, posterior part, lateral zone, layers 1-2</t>
  </si>
  <si>
    <t xml:space="preserve">Bed nuclei of the stria terminalis, posterior division, interfascicular nucleus</t>
  </si>
  <si>
    <t xml:space="preserve">fasciculus proprius</t>
  </si>
  <si>
    <t xml:space="preserve">Nucleus of Darkschewitsch</t>
  </si>
  <si>
    <t xml:space="preserve">Taenia tecta</t>
  </si>
  <si>
    <t xml:space="preserve">Central linear nucleus raphÈ</t>
  </si>
  <si>
    <t xml:space="preserve">Cortical amygdalar area, posterior part, medial zone, layers 1-2</t>
  </si>
  <si>
    <t xml:space="preserve">Primary visual area, layer 1</t>
  </si>
  <si>
    <t xml:space="preserve">Bed nuclei of the stria terminalis, posterior division, transverse nucleus</t>
  </si>
  <si>
    <t xml:space="preserve">fasciculus retroflexus</t>
  </si>
  <si>
    <t xml:space="preserve">Diagonal band nucleus</t>
  </si>
  <si>
    <t xml:space="preserve">Taenia tecta, dorsal part</t>
  </si>
  <si>
    <t xml:space="preserve">Ventral auditory area, layer 6b</t>
  </si>
  <si>
    <t xml:space="preserve">Central medial nucleus of the thalamus</t>
  </si>
  <si>
    <t xml:space="preserve">Dorsal auditory area, layer 2/3</t>
  </si>
  <si>
    <t xml:space="preserve">Anterolateral visual area, layer 6a</t>
  </si>
  <si>
    <t xml:space="preserve">Bed nuclei of the stria terminalis, posterior division, strial extension</t>
  </si>
  <si>
    <t xml:space="preserve">fimbria</t>
  </si>
  <si>
    <t xml:space="preserve">Nucleus incertus</t>
  </si>
  <si>
    <t xml:space="preserve">Taenia tecta, ventral part</t>
  </si>
  <si>
    <t xml:space="preserve">Retrosplenial area, ventral part, layer 2</t>
  </si>
  <si>
    <t xml:space="preserve">Cochlear nuclei</t>
  </si>
  <si>
    <t xml:space="preserve">Orbital area, ventrolateral part, layer 6a</t>
  </si>
  <si>
    <t xml:space="preserve">Subparafascicular area</t>
  </si>
  <si>
    <t xml:space="preserve">habenular commissure</t>
  </si>
  <si>
    <t xml:space="preserve">Nucleus of the lateral lemniscus</t>
  </si>
  <si>
    <t xml:space="preserve">Lateral visual area, layer 5</t>
  </si>
  <si>
    <t xml:space="preserve">Tuberal nucleus</t>
  </si>
  <si>
    <t xml:space="preserve">Substantia nigra, lateral part</t>
  </si>
  <si>
    <t xml:space="preserve">Cuneiform nucleus</t>
  </si>
  <si>
    <t xml:space="preserve">Mediodorsal nucleus of the thalamus, central part</t>
  </si>
  <si>
    <t xml:space="preserve">hippocampal commissures</t>
  </si>
  <si>
    <t xml:space="preserve">Nucleus of the lateral olfactory tract</t>
  </si>
  <si>
    <t xml:space="preserve">Orbital area, medial part, layer 5</t>
  </si>
  <si>
    <t xml:space="preserve">Motor nucleus of trigeminal</t>
  </si>
  <si>
    <t xml:space="preserve">Cerebral nuclei</t>
  </si>
  <si>
    <t xml:space="preserve">Interpeduncular fossa</t>
  </si>
  <si>
    <t xml:space="preserve">Primary somatosensory area, upper limb, layer 5</t>
  </si>
  <si>
    <t xml:space="preserve">Mediodorsal nucleus of the thalamus, lateral part</t>
  </si>
  <si>
    <t xml:space="preserve">hypothalamohypophysial tract</t>
  </si>
  <si>
    <t xml:space="preserve">Nucleus of the optic tract</t>
  </si>
  <si>
    <t xml:space="preserve">Ventral anterior-lateral complex of the thalamus</t>
  </si>
  <si>
    <t xml:space="preserve">Orbital area, lateral part, layer 5</t>
  </si>
  <si>
    <t xml:space="preserve">Cortical amygdalar area</t>
  </si>
  <si>
    <t xml:space="preserve">inferior colliculus commissure</t>
  </si>
  <si>
    <t xml:space="preserve">Nucleus of the posterior commissure</t>
  </si>
  <si>
    <t xml:space="preserve">Posterior parietal association areas, layer 4</t>
  </si>
  <si>
    <t xml:space="preserve">Mediodorsal nucleus of the thalamus, medial part</t>
  </si>
  <si>
    <t xml:space="preserve">Ventral group of the dorsal thalamus</t>
  </si>
  <si>
    <t xml:space="preserve">Gustatory areas, layer 6a</t>
  </si>
  <si>
    <t xml:space="preserve">Cortical amygdalar area, anterior part</t>
  </si>
  <si>
    <t xml:space="preserve">Efferent vestibular nucleus</t>
  </si>
  <si>
    <t xml:space="preserve">intermediate acoustic stria</t>
  </si>
  <si>
    <t xml:space="preserve">Nucleus of the trapezoid body</t>
  </si>
  <si>
    <t xml:space="preserve">Posterior auditory area, layer 2/3</t>
  </si>
  <si>
    <t xml:space="preserve">Somatomotor areas, Layer 6a</t>
  </si>
  <si>
    <t xml:space="preserve">Vermal regions</t>
  </si>
  <si>
    <t xml:space="preserve">Dorsal peduncular area, layer 5</t>
  </si>
  <si>
    <t xml:space="preserve">Cortical amygdalar area, posterior part</t>
  </si>
  <si>
    <t xml:space="preserve">Primary motor area, Layer 5</t>
  </si>
  <si>
    <t xml:space="preserve">Anterolateral visual area, layer 6b</t>
  </si>
  <si>
    <t xml:space="preserve">juxtarestiform body</t>
  </si>
  <si>
    <t xml:space="preserve">Nucleus of the solitary tract</t>
  </si>
  <si>
    <t xml:space="preserve">Paraventricular hypothalamic nucleus, magnocellular division, posterior magnocellular part, lateral zone</t>
  </si>
  <si>
    <t xml:space="preserve">Abducens nucleus</t>
  </si>
  <si>
    <t xml:space="preserve">Primary somatosensory area, nose, layer 4</t>
  </si>
  <si>
    <t xml:space="preserve">Cortical amygdalar area, posterior part, lateral zone</t>
  </si>
  <si>
    <t xml:space="preserve">Secondary motor area, layer 1</t>
  </si>
  <si>
    <t xml:space="preserve">Primary somatosensory area, mouth, layer 2/3</t>
  </si>
  <si>
    <t xml:space="preserve">lateral lemniscus</t>
  </si>
  <si>
    <t xml:space="preserve">Nucleus of the solitary tract, central part</t>
  </si>
  <si>
    <t xml:space="preserve">Paraventricular hypothalamic nucleus, magnocellular division, posterior magnocellular part, medial zone</t>
  </si>
  <si>
    <t xml:space="preserve">Facial motor nucleus</t>
  </si>
  <si>
    <t xml:space="preserve">Gustatory areas, layer 6b</t>
  </si>
  <si>
    <t xml:space="preserve">Cortical amygdalar area, posterior part, medial zone</t>
  </si>
  <si>
    <t xml:space="preserve">Entorhinal area, medial part, dorsal zone, layer 3</t>
  </si>
  <si>
    <t xml:space="preserve">lateral olfactory tract, body</t>
  </si>
  <si>
    <t xml:space="preserve">Nucleus of the solitary tract, commissural part</t>
  </si>
  <si>
    <t xml:space="preserve">Frontal pole, layer 2/3</t>
  </si>
  <si>
    <t xml:space="preserve">Dorsomedial nucleus of the hypothalamus, anterior part</t>
  </si>
  <si>
    <t xml:space="preserve">Visual areas</t>
  </si>
  <si>
    <t xml:space="preserve">Primary somatosensory area, trunk, layer 2/3</t>
  </si>
  <si>
    <t xml:space="preserve">Caudoputamen</t>
  </si>
  <si>
    <t xml:space="preserve">mammillary peduncle</t>
  </si>
  <si>
    <t xml:space="preserve">Nucleus of the solitary tract, gelatinous part</t>
  </si>
  <si>
    <t xml:space="preserve">Agranular insular area, ventral part, layer 6a</t>
  </si>
  <si>
    <t xml:space="preserve">Dorsomedial nucleus of the hypothalamus, posterior part</t>
  </si>
  <si>
    <t xml:space="preserve">Visceral area</t>
  </si>
  <si>
    <t xml:space="preserve">Dorsal auditory area, layer 4</t>
  </si>
  <si>
    <t xml:space="preserve">Superior central nucleus raphÈ</t>
  </si>
  <si>
    <t xml:space="preserve">Orbital area, ventrolateral part, layer 6b</t>
  </si>
  <si>
    <t xml:space="preserve">mammillotegmental tract</t>
  </si>
  <si>
    <t xml:space="preserve">Nucleus of the solitary tract, lateral part</t>
  </si>
  <si>
    <t xml:space="preserve">Posterior parietal association areas, layer 5</t>
  </si>
  <si>
    <t xml:space="preserve">Dorsomedial nucleus of the hypothalamus, ventral part</t>
  </si>
  <si>
    <t xml:space="preserve">Ventral medial nucleus of the thalamus</t>
  </si>
  <si>
    <t xml:space="preserve">Primary somatosensory area, layer 6a</t>
  </si>
  <si>
    <t xml:space="preserve">Cerebral cortex</t>
  </si>
  <si>
    <t xml:space="preserve">Ventrolateral preoptic nucleus</t>
  </si>
  <si>
    <t xml:space="preserve">mammilothalmic tract</t>
  </si>
  <si>
    <t xml:space="preserve">Nucleus of the solitary tract, medial part</t>
  </si>
  <si>
    <t xml:space="preserve">Perirhinal area, layer 5</t>
  </si>
  <si>
    <t xml:space="preserve">Ventromedial hypothalamic nucleus</t>
  </si>
  <si>
    <t xml:space="preserve">Agranular insular area, ventral part, layer 2/3</t>
  </si>
  <si>
    <t xml:space="preserve">Cortical plate</t>
  </si>
  <si>
    <t xml:space="preserve">Posterior auditory area, layer 1</t>
  </si>
  <si>
    <t xml:space="preserve">medial lemniscus</t>
  </si>
  <si>
    <t xml:space="preserve">Olfactory areas</t>
  </si>
  <si>
    <t xml:space="preserve">Agranular insular area, ventral part, layer 6b</t>
  </si>
  <si>
    <t xml:space="preserve">Anterior hypothalamic nucleus, anterior part</t>
  </si>
  <si>
    <t xml:space="preserve">Vestibular nuclei</t>
  </si>
  <si>
    <t xml:space="preserve">Primary somatosensory area, nose, layer 5</t>
  </si>
  <si>
    <t xml:space="preserve">Cortical subplate</t>
  </si>
  <si>
    <t xml:space="preserve">Agranular insular area, ventral part, layer 1</t>
  </si>
  <si>
    <t xml:space="preserve">midbrain tract of the trigeminal nerve</t>
  </si>
  <si>
    <t xml:space="preserve">Olivary pretectal nucleus</t>
  </si>
  <si>
    <t xml:space="preserve">Anterior hypothalamic nucleus, central part</t>
  </si>
  <si>
    <t xml:space="preserve">Ventral posterior complex of the thalamus</t>
  </si>
  <si>
    <t xml:space="preserve">abducens nerve</t>
  </si>
  <si>
    <t xml:space="preserve">Cuneate nucleus</t>
  </si>
  <si>
    <t xml:space="preserve">Entorhinal area, medial part, dorsal zone, layer 4</t>
  </si>
  <si>
    <t xml:space="preserve">perforant path</t>
  </si>
  <si>
    <t xml:space="preserve">Orbital area</t>
  </si>
  <si>
    <t xml:space="preserve">Entorhinal area, lateral part, layer 2a</t>
  </si>
  <si>
    <t xml:space="preserve">Anterior hypothalamic nucleus, dorsal part</t>
  </si>
  <si>
    <t xml:space="preserve">accessory spinal nerve</t>
  </si>
  <si>
    <t xml:space="preserve">Ventral posterolateral nucleus of the thalamus</t>
  </si>
  <si>
    <t xml:space="preserve">Primary somatosensory area, layer 6b</t>
  </si>
  <si>
    <t xml:space="preserve">Dorsal column nuclei</t>
  </si>
  <si>
    <t xml:space="preserve">Primary visual area, layer 4</t>
  </si>
  <si>
    <t xml:space="preserve">periventricular bundle of the thalamus</t>
  </si>
  <si>
    <t xml:space="preserve">Orbital area, lateral part</t>
  </si>
  <si>
    <t xml:space="preserve">Anterior hypothalamic nucleus, posterior part</t>
  </si>
  <si>
    <t xml:space="preserve">Ventral posterolateral nucleus of the thalamus, parvicellular part</t>
  </si>
  <si>
    <t xml:space="preserve">Entorhinal area, medial part, dorsal zone, layer 5</t>
  </si>
  <si>
    <t xml:space="preserve">arbor vitae</t>
  </si>
  <si>
    <t xml:space="preserve">Temporal association areas, layer 6a</t>
  </si>
  <si>
    <t xml:space="preserve">pineal stalk</t>
  </si>
  <si>
    <t xml:space="preserve">Orbital area, medial part</t>
  </si>
  <si>
    <t xml:space="preserve">Medial mammillary nucleus, median part</t>
  </si>
  <si>
    <t xml:space="preserve">Ventral posteromedial nucleus of the thalamus</t>
  </si>
  <si>
    <t xml:space="preserve">Dentate gyrus crest</t>
  </si>
  <si>
    <t xml:space="preserve">Primary auditory area, layer 1</t>
  </si>
  <si>
    <t xml:space="preserve">central tegmental bundle</t>
  </si>
  <si>
    <t xml:space="preserve">postcommissural fornix</t>
  </si>
  <si>
    <t xml:space="preserve">Orbital area, ventral part</t>
  </si>
  <si>
    <t xml:space="preserve">Anterior cingulate area, layer 5</t>
  </si>
  <si>
    <t xml:space="preserve">Medial preoptic nucleus, central part</t>
  </si>
  <si>
    <t xml:space="preserve">Ventral posteromedial nucleus of the thalamus, parvicellular part</t>
  </si>
  <si>
    <t xml:space="preserve">Dentate gyrus crest, molecular layer</t>
  </si>
  <si>
    <t xml:space="preserve">Entorhinal area, medial part, dorsal zone, layer 6</t>
  </si>
  <si>
    <t xml:space="preserve">cerebellar commissure</t>
  </si>
  <si>
    <t xml:space="preserve">precommissural fornix, general</t>
  </si>
  <si>
    <t xml:space="preserve">Orbital area, ventrolateral part</t>
  </si>
  <si>
    <t xml:space="preserve">Infralimbic area, layer 2</t>
  </si>
  <si>
    <t xml:space="preserve">Medial preoptic nucleus, lateral part</t>
  </si>
  <si>
    <t xml:space="preserve">Ventral tegmental area</t>
  </si>
  <si>
    <t xml:space="preserve">Posterolateral visual area, layer 1</t>
  </si>
  <si>
    <t xml:space="preserve">Dentate gyrus crest, polymorph layer</t>
  </si>
  <si>
    <t xml:space="preserve">cerebellar peduncles</t>
  </si>
  <si>
    <t xml:space="preserve">principal mammillary tract</t>
  </si>
  <si>
    <t xml:space="preserve">Olfactory tubercle</t>
  </si>
  <si>
    <t xml:space="preserve">Ventral auditory area, layer 2/3</t>
  </si>
  <si>
    <t xml:space="preserve">Medial preoptic nucleus, medial part</t>
  </si>
  <si>
    <t xml:space="preserve">Ventral tegmental nucleus</t>
  </si>
  <si>
    <t xml:space="preserve">Dentate gyrus crest, granule cell layer</t>
  </si>
  <si>
    <t xml:space="preserve">Posterior auditory area, layer 4</t>
  </si>
  <si>
    <t xml:space="preserve">cerebral nuclei related</t>
  </si>
  <si>
    <t xml:space="preserve">Ventromedial hypothalamic nucleus, anterior part</t>
  </si>
  <si>
    <t xml:space="preserve">propriohypothalamic pathways, dorsal</t>
  </si>
  <si>
    <t xml:space="preserve">Vascular organ of the lamina terminalis</t>
  </si>
  <si>
    <t xml:space="preserve">Entorhinal area, lateral part, layer 2b</t>
  </si>
  <si>
    <t xml:space="preserve">Nucleus x</t>
  </si>
  <si>
    <t xml:space="preserve">Dentate gyrus lateral blade</t>
  </si>
  <si>
    <t xml:space="preserve">Secondary motor area, layer 5</t>
  </si>
  <si>
    <t xml:space="preserve">cerebrum related</t>
  </si>
  <si>
    <t xml:space="preserve">Ventromedial hypothalamic nucleus, central part</t>
  </si>
  <si>
    <t xml:space="preserve">propriohypothalamic pathways, lateral</t>
  </si>
  <si>
    <t xml:space="preserve">Pons</t>
  </si>
  <si>
    <t xml:space="preserve">Hypoglossal nucleus</t>
  </si>
  <si>
    <t xml:space="preserve">Dentate gyrus lateral blade, molecular layer</t>
  </si>
  <si>
    <t xml:space="preserve">corpus callosum</t>
  </si>
  <si>
    <t xml:space="preserve">Ventromedial hypothalamic nucleus, dorsomedial part</t>
  </si>
  <si>
    <t xml:space="preserve">Primary visual area, layer 5</t>
  </si>
  <si>
    <t xml:space="preserve">propriohypothalamic pathways, medial</t>
  </si>
  <si>
    <t xml:space="preserve">Posterior amygdalar nucleus</t>
  </si>
  <si>
    <t xml:space="preserve">Nucleus y</t>
  </si>
  <si>
    <t xml:space="preserve">Dentate gyrus lateral blade, polymorph layer</t>
  </si>
  <si>
    <t xml:space="preserve">Agranular insular area, dorsal part, layer 6a</t>
  </si>
  <si>
    <t xml:space="preserve">corticospinal tract</t>
  </si>
  <si>
    <t xml:space="preserve">Ventromedial hypothalamic nucleus, ventrolateral part</t>
  </si>
  <si>
    <t xml:space="preserve">Temporal association areas, layer 6b</t>
  </si>
  <si>
    <t xml:space="preserve">propriohypothalamic pathways, ventral</t>
  </si>
  <si>
    <t xml:space="preserve">Piriform-amygdalar area</t>
  </si>
  <si>
    <t xml:space="preserve">Nucleus z</t>
  </si>
  <si>
    <t xml:space="preserve">Dentate gyrus lateral blade, granule cell layer</t>
  </si>
  <si>
    <t xml:space="preserve">Posterior auditory area, layer 5</t>
  </si>
  <si>
    <t xml:space="preserve">dorsal roots</t>
  </si>
  <si>
    <t xml:space="preserve">Primary somatosensory area, layer 1</t>
  </si>
  <si>
    <t xml:space="preserve">spinal tract of the trigeminal nerve</t>
  </si>
  <si>
    <t xml:space="preserve">Periaqueductal gray</t>
  </si>
  <si>
    <t xml:space="preserve">Dopaminergic A13 group</t>
  </si>
  <si>
    <t xml:space="preserve">Zona incerta</t>
  </si>
  <si>
    <t xml:space="preserve">facial nerve</t>
  </si>
  <si>
    <t xml:space="preserve">Dentate gyrus medial blade</t>
  </si>
  <si>
    <t xml:space="preserve">Agranular insular area, ventral part, layer 5</t>
  </si>
  <si>
    <t xml:space="preserve">Visual areas, layer 1</t>
  </si>
  <si>
    <t xml:space="preserve">stria medullaris</t>
  </si>
  <si>
    <t xml:space="preserve">Pallidum</t>
  </si>
  <si>
    <t xml:space="preserve">Fields of Forel</t>
  </si>
  <si>
    <t xml:space="preserve">posteromedial visual area, layer 1</t>
  </si>
  <si>
    <t xml:space="preserve">Supplemental somatosensory area, layer 2/3</t>
  </si>
  <si>
    <t xml:space="preserve">Dentate gyrus medial blade, molecular layer</t>
  </si>
  <si>
    <t xml:space="preserve">glossopharyngeal nerve</t>
  </si>
  <si>
    <t xml:space="preserve">Pallidum, caudal region</t>
  </si>
  <si>
    <t xml:space="preserve">Inferior colliculus, central nucleus</t>
  </si>
  <si>
    <t xml:space="preserve">superior cerebellar peduncle decussation</t>
  </si>
  <si>
    <t xml:space="preserve">hypoglossal nerve</t>
  </si>
  <si>
    <t xml:space="preserve">Dorsal peduncular area</t>
  </si>
  <si>
    <t xml:space="preserve">Dentate gyrus medial blade, polymorph layer</t>
  </si>
  <si>
    <t xml:space="preserve">Primary auditory area, layer 4</t>
  </si>
  <si>
    <t xml:space="preserve">supraoptic commissures, anterior</t>
  </si>
  <si>
    <t xml:space="preserve">Pallidum, dorsal region</t>
  </si>
  <si>
    <t xml:space="preserve">Inferior colliculus, dorsal nucleus</t>
  </si>
  <si>
    <t xml:space="preserve">Primary visual area, layer 2/3</t>
  </si>
  <si>
    <t xml:space="preserve">Retrohippocampal region</t>
  </si>
  <si>
    <t xml:space="preserve">Dentate gyrus medial blade, granule cell layer</t>
  </si>
  <si>
    <t xml:space="preserve">hypothalamus related</t>
  </si>
  <si>
    <t xml:space="preserve">supraoptic commissures, dorsal</t>
  </si>
  <si>
    <t xml:space="preserve">Pallidum, medial region</t>
  </si>
  <si>
    <t xml:space="preserve">Inferior colliculus, external nucleus</t>
  </si>
  <si>
    <t xml:space="preserve">Subiculum, dorsal part, molecular layer</t>
  </si>
  <si>
    <t xml:space="preserve">Dorsomedial nucleus of the hypothalamus</t>
  </si>
  <si>
    <t xml:space="preserve">Agranular insular area, dorsal part, layer 6b</t>
  </si>
  <si>
    <t xml:space="preserve">oculomotor nerve</t>
  </si>
  <si>
    <t xml:space="preserve">supraoptic commissures, ventral</t>
  </si>
  <si>
    <t xml:space="preserve">Superior colliculus, zonal layer</t>
  </si>
  <si>
    <t xml:space="preserve">Pallidum, ventral region</t>
  </si>
  <si>
    <t xml:space="preserve">Ectorhinal area/Layer 1</t>
  </si>
  <si>
    <t xml:space="preserve">Subiculum, dorsal part, stratum radiatum</t>
  </si>
  <si>
    <t xml:space="preserve">Primary somatosensory area, nose, layer 2/3</t>
  </si>
  <si>
    <t xml:space="preserve">Dorsal motor nucleus of the vagus nerve</t>
  </si>
  <si>
    <t xml:space="preserve">olfactory nerve</t>
  </si>
  <si>
    <t xml:space="preserve">trapezoid body</t>
  </si>
  <si>
    <t xml:space="preserve">Superior colliculus, superficial gray layer</t>
  </si>
  <si>
    <t xml:space="preserve">Parasubiculum</t>
  </si>
  <si>
    <t xml:space="preserve">Primary motor area, Layer 6a</t>
  </si>
  <si>
    <t xml:space="preserve">Subiculum, dorsal part, pyramidal layer</t>
  </si>
  <si>
    <t xml:space="preserve">Dentate nucleus</t>
  </si>
  <si>
    <t xml:space="preserve">Primary auditory area, layer 5</t>
  </si>
  <si>
    <t xml:space="preserve">optic nerve</t>
  </si>
  <si>
    <t xml:space="preserve">Visceral area, layer 6b</t>
  </si>
  <si>
    <t xml:space="preserve">uncinate fascicle</t>
  </si>
  <si>
    <t xml:space="preserve">Superior colliculus, optic layer</t>
  </si>
  <si>
    <t xml:space="preserve">Parvicellular reticular nucleus</t>
  </si>
  <si>
    <t xml:space="preserve">Subiculum, ventral part, molecular layer</t>
  </si>
  <si>
    <t xml:space="preserve">Primary somatosensory area, upper limb, layer 2/3</t>
  </si>
  <si>
    <t xml:space="preserve">retriculospinal tract</t>
  </si>
  <si>
    <t xml:space="preserve">Thalamus, polymodal association cortex related</t>
  </si>
  <si>
    <t xml:space="preserve">Visceral area, layer 6a</t>
  </si>
  <si>
    <t xml:space="preserve">ventral commissure of the spinal cord</t>
  </si>
  <si>
    <t xml:space="preserve">Parasolitary nucleus</t>
  </si>
  <si>
    <t xml:space="preserve">Parabrachial nucleus, lateral division, central lateral part</t>
  </si>
  <si>
    <t xml:space="preserve">Subiculum, ventral part, stratum radiatum</t>
  </si>
  <si>
    <t xml:space="preserve">Supplemental somatosensory area, layer 6a</t>
  </si>
  <si>
    <t xml:space="preserve">rubrospinal tract</t>
  </si>
  <si>
    <t xml:space="preserve">Thalamus, sensory-motor cortex related</t>
  </si>
  <si>
    <t xml:space="preserve">Primary somatosensory area, layer 4</t>
  </si>
  <si>
    <t xml:space="preserve">ventral spinocerebellar tract</t>
  </si>
  <si>
    <t xml:space="preserve">Parabrachial nucleus</t>
  </si>
  <si>
    <t xml:space="preserve">Parabrachial nucleus, lateral division, dorsal lateral part</t>
  </si>
  <si>
    <t xml:space="preserve">Posterolateral visual area, layer 4</t>
  </si>
  <si>
    <t xml:space="preserve">Subiculum, ventral part, pyramidal layer</t>
  </si>
  <si>
    <t xml:space="preserve">spinothalamic tract</t>
  </si>
  <si>
    <t xml:space="preserve">Dorsal nucleus raphÈ</t>
  </si>
  <si>
    <t xml:space="preserve">Supplemental somatosensory area, layer 1</t>
  </si>
  <si>
    <t xml:space="preserve">Parabigeminal nucleus</t>
  </si>
  <si>
    <t xml:space="preserve">Parabrachial nucleus, lateral division, external lateral part</t>
  </si>
  <si>
    <t xml:space="preserve">accessory optic tract</t>
  </si>
  <si>
    <t xml:space="preserve">tectospinal pathway</t>
  </si>
  <si>
    <t xml:space="preserve">Primary somatosensory area, mouth, layer 1</t>
  </si>
  <si>
    <t xml:space="preserve">Retrosplenial area, dorsal part</t>
  </si>
  <si>
    <t xml:space="preserve">Dorsal tegmental nucleus</t>
  </si>
  <si>
    <t xml:space="preserve">Parabrachial nucleus, lateral division</t>
  </si>
  <si>
    <t xml:space="preserve">Primary motor area, Layer 6b</t>
  </si>
  <si>
    <t xml:space="preserve">Parabrachial nucleus, lateral division, superior lateral part</t>
  </si>
  <si>
    <t xml:space="preserve">amygdalar capsule</t>
  </si>
  <si>
    <t xml:space="preserve">terminal nerve</t>
  </si>
  <si>
    <t xml:space="preserve">Retrosplenial area, ventral part</t>
  </si>
  <si>
    <t xml:space="preserve">Efferent cochlear group</t>
  </si>
  <si>
    <t xml:space="preserve">Perirhinal area, layer 2/3</t>
  </si>
  <si>
    <t xml:space="preserve">Primary somatosensory area, nose, layer 6a</t>
  </si>
  <si>
    <t xml:space="preserve">Parabrachial nucleus, medial division</t>
  </si>
  <si>
    <t xml:space="preserve">Parabrachial nucleus, lateral division, ventral lateral part</t>
  </si>
  <si>
    <t xml:space="preserve">ansa peduncularis</t>
  </si>
  <si>
    <t xml:space="preserve">Supplemental somatosensory area, layer 6b</t>
  </si>
  <si>
    <t xml:space="preserve">Ectorhinal area</t>
  </si>
  <si>
    <t xml:space="preserve">thalamus related</t>
  </si>
  <si>
    <t xml:space="preserve">Visceral area, layer 1</t>
  </si>
  <si>
    <t xml:space="preserve">Pontine central gray</t>
  </si>
  <si>
    <t xml:space="preserve">Parabrachial nucleus, medial division, external medial part</t>
  </si>
  <si>
    <t xml:space="preserve">anterior commissure, olfactory limb</t>
  </si>
  <si>
    <t xml:space="preserve">trigeminal nerve</t>
  </si>
  <si>
    <t xml:space="preserve">Posterolateral visual area, layer 5</t>
  </si>
  <si>
    <t xml:space="preserve">External cuneate nucleus</t>
  </si>
  <si>
    <t xml:space="preserve">Medial septal complex</t>
  </si>
  <si>
    <t xml:space="preserve">Anterolateral visual area, layer 2/3</t>
  </si>
  <si>
    <t xml:space="preserve">Paracentral nucleus</t>
  </si>
  <si>
    <t xml:space="preserve">anterior commissure, temporal limb</t>
  </si>
  <si>
    <t xml:space="preserve">Entorhinal area</t>
  </si>
  <si>
    <t xml:space="preserve">Orbital area, medial part, layer 6a</t>
  </si>
  <si>
    <t xml:space="preserve">trochlear nerve</t>
  </si>
  <si>
    <t xml:space="preserve">Lingula (I)</t>
  </si>
  <si>
    <t xml:space="preserve">Visual areas, layer 4</t>
  </si>
  <si>
    <t xml:space="preserve">Posterodorsal preoptic nucleus</t>
  </si>
  <si>
    <t xml:space="preserve">Parabrachial nucleus, medial division, medial medial part</t>
  </si>
  <si>
    <t xml:space="preserve">brachium of the superior colliculus</t>
  </si>
  <si>
    <t xml:space="preserve">vagus nerve</t>
  </si>
  <si>
    <t xml:space="preserve">Entorhinal area, lateral part</t>
  </si>
  <si>
    <t xml:space="preserve">Central lobule</t>
  </si>
  <si>
    <t xml:space="preserve">Primary somatosensory area, layer 5</t>
  </si>
  <si>
    <t xml:space="preserve">Perirhinal area</t>
  </si>
  <si>
    <t xml:space="preserve">Parabrachial nucleus, medial division, ventral medial part</t>
  </si>
  <si>
    <t xml:space="preserve">cerebal peduncle</t>
  </si>
  <si>
    <t xml:space="preserve">ventral roots</t>
  </si>
  <si>
    <t xml:space="preserve">Entorhinal area, medial part, dorsal zone</t>
  </si>
  <si>
    <t xml:space="preserve">Culmen</t>
  </si>
  <si>
    <t xml:space="preserve">Primary somatosensory area, nose, layer 6b</t>
  </si>
  <si>
    <t xml:space="preserve">Parafascicular nucleus</t>
  </si>
  <si>
    <t xml:space="preserve">Pontine gray</t>
  </si>
  <si>
    <t xml:space="preserve">cervicothalamic tract</t>
  </si>
  <si>
    <t xml:space="preserve">vestibulocochlear nerve</t>
  </si>
  <si>
    <t xml:space="preserve">Entorhinal area, medial part, ventral zone</t>
  </si>
  <si>
    <t xml:space="preserve">Declive (VI)</t>
  </si>
  <si>
    <t xml:space="preserve">Visual areas, layer 5</t>
  </si>
  <si>
    <t xml:space="preserve">Paragigantocellular reticular nucleus</t>
  </si>
  <si>
    <t xml:space="preserve">Nucleus ambiguus, dorsal division</t>
  </si>
  <si>
    <t xml:space="preserve">cingulum bundle</t>
  </si>
  <si>
    <t xml:space="preserve">vestibulospinal pathway</t>
  </si>
  <si>
    <t xml:space="preserve">Endopiriform nucleus</t>
  </si>
  <si>
    <t xml:space="preserve">Primary motor area, Layer 2/3</t>
  </si>
  <si>
    <t xml:space="preserve">Folium-tuber vermis (VII)</t>
  </si>
  <si>
    <t xml:space="preserve">Primary somatosensory area, upper limb, layer 6a</t>
  </si>
  <si>
    <t xml:space="preserve">Posterior hypothalamic nucleus</t>
  </si>
  <si>
    <t xml:space="preserve">Somatomotor areas, Layer 6b</t>
  </si>
  <si>
    <t xml:space="preserve">cochlear nerve</t>
  </si>
  <si>
    <t xml:space="preserve">vomeronasal nerve</t>
  </si>
  <si>
    <t xml:space="preserve">Primary somatosensory area, mouth, layer 4</t>
  </si>
  <si>
    <t xml:space="preserve">Pyramus (VIII)</t>
  </si>
  <si>
    <t xml:space="preserve">Endopiriform nucleus, dorsal part</t>
  </si>
  <si>
    <t xml:space="preserve">Pineal body</t>
  </si>
  <si>
    <t xml:space="preserve">Primary auditory area, layer 6a</t>
  </si>
  <si>
    <t xml:space="preserve">Lateral reticular nucleus, magnocellular part</t>
  </si>
  <si>
    <t xml:space="preserve">corpus callosum, anterior forceps</t>
  </si>
  <si>
    <t xml:space="preserve">Uvula (IX)</t>
  </si>
  <si>
    <t xml:space="preserve">Epithalamus</t>
  </si>
  <si>
    <t xml:space="preserve">Ventral auditory area, layer 1</t>
  </si>
  <si>
    <t xml:space="preserve">cerebellum related fiber tracts</t>
  </si>
  <si>
    <t xml:space="preserve">Piriform area</t>
  </si>
  <si>
    <t xml:space="preserve">Secondary motor area, layer 2/3</t>
  </si>
  <si>
    <t xml:space="preserve">Lateral reticular nucleus, parvicellular part</t>
  </si>
  <si>
    <t xml:space="preserve">corpus callosum, extreme capsule</t>
  </si>
  <si>
    <t xml:space="preserve">Endopiriform nucleus, ventral part</t>
  </si>
  <si>
    <t xml:space="preserve">cranial nerves</t>
  </si>
  <si>
    <t xml:space="preserve">Nodulus (X)</t>
  </si>
  <si>
    <t xml:space="preserve">Orbital area, ventrolateral part, layer 1</t>
  </si>
  <si>
    <t xml:space="preserve">Paragigantocellular reticular nucleus, dorsal part</t>
  </si>
  <si>
    <t xml:space="preserve">corpus callosum, posterior forceps</t>
  </si>
  <si>
    <t xml:space="preserve">Lateral visual area, layer 2/3</t>
  </si>
  <si>
    <t xml:space="preserve">Primary somatosensory area, mouth, layer 5</t>
  </si>
  <si>
    <t xml:space="preserve">Edinger-Westphal nucleus</t>
  </si>
  <si>
    <t xml:space="preserve">Lobule II</t>
  </si>
  <si>
    <t xml:space="preserve">Ectorhinal area/Layer 6a</t>
  </si>
  <si>
    <t xml:space="preserve">Paragigantocellular reticular nucleus, lateral part</t>
  </si>
  <si>
    <t xml:space="preserve">corpus callosum, rostrum</t>
  </si>
  <si>
    <t xml:space="preserve">Dorsal premammillary nucleus</t>
  </si>
  <si>
    <t xml:space="preserve">Primary somatosensory area, barrel field, layer 1</t>
  </si>
  <si>
    <t xml:space="preserve">Fasciola cinerea</t>
  </si>
  <si>
    <t xml:space="preserve">lateral forebrain bundle system</t>
  </si>
  <si>
    <t xml:space="preserve">Lobule III</t>
  </si>
  <si>
    <t xml:space="preserve">Primary motor area</t>
  </si>
  <si>
    <t xml:space="preserve">corpus callosum, splenium</t>
  </si>
  <si>
    <t xml:space="preserve">Pons, motor related</t>
  </si>
  <si>
    <t xml:space="preserve">Ectorhinal area/Layer 5</t>
  </si>
  <si>
    <t xml:space="preserve">Fastigial nucleus</t>
  </si>
  <si>
    <t xml:space="preserve">Ventral auditory area, layer 4</t>
  </si>
  <si>
    <t xml:space="preserve">medial forebrain bundle system</t>
  </si>
  <si>
    <t xml:space="preserve">Lobule IV</t>
  </si>
  <si>
    <t xml:space="preserve">Secondary motor area</t>
  </si>
  <si>
    <t xml:space="preserve">corticobulbar tract</t>
  </si>
  <si>
    <t xml:space="preserve">Paramedian reticular nucleus</t>
  </si>
  <si>
    <t xml:space="preserve">Agranular insular area, dorsal part, layer 1</t>
  </si>
  <si>
    <t xml:space="preserve">root</t>
  </si>
  <si>
    <t xml:space="preserve">Fundus of striatum</t>
  </si>
  <si>
    <t xml:space="preserve">Entorhinal area, lateral part, layer 2/3</t>
  </si>
  <si>
    <t xml:space="preserve">extrapyramidal fiber systems</t>
  </si>
  <si>
    <t xml:space="preserve">Lobule V</t>
  </si>
  <si>
    <t xml:space="preserve">Primary auditory area</t>
  </si>
  <si>
    <t xml:space="preserve">corticopontine tract</t>
  </si>
  <si>
    <t xml:space="preserve">Ventral premammillary nucleus</t>
  </si>
  <si>
    <t xml:space="preserve">Primary auditory area, layer 6b</t>
  </si>
  <si>
    <t xml:space="preserve">Primary somatosensory area, trunk, layer 1</t>
  </si>
  <si>
    <t xml:space="preserve">Simple lobule</t>
  </si>
  <si>
    <t xml:space="preserve">Geniculate group, dorsal thalamus</t>
  </si>
  <si>
    <t xml:space="preserve">fiber tracts</t>
  </si>
  <si>
    <t xml:space="preserve">Visceral area, layer 4</t>
  </si>
  <si>
    <t xml:space="preserve">Dorsal auditory area</t>
  </si>
  <si>
    <t xml:space="preserve">corticorubral tract</t>
  </si>
  <si>
    <t xml:space="preserve">Geniculate group, ventral thalamus</t>
  </si>
  <si>
    <t xml:space="preserve">olfactory nerve layer of main olfactory bulb</t>
  </si>
  <si>
    <t xml:space="preserve">Ansiform lobule</t>
  </si>
  <si>
    <t xml:space="preserve">Ventral auditory area</t>
  </si>
  <si>
    <t xml:space="preserve">corticospinal tract, crossed</t>
  </si>
  <si>
    <t xml:space="preserve">Posterior complex of the thalamus</t>
  </si>
  <si>
    <t xml:space="preserve">Secondary motor area, layer 6a</t>
  </si>
  <si>
    <t xml:space="preserve">Globus pallidus, external segment</t>
  </si>
  <si>
    <t xml:space="preserve">Ventral auditory area, layer 5</t>
  </si>
  <si>
    <t xml:space="preserve">grooves</t>
  </si>
  <si>
    <t xml:space="preserve">Paramedian lobule</t>
  </si>
  <si>
    <t xml:space="preserve">Primary somatosensory area, upper limb, layer 6b</t>
  </si>
  <si>
    <t xml:space="preserve">Posterior auditory area</t>
  </si>
  <si>
    <t xml:space="preserve">corticospinal tract, uncrossed</t>
  </si>
  <si>
    <t xml:space="preserve">Posterior limiting nucleus of the thalamus</t>
  </si>
  <si>
    <t xml:space="preserve">Primary somatosensory area, lower limb, layer 1</t>
  </si>
  <si>
    <t xml:space="preserve">Globus pallidus, internal segment</t>
  </si>
  <si>
    <t xml:space="preserve">grooves of the cerebral cortex</t>
  </si>
  <si>
    <t xml:space="preserve">Copula pyramidis</t>
  </si>
  <si>
    <t xml:space="preserve">Taenia tecta, dorsal part, layer 1</t>
  </si>
  <si>
    <t xml:space="preserve">Supplemental somatosensory area, layer 4</t>
  </si>
  <si>
    <t xml:space="preserve">corticotectal tract</t>
  </si>
  <si>
    <t xml:space="preserve">Postsubiculum</t>
  </si>
  <si>
    <t xml:space="preserve">Primary somatosensory area, barrel field, layer 6a</t>
  </si>
  <si>
    <t xml:space="preserve">Gracile nucleus</t>
  </si>
  <si>
    <t xml:space="preserve">grooves of the cerebellar cortex</t>
  </si>
  <si>
    <t xml:space="preserve">Paraflocculus</t>
  </si>
  <si>
    <t xml:space="preserve">Taenia tecta, dorsal part, layer 2</t>
  </si>
  <si>
    <t xml:space="preserve">crossed tectospinal pathway</t>
  </si>
  <si>
    <t xml:space="preserve">Peripeduncular nucleus</t>
  </si>
  <si>
    <t xml:space="preserve">Ectorhinal area/Layer 6b</t>
  </si>
  <si>
    <t xml:space="preserve">Anteromedial visual area, layer 6a</t>
  </si>
  <si>
    <t xml:space="preserve">Primary somatosensory area, barrel field, layer 4</t>
  </si>
  <si>
    <t xml:space="preserve">Gigantocellular reticular nucleus</t>
  </si>
  <si>
    <t xml:space="preserve">Flocculus</t>
  </si>
  <si>
    <t xml:space="preserve">Taenia tecta, dorsal part, layer 3</t>
  </si>
  <si>
    <t xml:space="preserve">direct tectospinal pathway</t>
  </si>
  <si>
    <t xml:space="preserve">Pedunculopontine nucleus</t>
  </si>
  <si>
    <t xml:space="preserve">Anterior cingulate area, layer 2/3</t>
  </si>
  <si>
    <t xml:space="preserve">endorhinal groove</t>
  </si>
  <si>
    <t xml:space="preserve">Crus 1</t>
  </si>
  <si>
    <t xml:space="preserve">Gustatory areas</t>
  </si>
  <si>
    <t xml:space="preserve">Visceral area, layer 5</t>
  </si>
  <si>
    <t xml:space="preserve">Taenia tecta, dorsal part, layer 4</t>
  </si>
  <si>
    <t xml:space="preserve">doral tegmental decussation</t>
  </si>
  <si>
    <t xml:space="preserve">Posterior pretectal nucleus</t>
  </si>
  <si>
    <t xml:space="preserve">Primary somatosensory area, barrel field, layer 6b</t>
  </si>
  <si>
    <t xml:space="preserve">hippocampal fissure</t>
  </si>
  <si>
    <t xml:space="preserve">Crus 2</t>
  </si>
  <si>
    <t xml:space="preserve">Hindbrain</t>
  </si>
  <si>
    <t xml:space="preserve">Anteromedial visual area, layer 2/3</t>
  </si>
  <si>
    <t xml:space="preserve">Taenia tecta, ventral part, layer 1</t>
  </si>
  <si>
    <t xml:space="preserve">dorsal thalamus related</t>
  </si>
  <si>
    <t xml:space="preserve">Parapyramidal nucleus</t>
  </si>
  <si>
    <t xml:space="preserve">Primary somatosensory area, barrel field, layer 5 </t>
  </si>
  <si>
    <t xml:space="preserve">rhinal fissure</t>
  </si>
  <si>
    <t xml:space="preserve">Medial geniculate complex, dorsal part</t>
  </si>
  <si>
    <t xml:space="preserve">Hemispheric regions</t>
  </si>
  <si>
    <t xml:space="preserve">Anterolateral visual area, layer 1</t>
  </si>
  <si>
    <t xml:space="preserve">Taenia tecta, ventral part, layer 2</t>
  </si>
  <si>
    <t xml:space="preserve">efferent cochleovestibular bundle</t>
  </si>
  <si>
    <t xml:space="preserve">Perireunensis nucleus</t>
  </si>
  <si>
    <t xml:space="preserve">rhinal incisure</t>
  </si>
  <si>
    <t xml:space="preserve">Medial geniculate complex, ventral part</t>
  </si>
  <si>
    <t xml:space="preserve">Hippocampal region</t>
  </si>
  <si>
    <t xml:space="preserve">Taenia tecta, ventral part, layer 3</t>
  </si>
  <si>
    <t xml:space="preserve">epithalamus related</t>
  </si>
  <si>
    <t xml:space="preserve">Presubiculum</t>
  </si>
  <si>
    <t xml:space="preserve">Secondary motor area, layer 6b</t>
  </si>
  <si>
    <t xml:space="preserve">Primary somatosensory area, trunk, layer 4</t>
  </si>
  <si>
    <t xml:space="preserve">precentral fissure</t>
  </si>
  <si>
    <t xml:space="preserve">Medial geniculate complex, medial part</t>
  </si>
  <si>
    <t xml:space="preserve">Hippocampal formation</t>
  </si>
  <si>
    <t xml:space="preserve">Supplemental somatosensory area, layer 5</t>
  </si>
  <si>
    <t xml:space="preserve">Lobules IV-V</t>
  </si>
  <si>
    <t xml:space="preserve">external medullary lamina of the thalamus</t>
  </si>
  <si>
    <t xml:space="preserve">Pontine reticular nucleus, caudal part</t>
  </si>
  <si>
    <t xml:space="preserve">Primary somatosensory area, lower limb, layer 4</t>
  </si>
  <si>
    <t xml:space="preserve">preculminate fissure</t>
  </si>
  <si>
    <t xml:space="preserve">Anteromedial nucleus, dorsal part</t>
  </si>
  <si>
    <t xml:space="preserve">Hypothalamus</t>
  </si>
  <si>
    <t xml:space="preserve">Medullary reticular nucleus, dorsal part</t>
  </si>
  <si>
    <t xml:space="preserve">fornix system</t>
  </si>
  <si>
    <t xml:space="preserve">Pretectal region</t>
  </si>
  <si>
    <t xml:space="preserve">Agranular insular area, dorsal part, layer 5</t>
  </si>
  <si>
    <t xml:space="preserve">Primary somatosensory area, mouth, layer 6a</t>
  </si>
  <si>
    <t xml:space="preserve">primary fissure</t>
  </si>
  <si>
    <t xml:space="preserve">Anteromedial nucleus, ventral part</t>
  </si>
  <si>
    <t xml:space="preserve">Intercalated amygdalar nucleus</t>
  </si>
  <si>
    <t xml:space="preserve">Visceral area, layer 2/3</t>
  </si>
  <si>
    <t xml:space="preserve">Medullary reticular nucleus, ventral part</t>
  </si>
  <si>
    <t xml:space="preserve">genu of corpus callosum</t>
  </si>
  <si>
    <t xml:space="preserve">Parastrial nucleus</t>
  </si>
  <si>
    <t xml:space="preserve">Supramammillary nucleus, lateral part</t>
  </si>
  <si>
    <t xml:space="preserve">Primary somatosensory area, trunk, layer 5</t>
  </si>
  <si>
    <t xml:space="preserve">posterior superior fissure</t>
  </si>
  <si>
    <t xml:space="preserve">Interanterodorsal nucleus of the thalamus</t>
  </si>
  <si>
    <t xml:space="preserve">Anterolateral visual area, layer 4</t>
  </si>
  <si>
    <t xml:space="preserve">genu of the facial nerve</t>
  </si>
  <si>
    <t xml:space="preserve">Pons, behavioral state related</t>
  </si>
  <si>
    <t xml:space="preserve">Supramammillary nucleus, medial part</t>
  </si>
  <si>
    <t xml:space="preserve">prepyramidal fissure</t>
  </si>
  <si>
    <t xml:space="preserve">Interanteromedial nucleus of the thalamus</t>
  </si>
  <si>
    <t xml:space="preserve">Entorhinal area, lateral part, layer 1</t>
  </si>
  <si>
    <t xml:space="preserve">inferior cerebellar peduncle</t>
  </si>
  <si>
    <t xml:space="preserve">Suprachiasmatic preoptic nucleus</t>
  </si>
  <si>
    <t xml:space="preserve">Orbital area, ventrolateral part, layer 5</t>
  </si>
  <si>
    <t xml:space="preserve">Tuberomammillary nucleus, dorsal part</t>
  </si>
  <si>
    <t xml:space="preserve">Temporal association areas, layer 2/3</t>
  </si>
  <si>
    <t xml:space="preserve">Primary somatosensory area, lower limb, layer 5</t>
  </si>
  <si>
    <t xml:space="preserve">Interbrain</t>
  </si>
  <si>
    <t xml:space="preserve">intermediate nerve</t>
  </si>
  <si>
    <t xml:space="preserve">Pons, sensory related</t>
  </si>
  <si>
    <t xml:space="preserve">Entorhinal area, medial part, ventral zone, layer 5/6</t>
  </si>
  <si>
    <t xml:space="preserve">Nucleus of the lateral olfactory tract, layer 3</t>
  </si>
  <si>
    <t xml:space="preserve">Postpiriform transition area, layers 1</t>
  </si>
  <si>
    <t xml:space="preserve">Postpiriform transition area, layers 2</t>
  </si>
  <si>
    <t xml:space="preserve">Postpiriform transition area, layers 3</t>
  </si>
  <si>
    <t xml:space="preserve">Cerebellar cortex, granular layer</t>
  </si>
  <si>
    <t xml:space="preserve">Cerebellar cortex, molecular layer</t>
  </si>
  <si>
    <t xml:space="preserve">Cerebellar cortex, Purkinje layer</t>
  </si>
  <si>
    <t xml:space="preserve">Median eminence</t>
  </si>
  <si>
    <t xml:space="preserve">Simple lobule, granular layer</t>
  </si>
  <si>
    <t xml:space="preserve">Simple lobule, Purkinje layer</t>
  </si>
  <si>
    <t xml:space="preserve">Simple lobule, molecular layer</t>
  </si>
  <si>
    <t xml:space="preserve">Crus 1, granular layer</t>
  </si>
  <si>
    <t xml:space="preserve">Crus 1, Purkinje layer</t>
  </si>
  <si>
    <t xml:space="preserve">Crus 1, molecular layer</t>
  </si>
  <si>
    <t xml:space="preserve">Crus 2, granular layer</t>
  </si>
  <si>
    <t xml:space="preserve">Crus 2, Purkinje layer</t>
  </si>
  <si>
    <t xml:space="preserve">Crus 2, molecular layer</t>
  </si>
  <si>
    <t xml:space="preserve">Paramedian lobule, granular layer</t>
  </si>
  <si>
    <t xml:space="preserve">Paramedian lobule, Purkinje layer</t>
  </si>
  <si>
    <t xml:space="preserve">Paramedian lobule, molecular layer</t>
  </si>
  <si>
    <t xml:space="preserve">Copula pyramidis, granular layer</t>
  </si>
  <si>
    <t xml:space="preserve">Copula pyramidis, Purkinje layer</t>
  </si>
  <si>
    <t xml:space="preserve">Copula pyramidis, molecular layer</t>
  </si>
  <si>
    <t xml:space="preserve">Paraflocculus, granular layer</t>
  </si>
  <si>
    <t xml:space="preserve">Paraflocculus, Purkinje layer</t>
  </si>
  <si>
    <t xml:space="preserve">Paraflocculus, molecular layer</t>
  </si>
  <si>
    <t xml:space="preserve">Flocculus, granular layer</t>
  </si>
  <si>
    <t xml:space="preserve">Flocculus, Purkinje layer</t>
  </si>
  <si>
    <t xml:space="preserve">Flocculus, molecular layer</t>
  </si>
  <si>
    <t xml:space="preserve">Parasubiculum, layer 1</t>
  </si>
  <si>
    <t xml:space="preserve">Parasubiculum, layer 2</t>
  </si>
  <si>
    <t xml:space="preserve">Parasubiculum, layer 3</t>
  </si>
  <si>
    <t xml:space="preserve">Postsubiculum, layer 1</t>
  </si>
  <si>
    <t xml:space="preserve">Postsubiculum, layer 2</t>
  </si>
  <si>
    <t xml:space="preserve">Postsubiculum, layer 3</t>
  </si>
  <si>
    <t xml:space="preserve">Presubiculum, layer 1</t>
  </si>
  <si>
    <t xml:space="preserve">Presubiculum, layer 2</t>
  </si>
  <si>
    <t xml:space="preserve">Presubiculum, layer 3</t>
  </si>
  <si>
    <t xml:space="preserve">Dentate gyrus, subgranular zone</t>
  </si>
  <si>
    <t xml:space="preserve">Lingula (I), granular layer</t>
  </si>
  <si>
    <t xml:space="preserve">Lingula (I), Purkinje layer</t>
  </si>
  <si>
    <t xml:space="preserve">Lingula (I), molecular layer</t>
  </si>
  <si>
    <t xml:space="preserve">Lobule II, granular layer</t>
  </si>
  <si>
    <t xml:space="preserve">Lobule II, Purkinje layer</t>
  </si>
  <si>
    <t xml:space="preserve">Lobule II, molecular layer</t>
  </si>
  <si>
    <t xml:space="preserve">Lobule III, granular layer</t>
  </si>
  <si>
    <t xml:space="preserve">Lobule III, Purkinje layer</t>
  </si>
  <si>
    <t xml:space="preserve">Lobule III, molecular layer</t>
  </si>
  <si>
    <t xml:space="preserve">Lobule IV, granular layer</t>
  </si>
  <si>
    <t xml:space="preserve">Lobule IV, Purkinje layer</t>
  </si>
  <si>
    <t xml:space="preserve">Lobule IV, molecular layer</t>
  </si>
  <si>
    <t xml:space="preserve">Lobule V, granular layer</t>
  </si>
  <si>
    <t xml:space="preserve">Lobule V, Purkinje layer</t>
  </si>
  <si>
    <t xml:space="preserve">Lobule V, molecular layer</t>
  </si>
  <si>
    <t xml:space="preserve">Lobules IV-V, granular layer</t>
  </si>
  <si>
    <t xml:space="preserve">Lobules IV-V, Purkinje layer</t>
  </si>
  <si>
    <t xml:space="preserve">Lobules IV-V, molecular layer</t>
  </si>
  <si>
    <t xml:space="preserve">Declive (VI), granular layer</t>
  </si>
  <si>
    <t xml:space="preserve">Declive (VI), Purkinje layer</t>
  </si>
  <si>
    <t xml:space="preserve">Declive (VI), molecular layer</t>
  </si>
  <si>
    <t xml:space="preserve">Folium-tuber vermis (VII), granular layer</t>
  </si>
  <si>
    <t xml:space="preserve">Folium-tuber vermis (VII), Purkinje layer</t>
  </si>
  <si>
    <t xml:space="preserve">Folium-tuber vermis (VII), molecular layer</t>
  </si>
  <si>
    <t xml:space="preserve">Pyramus (VIII), granular layer</t>
  </si>
  <si>
    <t xml:space="preserve">Pyramus (VIII), Purkinje layer</t>
  </si>
  <si>
    <t xml:space="preserve">Pyramus (VIII), molecular layer</t>
  </si>
  <si>
    <t xml:space="preserve">Uvula (IX), granular layer</t>
  </si>
  <si>
    <t xml:space="preserve">Uvula (IX), Purkinje layer</t>
  </si>
  <si>
    <t xml:space="preserve">Uvula (IX), molecular layer</t>
  </si>
  <si>
    <t xml:space="preserve">Nodulus (X), granular layer</t>
  </si>
  <si>
    <t xml:space="preserve">Nodulus (X), Purkinje layer</t>
  </si>
  <si>
    <t xml:space="preserve">Nodulus (X), molecular layer</t>
  </si>
  <si>
    <t xml:space="preserve">Somatosensory areas, layer 1</t>
  </si>
  <si>
    <t xml:space="preserve">Somatosensory areas, layer 2/3</t>
  </si>
  <si>
    <t xml:space="preserve">Somatosensory areas, layer 4</t>
  </si>
  <si>
    <t xml:space="preserve">Somatosensory areas, layer 5</t>
  </si>
  <si>
    <t xml:space="preserve">Somatosensory areas, layer 6a</t>
  </si>
  <si>
    <t xml:space="preserve">Somatosensory areas, layer 6b</t>
  </si>
  <si>
    <t xml:space="preserve">Ammon's horn ventral</t>
  </si>
  <si>
    <t xml:space="preserve">Field CA1, stratum lacunosum-moleculare ventral</t>
  </si>
  <si>
    <t xml:space="preserve">Field CA1, stratum oriens ventral</t>
  </si>
  <si>
    <t xml:space="preserve">Field CA1, pyramidal layer ventral</t>
  </si>
  <si>
    <t xml:space="preserve">Field CA1, stratum radiatum ventral</t>
  </si>
  <si>
    <t xml:space="preserve">Field CA2 ventral</t>
  </si>
  <si>
    <t xml:space="preserve">Field CA2, stratum lacunosum-moleculare ventral</t>
  </si>
  <si>
    <t xml:space="preserve">Field CA2, stratum oriens ventral</t>
  </si>
  <si>
    <t xml:space="preserve">Field CA2, pyramidal layer ventral</t>
  </si>
  <si>
    <t xml:space="preserve">Field CA2, stratum radiatum ventral</t>
  </si>
  <si>
    <t xml:space="preserve">Field CA3, stratum lacunosum-moleculare ventral</t>
  </si>
  <si>
    <t xml:space="preserve">Field CA3, stratum lucidum ventral</t>
  </si>
  <si>
    <t xml:space="preserve">Field CA3, stratum oriens ventral</t>
  </si>
  <si>
    <t xml:space="preserve">Field CA3, pyramidal layer ventral</t>
  </si>
  <si>
    <t xml:space="preserve">Field CA3, stratum radiatum ventral</t>
  </si>
  <si>
    <t xml:space="preserve">Dentate gyrus crest ventral</t>
  </si>
  <si>
    <t xml:space="preserve">Dentate gyrus crest, molecular layer ventral</t>
  </si>
  <si>
    <t xml:space="preserve">Dentate gyrus crest, polymorph layer  ventral</t>
  </si>
  <si>
    <t xml:space="preserve">Dentate gyrus crest, granule cell layer ventral</t>
  </si>
  <si>
    <t xml:space="preserve">Dentate gyrus lateral blade ventral</t>
  </si>
  <si>
    <t xml:space="preserve">Dentate gyrus lateral blade, molecular layer ventral</t>
  </si>
  <si>
    <t xml:space="preserve">Dentate gyrus lateral blade, polymorph layer ventral</t>
  </si>
  <si>
    <t xml:space="preserve">Dentate gyrus lateral blade, granule cell layer ventral</t>
  </si>
  <si>
    <t xml:space="preserve">Dentate gyrus medial blade ventral</t>
  </si>
  <si>
    <t xml:space="preserve">Dentate gyrus medial blade, molecular layer ventral</t>
  </si>
  <si>
    <t xml:space="preserve">Dentate gyrus medial blade, polymorph layer ventral ventral</t>
  </si>
  <si>
    <t xml:space="preserve">Dentate gyrus medial blade, granule cell layer ventral ventral</t>
  </si>
  <si>
    <t xml:space="preserve">Dentate gyrus, molecular layer ventral</t>
  </si>
  <si>
    <t xml:space="preserve">Dentate gyrus, polymorph layer ventral</t>
  </si>
  <si>
    <t xml:space="preserve">Unlabeled</t>
  </si>
  <si>
    <t xml:space="preserve">Salience network</t>
  </si>
  <si>
    <t xml:space="preserve">Amy</t>
  </si>
  <si>
    <t xml:space="preserve">Amygdala</t>
  </si>
  <si>
    <t xml:space="preserve">AI</t>
  </si>
  <si>
    <t xml:space="preserve">Anterior Insula</t>
  </si>
  <si>
    <t xml:space="preserve">CPu</t>
  </si>
  <si>
    <t xml:space="preserve">NAc</t>
  </si>
  <si>
    <t xml:space="preserve">BNST</t>
  </si>
  <si>
    <t xml:space="preserve">PAG</t>
  </si>
  <si>
    <t xml:space="preserve">aHyp</t>
  </si>
  <si>
    <t xml:space="preserve">Executive control network</t>
  </si>
  <si>
    <t xml:space="preserve">PtA / FEF / M2</t>
  </si>
  <si>
    <t xml:space="preserve">Secondary Motor Cortex</t>
  </si>
  <si>
    <t xml:space="preserve">Default mode network</t>
  </si>
  <si>
    <t xml:space="preserve">Cg</t>
  </si>
  <si>
    <t xml:space="preserve">Cingulate cortex</t>
  </si>
  <si>
    <t xml:space="preserve">mOFC / MO</t>
  </si>
  <si>
    <t xml:space="preserve">Medial orbital cortex</t>
  </si>
  <si>
    <t xml:space="preserve">Ent</t>
  </si>
  <si>
    <t xml:space="preserve">Entorhinal cortex</t>
  </si>
  <si>
    <t xml:space="preserve">SEM 0</t>
  </si>
  <si>
    <t xml:space="preserve">SEM 1</t>
  </si>
  <si>
    <t xml:space="preserve">PVT</t>
  </si>
  <si>
    <t xml:space="preserve">Paraventricular thalamic nucleus</t>
  </si>
  <si>
    <t xml:space="preserve">Nre</t>
  </si>
  <si>
    <t xml:space="preserve">Order</t>
  </si>
  <si>
    <t xml:space="preserve">ID</t>
  </si>
  <si>
    <t xml:space="preserve">Animal</t>
  </si>
  <si>
    <t xml:space="preserve">Primary somatosensory area, barrel field, layer 5</t>
  </si>
  <si>
    <t xml:space="preserve">Interfascicular nucleus raphÃË</t>
  </si>
  <si>
    <t xml:space="preserve">Central linear nucleus raphÃË</t>
  </si>
  <si>
    <t xml:space="preserve">Dorsal nucleus raphÃË</t>
  </si>
  <si>
    <t xml:space="preserve">Superior central nucleus raphÃË</t>
  </si>
  <si>
    <t xml:space="preserve">Nucleus raphÃË pontis</t>
  </si>
  <si>
    <t xml:space="preserve">Nucleus raphÃË magnus</t>
  </si>
  <si>
    <t xml:space="preserve">Nucleus raphÃË pallidus</t>
  </si>
  <si>
    <t xml:space="preserve">Nucleus raphÃË obscurus</t>
  </si>
  <si>
    <t xml:space="preserve">Difference</t>
  </si>
  <si>
    <t xml:space="preserve">Z score</t>
  </si>
  <si>
    <t xml:space="preserve">Area</t>
  </si>
  <si>
    <t xml:space="preserve">Region1</t>
  </si>
  <si>
    <t xml:space="preserve">Region2</t>
  </si>
  <si>
    <t xml:space="preserve">Region3</t>
  </si>
  <si>
    <t xml:space="preserve">Region4</t>
  </si>
  <si>
    <t xml:space="preserve">Region5</t>
  </si>
  <si>
    <t xml:space="preserve">Region6</t>
  </si>
  <si>
    <t xml:space="preserve">Region7</t>
  </si>
  <si>
    <t xml:space="preserve">Number</t>
  </si>
  <si>
    <t xml:space="preserve">Region</t>
  </si>
  <si>
    <t xml:space="preserve">Cluster</t>
  </si>
  <si>
    <t xml:space="preserve">Kolom1</t>
  </si>
  <si>
    <t xml:space="preserve">Grey</t>
  </si>
  <si>
    <t xml:space="preserve">Frontal pole</t>
  </si>
  <si>
    <t xml:space="preserve">frontal pole</t>
  </si>
  <si>
    <t xml:space="preserve">somatomotor</t>
  </si>
  <si>
    <t xml:space="preserve">primary motor</t>
  </si>
  <si>
    <t xml:space="preserve">Somatomotor areas </t>
  </si>
  <si>
    <t xml:space="preserve">secondary motor</t>
  </si>
  <si>
    <t xml:space="preserve">primary somatosensory</t>
  </si>
  <si>
    <t xml:space="preserve">somatosensory </t>
  </si>
  <si>
    <t xml:space="preserve">supplemental somatosensory</t>
  </si>
  <si>
    <t xml:space="preserve">gustatory</t>
  </si>
  <si>
    <t xml:space="preserve">visceral</t>
  </si>
  <si>
    <t xml:space="preserve">primary motor area</t>
  </si>
  <si>
    <t xml:space="preserve">auditory</t>
  </si>
  <si>
    <t xml:space="preserve">primary auditory</t>
  </si>
  <si>
    <t xml:space="preserve">posterior auditory</t>
  </si>
  <si>
    <t xml:space="preserve">ventral auditory</t>
  </si>
  <si>
    <t xml:space="preserve">visual</t>
  </si>
  <si>
    <t xml:space="preserve">anterolateral visual</t>
  </si>
  <si>
    <t xml:space="preserve">secondary motor area </t>
  </si>
  <si>
    <t xml:space="preserve">anteromedial visual</t>
  </si>
  <si>
    <t xml:space="preserve">lateral visual</t>
  </si>
  <si>
    <t xml:space="preserve">primary visual</t>
  </si>
  <si>
    <t xml:space="preserve">posterolateral visual</t>
  </si>
  <si>
    <t xml:space="preserve">posteromedial visual</t>
  </si>
  <si>
    <t xml:space="preserve">dACC</t>
  </si>
  <si>
    <t xml:space="preserve">vACC</t>
  </si>
  <si>
    <t xml:space="preserve">PrL</t>
  </si>
  <si>
    <t xml:space="preserve">orbital</t>
  </si>
  <si>
    <t xml:space="preserve">lateral orbital</t>
  </si>
  <si>
    <t xml:space="preserve">medial orbital</t>
  </si>
  <si>
    <t xml:space="preserve">primary somatosensory area</t>
  </si>
  <si>
    <t xml:space="preserve">ventral orbital</t>
  </si>
  <si>
    <t xml:space="preserve">agranular insula, dorsal</t>
  </si>
  <si>
    <t xml:space="preserve">agranular insula posterior</t>
  </si>
  <si>
    <t xml:space="preserve">agranular insula, ventral</t>
  </si>
  <si>
    <t xml:space="preserve">RSP lateral agranular</t>
  </si>
  <si>
    <t xml:space="preserve">RS dorsal</t>
  </si>
  <si>
    <t xml:space="preserve">SS, nose</t>
  </si>
  <si>
    <t xml:space="preserve">RSP ventral</t>
  </si>
  <si>
    <t xml:space="preserve">parietal association</t>
  </si>
  <si>
    <t xml:space="preserve">temporal association</t>
  </si>
  <si>
    <t xml:space="preserve">PRh</t>
  </si>
  <si>
    <t xml:space="preserve">Ectorhinal</t>
  </si>
  <si>
    <t xml:space="preserve">olfactory</t>
  </si>
  <si>
    <t xml:space="preserve">dCA2</t>
  </si>
  <si>
    <t xml:space="preserve">SS, barrel</t>
  </si>
  <si>
    <t xml:space="preserve">vCA2</t>
  </si>
  <si>
    <t xml:space="preserve">Entorhinal, lateral</t>
  </si>
  <si>
    <t xml:space="preserve">SS, lower limb</t>
  </si>
  <si>
    <t xml:space="preserve">Entorhinal, medial</t>
  </si>
  <si>
    <t xml:space="preserve">Entorhinal, ventral</t>
  </si>
  <si>
    <t xml:space="preserve">SS, mouth</t>
  </si>
  <si>
    <t xml:space="preserve">SS, upper limb</t>
  </si>
  <si>
    <t xml:space="preserve">SS, trunk</t>
  </si>
  <si>
    <t xml:space="preserve">supplemental somatosensory area</t>
  </si>
  <si>
    <t xml:space="preserve">gustatory areas</t>
  </si>
  <si>
    <t xml:space="preserve">visceral area</t>
  </si>
  <si>
    <t xml:space="preserve">auditory areas</t>
  </si>
  <si>
    <t xml:space="preserve">dorsal auditory area</t>
  </si>
  <si>
    <t xml:space="preserve">primary auditory area</t>
  </si>
  <si>
    <t xml:space="preserve">posterior auditory area</t>
  </si>
  <si>
    <t xml:space="preserve">primary-posterior auditory</t>
  </si>
  <si>
    <t xml:space="preserve">ventral auditory area</t>
  </si>
  <si>
    <t xml:space="preserve">visual areas </t>
  </si>
  <si>
    <t xml:space="preserve">anterolateral visual area</t>
  </si>
  <si>
    <t xml:space="preserve">anteromedial visual area</t>
  </si>
  <si>
    <t xml:space="preserve">lateral visual area</t>
  </si>
  <si>
    <t xml:space="preserve">primary visual area</t>
  </si>
  <si>
    <t xml:space="preserve">posterolateral visual area</t>
  </si>
  <si>
    <t xml:space="preserve">posteromedial</t>
  </si>
  <si>
    <t xml:space="preserve">anterior cingulate area</t>
  </si>
  <si>
    <t xml:space="preserve">prelimbic area</t>
  </si>
  <si>
    <t xml:space="preserve">infralimbic</t>
  </si>
  <si>
    <t xml:space="preserve">orbital area</t>
  </si>
  <si>
    <t xml:space="preserve">lateral orbital area</t>
  </si>
  <si>
    <t xml:space="preserve">medial orbital area</t>
  </si>
  <si>
    <t xml:space="preserve">ventral orbital area</t>
  </si>
  <si>
    <t xml:space="preserve">agranular insular area</t>
  </si>
  <si>
    <t xml:space="preserve">dorsal agranular insular area</t>
  </si>
  <si>
    <t xml:space="preserve">posterior agranular insular area</t>
  </si>
  <si>
    <t xml:space="preserve">ventral agranular insular area</t>
  </si>
  <si>
    <t xml:space="preserve">retrosplenial area</t>
  </si>
  <si>
    <t xml:space="preserve">lateral retrosplenial area</t>
  </si>
  <si>
    <t xml:space="preserve">dorsal retrosplenial area</t>
  </si>
  <si>
    <t xml:space="preserve">ventral retrosplenial area</t>
  </si>
  <si>
    <t xml:space="preserve">posterior parietal association areas</t>
  </si>
  <si>
    <t xml:space="preserve">temporal association areas</t>
  </si>
  <si>
    <t xml:space="preserve">perirhinal area</t>
  </si>
  <si>
    <t xml:space="preserve">ectorhinal area</t>
  </si>
  <si>
    <t xml:space="preserve">olfactory areas</t>
  </si>
  <si>
    <t xml:space="preserve">main olfactory bulb</t>
  </si>
  <si>
    <t xml:space="preserve">accessory olfactory bulb</t>
  </si>
  <si>
    <t xml:space="preserve">anterior olfactory nucleus</t>
  </si>
  <si>
    <t xml:space="preserve">taenia tecta</t>
  </si>
  <si>
    <t xml:space="preserve">dorsal peduncular area</t>
  </si>
  <si>
    <t xml:space="preserve">piriform area</t>
  </si>
  <si>
    <t xml:space="preserve">nucleus of the lateral olfactory tract</t>
  </si>
  <si>
    <t xml:space="preserve">cortical amygdalar area</t>
  </si>
  <si>
    <t xml:space="preserve">piriform-amygdalar area</t>
  </si>
  <si>
    <t xml:space="preserve">postpiriform transition area</t>
  </si>
  <si>
    <t xml:space="preserve">hippocampal formation</t>
  </si>
  <si>
    <t xml:space="preserve">hippocampal region</t>
  </si>
  <si>
    <t xml:space="preserve">CA</t>
  </si>
  <si>
    <t xml:space="preserve">DG</t>
  </si>
  <si>
    <t xml:space="preserve">retrohippocampal region</t>
  </si>
  <si>
    <t xml:space="preserve">entorhinal area</t>
  </si>
  <si>
    <t xml:space="preserve">lateral entorhinal area</t>
  </si>
  <si>
    <t xml:space="preserve">medial entorhinal area</t>
  </si>
  <si>
    <t xml:space="preserve">ventral entorhinal area</t>
  </si>
  <si>
    <t xml:space="preserve">parasubiculum</t>
  </si>
  <si>
    <t xml:space="preserve">postsubiculum</t>
  </si>
  <si>
    <t xml:space="preserve">presubiculum</t>
  </si>
  <si>
    <t xml:space="preserve">cortical subplate</t>
  </si>
  <si>
    <t xml:space="preserve">claustrum</t>
  </si>
  <si>
    <t xml:space="preserve">endopiriform nucleus</t>
  </si>
  <si>
    <t xml:space="preserve">lateral amygdalar nucleus</t>
  </si>
  <si>
    <t xml:space="preserve">BLABMALA</t>
  </si>
  <si>
    <t xml:space="preserve">basolateral amygdalar nucleus</t>
  </si>
  <si>
    <t xml:space="preserve">basomedial amygdalar nucleus</t>
  </si>
  <si>
    <t xml:space="preserve">cerebral nuclei</t>
  </si>
  <si>
    <t xml:space="preserve">striatum</t>
  </si>
  <si>
    <t xml:space="preserve">striatum dorsal region</t>
  </si>
  <si>
    <t xml:space="preserve">dorsal striatum</t>
  </si>
  <si>
    <t xml:space="preserve">striatum ventral region</t>
  </si>
  <si>
    <t xml:space="preserve">ventral striatum</t>
  </si>
  <si>
    <t xml:space="preserve">lateral septal complex</t>
  </si>
  <si>
    <t xml:space="preserve">lateral septal nucleus</t>
  </si>
  <si>
    <t xml:space="preserve">septofimbrial nucleus</t>
  </si>
  <si>
    <t xml:space="preserve">septohippocampal nucleus </t>
  </si>
  <si>
    <t xml:space="preserve">striatum-like amygdalar nuclei</t>
  </si>
  <si>
    <t xml:space="preserve">anterior amygdalar area</t>
  </si>
  <si>
    <t xml:space="preserve">bed nucleus of the accessory olfactory tract</t>
  </si>
  <si>
    <t xml:space="preserve">central amygdalar nucleus</t>
  </si>
  <si>
    <t xml:space="preserve">intercalated amygdalar nucleus</t>
  </si>
  <si>
    <t xml:space="preserve">medial amygdalar nucleus</t>
  </si>
  <si>
    <t xml:space="preserve">pallidum</t>
  </si>
  <si>
    <t xml:space="preserve">pallidum dorsal region</t>
  </si>
  <si>
    <t xml:space="preserve">pallidum ventral region</t>
  </si>
  <si>
    <t xml:space="preserve">pallidum medial region</t>
  </si>
  <si>
    <t xml:space="preserve">medial septal complex</t>
  </si>
  <si>
    <t xml:space="preserve">triangular nucleus of septum</t>
  </si>
  <si>
    <t xml:space="preserve">pallidum, caudal region</t>
  </si>
  <si>
    <t xml:space="preserve">interbrain</t>
  </si>
  <si>
    <t xml:space="preserve">thalamus</t>
  </si>
  <si>
    <t xml:space="preserve">thalamus, sensory-motor</t>
  </si>
  <si>
    <t xml:space="preserve">ventral group of dorsal thalamus</t>
  </si>
  <si>
    <t xml:space="preserve">thalamus, polymodal</t>
  </si>
  <si>
    <t xml:space="preserve">lateral group</t>
  </si>
  <si>
    <t xml:space="preserve">Thalamus lateral group</t>
  </si>
  <si>
    <t xml:space="preserve">anterior group</t>
  </si>
  <si>
    <t xml:space="preserve">Thalamus anterior group</t>
  </si>
  <si>
    <t xml:space="preserve">medial group</t>
  </si>
  <si>
    <t xml:space="preserve">Thalamus midline-medial group</t>
  </si>
  <si>
    <t xml:space="preserve">midline group</t>
  </si>
  <si>
    <t xml:space="preserve">intralaminar</t>
  </si>
  <si>
    <t xml:space="preserve">Thalamus intralaminar</t>
  </si>
  <si>
    <t xml:space="preserve">geniculate group</t>
  </si>
  <si>
    <t xml:space="preserve">Thalamus geniculate group</t>
  </si>
  <si>
    <t xml:space="preserve">hypothalamus</t>
  </si>
  <si>
    <t xml:space="preserve">periventricular zone</t>
  </si>
  <si>
    <t xml:space="preserve">Hypothalamus periventricular zone</t>
  </si>
  <si>
    <t xml:space="preserve">periventricular region</t>
  </si>
  <si>
    <t xml:space="preserve">Hypothalamus periventricular region</t>
  </si>
  <si>
    <t xml:space="preserve">hypothalamic medial zone</t>
  </si>
  <si>
    <t xml:space="preserve">hypothalamic lateral zone</t>
  </si>
  <si>
    <t xml:space="preserve">midbrain</t>
  </si>
  <si>
    <t xml:space="preserve">midbrain, sensory related</t>
  </si>
  <si>
    <t xml:space="preserve">superior colliculus, sensory </t>
  </si>
  <si>
    <t xml:space="preserve">inferior colliculus</t>
  </si>
  <si>
    <t xml:space="preserve">midbrain, motor related</t>
  </si>
  <si>
    <t xml:space="preserve">periaqueductal grey</t>
  </si>
  <si>
    <t xml:space="preserve">pretectal region</t>
  </si>
  <si>
    <t xml:space="preserve">midbrain, behavioral state related</t>
  </si>
  <si>
    <t xml:space="preserve">midbrain raphe</t>
  </si>
  <si>
    <t xml:space="preserve">Midbrain raphÃˆ nuclei</t>
  </si>
  <si>
    <t xml:space="preserve">hindbrain</t>
  </si>
  <si>
    <t xml:space="preserve">pons</t>
  </si>
  <si>
    <t xml:space="preserve">pons, sensory related</t>
  </si>
  <si>
    <t xml:space="preserve">pons, motor related</t>
  </si>
  <si>
    <t xml:space="preserve">pons, behavioral state related</t>
  </si>
  <si>
    <t xml:space="preserve">Superior central nucleus raphÃˆ, lateral part</t>
  </si>
  <si>
    <t xml:space="preserve">Superior central nucleus raphÃˆ, medial part</t>
  </si>
  <si>
    <t xml:space="preserve">medulla</t>
  </si>
  <si>
    <t xml:space="preserve">medulla, sensory related</t>
  </si>
  <si>
    <t xml:space="preserve">dorsal column nuclei</t>
  </si>
  <si>
    <t xml:space="preserve">medulla, motor related</t>
  </si>
  <si>
    <t xml:space="preserve">vestibular nuclei</t>
  </si>
  <si>
    <t xml:space="preserve">medulla, behavioral state related</t>
  </si>
  <si>
    <t xml:space="preserve">lingula</t>
  </si>
  <si>
    <t xml:space="preserve">central lobule</t>
  </si>
  <si>
    <t xml:space="preserve">Fiber tracts</t>
  </si>
  <si>
    <t xml:space="preserve">Ventricular system</t>
  </si>
  <si>
    <t xml:space="preserve">frontal_pole</t>
  </si>
  <si>
    <t xml:space="preserve">primary_motor</t>
  </si>
  <si>
    <t xml:space="preserve">secondary_motor</t>
  </si>
  <si>
    <t xml:space="preserve">somatosensory_</t>
  </si>
  <si>
    <t xml:space="preserve">supplemental_somatosensory</t>
  </si>
  <si>
    <t xml:space="preserve">primary_auditory</t>
  </si>
  <si>
    <t xml:space="preserve">posterior_auditory</t>
  </si>
  <si>
    <t xml:space="preserve">ventral_auditory</t>
  </si>
  <si>
    <t xml:space="preserve">anterolateral_visual</t>
  </si>
  <si>
    <t xml:space="preserve">anteromedial_visual</t>
  </si>
  <si>
    <t xml:space="preserve">lateral_visual</t>
  </si>
  <si>
    <t xml:space="preserve">primary_visual</t>
  </si>
  <si>
    <t xml:space="preserve">posterolateral_visual</t>
  </si>
  <si>
    <t xml:space="preserve">posteromedial_visual</t>
  </si>
  <si>
    <t xml:space="preserve">lateral_orbital</t>
  </si>
  <si>
    <t xml:space="preserve">medial_orbital</t>
  </si>
  <si>
    <t xml:space="preserve">ventral_orbital</t>
  </si>
  <si>
    <t xml:space="preserve">agranular_insula_dorsal</t>
  </si>
  <si>
    <t xml:space="preserve">agranular_insula_posterior</t>
  </si>
  <si>
    <t xml:space="preserve">agranular_insula_ventral</t>
  </si>
  <si>
    <t xml:space="preserve">RSP_lateral_agranular</t>
  </si>
  <si>
    <t xml:space="preserve">RS_dorsal</t>
  </si>
  <si>
    <t xml:space="preserve">RSP_ventral</t>
  </si>
  <si>
    <t xml:space="preserve">temporal_association</t>
  </si>
  <si>
    <t xml:space="preserve">Entorhinal_lateral</t>
  </si>
  <si>
    <t xml:space="preserve">Entorhinal_medial</t>
  </si>
  <si>
    <t xml:space="preserve">Entorhinal_ventral</t>
  </si>
  <si>
    <t xml:space="preserve">subiculum_dorsal</t>
  </si>
  <si>
    <t xml:space="preserve">cluster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</si>
</sst>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00"/>
    <numFmt numFmtId="167" formatCode="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9"/>
      <color rgb="FF595959"/>
      <name val="Calibri"/>
      <family val="2"/>
    </font>
    <font>
      <sz val="10"/>
      <color rgb="FF000000"/>
      <name val="Calibri"/>
      <family val="2"/>
    </font>
    <font>
      <b val="true"/>
      <sz val="9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9"/>
      <name val="Calibri"/>
      <family val="2"/>
      <charset val="1"/>
    </font>
    <font>
      <sz val="10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"Resilient"</c:f>
              <c:strCache>
                <c:ptCount val="1"/>
                <c:pt idx="0">
                  <c:v>Resilient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'Activation map corrected Z&lt;2'!$AA$3:$AA$16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'Activation map corrected Z&lt;2'!$AA$3:$AA$16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'Activation map corrected Z&lt;2'!$A$3:$A$16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Z&lt;2'!$Y$3:$Y$16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strRef>
              <c:f>"PTSD-like"</c:f>
              <c:strCache>
                <c:ptCount val="1"/>
                <c:pt idx="0">
                  <c:v>PTSD-like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'Activation map corrected Z&lt;2'!$AB$3:$AB$16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plus>
            <c:minus>
              <c:numRef>
                <c:f>'Activation map corrected Z&lt;2'!$AB$3:$AB$16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'Activation map corrected Z&lt;2'!$A$3:$A$16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Z&lt;2'!$Z$3:$Z$16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gapWidth val="219"/>
        <c:overlap val="-27"/>
        <c:axId val="73073542"/>
        <c:axId val="63483793"/>
      </c:barChart>
      <c:catAx>
        <c:axId val="730735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483793"/>
        <c:crosses val="autoZero"/>
        <c:auto val="1"/>
        <c:lblAlgn val="ctr"/>
        <c:lblOffset val="100"/>
        <c:noMultiLvlLbl val="0"/>
      </c:catAx>
      <c:valAx>
        <c:axId val="634837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0735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"Resilient"</c:f>
              <c:strCache>
                <c:ptCount val="1"/>
                <c:pt idx="0">
                  <c:v>Resilient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'Brain networks corrected Z&lt;2'!$AA$4:$AA$13,'Brain networks corrected Z&lt;2'!$AA$16:$AA$17,'Brain networks corrected Z&lt;2'!$AA$20:$AA$27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'Brain networks corrected Z&lt;2'!$AA$4:$AA$13,'Brain networks corrected Z&lt;2'!$AA$16:$AA$17,'Brain networks corrected Z&lt;2'!$AA$20:$AA$27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'Brain networks corrected Z&lt;2'!$A$4:$A$13,'Brain networks corrected Z&lt;2'!$A$16:$A$17,'Brain networks corrected Z&lt;2'!$A$20:$A$27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'Brain networks corrected Z&lt;2'!$Y$4:$Y$13,'Brain networks corrected Z&lt;2'!$Y$16:$Y$17,'Brain networks corrected Z&lt;2'!$Y$20:$Y$27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"PTSD-like"</c:f>
              <c:strCache>
                <c:ptCount val="1"/>
                <c:pt idx="0">
                  <c:v>PTSD-like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'Brain networks corrected Z&lt;2'!$AB$4:$AB$13,'Brain networks corrected Z&lt;2'!$AB$16:$AB$17,'Brain networks corrected Z&lt;2'!$AB$20:$AB$27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'Brain networks corrected Z&lt;2'!$AB$4:$AB$13,'Brain networks corrected Z&lt;2'!$AB$16:$AB$17,'Brain networks corrected Z&lt;2'!$AB$20:$AB$27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'Brain networks corrected Z&lt;2'!$A$4:$A$13,'Brain networks corrected Z&lt;2'!$A$16:$A$17,'Brain networks corrected Z&lt;2'!$A$20:$A$27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'Brain networks corrected Z&lt;2'!$Z$4:$Z$13,'Brain networks corrected Z&lt;2'!$Z$16:$Z$17,'Brain networks corrected Z&lt;2'!$Z$20:$Z$27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gapWidth val="219"/>
        <c:overlap val="-27"/>
        <c:axId val="27958510"/>
        <c:axId val="30169430"/>
      </c:barChart>
      <c:catAx>
        <c:axId val="279585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169430"/>
        <c:crosses val="autoZero"/>
        <c:auto val="1"/>
        <c:lblAlgn val="ctr"/>
        <c:lblOffset val="100"/>
        <c:noMultiLvlLbl val="0"/>
      </c:catAx>
      <c:valAx>
        <c:axId val="3016943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9585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"Z-scores"</c:f>
              <c:strCache>
                <c:ptCount val="1"/>
                <c:pt idx="0">
                  <c:v>Z-scores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'Z-scores&lt;2'!$C$3:$UE$3</c:f>
              <c:multiLvlStrCache>
                <c:ptCount val="1"/>
                <c:lvl>
                  <c:pt idx="0">
                    <c:v>mammillary peduncle</c:v>
                  </c:pt>
                </c:lvl>
                <c:lvl>
                  <c:pt idx="0">
                    <c:v>mammillotegmental tract</c:v>
                  </c:pt>
                </c:lvl>
                <c:lvl>
                  <c:pt idx="0">
                    <c:v>mammilothalmic tract</c:v>
                  </c:pt>
                </c:lvl>
                <c:lvl>
                  <c:pt idx="0">
                    <c:v>supramammillary decussation</c:v>
                  </c:pt>
                </c:lvl>
                <c:lvl>
                  <c:pt idx="0">
                    <c:v>stria terminalis</c:v>
                  </c:pt>
                </c:lvl>
                <c:lvl>
                  <c:pt idx="0">
                    <c:v>ventral hippocampal commissure</c:v>
                  </c:pt>
                </c:lvl>
                <c:lvl>
                  <c:pt idx="0">
                    <c:v>dorsal hippocampal commissure</c:v>
                  </c:pt>
                </c:lvl>
                <c:lvl>
                  <c:pt idx="0">
                    <c:v>columns of the fornix</c:v>
                  </c:pt>
                </c:lvl>
                <c:lvl>
                  <c:pt idx="0">
                    <c:v>fimbria</c:v>
                  </c:pt>
                </c:lvl>
                <c:lvl>
                  <c:pt idx="0">
                    <c:v>dorsal fornix</c:v>
                  </c:pt>
                </c:lvl>
                <c:lvl>
                  <c:pt idx="0">
                    <c:v>alveus</c:v>
                  </c:pt>
                </c:lvl>
                <c:lvl>
                  <c:pt idx="0">
                    <c:v>cingulum bundle</c:v>
                  </c:pt>
                </c:lvl>
                <c:lvl>
                  <c:pt idx="0">
                    <c:v>anterior commissure, temporal limb</c:v>
                  </c:pt>
                </c:lvl>
                <c:lvl>
                  <c:pt idx="0">
                    <c:v>amygdalar capsule</c:v>
                  </c:pt>
                </c:lvl>
                <c:lvl>
                  <c:pt idx="0">
                    <c:v>ventral tegmental decussation</c:v>
                  </c:pt>
                </c:lvl>
                <c:lvl>
                  <c:pt idx="0">
                    <c:v>rubrospinal tract</c:v>
                  </c:pt>
                </c:lvl>
                <c:lvl>
                  <c:pt idx="0">
                    <c:v>doral tegmental decussation</c:v>
                  </c:pt>
                </c:lvl>
                <c:lvl>
                  <c:pt idx="0">
                    <c:v>tectospinal pathway</c:v>
                  </c:pt>
                </c:lvl>
                <c:lvl>
                  <c:pt idx="0">
                    <c:v>pyramid</c:v>
                  </c:pt>
                </c:lvl>
                <c:lvl>
                  <c:pt idx="0">
                    <c:v>cerebal peduncle</c:v>
                  </c:pt>
                </c:lvl>
                <c:lvl>
                  <c:pt idx="0">
                    <c:v>internal capsule</c:v>
                  </c:pt>
                </c:lvl>
                <c:lvl>
                  <c:pt idx="0">
                    <c:v>external medullary lamina of the thalamus</c:v>
                  </c:pt>
                </c:lvl>
                <c:lvl>
                  <c:pt idx="0">
                    <c:v>corticospinal tract</c:v>
                  </c:pt>
                </c:lvl>
                <c:lvl>
                  <c:pt idx="0">
                    <c:v>corpus callosum</c:v>
                  </c:pt>
                </c:lvl>
                <c:lvl>
                  <c:pt idx="0">
                    <c:v>arbor vitae</c:v>
                  </c:pt>
                </c:lvl>
                <c:lvl>
                  <c:pt idx="0">
                    <c:v>inferior cerebellar peduncle</c:v>
                  </c:pt>
                </c:lvl>
                <c:lvl>
                  <c:pt idx="0">
                    <c:v>middle cerebellar peduncle</c:v>
                  </c:pt>
                </c:lvl>
                <c:lvl>
                  <c:pt idx="0">
                    <c:v>superior cerebelar peduncles</c:v>
                  </c:pt>
                </c:lvl>
                <c:lvl>
                  <c:pt idx="0">
                    <c:v>medial lemniscus</c:v>
                  </c:pt>
                </c:lvl>
                <c:lvl>
                  <c:pt idx="0">
                    <c:v>cuneate fascicle</c:v>
                  </c:pt>
                </c:lvl>
                <c:lvl>
                  <c:pt idx="0">
                    <c:v>solitary tract</c:v>
                  </c:pt>
                </c:lvl>
                <c:lvl>
                  <c:pt idx="0">
                    <c:v>inferior colliculus commissure</c:v>
                  </c:pt>
                </c:lvl>
                <c:lvl>
                  <c:pt idx="0">
                    <c:v>lateral lemniscus</c:v>
                  </c:pt>
                </c:lvl>
                <c:lvl>
                  <c:pt idx="0">
                    <c:v>trapezoid body</c:v>
                  </c:pt>
                </c:lvl>
                <c:lvl>
                  <c:pt idx="0">
                    <c:v>vestibular nerve</c:v>
                  </c:pt>
                </c:lvl>
                <c:lvl>
                  <c:pt idx="0">
                    <c:v>facial nerve</c:v>
                  </c:pt>
                </c:lvl>
                <c:lvl>
                  <c:pt idx="0">
                    <c:v>spinal tract of the trigeminal nerve</c:v>
                  </c:pt>
                </c:lvl>
                <c:lvl>
                  <c:pt idx="0">
                    <c:v>midbrain tract of the trigeminal nerve</c:v>
                  </c:pt>
                </c:lvl>
                <c:lvl>
                  <c:pt idx="0">
                    <c:v>motor root of the trigeminal nerve</c:v>
                  </c:pt>
                </c:lvl>
                <c:lvl>
                  <c:pt idx="0">
                    <c:v>trochlear nerve</c:v>
                  </c:pt>
                </c:lvl>
                <c:lvl>
                  <c:pt idx="0">
                    <c:v>posterior commissure</c:v>
                  </c:pt>
                </c:lvl>
                <c:lvl>
                  <c:pt idx="0">
                    <c:v>medial longitudinal fascicle</c:v>
                  </c:pt>
                </c:lvl>
                <c:lvl>
                  <c:pt idx="0">
                    <c:v>optic tract</c:v>
                  </c:pt>
                </c:lvl>
                <c:lvl>
                  <c:pt idx="0">
                    <c:v>optic chiasm</c:v>
                  </c:pt>
                </c:lvl>
                <c:lvl>
                  <c:pt idx="0">
                    <c:v>brachium of the inferior colliculus</c:v>
                  </c:pt>
                </c:lvl>
                <c:lvl>
                  <c:pt idx="0">
                    <c:v>anterior commissure, olfactory limb</c:v>
                  </c:pt>
                </c:lvl>
                <c:lvl>
                  <c:pt idx="0">
                    <c:v>lateral olfactory tract, body</c:v>
                  </c:pt>
                </c:lvl>
                <c:lvl>
                  <c:pt idx="0">
                    <c:v>olfactory nerve layer of main olfactory bulb</c:v>
                  </c:pt>
                </c:lvl>
                <c:lvl>
                  <c:pt idx="0">
                    <c:v>vomeronasal nerve</c:v>
                  </c:pt>
                </c:lvl>
                <c:lvl>
                  <c:pt idx="0">
                    <c:v>fiber tracts</c:v>
                  </c:pt>
                </c:lvl>
                <c:lvl>
                  <c:pt idx="0">
                    <c:v>Dentate nucleus</c:v>
                  </c:pt>
                </c:lvl>
                <c:lvl>
                  <c:pt idx="0">
                    <c:v>Interposed nucleus</c:v>
                  </c:pt>
                </c:lvl>
                <c:lvl>
                  <c:pt idx="0">
                    <c:v>Fastigial nucleus</c:v>
                  </c:pt>
                </c:lvl>
                <c:lvl>
                  <c:pt idx="0">
                    <c:v>Flocculus</c:v>
                  </c:pt>
                </c:lvl>
                <c:lvl>
                  <c:pt idx="0">
                    <c:v>Paraflocculus</c:v>
                  </c:pt>
                </c:lvl>
                <c:lvl>
                  <c:pt idx="0">
                    <c:v>Copula pyramidis</c:v>
                  </c:pt>
                </c:lvl>
                <c:lvl>
                  <c:pt idx="0">
                    <c:v>Paramedian lobule</c:v>
                  </c:pt>
                </c:lvl>
                <c:lvl>
                  <c:pt idx="0">
                    <c:v>Ansiform lobule</c:v>
                  </c:pt>
                </c:lvl>
                <c:lvl>
                  <c:pt idx="0">
                    <c:v>Simple lobule</c:v>
                  </c:pt>
                </c:lvl>
                <c:lvl>
                  <c:pt idx="0">
                    <c:v>Nodulus (X)</c:v>
                  </c:pt>
                </c:lvl>
                <c:lvl>
                  <c:pt idx="0">
                    <c:v>Uvula (IX)</c:v>
                  </c:pt>
                </c:lvl>
                <c:lvl>
                  <c:pt idx="0">
                    <c:v>Pyramus (VIII)</c:v>
                  </c:pt>
                </c:lvl>
                <c:lvl>
                  <c:pt idx="0">
                    <c:v>Folium-tuber vermis (VII)</c:v>
                  </c:pt>
                </c:lvl>
                <c:lvl>
                  <c:pt idx="0">
                    <c:v>Declive (VI)</c:v>
                  </c:pt>
                </c:lvl>
                <c:lvl>
                  <c:pt idx="0">
                    <c:v>Culmen</c:v>
                  </c:pt>
                </c:lvl>
                <c:lvl>
                  <c:pt idx="0">
                    <c:v>Central lobule</c:v>
                  </c:pt>
                </c:lvl>
                <c:lvl>
                  <c:pt idx="0">
                    <c:v>Lingula (I)</c:v>
                  </c:pt>
                </c:lvl>
                <c:lvl>
                  <c:pt idx="0">
                    <c:v>Nucleus raphÃË obscurus</c:v>
                  </c:pt>
                </c:lvl>
                <c:lvl>
                  <c:pt idx="0">
                    <c:v>Nucleus raphÃË pallidus</c:v>
                  </c:pt>
                </c:lvl>
                <c:lvl>
                  <c:pt idx="0">
                    <c:v>Nucleus raphÃË magnus</c:v>
                  </c:pt>
                </c:lvl>
                <c:lvl>
                  <c:pt idx="0">
                    <c:v>Nucleus y</c:v>
                  </c:pt>
                </c:lvl>
                <c:lvl>
                  <c:pt idx="0">
                    <c:v>Hypoglossal nucleus</c:v>
                  </c:pt>
                </c:lvl>
                <c:lvl>
                  <c:pt idx="0">
                    <c:v>Nucleus x</c:v>
                  </c:pt>
                </c:lvl>
                <c:lvl>
                  <c:pt idx="0">
                    <c:v>Superior vestibular nucleus</c:v>
                  </c:pt>
                </c:lvl>
                <c:lvl>
                  <c:pt idx="0">
                    <c:v>Spinal vestibular nucleus</c:v>
                  </c:pt>
                </c:lvl>
                <c:lvl>
                  <c:pt idx="0">
                    <c:v>Medial vestibular nucleus</c:v>
                  </c:pt>
                </c:lvl>
                <c:lvl>
                  <c:pt idx="0">
                    <c:v>Lateral vestibular nucleus</c:v>
                  </c:pt>
                </c:lvl>
                <c:lvl>
                  <c:pt idx="0">
                    <c:v>Parapyramidal nucleus</c:v>
                  </c:pt>
                </c:lvl>
                <c:lvl>
                  <c:pt idx="0">
                    <c:v>Nucleus prepositus</c:v>
                  </c:pt>
                </c:lvl>
                <c:lvl>
                  <c:pt idx="0">
                    <c:v>Nucleus of Roller</c:v>
                  </c:pt>
                </c:lvl>
                <c:lvl>
                  <c:pt idx="0">
                    <c:v>Paragigantocellular reticular nucleus, lateral part</c:v>
                  </c:pt>
                </c:lvl>
                <c:lvl>
                  <c:pt idx="0">
                    <c:v>Paragigantocellular reticular nucleus, dorsal part</c:v>
                  </c:pt>
                </c:lvl>
                <c:lvl>
                  <c:pt idx="0">
                    <c:v>Parasolitary nucleus</c:v>
                  </c:pt>
                </c:lvl>
                <c:lvl>
                  <c:pt idx="0">
                    <c:v>Parvicellular reticular nucleus</c:v>
                  </c:pt>
                </c:lvl>
                <c:lvl>
                  <c:pt idx="0">
                    <c:v>Medullary reticular nucleus, ventral part</c:v>
                  </c:pt>
                </c:lvl>
                <c:lvl>
                  <c:pt idx="0">
                    <c:v>Medullary reticular nucleus, dorsal part</c:v>
                  </c:pt>
                </c:lvl>
                <c:lvl>
                  <c:pt idx="0">
                    <c:v>Magnocellular reticular nucleus</c:v>
                  </c:pt>
                </c:lvl>
                <c:lvl>
                  <c:pt idx="0">
                    <c:v>Lateral reticular nucleus</c:v>
                  </c:pt>
                </c:lvl>
                <c:lvl>
                  <c:pt idx="0">
                    <c:v>Linear nucleus of the medulla</c:v>
                  </c:pt>
                </c:lvl>
                <c:lvl>
                  <c:pt idx="0">
                    <c:v>Inferior salivatory nucleus</c:v>
                  </c:pt>
                </c:lvl>
                <c:lvl>
                  <c:pt idx="0">
                    <c:v>Intermediate reticular nucleus</c:v>
                  </c:pt>
                </c:lvl>
                <c:lvl>
                  <c:pt idx="0">
                    <c:v>Inferior olivary complex</c:v>
                  </c:pt>
                </c:lvl>
                <c:lvl>
                  <c:pt idx="0">
                    <c:v>Infracerebellar nucleus</c:v>
                  </c:pt>
                </c:lvl>
                <c:lvl>
                  <c:pt idx="0">
                    <c:v>Gigantocellular reticular nucleus</c:v>
                  </c:pt>
                </c:lvl>
                <c:lvl>
                  <c:pt idx="0">
                    <c:v>Dorsal motor nucleus of the vagus nerve</c:v>
                  </c:pt>
                </c:lvl>
                <c:lvl>
                  <c:pt idx="0">
                    <c:v>Nucleus ambiguus, ventral division</c:v>
                  </c:pt>
                </c:lvl>
                <c:lvl>
                  <c:pt idx="0">
                    <c:v>Nucleus ambiguus, dorsal division</c:v>
                  </c:pt>
                </c:lvl>
                <c:lvl>
                  <c:pt idx="0">
                    <c:v>Accessory facial motor nucleus</c:v>
                  </c:pt>
                </c:lvl>
                <c:lvl>
                  <c:pt idx="0">
                    <c:v>Facial motor nucleus</c:v>
                  </c:pt>
                </c:lvl>
                <c:lvl>
                  <c:pt idx="0">
                    <c:v>Abducens nucleus</c:v>
                  </c:pt>
                </c:lvl>
                <c:lvl>
                  <c:pt idx="0">
                    <c:v>Spinal nucleus of the trigeminal, oral part</c:v>
                  </c:pt>
                </c:lvl>
                <c:lvl>
                  <c:pt idx="0">
                    <c:v>Spinal nucleus of the trigeminal, interpolar part</c:v>
                  </c:pt>
                </c:lvl>
                <c:lvl>
                  <c:pt idx="0">
                    <c:v>Spinal nucleus of the trigeminal, caudal part</c:v>
                  </c:pt>
                </c:lvl>
                <c:lvl>
                  <c:pt idx="0">
                    <c:v>Nucleus of the solitary tract</c:v>
                  </c:pt>
                </c:lvl>
                <c:lvl>
                  <c:pt idx="0">
                    <c:v>Nucleus of the trapezoid body</c:v>
                  </c:pt>
                </c:lvl>
                <c:lvl>
                  <c:pt idx="0">
                    <c:v>External cuneate nucleus</c:v>
                  </c:pt>
                </c:lvl>
                <c:lvl>
                  <c:pt idx="0">
                    <c:v>Gracile nucleus</c:v>
                  </c:pt>
                </c:lvl>
                <c:lvl>
                  <c:pt idx="0">
                    <c:v>Cuneate nucleus</c:v>
                  </c:pt>
                </c:lvl>
                <c:lvl>
                  <c:pt idx="0">
                    <c:v>Ventral cochlear nucleus</c:v>
                  </c:pt>
                </c:lvl>
                <c:lvl>
                  <c:pt idx="0">
                    <c:v>Dorsal cochlear nucleus</c:v>
                  </c:pt>
                </c:lvl>
                <c:lvl>
                  <c:pt idx="0">
                    <c:v>Area postrema</c:v>
                  </c:pt>
                </c:lvl>
                <c:lvl>
                  <c:pt idx="0">
                    <c:v>Medulla</c:v>
                  </c:pt>
                </c:lvl>
                <c:lvl>
                  <c:pt idx="0">
                    <c:v>Sublaterodorsal nucleus</c:v>
                  </c:pt>
                </c:lvl>
                <c:lvl>
                  <c:pt idx="0">
                    <c:v>Subceruleus nucleus</c:v>
                  </c:pt>
                </c:lvl>
                <c:lvl>
                  <c:pt idx="0">
                    <c:v>Nucleus raphÃË pontis</c:v>
                  </c:pt>
                </c:lvl>
                <c:lvl>
                  <c:pt idx="0">
                    <c:v>Pontine reticular nucleus</c:v>
                  </c:pt>
                </c:lvl>
                <c:lvl>
                  <c:pt idx="0">
                    <c:v>Nucleus incertus</c:v>
                  </c:pt>
                </c:lvl>
                <c:lvl>
                  <c:pt idx="0">
                    <c:v>Laterodorsal tegmental nucleus</c:v>
                  </c:pt>
                </c:lvl>
                <c:lvl>
                  <c:pt idx="0">
                    <c:v>Locus ceruleus</c:v>
                  </c:pt>
                </c:lvl>
                <c:lvl>
                  <c:pt idx="0">
                    <c:v>Superior central nucleus raphÃË</c:v>
                  </c:pt>
                </c:lvl>
                <c:lvl>
                  <c:pt idx="0">
                    <c:v>Motor nucleus of trigeminal</c:v>
                  </c:pt>
                </c:lvl>
                <c:lvl>
                  <c:pt idx="0">
                    <c:v>Tegmental reticular nucleus</c:v>
                  </c:pt>
                </c:lvl>
                <c:lvl>
                  <c:pt idx="0">
                    <c:v>Supratrigeminal nucleus</c:v>
                  </c:pt>
                </c:lvl>
                <c:lvl>
                  <c:pt idx="0">
                    <c:v>Supragenual nucleus</c:v>
                  </c:pt>
                </c:lvl>
                <c:lvl>
                  <c:pt idx="0">
                    <c:v>Pontine reticular nucleus, caudal part</c:v>
                  </c:pt>
                </c:lvl>
                <c:lvl>
                  <c:pt idx="0">
                    <c:v>Pontine gray</c:v>
                  </c:pt>
                </c:lvl>
                <c:lvl>
                  <c:pt idx="0">
                    <c:v>Pontine central gray</c:v>
                  </c:pt>
                </c:lvl>
                <c:lvl>
                  <c:pt idx="0">
                    <c:v>Dorsal tegmental nucleus</c:v>
                  </c:pt>
                </c:lvl>
                <c:lvl>
                  <c:pt idx="0">
                    <c:v>Barrington's nucleus</c:v>
                  </c:pt>
                </c:lvl>
                <c:lvl>
                  <c:pt idx="0">
                    <c:v>Superior olivary complex, lateral part</c:v>
                  </c:pt>
                </c:lvl>
                <c:lvl>
                  <c:pt idx="0">
                    <c:v>Superior olivary complex, medial part</c:v>
                  </c:pt>
                </c:lvl>
                <c:lvl>
                  <c:pt idx="0">
                    <c:v>Superior olivary complex, periolivary region</c:v>
                  </c:pt>
                </c:lvl>
                <c:lvl>
                  <c:pt idx="0">
                    <c:v>Parabrachial nucleus</c:v>
                  </c:pt>
                </c:lvl>
                <c:lvl>
                  <c:pt idx="0">
                    <c:v>Principal sensory nucleus of the trigeminal</c:v>
                  </c:pt>
                </c:lvl>
                <c:lvl>
                  <c:pt idx="0">
                    <c:v>Nucleus of the lateral lemniscus</c:v>
                  </c:pt>
                </c:lvl>
                <c:lvl>
                  <c:pt idx="0">
                    <c:v>Pons</c:v>
                  </c:pt>
                </c:lvl>
                <c:lvl>
                  <c:pt idx="0">
                    <c:v>Dorsal nucleus raphÃË</c:v>
                  </c:pt>
                </c:lvl>
                <c:lvl>
                  <c:pt idx="0">
                    <c:v>Central linear nucleus raphÃË</c:v>
                  </c:pt>
                </c:lvl>
                <c:lvl>
                  <c:pt idx="0">
                    <c:v>Interpeduncular nucleus</c:v>
                  </c:pt>
                </c:lvl>
                <c:lvl>
                  <c:pt idx="0">
                    <c:v>Interfascicular nucleus raphÃË</c:v>
                  </c:pt>
                </c:lvl>
                <c:lvl>
                  <c:pt idx="0">
                    <c:v>Pedunculopontine nucleus</c:v>
                  </c:pt>
                </c:lvl>
                <c:lvl>
                  <c:pt idx="0">
                    <c:v>Substantia nigra, compact part</c:v>
                  </c:pt>
                </c:lvl>
                <c:lvl>
                  <c:pt idx="0">
                    <c:v>Lateral terminal nucleus of the accessory optic tract</c:v>
                  </c:pt>
                </c:lvl>
                <c:lvl>
                  <c:pt idx="0">
                    <c:v>Anterior tegmental nucleus</c:v>
                  </c:pt>
                </c:lvl>
                <c:lvl>
                  <c:pt idx="0">
                    <c:v>Ventral tegmental nucleus</c:v>
                  </c:pt>
                </c:lvl>
                <c:lvl>
                  <c:pt idx="0">
                    <c:v>Trochlear nucleus</c:v>
                  </c:pt>
                </c:lvl>
                <c:lvl>
                  <c:pt idx="0">
                    <c:v>Oculomotor nucleus</c:v>
                  </c:pt>
                </c:lvl>
                <c:lvl>
                  <c:pt idx="0">
                    <c:v>Red nucleus</c:v>
                  </c:pt>
                </c:lvl>
                <c:lvl>
                  <c:pt idx="0">
                    <c:v>Cuneiform nucleus</c:v>
                  </c:pt>
                </c:lvl>
                <c:lvl>
                  <c:pt idx="0">
                    <c:v>Posterior pretectal nucleus</c:v>
                  </c:pt>
                </c:lvl>
                <c:lvl>
                  <c:pt idx="0">
                    <c:v>Olivary pretectal nucleus</c:v>
                  </c:pt>
                </c:lvl>
                <c:lvl>
                  <c:pt idx="0">
                    <c:v>Nucleus of the posterior commissure</c:v>
                  </c:pt>
                </c:lvl>
                <c:lvl>
                  <c:pt idx="0">
                    <c:v>Nucleus of the optic tract</c:v>
                  </c:pt>
                </c:lvl>
                <c:lvl>
                  <c:pt idx="0">
                    <c:v>Medial pretectal area</c:v>
                  </c:pt>
                </c:lvl>
                <c:lvl>
                  <c:pt idx="0">
                    <c:v>Anterior pretectal nucleus</c:v>
                  </c:pt>
                </c:lvl>
                <c:lvl>
                  <c:pt idx="0">
                    <c:v>Nucleus of Darkschewitsch</c:v>
                  </c:pt>
                </c:lvl>
                <c:lvl>
                  <c:pt idx="0">
                    <c:v>Interstitial nucleus of Cajal</c:v>
                  </c:pt>
                </c:lvl>
                <c:lvl>
                  <c:pt idx="0">
                    <c:v>Precommissural nucleus</c:v>
                  </c:pt>
                </c:lvl>
                <c:lvl>
                  <c:pt idx="0">
                    <c:v>Periaqueductal gray</c:v>
                  </c:pt>
                </c:lvl>
                <c:lvl>
                  <c:pt idx="0">
                    <c:v>Superior colliculus, motor related, intermediate gray layer, sublayer c</c:v>
                  </c:pt>
                </c:lvl>
                <c:lvl>
                  <c:pt idx="0">
                    <c:v>Superior colliculus, motor related, intermediate gray layer, sublayer b</c:v>
                  </c:pt>
                </c:lvl>
                <c:lvl>
                  <c:pt idx="0">
                    <c:v>Superior colliculus, motor related, intermediate gray layer, sublayer a</c:v>
                  </c:pt>
                </c:lvl>
                <c:lvl>
                  <c:pt idx="0">
                    <c:v>Superior colliculus, motor related, intermediate gray layer</c:v>
                  </c:pt>
                </c:lvl>
                <c:lvl>
                  <c:pt idx="0">
                    <c:v>Superior colliculus, motor related, intermediate white layer</c:v>
                  </c:pt>
                </c:lvl>
                <c:lvl>
                  <c:pt idx="0">
                    <c:v>Superior colliculus, motor related, deep white layer</c:v>
                  </c:pt>
                </c:lvl>
                <c:lvl>
                  <c:pt idx="0">
                    <c:v>Superior colliculus, motor related, deep gray layer</c:v>
                  </c:pt>
                </c:lvl>
                <c:lvl>
                  <c:pt idx="0">
                    <c:v>Midbrain reticular nucleus, retrorubral area</c:v>
                  </c:pt>
                </c:lvl>
                <c:lvl>
                  <c:pt idx="0">
                    <c:v>Midbrain reticular nucleus</c:v>
                  </c:pt>
                </c:lvl>
                <c:lvl>
                  <c:pt idx="0">
                    <c:v>Ventral tegmental area</c:v>
                  </c:pt>
                </c:lvl>
                <c:lvl>
                  <c:pt idx="0">
                    <c:v>Substantia nigra, reticular part</c:v>
                  </c:pt>
                </c:lvl>
                <c:lvl>
                  <c:pt idx="0">
                    <c:v>Midbrain trigeminal nucleus</c:v>
                  </c:pt>
                </c:lvl>
                <c:lvl>
                  <c:pt idx="0">
                    <c:v>Parabigeminal nucleus</c:v>
                  </c:pt>
                </c:lvl>
                <c:lvl>
                  <c:pt idx="0">
                    <c:v>Nucleus sagulum</c:v>
                  </c:pt>
                </c:lvl>
                <c:lvl>
                  <c:pt idx="0">
                    <c:v>Nucleus of the brachium of the inferior colliculus</c:v>
                  </c:pt>
                </c:lvl>
                <c:lvl>
                  <c:pt idx="0">
                    <c:v>Inferior colliculus</c:v>
                  </c:pt>
                </c:lvl>
                <c:lvl>
                  <c:pt idx="0">
                    <c:v>Superior colliculus, superficial gray layer</c:v>
                  </c:pt>
                </c:lvl>
                <c:lvl>
                  <c:pt idx="0">
                    <c:v>Superior colliculus, optic layer</c:v>
                  </c:pt>
                </c:lvl>
                <c:lvl>
                  <c:pt idx="0">
                    <c:v>Midbrain</c:v>
                  </c:pt>
                </c:lvl>
                <c:lvl>
                  <c:pt idx="0">
                    <c:v>Fields of Forel</c:v>
                  </c:pt>
                </c:lvl>
                <c:lvl>
                  <c:pt idx="0">
                    <c:v>Zona incerta</c:v>
                  </c:pt>
                </c:lvl>
                <c:lvl>
                  <c:pt idx="0">
                    <c:v>Tuberal nucleus</c:v>
                  </c:pt>
                </c:lvl>
                <c:lvl>
                  <c:pt idx="0">
                    <c:v>Subthalamic nucleus</c:v>
                  </c:pt>
                </c:lvl>
                <c:lvl>
                  <c:pt idx="0">
                    <c:v>Retrochiasmatic area</c:v>
                  </c:pt>
                </c:lvl>
                <c:lvl>
                  <c:pt idx="0">
                    <c:v>Parasubthalamic nucleus</c:v>
                  </c:pt>
                </c:lvl>
                <c:lvl>
                  <c:pt idx="0">
                    <c:v>Preparasubthalamic nucleus</c:v>
                  </c:pt>
                </c:lvl>
                <c:lvl>
                  <c:pt idx="0">
                    <c:v>Lateral preoptic area</c:v>
                  </c:pt>
                </c:lvl>
                <c:lvl>
                  <c:pt idx="0">
                    <c:v>Lateral hypothalamic area</c:v>
                  </c:pt>
                </c:lvl>
                <c:lvl>
                  <c:pt idx="0">
                    <c:v>Posterior hypothalamic nucleus</c:v>
                  </c:pt>
                </c:lvl>
                <c:lvl>
                  <c:pt idx="0">
                    <c:v>Ventromedial hypothalamic nucleus</c:v>
                  </c:pt>
                </c:lvl>
                <c:lvl>
                  <c:pt idx="0">
                    <c:v>Paraventricular hypothalamic nucleus, descending division</c:v>
                  </c:pt>
                </c:lvl>
                <c:lvl>
                  <c:pt idx="0">
                    <c:v>Ventral premammillary nucleus</c:v>
                  </c:pt>
                </c:lvl>
                <c:lvl>
                  <c:pt idx="0">
                    <c:v>Dorsal premammillary nucleus</c:v>
                  </c:pt>
                </c:lvl>
                <c:lvl>
                  <c:pt idx="0">
                    <c:v>Medial preoptic nucleus</c:v>
                  </c:pt>
                </c:lvl>
                <c:lvl>
                  <c:pt idx="0">
                    <c:v>Tuberomammillary nucleus, ventral part</c:v>
                  </c:pt>
                </c:lvl>
                <c:lvl>
                  <c:pt idx="0">
                    <c:v>Tuberomammillary nucleus, dorsal part</c:v>
                  </c:pt>
                </c:lvl>
                <c:lvl>
                  <c:pt idx="0">
                    <c:v>Supramammillary nucleus</c:v>
                  </c:pt>
                </c:lvl>
                <c:lvl>
                  <c:pt idx="0">
                    <c:v>Medial mammillary nucleus</c:v>
                  </c:pt>
                </c:lvl>
                <c:lvl>
                  <c:pt idx="0">
                    <c:v>Lateral mammillary nucleus</c:v>
                  </c:pt>
                </c:lvl>
                <c:lvl>
                  <c:pt idx="0">
                    <c:v>Anterior hypothalamic nucleus</c:v>
                  </c:pt>
                </c:lvl>
                <c:lvl>
                  <c:pt idx="0">
                    <c:v>Ventrolateral preoptic nucleus</c:v>
                  </c:pt>
                </c:lvl>
                <c:lvl>
                  <c:pt idx="0">
                    <c:v>Subparaventricular zone</c:v>
                  </c:pt>
                </c:lvl>
                <c:lvl>
                  <c:pt idx="0">
                    <c:v>Periventricular hypothalamic nucleus, preoptic part</c:v>
                  </c:pt>
                </c:lvl>
                <c:lvl>
                  <c:pt idx="0">
                    <c:v>Periventricular hypothalamic nucleus, posterior part</c:v>
                  </c:pt>
                </c:lvl>
                <c:lvl>
                  <c:pt idx="0">
                    <c:v>Parastrial nucleus</c:v>
                  </c:pt>
                </c:lvl>
                <c:lvl>
                  <c:pt idx="0">
                    <c:v>Posterodorsal preoptic nucleus</c:v>
                  </c:pt>
                </c:lvl>
                <c:lvl>
                  <c:pt idx="0">
                    <c:v>Medial preoptic area</c:v>
                  </c:pt>
                </c:lvl>
                <c:lvl>
                  <c:pt idx="0">
                    <c:v>Median preoptic nucleus</c:v>
                  </c:pt>
                </c:lvl>
                <c:lvl>
                  <c:pt idx="0">
                    <c:v>Dorsomedial nucleus of the hypothalamus</c:v>
                  </c:pt>
                </c:lvl>
                <c:lvl>
                  <c:pt idx="0">
                    <c:v>Anteroventral periventricular nucleus</c:v>
                  </c:pt>
                </c:lvl>
                <c:lvl>
                  <c:pt idx="0">
                    <c:v>Anteroventral preoptic nucleus</c:v>
                  </c:pt>
                </c:lvl>
                <c:lvl>
                  <c:pt idx="0">
                    <c:v>Anterodorsal preoptic nucleus</c:v>
                  </c:pt>
                </c:lvl>
                <c:lvl>
                  <c:pt idx="0">
                    <c:v>Arcuate hypothalamic nucleus</c:v>
                  </c:pt>
                </c:lvl>
                <c:lvl>
                  <c:pt idx="0">
                    <c:v>Periventricular hypothalamic nucleus, intermediate part</c:v>
                  </c:pt>
                </c:lvl>
                <c:lvl>
                  <c:pt idx="0">
                    <c:v>Paraventricular hypothalamic nucleus</c:v>
                  </c:pt>
                </c:lvl>
                <c:lvl>
                  <c:pt idx="0">
                    <c:v>Accessory supraoptic group</c:v>
                  </c:pt>
                </c:lvl>
                <c:lvl>
                  <c:pt idx="0">
                    <c:v>Supraoptic nucleus</c:v>
                  </c:pt>
                </c:lvl>
                <c:lvl>
                  <c:pt idx="0">
                    <c:v>Hypothalamus</c:v>
                  </c:pt>
                </c:lvl>
                <c:lvl>
                  <c:pt idx="0">
                    <c:v>Lateral habenula</c:v>
                  </c:pt>
                </c:lvl>
                <c:lvl>
                  <c:pt idx="0">
                    <c:v>Medial habenula</c:v>
                  </c:pt>
                </c:lvl>
                <c:lvl>
                  <c:pt idx="0">
                    <c:v>Subgeniculate nucleus</c:v>
                  </c:pt>
                </c:lvl>
                <c:lvl>
                  <c:pt idx="0">
                    <c:v>Ventral part of the lateral geniculate complex</c:v>
                  </c:pt>
                </c:lvl>
                <c:lvl>
                  <c:pt idx="0">
                    <c:v>Intergeniculate leaflet of the lateral geniculate complex</c:v>
                  </c:pt>
                </c:lvl>
                <c:lvl>
                  <c:pt idx="0">
                    <c:v>Reticular nucleus of the thalamus</c:v>
                  </c:pt>
                </c:lvl>
                <c:lvl>
                  <c:pt idx="0">
                    <c:v>Parafascicular nucleus</c:v>
                  </c:pt>
                </c:lvl>
                <c:lvl>
                  <c:pt idx="0">
                    <c:v>Central lateral nucleus of the thalamus</c:v>
                  </c:pt>
                </c:lvl>
                <c:lvl>
                  <c:pt idx="0">
                    <c:v>Paracentral nucleus</c:v>
                  </c:pt>
                </c:lvl>
                <c:lvl>
                  <c:pt idx="0">
                    <c:v>Central medial nucleus of the thalamus</c:v>
                  </c:pt>
                </c:lvl>
                <c:lvl>
                  <c:pt idx="0">
                    <c:v>Rhomboid nucleus</c:v>
                  </c:pt>
                </c:lvl>
                <c:lvl>
                  <c:pt idx="0">
                    <c:v>Nucleus of reunions</c:v>
                  </c:pt>
                </c:lvl>
                <c:lvl>
                  <c:pt idx="0">
                    <c:v>Parataenial nucleus</c:v>
                  </c:pt>
                </c:lvl>
                <c:lvl>
                  <c:pt idx="0">
                    <c:v>Perireunensis nucleus</c:v>
                  </c:pt>
                </c:lvl>
                <c:lvl>
                  <c:pt idx="0">
                    <c:v>Submedial nucleus of the thalamus</c:v>
                  </c:pt>
                </c:lvl>
                <c:lvl>
                  <c:pt idx="0">
                    <c:v>Mediodorsal nucleus of thalamus</c:v>
                  </c:pt>
                </c:lvl>
                <c:lvl>
                  <c:pt idx="0">
                    <c:v>Lateral dorsal nucleus of thalamus</c:v>
                  </c:pt>
                </c:lvl>
                <c:lvl>
                  <c:pt idx="0">
                    <c:v>Interanterodorsal nucleus of the thalamus</c:v>
                  </c:pt>
                </c:lvl>
                <c:lvl>
                  <c:pt idx="0">
                    <c:v>Interanteromedial nucleus of the thalamus</c:v>
                  </c:pt>
                </c:lvl>
                <c:lvl>
                  <c:pt idx="0">
                    <c:v>Anterodorsal nucleus</c:v>
                  </c:pt>
                </c:lvl>
                <c:lvl>
                  <c:pt idx="0">
                    <c:v>Anteromedial nucleus</c:v>
                  </c:pt>
                </c:lvl>
                <c:lvl>
                  <c:pt idx="0">
                    <c:v>Anteroventral nucleus of thalamus</c:v>
                  </c:pt>
                </c:lvl>
                <c:lvl>
                  <c:pt idx="0">
                    <c:v>Suprageniculate nucleus</c:v>
                  </c:pt>
                </c:lvl>
                <c:lvl>
                  <c:pt idx="0">
                    <c:v>Posterior limiting nucleus of the thalamus</c:v>
                  </c:pt>
                </c:lvl>
                <c:lvl>
                  <c:pt idx="0">
                    <c:v>Posterior complex of the thalamus</c:v>
                  </c:pt>
                </c:lvl>
                <c:lvl>
                  <c:pt idx="0">
                    <c:v>Lateral posterior nucleus of the thalamus</c:v>
                  </c:pt>
                </c:lvl>
                <c:lvl>
                  <c:pt idx="0">
                    <c:v>Dorsal part of the lateral geniculate complex</c:v>
                  </c:pt>
                </c:lvl>
                <c:lvl>
                  <c:pt idx="0">
                    <c:v>Medial geniculate complex</c:v>
                  </c:pt>
                </c:lvl>
                <c:lvl>
                  <c:pt idx="0">
                    <c:v>Peripeduncular nucleus</c:v>
                  </c:pt>
                </c:lvl>
                <c:lvl>
                  <c:pt idx="0">
                    <c:v>Subparafascicular nucleus, parvicellular part</c:v>
                  </c:pt>
                </c:lvl>
                <c:lvl>
                  <c:pt idx="0">
                    <c:v>Subparafascicular nucleus, magnocellular part</c:v>
                  </c:pt>
                </c:lvl>
                <c:lvl>
                  <c:pt idx="0">
                    <c:v>Subparafascicular area</c:v>
                  </c:pt>
                </c:lvl>
                <c:lvl>
                  <c:pt idx="0">
                    <c:v>Ventral posteromedial nucleus of the thalamus, parvicellular part</c:v>
                  </c:pt>
                </c:lvl>
                <c:lvl>
                  <c:pt idx="0">
                    <c:v>Ventral posteromedial nucleus of the thalamus</c:v>
                  </c:pt>
                </c:lvl>
                <c:lvl>
                  <c:pt idx="0">
                    <c:v>Ventral posterolateral nucleus of the thalamus, parvicellular part</c:v>
                  </c:pt>
                </c:lvl>
                <c:lvl>
                  <c:pt idx="0">
                    <c:v>Ventral posterolateral nucleus of the thalamus</c:v>
                  </c:pt>
                </c:lvl>
                <c:lvl>
                  <c:pt idx="0">
                    <c:v>Ventral medial nucleus of the thalamus</c:v>
                  </c:pt>
                </c:lvl>
                <c:lvl>
                  <c:pt idx="0">
                    <c:v>Ventral anterior-lateral complex of the thalamus</c:v>
                  </c:pt>
                </c:lvl>
                <c:lvl>
                  <c:pt idx="0">
                    <c:v>Thalamus</c:v>
                  </c:pt>
                </c:lvl>
                <c:lvl>
                  <c:pt idx="0">
                    <c:v>Bed nucleus of the anterior commissure</c:v>
                  </c:pt>
                </c:lvl>
                <c:lvl>
                  <c:pt idx="0">
                    <c:v>Bed nuclei of the stria terminalis</c:v>
                  </c:pt>
                </c:lvl>
                <c:lvl>
                  <c:pt idx="0">
                    <c:v>Triangular nucleus of septum</c:v>
                  </c:pt>
                </c:lvl>
                <c:lvl>
                  <c:pt idx="0">
                    <c:v>Diagonal band nucleus</c:v>
                  </c:pt>
                </c:lvl>
                <c:lvl>
                  <c:pt idx="0">
                    <c:v>Medial septal nucleus</c:v>
                  </c:pt>
                </c:lvl>
                <c:lvl>
                  <c:pt idx="0">
                    <c:v>Magnocellular nucleus</c:v>
                  </c:pt>
                </c:lvl>
                <c:lvl>
                  <c:pt idx="0">
                    <c:v>Substantia innominata</c:v>
                  </c:pt>
                </c:lvl>
                <c:lvl>
                  <c:pt idx="0">
                    <c:v>Globus pallidus, external segment</c:v>
                  </c:pt>
                </c:lvl>
                <c:lvl>
                  <c:pt idx="0">
                    <c:v>Globus pallidus, internal segment</c:v>
                  </c:pt>
                </c:lvl>
                <c:lvl>
                  <c:pt idx="0">
                    <c:v>Pallidum</c:v>
                  </c:pt>
                </c:lvl>
                <c:lvl>
                  <c:pt idx="0">
                    <c:v>Medial amygdalar nucleus</c:v>
                  </c:pt>
                </c:lvl>
                <c:lvl>
                  <c:pt idx="0">
                    <c:v>Intercalated amygdalar nucleus</c:v>
                  </c:pt>
                </c:lvl>
                <c:lvl>
                  <c:pt idx="0">
                    <c:v>Central amygdalar nucleus</c:v>
                  </c:pt>
                </c:lvl>
                <c:lvl>
                  <c:pt idx="0">
                    <c:v>Bed nucleus of the accessory olfactory tract</c:v>
                  </c:pt>
                </c:lvl>
                <c:lvl>
                  <c:pt idx="0">
                    <c:v>Anterior amygdalar area</c:v>
                  </c:pt>
                </c:lvl>
                <c:lvl>
                  <c:pt idx="0">
                    <c:v>Striatum-like amygdalar nuclei</c:v>
                  </c:pt>
                </c:lvl>
                <c:lvl>
                  <c:pt idx="0">
                    <c:v>Septohippocampal nucleus</c:v>
                  </c:pt>
                </c:lvl>
                <c:lvl>
                  <c:pt idx="0">
                    <c:v>Septofimbrial nucleus</c:v>
                  </c:pt>
                </c:lvl>
                <c:lvl>
                  <c:pt idx="0">
                    <c:v>Lateral septal nucleus, ventral part</c:v>
                  </c:pt>
                </c:lvl>
                <c:lvl>
                  <c:pt idx="0">
                    <c:v>Lateral septal nucleus, rostral (rostroventral) part</c:v>
                  </c:pt>
                </c:lvl>
                <c:lvl>
                  <c:pt idx="0">
                    <c:v>Lateral septal nucleus, caudal (caudodorsal) part</c:v>
                  </c:pt>
                </c:lvl>
                <c:lvl>
                  <c:pt idx="0">
                    <c:v>Olfactory tubercle</c:v>
                  </c:pt>
                </c:lvl>
                <c:lvl>
                  <c:pt idx="0">
                    <c:v>Fundus of striatum</c:v>
                  </c:pt>
                </c:lvl>
                <c:lvl>
                  <c:pt idx="0">
                    <c:v>Nucleus accumbens</c:v>
                  </c:pt>
                </c:lvl>
                <c:lvl>
                  <c:pt idx="0">
                    <c:v>Caudoputamen</c:v>
                  </c:pt>
                </c:lvl>
                <c:lvl>
                  <c:pt idx="0">
                    <c:v>Striatum</c:v>
                  </c:pt>
                </c:lvl>
                <c:lvl>
                  <c:pt idx="0">
                    <c:v>Basomedial amygdalar nucleus</c:v>
                  </c:pt>
                </c:lvl>
                <c:lvl>
                  <c:pt idx="0">
                    <c:v>Basolateral amygdalar nucleus, ventral part</c:v>
                  </c:pt>
                </c:lvl>
                <c:lvl>
                  <c:pt idx="0">
                    <c:v>Basolateral amygdalar nucleus, posterior part</c:v>
                  </c:pt>
                </c:lvl>
                <c:lvl>
                  <c:pt idx="0">
                    <c:v>Basolateral amygdalar nucleus, anterior part</c:v>
                  </c:pt>
                </c:lvl>
                <c:lvl>
                  <c:pt idx="0">
                    <c:v>Lateral amygdalar nucleus</c:v>
                  </c:pt>
                </c:lvl>
                <c:lvl>
                  <c:pt idx="0">
                    <c:v>Endopiriform nucleus, ventral part</c:v>
                  </c:pt>
                </c:lvl>
                <c:lvl>
                  <c:pt idx="0">
                    <c:v>Endopiriform nucleus, dorsal part</c:v>
                  </c:pt>
                </c:lvl>
                <c:lvl>
                  <c:pt idx="0">
                    <c:v>Claustrum</c:v>
                  </c:pt>
                </c:lvl>
                <c:lvl>
                  <c:pt idx="0">
                    <c:v>Cortical subplate</c:v>
                  </c:pt>
                </c:lvl>
                <c:lvl>
                  <c:pt idx="0">
                    <c:v>Subiculum</c:v>
                  </c:pt>
                </c:lvl>
                <c:lvl>
                  <c:pt idx="0">
                    <c:v>Presubiculum</c:v>
                  </c:pt>
                </c:lvl>
                <c:lvl>
                  <c:pt idx="0">
                    <c:v>Postsubiculum</c:v>
                  </c:pt>
                </c:lvl>
                <c:lvl>
                  <c:pt idx="0">
                    <c:v>Parasubiculum</c:v>
                  </c:pt>
                </c:lvl>
                <c:lvl>
                  <c:pt idx="0">
                    <c:v>Entorhinal area, medial part, ventral zone</c:v>
                  </c:pt>
                </c:lvl>
                <c:lvl>
                  <c:pt idx="0">
                    <c:v>Entorhinal area, medial part, dorsal zone</c:v>
                  </c:pt>
                </c:lvl>
                <c:lvl>
                  <c:pt idx="0">
                    <c:v>Entorhinal area, lateral part</c:v>
                  </c:pt>
                </c:lvl>
                <c:lvl>
                  <c:pt idx="0">
                    <c:v>Induseum griseum</c:v>
                  </c:pt>
                </c:lvl>
                <c:lvl>
                  <c:pt idx="0">
                    <c:v>Fasciola cinerea</c:v>
                  </c:pt>
                </c:lvl>
                <c:lvl>
                  <c:pt idx="0">
                    <c:v>Dentate gyrus, subgranular zone ventral</c:v>
                  </c:pt>
                </c:lvl>
                <c:lvl>
                  <c:pt idx="0">
                    <c:v>Dentate gyrus, granule cell layer ventral</c:v>
                  </c:pt>
                </c:lvl>
                <c:lvl>
                  <c:pt idx="0">
                    <c:v>Dentate gyrus, granule cell layer</c:v>
                  </c:pt>
                </c:lvl>
                <c:lvl>
                  <c:pt idx="0">
                    <c:v>Dentate gyrus, polymorph layer</c:v>
                  </c:pt>
                </c:lvl>
                <c:lvl>
                  <c:pt idx="0">
                    <c:v>Dentate gyrus, molecular layer</c:v>
                  </c:pt>
                </c:lvl>
                <c:lvl>
                  <c:pt idx="0">
                    <c:v>Dentate gyrus, molecular layer</c:v>
                  </c:pt>
                </c:lvl>
                <c:lvl>
                  <c:pt idx="0">
                    <c:v>Field CA3 ventral</c:v>
                  </c:pt>
                </c:lvl>
                <c:lvl>
                  <c:pt idx="0">
                    <c:v>Field CA2 ventral</c:v>
                  </c:pt>
                </c:lvl>
                <c:lvl>
                  <c:pt idx="0">
                    <c:v>Field CA1 ventral</c:v>
                  </c:pt>
                </c:lvl>
                <c:lvl>
                  <c:pt idx="0">
                    <c:v>Field CA3</c:v>
                  </c:pt>
                </c:lvl>
                <c:lvl>
                  <c:pt idx="0">
                    <c:v>Field CA2</c:v>
                  </c:pt>
                </c:lvl>
                <c:lvl>
                  <c:pt idx="0">
                    <c:v>Field CA1</c:v>
                  </c:pt>
                </c:lvl>
                <c:lvl>
                  <c:pt idx="0">
                    <c:v>Hippocampal formation</c:v>
                  </c:pt>
                </c:lvl>
                <c:lvl>
                  <c:pt idx="0">
                    <c:v>Postpiriform transition area</c:v>
                  </c:pt>
                </c:lvl>
                <c:lvl>
                  <c:pt idx="0">
                    <c:v>Piriform-amygdalar area</c:v>
                  </c:pt>
                </c:lvl>
                <c:lvl>
                  <c:pt idx="0">
                    <c:v>Cortical amygdalar area, posterior part</c:v>
                  </c:pt>
                </c:lvl>
                <c:lvl>
                  <c:pt idx="0">
                    <c:v>Cortical amygdalar area, anterior part</c:v>
                  </c:pt>
                </c:lvl>
                <c:lvl>
                  <c:pt idx="0">
                    <c:v>Nucleus of the lateral olfactory tract, layer 3</c:v>
                  </c:pt>
                </c:lvl>
                <c:lvl>
                  <c:pt idx="0">
                    <c:v>Nucleus of the lateral olfactory tract, molecular layer</c:v>
                  </c:pt>
                </c:lvl>
                <c:lvl>
                  <c:pt idx="0">
                    <c:v>Piriform area</c:v>
                  </c:pt>
                </c:lvl>
                <c:lvl>
                  <c:pt idx="0">
                    <c:v>Dorsal peduncular area</c:v>
                  </c:pt>
                </c:lvl>
                <c:lvl>
                  <c:pt idx="0">
                    <c:v>Taenia tecta</c:v>
                  </c:pt>
                </c:lvl>
                <c:lvl>
                  <c:pt idx="0">
                    <c:v>Anterior olfactory nucleus</c:v>
                  </c:pt>
                </c:lvl>
                <c:lvl>
                  <c:pt idx="0">
                    <c:v>Accessory olfactory bulb, mitral layer</c:v>
                  </c:pt>
                </c:lvl>
                <c:lvl>
                  <c:pt idx="0">
                    <c:v>Accessory olfactory bulb, granular layer</c:v>
                  </c:pt>
                </c:lvl>
                <c:lvl>
                  <c:pt idx="0">
                    <c:v>Accessory olfactory bulb, glomerular layer</c:v>
                  </c:pt>
                </c:lvl>
                <c:lvl>
                  <c:pt idx="0">
                    <c:v>Main olfactory bulb</c:v>
                  </c:pt>
                </c:lvl>
                <c:lvl>
                  <c:pt idx="0">
                    <c:v>Olfactory areas</c:v>
                  </c:pt>
                </c:lvl>
                <c:lvl>
                  <c:pt idx="0">
                    <c:v>Ectorhinal area/Layer 6b</c:v>
                  </c:pt>
                </c:lvl>
                <c:lvl>
                  <c:pt idx="0">
                    <c:v>Ectorhinal area/Layer 6a</c:v>
                  </c:pt>
                </c:lvl>
                <c:lvl>
                  <c:pt idx="0">
                    <c:v>Ectorhinal area/Layer 5</c:v>
                  </c:pt>
                </c:lvl>
                <c:lvl>
                  <c:pt idx="0">
                    <c:v>Ectorhinal area/Layer 2/3</c:v>
                  </c:pt>
                </c:lvl>
                <c:lvl>
                  <c:pt idx="0">
                    <c:v>Ectorhinal area/Layer 1</c:v>
                  </c:pt>
                </c:lvl>
                <c:lvl>
                  <c:pt idx="0">
                    <c:v>Ectorhinal area</c:v>
                  </c:pt>
                </c:lvl>
                <c:lvl>
                  <c:pt idx="0">
                    <c:v>Perirhinal area, layer 6b</c:v>
                  </c:pt>
                </c:lvl>
                <c:lvl>
                  <c:pt idx="0">
                    <c:v>Perirhinal area, layer 6a</c:v>
                  </c:pt>
                </c:lvl>
                <c:lvl>
                  <c:pt idx="0">
                    <c:v>Perirhinal area, layer 5</c:v>
                  </c:pt>
                </c:lvl>
                <c:lvl>
                  <c:pt idx="0">
                    <c:v>Perirhinal area, layer 2/3</c:v>
                  </c:pt>
                </c:lvl>
                <c:lvl>
                  <c:pt idx="0">
                    <c:v>Perirhinal area, layer 1</c:v>
                  </c:pt>
                </c:lvl>
                <c:lvl>
                  <c:pt idx="0">
                    <c:v>Temporal association areas, layer 6b</c:v>
                  </c:pt>
                </c:lvl>
                <c:lvl>
                  <c:pt idx="0">
                    <c:v>Temporal association areas, layer 6a</c:v>
                  </c:pt>
                </c:lvl>
                <c:lvl>
                  <c:pt idx="0">
                    <c:v>Temporal association areas, layer 5</c:v>
                  </c:pt>
                </c:lvl>
                <c:lvl>
                  <c:pt idx="0">
                    <c:v>Temporal association areas, layer 4</c:v>
                  </c:pt>
                </c:lvl>
                <c:lvl>
                  <c:pt idx="0">
                    <c:v>Temporal association areas, layer 2/3</c:v>
                  </c:pt>
                </c:lvl>
                <c:lvl>
                  <c:pt idx="0">
                    <c:v>Temporal association areas, layer 1</c:v>
                  </c:pt>
                </c:lvl>
                <c:lvl>
                  <c:pt idx="0">
                    <c:v>Retrosplenial area, ventral part, layer 6b</c:v>
                  </c:pt>
                </c:lvl>
                <c:lvl>
                  <c:pt idx="0">
                    <c:v>Retrosplenial area, ventral part, layer 6a</c:v>
                  </c:pt>
                </c:lvl>
                <c:lvl>
                  <c:pt idx="0">
                    <c:v>Retrosplenial area, ventral part, layer 5</c:v>
                  </c:pt>
                </c:lvl>
                <c:lvl>
                  <c:pt idx="0">
                    <c:v>Retrosplenial area, ventral part, layer 2/3</c:v>
                  </c:pt>
                </c:lvl>
                <c:lvl>
                  <c:pt idx="0">
                    <c:v>Retrosplenial area, ventral part, layer 1</c:v>
                  </c:pt>
                </c:lvl>
                <c:lvl>
                  <c:pt idx="0">
                    <c:v>Retrosplenial area, dorsal part, layer 6b</c:v>
                  </c:pt>
                </c:lvl>
                <c:lvl>
                  <c:pt idx="0">
                    <c:v>Retrosplenial area, dorsal part, layer 6a</c:v>
                  </c:pt>
                </c:lvl>
                <c:lvl>
                  <c:pt idx="0">
                    <c:v>Retrosplenial area, dorsal part, layer 5</c:v>
                  </c:pt>
                </c:lvl>
                <c:lvl>
                  <c:pt idx="0">
                    <c:v>Retrosplenial area, dorsal part, layer 4</c:v>
                  </c:pt>
                </c:lvl>
                <c:lvl>
                  <c:pt idx="0">
                    <c:v>Retrosplenial area, dorsal part, layer 2/3</c:v>
                  </c:pt>
                </c:lvl>
                <c:lvl>
                  <c:pt idx="0">
                    <c:v>Retrosplenial area, dorsal part, layer 1</c:v>
                  </c:pt>
                </c:lvl>
                <c:lvl>
                  <c:pt idx="0">
                    <c:v>Retrosplenial area, lateral agranular part, layer 6b</c:v>
                  </c:pt>
                </c:lvl>
                <c:lvl>
                  <c:pt idx="0">
                    <c:v>Retrosplenial area, lateral agranular part, layer 6a</c:v>
                  </c:pt>
                </c:lvl>
                <c:lvl>
                  <c:pt idx="0">
                    <c:v>Retrosplenial area, lateral agranular part, layer 5</c:v>
                  </c:pt>
                </c:lvl>
                <c:lvl>
                  <c:pt idx="0">
                    <c:v>Retrosplenial area, lateral agranular part, layer 2/3</c:v>
                  </c:pt>
                </c:lvl>
                <c:lvl>
                  <c:pt idx="0">
                    <c:v>Retrosplenial area, lateral agranular part, layer 1</c:v>
                  </c:pt>
                </c:lvl>
                <c:lvl>
                  <c:pt idx="0">
                    <c:v>Retrosplenial area, lateral agranular part</c:v>
                  </c:pt>
                </c:lvl>
                <c:lvl>
                  <c:pt idx="0">
                    <c:v>Agranular insular area, ventral part, layer 6a</c:v>
                  </c:pt>
                </c:lvl>
                <c:lvl>
                  <c:pt idx="0">
                    <c:v>Agranular insular area, ventral part, layer 5</c:v>
                  </c:pt>
                </c:lvl>
                <c:lvl>
                  <c:pt idx="0">
                    <c:v>Agranular insular area, ventral part, layer 2/3</c:v>
                  </c:pt>
                </c:lvl>
                <c:lvl>
                  <c:pt idx="0">
                    <c:v>Agranular insular area, ventral part, layer 1</c:v>
                  </c:pt>
                </c:lvl>
                <c:lvl>
                  <c:pt idx="0">
                    <c:v>Agranular insular area, posterior part, layer 6a</c:v>
                  </c:pt>
                </c:lvl>
                <c:lvl>
                  <c:pt idx="0">
                    <c:v>Agranular insular area, posterior part, layer 5</c:v>
                  </c:pt>
                </c:lvl>
                <c:lvl>
                  <c:pt idx="0">
                    <c:v>Agranular insular area, posterior part, layer 2/3</c:v>
                  </c:pt>
                </c:lvl>
                <c:lvl>
                  <c:pt idx="0">
                    <c:v>Agranular insular area, posterior part, layer 1</c:v>
                  </c:pt>
                </c:lvl>
                <c:lvl>
                  <c:pt idx="0">
                    <c:v>Agranular insular area, dorsal part, layer 6b</c:v>
                  </c:pt>
                </c:lvl>
                <c:lvl>
                  <c:pt idx="0">
                    <c:v>Agranular insular area, dorsal part, layer 6a</c:v>
                  </c:pt>
                </c:lvl>
                <c:lvl>
                  <c:pt idx="0">
                    <c:v>Agranular insular area, dorsal part, layer 5</c:v>
                  </c:pt>
                </c:lvl>
                <c:lvl>
                  <c:pt idx="0">
                    <c:v>Agranular insular area, dorsal part, layer 2/3</c:v>
                  </c:pt>
                </c:lvl>
                <c:lvl>
                  <c:pt idx="0">
                    <c:v>Agranular insular area, dorsal part, layer 1</c:v>
                  </c:pt>
                </c:lvl>
                <c:lvl>
                  <c:pt idx="0">
                    <c:v>Agranular insular area, dorsal part</c:v>
                  </c:pt>
                </c:lvl>
                <c:lvl>
                  <c:pt idx="0">
                    <c:v>Orbital area, ventrolateral part, layer 6b</c:v>
                  </c:pt>
                </c:lvl>
                <c:lvl>
                  <c:pt idx="0">
                    <c:v>Orbital area, ventrolateral part, layer 6a</c:v>
                  </c:pt>
                </c:lvl>
                <c:lvl>
                  <c:pt idx="0">
                    <c:v>Orbital area, ventrolateral part, layer 5</c:v>
                  </c:pt>
                </c:lvl>
                <c:lvl>
                  <c:pt idx="0">
                    <c:v>Orbital area, ventrolateral part, layer 2/3</c:v>
                  </c:pt>
                </c:lvl>
                <c:lvl>
                  <c:pt idx="0">
                    <c:v>Orbital area, ventrolateral part, layer 1</c:v>
                  </c:pt>
                </c:lvl>
                <c:lvl>
                  <c:pt idx="0">
                    <c:v>Orbital area, medial part, layer 6a</c:v>
                  </c:pt>
                </c:lvl>
                <c:lvl>
                  <c:pt idx="0">
                    <c:v>Orbital area, medial part, layer 5</c:v>
                  </c:pt>
                </c:lvl>
                <c:lvl>
                  <c:pt idx="0">
                    <c:v>Orbital area, medial part, layer 2/3</c:v>
                  </c:pt>
                </c:lvl>
                <c:lvl>
                  <c:pt idx="0">
                    <c:v>Orbital area, medial part, layer 1</c:v>
                  </c:pt>
                </c:lvl>
                <c:lvl>
                  <c:pt idx="0">
                    <c:v>Orbital area, lateral part, layer 6b</c:v>
                  </c:pt>
                </c:lvl>
                <c:lvl>
                  <c:pt idx="0">
                    <c:v>Orbital area, lateral part, layer 6a</c:v>
                  </c:pt>
                </c:lvl>
                <c:lvl>
                  <c:pt idx="0">
                    <c:v>Orbital area, lateral part, layer 5</c:v>
                  </c:pt>
                </c:lvl>
                <c:lvl>
                  <c:pt idx="0">
                    <c:v>Orbital area, lateral part, layer 2/3</c:v>
                  </c:pt>
                </c:lvl>
                <c:lvl>
                  <c:pt idx="0">
                    <c:v>Orbital area, lateral part, layer 1</c:v>
                  </c:pt>
                </c:lvl>
                <c:lvl>
                  <c:pt idx="0">
                    <c:v>Infralimbic area, layer 6b</c:v>
                  </c:pt>
                </c:lvl>
                <c:lvl>
                  <c:pt idx="0">
                    <c:v>Infralimbic area, layer 6a</c:v>
                  </c:pt>
                </c:lvl>
                <c:lvl>
                  <c:pt idx="0">
                    <c:v>Infralimbic area, layer 5</c:v>
                  </c:pt>
                </c:lvl>
                <c:lvl>
                  <c:pt idx="0">
                    <c:v>Infralimbic area, layer 2/3</c:v>
                  </c:pt>
                </c:lvl>
                <c:lvl>
                  <c:pt idx="0">
                    <c:v>Infralimbic area, layer 1</c:v>
                  </c:pt>
                </c:lvl>
                <c:lvl>
                  <c:pt idx="0">
                    <c:v>Prelimbic area, layer 6b</c:v>
                  </c:pt>
                </c:lvl>
                <c:lvl>
                  <c:pt idx="0">
                    <c:v>Prelimbic area, layer 6a</c:v>
                  </c:pt>
                </c:lvl>
                <c:lvl>
                  <c:pt idx="0">
                    <c:v>Prelimbic area, layer 5</c:v>
                  </c:pt>
                </c:lvl>
                <c:lvl>
                  <c:pt idx="0">
                    <c:v>Prelimbic area, layer 2/3</c:v>
                  </c:pt>
                </c:lvl>
                <c:lvl>
                  <c:pt idx="0">
                    <c:v>Prelimbic area, layer 1</c:v>
                  </c:pt>
                </c:lvl>
                <c:lvl>
                  <c:pt idx="0">
                    <c:v>Anterior cingulate area, ventral part, layer 5</c:v>
                  </c:pt>
                </c:lvl>
                <c:lvl>
                  <c:pt idx="0">
                    <c:v>Anterior cingulate area, ventral part, layer 2/3</c:v>
                  </c:pt>
                </c:lvl>
                <c:lvl>
                  <c:pt idx="0">
                    <c:v>Anterior cingulate area, ventral part, layer 1</c:v>
                  </c:pt>
                </c:lvl>
                <c:lvl>
                  <c:pt idx="0">
                    <c:v>Anterior cingulate area, ventral part, 6b</c:v>
                  </c:pt>
                </c:lvl>
                <c:lvl>
                  <c:pt idx="0">
                    <c:v>Anterior cingulate area, ventral part, 6a</c:v>
                  </c:pt>
                </c:lvl>
                <c:lvl>
                  <c:pt idx="0">
                    <c:v>Anterior cingulate area, dorsal part, layer 6b</c:v>
                  </c:pt>
                </c:lvl>
                <c:lvl>
                  <c:pt idx="0">
                    <c:v>Anterior cingulate area, dorsal part, layer 6a</c:v>
                  </c:pt>
                </c:lvl>
                <c:lvl>
                  <c:pt idx="0">
                    <c:v>Anterior cingulate area, dorsal part, layer 5</c:v>
                  </c:pt>
                </c:lvl>
                <c:lvl>
                  <c:pt idx="0">
                    <c:v>Anterior cingulate area, dorsal part, layer 2/3</c:v>
                  </c:pt>
                </c:lvl>
                <c:lvl>
                  <c:pt idx="0">
                    <c:v>Anterior cingulate area, dorsal part, layer 1</c:v>
                  </c:pt>
                </c:lvl>
                <c:lvl>
                  <c:pt idx="0">
                    <c:v>posteromedial visual area, layer 6b</c:v>
                  </c:pt>
                </c:lvl>
                <c:lvl>
                  <c:pt idx="0">
                    <c:v>posteromedial visual area, layer 6a</c:v>
                  </c:pt>
                </c:lvl>
                <c:lvl>
                  <c:pt idx="0">
                    <c:v>posteromedial visual area, layer 5</c:v>
                  </c:pt>
                </c:lvl>
                <c:lvl>
                  <c:pt idx="0">
                    <c:v>posteromedial visual area, layer 4</c:v>
                  </c:pt>
                </c:lvl>
                <c:lvl>
                  <c:pt idx="0">
                    <c:v>posteromedial visual area, layer 2/3</c:v>
                  </c:pt>
                </c:lvl>
                <c:lvl>
                  <c:pt idx="0">
                    <c:v>posteromedial visual area, layer 1</c:v>
                  </c:pt>
                </c:lvl>
                <c:lvl>
                  <c:pt idx="0">
                    <c:v>Posterolateral visual area, layer 6b</c:v>
                  </c:pt>
                </c:lvl>
                <c:lvl>
                  <c:pt idx="0">
                    <c:v>Posterolateral visual area, layer 6a</c:v>
                  </c:pt>
                </c:lvl>
                <c:lvl>
                  <c:pt idx="0">
                    <c:v>Posterolateral visual area, layer 5</c:v>
                  </c:pt>
                </c:lvl>
                <c:lvl>
                  <c:pt idx="0">
                    <c:v>Posterolateral visual area, layer 4</c:v>
                  </c:pt>
                </c:lvl>
                <c:lvl>
                  <c:pt idx="0">
                    <c:v>Posterolateral visual area, layer 2/3</c:v>
                  </c:pt>
                </c:lvl>
                <c:lvl>
                  <c:pt idx="0">
                    <c:v>Posterolateral visual area, layer 1</c:v>
                  </c:pt>
                </c:lvl>
                <c:lvl>
                  <c:pt idx="0">
                    <c:v>Primary visual area, layer 6b</c:v>
                  </c:pt>
                </c:lvl>
                <c:lvl>
                  <c:pt idx="0">
                    <c:v>Primary visual area, layer 6a</c:v>
                  </c:pt>
                </c:lvl>
                <c:lvl>
                  <c:pt idx="0">
                    <c:v>Primary visual area, layer 5</c:v>
                  </c:pt>
                </c:lvl>
                <c:lvl>
                  <c:pt idx="0">
                    <c:v>Primary visual area, layer 4</c:v>
                  </c:pt>
                </c:lvl>
                <c:lvl>
                  <c:pt idx="0">
                    <c:v>Primary visual area, layer 2/3</c:v>
                  </c:pt>
                </c:lvl>
                <c:lvl>
                  <c:pt idx="0">
                    <c:v>Primary visual area, layer 1</c:v>
                  </c:pt>
                </c:lvl>
                <c:lvl>
                  <c:pt idx="0">
                    <c:v>Lateral visual area, layer 6b</c:v>
                  </c:pt>
                </c:lvl>
                <c:lvl>
                  <c:pt idx="0">
                    <c:v>Lateral visual area, layer 6a</c:v>
                  </c:pt>
                </c:lvl>
                <c:lvl>
                  <c:pt idx="0">
                    <c:v>Lateral visual area, layer 5</c:v>
                  </c:pt>
                </c:lvl>
                <c:lvl>
                  <c:pt idx="0">
                    <c:v>Lateral visual area, layer 4</c:v>
                  </c:pt>
                </c:lvl>
                <c:lvl>
                  <c:pt idx="0">
                    <c:v>Lateral visual area, layer 2/3</c:v>
                  </c:pt>
                </c:lvl>
                <c:lvl>
                  <c:pt idx="0">
                    <c:v>Lateral visual area, layer 1</c:v>
                  </c:pt>
                </c:lvl>
                <c:lvl>
                  <c:pt idx="0">
                    <c:v>Anteromedial visual area, layer 6b</c:v>
                  </c:pt>
                </c:lvl>
                <c:lvl>
                  <c:pt idx="0">
                    <c:v>Anteromedial visual area, layer 6a</c:v>
                  </c:pt>
                </c:lvl>
                <c:lvl>
                  <c:pt idx="0">
                    <c:v>Anteromedial visual area, layer 5</c:v>
                  </c:pt>
                </c:lvl>
                <c:lvl>
                  <c:pt idx="0">
                    <c:v>Anteromedial visual area, layer 4</c:v>
                  </c:pt>
                </c:lvl>
                <c:lvl>
                  <c:pt idx="0">
                    <c:v>Anteromedial visual area, layer 2/3</c:v>
                  </c:pt>
                </c:lvl>
                <c:lvl>
                  <c:pt idx="0">
                    <c:v>Anteromedial visual area, layer 1</c:v>
                  </c:pt>
                </c:lvl>
                <c:lvl>
                  <c:pt idx="0">
                    <c:v>Anterolateral visual area, layer 6b</c:v>
                  </c:pt>
                </c:lvl>
                <c:lvl>
                  <c:pt idx="0">
                    <c:v>Anterolateral visual area, layer 6a</c:v>
                  </c:pt>
                </c:lvl>
                <c:lvl>
                  <c:pt idx="0">
                    <c:v>Anterolateral visual area, layer 5</c:v>
                  </c:pt>
                </c:lvl>
                <c:lvl>
                  <c:pt idx="0">
                    <c:v>Anterolateral visual area, layer 4</c:v>
                  </c:pt>
                </c:lvl>
                <c:lvl>
                  <c:pt idx="0">
                    <c:v>Anterolateral visual area, layer 2/3</c:v>
                  </c:pt>
                </c:lvl>
                <c:lvl>
                  <c:pt idx="0">
                    <c:v>Anterolateral visual area, layer 1</c:v>
                  </c:pt>
                </c:lvl>
                <c:lvl>
                  <c:pt idx="0">
                    <c:v>Ventral auditory area, layer 6b</c:v>
                  </c:pt>
                </c:lvl>
                <c:lvl>
                  <c:pt idx="0">
                    <c:v>Ventral auditory area, layer 6a</c:v>
                  </c:pt>
                </c:lvl>
                <c:lvl>
                  <c:pt idx="0">
                    <c:v>Ventral auditory area, layer 5</c:v>
                  </c:pt>
                </c:lvl>
                <c:lvl>
                  <c:pt idx="0">
                    <c:v>Ventral auditory area, layer 4</c:v>
                  </c:pt>
                </c:lvl>
                <c:lvl>
                  <c:pt idx="0">
                    <c:v>Ventral auditory area, layer 2/3</c:v>
                  </c:pt>
                </c:lvl>
                <c:lvl>
                  <c:pt idx="0">
                    <c:v>Ventral auditory area, layer 1</c:v>
                  </c:pt>
                </c:lvl>
                <c:lvl>
                  <c:pt idx="0">
                    <c:v>Posterior auditory area, layer 6b</c:v>
                  </c:pt>
                </c:lvl>
                <c:lvl>
                  <c:pt idx="0">
                    <c:v>Posterior auditory area, layer 6a</c:v>
                  </c:pt>
                </c:lvl>
                <c:lvl>
                  <c:pt idx="0">
                    <c:v>Posterior auditory area, layer 5</c:v>
                  </c:pt>
                </c:lvl>
                <c:lvl>
                  <c:pt idx="0">
                    <c:v>Posterior auditory area, layer 4</c:v>
                  </c:pt>
                </c:lvl>
                <c:lvl>
                  <c:pt idx="0">
                    <c:v>Posterior auditory area, layer 2/3</c:v>
                  </c:pt>
                </c:lvl>
                <c:lvl>
                  <c:pt idx="0">
                    <c:v>Posterior auditory area, layer 1</c:v>
                  </c:pt>
                </c:lvl>
                <c:lvl>
                  <c:pt idx="0">
                    <c:v>Posterior amygdalar nucleus</c:v>
                  </c:pt>
                </c:lvl>
                <c:lvl>
                  <c:pt idx="0">
                    <c:v>Primary auditory area, layer 6b</c:v>
                  </c:pt>
                </c:lvl>
                <c:lvl>
                  <c:pt idx="0">
                    <c:v>Primary auditory area, layer 6a</c:v>
                  </c:pt>
                </c:lvl>
                <c:lvl>
                  <c:pt idx="0">
                    <c:v>Primary auditory area, layer 5</c:v>
                  </c:pt>
                </c:lvl>
                <c:lvl>
                  <c:pt idx="0">
                    <c:v>Primary auditory area, layer 4</c:v>
                  </c:pt>
                </c:lvl>
                <c:lvl>
                  <c:pt idx="0">
                    <c:v>Primary auditory area, layer 2/3</c:v>
                  </c:pt>
                </c:lvl>
                <c:lvl>
                  <c:pt idx="0">
                    <c:v>Primary auditory area, layer 1</c:v>
                  </c:pt>
                </c:lvl>
                <c:lvl>
                  <c:pt idx="0">
                    <c:v>Dorsal auditory area, layer 6b</c:v>
                  </c:pt>
                </c:lvl>
                <c:lvl>
                  <c:pt idx="0">
                    <c:v>Dorsal auditory area, layer 6a</c:v>
                  </c:pt>
                </c:lvl>
                <c:lvl>
                  <c:pt idx="0">
                    <c:v>Dorsal auditory area, layer 5</c:v>
                  </c:pt>
                </c:lvl>
                <c:lvl>
                  <c:pt idx="0">
                    <c:v>Dorsal auditory area, layer 4</c:v>
                  </c:pt>
                </c:lvl>
                <c:lvl>
                  <c:pt idx="0">
                    <c:v>Dorsal auditory area, layer 2/3</c:v>
                  </c:pt>
                </c:lvl>
                <c:lvl>
                  <c:pt idx="0">
                    <c:v>Dorsal auditory area, layer 1</c:v>
                  </c:pt>
                </c:lvl>
                <c:lvl>
                  <c:pt idx="0">
                    <c:v>Visceral area, layer 6b</c:v>
                  </c:pt>
                </c:lvl>
                <c:lvl>
                  <c:pt idx="0">
                    <c:v>Visceral area, layer 6a</c:v>
                  </c:pt>
                </c:lvl>
                <c:lvl>
                  <c:pt idx="0">
                    <c:v>Visceral area, layer 5</c:v>
                  </c:pt>
                </c:lvl>
                <c:lvl>
                  <c:pt idx="0">
                    <c:v>Visceral area, layer 4</c:v>
                  </c:pt>
                </c:lvl>
                <c:lvl>
                  <c:pt idx="0">
                    <c:v>Visceral area, layer 2/3</c:v>
                  </c:pt>
                </c:lvl>
                <c:lvl>
                  <c:pt idx="0">
                    <c:v>Visceral area, layer 1</c:v>
                  </c:pt>
                </c:lvl>
                <c:lvl>
                  <c:pt idx="0">
                    <c:v>Gustatory areas, layer 6b</c:v>
                  </c:pt>
                </c:lvl>
                <c:lvl>
                  <c:pt idx="0">
                    <c:v>Gustatory areas, layer 6a</c:v>
                  </c:pt>
                </c:lvl>
                <c:lvl>
                  <c:pt idx="0">
                    <c:v>Gustatory areas, layer 5</c:v>
                  </c:pt>
                </c:lvl>
                <c:lvl>
                  <c:pt idx="0">
                    <c:v>Gustatory areas, layer 4</c:v>
                  </c:pt>
                </c:lvl>
                <c:lvl>
                  <c:pt idx="0">
                    <c:v>Gustatory areas, layer 2/3</c:v>
                  </c:pt>
                </c:lvl>
                <c:lvl>
                  <c:pt idx="0">
                    <c:v>Gustatory areas, layer 1</c:v>
                  </c:pt>
                </c:lvl>
                <c:lvl>
                  <c:pt idx="0">
                    <c:v>Supplemental somatosensory area, layer 6b</c:v>
                  </c:pt>
                </c:lvl>
                <c:lvl>
                  <c:pt idx="0">
                    <c:v>Supplemental somatosensory area, layer 6a</c:v>
                  </c:pt>
                </c:lvl>
                <c:lvl>
                  <c:pt idx="0">
                    <c:v>Supplemental somatosensory area, layer 5</c:v>
                  </c:pt>
                </c:lvl>
                <c:lvl>
                  <c:pt idx="0">
                    <c:v>Supplemental somatosensory area, layer 4</c:v>
                  </c:pt>
                </c:lvl>
                <c:lvl>
                  <c:pt idx="0">
                    <c:v>Supplemental somatosensory area, layer 2/3</c:v>
                  </c:pt>
                </c:lvl>
                <c:lvl>
                  <c:pt idx="0">
                    <c:v>Supplemental somatosensory area, layer 1</c:v>
                  </c:pt>
                </c:lvl>
                <c:lvl>
                  <c:pt idx="0">
                    <c:v>Primary somatosensory area, trunk, layer 6b</c:v>
                  </c:pt>
                </c:lvl>
                <c:lvl>
                  <c:pt idx="0">
                    <c:v>Primary somatosensory area, trunk, layer 6a</c:v>
                  </c:pt>
                </c:lvl>
                <c:lvl>
                  <c:pt idx="0">
                    <c:v>Primary somatosensory area, trunk, layer 5</c:v>
                  </c:pt>
                </c:lvl>
                <c:lvl>
                  <c:pt idx="0">
                    <c:v>Primary somatosensory area, trunk, layer 4</c:v>
                  </c:pt>
                </c:lvl>
                <c:lvl>
                  <c:pt idx="0">
                    <c:v>Primary somatosensory area, trunk, layer 2/3</c:v>
                  </c:pt>
                </c:lvl>
                <c:lvl>
                  <c:pt idx="0">
                    <c:v>Primary somatosensory area, trunk, layer 1</c:v>
                  </c:pt>
                </c:lvl>
                <c:lvl>
                  <c:pt idx="0">
                    <c:v>Primary somatosensory area, upper limb, layer 6b</c:v>
                  </c:pt>
                </c:lvl>
                <c:lvl>
                  <c:pt idx="0">
                    <c:v>Primary somatosensory area, upper limb, layer 6a</c:v>
                  </c:pt>
                </c:lvl>
                <c:lvl>
                  <c:pt idx="0">
                    <c:v>Primary somatosensory area, upper limb, layer 5</c:v>
                  </c:pt>
                </c:lvl>
                <c:lvl>
                  <c:pt idx="0">
                    <c:v>Primary somatosensory area, upper limb, layer 4</c:v>
                  </c:pt>
                </c:lvl>
                <c:lvl>
                  <c:pt idx="0">
                    <c:v>Primary somatosensory area, upper limb, layer 2/3</c:v>
                  </c:pt>
                </c:lvl>
                <c:lvl>
                  <c:pt idx="0">
                    <c:v>Primary somatosensory area, upper limb, layer 1</c:v>
                  </c:pt>
                </c:lvl>
                <c:lvl>
                  <c:pt idx="0">
                    <c:v>Primary somatosensory area, mouth, layer 6b</c:v>
                  </c:pt>
                </c:lvl>
                <c:lvl>
                  <c:pt idx="0">
                    <c:v>Primary somatosensory area, mouth, layer 6a</c:v>
                  </c:pt>
                </c:lvl>
                <c:lvl>
                  <c:pt idx="0">
                    <c:v>Primary somatosensory area, mouth, layer 5</c:v>
                  </c:pt>
                </c:lvl>
                <c:lvl>
                  <c:pt idx="0">
                    <c:v>Primary somatosensory area, mouth, layer 4</c:v>
                  </c:pt>
                </c:lvl>
                <c:lvl>
                  <c:pt idx="0">
                    <c:v>Primary somatosensory area, mouth, layer 2/3</c:v>
                  </c:pt>
                </c:lvl>
                <c:lvl>
                  <c:pt idx="0">
                    <c:v>Primary somatosensory area, mouth, layer 1</c:v>
                  </c:pt>
                </c:lvl>
                <c:lvl>
                  <c:pt idx="0">
                    <c:v>Primary somatosensory area, lower limb, layer 6b</c:v>
                  </c:pt>
                </c:lvl>
                <c:lvl>
                  <c:pt idx="0">
                    <c:v>Primary somatosensory area, lower limb, layer 6a</c:v>
                  </c:pt>
                </c:lvl>
                <c:lvl>
                  <c:pt idx="0">
                    <c:v>Primary somatosensory area, lower limb, layer 5</c:v>
                  </c:pt>
                </c:lvl>
                <c:lvl>
                  <c:pt idx="0">
                    <c:v>Primary somatosensory area, lower limb, layer 4</c:v>
                  </c:pt>
                </c:lvl>
                <c:lvl>
                  <c:pt idx="0">
                    <c:v>Primary somatosensory area, lower limb, layer 2/3</c:v>
                  </c:pt>
                </c:lvl>
                <c:lvl>
                  <c:pt idx="0">
                    <c:v>Primary somatosensory area, lower limb, layer 1</c:v>
                  </c:pt>
                </c:lvl>
                <c:lvl>
                  <c:pt idx="0">
                    <c:v>Primary somatosensory area, barrel field, layer 6b</c:v>
                  </c:pt>
                </c:lvl>
                <c:lvl>
                  <c:pt idx="0">
                    <c:v>Primary somatosensory area, barrel field, layer 6a</c:v>
                  </c:pt>
                </c:lvl>
                <c:lvl>
                  <c:pt idx="0">
                    <c:v>Primary somatosensory area, barrel field, layer 5</c:v>
                  </c:pt>
                </c:lvl>
                <c:lvl>
                  <c:pt idx="0">
                    <c:v>Primary somatosensory area, barrel field, layer 4</c:v>
                  </c:pt>
                </c:lvl>
                <c:lvl>
                  <c:pt idx="0">
                    <c:v>Primary somatosensory area, barrel field, layer 2/3</c:v>
                  </c:pt>
                </c:lvl>
                <c:lvl>
                  <c:pt idx="0">
                    <c:v>Primary somatosensory area, barrel field, layer 1</c:v>
                  </c:pt>
                </c:lvl>
                <c:lvl>
                  <c:pt idx="0">
                    <c:v>Primary somatosensory area, nose, layer 6b</c:v>
                  </c:pt>
                </c:lvl>
                <c:lvl>
                  <c:pt idx="0">
                    <c:v>Primary somatosensory area, nose, layer 6a</c:v>
                  </c:pt>
                </c:lvl>
                <c:lvl>
                  <c:pt idx="0">
                    <c:v>Primary somatosensory area, nose, layer 5</c:v>
                  </c:pt>
                </c:lvl>
                <c:lvl>
                  <c:pt idx="0">
                    <c:v>Primary somatosensory area, nose, layer 4</c:v>
                  </c:pt>
                </c:lvl>
                <c:lvl>
                  <c:pt idx="0">
                    <c:v>Primary somatosensory area, nose, layer 2/3</c:v>
                  </c:pt>
                </c:lvl>
                <c:lvl>
                  <c:pt idx="0">
                    <c:v>Primary somatosensory area, nose, layer 1</c:v>
                  </c:pt>
                </c:lvl>
                <c:lvl>
                  <c:pt idx="0">
                    <c:v>Secondary motor area, layer 6b</c:v>
                  </c:pt>
                </c:lvl>
                <c:lvl>
                  <c:pt idx="0">
                    <c:v>Secondary motor area, layer 6a</c:v>
                  </c:pt>
                </c:lvl>
                <c:lvl>
                  <c:pt idx="0">
                    <c:v>Secondary motor area, layer 5</c:v>
                  </c:pt>
                </c:lvl>
                <c:lvl>
                  <c:pt idx="0">
                    <c:v>Secondary motor area, layer 2/3</c:v>
                  </c:pt>
                </c:lvl>
                <c:lvl>
                  <c:pt idx="0">
                    <c:v>Secondary motor area, layer 1</c:v>
                  </c:pt>
                </c:lvl>
                <c:lvl>
                  <c:pt idx="0">
                    <c:v>Primary motor area, Layer 6b</c:v>
                  </c:pt>
                </c:lvl>
                <c:lvl>
                  <c:pt idx="0">
                    <c:v>Primary motor area, Layer 6a</c:v>
                  </c:pt>
                </c:lvl>
                <c:lvl>
                  <c:pt idx="0">
                    <c:v>Primary motor area, Layer 5</c:v>
                  </c:pt>
                </c:lvl>
                <c:lvl>
                  <c:pt idx="0">
                    <c:v>Primary motor area, Layer 2/3</c:v>
                  </c:pt>
                </c:lvl>
                <c:lvl>
                  <c:pt idx="0">
                    <c:v>Primary motor area, Layer 1</c:v>
                  </c:pt>
                </c:lvl>
                <c:lvl>
                  <c:pt idx="0">
                    <c:v>Primary motor area</c:v>
                  </c:pt>
                </c:lvl>
                <c:lvl>
                  <c:pt idx="0">
                    <c:v>Frontal pole, layer 2/3</c:v>
                  </c:pt>
                </c:lvl>
                <c:lvl>
                  <c:pt idx="0">
                    <c:v>Frontal pole, layer 1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</c:multiLvlStrCache>
            </c:multiLvlStrRef>
          </c:cat>
          <c:val>
            <c:numRef>
              <c:f>'Z-scores&lt;2'!$C$22:$UP$22</c:f>
              <c:numCache>
                <c:formatCode>General</c:formatCode>
                <c:ptCount val="560"/>
              </c:numCache>
            </c:numRef>
          </c:val>
        </c:ser>
        <c:gapWidth val="219"/>
        <c:overlap val="-27"/>
        <c:axId val="78895467"/>
        <c:axId val="22145701"/>
      </c:barChart>
      <c:lineChart>
        <c:grouping val="standard"/>
        <c:varyColors val="0"/>
        <c:ser>
          <c:idx val="1"/>
          <c:order val="1"/>
          <c:tx>
            <c:strRef>
              <c:f>"High threshold"</c:f>
              <c:strCache>
                <c:ptCount val="1"/>
                <c:pt idx="0">
                  <c:v>High threshold</c:v>
                </c:pt>
              </c:strCache>
            </c:strRef>
          </c:tx>
          <c:spPr>
            <a:solidFill>
              <a:srgbClr val="c0504d"/>
            </a:solidFill>
            <a:ln cap="rnd" w="2844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'Z-scores&lt;2'!$C$3:$UE$3</c:f>
              <c:multiLvlStrCache>
                <c:ptCount val="1"/>
                <c:lvl>
                  <c:pt idx="0">
                    <c:v>mammillary peduncle</c:v>
                  </c:pt>
                </c:lvl>
                <c:lvl>
                  <c:pt idx="0">
                    <c:v>mammillotegmental tract</c:v>
                  </c:pt>
                </c:lvl>
                <c:lvl>
                  <c:pt idx="0">
                    <c:v>mammilothalmic tract</c:v>
                  </c:pt>
                </c:lvl>
                <c:lvl>
                  <c:pt idx="0">
                    <c:v>supramammillary decussation</c:v>
                  </c:pt>
                </c:lvl>
                <c:lvl>
                  <c:pt idx="0">
                    <c:v>stria terminalis</c:v>
                  </c:pt>
                </c:lvl>
                <c:lvl>
                  <c:pt idx="0">
                    <c:v>ventral hippocampal commissure</c:v>
                  </c:pt>
                </c:lvl>
                <c:lvl>
                  <c:pt idx="0">
                    <c:v>dorsal hippocampal commissure</c:v>
                  </c:pt>
                </c:lvl>
                <c:lvl>
                  <c:pt idx="0">
                    <c:v>columns of the fornix</c:v>
                  </c:pt>
                </c:lvl>
                <c:lvl>
                  <c:pt idx="0">
                    <c:v>fimbria</c:v>
                  </c:pt>
                </c:lvl>
                <c:lvl>
                  <c:pt idx="0">
                    <c:v>dorsal fornix</c:v>
                  </c:pt>
                </c:lvl>
                <c:lvl>
                  <c:pt idx="0">
                    <c:v>alveus</c:v>
                  </c:pt>
                </c:lvl>
                <c:lvl>
                  <c:pt idx="0">
                    <c:v>cingulum bundle</c:v>
                  </c:pt>
                </c:lvl>
                <c:lvl>
                  <c:pt idx="0">
                    <c:v>anterior commissure, temporal limb</c:v>
                  </c:pt>
                </c:lvl>
                <c:lvl>
                  <c:pt idx="0">
                    <c:v>amygdalar capsule</c:v>
                  </c:pt>
                </c:lvl>
                <c:lvl>
                  <c:pt idx="0">
                    <c:v>ventral tegmental decussation</c:v>
                  </c:pt>
                </c:lvl>
                <c:lvl>
                  <c:pt idx="0">
                    <c:v>rubrospinal tract</c:v>
                  </c:pt>
                </c:lvl>
                <c:lvl>
                  <c:pt idx="0">
                    <c:v>doral tegmental decussation</c:v>
                  </c:pt>
                </c:lvl>
                <c:lvl>
                  <c:pt idx="0">
                    <c:v>tectospinal pathway</c:v>
                  </c:pt>
                </c:lvl>
                <c:lvl>
                  <c:pt idx="0">
                    <c:v>pyramid</c:v>
                  </c:pt>
                </c:lvl>
                <c:lvl>
                  <c:pt idx="0">
                    <c:v>cerebal peduncle</c:v>
                  </c:pt>
                </c:lvl>
                <c:lvl>
                  <c:pt idx="0">
                    <c:v>internal capsule</c:v>
                  </c:pt>
                </c:lvl>
                <c:lvl>
                  <c:pt idx="0">
                    <c:v>external medullary lamina of the thalamus</c:v>
                  </c:pt>
                </c:lvl>
                <c:lvl>
                  <c:pt idx="0">
                    <c:v>corticospinal tract</c:v>
                  </c:pt>
                </c:lvl>
                <c:lvl>
                  <c:pt idx="0">
                    <c:v>corpus callosum</c:v>
                  </c:pt>
                </c:lvl>
                <c:lvl>
                  <c:pt idx="0">
                    <c:v>arbor vitae</c:v>
                  </c:pt>
                </c:lvl>
                <c:lvl>
                  <c:pt idx="0">
                    <c:v>inferior cerebellar peduncle</c:v>
                  </c:pt>
                </c:lvl>
                <c:lvl>
                  <c:pt idx="0">
                    <c:v>middle cerebellar peduncle</c:v>
                  </c:pt>
                </c:lvl>
                <c:lvl>
                  <c:pt idx="0">
                    <c:v>superior cerebelar peduncles</c:v>
                  </c:pt>
                </c:lvl>
                <c:lvl>
                  <c:pt idx="0">
                    <c:v>medial lemniscus</c:v>
                  </c:pt>
                </c:lvl>
                <c:lvl>
                  <c:pt idx="0">
                    <c:v>cuneate fascicle</c:v>
                  </c:pt>
                </c:lvl>
                <c:lvl>
                  <c:pt idx="0">
                    <c:v>solitary tract</c:v>
                  </c:pt>
                </c:lvl>
                <c:lvl>
                  <c:pt idx="0">
                    <c:v>inferior colliculus commissure</c:v>
                  </c:pt>
                </c:lvl>
                <c:lvl>
                  <c:pt idx="0">
                    <c:v>lateral lemniscus</c:v>
                  </c:pt>
                </c:lvl>
                <c:lvl>
                  <c:pt idx="0">
                    <c:v>trapezoid body</c:v>
                  </c:pt>
                </c:lvl>
                <c:lvl>
                  <c:pt idx="0">
                    <c:v>vestibular nerve</c:v>
                  </c:pt>
                </c:lvl>
                <c:lvl>
                  <c:pt idx="0">
                    <c:v>facial nerve</c:v>
                  </c:pt>
                </c:lvl>
                <c:lvl>
                  <c:pt idx="0">
                    <c:v>spinal tract of the trigeminal nerve</c:v>
                  </c:pt>
                </c:lvl>
                <c:lvl>
                  <c:pt idx="0">
                    <c:v>midbrain tract of the trigeminal nerve</c:v>
                  </c:pt>
                </c:lvl>
                <c:lvl>
                  <c:pt idx="0">
                    <c:v>motor root of the trigeminal nerve</c:v>
                  </c:pt>
                </c:lvl>
                <c:lvl>
                  <c:pt idx="0">
                    <c:v>trochlear nerve</c:v>
                  </c:pt>
                </c:lvl>
                <c:lvl>
                  <c:pt idx="0">
                    <c:v>posterior commissure</c:v>
                  </c:pt>
                </c:lvl>
                <c:lvl>
                  <c:pt idx="0">
                    <c:v>medial longitudinal fascicle</c:v>
                  </c:pt>
                </c:lvl>
                <c:lvl>
                  <c:pt idx="0">
                    <c:v>optic tract</c:v>
                  </c:pt>
                </c:lvl>
                <c:lvl>
                  <c:pt idx="0">
                    <c:v>optic chiasm</c:v>
                  </c:pt>
                </c:lvl>
                <c:lvl>
                  <c:pt idx="0">
                    <c:v>brachium of the inferior colliculus</c:v>
                  </c:pt>
                </c:lvl>
                <c:lvl>
                  <c:pt idx="0">
                    <c:v>anterior commissure, olfactory limb</c:v>
                  </c:pt>
                </c:lvl>
                <c:lvl>
                  <c:pt idx="0">
                    <c:v>lateral olfactory tract, body</c:v>
                  </c:pt>
                </c:lvl>
                <c:lvl>
                  <c:pt idx="0">
                    <c:v>olfactory nerve layer of main olfactory bulb</c:v>
                  </c:pt>
                </c:lvl>
                <c:lvl>
                  <c:pt idx="0">
                    <c:v>vomeronasal nerve</c:v>
                  </c:pt>
                </c:lvl>
                <c:lvl>
                  <c:pt idx="0">
                    <c:v>fiber tracts</c:v>
                  </c:pt>
                </c:lvl>
                <c:lvl>
                  <c:pt idx="0">
                    <c:v>Dentate nucleus</c:v>
                  </c:pt>
                </c:lvl>
                <c:lvl>
                  <c:pt idx="0">
                    <c:v>Interposed nucleus</c:v>
                  </c:pt>
                </c:lvl>
                <c:lvl>
                  <c:pt idx="0">
                    <c:v>Fastigial nucleus</c:v>
                  </c:pt>
                </c:lvl>
                <c:lvl>
                  <c:pt idx="0">
                    <c:v>Flocculus</c:v>
                  </c:pt>
                </c:lvl>
                <c:lvl>
                  <c:pt idx="0">
                    <c:v>Paraflocculus</c:v>
                  </c:pt>
                </c:lvl>
                <c:lvl>
                  <c:pt idx="0">
                    <c:v>Copula pyramidis</c:v>
                  </c:pt>
                </c:lvl>
                <c:lvl>
                  <c:pt idx="0">
                    <c:v>Paramedian lobule</c:v>
                  </c:pt>
                </c:lvl>
                <c:lvl>
                  <c:pt idx="0">
                    <c:v>Ansiform lobule</c:v>
                  </c:pt>
                </c:lvl>
                <c:lvl>
                  <c:pt idx="0">
                    <c:v>Simple lobule</c:v>
                  </c:pt>
                </c:lvl>
                <c:lvl>
                  <c:pt idx="0">
                    <c:v>Nodulus (X)</c:v>
                  </c:pt>
                </c:lvl>
                <c:lvl>
                  <c:pt idx="0">
                    <c:v>Uvula (IX)</c:v>
                  </c:pt>
                </c:lvl>
                <c:lvl>
                  <c:pt idx="0">
                    <c:v>Pyramus (VIII)</c:v>
                  </c:pt>
                </c:lvl>
                <c:lvl>
                  <c:pt idx="0">
                    <c:v>Folium-tuber vermis (VII)</c:v>
                  </c:pt>
                </c:lvl>
                <c:lvl>
                  <c:pt idx="0">
                    <c:v>Declive (VI)</c:v>
                  </c:pt>
                </c:lvl>
                <c:lvl>
                  <c:pt idx="0">
                    <c:v>Culmen</c:v>
                  </c:pt>
                </c:lvl>
                <c:lvl>
                  <c:pt idx="0">
                    <c:v>Central lobule</c:v>
                  </c:pt>
                </c:lvl>
                <c:lvl>
                  <c:pt idx="0">
                    <c:v>Lingula (I)</c:v>
                  </c:pt>
                </c:lvl>
                <c:lvl>
                  <c:pt idx="0">
                    <c:v>Nucleus raphÃË obscurus</c:v>
                  </c:pt>
                </c:lvl>
                <c:lvl>
                  <c:pt idx="0">
                    <c:v>Nucleus raphÃË pallidus</c:v>
                  </c:pt>
                </c:lvl>
                <c:lvl>
                  <c:pt idx="0">
                    <c:v>Nucleus raphÃË magnus</c:v>
                  </c:pt>
                </c:lvl>
                <c:lvl>
                  <c:pt idx="0">
                    <c:v>Nucleus y</c:v>
                  </c:pt>
                </c:lvl>
                <c:lvl>
                  <c:pt idx="0">
                    <c:v>Hypoglossal nucleus</c:v>
                  </c:pt>
                </c:lvl>
                <c:lvl>
                  <c:pt idx="0">
                    <c:v>Nucleus x</c:v>
                  </c:pt>
                </c:lvl>
                <c:lvl>
                  <c:pt idx="0">
                    <c:v>Superior vestibular nucleus</c:v>
                  </c:pt>
                </c:lvl>
                <c:lvl>
                  <c:pt idx="0">
                    <c:v>Spinal vestibular nucleus</c:v>
                  </c:pt>
                </c:lvl>
                <c:lvl>
                  <c:pt idx="0">
                    <c:v>Medial vestibular nucleus</c:v>
                  </c:pt>
                </c:lvl>
                <c:lvl>
                  <c:pt idx="0">
                    <c:v>Lateral vestibular nucleus</c:v>
                  </c:pt>
                </c:lvl>
                <c:lvl>
                  <c:pt idx="0">
                    <c:v>Parapyramidal nucleus</c:v>
                  </c:pt>
                </c:lvl>
                <c:lvl>
                  <c:pt idx="0">
                    <c:v>Nucleus prepositus</c:v>
                  </c:pt>
                </c:lvl>
                <c:lvl>
                  <c:pt idx="0">
                    <c:v>Nucleus of Roller</c:v>
                  </c:pt>
                </c:lvl>
                <c:lvl>
                  <c:pt idx="0">
                    <c:v>Paragigantocellular reticular nucleus, lateral part</c:v>
                  </c:pt>
                </c:lvl>
                <c:lvl>
                  <c:pt idx="0">
                    <c:v>Paragigantocellular reticular nucleus, dorsal part</c:v>
                  </c:pt>
                </c:lvl>
                <c:lvl>
                  <c:pt idx="0">
                    <c:v>Parasolitary nucleus</c:v>
                  </c:pt>
                </c:lvl>
                <c:lvl>
                  <c:pt idx="0">
                    <c:v>Parvicellular reticular nucleus</c:v>
                  </c:pt>
                </c:lvl>
                <c:lvl>
                  <c:pt idx="0">
                    <c:v>Medullary reticular nucleus, ventral part</c:v>
                  </c:pt>
                </c:lvl>
                <c:lvl>
                  <c:pt idx="0">
                    <c:v>Medullary reticular nucleus, dorsal part</c:v>
                  </c:pt>
                </c:lvl>
                <c:lvl>
                  <c:pt idx="0">
                    <c:v>Magnocellular reticular nucleus</c:v>
                  </c:pt>
                </c:lvl>
                <c:lvl>
                  <c:pt idx="0">
                    <c:v>Lateral reticular nucleus</c:v>
                  </c:pt>
                </c:lvl>
                <c:lvl>
                  <c:pt idx="0">
                    <c:v>Linear nucleus of the medulla</c:v>
                  </c:pt>
                </c:lvl>
                <c:lvl>
                  <c:pt idx="0">
                    <c:v>Inferior salivatory nucleus</c:v>
                  </c:pt>
                </c:lvl>
                <c:lvl>
                  <c:pt idx="0">
                    <c:v>Intermediate reticular nucleus</c:v>
                  </c:pt>
                </c:lvl>
                <c:lvl>
                  <c:pt idx="0">
                    <c:v>Inferior olivary complex</c:v>
                  </c:pt>
                </c:lvl>
                <c:lvl>
                  <c:pt idx="0">
                    <c:v>Infracerebellar nucleus</c:v>
                  </c:pt>
                </c:lvl>
                <c:lvl>
                  <c:pt idx="0">
                    <c:v>Gigantocellular reticular nucleus</c:v>
                  </c:pt>
                </c:lvl>
                <c:lvl>
                  <c:pt idx="0">
                    <c:v>Dorsal motor nucleus of the vagus nerve</c:v>
                  </c:pt>
                </c:lvl>
                <c:lvl>
                  <c:pt idx="0">
                    <c:v>Nucleus ambiguus, ventral division</c:v>
                  </c:pt>
                </c:lvl>
                <c:lvl>
                  <c:pt idx="0">
                    <c:v>Nucleus ambiguus, dorsal division</c:v>
                  </c:pt>
                </c:lvl>
                <c:lvl>
                  <c:pt idx="0">
                    <c:v>Accessory facial motor nucleus</c:v>
                  </c:pt>
                </c:lvl>
                <c:lvl>
                  <c:pt idx="0">
                    <c:v>Facial motor nucleus</c:v>
                  </c:pt>
                </c:lvl>
                <c:lvl>
                  <c:pt idx="0">
                    <c:v>Abducens nucleus</c:v>
                  </c:pt>
                </c:lvl>
                <c:lvl>
                  <c:pt idx="0">
                    <c:v>Spinal nucleus of the trigeminal, oral part</c:v>
                  </c:pt>
                </c:lvl>
                <c:lvl>
                  <c:pt idx="0">
                    <c:v>Spinal nucleus of the trigeminal, interpolar part</c:v>
                  </c:pt>
                </c:lvl>
                <c:lvl>
                  <c:pt idx="0">
                    <c:v>Spinal nucleus of the trigeminal, caudal part</c:v>
                  </c:pt>
                </c:lvl>
                <c:lvl>
                  <c:pt idx="0">
                    <c:v>Nucleus of the solitary tract</c:v>
                  </c:pt>
                </c:lvl>
                <c:lvl>
                  <c:pt idx="0">
                    <c:v>Nucleus of the trapezoid body</c:v>
                  </c:pt>
                </c:lvl>
                <c:lvl>
                  <c:pt idx="0">
                    <c:v>External cuneate nucleus</c:v>
                  </c:pt>
                </c:lvl>
                <c:lvl>
                  <c:pt idx="0">
                    <c:v>Gracile nucleus</c:v>
                  </c:pt>
                </c:lvl>
                <c:lvl>
                  <c:pt idx="0">
                    <c:v>Cuneate nucleus</c:v>
                  </c:pt>
                </c:lvl>
                <c:lvl>
                  <c:pt idx="0">
                    <c:v>Ventral cochlear nucleus</c:v>
                  </c:pt>
                </c:lvl>
                <c:lvl>
                  <c:pt idx="0">
                    <c:v>Dorsal cochlear nucleus</c:v>
                  </c:pt>
                </c:lvl>
                <c:lvl>
                  <c:pt idx="0">
                    <c:v>Area postrema</c:v>
                  </c:pt>
                </c:lvl>
                <c:lvl>
                  <c:pt idx="0">
                    <c:v>Medulla</c:v>
                  </c:pt>
                </c:lvl>
                <c:lvl>
                  <c:pt idx="0">
                    <c:v>Sublaterodorsal nucleus</c:v>
                  </c:pt>
                </c:lvl>
                <c:lvl>
                  <c:pt idx="0">
                    <c:v>Subceruleus nucleus</c:v>
                  </c:pt>
                </c:lvl>
                <c:lvl>
                  <c:pt idx="0">
                    <c:v>Nucleus raphÃË pontis</c:v>
                  </c:pt>
                </c:lvl>
                <c:lvl>
                  <c:pt idx="0">
                    <c:v>Pontine reticular nucleus</c:v>
                  </c:pt>
                </c:lvl>
                <c:lvl>
                  <c:pt idx="0">
                    <c:v>Nucleus incertus</c:v>
                  </c:pt>
                </c:lvl>
                <c:lvl>
                  <c:pt idx="0">
                    <c:v>Laterodorsal tegmental nucleus</c:v>
                  </c:pt>
                </c:lvl>
                <c:lvl>
                  <c:pt idx="0">
                    <c:v>Locus ceruleus</c:v>
                  </c:pt>
                </c:lvl>
                <c:lvl>
                  <c:pt idx="0">
                    <c:v>Superior central nucleus raphÃË</c:v>
                  </c:pt>
                </c:lvl>
                <c:lvl>
                  <c:pt idx="0">
                    <c:v>Motor nucleus of trigeminal</c:v>
                  </c:pt>
                </c:lvl>
                <c:lvl>
                  <c:pt idx="0">
                    <c:v>Tegmental reticular nucleus</c:v>
                  </c:pt>
                </c:lvl>
                <c:lvl>
                  <c:pt idx="0">
                    <c:v>Supratrigeminal nucleus</c:v>
                  </c:pt>
                </c:lvl>
                <c:lvl>
                  <c:pt idx="0">
                    <c:v>Supragenual nucleus</c:v>
                  </c:pt>
                </c:lvl>
                <c:lvl>
                  <c:pt idx="0">
                    <c:v>Pontine reticular nucleus, caudal part</c:v>
                  </c:pt>
                </c:lvl>
                <c:lvl>
                  <c:pt idx="0">
                    <c:v>Pontine gray</c:v>
                  </c:pt>
                </c:lvl>
                <c:lvl>
                  <c:pt idx="0">
                    <c:v>Pontine central gray</c:v>
                  </c:pt>
                </c:lvl>
                <c:lvl>
                  <c:pt idx="0">
                    <c:v>Dorsal tegmental nucleus</c:v>
                  </c:pt>
                </c:lvl>
                <c:lvl>
                  <c:pt idx="0">
                    <c:v>Barrington's nucleus</c:v>
                  </c:pt>
                </c:lvl>
                <c:lvl>
                  <c:pt idx="0">
                    <c:v>Superior olivary complex, lateral part</c:v>
                  </c:pt>
                </c:lvl>
                <c:lvl>
                  <c:pt idx="0">
                    <c:v>Superior olivary complex, medial part</c:v>
                  </c:pt>
                </c:lvl>
                <c:lvl>
                  <c:pt idx="0">
                    <c:v>Superior olivary complex, periolivary region</c:v>
                  </c:pt>
                </c:lvl>
                <c:lvl>
                  <c:pt idx="0">
                    <c:v>Parabrachial nucleus</c:v>
                  </c:pt>
                </c:lvl>
                <c:lvl>
                  <c:pt idx="0">
                    <c:v>Principal sensory nucleus of the trigeminal</c:v>
                  </c:pt>
                </c:lvl>
                <c:lvl>
                  <c:pt idx="0">
                    <c:v>Nucleus of the lateral lemniscus</c:v>
                  </c:pt>
                </c:lvl>
                <c:lvl>
                  <c:pt idx="0">
                    <c:v>Pons</c:v>
                  </c:pt>
                </c:lvl>
                <c:lvl>
                  <c:pt idx="0">
                    <c:v>Dorsal nucleus raphÃË</c:v>
                  </c:pt>
                </c:lvl>
                <c:lvl>
                  <c:pt idx="0">
                    <c:v>Central linear nucleus raphÃË</c:v>
                  </c:pt>
                </c:lvl>
                <c:lvl>
                  <c:pt idx="0">
                    <c:v>Interpeduncular nucleus</c:v>
                  </c:pt>
                </c:lvl>
                <c:lvl>
                  <c:pt idx="0">
                    <c:v>Interfascicular nucleus raphÃË</c:v>
                  </c:pt>
                </c:lvl>
                <c:lvl>
                  <c:pt idx="0">
                    <c:v>Pedunculopontine nucleus</c:v>
                  </c:pt>
                </c:lvl>
                <c:lvl>
                  <c:pt idx="0">
                    <c:v>Substantia nigra, compact part</c:v>
                  </c:pt>
                </c:lvl>
                <c:lvl>
                  <c:pt idx="0">
                    <c:v>Lateral terminal nucleus of the accessory optic tract</c:v>
                  </c:pt>
                </c:lvl>
                <c:lvl>
                  <c:pt idx="0">
                    <c:v>Anterior tegmental nucleus</c:v>
                  </c:pt>
                </c:lvl>
                <c:lvl>
                  <c:pt idx="0">
                    <c:v>Ventral tegmental nucleus</c:v>
                  </c:pt>
                </c:lvl>
                <c:lvl>
                  <c:pt idx="0">
                    <c:v>Trochlear nucleus</c:v>
                  </c:pt>
                </c:lvl>
                <c:lvl>
                  <c:pt idx="0">
                    <c:v>Oculomotor nucleus</c:v>
                  </c:pt>
                </c:lvl>
                <c:lvl>
                  <c:pt idx="0">
                    <c:v>Red nucleus</c:v>
                  </c:pt>
                </c:lvl>
                <c:lvl>
                  <c:pt idx="0">
                    <c:v>Cuneiform nucleus</c:v>
                  </c:pt>
                </c:lvl>
                <c:lvl>
                  <c:pt idx="0">
                    <c:v>Posterior pretectal nucleus</c:v>
                  </c:pt>
                </c:lvl>
                <c:lvl>
                  <c:pt idx="0">
                    <c:v>Olivary pretectal nucleus</c:v>
                  </c:pt>
                </c:lvl>
                <c:lvl>
                  <c:pt idx="0">
                    <c:v>Nucleus of the posterior commissure</c:v>
                  </c:pt>
                </c:lvl>
                <c:lvl>
                  <c:pt idx="0">
                    <c:v>Nucleus of the optic tract</c:v>
                  </c:pt>
                </c:lvl>
                <c:lvl>
                  <c:pt idx="0">
                    <c:v>Medial pretectal area</c:v>
                  </c:pt>
                </c:lvl>
                <c:lvl>
                  <c:pt idx="0">
                    <c:v>Anterior pretectal nucleus</c:v>
                  </c:pt>
                </c:lvl>
                <c:lvl>
                  <c:pt idx="0">
                    <c:v>Nucleus of Darkschewitsch</c:v>
                  </c:pt>
                </c:lvl>
                <c:lvl>
                  <c:pt idx="0">
                    <c:v>Interstitial nucleus of Cajal</c:v>
                  </c:pt>
                </c:lvl>
                <c:lvl>
                  <c:pt idx="0">
                    <c:v>Precommissural nucleus</c:v>
                  </c:pt>
                </c:lvl>
                <c:lvl>
                  <c:pt idx="0">
                    <c:v>Periaqueductal gray</c:v>
                  </c:pt>
                </c:lvl>
                <c:lvl>
                  <c:pt idx="0">
                    <c:v>Superior colliculus, motor related, intermediate gray layer, sublayer c</c:v>
                  </c:pt>
                </c:lvl>
                <c:lvl>
                  <c:pt idx="0">
                    <c:v>Superior colliculus, motor related, intermediate gray layer, sublayer b</c:v>
                  </c:pt>
                </c:lvl>
                <c:lvl>
                  <c:pt idx="0">
                    <c:v>Superior colliculus, motor related, intermediate gray layer, sublayer a</c:v>
                  </c:pt>
                </c:lvl>
                <c:lvl>
                  <c:pt idx="0">
                    <c:v>Superior colliculus, motor related, intermediate gray layer</c:v>
                  </c:pt>
                </c:lvl>
                <c:lvl>
                  <c:pt idx="0">
                    <c:v>Superior colliculus, motor related, intermediate white layer</c:v>
                  </c:pt>
                </c:lvl>
                <c:lvl>
                  <c:pt idx="0">
                    <c:v>Superior colliculus, motor related, deep white layer</c:v>
                  </c:pt>
                </c:lvl>
                <c:lvl>
                  <c:pt idx="0">
                    <c:v>Superior colliculus, motor related, deep gray layer</c:v>
                  </c:pt>
                </c:lvl>
                <c:lvl>
                  <c:pt idx="0">
                    <c:v>Midbrain reticular nucleus, retrorubral area</c:v>
                  </c:pt>
                </c:lvl>
                <c:lvl>
                  <c:pt idx="0">
                    <c:v>Midbrain reticular nucleus</c:v>
                  </c:pt>
                </c:lvl>
                <c:lvl>
                  <c:pt idx="0">
                    <c:v>Ventral tegmental area</c:v>
                  </c:pt>
                </c:lvl>
                <c:lvl>
                  <c:pt idx="0">
                    <c:v>Substantia nigra, reticular part</c:v>
                  </c:pt>
                </c:lvl>
                <c:lvl>
                  <c:pt idx="0">
                    <c:v>Midbrain trigeminal nucleus</c:v>
                  </c:pt>
                </c:lvl>
                <c:lvl>
                  <c:pt idx="0">
                    <c:v>Parabigeminal nucleus</c:v>
                  </c:pt>
                </c:lvl>
                <c:lvl>
                  <c:pt idx="0">
                    <c:v>Nucleus sagulum</c:v>
                  </c:pt>
                </c:lvl>
                <c:lvl>
                  <c:pt idx="0">
                    <c:v>Nucleus of the brachium of the inferior colliculus</c:v>
                  </c:pt>
                </c:lvl>
                <c:lvl>
                  <c:pt idx="0">
                    <c:v>Inferior colliculus</c:v>
                  </c:pt>
                </c:lvl>
                <c:lvl>
                  <c:pt idx="0">
                    <c:v>Superior colliculus, superficial gray layer</c:v>
                  </c:pt>
                </c:lvl>
                <c:lvl>
                  <c:pt idx="0">
                    <c:v>Superior colliculus, optic layer</c:v>
                  </c:pt>
                </c:lvl>
                <c:lvl>
                  <c:pt idx="0">
                    <c:v>Midbrain</c:v>
                  </c:pt>
                </c:lvl>
                <c:lvl>
                  <c:pt idx="0">
                    <c:v>Fields of Forel</c:v>
                  </c:pt>
                </c:lvl>
                <c:lvl>
                  <c:pt idx="0">
                    <c:v>Zona incerta</c:v>
                  </c:pt>
                </c:lvl>
                <c:lvl>
                  <c:pt idx="0">
                    <c:v>Tuberal nucleus</c:v>
                  </c:pt>
                </c:lvl>
                <c:lvl>
                  <c:pt idx="0">
                    <c:v>Subthalamic nucleus</c:v>
                  </c:pt>
                </c:lvl>
                <c:lvl>
                  <c:pt idx="0">
                    <c:v>Retrochiasmatic area</c:v>
                  </c:pt>
                </c:lvl>
                <c:lvl>
                  <c:pt idx="0">
                    <c:v>Parasubthalamic nucleus</c:v>
                  </c:pt>
                </c:lvl>
                <c:lvl>
                  <c:pt idx="0">
                    <c:v>Preparasubthalamic nucleus</c:v>
                  </c:pt>
                </c:lvl>
                <c:lvl>
                  <c:pt idx="0">
                    <c:v>Lateral preoptic area</c:v>
                  </c:pt>
                </c:lvl>
                <c:lvl>
                  <c:pt idx="0">
                    <c:v>Lateral hypothalamic area</c:v>
                  </c:pt>
                </c:lvl>
                <c:lvl>
                  <c:pt idx="0">
                    <c:v>Posterior hypothalamic nucleus</c:v>
                  </c:pt>
                </c:lvl>
                <c:lvl>
                  <c:pt idx="0">
                    <c:v>Ventromedial hypothalamic nucleus</c:v>
                  </c:pt>
                </c:lvl>
                <c:lvl>
                  <c:pt idx="0">
                    <c:v>Paraventricular hypothalamic nucleus, descending division</c:v>
                  </c:pt>
                </c:lvl>
                <c:lvl>
                  <c:pt idx="0">
                    <c:v>Ventral premammillary nucleus</c:v>
                  </c:pt>
                </c:lvl>
                <c:lvl>
                  <c:pt idx="0">
                    <c:v>Dorsal premammillary nucleus</c:v>
                  </c:pt>
                </c:lvl>
                <c:lvl>
                  <c:pt idx="0">
                    <c:v>Medial preoptic nucleus</c:v>
                  </c:pt>
                </c:lvl>
                <c:lvl>
                  <c:pt idx="0">
                    <c:v>Tuberomammillary nucleus, ventral part</c:v>
                  </c:pt>
                </c:lvl>
                <c:lvl>
                  <c:pt idx="0">
                    <c:v>Tuberomammillary nucleus, dorsal part</c:v>
                  </c:pt>
                </c:lvl>
                <c:lvl>
                  <c:pt idx="0">
                    <c:v>Supramammillary nucleus</c:v>
                  </c:pt>
                </c:lvl>
                <c:lvl>
                  <c:pt idx="0">
                    <c:v>Medial mammillary nucleus</c:v>
                  </c:pt>
                </c:lvl>
                <c:lvl>
                  <c:pt idx="0">
                    <c:v>Lateral mammillary nucleus</c:v>
                  </c:pt>
                </c:lvl>
                <c:lvl>
                  <c:pt idx="0">
                    <c:v>Anterior hypothalamic nucleus</c:v>
                  </c:pt>
                </c:lvl>
                <c:lvl>
                  <c:pt idx="0">
                    <c:v>Ventrolateral preoptic nucleus</c:v>
                  </c:pt>
                </c:lvl>
                <c:lvl>
                  <c:pt idx="0">
                    <c:v>Subparaventricular zone</c:v>
                  </c:pt>
                </c:lvl>
                <c:lvl>
                  <c:pt idx="0">
                    <c:v>Periventricular hypothalamic nucleus, preoptic part</c:v>
                  </c:pt>
                </c:lvl>
                <c:lvl>
                  <c:pt idx="0">
                    <c:v>Periventricular hypothalamic nucleus, posterior part</c:v>
                  </c:pt>
                </c:lvl>
                <c:lvl>
                  <c:pt idx="0">
                    <c:v>Parastrial nucleus</c:v>
                  </c:pt>
                </c:lvl>
                <c:lvl>
                  <c:pt idx="0">
                    <c:v>Posterodorsal preoptic nucleus</c:v>
                  </c:pt>
                </c:lvl>
                <c:lvl>
                  <c:pt idx="0">
                    <c:v>Medial preoptic area</c:v>
                  </c:pt>
                </c:lvl>
                <c:lvl>
                  <c:pt idx="0">
                    <c:v>Median preoptic nucleus</c:v>
                  </c:pt>
                </c:lvl>
                <c:lvl>
                  <c:pt idx="0">
                    <c:v>Dorsomedial nucleus of the hypothalamus</c:v>
                  </c:pt>
                </c:lvl>
                <c:lvl>
                  <c:pt idx="0">
                    <c:v>Anteroventral periventricular nucleus</c:v>
                  </c:pt>
                </c:lvl>
                <c:lvl>
                  <c:pt idx="0">
                    <c:v>Anteroventral preoptic nucleus</c:v>
                  </c:pt>
                </c:lvl>
                <c:lvl>
                  <c:pt idx="0">
                    <c:v>Anterodorsal preoptic nucleus</c:v>
                  </c:pt>
                </c:lvl>
                <c:lvl>
                  <c:pt idx="0">
                    <c:v>Arcuate hypothalamic nucleus</c:v>
                  </c:pt>
                </c:lvl>
                <c:lvl>
                  <c:pt idx="0">
                    <c:v>Periventricular hypothalamic nucleus, intermediate part</c:v>
                  </c:pt>
                </c:lvl>
                <c:lvl>
                  <c:pt idx="0">
                    <c:v>Paraventricular hypothalamic nucleus</c:v>
                  </c:pt>
                </c:lvl>
                <c:lvl>
                  <c:pt idx="0">
                    <c:v>Accessory supraoptic group</c:v>
                  </c:pt>
                </c:lvl>
                <c:lvl>
                  <c:pt idx="0">
                    <c:v>Supraoptic nucleus</c:v>
                  </c:pt>
                </c:lvl>
                <c:lvl>
                  <c:pt idx="0">
                    <c:v>Hypothalamus</c:v>
                  </c:pt>
                </c:lvl>
                <c:lvl>
                  <c:pt idx="0">
                    <c:v>Lateral habenula</c:v>
                  </c:pt>
                </c:lvl>
                <c:lvl>
                  <c:pt idx="0">
                    <c:v>Medial habenula</c:v>
                  </c:pt>
                </c:lvl>
                <c:lvl>
                  <c:pt idx="0">
                    <c:v>Subgeniculate nucleus</c:v>
                  </c:pt>
                </c:lvl>
                <c:lvl>
                  <c:pt idx="0">
                    <c:v>Ventral part of the lateral geniculate complex</c:v>
                  </c:pt>
                </c:lvl>
                <c:lvl>
                  <c:pt idx="0">
                    <c:v>Intergeniculate leaflet of the lateral geniculate complex</c:v>
                  </c:pt>
                </c:lvl>
                <c:lvl>
                  <c:pt idx="0">
                    <c:v>Reticular nucleus of the thalamus</c:v>
                  </c:pt>
                </c:lvl>
                <c:lvl>
                  <c:pt idx="0">
                    <c:v>Parafascicular nucleus</c:v>
                  </c:pt>
                </c:lvl>
                <c:lvl>
                  <c:pt idx="0">
                    <c:v>Central lateral nucleus of the thalamus</c:v>
                  </c:pt>
                </c:lvl>
                <c:lvl>
                  <c:pt idx="0">
                    <c:v>Paracentral nucleus</c:v>
                  </c:pt>
                </c:lvl>
                <c:lvl>
                  <c:pt idx="0">
                    <c:v>Central medial nucleus of the thalamus</c:v>
                  </c:pt>
                </c:lvl>
                <c:lvl>
                  <c:pt idx="0">
                    <c:v>Rhomboid nucleus</c:v>
                  </c:pt>
                </c:lvl>
                <c:lvl>
                  <c:pt idx="0">
                    <c:v>Nucleus of reunions</c:v>
                  </c:pt>
                </c:lvl>
                <c:lvl>
                  <c:pt idx="0">
                    <c:v>Parataenial nucleus</c:v>
                  </c:pt>
                </c:lvl>
                <c:lvl>
                  <c:pt idx="0">
                    <c:v>Perireunensis nucleus</c:v>
                  </c:pt>
                </c:lvl>
                <c:lvl>
                  <c:pt idx="0">
                    <c:v>Submedial nucleus of the thalamus</c:v>
                  </c:pt>
                </c:lvl>
                <c:lvl>
                  <c:pt idx="0">
                    <c:v>Mediodorsal nucleus of thalamus</c:v>
                  </c:pt>
                </c:lvl>
                <c:lvl>
                  <c:pt idx="0">
                    <c:v>Lateral dorsal nucleus of thalamus</c:v>
                  </c:pt>
                </c:lvl>
                <c:lvl>
                  <c:pt idx="0">
                    <c:v>Interanterodorsal nucleus of the thalamus</c:v>
                  </c:pt>
                </c:lvl>
                <c:lvl>
                  <c:pt idx="0">
                    <c:v>Interanteromedial nucleus of the thalamus</c:v>
                  </c:pt>
                </c:lvl>
                <c:lvl>
                  <c:pt idx="0">
                    <c:v>Anterodorsal nucleus</c:v>
                  </c:pt>
                </c:lvl>
                <c:lvl>
                  <c:pt idx="0">
                    <c:v>Anteromedial nucleus</c:v>
                  </c:pt>
                </c:lvl>
                <c:lvl>
                  <c:pt idx="0">
                    <c:v>Anteroventral nucleus of thalamus</c:v>
                  </c:pt>
                </c:lvl>
                <c:lvl>
                  <c:pt idx="0">
                    <c:v>Suprageniculate nucleus</c:v>
                  </c:pt>
                </c:lvl>
                <c:lvl>
                  <c:pt idx="0">
                    <c:v>Posterior limiting nucleus of the thalamus</c:v>
                  </c:pt>
                </c:lvl>
                <c:lvl>
                  <c:pt idx="0">
                    <c:v>Posterior complex of the thalamus</c:v>
                  </c:pt>
                </c:lvl>
                <c:lvl>
                  <c:pt idx="0">
                    <c:v>Lateral posterior nucleus of the thalamus</c:v>
                  </c:pt>
                </c:lvl>
                <c:lvl>
                  <c:pt idx="0">
                    <c:v>Dorsal part of the lateral geniculate complex</c:v>
                  </c:pt>
                </c:lvl>
                <c:lvl>
                  <c:pt idx="0">
                    <c:v>Medial geniculate complex</c:v>
                  </c:pt>
                </c:lvl>
                <c:lvl>
                  <c:pt idx="0">
                    <c:v>Peripeduncular nucleus</c:v>
                  </c:pt>
                </c:lvl>
                <c:lvl>
                  <c:pt idx="0">
                    <c:v>Subparafascicular nucleus, parvicellular part</c:v>
                  </c:pt>
                </c:lvl>
                <c:lvl>
                  <c:pt idx="0">
                    <c:v>Subparafascicular nucleus, magnocellular part</c:v>
                  </c:pt>
                </c:lvl>
                <c:lvl>
                  <c:pt idx="0">
                    <c:v>Subparafascicular area</c:v>
                  </c:pt>
                </c:lvl>
                <c:lvl>
                  <c:pt idx="0">
                    <c:v>Ventral posteromedial nucleus of the thalamus, parvicellular part</c:v>
                  </c:pt>
                </c:lvl>
                <c:lvl>
                  <c:pt idx="0">
                    <c:v>Ventral posteromedial nucleus of the thalamus</c:v>
                  </c:pt>
                </c:lvl>
                <c:lvl>
                  <c:pt idx="0">
                    <c:v>Ventral posterolateral nucleus of the thalamus, parvicellular part</c:v>
                  </c:pt>
                </c:lvl>
                <c:lvl>
                  <c:pt idx="0">
                    <c:v>Ventral posterolateral nucleus of the thalamus</c:v>
                  </c:pt>
                </c:lvl>
                <c:lvl>
                  <c:pt idx="0">
                    <c:v>Ventral medial nucleus of the thalamus</c:v>
                  </c:pt>
                </c:lvl>
                <c:lvl>
                  <c:pt idx="0">
                    <c:v>Ventral anterior-lateral complex of the thalamus</c:v>
                  </c:pt>
                </c:lvl>
                <c:lvl>
                  <c:pt idx="0">
                    <c:v>Thalamus</c:v>
                  </c:pt>
                </c:lvl>
                <c:lvl>
                  <c:pt idx="0">
                    <c:v>Bed nucleus of the anterior commissure</c:v>
                  </c:pt>
                </c:lvl>
                <c:lvl>
                  <c:pt idx="0">
                    <c:v>Bed nuclei of the stria terminalis</c:v>
                  </c:pt>
                </c:lvl>
                <c:lvl>
                  <c:pt idx="0">
                    <c:v>Triangular nucleus of septum</c:v>
                  </c:pt>
                </c:lvl>
                <c:lvl>
                  <c:pt idx="0">
                    <c:v>Diagonal band nucleus</c:v>
                  </c:pt>
                </c:lvl>
                <c:lvl>
                  <c:pt idx="0">
                    <c:v>Medial septal nucleus</c:v>
                  </c:pt>
                </c:lvl>
                <c:lvl>
                  <c:pt idx="0">
                    <c:v>Magnocellular nucleus</c:v>
                  </c:pt>
                </c:lvl>
                <c:lvl>
                  <c:pt idx="0">
                    <c:v>Substantia innominata</c:v>
                  </c:pt>
                </c:lvl>
                <c:lvl>
                  <c:pt idx="0">
                    <c:v>Globus pallidus, external segment</c:v>
                  </c:pt>
                </c:lvl>
                <c:lvl>
                  <c:pt idx="0">
                    <c:v>Globus pallidus, internal segment</c:v>
                  </c:pt>
                </c:lvl>
                <c:lvl>
                  <c:pt idx="0">
                    <c:v>Pallidum</c:v>
                  </c:pt>
                </c:lvl>
                <c:lvl>
                  <c:pt idx="0">
                    <c:v>Medial amygdalar nucleus</c:v>
                  </c:pt>
                </c:lvl>
                <c:lvl>
                  <c:pt idx="0">
                    <c:v>Intercalated amygdalar nucleus</c:v>
                  </c:pt>
                </c:lvl>
                <c:lvl>
                  <c:pt idx="0">
                    <c:v>Central amygdalar nucleus</c:v>
                  </c:pt>
                </c:lvl>
                <c:lvl>
                  <c:pt idx="0">
                    <c:v>Bed nucleus of the accessory olfactory tract</c:v>
                  </c:pt>
                </c:lvl>
                <c:lvl>
                  <c:pt idx="0">
                    <c:v>Anterior amygdalar area</c:v>
                  </c:pt>
                </c:lvl>
                <c:lvl>
                  <c:pt idx="0">
                    <c:v>Striatum-like amygdalar nuclei</c:v>
                  </c:pt>
                </c:lvl>
                <c:lvl>
                  <c:pt idx="0">
                    <c:v>Septohippocampal nucleus</c:v>
                  </c:pt>
                </c:lvl>
                <c:lvl>
                  <c:pt idx="0">
                    <c:v>Septofimbrial nucleus</c:v>
                  </c:pt>
                </c:lvl>
                <c:lvl>
                  <c:pt idx="0">
                    <c:v>Lateral septal nucleus, ventral part</c:v>
                  </c:pt>
                </c:lvl>
                <c:lvl>
                  <c:pt idx="0">
                    <c:v>Lateral septal nucleus, rostral (rostroventral) part</c:v>
                  </c:pt>
                </c:lvl>
                <c:lvl>
                  <c:pt idx="0">
                    <c:v>Lateral septal nucleus, caudal (caudodorsal) part</c:v>
                  </c:pt>
                </c:lvl>
                <c:lvl>
                  <c:pt idx="0">
                    <c:v>Olfactory tubercle</c:v>
                  </c:pt>
                </c:lvl>
                <c:lvl>
                  <c:pt idx="0">
                    <c:v>Fundus of striatum</c:v>
                  </c:pt>
                </c:lvl>
                <c:lvl>
                  <c:pt idx="0">
                    <c:v>Nucleus accumbens</c:v>
                  </c:pt>
                </c:lvl>
                <c:lvl>
                  <c:pt idx="0">
                    <c:v>Caudoputamen</c:v>
                  </c:pt>
                </c:lvl>
                <c:lvl>
                  <c:pt idx="0">
                    <c:v>Striatum</c:v>
                  </c:pt>
                </c:lvl>
                <c:lvl>
                  <c:pt idx="0">
                    <c:v>Basomedial amygdalar nucleus</c:v>
                  </c:pt>
                </c:lvl>
                <c:lvl>
                  <c:pt idx="0">
                    <c:v>Basolateral amygdalar nucleus, ventral part</c:v>
                  </c:pt>
                </c:lvl>
                <c:lvl>
                  <c:pt idx="0">
                    <c:v>Basolateral amygdalar nucleus, posterior part</c:v>
                  </c:pt>
                </c:lvl>
                <c:lvl>
                  <c:pt idx="0">
                    <c:v>Basolateral amygdalar nucleus, anterior part</c:v>
                  </c:pt>
                </c:lvl>
                <c:lvl>
                  <c:pt idx="0">
                    <c:v>Lateral amygdalar nucleus</c:v>
                  </c:pt>
                </c:lvl>
                <c:lvl>
                  <c:pt idx="0">
                    <c:v>Endopiriform nucleus, ventral part</c:v>
                  </c:pt>
                </c:lvl>
                <c:lvl>
                  <c:pt idx="0">
                    <c:v>Endopiriform nucleus, dorsal part</c:v>
                  </c:pt>
                </c:lvl>
                <c:lvl>
                  <c:pt idx="0">
                    <c:v>Claustrum</c:v>
                  </c:pt>
                </c:lvl>
                <c:lvl>
                  <c:pt idx="0">
                    <c:v>Cortical subplate</c:v>
                  </c:pt>
                </c:lvl>
                <c:lvl>
                  <c:pt idx="0">
                    <c:v>Subiculum</c:v>
                  </c:pt>
                </c:lvl>
                <c:lvl>
                  <c:pt idx="0">
                    <c:v>Presubiculum</c:v>
                  </c:pt>
                </c:lvl>
                <c:lvl>
                  <c:pt idx="0">
                    <c:v>Postsubiculum</c:v>
                  </c:pt>
                </c:lvl>
                <c:lvl>
                  <c:pt idx="0">
                    <c:v>Parasubiculum</c:v>
                  </c:pt>
                </c:lvl>
                <c:lvl>
                  <c:pt idx="0">
                    <c:v>Entorhinal area, medial part, ventral zone</c:v>
                  </c:pt>
                </c:lvl>
                <c:lvl>
                  <c:pt idx="0">
                    <c:v>Entorhinal area, medial part, dorsal zone</c:v>
                  </c:pt>
                </c:lvl>
                <c:lvl>
                  <c:pt idx="0">
                    <c:v>Entorhinal area, lateral part</c:v>
                  </c:pt>
                </c:lvl>
                <c:lvl>
                  <c:pt idx="0">
                    <c:v>Induseum griseum</c:v>
                  </c:pt>
                </c:lvl>
                <c:lvl>
                  <c:pt idx="0">
                    <c:v>Fasciola cinerea</c:v>
                  </c:pt>
                </c:lvl>
                <c:lvl>
                  <c:pt idx="0">
                    <c:v>Dentate gyrus, subgranular zone ventral</c:v>
                  </c:pt>
                </c:lvl>
                <c:lvl>
                  <c:pt idx="0">
                    <c:v>Dentate gyrus, granule cell layer ventral</c:v>
                  </c:pt>
                </c:lvl>
                <c:lvl>
                  <c:pt idx="0">
                    <c:v>Dentate gyrus, granule cell layer</c:v>
                  </c:pt>
                </c:lvl>
                <c:lvl>
                  <c:pt idx="0">
                    <c:v>Dentate gyrus, polymorph layer</c:v>
                  </c:pt>
                </c:lvl>
                <c:lvl>
                  <c:pt idx="0">
                    <c:v>Dentate gyrus, molecular layer</c:v>
                  </c:pt>
                </c:lvl>
                <c:lvl>
                  <c:pt idx="0">
                    <c:v>Dentate gyrus, molecular layer</c:v>
                  </c:pt>
                </c:lvl>
                <c:lvl>
                  <c:pt idx="0">
                    <c:v>Field CA3 ventral</c:v>
                  </c:pt>
                </c:lvl>
                <c:lvl>
                  <c:pt idx="0">
                    <c:v>Field CA2 ventral</c:v>
                  </c:pt>
                </c:lvl>
                <c:lvl>
                  <c:pt idx="0">
                    <c:v>Field CA1 ventral</c:v>
                  </c:pt>
                </c:lvl>
                <c:lvl>
                  <c:pt idx="0">
                    <c:v>Field CA3</c:v>
                  </c:pt>
                </c:lvl>
                <c:lvl>
                  <c:pt idx="0">
                    <c:v>Field CA2</c:v>
                  </c:pt>
                </c:lvl>
                <c:lvl>
                  <c:pt idx="0">
                    <c:v>Field CA1</c:v>
                  </c:pt>
                </c:lvl>
                <c:lvl>
                  <c:pt idx="0">
                    <c:v>Hippocampal formation</c:v>
                  </c:pt>
                </c:lvl>
                <c:lvl>
                  <c:pt idx="0">
                    <c:v>Postpiriform transition area</c:v>
                  </c:pt>
                </c:lvl>
                <c:lvl>
                  <c:pt idx="0">
                    <c:v>Piriform-amygdalar area</c:v>
                  </c:pt>
                </c:lvl>
                <c:lvl>
                  <c:pt idx="0">
                    <c:v>Cortical amygdalar area, posterior part</c:v>
                  </c:pt>
                </c:lvl>
                <c:lvl>
                  <c:pt idx="0">
                    <c:v>Cortical amygdalar area, anterior part</c:v>
                  </c:pt>
                </c:lvl>
                <c:lvl>
                  <c:pt idx="0">
                    <c:v>Nucleus of the lateral olfactory tract, layer 3</c:v>
                  </c:pt>
                </c:lvl>
                <c:lvl>
                  <c:pt idx="0">
                    <c:v>Nucleus of the lateral olfactory tract, molecular layer</c:v>
                  </c:pt>
                </c:lvl>
                <c:lvl>
                  <c:pt idx="0">
                    <c:v>Piriform area</c:v>
                  </c:pt>
                </c:lvl>
                <c:lvl>
                  <c:pt idx="0">
                    <c:v>Dorsal peduncular area</c:v>
                  </c:pt>
                </c:lvl>
                <c:lvl>
                  <c:pt idx="0">
                    <c:v>Taenia tecta</c:v>
                  </c:pt>
                </c:lvl>
                <c:lvl>
                  <c:pt idx="0">
                    <c:v>Anterior olfactory nucleus</c:v>
                  </c:pt>
                </c:lvl>
                <c:lvl>
                  <c:pt idx="0">
                    <c:v>Accessory olfactory bulb, mitral layer</c:v>
                  </c:pt>
                </c:lvl>
                <c:lvl>
                  <c:pt idx="0">
                    <c:v>Accessory olfactory bulb, granular layer</c:v>
                  </c:pt>
                </c:lvl>
                <c:lvl>
                  <c:pt idx="0">
                    <c:v>Accessory olfactory bulb, glomerular layer</c:v>
                  </c:pt>
                </c:lvl>
                <c:lvl>
                  <c:pt idx="0">
                    <c:v>Main olfactory bulb</c:v>
                  </c:pt>
                </c:lvl>
                <c:lvl>
                  <c:pt idx="0">
                    <c:v>Olfactory areas</c:v>
                  </c:pt>
                </c:lvl>
                <c:lvl>
                  <c:pt idx="0">
                    <c:v>Ectorhinal area/Layer 6b</c:v>
                  </c:pt>
                </c:lvl>
                <c:lvl>
                  <c:pt idx="0">
                    <c:v>Ectorhinal area/Layer 6a</c:v>
                  </c:pt>
                </c:lvl>
                <c:lvl>
                  <c:pt idx="0">
                    <c:v>Ectorhinal area/Layer 5</c:v>
                  </c:pt>
                </c:lvl>
                <c:lvl>
                  <c:pt idx="0">
                    <c:v>Ectorhinal area/Layer 2/3</c:v>
                  </c:pt>
                </c:lvl>
                <c:lvl>
                  <c:pt idx="0">
                    <c:v>Ectorhinal area/Layer 1</c:v>
                  </c:pt>
                </c:lvl>
                <c:lvl>
                  <c:pt idx="0">
                    <c:v>Ectorhinal area</c:v>
                  </c:pt>
                </c:lvl>
                <c:lvl>
                  <c:pt idx="0">
                    <c:v>Perirhinal area, layer 6b</c:v>
                  </c:pt>
                </c:lvl>
                <c:lvl>
                  <c:pt idx="0">
                    <c:v>Perirhinal area, layer 6a</c:v>
                  </c:pt>
                </c:lvl>
                <c:lvl>
                  <c:pt idx="0">
                    <c:v>Perirhinal area, layer 5</c:v>
                  </c:pt>
                </c:lvl>
                <c:lvl>
                  <c:pt idx="0">
                    <c:v>Perirhinal area, layer 2/3</c:v>
                  </c:pt>
                </c:lvl>
                <c:lvl>
                  <c:pt idx="0">
                    <c:v>Perirhinal area, layer 1</c:v>
                  </c:pt>
                </c:lvl>
                <c:lvl>
                  <c:pt idx="0">
                    <c:v>Temporal association areas, layer 6b</c:v>
                  </c:pt>
                </c:lvl>
                <c:lvl>
                  <c:pt idx="0">
                    <c:v>Temporal association areas, layer 6a</c:v>
                  </c:pt>
                </c:lvl>
                <c:lvl>
                  <c:pt idx="0">
                    <c:v>Temporal association areas, layer 5</c:v>
                  </c:pt>
                </c:lvl>
                <c:lvl>
                  <c:pt idx="0">
                    <c:v>Temporal association areas, layer 4</c:v>
                  </c:pt>
                </c:lvl>
                <c:lvl>
                  <c:pt idx="0">
                    <c:v>Temporal association areas, layer 2/3</c:v>
                  </c:pt>
                </c:lvl>
                <c:lvl>
                  <c:pt idx="0">
                    <c:v>Temporal association areas, layer 1</c:v>
                  </c:pt>
                </c:lvl>
                <c:lvl>
                  <c:pt idx="0">
                    <c:v>Retrosplenial area, ventral part, layer 6b</c:v>
                  </c:pt>
                </c:lvl>
                <c:lvl>
                  <c:pt idx="0">
                    <c:v>Retrosplenial area, ventral part, layer 6a</c:v>
                  </c:pt>
                </c:lvl>
                <c:lvl>
                  <c:pt idx="0">
                    <c:v>Retrosplenial area, ventral part, layer 5</c:v>
                  </c:pt>
                </c:lvl>
                <c:lvl>
                  <c:pt idx="0">
                    <c:v>Retrosplenial area, ventral part, layer 2/3</c:v>
                  </c:pt>
                </c:lvl>
                <c:lvl>
                  <c:pt idx="0">
                    <c:v>Retrosplenial area, ventral part, layer 1</c:v>
                  </c:pt>
                </c:lvl>
                <c:lvl>
                  <c:pt idx="0">
                    <c:v>Retrosplenial area, dorsal part, layer 6b</c:v>
                  </c:pt>
                </c:lvl>
                <c:lvl>
                  <c:pt idx="0">
                    <c:v>Retrosplenial area, dorsal part, layer 6a</c:v>
                  </c:pt>
                </c:lvl>
                <c:lvl>
                  <c:pt idx="0">
                    <c:v>Retrosplenial area, dorsal part, layer 5</c:v>
                  </c:pt>
                </c:lvl>
                <c:lvl>
                  <c:pt idx="0">
                    <c:v>Retrosplenial area, dorsal part, layer 4</c:v>
                  </c:pt>
                </c:lvl>
                <c:lvl>
                  <c:pt idx="0">
                    <c:v>Retrosplenial area, dorsal part, layer 2/3</c:v>
                  </c:pt>
                </c:lvl>
                <c:lvl>
                  <c:pt idx="0">
                    <c:v>Retrosplenial area, dorsal part, layer 1</c:v>
                  </c:pt>
                </c:lvl>
                <c:lvl>
                  <c:pt idx="0">
                    <c:v>Retrosplenial area, lateral agranular part, layer 6b</c:v>
                  </c:pt>
                </c:lvl>
                <c:lvl>
                  <c:pt idx="0">
                    <c:v>Retrosplenial area, lateral agranular part, layer 6a</c:v>
                  </c:pt>
                </c:lvl>
                <c:lvl>
                  <c:pt idx="0">
                    <c:v>Retrosplenial area, lateral agranular part, layer 5</c:v>
                  </c:pt>
                </c:lvl>
                <c:lvl>
                  <c:pt idx="0">
                    <c:v>Retrosplenial area, lateral agranular part, layer 2/3</c:v>
                  </c:pt>
                </c:lvl>
                <c:lvl>
                  <c:pt idx="0">
                    <c:v>Retrosplenial area, lateral agranular part, layer 1</c:v>
                  </c:pt>
                </c:lvl>
                <c:lvl>
                  <c:pt idx="0">
                    <c:v>Retrosplenial area, lateral agranular part</c:v>
                  </c:pt>
                </c:lvl>
                <c:lvl>
                  <c:pt idx="0">
                    <c:v>Agranular insular area, ventral part, layer 6a</c:v>
                  </c:pt>
                </c:lvl>
                <c:lvl>
                  <c:pt idx="0">
                    <c:v>Agranular insular area, ventral part, layer 5</c:v>
                  </c:pt>
                </c:lvl>
                <c:lvl>
                  <c:pt idx="0">
                    <c:v>Agranular insular area, ventral part, layer 2/3</c:v>
                  </c:pt>
                </c:lvl>
                <c:lvl>
                  <c:pt idx="0">
                    <c:v>Agranular insular area, ventral part, layer 1</c:v>
                  </c:pt>
                </c:lvl>
                <c:lvl>
                  <c:pt idx="0">
                    <c:v>Agranular insular area, posterior part, layer 6a</c:v>
                  </c:pt>
                </c:lvl>
                <c:lvl>
                  <c:pt idx="0">
                    <c:v>Agranular insular area, posterior part, layer 5</c:v>
                  </c:pt>
                </c:lvl>
                <c:lvl>
                  <c:pt idx="0">
                    <c:v>Agranular insular area, posterior part, layer 2/3</c:v>
                  </c:pt>
                </c:lvl>
                <c:lvl>
                  <c:pt idx="0">
                    <c:v>Agranular insular area, posterior part, layer 1</c:v>
                  </c:pt>
                </c:lvl>
                <c:lvl>
                  <c:pt idx="0">
                    <c:v>Agranular insular area, dorsal part, layer 6b</c:v>
                  </c:pt>
                </c:lvl>
                <c:lvl>
                  <c:pt idx="0">
                    <c:v>Agranular insular area, dorsal part, layer 6a</c:v>
                  </c:pt>
                </c:lvl>
                <c:lvl>
                  <c:pt idx="0">
                    <c:v>Agranular insular area, dorsal part, layer 5</c:v>
                  </c:pt>
                </c:lvl>
                <c:lvl>
                  <c:pt idx="0">
                    <c:v>Agranular insular area, dorsal part, layer 2/3</c:v>
                  </c:pt>
                </c:lvl>
                <c:lvl>
                  <c:pt idx="0">
                    <c:v>Agranular insular area, dorsal part, layer 1</c:v>
                  </c:pt>
                </c:lvl>
                <c:lvl>
                  <c:pt idx="0">
                    <c:v>Agranular insular area, dorsal part</c:v>
                  </c:pt>
                </c:lvl>
                <c:lvl>
                  <c:pt idx="0">
                    <c:v>Orbital area, ventrolateral part, layer 6b</c:v>
                  </c:pt>
                </c:lvl>
                <c:lvl>
                  <c:pt idx="0">
                    <c:v>Orbital area, ventrolateral part, layer 6a</c:v>
                  </c:pt>
                </c:lvl>
                <c:lvl>
                  <c:pt idx="0">
                    <c:v>Orbital area, ventrolateral part, layer 5</c:v>
                  </c:pt>
                </c:lvl>
                <c:lvl>
                  <c:pt idx="0">
                    <c:v>Orbital area, ventrolateral part, layer 2/3</c:v>
                  </c:pt>
                </c:lvl>
                <c:lvl>
                  <c:pt idx="0">
                    <c:v>Orbital area, ventrolateral part, layer 1</c:v>
                  </c:pt>
                </c:lvl>
                <c:lvl>
                  <c:pt idx="0">
                    <c:v>Orbital area, medial part, layer 6a</c:v>
                  </c:pt>
                </c:lvl>
                <c:lvl>
                  <c:pt idx="0">
                    <c:v>Orbital area, medial part, layer 5</c:v>
                  </c:pt>
                </c:lvl>
                <c:lvl>
                  <c:pt idx="0">
                    <c:v>Orbital area, medial part, layer 2/3</c:v>
                  </c:pt>
                </c:lvl>
                <c:lvl>
                  <c:pt idx="0">
                    <c:v>Orbital area, medial part, layer 1</c:v>
                  </c:pt>
                </c:lvl>
                <c:lvl>
                  <c:pt idx="0">
                    <c:v>Orbital area, lateral part, layer 6b</c:v>
                  </c:pt>
                </c:lvl>
                <c:lvl>
                  <c:pt idx="0">
                    <c:v>Orbital area, lateral part, layer 6a</c:v>
                  </c:pt>
                </c:lvl>
                <c:lvl>
                  <c:pt idx="0">
                    <c:v>Orbital area, lateral part, layer 5</c:v>
                  </c:pt>
                </c:lvl>
                <c:lvl>
                  <c:pt idx="0">
                    <c:v>Orbital area, lateral part, layer 2/3</c:v>
                  </c:pt>
                </c:lvl>
                <c:lvl>
                  <c:pt idx="0">
                    <c:v>Orbital area, lateral part, layer 1</c:v>
                  </c:pt>
                </c:lvl>
                <c:lvl>
                  <c:pt idx="0">
                    <c:v>Infralimbic area, layer 6b</c:v>
                  </c:pt>
                </c:lvl>
                <c:lvl>
                  <c:pt idx="0">
                    <c:v>Infralimbic area, layer 6a</c:v>
                  </c:pt>
                </c:lvl>
                <c:lvl>
                  <c:pt idx="0">
                    <c:v>Infralimbic area, layer 5</c:v>
                  </c:pt>
                </c:lvl>
                <c:lvl>
                  <c:pt idx="0">
                    <c:v>Infralimbic area, layer 2/3</c:v>
                  </c:pt>
                </c:lvl>
                <c:lvl>
                  <c:pt idx="0">
                    <c:v>Infralimbic area, layer 1</c:v>
                  </c:pt>
                </c:lvl>
                <c:lvl>
                  <c:pt idx="0">
                    <c:v>Prelimbic area, layer 6b</c:v>
                  </c:pt>
                </c:lvl>
                <c:lvl>
                  <c:pt idx="0">
                    <c:v>Prelimbic area, layer 6a</c:v>
                  </c:pt>
                </c:lvl>
                <c:lvl>
                  <c:pt idx="0">
                    <c:v>Prelimbic area, layer 5</c:v>
                  </c:pt>
                </c:lvl>
                <c:lvl>
                  <c:pt idx="0">
                    <c:v>Prelimbic area, layer 2/3</c:v>
                  </c:pt>
                </c:lvl>
                <c:lvl>
                  <c:pt idx="0">
                    <c:v>Prelimbic area, layer 1</c:v>
                  </c:pt>
                </c:lvl>
                <c:lvl>
                  <c:pt idx="0">
                    <c:v>Anterior cingulate area, ventral part, layer 5</c:v>
                  </c:pt>
                </c:lvl>
                <c:lvl>
                  <c:pt idx="0">
                    <c:v>Anterior cingulate area, ventral part, layer 2/3</c:v>
                  </c:pt>
                </c:lvl>
                <c:lvl>
                  <c:pt idx="0">
                    <c:v>Anterior cingulate area, ventral part, layer 1</c:v>
                  </c:pt>
                </c:lvl>
                <c:lvl>
                  <c:pt idx="0">
                    <c:v>Anterior cingulate area, ventral part, 6b</c:v>
                  </c:pt>
                </c:lvl>
                <c:lvl>
                  <c:pt idx="0">
                    <c:v>Anterior cingulate area, ventral part, 6a</c:v>
                  </c:pt>
                </c:lvl>
                <c:lvl>
                  <c:pt idx="0">
                    <c:v>Anterior cingulate area, dorsal part, layer 6b</c:v>
                  </c:pt>
                </c:lvl>
                <c:lvl>
                  <c:pt idx="0">
                    <c:v>Anterior cingulate area, dorsal part, layer 6a</c:v>
                  </c:pt>
                </c:lvl>
                <c:lvl>
                  <c:pt idx="0">
                    <c:v>Anterior cingulate area, dorsal part, layer 5</c:v>
                  </c:pt>
                </c:lvl>
                <c:lvl>
                  <c:pt idx="0">
                    <c:v>Anterior cingulate area, dorsal part, layer 2/3</c:v>
                  </c:pt>
                </c:lvl>
                <c:lvl>
                  <c:pt idx="0">
                    <c:v>Anterior cingulate area, dorsal part, layer 1</c:v>
                  </c:pt>
                </c:lvl>
                <c:lvl>
                  <c:pt idx="0">
                    <c:v>posteromedial visual area, layer 6b</c:v>
                  </c:pt>
                </c:lvl>
                <c:lvl>
                  <c:pt idx="0">
                    <c:v>posteromedial visual area, layer 6a</c:v>
                  </c:pt>
                </c:lvl>
                <c:lvl>
                  <c:pt idx="0">
                    <c:v>posteromedial visual area, layer 5</c:v>
                  </c:pt>
                </c:lvl>
                <c:lvl>
                  <c:pt idx="0">
                    <c:v>posteromedial visual area, layer 4</c:v>
                  </c:pt>
                </c:lvl>
                <c:lvl>
                  <c:pt idx="0">
                    <c:v>posteromedial visual area, layer 2/3</c:v>
                  </c:pt>
                </c:lvl>
                <c:lvl>
                  <c:pt idx="0">
                    <c:v>posteromedial visual area, layer 1</c:v>
                  </c:pt>
                </c:lvl>
                <c:lvl>
                  <c:pt idx="0">
                    <c:v>Posterolateral visual area, layer 6b</c:v>
                  </c:pt>
                </c:lvl>
                <c:lvl>
                  <c:pt idx="0">
                    <c:v>Posterolateral visual area, layer 6a</c:v>
                  </c:pt>
                </c:lvl>
                <c:lvl>
                  <c:pt idx="0">
                    <c:v>Posterolateral visual area, layer 5</c:v>
                  </c:pt>
                </c:lvl>
                <c:lvl>
                  <c:pt idx="0">
                    <c:v>Posterolateral visual area, layer 4</c:v>
                  </c:pt>
                </c:lvl>
                <c:lvl>
                  <c:pt idx="0">
                    <c:v>Posterolateral visual area, layer 2/3</c:v>
                  </c:pt>
                </c:lvl>
                <c:lvl>
                  <c:pt idx="0">
                    <c:v>Posterolateral visual area, layer 1</c:v>
                  </c:pt>
                </c:lvl>
                <c:lvl>
                  <c:pt idx="0">
                    <c:v>Primary visual area, layer 6b</c:v>
                  </c:pt>
                </c:lvl>
                <c:lvl>
                  <c:pt idx="0">
                    <c:v>Primary visual area, layer 6a</c:v>
                  </c:pt>
                </c:lvl>
                <c:lvl>
                  <c:pt idx="0">
                    <c:v>Primary visual area, layer 5</c:v>
                  </c:pt>
                </c:lvl>
                <c:lvl>
                  <c:pt idx="0">
                    <c:v>Primary visual area, layer 4</c:v>
                  </c:pt>
                </c:lvl>
                <c:lvl>
                  <c:pt idx="0">
                    <c:v>Primary visual area, layer 2/3</c:v>
                  </c:pt>
                </c:lvl>
                <c:lvl>
                  <c:pt idx="0">
                    <c:v>Primary visual area, layer 1</c:v>
                  </c:pt>
                </c:lvl>
                <c:lvl>
                  <c:pt idx="0">
                    <c:v>Lateral visual area, layer 6b</c:v>
                  </c:pt>
                </c:lvl>
                <c:lvl>
                  <c:pt idx="0">
                    <c:v>Lateral visual area, layer 6a</c:v>
                  </c:pt>
                </c:lvl>
                <c:lvl>
                  <c:pt idx="0">
                    <c:v>Lateral visual area, layer 5</c:v>
                  </c:pt>
                </c:lvl>
                <c:lvl>
                  <c:pt idx="0">
                    <c:v>Lateral visual area, layer 4</c:v>
                  </c:pt>
                </c:lvl>
                <c:lvl>
                  <c:pt idx="0">
                    <c:v>Lateral visual area, layer 2/3</c:v>
                  </c:pt>
                </c:lvl>
                <c:lvl>
                  <c:pt idx="0">
                    <c:v>Lateral visual area, layer 1</c:v>
                  </c:pt>
                </c:lvl>
                <c:lvl>
                  <c:pt idx="0">
                    <c:v>Anteromedial visual area, layer 6b</c:v>
                  </c:pt>
                </c:lvl>
                <c:lvl>
                  <c:pt idx="0">
                    <c:v>Anteromedial visual area, layer 6a</c:v>
                  </c:pt>
                </c:lvl>
                <c:lvl>
                  <c:pt idx="0">
                    <c:v>Anteromedial visual area, layer 5</c:v>
                  </c:pt>
                </c:lvl>
                <c:lvl>
                  <c:pt idx="0">
                    <c:v>Anteromedial visual area, layer 4</c:v>
                  </c:pt>
                </c:lvl>
                <c:lvl>
                  <c:pt idx="0">
                    <c:v>Anteromedial visual area, layer 2/3</c:v>
                  </c:pt>
                </c:lvl>
                <c:lvl>
                  <c:pt idx="0">
                    <c:v>Anteromedial visual area, layer 1</c:v>
                  </c:pt>
                </c:lvl>
                <c:lvl>
                  <c:pt idx="0">
                    <c:v>Anterolateral visual area, layer 6b</c:v>
                  </c:pt>
                </c:lvl>
                <c:lvl>
                  <c:pt idx="0">
                    <c:v>Anterolateral visual area, layer 6a</c:v>
                  </c:pt>
                </c:lvl>
                <c:lvl>
                  <c:pt idx="0">
                    <c:v>Anterolateral visual area, layer 5</c:v>
                  </c:pt>
                </c:lvl>
                <c:lvl>
                  <c:pt idx="0">
                    <c:v>Anterolateral visual area, layer 4</c:v>
                  </c:pt>
                </c:lvl>
                <c:lvl>
                  <c:pt idx="0">
                    <c:v>Anterolateral visual area, layer 2/3</c:v>
                  </c:pt>
                </c:lvl>
                <c:lvl>
                  <c:pt idx="0">
                    <c:v>Anterolateral visual area, layer 1</c:v>
                  </c:pt>
                </c:lvl>
                <c:lvl>
                  <c:pt idx="0">
                    <c:v>Ventral auditory area, layer 6b</c:v>
                  </c:pt>
                </c:lvl>
                <c:lvl>
                  <c:pt idx="0">
                    <c:v>Ventral auditory area, layer 6a</c:v>
                  </c:pt>
                </c:lvl>
                <c:lvl>
                  <c:pt idx="0">
                    <c:v>Ventral auditory area, layer 5</c:v>
                  </c:pt>
                </c:lvl>
                <c:lvl>
                  <c:pt idx="0">
                    <c:v>Ventral auditory area, layer 4</c:v>
                  </c:pt>
                </c:lvl>
                <c:lvl>
                  <c:pt idx="0">
                    <c:v>Ventral auditory area, layer 2/3</c:v>
                  </c:pt>
                </c:lvl>
                <c:lvl>
                  <c:pt idx="0">
                    <c:v>Ventral auditory area, layer 1</c:v>
                  </c:pt>
                </c:lvl>
                <c:lvl>
                  <c:pt idx="0">
                    <c:v>Posterior auditory area, layer 6b</c:v>
                  </c:pt>
                </c:lvl>
                <c:lvl>
                  <c:pt idx="0">
                    <c:v>Posterior auditory area, layer 6a</c:v>
                  </c:pt>
                </c:lvl>
                <c:lvl>
                  <c:pt idx="0">
                    <c:v>Posterior auditory area, layer 5</c:v>
                  </c:pt>
                </c:lvl>
                <c:lvl>
                  <c:pt idx="0">
                    <c:v>Posterior auditory area, layer 4</c:v>
                  </c:pt>
                </c:lvl>
                <c:lvl>
                  <c:pt idx="0">
                    <c:v>Posterior auditory area, layer 2/3</c:v>
                  </c:pt>
                </c:lvl>
                <c:lvl>
                  <c:pt idx="0">
                    <c:v>Posterior auditory area, layer 1</c:v>
                  </c:pt>
                </c:lvl>
                <c:lvl>
                  <c:pt idx="0">
                    <c:v>Posterior amygdalar nucleus</c:v>
                  </c:pt>
                </c:lvl>
                <c:lvl>
                  <c:pt idx="0">
                    <c:v>Primary auditory area, layer 6b</c:v>
                  </c:pt>
                </c:lvl>
                <c:lvl>
                  <c:pt idx="0">
                    <c:v>Primary auditory area, layer 6a</c:v>
                  </c:pt>
                </c:lvl>
                <c:lvl>
                  <c:pt idx="0">
                    <c:v>Primary auditory area, layer 5</c:v>
                  </c:pt>
                </c:lvl>
                <c:lvl>
                  <c:pt idx="0">
                    <c:v>Primary auditory area, layer 4</c:v>
                  </c:pt>
                </c:lvl>
                <c:lvl>
                  <c:pt idx="0">
                    <c:v>Primary auditory area, layer 2/3</c:v>
                  </c:pt>
                </c:lvl>
                <c:lvl>
                  <c:pt idx="0">
                    <c:v>Primary auditory area, layer 1</c:v>
                  </c:pt>
                </c:lvl>
                <c:lvl>
                  <c:pt idx="0">
                    <c:v>Dorsal auditory area, layer 6b</c:v>
                  </c:pt>
                </c:lvl>
                <c:lvl>
                  <c:pt idx="0">
                    <c:v>Dorsal auditory area, layer 6a</c:v>
                  </c:pt>
                </c:lvl>
                <c:lvl>
                  <c:pt idx="0">
                    <c:v>Dorsal auditory area, layer 5</c:v>
                  </c:pt>
                </c:lvl>
                <c:lvl>
                  <c:pt idx="0">
                    <c:v>Dorsal auditory area, layer 4</c:v>
                  </c:pt>
                </c:lvl>
                <c:lvl>
                  <c:pt idx="0">
                    <c:v>Dorsal auditory area, layer 2/3</c:v>
                  </c:pt>
                </c:lvl>
                <c:lvl>
                  <c:pt idx="0">
                    <c:v>Dorsal auditory area, layer 1</c:v>
                  </c:pt>
                </c:lvl>
                <c:lvl>
                  <c:pt idx="0">
                    <c:v>Visceral area, layer 6b</c:v>
                  </c:pt>
                </c:lvl>
                <c:lvl>
                  <c:pt idx="0">
                    <c:v>Visceral area, layer 6a</c:v>
                  </c:pt>
                </c:lvl>
                <c:lvl>
                  <c:pt idx="0">
                    <c:v>Visceral area, layer 5</c:v>
                  </c:pt>
                </c:lvl>
                <c:lvl>
                  <c:pt idx="0">
                    <c:v>Visceral area, layer 4</c:v>
                  </c:pt>
                </c:lvl>
                <c:lvl>
                  <c:pt idx="0">
                    <c:v>Visceral area, layer 2/3</c:v>
                  </c:pt>
                </c:lvl>
                <c:lvl>
                  <c:pt idx="0">
                    <c:v>Visceral area, layer 1</c:v>
                  </c:pt>
                </c:lvl>
                <c:lvl>
                  <c:pt idx="0">
                    <c:v>Gustatory areas, layer 6b</c:v>
                  </c:pt>
                </c:lvl>
                <c:lvl>
                  <c:pt idx="0">
                    <c:v>Gustatory areas, layer 6a</c:v>
                  </c:pt>
                </c:lvl>
                <c:lvl>
                  <c:pt idx="0">
                    <c:v>Gustatory areas, layer 5</c:v>
                  </c:pt>
                </c:lvl>
                <c:lvl>
                  <c:pt idx="0">
                    <c:v>Gustatory areas, layer 4</c:v>
                  </c:pt>
                </c:lvl>
                <c:lvl>
                  <c:pt idx="0">
                    <c:v>Gustatory areas, layer 2/3</c:v>
                  </c:pt>
                </c:lvl>
                <c:lvl>
                  <c:pt idx="0">
                    <c:v>Gustatory areas, layer 1</c:v>
                  </c:pt>
                </c:lvl>
                <c:lvl>
                  <c:pt idx="0">
                    <c:v>Supplemental somatosensory area, layer 6b</c:v>
                  </c:pt>
                </c:lvl>
                <c:lvl>
                  <c:pt idx="0">
                    <c:v>Supplemental somatosensory area, layer 6a</c:v>
                  </c:pt>
                </c:lvl>
                <c:lvl>
                  <c:pt idx="0">
                    <c:v>Supplemental somatosensory area, layer 5</c:v>
                  </c:pt>
                </c:lvl>
                <c:lvl>
                  <c:pt idx="0">
                    <c:v>Supplemental somatosensory area, layer 4</c:v>
                  </c:pt>
                </c:lvl>
                <c:lvl>
                  <c:pt idx="0">
                    <c:v>Supplemental somatosensory area, layer 2/3</c:v>
                  </c:pt>
                </c:lvl>
                <c:lvl>
                  <c:pt idx="0">
                    <c:v>Supplemental somatosensory area, layer 1</c:v>
                  </c:pt>
                </c:lvl>
                <c:lvl>
                  <c:pt idx="0">
                    <c:v>Primary somatosensory area, trunk, layer 6b</c:v>
                  </c:pt>
                </c:lvl>
                <c:lvl>
                  <c:pt idx="0">
                    <c:v>Primary somatosensory area, trunk, layer 6a</c:v>
                  </c:pt>
                </c:lvl>
                <c:lvl>
                  <c:pt idx="0">
                    <c:v>Primary somatosensory area, trunk, layer 5</c:v>
                  </c:pt>
                </c:lvl>
                <c:lvl>
                  <c:pt idx="0">
                    <c:v>Primary somatosensory area, trunk, layer 4</c:v>
                  </c:pt>
                </c:lvl>
                <c:lvl>
                  <c:pt idx="0">
                    <c:v>Primary somatosensory area, trunk, layer 2/3</c:v>
                  </c:pt>
                </c:lvl>
                <c:lvl>
                  <c:pt idx="0">
                    <c:v>Primary somatosensory area, trunk, layer 1</c:v>
                  </c:pt>
                </c:lvl>
                <c:lvl>
                  <c:pt idx="0">
                    <c:v>Primary somatosensory area, upper limb, layer 6b</c:v>
                  </c:pt>
                </c:lvl>
                <c:lvl>
                  <c:pt idx="0">
                    <c:v>Primary somatosensory area, upper limb, layer 6a</c:v>
                  </c:pt>
                </c:lvl>
                <c:lvl>
                  <c:pt idx="0">
                    <c:v>Primary somatosensory area, upper limb, layer 5</c:v>
                  </c:pt>
                </c:lvl>
                <c:lvl>
                  <c:pt idx="0">
                    <c:v>Primary somatosensory area, upper limb, layer 4</c:v>
                  </c:pt>
                </c:lvl>
                <c:lvl>
                  <c:pt idx="0">
                    <c:v>Primary somatosensory area, upper limb, layer 2/3</c:v>
                  </c:pt>
                </c:lvl>
                <c:lvl>
                  <c:pt idx="0">
                    <c:v>Primary somatosensory area, upper limb, layer 1</c:v>
                  </c:pt>
                </c:lvl>
                <c:lvl>
                  <c:pt idx="0">
                    <c:v>Primary somatosensory area, mouth, layer 6b</c:v>
                  </c:pt>
                </c:lvl>
                <c:lvl>
                  <c:pt idx="0">
                    <c:v>Primary somatosensory area, mouth, layer 6a</c:v>
                  </c:pt>
                </c:lvl>
                <c:lvl>
                  <c:pt idx="0">
                    <c:v>Primary somatosensory area, mouth, layer 5</c:v>
                  </c:pt>
                </c:lvl>
                <c:lvl>
                  <c:pt idx="0">
                    <c:v>Primary somatosensory area, mouth, layer 4</c:v>
                  </c:pt>
                </c:lvl>
                <c:lvl>
                  <c:pt idx="0">
                    <c:v>Primary somatosensory area, mouth, layer 2/3</c:v>
                  </c:pt>
                </c:lvl>
                <c:lvl>
                  <c:pt idx="0">
                    <c:v>Primary somatosensory area, mouth, layer 1</c:v>
                  </c:pt>
                </c:lvl>
                <c:lvl>
                  <c:pt idx="0">
                    <c:v>Primary somatosensory area, lower limb, layer 6b</c:v>
                  </c:pt>
                </c:lvl>
                <c:lvl>
                  <c:pt idx="0">
                    <c:v>Primary somatosensory area, lower limb, layer 6a</c:v>
                  </c:pt>
                </c:lvl>
                <c:lvl>
                  <c:pt idx="0">
                    <c:v>Primary somatosensory area, lower limb, layer 5</c:v>
                  </c:pt>
                </c:lvl>
                <c:lvl>
                  <c:pt idx="0">
                    <c:v>Primary somatosensory area, lower limb, layer 4</c:v>
                  </c:pt>
                </c:lvl>
                <c:lvl>
                  <c:pt idx="0">
                    <c:v>Primary somatosensory area, lower limb, layer 2/3</c:v>
                  </c:pt>
                </c:lvl>
                <c:lvl>
                  <c:pt idx="0">
                    <c:v>Primary somatosensory area, lower limb, layer 1</c:v>
                  </c:pt>
                </c:lvl>
                <c:lvl>
                  <c:pt idx="0">
                    <c:v>Primary somatosensory area, barrel field, layer 6b</c:v>
                  </c:pt>
                </c:lvl>
                <c:lvl>
                  <c:pt idx="0">
                    <c:v>Primary somatosensory area, barrel field, layer 6a</c:v>
                  </c:pt>
                </c:lvl>
                <c:lvl>
                  <c:pt idx="0">
                    <c:v>Primary somatosensory area, barrel field, layer 5</c:v>
                  </c:pt>
                </c:lvl>
                <c:lvl>
                  <c:pt idx="0">
                    <c:v>Primary somatosensory area, barrel field, layer 4</c:v>
                  </c:pt>
                </c:lvl>
                <c:lvl>
                  <c:pt idx="0">
                    <c:v>Primary somatosensory area, barrel field, layer 2/3</c:v>
                  </c:pt>
                </c:lvl>
                <c:lvl>
                  <c:pt idx="0">
                    <c:v>Primary somatosensory area, barrel field, layer 1</c:v>
                  </c:pt>
                </c:lvl>
                <c:lvl>
                  <c:pt idx="0">
                    <c:v>Primary somatosensory area, nose, layer 6b</c:v>
                  </c:pt>
                </c:lvl>
                <c:lvl>
                  <c:pt idx="0">
                    <c:v>Primary somatosensory area, nose, layer 6a</c:v>
                  </c:pt>
                </c:lvl>
                <c:lvl>
                  <c:pt idx="0">
                    <c:v>Primary somatosensory area, nose, layer 5</c:v>
                  </c:pt>
                </c:lvl>
                <c:lvl>
                  <c:pt idx="0">
                    <c:v>Primary somatosensory area, nose, layer 4</c:v>
                  </c:pt>
                </c:lvl>
                <c:lvl>
                  <c:pt idx="0">
                    <c:v>Primary somatosensory area, nose, layer 2/3</c:v>
                  </c:pt>
                </c:lvl>
                <c:lvl>
                  <c:pt idx="0">
                    <c:v>Primary somatosensory area, nose, layer 1</c:v>
                  </c:pt>
                </c:lvl>
                <c:lvl>
                  <c:pt idx="0">
                    <c:v>Secondary motor area, layer 6b</c:v>
                  </c:pt>
                </c:lvl>
                <c:lvl>
                  <c:pt idx="0">
                    <c:v>Secondary motor area, layer 6a</c:v>
                  </c:pt>
                </c:lvl>
                <c:lvl>
                  <c:pt idx="0">
                    <c:v>Secondary motor area, layer 5</c:v>
                  </c:pt>
                </c:lvl>
                <c:lvl>
                  <c:pt idx="0">
                    <c:v>Secondary motor area, layer 2/3</c:v>
                  </c:pt>
                </c:lvl>
                <c:lvl>
                  <c:pt idx="0">
                    <c:v>Secondary motor area, layer 1</c:v>
                  </c:pt>
                </c:lvl>
                <c:lvl>
                  <c:pt idx="0">
                    <c:v>Primary motor area, Layer 6b</c:v>
                  </c:pt>
                </c:lvl>
                <c:lvl>
                  <c:pt idx="0">
                    <c:v>Primary motor area, Layer 6a</c:v>
                  </c:pt>
                </c:lvl>
                <c:lvl>
                  <c:pt idx="0">
                    <c:v>Primary motor area, Layer 5</c:v>
                  </c:pt>
                </c:lvl>
                <c:lvl>
                  <c:pt idx="0">
                    <c:v>Primary motor area, Layer 2/3</c:v>
                  </c:pt>
                </c:lvl>
                <c:lvl>
                  <c:pt idx="0">
                    <c:v>Primary motor area, Layer 1</c:v>
                  </c:pt>
                </c:lvl>
                <c:lvl>
                  <c:pt idx="0">
                    <c:v>Primary motor area</c:v>
                  </c:pt>
                </c:lvl>
                <c:lvl>
                  <c:pt idx="0">
                    <c:v>Frontal pole, layer 2/3</c:v>
                  </c:pt>
                </c:lvl>
                <c:lvl>
                  <c:pt idx="0">
                    <c:v>Frontal pole, layer 1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</c:multiLvlStrCache>
            </c:multiLvlStrRef>
          </c:cat>
          <c:val>
            <c:numRef>
              <c:f>'Z-scores&lt;2'!$C$23:$UP$23</c:f>
              <c:numCache>
                <c:formatCode>General</c:formatCode>
                <c:ptCount val="5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"Low threshold"</c:f>
              <c:strCache>
                <c:ptCount val="1"/>
                <c:pt idx="0">
                  <c:v>Low threshold</c:v>
                </c:pt>
              </c:strCache>
            </c:strRef>
          </c:tx>
          <c:spPr>
            <a:solidFill>
              <a:srgbClr val="8064a2"/>
            </a:solidFill>
            <a:ln cap="rnd" w="28440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'Z-scores&lt;2'!$C$3:$UE$3</c:f>
              <c:multiLvlStrCache>
                <c:ptCount val="1"/>
                <c:lvl>
                  <c:pt idx="0">
                    <c:v>mammillary peduncle</c:v>
                  </c:pt>
                </c:lvl>
                <c:lvl>
                  <c:pt idx="0">
                    <c:v>mammillotegmental tract</c:v>
                  </c:pt>
                </c:lvl>
                <c:lvl>
                  <c:pt idx="0">
                    <c:v>mammilothalmic tract</c:v>
                  </c:pt>
                </c:lvl>
                <c:lvl>
                  <c:pt idx="0">
                    <c:v>supramammillary decussation</c:v>
                  </c:pt>
                </c:lvl>
                <c:lvl>
                  <c:pt idx="0">
                    <c:v>stria terminalis</c:v>
                  </c:pt>
                </c:lvl>
                <c:lvl>
                  <c:pt idx="0">
                    <c:v>ventral hippocampal commissure</c:v>
                  </c:pt>
                </c:lvl>
                <c:lvl>
                  <c:pt idx="0">
                    <c:v>dorsal hippocampal commissure</c:v>
                  </c:pt>
                </c:lvl>
                <c:lvl>
                  <c:pt idx="0">
                    <c:v>columns of the fornix</c:v>
                  </c:pt>
                </c:lvl>
                <c:lvl>
                  <c:pt idx="0">
                    <c:v>fimbria</c:v>
                  </c:pt>
                </c:lvl>
                <c:lvl>
                  <c:pt idx="0">
                    <c:v>dorsal fornix</c:v>
                  </c:pt>
                </c:lvl>
                <c:lvl>
                  <c:pt idx="0">
                    <c:v>alveus</c:v>
                  </c:pt>
                </c:lvl>
                <c:lvl>
                  <c:pt idx="0">
                    <c:v>cingulum bundle</c:v>
                  </c:pt>
                </c:lvl>
                <c:lvl>
                  <c:pt idx="0">
                    <c:v>anterior commissure, temporal limb</c:v>
                  </c:pt>
                </c:lvl>
                <c:lvl>
                  <c:pt idx="0">
                    <c:v>amygdalar capsule</c:v>
                  </c:pt>
                </c:lvl>
                <c:lvl>
                  <c:pt idx="0">
                    <c:v>ventral tegmental decussation</c:v>
                  </c:pt>
                </c:lvl>
                <c:lvl>
                  <c:pt idx="0">
                    <c:v>rubrospinal tract</c:v>
                  </c:pt>
                </c:lvl>
                <c:lvl>
                  <c:pt idx="0">
                    <c:v>doral tegmental decussation</c:v>
                  </c:pt>
                </c:lvl>
                <c:lvl>
                  <c:pt idx="0">
                    <c:v>tectospinal pathway</c:v>
                  </c:pt>
                </c:lvl>
                <c:lvl>
                  <c:pt idx="0">
                    <c:v>pyramid</c:v>
                  </c:pt>
                </c:lvl>
                <c:lvl>
                  <c:pt idx="0">
                    <c:v>cerebal peduncle</c:v>
                  </c:pt>
                </c:lvl>
                <c:lvl>
                  <c:pt idx="0">
                    <c:v>internal capsule</c:v>
                  </c:pt>
                </c:lvl>
                <c:lvl>
                  <c:pt idx="0">
                    <c:v>external medullary lamina of the thalamus</c:v>
                  </c:pt>
                </c:lvl>
                <c:lvl>
                  <c:pt idx="0">
                    <c:v>corticospinal tract</c:v>
                  </c:pt>
                </c:lvl>
                <c:lvl>
                  <c:pt idx="0">
                    <c:v>corpus callosum</c:v>
                  </c:pt>
                </c:lvl>
                <c:lvl>
                  <c:pt idx="0">
                    <c:v>arbor vitae</c:v>
                  </c:pt>
                </c:lvl>
                <c:lvl>
                  <c:pt idx="0">
                    <c:v>inferior cerebellar peduncle</c:v>
                  </c:pt>
                </c:lvl>
                <c:lvl>
                  <c:pt idx="0">
                    <c:v>middle cerebellar peduncle</c:v>
                  </c:pt>
                </c:lvl>
                <c:lvl>
                  <c:pt idx="0">
                    <c:v>superior cerebelar peduncles</c:v>
                  </c:pt>
                </c:lvl>
                <c:lvl>
                  <c:pt idx="0">
                    <c:v>medial lemniscus</c:v>
                  </c:pt>
                </c:lvl>
                <c:lvl>
                  <c:pt idx="0">
                    <c:v>cuneate fascicle</c:v>
                  </c:pt>
                </c:lvl>
                <c:lvl>
                  <c:pt idx="0">
                    <c:v>solitary tract</c:v>
                  </c:pt>
                </c:lvl>
                <c:lvl>
                  <c:pt idx="0">
                    <c:v>inferior colliculus commissure</c:v>
                  </c:pt>
                </c:lvl>
                <c:lvl>
                  <c:pt idx="0">
                    <c:v>lateral lemniscus</c:v>
                  </c:pt>
                </c:lvl>
                <c:lvl>
                  <c:pt idx="0">
                    <c:v>trapezoid body</c:v>
                  </c:pt>
                </c:lvl>
                <c:lvl>
                  <c:pt idx="0">
                    <c:v>vestibular nerve</c:v>
                  </c:pt>
                </c:lvl>
                <c:lvl>
                  <c:pt idx="0">
                    <c:v>facial nerve</c:v>
                  </c:pt>
                </c:lvl>
                <c:lvl>
                  <c:pt idx="0">
                    <c:v>spinal tract of the trigeminal nerve</c:v>
                  </c:pt>
                </c:lvl>
                <c:lvl>
                  <c:pt idx="0">
                    <c:v>midbrain tract of the trigeminal nerve</c:v>
                  </c:pt>
                </c:lvl>
                <c:lvl>
                  <c:pt idx="0">
                    <c:v>motor root of the trigeminal nerve</c:v>
                  </c:pt>
                </c:lvl>
                <c:lvl>
                  <c:pt idx="0">
                    <c:v>trochlear nerve</c:v>
                  </c:pt>
                </c:lvl>
                <c:lvl>
                  <c:pt idx="0">
                    <c:v>posterior commissure</c:v>
                  </c:pt>
                </c:lvl>
                <c:lvl>
                  <c:pt idx="0">
                    <c:v>medial longitudinal fascicle</c:v>
                  </c:pt>
                </c:lvl>
                <c:lvl>
                  <c:pt idx="0">
                    <c:v>optic tract</c:v>
                  </c:pt>
                </c:lvl>
                <c:lvl>
                  <c:pt idx="0">
                    <c:v>optic chiasm</c:v>
                  </c:pt>
                </c:lvl>
                <c:lvl>
                  <c:pt idx="0">
                    <c:v>brachium of the inferior colliculus</c:v>
                  </c:pt>
                </c:lvl>
                <c:lvl>
                  <c:pt idx="0">
                    <c:v>anterior commissure, olfactory limb</c:v>
                  </c:pt>
                </c:lvl>
                <c:lvl>
                  <c:pt idx="0">
                    <c:v>lateral olfactory tract, body</c:v>
                  </c:pt>
                </c:lvl>
                <c:lvl>
                  <c:pt idx="0">
                    <c:v>olfactory nerve layer of main olfactory bulb</c:v>
                  </c:pt>
                </c:lvl>
                <c:lvl>
                  <c:pt idx="0">
                    <c:v>vomeronasal nerve</c:v>
                  </c:pt>
                </c:lvl>
                <c:lvl>
                  <c:pt idx="0">
                    <c:v>fiber tracts</c:v>
                  </c:pt>
                </c:lvl>
                <c:lvl>
                  <c:pt idx="0">
                    <c:v>Dentate nucleus</c:v>
                  </c:pt>
                </c:lvl>
                <c:lvl>
                  <c:pt idx="0">
                    <c:v>Interposed nucleus</c:v>
                  </c:pt>
                </c:lvl>
                <c:lvl>
                  <c:pt idx="0">
                    <c:v>Fastigial nucleus</c:v>
                  </c:pt>
                </c:lvl>
                <c:lvl>
                  <c:pt idx="0">
                    <c:v>Flocculus</c:v>
                  </c:pt>
                </c:lvl>
                <c:lvl>
                  <c:pt idx="0">
                    <c:v>Paraflocculus</c:v>
                  </c:pt>
                </c:lvl>
                <c:lvl>
                  <c:pt idx="0">
                    <c:v>Copula pyramidis</c:v>
                  </c:pt>
                </c:lvl>
                <c:lvl>
                  <c:pt idx="0">
                    <c:v>Paramedian lobule</c:v>
                  </c:pt>
                </c:lvl>
                <c:lvl>
                  <c:pt idx="0">
                    <c:v>Ansiform lobule</c:v>
                  </c:pt>
                </c:lvl>
                <c:lvl>
                  <c:pt idx="0">
                    <c:v>Simple lobule</c:v>
                  </c:pt>
                </c:lvl>
                <c:lvl>
                  <c:pt idx="0">
                    <c:v>Nodulus (X)</c:v>
                  </c:pt>
                </c:lvl>
                <c:lvl>
                  <c:pt idx="0">
                    <c:v>Uvula (IX)</c:v>
                  </c:pt>
                </c:lvl>
                <c:lvl>
                  <c:pt idx="0">
                    <c:v>Pyramus (VIII)</c:v>
                  </c:pt>
                </c:lvl>
                <c:lvl>
                  <c:pt idx="0">
                    <c:v>Folium-tuber vermis (VII)</c:v>
                  </c:pt>
                </c:lvl>
                <c:lvl>
                  <c:pt idx="0">
                    <c:v>Declive (VI)</c:v>
                  </c:pt>
                </c:lvl>
                <c:lvl>
                  <c:pt idx="0">
                    <c:v>Culmen</c:v>
                  </c:pt>
                </c:lvl>
                <c:lvl>
                  <c:pt idx="0">
                    <c:v>Central lobule</c:v>
                  </c:pt>
                </c:lvl>
                <c:lvl>
                  <c:pt idx="0">
                    <c:v>Lingula (I)</c:v>
                  </c:pt>
                </c:lvl>
                <c:lvl>
                  <c:pt idx="0">
                    <c:v>Nucleus raphÃË obscurus</c:v>
                  </c:pt>
                </c:lvl>
                <c:lvl>
                  <c:pt idx="0">
                    <c:v>Nucleus raphÃË pallidus</c:v>
                  </c:pt>
                </c:lvl>
                <c:lvl>
                  <c:pt idx="0">
                    <c:v>Nucleus raphÃË magnus</c:v>
                  </c:pt>
                </c:lvl>
                <c:lvl>
                  <c:pt idx="0">
                    <c:v>Nucleus y</c:v>
                  </c:pt>
                </c:lvl>
                <c:lvl>
                  <c:pt idx="0">
                    <c:v>Hypoglossal nucleus</c:v>
                  </c:pt>
                </c:lvl>
                <c:lvl>
                  <c:pt idx="0">
                    <c:v>Nucleus x</c:v>
                  </c:pt>
                </c:lvl>
                <c:lvl>
                  <c:pt idx="0">
                    <c:v>Superior vestibular nucleus</c:v>
                  </c:pt>
                </c:lvl>
                <c:lvl>
                  <c:pt idx="0">
                    <c:v>Spinal vestibular nucleus</c:v>
                  </c:pt>
                </c:lvl>
                <c:lvl>
                  <c:pt idx="0">
                    <c:v>Medial vestibular nucleus</c:v>
                  </c:pt>
                </c:lvl>
                <c:lvl>
                  <c:pt idx="0">
                    <c:v>Lateral vestibular nucleus</c:v>
                  </c:pt>
                </c:lvl>
                <c:lvl>
                  <c:pt idx="0">
                    <c:v>Parapyramidal nucleus</c:v>
                  </c:pt>
                </c:lvl>
                <c:lvl>
                  <c:pt idx="0">
                    <c:v>Nucleus prepositus</c:v>
                  </c:pt>
                </c:lvl>
                <c:lvl>
                  <c:pt idx="0">
                    <c:v>Nucleus of Roller</c:v>
                  </c:pt>
                </c:lvl>
                <c:lvl>
                  <c:pt idx="0">
                    <c:v>Paragigantocellular reticular nucleus, lateral part</c:v>
                  </c:pt>
                </c:lvl>
                <c:lvl>
                  <c:pt idx="0">
                    <c:v>Paragigantocellular reticular nucleus, dorsal part</c:v>
                  </c:pt>
                </c:lvl>
                <c:lvl>
                  <c:pt idx="0">
                    <c:v>Parasolitary nucleus</c:v>
                  </c:pt>
                </c:lvl>
                <c:lvl>
                  <c:pt idx="0">
                    <c:v>Parvicellular reticular nucleus</c:v>
                  </c:pt>
                </c:lvl>
                <c:lvl>
                  <c:pt idx="0">
                    <c:v>Medullary reticular nucleus, ventral part</c:v>
                  </c:pt>
                </c:lvl>
                <c:lvl>
                  <c:pt idx="0">
                    <c:v>Medullary reticular nucleus, dorsal part</c:v>
                  </c:pt>
                </c:lvl>
                <c:lvl>
                  <c:pt idx="0">
                    <c:v>Magnocellular reticular nucleus</c:v>
                  </c:pt>
                </c:lvl>
                <c:lvl>
                  <c:pt idx="0">
                    <c:v>Lateral reticular nucleus</c:v>
                  </c:pt>
                </c:lvl>
                <c:lvl>
                  <c:pt idx="0">
                    <c:v>Linear nucleus of the medulla</c:v>
                  </c:pt>
                </c:lvl>
                <c:lvl>
                  <c:pt idx="0">
                    <c:v>Inferior salivatory nucleus</c:v>
                  </c:pt>
                </c:lvl>
                <c:lvl>
                  <c:pt idx="0">
                    <c:v>Intermediate reticular nucleus</c:v>
                  </c:pt>
                </c:lvl>
                <c:lvl>
                  <c:pt idx="0">
                    <c:v>Inferior olivary complex</c:v>
                  </c:pt>
                </c:lvl>
                <c:lvl>
                  <c:pt idx="0">
                    <c:v>Infracerebellar nucleus</c:v>
                  </c:pt>
                </c:lvl>
                <c:lvl>
                  <c:pt idx="0">
                    <c:v>Gigantocellular reticular nucleus</c:v>
                  </c:pt>
                </c:lvl>
                <c:lvl>
                  <c:pt idx="0">
                    <c:v>Dorsal motor nucleus of the vagus nerve</c:v>
                  </c:pt>
                </c:lvl>
                <c:lvl>
                  <c:pt idx="0">
                    <c:v>Nucleus ambiguus, ventral division</c:v>
                  </c:pt>
                </c:lvl>
                <c:lvl>
                  <c:pt idx="0">
                    <c:v>Nucleus ambiguus, dorsal division</c:v>
                  </c:pt>
                </c:lvl>
                <c:lvl>
                  <c:pt idx="0">
                    <c:v>Accessory facial motor nucleus</c:v>
                  </c:pt>
                </c:lvl>
                <c:lvl>
                  <c:pt idx="0">
                    <c:v>Facial motor nucleus</c:v>
                  </c:pt>
                </c:lvl>
                <c:lvl>
                  <c:pt idx="0">
                    <c:v>Abducens nucleus</c:v>
                  </c:pt>
                </c:lvl>
                <c:lvl>
                  <c:pt idx="0">
                    <c:v>Spinal nucleus of the trigeminal, oral part</c:v>
                  </c:pt>
                </c:lvl>
                <c:lvl>
                  <c:pt idx="0">
                    <c:v>Spinal nucleus of the trigeminal, interpolar part</c:v>
                  </c:pt>
                </c:lvl>
                <c:lvl>
                  <c:pt idx="0">
                    <c:v>Spinal nucleus of the trigeminal, caudal part</c:v>
                  </c:pt>
                </c:lvl>
                <c:lvl>
                  <c:pt idx="0">
                    <c:v>Nucleus of the solitary tract</c:v>
                  </c:pt>
                </c:lvl>
                <c:lvl>
                  <c:pt idx="0">
                    <c:v>Nucleus of the trapezoid body</c:v>
                  </c:pt>
                </c:lvl>
                <c:lvl>
                  <c:pt idx="0">
                    <c:v>External cuneate nucleus</c:v>
                  </c:pt>
                </c:lvl>
                <c:lvl>
                  <c:pt idx="0">
                    <c:v>Gracile nucleus</c:v>
                  </c:pt>
                </c:lvl>
                <c:lvl>
                  <c:pt idx="0">
                    <c:v>Cuneate nucleus</c:v>
                  </c:pt>
                </c:lvl>
                <c:lvl>
                  <c:pt idx="0">
                    <c:v>Ventral cochlear nucleus</c:v>
                  </c:pt>
                </c:lvl>
                <c:lvl>
                  <c:pt idx="0">
                    <c:v>Dorsal cochlear nucleus</c:v>
                  </c:pt>
                </c:lvl>
                <c:lvl>
                  <c:pt idx="0">
                    <c:v>Area postrema</c:v>
                  </c:pt>
                </c:lvl>
                <c:lvl>
                  <c:pt idx="0">
                    <c:v>Medulla</c:v>
                  </c:pt>
                </c:lvl>
                <c:lvl>
                  <c:pt idx="0">
                    <c:v>Sublaterodorsal nucleus</c:v>
                  </c:pt>
                </c:lvl>
                <c:lvl>
                  <c:pt idx="0">
                    <c:v>Subceruleus nucleus</c:v>
                  </c:pt>
                </c:lvl>
                <c:lvl>
                  <c:pt idx="0">
                    <c:v>Nucleus raphÃË pontis</c:v>
                  </c:pt>
                </c:lvl>
                <c:lvl>
                  <c:pt idx="0">
                    <c:v>Pontine reticular nucleus</c:v>
                  </c:pt>
                </c:lvl>
                <c:lvl>
                  <c:pt idx="0">
                    <c:v>Nucleus incertus</c:v>
                  </c:pt>
                </c:lvl>
                <c:lvl>
                  <c:pt idx="0">
                    <c:v>Laterodorsal tegmental nucleus</c:v>
                  </c:pt>
                </c:lvl>
                <c:lvl>
                  <c:pt idx="0">
                    <c:v>Locus ceruleus</c:v>
                  </c:pt>
                </c:lvl>
                <c:lvl>
                  <c:pt idx="0">
                    <c:v>Superior central nucleus raphÃË</c:v>
                  </c:pt>
                </c:lvl>
                <c:lvl>
                  <c:pt idx="0">
                    <c:v>Motor nucleus of trigeminal</c:v>
                  </c:pt>
                </c:lvl>
                <c:lvl>
                  <c:pt idx="0">
                    <c:v>Tegmental reticular nucleus</c:v>
                  </c:pt>
                </c:lvl>
                <c:lvl>
                  <c:pt idx="0">
                    <c:v>Supratrigeminal nucleus</c:v>
                  </c:pt>
                </c:lvl>
                <c:lvl>
                  <c:pt idx="0">
                    <c:v>Supragenual nucleus</c:v>
                  </c:pt>
                </c:lvl>
                <c:lvl>
                  <c:pt idx="0">
                    <c:v>Pontine reticular nucleus, caudal part</c:v>
                  </c:pt>
                </c:lvl>
                <c:lvl>
                  <c:pt idx="0">
                    <c:v>Pontine gray</c:v>
                  </c:pt>
                </c:lvl>
                <c:lvl>
                  <c:pt idx="0">
                    <c:v>Pontine central gray</c:v>
                  </c:pt>
                </c:lvl>
                <c:lvl>
                  <c:pt idx="0">
                    <c:v>Dorsal tegmental nucleus</c:v>
                  </c:pt>
                </c:lvl>
                <c:lvl>
                  <c:pt idx="0">
                    <c:v>Barrington's nucleus</c:v>
                  </c:pt>
                </c:lvl>
                <c:lvl>
                  <c:pt idx="0">
                    <c:v>Superior olivary complex, lateral part</c:v>
                  </c:pt>
                </c:lvl>
                <c:lvl>
                  <c:pt idx="0">
                    <c:v>Superior olivary complex, medial part</c:v>
                  </c:pt>
                </c:lvl>
                <c:lvl>
                  <c:pt idx="0">
                    <c:v>Superior olivary complex, periolivary region</c:v>
                  </c:pt>
                </c:lvl>
                <c:lvl>
                  <c:pt idx="0">
                    <c:v>Parabrachial nucleus</c:v>
                  </c:pt>
                </c:lvl>
                <c:lvl>
                  <c:pt idx="0">
                    <c:v>Principal sensory nucleus of the trigeminal</c:v>
                  </c:pt>
                </c:lvl>
                <c:lvl>
                  <c:pt idx="0">
                    <c:v>Nucleus of the lateral lemniscus</c:v>
                  </c:pt>
                </c:lvl>
                <c:lvl>
                  <c:pt idx="0">
                    <c:v>Pons</c:v>
                  </c:pt>
                </c:lvl>
                <c:lvl>
                  <c:pt idx="0">
                    <c:v>Dorsal nucleus raphÃË</c:v>
                  </c:pt>
                </c:lvl>
                <c:lvl>
                  <c:pt idx="0">
                    <c:v>Central linear nucleus raphÃË</c:v>
                  </c:pt>
                </c:lvl>
                <c:lvl>
                  <c:pt idx="0">
                    <c:v>Interpeduncular nucleus</c:v>
                  </c:pt>
                </c:lvl>
                <c:lvl>
                  <c:pt idx="0">
                    <c:v>Interfascicular nucleus raphÃË</c:v>
                  </c:pt>
                </c:lvl>
                <c:lvl>
                  <c:pt idx="0">
                    <c:v>Pedunculopontine nucleus</c:v>
                  </c:pt>
                </c:lvl>
                <c:lvl>
                  <c:pt idx="0">
                    <c:v>Substantia nigra, compact part</c:v>
                  </c:pt>
                </c:lvl>
                <c:lvl>
                  <c:pt idx="0">
                    <c:v>Lateral terminal nucleus of the accessory optic tract</c:v>
                  </c:pt>
                </c:lvl>
                <c:lvl>
                  <c:pt idx="0">
                    <c:v>Anterior tegmental nucleus</c:v>
                  </c:pt>
                </c:lvl>
                <c:lvl>
                  <c:pt idx="0">
                    <c:v>Ventral tegmental nucleus</c:v>
                  </c:pt>
                </c:lvl>
                <c:lvl>
                  <c:pt idx="0">
                    <c:v>Trochlear nucleus</c:v>
                  </c:pt>
                </c:lvl>
                <c:lvl>
                  <c:pt idx="0">
                    <c:v>Oculomotor nucleus</c:v>
                  </c:pt>
                </c:lvl>
                <c:lvl>
                  <c:pt idx="0">
                    <c:v>Red nucleus</c:v>
                  </c:pt>
                </c:lvl>
                <c:lvl>
                  <c:pt idx="0">
                    <c:v>Cuneiform nucleus</c:v>
                  </c:pt>
                </c:lvl>
                <c:lvl>
                  <c:pt idx="0">
                    <c:v>Posterior pretectal nucleus</c:v>
                  </c:pt>
                </c:lvl>
                <c:lvl>
                  <c:pt idx="0">
                    <c:v>Olivary pretectal nucleus</c:v>
                  </c:pt>
                </c:lvl>
                <c:lvl>
                  <c:pt idx="0">
                    <c:v>Nucleus of the posterior commissure</c:v>
                  </c:pt>
                </c:lvl>
                <c:lvl>
                  <c:pt idx="0">
                    <c:v>Nucleus of the optic tract</c:v>
                  </c:pt>
                </c:lvl>
                <c:lvl>
                  <c:pt idx="0">
                    <c:v>Medial pretectal area</c:v>
                  </c:pt>
                </c:lvl>
                <c:lvl>
                  <c:pt idx="0">
                    <c:v>Anterior pretectal nucleus</c:v>
                  </c:pt>
                </c:lvl>
                <c:lvl>
                  <c:pt idx="0">
                    <c:v>Nucleus of Darkschewitsch</c:v>
                  </c:pt>
                </c:lvl>
                <c:lvl>
                  <c:pt idx="0">
                    <c:v>Interstitial nucleus of Cajal</c:v>
                  </c:pt>
                </c:lvl>
                <c:lvl>
                  <c:pt idx="0">
                    <c:v>Precommissural nucleus</c:v>
                  </c:pt>
                </c:lvl>
                <c:lvl>
                  <c:pt idx="0">
                    <c:v>Periaqueductal gray</c:v>
                  </c:pt>
                </c:lvl>
                <c:lvl>
                  <c:pt idx="0">
                    <c:v>Superior colliculus, motor related, intermediate gray layer, sublayer c</c:v>
                  </c:pt>
                </c:lvl>
                <c:lvl>
                  <c:pt idx="0">
                    <c:v>Superior colliculus, motor related, intermediate gray layer, sublayer b</c:v>
                  </c:pt>
                </c:lvl>
                <c:lvl>
                  <c:pt idx="0">
                    <c:v>Superior colliculus, motor related, intermediate gray layer, sublayer a</c:v>
                  </c:pt>
                </c:lvl>
                <c:lvl>
                  <c:pt idx="0">
                    <c:v>Superior colliculus, motor related, intermediate gray layer</c:v>
                  </c:pt>
                </c:lvl>
                <c:lvl>
                  <c:pt idx="0">
                    <c:v>Superior colliculus, motor related, intermediate white layer</c:v>
                  </c:pt>
                </c:lvl>
                <c:lvl>
                  <c:pt idx="0">
                    <c:v>Superior colliculus, motor related, deep white layer</c:v>
                  </c:pt>
                </c:lvl>
                <c:lvl>
                  <c:pt idx="0">
                    <c:v>Superior colliculus, motor related, deep gray layer</c:v>
                  </c:pt>
                </c:lvl>
                <c:lvl>
                  <c:pt idx="0">
                    <c:v>Midbrain reticular nucleus, retrorubral area</c:v>
                  </c:pt>
                </c:lvl>
                <c:lvl>
                  <c:pt idx="0">
                    <c:v>Midbrain reticular nucleus</c:v>
                  </c:pt>
                </c:lvl>
                <c:lvl>
                  <c:pt idx="0">
                    <c:v>Ventral tegmental area</c:v>
                  </c:pt>
                </c:lvl>
                <c:lvl>
                  <c:pt idx="0">
                    <c:v>Substantia nigra, reticular part</c:v>
                  </c:pt>
                </c:lvl>
                <c:lvl>
                  <c:pt idx="0">
                    <c:v>Midbrain trigeminal nucleus</c:v>
                  </c:pt>
                </c:lvl>
                <c:lvl>
                  <c:pt idx="0">
                    <c:v>Parabigeminal nucleus</c:v>
                  </c:pt>
                </c:lvl>
                <c:lvl>
                  <c:pt idx="0">
                    <c:v>Nucleus sagulum</c:v>
                  </c:pt>
                </c:lvl>
                <c:lvl>
                  <c:pt idx="0">
                    <c:v>Nucleus of the brachium of the inferior colliculus</c:v>
                  </c:pt>
                </c:lvl>
                <c:lvl>
                  <c:pt idx="0">
                    <c:v>Inferior colliculus</c:v>
                  </c:pt>
                </c:lvl>
                <c:lvl>
                  <c:pt idx="0">
                    <c:v>Superior colliculus, superficial gray layer</c:v>
                  </c:pt>
                </c:lvl>
                <c:lvl>
                  <c:pt idx="0">
                    <c:v>Superior colliculus, optic layer</c:v>
                  </c:pt>
                </c:lvl>
                <c:lvl>
                  <c:pt idx="0">
                    <c:v>Midbrain</c:v>
                  </c:pt>
                </c:lvl>
                <c:lvl>
                  <c:pt idx="0">
                    <c:v>Fields of Forel</c:v>
                  </c:pt>
                </c:lvl>
                <c:lvl>
                  <c:pt idx="0">
                    <c:v>Zona incerta</c:v>
                  </c:pt>
                </c:lvl>
                <c:lvl>
                  <c:pt idx="0">
                    <c:v>Tuberal nucleus</c:v>
                  </c:pt>
                </c:lvl>
                <c:lvl>
                  <c:pt idx="0">
                    <c:v>Subthalamic nucleus</c:v>
                  </c:pt>
                </c:lvl>
                <c:lvl>
                  <c:pt idx="0">
                    <c:v>Retrochiasmatic area</c:v>
                  </c:pt>
                </c:lvl>
                <c:lvl>
                  <c:pt idx="0">
                    <c:v>Parasubthalamic nucleus</c:v>
                  </c:pt>
                </c:lvl>
                <c:lvl>
                  <c:pt idx="0">
                    <c:v>Preparasubthalamic nucleus</c:v>
                  </c:pt>
                </c:lvl>
                <c:lvl>
                  <c:pt idx="0">
                    <c:v>Lateral preoptic area</c:v>
                  </c:pt>
                </c:lvl>
                <c:lvl>
                  <c:pt idx="0">
                    <c:v>Lateral hypothalamic area</c:v>
                  </c:pt>
                </c:lvl>
                <c:lvl>
                  <c:pt idx="0">
                    <c:v>Posterior hypothalamic nucleus</c:v>
                  </c:pt>
                </c:lvl>
                <c:lvl>
                  <c:pt idx="0">
                    <c:v>Ventromedial hypothalamic nucleus</c:v>
                  </c:pt>
                </c:lvl>
                <c:lvl>
                  <c:pt idx="0">
                    <c:v>Paraventricular hypothalamic nucleus, descending division</c:v>
                  </c:pt>
                </c:lvl>
                <c:lvl>
                  <c:pt idx="0">
                    <c:v>Ventral premammillary nucleus</c:v>
                  </c:pt>
                </c:lvl>
                <c:lvl>
                  <c:pt idx="0">
                    <c:v>Dorsal premammillary nucleus</c:v>
                  </c:pt>
                </c:lvl>
                <c:lvl>
                  <c:pt idx="0">
                    <c:v>Medial preoptic nucleus</c:v>
                  </c:pt>
                </c:lvl>
                <c:lvl>
                  <c:pt idx="0">
                    <c:v>Tuberomammillary nucleus, ventral part</c:v>
                  </c:pt>
                </c:lvl>
                <c:lvl>
                  <c:pt idx="0">
                    <c:v>Tuberomammillary nucleus, dorsal part</c:v>
                  </c:pt>
                </c:lvl>
                <c:lvl>
                  <c:pt idx="0">
                    <c:v>Supramammillary nucleus</c:v>
                  </c:pt>
                </c:lvl>
                <c:lvl>
                  <c:pt idx="0">
                    <c:v>Medial mammillary nucleus</c:v>
                  </c:pt>
                </c:lvl>
                <c:lvl>
                  <c:pt idx="0">
                    <c:v>Lateral mammillary nucleus</c:v>
                  </c:pt>
                </c:lvl>
                <c:lvl>
                  <c:pt idx="0">
                    <c:v>Anterior hypothalamic nucleus</c:v>
                  </c:pt>
                </c:lvl>
                <c:lvl>
                  <c:pt idx="0">
                    <c:v>Ventrolateral preoptic nucleus</c:v>
                  </c:pt>
                </c:lvl>
                <c:lvl>
                  <c:pt idx="0">
                    <c:v>Subparaventricular zone</c:v>
                  </c:pt>
                </c:lvl>
                <c:lvl>
                  <c:pt idx="0">
                    <c:v>Periventricular hypothalamic nucleus, preoptic part</c:v>
                  </c:pt>
                </c:lvl>
                <c:lvl>
                  <c:pt idx="0">
                    <c:v>Periventricular hypothalamic nucleus, posterior part</c:v>
                  </c:pt>
                </c:lvl>
                <c:lvl>
                  <c:pt idx="0">
                    <c:v>Parastrial nucleus</c:v>
                  </c:pt>
                </c:lvl>
                <c:lvl>
                  <c:pt idx="0">
                    <c:v>Posterodorsal preoptic nucleus</c:v>
                  </c:pt>
                </c:lvl>
                <c:lvl>
                  <c:pt idx="0">
                    <c:v>Medial preoptic area</c:v>
                  </c:pt>
                </c:lvl>
                <c:lvl>
                  <c:pt idx="0">
                    <c:v>Median preoptic nucleus</c:v>
                  </c:pt>
                </c:lvl>
                <c:lvl>
                  <c:pt idx="0">
                    <c:v>Dorsomedial nucleus of the hypothalamus</c:v>
                  </c:pt>
                </c:lvl>
                <c:lvl>
                  <c:pt idx="0">
                    <c:v>Anteroventral periventricular nucleus</c:v>
                  </c:pt>
                </c:lvl>
                <c:lvl>
                  <c:pt idx="0">
                    <c:v>Anteroventral preoptic nucleus</c:v>
                  </c:pt>
                </c:lvl>
                <c:lvl>
                  <c:pt idx="0">
                    <c:v>Anterodorsal preoptic nucleus</c:v>
                  </c:pt>
                </c:lvl>
                <c:lvl>
                  <c:pt idx="0">
                    <c:v>Arcuate hypothalamic nucleus</c:v>
                  </c:pt>
                </c:lvl>
                <c:lvl>
                  <c:pt idx="0">
                    <c:v>Periventricular hypothalamic nucleus, intermediate part</c:v>
                  </c:pt>
                </c:lvl>
                <c:lvl>
                  <c:pt idx="0">
                    <c:v>Paraventricular hypothalamic nucleus</c:v>
                  </c:pt>
                </c:lvl>
                <c:lvl>
                  <c:pt idx="0">
                    <c:v>Accessory supraoptic group</c:v>
                  </c:pt>
                </c:lvl>
                <c:lvl>
                  <c:pt idx="0">
                    <c:v>Supraoptic nucleus</c:v>
                  </c:pt>
                </c:lvl>
                <c:lvl>
                  <c:pt idx="0">
                    <c:v>Hypothalamus</c:v>
                  </c:pt>
                </c:lvl>
                <c:lvl>
                  <c:pt idx="0">
                    <c:v>Lateral habenula</c:v>
                  </c:pt>
                </c:lvl>
                <c:lvl>
                  <c:pt idx="0">
                    <c:v>Medial habenula</c:v>
                  </c:pt>
                </c:lvl>
                <c:lvl>
                  <c:pt idx="0">
                    <c:v>Subgeniculate nucleus</c:v>
                  </c:pt>
                </c:lvl>
                <c:lvl>
                  <c:pt idx="0">
                    <c:v>Ventral part of the lateral geniculate complex</c:v>
                  </c:pt>
                </c:lvl>
                <c:lvl>
                  <c:pt idx="0">
                    <c:v>Intergeniculate leaflet of the lateral geniculate complex</c:v>
                  </c:pt>
                </c:lvl>
                <c:lvl>
                  <c:pt idx="0">
                    <c:v>Reticular nucleus of the thalamus</c:v>
                  </c:pt>
                </c:lvl>
                <c:lvl>
                  <c:pt idx="0">
                    <c:v>Parafascicular nucleus</c:v>
                  </c:pt>
                </c:lvl>
                <c:lvl>
                  <c:pt idx="0">
                    <c:v>Central lateral nucleus of the thalamus</c:v>
                  </c:pt>
                </c:lvl>
                <c:lvl>
                  <c:pt idx="0">
                    <c:v>Paracentral nucleus</c:v>
                  </c:pt>
                </c:lvl>
                <c:lvl>
                  <c:pt idx="0">
                    <c:v>Central medial nucleus of the thalamus</c:v>
                  </c:pt>
                </c:lvl>
                <c:lvl>
                  <c:pt idx="0">
                    <c:v>Rhomboid nucleus</c:v>
                  </c:pt>
                </c:lvl>
                <c:lvl>
                  <c:pt idx="0">
                    <c:v>Nucleus of reunions</c:v>
                  </c:pt>
                </c:lvl>
                <c:lvl>
                  <c:pt idx="0">
                    <c:v>Parataenial nucleus</c:v>
                  </c:pt>
                </c:lvl>
                <c:lvl>
                  <c:pt idx="0">
                    <c:v>Perireunensis nucleus</c:v>
                  </c:pt>
                </c:lvl>
                <c:lvl>
                  <c:pt idx="0">
                    <c:v>Submedial nucleus of the thalamus</c:v>
                  </c:pt>
                </c:lvl>
                <c:lvl>
                  <c:pt idx="0">
                    <c:v>Mediodorsal nucleus of thalamus</c:v>
                  </c:pt>
                </c:lvl>
                <c:lvl>
                  <c:pt idx="0">
                    <c:v>Lateral dorsal nucleus of thalamus</c:v>
                  </c:pt>
                </c:lvl>
                <c:lvl>
                  <c:pt idx="0">
                    <c:v>Interanterodorsal nucleus of the thalamus</c:v>
                  </c:pt>
                </c:lvl>
                <c:lvl>
                  <c:pt idx="0">
                    <c:v>Interanteromedial nucleus of the thalamus</c:v>
                  </c:pt>
                </c:lvl>
                <c:lvl>
                  <c:pt idx="0">
                    <c:v>Anterodorsal nucleus</c:v>
                  </c:pt>
                </c:lvl>
                <c:lvl>
                  <c:pt idx="0">
                    <c:v>Anteromedial nucleus</c:v>
                  </c:pt>
                </c:lvl>
                <c:lvl>
                  <c:pt idx="0">
                    <c:v>Anteroventral nucleus of thalamus</c:v>
                  </c:pt>
                </c:lvl>
                <c:lvl>
                  <c:pt idx="0">
                    <c:v>Suprageniculate nucleus</c:v>
                  </c:pt>
                </c:lvl>
                <c:lvl>
                  <c:pt idx="0">
                    <c:v>Posterior limiting nucleus of the thalamus</c:v>
                  </c:pt>
                </c:lvl>
                <c:lvl>
                  <c:pt idx="0">
                    <c:v>Posterior complex of the thalamus</c:v>
                  </c:pt>
                </c:lvl>
                <c:lvl>
                  <c:pt idx="0">
                    <c:v>Lateral posterior nucleus of the thalamus</c:v>
                  </c:pt>
                </c:lvl>
                <c:lvl>
                  <c:pt idx="0">
                    <c:v>Dorsal part of the lateral geniculate complex</c:v>
                  </c:pt>
                </c:lvl>
                <c:lvl>
                  <c:pt idx="0">
                    <c:v>Medial geniculate complex</c:v>
                  </c:pt>
                </c:lvl>
                <c:lvl>
                  <c:pt idx="0">
                    <c:v>Peripeduncular nucleus</c:v>
                  </c:pt>
                </c:lvl>
                <c:lvl>
                  <c:pt idx="0">
                    <c:v>Subparafascicular nucleus, parvicellular part</c:v>
                  </c:pt>
                </c:lvl>
                <c:lvl>
                  <c:pt idx="0">
                    <c:v>Subparafascicular nucleus, magnocellular part</c:v>
                  </c:pt>
                </c:lvl>
                <c:lvl>
                  <c:pt idx="0">
                    <c:v>Subparafascicular area</c:v>
                  </c:pt>
                </c:lvl>
                <c:lvl>
                  <c:pt idx="0">
                    <c:v>Ventral posteromedial nucleus of the thalamus, parvicellular part</c:v>
                  </c:pt>
                </c:lvl>
                <c:lvl>
                  <c:pt idx="0">
                    <c:v>Ventral posteromedial nucleus of the thalamus</c:v>
                  </c:pt>
                </c:lvl>
                <c:lvl>
                  <c:pt idx="0">
                    <c:v>Ventral posterolateral nucleus of the thalamus, parvicellular part</c:v>
                  </c:pt>
                </c:lvl>
                <c:lvl>
                  <c:pt idx="0">
                    <c:v>Ventral posterolateral nucleus of the thalamus</c:v>
                  </c:pt>
                </c:lvl>
                <c:lvl>
                  <c:pt idx="0">
                    <c:v>Ventral medial nucleus of the thalamus</c:v>
                  </c:pt>
                </c:lvl>
                <c:lvl>
                  <c:pt idx="0">
                    <c:v>Ventral anterior-lateral complex of the thalamus</c:v>
                  </c:pt>
                </c:lvl>
                <c:lvl>
                  <c:pt idx="0">
                    <c:v>Thalamus</c:v>
                  </c:pt>
                </c:lvl>
                <c:lvl>
                  <c:pt idx="0">
                    <c:v>Bed nucleus of the anterior commissure</c:v>
                  </c:pt>
                </c:lvl>
                <c:lvl>
                  <c:pt idx="0">
                    <c:v>Bed nuclei of the stria terminalis</c:v>
                  </c:pt>
                </c:lvl>
                <c:lvl>
                  <c:pt idx="0">
                    <c:v>Triangular nucleus of septum</c:v>
                  </c:pt>
                </c:lvl>
                <c:lvl>
                  <c:pt idx="0">
                    <c:v>Diagonal band nucleus</c:v>
                  </c:pt>
                </c:lvl>
                <c:lvl>
                  <c:pt idx="0">
                    <c:v>Medial septal nucleus</c:v>
                  </c:pt>
                </c:lvl>
                <c:lvl>
                  <c:pt idx="0">
                    <c:v>Magnocellular nucleus</c:v>
                  </c:pt>
                </c:lvl>
                <c:lvl>
                  <c:pt idx="0">
                    <c:v>Substantia innominata</c:v>
                  </c:pt>
                </c:lvl>
                <c:lvl>
                  <c:pt idx="0">
                    <c:v>Globus pallidus, external segment</c:v>
                  </c:pt>
                </c:lvl>
                <c:lvl>
                  <c:pt idx="0">
                    <c:v>Globus pallidus, internal segment</c:v>
                  </c:pt>
                </c:lvl>
                <c:lvl>
                  <c:pt idx="0">
                    <c:v>Pallidum</c:v>
                  </c:pt>
                </c:lvl>
                <c:lvl>
                  <c:pt idx="0">
                    <c:v>Medial amygdalar nucleus</c:v>
                  </c:pt>
                </c:lvl>
                <c:lvl>
                  <c:pt idx="0">
                    <c:v>Intercalated amygdalar nucleus</c:v>
                  </c:pt>
                </c:lvl>
                <c:lvl>
                  <c:pt idx="0">
                    <c:v>Central amygdalar nucleus</c:v>
                  </c:pt>
                </c:lvl>
                <c:lvl>
                  <c:pt idx="0">
                    <c:v>Bed nucleus of the accessory olfactory tract</c:v>
                  </c:pt>
                </c:lvl>
                <c:lvl>
                  <c:pt idx="0">
                    <c:v>Anterior amygdalar area</c:v>
                  </c:pt>
                </c:lvl>
                <c:lvl>
                  <c:pt idx="0">
                    <c:v>Striatum-like amygdalar nuclei</c:v>
                  </c:pt>
                </c:lvl>
                <c:lvl>
                  <c:pt idx="0">
                    <c:v>Septohippocampal nucleus</c:v>
                  </c:pt>
                </c:lvl>
                <c:lvl>
                  <c:pt idx="0">
                    <c:v>Septofimbrial nucleus</c:v>
                  </c:pt>
                </c:lvl>
                <c:lvl>
                  <c:pt idx="0">
                    <c:v>Lateral septal nucleus, ventral part</c:v>
                  </c:pt>
                </c:lvl>
                <c:lvl>
                  <c:pt idx="0">
                    <c:v>Lateral septal nucleus, rostral (rostroventral) part</c:v>
                  </c:pt>
                </c:lvl>
                <c:lvl>
                  <c:pt idx="0">
                    <c:v>Lateral septal nucleus, caudal (caudodorsal) part</c:v>
                  </c:pt>
                </c:lvl>
                <c:lvl>
                  <c:pt idx="0">
                    <c:v>Olfactory tubercle</c:v>
                  </c:pt>
                </c:lvl>
                <c:lvl>
                  <c:pt idx="0">
                    <c:v>Fundus of striatum</c:v>
                  </c:pt>
                </c:lvl>
                <c:lvl>
                  <c:pt idx="0">
                    <c:v>Nucleus accumbens</c:v>
                  </c:pt>
                </c:lvl>
                <c:lvl>
                  <c:pt idx="0">
                    <c:v>Caudoputamen</c:v>
                  </c:pt>
                </c:lvl>
                <c:lvl>
                  <c:pt idx="0">
                    <c:v>Striatum</c:v>
                  </c:pt>
                </c:lvl>
                <c:lvl>
                  <c:pt idx="0">
                    <c:v>Basomedial amygdalar nucleus</c:v>
                  </c:pt>
                </c:lvl>
                <c:lvl>
                  <c:pt idx="0">
                    <c:v>Basolateral amygdalar nucleus, ventral part</c:v>
                  </c:pt>
                </c:lvl>
                <c:lvl>
                  <c:pt idx="0">
                    <c:v>Basolateral amygdalar nucleus, posterior part</c:v>
                  </c:pt>
                </c:lvl>
                <c:lvl>
                  <c:pt idx="0">
                    <c:v>Basolateral amygdalar nucleus, anterior part</c:v>
                  </c:pt>
                </c:lvl>
                <c:lvl>
                  <c:pt idx="0">
                    <c:v>Lateral amygdalar nucleus</c:v>
                  </c:pt>
                </c:lvl>
                <c:lvl>
                  <c:pt idx="0">
                    <c:v>Endopiriform nucleus, ventral part</c:v>
                  </c:pt>
                </c:lvl>
                <c:lvl>
                  <c:pt idx="0">
                    <c:v>Endopiriform nucleus, dorsal part</c:v>
                  </c:pt>
                </c:lvl>
                <c:lvl>
                  <c:pt idx="0">
                    <c:v>Claustrum</c:v>
                  </c:pt>
                </c:lvl>
                <c:lvl>
                  <c:pt idx="0">
                    <c:v>Cortical subplate</c:v>
                  </c:pt>
                </c:lvl>
                <c:lvl>
                  <c:pt idx="0">
                    <c:v>Subiculum</c:v>
                  </c:pt>
                </c:lvl>
                <c:lvl>
                  <c:pt idx="0">
                    <c:v>Presubiculum</c:v>
                  </c:pt>
                </c:lvl>
                <c:lvl>
                  <c:pt idx="0">
                    <c:v>Postsubiculum</c:v>
                  </c:pt>
                </c:lvl>
                <c:lvl>
                  <c:pt idx="0">
                    <c:v>Parasubiculum</c:v>
                  </c:pt>
                </c:lvl>
                <c:lvl>
                  <c:pt idx="0">
                    <c:v>Entorhinal area, medial part, ventral zone</c:v>
                  </c:pt>
                </c:lvl>
                <c:lvl>
                  <c:pt idx="0">
                    <c:v>Entorhinal area, medial part, dorsal zone</c:v>
                  </c:pt>
                </c:lvl>
                <c:lvl>
                  <c:pt idx="0">
                    <c:v>Entorhinal area, lateral part</c:v>
                  </c:pt>
                </c:lvl>
                <c:lvl>
                  <c:pt idx="0">
                    <c:v>Induseum griseum</c:v>
                  </c:pt>
                </c:lvl>
                <c:lvl>
                  <c:pt idx="0">
                    <c:v>Fasciola cinerea</c:v>
                  </c:pt>
                </c:lvl>
                <c:lvl>
                  <c:pt idx="0">
                    <c:v>Dentate gyrus, subgranular zone ventral</c:v>
                  </c:pt>
                </c:lvl>
                <c:lvl>
                  <c:pt idx="0">
                    <c:v>Dentate gyrus, granule cell layer ventral</c:v>
                  </c:pt>
                </c:lvl>
                <c:lvl>
                  <c:pt idx="0">
                    <c:v>Dentate gyrus, granule cell layer</c:v>
                  </c:pt>
                </c:lvl>
                <c:lvl>
                  <c:pt idx="0">
                    <c:v>Dentate gyrus, polymorph layer</c:v>
                  </c:pt>
                </c:lvl>
                <c:lvl>
                  <c:pt idx="0">
                    <c:v>Dentate gyrus, molecular layer</c:v>
                  </c:pt>
                </c:lvl>
                <c:lvl>
                  <c:pt idx="0">
                    <c:v>Dentate gyrus, molecular layer</c:v>
                  </c:pt>
                </c:lvl>
                <c:lvl>
                  <c:pt idx="0">
                    <c:v>Field CA3 ventral</c:v>
                  </c:pt>
                </c:lvl>
                <c:lvl>
                  <c:pt idx="0">
                    <c:v>Field CA2 ventral</c:v>
                  </c:pt>
                </c:lvl>
                <c:lvl>
                  <c:pt idx="0">
                    <c:v>Field CA1 ventral</c:v>
                  </c:pt>
                </c:lvl>
                <c:lvl>
                  <c:pt idx="0">
                    <c:v>Field CA3</c:v>
                  </c:pt>
                </c:lvl>
                <c:lvl>
                  <c:pt idx="0">
                    <c:v>Field CA2</c:v>
                  </c:pt>
                </c:lvl>
                <c:lvl>
                  <c:pt idx="0">
                    <c:v>Field CA1</c:v>
                  </c:pt>
                </c:lvl>
                <c:lvl>
                  <c:pt idx="0">
                    <c:v>Hippocampal formation</c:v>
                  </c:pt>
                </c:lvl>
                <c:lvl>
                  <c:pt idx="0">
                    <c:v>Postpiriform transition area</c:v>
                  </c:pt>
                </c:lvl>
                <c:lvl>
                  <c:pt idx="0">
                    <c:v>Piriform-amygdalar area</c:v>
                  </c:pt>
                </c:lvl>
                <c:lvl>
                  <c:pt idx="0">
                    <c:v>Cortical amygdalar area, posterior part</c:v>
                  </c:pt>
                </c:lvl>
                <c:lvl>
                  <c:pt idx="0">
                    <c:v>Cortical amygdalar area, anterior part</c:v>
                  </c:pt>
                </c:lvl>
                <c:lvl>
                  <c:pt idx="0">
                    <c:v>Nucleus of the lateral olfactory tract, layer 3</c:v>
                  </c:pt>
                </c:lvl>
                <c:lvl>
                  <c:pt idx="0">
                    <c:v>Nucleus of the lateral olfactory tract, molecular layer</c:v>
                  </c:pt>
                </c:lvl>
                <c:lvl>
                  <c:pt idx="0">
                    <c:v>Piriform area</c:v>
                  </c:pt>
                </c:lvl>
                <c:lvl>
                  <c:pt idx="0">
                    <c:v>Dorsal peduncular area</c:v>
                  </c:pt>
                </c:lvl>
                <c:lvl>
                  <c:pt idx="0">
                    <c:v>Taenia tecta</c:v>
                  </c:pt>
                </c:lvl>
                <c:lvl>
                  <c:pt idx="0">
                    <c:v>Anterior olfactory nucleus</c:v>
                  </c:pt>
                </c:lvl>
                <c:lvl>
                  <c:pt idx="0">
                    <c:v>Accessory olfactory bulb, mitral layer</c:v>
                  </c:pt>
                </c:lvl>
                <c:lvl>
                  <c:pt idx="0">
                    <c:v>Accessory olfactory bulb, granular layer</c:v>
                  </c:pt>
                </c:lvl>
                <c:lvl>
                  <c:pt idx="0">
                    <c:v>Accessory olfactory bulb, glomerular layer</c:v>
                  </c:pt>
                </c:lvl>
                <c:lvl>
                  <c:pt idx="0">
                    <c:v>Main olfactory bulb</c:v>
                  </c:pt>
                </c:lvl>
                <c:lvl>
                  <c:pt idx="0">
                    <c:v>Olfactory areas</c:v>
                  </c:pt>
                </c:lvl>
                <c:lvl>
                  <c:pt idx="0">
                    <c:v>Ectorhinal area/Layer 6b</c:v>
                  </c:pt>
                </c:lvl>
                <c:lvl>
                  <c:pt idx="0">
                    <c:v>Ectorhinal area/Layer 6a</c:v>
                  </c:pt>
                </c:lvl>
                <c:lvl>
                  <c:pt idx="0">
                    <c:v>Ectorhinal area/Layer 5</c:v>
                  </c:pt>
                </c:lvl>
                <c:lvl>
                  <c:pt idx="0">
                    <c:v>Ectorhinal area/Layer 2/3</c:v>
                  </c:pt>
                </c:lvl>
                <c:lvl>
                  <c:pt idx="0">
                    <c:v>Ectorhinal area/Layer 1</c:v>
                  </c:pt>
                </c:lvl>
                <c:lvl>
                  <c:pt idx="0">
                    <c:v>Ectorhinal area</c:v>
                  </c:pt>
                </c:lvl>
                <c:lvl>
                  <c:pt idx="0">
                    <c:v>Perirhinal area, layer 6b</c:v>
                  </c:pt>
                </c:lvl>
                <c:lvl>
                  <c:pt idx="0">
                    <c:v>Perirhinal area, layer 6a</c:v>
                  </c:pt>
                </c:lvl>
                <c:lvl>
                  <c:pt idx="0">
                    <c:v>Perirhinal area, layer 5</c:v>
                  </c:pt>
                </c:lvl>
                <c:lvl>
                  <c:pt idx="0">
                    <c:v>Perirhinal area, layer 2/3</c:v>
                  </c:pt>
                </c:lvl>
                <c:lvl>
                  <c:pt idx="0">
                    <c:v>Perirhinal area, layer 1</c:v>
                  </c:pt>
                </c:lvl>
                <c:lvl>
                  <c:pt idx="0">
                    <c:v>Temporal association areas, layer 6b</c:v>
                  </c:pt>
                </c:lvl>
                <c:lvl>
                  <c:pt idx="0">
                    <c:v>Temporal association areas, layer 6a</c:v>
                  </c:pt>
                </c:lvl>
                <c:lvl>
                  <c:pt idx="0">
                    <c:v>Temporal association areas, layer 5</c:v>
                  </c:pt>
                </c:lvl>
                <c:lvl>
                  <c:pt idx="0">
                    <c:v>Temporal association areas, layer 4</c:v>
                  </c:pt>
                </c:lvl>
                <c:lvl>
                  <c:pt idx="0">
                    <c:v>Temporal association areas, layer 2/3</c:v>
                  </c:pt>
                </c:lvl>
                <c:lvl>
                  <c:pt idx="0">
                    <c:v>Temporal association areas, layer 1</c:v>
                  </c:pt>
                </c:lvl>
                <c:lvl>
                  <c:pt idx="0">
                    <c:v>Retrosplenial area, ventral part, layer 6b</c:v>
                  </c:pt>
                </c:lvl>
                <c:lvl>
                  <c:pt idx="0">
                    <c:v>Retrosplenial area, ventral part, layer 6a</c:v>
                  </c:pt>
                </c:lvl>
                <c:lvl>
                  <c:pt idx="0">
                    <c:v>Retrosplenial area, ventral part, layer 5</c:v>
                  </c:pt>
                </c:lvl>
                <c:lvl>
                  <c:pt idx="0">
                    <c:v>Retrosplenial area, ventral part, layer 2/3</c:v>
                  </c:pt>
                </c:lvl>
                <c:lvl>
                  <c:pt idx="0">
                    <c:v>Retrosplenial area, ventral part, layer 1</c:v>
                  </c:pt>
                </c:lvl>
                <c:lvl>
                  <c:pt idx="0">
                    <c:v>Retrosplenial area, dorsal part, layer 6b</c:v>
                  </c:pt>
                </c:lvl>
                <c:lvl>
                  <c:pt idx="0">
                    <c:v>Retrosplenial area, dorsal part, layer 6a</c:v>
                  </c:pt>
                </c:lvl>
                <c:lvl>
                  <c:pt idx="0">
                    <c:v>Retrosplenial area, dorsal part, layer 5</c:v>
                  </c:pt>
                </c:lvl>
                <c:lvl>
                  <c:pt idx="0">
                    <c:v>Retrosplenial area, dorsal part, layer 4</c:v>
                  </c:pt>
                </c:lvl>
                <c:lvl>
                  <c:pt idx="0">
                    <c:v>Retrosplenial area, dorsal part, layer 2/3</c:v>
                  </c:pt>
                </c:lvl>
                <c:lvl>
                  <c:pt idx="0">
                    <c:v>Retrosplenial area, dorsal part, layer 1</c:v>
                  </c:pt>
                </c:lvl>
                <c:lvl>
                  <c:pt idx="0">
                    <c:v>Retrosplenial area, lateral agranular part, layer 6b</c:v>
                  </c:pt>
                </c:lvl>
                <c:lvl>
                  <c:pt idx="0">
                    <c:v>Retrosplenial area, lateral agranular part, layer 6a</c:v>
                  </c:pt>
                </c:lvl>
                <c:lvl>
                  <c:pt idx="0">
                    <c:v>Retrosplenial area, lateral agranular part, layer 5</c:v>
                  </c:pt>
                </c:lvl>
                <c:lvl>
                  <c:pt idx="0">
                    <c:v>Retrosplenial area, lateral agranular part, layer 2/3</c:v>
                  </c:pt>
                </c:lvl>
                <c:lvl>
                  <c:pt idx="0">
                    <c:v>Retrosplenial area, lateral agranular part, layer 1</c:v>
                  </c:pt>
                </c:lvl>
                <c:lvl>
                  <c:pt idx="0">
                    <c:v>Retrosplenial area, lateral agranular part</c:v>
                  </c:pt>
                </c:lvl>
                <c:lvl>
                  <c:pt idx="0">
                    <c:v>Agranular insular area, ventral part, layer 6a</c:v>
                  </c:pt>
                </c:lvl>
                <c:lvl>
                  <c:pt idx="0">
                    <c:v>Agranular insular area, ventral part, layer 5</c:v>
                  </c:pt>
                </c:lvl>
                <c:lvl>
                  <c:pt idx="0">
                    <c:v>Agranular insular area, ventral part, layer 2/3</c:v>
                  </c:pt>
                </c:lvl>
                <c:lvl>
                  <c:pt idx="0">
                    <c:v>Agranular insular area, ventral part, layer 1</c:v>
                  </c:pt>
                </c:lvl>
                <c:lvl>
                  <c:pt idx="0">
                    <c:v>Agranular insular area, posterior part, layer 6a</c:v>
                  </c:pt>
                </c:lvl>
                <c:lvl>
                  <c:pt idx="0">
                    <c:v>Agranular insular area, posterior part, layer 5</c:v>
                  </c:pt>
                </c:lvl>
                <c:lvl>
                  <c:pt idx="0">
                    <c:v>Agranular insular area, posterior part, layer 2/3</c:v>
                  </c:pt>
                </c:lvl>
                <c:lvl>
                  <c:pt idx="0">
                    <c:v>Agranular insular area, posterior part, layer 1</c:v>
                  </c:pt>
                </c:lvl>
                <c:lvl>
                  <c:pt idx="0">
                    <c:v>Agranular insular area, dorsal part, layer 6b</c:v>
                  </c:pt>
                </c:lvl>
                <c:lvl>
                  <c:pt idx="0">
                    <c:v>Agranular insular area, dorsal part, layer 6a</c:v>
                  </c:pt>
                </c:lvl>
                <c:lvl>
                  <c:pt idx="0">
                    <c:v>Agranular insular area, dorsal part, layer 5</c:v>
                  </c:pt>
                </c:lvl>
                <c:lvl>
                  <c:pt idx="0">
                    <c:v>Agranular insular area, dorsal part, layer 2/3</c:v>
                  </c:pt>
                </c:lvl>
                <c:lvl>
                  <c:pt idx="0">
                    <c:v>Agranular insular area, dorsal part, layer 1</c:v>
                  </c:pt>
                </c:lvl>
                <c:lvl>
                  <c:pt idx="0">
                    <c:v>Agranular insular area, dorsal part</c:v>
                  </c:pt>
                </c:lvl>
                <c:lvl>
                  <c:pt idx="0">
                    <c:v>Orbital area, ventrolateral part, layer 6b</c:v>
                  </c:pt>
                </c:lvl>
                <c:lvl>
                  <c:pt idx="0">
                    <c:v>Orbital area, ventrolateral part, layer 6a</c:v>
                  </c:pt>
                </c:lvl>
                <c:lvl>
                  <c:pt idx="0">
                    <c:v>Orbital area, ventrolateral part, layer 5</c:v>
                  </c:pt>
                </c:lvl>
                <c:lvl>
                  <c:pt idx="0">
                    <c:v>Orbital area, ventrolateral part, layer 2/3</c:v>
                  </c:pt>
                </c:lvl>
                <c:lvl>
                  <c:pt idx="0">
                    <c:v>Orbital area, ventrolateral part, layer 1</c:v>
                  </c:pt>
                </c:lvl>
                <c:lvl>
                  <c:pt idx="0">
                    <c:v>Orbital area, medial part, layer 6a</c:v>
                  </c:pt>
                </c:lvl>
                <c:lvl>
                  <c:pt idx="0">
                    <c:v>Orbital area, medial part, layer 5</c:v>
                  </c:pt>
                </c:lvl>
                <c:lvl>
                  <c:pt idx="0">
                    <c:v>Orbital area, medial part, layer 2/3</c:v>
                  </c:pt>
                </c:lvl>
                <c:lvl>
                  <c:pt idx="0">
                    <c:v>Orbital area, medial part, layer 1</c:v>
                  </c:pt>
                </c:lvl>
                <c:lvl>
                  <c:pt idx="0">
                    <c:v>Orbital area, lateral part, layer 6b</c:v>
                  </c:pt>
                </c:lvl>
                <c:lvl>
                  <c:pt idx="0">
                    <c:v>Orbital area, lateral part, layer 6a</c:v>
                  </c:pt>
                </c:lvl>
                <c:lvl>
                  <c:pt idx="0">
                    <c:v>Orbital area, lateral part, layer 5</c:v>
                  </c:pt>
                </c:lvl>
                <c:lvl>
                  <c:pt idx="0">
                    <c:v>Orbital area, lateral part, layer 2/3</c:v>
                  </c:pt>
                </c:lvl>
                <c:lvl>
                  <c:pt idx="0">
                    <c:v>Orbital area, lateral part, layer 1</c:v>
                  </c:pt>
                </c:lvl>
                <c:lvl>
                  <c:pt idx="0">
                    <c:v>Infralimbic area, layer 6b</c:v>
                  </c:pt>
                </c:lvl>
                <c:lvl>
                  <c:pt idx="0">
                    <c:v>Infralimbic area, layer 6a</c:v>
                  </c:pt>
                </c:lvl>
                <c:lvl>
                  <c:pt idx="0">
                    <c:v>Infralimbic area, layer 5</c:v>
                  </c:pt>
                </c:lvl>
                <c:lvl>
                  <c:pt idx="0">
                    <c:v>Infralimbic area, layer 2/3</c:v>
                  </c:pt>
                </c:lvl>
                <c:lvl>
                  <c:pt idx="0">
                    <c:v>Infralimbic area, layer 1</c:v>
                  </c:pt>
                </c:lvl>
                <c:lvl>
                  <c:pt idx="0">
                    <c:v>Prelimbic area, layer 6b</c:v>
                  </c:pt>
                </c:lvl>
                <c:lvl>
                  <c:pt idx="0">
                    <c:v>Prelimbic area, layer 6a</c:v>
                  </c:pt>
                </c:lvl>
                <c:lvl>
                  <c:pt idx="0">
                    <c:v>Prelimbic area, layer 5</c:v>
                  </c:pt>
                </c:lvl>
                <c:lvl>
                  <c:pt idx="0">
                    <c:v>Prelimbic area, layer 2/3</c:v>
                  </c:pt>
                </c:lvl>
                <c:lvl>
                  <c:pt idx="0">
                    <c:v>Prelimbic area, layer 1</c:v>
                  </c:pt>
                </c:lvl>
                <c:lvl>
                  <c:pt idx="0">
                    <c:v>Anterior cingulate area, ventral part, layer 5</c:v>
                  </c:pt>
                </c:lvl>
                <c:lvl>
                  <c:pt idx="0">
                    <c:v>Anterior cingulate area, ventral part, layer 2/3</c:v>
                  </c:pt>
                </c:lvl>
                <c:lvl>
                  <c:pt idx="0">
                    <c:v>Anterior cingulate area, ventral part, layer 1</c:v>
                  </c:pt>
                </c:lvl>
                <c:lvl>
                  <c:pt idx="0">
                    <c:v>Anterior cingulate area, ventral part, 6b</c:v>
                  </c:pt>
                </c:lvl>
                <c:lvl>
                  <c:pt idx="0">
                    <c:v>Anterior cingulate area, ventral part, 6a</c:v>
                  </c:pt>
                </c:lvl>
                <c:lvl>
                  <c:pt idx="0">
                    <c:v>Anterior cingulate area, dorsal part, layer 6b</c:v>
                  </c:pt>
                </c:lvl>
                <c:lvl>
                  <c:pt idx="0">
                    <c:v>Anterior cingulate area, dorsal part, layer 6a</c:v>
                  </c:pt>
                </c:lvl>
                <c:lvl>
                  <c:pt idx="0">
                    <c:v>Anterior cingulate area, dorsal part, layer 5</c:v>
                  </c:pt>
                </c:lvl>
                <c:lvl>
                  <c:pt idx="0">
                    <c:v>Anterior cingulate area, dorsal part, layer 2/3</c:v>
                  </c:pt>
                </c:lvl>
                <c:lvl>
                  <c:pt idx="0">
                    <c:v>Anterior cingulate area, dorsal part, layer 1</c:v>
                  </c:pt>
                </c:lvl>
                <c:lvl>
                  <c:pt idx="0">
                    <c:v>posteromedial visual area, layer 6b</c:v>
                  </c:pt>
                </c:lvl>
                <c:lvl>
                  <c:pt idx="0">
                    <c:v>posteromedial visual area, layer 6a</c:v>
                  </c:pt>
                </c:lvl>
                <c:lvl>
                  <c:pt idx="0">
                    <c:v>posteromedial visual area, layer 5</c:v>
                  </c:pt>
                </c:lvl>
                <c:lvl>
                  <c:pt idx="0">
                    <c:v>posteromedial visual area, layer 4</c:v>
                  </c:pt>
                </c:lvl>
                <c:lvl>
                  <c:pt idx="0">
                    <c:v>posteromedial visual area, layer 2/3</c:v>
                  </c:pt>
                </c:lvl>
                <c:lvl>
                  <c:pt idx="0">
                    <c:v>posteromedial visual area, layer 1</c:v>
                  </c:pt>
                </c:lvl>
                <c:lvl>
                  <c:pt idx="0">
                    <c:v>Posterolateral visual area, layer 6b</c:v>
                  </c:pt>
                </c:lvl>
                <c:lvl>
                  <c:pt idx="0">
                    <c:v>Posterolateral visual area, layer 6a</c:v>
                  </c:pt>
                </c:lvl>
                <c:lvl>
                  <c:pt idx="0">
                    <c:v>Posterolateral visual area, layer 5</c:v>
                  </c:pt>
                </c:lvl>
                <c:lvl>
                  <c:pt idx="0">
                    <c:v>Posterolateral visual area, layer 4</c:v>
                  </c:pt>
                </c:lvl>
                <c:lvl>
                  <c:pt idx="0">
                    <c:v>Posterolateral visual area, layer 2/3</c:v>
                  </c:pt>
                </c:lvl>
                <c:lvl>
                  <c:pt idx="0">
                    <c:v>Posterolateral visual area, layer 1</c:v>
                  </c:pt>
                </c:lvl>
                <c:lvl>
                  <c:pt idx="0">
                    <c:v>Primary visual area, layer 6b</c:v>
                  </c:pt>
                </c:lvl>
                <c:lvl>
                  <c:pt idx="0">
                    <c:v>Primary visual area, layer 6a</c:v>
                  </c:pt>
                </c:lvl>
                <c:lvl>
                  <c:pt idx="0">
                    <c:v>Primary visual area, layer 5</c:v>
                  </c:pt>
                </c:lvl>
                <c:lvl>
                  <c:pt idx="0">
                    <c:v>Primary visual area, layer 4</c:v>
                  </c:pt>
                </c:lvl>
                <c:lvl>
                  <c:pt idx="0">
                    <c:v>Primary visual area, layer 2/3</c:v>
                  </c:pt>
                </c:lvl>
                <c:lvl>
                  <c:pt idx="0">
                    <c:v>Primary visual area, layer 1</c:v>
                  </c:pt>
                </c:lvl>
                <c:lvl>
                  <c:pt idx="0">
                    <c:v>Lateral visual area, layer 6b</c:v>
                  </c:pt>
                </c:lvl>
                <c:lvl>
                  <c:pt idx="0">
                    <c:v>Lateral visual area, layer 6a</c:v>
                  </c:pt>
                </c:lvl>
                <c:lvl>
                  <c:pt idx="0">
                    <c:v>Lateral visual area, layer 5</c:v>
                  </c:pt>
                </c:lvl>
                <c:lvl>
                  <c:pt idx="0">
                    <c:v>Lateral visual area, layer 4</c:v>
                  </c:pt>
                </c:lvl>
                <c:lvl>
                  <c:pt idx="0">
                    <c:v>Lateral visual area, layer 2/3</c:v>
                  </c:pt>
                </c:lvl>
                <c:lvl>
                  <c:pt idx="0">
                    <c:v>Lateral visual area, layer 1</c:v>
                  </c:pt>
                </c:lvl>
                <c:lvl>
                  <c:pt idx="0">
                    <c:v>Anteromedial visual area, layer 6b</c:v>
                  </c:pt>
                </c:lvl>
                <c:lvl>
                  <c:pt idx="0">
                    <c:v>Anteromedial visual area, layer 6a</c:v>
                  </c:pt>
                </c:lvl>
                <c:lvl>
                  <c:pt idx="0">
                    <c:v>Anteromedial visual area, layer 5</c:v>
                  </c:pt>
                </c:lvl>
                <c:lvl>
                  <c:pt idx="0">
                    <c:v>Anteromedial visual area, layer 4</c:v>
                  </c:pt>
                </c:lvl>
                <c:lvl>
                  <c:pt idx="0">
                    <c:v>Anteromedial visual area, layer 2/3</c:v>
                  </c:pt>
                </c:lvl>
                <c:lvl>
                  <c:pt idx="0">
                    <c:v>Anteromedial visual area, layer 1</c:v>
                  </c:pt>
                </c:lvl>
                <c:lvl>
                  <c:pt idx="0">
                    <c:v>Anterolateral visual area, layer 6b</c:v>
                  </c:pt>
                </c:lvl>
                <c:lvl>
                  <c:pt idx="0">
                    <c:v>Anterolateral visual area, layer 6a</c:v>
                  </c:pt>
                </c:lvl>
                <c:lvl>
                  <c:pt idx="0">
                    <c:v>Anterolateral visual area, layer 5</c:v>
                  </c:pt>
                </c:lvl>
                <c:lvl>
                  <c:pt idx="0">
                    <c:v>Anterolateral visual area, layer 4</c:v>
                  </c:pt>
                </c:lvl>
                <c:lvl>
                  <c:pt idx="0">
                    <c:v>Anterolateral visual area, layer 2/3</c:v>
                  </c:pt>
                </c:lvl>
                <c:lvl>
                  <c:pt idx="0">
                    <c:v>Anterolateral visual area, layer 1</c:v>
                  </c:pt>
                </c:lvl>
                <c:lvl>
                  <c:pt idx="0">
                    <c:v>Ventral auditory area, layer 6b</c:v>
                  </c:pt>
                </c:lvl>
                <c:lvl>
                  <c:pt idx="0">
                    <c:v>Ventral auditory area, layer 6a</c:v>
                  </c:pt>
                </c:lvl>
                <c:lvl>
                  <c:pt idx="0">
                    <c:v>Ventral auditory area, layer 5</c:v>
                  </c:pt>
                </c:lvl>
                <c:lvl>
                  <c:pt idx="0">
                    <c:v>Ventral auditory area, layer 4</c:v>
                  </c:pt>
                </c:lvl>
                <c:lvl>
                  <c:pt idx="0">
                    <c:v>Ventral auditory area, layer 2/3</c:v>
                  </c:pt>
                </c:lvl>
                <c:lvl>
                  <c:pt idx="0">
                    <c:v>Ventral auditory area, layer 1</c:v>
                  </c:pt>
                </c:lvl>
                <c:lvl>
                  <c:pt idx="0">
                    <c:v>Posterior auditory area, layer 6b</c:v>
                  </c:pt>
                </c:lvl>
                <c:lvl>
                  <c:pt idx="0">
                    <c:v>Posterior auditory area, layer 6a</c:v>
                  </c:pt>
                </c:lvl>
                <c:lvl>
                  <c:pt idx="0">
                    <c:v>Posterior auditory area, layer 5</c:v>
                  </c:pt>
                </c:lvl>
                <c:lvl>
                  <c:pt idx="0">
                    <c:v>Posterior auditory area, layer 4</c:v>
                  </c:pt>
                </c:lvl>
                <c:lvl>
                  <c:pt idx="0">
                    <c:v>Posterior auditory area, layer 2/3</c:v>
                  </c:pt>
                </c:lvl>
                <c:lvl>
                  <c:pt idx="0">
                    <c:v>Posterior auditory area, layer 1</c:v>
                  </c:pt>
                </c:lvl>
                <c:lvl>
                  <c:pt idx="0">
                    <c:v>Posterior amygdalar nucleus</c:v>
                  </c:pt>
                </c:lvl>
                <c:lvl>
                  <c:pt idx="0">
                    <c:v>Primary auditory area, layer 6b</c:v>
                  </c:pt>
                </c:lvl>
                <c:lvl>
                  <c:pt idx="0">
                    <c:v>Primary auditory area, layer 6a</c:v>
                  </c:pt>
                </c:lvl>
                <c:lvl>
                  <c:pt idx="0">
                    <c:v>Primary auditory area, layer 5</c:v>
                  </c:pt>
                </c:lvl>
                <c:lvl>
                  <c:pt idx="0">
                    <c:v>Primary auditory area, layer 4</c:v>
                  </c:pt>
                </c:lvl>
                <c:lvl>
                  <c:pt idx="0">
                    <c:v>Primary auditory area, layer 2/3</c:v>
                  </c:pt>
                </c:lvl>
                <c:lvl>
                  <c:pt idx="0">
                    <c:v>Primary auditory area, layer 1</c:v>
                  </c:pt>
                </c:lvl>
                <c:lvl>
                  <c:pt idx="0">
                    <c:v>Dorsal auditory area, layer 6b</c:v>
                  </c:pt>
                </c:lvl>
                <c:lvl>
                  <c:pt idx="0">
                    <c:v>Dorsal auditory area, layer 6a</c:v>
                  </c:pt>
                </c:lvl>
                <c:lvl>
                  <c:pt idx="0">
                    <c:v>Dorsal auditory area, layer 5</c:v>
                  </c:pt>
                </c:lvl>
                <c:lvl>
                  <c:pt idx="0">
                    <c:v>Dorsal auditory area, layer 4</c:v>
                  </c:pt>
                </c:lvl>
                <c:lvl>
                  <c:pt idx="0">
                    <c:v>Dorsal auditory area, layer 2/3</c:v>
                  </c:pt>
                </c:lvl>
                <c:lvl>
                  <c:pt idx="0">
                    <c:v>Dorsal auditory area, layer 1</c:v>
                  </c:pt>
                </c:lvl>
                <c:lvl>
                  <c:pt idx="0">
                    <c:v>Visceral area, layer 6b</c:v>
                  </c:pt>
                </c:lvl>
                <c:lvl>
                  <c:pt idx="0">
                    <c:v>Visceral area, layer 6a</c:v>
                  </c:pt>
                </c:lvl>
                <c:lvl>
                  <c:pt idx="0">
                    <c:v>Visceral area, layer 5</c:v>
                  </c:pt>
                </c:lvl>
                <c:lvl>
                  <c:pt idx="0">
                    <c:v>Visceral area, layer 4</c:v>
                  </c:pt>
                </c:lvl>
                <c:lvl>
                  <c:pt idx="0">
                    <c:v>Visceral area, layer 2/3</c:v>
                  </c:pt>
                </c:lvl>
                <c:lvl>
                  <c:pt idx="0">
                    <c:v>Visceral area, layer 1</c:v>
                  </c:pt>
                </c:lvl>
                <c:lvl>
                  <c:pt idx="0">
                    <c:v>Gustatory areas, layer 6b</c:v>
                  </c:pt>
                </c:lvl>
                <c:lvl>
                  <c:pt idx="0">
                    <c:v>Gustatory areas, layer 6a</c:v>
                  </c:pt>
                </c:lvl>
                <c:lvl>
                  <c:pt idx="0">
                    <c:v>Gustatory areas, layer 5</c:v>
                  </c:pt>
                </c:lvl>
                <c:lvl>
                  <c:pt idx="0">
                    <c:v>Gustatory areas, layer 4</c:v>
                  </c:pt>
                </c:lvl>
                <c:lvl>
                  <c:pt idx="0">
                    <c:v>Gustatory areas, layer 2/3</c:v>
                  </c:pt>
                </c:lvl>
                <c:lvl>
                  <c:pt idx="0">
                    <c:v>Gustatory areas, layer 1</c:v>
                  </c:pt>
                </c:lvl>
                <c:lvl>
                  <c:pt idx="0">
                    <c:v>Supplemental somatosensory area, layer 6b</c:v>
                  </c:pt>
                </c:lvl>
                <c:lvl>
                  <c:pt idx="0">
                    <c:v>Supplemental somatosensory area, layer 6a</c:v>
                  </c:pt>
                </c:lvl>
                <c:lvl>
                  <c:pt idx="0">
                    <c:v>Supplemental somatosensory area, layer 5</c:v>
                  </c:pt>
                </c:lvl>
                <c:lvl>
                  <c:pt idx="0">
                    <c:v>Supplemental somatosensory area, layer 4</c:v>
                  </c:pt>
                </c:lvl>
                <c:lvl>
                  <c:pt idx="0">
                    <c:v>Supplemental somatosensory area, layer 2/3</c:v>
                  </c:pt>
                </c:lvl>
                <c:lvl>
                  <c:pt idx="0">
                    <c:v>Supplemental somatosensory area, layer 1</c:v>
                  </c:pt>
                </c:lvl>
                <c:lvl>
                  <c:pt idx="0">
                    <c:v>Primary somatosensory area, trunk, layer 6b</c:v>
                  </c:pt>
                </c:lvl>
                <c:lvl>
                  <c:pt idx="0">
                    <c:v>Primary somatosensory area, trunk, layer 6a</c:v>
                  </c:pt>
                </c:lvl>
                <c:lvl>
                  <c:pt idx="0">
                    <c:v>Primary somatosensory area, trunk, layer 5</c:v>
                  </c:pt>
                </c:lvl>
                <c:lvl>
                  <c:pt idx="0">
                    <c:v>Primary somatosensory area, trunk, layer 4</c:v>
                  </c:pt>
                </c:lvl>
                <c:lvl>
                  <c:pt idx="0">
                    <c:v>Primary somatosensory area, trunk, layer 2/3</c:v>
                  </c:pt>
                </c:lvl>
                <c:lvl>
                  <c:pt idx="0">
                    <c:v>Primary somatosensory area, trunk, layer 1</c:v>
                  </c:pt>
                </c:lvl>
                <c:lvl>
                  <c:pt idx="0">
                    <c:v>Primary somatosensory area, upper limb, layer 6b</c:v>
                  </c:pt>
                </c:lvl>
                <c:lvl>
                  <c:pt idx="0">
                    <c:v>Primary somatosensory area, upper limb, layer 6a</c:v>
                  </c:pt>
                </c:lvl>
                <c:lvl>
                  <c:pt idx="0">
                    <c:v>Primary somatosensory area, upper limb, layer 5</c:v>
                  </c:pt>
                </c:lvl>
                <c:lvl>
                  <c:pt idx="0">
                    <c:v>Primary somatosensory area, upper limb, layer 4</c:v>
                  </c:pt>
                </c:lvl>
                <c:lvl>
                  <c:pt idx="0">
                    <c:v>Primary somatosensory area, upper limb, layer 2/3</c:v>
                  </c:pt>
                </c:lvl>
                <c:lvl>
                  <c:pt idx="0">
                    <c:v>Primary somatosensory area, upper limb, layer 1</c:v>
                  </c:pt>
                </c:lvl>
                <c:lvl>
                  <c:pt idx="0">
                    <c:v>Primary somatosensory area, mouth, layer 6b</c:v>
                  </c:pt>
                </c:lvl>
                <c:lvl>
                  <c:pt idx="0">
                    <c:v>Primary somatosensory area, mouth, layer 6a</c:v>
                  </c:pt>
                </c:lvl>
                <c:lvl>
                  <c:pt idx="0">
                    <c:v>Primary somatosensory area, mouth, layer 5</c:v>
                  </c:pt>
                </c:lvl>
                <c:lvl>
                  <c:pt idx="0">
                    <c:v>Primary somatosensory area, mouth, layer 4</c:v>
                  </c:pt>
                </c:lvl>
                <c:lvl>
                  <c:pt idx="0">
                    <c:v>Primary somatosensory area, mouth, layer 2/3</c:v>
                  </c:pt>
                </c:lvl>
                <c:lvl>
                  <c:pt idx="0">
                    <c:v>Primary somatosensory area, mouth, layer 1</c:v>
                  </c:pt>
                </c:lvl>
                <c:lvl>
                  <c:pt idx="0">
                    <c:v>Primary somatosensory area, lower limb, layer 6b</c:v>
                  </c:pt>
                </c:lvl>
                <c:lvl>
                  <c:pt idx="0">
                    <c:v>Primary somatosensory area, lower limb, layer 6a</c:v>
                  </c:pt>
                </c:lvl>
                <c:lvl>
                  <c:pt idx="0">
                    <c:v>Primary somatosensory area, lower limb, layer 5</c:v>
                  </c:pt>
                </c:lvl>
                <c:lvl>
                  <c:pt idx="0">
                    <c:v>Primary somatosensory area, lower limb, layer 4</c:v>
                  </c:pt>
                </c:lvl>
                <c:lvl>
                  <c:pt idx="0">
                    <c:v>Primary somatosensory area, lower limb, layer 2/3</c:v>
                  </c:pt>
                </c:lvl>
                <c:lvl>
                  <c:pt idx="0">
                    <c:v>Primary somatosensory area, lower limb, layer 1</c:v>
                  </c:pt>
                </c:lvl>
                <c:lvl>
                  <c:pt idx="0">
                    <c:v>Primary somatosensory area, barrel field, layer 6b</c:v>
                  </c:pt>
                </c:lvl>
                <c:lvl>
                  <c:pt idx="0">
                    <c:v>Primary somatosensory area, barrel field, layer 6a</c:v>
                  </c:pt>
                </c:lvl>
                <c:lvl>
                  <c:pt idx="0">
                    <c:v>Primary somatosensory area, barrel field, layer 5</c:v>
                  </c:pt>
                </c:lvl>
                <c:lvl>
                  <c:pt idx="0">
                    <c:v>Primary somatosensory area, barrel field, layer 4</c:v>
                  </c:pt>
                </c:lvl>
                <c:lvl>
                  <c:pt idx="0">
                    <c:v>Primary somatosensory area, barrel field, layer 2/3</c:v>
                  </c:pt>
                </c:lvl>
                <c:lvl>
                  <c:pt idx="0">
                    <c:v>Primary somatosensory area, barrel field, layer 1</c:v>
                  </c:pt>
                </c:lvl>
                <c:lvl>
                  <c:pt idx="0">
                    <c:v>Primary somatosensory area, nose, layer 6b</c:v>
                  </c:pt>
                </c:lvl>
                <c:lvl>
                  <c:pt idx="0">
                    <c:v>Primary somatosensory area, nose, layer 6a</c:v>
                  </c:pt>
                </c:lvl>
                <c:lvl>
                  <c:pt idx="0">
                    <c:v>Primary somatosensory area, nose, layer 5</c:v>
                  </c:pt>
                </c:lvl>
                <c:lvl>
                  <c:pt idx="0">
                    <c:v>Primary somatosensory area, nose, layer 4</c:v>
                  </c:pt>
                </c:lvl>
                <c:lvl>
                  <c:pt idx="0">
                    <c:v>Primary somatosensory area, nose, layer 2/3</c:v>
                  </c:pt>
                </c:lvl>
                <c:lvl>
                  <c:pt idx="0">
                    <c:v>Primary somatosensory area, nose, layer 1</c:v>
                  </c:pt>
                </c:lvl>
                <c:lvl>
                  <c:pt idx="0">
                    <c:v>Secondary motor area, layer 6b</c:v>
                  </c:pt>
                </c:lvl>
                <c:lvl>
                  <c:pt idx="0">
                    <c:v>Secondary motor area, layer 6a</c:v>
                  </c:pt>
                </c:lvl>
                <c:lvl>
                  <c:pt idx="0">
                    <c:v>Secondary motor area, layer 5</c:v>
                  </c:pt>
                </c:lvl>
                <c:lvl>
                  <c:pt idx="0">
                    <c:v>Secondary motor area, layer 2/3</c:v>
                  </c:pt>
                </c:lvl>
                <c:lvl>
                  <c:pt idx="0">
                    <c:v>Secondary motor area, layer 1</c:v>
                  </c:pt>
                </c:lvl>
                <c:lvl>
                  <c:pt idx="0">
                    <c:v>Primary motor area, Layer 6b</c:v>
                  </c:pt>
                </c:lvl>
                <c:lvl>
                  <c:pt idx="0">
                    <c:v>Primary motor area, Layer 6a</c:v>
                  </c:pt>
                </c:lvl>
                <c:lvl>
                  <c:pt idx="0">
                    <c:v>Primary motor area, Layer 5</c:v>
                  </c:pt>
                </c:lvl>
                <c:lvl>
                  <c:pt idx="0">
                    <c:v>Primary motor area, Layer 2/3</c:v>
                  </c:pt>
                </c:lvl>
                <c:lvl>
                  <c:pt idx="0">
                    <c:v>Primary motor area, Layer 1</c:v>
                  </c:pt>
                </c:lvl>
                <c:lvl>
                  <c:pt idx="0">
                    <c:v>Primary motor area</c:v>
                  </c:pt>
                </c:lvl>
                <c:lvl>
                  <c:pt idx="0">
                    <c:v>Frontal pole, layer 2/3</c:v>
                  </c:pt>
                </c:lvl>
                <c:lvl>
                  <c:pt idx="0">
                    <c:v>Frontal pole, layer 1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  <c:lvl>
                  <c:pt idx="0">
                    <c:v>#N/A</c:v>
                  </c:pt>
                </c:lvl>
              </c:multiLvlStrCache>
            </c:multiLvlStrRef>
          </c:cat>
          <c:val>
            <c:numRef>
              <c:f>'Z-scores&lt;2'!$C$24:$UP$24</c:f>
              <c:numCache>
                <c:formatCode>General</c:formatCode>
                <c:ptCount val="56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895467"/>
        <c:axId val="22145701"/>
      </c:lineChart>
      <c:catAx>
        <c:axId val="788954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45701"/>
        <c:auto val="1"/>
        <c:lblAlgn val="ctr"/>
        <c:lblOffset val="100"/>
        <c:noMultiLvlLbl val="0"/>
      </c:catAx>
      <c:valAx>
        <c:axId val="221457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895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"Resilient"</c:f>
              <c:strCache>
                <c:ptCount val="1"/>
                <c:pt idx="0">
                  <c:v>Resilient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'Cluster counts corrected Z&lt;3'!$W$3:$W$58</c:f>
                <c:numCache>
                  <c:formatCode>General</c:formatCode>
                  <c:ptCount val="56"/>
                </c:numCache>
              </c:numRef>
            </c:plus>
            <c:minus>
              <c:numRef>
                <c:f>'Cluster counts corrected Z&lt;3'!$W$3:$W$58</c:f>
                <c:numCache>
                  <c:formatCode>General</c:formatCode>
                  <c:ptCount val="56"/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'Cluster counts corrected Z&lt;3'!$A$3:$A$58</c:f>
              <c:strCach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strCache>
            </c:strRef>
          </c:cat>
          <c:val>
            <c:numRef>
              <c:f>'Cluster counts corrected Z&lt;3'!$U$3:$U$58</c:f>
              <c:numCache>
                <c:formatCode>General</c:formatCode>
                <c:ptCount val="56"/>
              </c:numCache>
            </c:numRef>
          </c:val>
        </c:ser>
        <c:ser>
          <c:idx val="1"/>
          <c:order val="1"/>
          <c:tx>
            <c:strRef>
              <c:f>"PTSD-like"</c:f>
              <c:strCache>
                <c:ptCount val="1"/>
                <c:pt idx="0">
                  <c:v>PTSD-like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'Cluster counts corrected Z&lt;3'!$X$3:$X$58</c:f>
                <c:numCache>
                  <c:formatCode>General</c:formatCode>
                  <c:ptCount val="56"/>
                </c:numCache>
              </c:numRef>
            </c:plus>
            <c:minus>
              <c:numRef>
                <c:f>'Cluster counts corrected Z&lt;3'!$X$3:$X$58</c:f>
                <c:numCache>
                  <c:formatCode>General</c:formatCode>
                  <c:ptCount val="56"/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'Cluster counts corrected Z&lt;3'!$A$3:$A$58</c:f>
              <c:strCache>
                <c:ptCount val="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</c:strCache>
            </c:strRef>
          </c:cat>
          <c:val>
            <c:numRef>
              <c:f>'Cluster counts corrected Z&lt;3'!$V$3:$V$58</c:f>
              <c:numCache>
                <c:formatCode>General</c:formatCode>
                <c:ptCount val="56"/>
              </c:numCache>
            </c:numRef>
          </c:val>
        </c:ser>
        <c:gapWidth val="219"/>
        <c:overlap val="-27"/>
        <c:axId val="66728005"/>
        <c:axId val="84674342"/>
      </c:barChart>
      <c:catAx>
        <c:axId val="667280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nl-NL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nl-NL" sz="1000" spc="-1" strike="noStrike">
                    <a:solidFill>
                      <a:srgbClr val="595959"/>
                    </a:solidFill>
                    <a:latin typeface="Calibri"/>
                  </a:rPr>
                  <a:t>Cluster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674342"/>
        <c:crosses val="autoZero"/>
        <c:auto val="1"/>
        <c:lblAlgn val="ctr"/>
        <c:lblOffset val="100"/>
        <c:noMultiLvlLbl val="0"/>
      </c:catAx>
      <c:valAx>
        <c:axId val="846743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7280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17</xdr:row>
      <xdr:rowOff>0</xdr:rowOff>
    </xdr:from>
    <xdr:to>
      <xdr:col>21</xdr:col>
      <xdr:colOff>599760</xdr:colOff>
      <xdr:row>35</xdr:row>
      <xdr:rowOff>9000</xdr:rowOff>
    </xdr:to>
    <xdr:graphicFrame>
      <xdr:nvGraphicFramePr>
        <xdr:cNvPr id="0" name="Grafiek 1"/>
        <xdr:cNvGraphicFramePr/>
      </xdr:nvGraphicFramePr>
      <xdr:xfrm>
        <a:off x="7083720" y="3130200"/>
        <a:ext cx="12160800" cy="332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9360</xdr:colOff>
      <xdr:row>28</xdr:row>
      <xdr:rowOff>4680</xdr:rowOff>
    </xdr:from>
    <xdr:to>
      <xdr:col>21</xdr:col>
      <xdr:colOff>758520</xdr:colOff>
      <xdr:row>51</xdr:row>
      <xdr:rowOff>183960</xdr:rowOff>
    </xdr:to>
    <xdr:graphicFrame>
      <xdr:nvGraphicFramePr>
        <xdr:cNvPr id="1" name="Grafiek 1"/>
        <xdr:cNvGraphicFramePr/>
      </xdr:nvGraphicFramePr>
      <xdr:xfrm>
        <a:off x="6463440" y="5160600"/>
        <a:ext cx="12309840" cy="441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25</xdr:row>
      <xdr:rowOff>0</xdr:rowOff>
    </xdr:from>
    <xdr:to>
      <xdr:col>15</xdr:col>
      <xdr:colOff>585720</xdr:colOff>
      <xdr:row>47</xdr:row>
      <xdr:rowOff>99720</xdr:rowOff>
    </xdr:to>
    <xdr:graphicFrame>
      <xdr:nvGraphicFramePr>
        <xdr:cNvPr id="2" name="Grafiek 1"/>
        <xdr:cNvGraphicFramePr/>
      </xdr:nvGraphicFramePr>
      <xdr:xfrm>
        <a:off x="1517400" y="4603680"/>
        <a:ext cx="14026320" cy="415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59</xdr:row>
      <xdr:rowOff>0</xdr:rowOff>
    </xdr:from>
    <xdr:to>
      <xdr:col>23</xdr:col>
      <xdr:colOff>758160</xdr:colOff>
      <xdr:row>88</xdr:row>
      <xdr:rowOff>9000</xdr:rowOff>
    </xdr:to>
    <xdr:graphicFrame>
      <xdr:nvGraphicFramePr>
        <xdr:cNvPr id="3" name="Grafiek 1"/>
        <xdr:cNvGraphicFramePr/>
      </xdr:nvGraphicFramePr>
      <xdr:xfrm>
        <a:off x="0" y="10864800"/>
        <a:ext cx="18389520" cy="534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1" displayName="Tabel1" ref="A1:O1091" headerRowCount="1" totalsRowCount="0" totalsRowShown="0">
  <autoFilter ref="A1:O1091"/>
  <tableColumns count="15">
    <tableColumn id="1" name="Order"/>
    <tableColumn id="2" name="Region1"/>
    <tableColumn id="3" name="Region2"/>
    <tableColumn id="4" name="Region3"/>
    <tableColumn id="5" name="Region4"/>
    <tableColumn id="6" name="Region5"/>
    <tableColumn id="7" name="Region6"/>
    <tableColumn id="8" name="Region7"/>
    <tableColumn id="9" name="Number"/>
    <tableColumn id="10" name="Region"/>
    <tableColumn id="11" name="ID"/>
    <tableColumn id="12" name="ID2"/>
    <tableColumn id="13" name="Region8"/>
    <tableColumn id="14" name="Cluster"/>
    <tableColumn id="15" name="Kolom1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5" zeroHeight="false" outlineLevelRow="0" outlineLevelCol="0"/>
  <cols>
    <col collapsed="false" customWidth="true" hidden="false" outlineLevel="0" max="3" min="3" style="0" width="37"/>
    <col collapsed="false" customWidth="true" hidden="false" outlineLevel="0" max="15" min="15" style="0" width="10.54"/>
  </cols>
  <sheetData>
    <row r="1" customFormat="false" ht="14.5" hidden="false" customHeight="false" outlineLevel="0" collapsed="false">
      <c r="E1" s="0" t="s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  <c r="N1" s="0" t="n">
        <v>0</v>
      </c>
      <c r="O1" s="0" t="n">
        <v>1</v>
      </c>
      <c r="P1" s="0" t="n">
        <v>1</v>
      </c>
      <c r="Q1" s="0" t="n">
        <v>1</v>
      </c>
      <c r="R1" s="0" t="n">
        <v>1</v>
      </c>
      <c r="S1" s="0" t="n">
        <v>1</v>
      </c>
      <c r="T1" s="0" t="n">
        <v>1</v>
      </c>
      <c r="U1" s="0" t="n">
        <v>1</v>
      </c>
      <c r="V1" s="0" t="n">
        <v>1</v>
      </c>
    </row>
    <row r="2" customFormat="false" ht="14.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X2" s="2" t="s">
        <v>23</v>
      </c>
      <c r="Y2" s="2" t="s">
        <v>24</v>
      </c>
      <c r="Z2" s="2" t="s">
        <v>25</v>
      </c>
    </row>
    <row r="3" customFormat="false" ht="14.5" hidden="false" customHeight="false" outlineLevel="0" collapsed="false">
      <c r="A3" s="0" t="s">
        <v>26</v>
      </c>
      <c r="B3" s="0" t="n">
        <v>382</v>
      </c>
      <c r="C3" s="0" t="s">
        <v>27</v>
      </c>
      <c r="D3" s="0" t="n">
        <v>37700</v>
      </c>
      <c r="E3" s="0" t="n">
        <v>375</v>
      </c>
      <c r="F3" s="0" t="e">
        <f aca="false">SUMIFS(#REF!,#REF!,'Activation map'!$B3)</f>
        <v>#VALUE!</v>
      </c>
      <c r="G3" s="0" t="e">
        <f aca="false">SUMIFS(#REF!,#REF!,'Activation map'!$B3)</f>
        <v>#VALUE!</v>
      </c>
      <c r="H3" s="0" t="e">
        <f aca="false">SUMIFS(#REF!,#REF!,'Activation map'!$B3)</f>
        <v>#VALUE!</v>
      </c>
      <c r="I3" s="0" t="e">
        <f aca="false">SUMIFS(#REF!,#REF!,'Activation map'!$B3)</f>
        <v>#VALUE!</v>
      </c>
      <c r="J3" s="0" t="e">
        <f aca="false">SUMIFS(#REF!,#REF!,'Activation map'!$B3)</f>
        <v>#VALUE!</v>
      </c>
      <c r="K3" s="0" t="e">
        <f aca="false">SUMIFS(#REF!,#REF!,'Activation map'!$B3)</f>
        <v>#VALUE!</v>
      </c>
      <c r="L3" s="0" t="e">
        <f aca="false">SUMIFS(#REF!,#REF!,'Activation map'!$B3)</f>
        <v>#VALUE!</v>
      </c>
      <c r="M3" s="0" t="e">
        <f aca="false">SUMIFS(#REF!,#REF!,'Activation map'!$B3)</f>
        <v>#VALUE!</v>
      </c>
      <c r="N3" s="0" t="e">
        <f aca="false">SUMIFS(#REF!,#REF!,'Activation map'!$B3)</f>
        <v>#VALUE!</v>
      </c>
      <c r="O3" s="0" t="e">
        <f aca="false">SUMIFS(#REF!,#REF!,'Activation map'!$B3)</f>
        <v>#VALUE!</v>
      </c>
      <c r="P3" s="0" t="e">
        <f aca="false">SUMIFS(#REF!,#REF!,'Activation map'!$B3)</f>
        <v>#VALUE!</v>
      </c>
      <c r="Q3" s="0" t="e">
        <f aca="false">SUMIFS(#REF!,#REF!,'Activation map'!$B3)</f>
        <v>#VALUE!</v>
      </c>
      <c r="R3" s="0" t="e">
        <f aca="false">SUMIFS(#REF!,#REF!,'Activation map'!$B3)</f>
        <v>#VALUE!</v>
      </c>
      <c r="S3" s="0" t="e">
        <f aca="false">SUMIFS(#REF!,#REF!,'Activation map'!$B3)</f>
        <v>#VALUE!</v>
      </c>
      <c r="T3" s="0" t="e">
        <f aca="false">SUMIFS(#REF!,#REF!,'Activation map'!$B3)</f>
        <v>#VALUE!</v>
      </c>
      <c r="U3" s="0" t="e">
        <f aca="false">SUMIFS(#REF!,#REF!,'Activation map'!$B3)</f>
        <v>#VALUE!</v>
      </c>
      <c r="V3" s="0" t="e">
        <f aca="false">SUMIFS(#REF!,#REF!,'Activation map'!$B3)</f>
        <v>#VALUE!</v>
      </c>
      <c r="X3" s="3" t="e">
        <f aca="false">_xlfn.T.TEST(F3:N3,O3:V3,2,2)</f>
        <v>#VALUE!</v>
      </c>
      <c r="Y3" s="0" t="e">
        <f aca="false">AVERAGE(F3:N3)</f>
        <v>#VALUE!</v>
      </c>
      <c r="Z3" s="0" t="e">
        <f aca="false">AVERAGE(O3:V3)</f>
        <v>#VALUE!</v>
      </c>
    </row>
    <row r="4" customFormat="false" ht="14.5" hidden="false" customHeight="false" outlineLevel="0" collapsed="false">
      <c r="A4" s="0" t="s">
        <v>28</v>
      </c>
      <c r="B4" s="0" t="n">
        <v>463</v>
      </c>
      <c r="C4" s="0" t="s">
        <v>29</v>
      </c>
      <c r="D4" s="0" t="n">
        <v>38700</v>
      </c>
      <c r="E4" s="0" t="n">
        <v>375</v>
      </c>
      <c r="F4" s="0" t="e">
        <f aca="false">SUMIFS(#REF!,#REF!,'Activation map'!$B4)</f>
        <v>#VALUE!</v>
      </c>
      <c r="G4" s="0" t="e">
        <f aca="false">SUMIFS(#REF!,#REF!,'Activation map'!$B4)</f>
        <v>#VALUE!</v>
      </c>
      <c r="H4" s="0" t="e">
        <f aca="false">SUMIFS(#REF!,#REF!,'Activation map'!$B4)</f>
        <v>#VALUE!</v>
      </c>
      <c r="I4" s="0" t="e">
        <f aca="false">SUMIFS(#REF!,#REF!,'Activation map'!$B4)</f>
        <v>#VALUE!</v>
      </c>
      <c r="J4" s="0" t="e">
        <f aca="false">SUMIFS(#REF!,#REF!,'Activation map'!$B4)</f>
        <v>#VALUE!</v>
      </c>
      <c r="K4" s="0" t="e">
        <f aca="false">SUMIFS(#REF!,#REF!,'Activation map'!$B4)</f>
        <v>#VALUE!</v>
      </c>
      <c r="L4" s="0" t="e">
        <f aca="false">SUMIFS(#REF!,#REF!,'Activation map'!$B4)</f>
        <v>#VALUE!</v>
      </c>
      <c r="M4" s="0" t="e">
        <f aca="false">SUMIFS(#REF!,#REF!,'Activation map'!$B4)</f>
        <v>#VALUE!</v>
      </c>
      <c r="N4" s="0" t="e">
        <f aca="false">SUMIFS(#REF!,#REF!,'Activation map'!$B4)</f>
        <v>#VALUE!</v>
      </c>
      <c r="O4" s="0" t="e">
        <f aca="false">SUMIFS(#REF!,#REF!,'Activation map'!$B4)</f>
        <v>#VALUE!</v>
      </c>
      <c r="P4" s="0" t="e">
        <f aca="false">SUMIFS(#REF!,#REF!,'Activation map'!$B4)</f>
        <v>#VALUE!</v>
      </c>
      <c r="Q4" s="0" t="e">
        <f aca="false">SUMIFS(#REF!,#REF!,'Activation map'!$B4)</f>
        <v>#VALUE!</v>
      </c>
      <c r="R4" s="0" t="e">
        <f aca="false">SUMIFS(#REF!,#REF!,'Activation map'!$B4)</f>
        <v>#VALUE!</v>
      </c>
      <c r="S4" s="0" t="e">
        <f aca="false">SUMIFS(#REF!,#REF!,'Activation map'!$B4)</f>
        <v>#VALUE!</v>
      </c>
      <c r="T4" s="0" t="e">
        <f aca="false">SUMIFS(#REF!,#REF!,'Activation map'!$B4)</f>
        <v>#VALUE!</v>
      </c>
      <c r="U4" s="0" t="e">
        <f aca="false">SUMIFS(#REF!,#REF!,'Activation map'!$B4)</f>
        <v>#VALUE!</v>
      </c>
      <c r="V4" s="0" t="e">
        <f aca="false">SUMIFS(#REF!,#REF!,'Activation map'!$B4)</f>
        <v>#VALUE!</v>
      </c>
      <c r="X4" s="3" t="e">
        <f aca="false">_xlfn.T.TEST(F4:N4,O4:V4,2,2)</f>
        <v>#VALUE!</v>
      </c>
      <c r="Y4" s="0" t="e">
        <f aca="false">AVERAGE(F4:N4)</f>
        <v>#VALUE!</v>
      </c>
      <c r="Z4" s="0" t="e">
        <f aca="false">AVERAGE(O4:V4)</f>
        <v>#VALUE!</v>
      </c>
    </row>
    <row r="5" customFormat="false" ht="14.5" hidden="false" customHeight="false" outlineLevel="0" collapsed="false">
      <c r="A5" s="0" t="s">
        <v>30</v>
      </c>
      <c r="C5" s="0" t="s">
        <v>31</v>
      </c>
      <c r="E5" s="0" t="n">
        <v>726</v>
      </c>
      <c r="F5" s="0" t="e">
        <f aca="false">SUMPRODUCT(SUMIFS(#REF!,#REF!,$B16:$B18))</f>
        <v>#VALUE!</v>
      </c>
      <c r="G5" s="0" t="e">
        <f aca="false">SUMPRODUCT(SUMIFS(#REF!,#REF!,$B16:$B18))</f>
        <v>#VALUE!</v>
      </c>
      <c r="H5" s="0" t="e">
        <f aca="false">SUMPRODUCT(SUMIFS(#REF!,#REF!,$B16:$B18))</f>
        <v>#VALUE!</v>
      </c>
      <c r="I5" s="0" t="e">
        <f aca="false">SUMPRODUCT(SUMIFS(#REF!,#REF!,$B16:$B18))</f>
        <v>#VALUE!</v>
      </c>
      <c r="J5" s="0" t="e">
        <f aca="false">SUMPRODUCT(SUMIFS(#REF!,#REF!,$B16:$B18))</f>
        <v>#VALUE!</v>
      </c>
      <c r="K5" s="0" t="e">
        <f aca="false">SUMPRODUCT(SUMIFS(#REF!,#REF!,$B16:$B18))</f>
        <v>#VALUE!</v>
      </c>
      <c r="L5" s="0" t="e">
        <f aca="false">SUMPRODUCT(SUMIFS(#REF!,#REF!,$B16:$B18))</f>
        <v>#VALUE!</v>
      </c>
      <c r="M5" s="0" t="e">
        <f aca="false">SUMPRODUCT(SUMIFS(#REF!,#REF!,$B16:$B18))</f>
        <v>#VALUE!</v>
      </c>
      <c r="N5" s="0" t="e">
        <f aca="false">SUMPRODUCT(SUMIFS(#REF!,#REF!,$B16:$B18))</f>
        <v>#VALUE!</v>
      </c>
      <c r="O5" s="0" t="e">
        <f aca="false">SUMPRODUCT(SUMIFS(#REF!,#REF!,$B16:$B18))</f>
        <v>#VALUE!</v>
      </c>
      <c r="P5" s="0" t="e">
        <f aca="false">SUMPRODUCT(SUMIFS(#REF!,#REF!,$B16:$B18))</f>
        <v>#VALUE!</v>
      </c>
      <c r="Q5" s="0" t="e">
        <f aca="false">SUMPRODUCT(SUMIFS(#REF!,#REF!,$B16:$B18))</f>
        <v>#VALUE!</v>
      </c>
      <c r="R5" s="0" t="e">
        <f aca="false">SUMPRODUCT(SUMIFS(#REF!,#REF!,$B16:$B18))</f>
        <v>#VALUE!</v>
      </c>
      <c r="S5" s="0" t="e">
        <f aca="false">SUMPRODUCT(SUMIFS(#REF!,#REF!,$B16:$B18))</f>
        <v>#VALUE!</v>
      </c>
      <c r="T5" s="0" t="e">
        <f aca="false">SUMPRODUCT(SUMIFS(#REF!,#REF!,$B16:$B18))</f>
        <v>#VALUE!</v>
      </c>
      <c r="U5" s="0" t="e">
        <f aca="false">SUMPRODUCT(SUMIFS(#REF!,#REF!,$B16:$B18))</f>
        <v>#VALUE!</v>
      </c>
      <c r="V5" s="0" t="e">
        <f aca="false">SUMPRODUCT(SUMIFS(#REF!,#REF!,$B16:$B18))</f>
        <v>#VALUE!</v>
      </c>
      <c r="X5" s="3" t="e">
        <f aca="false">_xlfn.T.TEST(F5:N5,O5:V5,2,2)</f>
        <v>#VALUE!</v>
      </c>
      <c r="Y5" s="0" t="e">
        <f aca="false">AVERAGE(F5:N5)</f>
        <v>#VALUE!</v>
      </c>
      <c r="Z5" s="0" t="e">
        <f aca="false">AVERAGE(O5:V5)</f>
        <v>#VALUE!</v>
      </c>
    </row>
    <row r="6" customFormat="false" ht="14.5" hidden="false" customHeight="false" outlineLevel="0" collapsed="false">
      <c r="A6" s="0" t="s">
        <v>32</v>
      </c>
      <c r="B6" s="0" t="n">
        <v>2382</v>
      </c>
      <c r="C6" s="0" t="s">
        <v>33</v>
      </c>
      <c r="D6" s="0" t="n">
        <v>37700</v>
      </c>
      <c r="E6" s="0" t="n">
        <v>2375</v>
      </c>
      <c r="F6" s="0" t="e">
        <f aca="false">SUMIFS(#REF!,#REF!,'Activation map'!$B6)</f>
        <v>#VALUE!</v>
      </c>
      <c r="G6" s="0" t="e">
        <f aca="false">SUMIFS(#REF!,#REF!,'Activation map'!$B6)</f>
        <v>#VALUE!</v>
      </c>
      <c r="H6" s="0" t="e">
        <f aca="false">SUMIFS(#REF!,#REF!,'Activation map'!$B6)</f>
        <v>#VALUE!</v>
      </c>
      <c r="I6" s="0" t="e">
        <f aca="false">SUMIFS(#REF!,#REF!,'Activation map'!$B6)</f>
        <v>#VALUE!</v>
      </c>
      <c r="J6" s="0" t="e">
        <f aca="false">SUMIFS(#REF!,#REF!,'Activation map'!$B6)</f>
        <v>#VALUE!</v>
      </c>
      <c r="K6" s="0" t="e">
        <f aca="false">SUMIFS(#REF!,#REF!,'Activation map'!$B6)</f>
        <v>#VALUE!</v>
      </c>
      <c r="L6" s="0" t="e">
        <f aca="false">SUMIFS(#REF!,#REF!,'Activation map'!$B6)</f>
        <v>#VALUE!</v>
      </c>
      <c r="M6" s="0" t="e">
        <f aca="false">SUMIFS(#REF!,#REF!,'Activation map'!$B6)</f>
        <v>#VALUE!</v>
      </c>
      <c r="N6" s="0" t="e">
        <f aca="false">SUMIFS(#REF!,#REF!,'Activation map'!$B6)</f>
        <v>#VALUE!</v>
      </c>
      <c r="O6" s="0" t="e">
        <f aca="false">SUMIFS(#REF!,#REF!,'Activation map'!$B6)</f>
        <v>#VALUE!</v>
      </c>
      <c r="P6" s="0" t="e">
        <f aca="false">SUMIFS(#REF!,#REF!,'Activation map'!$B6)</f>
        <v>#VALUE!</v>
      </c>
      <c r="Q6" s="0" t="e">
        <f aca="false">SUMIFS(#REF!,#REF!,'Activation map'!$B6)</f>
        <v>#VALUE!</v>
      </c>
      <c r="R6" s="0" t="e">
        <f aca="false">SUMIFS(#REF!,#REF!,'Activation map'!$B6)</f>
        <v>#VALUE!</v>
      </c>
      <c r="S6" s="0" t="e">
        <f aca="false">SUMIFS(#REF!,#REF!,'Activation map'!$B6)</f>
        <v>#VALUE!</v>
      </c>
      <c r="T6" s="0" t="e">
        <f aca="false">SUMIFS(#REF!,#REF!,'Activation map'!$B6)</f>
        <v>#VALUE!</v>
      </c>
      <c r="U6" s="0" t="e">
        <f aca="false">SUMIFS(#REF!,#REF!,'Activation map'!$B6)</f>
        <v>#VALUE!</v>
      </c>
      <c r="V6" s="0" t="e">
        <f aca="false">SUMIFS(#REF!,#REF!,'Activation map'!$B6)</f>
        <v>#VALUE!</v>
      </c>
      <c r="X6" s="3" t="e">
        <f aca="false">_xlfn.T.TEST(F6:N6,O6:V6,2,2)</f>
        <v>#VALUE!</v>
      </c>
      <c r="Y6" s="0" t="e">
        <f aca="false">AVERAGE(F6:N6)</f>
        <v>#VALUE!</v>
      </c>
      <c r="Z6" s="0" t="e">
        <f aca="false">AVERAGE(O6:V6)</f>
        <v>#VALUE!</v>
      </c>
    </row>
    <row r="7" customFormat="false" ht="14.5" hidden="false" customHeight="false" outlineLevel="0" collapsed="false">
      <c r="A7" s="0" t="s">
        <v>34</v>
      </c>
      <c r="B7" s="0" t="n">
        <v>2463</v>
      </c>
      <c r="C7" s="0" t="s">
        <v>35</v>
      </c>
      <c r="D7" s="0" t="n">
        <v>38700</v>
      </c>
      <c r="E7" s="0" t="n">
        <v>2375</v>
      </c>
      <c r="F7" s="0" t="e">
        <f aca="false">SUMIFS(#REF!,#REF!,'Activation map'!$B7)</f>
        <v>#VALUE!</v>
      </c>
      <c r="G7" s="0" t="e">
        <f aca="false">SUMIFS(#REF!,#REF!,'Activation map'!$B7)</f>
        <v>#VALUE!</v>
      </c>
      <c r="H7" s="0" t="e">
        <f aca="false">SUMIFS(#REF!,#REF!,'Activation map'!$B7)</f>
        <v>#VALUE!</v>
      </c>
      <c r="I7" s="0" t="e">
        <f aca="false">SUMIFS(#REF!,#REF!,'Activation map'!$B7)</f>
        <v>#VALUE!</v>
      </c>
      <c r="J7" s="0" t="e">
        <f aca="false">SUMIFS(#REF!,#REF!,'Activation map'!$B7)</f>
        <v>#VALUE!</v>
      </c>
      <c r="K7" s="0" t="e">
        <f aca="false">SUMIFS(#REF!,#REF!,'Activation map'!$B7)</f>
        <v>#VALUE!</v>
      </c>
      <c r="L7" s="0" t="e">
        <f aca="false">SUMIFS(#REF!,#REF!,'Activation map'!$B7)</f>
        <v>#VALUE!</v>
      </c>
      <c r="M7" s="0" t="e">
        <f aca="false">SUMIFS(#REF!,#REF!,'Activation map'!$B7)</f>
        <v>#VALUE!</v>
      </c>
      <c r="N7" s="0" t="e">
        <f aca="false">SUMIFS(#REF!,#REF!,'Activation map'!$B7)</f>
        <v>#VALUE!</v>
      </c>
      <c r="O7" s="0" t="e">
        <f aca="false">SUMIFS(#REF!,#REF!,'Activation map'!$B7)</f>
        <v>#VALUE!</v>
      </c>
      <c r="P7" s="0" t="e">
        <f aca="false">SUMIFS(#REF!,#REF!,'Activation map'!$B7)</f>
        <v>#VALUE!</v>
      </c>
      <c r="Q7" s="0" t="e">
        <f aca="false">SUMIFS(#REF!,#REF!,'Activation map'!$B7)</f>
        <v>#VALUE!</v>
      </c>
      <c r="R7" s="0" t="e">
        <f aca="false">SUMIFS(#REF!,#REF!,'Activation map'!$B7)</f>
        <v>#VALUE!</v>
      </c>
      <c r="S7" s="0" t="e">
        <f aca="false">SUMIFS(#REF!,#REF!,'Activation map'!$B7)</f>
        <v>#VALUE!</v>
      </c>
      <c r="T7" s="0" t="e">
        <f aca="false">SUMIFS(#REF!,#REF!,'Activation map'!$B7)</f>
        <v>#VALUE!</v>
      </c>
      <c r="U7" s="0" t="e">
        <f aca="false">SUMIFS(#REF!,#REF!,'Activation map'!$B7)</f>
        <v>#VALUE!</v>
      </c>
      <c r="V7" s="0" t="e">
        <f aca="false">SUMIFS(#REF!,#REF!,'Activation map'!$B7)</f>
        <v>#VALUE!</v>
      </c>
      <c r="X7" s="3" t="e">
        <f aca="false">_xlfn.T.TEST(F7:N7,O7:V7,2,2)</f>
        <v>#VALUE!</v>
      </c>
      <c r="Y7" s="0" t="e">
        <f aca="false">AVERAGE(F7:N7)</f>
        <v>#VALUE!</v>
      </c>
      <c r="Z7" s="0" t="e">
        <f aca="false">AVERAGE(O7:V7)</f>
        <v>#VALUE!</v>
      </c>
    </row>
    <row r="8" customFormat="false" ht="14.5" hidden="false" customHeight="false" outlineLevel="0" collapsed="false">
      <c r="A8" s="0" t="s">
        <v>36</v>
      </c>
      <c r="C8" s="0" t="s">
        <v>37</v>
      </c>
      <c r="E8" s="0" t="n">
        <v>2726</v>
      </c>
      <c r="F8" s="0" t="e">
        <f aca="false">SUMPRODUCT(SUMIFS(#REF!,#REF!,$B19:$B21))</f>
        <v>#VALUE!</v>
      </c>
      <c r="G8" s="0" t="e">
        <f aca="false">SUMPRODUCT(SUMIFS(#REF!,#REF!,$B19:$B21))</f>
        <v>#VALUE!</v>
      </c>
      <c r="H8" s="0" t="e">
        <f aca="false">SUMPRODUCT(SUMIFS(#REF!,#REF!,$B19:$B21))</f>
        <v>#VALUE!</v>
      </c>
      <c r="I8" s="0" t="e">
        <f aca="false">SUMPRODUCT(SUMIFS(#REF!,#REF!,$B19:$B21))</f>
        <v>#VALUE!</v>
      </c>
      <c r="J8" s="0" t="e">
        <f aca="false">SUMPRODUCT(SUMIFS(#REF!,#REF!,$B19:$B21))</f>
        <v>#VALUE!</v>
      </c>
      <c r="K8" s="0" t="e">
        <f aca="false">SUMPRODUCT(SUMIFS(#REF!,#REF!,$B19:$B21))</f>
        <v>#VALUE!</v>
      </c>
      <c r="L8" s="0" t="e">
        <f aca="false">SUMPRODUCT(SUMIFS(#REF!,#REF!,$B19:$B21))</f>
        <v>#VALUE!</v>
      </c>
      <c r="M8" s="0" t="e">
        <f aca="false">SUMPRODUCT(SUMIFS(#REF!,#REF!,$B19:$B21))</f>
        <v>#VALUE!</v>
      </c>
      <c r="N8" s="0" t="e">
        <f aca="false">SUMPRODUCT(SUMIFS(#REF!,#REF!,$B19:$B21))</f>
        <v>#VALUE!</v>
      </c>
      <c r="O8" s="0" t="e">
        <f aca="false">SUMPRODUCT(SUMIFS(#REF!,#REF!,$B19:$B21))</f>
        <v>#VALUE!</v>
      </c>
      <c r="P8" s="0" t="e">
        <f aca="false">SUMPRODUCT(SUMIFS(#REF!,#REF!,$B19:$B21))</f>
        <v>#VALUE!</v>
      </c>
      <c r="Q8" s="0" t="e">
        <f aca="false">SUMPRODUCT(SUMIFS(#REF!,#REF!,$B19:$B21))</f>
        <v>#VALUE!</v>
      </c>
      <c r="R8" s="0" t="e">
        <f aca="false">SUMPRODUCT(SUMIFS(#REF!,#REF!,$B19:$B21))</f>
        <v>#VALUE!</v>
      </c>
      <c r="S8" s="0" t="e">
        <f aca="false">SUMPRODUCT(SUMIFS(#REF!,#REF!,$B19:$B21))</f>
        <v>#VALUE!</v>
      </c>
      <c r="T8" s="0" t="e">
        <f aca="false">SUMPRODUCT(SUMIFS(#REF!,#REF!,$B19:$B21))</f>
        <v>#VALUE!</v>
      </c>
      <c r="U8" s="0" t="e">
        <f aca="false">SUMPRODUCT(SUMIFS(#REF!,#REF!,$B19:$B21))</f>
        <v>#VALUE!</v>
      </c>
      <c r="V8" s="0" t="e">
        <f aca="false">SUMPRODUCT(SUMIFS(#REF!,#REF!,$B19:$B21))</f>
        <v>#VALUE!</v>
      </c>
      <c r="X8" s="3" t="e">
        <f aca="false">_xlfn.T.TEST(F8:N8,O8:V8,2,2)</f>
        <v>#VALUE!</v>
      </c>
      <c r="Y8" s="0" t="e">
        <f aca="false">AVERAGE(F8:N8)</f>
        <v>#VALUE!</v>
      </c>
      <c r="Z8" s="0" t="e">
        <f aca="false">AVERAGE(O8:V8)</f>
        <v>#VALUE!</v>
      </c>
    </row>
    <row r="9" customFormat="false" ht="14.5" hidden="false" customHeight="false" outlineLevel="0" collapsed="false">
      <c r="A9" s="0" t="s">
        <v>38</v>
      </c>
      <c r="C9" s="0" t="s">
        <v>39</v>
      </c>
      <c r="F9" s="0" t="e">
        <f aca="false">SUMPRODUCT(SUMIFS(#REF!,#REF!,$B22:$B38))</f>
        <v>#VALUE!</v>
      </c>
      <c r="G9" s="0" t="e">
        <f aca="false">SUMPRODUCT(SUMIFS(#REF!,#REF!,$B22:$B38))</f>
        <v>#VALUE!</v>
      </c>
      <c r="H9" s="0" t="e">
        <f aca="false">SUMPRODUCT(SUMIFS(#REF!,#REF!,$B22:$B38))</f>
        <v>#VALUE!</v>
      </c>
      <c r="I9" s="0" t="e">
        <f aca="false">SUMPRODUCT(SUMIFS(#REF!,#REF!,$B22:$B38))</f>
        <v>#VALUE!</v>
      </c>
      <c r="J9" s="0" t="e">
        <f aca="false">SUMPRODUCT(SUMIFS(#REF!,#REF!,$B22:$B38))</f>
        <v>#VALUE!</v>
      </c>
      <c r="K9" s="0" t="e">
        <f aca="false">SUMPRODUCT(SUMIFS(#REF!,#REF!,$B22:$B38))</f>
        <v>#VALUE!</v>
      </c>
      <c r="L9" s="0" t="e">
        <f aca="false">SUMPRODUCT(SUMIFS(#REF!,#REF!,$B22:$B38))</f>
        <v>#VALUE!</v>
      </c>
      <c r="M9" s="0" t="e">
        <f aca="false">SUMPRODUCT(SUMIFS(#REF!,#REF!,$B22:$B38))</f>
        <v>#VALUE!</v>
      </c>
      <c r="N9" s="0" t="e">
        <f aca="false">SUMPRODUCT(SUMIFS(#REF!,#REF!,$B22:$B38))</f>
        <v>#VALUE!</v>
      </c>
      <c r="O9" s="0" t="e">
        <f aca="false">SUMPRODUCT(SUMIFS(#REF!,#REF!,$B22:$B38))</f>
        <v>#VALUE!</v>
      </c>
      <c r="P9" s="0" t="e">
        <f aca="false">SUMPRODUCT(SUMIFS(#REF!,#REF!,$B22:$B38))</f>
        <v>#VALUE!</v>
      </c>
      <c r="Q9" s="0" t="e">
        <f aca="false">SUMPRODUCT(SUMIFS(#REF!,#REF!,$B22:$B38))</f>
        <v>#VALUE!</v>
      </c>
      <c r="R9" s="0" t="e">
        <f aca="false">SUMPRODUCT(SUMIFS(#REF!,#REF!,$B22:$B38))</f>
        <v>#VALUE!</v>
      </c>
      <c r="S9" s="0" t="e">
        <f aca="false">SUMPRODUCT(SUMIFS(#REF!,#REF!,$B22:$B38))</f>
        <v>#VALUE!</v>
      </c>
      <c r="T9" s="0" t="e">
        <f aca="false">SUMPRODUCT(SUMIFS(#REF!,#REF!,$B22:$B38))</f>
        <v>#VALUE!</v>
      </c>
      <c r="U9" s="0" t="e">
        <f aca="false">SUMPRODUCT(SUMIFS(#REF!,#REF!,$B22:$B38))</f>
        <v>#VALUE!</v>
      </c>
      <c r="V9" s="0" t="e">
        <f aca="false">SUMPRODUCT(SUMIFS(#REF!,#REF!,$B22:$B38))</f>
        <v>#VALUE!</v>
      </c>
      <c r="X9" s="3" t="e">
        <f aca="false">_xlfn.T.TEST(F9:N9,O9:V9,2,2)</f>
        <v>#VALUE!</v>
      </c>
      <c r="Y9" s="0" t="e">
        <f aca="false">AVERAGE(F9:N9)</f>
        <v>#VALUE!</v>
      </c>
      <c r="Z9" s="0" t="e">
        <f aca="false">AVERAGE(O9:V9)</f>
        <v>#VALUE!</v>
      </c>
    </row>
    <row r="10" customFormat="false" ht="14.5" hidden="false" customHeight="false" outlineLevel="0" collapsed="false">
      <c r="A10" s="0" t="s">
        <v>40</v>
      </c>
      <c r="C10" s="0" t="s">
        <v>41</v>
      </c>
      <c r="F10" s="0" t="e">
        <f aca="false">SUMPRODUCT(SUMIFS(#REF!,#REF!,$B39:$B48))</f>
        <v>#VALUE!</v>
      </c>
      <c r="G10" s="0" t="e">
        <f aca="false">SUMPRODUCT(SUMIFS(#REF!,#REF!,$B39:$B48))</f>
        <v>#VALUE!</v>
      </c>
      <c r="H10" s="0" t="e">
        <f aca="false">SUMPRODUCT(SUMIFS(#REF!,#REF!,$B39:$B48))</f>
        <v>#VALUE!</v>
      </c>
      <c r="I10" s="0" t="e">
        <f aca="false">SUMPRODUCT(SUMIFS(#REF!,#REF!,$B39:$B48))</f>
        <v>#VALUE!</v>
      </c>
      <c r="J10" s="0" t="e">
        <f aca="false">SUMPRODUCT(SUMIFS(#REF!,#REF!,$B39:$B48))</f>
        <v>#VALUE!</v>
      </c>
      <c r="K10" s="0" t="e">
        <f aca="false">SUMPRODUCT(SUMIFS(#REF!,#REF!,$B39:$B48))</f>
        <v>#VALUE!</v>
      </c>
      <c r="L10" s="0" t="e">
        <f aca="false">SUMPRODUCT(SUMIFS(#REF!,#REF!,$B39:$B48))</f>
        <v>#VALUE!</v>
      </c>
      <c r="M10" s="0" t="e">
        <f aca="false">SUMPRODUCT(SUMIFS(#REF!,#REF!,$B39:$B48))</f>
        <v>#VALUE!</v>
      </c>
      <c r="N10" s="0" t="e">
        <f aca="false">SUMPRODUCT(SUMIFS(#REF!,#REF!,$B39:$B48))</f>
        <v>#VALUE!</v>
      </c>
      <c r="O10" s="0" t="e">
        <f aca="false">SUMPRODUCT(SUMIFS(#REF!,#REF!,$B39:$B48))</f>
        <v>#VALUE!</v>
      </c>
      <c r="P10" s="0" t="e">
        <f aca="false">SUMPRODUCT(SUMIFS(#REF!,#REF!,$B39:$B48))</f>
        <v>#VALUE!</v>
      </c>
      <c r="Q10" s="0" t="e">
        <f aca="false">SUMPRODUCT(SUMIFS(#REF!,#REF!,$B39:$B48))</f>
        <v>#VALUE!</v>
      </c>
      <c r="R10" s="0" t="e">
        <f aca="false">SUMPRODUCT(SUMIFS(#REF!,#REF!,$B39:$B48))</f>
        <v>#VALUE!</v>
      </c>
      <c r="S10" s="0" t="e">
        <f aca="false">SUMPRODUCT(SUMIFS(#REF!,#REF!,$B39:$B48))</f>
        <v>#VALUE!</v>
      </c>
      <c r="T10" s="0" t="e">
        <f aca="false">SUMPRODUCT(SUMIFS(#REF!,#REF!,$B39:$B48))</f>
        <v>#VALUE!</v>
      </c>
      <c r="U10" s="0" t="e">
        <f aca="false">SUMPRODUCT(SUMIFS(#REF!,#REF!,$B39:$B48))</f>
        <v>#VALUE!</v>
      </c>
      <c r="V10" s="0" t="e">
        <f aca="false">SUMPRODUCT(SUMIFS(#REF!,#REF!,$B39:$B48))</f>
        <v>#VALUE!</v>
      </c>
      <c r="X10" s="3" t="e">
        <f aca="false">_xlfn.T.TEST(F10:N10,O10:V10,2,2)</f>
        <v>#VALUE!</v>
      </c>
      <c r="Y10" s="0" t="e">
        <f aca="false">AVERAGE(F10:N10)</f>
        <v>#VALUE!</v>
      </c>
      <c r="Z10" s="0" t="e">
        <f aca="false">AVERAGE(O10:V10)</f>
        <v>#VALUE!</v>
      </c>
    </row>
    <row r="11" customFormat="false" ht="14.5" hidden="false" customHeight="false" outlineLevel="0" collapsed="false">
      <c r="A11" s="0" t="s">
        <v>42</v>
      </c>
      <c r="C11" s="0" t="s">
        <v>43</v>
      </c>
      <c r="E11" s="0" t="n">
        <v>972</v>
      </c>
      <c r="F11" s="0" t="e">
        <f aca="false">SUMPRODUCT(SUMIFS(#REF!,#REF!,$B49:$B53))</f>
        <v>#VALUE!</v>
      </c>
      <c r="G11" s="0" t="e">
        <f aca="false">SUMPRODUCT(SUMIFS(#REF!,#REF!,$B49:$B53))</f>
        <v>#VALUE!</v>
      </c>
      <c r="H11" s="0" t="e">
        <f aca="false">SUMPRODUCT(SUMIFS(#REF!,#REF!,$B49:$B53))</f>
        <v>#VALUE!</v>
      </c>
      <c r="I11" s="0" t="e">
        <f aca="false">SUMPRODUCT(SUMIFS(#REF!,#REF!,$B49:$B53))</f>
        <v>#VALUE!</v>
      </c>
      <c r="J11" s="0" t="e">
        <f aca="false">SUMPRODUCT(SUMIFS(#REF!,#REF!,$B49:$B53))</f>
        <v>#VALUE!</v>
      </c>
      <c r="K11" s="0" t="e">
        <f aca="false">SUMPRODUCT(SUMIFS(#REF!,#REF!,$B49:$B53))</f>
        <v>#VALUE!</v>
      </c>
      <c r="L11" s="0" t="e">
        <f aca="false">SUMPRODUCT(SUMIFS(#REF!,#REF!,$B49:$B53))</f>
        <v>#VALUE!</v>
      </c>
      <c r="M11" s="0" t="e">
        <f aca="false">SUMPRODUCT(SUMIFS(#REF!,#REF!,$B49:$B53))</f>
        <v>#VALUE!</v>
      </c>
      <c r="N11" s="0" t="e">
        <f aca="false">SUMPRODUCT(SUMIFS(#REF!,#REF!,$B49:$B53))</f>
        <v>#VALUE!</v>
      </c>
      <c r="O11" s="0" t="e">
        <f aca="false">SUMPRODUCT(SUMIFS(#REF!,#REF!,$B49:$B53))</f>
        <v>#VALUE!</v>
      </c>
      <c r="P11" s="0" t="e">
        <f aca="false">SUMPRODUCT(SUMIFS(#REF!,#REF!,$B49:$B53))</f>
        <v>#VALUE!</v>
      </c>
      <c r="Q11" s="0" t="e">
        <f aca="false">SUMPRODUCT(SUMIFS(#REF!,#REF!,$B49:$B53))</f>
        <v>#VALUE!</v>
      </c>
      <c r="R11" s="0" t="e">
        <f aca="false">SUMPRODUCT(SUMIFS(#REF!,#REF!,$B49:$B53))</f>
        <v>#VALUE!</v>
      </c>
      <c r="S11" s="0" t="e">
        <f aca="false">SUMPRODUCT(SUMIFS(#REF!,#REF!,$B49:$B53))</f>
        <v>#VALUE!</v>
      </c>
      <c r="T11" s="0" t="e">
        <f aca="false">SUMPRODUCT(SUMIFS(#REF!,#REF!,$B49:$B53))</f>
        <v>#VALUE!</v>
      </c>
      <c r="U11" s="0" t="e">
        <f aca="false">SUMPRODUCT(SUMIFS(#REF!,#REF!,$B49:$B53))</f>
        <v>#VALUE!</v>
      </c>
      <c r="V11" s="0" t="e">
        <f aca="false">SUMPRODUCT(SUMIFS(#REF!,#REF!,$B49:$B53))</f>
        <v>#VALUE!</v>
      </c>
      <c r="X11" s="3" t="e">
        <f aca="false">_xlfn.T.TEST(F11:N11,O11:V11,2,2)</f>
        <v>#VALUE!</v>
      </c>
      <c r="Y11" s="0" t="e">
        <f aca="false">AVERAGE(F11:N11)</f>
        <v>#VALUE!</v>
      </c>
      <c r="Z11" s="0" t="e">
        <f aca="false">AVERAGE(O11:V11)</f>
        <v>#VALUE!</v>
      </c>
    </row>
    <row r="12" customFormat="false" ht="14.5" hidden="false" customHeight="false" outlineLevel="0" collapsed="false">
      <c r="A12" s="0" t="s">
        <v>44</v>
      </c>
      <c r="C12" s="0" t="s">
        <v>45</v>
      </c>
      <c r="E12" s="0" t="n">
        <v>44</v>
      </c>
      <c r="F12" s="0" t="e">
        <f aca="false">SUMPRODUCT(SUMIFS(#REF!,#REF!,$B54:$B58))</f>
        <v>#VALUE!</v>
      </c>
      <c r="G12" s="0" t="e">
        <f aca="false">SUMPRODUCT(SUMIFS(#REF!,#REF!,$B54:$B58))</f>
        <v>#VALUE!</v>
      </c>
      <c r="H12" s="0" t="e">
        <f aca="false">SUMPRODUCT(SUMIFS(#REF!,#REF!,$B54:$B58))</f>
        <v>#VALUE!</v>
      </c>
      <c r="I12" s="0" t="e">
        <f aca="false">SUMPRODUCT(SUMIFS(#REF!,#REF!,$B54:$B58))</f>
        <v>#VALUE!</v>
      </c>
      <c r="J12" s="0" t="e">
        <f aca="false">SUMPRODUCT(SUMIFS(#REF!,#REF!,$B54:$B58))</f>
        <v>#VALUE!</v>
      </c>
      <c r="K12" s="0" t="e">
        <f aca="false">SUMPRODUCT(SUMIFS(#REF!,#REF!,$B54:$B58))</f>
        <v>#VALUE!</v>
      </c>
      <c r="L12" s="0" t="e">
        <f aca="false">SUMPRODUCT(SUMIFS(#REF!,#REF!,$B54:$B58))</f>
        <v>#VALUE!</v>
      </c>
      <c r="M12" s="0" t="e">
        <f aca="false">SUMPRODUCT(SUMIFS(#REF!,#REF!,$B54:$B58))</f>
        <v>#VALUE!</v>
      </c>
      <c r="N12" s="0" t="e">
        <f aca="false">SUMPRODUCT(SUMIFS(#REF!,#REF!,$B54:$B58))</f>
        <v>#VALUE!</v>
      </c>
      <c r="O12" s="0" t="e">
        <f aca="false">SUMPRODUCT(SUMIFS(#REF!,#REF!,$B54:$B58))</f>
        <v>#VALUE!</v>
      </c>
      <c r="P12" s="0" t="e">
        <f aca="false">SUMPRODUCT(SUMIFS(#REF!,#REF!,$B54:$B58))</f>
        <v>#VALUE!</v>
      </c>
      <c r="Q12" s="0" t="e">
        <f aca="false">SUMPRODUCT(SUMIFS(#REF!,#REF!,$B54:$B58))</f>
        <v>#VALUE!</v>
      </c>
      <c r="R12" s="0" t="e">
        <f aca="false">SUMPRODUCT(SUMIFS(#REF!,#REF!,$B54:$B58))</f>
        <v>#VALUE!</v>
      </c>
      <c r="S12" s="0" t="e">
        <f aca="false">SUMPRODUCT(SUMIFS(#REF!,#REF!,$B54:$B58))</f>
        <v>#VALUE!</v>
      </c>
      <c r="T12" s="0" t="e">
        <f aca="false">SUMPRODUCT(SUMIFS(#REF!,#REF!,$B54:$B58))</f>
        <v>#VALUE!</v>
      </c>
      <c r="U12" s="0" t="e">
        <f aca="false">SUMPRODUCT(SUMIFS(#REF!,#REF!,$B54:$B58))</f>
        <v>#VALUE!</v>
      </c>
      <c r="V12" s="0" t="e">
        <f aca="false">SUMPRODUCT(SUMIFS(#REF!,#REF!,$B54:$B58))</f>
        <v>#VALUE!</v>
      </c>
      <c r="X12" s="3" t="e">
        <f aca="false">_xlfn.T.TEST(F12:N12,O12:V12,2,2)</f>
        <v>#VALUE!</v>
      </c>
      <c r="Y12" s="0" t="e">
        <f aca="false">AVERAGE(F12:N12)</f>
        <v>#VALUE!</v>
      </c>
      <c r="Z12" s="0" t="e">
        <f aca="false">AVERAGE(O12:V12)</f>
        <v>#VALUE!</v>
      </c>
    </row>
    <row r="13" customFormat="false" ht="14.5" hidden="false" customHeight="false" outlineLevel="0" collapsed="false">
      <c r="A13" s="0" t="s">
        <v>46</v>
      </c>
      <c r="B13" s="0" t="n">
        <v>536</v>
      </c>
      <c r="C13" s="0" t="s">
        <v>47</v>
      </c>
      <c r="D13" s="0" t="n">
        <v>50300</v>
      </c>
      <c r="E13" s="0" t="n">
        <v>278</v>
      </c>
      <c r="F13" s="0" t="e">
        <f aca="false">SUMIFS(#REF!,#REF!,'Activation map'!$B13)</f>
        <v>#VALUE!</v>
      </c>
      <c r="G13" s="0" t="e">
        <f aca="false">SUMIFS(#REF!,#REF!,'Activation map'!$B13)</f>
        <v>#VALUE!</v>
      </c>
      <c r="H13" s="0" t="e">
        <f aca="false">SUMIFS(#REF!,#REF!,'Activation map'!$B13)</f>
        <v>#VALUE!</v>
      </c>
      <c r="I13" s="0" t="e">
        <f aca="false">SUMIFS(#REF!,#REF!,'Activation map'!$B13)</f>
        <v>#VALUE!</v>
      </c>
      <c r="J13" s="0" t="e">
        <f aca="false">SUMIFS(#REF!,#REF!,'Activation map'!$B13)</f>
        <v>#VALUE!</v>
      </c>
      <c r="K13" s="0" t="e">
        <f aca="false">SUMIFS(#REF!,#REF!,'Activation map'!$B13)</f>
        <v>#VALUE!</v>
      </c>
      <c r="L13" s="0" t="e">
        <f aca="false">SUMIFS(#REF!,#REF!,'Activation map'!$B13)</f>
        <v>#VALUE!</v>
      </c>
      <c r="M13" s="0" t="e">
        <f aca="false">SUMIFS(#REF!,#REF!,'Activation map'!$B13)</f>
        <v>#VALUE!</v>
      </c>
      <c r="N13" s="0" t="e">
        <f aca="false">SUMIFS(#REF!,#REF!,'Activation map'!$B13)</f>
        <v>#VALUE!</v>
      </c>
      <c r="O13" s="0" t="e">
        <f aca="false">SUMIFS(#REF!,#REF!,'Activation map'!$B13)</f>
        <v>#VALUE!</v>
      </c>
      <c r="P13" s="0" t="e">
        <f aca="false">SUMIFS(#REF!,#REF!,'Activation map'!$B13)</f>
        <v>#VALUE!</v>
      </c>
      <c r="Q13" s="0" t="e">
        <f aca="false">SUMIFS(#REF!,#REF!,'Activation map'!$B13)</f>
        <v>#VALUE!</v>
      </c>
      <c r="R13" s="0" t="e">
        <f aca="false">SUMIFS(#REF!,#REF!,'Activation map'!$B13)</f>
        <v>#VALUE!</v>
      </c>
      <c r="S13" s="0" t="e">
        <f aca="false">SUMIFS(#REF!,#REF!,'Activation map'!$B13)</f>
        <v>#VALUE!</v>
      </c>
      <c r="T13" s="0" t="e">
        <f aca="false">SUMIFS(#REF!,#REF!,'Activation map'!$B13)</f>
        <v>#VALUE!</v>
      </c>
      <c r="U13" s="0" t="e">
        <f aca="false">SUMIFS(#REF!,#REF!,'Activation map'!$B13)</f>
        <v>#VALUE!</v>
      </c>
      <c r="V13" s="0" t="e">
        <f aca="false">SUMIFS(#REF!,#REF!,'Activation map'!$B13)</f>
        <v>#VALUE!</v>
      </c>
      <c r="X13" s="3" t="e">
        <f aca="false">_xlfn.T.TEST(F13:N13,O13:V13,2,2)</f>
        <v>#VALUE!</v>
      </c>
      <c r="Y13" s="0" t="e">
        <f aca="false">AVERAGE(F13:N13)</f>
        <v>#VALUE!</v>
      </c>
      <c r="Z13" s="0" t="e">
        <f aca="false">AVERAGE(O13:V13)</f>
        <v>#VALUE!</v>
      </c>
    </row>
    <row r="14" customFormat="false" ht="14.5" hidden="false" customHeight="false" outlineLevel="0" collapsed="false">
      <c r="A14" s="0" t="s">
        <v>48</v>
      </c>
      <c r="C14" s="0" t="s">
        <v>49</v>
      </c>
      <c r="E14" s="0" t="n">
        <v>295</v>
      </c>
      <c r="F14" s="0" t="e">
        <f aca="false">SUMPRODUCT(SUMIFS(#REF!,#REF!,$B59:$B61))</f>
        <v>#VALUE!</v>
      </c>
      <c r="G14" s="0" t="e">
        <f aca="false">SUMPRODUCT(SUMIFS(#REF!,#REF!,$B59:$B61))</f>
        <v>#VALUE!</v>
      </c>
      <c r="H14" s="0" t="e">
        <f aca="false">SUMPRODUCT(SUMIFS(#REF!,#REF!,$B59:$B61))</f>
        <v>#VALUE!</v>
      </c>
      <c r="I14" s="0" t="e">
        <f aca="false">SUMPRODUCT(SUMIFS(#REF!,#REF!,$B59:$B61))</f>
        <v>#VALUE!</v>
      </c>
      <c r="J14" s="0" t="e">
        <f aca="false">SUMPRODUCT(SUMIFS(#REF!,#REF!,$B59:$B61))</f>
        <v>#VALUE!</v>
      </c>
      <c r="K14" s="0" t="e">
        <f aca="false">SUMPRODUCT(SUMIFS(#REF!,#REF!,$B59:$B61))</f>
        <v>#VALUE!</v>
      </c>
      <c r="L14" s="0" t="e">
        <f aca="false">SUMPRODUCT(SUMIFS(#REF!,#REF!,$B59:$B61))</f>
        <v>#VALUE!</v>
      </c>
      <c r="M14" s="0" t="e">
        <f aca="false">SUMPRODUCT(SUMIFS(#REF!,#REF!,$B59:$B61))</f>
        <v>#VALUE!</v>
      </c>
      <c r="N14" s="0" t="e">
        <f aca="false">SUMPRODUCT(SUMIFS(#REF!,#REF!,$B59:$B61))</f>
        <v>#VALUE!</v>
      </c>
      <c r="O14" s="0" t="e">
        <f aca="false">SUMPRODUCT(SUMIFS(#REF!,#REF!,$B59:$B61))</f>
        <v>#VALUE!</v>
      </c>
      <c r="P14" s="0" t="e">
        <f aca="false">SUMPRODUCT(SUMIFS(#REF!,#REF!,$B59:$B61))</f>
        <v>#VALUE!</v>
      </c>
      <c r="Q14" s="0" t="e">
        <f aca="false">SUMPRODUCT(SUMIFS(#REF!,#REF!,$B59:$B61))</f>
        <v>#VALUE!</v>
      </c>
      <c r="R14" s="0" t="e">
        <f aca="false">SUMPRODUCT(SUMIFS(#REF!,#REF!,$B59:$B61))</f>
        <v>#VALUE!</v>
      </c>
      <c r="S14" s="0" t="e">
        <f aca="false">SUMPRODUCT(SUMIFS(#REF!,#REF!,$B59:$B61))</f>
        <v>#VALUE!</v>
      </c>
      <c r="T14" s="0" t="e">
        <f aca="false">SUMPRODUCT(SUMIFS(#REF!,#REF!,$B59:$B61))</f>
        <v>#VALUE!</v>
      </c>
      <c r="U14" s="0" t="e">
        <f aca="false">SUMPRODUCT(SUMIFS(#REF!,#REF!,$B59:$B61))</f>
        <v>#VALUE!</v>
      </c>
      <c r="V14" s="0" t="e">
        <f aca="false">SUMPRODUCT(SUMIFS(#REF!,#REF!,$B59:$B61))</f>
        <v>#VALUE!</v>
      </c>
      <c r="X14" s="3" t="e">
        <f aca="false">_xlfn.T.TEST(F14:N14,O14:V14,2,2)</f>
        <v>#VALUE!</v>
      </c>
      <c r="Y14" s="0" t="e">
        <f aca="false">AVERAGE(F14:N14)</f>
        <v>#VALUE!</v>
      </c>
      <c r="Z14" s="0" t="e">
        <f aca="false">AVERAGE(O14:V14)</f>
        <v>#VALUE!</v>
      </c>
    </row>
    <row r="16" customFormat="false" ht="14.5" hidden="false" customHeight="false" outlineLevel="0" collapsed="false">
      <c r="B16" s="0" t="n">
        <v>632</v>
      </c>
      <c r="C16" s="0" t="s">
        <v>50</v>
      </c>
      <c r="D16" s="0" t="n">
        <v>39600</v>
      </c>
      <c r="E16" s="0" t="n">
        <v>726</v>
      </c>
    </row>
    <row r="17" customFormat="false" ht="14.5" hidden="false" customHeight="false" outlineLevel="0" collapsed="false">
      <c r="B17" s="0" t="n">
        <v>10703</v>
      </c>
      <c r="C17" s="0" t="s">
        <v>51</v>
      </c>
      <c r="D17" s="0" t="n">
        <v>39400</v>
      </c>
      <c r="E17" s="0" t="n">
        <v>726</v>
      </c>
    </row>
    <row r="18" customFormat="false" ht="14.5" hidden="false" customHeight="false" outlineLevel="0" collapsed="false">
      <c r="B18" s="0" t="n">
        <v>10704</v>
      </c>
      <c r="C18" s="0" t="s">
        <v>52</v>
      </c>
      <c r="D18" s="0" t="n">
        <v>39500</v>
      </c>
      <c r="E18" s="0" t="n">
        <v>726</v>
      </c>
    </row>
    <row r="19" customFormat="false" ht="14.5" hidden="false" customHeight="false" outlineLevel="0" collapsed="false">
      <c r="B19" s="0" t="n">
        <v>2632</v>
      </c>
      <c r="C19" s="0" t="s">
        <v>53</v>
      </c>
      <c r="D19" s="0" t="n">
        <v>39600</v>
      </c>
      <c r="E19" s="0" t="n">
        <v>2726</v>
      </c>
    </row>
    <row r="20" customFormat="false" ht="14.5" hidden="false" customHeight="false" outlineLevel="0" collapsed="false">
      <c r="B20" s="0" t="n">
        <v>12703</v>
      </c>
      <c r="C20" s="0" t="s">
        <v>51</v>
      </c>
      <c r="D20" s="0" t="n">
        <v>39400</v>
      </c>
      <c r="E20" s="0" t="n">
        <v>2726</v>
      </c>
    </row>
    <row r="21" customFormat="false" ht="14.5" hidden="false" customHeight="false" outlineLevel="0" collapsed="false">
      <c r="B21" s="0" t="n">
        <v>12704</v>
      </c>
      <c r="C21" s="0" t="s">
        <v>54</v>
      </c>
      <c r="D21" s="0" t="n">
        <v>39700</v>
      </c>
      <c r="E21" s="0" t="n">
        <v>2726</v>
      </c>
    </row>
    <row r="22" customFormat="false" ht="14.5" hidden="false" customHeight="false" outlineLevel="0" collapsed="false">
      <c r="B22" s="0" t="n">
        <v>894</v>
      </c>
      <c r="C22" s="0" t="s">
        <v>55</v>
      </c>
      <c r="D22" s="0" t="n">
        <v>25300</v>
      </c>
      <c r="E22" s="0" t="n">
        <v>254</v>
      </c>
    </row>
    <row r="23" customFormat="false" ht="14.5" hidden="false" customHeight="false" outlineLevel="0" collapsed="false">
      <c r="B23" s="0" t="n">
        <v>274</v>
      </c>
      <c r="C23" s="0" t="s">
        <v>56</v>
      </c>
      <c r="D23" s="0" t="n">
        <v>26400</v>
      </c>
      <c r="E23" s="0" t="n">
        <v>879</v>
      </c>
    </row>
    <row r="24" customFormat="false" ht="14.5" hidden="false" customHeight="false" outlineLevel="0" collapsed="false">
      <c r="B24" s="0" t="n">
        <v>330</v>
      </c>
      <c r="C24" s="0" t="s">
        <v>57</v>
      </c>
      <c r="D24" s="0" t="n">
        <v>26500</v>
      </c>
      <c r="E24" s="0" t="n">
        <v>879</v>
      </c>
    </row>
    <row r="25" customFormat="false" ht="14.5" hidden="false" customHeight="false" outlineLevel="0" collapsed="false">
      <c r="B25" s="0" t="n">
        <v>434</v>
      </c>
      <c r="C25" s="0" t="s">
        <v>58</v>
      </c>
      <c r="D25" s="0" t="n">
        <v>26100</v>
      </c>
      <c r="E25" s="0" t="n">
        <v>879</v>
      </c>
    </row>
    <row r="26" customFormat="false" ht="14.5" hidden="false" customHeight="false" outlineLevel="0" collapsed="false">
      <c r="B26" s="0" t="n">
        <v>442</v>
      </c>
      <c r="C26" s="0" t="s">
        <v>59</v>
      </c>
      <c r="D26" s="0" t="n">
        <v>26000</v>
      </c>
      <c r="E26" s="0" t="n">
        <v>879</v>
      </c>
    </row>
    <row r="27" customFormat="false" ht="14.5" hidden="false" customHeight="false" outlineLevel="0" collapsed="false">
      <c r="B27" s="0" t="n">
        <v>545</v>
      </c>
      <c r="C27" s="0" t="s">
        <v>60</v>
      </c>
      <c r="D27" s="0" t="n">
        <v>26200</v>
      </c>
      <c r="E27" s="0" t="n">
        <v>879</v>
      </c>
    </row>
    <row r="28" customFormat="false" ht="14.5" hidden="false" customHeight="false" outlineLevel="0" collapsed="false">
      <c r="B28" s="0" t="n">
        <v>610</v>
      </c>
      <c r="C28" s="0" t="s">
        <v>61</v>
      </c>
      <c r="D28" s="0" t="n">
        <v>26300</v>
      </c>
      <c r="E28" s="0" t="n">
        <v>879</v>
      </c>
    </row>
    <row r="29" customFormat="false" ht="14.5" hidden="false" customHeight="false" outlineLevel="0" collapsed="false">
      <c r="B29" s="0" t="n">
        <v>430</v>
      </c>
      <c r="C29" s="0" t="s">
        <v>62</v>
      </c>
      <c r="D29" s="0" t="n">
        <v>26900</v>
      </c>
      <c r="E29" s="0" t="n">
        <v>886</v>
      </c>
    </row>
    <row r="30" customFormat="false" ht="14.5" hidden="false" customHeight="false" outlineLevel="0" collapsed="false">
      <c r="B30" s="0" t="n">
        <v>542</v>
      </c>
      <c r="C30" s="0" t="s">
        <v>63</v>
      </c>
      <c r="D30" s="0" t="n">
        <v>26700</v>
      </c>
      <c r="E30" s="0" t="n">
        <v>886</v>
      </c>
    </row>
    <row r="31" customFormat="false" ht="14.5" hidden="false" customHeight="false" outlineLevel="0" collapsed="false">
      <c r="B31" s="0" t="n">
        <v>590</v>
      </c>
      <c r="C31" s="0" t="s">
        <v>64</v>
      </c>
      <c r="D31" s="0" t="n">
        <v>27100</v>
      </c>
      <c r="E31" s="0" t="n">
        <v>886</v>
      </c>
    </row>
    <row r="32" customFormat="false" ht="14.5" hidden="false" customHeight="false" outlineLevel="0" collapsed="false">
      <c r="B32" s="0" t="n">
        <v>622</v>
      </c>
      <c r="C32" s="0" t="s">
        <v>65</v>
      </c>
      <c r="D32" s="0" t="n">
        <v>27200</v>
      </c>
      <c r="E32" s="0" t="n">
        <v>886</v>
      </c>
    </row>
    <row r="33" customFormat="false" ht="14.5" hidden="false" customHeight="false" outlineLevel="0" collapsed="false">
      <c r="B33" s="0" t="n">
        <v>687</v>
      </c>
      <c r="C33" s="0" t="s">
        <v>66</v>
      </c>
      <c r="D33" s="0" t="n">
        <v>27000</v>
      </c>
      <c r="E33" s="0" t="n">
        <v>886</v>
      </c>
    </row>
    <row r="34" customFormat="false" ht="14.5" hidden="false" customHeight="false" outlineLevel="0" collapsed="false">
      <c r="B34" s="0" t="n">
        <v>279</v>
      </c>
      <c r="C34" s="0" t="s">
        <v>67</v>
      </c>
      <c r="D34" s="0" t="n">
        <v>25800</v>
      </c>
      <c r="E34" s="0" t="n">
        <v>894</v>
      </c>
    </row>
    <row r="35" customFormat="false" ht="14.5" hidden="false" customHeight="false" outlineLevel="0" collapsed="false">
      <c r="B35" s="0" t="n">
        <v>671</v>
      </c>
      <c r="C35" s="0" t="s">
        <v>68</v>
      </c>
      <c r="D35" s="0" t="n">
        <v>25400</v>
      </c>
      <c r="E35" s="0" t="n">
        <v>894</v>
      </c>
    </row>
    <row r="36" customFormat="false" ht="14.5" hidden="false" customHeight="false" outlineLevel="0" collapsed="false">
      <c r="B36" s="0" t="n">
        <v>774</v>
      </c>
      <c r="C36" s="0" t="s">
        <v>69</v>
      </c>
      <c r="D36" s="0" t="n">
        <v>25600</v>
      </c>
      <c r="E36" s="0" t="n">
        <v>894</v>
      </c>
    </row>
    <row r="37" customFormat="false" ht="14.5" hidden="false" customHeight="false" outlineLevel="0" collapsed="false">
      <c r="B37" s="0" t="n">
        <v>906</v>
      </c>
      <c r="C37" s="0" t="s">
        <v>70</v>
      </c>
      <c r="D37" s="0" t="n">
        <v>25700</v>
      </c>
      <c r="E37" s="0" t="n">
        <v>894</v>
      </c>
    </row>
    <row r="38" customFormat="false" ht="14.5" hidden="false" customHeight="false" outlineLevel="0" collapsed="false">
      <c r="B38" s="0" t="n">
        <v>965</v>
      </c>
      <c r="C38" s="0" t="s">
        <v>71</v>
      </c>
      <c r="D38" s="0" t="n">
        <v>25500</v>
      </c>
      <c r="E38" s="0" t="n">
        <v>894</v>
      </c>
    </row>
    <row r="39" customFormat="false" ht="14.5" hidden="false" customHeight="false" outlineLevel="0" collapsed="false">
      <c r="B39" s="0" t="n">
        <v>211</v>
      </c>
      <c r="C39" s="0" t="s">
        <v>72</v>
      </c>
      <c r="D39" s="0" t="n">
        <v>19100</v>
      </c>
      <c r="E39" s="0" t="n">
        <v>39</v>
      </c>
    </row>
    <row r="40" customFormat="false" ht="14.5" hidden="false" customHeight="false" outlineLevel="0" collapsed="false">
      <c r="B40" s="0" t="n">
        <v>919</v>
      </c>
      <c r="C40" s="0" t="s">
        <v>73</v>
      </c>
      <c r="D40" s="0" t="n">
        <v>19300</v>
      </c>
      <c r="E40" s="0" t="n">
        <v>39</v>
      </c>
    </row>
    <row r="41" customFormat="false" ht="14.5" hidden="false" customHeight="false" outlineLevel="0" collapsed="false">
      <c r="B41" s="0" t="n">
        <v>927</v>
      </c>
      <c r="C41" s="0" t="s">
        <v>74</v>
      </c>
      <c r="D41" s="0" t="n">
        <v>19400</v>
      </c>
      <c r="E41" s="0" t="n">
        <v>39</v>
      </c>
    </row>
    <row r="42" customFormat="false" ht="14.5" hidden="false" customHeight="false" outlineLevel="0" collapsed="false">
      <c r="B42" s="0" t="n">
        <v>935</v>
      </c>
      <c r="C42" s="0" t="s">
        <v>75</v>
      </c>
      <c r="D42" s="0" t="n">
        <v>19000</v>
      </c>
      <c r="E42" s="0" t="n">
        <v>39</v>
      </c>
    </row>
    <row r="43" customFormat="false" ht="14.5" hidden="false" customHeight="false" outlineLevel="0" collapsed="false">
      <c r="B43" s="0" t="n">
        <v>1015</v>
      </c>
      <c r="C43" s="0" t="s">
        <v>76</v>
      </c>
      <c r="D43" s="0" t="n">
        <v>19200</v>
      </c>
      <c r="E43" s="0" t="n">
        <v>39</v>
      </c>
    </row>
    <row r="44" customFormat="false" ht="14.5" hidden="false" customHeight="false" outlineLevel="0" collapsed="false">
      <c r="B44" s="0" t="n">
        <v>296</v>
      </c>
      <c r="C44" s="0" t="s">
        <v>77</v>
      </c>
      <c r="D44" s="0" t="n">
        <v>19700</v>
      </c>
      <c r="E44" s="0" t="n">
        <v>48</v>
      </c>
    </row>
    <row r="45" customFormat="false" ht="14.5" hidden="false" customHeight="false" outlineLevel="0" collapsed="false">
      <c r="B45" s="0" t="n">
        <v>588</v>
      </c>
      <c r="C45" s="0" t="s">
        <v>78</v>
      </c>
      <c r="D45" s="0" t="n">
        <v>19600</v>
      </c>
      <c r="E45" s="0" t="n">
        <v>48</v>
      </c>
    </row>
    <row r="46" customFormat="false" ht="14.5" hidden="false" customHeight="false" outlineLevel="0" collapsed="false">
      <c r="B46" s="0" t="n">
        <v>772</v>
      </c>
      <c r="C46" s="0" t="s">
        <v>79</v>
      </c>
      <c r="D46" s="0" t="n">
        <v>19800</v>
      </c>
      <c r="E46" s="0" t="n">
        <v>48</v>
      </c>
    </row>
    <row r="47" customFormat="false" ht="14.5" hidden="false" customHeight="false" outlineLevel="0" collapsed="false">
      <c r="B47" s="0" t="n">
        <v>810</v>
      </c>
      <c r="C47" s="0" t="s">
        <v>80</v>
      </c>
      <c r="D47" s="0" t="n">
        <v>19900</v>
      </c>
      <c r="E47" s="0" t="n">
        <v>48</v>
      </c>
    </row>
    <row r="48" customFormat="false" ht="14.5" hidden="false" customHeight="false" outlineLevel="0" collapsed="false">
      <c r="B48" s="0" t="n">
        <v>819</v>
      </c>
      <c r="C48" s="0" t="s">
        <v>81</v>
      </c>
      <c r="D48" s="0" t="n">
        <v>20000</v>
      </c>
      <c r="E48" s="0" t="n">
        <v>48</v>
      </c>
    </row>
    <row r="49" customFormat="false" ht="14.5" hidden="false" customHeight="false" outlineLevel="0" collapsed="false">
      <c r="B49" s="0" t="n">
        <v>84</v>
      </c>
      <c r="C49" s="0" t="s">
        <v>82</v>
      </c>
      <c r="D49" s="0" t="n">
        <v>20600</v>
      </c>
      <c r="E49" s="0" t="n">
        <v>972</v>
      </c>
    </row>
    <row r="50" customFormat="false" ht="14.5" hidden="false" customHeight="false" outlineLevel="0" collapsed="false">
      <c r="B50" s="0" t="n">
        <v>132</v>
      </c>
      <c r="C50" s="0" t="s">
        <v>83</v>
      </c>
      <c r="D50" s="0" t="n">
        <v>20700</v>
      </c>
      <c r="E50" s="0" t="n">
        <v>972</v>
      </c>
    </row>
    <row r="51" customFormat="false" ht="14.5" hidden="false" customHeight="false" outlineLevel="0" collapsed="false">
      <c r="B51" s="0" t="n">
        <v>171</v>
      </c>
      <c r="C51" s="0" t="s">
        <v>84</v>
      </c>
      <c r="D51" s="0" t="n">
        <v>20200</v>
      </c>
      <c r="E51" s="0" t="n">
        <v>972</v>
      </c>
    </row>
    <row r="52" customFormat="false" ht="14.5" hidden="false" customHeight="false" outlineLevel="0" collapsed="false">
      <c r="B52" s="0" t="n">
        <v>304</v>
      </c>
      <c r="C52" s="0" t="s">
        <v>85</v>
      </c>
      <c r="D52" s="0" t="n">
        <v>20400</v>
      </c>
      <c r="E52" s="0" t="n">
        <v>972</v>
      </c>
    </row>
    <row r="53" customFormat="false" ht="14.5" hidden="false" customHeight="false" outlineLevel="0" collapsed="false">
      <c r="B53" s="0" t="n">
        <v>363</v>
      </c>
      <c r="C53" s="0" t="s">
        <v>86</v>
      </c>
      <c r="D53" s="0" t="n">
        <v>20500</v>
      </c>
      <c r="E53" s="0" t="n">
        <v>972</v>
      </c>
    </row>
    <row r="54" customFormat="false" ht="14.5" hidden="false" customHeight="false" outlineLevel="0" collapsed="false">
      <c r="B54" s="0" t="n">
        <v>556</v>
      </c>
      <c r="C54" s="0" t="s">
        <v>87</v>
      </c>
      <c r="D54" s="0" t="n">
        <v>8700</v>
      </c>
      <c r="E54" s="0" t="n">
        <v>44</v>
      </c>
    </row>
    <row r="55" customFormat="false" ht="14.5" hidden="false" customHeight="false" outlineLevel="0" collapsed="false">
      <c r="B55" s="0" t="n">
        <v>707</v>
      </c>
      <c r="C55" s="0" t="s">
        <v>88</v>
      </c>
      <c r="D55" s="0" t="n">
        <v>8500</v>
      </c>
      <c r="E55" s="0" t="n">
        <v>44</v>
      </c>
    </row>
    <row r="56" customFormat="false" ht="14.5" hidden="false" customHeight="false" outlineLevel="0" collapsed="false">
      <c r="B56" s="0" t="n">
        <v>827</v>
      </c>
      <c r="C56" s="0" t="s">
        <v>89</v>
      </c>
      <c r="D56" s="0" t="n">
        <v>8800</v>
      </c>
      <c r="E56" s="0" t="n">
        <v>44</v>
      </c>
    </row>
    <row r="57" customFormat="false" ht="14.5" hidden="false" customHeight="false" outlineLevel="0" collapsed="false">
      <c r="B57" s="0" t="n">
        <v>1054</v>
      </c>
      <c r="C57" s="0" t="s">
        <v>90</v>
      </c>
      <c r="D57" s="0" t="n">
        <v>8900</v>
      </c>
      <c r="E57" s="0" t="n">
        <v>44</v>
      </c>
    </row>
    <row r="58" customFormat="false" ht="14.5" hidden="false" customHeight="false" outlineLevel="0" collapsed="false">
      <c r="B58" s="0" t="n">
        <v>1081</v>
      </c>
      <c r="C58" s="0" t="s">
        <v>91</v>
      </c>
      <c r="D58" s="0" t="n">
        <v>9000</v>
      </c>
      <c r="E58" s="0" t="n">
        <v>44</v>
      </c>
    </row>
    <row r="59" customFormat="false" ht="14.5" hidden="false" customHeight="false" outlineLevel="0" collapsed="false">
      <c r="B59" s="0" t="n">
        <v>303</v>
      </c>
      <c r="C59" s="0" t="s">
        <v>92</v>
      </c>
      <c r="D59" s="0" t="n">
        <v>47200</v>
      </c>
      <c r="E59" s="0" t="n">
        <v>295</v>
      </c>
    </row>
    <row r="60" customFormat="false" ht="14.5" hidden="false" customHeight="false" outlineLevel="0" collapsed="false">
      <c r="B60" s="0" t="n">
        <v>311</v>
      </c>
      <c r="C60" s="0" t="s">
        <v>93</v>
      </c>
      <c r="D60" s="0" t="n">
        <v>47300</v>
      </c>
      <c r="E60" s="0" t="n">
        <v>295</v>
      </c>
    </row>
    <row r="61" customFormat="false" ht="14.5" hidden="false" customHeight="false" outlineLevel="0" collapsed="false">
      <c r="B61" s="0" t="n">
        <v>451</v>
      </c>
      <c r="C61" s="0" t="s">
        <v>94</v>
      </c>
      <c r="D61" s="0" t="n">
        <v>47400</v>
      </c>
      <c r="E61" s="0" t="n">
        <v>295</v>
      </c>
    </row>
  </sheetData>
  <conditionalFormatting sqref="X3:X14">
    <cfRule type="cellIs" priority="2" operator="lessThan" aboveAverage="0" equalAverage="0" bottom="0" percent="0" rank="0" text="" dxfId="0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4.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3.82"/>
    <col collapsed="false" customWidth="true" hidden="false" outlineLevel="0" max="3" min="3" style="0" width="19.55"/>
    <col collapsed="false" customWidth="true" hidden="false" outlineLevel="0" max="4" min="4" style="0" width="14.17"/>
    <col collapsed="false" customWidth="true" hidden="false" outlineLevel="0" max="22" min="22" style="0" width="10.27"/>
    <col collapsed="false" customWidth="true" hidden="false" outlineLevel="0" max="24" min="23" style="0" width="12"/>
    <col collapsed="false" customWidth="true" hidden="false" outlineLevel="0" max="25" min="25" style="0" width="11.27"/>
  </cols>
  <sheetData>
    <row r="1" customFormat="false" ht="14.5" hidden="false" customHeight="false" outlineLevel="0" collapsed="false">
      <c r="E1" s="0" t="n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  <c r="N1" s="0" t="n">
        <v>1</v>
      </c>
      <c r="O1" s="0" t="n">
        <v>1</v>
      </c>
      <c r="P1" s="0" t="n">
        <v>1</v>
      </c>
      <c r="Q1" s="0" t="n">
        <v>1</v>
      </c>
      <c r="R1" s="0" t="n">
        <v>1</v>
      </c>
      <c r="S1" s="0" t="n">
        <v>1</v>
      </c>
      <c r="T1" s="0" t="n">
        <v>1</v>
      </c>
      <c r="U1" s="0" t="n">
        <v>1</v>
      </c>
    </row>
    <row r="2" customFormat="false" ht="14.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2" t="s">
        <v>95</v>
      </c>
      <c r="W2" s="2" t="s">
        <v>23</v>
      </c>
      <c r="X2" s="2" t="s">
        <v>24</v>
      </c>
      <c r="Y2" s="2" t="s">
        <v>25</v>
      </c>
    </row>
    <row r="3" customFormat="false" ht="14.5" hidden="false" customHeight="false" outlineLevel="0" collapsed="false">
      <c r="A3" s="0" t="n">
        <v>0</v>
      </c>
      <c r="B3" s="0" t="s">
        <v>96</v>
      </c>
      <c r="C3" s="0" t="n">
        <v>0</v>
      </c>
      <c r="E3" s="0" t="str">
        <f aca="false">IFERROR(IF(OR(HLOOKUP($A3,#REF!,3,FALSE())&gt;2,HLOOKUP(A3,#REF!,3,FALSE())&lt;-2),"",#REF!),"")</f>
        <v/>
      </c>
      <c r="F3" s="0" t="str">
        <f aca="false">IFERROR(IF(OR(HLOOKUP($A3,#REF!,4,FALSE())&gt;2,HLOOKUP($A3,#REF!,4,FALSE())&lt;-2),"",#REF!),"")</f>
        <v/>
      </c>
      <c r="G3" s="0" t="str">
        <f aca="false">IFERROR(IF(OR(HLOOKUP($A3,#REF!,5,FALSE())&gt;2,HLOOKUP($A3,#REF!,5,FALSE())&lt;-2),"",#REF!),"")</f>
        <v/>
      </c>
      <c r="H3" s="0" t="str">
        <f aca="false">IFERROR(IF(OR(HLOOKUP($A3,#REF!,6,FALSE())&gt;2,HLOOKUP($A3,#REF!,6,FALSE())&lt;-2),"",#REF!),"")</f>
        <v/>
      </c>
      <c r="I3" s="0" t="str">
        <f aca="false">IFERROR(IF(OR(HLOOKUP($A3,#REF!,7,FALSE())&gt;2,HLOOKUP($A3,#REF!,7,FALSE())&lt;-2),"",#REF!),"")</f>
        <v/>
      </c>
      <c r="J3" s="0" t="str">
        <f aca="false">IFERROR(IF(OR(HLOOKUP($A3,#REF!,8,FALSE())&gt;2,HLOOKUP($A3,#REF!,8,FALSE())&lt;-2),"",#REF!),"")</f>
        <v/>
      </c>
      <c r="K3" s="0" t="str">
        <f aca="false">IFERROR(IF(OR(HLOOKUP($A3,#REF!,9,FALSE())&gt;2,HLOOKUP($A3,#REF!,9,FALSE())&lt;-2),"",#REF!),"")</f>
        <v/>
      </c>
      <c r="L3" s="0" t="str">
        <f aca="false">IFERROR(IF(OR(HLOOKUP($A3,#REF!,10,FALSE())&gt;2,HLOOKUP($A3,#REF!,10,FALSE())&lt;-2),"",#REF!),"")</f>
        <v/>
      </c>
      <c r="M3" s="0" t="str">
        <f aca="false">IFERROR(IF(OR(HLOOKUP($A3,#REF!,11,FALSE())&gt;2,HLOOKUP($A3,#REF!,11,FALSE())&lt;-2),"",#REF!),"")</f>
        <v/>
      </c>
      <c r="N3" s="0" t="str">
        <f aca="false">IFERROR(IF(OR(HLOOKUP($A3,#REF!,12,FALSE())&gt;2,HLOOKUP($A3,#REF!,12,FALSE())&lt;-2),"",#REF!),"")</f>
        <v/>
      </c>
      <c r="O3" s="0" t="str">
        <f aca="false">IFERROR(IF(OR(HLOOKUP($A3,#REF!,13,FALSE())&gt;2,HLOOKUP($A3,#REF!,13,FALSE())&lt;-2),"",#REF!),"")</f>
        <v/>
      </c>
      <c r="P3" s="0" t="str">
        <f aca="false">IFERROR(IF(OR(HLOOKUP($A3,#REF!,14,FALSE())&gt;2,HLOOKUP($A3,#REF!,14,FALSE())&lt;-2),"",#REF!),"")</f>
        <v/>
      </c>
      <c r="Q3" s="0" t="str">
        <f aca="false">IFERROR(IF(OR(HLOOKUP($A3,#REF!,15,FALSE())&gt;2,HLOOKUP($A3,#REF!,15,FALSE())&lt;-2),"",#REF!),"")</f>
        <v/>
      </c>
      <c r="R3" s="0" t="str">
        <f aca="false">IFERROR(IF(OR(HLOOKUP($A3,#REF!,16,FALSE())&gt;2,HLOOKUP($A3,#REF!,16,FALSE())&lt;-2),"",#REF!),"")</f>
        <v/>
      </c>
      <c r="S3" s="0" t="str">
        <f aca="false">IFERROR(IF(OR(HLOOKUP($A3,#REF!,17,FALSE())&gt;2,HLOOKUP($A3,#REF!,17,FALSE())&lt;-2),"",#REF!),"")</f>
        <v/>
      </c>
      <c r="T3" s="0" t="str">
        <f aca="false">IFERROR(IF(OR(HLOOKUP($A3,#REF!,18,FALSE())&gt;2,HLOOKUP($A3,#REF!,18,FALSE())&lt;-2),"",#REF!),"")</f>
        <v/>
      </c>
      <c r="U3" s="0" t="str">
        <f aca="false">IFERROR(IF(OR(HLOOKUP($A3,#REF!,19,FALSE())&gt;2,HLOOKUP($A3,#REF!,19,FALSE())&lt;-2),"",#REF!),"")</f>
        <v/>
      </c>
      <c r="V3" s="0" t="n">
        <f aca="false">IFERROR(IF(AND(X3=0,Y3=0),0,1),0)</f>
        <v>1</v>
      </c>
      <c r="W3" s="3" t="str">
        <f aca="false">IFERROR(_xlfn.T.TEST(E3:M3,N3:U3,2,2),"")</f>
        <v/>
      </c>
      <c r="X3" s="0" t="str">
        <f aca="false">IFERROR(AVERAGE(E3:M3),"")</f>
        <v/>
      </c>
      <c r="Y3" s="0" t="str">
        <f aca="false">IFERROR(AVERAGE(N3:U3),"")</f>
        <v/>
      </c>
    </row>
    <row r="4" customFormat="false" ht="14.5" hidden="false" customHeight="false" outlineLevel="0" collapsed="false">
      <c r="A4" s="0" t="n">
        <v>1</v>
      </c>
      <c r="B4" s="0" t="s">
        <v>97</v>
      </c>
      <c r="C4" s="0" t="n">
        <v>75500</v>
      </c>
      <c r="D4" s="0" t="n">
        <v>557</v>
      </c>
      <c r="E4" s="0" t="str">
        <f aca="false">IFERROR(IF(OR(HLOOKUP($A4,#REF!,3,FALSE())&gt;2,HLOOKUP(A4,#REF!,3,FALSE())&lt;-2),"",#REF!),"")</f>
        <v/>
      </c>
      <c r="F4" s="0" t="str">
        <f aca="false">IFERROR(IF(OR(HLOOKUP($A4,#REF!,4,FALSE())&gt;2,HLOOKUP($A4,#REF!,4,FALSE())&lt;-2),"",#REF!),"")</f>
        <v/>
      </c>
      <c r="G4" s="0" t="str">
        <f aca="false">IFERROR(IF(OR(HLOOKUP($A4,#REF!,5,FALSE())&gt;2,HLOOKUP($A4,#REF!,5,FALSE())&lt;-2),"",#REF!),"")</f>
        <v/>
      </c>
      <c r="H4" s="0" t="str">
        <f aca="false">IFERROR(IF(OR(HLOOKUP($A4,#REF!,6,FALSE())&gt;2,HLOOKUP($A4,#REF!,6,FALSE())&lt;-2),"",#REF!),"")</f>
        <v/>
      </c>
      <c r="I4" s="0" t="str">
        <f aca="false">IFERROR(IF(OR(HLOOKUP($A4,#REF!,7,FALSE())&gt;2,HLOOKUP($A4,#REF!,7,FALSE())&lt;-2),"",#REF!),"")</f>
        <v/>
      </c>
      <c r="J4" s="0" t="str">
        <f aca="false">IFERROR(IF(OR(HLOOKUP($A4,#REF!,8,FALSE())&gt;2,HLOOKUP($A4,#REF!,8,FALSE())&lt;-2),"",#REF!),"")</f>
        <v/>
      </c>
      <c r="K4" s="0" t="str">
        <f aca="false">IFERROR(IF(OR(HLOOKUP($A4,#REF!,9,FALSE())&gt;2,HLOOKUP($A4,#REF!,9,FALSE())&lt;-2),"",#REF!),"")</f>
        <v/>
      </c>
      <c r="L4" s="0" t="str">
        <f aca="false">IFERROR(IF(OR(HLOOKUP($A4,#REF!,10,FALSE())&gt;2,HLOOKUP($A4,#REF!,10,FALSE())&lt;-2),"",#REF!),"")</f>
        <v/>
      </c>
      <c r="M4" s="0" t="str">
        <f aca="false">IFERROR(IF(OR(HLOOKUP($A4,#REF!,11,FALSE())&gt;2,HLOOKUP($A4,#REF!,11,FALSE())&lt;-2),"",#REF!),"")</f>
        <v/>
      </c>
      <c r="N4" s="0" t="str">
        <f aca="false">IFERROR(IF(OR(HLOOKUP($A4,#REF!,12,FALSE())&gt;2,HLOOKUP($A4,#REF!,12,FALSE())&lt;-2),"",#REF!),"")</f>
        <v/>
      </c>
      <c r="O4" s="0" t="str">
        <f aca="false">IFERROR(IF(OR(HLOOKUP($A4,#REF!,13,FALSE())&gt;2,HLOOKUP($A4,#REF!,13,FALSE())&lt;-2),"",#REF!),"")</f>
        <v/>
      </c>
      <c r="P4" s="0" t="str">
        <f aca="false">IFERROR(IF(OR(HLOOKUP($A4,#REF!,14,FALSE())&gt;2,HLOOKUP($A4,#REF!,14,FALSE())&lt;-2),"",#REF!),"")</f>
        <v/>
      </c>
      <c r="Q4" s="0" t="str">
        <f aca="false">IFERROR(IF(OR(HLOOKUP($A4,#REF!,15,FALSE())&gt;2,HLOOKUP($A4,#REF!,15,FALSE())&lt;-2),"",#REF!),"")</f>
        <v/>
      </c>
      <c r="R4" s="0" t="str">
        <f aca="false">IFERROR(IF(OR(HLOOKUP($A4,#REF!,16,FALSE())&gt;2,HLOOKUP($A4,#REF!,16,FALSE())&lt;-2),"",#REF!),"")</f>
        <v/>
      </c>
      <c r="S4" s="0" t="str">
        <f aca="false">IFERROR(IF(OR(HLOOKUP($A4,#REF!,17,FALSE())&gt;2,HLOOKUP($A4,#REF!,17,FALSE())&lt;-2),"",#REF!),"")</f>
        <v/>
      </c>
      <c r="T4" s="0" t="str">
        <f aca="false">IFERROR(IF(OR(HLOOKUP($A4,#REF!,18,FALSE())&gt;2,HLOOKUP($A4,#REF!,18,FALSE())&lt;-2),"",#REF!),"")</f>
        <v/>
      </c>
      <c r="U4" s="0" t="str">
        <f aca="false">IFERROR(IF(OR(HLOOKUP($A4,#REF!,19,FALSE())&gt;2,HLOOKUP($A4,#REF!,19,FALSE())&lt;-2),"",#REF!),"")</f>
        <v/>
      </c>
      <c r="V4" s="0" t="n">
        <f aca="false">IFERROR(IF(AND(X4=0,Y4=0),0,1),0)</f>
        <v>1</v>
      </c>
      <c r="W4" s="3" t="str">
        <f aca="false">IFERROR(_xlfn.T.TEST(E4:M4,N4:U4,2,2),"")</f>
        <v/>
      </c>
      <c r="X4" s="0" t="str">
        <f aca="false">IFERROR(AVERAGE(E4:M4),"")</f>
        <v/>
      </c>
      <c r="Y4" s="0" t="str">
        <f aca="false">IFERROR(AVERAGE(N4:U4),"")</f>
        <v/>
      </c>
    </row>
    <row r="5" customFormat="false" ht="14.5" hidden="false" customHeight="false" outlineLevel="0" collapsed="false">
      <c r="A5" s="0" t="n">
        <v>2</v>
      </c>
      <c r="B5" s="0" t="s">
        <v>98</v>
      </c>
      <c r="C5" s="0" t="n">
        <v>6200</v>
      </c>
      <c r="D5" s="0" t="n">
        <v>345</v>
      </c>
      <c r="E5" s="0" t="str">
        <f aca="false">IFERROR(IF(OR(HLOOKUP($A5,#REF!,3,FALSE())&gt;2,HLOOKUP(A5,#REF!,3,FALSE())&lt;-2),"",#REF!),"")</f>
        <v/>
      </c>
      <c r="F5" s="0" t="str">
        <f aca="false">IFERROR(IF(OR(HLOOKUP($A5,#REF!,4,FALSE())&gt;2,HLOOKUP($A5,#REF!,4,FALSE())&lt;-2),"",#REF!),"")</f>
        <v/>
      </c>
      <c r="G5" s="0" t="str">
        <f aca="false">IFERROR(IF(OR(HLOOKUP($A5,#REF!,5,FALSE())&gt;2,HLOOKUP($A5,#REF!,5,FALSE())&lt;-2),"",#REF!),"")</f>
        <v/>
      </c>
      <c r="H5" s="0" t="str">
        <f aca="false">IFERROR(IF(OR(HLOOKUP($A5,#REF!,6,FALSE())&gt;2,HLOOKUP($A5,#REF!,6,FALSE())&lt;-2),"",#REF!),"")</f>
        <v/>
      </c>
      <c r="I5" s="0" t="str">
        <f aca="false">IFERROR(IF(OR(HLOOKUP($A5,#REF!,7,FALSE())&gt;2,HLOOKUP($A5,#REF!,7,FALSE())&lt;-2),"",#REF!),"")</f>
        <v/>
      </c>
      <c r="J5" s="0" t="str">
        <f aca="false">IFERROR(IF(OR(HLOOKUP($A5,#REF!,8,FALSE())&gt;2,HLOOKUP($A5,#REF!,8,FALSE())&lt;-2),"",#REF!),"")</f>
        <v/>
      </c>
      <c r="K5" s="0" t="str">
        <f aca="false">IFERROR(IF(OR(HLOOKUP($A5,#REF!,9,FALSE())&gt;2,HLOOKUP($A5,#REF!,9,FALSE())&lt;-2),"",#REF!),"")</f>
        <v/>
      </c>
      <c r="L5" s="0" t="str">
        <f aca="false">IFERROR(IF(OR(HLOOKUP($A5,#REF!,10,FALSE())&gt;2,HLOOKUP($A5,#REF!,10,FALSE())&lt;-2),"",#REF!),"")</f>
        <v/>
      </c>
      <c r="M5" s="0" t="str">
        <f aca="false">IFERROR(IF(OR(HLOOKUP($A5,#REF!,11,FALSE())&gt;2,HLOOKUP($A5,#REF!,11,FALSE())&lt;-2),"",#REF!),"")</f>
        <v/>
      </c>
      <c r="N5" s="0" t="str">
        <f aca="false">IFERROR(IF(OR(HLOOKUP($A5,#REF!,12,FALSE())&gt;2,HLOOKUP($A5,#REF!,12,FALSE())&lt;-2),"",#REF!),"")</f>
        <v/>
      </c>
      <c r="O5" s="0" t="str">
        <f aca="false">IFERROR(IF(OR(HLOOKUP($A5,#REF!,13,FALSE())&gt;2,HLOOKUP($A5,#REF!,13,FALSE())&lt;-2),"",#REF!),"")</f>
        <v/>
      </c>
      <c r="P5" s="0" t="str">
        <f aca="false">IFERROR(IF(OR(HLOOKUP($A5,#REF!,14,FALSE())&gt;2,HLOOKUP($A5,#REF!,14,FALSE())&lt;-2),"",#REF!),"")</f>
        <v/>
      </c>
      <c r="Q5" s="0" t="str">
        <f aca="false">IFERROR(IF(OR(HLOOKUP($A5,#REF!,15,FALSE())&gt;2,HLOOKUP($A5,#REF!,15,FALSE())&lt;-2),"",#REF!),"")</f>
        <v/>
      </c>
      <c r="R5" s="0" t="str">
        <f aca="false">IFERROR(IF(OR(HLOOKUP($A5,#REF!,16,FALSE())&gt;2,HLOOKUP($A5,#REF!,16,FALSE())&lt;-2),"",#REF!),"")</f>
        <v/>
      </c>
      <c r="S5" s="0" t="str">
        <f aca="false">IFERROR(IF(OR(HLOOKUP($A5,#REF!,17,FALSE())&gt;2,HLOOKUP($A5,#REF!,17,FALSE())&lt;-2),"",#REF!),"")</f>
        <v/>
      </c>
      <c r="T5" s="0" t="str">
        <f aca="false">IFERROR(IF(OR(HLOOKUP($A5,#REF!,18,FALSE())&gt;2,HLOOKUP($A5,#REF!,18,FALSE())&lt;-2),"",#REF!),"")</f>
        <v/>
      </c>
      <c r="U5" s="0" t="str">
        <f aca="false">IFERROR(IF(OR(HLOOKUP($A5,#REF!,19,FALSE())&gt;2,HLOOKUP($A5,#REF!,19,FALSE())&lt;-2),"",#REF!),"")</f>
        <v/>
      </c>
      <c r="V5" s="0" t="n">
        <f aca="false">IFERROR(IF(AND(X5=0,Y5=0),0,1),0)</f>
        <v>1</v>
      </c>
      <c r="W5" s="3" t="str">
        <f aca="false">IFERROR(_xlfn.T.TEST(E5:M5,N5:U5,2,2),"")</f>
        <v/>
      </c>
      <c r="X5" s="0" t="str">
        <f aca="false">IFERROR(AVERAGE(E5:M5),"")</f>
        <v/>
      </c>
      <c r="Y5" s="0" t="str">
        <f aca="false">IFERROR(AVERAGE(N5:U5),"")</f>
        <v/>
      </c>
    </row>
    <row r="6" customFormat="false" ht="14.5" hidden="false" customHeight="false" outlineLevel="0" collapsed="false">
      <c r="A6" s="0" t="n">
        <v>3</v>
      </c>
      <c r="B6" s="0" t="s">
        <v>99</v>
      </c>
      <c r="C6" s="0" t="n">
        <v>118200</v>
      </c>
      <c r="D6" s="0" t="n">
        <v>1040</v>
      </c>
      <c r="E6" s="0" t="str">
        <f aca="false">IFERROR(IF(OR(HLOOKUP($A6,#REF!,3,FALSE())&gt;2,HLOOKUP(A6,#REF!,3,FALSE())&lt;-2),"",#REF!),"")</f>
        <v/>
      </c>
      <c r="F6" s="0" t="str">
        <f aca="false">IFERROR(IF(OR(HLOOKUP($A6,#REF!,4,FALSE())&gt;2,HLOOKUP($A6,#REF!,4,FALSE())&lt;-2),"",#REF!),"")</f>
        <v/>
      </c>
      <c r="G6" s="0" t="str">
        <f aca="false">IFERROR(IF(OR(HLOOKUP($A6,#REF!,5,FALSE())&gt;2,HLOOKUP($A6,#REF!,5,FALSE())&lt;-2),"",#REF!),"")</f>
        <v/>
      </c>
      <c r="H6" s="0" t="str">
        <f aca="false">IFERROR(IF(OR(HLOOKUP($A6,#REF!,6,FALSE())&gt;2,HLOOKUP($A6,#REF!,6,FALSE())&lt;-2),"",#REF!),"")</f>
        <v/>
      </c>
      <c r="I6" s="0" t="str">
        <f aca="false">IFERROR(IF(OR(HLOOKUP($A6,#REF!,7,FALSE())&gt;2,HLOOKUP($A6,#REF!,7,FALSE())&lt;-2),"",#REF!),"")</f>
        <v/>
      </c>
      <c r="J6" s="0" t="str">
        <f aca="false">IFERROR(IF(OR(HLOOKUP($A6,#REF!,8,FALSE())&gt;2,HLOOKUP($A6,#REF!,8,FALSE())&lt;-2),"",#REF!),"")</f>
        <v/>
      </c>
      <c r="K6" s="0" t="str">
        <f aca="false">IFERROR(IF(OR(HLOOKUP($A6,#REF!,9,FALSE())&gt;2,HLOOKUP($A6,#REF!,9,FALSE())&lt;-2),"",#REF!),"")</f>
        <v/>
      </c>
      <c r="L6" s="0" t="str">
        <f aca="false">IFERROR(IF(OR(HLOOKUP($A6,#REF!,10,FALSE())&gt;2,HLOOKUP($A6,#REF!,10,FALSE())&lt;-2),"",#REF!),"")</f>
        <v/>
      </c>
      <c r="M6" s="0" t="str">
        <f aca="false">IFERROR(IF(OR(HLOOKUP($A6,#REF!,11,FALSE())&gt;2,HLOOKUP($A6,#REF!,11,FALSE())&lt;-2),"",#REF!),"")</f>
        <v/>
      </c>
      <c r="N6" s="0" t="str">
        <f aca="false">IFERROR(IF(OR(HLOOKUP($A6,#REF!,12,FALSE())&gt;2,HLOOKUP($A6,#REF!,12,FALSE())&lt;-2),"",#REF!),"")</f>
        <v/>
      </c>
      <c r="O6" s="0" t="str">
        <f aca="false">IFERROR(IF(OR(HLOOKUP($A6,#REF!,13,FALSE())&gt;2,HLOOKUP($A6,#REF!,13,FALSE())&lt;-2),"",#REF!),"")</f>
        <v/>
      </c>
      <c r="P6" s="0" t="str">
        <f aca="false">IFERROR(IF(OR(HLOOKUP($A6,#REF!,14,FALSE())&gt;2,HLOOKUP($A6,#REF!,14,FALSE())&lt;-2),"",#REF!),"")</f>
        <v/>
      </c>
      <c r="Q6" s="0" t="str">
        <f aca="false">IFERROR(IF(OR(HLOOKUP($A6,#REF!,15,FALSE())&gt;2,HLOOKUP($A6,#REF!,15,FALSE())&lt;-2),"",#REF!),"")</f>
        <v/>
      </c>
      <c r="R6" s="0" t="str">
        <f aca="false">IFERROR(IF(OR(HLOOKUP($A6,#REF!,16,FALSE())&gt;2,HLOOKUP($A6,#REF!,16,FALSE())&lt;-2),"",#REF!),"")</f>
        <v/>
      </c>
      <c r="S6" s="0" t="str">
        <f aca="false">IFERROR(IF(OR(HLOOKUP($A6,#REF!,17,FALSE())&gt;2,HLOOKUP($A6,#REF!,17,FALSE())&lt;-2),"",#REF!),"")</f>
        <v/>
      </c>
      <c r="T6" s="0" t="str">
        <f aca="false">IFERROR(IF(OR(HLOOKUP($A6,#REF!,18,FALSE())&gt;2,HLOOKUP($A6,#REF!,18,FALSE())&lt;-2),"",#REF!),"")</f>
        <v/>
      </c>
      <c r="U6" s="0" t="str">
        <f aca="false">IFERROR(IF(OR(HLOOKUP($A6,#REF!,19,FALSE())&gt;2,HLOOKUP($A6,#REF!,19,FALSE())&lt;-2),"",#REF!),"")</f>
        <v/>
      </c>
      <c r="V6" s="0" t="n">
        <f aca="false">IFERROR(IF(AND(X6=0,Y6=0),0,1),0)</f>
        <v>1</v>
      </c>
      <c r="W6" s="3" t="str">
        <f aca="false">IFERROR(_xlfn.T.TEST(E6:M6,N6:U6,2,2),"")</f>
        <v/>
      </c>
      <c r="X6" s="0" t="str">
        <f aca="false">IFERROR(AVERAGE(E6:M6),"")</f>
        <v/>
      </c>
      <c r="Y6" s="0" t="str">
        <f aca="false">IFERROR(AVERAGE(N6:U6),"")</f>
        <v/>
      </c>
    </row>
    <row r="7" customFormat="false" ht="14.5" hidden="false" customHeight="false" outlineLevel="0" collapsed="false">
      <c r="A7" s="0" t="n">
        <v>4</v>
      </c>
      <c r="B7" s="0" t="s">
        <v>100</v>
      </c>
      <c r="C7" s="0" t="n">
        <v>79100</v>
      </c>
      <c r="D7" s="0" t="n">
        <v>339</v>
      </c>
      <c r="E7" s="0" t="str">
        <f aca="false">IFERROR(IF(OR(HLOOKUP($A7,#REF!,3,FALSE())&gt;2,HLOOKUP(A7,#REF!,3,FALSE())&lt;-2),"",#REF!),"")</f>
        <v/>
      </c>
      <c r="F7" s="0" t="str">
        <f aca="false">IFERROR(IF(OR(HLOOKUP($A7,#REF!,4,FALSE())&gt;2,HLOOKUP($A7,#REF!,4,FALSE())&lt;-2),"",#REF!),"")</f>
        <v/>
      </c>
      <c r="G7" s="0" t="str">
        <f aca="false">IFERROR(IF(OR(HLOOKUP($A7,#REF!,5,FALSE())&gt;2,HLOOKUP($A7,#REF!,5,FALSE())&lt;-2),"",#REF!),"")</f>
        <v/>
      </c>
      <c r="H7" s="0" t="str">
        <f aca="false">IFERROR(IF(OR(HLOOKUP($A7,#REF!,6,FALSE())&gt;2,HLOOKUP($A7,#REF!,6,FALSE())&lt;-2),"",#REF!),"")</f>
        <v/>
      </c>
      <c r="I7" s="0" t="str">
        <f aca="false">IFERROR(IF(OR(HLOOKUP($A7,#REF!,7,FALSE())&gt;2,HLOOKUP($A7,#REF!,7,FALSE())&lt;-2),"",#REF!),"")</f>
        <v/>
      </c>
      <c r="J7" s="0" t="str">
        <f aca="false">IFERROR(IF(OR(HLOOKUP($A7,#REF!,8,FALSE())&gt;2,HLOOKUP($A7,#REF!,8,FALSE())&lt;-2),"",#REF!),"")</f>
        <v/>
      </c>
      <c r="K7" s="0" t="str">
        <f aca="false">IFERROR(IF(OR(HLOOKUP($A7,#REF!,9,FALSE())&gt;2,HLOOKUP($A7,#REF!,9,FALSE())&lt;-2),"",#REF!),"")</f>
        <v/>
      </c>
      <c r="L7" s="0" t="str">
        <f aca="false">IFERROR(IF(OR(HLOOKUP($A7,#REF!,10,FALSE())&gt;2,HLOOKUP($A7,#REF!,10,FALSE())&lt;-2),"",#REF!),"")</f>
        <v/>
      </c>
      <c r="M7" s="0" t="str">
        <f aca="false">IFERROR(IF(OR(HLOOKUP($A7,#REF!,11,FALSE())&gt;2,HLOOKUP($A7,#REF!,11,FALSE())&lt;-2),"",#REF!),"")</f>
        <v/>
      </c>
      <c r="N7" s="0" t="str">
        <f aca="false">IFERROR(IF(OR(HLOOKUP($A7,#REF!,12,FALSE())&gt;2,HLOOKUP($A7,#REF!,12,FALSE())&lt;-2),"",#REF!),"")</f>
        <v/>
      </c>
      <c r="O7" s="0" t="str">
        <f aca="false">IFERROR(IF(OR(HLOOKUP($A7,#REF!,13,FALSE())&gt;2,HLOOKUP($A7,#REF!,13,FALSE())&lt;-2),"",#REF!),"")</f>
        <v/>
      </c>
      <c r="P7" s="0" t="str">
        <f aca="false">IFERROR(IF(OR(HLOOKUP($A7,#REF!,14,FALSE())&gt;2,HLOOKUP($A7,#REF!,14,FALSE())&lt;-2),"",#REF!),"")</f>
        <v/>
      </c>
      <c r="Q7" s="0" t="str">
        <f aca="false">IFERROR(IF(OR(HLOOKUP($A7,#REF!,15,FALSE())&gt;2,HLOOKUP($A7,#REF!,15,FALSE())&lt;-2),"",#REF!),"")</f>
        <v/>
      </c>
      <c r="R7" s="0" t="str">
        <f aca="false">IFERROR(IF(OR(HLOOKUP($A7,#REF!,16,FALSE())&gt;2,HLOOKUP($A7,#REF!,16,FALSE())&lt;-2),"",#REF!),"")</f>
        <v/>
      </c>
      <c r="S7" s="0" t="str">
        <f aca="false">IFERROR(IF(OR(HLOOKUP($A7,#REF!,17,FALSE())&gt;2,HLOOKUP($A7,#REF!,17,FALSE())&lt;-2),"",#REF!),"")</f>
        <v/>
      </c>
      <c r="T7" s="0" t="str">
        <f aca="false">IFERROR(IF(OR(HLOOKUP($A7,#REF!,18,FALSE())&gt;2,HLOOKUP($A7,#REF!,18,FALSE())&lt;-2),"",#REF!),"")</f>
        <v/>
      </c>
      <c r="U7" s="0" t="str">
        <f aca="false">IFERROR(IF(OR(HLOOKUP($A7,#REF!,19,FALSE())&gt;2,HLOOKUP($A7,#REF!,19,FALSE())&lt;-2),"",#REF!),"")</f>
        <v/>
      </c>
      <c r="V7" s="0" t="n">
        <f aca="false">IFERROR(IF(AND(X7=0,Y7=0),0,1),0)</f>
        <v>1</v>
      </c>
      <c r="W7" s="3" t="str">
        <f aca="false">IFERROR(_xlfn.T.TEST(E7:M7,N7:U7,2,2),"")</f>
        <v/>
      </c>
      <c r="X7" s="0" t="str">
        <f aca="false">IFERROR(AVERAGE(E7:M7),"")</f>
        <v/>
      </c>
      <c r="Y7" s="0" t="str">
        <f aca="false">IFERROR(AVERAGE(N7:U7),"")</f>
        <v/>
      </c>
    </row>
    <row r="8" customFormat="false" ht="14.5" hidden="false" customHeight="false" outlineLevel="0" collapsed="false">
      <c r="A8" s="0" t="n">
        <v>6</v>
      </c>
      <c r="B8" s="0" t="s">
        <v>101</v>
      </c>
      <c r="C8" s="0" t="n">
        <v>107000</v>
      </c>
      <c r="D8" s="0" t="n">
        <v>784</v>
      </c>
      <c r="E8" s="0" t="str">
        <f aca="false">IFERROR(IF(OR(HLOOKUP($A8,#REF!,3,FALSE())&gt;2,HLOOKUP(A8,#REF!,3,FALSE())&lt;-2),"",#REF!),"")</f>
        <v/>
      </c>
      <c r="F8" s="0" t="str">
        <f aca="false">IFERROR(IF(OR(HLOOKUP($A8,#REF!,4,FALSE())&gt;2,HLOOKUP($A8,#REF!,4,FALSE())&lt;-2),"",#REF!),"")</f>
        <v/>
      </c>
      <c r="G8" s="0" t="str">
        <f aca="false">IFERROR(IF(OR(HLOOKUP($A8,#REF!,5,FALSE())&gt;2,HLOOKUP($A8,#REF!,5,FALSE())&lt;-2),"",#REF!),"")</f>
        <v/>
      </c>
      <c r="H8" s="0" t="str">
        <f aca="false">IFERROR(IF(OR(HLOOKUP($A8,#REF!,6,FALSE())&gt;2,HLOOKUP($A8,#REF!,6,FALSE())&lt;-2),"",#REF!),"")</f>
        <v/>
      </c>
      <c r="I8" s="0" t="str">
        <f aca="false">IFERROR(IF(OR(HLOOKUP($A8,#REF!,7,FALSE())&gt;2,HLOOKUP($A8,#REF!,7,FALSE())&lt;-2),"",#REF!),"")</f>
        <v/>
      </c>
      <c r="J8" s="0" t="str">
        <f aca="false">IFERROR(IF(OR(HLOOKUP($A8,#REF!,8,FALSE())&gt;2,HLOOKUP($A8,#REF!,8,FALSE())&lt;-2),"",#REF!),"")</f>
        <v/>
      </c>
      <c r="K8" s="0" t="str">
        <f aca="false">IFERROR(IF(OR(HLOOKUP($A8,#REF!,9,FALSE())&gt;2,HLOOKUP($A8,#REF!,9,FALSE())&lt;-2),"",#REF!),"")</f>
        <v/>
      </c>
      <c r="L8" s="0" t="str">
        <f aca="false">IFERROR(IF(OR(HLOOKUP($A8,#REF!,10,FALSE())&gt;2,HLOOKUP($A8,#REF!,10,FALSE())&lt;-2),"",#REF!),"")</f>
        <v/>
      </c>
      <c r="M8" s="0" t="str">
        <f aca="false">IFERROR(IF(OR(HLOOKUP($A8,#REF!,11,FALSE())&gt;2,HLOOKUP($A8,#REF!,11,FALSE())&lt;-2),"",#REF!),"")</f>
        <v/>
      </c>
      <c r="N8" s="0" t="str">
        <f aca="false">IFERROR(IF(OR(HLOOKUP($A8,#REF!,12,FALSE())&gt;2,HLOOKUP($A8,#REF!,12,FALSE())&lt;-2),"",#REF!),"")</f>
        <v/>
      </c>
      <c r="O8" s="0" t="str">
        <f aca="false">IFERROR(IF(OR(HLOOKUP($A8,#REF!,13,FALSE())&gt;2,HLOOKUP($A8,#REF!,13,FALSE())&lt;-2),"",#REF!),"")</f>
        <v/>
      </c>
      <c r="P8" s="0" t="str">
        <f aca="false">IFERROR(IF(OR(HLOOKUP($A8,#REF!,14,FALSE())&gt;2,HLOOKUP($A8,#REF!,14,FALSE())&lt;-2),"",#REF!),"")</f>
        <v/>
      </c>
      <c r="Q8" s="0" t="str">
        <f aca="false">IFERROR(IF(OR(HLOOKUP($A8,#REF!,15,FALSE())&gt;2,HLOOKUP($A8,#REF!,15,FALSE())&lt;-2),"",#REF!),"")</f>
        <v/>
      </c>
      <c r="R8" s="0" t="str">
        <f aca="false">IFERROR(IF(OR(HLOOKUP($A8,#REF!,16,FALSE())&gt;2,HLOOKUP($A8,#REF!,16,FALSE())&lt;-2),"",#REF!),"")</f>
        <v/>
      </c>
      <c r="S8" s="0" t="str">
        <f aca="false">IFERROR(IF(OR(HLOOKUP($A8,#REF!,17,FALSE())&gt;2,HLOOKUP($A8,#REF!,17,FALSE())&lt;-2),"",#REF!),"")</f>
        <v/>
      </c>
      <c r="T8" s="0" t="str">
        <f aca="false">IFERROR(IF(OR(HLOOKUP($A8,#REF!,18,FALSE())&gt;2,HLOOKUP($A8,#REF!,18,FALSE())&lt;-2),"",#REF!),"")</f>
        <v/>
      </c>
      <c r="U8" s="0" t="str">
        <f aca="false">IFERROR(IF(OR(HLOOKUP($A8,#REF!,19,FALSE())&gt;2,HLOOKUP($A8,#REF!,19,FALSE())&lt;-2),"",#REF!),"")</f>
        <v/>
      </c>
      <c r="V8" s="0" t="n">
        <f aca="false">IFERROR(IF(AND(X8=0,Y8=0),0,1),0)</f>
        <v>1</v>
      </c>
      <c r="W8" s="3" t="str">
        <f aca="false">IFERROR(_xlfn.T.TEST(E8:M8,N8:U8,2,2),"")</f>
        <v/>
      </c>
      <c r="X8" s="0" t="str">
        <f aca="false">IFERROR(AVERAGE(E8:M8),"")</f>
        <v/>
      </c>
      <c r="Y8" s="0" t="str">
        <f aca="false">IFERROR(AVERAGE(N8:U8),"")</f>
        <v/>
      </c>
    </row>
    <row r="9" customFormat="false" ht="14.5" hidden="false" customHeight="false" outlineLevel="0" collapsed="false">
      <c r="A9" s="0" t="n">
        <v>7</v>
      </c>
      <c r="B9" s="0" t="s">
        <v>102</v>
      </c>
      <c r="C9" s="0" t="n">
        <v>85300</v>
      </c>
      <c r="D9" s="0" t="n">
        <v>1132</v>
      </c>
      <c r="E9" s="0" t="str">
        <f aca="false">IFERROR(IF(OR(HLOOKUP($A9,#REF!,3,FALSE())&gt;2,HLOOKUP(A9,#REF!,3,FALSE())&lt;-2),"",#REF!),"")</f>
        <v/>
      </c>
      <c r="F9" s="0" t="str">
        <f aca="false">IFERROR(IF(OR(HLOOKUP($A9,#REF!,4,FALSE())&gt;2,HLOOKUP($A9,#REF!,4,FALSE())&lt;-2),"",#REF!),"")</f>
        <v/>
      </c>
      <c r="G9" s="0" t="str">
        <f aca="false">IFERROR(IF(OR(HLOOKUP($A9,#REF!,5,FALSE())&gt;2,HLOOKUP($A9,#REF!,5,FALSE())&lt;-2),"",#REF!),"")</f>
        <v/>
      </c>
      <c r="H9" s="0" t="str">
        <f aca="false">IFERROR(IF(OR(HLOOKUP($A9,#REF!,6,FALSE())&gt;2,HLOOKUP($A9,#REF!,6,FALSE())&lt;-2),"",#REF!),"")</f>
        <v/>
      </c>
      <c r="I9" s="0" t="str">
        <f aca="false">IFERROR(IF(OR(HLOOKUP($A9,#REF!,7,FALSE())&gt;2,HLOOKUP($A9,#REF!,7,FALSE())&lt;-2),"",#REF!),"")</f>
        <v/>
      </c>
      <c r="J9" s="0" t="str">
        <f aca="false">IFERROR(IF(OR(HLOOKUP($A9,#REF!,8,FALSE())&gt;2,HLOOKUP($A9,#REF!,8,FALSE())&lt;-2),"",#REF!),"")</f>
        <v/>
      </c>
      <c r="K9" s="0" t="str">
        <f aca="false">IFERROR(IF(OR(HLOOKUP($A9,#REF!,9,FALSE())&gt;2,HLOOKUP($A9,#REF!,9,FALSE())&lt;-2),"",#REF!),"")</f>
        <v/>
      </c>
      <c r="L9" s="0" t="str">
        <f aca="false">IFERROR(IF(OR(HLOOKUP($A9,#REF!,10,FALSE())&gt;2,HLOOKUP($A9,#REF!,10,FALSE())&lt;-2),"",#REF!),"")</f>
        <v/>
      </c>
      <c r="M9" s="0" t="str">
        <f aca="false">IFERROR(IF(OR(HLOOKUP($A9,#REF!,11,FALSE())&gt;2,HLOOKUP($A9,#REF!,11,FALSE())&lt;-2),"",#REF!),"")</f>
        <v/>
      </c>
      <c r="N9" s="0" t="str">
        <f aca="false">IFERROR(IF(OR(HLOOKUP($A9,#REF!,12,FALSE())&gt;2,HLOOKUP($A9,#REF!,12,FALSE())&lt;-2),"",#REF!),"")</f>
        <v/>
      </c>
      <c r="O9" s="0" t="str">
        <f aca="false">IFERROR(IF(OR(HLOOKUP($A9,#REF!,13,FALSE())&gt;2,HLOOKUP($A9,#REF!,13,FALSE())&lt;-2),"",#REF!),"")</f>
        <v/>
      </c>
      <c r="P9" s="0" t="str">
        <f aca="false">IFERROR(IF(OR(HLOOKUP($A9,#REF!,14,FALSE())&gt;2,HLOOKUP($A9,#REF!,14,FALSE())&lt;-2),"",#REF!),"")</f>
        <v/>
      </c>
      <c r="Q9" s="0" t="str">
        <f aca="false">IFERROR(IF(OR(HLOOKUP($A9,#REF!,15,FALSE())&gt;2,HLOOKUP($A9,#REF!,15,FALSE())&lt;-2),"",#REF!),"")</f>
        <v/>
      </c>
      <c r="R9" s="0" t="str">
        <f aca="false">IFERROR(IF(OR(HLOOKUP($A9,#REF!,16,FALSE())&gt;2,HLOOKUP($A9,#REF!,16,FALSE())&lt;-2),"",#REF!),"")</f>
        <v/>
      </c>
      <c r="S9" s="0" t="str">
        <f aca="false">IFERROR(IF(OR(HLOOKUP($A9,#REF!,17,FALSE())&gt;2,HLOOKUP($A9,#REF!,17,FALSE())&lt;-2),"",#REF!),"")</f>
        <v/>
      </c>
      <c r="T9" s="0" t="str">
        <f aca="false">IFERROR(IF(OR(HLOOKUP($A9,#REF!,18,FALSE())&gt;2,HLOOKUP($A9,#REF!,18,FALSE())&lt;-2),"",#REF!),"")</f>
        <v/>
      </c>
      <c r="U9" s="0" t="str">
        <f aca="false">IFERROR(IF(OR(HLOOKUP($A9,#REF!,19,FALSE())&gt;2,HLOOKUP($A9,#REF!,19,FALSE())&lt;-2),"",#REF!),"")</f>
        <v/>
      </c>
      <c r="V9" s="0" t="n">
        <f aca="false">IFERROR(IF(AND(X9=0,Y9=0),0,1),0)</f>
        <v>1</v>
      </c>
      <c r="W9" s="3" t="str">
        <f aca="false">IFERROR(_xlfn.T.TEST(E9:M9,N9:U9,2,2),"")</f>
        <v/>
      </c>
      <c r="X9" s="0" t="str">
        <f aca="false">IFERROR(AVERAGE(E9:M9),"")</f>
        <v/>
      </c>
      <c r="Y9" s="0" t="str">
        <f aca="false">IFERROR(AVERAGE(N9:U9),"")</f>
        <v/>
      </c>
    </row>
    <row r="10" customFormat="false" ht="14.5" hidden="false" customHeight="false" outlineLevel="0" collapsed="false">
      <c r="A10" s="0" t="n">
        <v>8</v>
      </c>
      <c r="B10" s="0" t="s">
        <v>103</v>
      </c>
      <c r="C10" s="0" t="n">
        <v>100</v>
      </c>
      <c r="D10" s="0" t="n">
        <v>997</v>
      </c>
      <c r="E10" s="0" t="str">
        <f aca="false">IFERROR(IF(OR(HLOOKUP($A10,#REF!,3,FALSE())&gt;2,HLOOKUP(A10,#REF!,3,FALSE())&lt;-2),"",#REF!),"")</f>
        <v/>
      </c>
      <c r="F10" s="0" t="str">
        <f aca="false">IFERROR(IF(OR(HLOOKUP($A10,#REF!,4,FALSE())&gt;2,HLOOKUP($A10,#REF!,4,FALSE())&lt;-2),"",#REF!),"")</f>
        <v/>
      </c>
      <c r="G10" s="0" t="str">
        <f aca="false">IFERROR(IF(OR(HLOOKUP($A10,#REF!,5,FALSE())&gt;2,HLOOKUP($A10,#REF!,5,FALSE())&lt;-2),"",#REF!),"")</f>
        <v/>
      </c>
      <c r="H10" s="0" t="str">
        <f aca="false">IFERROR(IF(OR(HLOOKUP($A10,#REF!,6,FALSE())&gt;2,HLOOKUP($A10,#REF!,6,FALSE())&lt;-2),"",#REF!),"")</f>
        <v/>
      </c>
      <c r="I10" s="0" t="str">
        <f aca="false">IFERROR(IF(OR(HLOOKUP($A10,#REF!,7,FALSE())&gt;2,HLOOKUP($A10,#REF!,7,FALSE())&lt;-2),"",#REF!),"")</f>
        <v/>
      </c>
      <c r="J10" s="0" t="str">
        <f aca="false">IFERROR(IF(OR(HLOOKUP($A10,#REF!,8,FALSE())&gt;2,HLOOKUP($A10,#REF!,8,FALSE())&lt;-2),"",#REF!),"")</f>
        <v/>
      </c>
      <c r="K10" s="0" t="str">
        <f aca="false">IFERROR(IF(OR(HLOOKUP($A10,#REF!,9,FALSE())&gt;2,HLOOKUP($A10,#REF!,9,FALSE())&lt;-2),"",#REF!),"")</f>
        <v/>
      </c>
      <c r="L10" s="0" t="str">
        <f aca="false">IFERROR(IF(OR(HLOOKUP($A10,#REF!,10,FALSE())&gt;2,HLOOKUP($A10,#REF!,10,FALSE())&lt;-2),"",#REF!),"")</f>
        <v/>
      </c>
      <c r="M10" s="0" t="str">
        <f aca="false">IFERROR(IF(OR(HLOOKUP($A10,#REF!,11,FALSE())&gt;2,HLOOKUP($A10,#REF!,11,FALSE())&lt;-2),"",#REF!),"")</f>
        <v/>
      </c>
      <c r="N10" s="0" t="str">
        <f aca="false">IFERROR(IF(OR(HLOOKUP($A10,#REF!,12,FALSE())&gt;2,HLOOKUP($A10,#REF!,12,FALSE())&lt;-2),"",#REF!),"")</f>
        <v/>
      </c>
      <c r="O10" s="0" t="str">
        <f aca="false">IFERROR(IF(OR(HLOOKUP($A10,#REF!,13,FALSE())&gt;2,HLOOKUP($A10,#REF!,13,FALSE())&lt;-2),"",#REF!),"")</f>
        <v/>
      </c>
      <c r="P10" s="0" t="str">
        <f aca="false">IFERROR(IF(OR(HLOOKUP($A10,#REF!,14,FALSE())&gt;2,HLOOKUP($A10,#REF!,14,FALSE())&lt;-2),"",#REF!),"")</f>
        <v/>
      </c>
      <c r="Q10" s="0" t="str">
        <f aca="false">IFERROR(IF(OR(HLOOKUP($A10,#REF!,15,FALSE())&gt;2,HLOOKUP($A10,#REF!,15,FALSE())&lt;-2),"",#REF!),"")</f>
        <v/>
      </c>
      <c r="R10" s="0" t="str">
        <f aca="false">IFERROR(IF(OR(HLOOKUP($A10,#REF!,16,FALSE())&gt;2,HLOOKUP($A10,#REF!,16,FALSE())&lt;-2),"",#REF!),"")</f>
        <v/>
      </c>
      <c r="S10" s="0" t="str">
        <f aca="false">IFERROR(IF(OR(HLOOKUP($A10,#REF!,17,FALSE())&gt;2,HLOOKUP($A10,#REF!,17,FALSE())&lt;-2),"",#REF!),"")</f>
        <v/>
      </c>
      <c r="T10" s="0" t="str">
        <f aca="false">IFERROR(IF(OR(HLOOKUP($A10,#REF!,18,FALSE())&gt;2,HLOOKUP($A10,#REF!,18,FALSE())&lt;-2),"",#REF!),"")</f>
        <v/>
      </c>
      <c r="U10" s="0" t="str">
        <f aca="false">IFERROR(IF(OR(HLOOKUP($A10,#REF!,19,FALSE())&gt;2,HLOOKUP($A10,#REF!,19,FALSE())&lt;-2),"",#REF!),"")</f>
        <v/>
      </c>
      <c r="V10" s="0" t="n">
        <f aca="false">IFERROR(IF(AND(X10=0,Y10=0),0,1),0)</f>
        <v>1</v>
      </c>
      <c r="W10" s="3" t="str">
        <f aca="false">IFERROR(_xlfn.T.TEST(E10:M10,N10:U10,2,2),"")</f>
        <v/>
      </c>
      <c r="X10" s="0" t="str">
        <f aca="false">IFERROR(AVERAGE(E10:M10),"")</f>
        <v/>
      </c>
      <c r="Y10" s="0" t="str">
        <f aca="false">IFERROR(AVERAGE(N10:U10),"")</f>
        <v/>
      </c>
    </row>
    <row r="11" customFormat="false" ht="14.5" hidden="false" customHeight="false" outlineLevel="0" collapsed="false">
      <c r="A11" s="0" t="n">
        <v>9</v>
      </c>
      <c r="B11" s="0" t="s">
        <v>104</v>
      </c>
      <c r="C11" s="0" t="n">
        <v>7500</v>
      </c>
      <c r="D11" s="0" t="n">
        <v>361</v>
      </c>
      <c r="E11" s="0" t="str">
        <f aca="false">IFERROR(IF(OR(HLOOKUP($A11,#REF!,3,FALSE())&gt;2,HLOOKUP(A11,#REF!,3,FALSE())&lt;-2),"",#REF!),"")</f>
        <v/>
      </c>
      <c r="F11" s="0" t="str">
        <f aca="false">IFERROR(IF(OR(HLOOKUP($A11,#REF!,4,FALSE())&gt;2,HLOOKUP($A11,#REF!,4,FALSE())&lt;-2),"",#REF!),"")</f>
        <v/>
      </c>
      <c r="G11" s="0" t="str">
        <f aca="false">IFERROR(IF(OR(HLOOKUP($A11,#REF!,5,FALSE())&gt;2,HLOOKUP($A11,#REF!,5,FALSE())&lt;-2),"",#REF!),"")</f>
        <v/>
      </c>
      <c r="H11" s="0" t="str">
        <f aca="false">IFERROR(IF(OR(HLOOKUP($A11,#REF!,6,FALSE())&gt;2,HLOOKUP($A11,#REF!,6,FALSE())&lt;-2),"",#REF!),"")</f>
        <v/>
      </c>
      <c r="I11" s="0" t="str">
        <f aca="false">IFERROR(IF(OR(HLOOKUP($A11,#REF!,7,FALSE())&gt;2,HLOOKUP($A11,#REF!,7,FALSE())&lt;-2),"",#REF!),"")</f>
        <v/>
      </c>
      <c r="J11" s="0" t="str">
        <f aca="false">IFERROR(IF(OR(HLOOKUP($A11,#REF!,8,FALSE())&gt;2,HLOOKUP($A11,#REF!,8,FALSE())&lt;-2),"",#REF!),"")</f>
        <v/>
      </c>
      <c r="K11" s="0" t="str">
        <f aca="false">IFERROR(IF(OR(HLOOKUP($A11,#REF!,9,FALSE())&gt;2,HLOOKUP($A11,#REF!,9,FALSE())&lt;-2),"",#REF!),"")</f>
        <v/>
      </c>
      <c r="L11" s="0" t="str">
        <f aca="false">IFERROR(IF(OR(HLOOKUP($A11,#REF!,10,FALSE())&gt;2,HLOOKUP($A11,#REF!,10,FALSE())&lt;-2),"",#REF!),"")</f>
        <v/>
      </c>
      <c r="M11" s="0" t="str">
        <f aca="false">IFERROR(IF(OR(HLOOKUP($A11,#REF!,11,FALSE())&gt;2,HLOOKUP($A11,#REF!,11,FALSE())&lt;-2),"",#REF!),"")</f>
        <v/>
      </c>
      <c r="N11" s="0" t="str">
        <f aca="false">IFERROR(IF(OR(HLOOKUP($A11,#REF!,12,FALSE())&gt;2,HLOOKUP($A11,#REF!,12,FALSE())&lt;-2),"",#REF!),"")</f>
        <v/>
      </c>
      <c r="O11" s="0" t="str">
        <f aca="false">IFERROR(IF(OR(HLOOKUP($A11,#REF!,13,FALSE())&gt;2,HLOOKUP($A11,#REF!,13,FALSE())&lt;-2),"",#REF!),"")</f>
        <v/>
      </c>
      <c r="P11" s="0" t="str">
        <f aca="false">IFERROR(IF(OR(HLOOKUP($A11,#REF!,14,FALSE())&gt;2,HLOOKUP($A11,#REF!,14,FALSE())&lt;-2),"",#REF!),"")</f>
        <v/>
      </c>
      <c r="Q11" s="0" t="str">
        <f aca="false">IFERROR(IF(OR(HLOOKUP($A11,#REF!,15,FALSE())&gt;2,HLOOKUP($A11,#REF!,15,FALSE())&lt;-2),"",#REF!),"")</f>
        <v/>
      </c>
      <c r="R11" s="0" t="str">
        <f aca="false">IFERROR(IF(OR(HLOOKUP($A11,#REF!,16,FALSE())&gt;2,HLOOKUP($A11,#REF!,16,FALSE())&lt;-2),"",#REF!),"")</f>
        <v/>
      </c>
      <c r="S11" s="0" t="str">
        <f aca="false">IFERROR(IF(OR(HLOOKUP($A11,#REF!,17,FALSE())&gt;2,HLOOKUP($A11,#REF!,17,FALSE())&lt;-2),"",#REF!),"")</f>
        <v/>
      </c>
      <c r="T11" s="0" t="str">
        <f aca="false">IFERROR(IF(OR(HLOOKUP($A11,#REF!,18,FALSE())&gt;2,HLOOKUP($A11,#REF!,18,FALSE())&lt;-2),"",#REF!),"")</f>
        <v/>
      </c>
      <c r="U11" s="0" t="str">
        <f aca="false">IFERROR(IF(OR(HLOOKUP($A11,#REF!,19,FALSE())&gt;2,HLOOKUP($A11,#REF!,19,FALSE())&lt;-2),"",#REF!),"")</f>
        <v/>
      </c>
      <c r="V11" s="0" t="n">
        <f aca="false">IFERROR(IF(AND(X11=0,Y11=0),0,1),0)</f>
        <v>1</v>
      </c>
      <c r="W11" s="3" t="str">
        <f aca="false">IFERROR(_xlfn.T.TEST(E11:M11,N11:U11,2,2),"")</f>
        <v/>
      </c>
      <c r="X11" s="0" t="str">
        <f aca="false">IFERROR(AVERAGE(E11:M11),"")</f>
        <v/>
      </c>
      <c r="Y11" s="0" t="str">
        <f aca="false">IFERROR(AVERAGE(N11:U11),"")</f>
        <v/>
      </c>
    </row>
    <row r="12" customFormat="false" ht="14.5" hidden="false" customHeight="false" outlineLevel="0" collapsed="false">
      <c r="A12" s="0" t="n">
        <v>10</v>
      </c>
      <c r="B12" s="0" t="s">
        <v>105</v>
      </c>
      <c r="C12" s="0" t="n">
        <v>81100</v>
      </c>
      <c r="D12" s="0" t="n">
        <v>294</v>
      </c>
      <c r="E12" s="0" t="str">
        <f aca="false">IFERROR(IF(OR(HLOOKUP($A12,#REF!,3,FALSE())&gt;2,HLOOKUP(A12,#REF!,3,FALSE())&lt;-2),"",#REF!),"")</f>
        <v/>
      </c>
      <c r="F12" s="0" t="str">
        <f aca="false">IFERROR(IF(OR(HLOOKUP($A12,#REF!,4,FALSE())&gt;2,HLOOKUP($A12,#REF!,4,FALSE())&lt;-2),"",#REF!),"")</f>
        <v/>
      </c>
      <c r="G12" s="0" t="str">
        <f aca="false">IFERROR(IF(OR(HLOOKUP($A12,#REF!,5,FALSE())&gt;2,HLOOKUP($A12,#REF!,5,FALSE())&lt;-2),"",#REF!),"")</f>
        <v/>
      </c>
      <c r="H12" s="0" t="str">
        <f aca="false">IFERROR(IF(OR(HLOOKUP($A12,#REF!,6,FALSE())&gt;2,HLOOKUP($A12,#REF!,6,FALSE())&lt;-2),"",#REF!),"")</f>
        <v/>
      </c>
      <c r="I12" s="0" t="str">
        <f aca="false">IFERROR(IF(OR(HLOOKUP($A12,#REF!,7,FALSE())&gt;2,HLOOKUP($A12,#REF!,7,FALSE())&lt;-2),"",#REF!),"")</f>
        <v/>
      </c>
      <c r="J12" s="0" t="str">
        <f aca="false">IFERROR(IF(OR(HLOOKUP($A12,#REF!,8,FALSE())&gt;2,HLOOKUP($A12,#REF!,8,FALSE())&lt;-2),"",#REF!),"")</f>
        <v/>
      </c>
      <c r="K12" s="0" t="str">
        <f aca="false">IFERROR(IF(OR(HLOOKUP($A12,#REF!,9,FALSE())&gt;2,HLOOKUP($A12,#REF!,9,FALSE())&lt;-2),"",#REF!),"")</f>
        <v/>
      </c>
      <c r="L12" s="0" t="str">
        <f aca="false">IFERROR(IF(OR(HLOOKUP($A12,#REF!,10,FALSE())&gt;2,HLOOKUP($A12,#REF!,10,FALSE())&lt;-2),"",#REF!),"")</f>
        <v/>
      </c>
      <c r="M12" s="0" t="str">
        <f aca="false">IFERROR(IF(OR(HLOOKUP($A12,#REF!,11,FALSE())&gt;2,HLOOKUP($A12,#REF!,11,FALSE())&lt;-2),"",#REF!),"")</f>
        <v/>
      </c>
      <c r="N12" s="0" t="str">
        <f aca="false">IFERROR(IF(OR(HLOOKUP($A12,#REF!,12,FALSE())&gt;2,HLOOKUP($A12,#REF!,12,FALSE())&lt;-2),"",#REF!),"")</f>
        <v/>
      </c>
      <c r="O12" s="0" t="str">
        <f aca="false">IFERROR(IF(OR(HLOOKUP($A12,#REF!,13,FALSE())&gt;2,HLOOKUP($A12,#REF!,13,FALSE())&lt;-2),"",#REF!),"")</f>
        <v/>
      </c>
      <c r="P12" s="0" t="str">
        <f aca="false">IFERROR(IF(OR(HLOOKUP($A12,#REF!,14,FALSE())&gt;2,HLOOKUP($A12,#REF!,14,FALSE())&lt;-2),"",#REF!),"")</f>
        <v/>
      </c>
      <c r="Q12" s="0" t="str">
        <f aca="false">IFERROR(IF(OR(HLOOKUP($A12,#REF!,15,FALSE())&gt;2,HLOOKUP($A12,#REF!,15,FALSE())&lt;-2),"",#REF!),"")</f>
        <v/>
      </c>
      <c r="R12" s="0" t="str">
        <f aca="false">IFERROR(IF(OR(HLOOKUP($A12,#REF!,16,FALSE())&gt;2,HLOOKUP($A12,#REF!,16,FALSE())&lt;-2),"",#REF!),"")</f>
        <v/>
      </c>
      <c r="S12" s="0" t="str">
        <f aca="false">IFERROR(IF(OR(HLOOKUP($A12,#REF!,17,FALSE())&gt;2,HLOOKUP($A12,#REF!,17,FALSE())&lt;-2),"",#REF!),"")</f>
        <v/>
      </c>
      <c r="T12" s="0" t="str">
        <f aca="false">IFERROR(IF(OR(HLOOKUP($A12,#REF!,18,FALSE())&gt;2,HLOOKUP($A12,#REF!,18,FALSE())&lt;-2),"",#REF!),"")</f>
        <v/>
      </c>
      <c r="U12" s="0" t="str">
        <f aca="false">IFERROR(IF(OR(HLOOKUP($A12,#REF!,19,FALSE())&gt;2,HLOOKUP($A12,#REF!,19,FALSE())&lt;-2),"",#REF!),"")</f>
        <v/>
      </c>
      <c r="V12" s="0" t="n">
        <f aca="false">IFERROR(IF(AND(X12=0,Y12=0),0,1),0)</f>
        <v>1</v>
      </c>
      <c r="W12" s="3" t="str">
        <f aca="false">IFERROR(_xlfn.T.TEST(E12:M12,N12:U12,2,2),"")</f>
        <v/>
      </c>
      <c r="X12" s="0" t="str">
        <f aca="false">IFERROR(AVERAGE(E12:M12),"")</f>
        <v/>
      </c>
      <c r="Y12" s="0" t="str">
        <f aca="false">IFERROR(AVERAGE(N12:U12),"")</f>
        <v/>
      </c>
    </row>
    <row r="13" customFormat="false" ht="14.5" hidden="false" customHeight="false" outlineLevel="0" collapsed="false">
      <c r="A13" s="0" t="n">
        <v>11</v>
      </c>
      <c r="B13" s="0" t="s">
        <v>106</v>
      </c>
      <c r="C13" s="0" t="n">
        <v>118300</v>
      </c>
      <c r="D13" s="0" t="n">
        <v>1040</v>
      </c>
      <c r="E13" s="0" t="str">
        <f aca="false">IFERROR(IF(OR(HLOOKUP($A13,#REF!,3,FALSE())&gt;2,HLOOKUP(A13,#REF!,3,FALSE())&lt;-2),"",#REF!),"")</f>
        <v/>
      </c>
      <c r="F13" s="0" t="str">
        <f aca="false">IFERROR(IF(OR(HLOOKUP($A13,#REF!,4,FALSE())&gt;2,HLOOKUP($A13,#REF!,4,FALSE())&lt;-2),"",#REF!),"")</f>
        <v/>
      </c>
      <c r="G13" s="0" t="str">
        <f aca="false">IFERROR(IF(OR(HLOOKUP($A13,#REF!,5,FALSE())&gt;2,HLOOKUP($A13,#REF!,5,FALSE())&lt;-2),"",#REF!),"")</f>
        <v/>
      </c>
      <c r="H13" s="0" t="str">
        <f aca="false">IFERROR(IF(OR(HLOOKUP($A13,#REF!,6,FALSE())&gt;2,HLOOKUP($A13,#REF!,6,FALSE())&lt;-2),"",#REF!),"")</f>
        <v/>
      </c>
      <c r="I13" s="0" t="str">
        <f aca="false">IFERROR(IF(OR(HLOOKUP($A13,#REF!,7,FALSE())&gt;2,HLOOKUP($A13,#REF!,7,FALSE())&lt;-2),"",#REF!),"")</f>
        <v/>
      </c>
      <c r="J13" s="0" t="str">
        <f aca="false">IFERROR(IF(OR(HLOOKUP($A13,#REF!,8,FALSE())&gt;2,HLOOKUP($A13,#REF!,8,FALSE())&lt;-2),"",#REF!),"")</f>
        <v/>
      </c>
      <c r="K13" s="0" t="str">
        <f aca="false">IFERROR(IF(OR(HLOOKUP($A13,#REF!,9,FALSE())&gt;2,HLOOKUP($A13,#REF!,9,FALSE())&lt;-2),"",#REF!),"")</f>
        <v/>
      </c>
      <c r="L13" s="0" t="str">
        <f aca="false">IFERROR(IF(OR(HLOOKUP($A13,#REF!,10,FALSE())&gt;2,HLOOKUP($A13,#REF!,10,FALSE())&lt;-2),"",#REF!),"")</f>
        <v/>
      </c>
      <c r="M13" s="0" t="str">
        <f aca="false">IFERROR(IF(OR(HLOOKUP($A13,#REF!,11,FALSE())&gt;2,HLOOKUP($A13,#REF!,11,FALSE())&lt;-2),"",#REF!),"")</f>
        <v/>
      </c>
      <c r="N13" s="0" t="str">
        <f aca="false">IFERROR(IF(OR(HLOOKUP($A13,#REF!,12,FALSE())&gt;2,HLOOKUP($A13,#REF!,12,FALSE())&lt;-2),"",#REF!),"")</f>
        <v/>
      </c>
      <c r="O13" s="0" t="str">
        <f aca="false">IFERROR(IF(OR(HLOOKUP($A13,#REF!,13,FALSE())&gt;2,HLOOKUP($A13,#REF!,13,FALSE())&lt;-2),"",#REF!),"")</f>
        <v/>
      </c>
      <c r="P13" s="0" t="str">
        <f aca="false">IFERROR(IF(OR(HLOOKUP($A13,#REF!,14,FALSE())&gt;2,HLOOKUP($A13,#REF!,14,FALSE())&lt;-2),"",#REF!),"")</f>
        <v/>
      </c>
      <c r="Q13" s="0" t="str">
        <f aca="false">IFERROR(IF(OR(HLOOKUP($A13,#REF!,15,FALSE())&gt;2,HLOOKUP($A13,#REF!,15,FALSE())&lt;-2),"",#REF!),"")</f>
        <v/>
      </c>
      <c r="R13" s="0" t="str">
        <f aca="false">IFERROR(IF(OR(HLOOKUP($A13,#REF!,16,FALSE())&gt;2,HLOOKUP($A13,#REF!,16,FALSE())&lt;-2),"",#REF!),"")</f>
        <v/>
      </c>
      <c r="S13" s="0" t="str">
        <f aca="false">IFERROR(IF(OR(HLOOKUP($A13,#REF!,17,FALSE())&gt;2,HLOOKUP($A13,#REF!,17,FALSE())&lt;-2),"",#REF!),"")</f>
        <v/>
      </c>
      <c r="T13" s="0" t="str">
        <f aca="false">IFERROR(IF(OR(HLOOKUP($A13,#REF!,18,FALSE())&gt;2,HLOOKUP($A13,#REF!,18,FALSE())&lt;-2),"",#REF!),"")</f>
        <v/>
      </c>
      <c r="U13" s="0" t="str">
        <f aca="false">IFERROR(IF(OR(HLOOKUP($A13,#REF!,19,FALSE())&gt;2,HLOOKUP($A13,#REF!,19,FALSE())&lt;-2),"",#REF!),"")</f>
        <v/>
      </c>
      <c r="V13" s="0" t="n">
        <f aca="false">IFERROR(IF(AND(X13=0,Y13=0),0,1),0)</f>
        <v>1</v>
      </c>
      <c r="W13" s="3" t="str">
        <f aca="false">IFERROR(_xlfn.T.TEST(E13:M13,N13:U13,2,2),"")</f>
        <v/>
      </c>
      <c r="X13" s="0" t="str">
        <f aca="false">IFERROR(AVERAGE(E13:M13),"")</f>
        <v/>
      </c>
      <c r="Y13" s="0" t="str">
        <f aca="false">IFERROR(AVERAGE(N13:U13),"")</f>
        <v/>
      </c>
    </row>
    <row r="14" customFormat="false" ht="14.5" hidden="false" customHeight="false" outlineLevel="0" collapsed="false">
      <c r="A14" s="0" t="n">
        <v>12</v>
      </c>
      <c r="B14" s="0" t="s">
        <v>107</v>
      </c>
      <c r="C14" s="0" t="n">
        <v>84100</v>
      </c>
      <c r="D14" s="0" t="n">
        <v>165</v>
      </c>
      <c r="E14" s="0" t="str">
        <f aca="false">IFERROR(IF(OR(HLOOKUP($A14,#REF!,3,FALSE())&gt;2,HLOOKUP(A14,#REF!,3,FALSE())&lt;-2),"",#REF!),"")</f>
        <v/>
      </c>
      <c r="F14" s="0" t="str">
        <f aca="false">IFERROR(IF(OR(HLOOKUP($A14,#REF!,4,FALSE())&gt;2,HLOOKUP($A14,#REF!,4,FALSE())&lt;-2),"",#REF!),"")</f>
        <v/>
      </c>
      <c r="G14" s="0" t="str">
        <f aca="false">IFERROR(IF(OR(HLOOKUP($A14,#REF!,5,FALSE())&gt;2,HLOOKUP($A14,#REF!,5,FALSE())&lt;-2),"",#REF!),"")</f>
        <v/>
      </c>
      <c r="H14" s="0" t="str">
        <f aca="false">IFERROR(IF(OR(HLOOKUP($A14,#REF!,6,FALSE())&gt;2,HLOOKUP($A14,#REF!,6,FALSE())&lt;-2),"",#REF!),"")</f>
        <v/>
      </c>
      <c r="I14" s="0" t="str">
        <f aca="false">IFERROR(IF(OR(HLOOKUP($A14,#REF!,7,FALSE())&gt;2,HLOOKUP($A14,#REF!,7,FALSE())&lt;-2),"",#REF!),"")</f>
        <v/>
      </c>
      <c r="J14" s="0" t="str">
        <f aca="false">IFERROR(IF(OR(HLOOKUP($A14,#REF!,8,FALSE())&gt;2,HLOOKUP($A14,#REF!,8,FALSE())&lt;-2),"",#REF!),"")</f>
        <v/>
      </c>
      <c r="K14" s="0" t="str">
        <f aca="false">IFERROR(IF(OR(HLOOKUP($A14,#REF!,9,FALSE())&gt;2,HLOOKUP($A14,#REF!,9,FALSE())&lt;-2),"",#REF!),"")</f>
        <v/>
      </c>
      <c r="L14" s="0" t="str">
        <f aca="false">IFERROR(IF(OR(HLOOKUP($A14,#REF!,10,FALSE())&gt;2,HLOOKUP($A14,#REF!,10,FALSE())&lt;-2),"",#REF!),"")</f>
        <v/>
      </c>
      <c r="M14" s="0" t="str">
        <f aca="false">IFERROR(IF(OR(HLOOKUP($A14,#REF!,11,FALSE())&gt;2,HLOOKUP($A14,#REF!,11,FALSE())&lt;-2),"",#REF!),"")</f>
        <v/>
      </c>
      <c r="N14" s="0" t="str">
        <f aca="false">IFERROR(IF(OR(HLOOKUP($A14,#REF!,12,FALSE())&gt;2,HLOOKUP($A14,#REF!,12,FALSE())&lt;-2),"",#REF!),"")</f>
        <v/>
      </c>
      <c r="O14" s="0" t="str">
        <f aca="false">IFERROR(IF(OR(HLOOKUP($A14,#REF!,13,FALSE())&gt;2,HLOOKUP($A14,#REF!,13,FALSE())&lt;-2),"",#REF!),"")</f>
        <v/>
      </c>
      <c r="P14" s="0" t="str">
        <f aca="false">IFERROR(IF(OR(HLOOKUP($A14,#REF!,14,FALSE())&gt;2,HLOOKUP($A14,#REF!,14,FALSE())&lt;-2),"",#REF!),"")</f>
        <v/>
      </c>
      <c r="Q14" s="0" t="str">
        <f aca="false">IFERROR(IF(OR(HLOOKUP($A14,#REF!,15,FALSE())&gt;2,HLOOKUP($A14,#REF!,15,FALSE())&lt;-2),"",#REF!),"")</f>
        <v/>
      </c>
      <c r="R14" s="0" t="str">
        <f aca="false">IFERROR(IF(OR(HLOOKUP($A14,#REF!,16,FALSE())&gt;2,HLOOKUP($A14,#REF!,16,FALSE())&lt;-2),"",#REF!),"")</f>
        <v/>
      </c>
      <c r="S14" s="0" t="str">
        <f aca="false">IFERROR(IF(OR(HLOOKUP($A14,#REF!,17,FALSE())&gt;2,HLOOKUP($A14,#REF!,17,FALSE())&lt;-2),"",#REF!),"")</f>
        <v/>
      </c>
      <c r="T14" s="0" t="str">
        <f aca="false">IFERROR(IF(OR(HLOOKUP($A14,#REF!,18,FALSE())&gt;2,HLOOKUP($A14,#REF!,18,FALSE())&lt;-2),"",#REF!),"")</f>
        <v/>
      </c>
      <c r="U14" s="0" t="str">
        <f aca="false">IFERROR(IF(OR(HLOOKUP($A14,#REF!,19,FALSE())&gt;2,HLOOKUP($A14,#REF!,19,FALSE())&lt;-2),"",#REF!),"")</f>
        <v/>
      </c>
      <c r="V14" s="0" t="n">
        <f aca="false">IFERROR(IF(AND(X14=0,Y14=0),0,1),0)</f>
        <v>1</v>
      </c>
      <c r="W14" s="3" t="str">
        <f aca="false">IFERROR(_xlfn.T.TEST(E14:M14,N14:U14,2,2),"")</f>
        <v/>
      </c>
      <c r="X14" s="0" t="str">
        <f aca="false">IFERROR(AVERAGE(E14:M14),"")</f>
        <v/>
      </c>
      <c r="Y14" s="0" t="str">
        <f aca="false">IFERROR(AVERAGE(N14:U14),"")</f>
        <v/>
      </c>
    </row>
    <row r="15" customFormat="false" ht="14.5" hidden="false" customHeight="false" outlineLevel="0" collapsed="false">
      <c r="A15" s="0" t="n">
        <v>14</v>
      </c>
      <c r="B15" s="0" t="s">
        <v>108</v>
      </c>
      <c r="C15" s="0" t="n">
        <v>108200</v>
      </c>
      <c r="D15" s="0" t="n">
        <v>896</v>
      </c>
      <c r="E15" s="0" t="str">
        <f aca="false">IFERROR(IF(OR(HLOOKUP($A15,#REF!,3,FALSE())&gt;2,HLOOKUP(A15,#REF!,3,FALSE())&lt;-2),"",#REF!),"")</f>
        <v/>
      </c>
      <c r="F15" s="0" t="str">
        <f aca="false">IFERROR(IF(OR(HLOOKUP($A15,#REF!,4,FALSE())&gt;2,HLOOKUP($A15,#REF!,4,FALSE())&lt;-2),"",#REF!),"")</f>
        <v/>
      </c>
      <c r="G15" s="0" t="str">
        <f aca="false">IFERROR(IF(OR(HLOOKUP($A15,#REF!,5,FALSE())&gt;2,HLOOKUP($A15,#REF!,5,FALSE())&lt;-2),"",#REF!),"")</f>
        <v/>
      </c>
      <c r="H15" s="0" t="str">
        <f aca="false">IFERROR(IF(OR(HLOOKUP($A15,#REF!,6,FALSE())&gt;2,HLOOKUP($A15,#REF!,6,FALSE())&lt;-2),"",#REF!),"")</f>
        <v/>
      </c>
      <c r="I15" s="0" t="str">
        <f aca="false">IFERROR(IF(OR(HLOOKUP($A15,#REF!,7,FALSE())&gt;2,HLOOKUP($A15,#REF!,7,FALSE())&lt;-2),"",#REF!),"")</f>
        <v/>
      </c>
      <c r="J15" s="0" t="str">
        <f aca="false">IFERROR(IF(OR(HLOOKUP($A15,#REF!,8,FALSE())&gt;2,HLOOKUP($A15,#REF!,8,FALSE())&lt;-2),"",#REF!),"")</f>
        <v/>
      </c>
      <c r="K15" s="0" t="str">
        <f aca="false">IFERROR(IF(OR(HLOOKUP($A15,#REF!,9,FALSE())&gt;2,HLOOKUP($A15,#REF!,9,FALSE())&lt;-2),"",#REF!),"")</f>
        <v/>
      </c>
      <c r="L15" s="0" t="str">
        <f aca="false">IFERROR(IF(OR(HLOOKUP($A15,#REF!,10,FALSE())&gt;2,HLOOKUP($A15,#REF!,10,FALSE())&lt;-2),"",#REF!),"")</f>
        <v/>
      </c>
      <c r="M15" s="0" t="str">
        <f aca="false">IFERROR(IF(OR(HLOOKUP($A15,#REF!,11,FALSE())&gt;2,HLOOKUP($A15,#REF!,11,FALSE())&lt;-2),"",#REF!),"")</f>
        <v/>
      </c>
      <c r="N15" s="0" t="str">
        <f aca="false">IFERROR(IF(OR(HLOOKUP($A15,#REF!,12,FALSE())&gt;2,HLOOKUP($A15,#REF!,12,FALSE())&lt;-2),"",#REF!),"")</f>
        <v/>
      </c>
      <c r="O15" s="0" t="str">
        <f aca="false">IFERROR(IF(OR(HLOOKUP($A15,#REF!,13,FALSE())&gt;2,HLOOKUP($A15,#REF!,13,FALSE())&lt;-2),"",#REF!),"")</f>
        <v/>
      </c>
      <c r="P15" s="0" t="str">
        <f aca="false">IFERROR(IF(OR(HLOOKUP($A15,#REF!,14,FALSE())&gt;2,HLOOKUP($A15,#REF!,14,FALSE())&lt;-2),"",#REF!),"")</f>
        <v/>
      </c>
      <c r="Q15" s="0" t="str">
        <f aca="false">IFERROR(IF(OR(HLOOKUP($A15,#REF!,15,FALSE())&gt;2,HLOOKUP($A15,#REF!,15,FALSE())&lt;-2),"",#REF!),"")</f>
        <v/>
      </c>
      <c r="R15" s="0" t="str">
        <f aca="false">IFERROR(IF(OR(HLOOKUP($A15,#REF!,16,FALSE())&gt;2,HLOOKUP($A15,#REF!,16,FALSE())&lt;-2),"",#REF!),"")</f>
        <v/>
      </c>
      <c r="S15" s="0" t="str">
        <f aca="false">IFERROR(IF(OR(HLOOKUP($A15,#REF!,17,FALSE())&gt;2,HLOOKUP($A15,#REF!,17,FALSE())&lt;-2),"",#REF!),"")</f>
        <v/>
      </c>
      <c r="T15" s="0" t="str">
        <f aca="false">IFERROR(IF(OR(HLOOKUP($A15,#REF!,18,FALSE())&gt;2,HLOOKUP($A15,#REF!,18,FALSE())&lt;-2),"",#REF!),"")</f>
        <v/>
      </c>
      <c r="U15" s="0" t="str">
        <f aca="false">IFERROR(IF(OR(HLOOKUP($A15,#REF!,19,FALSE())&gt;2,HLOOKUP($A15,#REF!,19,FALSE())&lt;-2),"",#REF!),"")</f>
        <v/>
      </c>
      <c r="V15" s="0" t="n">
        <f aca="false">IFERROR(IF(AND(X15=0,Y15=0),0,1),0)</f>
        <v>1</v>
      </c>
      <c r="W15" s="3" t="str">
        <f aca="false">IFERROR(_xlfn.T.TEST(E15:M15,N15:U15,2,2),"")</f>
        <v/>
      </c>
      <c r="X15" s="0" t="str">
        <f aca="false">IFERROR(AVERAGE(E15:M15),"")</f>
        <v/>
      </c>
      <c r="Y15" s="0" t="str">
        <f aca="false">IFERROR(AVERAGE(N15:U15),"")</f>
        <v/>
      </c>
    </row>
    <row r="16" customFormat="false" ht="14.5" hidden="false" customHeight="false" outlineLevel="0" collapsed="false">
      <c r="A16" s="0" t="n">
        <v>15</v>
      </c>
      <c r="B16" s="0" t="s">
        <v>109</v>
      </c>
      <c r="C16" s="0" t="n">
        <v>68100</v>
      </c>
      <c r="D16" s="0" t="n">
        <v>571</v>
      </c>
      <c r="E16" s="0" t="str">
        <f aca="false">IFERROR(IF(OR(HLOOKUP($A16,#REF!,3,FALSE())&gt;2,HLOOKUP(A16,#REF!,3,FALSE())&lt;-2),"",#REF!),"")</f>
        <v/>
      </c>
      <c r="F16" s="0" t="str">
        <f aca="false">IFERROR(IF(OR(HLOOKUP($A16,#REF!,4,FALSE())&gt;2,HLOOKUP($A16,#REF!,4,FALSE())&lt;-2),"",#REF!),"")</f>
        <v/>
      </c>
      <c r="G16" s="0" t="str">
        <f aca="false">IFERROR(IF(OR(HLOOKUP($A16,#REF!,5,FALSE())&gt;2,HLOOKUP($A16,#REF!,5,FALSE())&lt;-2),"",#REF!),"")</f>
        <v/>
      </c>
      <c r="H16" s="0" t="str">
        <f aca="false">IFERROR(IF(OR(HLOOKUP($A16,#REF!,6,FALSE())&gt;2,HLOOKUP($A16,#REF!,6,FALSE())&lt;-2),"",#REF!),"")</f>
        <v/>
      </c>
      <c r="I16" s="0" t="str">
        <f aca="false">IFERROR(IF(OR(HLOOKUP($A16,#REF!,7,FALSE())&gt;2,HLOOKUP($A16,#REF!,7,FALSE())&lt;-2),"",#REF!),"")</f>
        <v/>
      </c>
      <c r="J16" s="0" t="str">
        <f aca="false">IFERROR(IF(OR(HLOOKUP($A16,#REF!,8,FALSE())&gt;2,HLOOKUP($A16,#REF!,8,FALSE())&lt;-2),"",#REF!),"")</f>
        <v/>
      </c>
      <c r="K16" s="0" t="str">
        <f aca="false">IFERROR(IF(OR(HLOOKUP($A16,#REF!,9,FALSE())&gt;2,HLOOKUP($A16,#REF!,9,FALSE())&lt;-2),"",#REF!),"")</f>
        <v/>
      </c>
      <c r="L16" s="0" t="str">
        <f aca="false">IFERROR(IF(OR(HLOOKUP($A16,#REF!,10,FALSE())&gt;2,HLOOKUP($A16,#REF!,10,FALSE())&lt;-2),"",#REF!),"")</f>
        <v/>
      </c>
      <c r="M16" s="0" t="str">
        <f aca="false">IFERROR(IF(OR(HLOOKUP($A16,#REF!,11,FALSE())&gt;2,HLOOKUP($A16,#REF!,11,FALSE())&lt;-2),"",#REF!),"")</f>
        <v/>
      </c>
      <c r="N16" s="0" t="str">
        <f aca="false">IFERROR(IF(OR(HLOOKUP($A16,#REF!,12,FALSE())&gt;2,HLOOKUP($A16,#REF!,12,FALSE())&lt;-2),"",#REF!),"")</f>
        <v/>
      </c>
      <c r="O16" s="0" t="str">
        <f aca="false">IFERROR(IF(OR(HLOOKUP($A16,#REF!,13,FALSE())&gt;2,HLOOKUP($A16,#REF!,13,FALSE())&lt;-2),"",#REF!),"")</f>
        <v/>
      </c>
      <c r="P16" s="0" t="str">
        <f aca="false">IFERROR(IF(OR(HLOOKUP($A16,#REF!,14,FALSE())&gt;2,HLOOKUP($A16,#REF!,14,FALSE())&lt;-2),"",#REF!),"")</f>
        <v/>
      </c>
      <c r="Q16" s="0" t="str">
        <f aca="false">IFERROR(IF(OR(HLOOKUP($A16,#REF!,15,FALSE())&gt;2,HLOOKUP($A16,#REF!,15,FALSE())&lt;-2),"",#REF!),"")</f>
        <v/>
      </c>
      <c r="R16" s="0" t="str">
        <f aca="false">IFERROR(IF(OR(HLOOKUP($A16,#REF!,16,FALSE())&gt;2,HLOOKUP($A16,#REF!,16,FALSE())&lt;-2),"",#REF!),"")</f>
        <v/>
      </c>
      <c r="S16" s="0" t="str">
        <f aca="false">IFERROR(IF(OR(HLOOKUP($A16,#REF!,17,FALSE())&gt;2,HLOOKUP($A16,#REF!,17,FALSE())&lt;-2),"",#REF!),"")</f>
        <v/>
      </c>
      <c r="T16" s="0" t="str">
        <f aca="false">IFERROR(IF(OR(HLOOKUP($A16,#REF!,18,FALSE())&gt;2,HLOOKUP($A16,#REF!,18,FALSE())&lt;-2),"",#REF!),"")</f>
        <v/>
      </c>
      <c r="U16" s="0" t="str">
        <f aca="false">IFERROR(IF(OR(HLOOKUP($A16,#REF!,19,FALSE())&gt;2,HLOOKUP($A16,#REF!,19,FALSE())&lt;-2),"",#REF!),"")</f>
        <v/>
      </c>
      <c r="V16" s="0" t="n">
        <f aca="false">IFERROR(IF(AND(X16=0,Y16=0),0,1),0)</f>
        <v>1</v>
      </c>
      <c r="W16" s="3" t="str">
        <f aca="false">IFERROR(_xlfn.T.TEST(E16:M16,N16:U16,2,2),"")</f>
        <v/>
      </c>
      <c r="X16" s="0" t="str">
        <f aca="false">IFERROR(AVERAGE(E16:M16),"")</f>
        <v/>
      </c>
      <c r="Y16" s="0" t="str">
        <f aca="false">IFERROR(AVERAGE(N16:U16),"")</f>
        <v/>
      </c>
    </row>
    <row r="17" customFormat="false" ht="14.5" hidden="false" customHeight="false" outlineLevel="0" collapsed="false">
      <c r="A17" s="0" t="n">
        <v>16</v>
      </c>
      <c r="B17" s="0" t="s">
        <v>110</v>
      </c>
      <c r="C17" s="0" t="n">
        <v>46500</v>
      </c>
      <c r="D17" s="0" t="n">
        <v>703</v>
      </c>
      <c r="E17" s="0" t="str">
        <f aca="false">IFERROR(IF(OR(HLOOKUP($A17,#REF!,3,FALSE())&gt;2,HLOOKUP(A17,#REF!,3,FALSE())&lt;-2),"",#REF!),"")</f>
        <v/>
      </c>
      <c r="F17" s="0" t="str">
        <f aca="false">IFERROR(IF(OR(HLOOKUP($A17,#REF!,4,FALSE())&gt;2,HLOOKUP($A17,#REF!,4,FALSE())&lt;-2),"",#REF!),"")</f>
        <v/>
      </c>
      <c r="G17" s="0" t="str">
        <f aca="false">IFERROR(IF(OR(HLOOKUP($A17,#REF!,5,FALSE())&gt;2,HLOOKUP($A17,#REF!,5,FALSE())&lt;-2),"",#REF!),"")</f>
        <v/>
      </c>
      <c r="H17" s="0" t="str">
        <f aca="false">IFERROR(IF(OR(HLOOKUP($A17,#REF!,6,FALSE())&gt;2,HLOOKUP($A17,#REF!,6,FALSE())&lt;-2),"",#REF!),"")</f>
        <v/>
      </c>
      <c r="I17" s="0" t="str">
        <f aca="false">IFERROR(IF(OR(HLOOKUP($A17,#REF!,7,FALSE())&gt;2,HLOOKUP($A17,#REF!,7,FALSE())&lt;-2),"",#REF!),"")</f>
        <v/>
      </c>
      <c r="J17" s="0" t="str">
        <f aca="false">IFERROR(IF(OR(HLOOKUP($A17,#REF!,8,FALSE())&gt;2,HLOOKUP($A17,#REF!,8,FALSE())&lt;-2),"",#REF!),"")</f>
        <v/>
      </c>
      <c r="K17" s="0" t="str">
        <f aca="false">IFERROR(IF(OR(HLOOKUP($A17,#REF!,9,FALSE())&gt;2,HLOOKUP($A17,#REF!,9,FALSE())&lt;-2),"",#REF!),"")</f>
        <v/>
      </c>
      <c r="L17" s="0" t="str">
        <f aca="false">IFERROR(IF(OR(HLOOKUP($A17,#REF!,10,FALSE())&gt;2,HLOOKUP($A17,#REF!,10,FALSE())&lt;-2),"",#REF!),"")</f>
        <v/>
      </c>
      <c r="M17" s="0" t="str">
        <f aca="false">IFERROR(IF(OR(HLOOKUP($A17,#REF!,11,FALSE())&gt;2,HLOOKUP($A17,#REF!,11,FALSE())&lt;-2),"",#REF!),"")</f>
        <v/>
      </c>
      <c r="N17" s="0" t="str">
        <f aca="false">IFERROR(IF(OR(HLOOKUP($A17,#REF!,12,FALSE())&gt;2,HLOOKUP($A17,#REF!,12,FALSE())&lt;-2),"",#REF!),"")</f>
        <v/>
      </c>
      <c r="O17" s="0" t="str">
        <f aca="false">IFERROR(IF(OR(HLOOKUP($A17,#REF!,13,FALSE())&gt;2,HLOOKUP($A17,#REF!,13,FALSE())&lt;-2),"",#REF!),"")</f>
        <v/>
      </c>
      <c r="P17" s="0" t="str">
        <f aca="false">IFERROR(IF(OR(HLOOKUP($A17,#REF!,14,FALSE())&gt;2,HLOOKUP($A17,#REF!,14,FALSE())&lt;-2),"",#REF!),"")</f>
        <v/>
      </c>
      <c r="Q17" s="0" t="str">
        <f aca="false">IFERROR(IF(OR(HLOOKUP($A17,#REF!,15,FALSE())&gt;2,HLOOKUP($A17,#REF!,15,FALSE())&lt;-2),"",#REF!),"")</f>
        <v/>
      </c>
      <c r="R17" s="0" t="str">
        <f aca="false">IFERROR(IF(OR(HLOOKUP($A17,#REF!,16,FALSE())&gt;2,HLOOKUP($A17,#REF!,16,FALSE())&lt;-2),"",#REF!),"")</f>
        <v/>
      </c>
      <c r="S17" s="0" t="str">
        <f aca="false">IFERROR(IF(OR(HLOOKUP($A17,#REF!,17,FALSE())&gt;2,HLOOKUP($A17,#REF!,17,FALSE())&lt;-2),"",#REF!),"")</f>
        <v/>
      </c>
      <c r="T17" s="0" t="str">
        <f aca="false">IFERROR(IF(OR(HLOOKUP($A17,#REF!,18,FALSE())&gt;2,HLOOKUP($A17,#REF!,18,FALSE())&lt;-2),"",#REF!),"")</f>
        <v/>
      </c>
      <c r="U17" s="0" t="str">
        <f aca="false">IFERROR(IF(OR(HLOOKUP($A17,#REF!,19,FALSE())&gt;2,HLOOKUP($A17,#REF!,19,FALSE())&lt;-2),"",#REF!),"")</f>
        <v/>
      </c>
      <c r="V17" s="0" t="n">
        <f aca="false">IFERROR(IF(AND(X17=0,Y17=0),0,1),0)</f>
        <v>1</v>
      </c>
      <c r="W17" s="3" t="str">
        <f aca="false">IFERROR(_xlfn.T.TEST(E17:M17,N17:U17,2,2),"")</f>
        <v/>
      </c>
      <c r="X17" s="0" t="str">
        <f aca="false">IFERROR(AVERAGE(E17:M17),"")</f>
        <v/>
      </c>
      <c r="Y17" s="0" t="str">
        <f aca="false">IFERROR(AVERAGE(N17:U17),"")</f>
        <v/>
      </c>
    </row>
    <row r="18" customFormat="false" ht="14.5" hidden="false" customHeight="false" outlineLevel="0" collapsed="false">
      <c r="A18" s="0" t="n">
        <v>17</v>
      </c>
      <c r="B18" s="0" t="s">
        <v>111</v>
      </c>
      <c r="C18" s="0" t="n">
        <v>81000</v>
      </c>
      <c r="D18" s="0" t="n">
        <v>294</v>
      </c>
      <c r="E18" s="0" t="str">
        <f aca="false">IFERROR(IF(OR(HLOOKUP($A18,#REF!,3,FALSE())&gt;2,HLOOKUP(A18,#REF!,3,FALSE())&lt;-2),"",#REF!),"")</f>
        <v/>
      </c>
      <c r="F18" s="0" t="str">
        <f aca="false">IFERROR(IF(OR(HLOOKUP($A18,#REF!,4,FALSE())&gt;2,HLOOKUP($A18,#REF!,4,FALSE())&lt;-2),"",#REF!),"")</f>
        <v/>
      </c>
      <c r="G18" s="0" t="str">
        <f aca="false">IFERROR(IF(OR(HLOOKUP($A18,#REF!,5,FALSE())&gt;2,HLOOKUP($A18,#REF!,5,FALSE())&lt;-2),"",#REF!),"")</f>
        <v/>
      </c>
      <c r="H18" s="0" t="str">
        <f aca="false">IFERROR(IF(OR(HLOOKUP($A18,#REF!,6,FALSE())&gt;2,HLOOKUP($A18,#REF!,6,FALSE())&lt;-2),"",#REF!),"")</f>
        <v/>
      </c>
      <c r="I18" s="0" t="str">
        <f aca="false">IFERROR(IF(OR(HLOOKUP($A18,#REF!,7,FALSE())&gt;2,HLOOKUP($A18,#REF!,7,FALSE())&lt;-2),"",#REF!),"")</f>
        <v/>
      </c>
      <c r="J18" s="0" t="str">
        <f aca="false">IFERROR(IF(OR(HLOOKUP($A18,#REF!,8,FALSE())&gt;2,HLOOKUP($A18,#REF!,8,FALSE())&lt;-2),"",#REF!),"")</f>
        <v/>
      </c>
      <c r="K18" s="0" t="str">
        <f aca="false">IFERROR(IF(OR(HLOOKUP($A18,#REF!,9,FALSE())&gt;2,HLOOKUP($A18,#REF!,9,FALSE())&lt;-2),"",#REF!),"")</f>
        <v/>
      </c>
      <c r="L18" s="0" t="str">
        <f aca="false">IFERROR(IF(OR(HLOOKUP($A18,#REF!,10,FALSE())&gt;2,HLOOKUP($A18,#REF!,10,FALSE())&lt;-2),"",#REF!),"")</f>
        <v/>
      </c>
      <c r="M18" s="0" t="str">
        <f aca="false">IFERROR(IF(OR(HLOOKUP($A18,#REF!,11,FALSE())&gt;2,HLOOKUP($A18,#REF!,11,FALSE())&lt;-2),"",#REF!),"")</f>
        <v/>
      </c>
      <c r="N18" s="0" t="str">
        <f aca="false">IFERROR(IF(OR(HLOOKUP($A18,#REF!,12,FALSE())&gt;2,HLOOKUP($A18,#REF!,12,FALSE())&lt;-2),"",#REF!),"")</f>
        <v/>
      </c>
      <c r="O18" s="0" t="str">
        <f aca="false">IFERROR(IF(OR(HLOOKUP($A18,#REF!,13,FALSE())&gt;2,HLOOKUP($A18,#REF!,13,FALSE())&lt;-2),"",#REF!),"")</f>
        <v/>
      </c>
      <c r="P18" s="0" t="str">
        <f aca="false">IFERROR(IF(OR(HLOOKUP($A18,#REF!,14,FALSE())&gt;2,HLOOKUP($A18,#REF!,14,FALSE())&lt;-2),"",#REF!),"")</f>
        <v/>
      </c>
      <c r="Q18" s="0" t="str">
        <f aca="false">IFERROR(IF(OR(HLOOKUP($A18,#REF!,15,FALSE())&gt;2,HLOOKUP($A18,#REF!,15,FALSE())&lt;-2),"",#REF!),"")</f>
        <v/>
      </c>
      <c r="R18" s="0" t="str">
        <f aca="false">IFERROR(IF(OR(HLOOKUP($A18,#REF!,16,FALSE())&gt;2,HLOOKUP($A18,#REF!,16,FALSE())&lt;-2),"",#REF!),"")</f>
        <v/>
      </c>
      <c r="S18" s="0" t="str">
        <f aca="false">IFERROR(IF(OR(HLOOKUP($A18,#REF!,17,FALSE())&gt;2,HLOOKUP($A18,#REF!,17,FALSE())&lt;-2),"",#REF!),"")</f>
        <v/>
      </c>
      <c r="T18" s="0" t="str">
        <f aca="false">IFERROR(IF(OR(HLOOKUP($A18,#REF!,18,FALSE())&gt;2,HLOOKUP($A18,#REF!,18,FALSE())&lt;-2),"",#REF!),"")</f>
        <v/>
      </c>
      <c r="U18" s="0" t="str">
        <f aca="false">IFERROR(IF(OR(HLOOKUP($A18,#REF!,19,FALSE())&gt;2,HLOOKUP($A18,#REF!,19,FALSE())&lt;-2),"",#REF!),"")</f>
        <v/>
      </c>
      <c r="V18" s="0" t="n">
        <f aca="false">IFERROR(IF(AND(X18=0,Y18=0),0,1),0)</f>
        <v>1</v>
      </c>
      <c r="W18" s="3" t="str">
        <f aca="false">IFERROR(_xlfn.T.TEST(E18:M18,N18:U18,2,2),"")</f>
        <v/>
      </c>
      <c r="X18" s="0" t="str">
        <f aca="false">IFERROR(AVERAGE(E18:M18),"")</f>
        <v/>
      </c>
      <c r="Y18" s="0" t="str">
        <f aca="false">IFERROR(AVERAGE(N18:U18),"")</f>
        <v/>
      </c>
    </row>
    <row r="19" customFormat="false" ht="14.5" hidden="false" customHeight="false" outlineLevel="0" collapsed="false">
      <c r="A19" s="0" t="n">
        <v>18</v>
      </c>
      <c r="B19" s="0" t="s">
        <v>112</v>
      </c>
      <c r="C19" s="0" t="n">
        <v>118400</v>
      </c>
      <c r="D19" s="0" t="n">
        <v>1040</v>
      </c>
      <c r="E19" s="0" t="str">
        <f aca="false">IFERROR(IF(OR(HLOOKUP($A19,#REF!,3,FALSE())&gt;2,HLOOKUP(A19,#REF!,3,FALSE())&lt;-2),"",#REF!),"")</f>
        <v/>
      </c>
      <c r="F19" s="0" t="str">
        <f aca="false">IFERROR(IF(OR(HLOOKUP($A19,#REF!,4,FALSE())&gt;2,HLOOKUP($A19,#REF!,4,FALSE())&lt;-2),"",#REF!),"")</f>
        <v/>
      </c>
      <c r="G19" s="0" t="str">
        <f aca="false">IFERROR(IF(OR(HLOOKUP($A19,#REF!,5,FALSE())&gt;2,HLOOKUP($A19,#REF!,5,FALSE())&lt;-2),"",#REF!),"")</f>
        <v/>
      </c>
      <c r="H19" s="0" t="str">
        <f aca="false">IFERROR(IF(OR(HLOOKUP($A19,#REF!,6,FALSE())&gt;2,HLOOKUP($A19,#REF!,6,FALSE())&lt;-2),"",#REF!),"")</f>
        <v/>
      </c>
      <c r="I19" s="0" t="str">
        <f aca="false">IFERROR(IF(OR(HLOOKUP($A19,#REF!,7,FALSE())&gt;2,HLOOKUP($A19,#REF!,7,FALSE())&lt;-2),"",#REF!),"")</f>
        <v/>
      </c>
      <c r="J19" s="0" t="str">
        <f aca="false">IFERROR(IF(OR(HLOOKUP($A19,#REF!,8,FALSE())&gt;2,HLOOKUP($A19,#REF!,8,FALSE())&lt;-2),"",#REF!),"")</f>
        <v/>
      </c>
      <c r="K19" s="0" t="str">
        <f aca="false">IFERROR(IF(OR(HLOOKUP($A19,#REF!,9,FALSE())&gt;2,HLOOKUP($A19,#REF!,9,FALSE())&lt;-2),"",#REF!),"")</f>
        <v/>
      </c>
      <c r="L19" s="0" t="str">
        <f aca="false">IFERROR(IF(OR(HLOOKUP($A19,#REF!,10,FALSE())&gt;2,HLOOKUP($A19,#REF!,10,FALSE())&lt;-2),"",#REF!),"")</f>
        <v/>
      </c>
      <c r="M19" s="0" t="str">
        <f aca="false">IFERROR(IF(OR(HLOOKUP($A19,#REF!,11,FALSE())&gt;2,HLOOKUP($A19,#REF!,11,FALSE())&lt;-2),"",#REF!),"")</f>
        <v/>
      </c>
      <c r="N19" s="0" t="str">
        <f aca="false">IFERROR(IF(OR(HLOOKUP($A19,#REF!,12,FALSE())&gt;2,HLOOKUP($A19,#REF!,12,FALSE())&lt;-2),"",#REF!),"")</f>
        <v/>
      </c>
      <c r="O19" s="0" t="str">
        <f aca="false">IFERROR(IF(OR(HLOOKUP($A19,#REF!,13,FALSE())&gt;2,HLOOKUP($A19,#REF!,13,FALSE())&lt;-2),"",#REF!),"")</f>
        <v/>
      </c>
      <c r="P19" s="0" t="str">
        <f aca="false">IFERROR(IF(OR(HLOOKUP($A19,#REF!,14,FALSE())&gt;2,HLOOKUP($A19,#REF!,14,FALSE())&lt;-2),"",#REF!),"")</f>
        <v/>
      </c>
      <c r="Q19" s="0" t="str">
        <f aca="false">IFERROR(IF(OR(HLOOKUP($A19,#REF!,15,FALSE())&gt;2,HLOOKUP($A19,#REF!,15,FALSE())&lt;-2),"",#REF!),"")</f>
        <v/>
      </c>
      <c r="R19" s="0" t="str">
        <f aca="false">IFERROR(IF(OR(HLOOKUP($A19,#REF!,16,FALSE())&gt;2,HLOOKUP($A19,#REF!,16,FALSE())&lt;-2),"",#REF!),"")</f>
        <v/>
      </c>
      <c r="S19" s="0" t="str">
        <f aca="false">IFERROR(IF(OR(HLOOKUP($A19,#REF!,17,FALSE())&gt;2,HLOOKUP($A19,#REF!,17,FALSE())&lt;-2),"",#REF!),"")</f>
        <v/>
      </c>
      <c r="T19" s="0" t="str">
        <f aca="false">IFERROR(IF(OR(HLOOKUP($A19,#REF!,18,FALSE())&gt;2,HLOOKUP($A19,#REF!,18,FALSE())&lt;-2),"",#REF!),"")</f>
        <v/>
      </c>
      <c r="U19" s="0" t="str">
        <f aca="false">IFERROR(IF(OR(HLOOKUP($A19,#REF!,19,FALSE())&gt;2,HLOOKUP($A19,#REF!,19,FALSE())&lt;-2),"",#REF!),"")</f>
        <v/>
      </c>
      <c r="V19" s="0" t="n">
        <f aca="false">IFERROR(IF(AND(X19=0,Y19=0),0,1),0)</f>
        <v>1</v>
      </c>
      <c r="W19" s="3" t="str">
        <f aca="false">IFERROR(_xlfn.T.TEST(E19:M19,N19:U19,2,2),"")</f>
        <v/>
      </c>
      <c r="X19" s="0" t="str">
        <f aca="false">IFERROR(AVERAGE(E19:M19),"")</f>
        <v/>
      </c>
      <c r="Y19" s="0" t="str">
        <f aca="false">IFERROR(AVERAGE(N19:U19),"")</f>
        <v/>
      </c>
    </row>
    <row r="20" customFormat="false" ht="14.5" hidden="false" customHeight="false" outlineLevel="0" collapsed="false">
      <c r="A20" s="0" t="n">
        <v>19</v>
      </c>
      <c r="B20" s="0" t="s">
        <v>113</v>
      </c>
      <c r="C20" s="0" t="n">
        <v>41100</v>
      </c>
      <c r="D20" s="0" t="n">
        <v>1080</v>
      </c>
      <c r="E20" s="0" t="str">
        <f aca="false">IFERROR(IF(OR(HLOOKUP($A20,#REF!,3,FALSE())&gt;2,HLOOKUP(A20,#REF!,3,FALSE())&lt;-2),"",#REF!),"")</f>
        <v/>
      </c>
      <c r="F20" s="0" t="str">
        <f aca="false">IFERROR(IF(OR(HLOOKUP($A20,#REF!,4,FALSE())&gt;2,HLOOKUP($A20,#REF!,4,FALSE())&lt;-2),"",#REF!),"")</f>
        <v/>
      </c>
      <c r="G20" s="0" t="str">
        <f aca="false">IFERROR(IF(OR(HLOOKUP($A20,#REF!,5,FALSE())&gt;2,HLOOKUP($A20,#REF!,5,FALSE())&lt;-2),"",#REF!),"")</f>
        <v/>
      </c>
      <c r="H20" s="0" t="str">
        <f aca="false">IFERROR(IF(OR(HLOOKUP($A20,#REF!,6,FALSE())&gt;2,HLOOKUP($A20,#REF!,6,FALSE())&lt;-2),"",#REF!),"")</f>
        <v/>
      </c>
      <c r="I20" s="0" t="str">
        <f aca="false">IFERROR(IF(OR(HLOOKUP($A20,#REF!,7,FALSE())&gt;2,HLOOKUP($A20,#REF!,7,FALSE())&lt;-2),"",#REF!),"")</f>
        <v/>
      </c>
      <c r="J20" s="0" t="str">
        <f aca="false">IFERROR(IF(OR(HLOOKUP($A20,#REF!,8,FALSE())&gt;2,HLOOKUP($A20,#REF!,8,FALSE())&lt;-2),"",#REF!),"")</f>
        <v/>
      </c>
      <c r="K20" s="0" t="str">
        <f aca="false">IFERROR(IF(OR(HLOOKUP($A20,#REF!,9,FALSE())&gt;2,HLOOKUP($A20,#REF!,9,FALSE())&lt;-2),"",#REF!),"")</f>
        <v/>
      </c>
      <c r="L20" s="0" t="str">
        <f aca="false">IFERROR(IF(OR(HLOOKUP($A20,#REF!,10,FALSE())&gt;2,HLOOKUP($A20,#REF!,10,FALSE())&lt;-2),"",#REF!),"")</f>
        <v/>
      </c>
      <c r="M20" s="0" t="str">
        <f aca="false">IFERROR(IF(OR(HLOOKUP($A20,#REF!,11,FALSE())&gt;2,HLOOKUP($A20,#REF!,11,FALSE())&lt;-2),"",#REF!),"")</f>
        <v/>
      </c>
      <c r="N20" s="0" t="str">
        <f aca="false">IFERROR(IF(OR(HLOOKUP($A20,#REF!,12,FALSE())&gt;2,HLOOKUP($A20,#REF!,12,FALSE())&lt;-2),"",#REF!),"")</f>
        <v/>
      </c>
      <c r="O20" s="0" t="str">
        <f aca="false">IFERROR(IF(OR(HLOOKUP($A20,#REF!,13,FALSE())&gt;2,HLOOKUP($A20,#REF!,13,FALSE())&lt;-2),"",#REF!),"")</f>
        <v/>
      </c>
      <c r="P20" s="0" t="str">
        <f aca="false">IFERROR(IF(OR(HLOOKUP($A20,#REF!,14,FALSE())&gt;2,HLOOKUP($A20,#REF!,14,FALSE())&lt;-2),"",#REF!),"")</f>
        <v/>
      </c>
      <c r="Q20" s="0" t="str">
        <f aca="false">IFERROR(IF(OR(HLOOKUP($A20,#REF!,15,FALSE())&gt;2,HLOOKUP($A20,#REF!,15,FALSE())&lt;-2),"",#REF!),"")</f>
        <v/>
      </c>
      <c r="R20" s="0" t="str">
        <f aca="false">IFERROR(IF(OR(HLOOKUP($A20,#REF!,16,FALSE())&gt;2,HLOOKUP($A20,#REF!,16,FALSE())&lt;-2),"",#REF!),"")</f>
        <v/>
      </c>
      <c r="S20" s="0" t="str">
        <f aca="false">IFERROR(IF(OR(HLOOKUP($A20,#REF!,17,FALSE())&gt;2,HLOOKUP($A20,#REF!,17,FALSE())&lt;-2),"",#REF!),"")</f>
        <v/>
      </c>
      <c r="T20" s="0" t="str">
        <f aca="false">IFERROR(IF(OR(HLOOKUP($A20,#REF!,18,FALSE())&gt;2,HLOOKUP($A20,#REF!,18,FALSE())&lt;-2),"",#REF!),"")</f>
        <v/>
      </c>
      <c r="U20" s="0" t="str">
        <f aca="false">IFERROR(IF(OR(HLOOKUP($A20,#REF!,19,FALSE())&gt;2,HLOOKUP($A20,#REF!,19,FALSE())&lt;-2),"",#REF!),"")</f>
        <v/>
      </c>
      <c r="V20" s="0" t="n">
        <f aca="false">IFERROR(IF(AND(X20=0,Y20=0),0,1),0)</f>
        <v>1</v>
      </c>
      <c r="W20" s="3" t="str">
        <f aca="false">IFERROR(_xlfn.T.TEST(E20:M20,N20:U20,2,2),"")</f>
        <v/>
      </c>
      <c r="X20" s="0" t="str">
        <f aca="false">IFERROR(AVERAGE(E20:M20),"")</f>
        <v/>
      </c>
      <c r="Y20" s="0" t="str">
        <f aca="false">IFERROR(AVERAGE(N20:U20),"")</f>
        <v/>
      </c>
    </row>
    <row r="21" customFormat="false" ht="14.5" hidden="false" customHeight="false" outlineLevel="0" collapsed="false">
      <c r="A21" s="0" t="n">
        <v>20</v>
      </c>
      <c r="B21" s="0" t="s">
        <v>114</v>
      </c>
      <c r="C21" s="0" t="n">
        <v>41500</v>
      </c>
      <c r="D21" s="0" t="n">
        <v>918</v>
      </c>
      <c r="E21" s="0" t="str">
        <f aca="false">IFERROR(IF(OR(HLOOKUP($A21,#REF!,3,FALSE())&gt;2,HLOOKUP(A21,#REF!,3,FALSE())&lt;-2),"",#REF!),"")</f>
        <v/>
      </c>
      <c r="F21" s="0" t="str">
        <f aca="false">IFERROR(IF(OR(HLOOKUP($A21,#REF!,4,FALSE())&gt;2,HLOOKUP($A21,#REF!,4,FALSE())&lt;-2),"",#REF!),"")</f>
        <v/>
      </c>
      <c r="G21" s="0" t="str">
        <f aca="false">IFERROR(IF(OR(HLOOKUP($A21,#REF!,5,FALSE())&gt;2,HLOOKUP($A21,#REF!,5,FALSE())&lt;-2),"",#REF!),"")</f>
        <v/>
      </c>
      <c r="H21" s="0" t="str">
        <f aca="false">IFERROR(IF(OR(HLOOKUP($A21,#REF!,6,FALSE())&gt;2,HLOOKUP($A21,#REF!,6,FALSE())&lt;-2),"",#REF!),"")</f>
        <v/>
      </c>
      <c r="I21" s="0" t="str">
        <f aca="false">IFERROR(IF(OR(HLOOKUP($A21,#REF!,7,FALSE())&gt;2,HLOOKUP($A21,#REF!,7,FALSE())&lt;-2),"",#REF!),"")</f>
        <v/>
      </c>
      <c r="J21" s="0" t="str">
        <f aca="false">IFERROR(IF(OR(HLOOKUP($A21,#REF!,8,FALSE())&gt;2,HLOOKUP($A21,#REF!,8,FALSE())&lt;-2),"",#REF!),"")</f>
        <v/>
      </c>
      <c r="K21" s="0" t="str">
        <f aca="false">IFERROR(IF(OR(HLOOKUP($A21,#REF!,9,FALSE())&gt;2,HLOOKUP($A21,#REF!,9,FALSE())&lt;-2),"",#REF!),"")</f>
        <v/>
      </c>
      <c r="L21" s="0" t="str">
        <f aca="false">IFERROR(IF(OR(HLOOKUP($A21,#REF!,10,FALSE())&gt;2,HLOOKUP($A21,#REF!,10,FALSE())&lt;-2),"",#REF!),"")</f>
        <v/>
      </c>
      <c r="M21" s="0" t="str">
        <f aca="false">IFERROR(IF(OR(HLOOKUP($A21,#REF!,11,FALSE())&gt;2,HLOOKUP($A21,#REF!,11,FALSE())&lt;-2),"",#REF!),"")</f>
        <v/>
      </c>
      <c r="N21" s="0" t="str">
        <f aca="false">IFERROR(IF(OR(HLOOKUP($A21,#REF!,12,FALSE())&gt;2,HLOOKUP($A21,#REF!,12,FALSE())&lt;-2),"",#REF!),"")</f>
        <v/>
      </c>
      <c r="O21" s="0" t="str">
        <f aca="false">IFERROR(IF(OR(HLOOKUP($A21,#REF!,13,FALSE())&gt;2,HLOOKUP($A21,#REF!,13,FALSE())&lt;-2),"",#REF!),"")</f>
        <v/>
      </c>
      <c r="P21" s="0" t="str">
        <f aca="false">IFERROR(IF(OR(HLOOKUP($A21,#REF!,14,FALSE())&gt;2,HLOOKUP($A21,#REF!,14,FALSE())&lt;-2),"",#REF!),"")</f>
        <v/>
      </c>
      <c r="Q21" s="0" t="str">
        <f aca="false">IFERROR(IF(OR(HLOOKUP($A21,#REF!,15,FALSE())&gt;2,HLOOKUP($A21,#REF!,15,FALSE())&lt;-2),"",#REF!),"")</f>
        <v/>
      </c>
      <c r="R21" s="0" t="str">
        <f aca="false">IFERROR(IF(OR(HLOOKUP($A21,#REF!,16,FALSE())&gt;2,HLOOKUP($A21,#REF!,16,FALSE())&lt;-2),"",#REF!),"")</f>
        <v/>
      </c>
      <c r="S21" s="0" t="str">
        <f aca="false">IFERROR(IF(OR(HLOOKUP($A21,#REF!,17,FALSE())&gt;2,HLOOKUP($A21,#REF!,17,FALSE())&lt;-2),"",#REF!),"")</f>
        <v/>
      </c>
      <c r="T21" s="0" t="str">
        <f aca="false">IFERROR(IF(OR(HLOOKUP($A21,#REF!,18,FALSE())&gt;2,HLOOKUP($A21,#REF!,18,FALSE())&lt;-2),"",#REF!),"")</f>
        <v/>
      </c>
      <c r="U21" s="0" t="str">
        <f aca="false">IFERROR(IF(OR(HLOOKUP($A21,#REF!,19,FALSE())&gt;2,HLOOKUP($A21,#REF!,19,FALSE())&lt;-2),"",#REF!),"")</f>
        <v/>
      </c>
      <c r="V21" s="0" t="n">
        <f aca="false">IFERROR(IF(AND(X21=0,Y21=0),0,1),0)</f>
        <v>1</v>
      </c>
      <c r="W21" s="3" t="str">
        <f aca="false">IFERROR(_xlfn.T.TEST(E21:M21,N21:U21,2,2),"")</f>
        <v/>
      </c>
      <c r="X21" s="0" t="str">
        <f aca="false">IFERROR(AVERAGE(E21:M21),"")</f>
        <v/>
      </c>
      <c r="Y21" s="0" t="str">
        <f aca="false">IFERROR(AVERAGE(N21:U21),"")</f>
        <v/>
      </c>
    </row>
    <row r="22" customFormat="false" ht="14.5" hidden="false" customHeight="false" outlineLevel="0" collapsed="false">
      <c r="A22" s="0" t="n">
        <v>21</v>
      </c>
      <c r="B22" s="0" t="s">
        <v>115</v>
      </c>
      <c r="C22" s="0" t="n">
        <v>97800</v>
      </c>
      <c r="D22" s="0" t="n">
        <v>840</v>
      </c>
      <c r="E22" s="0" t="str">
        <f aca="false">IFERROR(IF(OR(HLOOKUP($A22,#REF!,3,FALSE())&gt;2,HLOOKUP(A22,#REF!,3,FALSE())&lt;-2),"",#REF!),"")</f>
        <v/>
      </c>
      <c r="F22" s="0" t="str">
        <f aca="false">IFERROR(IF(OR(HLOOKUP($A22,#REF!,4,FALSE())&gt;2,HLOOKUP($A22,#REF!,4,FALSE())&lt;-2),"",#REF!),"")</f>
        <v/>
      </c>
      <c r="G22" s="0" t="str">
        <f aca="false">IFERROR(IF(OR(HLOOKUP($A22,#REF!,5,FALSE())&gt;2,HLOOKUP($A22,#REF!,5,FALSE())&lt;-2),"",#REF!),"")</f>
        <v/>
      </c>
      <c r="H22" s="0" t="str">
        <f aca="false">IFERROR(IF(OR(HLOOKUP($A22,#REF!,6,FALSE())&gt;2,HLOOKUP($A22,#REF!,6,FALSE())&lt;-2),"",#REF!),"")</f>
        <v/>
      </c>
      <c r="I22" s="0" t="str">
        <f aca="false">IFERROR(IF(OR(HLOOKUP($A22,#REF!,7,FALSE())&gt;2,HLOOKUP($A22,#REF!,7,FALSE())&lt;-2),"",#REF!),"")</f>
        <v/>
      </c>
      <c r="J22" s="0" t="str">
        <f aca="false">IFERROR(IF(OR(HLOOKUP($A22,#REF!,8,FALSE())&gt;2,HLOOKUP($A22,#REF!,8,FALSE())&lt;-2),"",#REF!),"")</f>
        <v/>
      </c>
      <c r="K22" s="0" t="str">
        <f aca="false">IFERROR(IF(OR(HLOOKUP($A22,#REF!,9,FALSE())&gt;2,HLOOKUP($A22,#REF!,9,FALSE())&lt;-2),"",#REF!),"")</f>
        <v/>
      </c>
      <c r="L22" s="0" t="str">
        <f aca="false">IFERROR(IF(OR(HLOOKUP($A22,#REF!,10,FALSE())&gt;2,HLOOKUP($A22,#REF!,10,FALSE())&lt;-2),"",#REF!),"")</f>
        <v/>
      </c>
      <c r="M22" s="0" t="str">
        <f aca="false">IFERROR(IF(OR(HLOOKUP($A22,#REF!,11,FALSE())&gt;2,HLOOKUP($A22,#REF!,11,FALSE())&lt;-2),"",#REF!),"")</f>
        <v/>
      </c>
      <c r="N22" s="0" t="str">
        <f aca="false">IFERROR(IF(OR(HLOOKUP($A22,#REF!,12,FALSE())&gt;2,HLOOKUP($A22,#REF!,12,FALSE())&lt;-2),"",#REF!),"")</f>
        <v/>
      </c>
      <c r="O22" s="0" t="str">
        <f aca="false">IFERROR(IF(OR(HLOOKUP($A22,#REF!,13,FALSE())&gt;2,HLOOKUP($A22,#REF!,13,FALSE())&lt;-2),"",#REF!),"")</f>
        <v/>
      </c>
      <c r="P22" s="0" t="str">
        <f aca="false">IFERROR(IF(OR(HLOOKUP($A22,#REF!,14,FALSE())&gt;2,HLOOKUP($A22,#REF!,14,FALSE())&lt;-2),"",#REF!),"")</f>
        <v/>
      </c>
      <c r="Q22" s="0" t="str">
        <f aca="false">IFERROR(IF(OR(HLOOKUP($A22,#REF!,15,FALSE())&gt;2,HLOOKUP($A22,#REF!,15,FALSE())&lt;-2),"",#REF!),"")</f>
        <v/>
      </c>
      <c r="R22" s="0" t="str">
        <f aca="false">IFERROR(IF(OR(HLOOKUP($A22,#REF!,16,FALSE())&gt;2,HLOOKUP($A22,#REF!,16,FALSE())&lt;-2),"",#REF!),"")</f>
        <v/>
      </c>
      <c r="S22" s="0" t="str">
        <f aca="false">IFERROR(IF(OR(HLOOKUP($A22,#REF!,17,FALSE())&gt;2,HLOOKUP($A22,#REF!,17,FALSE())&lt;-2),"",#REF!),"")</f>
        <v/>
      </c>
      <c r="T22" s="0" t="str">
        <f aca="false">IFERROR(IF(OR(HLOOKUP($A22,#REF!,18,FALSE())&gt;2,HLOOKUP($A22,#REF!,18,FALSE())&lt;-2),"",#REF!),"")</f>
        <v/>
      </c>
      <c r="U22" s="0" t="str">
        <f aca="false">IFERROR(IF(OR(HLOOKUP($A22,#REF!,19,FALSE())&gt;2,HLOOKUP($A22,#REF!,19,FALSE())&lt;-2),"",#REF!),"")</f>
        <v/>
      </c>
      <c r="V22" s="0" t="n">
        <f aca="false">IFERROR(IF(AND(X22=0,Y22=0),0,1),0)</f>
        <v>1</v>
      </c>
      <c r="W22" s="3" t="str">
        <f aca="false">IFERROR(_xlfn.T.TEST(E22:M22,N22:U22,2,2),"")</f>
        <v/>
      </c>
      <c r="X22" s="0" t="str">
        <f aca="false">IFERROR(AVERAGE(E22:M22),"")</f>
        <v/>
      </c>
      <c r="Y22" s="0" t="str">
        <f aca="false">IFERROR(AVERAGE(N22:U22),"")</f>
        <v/>
      </c>
    </row>
    <row r="23" customFormat="false" ht="14.5" hidden="false" customHeight="false" outlineLevel="0" collapsed="false">
      <c r="A23" s="0" t="n">
        <v>22</v>
      </c>
      <c r="B23" s="0" t="s">
        <v>116</v>
      </c>
      <c r="C23" s="0" t="n">
        <v>27300</v>
      </c>
      <c r="D23" s="0" t="n">
        <v>315</v>
      </c>
      <c r="E23" s="0" t="str">
        <f aca="false">IFERROR(IF(OR(HLOOKUP($A23,#REF!,3,FALSE())&gt;2,HLOOKUP(A23,#REF!,3,FALSE())&lt;-2),"",#REF!),"")</f>
        <v/>
      </c>
      <c r="F23" s="0" t="str">
        <f aca="false">IFERROR(IF(OR(HLOOKUP($A23,#REF!,4,FALSE())&gt;2,HLOOKUP($A23,#REF!,4,FALSE())&lt;-2),"",#REF!),"")</f>
        <v/>
      </c>
      <c r="G23" s="0" t="str">
        <f aca="false">IFERROR(IF(OR(HLOOKUP($A23,#REF!,5,FALSE())&gt;2,HLOOKUP($A23,#REF!,5,FALSE())&lt;-2),"",#REF!),"")</f>
        <v/>
      </c>
      <c r="H23" s="0" t="str">
        <f aca="false">IFERROR(IF(OR(HLOOKUP($A23,#REF!,6,FALSE())&gt;2,HLOOKUP($A23,#REF!,6,FALSE())&lt;-2),"",#REF!),"")</f>
        <v/>
      </c>
      <c r="I23" s="0" t="str">
        <f aca="false">IFERROR(IF(OR(HLOOKUP($A23,#REF!,7,FALSE())&gt;2,HLOOKUP($A23,#REF!,7,FALSE())&lt;-2),"",#REF!),"")</f>
        <v/>
      </c>
      <c r="J23" s="0" t="str">
        <f aca="false">IFERROR(IF(OR(HLOOKUP($A23,#REF!,8,FALSE())&gt;2,HLOOKUP($A23,#REF!,8,FALSE())&lt;-2),"",#REF!),"")</f>
        <v/>
      </c>
      <c r="K23" s="0" t="str">
        <f aca="false">IFERROR(IF(OR(HLOOKUP($A23,#REF!,9,FALSE())&gt;2,HLOOKUP($A23,#REF!,9,FALSE())&lt;-2),"",#REF!),"")</f>
        <v/>
      </c>
      <c r="L23" s="0" t="str">
        <f aca="false">IFERROR(IF(OR(HLOOKUP($A23,#REF!,10,FALSE())&gt;2,HLOOKUP($A23,#REF!,10,FALSE())&lt;-2),"",#REF!),"")</f>
        <v/>
      </c>
      <c r="M23" s="0" t="str">
        <f aca="false">IFERROR(IF(OR(HLOOKUP($A23,#REF!,11,FALSE())&gt;2,HLOOKUP($A23,#REF!,11,FALSE())&lt;-2),"",#REF!),"")</f>
        <v/>
      </c>
      <c r="N23" s="0" t="str">
        <f aca="false">IFERROR(IF(OR(HLOOKUP($A23,#REF!,12,FALSE())&gt;2,HLOOKUP($A23,#REF!,12,FALSE())&lt;-2),"",#REF!),"")</f>
        <v/>
      </c>
      <c r="O23" s="0" t="str">
        <f aca="false">IFERROR(IF(OR(HLOOKUP($A23,#REF!,13,FALSE())&gt;2,HLOOKUP($A23,#REF!,13,FALSE())&lt;-2),"",#REF!),"")</f>
        <v/>
      </c>
      <c r="P23" s="0" t="str">
        <f aca="false">IFERROR(IF(OR(HLOOKUP($A23,#REF!,14,FALSE())&gt;2,HLOOKUP($A23,#REF!,14,FALSE())&lt;-2),"",#REF!),"")</f>
        <v/>
      </c>
      <c r="Q23" s="0" t="str">
        <f aca="false">IFERROR(IF(OR(HLOOKUP($A23,#REF!,15,FALSE())&gt;2,HLOOKUP($A23,#REF!,15,FALSE())&lt;-2),"",#REF!),"")</f>
        <v/>
      </c>
      <c r="R23" s="0" t="str">
        <f aca="false">IFERROR(IF(OR(HLOOKUP($A23,#REF!,16,FALSE())&gt;2,HLOOKUP($A23,#REF!,16,FALSE())&lt;-2),"",#REF!),"")</f>
        <v/>
      </c>
      <c r="S23" s="0" t="str">
        <f aca="false">IFERROR(IF(OR(HLOOKUP($A23,#REF!,17,FALSE())&gt;2,HLOOKUP($A23,#REF!,17,FALSE())&lt;-2),"",#REF!),"")</f>
        <v/>
      </c>
      <c r="T23" s="0" t="str">
        <f aca="false">IFERROR(IF(OR(HLOOKUP($A23,#REF!,18,FALSE())&gt;2,HLOOKUP($A23,#REF!,18,FALSE())&lt;-2),"",#REF!),"")</f>
        <v/>
      </c>
      <c r="U23" s="0" t="str">
        <f aca="false">IFERROR(IF(OR(HLOOKUP($A23,#REF!,19,FALSE())&gt;2,HLOOKUP($A23,#REF!,19,FALSE())&lt;-2),"",#REF!),"")</f>
        <v/>
      </c>
      <c r="V23" s="0" t="n">
        <f aca="false">IFERROR(IF(AND(X23=0,Y23=0),0,1),0)</f>
        <v>1</v>
      </c>
      <c r="W23" s="3" t="str">
        <f aca="false">IFERROR(_xlfn.T.TEST(E23:M23,N23:U23,2,2),"")</f>
        <v/>
      </c>
      <c r="X23" s="0" t="str">
        <f aca="false">IFERROR(AVERAGE(E23:M23),"")</f>
        <v/>
      </c>
      <c r="Y23" s="0" t="str">
        <f aca="false">IFERROR(AVERAGE(N23:U23),"")</f>
        <v/>
      </c>
    </row>
    <row r="24" customFormat="false" ht="14.5" hidden="false" customHeight="false" outlineLevel="0" collapsed="false">
      <c r="A24" s="0" t="n">
        <v>23</v>
      </c>
      <c r="B24" s="0" t="s">
        <v>117</v>
      </c>
      <c r="C24" s="0" t="n">
        <v>50100</v>
      </c>
      <c r="D24" s="0" t="n">
        <v>278</v>
      </c>
      <c r="E24" s="0" t="str">
        <f aca="false">IFERROR(IF(OR(HLOOKUP($A24,#REF!,3,FALSE())&gt;2,HLOOKUP(A24,#REF!,3,FALSE())&lt;-2),"",#REF!),"")</f>
        <v/>
      </c>
      <c r="F24" s="0" t="str">
        <f aca="false">IFERROR(IF(OR(HLOOKUP($A24,#REF!,4,FALSE())&gt;2,HLOOKUP($A24,#REF!,4,FALSE())&lt;-2),"",#REF!),"")</f>
        <v/>
      </c>
      <c r="G24" s="0" t="str">
        <f aca="false">IFERROR(IF(OR(HLOOKUP($A24,#REF!,5,FALSE())&gt;2,HLOOKUP($A24,#REF!,5,FALSE())&lt;-2),"",#REF!),"")</f>
        <v/>
      </c>
      <c r="H24" s="0" t="str">
        <f aca="false">IFERROR(IF(OR(HLOOKUP($A24,#REF!,6,FALSE())&gt;2,HLOOKUP($A24,#REF!,6,FALSE())&lt;-2),"",#REF!),"")</f>
        <v/>
      </c>
      <c r="I24" s="0" t="str">
        <f aca="false">IFERROR(IF(OR(HLOOKUP($A24,#REF!,7,FALSE())&gt;2,HLOOKUP($A24,#REF!,7,FALSE())&lt;-2),"",#REF!),"")</f>
        <v/>
      </c>
      <c r="J24" s="0" t="str">
        <f aca="false">IFERROR(IF(OR(HLOOKUP($A24,#REF!,8,FALSE())&gt;2,HLOOKUP($A24,#REF!,8,FALSE())&lt;-2),"",#REF!),"")</f>
        <v/>
      </c>
      <c r="K24" s="0" t="str">
        <f aca="false">IFERROR(IF(OR(HLOOKUP($A24,#REF!,9,FALSE())&gt;2,HLOOKUP($A24,#REF!,9,FALSE())&lt;-2),"",#REF!),"")</f>
        <v/>
      </c>
      <c r="L24" s="0" t="str">
        <f aca="false">IFERROR(IF(OR(HLOOKUP($A24,#REF!,10,FALSE())&gt;2,HLOOKUP($A24,#REF!,10,FALSE())&lt;-2),"",#REF!),"")</f>
        <v/>
      </c>
      <c r="M24" s="0" t="str">
        <f aca="false">IFERROR(IF(OR(HLOOKUP($A24,#REF!,11,FALSE())&gt;2,HLOOKUP($A24,#REF!,11,FALSE())&lt;-2),"",#REF!),"")</f>
        <v/>
      </c>
      <c r="N24" s="0" t="str">
        <f aca="false">IFERROR(IF(OR(HLOOKUP($A24,#REF!,12,FALSE())&gt;2,HLOOKUP($A24,#REF!,12,FALSE())&lt;-2),"",#REF!),"")</f>
        <v/>
      </c>
      <c r="O24" s="0" t="str">
        <f aca="false">IFERROR(IF(OR(HLOOKUP($A24,#REF!,13,FALSE())&gt;2,HLOOKUP($A24,#REF!,13,FALSE())&lt;-2),"",#REF!),"")</f>
        <v/>
      </c>
      <c r="P24" s="0" t="str">
        <f aca="false">IFERROR(IF(OR(HLOOKUP($A24,#REF!,14,FALSE())&gt;2,HLOOKUP($A24,#REF!,14,FALSE())&lt;-2),"",#REF!),"")</f>
        <v/>
      </c>
      <c r="Q24" s="0" t="str">
        <f aca="false">IFERROR(IF(OR(HLOOKUP($A24,#REF!,15,FALSE())&gt;2,HLOOKUP($A24,#REF!,15,FALSE())&lt;-2),"",#REF!),"")</f>
        <v/>
      </c>
      <c r="R24" s="0" t="str">
        <f aca="false">IFERROR(IF(OR(HLOOKUP($A24,#REF!,16,FALSE())&gt;2,HLOOKUP($A24,#REF!,16,FALSE())&lt;-2),"",#REF!),"")</f>
        <v/>
      </c>
      <c r="S24" s="0" t="str">
        <f aca="false">IFERROR(IF(OR(HLOOKUP($A24,#REF!,17,FALSE())&gt;2,HLOOKUP($A24,#REF!,17,FALSE())&lt;-2),"",#REF!),"")</f>
        <v/>
      </c>
      <c r="T24" s="0" t="str">
        <f aca="false">IFERROR(IF(OR(HLOOKUP($A24,#REF!,18,FALSE())&gt;2,HLOOKUP($A24,#REF!,18,FALSE())&lt;-2),"",#REF!),"")</f>
        <v/>
      </c>
      <c r="U24" s="0" t="str">
        <f aca="false">IFERROR(IF(OR(HLOOKUP($A24,#REF!,19,FALSE())&gt;2,HLOOKUP($A24,#REF!,19,FALSE())&lt;-2),"",#REF!),"")</f>
        <v/>
      </c>
      <c r="V24" s="0" t="n">
        <f aca="false">IFERROR(IF(AND(X24=0,Y24=0),0,1),0)</f>
        <v>1</v>
      </c>
      <c r="W24" s="3" t="str">
        <f aca="false">IFERROR(_xlfn.T.TEST(E24:M24,N24:U24,2,2),"")</f>
        <v/>
      </c>
      <c r="X24" s="0" t="str">
        <f aca="false">IFERROR(AVERAGE(E24:M24),"")</f>
        <v/>
      </c>
      <c r="Y24" s="0" t="str">
        <f aca="false">IFERROR(AVERAGE(N24:U24),"")</f>
        <v/>
      </c>
    </row>
    <row r="25" customFormat="false" ht="14.5" hidden="false" customHeight="false" outlineLevel="0" collapsed="false">
      <c r="A25" s="0" t="n">
        <v>25</v>
      </c>
      <c r="B25" s="0" t="s">
        <v>118</v>
      </c>
      <c r="C25" s="0" t="n">
        <v>118500</v>
      </c>
      <c r="D25" s="0" t="n">
        <v>1040</v>
      </c>
      <c r="E25" s="0" t="str">
        <f aca="false">IFERROR(IF(OR(HLOOKUP($A25,#REF!,3,FALSE())&gt;2,HLOOKUP(A25,#REF!,3,FALSE())&lt;-2),"",#REF!),"")</f>
        <v/>
      </c>
      <c r="F25" s="0" t="str">
        <f aca="false">IFERROR(IF(OR(HLOOKUP($A25,#REF!,4,FALSE())&gt;2,HLOOKUP($A25,#REF!,4,FALSE())&lt;-2),"",#REF!),"")</f>
        <v/>
      </c>
      <c r="G25" s="0" t="str">
        <f aca="false">IFERROR(IF(OR(HLOOKUP($A25,#REF!,5,FALSE())&gt;2,HLOOKUP($A25,#REF!,5,FALSE())&lt;-2),"",#REF!),"")</f>
        <v/>
      </c>
      <c r="H25" s="0" t="str">
        <f aca="false">IFERROR(IF(OR(HLOOKUP($A25,#REF!,6,FALSE())&gt;2,HLOOKUP($A25,#REF!,6,FALSE())&lt;-2),"",#REF!),"")</f>
        <v/>
      </c>
      <c r="I25" s="0" t="str">
        <f aca="false">IFERROR(IF(OR(HLOOKUP($A25,#REF!,7,FALSE())&gt;2,HLOOKUP($A25,#REF!,7,FALSE())&lt;-2),"",#REF!),"")</f>
        <v/>
      </c>
      <c r="J25" s="0" t="str">
        <f aca="false">IFERROR(IF(OR(HLOOKUP($A25,#REF!,8,FALSE())&gt;2,HLOOKUP($A25,#REF!,8,FALSE())&lt;-2),"",#REF!),"")</f>
        <v/>
      </c>
      <c r="K25" s="0" t="str">
        <f aca="false">IFERROR(IF(OR(HLOOKUP($A25,#REF!,9,FALSE())&gt;2,HLOOKUP($A25,#REF!,9,FALSE())&lt;-2),"",#REF!),"")</f>
        <v/>
      </c>
      <c r="L25" s="0" t="str">
        <f aca="false">IFERROR(IF(OR(HLOOKUP($A25,#REF!,10,FALSE())&gt;2,HLOOKUP($A25,#REF!,10,FALSE())&lt;-2),"",#REF!),"")</f>
        <v/>
      </c>
      <c r="M25" s="0" t="str">
        <f aca="false">IFERROR(IF(OR(HLOOKUP($A25,#REF!,11,FALSE())&gt;2,HLOOKUP($A25,#REF!,11,FALSE())&lt;-2),"",#REF!),"")</f>
        <v/>
      </c>
      <c r="N25" s="0" t="str">
        <f aca="false">IFERROR(IF(OR(HLOOKUP($A25,#REF!,12,FALSE())&gt;2,HLOOKUP($A25,#REF!,12,FALSE())&lt;-2),"",#REF!),"")</f>
        <v/>
      </c>
      <c r="O25" s="0" t="str">
        <f aca="false">IFERROR(IF(OR(HLOOKUP($A25,#REF!,13,FALSE())&gt;2,HLOOKUP($A25,#REF!,13,FALSE())&lt;-2),"",#REF!),"")</f>
        <v/>
      </c>
      <c r="P25" s="0" t="str">
        <f aca="false">IFERROR(IF(OR(HLOOKUP($A25,#REF!,14,FALSE())&gt;2,HLOOKUP($A25,#REF!,14,FALSE())&lt;-2),"",#REF!),"")</f>
        <v/>
      </c>
      <c r="Q25" s="0" t="str">
        <f aca="false">IFERROR(IF(OR(HLOOKUP($A25,#REF!,15,FALSE())&gt;2,HLOOKUP($A25,#REF!,15,FALSE())&lt;-2),"",#REF!),"")</f>
        <v/>
      </c>
      <c r="R25" s="0" t="str">
        <f aca="false">IFERROR(IF(OR(HLOOKUP($A25,#REF!,16,FALSE())&gt;2,HLOOKUP($A25,#REF!,16,FALSE())&lt;-2),"",#REF!),"")</f>
        <v/>
      </c>
      <c r="S25" s="0" t="str">
        <f aca="false">IFERROR(IF(OR(HLOOKUP($A25,#REF!,17,FALSE())&gt;2,HLOOKUP($A25,#REF!,17,FALSE())&lt;-2),"",#REF!),"")</f>
        <v/>
      </c>
      <c r="T25" s="0" t="str">
        <f aca="false">IFERROR(IF(OR(HLOOKUP($A25,#REF!,18,FALSE())&gt;2,HLOOKUP($A25,#REF!,18,FALSE())&lt;-2),"",#REF!),"")</f>
        <v/>
      </c>
      <c r="U25" s="0" t="str">
        <f aca="false">IFERROR(IF(OR(HLOOKUP($A25,#REF!,19,FALSE())&gt;2,HLOOKUP($A25,#REF!,19,FALSE())&lt;-2),"",#REF!),"")</f>
        <v/>
      </c>
      <c r="V25" s="0" t="n">
        <f aca="false">IFERROR(IF(AND(X25=0,Y25=0),0,1),0)</f>
        <v>1</v>
      </c>
      <c r="W25" s="3" t="str">
        <f aca="false">IFERROR(_xlfn.T.TEST(E25:M25,N25:U25,2,2),"")</f>
        <v/>
      </c>
      <c r="X25" s="0" t="str">
        <f aca="false">IFERROR(AVERAGE(E25:M25),"")</f>
        <v/>
      </c>
      <c r="Y25" s="0" t="str">
        <f aca="false">IFERROR(AVERAGE(N25:U25),"")</f>
        <v/>
      </c>
    </row>
    <row r="26" customFormat="false" ht="14.5" hidden="false" customHeight="false" outlineLevel="0" collapsed="false">
      <c r="A26" s="0" t="n">
        <v>26</v>
      </c>
      <c r="B26" s="0" t="s">
        <v>119</v>
      </c>
      <c r="C26" s="0" t="n">
        <v>80800</v>
      </c>
      <c r="D26" s="0" t="n">
        <v>294</v>
      </c>
      <c r="E26" s="0" t="str">
        <f aca="false">IFERROR(IF(OR(HLOOKUP($A26,#REF!,3,FALSE())&gt;2,HLOOKUP(A26,#REF!,3,FALSE())&lt;-2),"",#REF!),"")</f>
        <v/>
      </c>
      <c r="F26" s="0" t="str">
        <f aca="false">IFERROR(IF(OR(HLOOKUP($A26,#REF!,4,FALSE())&gt;2,HLOOKUP($A26,#REF!,4,FALSE())&lt;-2),"",#REF!),"")</f>
        <v/>
      </c>
      <c r="G26" s="0" t="str">
        <f aca="false">IFERROR(IF(OR(HLOOKUP($A26,#REF!,5,FALSE())&gt;2,HLOOKUP($A26,#REF!,5,FALSE())&lt;-2),"",#REF!),"")</f>
        <v/>
      </c>
      <c r="H26" s="0" t="str">
        <f aca="false">IFERROR(IF(OR(HLOOKUP($A26,#REF!,6,FALSE())&gt;2,HLOOKUP($A26,#REF!,6,FALSE())&lt;-2),"",#REF!),"")</f>
        <v/>
      </c>
      <c r="I26" s="0" t="str">
        <f aca="false">IFERROR(IF(OR(HLOOKUP($A26,#REF!,7,FALSE())&gt;2,HLOOKUP($A26,#REF!,7,FALSE())&lt;-2),"",#REF!),"")</f>
        <v/>
      </c>
      <c r="J26" s="0" t="str">
        <f aca="false">IFERROR(IF(OR(HLOOKUP($A26,#REF!,8,FALSE())&gt;2,HLOOKUP($A26,#REF!,8,FALSE())&lt;-2),"",#REF!),"")</f>
        <v/>
      </c>
      <c r="K26" s="0" t="str">
        <f aca="false">IFERROR(IF(OR(HLOOKUP($A26,#REF!,9,FALSE())&gt;2,HLOOKUP($A26,#REF!,9,FALSE())&lt;-2),"",#REF!),"")</f>
        <v/>
      </c>
      <c r="L26" s="0" t="str">
        <f aca="false">IFERROR(IF(OR(HLOOKUP($A26,#REF!,10,FALSE())&gt;2,HLOOKUP($A26,#REF!,10,FALSE())&lt;-2),"",#REF!),"")</f>
        <v/>
      </c>
      <c r="M26" s="0" t="str">
        <f aca="false">IFERROR(IF(OR(HLOOKUP($A26,#REF!,11,FALSE())&gt;2,HLOOKUP($A26,#REF!,11,FALSE())&lt;-2),"",#REF!),"")</f>
        <v/>
      </c>
      <c r="N26" s="0" t="str">
        <f aca="false">IFERROR(IF(OR(HLOOKUP($A26,#REF!,12,FALSE())&gt;2,HLOOKUP($A26,#REF!,12,FALSE())&lt;-2),"",#REF!),"")</f>
        <v/>
      </c>
      <c r="O26" s="0" t="str">
        <f aca="false">IFERROR(IF(OR(HLOOKUP($A26,#REF!,13,FALSE())&gt;2,HLOOKUP($A26,#REF!,13,FALSE())&lt;-2),"",#REF!),"")</f>
        <v/>
      </c>
      <c r="P26" s="0" t="str">
        <f aca="false">IFERROR(IF(OR(HLOOKUP($A26,#REF!,14,FALSE())&gt;2,HLOOKUP($A26,#REF!,14,FALSE())&lt;-2),"",#REF!),"")</f>
        <v/>
      </c>
      <c r="Q26" s="0" t="str">
        <f aca="false">IFERROR(IF(OR(HLOOKUP($A26,#REF!,15,FALSE())&gt;2,HLOOKUP($A26,#REF!,15,FALSE())&lt;-2),"",#REF!),"")</f>
        <v/>
      </c>
      <c r="R26" s="0" t="str">
        <f aca="false">IFERROR(IF(OR(HLOOKUP($A26,#REF!,16,FALSE())&gt;2,HLOOKUP($A26,#REF!,16,FALSE())&lt;-2),"",#REF!),"")</f>
        <v/>
      </c>
      <c r="S26" s="0" t="str">
        <f aca="false">IFERROR(IF(OR(HLOOKUP($A26,#REF!,17,FALSE())&gt;2,HLOOKUP($A26,#REF!,17,FALSE())&lt;-2),"",#REF!),"")</f>
        <v/>
      </c>
      <c r="T26" s="0" t="str">
        <f aca="false">IFERROR(IF(OR(HLOOKUP($A26,#REF!,18,FALSE())&gt;2,HLOOKUP($A26,#REF!,18,FALSE())&lt;-2),"",#REF!),"")</f>
        <v/>
      </c>
      <c r="U26" s="0" t="str">
        <f aca="false">IFERROR(IF(OR(HLOOKUP($A26,#REF!,19,FALSE())&gt;2,HLOOKUP($A26,#REF!,19,FALSE())&lt;-2),"",#REF!),"")</f>
        <v/>
      </c>
      <c r="V26" s="0" t="n">
        <f aca="false">IFERROR(IF(AND(X26=0,Y26=0),0,1),0)</f>
        <v>1</v>
      </c>
      <c r="W26" s="3" t="str">
        <f aca="false">IFERROR(_xlfn.T.TEST(E26:M26,N26:U26,2,2),"")</f>
        <v/>
      </c>
      <c r="X26" s="0" t="str">
        <f aca="false">IFERROR(AVERAGE(E26:M26),"")</f>
        <v/>
      </c>
      <c r="Y26" s="0" t="str">
        <f aca="false">IFERROR(AVERAGE(N26:U26),"")</f>
        <v/>
      </c>
    </row>
    <row r="27" customFormat="false" ht="14.5" hidden="false" customHeight="false" outlineLevel="0" collapsed="false">
      <c r="A27" s="0" t="n">
        <v>27</v>
      </c>
      <c r="B27" s="0" t="s">
        <v>120</v>
      </c>
      <c r="C27" s="0" t="n">
        <v>69100</v>
      </c>
      <c r="D27" s="0" t="n">
        <v>1014</v>
      </c>
      <c r="E27" s="0" t="str">
        <f aca="false">IFERROR(IF(OR(HLOOKUP($A27,#REF!,3,FALSE())&gt;2,HLOOKUP(A27,#REF!,3,FALSE())&lt;-2),"",#REF!),"")</f>
        <v/>
      </c>
      <c r="F27" s="0" t="str">
        <f aca="false">IFERROR(IF(OR(HLOOKUP($A27,#REF!,4,FALSE())&gt;2,HLOOKUP($A27,#REF!,4,FALSE())&lt;-2),"",#REF!),"")</f>
        <v/>
      </c>
      <c r="G27" s="0" t="str">
        <f aca="false">IFERROR(IF(OR(HLOOKUP($A27,#REF!,5,FALSE())&gt;2,HLOOKUP($A27,#REF!,5,FALSE())&lt;-2),"",#REF!),"")</f>
        <v/>
      </c>
      <c r="H27" s="0" t="str">
        <f aca="false">IFERROR(IF(OR(HLOOKUP($A27,#REF!,6,FALSE())&gt;2,HLOOKUP($A27,#REF!,6,FALSE())&lt;-2),"",#REF!),"")</f>
        <v/>
      </c>
      <c r="I27" s="0" t="str">
        <f aca="false">IFERROR(IF(OR(HLOOKUP($A27,#REF!,7,FALSE())&gt;2,HLOOKUP($A27,#REF!,7,FALSE())&lt;-2),"",#REF!),"")</f>
        <v/>
      </c>
      <c r="J27" s="0" t="str">
        <f aca="false">IFERROR(IF(OR(HLOOKUP($A27,#REF!,8,FALSE())&gt;2,HLOOKUP($A27,#REF!,8,FALSE())&lt;-2),"",#REF!),"")</f>
        <v/>
      </c>
      <c r="K27" s="0" t="str">
        <f aca="false">IFERROR(IF(OR(HLOOKUP($A27,#REF!,9,FALSE())&gt;2,HLOOKUP($A27,#REF!,9,FALSE())&lt;-2),"",#REF!),"")</f>
        <v/>
      </c>
      <c r="L27" s="0" t="str">
        <f aca="false">IFERROR(IF(OR(HLOOKUP($A27,#REF!,10,FALSE())&gt;2,HLOOKUP($A27,#REF!,10,FALSE())&lt;-2),"",#REF!),"")</f>
        <v/>
      </c>
      <c r="M27" s="0" t="str">
        <f aca="false">IFERROR(IF(OR(HLOOKUP($A27,#REF!,11,FALSE())&gt;2,HLOOKUP($A27,#REF!,11,FALSE())&lt;-2),"",#REF!),"")</f>
        <v/>
      </c>
      <c r="N27" s="0" t="str">
        <f aca="false">IFERROR(IF(OR(HLOOKUP($A27,#REF!,12,FALSE())&gt;2,HLOOKUP($A27,#REF!,12,FALSE())&lt;-2),"",#REF!),"")</f>
        <v/>
      </c>
      <c r="O27" s="0" t="str">
        <f aca="false">IFERROR(IF(OR(HLOOKUP($A27,#REF!,13,FALSE())&gt;2,HLOOKUP($A27,#REF!,13,FALSE())&lt;-2),"",#REF!),"")</f>
        <v/>
      </c>
      <c r="P27" s="0" t="str">
        <f aca="false">IFERROR(IF(OR(HLOOKUP($A27,#REF!,14,FALSE())&gt;2,HLOOKUP($A27,#REF!,14,FALSE())&lt;-2),"",#REF!),"")</f>
        <v/>
      </c>
      <c r="Q27" s="0" t="str">
        <f aca="false">IFERROR(IF(OR(HLOOKUP($A27,#REF!,15,FALSE())&gt;2,HLOOKUP($A27,#REF!,15,FALSE())&lt;-2),"",#REF!),"")</f>
        <v/>
      </c>
      <c r="R27" s="0" t="str">
        <f aca="false">IFERROR(IF(OR(HLOOKUP($A27,#REF!,16,FALSE())&gt;2,HLOOKUP($A27,#REF!,16,FALSE())&lt;-2),"",#REF!),"")</f>
        <v/>
      </c>
      <c r="S27" s="0" t="str">
        <f aca="false">IFERROR(IF(OR(HLOOKUP($A27,#REF!,17,FALSE())&gt;2,HLOOKUP($A27,#REF!,17,FALSE())&lt;-2),"",#REF!),"")</f>
        <v/>
      </c>
      <c r="T27" s="0" t="str">
        <f aca="false">IFERROR(IF(OR(HLOOKUP($A27,#REF!,18,FALSE())&gt;2,HLOOKUP($A27,#REF!,18,FALSE())&lt;-2),"",#REF!),"")</f>
        <v/>
      </c>
      <c r="U27" s="0" t="str">
        <f aca="false">IFERROR(IF(OR(HLOOKUP($A27,#REF!,19,FALSE())&gt;2,HLOOKUP($A27,#REF!,19,FALSE())&lt;-2),"",#REF!),"")</f>
        <v/>
      </c>
      <c r="V27" s="0" t="n">
        <f aca="false">IFERROR(IF(AND(X27=0,Y27=0),0,1),0)</f>
        <v>1</v>
      </c>
      <c r="W27" s="3" t="str">
        <f aca="false">IFERROR(_xlfn.T.TEST(E27:M27,N27:U27,2,2),"")</f>
        <v/>
      </c>
      <c r="X27" s="0" t="str">
        <f aca="false">IFERROR(AVERAGE(E27:M27),"")</f>
        <v/>
      </c>
      <c r="Y27" s="0" t="str">
        <f aca="false">IFERROR(AVERAGE(N27:U27),"")</f>
        <v/>
      </c>
    </row>
    <row r="28" customFormat="false" ht="14.5" hidden="false" customHeight="false" outlineLevel="0" collapsed="false">
      <c r="A28" s="0" t="n">
        <v>28</v>
      </c>
      <c r="B28" s="0" t="s">
        <v>121</v>
      </c>
      <c r="C28" s="0" t="n">
        <v>42400</v>
      </c>
      <c r="D28" s="0" t="n">
        <v>918</v>
      </c>
      <c r="E28" s="0" t="str">
        <f aca="false">IFERROR(IF(OR(HLOOKUP($A28,#REF!,3,FALSE())&gt;2,HLOOKUP(A28,#REF!,3,FALSE())&lt;-2),"",#REF!),"")</f>
        <v/>
      </c>
      <c r="F28" s="0" t="str">
        <f aca="false">IFERROR(IF(OR(HLOOKUP($A28,#REF!,4,FALSE())&gt;2,HLOOKUP($A28,#REF!,4,FALSE())&lt;-2),"",#REF!),"")</f>
        <v/>
      </c>
      <c r="G28" s="0" t="str">
        <f aca="false">IFERROR(IF(OR(HLOOKUP($A28,#REF!,5,FALSE())&gt;2,HLOOKUP($A28,#REF!,5,FALSE())&lt;-2),"",#REF!),"")</f>
        <v/>
      </c>
      <c r="H28" s="0" t="str">
        <f aca="false">IFERROR(IF(OR(HLOOKUP($A28,#REF!,6,FALSE())&gt;2,HLOOKUP($A28,#REF!,6,FALSE())&lt;-2),"",#REF!),"")</f>
        <v/>
      </c>
      <c r="I28" s="0" t="str">
        <f aca="false">IFERROR(IF(OR(HLOOKUP($A28,#REF!,7,FALSE())&gt;2,HLOOKUP($A28,#REF!,7,FALSE())&lt;-2),"",#REF!),"")</f>
        <v/>
      </c>
      <c r="J28" s="0" t="str">
        <f aca="false">IFERROR(IF(OR(HLOOKUP($A28,#REF!,8,FALSE())&gt;2,HLOOKUP($A28,#REF!,8,FALSE())&lt;-2),"",#REF!),"")</f>
        <v/>
      </c>
      <c r="K28" s="0" t="str">
        <f aca="false">IFERROR(IF(OR(HLOOKUP($A28,#REF!,9,FALSE())&gt;2,HLOOKUP($A28,#REF!,9,FALSE())&lt;-2),"",#REF!),"")</f>
        <v/>
      </c>
      <c r="L28" s="0" t="str">
        <f aca="false">IFERROR(IF(OR(HLOOKUP($A28,#REF!,10,FALSE())&gt;2,HLOOKUP($A28,#REF!,10,FALSE())&lt;-2),"",#REF!),"")</f>
        <v/>
      </c>
      <c r="M28" s="0" t="str">
        <f aca="false">IFERROR(IF(OR(HLOOKUP($A28,#REF!,11,FALSE())&gt;2,HLOOKUP($A28,#REF!,11,FALSE())&lt;-2),"",#REF!),"")</f>
        <v/>
      </c>
      <c r="N28" s="0" t="str">
        <f aca="false">IFERROR(IF(OR(HLOOKUP($A28,#REF!,12,FALSE())&gt;2,HLOOKUP($A28,#REF!,12,FALSE())&lt;-2),"",#REF!),"")</f>
        <v/>
      </c>
      <c r="O28" s="0" t="str">
        <f aca="false">IFERROR(IF(OR(HLOOKUP($A28,#REF!,13,FALSE())&gt;2,HLOOKUP($A28,#REF!,13,FALSE())&lt;-2),"",#REF!),"")</f>
        <v/>
      </c>
      <c r="P28" s="0" t="str">
        <f aca="false">IFERROR(IF(OR(HLOOKUP($A28,#REF!,14,FALSE())&gt;2,HLOOKUP($A28,#REF!,14,FALSE())&lt;-2),"",#REF!),"")</f>
        <v/>
      </c>
      <c r="Q28" s="0" t="str">
        <f aca="false">IFERROR(IF(OR(HLOOKUP($A28,#REF!,15,FALSE())&gt;2,HLOOKUP($A28,#REF!,15,FALSE())&lt;-2),"",#REF!),"")</f>
        <v/>
      </c>
      <c r="R28" s="0" t="str">
        <f aca="false">IFERROR(IF(OR(HLOOKUP($A28,#REF!,16,FALSE())&gt;2,HLOOKUP($A28,#REF!,16,FALSE())&lt;-2),"",#REF!),"")</f>
        <v/>
      </c>
      <c r="S28" s="0" t="str">
        <f aca="false">IFERROR(IF(OR(HLOOKUP($A28,#REF!,17,FALSE())&gt;2,HLOOKUP($A28,#REF!,17,FALSE())&lt;-2),"",#REF!),"")</f>
        <v/>
      </c>
      <c r="T28" s="0" t="str">
        <f aca="false">IFERROR(IF(OR(HLOOKUP($A28,#REF!,18,FALSE())&gt;2,HLOOKUP($A28,#REF!,18,FALSE())&lt;-2),"",#REF!),"")</f>
        <v/>
      </c>
      <c r="U28" s="0" t="str">
        <f aca="false">IFERROR(IF(OR(HLOOKUP($A28,#REF!,19,FALSE())&gt;2,HLOOKUP($A28,#REF!,19,FALSE())&lt;-2),"",#REF!),"")</f>
        <v/>
      </c>
      <c r="V28" s="0" t="n">
        <f aca="false">IFERROR(IF(AND(X28=0,Y28=0),0,1),0)</f>
        <v>1</v>
      </c>
      <c r="W28" s="3" t="str">
        <f aca="false">IFERROR(_xlfn.T.TEST(E28:M28,N28:U28,2,2),"")</f>
        <v/>
      </c>
      <c r="X28" s="0" t="str">
        <f aca="false">IFERROR(AVERAGE(E28:M28),"")</f>
        <v/>
      </c>
      <c r="Y28" s="0" t="str">
        <f aca="false">IFERROR(AVERAGE(N28:U28),"")</f>
        <v/>
      </c>
    </row>
    <row r="29" customFormat="false" ht="14.5" hidden="false" customHeight="false" outlineLevel="0" collapsed="false">
      <c r="A29" s="0" t="n">
        <v>29</v>
      </c>
      <c r="B29" s="0" t="s">
        <v>122</v>
      </c>
      <c r="C29" s="0" t="n">
        <v>103200</v>
      </c>
      <c r="D29" s="0" t="n">
        <v>871</v>
      </c>
      <c r="E29" s="0" t="str">
        <f aca="false">IFERROR(IF(OR(HLOOKUP($A29,#REF!,3,FALSE())&gt;2,HLOOKUP(A29,#REF!,3,FALSE())&lt;-2),"",#REF!),"")</f>
        <v/>
      </c>
      <c r="F29" s="0" t="str">
        <f aca="false">IFERROR(IF(OR(HLOOKUP($A29,#REF!,4,FALSE())&gt;2,HLOOKUP($A29,#REF!,4,FALSE())&lt;-2),"",#REF!),"")</f>
        <v/>
      </c>
      <c r="G29" s="0" t="str">
        <f aca="false">IFERROR(IF(OR(HLOOKUP($A29,#REF!,5,FALSE())&gt;2,HLOOKUP($A29,#REF!,5,FALSE())&lt;-2),"",#REF!),"")</f>
        <v/>
      </c>
      <c r="H29" s="0" t="str">
        <f aca="false">IFERROR(IF(OR(HLOOKUP($A29,#REF!,6,FALSE())&gt;2,HLOOKUP($A29,#REF!,6,FALSE())&lt;-2),"",#REF!),"")</f>
        <v/>
      </c>
      <c r="I29" s="0" t="str">
        <f aca="false">IFERROR(IF(OR(HLOOKUP($A29,#REF!,7,FALSE())&gt;2,HLOOKUP($A29,#REF!,7,FALSE())&lt;-2),"",#REF!),"")</f>
        <v/>
      </c>
      <c r="J29" s="0" t="str">
        <f aca="false">IFERROR(IF(OR(HLOOKUP($A29,#REF!,8,FALSE())&gt;2,HLOOKUP($A29,#REF!,8,FALSE())&lt;-2),"",#REF!),"")</f>
        <v/>
      </c>
      <c r="K29" s="0" t="str">
        <f aca="false">IFERROR(IF(OR(HLOOKUP($A29,#REF!,9,FALSE())&gt;2,HLOOKUP($A29,#REF!,9,FALSE())&lt;-2),"",#REF!),"")</f>
        <v/>
      </c>
      <c r="L29" s="0" t="str">
        <f aca="false">IFERROR(IF(OR(HLOOKUP($A29,#REF!,10,FALSE())&gt;2,HLOOKUP($A29,#REF!,10,FALSE())&lt;-2),"",#REF!),"")</f>
        <v/>
      </c>
      <c r="M29" s="0" t="str">
        <f aca="false">IFERROR(IF(OR(HLOOKUP($A29,#REF!,11,FALSE())&gt;2,HLOOKUP($A29,#REF!,11,FALSE())&lt;-2),"",#REF!),"")</f>
        <v/>
      </c>
      <c r="N29" s="0" t="str">
        <f aca="false">IFERROR(IF(OR(HLOOKUP($A29,#REF!,12,FALSE())&gt;2,HLOOKUP($A29,#REF!,12,FALSE())&lt;-2),"",#REF!),"")</f>
        <v/>
      </c>
      <c r="O29" s="0" t="str">
        <f aca="false">IFERROR(IF(OR(HLOOKUP($A29,#REF!,13,FALSE())&gt;2,HLOOKUP($A29,#REF!,13,FALSE())&lt;-2),"",#REF!),"")</f>
        <v/>
      </c>
      <c r="P29" s="0" t="str">
        <f aca="false">IFERROR(IF(OR(HLOOKUP($A29,#REF!,14,FALSE())&gt;2,HLOOKUP($A29,#REF!,14,FALSE())&lt;-2),"",#REF!),"")</f>
        <v/>
      </c>
      <c r="Q29" s="0" t="str">
        <f aca="false">IFERROR(IF(OR(HLOOKUP($A29,#REF!,15,FALSE())&gt;2,HLOOKUP($A29,#REF!,15,FALSE())&lt;-2),"",#REF!),"")</f>
        <v/>
      </c>
      <c r="R29" s="0" t="str">
        <f aca="false">IFERROR(IF(OR(HLOOKUP($A29,#REF!,16,FALSE())&gt;2,HLOOKUP($A29,#REF!,16,FALSE())&lt;-2),"",#REF!),"")</f>
        <v/>
      </c>
      <c r="S29" s="0" t="str">
        <f aca="false">IFERROR(IF(OR(HLOOKUP($A29,#REF!,17,FALSE())&gt;2,HLOOKUP($A29,#REF!,17,FALSE())&lt;-2),"",#REF!),"")</f>
        <v/>
      </c>
      <c r="T29" s="0" t="str">
        <f aca="false">IFERROR(IF(OR(HLOOKUP($A29,#REF!,18,FALSE())&gt;2,HLOOKUP($A29,#REF!,18,FALSE())&lt;-2),"",#REF!),"")</f>
        <v/>
      </c>
      <c r="U29" s="0" t="str">
        <f aca="false">IFERROR(IF(OR(HLOOKUP($A29,#REF!,19,FALSE())&gt;2,HLOOKUP($A29,#REF!,19,FALSE())&lt;-2),"",#REF!),"")</f>
        <v/>
      </c>
      <c r="V29" s="0" t="n">
        <f aca="false">IFERROR(IF(AND(X29=0,Y29=0),0,1),0)</f>
        <v>1</v>
      </c>
      <c r="W29" s="3" t="str">
        <f aca="false">IFERROR(_xlfn.T.TEST(E29:M29,N29:U29,2,2),"")</f>
        <v/>
      </c>
      <c r="X29" s="0" t="str">
        <f aca="false">IFERROR(AVERAGE(E29:M29),"")</f>
        <v/>
      </c>
      <c r="Y29" s="0" t="str">
        <f aca="false">IFERROR(AVERAGE(N29:U29),"")</f>
        <v/>
      </c>
    </row>
    <row r="30" customFormat="false" ht="14.5" hidden="false" customHeight="false" outlineLevel="0" collapsed="false">
      <c r="A30" s="0" t="n">
        <v>30</v>
      </c>
      <c r="B30" s="0" t="s">
        <v>123</v>
      </c>
      <c r="C30" s="0" t="n">
        <v>71600</v>
      </c>
      <c r="D30" s="0" t="n">
        <v>157</v>
      </c>
      <c r="E30" s="0" t="str">
        <f aca="false">IFERROR(IF(OR(HLOOKUP($A30,#REF!,3,FALSE())&gt;2,HLOOKUP(A30,#REF!,3,FALSE())&lt;-2),"",#REF!),"")</f>
        <v/>
      </c>
      <c r="F30" s="0" t="str">
        <f aca="false">IFERROR(IF(OR(HLOOKUP($A30,#REF!,4,FALSE())&gt;2,HLOOKUP($A30,#REF!,4,FALSE())&lt;-2),"",#REF!),"")</f>
        <v/>
      </c>
      <c r="G30" s="0" t="str">
        <f aca="false">IFERROR(IF(OR(HLOOKUP($A30,#REF!,5,FALSE())&gt;2,HLOOKUP($A30,#REF!,5,FALSE())&lt;-2),"",#REF!),"")</f>
        <v/>
      </c>
      <c r="H30" s="0" t="str">
        <f aca="false">IFERROR(IF(OR(HLOOKUP($A30,#REF!,6,FALSE())&gt;2,HLOOKUP($A30,#REF!,6,FALSE())&lt;-2),"",#REF!),"")</f>
        <v/>
      </c>
      <c r="I30" s="0" t="str">
        <f aca="false">IFERROR(IF(OR(HLOOKUP($A30,#REF!,7,FALSE())&gt;2,HLOOKUP($A30,#REF!,7,FALSE())&lt;-2),"",#REF!),"")</f>
        <v/>
      </c>
      <c r="J30" s="0" t="str">
        <f aca="false">IFERROR(IF(OR(HLOOKUP($A30,#REF!,8,FALSE())&gt;2,HLOOKUP($A30,#REF!,8,FALSE())&lt;-2),"",#REF!),"")</f>
        <v/>
      </c>
      <c r="K30" s="0" t="str">
        <f aca="false">IFERROR(IF(OR(HLOOKUP($A30,#REF!,9,FALSE())&gt;2,HLOOKUP($A30,#REF!,9,FALSE())&lt;-2),"",#REF!),"")</f>
        <v/>
      </c>
      <c r="L30" s="0" t="str">
        <f aca="false">IFERROR(IF(OR(HLOOKUP($A30,#REF!,10,FALSE())&gt;2,HLOOKUP($A30,#REF!,10,FALSE())&lt;-2),"",#REF!),"")</f>
        <v/>
      </c>
      <c r="M30" s="0" t="str">
        <f aca="false">IFERROR(IF(OR(HLOOKUP($A30,#REF!,11,FALSE())&gt;2,HLOOKUP($A30,#REF!,11,FALSE())&lt;-2),"",#REF!),"")</f>
        <v/>
      </c>
      <c r="N30" s="0" t="str">
        <f aca="false">IFERROR(IF(OR(HLOOKUP($A30,#REF!,12,FALSE())&gt;2,HLOOKUP($A30,#REF!,12,FALSE())&lt;-2),"",#REF!),"")</f>
        <v/>
      </c>
      <c r="O30" s="0" t="str">
        <f aca="false">IFERROR(IF(OR(HLOOKUP($A30,#REF!,13,FALSE())&gt;2,HLOOKUP($A30,#REF!,13,FALSE())&lt;-2),"",#REF!),"")</f>
        <v/>
      </c>
      <c r="P30" s="0" t="str">
        <f aca="false">IFERROR(IF(OR(HLOOKUP($A30,#REF!,14,FALSE())&gt;2,HLOOKUP($A30,#REF!,14,FALSE())&lt;-2),"",#REF!),"")</f>
        <v/>
      </c>
      <c r="Q30" s="0" t="str">
        <f aca="false">IFERROR(IF(OR(HLOOKUP($A30,#REF!,15,FALSE())&gt;2,HLOOKUP($A30,#REF!,15,FALSE())&lt;-2),"",#REF!),"")</f>
        <v/>
      </c>
      <c r="R30" s="0" t="str">
        <f aca="false">IFERROR(IF(OR(HLOOKUP($A30,#REF!,16,FALSE())&gt;2,HLOOKUP($A30,#REF!,16,FALSE())&lt;-2),"",#REF!),"")</f>
        <v/>
      </c>
      <c r="S30" s="0" t="str">
        <f aca="false">IFERROR(IF(OR(HLOOKUP($A30,#REF!,17,FALSE())&gt;2,HLOOKUP($A30,#REF!,17,FALSE())&lt;-2),"",#REF!),"")</f>
        <v/>
      </c>
      <c r="T30" s="0" t="str">
        <f aca="false">IFERROR(IF(OR(HLOOKUP($A30,#REF!,18,FALSE())&gt;2,HLOOKUP($A30,#REF!,18,FALSE())&lt;-2),"",#REF!),"")</f>
        <v/>
      </c>
      <c r="U30" s="0" t="str">
        <f aca="false">IFERROR(IF(OR(HLOOKUP($A30,#REF!,19,FALSE())&gt;2,HLOOKUP($A30,#REF!,19,FALSE())&lt;-2),"",#REF!),"")</f>
        <v/>
      </c>
      <c r="V30" s="0" t="n">
        <f aca="false">IFERROR(IF(AND(X30=0,Y30=0),0,1),0)</f>
        <v>1</v>
      </c>
      <c r="W30" s="3" t="str">
        <f aca="false">IFERROR(_xlfn.T.TEST(E30:M30,N30:U30,2,2),"")</f>
        <v/>
      </c>
      <c r="X30" s="0" t="str">
        <f aca="false">IFERROR(AVERAGE(E30:M30),"")</f>
        <v/>
      </c>
      <c r="Y30" s="0" t="str">
        <f aca="false">IFERROR(AVERAGE(N30:U30),"")</f>
        <v/>
      </c>
    </row>
    <row r="31" customFormat="false" ht="14.5" hidden="false" customHeight="false" outlineLevel="0" collapsed="false">
      <c r="A31" s="0" t="n">
        <v>31</v>
      </c>
      <c r="B31" s="0" t="s">
        <v>41</v>
      </c>
      <c r="C31" s="0" t="n">
        <v>18300</v>
      </c>
      <c r="D31" s="0" t="n">
        <v>315</v>
      </c>
      <c r="E31" s="0" t="str">
        <f aca="false">IFERROR(IF(OR(HLOOKUP($A31,#REF!,3,FALSE())&gt;2,HLOOKUP(A31,#REF!,3,FALSE())&lt;-2),"",#REF!),"")</f>
        <v/>
      </c>
      <c r="F31" s="0" t="str">
        <f aca="false">IFERROR(IF(OR(HLOOKUP($A31,#REF!,4,FALSE())&gt;2,HLOOKUP($A31,#REF!,4,FALSE())&lt;-2),"",#REF!),"")</f>
        <v/>
      </c>
      <c r="G31" s="0" t="str">
        <f aca="false">IFERROR(IF(OR(HLOOKUP($A31,#REF!,5,FALSE())&gt;2,HLOOKUP($A31,#REF!,5,FALSE())&lt;-2),"",#REF!),"")</f>
        <v/>
      </c>
      <c r="H31" s="0" t="str">
        <f aca="false">IFERROR(IF(OR(HLOOKUP($A31,#REF!,6,FALSE())&gt;2,HLOOKUP($A31,#REF!,6,FALSE())&lt;-2),"",#REF!),"")</f>
        <v/>
      </c>
      <c r="I31" s="0" t="str">
        <f aca="false">IFERROR(IF(OR(HLOOKUP($A31,#REF!,7,FALSE())&gt;2,HLOOKUP($A31,#REF!,7,FALSE())&lt;-2),"",#REF!),"")</f>
        <v/>
      </c>
      <c r="J31" s="0" t="str">
        <f aca="false">IFERROR(IF(OR(HLOOKUP($A31,#REF!,8,FALSE())&gt;2,HLOOKUP($A31,#REF!,8,FALSE())&lt;-2),"",#REF!),"")</f>
        <v/>
      </c>
      <c r="K31" s="0" t="str">
        <f aca="false">IFERROR(IF(OR(HLOOKUP($A31,#REF!,9,FALSE())&gt;2,HLOOKUP($A31,#REF!,9,FALSE())&lt;-2),"",#REF!),"")</f>
        <v/>
      </c>
      <c r="L31" s="0" t="str">
        <f aca="false">IFERROR(IF(OR(HLOOKUP($A31,#REF!,10,FALSE())&gt;2,HLOOKUP($A31,#REF!,10,FALSE())&lt;-2),"",#REF!),"")</f>
        <v/>
      </c>
      <c r="M31" s="0" t="str">
        <f aca="false">IFERROR(IF(OR(HLOOKUP($A31,#REF!,11,FALSE())&gt;2,HLOOKUP($A31,#REF!,11,FALSE())&lt;-2),"",#REF!),"")</f>
        <v/>
      </c>
      <c r="N31" s="0" t="str">
        <f aca="false">IFERROR(IF(OR(HLOOKUP($A31,#REF!,12,FALSE())&gt;2,HLOOKUP($A31,#REF!,12,FALSE())&lt;-2),"",#REF!),"")</f>
        <v/>
      </c>
      <c r="O31" s="0" t="str">
        <f aca="false">IFERROR(IF(OR(HLOOKUP($A31,#REF!,13,FALSE())&gt;2,HLOOKUP($A31,#REF!,13,FALSE())&lt;-2),"",#REF!),"")</f>
        <v/>
      </c>
      <c r="P31" s="0" t="str">
        <f aca="false">IFERROR(IF(OR(HLOOKUP($A31,#REF!,14,FALSE())&gt;2,HLOOKUP($A31,#REF!,14,FALSE())&lt;-2),"",#REF!),"")</f>
        <v/>
      </c>
      <c r="Q31" s="0" t="str">
        <f aca="false">IFERROR(IF(OR(HLOOKUP($A31,#REF!,15,FALSE())&gt;2,HLOOKUP($A31,#REF!,15,FALSE())&lt;-2),"",#REF!),"")</f>
        <v/>
      </c>
      <c r="R31" s="0" t="str">
        <f aca="false">IFERROR(IF(OR(HLOOKUP($A31,#REF!,16,FALSE())&gt;2,HLOOKUP($A31,#REF!,16,FALSE())&lt;-2),"",#REF!),"")</f>
        <v/>
      </c>
      <c r="S31" s="0" t="str">
        <f aca="false">IFERROR(IF(OR(HLOOKUP($A31,#REF!,17,FALSE())&gt;2,HLOOKUP($A31,#REF!,17,FALSE())&lt;-2),"",#REF!),"")</f>
        <v/>
      </c>
      <c r="T31" s="0" t="str">
        <f aca="false">IFERROR(IF(OR(HLOOKUP($A31,#REF!,18,FALSE())&gt;2,HLOOKUP($A31,#REF!,18,FALSE())&lt;-2),"",#REF!),"")</f>
        <v/>
      </c>
      <c r="U31" s="0" t="str">
        <f aca="false">IFERROR(IF(OR(HLOOKUP($A31,#REF!,19,FALSE())&gt;2,HLOOKUP($A31,#REF!,19,FALSE())&lt;-2),"",#REF!),"")</f>
        <v/>
      </c>
      <c r="V31" s="0" t="n">
        <f aca="false">IFERROR(IF(AND(X31=0,Y31=0),0,1),0)</f>
        <v>1</v>
      </c>
      <c r="W31" s="3" t="str">
        <f aca="false">IFERROR(_xlfn.T.TEST(E31:M31,N31:U31,2,2),"")</f>
        <v/>
      </c>
      <c r="X31" s="0" t="str">
        <f aca="false">IFERROR(AVERAGE(E31:M31),"")</f>
        <v/>
      </c>
      <c r="Y31" s="0" t="str">
        <f aca="false">IFERROR(AVERAGE(N31:U31),"")</f>
        <v/>
      </c>
    </row>
    <row r="32" customFormat="false" ht="14.5" hidden="false" customHeight="false" outlineLevel="0" collapsed="false">
      <c r="A32" s="0" t="n">
        <v>33</v>
      </c>
      <c r="B32" s="0" t="s">
        <v>124</v>
      </c>
      <c r="C32" s="0" t="n">
        <v>16700</v>
      </c>
      <c r="D32" s="0" t="n">
        <v>385</v>
      </c>
      <c r="E32" s="0" t="str">
        <f aca="false">IFERROR(IF(OR(HLOOKUP($A32,#REF!,3,FALSE())&gt;2,HLOOKUP(A32,#REF!,3,FALSE())&lt;-2),"",#REF!),"")</f>
        <v/>
      </c>
      <c r="F32" s="0" t="str">
        <f aca="false">IFERROR(IF(OR(HLOOKUP($A32,#REF!,4,FALSE())&gt;2,HLOOKUP($A32,#REF!,4,FALSE())&lt;-2),"",#REF!),"")</f>
        <v/>
      </c>
      <c r="G32" s="0" t="str">
        <f aca="false">IFERROR(IF(OR(HLOOKUP($A32,#REF!,5,FALSE())&gt;2,HLOOKUP($A32,#REF!,5,FALSE())&lt;-2),"",#REF!),"")</f>
        <v/>
      </c>
      <c r="H32" s="0" t="str">
        <f aca="false">IFERROR(IF(OR(HLOOKUP($A32,#REF!,6,FALSE())&gt;2,HLOOKUP($A32,#REF!,6,FALSE())&lt;-2),"",#REF!),"")</f>
        <v/>
      </c>
      <c r="I32" s="0" t="str">
        <f aca="false">IFERROR(IF(OR(HLOOKUP($A32,#REF!,7,FALSE())&gt;2,HLOOKUP($A32,#REF!,7,FALSE())&lt;-2),"",#REF!),"")</f>
        <v/>
      </c>
      <c r="J32" s="0" t="str">
        <f aca="false">IFERROR(IF(OR(HLOOKUP($A32,#REF!,8,FALSE())&gt;2,HLOOKUP($A32,#REF!,8,FALSE())&lt;-2),"",#REF!),"")</f>
        <v/>
      </c>
      <c r="K32" s="0" t="str">
        <f aca="false">IFERROR(IF(OR(HLOOKUP($A32,#REF!,9,FALSE())&gt;2,HLOOKUP($A32,#REF!,9,FALSE())&lt;-2),"",#REF!),"")</f>
        <v/>
      </c>
      <c r="L32" s="0" t="str">
        <f aca="false">IFERROR(IF(OR(HLOOKUP($A32,#REF!,10,FALSE())&gt;2,HLOOKUP($A32,#REF!,10,FALSE())&lt;-2),"",#REF!),"")</f>
        <v/>
      </c>
      <c r="M32" s="0" t="str">
        <f aca="false">IFERROR(IF(OR(HLOOKUP($A32,#REF!,11,FALSE())&gt;2,HLOOKUP($A32,#REF!,11,FALSE())&lt;-2),"",#REF!),"")</f>
        <v/>
      </c>
      <c r="N32" s="0" t="str">
        <f aca="false">IFERROR(IF(OR(HLOOKUP($A32,#REF!,12,FALSE())&gt;2,HLOOKUP($A32,#REF!,12,FALSE())&lt;-2),"",#REF!),"")</f>
        <v/>
      </c>
      <c r="O32" s="0" t="str">
        <f aca="false">IFERROR(IF(OR(HLOOKUP($A32,#REF!,13,FALSE())&gt;2,HLOOKUP($A32,#REF!,13,FALSE())&lt;-2),"",#REF!),"")</f>
        <v/>
      </c>
      <c r="P32" s="0" t="str">
        <f aca="false">IFERROR(IF(OR(HLOOKUP($A32,#REF!,14,FALSE())&gt;2,HLOOKUP($A32,#REF!,14,FALSE())&lt;-2),"",#REF!),"")</f>
        <v/>
      </c>
      <c r="Q32" s="0" t="str">
        <f aca="false">IFERROR(IF(OR(HLOOKUP($A32,#REF!,15,FALSE())&gt;2,HLOOKUP($A32,#REF!,15,FALSE())&lt;-2),"",#REF!),"")</f>
        <v/>
      </c>
      <c r="R32" s="0" t="str">
        <f aca="false">IFERROR(IF(OR(HLOOKUP($A32,#REF!,16,FALSE())&gt;2,HLOOKUP($A32,#REF!,16,FALSE())&lt;-2),"",#REF!),"")</f>
        <v/>
      </c>
      <c r="S32" s="0" t="str">
        <f aca="false">IFERROR(IF(OR(HLOOKUP($A32,#REF!,17,FALSE())&gt;2,HLOOKUP($A32,#REF!,17,FALSE())&lt;-2),"",#REF!),"")</f>
        <v/>
      </c>
      <c r="T32" s="0" t="str">
        <f aca="false">IFERROR(IF(OR(HLOOKUP($A32,#REF!,18,FALSE())&gt;2,HLOOKUP($A32,#REF!,18,FALSE())&lt;-2),"",#REF!),"")</f>
        <v/>
      </c>
      <c r="U32" s="0" t="str">
        <f aca="false">IFERROR(IF(OR(HLOOKUP($A32,#REF!,19,FALSE())&gt;2,HLOOKUP($A32,#REF!,19,FALSE())&lt;-2),"",#REF!),"")</f>
        <v/>
      </c>
      <c r="V32" s="0" t="n">
        <f aca="false">IFERROR(IF(AND(X32=0,Y32=0),0,1),0)</f>
        <v>1</v>
      </c>
      <c r="W32" s="3" t="str">
        <f aca="false">IFERROR(_xlfn.T.TEST(E32:M32,N32:U32,2,2),"")</f>
        <v/>
      </c>
      <c r="X32" s="0" t="str">
        <f aca="false">IFERROR(AVERAGE(E32:M32),"")</f>
        <v/>
      </c>
      <c r="Y32" s="0" t="str">
        <f aca="false">IFERROR(AVERAGE(N32:U32),"")</f>
        <v/>
      </c>
    </row>
    <row r="33" customFormat="false" ht="14.5" hidden="false" customHeight="false" outlineLevel="0" collapsed="false">
      <c r="A33" s="0" t="n">
        <v>34</v>
      </c>
      <c r="B33" s="0" t="s">
        <v>125</v>
      </c>
      <c r="C33" s="0" t="n">
        <v>118600</v>
      </c>
      <c r="D33" s="0" t="n">
        <v>1040</v>
      </c>
      <c r="E33" s="0" t="str">
        <f aca="false">IFERROR(IF(OR(HLOOKUP($A33,#REF!,3,FALSE())&gt;2,HLOOKUP(A33,#REF!,3,FALSE())&lt;-2),"",#REF!),"")</f>
        <v/>
      </c>
      <c r="F33" s="0" t="str">
        <f aca="false">IFERROR(IF(OR(HLOOKUP($A33,#REF!,4,FALSE())&gt;2,HLOOKUP($A33,#REF!,4,FALSE())&lt;-2),"",#REF!),"")</f>
        <v/>
      </c>
      <c r="G33" s="0" t="str">
        <f aca="false">IFERROR(IF(OR(HLOOKUP($A33,#REF!,5,FALSE())&gt;2,HLOOKUP($A33,#REF!,5,FALSE())&lt;-2),"",#REF!),"")</f>
        <v/>
      </c>
      <c r="H33" s="0" t="str">
        <f aca="false">IFERROR(IF(OR(HLOOKUP($A33,#REF!,6,FALSE())&gt;2,HLOOKUP($A33,#REF!,6,FALSE())&lt;-2),"",#REF!),"")</f>
        <v/>
      </c>
      <c r="I33" s="0" t="str">
        <f aca="false">IFERROR(IF(OR(HLOOKUP($A33,#REF!,7,FALSE())&gt;2,HLOOKUP($A33,#REF!,7,FALSE())&lt;-2),"",#REF!),"")</f>
        <v/>
      </c>
      <c r="J33" s="0" t="str">
        <f aca="false">IFERROR(IF(OR(HLOOKUP($A33,#REF!,8,FALSE())&gt;2,HLOOKUP($A33,#REF!,8,FALSE())&lt;-2),"",#REF!),"")</f>
        <v/>
      </c>
      <c r="K33" s="0" t="str">
        <f aca="false">IFERROR(IF(OR(HLOOKUP($A33,#REF!,9,FALSE())&gt;2,HLOOKUP($A33,#REF!,9,FALSE())&lt;-2),"",#REF!),"")</f>
        <v/>
      </c>
      <c r="L33" s="0" t="str">
        <f aca="false">IFERROR(IF(OR(HLOOKUP($A33,#REF!,10,FALSE())&gt;2,HLOOKUP($A33,#REF!,10,FALSE())&lt;-2),"",#REF!),"")</f>
        <v/>
      </c>
      <c r="M33" s="0" t="str">
        <f aca="false">IFERROR(IF(OR(HLOOKUP($A33,#REF!,11,FALSE())&gt;2,HLOOKUP($A33,#REF!,11,FALSE())&lt;-2),"",#REF!),"")</f>
        <v/>
      </c>
      <c r="N33" s="0" t="str">
        <f aca="false">IFERROR(IF(OR(HLOOKUP($A33,#REF!,12,FALSE())&gt;2,HLOOKUP($A33,#REF!,12,FALSE())&lt;-2),"",#REF!),"")</f>
        <v/>
      </c>
      <c r="O33" s="0" t="str">
        <f aca="false">IFERROR(IF(OR(HLOOKUP($A33,#REF!,13,FALSE())&gt;2,HLOOKUP($A33,#REF!,13,FALSE())&lt;-2),"",#REF!),"")</f>
        <v/>
      </c>
      <c r="P33" s="0" t="str">
        <f aca="false">IFERROR(IF(OR(HLOOKUP($A33,#REF!,14,FALSE())&gt;2,HLOOKUP($A33,#REF!,14,FALSE())&lt;-2),"",#REF!),"")</f>
        <v/>
      </c>
      <c r="Q33" s="0" t="str">
        <f aca="false">IFERROR(IF(OR(HLOOKUP($A33,#REF!,15,FALSE())&gt;2,HLOOKUP($A33,#REF!,15,FALSE())&lt;-2),"",#REF!),"")</f>
        <v/>
      </c>
      <c r="R33" s="0" t="str">
        <f aca="false">IFERROR(IF(OR(HLOOKUP($A33,#REF!,16,FALSE())&gt;2,HLOOKUP($A33,#REF!,16,FALSE())&lt;-2),"",#REF!),"")</f>
        <v/>
      </c>
      <c r="S33" s="0" t="str">
        <f aca="false">IFERROR(IF(OR(HLOOKUP($A33,#REF!,17,FALSE())&gt;2,HLOOKUP($A33,#REF!,17,FALSE())&lt;-2),"",#REF!),"")</f>
        <v/>
      </c>
      <c r="T33" s="0" t="str">
        <f aca="false">IFERROR(IF(OR(HLOOKUP($A33,#REF!,18,FALSE())&gt;2,HLOOKUP($A33,#REF!,18,FALSE())&lt;-2),"",#REF!),"")</f>
        <v/>
      </c>
      <c r="U33" s="0" t="str">
        <f aca="false">IFERROR(IF(OR(HLOOKUP($A33,#REF!,19,FALSE())&gt;2,HLOOKUP($A33,#REF!,19,FALSE())&lt;-2),"",#REF!),"")</f>
        <v/>
      </c>
      <c r="V33" s="0" t="n">
        <f aca="false">IFERROR(IF(AND(X33=0,Y33=0),0,1),0)</f>
        <v>1</v>
      </c>
      <c r="W33" s="3" t="str">
        <f aca="false">IFERROR(_xlfn.T.TEST(E33:M33,N33:U33,2,2),"")</f>
        <v/>
      </c>
      <c r="X33" s="0" t="str">
        <f aca="false">IFERROR(AVERAGE(E33:M33),"")</f>
        <v/>
      </c>
      <c r="Y33" s="0" t="str">
        <f aca="false">IFERROR(AVERAGE(N33:U33),"")</f>
        <v/>
      </c>
    </row>
    <row r="34" customFormat="false" ht="14.5" hidden="false" customHeight="false" outlineLevel="0" collapsed="false">
      <c r="A34" s="0" t="n">
        <v>35</v>
      </c>
      <c r="B34" s="0" t="s">
        <v>126</v>
      </c>
      <c r="C34" s="0" t="n">
        <v>82800</v>
      </c>
      <c r="D34" s="0" t="n">
        <v>323</v>
      </c>
      <c r="E34" s="0" t="str">
        <f aca="false">IFERROR(IF(OR(HLOOKUP($A34,#REF!,3,FALSE())&gt;2,HLOOKUP(A34,#REF!,3,FALSE())&lt;-2),"",#REF!),"")</f>
        <v/>
      </c>
      <c r="F34" s="0" t="str">
        <f aca="false">IFERROR(IF(OR(HLOOKUP($A34,#REF!,4,FALSE())&gt;2,HLOOKUP($A34,#REF!,4,FALSE())&lt;-2),"",#REF!),"")</f>
        <v/>
      </c>
      <c r="G34" s="0" t="str">
        <f aca="false">IFERROR(IF(OR(HLOOKUP($A34,#REF!,5,FALSE())&gt;2,HLOOKUP($A34,#REF!,5,FALSE())&lt;-2),"",#REF!),"")</f>
        <v/>
      </c>
      <c r="H34" s="0" t="str">
        <f aca="false">IFERROR(IF(OR(HLOOKUP($A34,#REF!,6,FALSE())&gt;2,HLOOKUP($A34,#REF!,6,FALSE())&lt;-2),"",#REF!),"")</f>
        <v/>
      </c>
      <c r="I34" s="0" t="str">
        <f aca="false">IFERROR(IF(OR(HLOOKUP($A34,#REF!,7,FALSE())&gt;2,HLOOKUP($A34,#REF!,7,FALSE())&lt;-2),"",#REF!),"")</f>
        <v/>
      </c>
      <c r="J34" s="0" t="str">
        <f aca="false">IFERROR(IF(OR(HLOOKUP($A34,#REF!,8,FALSE())&gt;2,HLOOKUP($A34,#REF!,8,FALSE())&lt;-2),"",#REF!),"")</f>
        <v/>
      </c>
      <c r="K34" s="0" t="str">
        <f aca="false">IFERROR(IF(OR(HLOOKUP($A34,#REF!,9,FALSE())&gt;2,HLOOKUP($A34,#REF!,9,FALSE())&lt;-2),"",#REF!),"")</f>
        <v/>
      </c>
      <c r="L34" s="0" t="str">
        <f aca="false">IFERROR(IF(OR(HLOOKUP($A34,#REF!,10,FALSE())&gt;2,HLOOKUP($A34,#REF!,10,FALSE())&lt;-2),"",#REF!),"")</f>
        <v/>
      </c>
      <c r="M34" s="0" t="str">
        <f aca="false">IFERROR(IF(OR(HLOOKUP($A34,#REF!,11,FALSE())&gt;2,HLOOKUP($A34,#REF!,11,FALSE())&lt;-2),"",#REF!),"")</f>
        <v/>
      </c>
      <c r="N34" s="0" t="str">
        <f aca="false">IFERROR(IF(OR(HLOOKUP($A34,#REF!,12,FALSE())&gt;2,HLOOKUP($A34,#REF!,12,FALSE())&lt;-2),"",#REF!),"")</f>
        <v/>
      </c>
      <c r="O34" s="0" t="str">
        <f aca="false">IFERROR(IF(OR(HLOOKUP($A34,#REF!,13,FALSE())&gt;2,HLOOKUP($A34,#REF!,13,FALSE())&lt;-2),"",#REF!),"")</f>
        <v/>
      </c>
      <c r="P34" s="0" t="str">
        <f aca="false">IFERROR(IF(OR(HLOOKUP($A34,#REF!,14,FALSE())&gt;2,HLOOKUP($A34,#REF!,14,FALSE())&lt;-2),"",#REF!),"")</f>
        <v/>
      </c>
      <c r="Q34" s="0" t="str">
        <f aca="false">IFERROR(IF(OR(HLOOKUP($A34,#REF!,15,FALSE())&gt;2,HLOOKUP($A34,#REF!,15,FALSE())&lt;-2),"",#REF!),"")</f>
        <v/>
      </c>
      <c r="R34" s="0" t="str">
        <f aca="false">IFERROR(IF(OR(HLOOKUP($A34,#REF!,16,FALSE())&gt;2,HLOOKUP($A34,#REF!,16,FALSE())&lt;-2),"",#REF!),"")</f>
        <v/>
      </c>
      <c r="S34" s="0" t="str">
        <f aca="false">IFERROR(IF(OR(HLOOKUP($A34,#REF!,17,FALSE())&gt;2,HLOOKUP($A34,#REF!,17,FALSE())&lt;-2),"",#REF!),"")</f>
        <v/>
      </c>
      <c r="T34" s="0" t="str">
        <f aca="false">IFERROR(IF(OR(HLOOKUP($A34,#REF!,18,FALSE())&gt;2,HLOOKUP($A34,#REF!,18,FALSE())&lt;-2),"",#REF!),"")</f>
        <v/>
      </c>
      <c r="U34" s="0" t="str">
        <f aca="false">IFERROR(IF(OR(HLOOKUP($A34,#REF!,19,FALSE())&gt;2,HLOOKUP($A34,#REF!,19,FALSE())&lt;-2),"",#REF!),"")</f>
        <v/>
      </c>
      <c r="V34" s="0" t="n">
        <f aca="false">IFERROR(IF(AND(X34=0,Y34=0),0,1),0)</f>
        <v>1</v>
      </c>
      <c r="W34" s="3" t="str">
        <f aca="false">IFERROR(_xlfn.T.TEST(E34:M34,N34:U34,2,2),"")</f>
        <v/>
      </c>
      <c r="X34" s="0" t="str">
        <f aca="false">IFERROR(AVERAGE(E34:M34),"")</f>
        <v/>
      </c>
      <c r="Y34" s="0" t="str">
        <f aca="false">IFERROR(AVERAGE(N34:U34),"")</f>
        <v/>
      </c>
    </row>
    <row r="35" customFormat="false" ht="14.5" hidden="false" customHeight="false" outlineLevel="0" collapsed="false">
      <c r="A35" s="0" t="n">
        <v>36</v>
      </c>
      <c r="B35" s="0" t="s">
        <v>127</v>
      </c>
      <c r="C35" s="0" t="n">
        <v>9200</v>
      </c>
      <c r="D35" s="0" t="n">
        <v>1057</v>
      </c>
      <c r="E35" s="0" t="str">
        <f aca="false">IFERROR(IF(OR(HLOOKUP($A35,#REF!,3,FALSE())&gt;2,HLOOKUP(A35,#REF!,3,FALSE())&lt;-2),"",#REF!),"")</f>
        <v/>
      </c>
      <c r="F35" s="0" t="str">
        <f aca="false">IFERROR(IF(OR(HLOOKUP($A35,#REF!,4,FALSE())&gt;2,HLOOKUP($A35,#REF!,4,FALSE())&lt;-2),"",#REF!),"")</f>
        <v/>
      </c>
      <c r="G35" s="0" t="str">
        <f aca="false">IFERROR(IF(OR(HLOOKUP($A35,#REF!,5,FALSE())&gt;2,HLOOKUP($A35,#REF!,5,FALSE())&lt;-2),"",#REF!),"")</f>
        <v/>
      </c>
      <c r="H35" s="0" t="str">
        <f aca="false">IFERROR(IF(OR(HLOOKUP($A35,#REF!,6,FALSE())&gt;2,HLOOKUP($A35,#REF!,6,FALSE())&lt;-2),"",#REF!),"")</f>
        <v/>
      </c>
      <c r="I35" s="0" t="str">
        <f aca="false">IFERROR(IF(OR(HLOOKUP($A35,#REF!,7,FALSE())&gt;2,HLOOKUP($A35,#REF!,7,FALSE())&lt;-2),"",#REF!),"")</f>
        <v/>
      </c>
      <c r="J35" s="0" t="str">
        <f aca="false">IFERROR(IF(OR(HLOOKUP($A35,#REF!,8,FALSE())&gt;2,HLOOKUP($A35,#REF!,8,FALSE())&lt;-2),"",#REF!),"")</f>
        <v/>
      </c>
      <c r="K35" s="0" t="str">
        <f aca="false">IFERROR(IF(OR(HLOOKUP($A35,#REF!,9,FALSE())&gt;2,HLOOKUP($A35,#REF!,9,FALSE())&lt;-2),"",#REF!),"")</f>
        <v/>
      </c>
      <c r="L35" s="0" t="str">
        <f aca="false">IFERROR(IF(OR(HLOOKUP($A35,#REF!,10,FALSE())&gt;2,HLOOKUP($A35,#REF!,10,FALSE())&lt;-2),"",#REF!),"")</f>
        <v/>
      </c>
      <c r="M35" s="0" t="str">
        <f aca="false">IFERROR(IF(OR(HLOOKUP($A35,#REF!,11,FALSE())&gt;2,HLOOKUP($A35,#REF!,11,FALSE())&lt;-2),"",#REF!),"")</f>
        <v/>
      </c>
      <c r="N35" s="0" t="str">
        <f aca="false">IFERROR(IF(OR(HLOOKUP($A35,#REF!,12,FALSE())&gt;2,HLOOKUP($A35,#REF!,12,FALSE())&lt;-2),"",#REF!),"")</f>
        <v/>
      </c>
      <c r="O35" s="0" t="str">
        <f aca="false">IFERROR(IF(OR(HLOOKUP($A35,#REF!,13,FALSE())&gt;2,HLOOKUP($A35,#REF!,13,FALSE())&lt;-2),"",#REF!),"")</f>
        <v/>
      </c>
      <c r="P35" s="0" t="str">
        <f aca="false">IFERROR(IF(OR(HLOOKUP($A35,#REF!,14,FALSE())&gt;2,HLOOKUP($A35,#REF!,14,FALSE())&lt;-2),"",#REF!),"")</f>
        <v/>
      </c>
      <c r="Q35" s="0" t="str">
        <f aca="false">IFERROR(IF(OR(HLOOKUP($A35,#REF!,15,FALSE())&gt;2,HLOOKUP($A35,#REF!,15,FALSE())&lt;-2),"",#REF!),"")</f>
        <v/>
      </c>
      <c r="R35" s="0" t="str">
        <f aca="false">IFERROR(IF(OR(HLOOKUP($A35,#REF!,16,FALSE())&gt;2,HLOOKUP($A35,#REF!,16,FALSE())&lt;-2),"",#REF!),"")</f>
        <v/>
      </c>
      <c r="S35" s="0" t="str">
        <f aca="false">IFERROR(IF(OR(HLOOKUP($A35,#REF!,17,FALSE())&gt;2,HLOOKUP($A35,#REF!,17,FALSE())&lt;-2),"",#REF!),"")</f>
        <v/>
      </c>
      <c r="T35" s="0" t="str">
        <f aca="false">IFERROR(IF(OR(HLOOKUP($A35,#REF!,18,FALSE())&gt;2,HLOOKUP($A35,#REF!,18,FALSE())&lt;-2),"",#REF!),"")</f>
        <v/>
      </c>
      <c r="U35" s="0" t="str">
        <f aca="false">IFERROR(IF(OR(HLOOKUP($A35,#REF!,19,FALSE())&gt;2,HLOOKUP($A35,#REF!,19,FALSE())&lt;-2),"",#REF!),"")</f>
        <v/>
      </c>
      <c r="V35" s="0" t="n">
        <f aca="false">IFERROR(IF(AND(X35=0,Y35=0),0,1),0)</f>
        <v>1</v>
      </c>
      <c r="W35" s="3" t="str">
        <f aca="false">IFERROR(_xlfn.T.TEST(E35:M35,N35:U35,2,2),"")</f>
        <v/>
      </c>
      <c r="X35" s="0" t="str">
        <f aca="false">IFERROR(AVERAGE(E35:M35),"")</f>
        <v/>
      </c>
      <c r="Y35" s="0" t="str">
        <f aca="false">IFERROR(AVERAGE(N35:U35),"")</f>
        <v/>
      </c>
    </row>
    <row r="36" customFormat="false" ht="14.5" hidden="false" customHeight="false" outlineLevel="0" collapsed="false">
      <c r="A36" s="0" t="n">
        <v>37</v>
      </c>
      <c r="B36" s="0" t="s">
        <v>128</v>
      </c>
      <c r="C36" s="0" t="n">
        <v>112500</v>
      </c>
      <c r="D36" s="0" t="n">
        <v>768</v>
      </c>
      <c r="E36" s="0" t="str">
        <f aca="false">IFERROR(IF(OR(HLOOKUP($A36,#REF!,3,FALSE())&gt;2,HLOOKUP(A36,#REF!,3,FALSE())&lt;-2),"",#REF!),"")</f>
        <v/>
      </c>
      <c r="F36" s="0" t="str">
        <f aca="false">IFERROR(IF(OR(HLOOKUP($A36,#REF!,4,FALSE())&gt;2,HLOOKUP($A36,#REF!,4,FALSE())&lt;-2),"",#REF!),"")</f>
        <v/>
      </c>
      <c r="G36" s="0" t="str">
        <f aca="false">IFERROR(IF(OR(HLOOKUP($A36,#REF!,5,FALSE())&gt;2,HLOOKUP($A36,#REF!,5,FALSE())&lt;-2),"",#REF!),"")</f>
        <v/>
      </c>
      <c r="H36" s="0" t="str">
        <f aca="false">IFERROR(IF(OR(HLOOKUP($A36,#REF!,6,FALSE())&gt;2,HLOOKUP($A36,#REF!,6,FALSE())&lt;-2),"",#REF!),"")</f>
        <v/>
      </c>
      <c r="I36" s="0" t="str">
        <f aca="false">IFERROR(IF(OR(HLOOKUP($A36,#REF!,7,FALSE())&gt;2,HLOOKUP($A36,#REF!,7,FALSE())&lt;-2),"",#REF!),"")</f>
        <v/>
      </c>
      <c r="J36" s="0" t="str">
        <f aca="false">IFERROR(IF(OR(HLOOKUP($A36,#REF!,8,FALSE())&gt;2,HLOOKUP($A36,#REF!,8,FALSE())&lt;-2),"",#REF!),"")</f>
        <v/>
      </c>
      <c r="K36" s="0" t="str">
        <f aca="false">IFERROR(IF(OR(HLOOKUP($A36,#REF!,9,FALSE())&gt;2,HLOOKUP($A36,#REF!,9,FALSE())&lt;-2),"",#REF!),"")</f>
        <v/>
      </c>
      <c r="L36" s="0" t="str">
        <f aca="false">IFERROR(IF(OR(HLOOKUP($A36,#REF!,10,FALSE())&gt;2,HLOOKUP($A36,#REF!,10,FALSE())&lt;-2),"",#REF!),"")</f>
        <v/>
      </c>
      <c r="M36" s="0" t="str">
        <f aca="false">IFERROR(IF(OR(HLOOKUP($A36,#REF!,11,FALSE())&gt;2,HLOOKUP($A36,#REF!,11,FALSE())&lt;-2),"",#REF!),"")</f>
        <v/>
      </c>
      <c r="N36" s="0" t="str">
        <f aca="false">IFERROR(IF(OR(HLOOKUP($A36,#REF!,12,FALSE())&gt;2,HLOOKUP($A36,#REF!,12,FALSE())&lt;-2),"",#REF!),"")</f>
        <v/>
      </c>
      <c r="O36" s="0" t="str">
        <f aca="false">IFERROR(IF(OR(HLOOKUP($A36,#REF!,13,FALSE())&gt;2,HLOOKUP($A36,#REF!,13,FALSE())&lt;-2),"",#REF!),"")</f>
        <v/>
      </c>
      <c r="P36" s="0" t="str">
        <f aca="false">IFERROR(IF(OR(HLOOKUP($A36,#REF!,14,FALSE())&gt;2,HLOOKUP($A36,#REF!,14,FALSE())&lt;-2),"",#REF!),"")</f>
        <v/>
      </c>
      <c r="Q36" s="0" t="str">
        <f aca="false">IFERROR(IF(OR(HLOOKUP($A36,#REF!,15,FALSE())&gt;2,HLOOKUP($A36,#REF!,15,FALSE())&lt;-2),"",#REF!),"")</f>
        <v/>
      </c>
      <c r="R36" s="0" t="str">
        <f aca="false">IFERROR(IF(OR(HLOOKUP($A36,#REF!,16,FALSE())&gt;2,HLOOKUP($A36,#REF!,16,FALSE())&lt;-2),"",#REF!),"")</f>
        <v/>
      </c>
      <c r="S36" s="0" t="str">
        <f aca="false">IFERROR(IF(OR(HLOOKUP($A36,#REF!,17,FALSE())&gt;2,HLOOKUP($A36,#REF!,17,FALSE())&lt;-2),"",#REF!),"")</f>
        <v/>
      </c>
      <c r="T36" s="0" t="str">
        <f aca="false">IFERROR(IF(OR(HLOOKUP($A36,#REF!,18,FALSE())&gt;2,HLOOKUP($A36,#REF!,18,FALSE())&lt;-2),"",#REF!),"")</f>
        <v/>
      </c>
      <c r="U36" s="0" t="str">
        <f aca="false">IFERROR(IF(OR(HLOOKUP($A36,#REF!,19,FALSE())&gt;2,HLOOKUP($A36,#REF!,19,FALSE())&lt;-2),"",#REF!),"")</f>
        <v/>
      </c>
      <c r="V36" s="0" t="n">
        <f aca="false">IFERROR(IF(AND(X36=0,Y36=0),0,1),0)</f>
        <v>1</v>
      </c>
      <c r="W36" s="3" t="str">
        <f aca="false">IFERROR(_xlfn.T.TEST(E36:M36,N36:U36,2,2),"")</f>
        <v/>
      </c>
      <c r="X36" s="0" t="str">
        <f aca="false">IFERROR(AVERAGE(E36:M36),"")</f>
        <v/>
      </c>
      <c r="Y36" s="0" t="str">
        <f aca="false">IFERROR(AVERAGE(N36:U36),"")</f>
        <v/>
      </c>
    </row>
    <row r="37" customFormat="false" ht="14.5" hidden="false" customHeight="false" outlineLevel="0" collapsed="false">
      <c r="A37" s="0" t="n">
        <v>38</v>
      </c>
      <c r="B37" s="0" t="s">
        <v>129</v>
      </c>
      <c r="C37" s="0" t="n">
        <v>70500</v>
      </c>
      <c r="D37" s="0" t="n">
        <v>157</v>
      </c>
      <c r="E37" s="0" t="str">
        <f aca="false">IFERROR(IF(OR(HLOOKUP($A37,#REF!,3,FALSE())&gt;2,HLOOKUP(A37,#REF!,3,FALSE())&lt;-2),"",#REF!),"")</f>
        <v/>
      </c>
      <c r="F37" s="0" t="str">
        <f aca="false">IFERROR(IF(OR(HLOOKUP($A37,#REF!,4,FALSE())&gt;2,HLOOKUP($A37,#REF!,4,FALSE())&lt;-2),"",#REF!),"")</f>
        <v/>
      </c>
      <c r="G37" s="0" t="str">
        <f aca="false">IFERROR(IF(OR(HLOOKUP($A37,#REF!,5,FALSE())&gt;2,HLOOKUP($A37,#REF!,5,FALSE())&lt;-2),"",#REF!),"")</f>
        <v/>
      </c>
      <c r="H37" s="0" t="str">
        <f aca="false">IFERROR(IF(OR(HLOOKUP($A37,#REF!,6,FALSE())&gt;2,HLOOKUP($A37,#REF!,6,FALSE())&lt;-2),"",#REF!),"")</f>
        <v/>
      </c>
      <c r="I37" s="0" t="str">
        <f aca="false">IFERROR(IF(OR(HLOOKUP($A37,#REF!,7,FALSE())&gt;2,HLOOKUP($A37,#REF!,7,FALSE())&lt;-2),"",#REF!),"")</f>
        <v/>
      </c>
      <c r="J37" s="0" t="str">
        <f aca="false">IFERROR(IF(OR(HLOOKUP($A37,#REF!,8,FALSE())&gt;2,HLOOKUP($A37,#REF!,8,FALSE())&lt;-2),"",#REF!),"")</f>
        <v/>
      </c>
      <c r="K37" s="0" t="str">
        <f aca="false">IFERROR(IF(OR(HLOOKUP($A37,#REF!,9,FALSE())&gt;2,HLOOKUP($A37,#REF!,9,FALSE())&lt;-2),"",#REF!),"")</f>
        <v/>
      </c>
      <c r="L37" s="0" t="str">
        <f aca="false">IFERROR(IF(OR(HLOOKUP($A37,#REF!,10,FALSE())&gt;2,HLOOKUP($A37,#REF!,10,FALSE())&lt;-2),"",#REF!),"")</f>
        <v/>
      </c>
      <c r="M37" s="0" t="str">
        <f aca="false">IFERROR(IF(OR(HLOOKUP($A37,#REF!,11,FALSE())&gt;2,HLOOKUP($A37,#REF!,11,FALSE())&lt;-2),"",#REF!),"")</f>
        <v/>
      </c>
      <c r="N37" s="0" t="str">
        <f aca="false">IFERROR(IF(OR(HLOOKUP($A37,#REF!,12,FALSE())&gt;2,HLOOKUP($A37,#REF!,12,FALSE())&lt;-2),"",#REF!),"")</f>
        <v/>
      </c>
      <c r="O37" s="0" t="str">
        <f aca="false">IFERROR(IF(OR(HLOOKUP($A37,#REF!,13,FALSE())&gt;2,HLOOKUP($A37,#REF!,13,FALSE())&lt;-2),"",#REF!),"")</f>
        <v/>
      </c>
      <c r="P37" s="0" t="str">
        <f aca="false">IFERROR(IF(OR(HLOOKUP($A37,#REF!,14,FALSE())&gt;2,HLOOKUP($A37,#REF!,14,FALSE())&lt;-2),"",#REF!),"")</f>
        <v/>
      </c>
      <c r="Q37" s="0" t="str">
        <f aca="false">IFERROR(IF(OR(HLOOKUP($A37,#REF!,15,FALSE())&gt;2,HLOOKUP($A37,#REF!,15,FALSE())&lt;-2),"",#REF!),"")</f>
        <v/>
      </c>
      <c r="R37" s="0" t="str">
        <f aca="false">IFERROR(IF(OR(HLOOKUP($A37,#REF!,16,FALSE())&gt;2,HLOOKUP($A37,#REF!,16,FALSE())&lt;-2),"",#REF!),"")</f>
        <v/>
      </c>
      <c r="S37" s="0" t="str">
        <f aca="false">IFERROR(IF(OR(HLOOKUP($A37,#REF!,17,FALSE())&gt;2,HLOOKUP($A37,#REF!,17,FALSE())&lt;-2),"",#REF!),"")</f>
        <v/>
      </c>
      <c r="T37" s="0" t="str">
        <f aca="false">IFERROR(IF(OR(HLOOKUP($A37,#REF!,18,FALSE())&gt;2,HLOOKUP($A37,#REF!,18,FALSE())&lt;-2),"",#REF!),"")</f>
        <v/>
      </c>
      <c r="U37" s="0" t="str">
        <f aca="false">IFERROR(IF(OR(HLOOKUP($A37,#REF!,19,FALSE())&gt;2,HLOOKUP($A37,#REF!,19,FALSE())&lt;-2),"",#REF!),"")</f>
        <v/>
      </c>
      <c r="V37" s="0" t="n">
        <f aca="false">IFERROR(IF(AND(X37=0,Y37=0),0,1),0)</f>
        <v>1</v>
      </c>
      <c r="W37" s="3" t="str">
        <f aca="false">IFERROR(_xlfn.T.TEST(E37:M37,N37:U37,2,2),"")</f>
        <v/>
      </c>
      <c r="X37" s="0" t="str">
        <f aca="false">IFERROR(AVERAGE(E37:M37),"")</f>
        <v/>
      </c>
      <c r="Y37" s="0" t="str">
        <f aca="false">IFERROR(AVERAGE(N37:U37),"")</f>
        <v/>
      </c>
    </row>
    <row r="38" customFormat="false" ht="14.5" hidden="false" customHeight="false" outlineLevel="0" collapsed="false">
      <c r="A38" s="0" t="n">
        <v>39</v>
      </c>
      <c r="B38" s="0" t="s">
        <v>130</v>
      </c>
      <c r="C38" s="0" t="n">
        <v>18900</v>
      </c>
      <c r="D38" s="0" t="n">
        <v>31</v>
      </c>
      <c r="E38" s="0" t="str">
        <f aca="false">IFERROR(IF(OR(HLOOKUP($A38,#REF!,3,FALSE())&gt;2,HLOOKUP(A38,#REF!,3,FALSE())&lt;-2),"",#REF!),"")</f>
        <v/>
      </c>
      <c r="F38" s="0" t="str">
        <f aca="false">IFERROR(IF(OR(HLOOKUP($A38,#REF!,4,FALSE())&gt;2,HLOOKUP($A38,#REF!,4,FALSE())&lt;-2),"",#REF!),"")</f>
        <v/>
      </c>
      <c r="G38" s="0" t="str">
        <f aca="false">IFERROR(IF(OR(HLOOKUP($A38,#REF!,5,FALSE())&gt;2,HLOOKUP($A38,#REF!,5,FALSE())&lt;-2),"",#REF!),"")</f>
        <v/>
      </c>
      <c r="H38" s="0" t="str">
        <f aca="false">IFERROR(IF(OR(HLOOKUP($A38,#REF!,6,FALSE())&gt;2,HLOOKUP($A38,#REF!,6,FALSE())&lt;-2),"",#REF!),"")</f>
        <v/>
      </c>
      <c r="I38" s="0" t="str">
        <f aca="false">IFERROR(IF(OR(HLOOKUP($A38,#REF!,7,FALSE())&gt;2,HLOOKUP($A38,#REF!,7,FALSE())&lt;-2),"",#REF!),"")</f>
        <v/>
      </c>
      <c r="J38" s="0" t="str">
        <f aca="false">IFERROR(IF(OR(HLOOKUP($A38,#REF!,8,FALSE())&gt;2,HLOOKUP($A38,#REF!,8,FALSE())&lt;-2),"",#REF!),"")</f>
        <v/>
      </c>
      <c r="K38" s="0" t="str">
        <f aca="false">IFERROR(IF(OR(HLOOKUP($A38,#REF!,9,FALSE())&gt;2,HLOOKUP($A38,#REF!,9,FALSE())&lt;-2),"",#REF!),"")</f>
        <v/>
      </c>
      <c r="L38" s="0" t="str">
        <f aca="false">IFERROR(IF(OR(HLOOKUP($A38,#REF!,10,FALSE())&gt;2,HLOOKUP($A38,#REF!,10,FALSE())&lt;-2),"",#REF!),"")</f>
        <v/>
      </c>
      <c r="M38" s="0" t="str">
        <f aca="false">IFERROR(IF(OR(HLOOKUP($A38,#REF!,11,FALSE())&gt;2,HLOOKUP($A38,#REF!,11,FALSE())&lt;-2),"",#REF!),"")</f>
        <v/>
      </c>
      <c r="N38" s="0" t="str">
        <f aca="false">IFERROR(IF(OR(HLOOKUP($A38,#REF!,12,FALSE())&gt;2,HLOOKUP($A38,#REF!,12,FALSE())&lt;-2),"",#REF!),"")</f>
        <v/>
      </c>
      <c r="O38" s="0" t="str">
        <f aca="false">IFERROR(IF(OR(HLOOKUP($A38,#REF!,13,FALSE())&gt;2,HLOOKUP($A38,#REF!,13,FALSE())&lt;-2),"",#REF!),"")</f>
        <v/>
      </c>
      <c r="P38" s="0" t="str">
        <f aca="false">IFERROR(IF(OR(HLOOKUP($A38,#REF!,14,FALSE())&gt;2,HLOOKUP($A38,#REF!,14,FALSE())&lt;-2),"",#REF!),"")</f>
        <v/>
      </c>
      <c r="Q38" s="0" t="str">
        <f aca="false">IFERROR(IF(OR(HLOOKUP($A38,#REF!,15,FALSE())&gt;2,HLOOKUP($A38,#REF!,15,FALSE())&lt;-2),"",#REF!),"")</f>
        <v/>
      </c>
      <c r="R38" s="0" t="str">
        <f aca="false">IFERROR(IF(OR(HLOOKUP($A38,#REF!,16,FALSE())&gt;2,HLOOKUP($A38,#REF!,16,FALSE())&lt;-2),"",#REF!),"")</f>
        <v/>
      </c>
      <c r="S38" s="0" t="str">
        <f aca="false">IFERROR(IF(OR(HLOOKUP($A38,#REF!,17,FALSE())&gt;2,HLOOKUP($A38,#REF!,17,FALSE())&lt;-2),"",#REF!),"")</f>
        <v/>
      </c>
      <c r="T38" s="0" t="str">
        <f aca="false">IFERROR(IF(OR(HLOOKUP($A38,#REF!,18,FALSE())&gt;2,HLOOKUP($A38,#REF!,18,FALSE())&lt;-2),"",#REF!),"")</f>
        <v/>
      </c>
      <c r="U38" s="0" t="str">
        <f aca="false">IFERROR(IF(OR(HLOOKUP($A38,#REF!,19,FALSE())&gt;2,HLOOKUP($A38,#REF!,19,FALSE())&lt;-2),"",#REF!),"")</f>
        <v/>
      </c>
      <c r="V38" s="0" t="n">
        <f aca="false">IFERROR(IF(AND(X38=0,Y38=0),0,1),0)</f>
        <v>1</v>
      </c>
      <c r="W38" s="3" t="str">
        <f aca="false">IFERROR(_xlfn.T.TEST(E38:M38,N38:U38,2,2),"")</f>
        <v/>
      </c>
      <c r="X38" s="0" t="str">
        <f aca="false">IFERROR(AVERAGE(E38:M38),"")</f>
        <v/>
      </c>
      <c r="Y38" s="0" t="str">
        <f aca="false">IFERROR(AVERAGE(N38:U38),"")</f>
        <v/>
      </c>
    </row>
    <row r="39" customFormat="false" ht="14.5" hidden="false" customHeight="false" outlineLevel="0" collapsed="false">
      <c r="A39" s="0" t="n">
        <v>41</v>
      </c>
      <c r="B39" s="0" t="s">
        <v>131</v>
      </c>
      <c r="C39" s="0" t="n">
        <v>17800</v>
      </c>
      <c r="D39" s="0" t="n">
        <v>533</v>
      </c>
      <c r="E39" s="0" t="str">
        <f aca="false">IFERROR(IF(OR(HLOOKUP($A39,#REF!,3,FALSE())&gt;2,HLOOKUP(A39,#REF!,3,FALSE())&lt;-2),"",#REF!),"")</f>
        <v/>
      </c>
      <c r="F39" s="0" t="str">
        <f aca="false">IFERROR(IF(OR(HLOOKUP($A39,#REF!,4,FALSE())&gt;2,HLOOKUP($A39,#REF!,4,FALSE())&lt;-2),"",#REF!),"")</f>
        <v/>
      </c>
      <c r="G39" s="0" t="str">
        <f aca="false">IFERROR(IF(OR(HLOOKUP($A39,#REF!,5,FALSE())&gt;2,HLOOKUP($A39,#REF!,5,FALSE())&lt;-2),"",#REF!),"")</f>
        <v/>
      </c>
      <c r="H39" s="0" t="str">
        <f aca="false">IFERROR(IF(OR(HLOOKUP($A39,#REF!,6,FALSE())&gt;2,HLOOKUP($A39,#REF!,6,FALSE())&lt;-2),"",#REF!),"")</f>
        <v/>
      </c>
      <c r="I39" s="0" t="str">
        <f aca="false">IFERROR(IF(OR(HLOOKUP($A39,#REF!,7,FALSE())&gt;2,HLOOKUP($A39,#REF!,7,FALSE())&lt;-2),"",#REF!),"")</f>
        <v/>
      </c>
      <c r="J39" s="0" t="str">
        <f aca="false">IFERROR(IF(OR(HLOOKUP($A39,#REF!,8,FALSE())&gt;2,HLOOKUP($A39,#REF!,8,FALSE())&lt;-2),"",#REF!),"")</f>
        <v/>
      </c>
      <c r="K39" s="0" t="str">
        <f aca="false">IFERROR(IF(OR(HLOOKUP($A39,#REF!,9,FALSE())&gt;2,HLOOKUP($A39,#REF!,9,FALSE())&lt;-2),"",#REF!),"")</f>
        <v/>
      </c>
      <c r="L39" s="0" t="str">
        <f aca="false">IFERROR(IF(OR(HLOOKUP($A39,#REF!,10,FALSE())&gt;2,HLOOKUP($A39,#REF!,10,FALSE())&lt;-2),"",#REF!),"")</f>
        <v/>
      </c>
      <c r="M39" s="0" t="str">
        <f aca="false">IFERROR(IF(OR(HLOOKUP($A39,#REF!,11,FALSE())&gt;2,HLOOKUP($A39,#REF!,11,FALSE())&lt;-2),"",#REF!),"")</f>
        <v/>
      </c>
      <c r="N39" s="0" t="str">
        <f aca="false">IFERROR(IF(OR(HLOOKUP($A39,#REF!,12,FALSE())&gt;2,HLOOKUP($A39,#REF!,12,FALSE())&lt;-2),"",#REF!),"")</f>
        <v/>
      </c>
      <c r="O39" s="0" t="str">
        <f aca="false">IFERROR(IF(OR(HLOOKUP($A39,#REF!,13,FALSE())&gt;2,HLOOKUP($A39,#REF!,13,FALSE())&lt;-2),"",#REF!),"")</f>
        <v/>
      </c>
      <c r="P39" s="0" t="str">
        <f aca="false">IFERROR(IF(OR(HLOOKUP($A39,#REF!,14,FALSE())&gt;2,HLOOKUP($A39,#REF!,14,FALSE())&lt;-2),"",#REF!),"")</f>
        <v/>
      </c>
      <c r="Q39" s="0" t="str">
        <f aca="false">IFERROR(IF(OR(HLOOKUP($A39,#REF!,15,FALSE())&gt;2,HLOOKUP($A39,#REF!,15,FALSE())&lt;-2),"",#REF!),"")</f>
        <v/>
      </c>
      <c r="R39" s="0" t="str">
        <f aca="false">IFERROR(IF(OR(HLOOKUP($A39,#REF!,16,FALSE())&gt;2,HLOOKUP($A39,#REF!,16,FALSE())&lt;-2),"",#REF!),"")</f>
        <v/>
      </c>
      <c r="S39" s="0" t="str">
        <f aca="false">IFERROR(IF(OR(HLOOKUP($A39,#REF!,17,FALSE())&gt;2,HLOOKUP($A39,#REF!,17,FALSE())&lt;-2),"",#REF!),"")</f>
        <v/>
      </c>
      <c r="T39" s="0" t="str">
        <f aca="false">IFERROR(IF(OR(HLOOKUP($A39,#REF!,18,FALSE())&gt;2,HLOOKUP($A39,#REF!,18,FALSE())&lt;-2),"",#REF!),"")</f>
        <v/>
      </c>
      <c r="U39" s="0" t="str">
        <f aca="false">IFERROR(IF(OR(HLOOKUP($A39,#REF!,19,FALSE())&gt;2,HLOOKUP($A39,#REF!,19,FALSE())&lt;-2),"",#REF!),"")</f>
        <v/>
      </c>
      <c r="V39" s="0" t="n">
        <f aca="false">IFERROR(IF(AND(X39=0,Y39=0),0,1),0)</f>
        <v>1</v>
      </c>
      <c r="W39" s="3" t="str">
        <f aca="false">IFERROR(_xlfn.T.TEST(E39:M39,N39:U39,2,2),"")</f>
        <v/>
      </c>
      <c r="X39" s="0" t="str">
        <f aca="false">IFERROR(AVERAGE(E39:M39),"")</f>
        <v/>
      </c>
      <c r="Y39" s="0" t="str">
        <f aca="false">IFERROR(AVERAGE(N39:U39),"")</f>
        <v/>
      </c>
    </row>
    <row r="40" customFormat="false" ht="14.5" hidden="false" customHeight="false" outlineLevel="0" collapsed="false">
      <c r="A40" s="0" t="n">
        <v>42</v>
      </c>
      <c r="B40" s="0" t="s">
        <v>132</v>
      </c>
      <c r="C40" s="0" t="n">
        <v>80900</v>
      </c>
      <c r="D40" s="0" t="n">
        <v>294</v>
      </c>
      <c r="E40" s="0" t="str">
        <f aca="false">IFERROR(IF(OR(HLOOKUP($A40,#REF!,3,FALSE())&gt;2,HLOOKUP(A40,#REF!,3,FALSE())&lt;-2),"",#REF!),"")</f>
        <v/>
      </c>
      <c r="F40" s="0" t="str">
        <f aca="false">IFERROR(IF(OR(HLOOKUP($A40,#REF!,4,FALSE())&gt;2,HLOOKUP($A40,#REF!,4,FALSE())&lt;-2),"",#REF!),"")</f>
        <v/>
      </c>
      <c r="G40" s="0" t="str">
        <f aca="false">IFERROR(IF(OR(HLOOKUP($A40,#REF!,5,FALSE())&gt;2,HLOOKUP($A40,#REF!,5,FALSE())&lt;-2),"",#REF!),"")</f>
        <v/>
      </c>
      <c r="H40" s="0" t="str">
        <f aca="false">IFERROR(IF(OR(HLOOKUP($A40,#REF!,6,FALSE())&gt;2,HLOOKUP($A40,#REF!,6,FALSE())&lt;-2),"",#REF!),"")</f>
        <v/>
      </c>
      <c r="I40" s="0" t="str">
        <f aca="false">IFERROR(IF(OR(HLOOKUP($A40,#REF!,7,FALSE())&gt;2,HLOOKUP($A40,#REF!,7,FALSE())&lt;-2),"",#REF!),"")</f>
        <v/>
      </c>
      <c r="J40" s="0" t="str">
        <f aca="false">IFERROR(IF(OR(HLOOKUP($A40,#REF!,8,FALSE())&gt;2,HLOOKUP($A40,#REF!,8,FALSE())&lt;-2),"",#REF!),"")</f>
        <v/>
      </c>
      <c r="K40" s="0" t="str">
        <f aca="false">IFERROR(IF(OR(HLOOKUP($A40,#REF!,9,FALSE())&gt;2,HLOOKUP($A40,#REF!,9,FALSE())&lt;-2),"",#REF!),"")</f>
        <v/>
      </c>
      <c r="L40" s="0" t="str">
        <f aca="false">IFERROR(IF(OR(HLOOKUP($A40,#REF!,10,FALSE())&gt;2,HLOOKUP($A40,#REF!,10,FALSE())&lt;-2),"",#REF!),"")</f>
        <v/>
      </c>
      <c r="M40" s="0" t="str">
        <f aca="false">IFERROR(IF(OR(HLOOKUP($A40,#REF!,11,FALSE())&gt;2,HLOOKUP($A40,#REF!,11,FALSE())&lt;-2),"",#REF!),"")</f>
        <v/>
      </c>
      <c r="N40" s="0" t="str">
        <f aca="false">IFERROR(IF(OR(HLOOKUP($A40,#REF!,12,FALSE())&gt;2,HLOOKUP($A40,#REF!,12,FALSE())&lt;-2),"",#REF!),"")</f>
        <v/>
      </c>
      <c r="O40" s="0" t="str">
        <f aca="false">IFERROR(IF(OR(HLOOKUP($A40,#REF!,13,FALSE())&gt;2,HLOOKUP($A40,#REF!,13,FALSE())&lt;-2),"",#REF!),"")</f>
        <v/>
      </c>
      <c r="P40" s="0" t="str">
        <f aca="false">IFERROR(IF(OR(HLOOKUP($A40,#REF!,14,FALSE())&gt;2,HLOOKUP($A40,#REF!,14,FALSE())&lt;-2),"",#REF!),"")</f>
        <v/>
      </c>
      <c r="Q40" s="0" t="str">
        <f aca="false">IFERROR(IF(OR(HLOOKUP($A40,#REF!,15,FALSE())&gt;2,HLOOKUP($A40,#REF!,15,FALSE())&lt;-2),"",#REF!),"")</f>
        <v/>
      </c>
      <c r="R40" s="0" t="str">
        <f aca="false">IFERROR(IF(OR(HLOOKUP($A40,#REF!,16,FALSE())&gt;2,HLOOKUP($A40,#REF!,16,FALSE())&lt;-2),"",#REF!),"")</f>
        <v/>
      </c>
      <c r="S40" s="0" t="str">
        <f aca="false">IFERROR(IF(OR(HLOOKUP($A40,#REF!,17,FALSE())&gt;2,HLOOKUP($A40,#REF!,17,FALSE())&lt;-2),"",#REF!),"")</f>
        <v/>
      </c>
      <c r="T40" s="0" t="str">
        <f aca="false">IFERROR(IF(OR(HLOOKUP($A40,#REF!,18,FALSE())&gt;2,HLOOKUP($A40,#REF!,18,FALSE())&lt;-2),"",#REF!),"")</f>
        <v/>
      </c>
      <c r="U40" s="0" t="str">
        <f aca="false">IFERROR(IF(OR(HLOOKUP($A40,#REF!,19,FALSE())&gt;2,HLOOKUP($A40,#REF!,19,FALSE())&lt;-2),"",#REF!),"")</f>
        <v/>
      </c>
      <c r="V40" s="0" t="n">
        <f aca="false">IFERROR(IF(AND(X40=0,Y40=0),0,1),0)</f>
        <v>1</v>
      </c>
      <c r="W40" s="3" t="str">
        <f aca="false">IFERROR(_xlfn.T.TEST(E40:M40,N40:U40,2,2),"")</f>
        <v/>
      </c>
      <c r="X40" s="0" t="str">
        <f aca="false">IFERROR(AVERAGE(E40:M40),"")</f>
        <v/>
      </c>
      <c r="Y40" s="0" t="str">
        <f aca="false">IFERROR(AVERAGE(N40:U40),"")</f>
        <v/>
      </c>
    </row>
    <row r="41" customFormat="false" ht="14.5" hidden="false" customHeight="false" outlineLevel="0" collapsed="false">
      <c r="A41" s="0" t="n">
        <v>43</v>
      </c>
      <c r="B41" s="0" t="s">
        <v>133</v>
      </c>
      <c r="C41" s="0" t="n">
        <v>118700</v>
      </c>
      <c r="D41" s="0" t="n">
        <v>1040</v>
      </c>
      <c r="E41" s="0" t="str">
        <f aca="false">IFERROR(IF(OR(HLOOKUP($A41,#REF!,3,FALSE())&gt;2,HLOOKUP(A41,#REF!,3,FALSE())&lt;-2),"",#REF!),"")</f>
        <v/>
      </c>
      <c r="F41" s="0" t="str">
        <f aca="false">IFERROR(IF(OR(HLOOKUP($A41,#REF!,4,FALSE())&gt;2,HLOOKUP($A41,#REF!,4,FALSE())&lt;-2),"",#REF!),"")</f>
        <v/>
      </c>
      <c r="G41" s="0" t="str">
        <f aca="false">IFERROR(IF(OR(HLOOKUP($A41,#REF!,5,FALSE())&gt;2,HLOOKUP($A41,#REF!,5,FALSE())&lt;-2),"",#REF!),"")</f>
        <v/>
      </c>
      <c r="H41" s="0" t="str">
        <f aca="false">IFERROR(IF(OR(HLOOKUP($A41,#REF!,6,FALSE())&gt;2,HLOOKUP($A41,#REF!,6,FALSE())&lt;-2),"",#REF!),"")</f>
        <v/>
      </c>
      <c r="I41" s="0" t="str">
        <f aca="false">IFERROR(IF(OR(HLOOKUP($A41,#REF!,7,FALSE())&gt;2,HLOOKUP($A41,#REF!,7,FALSE())&lt;-2),"",#REF!),"")</f>
        <v/>
      </c>
      <c r="J41" s="0" t="str">
        <f aca="false">IFERROR(IF(OR(HLOOKUP($A41,#REF!,8,FALSE())&gt;2,HLOOKUP($A41,#REF!,8,FALSE())&lt;-2),"",#REF!),"")</f>
        <v/>
      </c>
      <c r="K41" s="0" t="str">
        <f aca="false">IFERROR(IF(OR(HLOOKUP($A41,#REF!,9,FALSE())&gt;2,HLOOKUP($A41,#REF!,9,FALSE())&lt;-2),"",#REF!),"")</f>
        <v/>
      </c>
      <c r="L41" s="0" t="str">
        <f aca="false">IFERROR(IF(OR(HLOOKUP($A41,#REF!,10,FALSE())&gt;2,HLOOKUP($A41,#REF!,10,FALSE())&lt;-2),"",#REF!),"")</f>
        <v/>
      </c>
      <c r="M41" s="0" t="str">
        <f aca="false">IFERROR(IF(OR(HLOOKUP($A41,#REF!,11,FALSE())&gt;2,HLOOKUP($A41,#REF!,11,FALSE())&lt;-2),"",#REF!),"")</f>
        <v/>
      </c>
      <c r="N41" s="0" t="str">
        <f aca="false">IFERROR(IF(OR(HLOOKUP($A41,#REF!,12,FALSE())&gt;2,HLOOKUP($A41,#REF!,12,FALSE())&lt;-2),"",#REF!),"")</f>
        <v/>
      </c>
      <c r="O41" s="0" t="str">
        <f aca="false">IFERROR(IF(OR(HLOOKUP($A41,#REF!,13,FALSE())&gt;2,HLOOKUP($A41,#REF!,13,FALSE())&lt;-2),"",#REF!),"")</f>
        <v/>
      </c>
      <c r="P41" s="0" t="str">
        <f aca="false">IFERROR(IF(OR(HLOOKUP($A41,#REF!,14,FALSE())&gt;2,HLOOKUP($A41,#REF!,14,FALSE())&lt;-2),"",#REF!),"")</f>
        <v/>
      </c>
      <c r="Q41" s="0" t="str">
        <f aca="false">IFERROR(IF(OR(HLOOKUP($A41,#REF!,15,FALSE())&gt;2,HLOOKUP($A41,#REF!,15,FALSE())&lt;-2),"",#REF!),"")</f>
        <v/>
      </c>
      <c r="R41" s="0" t="str">
        <f aca="false">IFERROR(IF(OR(HLOOKUP($A41,#REF!,16,FALSE())&gt;2,HLOOKUP($A41,#REF!,16,FALSE())&lt;-2),"",#REF!),"")</f>
        <v/>
      </c>
      <c r="S41" s="0" t="str">
        <f aca="false">IFERROR(IF(OR(HLOOKUP($A41,#REF!,17,FALSE())&gt;2,HLOOKUP($A41,#REF!,17,FALSE())&lt;-2),"",#REF!),"")</f>
        <v/>
      </c>
      <c r="T41" s="0" t="str">
        <f aca="false">IFERROR(IF(OR(HLOOKUP($A41,#REF!,18,FALSE())&gt;2,HLOOKUP($A41,#REF!,18,FALSE())&lt;-2),"",#REF!),"")</f>
        <v/>
      </c>
      <c r="U41" s="0" t="str">
        <f aca="false">IFERROR(IF(OR(HLOOKUP($A41,#REF!,19,FALSE())&gt;2,HLOOKUP($A41,#REF!,19,FALSE())&lt;-2),"",#REF!),"")</f>
        <v/>
      </c>
      <c r="V41" s="0" t="n">
        <f aca="false">IFERROR(IF(AND(X41=0,Y41=0),0,1),0)</f>
        <v>1</v>
      </c>
      <c r="W41" s="3" t="str">
        <f aca="false">IFERROR(_xlfn.T.TEST(E41:M41,N41:U41,2,2),"")</f>
        <v/>
      </c>
      <c r="X41" s="0" t="str">
        <f aca="false">IFERROR(AVERAGE(E41:M41),"")</f>
        <v/>
      </c>
      <c r="Y41" s="0" t="str">
        <f aca="false">IFERROR(AVERAGE(N41:U41),"")</f>
        <v/>
      </c>
    </row>
    <row r="42" customFormat="false" ht="14.5" hidden="false" customHeight="false" outlineLevel="0" collapsed="false">
      <c r="A42" s="0" t="n">
        <v>44</v>
      </c>
      <c r="B42" s="0" t="s">
        <v>45</v>
      </c>
      <c r="C42" s="0" t="n">
        <v>8400</v>
      </c>
      <c r="D42" s="0" t="n">
        <v>315</v>
      </c>
      <c r="E42" s="0" t="str">
        <f aca="false">IFERROR(IF(OR(HLOOKUP($A42,#REF!,3,FALSE())&gt;2,HLOOKUP(A42,#REF!,3,FALSE())&lt;-2),"",#REF!),"")</f>
        <v/>
      </c>
      <c r="F42" s="0" t="str">
        <f aca="false">IFERROR(IF(OR(HLOOKUP($A42,#REF!,4,FALSE())&gt;2,HLOOKUP($A42,#REF!,4,FALSE())&lt;-2),"",#REF!),"")</f>
        <v/>
      </c>
      <c r="G42" s="0" t="str">
        <f aca="false">IFERROR(IF(OR(HLOOKUP($A42,#REF!,5,FALSE())&gt;2,HLOOKUP($A42,#REF!,5,FALSE())&lt;-2),"",#REF!),"")</f>
        <v/>
      </c>
      <c r="H42" s="0" t="str">
        <f aca="false">IFERROR(IF(OR(HLOOKUP($A42,#REF!,6,FALSE())&gt;2,HLOOKUP($A42,#REF!,6,FALSE())&lt;-2),"",#REF!),"")</f>
        <v/>
      </c>
      <c r="I42" s="0" t="str">
        <f aca="false">IFERROR(IF(OR(HLOOKUP($A42,#REF!,7,FALSE())&gt;2,HLOOKUP($A42,#REF!,7,FALSE())&lt;-2),"",#REF!),"")</f>
        <v/>
      </c>
      <c r="J42" s="0" t="str">
        <f aca="false">IFERROR(IF(OR(HLOOKUP($A42,#REF!,8,FALSE())&gt;2,HLOOKUP($A42,#REF!,8,FALSE())&lt;-2),"",#REF!),"")</f>
        <v/>
      </c>
      <c r="K42" s="0" t="str">
        <f aca="false">IFERROR(IF(OR(HLOOKUP($A42,#REF!,9,FALSE())&gt;2,HLOOKUP($A42,#REF!,9,FALSE())&lt;-2),"",#REF!),"")</f>
        <v/>
      </c>
      <c r="L42" s="0" t="str">
        <f aca="false">IFERROR(IF(OR(HLOOKUP($A42,#REF!,10,FALSE())&gt;2,HLOOKUP($A42,#REF!,10,FALSE())&lt;-2),"",#REF!),"")</f>
        <v/>
      </c>
      <c r="M42" s="0" t="str">
        <f aca="false">IFERROR(IF(OR(HLOOKUP($A42,#REF!,11,FALSE())&gt;2,HLOOKUP($A42,#REF!,11,FALSE())&lt;-2),"",#REF!),"")</f>
        <v/>
      </c>
      <c r="N42" s="0" t="str">
        <f aca="false">IFERROR(IF(OR(HLOOKUP($A42,#REF!,12,FALSE())&gt;2,HLOOKUP($A42,#REF!,12,FALSE())&lt;-2),"",#REF!),"")</f>
        <v/>
      </c>
      <c r="O42" s="0" t="str">
        <f aca="false">IFERROR(IF(OR(HLOOKUP($A42,#REF!,13,FALSE())&gt;2,HLOOKUP($A42,#REF!,13,FALSE())&lt;-2),"",#REF!),"")</f>
        <v/>
      </c>
      <c r="P42" s="0" t="str">
        <f aca="false">IFERROR(IF(OR(HLOOKUP($A42,#REF!,14,FALSE())&gt;2,HLOOKUP($A42,#REF!,14,FALSE())&lt;-2),"",#REF!),"")</f>
        <v/>
      </c>
      <c r="Q42" s="0" t="str">
        <f aca="false">IFERROR(IF(OR(HLOOKUP($A42,#REF!,15,FALSE())&gt;2,HLOOKUP($A42,#REF!,15,FALSE())&lt;-2),"",#REF!),"")</f>
        <v/>
      </c>
      <c r="R42" s="0" t="str">
        <f aca="false">IFERROR(IF(OR(HLOOKUP($A42,#REF!,16,FALSE())&gt;2,HLOOKUP($A42,#REF!,16,FALSE())&lt;-2),"",#REF!),"")</f>
        <v/>
      </c>
      <c r="S42" s="0" t="str">
        <f aca="false">IFERROR(IF(OR(HLOOKUP($A42,#REF!,17,FALSE())&gt;2,HLOOKUP($A42,#REF!,17,FALSE())&lt;-2),"",#REF!),"")</f>
        <v/>
      </c>
      <c r="T42" s="0" t="str">
        <f aca="false">IFERROR(IF(OR(HLOOKUP($A42,#REF!,18,FALSE())&gt;2,HLOOKUP($A42,#REF!,18,FALSE())&lt;-2),"",#REF!),"")</f>
        <v/>
      </c>
      <c r="U42" s="0" t="str">
        <f aca="false">IFERROR(IF(OR(HLOOKUP($A42,#REF!,19,FALSE())&gt;2,HLOOKUP($A42,#REF!,19,FALSE())&lt;-2),"",#REF!),"")</f>
        <v/>
      </c>
      <c r="V42" s="0" t="n">
        <f aca="false">IFERROR(IF(AND(X42=0,Y42=0),0,1),0)</f>
        <v>1</v>
      </c>
      <c r="W42" s="3" t="str">
        <f aca="false">IFERROR(_xlfn.T.TEST(E42:M42,N42:U42,2,2),"")</f>
        <v/>
      </c>
      <c r="X42" s="0" t="str">
        <f aca="false">IFERROR(AVERAGE(E42:M42),"")</f>
        <v/>
      </c>
      <c r="Y42" s="0" t="str">
        <f aca="false">IFERROR(AVERAGE(N42:U42),"")</f>
        <v/>
      </c>
    </row>
    <row r="43" customFormat="false" ht="14.5" hidden="false" customHeight="false" outlineLevel="0" collapsed="false">
      <c r="A43" s="0" t="n">
        <v>45</v>
      </c>
      <c r="B43" s="0" t="s">
        <v>134</v>
      </c>
      <c r="C43" s="0" t="n">
        <v>91900</v>
      </c>
      <c r="D43" s="0" t="n">
        <v>445</v>
      </c>
      <c r="E43" s="0" t="str">
        <f aca="false">IFERROR(IF(OR(HLOOKUP($A43,#REF!,3,FALSE())&gt;2,HLOOKUP(A43,#REF!,3,FALSE())&lt;-2),"",#REF!),"")</f>
        <v/>
      </c>
      <c r="F43" s="0" t="str">
        <f aca="false">IFERROR(IF(OR(HLOOKUP($A43,#REF!,4,FALSE())&gt;2,HLOOKUP($A43,#REF!,4,FALSE())&lt;-2),"",#REF!),"")</f>
        <v/>
      </c>
      <c r="G43" s="0" t="str">
        <f aca="false">IFERROR(IF(OR(HLOOKUP($A43,#REF!,5,FALSE())&gt;2,HLOOKUP($A43,#REF!,5,FALSE())&lt;-2),"",#REF!),"")</f>
        <v/>
      </c>
      <c r="H43" s="0" t="str">
        <f aca="false">IFERROR(IF(OR(HLOOKUP($A43,#REF!,6,FALSE())&gt;2,HLOOKUP($A43,#REF!,6,FALSE())&lt;-2),"",#REF!),"")</f>
        <v/>
      </c>
      <c r="I43" s="0" t="str">
        <f aca="false">IFERROR(IF(OR(HLOOKUP($A43,#REF!,7,FALSE())&gt;2,HLOOKUP($A43,#REF!,7,FALSE())&lt;-2),"",#REF!),"")</f>
        <v/>
      </c>
      <c r="J43" s="0" t="str">
        <f aca="false">IFERROR(IF(OR(HLOOKUP($A43,#REF!,8,FALSE())&gt;2,HLOOKUP($A43,#REF!,8,FALSE())&lt;-2),"",#REF!),"")</f>
        <v/>
      </c>
      <c r="K43" s="0" t="str">
        <f aca="false">IFERROR(IF(OR(HLOOKUP($A43,#REF!,9,FALSE())&gt;2,HLOOKUP($A43,#REF!,9,FALSE())&lt;-2),"",#REF!),"")</f>
        <v/>
      </c>
      <c r="L43" s="0" t="str">
        <f aca="false">IFERROR(IF(OR(HLOOKUP($A43,#REF!,10,FALSE())&gt;2,HLOOKUP($A43,#REF!,10,FALSE())&lt;-2),"",#REF!),"")</f>
        <v/>
      </c>
      <c r="M43" s="0" t="str">
        <f aca="false">IFERROR(IF(OR(HLOOKUP($A43,#REF!,11,FALSE())&gt;2,HLOOKUP($A43,#REF!,11,FALSE())&lt;-2),"",#REF!),"")</f>
        <v/>
      </c>
      <c r="N43" s="0" t="str">
        <f aca="false">IFERROR(IF(OR(HLOOKUP($A43,#REF!,12,FALSE())&gt;2,HLOOKUP($A43,#REF!,12,FALSE())&lt;-2),"",#REF!),"")</f>
        <v/>
      </c>
      <c r="O43" s="0" t="str">
        <f aca="false">IFERROR(IF(OR(HLOOKUP($A43,#REF!,13,FALSE())&gt;2,HLOOKUP($A43,#REF!,13,FALSE())&lt;-2),"",#REF!),"")</f>
        <v/>
      </c>
      <c r="P43" s="0" t="str">
        <f aca="false">IFERROR(IF(OR(HLOOKUP($A43,#REF!,14,FALSE())&gt;2,HLOOKUP($A43,#REF!,14,FALSE())&lt;-2),"",#REF!),"")</f>
        <v/>
      </c>
      <c r="Q43" s="0" t="str">
        <f aca="false">IFERROR(IF(OR(HLOOKUP($A43,#REF!,15,FALSE())&gt;2,HLOOKUP($A43,#REF!,15,FALSE())&lt;-2),"",#REF!),"")</f>
        <v/>
      </c>
      <c r="R43" s="0" t="str">
        <f aca="false">IFERROR(IF(OR(HLOOKUP($A43,#REF!,16,FALSE())&gt;2,HLOOKUP($A43,#REF!,16,FALSE())&lt;-2),"",#REF!),"")</f>
        <v/>
      </c>
      <c r="S43" s="0" t="str">
        <f aca="false">IFERROR(IF(OR(HLOOKUP($A43,#REF!,17,FALSE())&gt;2,HLOOKUP($A43,#REF!,17,FALSE())&lt;-2),"",#REF!),"")</f>
        <v/>
      </c>
      <c r="T43" s="0" t="str">
        <f aca="false">IFERROR(IF(OR(HLOOKUP($A43,#REF!,18,FALSE())&gt;2,HLOOKUP($A43,#REF!,18,FALSE())&lt;-2),"",#REF!),"")</f>
        <v/>
      </c>
      <c r="U43" s="0" t="str">
        <f aca="false">IFERROR(IF(OR(HLOOKUP($A43,#REF!,19,FALSE())&gt;2,HLOOKUP($A43,#REF!,19,FALSE())&lt;-2),"",#REF!),"")</f>
        <v/>
      </c>
      <c r="V43" s="0" t="n">
        <f aca="false">IFERROR(IF(AND(X43=0,Y43=0),0,1),0)</f>
        <v>1</v>
      </c>
      <c r="W43" s="3" t="str">
        <f aca="false">IFERROR(_xlfn.T.TEST(E43:M43,N43:U43,2,2),"")</f>
        <v/>
      </c>
      <c r="X43" s="0" t="str">
        <f aca="false">IFERROR(AVERAGE(E43:M43),"")</f>
        <v/>
      </c>
      <c r="Y43" s="0" t="str">
        <f aca="false">IFERROR(AVERAGE(N43:U43),"")</f>
        <v/>
      </c>
    </row>
    <row r="44" customFormat="false" ht="14.5" hidden="false" customHeight="false" outlineLevel="0" collapsed="false">
      <c r="A44" s="0" t="n">
        <v>46</v>
      </c>
      <c r="B44" s="0" t="s">
        <v>135</v>
      </c>
      <c r="C44" s="0" t="n">
        <v>114300</v>
      </c>
      <c r="D44" s="0" t="n">
        <v>824</v>
      </c>
      <c r="E44" s="0" t="str">
        <f aca="false">IFERROR(IF(OR(HLOOKUP($A44,#REF!,3,FALSE())&gt;2,HLOOKUP(A44,#REF!,3,FALSE())&lt;-2),"",#REF!),"")</f>
        <v/>
      </c>
      <c r="F44" s="0" t="str">
        <f aca="false">IFERROR(IF(OR(HLOOKUP($A44,#REF!,4,FALSE())&gt;2,HLOOKUP($A44,#REF!,4,FALSE())&lt;-2),"",#REF!),"")</f>
        <v/>
      </c>
      <c r="G44" s="0" t="str">
        <f aca="false">IFERROR(IF(OR(HLOOKUP($A44,#REF!,5,FALSE())&gt;2,HLOOKUP($A44,#REF!,5,FALSE())&lt;-2),"",#REF!),"")</f>
        <v/>
      </c>
      <c r="H44" s="0" t="str">
        <f aca="false">IFERROR(IF(OR(HLOOKUP($A44,#REF!,6,FALSE())&gt;2,HLOOKUP($A44,#REF!,6,FALSE())&lt;-2),"",#REF!),"")</f>
        <v/>
      </c>
      <c r="I44" s="0" t="str">
        <f aca="false">IFERROR(IF(OR(HLOOKUP($A44,#REF!,7,FALSE())&gt;2,HLOOKUP($A44,#REF!,7,FALSE())&lt;-2),"",#REF!),"")</f>
        <v/>
      </c>
      <c r="J44" s="0" t="str">
        <f aca="false">IFERROR(IF(OR(HLOOKUP($A44,#REF!,8,FALSE())&gt;2,HLOOKUP($A44,#REF!,8,FALSE())&lt;-2),"",#REF!),"")</f>
        <v/>
      </c>
      <c r="K44" s="0" t="str">
        <f aca="false">IFERROR(IF(OR(HLOOKUP($A44,#REF!,9,FALSE())&gt;2,HLOOKUP($A44,#REF!,9,FALSE())&lt;-2),"",#REF!),"")</f>
        <v/>
      </c>
      <c r="L44" s="0" t="str">
        <f aca="false">IFERROR(IF(OR(HLOOKUP($A44,#REF!,10,FALSE())&gt;2,HLOOKUP($A44,#REF!,10,FALSE())&lt;-2),"",#REF!),"")</f>
        <v/>
      </c>
      <c r="M44" s="0" t="str">
        <f aca="false">IFERROR(IF(OR(HLOOKUP($A44,#REF!,11,FALSE())&gt;2,HLOOKUP($A44,#REF!,11,FALSE())&lt;-2),"",#REF!),"")</f>
        <v/>
      </c>
      <c r="N44" s="0" t="str">
        <f aca="false">IFERROR(IF(OR(HLOOKUP($A44,#REF!,12,FALSE())&gt;2,HLOOKUP($A44,#REF!,12,FALSE())&lt;-2),"",#REF!),"")</f>
        <v/>
      </c>
      <c r="O44" s="0" t="str">
        <f aca="false">IFERROR(IF(OR(HLOOKUP($A44,#REF!,13,FALSE())&gt;2,HLOOKUP($A44,#REF!,13,FALSE())&lt;-2),"",#REF!),"")</f>
        <v/>
      </c>
      <c r="P44" s="0" t="str">
        <f aca="false">IFERROR(IF(OR(HLOOKUP($A44,#REF!,14,FALSE())&gt;2,HLOOKUP($A44,#REF!,14,FALSE())&lt;-2),"",#REF!),"")</f>
        <v/>
      </c>
      <c r="Q44" s="0" t="str">
        <f aca="false">IFERROR(IF(OR(HLOOKUP($A44,#REF!,15,FALSE())&gt;2,HLOOKUP($A44,#REF!,15,FALSE())&lt;-2),"",#REF!),"")</f>
        <v/>
      </c>
      <c r="R44" s="0" t="str">
        <f aca="false">IFERROR(IF(OR(HLOOKUP($A44,#REF!,16,FALSE())&gt;2,HLOOKUP($A44,#REF!,16,FALSE())&lt;-2),"",#REF!),"")</f>
        <v/>
      </c>
      <c r="S44" s="0" t="str">
        <f aca="false">IFERROR(IF(OR(HLOOKUP($A44,#REF!,17,FALSE())&gt;2,HLOOKUP($A44,#REF!,17,FALSE())&lt;-2),"",#REF!),"")</f>
        <v/>
      </c>
      <c r="T44" s="0" t="str">
        <f aca="false">IFERROR(IF(OR(HLOOKUP($A44,#REF!,18,FALSE())&gt;2,HLOOKUP($A44,#REF!,18,FALSE())&lt;-2),"",#REF!),"")</f>
        <v/>
      </c>
      <c r="U44" s="0" t="str">
        <f aca="false">IFERROR(IF(OR(HLOOKUP($A44,#REF!,19,FALSE())&gt;2,HLOOKUP($A44,#REF!,19,FALSE())&lt;-2),"",#REF!),"")</f>
        <v/>
      </c>
      <c r="V44" s="0" t="n">
        <f aca="false">IFERROR(IF(AND(X44=0,Y44=0),0,1),0)</f>
        <v>1</v>
      </c>
      <c r="W44" s="3" t="str">
        <f aca="false">IFERROR(_xlfn.T.TEST(E44:M44,N44:U44,2,2),"")</f>
        <v/>
      </c>
      <c r="X44" s="0" t="str">
        <f aca="false">IFERROR(AVERAGE(E44:M44),"")</f>
        <v/>
      </c>
      <c r="Y44" s="0" t="str">
        <f aca="false">IFERROR(AVERAGE(N44:U44),"")</f>
        <v/>
      </c>
    </row>
    <row r="45" customFormat="false" ht="14.5" hidden="false" customHeight="false" outlineLevel="0" collapsed="false">
      <c r="A45" s="0" t="n">
        <v>47</v>
      </c>
      <c r="B45" s="0" t="s">
        <v>136</v>
      </c>
      <c r="C45" s="0" t="n">
        <v>70700</v>
      </c>
      <c r="D45" s="0" t="n">
        <v>71</v>
      </c>
      <c r="E45" s="0" t="str">
        <f aca="false">IFERROR(IF(OR(HLOOKUP($A45,#REF!,3,FALSE())&gt;2,HLOOKUP(A45,#REF!,3,FALSE())&lt;-2),"",#REF!),"")</f>
        <v/>
      </c>
      <c r="F45" s="0" t="str">
        <f aca="false">IFERROR(IF(OR(HLOOKUP($A45,#REF!,4,FALSE())&gt;2,HLOOKUP($A45,#REF!,4,FALSE())&lt;-2),"",#REF!),"")</f>
        <v/>
      </c>
      <c r="G45" s="0" t="str">
        <f aca="false">IFERROR(IF(OR(HLOOKUP($A45,#REF!,5,FALSE())&gt;2,HLOOKUP($A45,#REF!,5,FALSE())&lt;-2),"",#REF!),"")</f>
        <v/>
      </c>
      <c r="H45" s="0" t="str">
        <f aca="false">IFERROR(IF(OR(HLOOKUP($A45,#REF!,6,FALSE())&gt;2,HLOOKUP($A45,#REF!,6,FALSE())&lt;-2),"",#REF!),"")</f>
        <v/>
      </c>
      <c r="I45" s="0" t="str">
        <f aca="false">IFERROR(IF(OR(HLOOKUP($A45,#REF!,7,FALSE())&gt;2,HLOOKUP($A45,#REF!,7,FALSE())&lt;-2),"",#REF!),"")</f>
        <v/>
      </c>
      <c r="J45" s="0" t="str">
        <f aca="false">IFERROR(IF(OR(HLOOKUP($A45,#REF!,8,FALSE())&gt;2,HLOOKUP($A45,#REF!,8,FALSE())&lt;-2),"",#REF!),"")</f>
        <v/>
      </c>
      <c r="K45" s="0" t="str">
        <f aca="false">IFERROR(IF(OR(HLOOKUP($A45,#REF!,9,FALSE())&gt;2,HLOOKUP($A45,#REF!,9,FALSE())&lt;-2),"",#REF!),"")</f>
        <v/>
      </c>
      <c r="L45" s="0" t="str">
        <f aca="false">IFERROR(IF(OR(HLOOKUP($A45,#REF!,10,FALSE())&gt;2,HLOOKUP($A45,#REF!,10,FALSE())&lt;-2),"",#REF!),"")</f>
        <v/>
      </c>
      <c r="M45" s="0" t="str">
        <f aca="false">IFERROR(IF(OR(HLOOKUP($A45,#REF!,11,FALSE())&gt;2,HLOOKUP($A45,#REF!,11,FALSE())&lt;-2),"",#REF!),"")</f>
        <v/>
      </c>
      <c r="N45" s="0" t="str">
        <f aca="false">IFERROR(IF(OR(HLOOKUP($A45,#REF!,12,FALSE())&gt;2,HLOOKUP($A45,#REF!,12,FALSE())&lt;-2),"",#REF!),"")</f>
        <v/>
      </c>
      <c r="O45" s="0" t="str">
        <f aca="false">IFERROR(IF(OR(HLOOKUP($A45,#REF!,13,FALSE())&gt;2,HLOOKUP($A45,#REF!,13,FALSE())&lt;-2),"",#REF!),"")</f>
        <v/>
      </c>
      <c r="P45" s="0" t="str">
        <f aca="false">IFERROR(IF(OR(HLOOKUP($A45,#REF!,14,FALSE())&gt;2,HLOOKUP($A45,#REF!,14,FALSE())&lt;-2),"",#REF!),"")</f>
        <v/>
      </c>
      <c r="Q45" s="0" t="str">
        <f aca="false">IFERROR(IF(OR(HLOOKUP($A45,#REF!,15,FALSE())&gt;2,HLOOKUP($A45,#REF!,15,FALSE())&lt;-2),"",#REF!),"")</f>
        <v/>
      </c>
      <c r="R45" s="0" t="str">
        <f aca="false">IFERROR(IF(OR(HLOOKUP($A45,#REF!,16,FALSE())&gt;2,HLOOKUP($A45,#REF!,16,FALSE())&lt;-2),"",#REF!),"")</f>
        <v/>
      </c>
      <c r="S45" s="0" t="str">
        <f aca="false">IFERROR(IF(OR(HLOOKUP($A45,#REF!,17,FALSE())&gt;2,HLOOKUP($A45,#REF!,17,FALSE())&lt;-2),"",#REF!),"")</f>
        <v/>
      </c>
      <c r="T45" s="0" t="str">
        <f aca="false">IFERROR(IF(OR(HLOOKUP($A45,#REF!,18,FALSE())&gt;2,HLOOKUP($A45,#REF!,18,FALSE())&lt;-2),"",#REF!),"")</f>
        <v/>
      </c>
      <c r="U45" s="0" t="str">
        <f aca="false">IFERROR(IF(OR(HLOOKUP($A45,#REF!,19,FALSE())&gt;2,HLOOKUP($A45,#REF!,19,FALSE())&lt;-2),"",#REF!),"")</f>
        <v/>
      </c>
      <c r="V45" s="0" t="n">
        <f aca="false">IFERROR(IF(AND(X45=0,Y45=0),0,1),0)</f>
        <v>1</v>
      </c>
      <c r="W45" s="3" t="str">
        <f aca="false">IFERROR(_xlfn.T.TEST(E45:M45,N45:U45,2,2),"")</f>
        <v/>
      </c>
      <c r="X45" s="0" t="str">
        <f aca="false">IFERROR(AVERAGE(E45:M45),"")</f>
        <v/>
      </c>
      <c r="Y45" s="0" t="str">
        <f aca="false">IFERROR(AVERAGE(N45:U45),"")</f>
        <v/>
      </c>
    </row>
    <row r="46" customFormat="false" ht="14.5" hidden="false" customHeight="false" outlineLevel="0" collapsed="false">
      <c r="A46" s="0" t="n">
        <v>48</v>
      </c>
      <c r="B46" s="0" t="s">
        <v>137</v>
      </c>
      <c r="C46" s="0" t="n">
        <v>19500</v>
      </c>
      <c r="D46" s="0" t="n">
        <v>31</v>
      </c>
      <c r="E46" s="0" t="str">
        <f aca="false">IFERROR(IF(OR(HLOOKUP($A46,#REF!,3,FALSE())&gt;2,HLOOKUP(A46,#REF!,3,FALSE())&lt;-2),"",#REF!),"")</f>
        <v/>
      </c>
      <c r="F46" s="0" t="str">
        <f aca="false">IFERROR(IF(OR(HLOOKUP($A46,#REF!,4,FALSE())&gt;2,HLOOKUP($A46,#REF!,4,FALSE())&lt;-2),"",#REF!),"")</f>
        <v/>
      </c>
      <c r="G46" s="0" t="str">
        <f aca="false">IFERROR(IF(OR(HLOOKUP($A46,#REF!,5,FALSE())&gt;2,HLOOKUP($A46,#REF!,5,FALSE())&lt;-2),"",#REF!),"")</f>
        <v/>
      </c>
      <c r="H46" s="0" t="str">
        <f aca="false">IFERROR(IF(OR(HLOOKUP($A46,#REF!,6,FALSE())&gt;2,HLOOKUP($A46,#REF!,6,FALSE())&lt;-2),"",#REF!),"")</f>
        <v/>
      </c>
      <c r="I46" s="0" t="str">
        <f aca="false">IFERROR(IF(OR(HLOOKUP($A46,#REF!,7,FALSE())&gt;2,HLOOKUP($A46,#REF!,7,FALSE())&lt;-2),"",#REF!),"")</f>
        <v/>
      </c>
      <c r="J46" s="0" t="str">
        <f aca="false">IFERROR(IF(OR(HLOOKUP($A46,#REF!,8,FALSE())&gt;2,HLOOKUP($A46,#REF!,8,FALSE())&lt;-2),"",#REF!),"")</f>
        <v/>
      </c>
      <c r="K46" s="0" t="str">
        <f aca="false">IFERROR(IF(OR(HLOOKUP($A46,#REF!,9,FALSE())&gt;2,HLOOKUP($A46,#REF!,9,FALSE())&lt;-2),"",#REF!),"")</f>
        <v/>
      </c>
      <c r="L46" s="0" t="str">
        <f aca="false">IFERROR(IF(OR(HLOOKUP($A46,#REF!,10,FALSE())&gt;2,HLOOKUP($A46,#REF!,10,FALSE())&lt;-2),"",#REF!),"")</f>
        <v/>
      </c>
      <c r="M46" s="0" t="str">
        <f aca="false">IFERROR(IF(OR(HLOOKUP($A46,#REF!,11,FALSE())&gt;2,HLOOKUP($A46,#REF!,11,FALSE())&lt;-2),"",#REF!),"")</f>
        <v/>
      </c>
      <c r="N46" s="0" t="str">
        <f aca="false">IFERROR(IF(OR(HLOOKUP($A46,#REF!,12,FALSE())&gt;2,HLOOKUP($A46,#REF!,12,FALSE())&lt;-2),"",#REF!),"")</f>
        <v/>
      </c>
      <c r="O46" s="0" t="str">
        <f aca="false">IFERROR(IF(OR(HLOOKUP($A46,#REF!,13,FALSE())&gt;2,HLOOKUP($A46,#REF!,13,FALSE())&lt;-2),"",#REF!),"")</f>
        <v/>
      </c>
      <c r="P46" s="0" t="str">
        <f aca="false">IFERROR(IF(OR(HLOOKUP($A46,#REF!,14,FALSE())&gt;2,HLOOKUP($A46,#REF!,14,FALSE())&lt;-2),"",#REF!),"")</f>
        <v/>
      </c>
      <c r="Q46" s="0" t="str">
        <f aca="false">IFERROR(IF(OR(HLOOKUP($A46,#REF!,15,FALSE())&gt;2,HLOOKUP($A46,#REF!,15,FALSE())&lt;-2),"",#REF!),"")</f>
        <v/>
      </c>
      <c r="R46" s="0" t="str">
        <f aca="false">IFERROR(IF(OR(HLOOKUP($A46,#REF!,16,FALSE())&gt;2,HLOOKUP($A46,#REF!,16,FALSE())&lt;-2),"",#REF!),"")</f>
        <v/>
      </c>
      <c r="S46" s="0" t="str">
        <f aca="false">IFERROR(IF(OR(HLOOKUP($A46,#REF!,17,FALSE())&gt;2,HLOOKUP($A46,#REF!,17,FALSE())&lt;-2),"",#REF!),"")</f>
        <v/>
      </c>
      <c r="T46" s="0" t="str">
        <f aca="false">IFERROR(IF(OR(HLOOKUP($A46,#REF!,18,FALSE())&gt;2,HLOOKUP($A46,#REF!,18,FALSE())&lt;-2),"",#REF!),"")</f>
        <v/>
      </c>
      <c r="U46" s="0" t="str">
        <f aca="false">IFERROR(IF(OR(HLOOKUP($A46,#REF!,19,FALSE())&gt;2,HLOOKUP($A46,#REF!,19,FALSE())&lt;-2),"",#REF!),"")</f>
        <v/>
      </c>
      <c r="V46" s="0" t="n">
        <f aca="false">IFERROR(IF(AND(X46=0,Y46=0),0,1),0)</f>
        <v>1</v>
      </c>
      <c r="W46" s="3" t="str">
        <f aca="false">IFERROR(_xlfn.T.TEST(E46:M46,N46:U46,2,2),"")</f>
        <v/>
      </c>
      <c r="X46" s="0" t="str">
        <f aca="false">IFERROR(AVERAGE(E46:M46),"")</f>
        <v/>
      </c>
      <c r="Y46" s="0" t="str">
        <f aca="false">IFERROR(AVERAGE(N46:U46),"")</f>
        <v/>
      </c>
    </row>
    <row r="47" customFormat="false" ht="14.5" hidden="false" customHeight="false" outlineLevel="0" collapsed="false">
      <c r="A47" s="0" t="n">
        <v>49</v>
      </c>
      <c r="B47" s="0" t="s">
        <v>138</v>
      </c>
      <c r="C47" s="0" t="n">
        <v>118800</v>
      </c>
      <c r="D47" s="0" t="n">
        <v>1040</v>
      </c>
      <c r="E47" s="0" t="str">
        <f aca="false">IFERROR(IF(OR(HLOOKUP($A47,#REF!,3,FALSE())&gt;2,HLOOKUP(A47,#REF!,3,FALSE())&lt;-2),"",#REF!),"")</f>
        <v/>
      </c>
      <c r="F47" s="0" t="str">
        <f aca="false">IFERROR(IF(OR(HLOOKUP($A47,#REF!,4,FALSE())&gt;2,HLOOKUP($A47,#REF!,4,FALSE())&lt;-2),"",#REF!),"")</f>
        <v/>
      </c>
      <c r="G47" s="0" t="str">
        <f aca="false">IFERROR(IF(OR(HLOOKUP($A47,#REF!,5,FALSE())&gt;2,HLOOKUP($A47,#REF!,5,FALSE())&lt;-2),"",#REF!),"")</f>
        <v/>
      </c>
      <c r="H47" s="0" t="str">
        <f aca="false">IFERROR(IF(OR(HLOOKUP($A47,#REF!,6,FALSE())&gt;2,HLOOKUP($A47,#REF!,6,FALSE())&lt;-2),"",#REF!),"")</f>
        <v/>
      </c>
      <c r="I47" s="0" t="str">
        <f aca="false">IFERROR(IF(OR(HLOOKUP($A47,#REF!,7,FALSE())&gt;2,HLOOKUP($A47,#REF!,7,FALSE())&lt;-2),"",#REF!),"")</f>
        <v/>
      </c>
      <c r="J47" s="0" t="str">
        <f aca="false">IFERROR(IF(OR(HLOOKUP($A47,#REF!,8,FALSE())&gt;2,HLOOKUP($A47,#REF!,8,FALSE())&lt;-2),"",#REF!),"")</f>
        <v/>
      </c>
      <c r="K47" s="0" t="str">
        <f aca="false">IFERROR(IF(OR(HLOOKUP($A47,#REF!,9,FALSE())&gt;2,HLOOKUP($A47,#REF!,9,FALSE())&lt;-2),"",#REF!),"")</f>
        <v/>
      </c>
      <c r="L47" s="0" t="str">
        <f aca="false">IFERROR(IF(OR(HLOOKUP($A47,#REF!,10,FALSE())&gt;2,HLOOKUP($A47,#REF!,10,FALSE())&lt;-2),"",#REF!),"")</f>
        <v/>
      </c>
      <c r="M47" s="0" t="str">
        <f aca="false">IFERROR(IF(OR(HLOOKUP($A47,#REF!,11,FALSE())&gt;2,HLOOKUP($A47,#REF!,11,FALSE())&lt;-2),"",#REF!),"")</f>
        <v/>
      </c>
      <c r="N47" s="0" t="str">
        <f aca="false">IFERROR(IF(OR(HLOOKUP($A47,#REF!,12,FALSE())&gt;2,HLOOKUP($A47,#REF!,12,FALSE())&lt;-2),"",#REF!),"")</f>
        <v/>
      </c>
      <c r="O47" s="0" t="str">
        <f aca="false">IFERROR(IF(OR(HLOOKUP($A47,#REF!,13,FALSE())&gt;2,HLOOKUP($A47,#REF!,13,FALSE())&lt;-2),"",#REF!),"")</f>
        <v/>
      </c>
      <c r="P47" s="0" t="str">
        <f aca="false">IFERROR(IF(OR(HLOOKUP($A47,#REF!,14,FALSE())&gt;2,HLOOKUP($A47,#REF!,14,FALSE())&lt;-2),"",#REF!),"")</f>
        <v/>
      </c>
      <c r="Q47" s="0" t="str">
        <f aca="false">IFERROR(IF(OR(HLOOKUP($A47,#REF!,15,FALSE())&gt;2,HLOOKUP($A47,#REF!,15,FALSE())&lt;-2),"",#REF!),"")</f>
        <v/>
      </c>
      <c r="R47" s="0" t="str">
        <f aca="false">IFERROR(IF(OR(HLOOKUP($A47,#REF!,16,FALSE())&gt;2,HLOOKUP($A47,#REF!,16,FALSE())&lt;-2),"",#REF!),"")</f>
        <v/>
      </c>
      <c r="S47" s="0" t="str">
        <f aca="false">IFERROR(IF(OR(HLOOKUP($A47,#REF!,17,FALSE())&gt;2,HLOOKUP($A47,#REF!,17,FALSE())&lt;-2),"",#REF!),"")</f>
        <v/>
      </c>
      <c r="T47" s="0" t="str">
        <f aca="false">IFERROR(IF(OR(HLOOKUP($A47,#REF!,18,FALSE())&gt;2,HLOOKUP($A47,#REF!,18,FALSE())&lt;-2),"",#REF!),"")</f>
        <v/>
      </c>
      <c r="U47" s="0" t="str">
        <f aca="false">IFERROR(IF(OR(HLOOKUP($A47,#REF!,19,FALSE())&gt;2,HLOOKUP($A47,#REF!,19,FALSE())&lt;-2),"",#REF!),"")</f>
        <v/>
      </c>
      <c r="V47" s="0" t="n">
        <f aca="false">IFERROR(IF(AND(X47=0,Y47=0),0,1),0)</f>
        <v>1</v>
      </c>
      <c r="W47" s="3" t="str">
        <f aca="false">IFERROR(_xlfn.T.TEST(E47:M47,N47:U47,2,2),"")</f>
        <v/>
      </c>
      <c r="X47" s="0" t="str">
        <f aca="false">IFERROR(AVERAGE(E47:M47),"")</f>
        <v/>
      </c>
      <c r="Y47" s="0" t="str">
        <f aca="false">IFERROR(AVERAGE(N47:U47),"")</f>
        <v/>
      </c>
    </row>
    <row r="48" customFormat="false" ht="14.5" hidden="false" customHeight="false" outlineLevel="0" collapsed="false">
      <c r="A48" s="0" t="n">
        <v>50</v>
      </c>
      <c r="B48" s="0" t="s">
        <v>139</v>
      </c>
      <c r="C48" s="0" t="n">
        <v>81600</v>
      </c>
      <c r="D48" s="0" t="n">
        <v>795</v>
      </c>
      <c r="E48" s="0" t="str">
        <f aca="false">IFERROR(IF(OR(HLOOKUP($A48,#REF!,3,FALSE())&gt;2,HLOOKUP(A48,#REF!,3,FALSE())&lt;-2),"",#REF!),"")</f>
        <v/>
      </c>
      <c r="F48" s="0" t="str">
        <f aca="false">IFERROR(IF(OR(HLOOKUP($A48,#REF!,4,FALSE())&gt;2,HLOOKUP($A48,#REF!,4,FALSE())&lt;-2),"",#REF!),"")</f>
        <v/>
      </c>
      <c r="G48" s="0" t="str">
        <f aca="false">IFERROR(IF(OR(HLOOKUP($A48,#REF!,5,FALSE())&gt;2,HLOOKUP($A48,#REF!,5,FALSE())&lt;-2),"",#REF!),"")</f>
        <v/>
      </c>
      <c r="H48" s="0" t="str">
        <f aca="false">IFERROR(IF(OR(HLOOKUP($A48,#REF!,6,FALSE())&gt;2,HLOOKUP($A48,#REF!,6,FALSE())&lt;-2),"",#REF!),"")</f>
        <v/>
      </c>
      <c r="I48" s="0" t="str">
        <f aca="false">IFERROR(IF(OR(HLOOKUP($A48,#REF!,7,FALSE())&gt;2,HLOOKUP($A48,#REF!,7,FALSE())&lt;-2),"",#REF!),"")</f>
        <v/>
      </c>
      <c r="J48" s="0" t="str">
        <f aca="false">IFERROR(IF(OR(HLOOKUP($A48,#REF!,8,FALSE())&gt;2,HLOOKUP($A48,#REF!,8,FALSE())&lt;-2),"",#REF!),"")</f>
        <v/>
      </c>
      <c r="K48" s="0" t="str">
        <f aca="false">IFERROR(IF(OR(HLOOKUP($A48,#REF!,9,FALSE())&gt;2,HLOOKUP($A48,#REF!,9,FALSE())&lt;-2),"",#REF!),"")</f>
        <v/>
      </c>
      <c r="L48" s="0" t="str">
        <f aca="false">IFERROR(IF(OR(HLOOKUP($A48,#REF!,10,FALSE())&gt;2,HLOOKUP($A48,#REF!,10,FALSE())&lt;-2),"",#REF!),"")</f>
        <v/>
      </c>
      <c r="M48" s="0" t="str">
        <f aca="false">IFERROR(IF(OR(HLOOKUP($A48,#REF!,11,FALSE())&gt;2,HLOOKUP($A48,#REF!,11,FALSE())&lt;-2),"",#REF!),"")</f>
        <v/>
      </c>
      <c r="N48" s="0" t="str">
        <f aca="false">IFERROR(IF(OR(HLOOKUP($A48,#REF!,12,FALSE())&gt;2,HLOOKUP($A48,#REF!,12,FALSE())&lt;-2),"",#REF!),"")</f>
        <v/>
      </c>
      <c r="O48" s="0" t="str">
        <f aca="false">IFERROR(IF(OR(HLOOKUP($A48,#REF!,13,FALSE())&gt;2,HLOOKUP($A48,#REF!,13,FALSE())&lt;-2),"",#REF!),"")</f>
        <v/>
      </c>
      <c r="P48" s="0" t="str">
        <f aca="false">IFERROR(IF(OR(HLOOKUP($A48,#REF!,14,FALSE())&gt;2,HLOOKUP($A48,#REF!,14,FALSE())&lt;-2),"",#REF!),"")</f>
        <v/>
      </c>
      <c r="Q48" s="0" t="str">
        <f aca="false">IFERROR(IF(OR(HLOOKUP($A48,#REF!,15,FALSE())&gt;2,HLOOKUP($A48,#REF!,15,FALSE())&lt;-2),"",#REF!),"")</f>
        <v/>
      </c>
      <c r="R48" s="0" t="str">
        <f aca="false">IFERROR(IF(OR(HLOOKUP($A48,#REF!,16,FALSE())&gt;2,HLOOKUP($A48,#REF!,16,FALSE())&lt;-2),"",#REF!),"")</f>
        <v/>
      </c>
      <c r="S48" s="0" t="str">
        <f aca="false">IFERROR(IF(OR(HLOOKUP($A48,#REF!,17,FALSE())&gt;2,HLOOKUP($A48,#REF!,17,FALSE())&lt;-2),"",#REF!),"")</f>
        <v/>
      </c>
      <c r="T48" s="0" t="str">
        <f aca="false">IFERROR(IF(OR(HLOOKUP($A48,#REF!,18,FALSE())&gt;2,HLOOKUP($A48,#REF!,18,FALSE())&lt;-2),"",#REF!),"")</f>
        <v/>
      </c>
      <c r="U48" s="0" t="str">
        <f aca="false">IFERROR(IF(OR(HLOOKUP($A48,#REF!,19,FALSE())&gt;2,HLOOKUP($A48,#REF!,19,FALSE())&lt;-2),"",#REF!),"")</f>
        <v/>
      </c>
      <c r="V48" s="0" t="n">
        <f aca="false">IFERROR(IF(AND(X48=0,Y48=0),0,1),0)</f>
        <v>1</v>
      </c>
      <c r="W48" s="3" t="str">
        <f aca="false">IFERROR(_xlfn.T.TEST(E48:M48,N48:U48,2,2),"")</f>
        <v/>
      </c>
      <c r="X48" s="0" t="str">
        <f aca="false">IFERROR(AVERAGE(E48:M48),"")</f>
        <v/>
      </c>
      <c r="Y48" s="0" t="str">
        <f aca="false">IFERROR(AVERAGE(N48:U48),"")</f>
        <v/>
      </c>
    </row>
    <row r="49" customFormat="false" ht="14.5" hidden="false" customHeight="false" outlineLevel="0" collapsed="false">
      <c r="A49" s="0" t="n">
        <v>51</v>
      </c>
      <c r="B49" s="0" t="s">
        <v>140</v>
      </c>
      <c r="C49" s="0" t="n">
        <v>68300</v>
      </c>
      <c r="D49" s="0" t="n">
        <v>856</v>
      </c>
      <c r="E49" s="0" t="str">
        <f aca="false">IFERROR(IF(OR(HLOOKUP($A49,#REF!,3,FALSE())&gt;2,HLOOKUP(A49,#REF!,3,FALSE())&lt;-2),"",#REF!),"")</f>
        <v/>
      </c>
      <c r="F49" s="0" t="str">
        <f aca="false">IFERROR(IF(OR(HLOOKUP($A49,#REF!,4,FALSE())&gt;2,HLOOKUP($A49,#REF!,4,FALSE())&lt;-2),"",#REF!),"")</f>
        <v/>
      </c>
      <c r="G49" s="0" t="str">
        <f aca="false">IFERROR(IF(OR(HLOOKUP($A49,#REF!,5,FALSE())&gt;2,HLOOKUP($A49,#REF!,5,FALSE())&lt;-2),"",#REF!),"")</f>
        <v/>
      </c>
      <c r="H49" s="0" t="str">
        <f aca="false">IFERROR(IF(OR(HLOOKUP($A49,#REF!,6,FALSE())&gt;2,HLOOKUP($A49,#REF!,6,FALSE())&lt;-2),"",#REF!),"")</f>
        <v/>
      </c>
      <c r="I49" s="0" t="str">
        <f aca="false">IFERROR(IF(OR(HLOOKUP($A49,#REF!,7,FALSE())&gt;2,HLOOKUP($A49,#REF!,7,FALSE())&lt;-2),"",#REF!),"")</f>
        <v/>
      </c>
      <c r="J49" s="0" t="str">
        <f aca="false">IFERROR(IF(OR(HLOOKUP($A49,#REF!,8,FALSE())&gt;2,HLOOKUP($A49,#REF!,8,FALSE())&lt;-2),"",#REF!),"")</f>
        <v/>
      </c>
      <c r="K49" s="0" t="str">
        <f aca="false">IFERROR(IF(OR(HLOOKUP($A49,#REF!,9,FALSE())&gt;2,HLOOKUP($A49,#REF!,9,FALSE())&lt;-2),"",#REF!),"")</f>
        <v/>
      </c>
      <c r="L49" s="0" t="str">
        <f aca="false">IFERROR(IF(OR(HLOOKUP($A49,#REF!,10,FALSE())&gt;2,HLOOKUP($A49,#REF!,10,FALSE())&lt;-2),"",#REF!),"")</f>
        <v/>
      </c>
      <c r="M49" s="0" t="str">
        <f aca="false">IFERROR(IF(OR(HLOOKUP($A49,#REF!,11,FALSE())&gt;2,HLOOKUP($A49,#REF!,11,FALSE())&lt;-2),"",#REF!),"")</f>
        <v/>
      </c>
      <c r="N49" s="0" t="str">
        <f aca="false">IFERROR(IF(OR(HLOOKUP($A49,#REF!,12,FALSE())&gt;2,HLOOKUP($A49,#REF!,12,FALSE())&lt;-2),"",#REF!),"")</f>
        <v/>
      </c>
      <c r="O49" s="0" t="str">
        <f aca="false">IFERROR(IF(OR(HLOOKUP($A49,#REF!,13,FALSE())&gt;2,HLOOKUP($A49,#REF!,13,FALSE())&lt;-2),"",#REF!),"")</f>
        <v/>
      </c>
      <c r="P49" s="0" t="str">
        <f aca="false">IFERROR(IF(OR(HLOOKUP($A49,#REF!,14,FALSE())&gt;2,HLOOKUP($A49,#REF!,14,FALSE())&lt;-2),"",#REF!),"")</f>
        <v/>
      </c>
      <c r="Q49" s="0" t="str">
        <f aca="false">IFERROR(IF(OR(HLOOKUP($A49,#REF!,15,FALSE())&gt;2,HLOOKUP($A49,#REF!,15,FALSE())&lt;-2),"",#REF!),"")</f>
        <v/>
      </c>
      <c r="R49" s="0" t="str">
        <f aca="false">IFERROR(IF(OR(HLOOKUP($A49,#REF!,16,FALSE())&gt;2,HLOOKUP($A49,#REF!,16,FALSE())&lt;-2),"",#REF!),"")</f>
        <v/>
      </c>
      <c r="S49" s="0" t="str">
        <f aca="false">IFERROR(IF(OR(HLOOKUP($A49,#REF!,17,FALSE())&gt;2,HLOOKUP($A49,#REF!,17,FALSE())&lt;-2),"",#REF!),"")</f>
        <v/>
      </c>
      <c r="T49" s="0" t="str">
        <f aca="false">IFERROR(IF(OR(HLOOKUP($A49,#REF!,18,FALSE())&gt;2,HLOOKUP($A49,#REF!,18,FALSE())&lt;-2),"",#REF!),"")</f>
        <v/>
      </c>
      <c r="U49" s="0" t="str">
        <f aca="false">IFERROR(IF(OR(HLOOKUP($A49,#REF!,19,FALSE())&gt;2,HLOOKUP($A49,#REF!,19,FALSE())&lt;-2),"",#REF!),"")</f>
        <v/>
      </c>
      <c r="V49" s="0" t="n">
        <f aca="false">IFERROR(IF(AND(X49=0,Y49=0),0,1),0)</f>
        <v>1</v>
      </c>
      <c r="W49" s="3" t="str">
        <f aca="false">IFERROR(_xlfn.T.TEST(E49:M49,N49:U49,2,2),"")</f>
        <v/>
      </c>
      <c r="X49" s="0" t="str">
        <f aca="false">IFERROR(AVERAGE(E49:M49),"")</f>
        <v/>
      </c>
      <c r="Y49" s="0" t="str">
        <f aca="false">IFERROR(AVERAGE(N49:U49),"")</f>
        <v/>
      </c>
    </row>
    <row r="50" customFormat="false" ht="14.5" hidden="false" customHeight="false" outlineLevel="0" collapsed="false">
      <c r="A50" s="0" t="n">
        <v>52</v>
      </c>
      <c r="B50" s="0" t="s">
        <v>141</v>
      </c>
      <c r="C50" s="0" t="n">
        <v>41900</v>
      </c>
      <c r="D50" s="0" t="n">
        <v>918</v>
      </c>
      <c r="E50" s="0" t="str">
        <f aca="false">IFERROR(IF(OR(HLOOKUP($A50,#REF!,3,FALSE())&gt;2,HLOOKUP(A50,#REF!,3,FALSE())&lt;-2),"",#REF!),"")</f>
        <v/>
      </c>
      <c r="F50" s="0" t="str">
        <f aca="false">IFERROR(IF(OR(HLOOKUP($A50,#REF!,4,FALSE())&gt;2,HLOOKUP($A50,#REF!,4,FALSE())&lt;-2),"",#REF!),"")</f>
        <v/>
      </c>
      <c r="G50" s="0" t="str">
        <f aca="false">IFERROR(IF(OR(HLOOKUP($A50,#REF!,5,FALSE())&gt;2,HLOOKUP($A50,#REF!,5,FALSE())&lt;-2),"",#REF!),"")</f>
        <v/>
      </c>
      <c r="H50" s="0" t="str">
        <f aca="false">IFERROR(IF(OR(HLOOKUP($A50,#REF!,6,FALSE())&gt;2,HLOOKUP($A50,#REF!,6,FALSE())&lt;-2),"",#REF!),"")</f>
        <v/>
      </c>
      <c r="I50" s="0" t="str">
        <f aca="false">IFERROR(IF(OR(HLOOKUP($A50,#REF!,7,FALSE())&gt;2,HLOOKUP($A50,#REF!,7,FALSE())&lt;-2),"",#REF!),"")</f>
        <v/>
      </c>
      <c r="J50" s="0" t="str">
        <f aca="false">IFERROR(IF(OR(HLOOKUP($A50,#REF!,8,FALSE())&gt;2,HLOOKUP($A50,#REF!,8,FALSE())&lt;-2),"",#REF!),"")</f>
        <v/>
      </c>
      <c r="K50" s="0" t="str">
        <f aca="false">IFERROR(IF(OR(HLOOKUP($A50,#REF!,9,FALSE())&gt;2,HLOOKUP($A50,#REF!,9,FALSE())&lt;-2),"",#REF!),"")</f>
        <v/>
      </c>
      <c r="L50" s="0" t="str">
        <f aca="false">IFERROR(IF(OR(HLOOKUP($A50,#REF!,10,FALSE())&gt;2,HLOOKUP($A50,#REF!,10,FALSE())&lt;-2),"",#REF!),"")</f>
        <v/>
      </c>
      <c r="M50" s="0" t="str">
        <f aca="false">IFERROR(IF(OR(HLOOKUP($A50,#REF!,11,FALSE())&gt;2,HLOOKUP($A50,#REF!,11,FALSE())&lt;-2),"",#REF!),"")</f>
        <v/>
      </c>
      <c r="N50" s="0" t="str">
        <f aca="false">IFERROR(IF(OR(HLOOKUP($A50,#REF!,12,FALSE())&gt;2,HLOOKUP($A50,#REF!,12,FALSE())&lt;-2),"",#REF!),"")</f>
        <v/>
      </c>
      <c r="O50" s="0" t="str">
        <f aca="false">IFERROR(IF(OR(HLOOKUP($A50,#REF!,13,FALSE())&gt;2,HLOOKUP($A50,#REF!,13,FALSE())&lt;-2),"",#REF!),"")</f>
        <v/>
      </c>
      <c r="P50" s="0" t="str">
        <f aca="false">IFERROR(IF(OR(HLOOKUP($A50,#REF!,14,FALSE())&gt;2,HLOOKUP($A50,#REF!,14,FALSE())&lt;-2),"",#REF!),"")</f>
        <v/>
      </c>
      <c r="Q50" s="0" t="str">
        <f aca="false">IFERROR(IF(OR(HLOOKUP($A50,#REF!,15,FALSE())&gt;2,HLOOKUP($A50,#REF!,15,FALSE())&lt;-2),"",#REF!),"")</f>
        <v/>
      </c>
      <c r="R50" s="0" t="str">
        <f aca="false">IFERROR(IF(OR(HLOOKUP($A50,#REF!,16,FALSE())&gt;2,HLOOKUP($A50,#REF!,16,FALSE())&lt;-2),"",#REF!),"")</f>
        <v/>
      </c>
      <c r="S50" s="0" t="str">
        <f aca="false">IFERROR(IF(OR(HLOOKUP($A50,#REF!,17,FALSE())&gt;2,HLOOKUP($A50,#REF!,17,FALSE())&lt;-2),"",#REF!),"")</f>
        <v/>
      </c>
      <c r="T50" s="0" t="str">
        <f aca="false">IFERROR(IF(OR(HLOOKUP($A50,#REF!,18,FALSE())&gt;2,HLOOKUP($A50,#REF!,18,FALSE())&lt;-2),"",#REF!),"")</f>
        <v/>
      </c>
      <c r="U50" s="0" t="str">
        <f aca="false">IFERROR(IF(OR(HLOOKUP($A50,#REF!,19,FALSE())&gt;2,HLOOKUP($A50,#REF!,19,FALSE())&lt;-2),"",#REF!),"")</f>
        <v/>
      </c>
      <c r="V50" s="0" t="n">
        <f aca="false">IFERROR(IF(AND(X50=0,Y50=0),0,1),0)</f>
        <v>1</v>
      </c>
      <c r="W50" s="3" t="str">
        <f aca="false">IFERROR(_xlfn.T.TEST(E50:M50,N50:U50,2,2),"")</f>
        <v/>
      </c>
      <c r="X50" s="0" t="str">
        <f aca="false">IFERROR(AVERAGE(E50:M50),"")</f>
        <v/>
      </c>
      <c r="Y50" s="0" t="str">
        <f aca="false">IFERROR(AVERAGE(N50:U50),"")</f>
        <v/>
      </c>
    </row>
    <row r="51" customFormat="false" ht="14.5" hidden="false" customHeight="false" outlineLevel="0" collapsed="false">
      <c r="A51" s="0" t="n">
        <v>53</v>
      </c>
      <c r="B51" s="0" t="s">
        <v>142</v>
      </c>
      <c r="C51" s="0" t="n">
        <v>91700</v>
      </c>
      <c r="D51" s="0" t="n">
        <v>445</v>
      </c>
      <c r="E51" s="0" t="str">
        <f aca="false">IFERROR(IF(OR(HLOOKUP($A51,#REF!,3,FALSE())&gt;2,HLOOKUP(A51,#REF!,3,FALSE())&lt;-2),"",#REF!),"")</f>
        <v/>
      </c>
      <c r="F51" s="0" t="str">
        <f aca="false">IFERROR(IF(OR(HLOOKUP($A51,#REF!,4,FALSE())&gt;2,HLOOKUP($A51,#REF!,4,FALSE())&lt;-2),"",#REF!),"")</f>
        <v/>
      </c>
      <c r="G51" s="0" t="str">
        <f aca="false">IFERROR(IF(OR(HLOOKUP($A51,#REF!,5,FALSE())&gt;2,HLOOKUP($A51,#REF!,5,FALSE())&lt;-2),"",#REF!),"")</f>
        <v/>
      </c>
      <c r="H51" s="0" t="str">
        <f aca="false">IFERROR(IF(OR(HLOOKUP($A51,#REF!,6,FALSE())&gt;2,HLOOKUP($A51,#REF!,6,FALSE())&lt;-2),"",#REF!),"")</f>
        <v/>
      </c>
      <c r="I51" s="0" t="str">
        <f aca="false">IFERROR(IF(OR(HLOOKUP($A51,#REF!,7,FALSE())&gt;2,HLOOKUP($A51,#REF!,7,FALSE())&lt;-2),"",#REF!),"")</f>
        <v/>
      </c>
      <c r="J51" s="0" t="str">
        <f aca="false">IFERROR(IF(OR(HLOOKUP($A51,#REF!,8,FALSE())&gt;2,HLOOKUP($A51,#REF!,8,FALSE())&lt;-2),"",#REF!),"")</f>
        <v/>
      </c>
      <c r="K51" s="0" t="str">
        <f aca="false">IFERROR(IF(OR(HLOOKUP($A51,#REF!,9,FALSE())&gt;2,HLOOKUP($A51,#REF!,9,FALSE())&lt;-2),"",#REF!),"")</f>
        <v/>
      </c>
      <c r="L51" s="0" t="str">
        <f aca="false">IFERROR(IF(OR(HLOOKUP($A51,#REF!,10,FALSE())&gt;2,HLOOKUP($A51,#REF!,10,FALSE())&lt;-2),"",#REF!),"")</f>
        <v/>
      </c>
      <c r="M51" s="0" t="str">
        <f aca="false">IFERROR(IF(OR(HLOOKUP($A51,#REF!,11,FALSE())&gt;2,HLOOKUP($A51,#REF!,11,FALSE())&lt;-2),"",#REF!),"")</f>
        <v/>
      </c>
      <c r="N51" s="0" t="str">
        <f aca="false">IFERROR(IF(OR(HLOOKUP($A51,#REF!,12,FALSE())&gt;2,HLOOKUP($A51,#REF!,12,FALSE())&lt;-2),"",#REF!),"")</f>
        <v/>
      </c>
      <c r="O51" s="0" t="str">
        <f aca="false">IFERROR(IF(OR(HLOOKUP($A51,#REF!,13,FALSE())&gt;2,HLOOKUP($A51,#REF!,13,FALSE())&lt;-2),"",#REF!),"")</f>
        <v/>
      </c>
      <c r="P51" s="0" t="str">
        <f aca="false">IFERROR(IF(OR(HLOOKUP($A51,#REF!,14,FALSE())&gt;2,HLOOKUP($A51,#REF!,14,FALSE())&lt;-2),"",#REF!),"")</f>
        <v/>
      </c>
      <c r="Q51" s="0" t="str">
        <f aca="false">IFERROR(IF(OR(HLOOKUP($A51,#REF!,15,FALSE())&gt;2,HLOOKUP($A51,#REF!,15,FALSE())&lt;-2),"",#REF!),"")</f>
        <v/>
      </c>
      <c r="R51" s="0" t="str">
        <f aca="false">IFERROR(IF(OR(HLOOKUP($A51,#REF!,16,FALSE())&gt;2,HLOOKUP($A51,#REF!,16,FALSE())&lt;-2),"",#REF!),"")</f>
        <v/>
      </c>
      <c r="S51" s="0" t="str">
        <f aca="false">IFERROR(IF(OR(HLOOKUP($A51,#REF!,17,FALSE())&gt;2,HLOOKUP($A51,#REF!,17,FALSE())&lt;-2),"",#REF!),"")</f>
        <v/>
      </c>
      <c r="T51" s="0" t="str">
        <f aca="false">IFERROR(IF(OR(HLOOKUP($A51,#REF!,18,FALSE())&gt;2,HLOOKUP($A51,#REF!,18,FALSE())&lt;-2),"",#REF!),"")</f>
        <v/>
      </c>
      <c r="U51" s="0" t="str">
        <f aca="false">IFERROR(IF(OR(HLOOKUP($A51,#REF!,19,FALSE())&gt;2,HLOOKUP($A51,#REF!,19,FALSE())&lt;-2),"",#REF!),"")</f>
        <v/>
      </c>
      <c r="V51" s="0" t="n">
        <f aca="false">IFERROR(IF(AND(X51=0,Y51=0),0,1),0)</f>
        <v>1</v>
      </c>
      <c r="W51" s="3" t="str">
        <f aca="false">IFERROR(_xlfn.T.TEST(E51:M51,N51:U51,2,2),"")</f>
        <v/>
      </c>
      <c r="X51" s="0" t="str">
        <f aca="false">IFERROR(AVERAGE(E51:M51),"")</f>
        <v/>
      </c>
      <c r="Y51" s="0" t="str">
        <f aca="false">IFERROR(AVERAGE(N51:U51),"")</f>
        <v/>
      </c>
    </row>
    <row r="52" customFormat="false" ht="14.5" hidden="false" customHeight="false" outlineLevel="0" collapsed="false">
      <c r="A52" s="0" t="n">
        <v>54</v>
      </c>
      <c r="B52" s="0" t="s">
        <v>143</v>
      </c>
      <c r="C52" s="0" t="n">
        <v>112800</v>
      </c>
      <c r="D52" s="0" t="n">
        <v>824</v>
      </c>
      <c r="E52" s="0" t="str">
        <f aca="false">IFERROR(IF(OR(HLOOKUP($A52,#REF!,3,FALSE())&gt;2,HLOOKUP(A52,#REF!,3,FALSE())&lt;-2),"",#REF!),"")</f>
        <v/>
      </c>
      <c r="F52" s="0" t="str">
        <f aca="false">IFERROR(IF(OR(HLOOKUP($A52,#REF!,4,FALSE())&gt;2,HLOOKUP($A52,#REF!,4,FALSE())&lt;-2),"",#REF!),"")</f>
        <v/>
      </c>
      <c r="G52" s="0" t="str">
        <f aca="false">IFERROR(IF(OR(HLOOKUP($A52,#REF!,5,FALSE())&gt;2,HLOOKUP($A52,#REF!,5,FALSE())&lt;-2),"",#REF!),"")</f>
        <v/>
      </c>
      <c r="H52" s="0" t="str">
        <f aca="false">IFERROR(IF(OR(HLOOKUP($A52,#REF!,6,FALSE())&gt;2,HLOOKUP($A52,#REF!,6,FALSE())&lt;-2),"",#REF!),"")</f>
        <v/>
      </c>
      <c r="I52" s="0" t="str">
        <f aca="false">IFERROR(IF(OR(HLOOKUP($A52,#REF!,7,FALSE())&gt;2,HLOOKUP($A52,#REF!,7,FALSE())&lt;-2),"",#REF!),"")</f>
        <v/>
      </c>
      <c r="J52" s="0" t="str">
        <f aca="false">IFERROR(IF(OR(HLOOKUP($A52,#REF!,8,FALSE())&gt;2,HLOOKUP($A52,#REF!,8,FALSE())&lt;-2),"",#REF!),"")</f>
        <v/>
      </c>
      <c r="K52" s="0" t="str">
        <f aca="false">IFERROR(IF(OR(HLOOKUP($A52,#REF!,9,FALSE())&gt;2,HLOOKUP($A52,#REF!,9,FALSE())&lt;-2),"",#REF!),"")</f>
        <v/>
      </c>
      <c r="L52" s="0" t="str">
        <f aca="false">IFERROR(IF(OR(HLOOKUP($A52,#REF!,10,FALSE())&gt;2,HLOOKUP($A52,#REF!,10,FALSE())&lt;-2),"",#REF!),"")</f>
        <v/>
      </c>
      <c r="M52" s="0" t="str">
        <f aca="false">IFERROR(IF(OR(HLOOKUP($A52,#REF!,11,FALSE())&gt;2,HLOOKUP($A52,#REF!,11,FALSE())&lt;-2),"",#REF!),"")</f>
        <v/>
      </c>
      <c r="N52" s="0" t="str">
        <f aca="false">IFERROR(IF(OR(HLOOKUP($A52,#REF!,12,FALSE())&gt;2,HLOOKUP($A52,#REF!,12,FALSE())&lt;-2),"",#REF!),"")</f>
        <v/>
      </c>
      <c r="O52" s="0" t="str">
        <f aca="false">IFERROR(IF(OR(HLOOKUP($A52,#REF!,13,FALSE())&gt;2,HLOOKUP($A52,#REF!,13,FALSE())&lt;-2),"",#REF!),"")</f>
        <v/>
      </c>
      <c r="P52" s="0" t="str">
        <f aca="false">IFERROR(IF(OR(HLOOKUP($A52,#REF!,14,FALSE())&gt;2,HLOOKUP($A52,#REF!,14,FALSE())&lt;-2),"",#REF!),"")</f>
        <v/>
      </c>
      <c r="Q52" s="0" t="str">
        <f aca="false">IFERROR(IF(OR(HLOOKUP($A52,#REF!,15,FALSE())&gt;2,HLOOKUP($A52,#REF!,15,FALSE())&lt;-2),"",#REF!),"")</f>
        <v/>
      </c>
      <c r="R52" s="0" t="str">
        <f aca="false">IFERROR(IF(OR(HLOOKUP($A52,#REF!,16,FALSE())&gt;2,HLOOKUP($A52,#REF!,16,FALSE())&lt;-2),"",#REF!),"")</f>
        <v/>
      </c>
      <c r="S52" s="0" t="str">
        <f aca="false">IFERROR(IF(OR(HLOOKUP($A52,#REF!,17,FALSE())&gt;2,HLOOKUP($A52,#REF!,17,FALSE())&lt;-2),"",#REF!),"")</f>
        <v/>
      </c>
      <c r="T52" s="0" t="str">
        <f aca="false">IFERROR(IF(OR(HLOOKUP($A52,#REF!,18,FALSE())&gt;2,HLOOKUP($A52,#REF!,18,FALSE())&lt;-2),"",#REF!),"")</f>
        <v/>
      </c>
      <c r="U52" s="0" t="str">
        <f aca="false">IFERROR(IF(OR(HLOOKUP($A52,#REF!,19,FALSE())&gt;2,HLOOKUP($A52,#REF!,19,FALSE())&lt;-2),"",#REF!),"")</f>
        <v/>
      </c>
      <c r="V52" s="0" t="n">
        <f aca="false">IFERROR(IF(AND(X52=0,Y52=0),0,1),0)</f>
        <v>1</v>
      </c>
      <c r="W52" s="3" t="str">
        <f aca="false">IFERROR(_xlfn.T.TEST(E52:M52,N52:U52,2,2),"")</f>
        <v/>
      </c>
      <c r="X52" s="0" t="str">
        <f aca="false">IFERROR(AVERAGE(E52:M52),"")</f>
        <v/>
      </c>
      <c r="Y52" s="0" t="str">
        <f aca="false">IFERROR(AVERAGE(N52:U52),"")</f>
        <v/>
      </c>
    </row>
    <row r="53" customFormat="false" ht="14.5" hidden="false" customHeight="false" outlineLevel="0" collapsed="false">
      <c r="A53" s="0" t="n">
        <v>55</v>
      </c>
      <c r="B53" s="0" t="s">
        <v>144</v>
      </c>
      <c r="C53" s="0" t="n">
        <v>71300</v>
      </c>
      <c r="D53" s="0" t="n">
        <v>94</v>
      </c>
      <c r="E53" s="0" t="str">
        <f aca="false">IFERROR(IF(OR(HLOOKUP($A53,#REF!,3,FALSE())&gt;2,HLOOKUP(A53,#REF!,3,FALSE())&lt;-2),"",#REF!),"")</f>
        <v/>
      </c>
      <c r="F53" s="0" t="str">
        <f aca="false">IFERROR(IF(OR(HLOOKUP($A53,#REF!,4,FALSE())&gt;2,HLOOKUP($A53,#REF!,4,FALSE())&lt;-2),"",#REF!),"")</f>
        <v/>
      </c>
      <c r="G53" s="0" t="str">
        <f aca="false">IFERROR(IF(OR(HLOOKUP($A53,#REF!,5,FALSE())&gt;2,HLOOKUP($A53,#REF!,5,FALSE())&lt;-2),"",#REF!),"")</f>
        <v/>
      </c>
      <c r="H53" s="0" t="str">
        <f aca="false">IFERROR(IF(OR(HLOOKUP($A53,#REF!,6,FALSE())&gt;2,HLOOKUP($A53,#REF!,6,FALSE())&lt;-2),"",#REF!),"")</f>
        <v/>
      </c>
      <c r="I53" s="0" t="str">
        <f aca="false">IFERROR(IF(OR(HLOOKUP($A53,#REF!,7,FALSE())&gt;2,HLOOKUP($A53,#REF!,7,FALSE())&lt;-2),"",#REF!),"")</f>
        <v/>
      </c>
      <c r="J53" s="0" t="str">
        <f aca="false">IFERROR(IF(OR(HLOOKUP($A53,#REF!,8,FALSE())&gt;2,HLOOKUP($A53,#REF!,8,FALSE())&lt;-2),"",#REF!),"")</f>
        <v/>
      </c>
      <c r="K53" s="0" t="str">
        <f aca="false">IFERROR(IF(OR(HLOOKUP($A53,#REF!,9,FALSE())&gt;2,HLOOKUP($A53,#REF!,9,FALSE())&lt;-2),"",#REF!),"")</f>
        <v/>
      </c>
      <c r="L53" s="0" t="str">
        <f aca="false">IFERROR(IF(OR(HLOOKUP($A53,#REF!,10,FALSE())&gt;2,HLOOKUP($A53,#REF!,10,FALSE())&lt;-2),"",#REF!),"")</f>
        <v/>
      </c>
      <c r="M53" s="0" t="str">
        <f aca="false">IFERROR(IF(OR(HLOOKUP($A53,#REF!,11,FALSE())&gt;2,HLOOKUP($A53,#REF!,11,FALSE())&lt;-2),"",#REF!),"")</f>
        <v/>
      </c>
      <c r="N53" s="0" t="str">
        <f aca="false">IFERROR(IF(OR(HLOOKUP($A53,#REF!,12,FALSE())&gt;2,HLOOKUP($A53,#REF!,12,FALSE())&lt;-2),"",#REF!),"")</f>
        <v/>
      </c>
      <c r="O53" s="0" t="str">
        <f aca="false">IFERROR(IF(OR(HLOOKUP($A53,#REF!,13,FALSE())&gt;2,HLOOKUP($A53,#REF!,13,FALSE())&lt;-2),"",#REF!),"")</f>
        <v/>
      </c>
      <c r="P53" s="0" t="str">
        <f aca="false">IFERROR(IF(OR(HLOOKUP($A53,#REF!,14,FALSE())&gt;2,HLOOKUP($A53,#REF!,14,FALSE())&lt;-2),"",#REF!),"")</f>
        <v/>
      </c>
      <c r="Q53" s="0" t="str">
        <f aca="false">IFERROR(IF(OR(HLOOKUP($A53,#REF!,15,FALSE())&gt;2,HLOOKUP($A53,#REF!,15,FALSE())&lt;-2),"",#REF!),"")</f>
        <v/>
      </c>
      <c r="R53" s="0" t="str">
        <f aca="false">IFERROR(IF(OR(HLOOKUP($A53,#REF!,16,FALSE())&gt;2,HLOOKUP($A53,#REF!,16,FALSE())&lt;-2),"",#REF!),"")</f>
        <v/>
      </c>
      <c r="S53" s="0" t="str">
        <f aca="false">IFERROR(IF(OR(HLOOKUP($A53,#REF!,17,FALSE())&gt;2,HLOOKUP($A53,#REF!,17,FALSE())&lt;-2),"",#REF!),"")</f>
        <v/>
      </c>
      <c r="T53" s="0" t="str">
        <f aca="false">IFERROR(IF(OR(HLOOKUP($A53,#REF!,18,FALSE())&gt;2,HLOOKUP($A53,#REF!,18,FALSE())&lt;-2),"",#REF!),"")</f>
        <v/>
      </c>
      <c r="U53" s="0" t="str">
        <f aca="false">IFERROR(IF(OR(HLOOKUP($A53,#REF!,19,FALSE())&gt;2,HLOOKUP($A53,#REF!,19,FALSE())&lt;-2),"",#REF!),"")</f>
        <v/>
      </c>
      <c r="V53" s="0" t="n">
        <f aca="false">IFERROR(IF(AND(X53=0,Y53=0),0,1),0)</f>
        <v>1</v>
      </c>
      <c r="W53" s="3" t="str">
        <f aca="false">IFERROR(_xlfn.T.TEST(E53:M53,N53:U53,2,2),"")</f>
        <v/>
      </c>
      <c r="X53" s="0" t="str">
        <f aca="false">IFERROR(AVERAGE(E53:M53),"")</f>
        <v/>
      </c>
      <c r="Y53" s="0" t="str">
        <f aca="false">IFERROR(AVERAGE(N53:U53),"")</f>
        <v/>
      </c>
    </row>
    <row r="54" customFormat="false" ht="14.5" hidden="false" customHeight="false" outlineLevel="0" collapsed="false">
      <c r="A54" s="0" t="n">
        <v>56</v>
      </c>
      <c r="B54" s="0" t="s">
        <v>145</v>
      </c>
      <c r="C54" s="0" t="n">
        <v>48400</v>
      </c>
      <c r="D54" s="0" t="n">
        <v>493</v>
      </c>
      <c r="E54" s="0" t="str">
        <f aca="false">IFERROR(IF(OR(HLOOKUP($A54,#REF!,3,FALSE())&gt;2,HLOOKUP(A54,#REF!,3,FALSE())&lt;-2),"",#REF!),"")</f>
        <v/>
      </c>
      <c r="F54" s="0" t="str">
        <f aca="false">IFERROR(IF(OR(HLOOKUP($A54,#REF!,4,FALSE())&gt;2,HLOOKUP($A54,#REF!,4,FALSE())&lt;-2),"",#REF!),"")</f>
        <v/>
      </c>
      <c r="G54" s="0" t="str">
        <f aca="false">IFERROR(IF(OR(HLOOKUP($A54,#REF!,5,FALSE())&gt;2,HLOOKUP($A54,#REF!,5,FALSE())&lt;-2),"",#REF!),"")</f>
        <v/>
      </c>
      <c r="H54" s="0" t="str">
        <f aca="false">IFERROR(IF(OR(HLOOKUP($A54,#REF!,6,FALSE())&gt;2,HLOOKUP($A54,#REF!,6,FALSE())&lt;-2),"",#REF!),"")</f>
        <v/>
      </c>
      <c r="I54" s="0" t="str">
        <f aca="false">IFERROR(IF(OR(HLOOKUP($A54,#REF!,7,FALSE())&gt;2,HLOOKUP($A54,#REF!,7,FALSE())&lt;-2),"",#REF!),"")</f>
        <v/>
      </c>
      <c r="J54" s="0" t="str">
        <f aca="false">IFERROR(IF(OR(HLOOKUP($A54,#REF!,8,FALSE())&gt;2,HLOOKUP($A54,#REF!,8,FALSE())&lt;-2),"",#REF!),"")</f>
        <v/>
      </c>
      <c r="K54" s="0" t="str">
        <f aca="false">IFERROR(IF(OR(HLOOKUP($A54,#REF!,9,FALSE())&gt;2,HLOOKUP($A54,#REF!,9,FALSE())&lt;-2),"",#REF!),"")</f>
        <v/>
      </c>
      <c r="L54" s="0" t="str">
        <f aca="false">IFERROR(IF(OR(HLOOKUP($A54,#REF!,10,FALSE())&gt;2,HLOOKUP($A54,#REF!,10,FALSE())&lt;-2),"",#REF!),"")</f>
        <v/>
      </c>
      <c r="M54" s="0" t="str">
        <f aca="false">IFERROR(IF(OR(HLOOKUP($A54,#REF!,11,FALSE())&gt;2,HLOOKUP($A54,#REF!,11,FALSE())&lt;-2),"",#REF!),"")</f>
        <v/>
      </c>
      <c r="N54" s="0" t="str">
        <f aca="false">IFERROR(IF(OR(HLOOKUP($A54,#REF!,12,FALSE())&gt;2,HLOOKUP($A54,#REF!,12,FALSE())&lt;-2),"",#REF!),"")</f>
        <v/>
      </c>
      <c r="O54" s="0" t="str">
        <f aca="false">IFERROR(IF(OR(HLOOKUP($A54,#REF!,13,FALSE())&gt;2,HLOOKUP($A54,#REF!,13,FALSE())&lt;-2),"",#REF!),"")</f>
        <v/>
      </c>
      <c r="P54" s="0" t="str">
        <f aca="false">IFERROR(IF(OR(HLOOKUP($A54,#REF!,14,FALSE())&gt;2,HLOOKUP($A54,#REF!,14,FALSE())&lt;-2),"",#REF!),"")</f>
        <v/>
      </c>
      <c r="Q54" s="0" t="str">
        <f aca="false">IFERROR(IF(OR(HLOOKUP($A54,#REF!,15,FALSE())&gt;2,HLOOKUP($A54,#REF!,15,FALSE())&lt;-2),"",#REF!),"")</f>
        <v/>
      </c>
      <c r="R54" s="0" t="str">
        <f aca="false">IFERROR(IF(OR(HLOOKUP($A54,#REF!,16,FALSE())&gt;2,HLOOKUP($A54,#REF!,16,FALSE())&lt;-2),"",#REF!),"")</f>
        <v/>
      </c>
      <c r="S54" s="0" t="str">
        <f aca="false">IFERROR(IF(OR(HLOOKUP($A54,#REF!,17,FALSE())&gt;2,HLOOKUP($A54,#REF!,17,FALSE())&lt;-2),"",#REF!),"")</f>
        <v/>
      </c>
      <c r="T54" s="0" t="str">
        <f aca="false">IFERROR(IF(OR(HLOOKUP($A54,#REF!,18,FALSE())&gt;2,HLOOKUP($A54,#REF!,18,FALSE())&lt;-2),"",#REF!),"")</f>
        <v/>
      </c>
      <c r="U54" s="0" t="str">
        <f aca="false">IFERROR(IF(OR(HLOOKUP($A54,#REF!,19,FALSE())&gt;2,HLOOKUP($A54,#REF!,19,FALSE())&lt;-2),"",#REF!),"")</f>
        <v/>
      </c>
      <c r="V54" s="0" t="n">
        <f aca="false">IFERROR(IF(AND(X54=0,Y54=0),0,1),0)</f>
        <v>1</v>
      </c>
      <c r="W54" s="3" t="str">
        <f aca="false">IFERROR(_xlfn.T.TEST(E54:M54,N54:U54,2,2),"")</f>
        <v/>
      </c>
      <c r="X54" s="0" t="str">
        <f aca="false">IFERROR(AVERAGE(E54:M54),"")</f>
        <v/>
      </c>
      <c r="Y54" s="0" t="str">
        <f aca="false">IFERROR(AVERAGE(N54:U54),"")</f>
        <v/>
      </c>
    </row>
    <row r="55" customFormat="false" ht="14.5" hidden="false" customHeight="false" outlineLevel="0" collapsed="false">
      <c r="A55" s="0" t="n">
        <v>57</v>
      </c>
      <c r="B55" s="0" t="s">
        <v>146</v>
      </c>
      <c r="C55" s="0" t="n">
        <v>118900</v>
      </c>
      <c r="D55" s="0" t="n">
        <v>1040</v>
      </c>
      <c r="E55" s="0" t="str">
        <f aca="false">IFERROR(IF(OR(HLOOKUP($A55,#REF!,3,FALSE())&gt;2,HLOOKUP(A55,#REF!,3,FALSE())&lt;-2),"",#REF!),"")</f>
        <v/>
      </c>
      <c r="F55" s="0" t="str">
        <f aca="false">IFERROR(IF(OR(HLOOKUP($A55,#REF!,4,FALSE())&gt;2,HLOOKUP($A55,#REF!,4,FALSE())&lt;-2),"",#REF!),"")</f>
        <v/>
      </c>
      <c r="G55" s="0" t="str">
        <f aca="false">IFERROR(IF(OR(HLOOKUP($A55,#REF!,5,FALSE())&gt;2,HLOOKUP($A55,#REF!,5,FALSE())&lt;-2),"",#REF!),"")</f>
        <v/>
      </c>
      <c r="H55" s="0" t="str">
        <f aca="false">IFERROR(IF(OR(HLOOKUP($A55,#REF!,6,FALSE())&gt;2,HLOOKUP($A55,#REF!,6,FALSE())&lt;-2),"",#REF!),"")</f>
        <v/>
      </c>
      <c r="I55" s="0" t="str">
        <f aca="false">IFERROR(IF(OR(HLOOKUP($A55,#REF!,7,FALSE())&gt;2,HLOOKUP($A55,#REF!,7,FALSE())&lt;-2),"",#REF!),"")</f>
        <v/>
      </c>
      <c r="J55" s="0" t="str">
        <f aca="false">IFERROR(IF(OR(HLOOKUP($A55,#REF!,8,FALSE())&gt;2,HLOOKUP($A55,#REF!,8,FALSE())&lt;-2),"",#REF!),"")</f>
        <v/>
      </c>
      <c r="K55" s="0" t="str">
        <f aca="false">IFERROR(IF(OR(HLOOKUP($A55,#REF!,9,FALSE())&gt;2,HLOOKUP($A55,#REF!,9,FALSE())&lt;-2),"",#REF!),"")</f>
        <v/>
      </c>
      <c r="L55" s="0" t="str">
        <f aca="false">IFERROR(IF(OR(HLOOKUP($A55,#REF!,10,FALSE())&gt;2,HLOOKUP($A55,#REF!,10,FALSE())&lt;-2),"",#REF!),"")</f>
        <v/>
      </c>
      <c r="M55" s="0" t="str">
        <f aca="false">IFERROR(IF(OR(HLOOKUP($A55,#REF!,11,FALSE())&gt;2,HLOOKUP($A55,#REF!,11,FALSE())&lt;-2),"",#REF!),"")</f>
        <v/>
      </c>
      <c r="N55" s="0" t="str">
        <f aca="false">IFERROR(IF(OR(HLOOKUP($A55,#REF!,12,FALSE())&gt;2,HLOOKUP($A55,#REF!,12,FALSE())&lt;-2),"",#REF!),"")</f>
        <v/>
      </c>
      <c r="O55" s="0" t="str">
        <f aca="false">IFERROR(IF(OR(HLOOKUP($A55,#REF!,13,FALSE())&gt;2,HLOOKUP($A55,#REF!,13,FALSE())&lt;-2),"",#REF!),"")</f>
        <v/>
      </c>
      <c r="P55" s="0" t="str">
        <f aca="false">IFERROR(IF(OR(HLOOKUP($A55,#REF!,14,FALSE())&gt;2,HLOOKUP($A55,#REF!,14,FALSE())&lt;-2),"",#REF!),"")</f>
        <v/>
      </c>
      <c r="Q55" s="0" t="str">
        <f aca="false">IFERROR(IF(OR(HLOOKUP($A55,#REF!,15,FALSE())&gt;2,HLOOKUP($A55,#REF!,15,FALSE())&lt;-2),"",#REF!),"")</f>
        <v/>
      </c>
      <c r="R55" s="0" t="str">
        <f aca="false">IFERROR(IF(OR(HLOOKUP($A55,#REF!,16,FALSE())&gt;2,HLOOKUP($A55,#REF!,16,FALSE())&lt;-2),"",#REF!),"")</f>
        <v/>
      </c>
      <c r="S55" s="0" t="str">
        <f aca="false">IFERROR(IF(OR(HLOOKUP($A55,#REF!,17,FALSE())&gt;2,HLOOKUP($A55,#REF!,17,FALSE())&lt;-2),"",#REF!),"")</f>
        <v/>
      </c>
      <c r="T55" s="0" t="str">
        <f aca="false">IFERROR(IF(OR(HLOOKUP($A55,#REF!,18,FALSE())&gt;2,HLOOKUP($A55,#REF!,18,FALSE())&lt;-2),"",#REF!),"")</f>
        <v/>
      </c>
      <c r="U55" s="0" t="str">
        <f aca="false">IFERROR(IF(OR(HLOOKUP($A55,#REF!,19,FALSE())&gt;2,HLOOKUP($A55,#REF!,19,FALSE())&lt;-2),"",#REF!),"")</f>
        <v/>
      </c>
      <c r="V55" s="0" t="n">
        <f aca="false">IFERROR(IF(AND(X55=0,Y55=0),0,1),0)</f>
        <v>1</v>
      </c>
      <c r="W55" s="3" t="str">
        <f aca="false">IFERROR(_xlfn.T.TEST(E55:M55,N55:U55,2,2),"")</f>
        <v/>
      </c>
      <c r="X55" s="0" t="str">
        <f aca="false">IFERROR(AVERAGE(E55:M55),"")</f>
        <v/>
      </c>
      <c r="Y55" s="0" t="str">
        <f aca="false">IFERROR(AVERAGE(N55:U55),"")</f>
        <v/>
      </c>
    </row>
    <row r="56" customFormat="false" ht="14.5" hidden="false" customHeight="false" outlineLevel="0" collapsed="false">
      <c r="A56" s="0" t="n">
        <v>58</v>
      </c>
      <c r="B56" s="0" t="s">
        <v>147</v>
      </c>
      <c r="C56" s="0" t="n">
        <v>83500</v>
      </c>
      <c r="D56" s="0" t="n">
        <v>323</v>
      </c>
      <c r="E56" s="0" t="str">
        <f aca="false">IFERROR(IF(OR(HLOOKUP($A56,#REF!,3,FALSE())&gt;2,HLOOKUP(A56,#REF!,3,FALSE())&lt;-2),"",#REF!),"")</f>
        <v/>
      </c>
      <c r="F56" s="0" t="str">
        <f aca="false">IFERROR(IF(OR(HLOOKUP($A56,#REF!,4,FALSE())&gt;2,HLOOKUP($A56,#REF!,4,FALSE())&lt;-2),"",#REF!),"")</f>
        <v/>
      </c>
      <c r="G56" s="0" t="str">
        <f aca="false">IFERROR(IF(OR(HLOOKUP($A56,#REF!,5,FALSE())&gt;2,HLOOKUP($A56,#REF!,5,FALSE())&lt;-2),"",#REF!),"")</f>
        <v/>
      </c>
      <c r="H56" s="0" t="str">
        <f aca="false">IFERROR(IF(OR(HLOOKUP($A56,#REF!,6,FALSE())&gt;2,HLOOKUP($A56,#REF!,6,FALSE())&lt;-2),"",#REF!),"")</f>
        <v/>
      </c>
      <c r="I56" s="0" t="str">
        <f aca="false">IFERROR(IF(OR(HLOOKUP($A56,#REF!,7,FALSE())&gt;2,HLOOKUP($A56,#REF!,7,FALSE())&lt;-2),"",#REF!),"")</f>
        <v/>
      </c>
      <c r="J56" s="0" t="str">
        <f aca="false">IFERROR(IF(OR(HLOOKUP($A56,#REF!,8,FALSE())&gt;2,HLOOKUP($A56,#REF!,8,FALSE())&lt;-2),"",#REF!),"")</f>
        <v/>
      </c>
      <c r="K56" s="0" t="str">
        <f aca="false">IFERROR(IF(OR(HLOOKUP($A56,#REF!,9,FALSE())&gt;2,HLOOKUP($A56,#REF!,9,FALSE())&lt;-2),"",#REF!),"")</f>
        <v/>
      </c>
      <c r="L56" s="0" t="str">
        <f aca="false">IFERROR(IF(OR(HLOOKUP($A56,#REF!,10,FALSE())&gt;2,HLOOKUP($A56,#REF!,10,FALSE())&lt;-2),"",#REF!),"")</f>
        <v/>
      </c>
      <c r="M56" s="0" t="str">
        <f aca="false">IFERROR(IF(OR(HLOOKUP($A56,#REF!,11,FALSE())&gt;2,HLOOKUP($A56,#REF!,11,FALSE())&lt;-2),"",#REF!),"")</f>
        <v/>
      </c>
      <c r="N56" s="0" t="str">
        <f aca="false">IFERROR(IF(OR(HLOOKUP($A56,#REF!,12,FALSE())&gt;2,HLOOKUP($A56,#REF!,12,FALSE())&lt;-2),"",#REF!),"")</f>
        <v/>
      </c>
      <c r="O56" s="0" t="str">
        <f aca="false">IFERROR(IF(OR(HLOOKUP($A56,#REF!,13,FALSE())&gt;2,HLOOKUP($A56,#REF!,13,FALSE())&lt;-2),"",#REF!),"")</f>
        <v/>
      </c>
      <c r="P56" s="0" t="str">
        <f aca="false">IFERROR(IF(OR(HLOOKUP($A56,#REF!,14,FALSE())&gt;2,HLOOKUP($A56,#REF!,14,FALSE())&lt;-2),"",#REF!),"")</f>
        <v/>
      </c>
      <c r="Q56" s="0" t="str">
        <f aca="false">IFERROR(IF(OR(HLOOKUP($A56,#REF!,15,FALSE())&gt;2,HLOOKUP($A56,#REF!,15,FALSE())&lt;-2),"",#REF!),"")</f>
        <v/>
      </c>
      <c r="R56" s="0" t="str">
        <f aca="false">IFERROR(IF(OR(HLOOKUP($A56,#REF!,16,FALSE())&gt;2,HLOOKUP($A56,#REF!,16,FALSE())&lt;-2),"",#REF!),"")</f>
        <v/>
      </c>
      <c r="S56" s="0" t="str">
        <f aca="false">IFERROR(IF(OR(HLOOKUP($A56,#REF!,17,FALSE())&gt;2,HLOOKUP($A56,#REF!,17,FALSE())&lt;-2),"",#REF!),"")</f>
        <v/>
      </c>
      <c r="T56" s="0" t="str">
        <f aca="false">IFERROR(IF(OR(HLOOKUP($A56,#REF!,18,FALSE())&gt;2,HLOOKUP($A56,#REF!,18,FALSE())&lt;-2),"",#REF!),"")</f>
        <v/>
      </c>
      <c r="U56" s="0" t="str">
        <f aca="false">IFERROR(IF(OR(HLOOKUP($A56,#REF!,19,FALSE())&gt;2,HLOOKUP($A56,#REF!,19,FALSE())&lt;-2),"",#REF!),"")</f>
        <v/>
      </c>
      <c r="V56" s="0" t="n">
        <f aca="false">IFERROR(IF(AND(X56=0,Y56=0),0,1),0)</f>
        <v>1</v>
      </c>
      <c r="W56" s="3" t="str">
        <f aca="false">IFERROR(_xlfn.T.TEST(E56:M56,N56:U56,2,2),"")</f>
        <v/>
      </c>
      <c r="X56" s="0" t="str">
        <f aca="false">IFERROR(AVERAGE(E56:M56),"")</f>
        <v/>
      </c>
      <c r="Y56" s="0" t="str">
        <f aca="false">IFERROR(AVERAGE(N56:U56),"")</f>
        <v/>
      </c>
    </row>
    <row r="57" customFormat="false" ht="14.5" hidden="false" customHeight="false" outlineLevel="0" collapsed="false">
      <c r="A57" s="0" t="n">
        <v>59</v>
      </c>
      <c r="B57" s="0" t="s">
        <v>148</v>
      </c>
      <c r="C57" s="0" t="n">
        <v>67200</v>
      </c>
      <c r="D57" s="0" t="n">
        <v>444</v>
      </c>
      <c r="E57" s="0" t="str">
        <f aca="false">IFERROR(IF(OR(HLOOKUP($A57,#REF!,3,FALSE())&gt;2,HLOOKUP(A57,#REF!,3,FALSE())&lt;-2),"",#REF!),"")</f>
        <v/>
      </c>
      <c r="F57" s="0" t="str">
        <f aca="false">IFERROR(IF(OR(HLOOKUP($A57,#REF!,4,FALSE())&gt;2,HLOOKUP($A57,#REF!,4,FALSE())&lt;-2),"",#REF!),"")</f>
        <v/>
      </c>
      <c r="G57" s="0" t="str">
        <f aca="false">IFERROR(IF(OR(HLOOKUP($A57,#REF!,5,FALSE())&gt;2,HLOOKUP($A57,#REF!,5,FALSE())&lt;-2),"",#REF!),"")</f>
        <v/>
      </c>
      <c r="H57" s="0" t="str">
        <f aca="false">IFERROR(IF(OR(HLOOKUP($A57,#REF!,6,FALSE())&gt;2,HLOOKUP($A57,#REF!,6,FALSE())&lt;-2),"",#REF!),"")</f>
        <v/>
      </c>
      <c r="I57" s="0" t="str">
        <f aca="false">IFERROR(IF(OR(HLOOKUP($A57,#REF!,7,FALSE())&gt;2,HLOOKUP($A57,#REF!,7,FALSE())&lt;-2),"",#REF!),"")</f>
        <v/>
      </c>
      <c r="J57" s="0" t="str">
        <f aca="false">IFERROR(IF(OR(HLOOKUP($A57,#REF!,8,FALSE())&gt;2,HLOOKUP($A57,#REF!,8,FALSE())&lt;-2),"",#REF!),"")</f>
        <v/>
      </c>
      <c r="K57" s="0" t="str">
        <f aca="false">IFERROR(IF(OR(HLOOKUP($A57,#REF!,9,FALSE())&gt;2,HLOOKUP($A57,#REF!,9,FALSE())&lt;-2),"",#REF!),"")</f>
        <v/>
      </c>
      <c r="L57" s="0" t="str">
        <f aca="false">IFERROR(IF(OR(HLOOKUP($A57,#REF!,10,FALSE())&gt;2,HLOOKUP($A57,#REF!,10,FALSE())&lt;-2),"",#REF!),"")</f>
        <v/>
      </c>
      <c r="M57" s="0" t="str">
        <f aca="false">IFERROR(IF(OR(HLOOKUP($A57,#REF!,11,FALSE())&gt;2,HLOOKUP($A57,#REF!,11,FALSE())&lt;-2),"",#REF!),"")</f>
        <v/>
      </c>
      <c r="N57" s="0" t="str">
        <f aca="false">IFERROR(IF(OR(HLOOKUP($A57,#REF!,12,FALSE())&gt;2,HLOOKUP($A57,#REF!,12,FALSE())&lt;-2),"",#REF!),"")</f>
        <v/>
      </c>
      <c r="O57" s="0" t="str">
        <f aca="false">IFERROR(IF(OR(HLOOKUP($A57,#REF!,13,FALSE())&gt;2,HLOOKUP($A57,#REF!,13,FALSE())&lt;-2),"",#REF!),"")</f>
        <v/>
      </c>
      <c r="P57" s="0" t="str">
        <f aca="false">IFERROR(IF(OR(HLOOKUP($A57,#REF!,14,FALSE())&gt;2,HLOOKUP($A57,#REF!,14,FALSE())&lt;-2),"",#REF!),"")</f>
        <v/>
      </c>
      <c r="Q57" s="0" t="str">
        <f aca="false">IFERROR(IF(OR(HLOOKUP($A57,#REF!,15,FALSE())&gt;2,HLOOKUP($A57,#REF!,15,FALSE())&lt;-2),"",#REF!),"")</f>
        <v/>
      </c>
      <c r="R57" s="0" t="str">
        <f aca="false">IFERROR(IF(OR(HLOOKUP($A57,#REF!,16,FALSE())&gt;2,HLOOKUP($A57,#REF!,16,FALSE())&lt;-2),"",#REF!),"")</f>
        <v/>
      </c>
      <c r="S57" s="0" t="str">
        <f aca="false">IFERROR(IF(OR(HLOOKUP($A57,#REF!,17,FALSE())&gt;2,HLOOKUP($A57,#REF!,17,FALSE())&lt;-2),"",#REF!),"")</f>
        <v/>
      </c>
      <c r="T57" s="0" t="str">
        <f aca="false">IFERROR(IF(OR(HLOOKUP($A57,#REF!,18,FALSE())&gt;2,HLOOKUP($A57,#REF!,18,FALSE())&lt;-2),"",#REF!),"")</f>
        <v/>
      </c>
      <c r="U57" s="0" t="str">
        <f aca="false">IFERROR(IF(OR(HLOOKUP($A57,#REF!,19,FALSE())&gt;2,HLOOKUP($A57,#REF!,19,FALSE())&lt;-2),"",#REF!),"")</f>
        <v/>
      </c>
      <c r="V57" s="0" t="n">
        <f aca="false">IFERROR(IF(AND(X57=0,Y57=0),0,1),0)</f>
        <v>1</v>
      </c>
      <c r="W57" s="3" t="str">
        <f aca="false">IFERROR(_xlfn.T.TEST(E57:M57,N57:U57,2,2),"")</f>
        <v/>
      </c>
      <c r="X57" s="0" t="str">
        <f aca="false">IFERROR(AVERAGE(E57:M57),"")</f>
        <v/>
      </c>
      <c r="Y57" s="0" t="str">
        <f aca="false">IFERROR(AVERAGE(N57:U57),"")</f>
        <v/>
      </c>
    </row>
    <row r="58" customFormat="false" ht="14.5" hidden="false" customHeight="false" outlineLevel="0" collapsed="false">
      <c r="A58" s="0" t="n">
        <v>60</v>
      </c>
      <c r="B58" s="0" t="s">
        <v>149</v>
      </c>
      <c r="C58" s="0" t="n">
        <v>42500</v>
      </c>
      <c r="D58" s="0" t="n">
        <v>918</v>
      </c>
      <c r="E58" s="0" t="str">
        <f aca="false">IFERROR(IF(OR(HLOOKUP($A58,#REF!,3,FALSE())&gt;2,HLOOKUP(A58,#REF!,3,FALSE())&lt;-2),"",#REF!),"")</f>
        <v/>
      </c>
      <c r="F58" s="0" t="str">
        <f aca="false">IFERROR(IF(OR(HLOOKUP($A58,#REF!,4,FALSE())&gt;2,HLOOKUP($A58,#REF!,4,FALSE())&lt;-2),"",#REF!),"")</f>
        <v/>
      </c>
      <c r="G58" s="0" t="str">
        <f aca="false">IFERROR(IF(OR(HLOOKUP($A58,#REF!,5,FALSE())&gt;2,HLOOKUP($A58,#REF!,5,FALSE())&lt;-2),"",#REF!),"")</f>
        <v/>
      </c>
      <c r="H58" s="0" t="str">
        <f aca="false">IFERROR(IF(OR(HLOOKUP($A58,#REF!,6,FALSE())&gt;2,HLOOKUP($A58,#REF!,6,FALSE())&lt;-2),"",#REF!),"")</f>
        <v/>
      </c>
      <c r="I58" s="0" t="str">
        <f aca="false">IFERROR(IF(OR(HLOOKUP($A58,#REF!,7,FALSE())&gt;2,HLOOKUP($A58,#REF!,7,FALSE())&lt;-2),"",#REF!),"")</f>
        <v/>
      </c>
      <c r="J58" s="0" t="str">
        <f aca="false">IFERROR(IF(OR(HLOOKUP($A58,#REF!,8,FALSE())&gt;2,HLOOKUP($A58,#REF!,8,FALSE())&lt;-2),"",#REF!),"")</f>
        <v/>
      </c>
      <c r="K58" s="0" t="str">
        <f aca="false">IFERROR(IF(OR(HLOOKUP($A58,#REF!,9,FALSE())&gt;2,HLOOKUP($A58,#REF!,9,FALSE())&lt;-2),"",#REF!),"")</f>
        <v/>
      </c>
      <c r="L58" s="0" t="str">
        <f aca="false">IFERROR(IF(OR(HLOOKUP($A58,#REF!,10,FALSE())&gt;2,HLOOKUP($A58,#REF!,10,FALSE())&lt;-2),"",#REF!),"")</f>
        <v/>
      </c>
      <c r="M58" s="0" t="str">
        <f aca="false">IFERROR(IF(OR(HLOOKUP($A58,#REF!,11,FALSE())&gt;2,HLOOKUP($A58,#REF!,11,FALSE())&lt;-2),"",#REF!),"")</f>
        <v/>
      </c>
      <c r="N58" s="0" t="str">
        <f aca="false">IFERROR(IF(OR(HLOOKUP($A58,#REF!,12,FALSE())&gt;2,HLOOKUP($A58,#REF!,12,FALSE())&lt;-2),"",#REF!),"")</f>
        <v/>
      </c>
      <c r="O58" s="0" t="str">
        <f aca="false">IFERROR(IF(OR(HLOOKUP($A58,#REF!,13,FALSE())&gt;2,HLOOKUP($A58,#REF!,13,FALSE())&lt;-2),"",#REF!),"")</f>
        <v/>
      </c>
      <c r="P58" s="0" t="str">
        <f aca="false">IFERROR(IF(OR(HLOOKUP($A58,#REF!,14,FALSE())&gt;2,HLOOKUP($A58,#REF!,14,FALSE())&lt;-2),"",#REF!),"")</f>
        <v/>
      </c>
      <c r="Q58" s="0" t="str">
        <f aca="false">IFERROR(IF(OR(HLOOKUP($A58,#REF!,15,FALSE())&gt;2,HLOOKUP($A58,#REF!,15,FALSE())&lt;-2),"",#REF!),"")</f>
        <v/>
      </c>
      <c r="R58" s="0" t="str">
        <f aca="false">IFERROR(IF(OR(HLOOKUP($A58,#REF!,16,FALSE())&gt;2,HLOOKUP($A58,#REF!,16,FALSE())&lt;-2),"",#REF!),"")</f>
        <v/>
      </c>
      <c r="S58" s="0" t="str">
        <f aca="false">IFERROR(IF(OR(HLOOKUP($A58,#REF!,17,FALSE())&gt;2,HLOOKUP($A58,#REF!,17,FALSE())&lt;-2),"",#REF!),"")</f>
        <v/>
      </c>
      <c r="T58" s="0" t="str">
        <f aca="false">IFERROR(IF(OR(HLOOKUP($A58,#REF!,18,FALSE())&gt;2,HLOOKUP($A58,#REF!,18,FALSE())&lt;-2),"",#REF!),"")</f>
        <v/>
      </c>
      <c r="U58" s="0" t="str">
        <f aca="false">IFERROR(IF(OR(HLOOKUP($A58,#REF!,19,FALSE())&gt;2,HLOOKUP($A58,#REF!,19,FALSE())&lt;-2),"",#REF!),"")</f>
        <v/>
      </c>
      <c r="V58" s="0" t="n">
        <f aca="false">IFERROR(IF(AND(X58=0,Y58=0),0,1),0)</f>
        <v>1</v>
      </c>
      <c r="W58" s="3" t="str">
        <f aca="false">IFERROR(_xlfn.T.TEST(E58:M58,N58:U58,2,2),"")</f>
        <v/>
      </c>
      <c r="X58" s="0" t="str">
        <f aca="false">IFERROR(AVERAGE(E58:M58),"")</f>
        <v/>
      </c>
      <c r="Y58" s="0" t="str">
        <f aca="false">IFERROR(AVERAGE(N58:U58),"")</f>
        <v/>
      </c>
    </row>
    <row r="59" customFormat="false" ht="14.5" hidden="false" customHeight="false" outlineLevel="0" collapsed="false">
      <c r="A59" s="0" t="n">
        <v>61</v>
      </c>
      <c r="B59" s="0" t="s">
        <v>150</v>
      </c>
      <c r="C59" s="0" t="n">
        <v>91800</v>
      </c>
      <c r="D59" s="0" t="n">
        <v>445</v>
      </c>
      <c r="E59" s="0" t="str">
        <f aca="false">IFERROR(IF(OR(HLOOKUP($A59,#REF!,3,FALSE())&gt;2,HLOOKUP(A59,#REF!,3,FALSE())&lt;-2),"",#REF!),"")</f>
        <v/>
      </c>
      <c r="F59" s="0" t="str">
        <f aca="false">IFERROR(IF(OR(HLOOKUP($A59,#REF!,4,FALSE())&gt;2,HLOOKUP($A59,#REF!,4,FALSE())&lt;-2),"",#REF!),"")</f>
        <v/>
      </c>
      <c r="G59" s="0" t="str">
        <f aca="false">IFERROR(IF(OR(HLOOKUP($A59,#REF!,5,FALSE())&gt;2,HLOOKUP($A59,#REF!,5,FALSE())&lt;-2),"",#REF!),"")</f>
        <v/>
      </c>
      <c r="H59" s="0" t="str">
        <f aca="false">IFERROR(IF(OR(HLOOKUP($A59,#REF!,6,FALSE())&gt;2,HLOOKUP($A59,#REF!,6,FALSE())&lt;-2),"",#REF!),"")</f>
        <v/>
      </c>
      <c r="I59" s="0" t="str">
        <f aca="false">IFERROR(IF(OR(HLOOKUP($A59,#REF!,7,FALSE())&gt;2,HLOOKUP($A59,#REF!,7,FALSE())&lt;-2),"",#REF!),"")</f>
        <v/>
      </c>
      <c r="J59" s="0" t="str">
        <f aca="false">IFERROR(IF(OR(HLOOKUP($A59,#REF!,8,FALSE())&gt;2,HLOOKUP($A59,#REF!,8,FALSE())&lt;-2),"",#REF!),"")</f>
        <v/>
      </c>
      <c r="K59" s="0" t="str">
        <f aca="false">IFERROR(IF(OR(HLOOKUP($A59,#REF!,9,FALSE())&gt;2,HLOOKUP($A59,#REF!,9,FALSE())&lt;-2),"",#REF!),"")</f>
        <v/>
      </c>
      <c r="L59" s="0" t="str">
        <f aca="false">IFERROR(IF(OR(HLOOKUP($A59,#REF!,10,FALSE())&gt;2,HLOOKUP($A59,#REF!,10,FALSE())&lt;-2),"",#REF!),"")</f>
        <v/>
      </c>
      <c r="M59" s="0" t="str">
        <f aca="false">IFERROR(IF(OR(HLOOKUP($A59,#REF!,11,FALSE())&gt;2,HLOOKUP($A59,#REF!,11,FALSE())&lt;-2),"",#REF!),"")</f>
        <v/>
      </c>
      <c r="N59" s="0" t="str">
        <f aca="false">IFERROR(IF(OR(HLOOKUP($A59,#REF!,12,FALSE())&gt;2,HLOOKUP($A59,#REF!,12,FALSE())&lt;-2),"",#REF!),"")</f>
        <v/>
      </c>
      <c r="O59" s="0" t="str">
        <f aca="false">IFERROR(IF(OR(HLOOKUP($A59,#REF!,13,FALSE())&gt;2,HLOOKUP($A59,#REF!,13,FALSE())&lt;-2),"",#REF!),"")</f>
        <v/>
      </c>
      <c r="P59" s="0" t="str">
        <f aca="false">IFERROR(IF(OR(HLOOKUP($A59,#REF!,14,FALSE())&gt;2,HLOOKUP($A59,#REF!,14,FALSE())&lt;-2),"",#REF!),"")</f>
        <v/>
      </c>
      <c r="Q59" s="0" t="str">
        <f aca="false">IFERROR(IF(OR(HLOOKUP($A59,#REF!,15,FALSE())&gt;2,HLOOKUP($A59,#REF!,15,FALSE())&lt;-2),"",#REF!),"")</f>
        <v/>
      </c>
      <c r="R59" s="0" t="str">
        <f aca="false">IFERROR(IF(OR(HLOOKUP($A59,#REF!,16,FALSE())&gt;2,HLOOKUP($A59,#REF!,16,FALSE())&lt;-2),"",#REF!),"")</f>
        <v/>
      </c>
      <c r="S59" s="0" t="str">
        <f aca="false">IFERROR(IF(OR(HLOOKUP($A59,#REF!,17,FALSE())&gt;2,HLOOKUP($A59,#REF!,17,FALSE())&lt;-2),"",#REF!),"")</f>
        <v/>
      </c>
      <c r="T59" s="0" t="str">
        <f aca="false">IFERROR(IF(OR(HLOOKUP($A59,#REF!,18,FALSE())&gt;2,HLOOKUP($A59,#REF!,18,FALSE())&lt;-2),"",#REF!),"")</f>
        <v/>
      </c>
      <c r="U59" s="0" t="str">
        <f aca="false">IFERROR(IF(OR(HLOOKUP($A59,#REF!,19,FALSE())&gt;2,HLOOKUP($A59,#REF!,19,FALSE())&lt;-2),"",#REF!),"")</f>
        <v/>
      </c>
      <c r="V59" s="0" t="n">
        <f aca="false">IFERROR(IF(AND(X59=0,Y59=0),0,1),0)</f>
        <v>1</v>
      </c>
      <c r="W59" s="3" t="str">
        <f aca="false">IFERROR(_xlfn.T.TEST(E59:M59,N59:U59,2,2),"")</f>
        <v/>
      </c>
      <c r="X59" s="0" t="str">
        <f aca="false">IFERROR(AVERAGE(E59:M59),"")</f>
        <v/>
      </c>
      <c r="Y59" s="0" t="str">
        <f aca="false">IFERROR(AVERAGE(N59:U59),"")</f>
        <v/>
      </c>
    </row>
    <row r="60" customFormat="false" ht="14.5" hidden="false" customHeight="false" outlineLevel="0" collapsed="false">
      <c r="A60" s="0" t="n">
        <v>62</v>
      </c>
      <c r="B60" s="0" t="s">
        <v>151</v>
      </c>
      <c r="C60" s="0" t="n">
        <v>99100</v>
      </c>
      <c r="D60" s="0" t="n">
        <v>832</v>
      </c>
      <c r="E60" s="0" t="str">
        <f aca="false">IFERROR(IF(OR(HLOOKUP($A60,#REF!,3,FALSE())&gt;2,HLOOKUP(A60,#REF!,3,FALSE())&lt;-2),"",#REF!),"")</f>
        <v/>
      </c>
      <c r="F60" s="0" t="str">
        <f aca="false">IFERROR(IF(OR(HLOOKUP($A60,#REF!,4,FALSE())&gt;2,HLOOKUP($A60,#REF!,4,FALSE())&lt;-2),"",#REF!),"")</f>
        <v/>
      </c>
      <c r="G60" s="0" t="str">
        <f aca="false">IFERROR(IF(OR(HLOOKUP($A60,#REF!,5,FALSE())&gt;2,HLOOKUP($A60,#REF!,5,FALSE())&lt;-2),"",#REF!),"")</f>
        <v/>
      </c>
      <c r="H60" s="0" t="str">
        <f aca="false">IFERROR(IF(OR(HLOOKUP($A60,#REF!,6,FALSE())&gt;2,HLOOKUP($A60,#REF!,6,FALSE())&lt;-2),"",#REF!),"")</f>
        <v/>
      </c>
      <c r="I60" s="0" t="str">
        <f aca="false">IFERROR(IF(OR(HLOOKUP($A60,#REF!,7,FALSE())&gt;2,HLOOKUP($A60,#REF!,7,FALSE())&lt;-2),"",#REF!),"")</f>
        <v/>
      </c>
      <c r="J60" s="0" t="str">
        <f aca="false">IFERROR(IF(OR(HLOOKUP($A60,#REF!,8,FALSE())&gt;2,HLOOKUP($A60,#REF!,8,FALSE())&lt;-2),"",#REF!),"")</f>
        <v/>
      </c>
      <c r="K60" s="0" t="str">
        <f aca="false">IFERROR(IF(OR(HLOOKUP($A60,#REF!,9,FALSE())&gt;2,HLOOKUP($A60,#REF!,9,FALSE())&lt;-2),"",#REF!),"")</f>
        <v/>
      </c>
      <c r="L60" s="0" t="str">
        <f aca="false">IFERROR(IF(OR(HLOOKUP($A60,#REF!,10,FALSE())&gt;2,HLOOKUP($A60,#REF!,10,FALSE())&lt;-2),"",#REF!),"")</f>
        <v/>
      </c>
      <c r="M60" s="0" t="str">
        <f aca="false">IFERROR(IF(OR(HLOOKUP($A60,#REF!,11,FALSE())&gt;2,HLOOKUP($A60,#REF!,11,FALSE())&lt;-2),"",#REF!),"")</f>
        <v/>
      </c>
      <c r="N60" s="0" t="str">
        <f aca="false">IFERROR(IF(OR(HLOOKUP($A60,#REF!,12,FALSE())&gt;2,HLOOKUP($A60,#REF!,12,FALSE())&lt;-2),"",#REF!),"")</f>
        <v/>
      </c>
      <c r="O60" s="0" t="str">
        <f aca="false">IFERROR(IF(OR(HLOOKUP($A60,#REF!,13,FALSE())&gt;2,HLOOKUP($A60,#REF!,13,FALSE())&lt;-2),"",#REF!),"")</f>
        <v/>
      </c>
      <c r="P60" s="0" t="str">
        <f aca="false">IFERROR(IF(OR(HLOOKUP($A60,#REF!,14,FALSE())&gt;2,HLOOKUP($A60,#REF!,14,FALSE())&lt;-2),"",#REF!),"")</f>
        <v/>
      </c>
      <c r="Q60" s="0" t="str">
        <f aca="false">IFERROR(IF(OR(HLOOKUP($A60,#REF!,15,FALSE())&gt;2,HLOOKUP($A60,#REF!,15,FALSE())&lt;-2),"",#REF!),"")</f>
        <v/>
      </c>
      <c r="R60" s="0" t="str">
        <f aca="false">IFERROR(IF(OR(HLOOKUP($A60,#REF!,16,FALSE())&gt;2,HLOOKUP($A60,#REF!,16,FALSE())&lt;-2),"",#REF!),"")</f>
        <v/>
      </c>
      <c r="S60" s="0" t="str">
        <f aca="false">IFERROR(IF(OR(HLOOKUP($A60,#REF!,17,FALSE())&gt;2,HLOOKUP($A60,#REF!,17,FALSE())&lt;-2),"",#REF!),"")</f>
        <v/>
      </c>
      <c r="T60" s="0" t="str">
        <f aca="false">IFERROR(IF(OR(HLOOKUP($A60,#REF!,18,FALSE())&gt;2,HLOOKUP($A60,#REF!,18,FALSE())&lt;-2),"",#REF!),"")</f>
        <v/>
      </c>
      <c r="U60" s="0" t="str">
        <f aca="false">IFERROR(IF(OR(HLOOKUP($A60,#REF!,19,FALSE())&gt;2,HLOOKUP($A60,#REF!,19,FALSE())&lt;-2),"",#REF!),"")</f>
        <v/>
      </c>
      <c r="V60" s="0" t="n">
        <f aca="false">IFERROR(IF(AND(X60=0,Y60=0),0,1),0)</f>
        <v>1</v>
      </c>
      <c r="W60" s="3" t="str">
        <f aca="false">IFERROR(_xlfn.T.TEST(E60:M60,N60:U60,2,2),"")</f>
        <v/>
      </c>
      <c r="X60" s="0" t="str">
        <f aca="false">IFERROR(AVERAGE(E60:M60),"")</f>
        <v/>
      </c>
      <c r="Y60" s="0" t="str">
        <f aca="false">IFERROR(AVERAGE(N60:U60),"")</f>
        <v/>
      </c>
    </row>
    <row r="61" customFormat="false" ht="14.5" hidden="false" customHeight="false" outlineLevel="0" collapsed="false">
      <c r="A61" s="0" t="n">
        <v>63</v>
      </c>
      <c r="B61" s="0" t="s">
        <v>152</v>
      </c>
      <c r="C61" s="0" t="n">
        <v>76200</v>
      </c>
      <c r="D61" s="0" t="n">
        <v>467</v>
      </c>
      <c r="E61" s="0" t="str">
        <f aca="false">IFERROR(IF(OR(HLOOKUP($A61,#REF!,3,FALSE())&gt;2,HLOOKUP(A61,#REF!,3,FALSE())&lt;-2),"",#REF!),"")</f>
        <v/>
      </c>
      <c r="F61" s="0" t="str">
        <f aca="false">IFERROR(IF(OR(HLOOKUP($A61,#REF!,4,FALSE())&gt;2,HLOOKUP($A61,#REF!,4,FALSE())&lt;-2),"",#REF!),"")</f>
        <v/>
      </c>
      <c r="G61" s="0" t="str">
        <f aca="false">IFERROR(IF(OR(HLOOKUP($A61,#REF!,5,FALSE())&gt;2,HLOOKUP($A61,#REF!,5,FALSE())&lt;-2),"",#REF!),"")</f>
        <v/>
      </c>
      <c r="H61" s="0" t="str">
        <f aca="false">IFERROR(IF(OR(HLOOKUP($A61,#REF!,6,FALSE())&gt;2,HLOOKUP($A61,#REF!,6,FALSE())&lt;-2),"",#REF!),"")</f>
        <v/>
      </c>
      <c r="I61" s="0" t="str">
        <f aca="false">IFERROR(IF(OR(HLOOKUP($A61,#REF!,7,FALSE())&gt;2,HLOOKUP($A61,#REF!,7,FALSE())&lt;-2),"",#REF!),"")</f>
        <v/>
      </c>
      <c r="J61" s="0" t="str">
        <f aca="false">IFERROR(IF(OR(HLOOKUP($A61,#REF!,8,FALSE())&gt;2,HLOOKUP($A61,#REF!,8,FALSE())&lt;-2),"",#REF!),"")</f>
        <v/>
      </c>
      <c r="K61" s="0" t="str">
        <f aca="false">IFERROR(IF(OR(HLOOKUP($A61,#REF!,9,FALSE())&gt;2,HLOOKUP($A61,#REF!,9,FALSE())&lt;-2),"",#REF!),"")</f>
        <v/>
      </c>
      <c r="L61" s="0" t="str">
        <f aca="false">IFERROR(IF(OR(HLOOKUP($A61,#REF!,10,FALSE())&gt;2,HLOOKUP($A61,#REF!,10,FALSE())&lt;-2),"",#REF!),"")</f>
        <v/>
      </c>
      <c r="M61" s="0" t="str">
        <f aca="false">IFERROR(IF(OR(HLOOKUP($A61,#REF!,11,FALSE())&gt;2,HLOOKUP($A61,#REF!,11,FALSE())&lt;-2),"",#REF!),"")</f>
        <v/>
      </c>
      <c r="N61" s="0" t="str">
        <f aca="false">IFERROR(IF(OR(HLOOKUP($A61,#REF!,12,FALSE())&gt;2,HLOOKUP($A61,#REF!,12,FALSE())&lt;-2),"",#REF!),"")</f>
        <v/>
      </c>
      <c r="O61" s="0" t="str">
        <f aca="false">IFERROR(IF(OR(HLOOKUP($A61,#REF!,13,FALSE())&gt;2,HLOOKUP($A61,#REF!,13,FALSE())&lt;-2),"",#REF!),"")</f>
        <v/>
      </c>
      <c r="P61" s="0" t="str">
        <f aca="false">IFERROR(IF(OR(HLOOKUP($A61,#REF!,14,FALSE())&gt;2,HLOOKUP($A61,#REF!,14,FALSE())&lt;-2),"",#REF!),"")</f>
        <v/>
      </c>
      <c r="Q61" s="0" t="str">
        <f aca="false">IFERROR(IF(OR(HLOOKUP($A61,#REF!,15,FALSE())&gt;2,HLOOKUP($A61,#REF!,15,FALSE())&lt;-2),"",#REF!),"")</f>
        <v/>
      </c>
      <c r="R61" s="0" t="str">
        <f aca="false">IFERROR(IF(OR(HLOOKUP($A61,#REF!,16,FALSE())&gt;2,HLOOKUP($A61,#REF!,16,FALSE())&lt;-2),"",#REF!),"")</f>
        <v/>
      </c>
      <c r="S61" s="0" t="str">
        <f aca="false">IFERROR(IF(OR(HLOOKUP($A61,#REF!,17,FALSE())&gt;2,HLOOKUP($A61,#REF!,17,FALSE())&lt;-2),"",#REF!),"")</f>
        <v/>
      </c>
      <c r="T61" s="0" t="str">
        <f aca="false">IFERROR(IF(OR(HLOOKUP($A61,#REF!,18,FALSE())&gt;2,HLOOKUP($A61,#REF!,18,FALSE())&lt;-2),"",#REF!),"")</f>
        <v/>
      </c>
      <c r="U61" s="0" t="str">
        <f aca="false">IFERROR(IF(OR(HLOOKUP($A61,#REF!,19,FALSE())&gt;2,HLOOKUP($A61,#REF!,19,FALSE())&lt;-2),"",#REF!),"")</f>
        <v/>
      </c>
      <c r="V61" s="0" t="n">
        <f aca="false">IFERROR(IF(AND(X61=0,Y61=0),0,1),0)</f>
        <v>1</v>
      </c>
      <c r="W61" s="3" t="str">
        <f aca="false">IFERROR(_xlfn.T.TEST(E61:M61,N61:U61,2,2),"")</f>
        <v/>
      </c>
      <c r="X61" s="0" t="str">
        <f aca="false">IFERROR(AVERAGE(E61:M61),"")</f>
        <v/>
      </c>
      <c r="Y61" s="0" t="str">
        <f aca="false">IFERROR(AVERAGE(N61:U61),"")</f>
        <v/>
      </c>
    </row>
    <row r="62" customFormat="false" ht="14.5" hidden="false" customHeight="false" outlineLevel="0" collapsed="false">
      <c r="A62" s="0" t="n">
        <v>64</v>
      </c>
      <c r="B62" s="0" t="s">
        <v>153</v>
      </c>
      <c r="C62" s="0" t="n">
        <v>66700</v>
      </c>
      <c r="D62" s="0" t="n">
        <v>239</v>
      </c>
      <c r="E62" s="0" t="str">
        <f aca="false">IFERROR(IF(OR(HLOOKUP($A62,#REF!,3,FALSE())&gt;2,HLOOKUP(A62,#REF!,3,FALSE())&lt;-2),"",#REF!),"")</f>
        <v/>
      </c>
      <c r="F62" s="0" t="str">
        <f aca="false">IFERROR(IF(OR(HLOOKUP($A62,#REF!,4,FALSE())&gt;2,HLOOKUP($A62,#REF!,4,FALSE())&lt;-2),"",#REF!),"")</f>
        <v/>
      </c>
      <c r="G62" s="0" t="str">
        <f aca="false">IFERROR(IF(OR(HLOOKUP($A62,#REF!,5,FALSE())&gt;2,HLOOKUP($A62,#REF!,5,FALSE())&lt;-2),"",#REF!),"")</f>
        <v/>
      </c>
      <c r="H62" s="0" t="str">
        <f aca="false">IFERROR(IF(OR(HLOOKUP($A62,#REF!,6,FALSE())&gt;2,HLOOKUP($A62,#REF!,6,FALSE())&lt;-2),"",#REF!),"")</f>
        <v/>
      </c>
      <c r="I62" s="0" t="str">
        <f aca="false">IFERROR(IF(OR(HLOOKUP($A62,#REF!,7,FALSE())&gt;2,HLOOKUP($A62,#REF!,7,FALSE())&lt;-2),"",#REF!),"")</f>
        <v/>
      </c>
      <c r="J62" s="0" t="str">
        <f aca="false">IFERROR(IF(OR(HLOOKUP($A62,#REF!,8,FALSE())&gt;2,HLOOKUP($A62,#REF!,8,FALSE())&lt;-2),"",#REF!),"")</f>
        <v/>
      </c>
      <c r="K62" s="0" t="str">
        <f aca="false">IFERROR(IF(OR(HLOOKUP($A62,#REF!,9,FALSE())&gt;2,HLOOKUP($A62,#REF!,9,FALSE())&lt;-2),"",#REF!),"")</f>
        <v/>
      </c>
      <c r="L62" s="0" t="str">
        <f aca="false">IFERROR(IF(OR(HLOOKUP($A62,#REF!,10,FALSE())&gt;2,HLOOKUP($A62,#REF!,10,FALSE())&lt;-2),"",#REF!),"")</f>
        <v/>
      </c>
      <c r="M62" s="0" t="str">
        <f aca="false">IFERROR(IF(OR(HLOOKUP($A62,#REF!,11,FALSE())&gt;2,HLOOKUP($A62,#REF!,11,FALSE())&lt;-2),"",#REF!),"")</f>
        <v/>
      </c>
      <c r="N62" s="0" t="str">
        <f aca="false">IFERROR(IF(OR(HLOOKUP($A62,#REF!,12,FALSE())&gt;2,HLOOKUP($A62,#REF!,12,FALSE())&lt;-2),"",#REF!),"")</f>
        <v/>
      </c>
      <c r="O62" s="0" t="str">
        <f aca="false">IFERROR(IF(OR(HLOOKUP($A62,#REF!,13,FALSE())&gt;2,HLOOKUP($A62,#REF!,13,FALSE())&lt;-2),"",#REF!),"")</f>
        <v/>
      </c>
      <c r="P62" s="0" t="str">
        <f aca="false">IFERROR(IF(OR(HLOOKUP($A62,#REF!,14,FALSE())&gt;2,HLOOKUP($A62,#REF!,14,FALSE())&lt;-2),"",#REF!),"")</f>
        <v/>
      </c>
      <c r="Q62" s="0" t="str">
        <f aca="false">IFERROR(IF(OR(HLOOKUP($A62,#REF!,15,FALSE())&gt;2,HLOOKUP($A62,#REF!,15,FALSE())&lt;-2),"",#REF!),"")</f>
        <v/>
      </c>
      <c r="R62" s="0" t="str">
        <f aca="false">IFERROR(IF(OR(HLOOKUP($A62,#REF!,16,FALSE())&gt;2,HLOOKUP($A62,#REF!,16,FALSE())&lt;-2),"",#REF!),"")</f>
        <v/>
      </c>
      <c r="S62" s="0" t="str">
        <f aca="false">IFERROR(IF(OR(HLOOKUP($A62,#REF!,17,FALSE())&gt;2,HLOOKUP($A62,#REF!,17,FALSE())&lt;-2),"",#REF!),"")</f>
        <v/>
      </c>
      <c r="T62" s="0" t="str">
        <f aca="false">IFERROR(IF(OR(HLOOKUP($A62,#REF!,18,FALSE())&gt;2,HLOOKUP($A62,#REF!,18,FALSE())&lt;-2),"",#REF!),"")</f>
        <v/>
      </c>
      <c r="U62" s="0" t="str">
        <f aca="false">IFERROR(IF(OR(HLOOKUP($A62,#REF!,19,FALSE())&gt;2,HLOOKUP($A62,#REF!,19,FALSE())&lt;-2),"",#REF!),"")</f>
        <v/>
      </c>
      <c r="V62" s="0" t="n">
        <f aca="false">IFERROR(IF(AND(X62=0,Y62=0),0,1),0)</f>
        <v>1</v>
      </c>
      <c r="W62" s="3" t="str">
        <f aca="false">IFERROR(_xlfn.T.TEST(E62:M62,N62:U62,2,2),"")</f>
        <v/>
      </c>
      <c r="X62" s="0" t="str">
        <f aca="false">IFERROR(AVERAGE(E62:M62),"")</f>
        <v/>
      </c>
      <c r="Y62" s="0" t="str">
        <f aca="false">IFERROR(AVERAGE(N62:U62),"")</f>
        <v/>
      </c>
    </row>
    <row r="63" customFormat="false" ht="14.5" hidden="false" customHeight="false" outlineLevel="0" collapsed="false">
      <c r="A63" s="0" t="n">
        <v>65</v>
      </c>
      <c r="B63" s="0" t="s">
        <v>154</v>
      </c>
      <c r="C63" s="0" t="n">
        <v>119000</v>
      </c>
      <c r="D63" s="0" t="n">
        <v>1040</v>
      </c>
      <c r="E63" s="0" t="str">
        <f aca="false">IFERROR(IF(OR(HLOOKUP($A63,#REF!,3,FALSE())&gt;2,HLOOKUP(A63,#REF!,3,FALSE())&lt;-2),"",#REF!),"")</f>
        <v/>
      </c>
      <c r="F63" s="0" t="str">
        <f aca="false">IFERROR(IF(OR(HLOOKUP($A63,#REF!,4,FALSE())&gt;2,HLOOKUP($A63,#REF!,4,FALSE())&lt;-2),"",#REF!),"")</f>
        <v/>
      </c>
      <c r="G63" s="0" t="str">
        <f aca="false">IFERROR(IF(OR(HLOOKUP($A63,#REF!,5,FALSE())&gt;2,HLOOKUP($A63,#REF!,5,FALSE())&lt;-2),"",#REF!),"")</f>
        <v/>
      </c>
      <c r="H63" s="0" t="str">
        <f aca="false">IFERROR(IF(OR(HLOOKUP($A63,#REF!,6,FALSE())&gt;2,HLOOKUP($A63,#REF!,6,FALSE())&lt;-2),"",#REF!),"")</f>
        <v/>
      </c>
      <c r="I63" s="0" t="str">
        <f aca="false">IFERROR(IF(OR(HLOOKUP($A63,#REF!,7,FALSE())&gt;2,HLOOKUP($A63,#REF!,7,FALSE())&lt;-2),"",#REF!),"")</f>
        <v/>
      </c>
      <c r="J63" s="0" t="str">
        <f aca="false">IFERROR(IF(OR(HLOOKUP($A63,#REF!,8,FALSE())&gt;2,HLOOKUP($A63,#REF!,8,FALSE())&lt;-2),"",#REF!),"")</f>
        <v/>
      </c>
      <c r="K63" s="0" t="str">
        <f aca="false">IFERROR(IF(OR(HLOOKUP($A63,#REF!,9,FALSE())&gt;2,HLOOKUP($A63,#REF!,9,FALSE())&lt;-2),"",#REF!),"")</f>
        <v/>
      </c>
      <c r="L63" s="0" t="str">
        <f aca="false">IFERROR(IF(OR(HLOOKUP($A63,#REF!,10,FALSE())&gt;2,HLOOKUP($A63,#REF!,10,FALSE())&lt;-2),"",#REF!),"")</f>
        <v/>
      </c>
      <c r="M63" s="0" t="str">
        <f aca="false">IFERROR(IF(OR(HLOOKUP($A63,#REF!,11,FALSE())&gt;2,HLOOKUP($A63,#REF!,11,FALSE())&lt;-2),"",#REF!),"")</f>
        <v/>
      </c>
      <c r="N63" s="0" t="str">
        <f aca="false">IFERROR(IF(OR(HLOOKUP($A63,#REF!,12,FALSE())&gt;2,HLOOKUP($A63,#REF!,12,FALSE())&lt;-2),"",#REF!),"")</f>
        <v/>
      </c>
      <c r="O63" s="0" t="str">
        <f aca="false">IFERROR(IF(OR(HLOOKUP($A63,#REF!,13,FALSE())&gt;2,HLOOKUP($A63,#REF!,13,FALSE())&lt;-2),"",#REF!),"")</f>
        <v/>
      </c>
      <c r="P63" s="0" t="str">
        <f aca="false">IFERROR(IF(OR(HLOOKUP($A63,#REF!,14,FALSE())&gt;2,HLOOKUP($A63,#REF!,14,FALSE())&lt;-2),"",#REF!),"")</f>
        <v/>
      </c>
      <c r="Q63" s="0" t="str">
        <f aca="false">IFERROR(IF(OR(HLOOKUP($A63,#REF!,15,FALSE())&gt;2,HLOOKUP($A63,#REF!,15,FALSE())&lt;-2),"",#REF!),"")</f>
        <v/>
      </c>
      <c r="R63" s="0" t="str">
        <f aca="false">IFERROR(IF(OR(HLOOKUP($A63,#REF!,16,FALSE())&gt;2,HLOOKUP($A63,#REF!,16,FALSE())&lt;-2),"",#REF!),"")</f>
        <v/>
      </c>
      <c r="S63" s="0" t="str">
        <f aca="false">IFERROR(IF(OR(HLOOKUP($A63,#REF!,17,FALSE())&gt;2,HLOOKUP($A63,#REF!,17,FALSE())&lt;-2),"",#REF!),"")</f>
        <v/>
      </c>
      <c r="T63" s="0" t="str">
        <f aca="false">IFERROR(IF(OR(HLOOKUP($A63,#REF!,18,FALSE())&gt;2,HLOOKUP($A63,#REF!,18,FALSE())&lt;-2),"",#REF!),"")</f>
        <v/>
      </c>
      <c r="U63" s="0" t="str">
        <f aca="false">IFERROR(IF(OR(HLOOKUP($A63,#REF!,19,FALSE())&gt;2,HLOOKUP($A63,#REF!,19,FALSE())&lt;-2),"",#REF!),"")</f>
        <v/>
      </c>
      <c r="V63" s="0" t="n">
        <f aca="false">IFERROR(IF(AND(X63=0,Y63=0),0,1),0)</f>
        <v>1</v>
      </c>
      <c r="W63" s="3" t="str">
        <f aca="false">IFERROR(_xlfn.T.TEST(E63:M63,N63:U63,2,2),"")</f>
        <v/>
      </c>
      <c r="X63" s="0" t="str">
        <f aca="false">IFERROR(AVERAGE(E63:M63),"")</f>
        <v/>
      </c>
      <c r="Y63" s="0" t="str">
        <f aca="false">IFERROR(AVERAGE(N63:U63),"")</f>
        <v/>
      </c>
    </row>
    <row r="64" customFormat="false" ht="14.5" hidden="false" customHeight="false" outlineLevel="0" collapsed="false">
      <c r="A64" s="0" t="n">
        <v>66</v>
      </c>
      <c r="B64" s="0" t="s">
        <v>155</v>
      </c>
      <c r="C64" s="0" t="n">
        <v>83300</v>
      </c>
      <c r="D64" s="0" t="n">
        <v>323</v>
      </c>
      <c r="E64" s="0" t="str">
        <f aca="false">IFERROR(IF(OR(HLOOKUP($A64,#REF!,3,FALSE())&gt;2,HLOOKUP(A64,#REF!,3,FALSE())&lt;-2),"",#REF!),"")</f>
        <v/>
      </c>
      <c r="F64" s="0" t="str">
        <f aca="false">IFERROR(IF(OR(HLOOKUP($A64,#REF!,4,FALSE())&gt;2,HLOOKUP($A64,#REF!,4,FALSE())&lt;-2),"",#REF!),"")</f>
        <v/>
      </c>
      <c r="G64" s="0" t="str">
        <f aca="false">IFERROR(IF(OR(HLOOKUP($A64,#REF!,5,FALSE())&gt;2,HLOOKUP($A64,#REF!,5,FALSE())&lt;-2),"",#REF!),"")</f>
        <v/>
      </c>
      <c r="H64" s="0" t="str">
        <f aca="false">IFERROR(IF(OR(HLOOKUP($A64,#REF!,6,FALSE())&gt;2,HLOOKUP($A64,#REF!,6,FALSE())&lt;-2),"",#REF!),"")</f>
        <v/>
      </c>
      <c r="I64" s="0" t="str">
        <f aca="false">IFERROR(IF(OR(HLOOKUP($A64,#REF!,7,FALSE())&gt;2,HLOOKUP($A64,#REF!,7,FALSE())&lt;-2),"",#REF!),"")</f>
        <v/>
      </c>
      <c r="J64" s="0" t="str">
        <f aca="false">IFERROR(IF(OR(HLOOKUP($A64,#REF!,8,FALSE())&gt;2,HLOOKUP($A64,#REF!,8,FALSE())&lt;-2),"",#REF!),"")</f>
        <v/>
      </c>
      <c r="K64" s="0" t="str">
        <f aca="false">IFERROR(IF(OR(HLOOKUP($A64,#REF!,9,FALSE())&gt;2,HLOOKUP($A64,#REF!,9,FALSE())&lt;-2),"",#REF!),"")</f>
        <v/>
      </c>
      <c r="L64" s="0" t="str">
        <f aca="false">IFERROR(IF(OR(HLOOKUP($A64,#REF!,10,FALSE())&gt;2,HLOOKUP($A64,#REF!,10,FALSE())&lt;-2),"",#REF!),"")</f>
        <v/>
      </c>
      <c r="M64" s="0" t="str">
        <f aca="false">IFERROR(IF(OR(HLOOKUP($A64,#REF!,11,FALSE())&gt;2,HLOOKUP($A64,#REF!,11,FALSE())&lt;-2),"",#REF!),"")</f>
        <v/>
      </c>
      <c r="N64" s="0" t="str">
        <f aca="false">IFERROR(IF(OR(HLOOKUP($A64,#REF!,12,FALSE())&gt;2,HLOOKUP($A64,#REF!,12,FALSE())&lt;-2),"",#REF!),"")</f>
        <v/>
      </c>
      <c r="O64" s="0" t="str">
        <f aca="false">IFERROR(IF(OR(HLOOKUP($A64,#REF!,13,FALSE())&gt;2,HLOOKUP($A64,#REF!,13,FALSE())&lt;-2),"",#REF!),"")</f>
        <v/>
      </c>
      <c r="P64" s="0" t="str">
        <f aca="false">IFERROR(IF(OR(HLOOKUP($A64,#REF!,14,FALSE())&gt;2,HLOOKUP($A64,#REF!,14,FALSE())&lt;-2),"",#REF!),"")</f>
        <v/>
      </c>
      <c r="Q64" s="0" t="str">
        <f aca="false">IFERROR(IF(OR(HLOOKUP($A64,#REF!,15,FALSE())&gt;2,HLOOKUP($A64,#REF!,15,FALSE())&lt;-2),"",#REF!),"")</f>
        <v/>
      </c>
      <c r="R64" s="0" t="str">
        <f aca="false">IFERROR(IF(OR(HLOOKUP($A64,#REF!,16,FALSE())&gt;2,HLOOKUP($A64,#REF!,16,FALSE())&lt;-2),"",#REF!),"")</f>
        <v/>
      </c>
      <c r="S64" s="0" t="str">
        <f aca="false">IFERROR(IF(OR(HLOOKUP($A64,#REF!,17,FALSE())&gt;2,HLOOKUP($A64,#REF!,17,FALSE())&lt;-2),"",#REF!),"")</f>
        <v/>
      </c>
      <c r="T64" s="0" t="str">
        <f aca="false">IFERROR(IF(OR(HLOOKUP($A64,#REF!,18,FALSE())&gt;2,HLOOKUP($A64,#REF!,18,FALSE())&lt;-2),"",#REF!),"")</f>
        <v/>
      </c>
      <c r="U64" s="0" t="str">
        <f aca="false">IFERROR(IF(OR(HLOOKUP($A64,#REF!,19,FALSE())&gt;2,HLOOKUP($A64,#REF!,19,FALSE())&lt;-2),"",#REF!),"")</f>
        <v/>
      </c>
      <c r="V64" s="0" t="n">
        <f aca="false">IFERROR(IF(AND(X64=0,Y64=0),0,1),0)</f>
        <v>1</v>
      </c>
      <c r="W64" s="3" t="str">
        <f aca="false">IFERROR(_xlfn.T.TEST(E64:M64,N64:U64,2,2),"")</f>
        <v/>
      </c>
      <c r="X64" s="0" t="str">
        <f aca="false">IFERROR(AVERAGE(E64:M64),"")</f>
        <v/>
      </c>
      <c r="Y64" s="0" t="str">
        <f aca="false">IFERROR(AVERAGE(N64:U64),"")</f>
        <v/>
      </c>
    </row>
    <row r="65" customFormat="false" ht="14.5" hidden="false" customHeight="false" outlineLevel="0" collapsed="false">
      <c r="A65" s="0" t="n">
        <v>67</v>
      </c>
      <c r="B65" s="0" t="s">
        <v>156</v>
      </c>
      <c r="C65" s="0" t="n">
        <v>81700</v>
      </c>
      <c r="D65" s="0" t="n">
        <v>795</v>
      </c>
      <c r="E65" s="0" t="str">
        <f aca="false">IFERROR(IF(OR(HLOOKUP($A65,#REF!,3,FALSE())&gt;2,HLOOKUP(A65,#REF!,3,FALSE())&lt;-2),"",#REF!),"")</f>
        <v/>
      </c>
      <c r="F65" s="0" t="str">
        <f aca="false">IFERROR(IF(OR(HLOOKUP($A65,#REF!,4,FALSE())&gt;2,HLOOKUP($A65,#REF!,4,FALSE())&lt;-2),"",#REF!),"")</f>
        <v/>
      </c>
      <c r="G65" s="0" t="str">
        <f aca="false">IFERROR(IF(OR(HLOOKUP($A65,#REF!,5,FALSE())&gt;2,HLOOKUP($A65,#REF!,5,FALSE())&lt;-2),"",#REF!),"")</f>
        <v/>
      </c>
      <c r="H65" s="0" t="str">
        <f aca="false">IFERROR(IF(OR(HLOOKUP($A65,#REF!,6,FALSE())&gt;2,HLOOKUP($A65,#REF!,6,FALSE())&lt;-2),"",#REF!),"")</f>
        <v/>
      </c>
      <c r="I65" s="0" t="str">
        <f aca="false">IFERROR(IF(OR(HLOOKUP($A65,#REF!,7,FALSE())&gt;2,HLOOKUP($A65,#REF!,7,FALSE())&lt;-2),"",#REF!),"")</f>
        <v/>
      </c>
      <c r="J65" s="0" t="str">
        <f aca="false">IFERROR(IF(OR(HLOOKUP($A65,#REF!,8,FALSE())&gt;2,HLOOKUP($A65,#REF!,8,FALSE())&lt;-2),"",#REF!),"")</f>
        <v/>
      </c>
      <c r="K65" s="0" t="str">
        <f aca="false">IFERROR(IF(OR(HLOOKUP($A65,#REF!,9,FALSE())&gt;2,HLOOKUP($A65,#REF!,9,FALSE())&lt;-2),"",#REF!),"")</f>
        <v/>
      </c>
      <c r="L65" s="0" t="str">
        <f aca="false">IFERROR(IF(OR(HLOOKUP($A65,#REF!,10,FALSE())&gt;2,HLOOKUP($A65,#REF!,10,FALSE())&lt;-2),"",#REF!),"")</f>
        <v/>
      </c>
      <c r="M65" s="0" t="str">
        <f aca="false">IFERROR(IF(OR(HLOOKUP($A65,#REF!,11,FALSE())&gt;2,HLOOKUP($A65,#REF!,11,FALSE())&lt;-2),"",#REF!),"")</f>
        <v/>
      </c>
      <c r="N65" s="0" t="str">
        <f aca="false">IFERROR(IF(OR(HLOOKUP($A65,#REF!,12,FALSE())&gt;2,HLOOKUP($A65,#REF!,12,FALSE())&lt;-2),"",#REF!),"")</f>
        <v/>
      </c>
      <c r="O65" s="0" t="str">
        <f aca="false">IFERROR(IF(OR(HLOOKUP($A65,#REF!,13,FALSE())&gt;2,HLOOKUP($A65,#REF!,13,FALSE())&lt;-2),"",#REF!),"")</f>
        <v/>
      </c>
      <c r="P65" s="0" t="str">
        <f aca="false">IFERROR(IF(OR(HLOOKUP($A65,#REF!,14,FALSE())&gt;2,HLOOKUP($A65,#REF!,14,FALSE())&lt;-2),"",#REF!),"")</f>
        <v/>
      </c>
      <c r="Q65" s="0" t="str">
        <f aca="false">IFERROR(IF(OR(HLOOKUP($A65,#REF!,15,FALSE())&gt;2,HLOOKUP($A65,#REF!,15,FALSE())&lt;-2),"",#REF!),"")</f>
        <v/>
      </c>
      <c r="R65" s="0" t="str">
        <f aca="false">IFERROR(IF(OR(HLOOKUP($A65,#REF!,16,FALSE())&gt;2,HLOOKUP($A65,#REF!,16,FALSE())&lt;-2),"",#REF!),"")</f>
        <v/>
      </c>
      <c r="S65" s="0" t="str">
        <f aca="false">IFERROR(IF(OR(HLOOKUP($A65,#REF!,17,FALSE())&gt;2,HLOOKUP($A65,#REF!,17,FALSE())&lt;-2),"",#REF!),"")</f>
        <v/>
      </c>
      <c r="T65" s="0" t="str">
        <f aca="false">IFERROR(IF(OR(HLOOKUP($A65,#REF!,18,FALSE())&gt;2,HLOOKUP($A65,#REF!,18,FALSE())&lt;-2),"",#REF!),"")</f>
        <v/>
      </c>
      <c r="U65" s="0" t="str">
        <f aca="false">IFERROR(IF(OR(HLOOKUP($A65,#REF!,19,FALSE())&gt;2,HLOOKUP($A65,#REF!,19,FALSE())&lt;-2),"",#REF!),"")</f>
        <v/>
      </c>
      <c r="V65" s="0" t="n">
        <f aca="false">IFERROR(IF(AND(X65=0,Y65=0),0,1),0)</f>
        <v>1</v>
      </c>
      <c r="W65" s="3" t="str">
        <f aca="false">IFERROR(_xlfn.T.TEST(E65:M65,N65:U65,2,2),"")</f>
        <v/>
      </c>
      <c r="X65" s="0" t="str">
        <f aca="false">IFERROR(AVERAGE(E65:M65),"")</f>
        <v/>
      </c>
      <c r="Y65" s="0" t="str">
        <f aca="false">IFERROR(AVERAGE(N65:U65),"")</f>
        <v/>
      </c>
    </row>
    <row r="66" customFormat="false" ht="14.5" hidden="false" customHeight="false" outlineLevel="0" collapsed="false">
      <c r="A66" s="0" t="n">
        <v>68</v>
      </c>
      <c r="B66" s="0" t="s">
        <v>157</v>
      </c>
      <c r="C66" s="0" t="n">
        <v>700</v>
      </c>
      <c r="D66" s="0" t="n">
        <v>184</v>
      </c>
      <c r="E66" s="0" t="str">
        <f aca="false">IFERROR(IF(OR(HLOOKUP($A66,#REF!,3,FALSE())&gt;2,HLOOKUP(A66,#REF!,3,FALSE())&lt;-2),"",#REF!),"")</f>
        <v/>
      </c>
      <c r="F66" s="0" t="str">
        <f aca="false">IFERROR(IF(OR(HLOOKUP($A66,#REF!,4,FALSE())&gt;2,HLOOKUP($A66,#REF!,4,FALSE())&lt;-2),"",#REF!),"")</f>
        <v/>
      </c>
      <c r="G66" s="0" t="str">
        <f aca="false">IFERROR(IF(OR(HLOOKUP($A66,#REF!,5,FALSE())&gt;2,HLOOKUP($A66,#REF!,5,FALSE())&lt;-2),"",#REF!),"")</f>
        <v/>
      </c>
      <c r="H66" s="0" t="str">
        <f aca="false">IFERROR(IF(OR(HLOOKUP($A66,#REF!,6,FALSE())&gt;2,HLOOKUP($A66,#REF!,6,FALSE())&lt;-2),"",#REF!),"")</f>
        <v/>
      </c>
      <c r="I66" s="0" t="str">
        <f aca="false">IFERROR(IF(OR(HLOOKUP($A66,#REF!,7,FALSE())&gt;2,HLOOKUP($A66,#REF!,7,FALSE())&lt;-2),"",#REF!),"")</f>
        <v/>
      </c>
      <c r="J66" s="0" t="str">
        <f aca="false">IFERROR(IF(OR(HLOOKUP($A66,#REF!,8,FALSE())&gt;2,HLOOKUP($A66,#REF!,8,FALSE())&lt;-2),"",#REF!),"")</f>
        <v/>
      </c>
      <c r="K66" s="0" t="str">
        <f aca="false">IFERROR(IF(OR(HLOOKUP($A66,#REF!,9,FALSE())&gt;2,HLOOKUP($A66,#REF!,9,FALSE())&lt;-2),"",#REF!),"")</f>
        <v/>
      </c>
      <c r="L66" s="0" t="str">
        <f aca="false">IFERROR(IF(OR(HLOOKUP($A66,#REF!,10,FALSE())&gt;2,HLOOKUP($A66,#REF!,10,FALSE())&lt;-2),"",#REF!),"")</f>
        <v/>
      </c>
      <c r="M66" s="0" t="str">
        <f aca="false">IFERROR(IF(OR(HLOOKUP($A66,#REF!,11,FALSE())&gt;2,HLOOKUP($A66,#REF!,11,FALSE())&lt;-2),"",#REF!),"")</f>
        <v/>
      </c>
      <c r="N66" s="0" t="str">
        <f aca="false">IFERROR(IF(OR(HLOOKUP($A66,#REF!,12,FALSE())&gt;2,HLOOKUP($A66,#REF!,12,FALSE())&lt;-2),"",#REF!),"")</f>
        <v/>
      </c>
      <c r="O66" s="0" t="str">
        <f aca="false">IFERROR(IF(OR(HLOOKUP($A66,#REF!,13,FALSE())&gt;2,HLOOKUP($A66,#REF!,13,FALSE())&lt;-2),"",#REF!),"")</f>
        <v/>
      </c>
      <c r="P66" s="0" t="str">
        <f aca="false">IFERROR(IF(OR(HLOOKUP($A66,#REF!,14,FALSE())&gt;2,HLOOKUP($A66,#REF!,14,FALSE())&lt;-2),"",#REF!),"")</f>
        <v/>
      </c>
      <c r="Q66" s="0" t="str">
        <f aca="false">IFERROR(IF(OR(HLOOKUP($A66,#REF!,15,FALSE())&gt;2,HLOOKUP($A66,#REF!,15,FALSE())&lt;-2),"",#REF!),"")</f>
        <v/>
      </c>
      <c r="R66" s="0" t="str">
        <f aca="false">IFERROR(IF(OR(HLOOKUP($A66,#REF!,16,FALSE())&gt;2,HLOOKUP($A66,#REF!,16,FALSE())&lt;-2),"",#REF!),"")</f>
        <v/>
      </c>
      <c r="S66" s="0" t="str">
        <f aca="false">IFERROR(IF(OR(HLOOKUP($A66,#REF!,17,FALSE())&gt;2,HLOOKUP($A66,#REF!,17,FALSE())&lt;-2),"",#REF!),"")</f>
        <v/>
      </c>
      <c r="T66" s="0" t="str">
        <f aca="false">IFERROR(IF(OR(HLOOKUP($A66,#REF!,18,FALSE())&gt;2,HLOOKUP($A66,#REF!,18,FALSE())&lt;-2),"",#REF!),"")</f>
        <v/>
      </c>
      <c r="U66" s="0" t="str">
        <f aca="false">IFERROR(IF(OR(HLOOKUP($A66,#REF!,19,FALSE())&gt;2,HLOOKUP($A66,#REF!,19,FALSE())&lt;-2),"",#REF!),"")</f>
        <v/>
      </c>
      <c r="V66" s="0" t="n">
        <f aca="false">IFERROR(IF(AND(X66=0,Y66=0),0,1),0)</f>
        <v>1</v>
      </c>
      <c r="W66" s="3" t="str">
        <f aca="false">IFERROR(_xlfn.T.TEST(E66:M66,N66:U66,2,2),"")</f>
        <v/>
      </c>
      <c r="X66" s="0" t="str">
        <f aca="false">IFERROR(AVERAGE(E66:M66),"")</f>
        <v/>
      </c>
      <c r="Y66" s="0" t="str">
        <f aca="false">IFERROR(AVERAGE(N66:U66),"")</f>
        <v/>
      </c>
    </row>
    <row r="67" customFormat="false" ht="14.5" hidden="false" customHeight="false" outlineLevel="0" collapsed="false">
      <c r="A67" s="0" t="n">
        <v>69</v>
      </c>
      <c r="B67" s="0" t="s">
        <v>158</v>
      </c>
      <c r="C67" s="0" t="n">
        <v>92000</v>
      </c>
      <c r="D67" s="0" t="n">
        <v>445</v>
      </c>
      <c r="E67" s="0" t="str">
        <f aca="false">IFERROR(IF(OR(HLOOKUP($A67,#REF!,3,FALSE())&gt;2,HLOOKUP(A67,#REF!,3,FALSE())&lt;-2),"",#REF!),"")</f>
        <v/>
      </c>
      <c r="F67" s="0" t="str">
        <f aca="false">IFERROR(IF(OR(HLOOKUP($A67,#REF!,4,FALSE())&gt;2,HLOOKUP($A67,#REF!,4,FALSE())&lt;-2),"",#REF!),"")</f>
        <v/>
      </c>
      <c r="G67" s="0" t="str">
        <f aca="false">IFERROR(IF(OR(HLOOKUP($A67,#REF!,5,FALSE())&gt;2,HLOOKUP($A67,#REF!,5,FALSE())&lt;-2),"",#REF!),"")</f>
        <v/>
      </c>
      <c r="H67" s="0" t="str">
        <f aca="false">IFERROR(IF(OR(HLOOKUP($A67,#REF!,6,FALSE())&gt;2,HLOOKUP($A67,#REF!,6,FALSE())&lt;-2),"",#REF!),"")</f>
        <v/>
      </c>
      <c r="I67" s="0" t="str">
        <f aca="false">IFERROR(IF(OR(HLOOKUP($A67,#REF!,7,FALSE())&gt;2,HLOOKUP($A67,#REF!,7,FALSE())&lt;-2),"",#REF!),"")</f>
        <v/>
      </c>
      <c r="J67" s="0" t="str">
        <f aca="false">IFERROR(IF(OR(HLOOKUP($A67,#REF!,8,FALSE())&gt;2,HLOOKUP($A67,#REF!,8,FALSE())&lt;-2),"",#REF!),"")</f>
        <v/>
      </c>
      <c r="K67" s="0" t="str">
        <f aca="false">IFERROR(IF(OR(HLOOKUP($A67,#REF!,9,FALSE())&gt;2,HLOOKUP($A67,#REF!,9,FALSE())&lt;-2),"",#REF!),"")</f>
        <v/>
      </c>
      <c r="L67" s="0" t="str">
        <f aca="false">IFERROR(IF(OR(HLOOKUP($A67,#REF!,10,FALSE())&gt;2,HLOOKUP($A67,#REF!,10,FALSE())&lt;-2),"",#REF!),"")</f>
        <v/>
      </c>
      <c r="M67" s="0" t="str">
        <f aca="false">IFERROR(IF(OR(HLOOKUP($A67,#REF!,11,FALSE())&gt;2,HLOOKUP($A67,#REF!,11,FALSE())&lt;-2),"",#REF!),"")</f>
        <v/>
      </c>
      <c r="N67" s="0" t="str">
        <f aca="false">IFERROR(IF(OR(HLOOKUP($A67,#REF!,12,FALSE())&gt;2,HLOOKUP($A67,#REF!,12,FALSE())&lt;-2),"",#REF!),"")</f>
        <v/>
      </c>
      <c r="O67" s="0" t="str">
        <f aca="false">IFERROR(IF(OR(HLOOKUP($A67,#REF!,13,FALSE())&gt;2,HLOOKUP($A67,#REF!,13,FALSE())&lt;-2),"",#REF!),"")</f>
        <v/>
      </c>
      <c r="P67" s="0" t="str">
        <f aca="false">IFERROR(IF(OR(HLOOKUP($A67,#REF!,14,FALSE())&gt;2,HLOOKUP($A67,#REF!,14,FALSE())&lt;-2),"",#REF!),"")</f>
        <v/>
      </c>
      <c r="Q67" s="0" t="str">
        <f aca="false">IFERROR(IF(OR(HLOOKUP($A67,#REF!,15,FALSE())&gt;2,HLOOKUP($A67,#REF!,15,FALSE())&lt;-2),"",#REF!),"")</f>
        <v/>
      </c>
      <c r="R67" s="0" t="str">
        <f aca="false">IFERROR(IF(OR(HLOOKUP($A67,#REF!,16,FALSE())&gt;2,HLOOKUP($A67,#REF!,16,FALSE())&lt;-2),"",#REF!),"")</f>
        <v/>
      </c>
      <c r="S67" s="0" t="str">
        <f aca="false">IFERROR(IF(OR(HLOOKUP($A67,#REF!,17,FALSE())&gt;2,HLOOKUP($A67,#REF!,17,FALSE())&lt;-2),"",#REF!),"")</f>
        <v/>
      </c>
      <c r="T67" s="0" t="str">
        <f aca="false">IFERROR(IF(OR(HLOOKUP($A67,#REF!,18,FALSE())&gt;2,HLOOKUP($A67,#REF!,18,FALSE())&lt;-2),"",#REF!),"")</f>
        <v/>
      </c>
      <c r="U67" s="0" t="str">
        <f aca="false">IFERROR(IF(OR(HLOOKUP($A67,#REF!,19,FALSE())&gt;2,HLOOKUP($A67,#REF!,19,FALSE())&lt;-2),"",#REF!),"")</f>
        <v/>
      </c>
      <c r="V67" s="0" t="n">
        <f aca="false">IFERROR(IF(AND(X67=0,Y67=0),0,1),0)</f>
        <v>1</v>
      </c>
      <c r="W67" s="3" t="str">
        <f aca="false">IFERROR(_xlfn.T.TEST(E67:M67,N67:U67,2,2),"")</f>
        <v/>
      </c>
      <c r="X67" s="0" t="str">
        <f aca="false">IFERROR(AVERAGE(E67:M67),"")</f>
        <v/>
      </c>
      <c r="Y67" s="0" t="str">
        <f aca="false">IFERROR(AVERAGE(N67:U67),"")</f>
        <v/>
      </c>
    </row>
    <row r="68" customFormat="false" ht="14.5" hidden="false" customHeight="false" outlineLevel="0" collapsed="false">
      <c r="A68" s="0" t="n">
        <v>70</v>
      </c>
      <c r="B68" s="0" t="s">
        <v>159</v>
      </c>
      <c r="C68" s="0" t="n">
        <v>115500</v>
      </c>
      <c r="D68" s="0" t="n">
        <v>824</v>
      </c>
      <c r="E68" s="0" t="str">
        <f aca="false">IFERROR(IF(OR(HLOOKUP($A68,#REF!,3,FALSE())&gt;2,HLOOKUP(A68,#REF!,3,FALSE())&lt;-2),"",#REF!),"")</f>
        <v/>
      </c>
      <c r="F68" s="0" t="str">
        <f aca="false">IFERROR(IF(OR(HLOOKUP($A68,#REF!,4,FALSE())&gt;2,HLOOKUP($A68,#REF!,4,FALSE())&lt;-2),"",#REF!),"")</f>
        <v/>
      </c>
      <c r="G68" s="0" t="str">
        <f aca="false">IFERROR(IF(OR(HLOOKUP($A68,#REF!,5,FALSE())&gt;2,HLOOKUP($A68,#REF!,5,FALSE())&lt;-2),"",#REF!),"")</f>
        <v/>
      </c>
      <c r="H68" s="0" t="str">
        <f aca="false">IFERROR(IF(OR(HLOOKUP($A68,#REF!,6,FALSE())&gt;2,HLOOKUP($A68,#REF!,6,FALSE())&lt;-2),"",#REF!),"")</f>
        <v/>
      </c>
      <c r="I68" s="0" t="str">
        <f aca="false">IFERROR(IF(OR(HLOOKUP($A68,#REF!,7,FALSE())&gt;2,HLOOKUP($A68,#REF!,7,FALSE())&lt;-2),"",#REF!),"")</f>
        <v/>
      </c>
      <c r="J68" s="0" t="str">
        <f aca="false">IFERROR(IF(OR(HLOOKUP($A68,#REF!,8,FALSE())&gt;2,HLOOKUP($A68,#REF!,8,FALSE())&lt;-2),"",#REF!),"")</f>
        <v/>
      </c>
      <c r="K68" s="0" t="str">
        <f aca="false">IFERROR(IF(OR(HLOOKUP($A68,#REF!,9,FALSE())&gt;2,HLOOKUP($A68,#REF!,9,FALSE())&lt;-2),"",#REF!),"")</f>
        <v/>
      </c>
      <c r="L68" s="0" t="str">
        <f aca="false">IFERROR(IF(OR(HLOOKUP($A68,#REF!,10,FALSE())&gt;2,HLOOKUP($A68,#REF!,10,FALSE())&lt;-2),"",#REF!),"")</f>
        <v/>
      </c>
      <c r="M68" s="0" t="str">
        <f aca="false">IFERROR(IF(OR(HLOOKUP($A68,#REF!,11,FALSE())&gt;2,HLOOKUP($A68,#REF!,11,FALSE())&lt;-2),"",#REF!),"")</f>
        <v/>
      </c>
      <c r="N68" s="0" t="str">
        <f aca="false">IFERROR(IF(OR(HLOOKUP($A68,#REF!,12,FALSE())&gt;2,HLOOKUP($A68,#REF!,12,FALSE())&lt;-2),"",#REF!),"")</f>
        <v/>
      </c>
      <c r="O68" s="0" t="str">
        <f aca="false">IFERROR(IF(OR(HLOOKUP($A68,#REF!,13,FALSE())&gt;2,HLOOKUP($A68,#REF!,13,FALSE())&lt;-2),"",#REF!),"")</f>
        <v/>
      </c>
      <c r="P68" s="0" t="str">
        <f aca="false">IFERROR(IF(OR(HLOOKUP($A68,#REF!,14,FALSE())&gt;2,HLOOKUP($A68,#REF!,14,FALSE())&lt;-2),"",#REF!),"")</f>
        <v/>
      </c>
      <c r="Q68" s="0" t="str">
        <f aca="false">IFERROR(IF(OR(HLOOKUP($A68,#REF!,15,FALSE())&gt;2,HLOOKUP($A68,#REF!,15,FALSE())&lt;-2),"",#REF!),"")</f>
        <v/>
      </c>
      <c r="R68" s="0" t="str">
        <f aca="false">IFERROR(IF(OR(HLOOKUP($A68,#REF!,16,FALSE())&gt;2,HLOOKUP($A68,#REF!,16,FALSE())&lt;-2),"",#REF!),"")</f>
        <v/>
      </c>
      <c r="S68" s="0" t="str">
        <f aca="false">IFERROR(IF(OR(HLOOKUP($A68,#REF!,17,FALSE())&gt;2,HLOOKUP($A68,#REF!,17,FALSE())&lt;-2),"",#REF!),"")</f>
        <v/>
      </c>
      <c r="T68" s="0" t="str">
        <f aca="false">IFERROR(IF(OR(HLOOKUP($A68,#REF!,18,FALSE())&gt;2,HLOOKUP($A68,#REF!,18,FALSE())&lt;-2),"",#REF!),"")</f>
        <v/>
      </c>
      <c r="U68" s="0" t="str">
        <f aca="false">IFERROR(IF(OR(HLOOKUP($A68,#REF!,19,FALSE())&gt;2,HLOOKUP($A68,#REF!,19,FALSE())&lt;-2),"",#REF!),"")</f>
        <v/>
      </c>
      <c r="V68" s="0" t="n">
        <f aca="false">IFERROR(IF(AND(X68=0,Y68=0),0,1),0)</f>
        <v>1</v>
      </c>
      <c r="W68" s="3" t="str">
        <f aca="false">IFERROR(_xlfn.T.TEST(E68:M68,N68:U68,2,2),"")</f>
        <v/>
      </c>
      <c r="X68" s="0" t="str">
        <f aca="false">IFERROR(AVERAGE(E68:M68),"")</f>
        <v/>
      </c>
      <c r="Y68" s="0" t="str">
        <f aca="false">IFERROR(AVERAGE(N68:U68),"")</f>
        <v/>
      </c>
    </row>
    <row r="69" customFormat="false" ht="14.5" hidden="false" customHeight="false" outlineLevel="0" collapsed="false">
      <c r="A69" s="0" t="n">
        <v>71</v>
      </c>
      <c r="B69" s="0" t="s">
        <v>160</v>
      </c>
      <c r="C69" s="0" t="n">
        <v>70600</v>
      </c>
      <c r="D69" s="0" t="n">
        <v>38</v>
      </c>
      <c r="E69" s="0" t="str">
        <f aca="false">IFERROR(IF(OR(HLOOKUP($A69,#REF!,3,FALSE())&gt;2,HLOOKUP(A69,#REF!,3,FALSE())&lt;-2),"",#REF!),"")</f>
        <v/>
      </c>
      <c r="F69" s="0" t="str">
        <f aca="false">IFERROR(IF(OR(HLOOKUP($A69,#REF!,4,FALSE())&gt;2,HLOOKUP($A69,#REF!,4,FALSE())&lt;-2),"",#REF!),"")</f>
        <v/>
      </c>
      <c r="G69" s="0" t="str">
        <f aca="false">IFERROR(IF(OR(HLOOKUP($A69,#REF!,5,FALSE())&gt;2,HLOOKUP($A69,#REF!,5,FALSE())&lt;-2),"",#REF!),"")</f>
        <v/>
      </c>
      <c r="H69" s="0" t="str">
        <f aca="false">IFERROR(IF(OR(HLOOKUP($A69,#REF!,6,FALSE())&gt;2,HLOOKUP($A69,#REF!,6,FALSE())&lt;-2),"",#REF!),"")</f>
        <v/>
      </c>
      <c r="I69" s="0" t="str">
        <f aca="false">IFERROR(IF(OR(HLOOKUP($A69,#REF!,7,FALSE())&gt;2,HLOOKUP($A69,#REF!,7,FALSE())&lt;-2),"",#REF!),"")</f>
        <v/>
      </c>
      <c r="J69" s="0" t="str">
        <f aca="false">IFERROR(IF(OR(HLOOKUP($A69,#REF!,8,FALSE())&gt;2,HLOOKUP($A69,#REF!,8,FALSE())&lt;-2),"",#REF!),"")</f>
        <v/>
      </c>
      <c r="K69" s="0" t="str">
        <f aca="false">IFERROR(IF(OR(HLOOKUP($A69,#REF!,9,FALSE())&gt;2,HLOOKUP($A69,#REF!,9,FALSE())&lt;-2),"",#REF!),"")</f>
        <v/>
      </c>
      <c r="L69" s="0" t="str">
        <f aca="false">IFERROR(IF(OR(HLOOKUP($A69,#REF!,10,FALSE())&gt;2,HLOOKUP($A69,#REF!,10,FALSE())&lt;-2),"",#REF!),"")</f>
        <v/>
      </c>
      <c r="M69" s="0" t="str">
        <f aca="false">IFERROR(IF(OR(HLOOKUP($A69,#REF!,11,FALSE())&gt;2,HLOOKUP($A69,#REF!,11,FALSE())&lt;-2),"",#REF!),"")</f>
        <v/>
      </c>
      <c r="N69" s="0" t="str">
        <f aca="false">IFERROR(IF(OR(HLOOKUP($A69,#REF!,12,FALSE())&gt;2,HLOOKUP($A69,#REF!,12,FALSE())&lt;-2),"",#REF!),"")</f>
        <v/>
      </c>
      <c r="O69" s="0" t="str">
        <f aca="false">IFERROR(IF(OR(HLOOKUP($A69,#REF!,13,FALSE())&gt;2,HLOOKUP($A69,#REF!,13,FALSE())&lt;-2),"",#REF!),"")</f>
        <v/>
      </c>
      <c r="P69" s="0" t="str">
        <f aca="false">IFERROR(IF(OR(HLOOKUP($A69,#REF!,14,FALSE())&gt;2,HLOOKUP($A69,#REF!,14,FALSE())&lt;-2),"",#REF!),"")</f>
        <v/>
      </c>
      <c r="Q69" s="0" t="str">
        <f aca="false">IFERROR(IF(OR(HLOOKUP($A69,#REF!,15,FALSE())&gt;2,HLOOKUP($A69,#REF!,15,FALSE())&lt;-2),"",#REF!),"")</f>
        <v/>
      </c>
      <c r="R69" s="0" t="str">
        <f aca="false">IFERROR(IF(OR(HLOOKUP($A69,#REF!,16,FALSE())&gt;2,HLOOKUP($A69,#REF!,16,FALSE())&lt;-2),"",#REF!),"")</f>
        <v/>
      </c>
      <c r="S69" s="0" t="str">
        <f aca="false">IFERROR(IF(OR(HLOOKUP($A69,#REF!,17,FALSE())&gt;2,HLOOKUP($A69,#REF!,17,FALSE())&lt;-2),"",#REF!),"")</f>
        <v/>
      </c>
      <c r="T69" s="0" t="str">
        <f aca="false">IFERROR(IF(OR(HLOOKUP($A69,#REF!,18,FALSE())&gt;2,HLOOKUP($A69,#REF!,18,FALSE())&lt;-2),"",#REF!),"")</f>
        <v/>
      </c>
      <c r="U69" s="0" t="str">
        <f aca="false">IFERROR(IF(OR(HLOOKUP($A69,#REF!,19,FALSE())&gt;2,HLOOKUP($A69,#REF!,19,FALSE())&lt;-2),"",#REF!),"")</f>
        <v/>
      </c>
      <c r="V69" s="0" t="n">
        <f aca="false">IFERROR(IF(AND(X69=0,Y69=0),0,1),0)</f>
        <v>1</v>
      </c>
      <c r="W69" s="3" t="str">
        <f aca="false">IFERROR(_xlfn.T.TEST(E69:M69,N69:U69,2,2),"")</f>
        <v/>
      </c>
      <c r="X69" s="0" t="str">
        <f aca="false">IFERROR(AVERAGE(E69:M69),"")</f>
        <v/>
      </c>
      <c r="Y69" s="0" t="str">
        <f aca="false">IFERROR(AVERAGE(N69:U69),"")</f>
        <v/>
      </c>
    </row>
    <row r="70" customFormat="false" ht="14.5" hidden="false" customHeight="false" outlineLevel="0" collapsed="false">
      <c r="A70" s="0" t="n">
        <v>72</v>
      </c>
      <c r="B70" s="0" t="s">
        <v>161</v>
      </c>
      <c r="C70" s="0" t="n">
        <v>72000</v>
      </c>
      <c r="D70" s="0" t="n">
        <v>141</v>
      </c>
      <c r="E70" s="0" t="str">
        <f aca="false">IFERROR(IF(OR(HLOOKUP($A70,#REF!,3,FALSE())&gt;2,HLOOKUP(A70,#REF!,3,FALSE())&lt;-2),"",#REF!),"")</f>
        <v/>
      </c>
      <c r="F70" s="0" t="str">
        <f aca="false">IFERROR(IF(OR(HLOOKUP($A70,#REF!,4,FALSE())&gt;2,HLOOKUP($A70,#REF!,4,FALSE())&lt;-2),"",#REF!),"")</f>
        <v/>
      </c>
      <c r="G70" s="0" t="str">
        <f aca="false">IFERROR(IF(OR(HLOOKUP($A70,#REF!,5,FALSE())&gt;2,HLOOKUP($A70,#REF!,5,FALSE())&lt;-2),"",#REF!),"")</f>
        <v/>
      </c>
      <c r="H70" s="0" t="str">
        <f aca="false">IFERROR(IF(OR(HLOOKUP($A70,#REF!,6,FALSE())&gt;2,HLOOKUP($A70,#REF!,6,FALSE())&lt;-2),"",#REF!),"")</f>
        <v/>
      </c>
      <c r="I70" s="0" t="str">
        <f aca="false">IFERROR(IF(OR(HLOOKUP($A70,#REF!,7,FALSE())&gt;2,HLOOKUP($A70,#REF!,7,FALSE())&lt;-2),"",#REF!),"")</f>
        <v/>
      </c>
      <c r="J70" s="0" t="str">
        <f aca="false">IFERROR(IF(OR(HLOOKUP($A70,#REF!,8,FALSE())&gt;2,HLOOKUP($A70,#REF!,8,FALSE())&lt;-2),"",#REF!),"")</f>
        <v/>
      </c>
      <c r="K70" s="0" t="str">
        <f aca="false">IFERROR(IF(OR(HLOOKUP($A70,#REF!,9,FALSE())&gt;2,HLOOKUP($A70,#REF!,9,FALSE())&lt;-2),"",#REF!),"")</f>
        <v/>
      </c>
      <c r="L70" s="0" t="str">
        <f aca="false">IFERROR(IF(OR(HLOOKUP($A70,#REF!,10,FALSE())&gt;2,HLOOKUP($A70,#REF!,10,FALSE())&lt;-2),"",#REF!),"")</f>
        <v/>
      </c>
      <c r="M70" s="0" t="str">
        <f aca="false">IFERROR(IF(OR(HLOOKUP($A70,#REF!,11,FALSE())&gt;2,HLOOKUP($A70,#REF!,11,FALSE())&lt;-2),"",#REF!),"")</f>
        <v/>
      </c>
      <c r="N70" s="0" t="str">
        <f aca="false">IFERROR(IF(OR(HLOOKUP($A70,#REF!,12,FALSE())&gt;2,HLOOKUP($A70,#REF!,12,FALSE())&lt;-2),"",#REF!),"")</f>
        <v/>
      </c>
      <c r="O70" s="0" t="str">
        <f aca="false">IFERROR(IF(OR(HLOOKUP($A70,#REF!,13,FALSE())&gt;2,HLOOKUP($A70,#REF!,13,FALSE())&lt;-2),"",#REF!),"")</f>
        <v/>
      </c>
      <c r="P70" s="0" t="str">
        <f aca="false">IFERROR(IF(OR(HLOOKUP($A70,#REF!,14,FALSE())&gt;2,HLOOKUP($A70,#REF!,14,FALSE())&lt;-2),"",#REF!),"")</f>
        <v/>
      </c>
      <c r="Q70" s="0" t="str">
        <f aca="false">IFERROR(IF(OR(HLOOKUP($A70,#REF!,15,FALSE())&gt;2,HLOOKUP($A70,#REF!,15,FALSE())&lt;-2),"",#REF!),"")</f>
        <v/>
      </c>
      <c r="R70" s="0" t="str">
        <f aca="false">IFERROR(IF(OR(HLOOKUP($A70,#REF!,16,FALSE())&gt;2,HLOOKUP($A70,#REF!,16,FALSE())&lt;-2),"",#REF!),"")</f>
        <v/>
      </c>
      <c r="S70" s="0" t="str">
        <f aca="false">IFERROR(IF(OR(HLOOKUP($A70,#REF!,17,FALSE())&gt;2,HLOOKUP($A70,#REF!,17,FALSE())&lt;-2),"",#REF!),"")</f>
        <v/>
      </c>
      <c r="T70" s="0" t="str">
        <f aca="false">IFERROR(IF(OR(HLOOKUP($A70,#REF!,18,FALSE())&gt;2,HLOOKUP($A70,#REF!,18,FALSE())&lt;-2),"",#REF!),"")</f>
        <v/>
      </c>
      <c r="U70" s="0" t="str">
        <f aca="false">IFERROR(IF(OR(HLOOKUP($A70,#REF!,19,FALSE())&gt;2,HLOOKUP($A70,#REF!,19,FALSE())&lt;-2),"",#REF!),"")</f>
        <v/>
      </c>
      <c r="V70" s="0" t="n">
        <f aca="false">IFERROR(IF(AND(X70=0,Y70=0),0,1),0)</f>
        <v>1</v>
      </c>
      <c r="W70" s="3" t="str">
        <f aca="false">IFERROR(_xlfn.T.TEST(E70:M70,N70:U70,2,2),"")</f>
        <v/>
      </c>
      <c r="X70" s="0" t="str">
        <f aca="false">IFERROR(AVERAGE(E70:M70),"")</f>
        <v/>
      </c>
      <c r="Y70" s="0" t="str">
        <f aca="false">IFERROR(AVERAGE(N70:U70),"")</f>
        <v/>
      </c>
    </row>
    <row r="71" customFormat="false" ht="14.5" hidden="false" customHeight="false" outlineLevel="0" collapsed="false">
      <c r="A71" s="0" t="n">
        <v>73</v>
      </c>
      <c r="B71" s="0" t="s">
        <v>162</v>
      </c>
      <c r="C71" s="0" t="n">
        <v>115800</v>
      </c>
      <c r="D71" s="0" t="n">
        <v>997</v>
      </c>
      <c r="E71" s="0" t="str">
        <f aca="false">IFERROR(IF(OR(HLOOKUP($A71,#REF!,3,FALSE())&gt;2,HLOOKUP(A71,#REF!,3,FALSE())&lt;-2),"",#REF!),"")</f>
        <v/>
      </c>
      <c r="F71" s="0" t="str">
        <f aca="false">IFERROR(IF(OR(HLOOKUP($A71,#REF!,4,FALSE())&gt;2,HLOOKUP($A71,#REF!,4,FALSE())&lt;-2),"",#REF!),"")</f>
        <v/>
      </c>
      <c r="G71" s="0" t="str">
        <f aca="false">IFERROR(IF(OR(HLOOKUP($A71,#REF!,5,FALSE())&gt;2,HLOOKUP($A71,#REF!,5,FALSE())&lt;-2),"",#REF!),"")</f>
        <v/>
      </c>
      <c r="H71" s="0" t="str">
        <f aca="false">IFERROR(IF(OR(HLOOKUP($A71,#REF!,6,FALSE())&gt;2,HLOOKUP($A71,#REF!,6,FALSE())&lt;-2),"",#REF!),"")</f>
        <v/>
      </c>
      <c r="I71" s="0" t="str">
        <f aca="false">IFERROR(IF(OR(HLOOKUP($A71,#REF!,7,FALSE())&gt;2,HLOOKUP($A71,#REF!,7,FALSE())&lt;-2),"",#REF!),"")</f>
        <v/>
      </c>
      <c r="J71" s="0" t="str">
        <f aca="false">IFERROR(IF(OR(HLOOKUP($A71,#REF!,8,FALSE())&gt;2,HLOOKUP($A71,#REF!,8,FALSE())&lt;-2),"",#REF!),"")</f>
        <v/>
      </c>
      <c r="K71" s="0" t="str">
        <f aca="false">IFERROR(IF(OR(HLOOKUP($A71,#REF!,9,FALSE())&gt;2,HLOOKUP($A71,#REF!,9,FALSE())&lt;-2),"",#REF!),"")</f>
        <v/>
      </c>
      <c r="L71" s="0" t="str">
        <f aca="false">IFERROR(IF(OR(HLOOKUP($A71,#REF!,10,FALSE())&gt;2,HLOOKUP($A71,#REF!,10,FALSE())&lt;-2),"",#REF!),"")</f>
        <v/>
      </c>
      <c r="M71" s="0" t="str">
        <f aca="false">IFERROR(IF(OR(HLOOKUP($A71,#REF!,11,FALSE())&gt;2,HLOOKUP($A71,#REF!,11,FALSE())&lt;-2),"",#REF!),"")</f>
        <v/>
      </c>
      <c r="N71" s="0" t="str">
        <f aca="false">IFERROR(IF(OR(HLOOKUP($A71,#REF!,12,FALSE())&gt;2,HLOOKUP($A71,#REF!,12,FALSE())&lt;-2),"",#REF!),"")</f>
        <v/>
      </c>
      <c r="O71" s="0" t="str">
        <f aca="false">IFERROR(IF(OR(HLOOKUP($A71,#REF!,13,FALSE())&gt;2,HLOOKUP($A71,#REF!,13,FALSE())&lt;-2),"",#REF!),"")</f>
        <v/>
      </c>
      <c r="P71" s="0" t="str">
        <f aca="false">IFERROR(IF(OR(HLOOKUP($A71,#REF!,14,FALSE())&gt;2,HLOOKUP($A71,#REF!,14,FALSE())&lt;-2),"",#REF!),"")</f>
        <v/>
      </c>
      <c r="Q71" s="0" t="str">
        <f aca="false">IFERROR(IF(OR(HLOOKUP($A71,#REF!,15,FALSE())&gt;2,HLOOKUP($A71,#REF!,15,FALSE())&lt;-2),"",#REF!),"")</f>
        <v/>
      </c>
      <c r="R71" s="0" t="str">
        <f aca="false">IFERROR(IF(OR(HLOOKUP($A71,#REF!,16,FALSE())&gt;2,HLOOKUP($A71,#REF!,16,FALSE())&lt;-2),"",#REF!),"")</f>
        <v/>
      </c>
      <c r="S71" s="0" t="str">
        <f aca="false">IFERROR(IF(OR(HLOOKUP($A71,#REF!,17,FALSE())&gt;2,HLOOKUP($A71,#REF!,17,FALSE())&lt;-2),"",#REF!),"")</f>
        <v/>
      </c>
      <c r="T71" s="0" t="str">
        <f aca="false">IFERROR(IF(OR(HLOOKUP($A71,#REF!,18,FALSE())&gt;2,HLOOKUP($A71,#REF!,18,FALSE())&lt;-2),"",#REF!),"")</f>
        <v/>
      </c>
      <c r="U71" s="0" t="str">
        <f aca="false">IFERROR(IF(OR(HLOOKUP($A71,#REF!,19,FALSE())&gt;2,HLOOKUP($A71,#REF!,19,FALSE())&lt;-2),"",#REF!),"")</f>
        <v/>
      </c>
      <c r="V71" s="0" t="n">
        <f aca="false">IFERROR(IF(AND(X71=0,Y71=0),0,1),0)</f>
        <v>1</v>
      </c>
      <c r="W71" s="3" t="str">
        <f aca="false">IFERROR(_xlfn.T.TEST(E71:M71,N71:U71,2,2),"")</f>
        <v/>
      </c>
      <c r="X71" s="0" t="str">
        <f aca="false">IFERROR(AVERAGE(E71:M71),"")</f>
        <v/>
      </c>
      <c r="Y71" s="0" t="str">
        <f aca="false">IFERROR(AVERAGE(N71:U71),"")</f>
        <v/>
      </c>
    </row>
    <row r="72" customFormat="false" ht="14.5" hidden="false" customHeight="false" outlineLevel="0" collapsed="false">
      <c r="A72" s="0" t="n">
        <v>74</v>
      </c>
      <c r="B72" s="0" t="s">
        <v>163</v>
      </c>
      <c r="C72" s="0" t="n">
        <v>16000</v>
      </c>
      <c r="D72" s="0" t="n">
        <v>409</v>
      </c>
      <c r="E72" s="0" t="str">
        <f aca="false">IFERROR(IF(OR(HLOOKUP($A72,#REF!,3,FALSE())&gt;2,HLOOKUP(A72,#REF!,3,FALSE())&lt;-2),"",#REF!),"")</f>
        <v/>
      </c>
      <c r="F72" s="0" t="str">
        <f aca="false">IFERROR(IF(OR(HLOOKUP($A72,#REF!,4,FALSE())&gt;2,HLOOKUP($A72,#REF!,4,FALSE())&lt;-2),"",#REF!),"")</f>
        <v/>
      </c>
      <c r="G72" s="0" t="str">
        <f aca="false">IFERROR(IF(OR(HLOOKUP($A72,#REF!,5,FALSE())&gt;2,HLOOKUP($A72,#REF!,5,FALSE())&lt;-2),"",#REF!),"")</f>
        <v/>
      </c>
      <c r="H72" s="0" t="str">
        <f aca="false">IFERROR(IF(OR(HLOOKUP($A72,#REF!,6,FALSE())&gt;2,HLOOKUP($A72,#REF!,6,FALSE())&lt;-2),"",#REF!),"")</f>
        <v/>
      </c>
      <c r="I72" s="0" t="str">
        <f aca="false">IFERROR(IF(OR(HLOOKUP($A72,#REF!,7,FALSE())&gt;2,HLOOKUP($A72,#REF!,7,FALSE())&lt;-2),"",#REF!),"")</f>
        <v/>
      </c>
      <c r="J72" s="0" t="str">
        <f aca="false">IFERROR(IF(OR(HLOOKUP($A72,#REF!,8,FALSE())&gt;2,HLOOKUP($A72,#REF!,8,FALSE())&lt;-2),"",#REF!),"")</f>
        <v/>
      </c>
      <c r="K72" s="0" t="str">
        <f aca="false">IFERROR(IF(OR(HLOOKUP($A72,#REF!,9,FALSE())&gt;2,HLOOKUP($A72,#REF!,9,FALSE())&lt;-2),"",#REF!),"")</f>
        <v/>
      </c>
      <c r="L72" s="0" t="str">
        <f aca="false">IFERROR(IF(OR(HLOOKUP($A72,#REF!,10,FALSE())&gt;2,HLOOKUP($A72,#REF!,10,FALSE())&lt;-2),"",#REF!),"")</f>
        <v/>
      </c>
      <c r="M72" s="0" t="str">
        <f aca="false">IFERROR(IF(OR(HLOOKUP($A72,#REF!,11,FALSE())&gt;2,HLOOKUP($A72,#REF!,11,FALSE())&lt;-2),"",#REF!),"")</f>
        <v/>
      </c>
      <c r="N72" s="0" t="str">
        <f aca="false">IFERROR(IF(OR(HLOOKUP($A72,#REF!,12,FALSE())&gt;2,HLOOKUP($A72,#REF!,12,FALSE())&lt;-2),"",#REF!),"")</f>
        <v/>
      </c>
      <c r="O72" s="0" t="str">
        <f aca="false">IFERROR(IF(OR(HLOOKUP($A72,#REF!,13,FALSE())&gt;2,HLOOKUP($A72,#REF!,13,FALSE())&lt;-2),"",#REF!),"")</f>
        <v/>
      </c>
      <c r="P72" s="0" t="str">
        <f aca="false">IFERROR(IF(OR(HLOOKUP($A72,#REF!,14,FALSE())&gt;2,HLOOKUP($A72,#REF!,14,FALSE())&lt;-2),"",#REF!),"")</f>
        <v/>
      </c>
      <c r="Q72" s="0" t="str">
        <f aca="false">IFERROR(IF(OR(HLOOKUP($A72,#REF!,15,FALSE())&gt;2,HLOOKUP($A72,#REF!,15,FALSE())&lt;-2),"",#REF!),"")</f>
        <v/>
      </c>
      <c r="R72" s="0" t="str">
        <f aca="false">IFERROR(IF(OR(HLOOKUP($A72,#REF!,16,FALSE())&gt;2,HLOOKUP($A72,#REF!,16,FALSE())&lt;-2),"",#REF!),"")</f>
        <v/>
      </c>
      <c r="S72" s="0" t="str">
        <f aca="false">IFERROR(IF(OR(HLOOKUP($A72,#REF!,17,FALSE())&gt;2,HLOOKUP($A72,#REF!,17,FALSE())&lt;-2),"",#REF!),"")</f>
        <v/>
      </c>
      <c r="T72" s="0" t="str">
        <f aca="false">IFERROR(IF(OR(HLOOKUP($A72,#REF!,18,FALSE())&gt;2,HLOOKUP($A72,#REF!,18,FALSE())&lt;-2),"",#REF!),"")</f>
        <v/>
      </c>
      <c r="U72" s="0" t="str">
        <f aca="false">IFERROR(IF(OR(HLOOKUP($A72,#REF!,19,FALSE())&gt;2,HLOOKUP($A72,#REF!,19,FALSE())&lt;-2),"",#REF!),"")</f>
        <v/>
      </c>
      <c r="V72" s="0" t="n">
        <f aca="false">IFERROR(IF(AND(X72=0,Y72=0),0,1),0)</f>
        <v>1</v>
      </c>
      <c r="W72" s="3" t="str">
        <f aca="false">IFERROR(_xlfn.T.TEST(E72:M72,N72:U72,2,2),"")</f>
        <v/>
      </c>
      <c r="X72" s="0" t="str">
        <f aca="false">IFERROR(AVERAGE(E72:M72),"")</f>
        <v/>
      </c>
      <c r="Y72" s="0" t="str">
        <f aca="false">IFERROR(AVERAGE(N72:U72),"")</f>
        <v/>
      </c>
    </row>
    <row r="73" customFormat="false" ht="14.5" hidden="false" customHeight="false" outlineLevel="0" collapsed="false">
      <c r="A73" s="0" t="n">
        <v>75</v>
      </c>
      <c r="B73" s="0" t="s">
        <v>164</v>
      </c>
      <c r="C73" s="0" t="n">
        <v>83400</v>
      </c>
      <c r="D73" s="0" t="n">
        <v>323</v>
      </c>
      <c r="E73" s="0" t="str">
        <f aca="false">IFERROR(IF(OR(HLOOKUP($A73,#REF!,3,FALSE())&gt;2,HLOOKUP(A73,#REF!,3,FALSE())&lt;-2),"",#REF!),"")</f>
        <v/>
      </c>
      <c r="F73" s="0" t="str">
        <f aca="false">IFERROR(IF(OR(HLOOKUP($A73,#REF!,4,FALSE())&gt;2,HLOOKUP($A73,#REF!,4,FALSE())&lt;-2),"",#REF!),"")</f>
        <v/>
      </c>
      <c r="G73" s="0" t="str">
        <f aca="false">IFERROR(IF(OR(HLOOKUP($A73,#REF!,5,FALSE())&gt;2,HLOOKUP($A73,#REF!,5,FALSE())&lt;-2),"",#REF!),"")</f>
        <v/>
      </c>
      <c r="H73" s="0" t="str">
        <f aca="false">IFERROR(IF(OR(HLOOKUP($A73,#REF!,6,FALSE())&gt;2,HLOOKUP($A73,#REF!,6,FALSE())&lt;-2),"",#REF!),"")</f>
        <v/>
      </c>
      <c r="I73" s="0" t="str">
        <f aca="false">IFERROR(IF(OR(HLOOKUP($A73,#REF!,7,FALSE())&gt;2,HLOOKUP($A73,#REF!,7,FALSE())&lt;-2),"",#REF!),"")</f>
        <v/>
      </c>
      <c r="J73" s="0" t="str">
        <f aca="false">IFERROR(IF(OR(HLOOKUP($A73,#REF!,8,FALSE())&gt;2,HLOOKUP($A73,#REF!,8,FALSE())&lt;-2),"",#REF!),"")</f>
        <v/>
      </c>
      <c r="K73" s="0" t="str">
        <f aca="false">IFERROR(IF(OR(HLOOKUP($A73,#REF!,9,FALSE())&gt;2,HLOOKUP($A73,#REF!,9,FALSE())&lt;-2),"",#REF!),"")</f>
        <v/>
      </c>
      <c r="L73" s="0" t="str">
        <f aca="false">IFERROR(IF(OR(HLOOKUP($A73,#REF!,10,FALSE())&gt;2,HLOOKUP($A73,#REF!,10,FALSE())&lt;-2),"",#REF!),"")</f>
        <v/>
      </c>
      <c r="M73" s="0" t="str">
        <f aca="false">IFERROR(IF(OR(HLOOKUP($A73,#REF!,11,FALSE())&gt;2,HLOOKUP($A73,#REF!,11,FALSE())&lt;-2),"",#REF!),"")</f>
        <v/>
      </c>
      <c r="N73" s="0" t="str">
        <f aca="false">IFERROR(IF(OR(HLOOKUP($A73,#REF!,12,FALSE())&gt;2,HLOOKUP($A73,#REF!,12,FALSE())&lt;-2),"",#REF!),"")</f>
        <v/>
      </c>
      <c r="O73" s="0" t="str">
        <f aca="false">IFERROR(IF(OR(HLOOKUP($A73,#REF!,13,FALSE())&gt;2,HLOOKUP($A73,#REF!,13,FALSE())&lt;-2),"",#REF!),"")</f>
        <v/>
      </c>
      <c r="P73" s="0" t="str">
        <f aca="false">IFERROR(IF(OR(HLOOKUP($A73,#REF!,14,FALSE())&gt;2,HLOOKUP($A73,#REF!,14,FALSE())&lt;-2),"",#REF!),"")</f>
        <v/>
      </c>
      <c r="Q73" s="0" t="str">
        <f aca="false">IFERROR(IF(OR(HLOOKUP($A73,#REF!,15,FALSE())&gt;2,HLOOKUP($A73,#REF!,15,FALSE())&lt;-2),"",#REF!),"")</f>
        <v/>
      </c>
      <c r="R73" s="0" t="str">
        <f aca="false">IFERROR(IF(OR(HLOOKUP($A73,#REF!,16,FALSE())&gt;2,HLOOKUP($A73,#REF!,16,FALSE())&lt;-2),"",#REF!),"")</f>
        <v/>
      </c>
      <c r="S73" s="0" t="str">
        <f aca="false">IFERROR(IF(OR(HLOOKUP($A73,#REF!,17,FALSE())&gt;2,HLOOKUP($A73,#REF!,17,FALSE())&lt;-2),"",#REF!),"")</f>
        <v/>
      </c>
      <c r="T73" s="0" t="str">
        <f aca="false">IFERROR(IF(OR(HLOOKUP($A73,#REF!,18,FALSE())&gt;2,HLOOKUP($A73,#REF!,18,FALSE())&lt;-2),"",#REF!),"")</f>
        <v/>
      </c>
      <c r="U73" s="0" t="str">
        <f aca="false">IFERROR(IF(OR(HLOOKUP($A73,#REF!,19,FALSE())&gt;2,HLOOKUP($A73,#REF!,19,FALSE())&lt;-2),"",#REF!),"")</f>
        <v/>
      </c>
      <c r="V73" s="0" t="n">
        <f aca="false">IFERROR(IF(AND(X73=0,Y73=0),0,1),0)</f>
        <v>1</v>
      </c>
      <c r="W73" s="3" t="str">
        <f aca="false">IFERROR(_xlfn.T.TEST(E73:M73,N73:U73,2,2),"")</f>
        <v/>
      </c>
      <c r="X73" s="0" t="str">
        <f aca="false">IFERROR(AVERAGE(E73:M73),"")</f>
        <v/>
      </c>
      <c r="Y73" s="0" t="str">
        <f aca="false">IFERROR(AVERAGE(N73:U73),"")</f>
        <v/>
      </c>
    </row>
    <row r="74" customFormat="false" ht="14.5" hidden="false" customHeight="false" outlineLevel="0" collapsed="false">
      <c r="A74" s="0" t="n">
        <v>76</v>
      </c>
      <c r="B74" s="0" t="s">
        <v>165</v>
      </c>
      <c r="C74" s="0" t="n">
        <v>96700</v>
      </c>
      <c r="D74" s="0" t="n">
        <v>370</v>
      </c>
      <c r="E74" s="0" t="str">
        <f aca="false">IFERROR(IF(OR(HLOOKUP($A74,#REF!,3,FALSE())&gt;2,HLOOKUP(A74,#REF!,3,FALSE())&lt;-2),"",#REF!),"")</f>
        <v/>
      </c>
      <c r="F74" s="0" t="str">
        <f aca="false">IFERROR(IF(OR(HLOOKUP($A74,#REF!,4,FALSE())&gt;2,HLOOKUP($A74,#REF!,4,FALSE())&lt;-2),"",#REF!),"")</f>
        <v/>
      </c>
      <c r="G74" s="0" t="str">
        <f aca="false">IFERROR(IF(OR(HLOOKUP($A74,#REF!,5,FALSE())&gt;2,HLOOKUP($A74,#REF!,5,FALSE())&lt;-2),"",#REF!),"")</f>
        <v/>
      </c>
      <c r="H74" s="0" t="str">
        <f aca="false">IFERROR(IF(OR(HLOOKUP($A74,#REF!,6,FALSE())&gt;2,HLOOKUP($A74,#REF!,6,FALSE())&lt;-2),"",#REF!),"")</f>
        <v/>
      </c>
      <c r="I74" s="0" t="str">
        <f aca="false">IFERROR(IF(OR(HLOOKUP($A74,#REF!,7,FALSE())&gt;2,HLOOKUP($A74,#REF!,7,FALSE())&lt;-2),"",#REF!),"")</f>
        <v/>
      </c>
      <c r="J74" s="0" t="str">
        <f aca="false">IFERROR(IF(OR(HLOOKUP($A74,#REF!,8,FALSE())&gt;2,HLOOKUP($A74,#REF!,8,FALSE())&lt;-2),"",#REF!),"")</f>
        <v/>
      </c>
      <c r="K74" s="0" t="str">
        <f aca="false">IFERROR(IF(OR(HLOOKUP($A74,#REF!,9,FALSE())&gt;2,HLOOKUP($A74,#REF!,9,FALSE())&lt;-2),"",#REF!),"")</f>
        <v/>
      </c>
      <c r="L74" s="0" t="str">
        <f aca="false">IFERROR(IF(OR(HLOOKUP($A74,#REF!,10,FALSE())&gt;2,HLOOKUP($A74,#REF!,10,FALSE())&lt;-2),"",#REF!),"")</f>
        <v/>
      </c>
      <c r="M74" s="0" t="str">
        <f aca="false">IFERROR(IF(OR(HLOOKUP($A74,#REF!,11,FALSE())&gt;2,HLOOKUP($A74,#REF!,11,FALSE())&lt;-2),"",#REF!),"")</f>
        <v/>
      </c>
      <c r="N74" s="0" t="str">
        <f aca="false">IFERROR(IF(OR(HLOOKUP($A74,#REF!,12,FALSE())&gt;2,HLOOKUP($A74,#REF!,12,FALSE())&lt;-2),"",#REF!),"")</f>
        <v/>
      </c>
      <c r="O74" s="0" t="str">
        <f aca="false">IFERROR(IF(OR(HLOOKUP($A74,#REF!,13,FALSE())&gt;2,HLOOKUP($A74,#REF!,13,FALSE())&lt;-2),"",#REF!),"")</f>
        <v/>
      </c>
      <c r="P74" s="0" t="str">
        <f aca="false">IFERROR(IF(OR(HLOOKUP($A74,#REF!,14,FALSE())&gt;2,HLOOKUP($A74,#REF!,14,FALSE())&lt;-2),"",#REF!),"")</f>
        <v/>
      </c>
      <c r="Q74" s="0" t="str">
        <f aca="false">IFERROR(IF(OR(HLOOKUP($A74,#REF!,15,FALSE())&gt;2,HLOOKUP($A74,#REF!,15,FALSE())&lt;-2),"",#REF!),"")</f>
        <v/>
      </c>
      <c r="R74" s="0" t="str">
        <f aca="false">IFERROR(IF(OR(HLOOKUP($A74,#REF!,16,FALSE())&gt;2,HLOOKUP($A74,#REF!,16,FALSE())&lt;-2),"",#REF!),"")</f>
        <v/>
      </c>
      <c r="S74" s="0" t="str">
        <f aca="false">IFERROR(IF(OR(HLOOKUP($A74,#REF!,17,FALSE())&gt;2,HLOOKUP($A74,#REF!,17,FALSE())&lt;-2),"",#REF!),"")</f>
        <v/>
      </c>
      <c r="T74" s="0" t="str">
        <f aca="false">IFERROR(IF(OR(HLOOKUP($A74,#REF!,18,FALSE())&gt;2,HLOOKUP($A74,#REF!,18,FALSE())&lt;-2),"",#REF!),"")</f>
        <v/>
      </c>
      <c r="U74" s="0" t="str">
        <f aca="false">IFERROR(IF(OR(HLOOKUP($A74,#REF!,19,FALSE())&gt;2,HLOOKUP($A74,#REF!,19,FALSE())&lt;-2),"",#REF!),"")</f>
        <v/>
      </c>
      <c r="V74" s="0" t="n">
        <f aca="false">IFERROR(IF(AND(X74=0,Y74=0),0,1),0)</f>
        <v>1</v>
      </c>
      <c r="W74" s="3" t="str">
        <f aca="false">IFERROR(_xlfn.T.TEST(E74:M74,N74:U74,2,2),"")</f>
        <v/>
      </c>
      <c r="X74" s="0" t="str">
        <f aca="false">IFERROR(AVERAGE(E74:M74),"")</f>
        <v/>
      </c>
      <c r="Y74" s="0" t="str">
        <f aca="false">IFERROR(AVERAGE(N74:U74),"")</f>
        <v/>
      </c>
    </row>
    <row r="75" customFormat="false" ht="14.5" hidden="false" customHeight="false" outlineLevel="0" collapsed="false">
      <c r="A75" s="0" t="n">
        <v>77</v>
      </c>
      <c r="B75" s="0" t="s">
        <v>166</v>
      </c>
      <c r="C75" s="0" t="n">
        <v>91600</v>
      </c>
      <c r="D75" s="0" t="n">
        <v>445</v>
      </c>
      <c r="E75" s="0" t="str">
        <f aca="false">IFERROR(IF(OR(HLOOKUP($A75,#REF!,3,FALSE())&gt;2,HLOOKUP(A75,#REF!,3,FALSE())&lt;-2),"",#REF!),"")</f>
        <v/>
      </c>
      <c r="F75" s="0" t="str">
        <f aca="false">IFERROR(IF(OR(HLOOKUP($A75,#REF!,4,FALSE())&gt;2,HLOOKUP($A75,#REF!,4,FALSE())&lt;-2),"",#REF!),"")</f>
        <v/>
      </c>
      <c r="G75" s="0" t="str">
        <f aca="false">IFERROR(IF(OR(HLOOKUP($A75,#REF!,5,FALSE())&gt;2,HLOOKUP($A75,#REF!,5,FALSE())&lt;-2),"",#REF!),"")</f>
        <v/>
      </c>
      <c r="H75" s="0" t="str">
        <f aca="false">IFERROR(IF(OR(HLOOKUP($A75,#REF!,6,FALSE())&gt;2,HLOOKUP($A75,#REF!,6,FALSE())&lt;-2),"",#REF!),"")</f>
        <v/>
      </c>
      <c r="I75" s="0" t="str">
        <f aca="false">IFERROR(IF(OR(HLOOKUP($A75,#REF!,7,FALSE())&gt;2,HLOOKUP($A75,#REF!,7,FALSE())&lt;-2),"",#REF!),"")</f>
        <v/>
      </c>
      <c r="J75" s="0" t="str">
        <f aca="false">IFERROR(IF(OR(HLOOKUP($A75,#REF!,8,FALSE())&gt;2,HLOOKUP($A75,#REF!,8,FALSE())&lt;-2),"",#REF!),"")</f>
        <v/>
      </c>
      <c r="K75" s="0" t="str">
        <f aca="false">IFERROR(IF(OR(HLOOKUP($A75,#REF!,9,FALSE())&gt;2,HLOOKUP($A75,#REF!,9,FALSE())&lt;-2),"",#REF!),"")</f>
        <v/>
      </c>
      <c r="L75" s="0" t="str">
        <f aca="false">IFERROR(IF(OR(HLOOKUP($A75,#REF!,10,FALSE())&gt;2,HLOOKUP($A75,#REF!,10,FALSE())&lt;-2),"",#REF!),"")</f>
        <v/>
      </c>
      <c r="M75" s="0" t="str">
        <f aca="false">IFERROR(IF(OR(HLOOKUP($A75,#REF!,11,FALSE())&gt;2,HLOOKUP($A75,#REF!,11,FALSE())&lt;-2),"",#REF!),"")</f>
        <v/>
      </c>
      <c r="N75" s="0" t="str">
        <f aca="false">IFERROR(IF(OR(HLOOKUP($A75,#REF!,12,FALSE())&gt;2,HLOOKUP($A75,#REF!,12,FALSE())&lt;-2),"",#REF!),"")</f>
        <v/>
      </c>
      <c r="O75" s="0" t="str">
        <f aca="false">IFERROR(IF(OR(HLOOKUP($A75,#REF!,13,FALSE())&gt;2,HLOOKUP($A75,#REF!,13,FALSE())&lt;-2),"",#REF!),"")</f>
        <v/>
      </c>
      <c r="P75" s="0" t="str">
        <f aca="false">IFERROR(IF(OR(HLOOKUP($A75,#REF!,14,FALSE())&gt;2,HLOOKUP($A75,#REF!,14,FALSE())&lt;-2),"",#REF!),"")</f>
        <v/>
      </c>
      <c r="Q75" s="0" t="str">
        <f aca="false">IFERROR(IF(OR(HLOOKUP($A75,#REF!,15,FALSE())&gt;2,HLOOKUP($A75,#REF!,15,FALSE())&lt;-2),"",#REF!),"")</f>
        <v/>
      </c>
      <c r="R75" s="0" t="str">
        <f aca="false">IFERROR(IF(OR(HLOOKUP($A75,#REF!,16,FALSE())&gt;2,HLOOKUP($A75,#REF!,16,FALSE())&lt;-2),"",#REF!),"")</f>
        <v/>
      </c>
      <c r="S75" s="0" t="str">
        <f aca="false">IFERROR(IF(OR(HLOOKUP($A75,#REF!,17,FALSE())&gt;2,HLOOKUP($A75,#REF!,17,FALSE())&lt;-2),"",#REF!),"")</f>
        <v/>
      </c>
      <c r="T75" s="0" t="str">
        <f aca="false">IFERROR(IF(OR(HLOOKUP($A75,#REF!,18,FALSE())&gt;2,HLOOKUP($A75,#REF!,18,FALSE())&lt;-2),"",#REF!),"")</f>
        <v/>
      </c>
      <c r="U75" s="0" t="str">
        <f aca="false">IFERROR(IF(OR(HLOOKUP($A75,#REF!,19,FALSE())&gt;2,HLOOKUP($A75,#REF!,19,FALSE())&lt;-2),"",#REF!),"")</f>
        <v/>
      </c>
      <c r="V75" s="0" t="n">
        <f aca="false">IFERROR(IF(AND(X75=0,Y75=0),0,1),0)</f>
        <v>1</v>
      </c>
      <c r="W75" s="3" t="str">
        <f aca="false">IFERROR(_xlfn.T.TEST(E75:M75,N75:U75,2,2),"")</f>
        <v/>
      </c>
      <c r="X75" s="0" t="str">
        <f aca="false">IFERROR(AVERAGE(E75:M75),"")</f>
        <v/>
      </c>
      <c r="Y75" s="0" t="str">
        <f aca="false">IFERROR(AVERAGE(N75:U75),"")</f>
        <v/>
      </c>
    </row>
    <row r="76" customFormat="false" ht="14.5" hidden="false" customHeight="false" outlineLevel="0" collapsed="false">
      <c r="A76" s="0" t="n">
        <v>78</v>
      </c>
      <c r="B76" s="0" t="s">
        <v>167</v>
      </c>
      <c r="C76" s="0" t="n">
        <v>105000</v>
      </c>
      <c r="D76" s="0" t="n">
        <v>752</v>
      </c>
      <c r="E76" s="0" t="str">
        <f aca="false">IFERROR(IF(OR(HLOOKUP($A76,#REF!,3,FALSE())&gt;2,HLOOKUP(A76,#REF!,3,FALSE())&lt;-2),"",#REF!),"")</f>
        <v/>
      </c>
      <c r="F76" s="0" t="str">
        <f aca="false">IFERROR(IF(OR(HLOOKUP($A76,#REF!,4,FALSE())&gt;2,HLOOKUP($A76,#REF!,4,FALSE())&lt;-2),"",#REF!),"")</f>
        <v/>
      </c>
      <c r="G76" s="0" t="str">
        <f aca="false">IFERROR(IF(OR(HLOOKUP($A76,#REF!,5,FALSE())&gt;2,HLOOKUP($A76,#REF!,5,FALSE())&lt;-2),"",#REF!),"")</f>
        <v/>
      </c>
      <c r="H76" s="0" t="str">
        <f aca="false">IFERROR(IF(OR(HLOOKUP($A76,#REF!,6,FALSE())&gt;2,HLOOKUP($A76,#REF!,6,FALSE())&lt;-2),"",#REF!),"")</f>
        <v/>
      </c>
      <c r="I76" s="0" t="str">
        <f aca="false">IFERROR(IF(OR(HLOOKUP($A76,#REF!,7,FALSE())&gt;2,HLOOKUP($A76,#REF!,7,FALSE())&lt;-2),"",#REF!),"")</f>
        <v/>
      </c>
      <c r="J76" s="0" t="str">
        <f aca="false">IFERROR(IF(OR(HLOOKUP($A76,#REF!,8,FALSE())&gt;2,HLOOKUP($A76,#REF!,8,FALSE())&lt;-2),"",#REF!),"")</f>
        <v/>
      </c>
      <c r="K76" s="0" t="str">
        <f aca="false">IFERROR(IF(OR(HLOOKUP($A76,#REF!,9,FALSE())&gt;2,HLOOKUP($A76,#REF!,9,FALSE())&lt;-2),"",#REF!),"")</f>
        <v/>
      </c>
      <c r="L76" s="0" t="str">
        <f aca="false">IFERROR(IF(OR(HLOOKUP($A76,#REF!,10,FALSE())&gt;2,HLOOKUP($A76,#REF!,10,FALSE())&lt;-2),"",#REF!),"")</f>
        <v/>
      </c>
      <c r="M76" s="0" t="str">
        <f aca="false">IFERROR(IF(OR(HLOOKUP($A76,#REF!,11,FALSE())&gt;2,HLOOKUP($A76,#REF!,11,FALSE())&lt;-2),"",#REF!),"")</f>
        <v/>
      </c>
      <c r="N76" s="0" t="str">
        <f aca="false">IFERROR(IF(OR(HLOOKUP($A76,#REF!,12,FALSE())&gt;2,HLOOKUP($A76,#REF!,12,FALSE())&lt;-2),"",#REF!),"")</f>
        <v/>
      </c>
      <c r="O76" s="0" t="str">
        <f aca="false">IFERROR(IF(OR(HLOOKUP($A76,#REF!,13,FALSE())&gt;2,HLOOKUP($A76,#REF!,13,FALSE())&lt;-2),"",#REF!),"")</f>
        <v/>
      </c>
      <c r="P76" s="0" t="str">
        <f aca="false">IFERROR(IF(OR(HLOOKUP($A76,#REF!,14,FALSE())&gt;2,HLOOKUP($A76,#REF!,14,FALSE())&lt;-2),"",#REF!),"")</f>
        <v/>
      </c>
      <c r="Q76" s="0" t="str">
        <f aca="false">IFERROR(IF(OR(HLOOKUP($A76,#REF!,15,FALSE())&gt;2,HLOOKUP($A76,#REF!,15,FALSE())&lt;-2),"",#REF!),"")</f>
        <v/>
      </c>
      <c r="R76" s="0" t="str">
        <f aca="false">IFERROR(IF(OR(HLOOKUP($A76,#REF!,16,FALSE())&gt;2,HLOOKUP($A76,#REF!,16,FALSE())&lt;-2),"",#REF!),"")</f>
        <v/>
      </c>
      <c r="S76" s="0" t="str">
        <f aca="false">IFERROR(IF(OR(HLOOKUP($A76,#REF!,17,FALSE())&gt;2,HLOOKUP($A76,#REF!,17,FALSE())&lt;-2),"",#REF!),"")</f>
        <v/>
      </c>
      <c r="T76" s="0" t="str">
        <f aca="false">IFERROR(IF(OR(HLOOKUP($A76,#REF!,18,FALSE())&gt;2,HLOOKUP($A76,#REF!,18,FALSE())&lt;-2),"",#REF!),"")</f>
        <v/>
      </c>
      <c r="U76" s="0" t="str">
        <f aca="false">IFERROR(IF(OR(HLOOKUP($A76,#REF!,19,FALSE())&gt;2,HLOOKUP($A76,#REF!,19,FALSE())&lt;-2),"",#REF!),"")</f>
        <v/>
      </c>
      <c r="V76" s="0" t="n">
        <f aca="false">IFERROR(IF(AND(X76=0,Y76=0),0,1),0)</f>
        <v>1</v>
      </c>
      <c r="W76" s="3" t="str">
        <f aca="false">IFERROR(_xlfn.T.TEST(E76:M76,N76:U76,2,2),"")</f>
        <v/>
      </c>
      <c r="X76" s="0" t="str">
        <f aca="false">IFERROR(AVERAGE(E76:M76),"")</f>
        <v/>
      </c>
      <c r="Y76" s="0" t="str">
        <f aca="false">IFERROR(AVERAGE(N76:U76),"")</f>
        <v/>
      </c>
    </row>
    <row r="77" customFormat="false" ht="14.5" hidden="false" customHeight="false" outlineLevel="0" collapsed="false">
      <c r="A77" s="0" t="n">
        <v>79</v>
      </c>
      <c r="B77" s="0" t="s">
        <v>168</v>
      </c>
      <c r="C77" s="0" t="n">
        <v>70800</v>
      </c>
      <c r="D77" s="0" t="n">
        <v>71</v>
      </c>
      <c r="E77" s="0" t="str">
        <f aca="false">IFERROR(IF(OR(HLOOKUP($A77,#REF!,3,FALSE())&gt;2,HLOOKUP(A77,#REF!,3,FALSE())&lt;-2),"",#REF!),"")</f>
        <v/>
      </c>
      <c r="F77" s="0" t="str">
        <f aca="false">IFERROR(IF(OR(HLOOKUP($A77,#REF!,4,FALSE())&gt;2,HLOOKUP($A77,#REF!,4,FALSE())&lt;-2),"",#REF!),"")</f>
        <v/>
      </c>
      <c r="G77" s="0" t="str">
        <f aca="false">IFERROR(IF(OR(HLOOKUP($A77,#REF!,5,FALSE())&gt;2,HLOOKUP($A77,#REF!,5,FALSE())&lt;-2),"",#REF!),"")</f>
        <v/>
      </c>
      <c r="H77" s="0" t="str">
        <f aca="false">IFERROR(IF(OR(HLOOKUP($A77,#REF!,6,FALSE())&gt;2,HLOOKUP($A77,#REF!,6,FALSE())&lt;-2),"",#REF!),"")</f>
        <v/>
      </c>
      <c r="I77" s="0" t="str">
        <f aca="false">IFERROR(IF(OR(HLOOKUP($A77,#REF!,7,FALSE())&gt;2,HLOOKUP($A77,#REF!,7,FALSE())&lt;-2),"",#REF!),"")</f>
        <v/>
      </c>
      <c r="J77" s="0" t="str">
        <f aca="false">IFERROR(IF(OR(HLOOKUP($A77,#REF!,8,FALSE())&gt;2,HLOOKUP($A77,#REF!,8,FALSE())&lt;-2),"",#REF!),"")</f>
        <v/>
      </c>
      <c r="K77" s="0" t="str">
        <f aca="false">IFERROR(IF(OR(HLOOKUP($A77,#REF!,9,FALSE())&gt;2,HLOOKUP($A77,#REF!,9,FALSE())&lt;-2),"",#REF!),"")</f>
        <v/>
      </c>
      <c r="L77" s="0" t="str">
        <f aca="false">IFERROR(IF(OR(HLOOKUP($A77,#REF!,10,FALSE())&gt;2,HLOOKUP($A77,#REF!,10,FALSE())&lt;-2),"",#REF!),"")</f>
        <v/>
      </c>
      <c r="M77" s="0" t="str">
        <f aca="false">IFERROR(IF(OR(HLOOKUP($A77,#REF!,11,FALSE())&gt;2,HLOOKUP($A77,#REF!,11,FALSE())&lt;-2),"",#REF!),"")</f>
        <v/>
      </c>
      <c r="N77" s="0" t="str">
        <f aca="false">IFERROR(IF(OR(HLOOKUP($A77,#REF!,12,FALSE())&gt;2,HLOOKUP($A77,#REF!,12,FALSE())&lt;-2),"",#REF!),"")</f>
        <v/>
      </c>
      <c r="O77" s="0" t="str">
        <f aca="false">IFERROR(IF(OR(HLOOKUP($A77,#REF!,13,FALSE())&gt;2,HLOOKUP($A77,#REF!,13,FALSE())&lt;-2),"",#REF!),"")</f>
        <v/>
      </c>
      <c r="P77" s="0" t="str">
        <f aca="false">IFERROR(IF(OR(HLOOKUP($A77,#REF!,14,FALSE())&gt;2,HLOOKUP($A77,#REF!,14,FALSE())&lt;-2),"",#REF!),"")</f>
        <v/>
      </c>
      <c r="Q77" s="0" t="str">
        <f aca="false">IFERROR(IF(OR(HLOOKUP($A77,#REF!,15,FALSE())&gt;2,HLOOKUP($A77,#REF!,15,FALSE())&lt;-2),"",#REF!),"")</f>
        <v/>
      </c>
      <c r="R77" s="0" t="str">
        <f aca="false">IFERROR(IF(OR(HLOOKUP($A77,#REF!,16,FALSE())&gt;2,HLOOKUP($A77,#REF!,16,FALSE())&lt;-2),"",#REF!),"")</f>
        <v/>
      </c>
      <c r="S77" s="0" t="str">
        <f aca="false">IFERROR(IF(OR(HLOOKUP($A77,#REF!,17,FALSE())&gt;2,HLOOKUP($A77,#REF!,17,FALSE())&lt;-2),"",#REF!),"")</f>
        <v/>
      </c>
      <c r="T77" s="0" t="str">
        <f aca="false">IFERROR(IF(OR(HLOOKUP($A77,#REF!,18,FALSE())&gt;2,HLOOKUP($A77,#REF!,18,FALSE())&lt;-2),"",#REF!),"")</f>
        <v/>
      </c>
      <c r="U77" s="0" t="str">
        <f aca="false">IFERROR(IF(OR(HLOOKUP($A77,#REF!,19,FALSE())&gt;2,HLOOKUP($A77,#REF!,19,FALSE())&lt;-2),"",#REF!),"")</f>
        <v/>
      </c>
      <c r="V77" s="0" t="n">
        <f aca="false">IFERROR(IF(AND(X77=0,Y77=0),0,1),0)</f>
        <v>1</v>
      </c>
      <c r="W77" s="3" t="str">
        <f aca="false">IFERROR(_xlfn.T.TEST(E77:M77,N77:U77,2,2),"")</f>
        <v/>
      </c>
      <c r="X77" s="0" t="str">
        <f aca="false">IFERROR(AVERAGE(E77:M77),"")</f>
        <v/>
      </c>
      <c r="Y77" s="0" t="str">
        <f aca="false">IFERROR(AVERAGE(N77:U77),"")</f>
        <v/>
      </c>
    </row>
    <row r="78" customFormat="false" ht="14.5" hidden="false" customHeight="false" outlineLevel="0" collapsed="false">
      <c r="A78" s="0" t="n">
        <v>80</v>
      </c>
      <c r="B78" s="0" t="s">
        <v>169</v>
      </c>
      <c r="C78" s="0" t="n">
        <v>72100</v>
      </c>
      <c r="D78" s="0" t="n">
        <v>141</v>
      </c>
      <c r="E78" s="0" t="str">
        <f aca="false">IFERROR(IF(OR(HLOOKUP($A78,#REF!,3,FALSE())&gt;2,HLOOKUP(A78,#REF!,3,FALSE())&lt;-2),"",#REF!),"")</f>
        <v/>
      </c>
      <c r="F78" s="0" t="str">
        <f aca="false">IFERROR(IF(OR(HLOOKUP($A78,#REF!,4,FALSE())&gt;2,HLOOKUP($A78,#REF!,4,FALSE())&lt;-2),"",#REF!),"")</f>
        <v/>
      </c>
      <c r="G78" s="0" t="str">
        <f aca="false">IFERROR(IF(OR(HLOOKUP($A78,#REF!,5,FALSE())&gt;2,HLOOKUP($A78,#REF!,5,FALSE())&lt;-2),"",#REF!),"")</f>
        <v/>
      </c>
      <c r="H78" s="0" t="str">
        <f aca="false">IFERROR(IF(OR(HLOOKUP($A78,#REF!,6,FALSE())&gt;2,HLOOKUP($A78,#REF!,6,FALSE())&lt;-2),"",#REF!),"")</f>
        <v/>
      </c>
      <c r="I78" s="0" t="str">
        <f aca="false">IFERROR(IF(OR(HLOOKUP($A78,#REF!,7,FALSE())&gt;2,HLOOKUP($A78,#REF!,7,FALSE())&lt;-2),"",#REF!),"")</f>
        <v/>
      </c>
      <c r="J78" s="0" t="str">
        <f aca="false">IFERROR(IF(OR(HLOOKUP($A78,#REF!,8,FALSE())&gt;2,HLOOKUP($A78,#REF!,8,FALSE())&lt;-2),"",#REF!),"")</f>
        <v/>
      </c>
      <c r="K78" s="0" t="str">
        <f aca="false">IFERROR(IF(OR(HLOOKUP($A78,#REF!,9,FALSE())&gt;2,HLOOKUP($A78,#REF!,9,FALSE())&lt;-2),"",#REF!),"")</f>
        <v/>
      </c>
      <c r="L78" s="0" t="str">
        <f aca="false">IFERROR(IF(OR(HLOOKUP($A78,#REF!,10,FALSE())&gt;2,HLOOKUP($A78,#REF!,10,FALSE())&lt;-2),"",#REF!),"")</f>
        <v/>
      </c>
      <c r="M78" s="0" t="str">
        <f aca="false">IFERROR(IF(OR(HLOOKUP($A78,#REF!,11,FALSE())&gt;2,HLOOKUP($A78,#REF!,11,FALSE())&lt;-2),"",#REF!),"")</f>
        <v/>
      </c>
      <c r="N78" s="0" t="str">
        <f aca="false">IFERROR(IF(OR(HLOOKUP($A78,#REF!,12,FALSE())&gt;2,HLOOKUP($A78,#REF!,12,FALSE())&lt;-2),"",#REF!),"")</f>
        <v/>
      </c>
      <c r="O78" s="0" t="str">
        <f aca="false">IFERROR(IF(OR(HLOOKUP($A78,#REF!,13,FALSE())&gt;2,HLOOKUP($A78,#REF!,13,FALSE())&lt;-2),"",#REF!),"")</f>
        <v/>
      </c>
      <c r="P78" s="0" t="str">
        <f aca="false">IFERROR(IF(OR(HLOOKUP($A78,#REF!,14,FALSE())&gt;2,HLOOKUP($A78,#REF!,14,FALSE())&lt;-2),"",#REF!),"")</f>
        <v/>
      </c>
      <c r="Q78" s="0" t="str">
        <f aca="false">IFERROR(IF(OR(HLOOKUP($A78,#REF!,15,FALSE())&gt;2,HLOOKUP($A78,#REF!,15,FALSE())&lt;-2),"",#REF!),"")</f>
        <v/>
      </c>
      <c r="R78" s="0" t="str">
        <f aca="false">IFERROR(IF(OR(HLOOKUP($A78,#REF!,16,FALSE())&gt;2,HLOOKUP($A78,#REF!,16,FALSE())&lt;-2),"",#REF!),"")</f>
        <v/>
      </c>
      <c r="S78" s="0" t="str">
        <f aca="false">IFERROR(IF(OR(HLOOKUP($A78,#REF!,17,FALSE())&gt;2,HLOOKUP($A78,#REF!,17,FALSE())&lt;-2),"",#REF!),"")</f>
        <v/>
      </c>
      <c r="T78" s="0" t="str">
        <f aca="false">IFERROR(IF(OR(HLOOKUP($A78,#REF!,18,FALSE())&gt;2,HLOOKUP($A78,#REF!,18,FALSE())&lt;-2),"",#REF!),"")</f>
        <v/>
      </c>
      <c r="U78" s="0" t="str">
        <f aca="false">IFERROR(IF(OR(HLOOKUP($A78,#REF!,19,FALSE())&gt;2,HLOOKUP($A78,#REF!,19,FALSE())&lt;-2),"",#REF!),"")</f>
        <v/>
      </c>
      <c r="V78" s="0" t="n">
        <f aca="false">IFERROR(IF(AND(X78=0,Y78=0),0,1),0)</f>
        <v>1</v>
      </c>
      <c r="W78" s="3" t="str">
        <f aca="false">IFERROR(_xlfn.T.TEST(E78:M78,N78:U78,2,2),"")</f>
        <v/>
      </c>
      <c r="X78" s="0" t="str">
        <f aca="false">IFERROR(AVERAGE(E78:M78),"")</f>
        <v/>
      </c>
      <c r="Y78" s="0" t="str">
        <f aca="false">IFERROR(AVERAGE(N78:U78),"")</f>
        <v/>
      </c>
    </row>
    <row r="79" customFormat="false" ht="14.5" hidden="false" customHeight="false" outlineLevel="0" collapsed="false">
      <c r="A79" s="0" t="n">
        <v>81</v>
      </c>
      <c r="B79" s="0" t="s">
        <v>170</v>
      </c>
      <c r="C79" s="0" t="n">
        <v>115900</v>
      </c>
      <c r="D79" s="0" t="n">
        <v>73</v>
      </c>
      <c r="E79" s="0" t="str">
        <f aca="false">IFERROR(IF(OR(HLOOKUP($A79,#REF!,3,FALSE())&gt;2,HLOOKUP(A79,#REF!,3,FALSE())&lt;-2),"",#REF!),"")</f>
        <v/>
      </c>
      <c r="F79" s="0" t="str">
        <f aca="false">IFERROR(IF(OR(HLOOKUP($A79,#REF!,4,FALSE())&gt;2,HLOOKUP($A79,#REF!,4,FALSE())&lt;-2),"",#REF!),"")</f>
        <v/>
      </c>
      <c r="G79" s="0" t="str">
        <f aca="false">IFERROR(IF(OR(HLOOKUP($A79,#REF!,5,FALSE())&gt;2,HLOOKUP($A79,#REF!,5,FALSE())&lt;-2),"",#REF!),"")</f>
        <v/>
      </c>
      <c r="H79" s="0" t="str">
        <f aca="false">IFERROR(IF(OR(HLOOKUP($A79,#REF!,6,FALSE())&gt;2,HLOOKUP($A79,#REF!,6,FALSE())&lt;-2),"",#REF!),"")</f>
        <v/>
      </c>
      <c r="I79" s="0" t="str">
        <f aca="false">IFERROR(IF(OR(HLOOKUP($A79,#REF!,7,FALSE())&gt;2,HLOOKUP($A79,#REF!,7,FALSE())&lt;-2),"",#REF!),"")</f>
        <v/>
      </c>
      <c r="J79" s="0" t="str">
        <f aca="false">IFERROR(IF(OR(HLOOKUP($A79,#REF!,8,FALSE())&gt;2,HLOOKUP($A79,#REF!,8,FALSE())&lt;-2),"",#REF!),"")</f>
        <v/>
      </c>
      <c r="K79" s="0" t="str">
        <f aca="false">IFERROR(IF(OR(HLOOKUP($A79,#REF!,9,FALSE())&gt;2,HLOOKUP($A79,#REF!,9,FALSE())&lt;-2),"",#REF!),"")</f>
        <v/>
      </c>
      <c r="L79" s="0" t="str">
        <f aca="false">IFERROR(IF(OR(HLOOKUP($A79,#REF!,10,FALSE())&gt;2,HLOOKUP($A79,#REF!,10,FALSE())&lt;-2),"",#REF!),"")</f>
        <v/>
      </c>
      <c r="M79" s="0" t="str">
        <f aca="false">IFERROR(IF(OR(HLOOKUP($A79,#REF!,11,FALSE())&gt;2,HLOOKUP($A79,#REF!,11,FALSE())&lt;-2),"",#REF!),"")</f>
        <v/>
      </c>
      <c r="N79" s="0" t="str">
        <f aca="false">IFERROR(IF(OR(HLOOKUP($A79,#REF!,12,FALSE())&gt;2,HLOOKUP($A79,#REF!,12,FALSE())&lt;-2),"",#REF!),"")</f>
        <v/>
      </c>
      <c r="O79" s="0" t="str">
        <f aca="false">IFERROR(IF(OR(HLOOKUP($A79,#REF!,13,FALSE())&gt;2,HLOOKUP($A79,#REF!,13,FALSE())&lt;-2),"",#REF!),"")</f>
        <v/>
      </c>
      <c r="P79" s="0" t="str">
        <f aca="false">IFERROR(IF(OR(HLOOKUP($A79,#REF!,14,FALSE())&gt;2,HLOOKUP($A79,#REF!,14,FALSE())&lt;-2),"",#REF!),"")</f>
        <v/>
      </c>
      <c r="Q79" s="0" t="str">
        <f aca="false">IFERROR(IF(OR(HLOOKUP($A79,#REF!,15,FALSE())&gt;2,HLOOKUP($A79,#REF!,15,FALSE())&lt;-2),"",#REF!),"")</f>
        <v/>
      </c>
      <c r="R79" s="0" t="str">
        <f aca="false">IFERROR(IF(OR(HLOOKUP($A79,#REF!,16,FALSE())&gt;2,HLOOKUP($A79,#REF!,16,FALSE())&lt;-2),"",#REF!),"")</f>
        <v/>
      </c>
      <c r="S79" s="0" t="str">
        <f aca="false">IFERROR(IF(OR(HLOOKUP($A79,#REF!,17,FALSE())&gt;2,HLOOKUP($A79,#REF!,17,FALSE())&lt;-2),"",#REF!),"")</f>
        <v/>
      </c>
      <c r="T79" s="0" t="str">
        <f aca="false">IFERROR(IF(OR(HLOOKUP($A79,#REF!,18,FALSE())&gt;2,HLOOKUP($A79,#REF!,18,FALSE())&lt;-2),"",#REF!),"")</f>
        <v/>
      </c>
      <c r="U79" s="0" t="str">
        <f aca="false">IFERROR(IF(OR(HLOOKUP($A79,#REF!,19,FALSE())&gt;2,HLOOKUP($A79,#REF!,19,FALSE())&lt;-2),"",#REF!),"")</f>
        <v/>
      </c>
      <c r="V79" s="0" t="n">
        <f aca="false">IFERROR(IF(AND(X79=0,Y79=0),0,1),0)</f>
        <v>1</v>
      </c>
      <c r="W79" s="3" t="str">
        <f aca="false">IFERROR(_xlfn.T.TEST(E79:M79,N79:U79,2,2),"")</f>
        <v/>
      </c>
      <c r="X79" s="0" t="str">
        <f aca="false">IFERROR(AVERAGE(E79:M79),"")</f>
        <v/>
      </c>
      <c r="Y79" s="0" t="str">
        <f aca="false">IFERROR(AVERAGE(N79:U79),"")</f>
        <v/>
      </c>
    </row>
    <row r="80" customFormat="false" ht="14.5" hidden="false" customHeight="false" outlineLevel="0" collapsed="false">
      <c r="A80" s="0" t="n">
        <v>82</v>
      </c>
      <c r="B80" s="0" t="s">
        <v>171</v>
      </c>
      <c r="C80" s="0" t="n">
        <v>85000</v>
      </c>
      <c r="D80" s="0" t="n">
        <v>612</v>
      </c>
      <c r="E80" s="0" t="str">
        <f aca="false">IFERROR(IF(OR(HLOOKUP($A80,#REF!,3,FALSE())&gt;2,HLOOKUP(A80,#REF!,3,FALSE())&lt;-2),"",#REF!),"")</f>
        <v/>
      </c>
      <c r="F80" s="0" t="str">
        <f aca="false">IFERROR(IF(OR(HLOOKUP($A80,#REF!,4,FALSE())&gt;2,HLOOKUP($A80,#REF!,4,FALSE())&lt;-2),"",#REF!),"")</f>
        <v/>
      </c>
      <c r="G80" s="0" t="str">
        <f aca="false">IFERROR(IF(OR(HLOOKUP($A80,#REF!,5,FALSE())&gt;2,HLOOKUP($A80,#REF!,5,FALSE())&lt;-2),"",#REF!),"")</f>
        <v/>
      </c>
      <c r="H80" s="0" t="str">
        <f aca="false">IFERROR(IF(OR(HLOOKUP($A80,#REF!,6,FALSE())&gt;2,HLOOKUP($A80,#REF!,6,FALSE())&lt;-2),"",#REF!),"")</f>
        <v/>
      </c>
      <c r="I80" s="0" t="str">
        <f aca="false">IFERROR(IF(OR(HLOOKUP($A80,#REF!,7,FALSE())&gt;2,HLOOKUP($A80,#REF!,7,FALSE())&lt;-2),"",#REF!),"")</f>
        <v/>
      </c>
      <c r="J80" s="0" t="str">
        <f aca="false">IFERROR(IF(OR(HLOOKUP($A80,#REF!,8,FALSE())&gt;2,HLOOKUP($A80,#REF!,8,FALSE())&lt;-2),"",#REF!),"")</f>
        <v/>
      </c>
      <c r="K80" s="0" t="str">
        <f aca="false">IFERROR(IF(OR(HLOOKUP($A80,#REF!,9,FALSE())&gt;2,HLOOKUP($A80,#REF!,9,FALSE())&lt;-2),"",#REF!),"")</f>
        <v/>
      </c>
      <c r="L80" s="0" t="str">
        <f aca="false">IFERROR(IF(OR(HLOOKUP($A80,#REF!,10,FALSE())&gt;2,HLOOKUP($A80,#REF!,10,FALSE())&lt;-2),"",#REF!),"")</f>
        <v/>
      </c>
      <c r="M80" s="0" t="str">
        <f aca="false">IFERROR(IF(OR(HLOOKUP($A80,#REF!,11,FALSE())&gt;2,HLOOKUP($A80,#REF!,11,FALSE())&lt;-2),"",#REF!),"")</f>
        <v/>
      </c>
      <c r="N80" s="0" t="str">
        <f aca="false">IFERROR(IF(OR(HLOOKUP($A80,#REF!,12,FALSE())&gt;2,HLOOKUP($A80,#REF!,12,FALSE())&lt;-2),"",#REF!),"")</f>
        <v/>
      </c>
      <c r="O80" s="0" t="str">
        <f aca="false">IFERROR(IF(OR(HLOOKUP($A80,#REF!,13,FALSE())&gt;2,HLOOKUP($A80,#REF!,13,FALSE())&lt;-2),"",#REF!),"")</f>
        <v/>
      </c>
      <c r="P80" s="0" t="str">
        <f aca="false">IFERROR(IF(OR(HLOOKUP($A80,#REF!,14,FALSE())&gt;2,HLOOKUP($A80,#REF!,14,FALSE())&lt;-2),"",#REF!),"")</f>
        <v/>
      </c>
      <c r="Q80" s="0" t="str">
        <f aca="false">IFERROR(IF(OR(HLOOKUP($A80,#REF!,15,FALSE())&gt;2,HLOOKUP($A80,#REF!,15,FALSE())&lt;-2),"",#REF!),"")</f>
        <v/>
      </c>
      <c r="R80" s="0" t="str">
        <f aca="false">IFERROR(IF(OR(HLOOKUP($A80,#REF!,16,FALSE())&gt;2,HLOOKUP($A80,#REF!,16,FALSE())&lt;-2),"",#REF!),"")</f>
        <v/>
      </c>
      <c r="S80" s="0" t="str">
        <f aca="false">IFERROR(IF(OR(HLOOKUP($A80,#REF!,17,FALSE())&gt;2,HLOOKUP($A80,#REF!,17,FALSE())&lt;-2),"",#REF!),"")</f>
        <v/>
      </c>
      <c r="T80" s="0" t="str">
        <f aca="false">IFERROR(IF(OR(HLOOKUP($A80,#REF!,18,FALSE())&gt;2,HLOOKUP($A80,#REF!,18,FALSE())&lt;-2),"",#REF!),"")</f>
        <v/>
      </c>
      <c r="U80" s="0" t="str">
        <f aca="false">IFERROR(IF(OR(HLOOKUP($A80,#REF!,19,FALSE())&gt;2,HLOOKUP($A80,#REF!,19,FALSE())&lt;-2),"",#REF!),"")</f>
        <v/>
      </c>
      <c r="V80" s="0" t="n">
        <f aca="false">IFERROR(IF(AND(X80=0,Y80=0),0,1),0)</f>
        <v>1</v>
      </c>
      <c r="W80" s="3" t="str">
        <f aca="false">IFERROR(_xlfn.T.TEST(E80:M80,N80:U80,2,2),"")</f>
        <v/>
      </c>
      <c r="X80" s="0" t="str">
        <f aca="false">IFERROR(AVERAGE(E80:M80),"")</f>
        <v/>
      </c>
      <c r="Y80" s="0" t="str">
        <f aca="false">IFERROR(AVERAGE(N80:U80),"")</f>
        <v/>
      </c>
    </row>
    <row r="81" customFormat="false" ht="14.5" hidden="false" customHeight="false" outlineLevel="0" collapsed="false">
      <c r="A81" s="0" t="n">
        <v>83</v>
      </c>
      <c r="B81" s="0" t="s">
        <v>172</v>
      </c>
      <c r="C81" s="0" t="n">
        <v>93500</v>
      </c>
      <c r="D81" s="0" t="n">
        <v>370</v>
      </c>
      <c r="E81" s="0" t="str">
        <f aca="false">IFERROR(IF(OR(HLOOKUP($A81,#REF!,3,FALSE())&gt;2,HLOOKUP(A81,#REF!,3,FALSE())&lt;-2),"",#REF!),"")</f>
        <v/>
      </c>
      <c r="F81" s="0" t="str">
        <f aca="false">IFERROR(IF(OR(HLOOKUP($A81,#REF!,4,FALSE())&gt;2,HLOOKUP($A81,#REF!,4,FALSE())&lt;-2),"",#REF!),"")</f>
        <v/>
      </c>
      <c r="G81" s="0" t="str">
        <f aca="false">IFERROR(IF(OR(HLOOKUP($A81,#REF!,5,FALSE())&gt;2,HLOOKUP($A81,#REF!,5,FALSE())&lt;-2),"",#REF!),"")</f>
        <v/>
      </c>
      <c r="H81" s="0" t="str">
        <f aca="false">IFERROR(IF(OR(HLOOKUP($A81,#REF!,6,FALSE())&gt;2,HLOOKUP($A81,#REF!,6,FALSE())&lt;-2),"",#REF!),"")</f>
        <v/>
      </c>
      <c r="I81" s="0" t="str">
        <f aca="false">IFERROR(IF(OR(HLOOKUP($A81,#REF!,7,FALSE())&gt;2,HLOOKUP($A81,#REF!,7,FALSE())&lt;-2),"",#REF!),"")</f>
        <v/>
      </c>
      <c r="J81" s="0" t="str">
        <f aca="false">IFERROR(IF(OR(HLOOKUP($A81,#REF!,8,FALSE())&gt;2,HLOOKUP($A81,#REF!,8,FALSE())&lt;-2),"",#REF!),"")</f>
        <v/>
      </c>
      <c r="K81" s="0" t="str">
        <f aca="false">IFERROR(IF(OR(HLOOKUP($A81,#REF!,9,FALSE())&gt;2,HLOOKUP($A81,#REF!,9,FALSE())&lt;-2),"",#REF!),"")</f>
        <v/>
      </c>
      <c r="L81" s="0" t="str">
        <f aca="false">IFERROR(IF(OR(HLOOKUP($A81,#REF!,10,FALSE())&gt;2,HLOOKUP($A81,#REF!,10,FALSE())&lt;-2),"",#REF!),"")</f>
        <v/>
      </c>
      <c r="M81" s="0" t="str">
        <f aca="false">IFERROR(IF(OR(HLOOKUP($A81,#REF!,11,FALSE())&gt;2,HLOOKUP($A81,#REF!,11,FALSE())&lt;-2),"",#REF!),"")</f>
        <v/>
      </c>
      <c r="N81" s="0" t="str">
        <f aca="false">IFERROR(IF(OR(HLOOKUP($A81,#REF!,12,FALSE())&gt;2,HLOOKUP($A81,#REF!,12,FALSE())&lt;-2),"",#REF!),"")</f>
        <v/>
      </c>
      <c r="O81" s="0" t="str">
        <f aca="false">IFERROR(IF(OR(HLOOKUP($A81,#REF!,13,FALSE())&gt;2,HLOOKUP($A81,#REF!,13,FALSE())&lt;-2),"",#REF!),"")</f>
        <v/>
      </c>
      <c r="P81" s="0" t="str">
        <f aca="false">IFERROR(IF(OR(HLOOKUP($A81,#REF!,14,FALSE())&gt;2,HLOOKUP($A81,#REF!,14,FALSE())&lt;-2),"",#REF!),"")</f>
        <v/>
      </c>
      <c r="Q81" s="0" t="str">
        <f aca="false">IFERROR(IF(OR(HLOOKUP($A81,#REF!,15,FALSE())&gt;2,HLOOKUP($A81,#REF!,15,FALSE())&lt;-2),"",#REF!),"")</f>
        <v/>
      </c>
      <c r="R81" s="0" t="str">
        <f aca="false">IFERROR(IF(OR(HLOOKUP($A81,#REF!,16,FALSE())&gt;2,HLOOKUP($A81,#REF!,16,FALSE())&lt;-2),"",#REF!),"")</f>
        <v/>
      </c>
      <c r="S81" s="0" t="str">
        <f aca="false">IFERROR(IF(OR(HLOOKUP($A81,#REF!,17,FALSE())&gt;2,HLOOKUP($A81,#REF!,17,FALSE())&lt;-2),"",#REF!),"")</f>
        <v/>
      </c>
      <c r="T81" s="0" t="str">
        <f aca="false">IFERROR(IF(OR(HLOOKUP($A81,#REF!,18,FALSE())&gt;2,HLOOKUP($A81,#REF!,18,FALSE())&lt;-2),"",#REF!),"")</f>
        <v/>
      </c>
      <c r="U81" s="0" t="str">
        <f aca="false">IFERROR(IF(OR(HLOOKUP($A81,#REF!,19,FALSE())&gt;2,HLOOKUP($A81,#REF!,19,FALSE())&lt;-2),"",#REF!),"")</f>
        <v/>
      </c>
      <c r="V81" s="0" t="n">
        <f aca="false">IFERROR(IF(AND(X81=0,Y81=0),0,1),0)</f>
        <v>1</v>
      </c>
      <c r="W81" s="3" t="str">
        <f aca="false">IFERROR(_xlfn.T.TEST(E81:M81,N81:U81,2,2),"")</f>
        <v/>
      </c>
      <c r="X81" s="0" t="str">
        <f aca="false">IFERROR(AVERAGE(E81:M81),"")</f>
        <v/>
      </c>
      <c r="Y81" s="0" t="str">
        <f aca="false">IFERROR(AVERAGE(N81:U81),"")</f>
        <v/>
      </c>
    </row>
    <row r="82" customFormat="false" ht="14.5" hidden="false" customHeight="false" outlineLevel="0" collapsed="false">
      <c r="A82" s="0" t="n">
        <v>84</v>
      </c>
      <c r="B82" s="0" t="s">
        <v>82</v>
      </c>
      <c r="C82" s="0" t="n">
        <v>20600</v>
      </c>
      <c r="D82" s="0" t="n">
        <v>972</v>
      </c>
      <c r="E82" s="0" t="str">
        <f aca="false">IFERROR(IF(OR(HLOOKUP($A82,#REF!,3,FALSE())&gt;2,HLOOKUP(A82,#REF!,3,FALSE())&lt;-2),"",#REF!),"")</f>
        <v/>
      </c>
      <c r="F82" s="0" t="str">
        <f aca="false">IFERROR(IF(OR(HLOOKUP($A82,#REF!,4,FALSE())&gt;2,HLOOKUP($A82,#REF!,4,FALSE())&lt;-2),"",#REF!),"")</f>
        <v/>
      </c>
      <c r="G82" s="0" t="str">
        <f aca="false">IFERROR(IF(OR(HLOOKUP($A82,#REF!,5,FALSE())&gt;2,HLOOKUP($A82,#REF!,5,FALSE())&lt;-2),"",#REF!),"")</f>
        <v/>
      </c>
      <c r="H82" s="0" t="str">
        <f aca="false">IFERROR(IF(OR(HLOOKUP($A82,#REF!,6,FALSE())&gt;2,HLOOKUP($A82,#REF!,6,FALSE())&lt;-2),"",#REF!),"")</f>
        <v/>
      </c>
      <c r="I82" s="0" t="str">
        <f aca="false">IFERROR(IF(OR(HLOOKUP($A82,#REF!,7,FALSE())&gt;2,HLOOKUP($A82,#REF!,7,FALSE())&lt;-2),"",#REF!),"")</f>
        <v/>
      </c>
      <c r="J82" s="0" t="str">
        <f aca="false">IFERROR(IF(OR(HLOOKUP($A82,#REF!,8,FALSE())&gt;2,HLOOKUP($A82,#REF!,8,FALSE())&lt;-2),"",#REF!),"")</f>
        <v/>
      </c>
      <c r="K82" s="0" t="str">
        <f aca="false">IFERROR(IF(OR(HLOOKUP($A82,#REF!,9,FALSE())&gt;2,HLOOKUP($A82,#REF!,9,FALSE())&lt;-2),"",#REF!),"")</f>
        <v/>
      </c>
      <c r="L82" s="0" t="str">
        <f aca="false">IFERROR(IF(OR(HLOOKUP($A82,#REF!,10,FALSE())&gt;2,HLOOKUP($A82,#REF!,10,FALSE())&lt;-2),"",#REF!),"")</f>
        <v/>
      </c>
      <c r="M82" s="0" t="str">
        <f aca="false">IFERROR(IF(OR(HLOOKUP($A82,#REF!,11,FALSE())&gt;2,HLOOKUP($A82,#REF!,11,FALSE())&lt;-2),"",#REF!),"")</f>
        <v/>
      </c>
      <c r="N82" s="0" t="str">
        <f aca="false">IFERROR(IF(OR(HLOOKUP($A82,#REF!,12,FALSE())&gt;2,HLOOKUP($A82,#REF!,12,FALSE())&lt;-2),"",#REF!),"")</f>
        <v/>
      </c>
      <c r="O82" s="0" t="str">
        <f aca="false">IFERROR(IF(OR(HLOOKUP($A82,#REF!,13,FALSE())&gt;2,HLOOKUP($A82,#REF!,13,FALSE())&lt;-2),"",#REF!),"")</f>
        <v/>
      </c>
      <c r="P82" s="0" t="str">
        <f aca="false">IFERROR(IF(OR(HLOOKUP($A82,#REF!,14,FALSE())&gt;2,HLOOKUP($A82,#REF!,14,FALSE())&lt;-2),"",#REF!),"")</f>
        <v/>
      </c>
      <c r="Q82" s="0" t="str">
        <f aca="false">IFERROR(IF(OR(HLOOKUP($A82,#REF!,15,FALSE())&gt;2,HLOOKUP($A82,#REF!,15,FALSE())&lt;-2),"",#REF!),"")</f>
        <v/>
      </c>
      <c r="R82" s="0" t="str">
        <f aca="false">IFERROR(IF(OR(HLOOKUP($A82,#REF!,16,FALSE())&gt;2,HLOOKUP($A82,#REF!,16,FALSE())&lt;-2),"",#REF!),"")</f>
        <v/>
      </c>
      <c r="S82" s="0" t="str">
        <f aca="false">IFERROR(IF(OR(HLOOKUP($A82,#REF!,17,FALSE())&gt;2,HLOOKUP($A82,#REF!,17,FALSE())&lt;-2),"",#REF!),"")</f>
        <v/>
      </c>
      <c r="T82" s="0" t="str">
        <f aca="false">IFERROR(IF(OR(HLOOKUP($A82,#REF!,18,FALSE())&gt;2,HLOOKUP($A82,#REF!,18,FALSE())&lt;-2),"",#REF!),"")</f>
        <v/>
      </c>
      <c r="U82" s="0" t="str">
        <f aca="false">IFERROR(IF(OR(HLOOKUP($A82,#REF!,19,FALSE())&gt;2,HLOOKUP($A82,#REF!,19,FALSE())&lt;-2),"",#REF!),"")</f>
        <v/>
      </c>
      <c r="V82" s="0" t="n">
        <f aca="false">IFERROR(IF(AND(X82=0,Y82=0),0,1),0)</f>
        <v>1</v>
      </c>
      <c r="W82" s="3" t="str">
        <f aca="false">IFERROR(_xlfn.T.TEST(E82:M82,N82:U82,2,2),"")</f>
        <v/>
      </c>
      <c r="X82" s="0" t="str">
        <f aca="false">IFERROR(AVERAGE(E82:M82),"")</f>
        <v/>
      </c>
      <c r="Y82" s="0" t="str">
        <f aca="false">IFERROR(AVERAGE(N82:U82),"")</f>
        <v/>
      </c>
    </row>
    <row r="83" customFormat="false" ht="14.5" hidden="false" customHeight="false" outlineLevel="0" collapsed="false">
      <c r="A83" s="0" t="n">
        <v>85</v>
      </c>
      <c r="B83" s="0" t="s">
        <v>173</v>
      </c>
      <c r="C83" s="0" t="n">
        <v>104700</v>
      </c>
      <c r="D83" s="0" t="n">
        <v>812</v>
      </c>
      <c r="E83" s="0" t="str">
        <f aca="false">IFERROR(IF(OR(HLOOKUP($A83,#REF!,3,FALSE())&gt;2,HLOOKUP(A83,#REF!,3,FALSE())&lt;-2),"",#REF!),"")</f>
        <v/>
      </c>
      <c r="F83" s="0" t="str">
        <f aca="false">IFERROR(IF(OR(HLOOKUP($A83,#REF!,4,FALSE())&gt;2,HLOOKUP($A83,#REF!,4,FALSE())&lt;-2),"",#REF!),"")</f>
        <v/>
      </c>
      <c r="G83" s="0" t="str">
        <f aca="false">IFERROR(IF(OR(HLOOKUP($A83,#REF!,5,FALSE())&gt;2,HLOOKUP($A83,#REF!,5,FALSE())&lt;-2),"",#REF!),"")</f>
        <v/>
      </c>
      <c r="H83" s="0" t="str">
        <f aca="false">IFERROR(IF(OR(HLOOKUP($A83,#REF!,6,FALSE())&gt;2,HLOOKUP($A83,#REF!,6,FALSE())&lt;-2),"",#REF!),"")</f>
        <v/>
      </c>
      <c r="I83" s="0" t="str">
        <f aca="false">IFERROR(IF(OR(HLOOKUP($A83,#REF!,7,FALSE())&gt;2,HLOOKUP($A83,#REF!,7,FALSE())&lt;-2),"",#REF!),"")</f>
        <v/>
      </c>
      <c r="J83" s="0" t="str">
        <f aca="false">IFERROR(IF(OR(HLOOKUP($A83,#REF!,8,FALSE())&gt;2,HLOOKUP($A83,#REF!,8,FALSE())&lt;-2),"",#REF!),"")</f>
        <v/>
      </c>
      <c r="K83" s="0" t="str">
        <f aca="false">IFERROR(IF(OR(HLOOKUP($A83,#REF!,9,FALSE())&gt;2,HLOOKUP($A83,#REF!,9,FALSE())&lt;-2),"",#REF!),"")</f>
        <v/>
      </c>
      <c r="L83" s="0" t="str">
        <f aca="false">IFERROR(IF(OR(HLOOKUP($A83,#REF!,10,FALSE())&gt;2,HLOOKUP($A83,#REF!,10,FALSE())&lt;-2),"",#REF!),"")</f>
        <v/>
      </c>
      <c r="M83" s="0" t="str">
        <f aca="false">IFERROR(IF(OR(HLOOKUP($A83,#REF!,11,FALSE())&gt;2,HLOOKUP($A83,#REF!,11,FALSE())&lt;-2),"",#REF!),"")</f>
        <v/>
      </c>
      <c r="N83" s="0" t="str">
        <f aca="false">IFERROR(IF(OR(HLOOKUP($A83,#REF!,12,FALSE())&gt;2,HLOOKUP($A83,#REF!,12,FALSE())&lt;-2),"",#REF!),"")</f>
        <v/>
      </c>
      <c r="O83" s="0" t="str">
        <f aca="false">IFERROR(IF(OR(HLOOKUP($A83,#REF!,13,FALSE())&gt;2,HLOOKUP($A83,#REF!,13,FALSE())&lt;-2),"",#REF!),"")</f>
        <v/>
      </c>
      <c r="P83" s="0" t="str">
        <f aca="false">IFERROR(IF(OR(HLOOKUP($A83,#REF!,14,FALSE())&gt;2,HLOOKUP($A83,#REF!,14,FALSE())&lt;-2),"",#REF!),"")</f>
        <v/>
      </c>
      <c r="Q83" s="0" t="str">
        <f aca="false">IFERROR(IF(OR(HLOOKUP($A83,#REF!,15,FALSE())&gt;2,HLOOKUP($A83,#REF!,15,FALSE())&lt;-2),"",#REF!),"")</f>
        <v/>
      </c>
      <c r="R83" s="0" t="str">
        <f aca="false">IFERROR(IF(OR(HLOOKUP($A83,#REF!,16,FALSE())&gt;2,HLOOKUP($A83,#REF!,16,FALSE())&lt;-2),"",#REF!),"")</f>
        <v/>
      </c>
      <c r="S83" s="0" t="str">
        <f aca="false">IFERROR(IF(OR(HLOOKUP($A83,#REF!,17,FALSE())&gt;2,HLOOKUP($A83,#REF!,17,FALSE())&lt;-2),"",#REF!),"")</f>
        <v/>
      </c>
      <c r="T83" s="0" t="str">
        <f aca="false">IFERROR(IF(OR(HLOOKUP($A83,#REF!,18,FALSE())&gt;2,HLOOKUP($A83,#REF!,18,FALSE())&lt;-2),"",#REF!),"")</f>
        <v/>
      </c>
      <c r="U83" s="0" t="str">
        <f aca="false">IFERROR(IF(OR(HLOOKUP($A83,#REF!,19,FALSE())&gt;2,HLOOKUP($A83,#REF!,19,FALSE())&lt;-2),"",#REF!),"")</f>
        <v/>
      </c>
      <c r="V83" s="0" t="n">
        <f aca="false">IFERROR(IF(AND(X83=0,Y83=0),0,1),0)</f>
        <v>1</v>
      </c>
      <c r="W83" s="3" t="str">
        <f aca="false">IFERROR(_xlfn.T.TEST(E83:M83,N83:U83,2,2),"")</f>
        <v/>
      </c>
      <c r="X83" s="0" t="str">
        <f aca="false">IFERROR(AVERAGE(E83:M83),"")</f>
        <v/>
      </c>
      <c r="Y83" s="0" t="str">
        <f aca="false">IFERROR(AVERAGE(N83:U83),"")</f>
        <v/>
      </c>
    </row>
    <row r="84" customFormat="false" ht="14.5" hidden="false" customHeight="false" outlineLevel="0" collapsed="false">
      <c r="A84" s="0" t="n">
        <v>86</v>
      </c>
      <c r="B84" s="0" t="s">
        <v>174</v>
      </c>
      <c r="C84" s="0" t="n">
        <v>108300</v>
      </c>
      <c r="D84" s="0" t="n">
        <v>896</v>
      </c>
      <c r="E84" s="0" t="str">
        <f aca="false">IFERROR(IF(OR(HLOOKUP($A84,#REF!,3,FALSE())&gt;2,HLOOKUP(A84,#REF!,3,FALSE())&lt;-2),"",#REF!),"")</f>
        <v/>
      </c>
      <c r="F84" s="0" t="str">
        <f aca="false">IFERROR(IF(OR(HLOOKUP($A84,#REF!,4,FALSE())&gt;2,HLOOKUP($A84,#REF!,4,FALSE())&lt;-2),"",#REF!),"")</f>
        <v/>
      </c>
      <c r="G84" s="0" t="str">
        <f aca="false">IFERROR(IF(OR(HLOOKUP($A84,#REF!,5,FALSE())&gt;2,HLOOKUP($A84,#REF!,5,FALSE())&lt;-2),"",#REF!),"")</f>
        <v/>
      </c>
      <c r="H84" s="0" t="str">
        <f aca="false">IFERROR(IF(OR(HLOOKUP($A84,#REF!,6,FALSE())&gt;2,HLOOKUP($A84,#REF!,6,FALSE())&lt;-2),"",#REF!),"")</f>
        <v/>
      </c>
      <c r="I84" s="0" t="str">
        <f aca="false">IFERROR(IF(OR(HLOOKUP($A84,#REF!,7,FALSE())&gt;2,HLOOKUP($A84,#REF!,7,FALSE())&lt;-2),"",#REF!),"")</f>
        <v/>
      </c>
      <c r="J84" s="0" t="str">
        <f aca="false">IFERROR(IF(OR(HLOOKUP($A84,#REF!,8,FALSE())&gt;2,HLOOKUP($A84,#REF!,8,FALSE())&lt;-2),"",#REF!),"")</f>
        <v/>
      </c>
      <c r="K84" s="0" t="str">
        <f aca="false">IFERROR(IF(OR(HLOOKUP($A84,#REF!,9,FALSE())&gt;2,HLOOKUP($A84,#REF!,9,FALSE())&lt;-2),"",#REF!),"")</f>
        <v/>
      </c>
      <c r="L84" s="0" t="str">
        <f aca="false">IFERROR(IF(OR(HLOOKUP($A84,#REF!,10,FALSE())&gt;2,HLOOKUP($A84,#REF!,10,FALSE())&lt;-2),"",#REF!),"")</f>
        <v/>
      </c>
      <c r="M84" s="0" t="str">
        <f aca="false">IFERROR(IF(OR(HLOOKUP($A84,#REF!,11,FALSE())&gt;2,HLOOKUP($A84,#REF!,11,FALSE())&lt;-2),"",#REF!),"")</f>
        <v/>
      </c>
      <c r="N84" s="0" t="str">
        <f aca="false">IFERROR(IF(OR(HLOOKUP($A84,#REF!,12,FALSE())&gt;2,HLOOKUP($A84,#REF!,12,FALSE())&lt;-2),"",#REF!),"")</f>
        <v/>
      </c>
      <c r="O84" s="0" t="str">
        <f aca="false">IFERROR(IF(OR(HLOOKUP($A84,#REF!,13,FALSE())&gt;2,HLOOKUP($A84,#REF!,13,FALSE())&lt;-2),"",#REF!),"")</f>
        <v/>
      </c>
      <c r="P84" s="0" t="str">
        <f aca="false">IFERROR(IF(OR(HLOOKUP($A84,#REF!,14,FALSE())&gt;2,HLOOKUP($A84,#REF!,14,FALSE())&lt;-2),"",#REF!),"")</f>
        <v/>
      </c>
      <c r="Q84" s="0" t="str">
        <f aca="false">IFERROR(IF(OR(HLOOKUP($A84,#REF!,15,FALSE())&gt;2,HLOOKUP($A84,#REF!,15,FALSE())&lt;-2),"",#REF!),"")</f>
        <v/>
      </c>
      <c r="R84" s="0" t="str">
        <f aca="false">IFERROR(IF(OR(HLOOKUP($A84,#REF!,16,FALSE())&gt;2,HLOOKUP($A84,#REF!,16,FALSE())&lt;-2),"",#REF!),"")</f>
        <v/>
      </c>
      <c r="S84" s="0" t="str">
        <f aca="false">IFERROR(IF(OR(HLOOKUP($A84,#REF!,17,FALSE())&gt;2,HLOOKUP($A84,#REF!,17,FALSE())&lt;-2),"",#REF!),"")</f>
        <v/>
      </c>
      <c r="T84" s="0" t="str">
        <f aca="false">IFERROR(IF(OR(HLOOKUP($A84,#REF!,18,FALSE())&gt;2,HLOOKUP($A84,#REF!,18,FALSE())&lt;-2),"",#REF!),"")</f>
        <v/>
      </c>
      <c r="U84" s="0" t="str">
        <f aca="false">IFERROR(IF(OR(HLOOKUP($A84,#REF!,19,FALSE())&gt;2,HLOOKUP($A84,#REF!,19,FALSE())&lt;-2),"",#REF!),"")</f>
        <v/>
      </c>
      <c r="V84" s="0" t="n">
        <f aca="false">IFERROR(IF(AND(X84=0,Y84=0),0,1),0)</f>
        <v>1</v>
      </c>
      <c r="W84" s="3" t="str">
        <f aca="false">IFERROR(_xlfn.T.TEST(E84:M84,N84:U84,2,2),"")</f>
        <v/>
      </c>
      <c r="X84" s="0" t="str">
        <f aca="false">IFERROR(AVERAGE(E84:M84),"")</f>
        <v/>
      </c>
      <c r="Y84" s="0" t="str">
        <f aca="false">IFERROR(AVERAGE(N84:U84),"")</f>
        <v/>
      </c>
    </row>
    <row r="85" customFormat="false" ht="14.5" hidden="false" customHeight="false" outlineLevel="0" collapsed="false">
      <c r="A85" s="0" t="n">
        <v>87</v>
      </c>
      <c r="B85" s="0" t="s">
        <v>175</v>
      </c>
      <c r="C85" s="0" t="n">
        <v>71400</v>
      </c>
      <c r="D85" s="0" t="n">
        <v>94</v>
      </c>
      <c r="E85" s="0" t="str">
        <f aca="false">IFERROR(IF(OR(HLOOKUP($A85,#REF!,3,FALSE())&gt;2,HLOOKUP(A85,#REF!,3,FALSE())&lt;-2),"",#REF!),"")</f>
        <v/>
      </c>
      <c r="F85" s="0" t="str">
        <f aca="false">IFERROR(IF(OR(HLOOKUP($A85,#REF!,4,FALSE())&gt;2,HLOOKUP($A85,#REF!,4,FALSE())&lt;-2),"",#REF!),"")</f>
        <v/>
      </c>
      <c r="G85" s="0" t="str">
        <f aca="false">IFERROR(IF(OR(HLOOKUP($A85,#REF!,5,FALSE())&gt;2,HLOOKUP($A85,#REF!,5,FALSE())&lt;-2),"",#REF!),"")</f>
        <v/>
      </c>
      <c r="H85" s="0" t="str">
        <f aca="false">IFERROR(IF(OR(HLOOKUP($A85,#REF!,6,FALSE())&gt;2,HLOOKUP($A85,#REF!,6,FALSE())&lt;-2),"",#REF!),"")</f>
        <v/>
      </c>
      <c r="I85" s="0" t="str">
        <f aca="false">IFERROR(IF(OR(HLOOKUP($A85,#REF!,7,FALSE())&gt;2,HLOOKUP($A85,#REF!,7,FALSE())&lt;-2),"",#REF!),"")</f>
        <v/>
      </c>
      <c r="J85" s="0" t="str">
        <f aca="false">IFERROR(IF(OR(HLOOKUP($A85,#REF!,8,FALSE())&gt;2,HLOOKUP($A85,#REF!,8,FALSE())&lt;-2),"",#REF!),"")</f>
        <v/>
      </c>
      <c r="K85" s="0" t="str">
        <f aca="false">IFERROR(IF(OR(HLOOKUP($A85,#REF!,9,FALSE())&gt;2,HLOOKUP($A85,#REF!,9,FALSE())&lt;-2),"",#REF!),"")</f>
        <v/>
      </c>
      <c r="L85" s="0" t="str">
        <f aca="false">IFERROR(IF(OR(HLOOKUP($A85,#REF!,10,FALSE())&gt;2,HLOOKUP($A85,#REF!,10,FALSE())&lt;-2),"",#REF!),"")</f>
        <v/>
      </c>
      <c r="M85" s="0" t="str">
        <f aca="false">IFERROR(IF(OR(HLOOKUP($A85,#REF!,11,FALSE())&gt;2,HLOOKUP($A85,#REF!,11,FALSE())&lt;-2),"",#REF!),"")</f>
        <v/>
      </c>
      <c r="N85" s="0" t="str">
        <f aca="false">IFERROR(IF(OR(HLOOKUP($A85,#REF!,12,FALSE())&gt;2,HLOOKUP($A85,#REF!,12,FALSE())&lt;-2),"",#REF!),"")</f>
        <v/>
      </c>
      <c r="O85" s="0" t="str">
        <f aca="false">IFERROR(IF(OR(HLOOKUP($A85,#REF!,13,FALSE())&gt;2,HLOOKUP($A85,#REF!,13,FALSE())&lt;-2),"",#REF!),"")</f>
        <v/>
      </c>
      <c r="P85" s="0" t="str">
        <f aca="false">IFERROR(IF(OR(HLOOKUP($A85,#REF!,14,FALSE())&gt;2,HLOOKUP($A85,#REF!,14,FALSE())&lt;-2),"",#REF!),"")</f>
        <v/>
      </c>
      <c r="Q85" s="0" t="str">
        <f aca="false">IFERROR(IF(OR(HLOOKUP($A85,#REF!,15,FALSE())&gt;2,HLOOKUP($A85,#REF!,15,FALSE())&lt;-2),"",#REF!),"")</f>
        <v/>
      </c>
      <c r="R85" s="0" t="str">
        <f aca="false">IFERROR(IF(OR(HLOOKUP($A85,#REF!,16,FALSE())&gt;2,HLOOKUP($A85,#REF!,16,FALSE())&lt;-2),"",#REF!),"")</f>
        <v/>
      </c>
      <c r="S85" s="0" t="str">
        <f aca="false">IFERROR(IF(OR(HLOOKUP($A85,#REF!,17,FALSE())&gt;2,HLOOKUP($A85,#REF!,17,FALSE())&lt;-2),"",#REF!),"")</f>
        <v/>
      </c>
      <c r="T85" s="0" t="str">
        <f aca="false">IFERROR(IF(OR(HLOOKUP($A85,#REF!,18,FALSE())&gt;2,HLOOKUP($A85,#REF!,18,FALSE())&lt;-2),"",#REF!),"")</f>
        <v/>
      </c>
      <c r="U85" s="0" t="str">
        <f aca="false">IFERROR(IF(OR(HLOOKUP($A85,#REF!,19,FALSE())&gt;2,HLOOKUP($A85,#REF!,19,FALSE())&lt;-2),"",#REF!),"")</f>
        <v/>
      </c>
      <c r="V85" s="0" t="n">
        <f aca="false">IFERROR(IF(AND(X85=0,Y85=0),0,1),0)</f>
        <v>1</v>
      </c>
      <c r="W85" s="3" t="str">
        <f aca="false">IFERROR(_xlfn.T.TEST(E85:M85,N85:U85,2,2),"")</f>
        <v/>
      </c>
      <c r="X85" s="0" t="str">
        <f aca="false">IFERROR(AVERAGE(E85:M85),"")</f>
        <v/>
      </c>
      <c r="Y85" s="0" t="str">
        <f aca="false">IFERROR(AVERAGE(N85:U85),"")</f>
        <v/>
      </c>
    </row>
    <row r="86" customFormat="false" ht="14.5" hidden="false" customHeight="false" outlineLevel="0" collapsed="false">
      <c r="A86" s="0" t="n">
        <v>88</v>
      </c>
      <c r="B86" s="0" t="s">
        <v>176</v>
      </c>
      <c r="C86" s="0" t="n">
        <v>74100</v>
      </c>
      <c r="D86" s="0" t="n">
        <v>467</v>
      </c>
      <c r="E86" s="0" t="str">
        <f aca="false">IFERROR(IF(OR(HLOOKUP($A86,#REF!,3,FALSE())&gt;2,HLOOKUP(A86,#REF!,3,FALSE())&lt;-2),"",#REF!),"")</f>
        <v/>
      </c>
      <c r="F86" s="0" t="str">
        <f aca="false">IFERROR(IF(OR(HLOOKUP($A86,#REF!,4,FALSE())&gt;2,HLOOKUP($A86,#REF!,4,FALSE())&lt;-2),"",#REF!),"")</f>
        <v/>
      </c>
      <c r="G86" s="0" t="str">
        <f aca="false">IFERROR(IF(OR(HLOOKUP($A86,#REF!,5,FALSE())&gt;2,HLOOKUP($A86,#REF!,5,FALSE())&lt;-2),"",#REF!),"")</f>
        <v/>
      </c>
      <c r="H86" s="0" t="str">
        <f aca="false">IFERROR(IF(OR(HLOOKUP($A86,#REF!,6,FALSE())&gt;2,HLOOKUP($A86,#REF!,6,FALSE())&lt;-2),"",#REF!),"")</f>
        <v/>
      </c>
      <c r="I86" s="0" t="str">
        <f aca="false">IFERROR(IF(OR(HLOOKUP($A86,#REF!,7,FALSE())&gt;2,HLOOKUP($A86,#REF!,7,FALSE())&lt;-2),"",#REF!),"")</f>
        <v/>
      </c>
      <c r="J86" s="0" t="str">
        <f aca="false">IFERROR(IF(OR(HLOOKUP($A86,#REF!,8,FALSE())&gt;2,HLOOKUP($A86,#REF!,8,FALSE())&lt;-2),"",#REF!),"")</f>
        <v/>
      </c>
      <c r="K86" s="0" t="str">
        <f aca="false">IFERROR(IF(OR(HLOOKUP($A86,#REF!,9,FALSE())&gt;2,HLOOKUP($A86,#REF!,9,FALSE())&lt;-2),"",#REF!),"")</f>
        <v/>
      </c>
      <c r="L86" s="0" t="str">
        <f aca="false">IFERROR(IF(OR(HLOOKUP($A86,#REF!,10,FALSE())&gt;2,HLOOKUP($A86,#REF!,10,FALSE())&lt;-2),"",#REF!),"")</f>
        <v/>
      </c>
      <c r="M86" s="0" t="str">
        <f aca="false">IFERROR(IF(OR(HLOOKUP($A86,#REF!,11,FALSE())&gt;2,HLOOKUP($A86,#REF!,11,FALSE())&lt;-2),"",#REF!),"")</f>
        <v/>
      </c>
      <c r="N86" s="0" t="str">
        <f aca="false">IFERROR(IF(OR(HLOOKUP($A86,#REF!,12,FALSE())&gt;2,HLOOKUP($A86,#REF!,12,FALSE())&lt;-2),"",#REF!),"")</f>
        <v/>
      </c>
      <c r="O86" s="0" t="str">
        <f aca="false">IFERROR(IF(OR(HLOOKUP($A86,#REF!,13,FALSE())&gt;2,HLOOKUP($A86,#REF!,13,FALSE())&lt;-2),"",#REF!),"")</f>
        <v/>
      </c>
      <c r="P86" s="0" t="str">
        <f aca="false">IFERROR(IF(OR(HLOOKUP($A86,#REF!,14,FALSE())&gt;2,HLOOKUP($A86,#REF!,14,FALSE())&lt;-2),"",#REF!),"")</f>
        <v/>
      </c>
      <c r="Q86" s="0" t="str">
        <f aca="false">IFERROR(IF(OR(HLOOKUP($A86,#REF!,15,FALSE())&gt;2,HLOOKUP($A86,#REF!,15,FALSE())&lt;-2),"",#REF!),"")</f>
        <v/>
      </c>
      <c r="R86" s="0" t="str">
        <f aca="false">IFERROR(IF(OR(HLOOKUP($A86,#REF!,16,FALSE())&gt;2,HLOOKUP($A86,#REF!,16,FALSE())&lt;-2),"",#REF!),"")</f>
        <v/>
      </c>
      <c r="S86" s="0" t="str">
        <f aca="false">IFERROR(IF(OR(HLOOKUP($A86,#REF!,17,FALSE())&gt;2,HLOOKUP($A86,#REF!,17,FALSE())&lt;-2),"",#REF!),"")</f>
        <v/>
      </c>
      <c r="T86" s="0" t="str">
        <f aca="false">IFERROR(IF(OR(HLOOKUP($A86,#REF!,18,FALSE())&gt;2,HLOOKUP($A86,#REF!,18,FALSE())&lt;-2),"",#REF!),"")</f>
        <v/>
      </c>
      <c r="U86" s="0" t="str">
        <f aca="false">IFERROR(IF(OR(HLOOKUP($A86,#REF!,19,FALSE())&gt;2,HLOOKUP($A86,#REF!,19,FALSE())&lt;-2),"",#REF!),"")</f>
        <v/>
      </c>
      <c r="V86" s="0" t="n">
        <f aca="false">IFERROR(IF(AND(X86=0,Y86=0),0,1),0)</f>
        <v>1</v>
      </c>
      <c r="W86" s="3" t="str">
        <f aca="false">IFERROR(_xlfn.T.TEST(E86:M86,N86:U86,2,2),"")</f>
        <v/>
      </c>
      <c r="X86" s="0" t="str">
        <f aca="false">IFERROR(AVERAGE(E86:M86),"")</f>
        <v/>
      </c>
      <c r="Y86" s="0" t="str">
        <f aca="false">IFERROR(AVERAGE(N86:U86),"")</f>
        <v/>
      </c>
    </row>
    <row r="87" customFormat="false" ht="14.5" hidden="false" customHeight="false" outlineLevel="0" collapsed="false">
      <c r="A87" s="0" t="n">
        <v>89</v>
      </c>
      <c r="B87" s="0" t="s">
        <v>177</v>
      </c>
      <c r="C87" s="0" t="n">
        <v>116000</v>
      </c>
      <c r="D87" s="0" t="n">
        <v>81</v>
      </c>
      <c r="E87" s="0" t="str">
        <f aca="false">IFERROR(IF(OR(HLOOKUP($A87,#REF!,3,FALSE())&gt;2,HLOOKUP(A87,#REF!,3,FALSE())&lt;-2),"",#REF!),"")</f>
        <v/>
      </c>
      <c r="F87" s="0" t="str">
        <f aca="false">IFERROR(IF(OR(HLOOKUP($A87,#REF!,4,FALSE())&gt;2,HLOOKUP($A87,#REF!,4,FALSE())&lt;-2),"",#REF!),"")</f>
        <v/>
      </c>
      <c r="G87" s="0" t="str">
        <f aca="false">IFERROR(IF(OR(HLOOKUP($A87,#REF!,5,FALSE())&gt;2,HLOOKUP($A87,#REF!,5,FALSE())&lt;-2),"",#REF!),"")</f>
        <v/>
      </c>
      <c r="H87" s="0" t="str">
        <f aca="false">IFERROR(IF(OR(HLOOKUP($A87,#REF!,6,FALSE())&gt;2,HLOOKUP($A87,#REF!,6,FALSE())&lt;-2),"",#REF!),"")</f>
        <v/>
      </c>
      <c r="I87" s="0" t="str">
        <f aca="false">IFERROR(IF(OR(HLOOKUP($A87,#REF!,7,FALSE())&gt;2,HLOOKUP($A87,#REF!,7,FALSE())&lt;-2),"",#REF!),"")</f>
        <v/>
      </c>
      <c r="J87" s="0" t="str">
        <f aca="false">IFERROR(IF(OR(HLOOKUP($A87,#REF!,8,FALSE())&gt;2,HLOOKUP($A87,#REF!,8,FALSE())&lt;-2),"",#REF!),"")</f>
        <v/>
      </c>
      <c r="K87" s="0" t="str">
        <f aca="false">IFERROR(IF(OR(HLOOKUP($A87,#REF!,9,FALSE())&gt;2,HLOOKUP($A87,#REF!,9,FALSE())&lt;-2),"",#REF!),"")</f>
        <v/>
      </c>
      <c r="L87" s="0" t="str">
        <f aca="false">IFERROR(IF(OR(HLOOKUP($A87,#REF!,10,FALSE())&gt;2,HLOOKUP($A87,#REF!,10,FALSE())&lt;-2),"",#REF!),"")</f>
        <v/>
      </c>
      <c r="M87" s="0" t="str">
        <f aca="false">IFERROR(IF(OR(HLOOKUP($A87,#REF!,11,FALSE())&gt;2,HLOOKUP($A87,#REF!,11,FALSE())&lt;-2),"",#REF!),"")</f>
        <v/>
      </c>
      <c r="N87" s="0" t="str">
        <f aca="false">IFERROR(IF(OR(HLOOKUP($A87,#REF!,12,FALSE())&gt;2,HLOOKUP($A87,#REF!,12,FALSE())&lt;-2),"",#REF!),"")</f>
        <v/>
      </c>
      <c r="O87" s="0" t="str">
        <f aca="false">IFERROR(IF(OR(HLOOKUP($A87,#REF!,13,FALSE())&gt;2,HLOOKUP($A87,#REF!,13,FALSE())&lt;-2),"",#REF!),"")</f>
        <v/>
      </c>
      <c r="P87" s="0" t="str">
        <f aca="false">IFERROR(IF(OR(HLOOKUP($A87,#REF!,14,FALSE())&gt;2,HLOOKUP($A87,#REF!,14,FALSE())&lt;-2),"",#REF!),"")</f>
        <v/>
      </c>
      <c r="Q87" s="0" t="str">
        <f aca="false">IFERROR(IF(OR(HLOOKUP($A87,#REF!,15,FALSE())&gt;2,HLOOKUP($A87,#REF!,15,FALSE())&lt;-2),"",#REF!),"")</f>
        <v/>
      </c>
      <c r="R87" s="0" t="str">
        <f aca="false">IFERROR(IF(OR(HLOOKUP($A87,#REF!,16,FALSE())&gt;2,HLOOKUP($A87,#REF!,16,FALSE())&lt;-2),"",#REF!),"")</f>
        <v/>
      </c>
      <c r="S87" s="0" t="str">
        <f aca="false">IFERROR(IF(OR(HLOOKUP($A87,#REF!,17,FALSE())&gt;2,HLOOKUP($A87,#REF!,17,FALSE())&lt;-2),"",#REF!),"")</f>
        <v/>
      </c>
      <c r="T87" s="0" t="str">
        <f aca="false">IFERROR(IF(OR(HLOOKUP($A87,#REF!,18,FALSE())&gt;2,HLOOKUP($A87,#REF!,18,FALSE())&lt;-2),"",#REF!),"")</f>
        <v/>
      </c>
      <c r="U87" s="0" t="str">
        <f aca="false">IFERROR(IF(OR(HLOOKUP($A87,#REF!,19,FALSE())&gt;2,HLOOKUP($A87,#REF!,19,FALSE())&lt;-2),"",#REF!),"")</f>
        <v/>
      </c>
      <c r="V87" s="0" t="n">
        <f aca="false">IFERROR(IF(AND(X87=0,Y87=0),0,1),0)</f>
        <v>1</v>
      </c>
      <c r="W87" s="3" t="str">
        <f aca="false">IFERROR(_xlfn.T.TEST(E87:M87,N87:U87,2,2),"")</f>
        <v/>
      </c>
      <c r="X87" s="0" t="str">
        <f aca="false">IFERROR(AVERAGE(E87:M87),"")</f>
        <v/>
      </c>
      <c r="Y87" s="0" t="str">
        <f aca="false">IFERROR(AVERAGE(N87:U87),"")</f>
        <v/>
      </c>
    </row>
    <row r="88" customFormat="false" ht="14.5" hidden="false" customHeight="false" outlineLevel="0" collapsed="false">
      <c r="A88" s="0" t="n">
        <v>90</v>
      </c>
      <c r="B88" s="0" t="s">
        <v>178</v>
      </c>
      <c r="C88" s="0" t="n">
        <v>85100</v>
      </c>
      <c r="D88" s="0" t="n">
        <v>612</v>
      </c>
      <c r="E88" s="0" t="str">
        <f aca="false">IFERROR(IF(OR(HLOOKUP($A88,#REF!,3,FALSE())&gt;2,HLOOKUP(A88,#REF!,3,FALSE())&lt;-2),"",#REF!),"")</f>
        <v/>
      </c>
      <c r="F88" s="0" t="str">
        <f aca="false">IFERROR(IF(OR(HLOOKUP($A88,#REF!,4,FALSE())&gt;2,HLOOKUP($A88,#REF!,4,FALSE())&lt;-2),"",#REF!),"")</f>
        <v/>
      </c>
      <c r="G88" s="0" t="str">
        <f aca="false">IFERROR(IF(OR(HLOOKUP($A88,#REF!,5,FALSE())&gt;2,HLOOKUP($A88,#REF!,5,FALSE())&lt;-2),"",#REF!),"")</f>
        <v/>
      </c>
      <c r="H88" s="0" t="str">
        <f aca="false">IFERROR(IF(OR(HLOOKUP($A88,#REF!,6,FALSE())&gt;2,HLOOKUP($A88,#REF!,6,FALSE())&lt;-2),"",#REF!),"")</f>
        <v/>
      </c>
      <c r="I88" s="0" t="str">
        <f aca="false">IFERROR(IF(OR(HLOOKUP($A88,#REF!,7,FALSE())&gt;2,HLOOKUP($A88,#REF!,7,FALSE())&lt;-2),"",#REF!),"")</f>
        <v/>
      </c>
      <c r="J88" s="0" t="str">
        <f aca="false">IFERROR(IF(OR(HLOOKUP($A88,#REF!,8,FALSE())&gt;2,HLOOKUP($A88,#REF!,8,FALSE())&lt;-2),"",#REF!),"")</f>
        <v/>
      </c>
      <c r="K88" s="0" t="str">
        <f aca="false">IFERROR(IF(OR(HLOOKUP($A88,#REF!,9,FALSE())&gt;2,HLOOKUP($A88,#REF!,9,FALSE())&lt;-2),"",#REF!),"")</f>
        <v/>
      </c>
      <c r="L88" s="0" t="str">
        <f aca="false">IFERROR(IF(OR(HLOOKUP($A88,#REF!,10,FALSE())&gt;2,HLOOKUP($A88,#REF!,10,FALSE())&lt;-2),"",#REF!),"")</f>
        <v/>
      </c>
      <c r="M88" s="0" t="str">
        <f aca="false">IFERROR(IF(OR(HLOOKUP($A88,#REF!,11,FALSE())&gt;2,HLOOKUP($A88,#REF!,11,FALSE())&lt;-2),"",#REF!),"")</f>
        <v/>
      </c>
      <c r="N88" s="0" t="str">
        <f aca="false">IFERROR(IF(OR(HLOOKUP($A88,#REF!,12,FALSE())&gt;2,HLOOKUP($A88,#REF!,12,FALSE())&lt;-2),"",#REF!),"")</f>
        <v/>
      </c>
      <c r="O88" s="0" t="str">
        <f aca="false">IFERROR(IF(OR(HLOOKUP($A88,#REF!,13,FALSE())&gt;2,HLOOKUP($A88,#REF!,13,FALSE())&lt;-2),"",#REF!),"")</f>
        <v/>
      </c>
      <c r="P88" s="0" t="str">
        <f aca="false">IFERROR(IF(OR(HLOOKUP($A88,#REF!,14,FALSE())&gt;2,HLOOKUP($A88,#REF!,14,FALSE())&lt;-2),"",#REF!),"")</f>
        <v/>
      </c>
      <c r="Q88" s="0" t="str">
        <f aca="false">IFERROR(IF(OR(HLOOKUP($A88,#REF!,15,FALSE())&gt;2,HLOOKUP($A88,#REF!,15,FALSE())&lt;-2),"",#REF!),"")</f>
        <v/>
      </c>
      <c r="R88" s="0" t="str">
        <f aca="false">IFERROR(IF(OR(HLOOKUP($A88,#REF!,16,FALSE())&gt;2,HLOOKUP($A88,#REF!,16,FALSE())&lt;-2),"",#REF!),"")</f>
        <v/>
      </c>
      <c r="S88" s="0" t="str">
        <f aca="false">IFERROR(IF(OR(HLOOKUP($A88,#REF!,17,FALSE())&gt;2,HLOOKUP($A88,#REF!,17,FALSE())&lt;-2),"",#REF!),"")</f>
        <v/>
      </c>
      <c r="T88" s="0" t="str">
        <f aca="false">IFERROR(IF(OR(HLOOKUP($A88,#REF!,18,FALSE())&gt;2,HLOOKUP($A88,#REF!,18,FALSE())&lt;-2),"",#REF!),"")</f>
        <v/>
      </c>
      <c r="U88" s="0" t="str">
        <f aca="false">IFERROR(IF(OR(HLOOKUP($A88,#REF!,19,FALSE())&gt;2,HLOOKUP($A88,#REF!,19,FALSE())&lt;-2),"",#REF!),"")</f>
        <v/>
      </c>
      <c r="V88" s="0" t="n">
        <f aca="false">IFERROR(IF(AND(X88=0,Y88=0),0,1),0)</f>
        <v>1</v>
      </c>
      <c r="W88" s="3" t="str">
        <f aca="false">IFERROR(_xlfn.T.TEST(E88:M88,N88:U88,2,2),"")</f>
        <v/>
      </c>
      <c r="X88" s="0" t="str">
        <f aca="false">IFERROR(AVERAGE(E88:M88),"")</f>
        <v/>
      </c>
      <c r="Y88" s="0" t="str">
        <f aca="false">IFERROR(AVERAGE(N88:U88),"")</f>
        <v/>
      </c>
    </row>
    <row r="89" customFormat="false" ht="14.5" hidden="false" customHeight="false" outlineLevel="0" collapsed="false">
      <c r="A89" s="0" t="n">
        <v>91</v>
      </c>
      <c r="B89" s="0" t="s">
        <v>179</v>
      </c>
      <c r="C89" s="0" t="n">
        <v>63100</v>
      </c>
      <c r="D89" s="0" t="n">
        <v>519</v>
      </c>
      <c r="E89" s="0" t="str">
        <f aca="false">IFERROR(IF(OR(HLOOKUP($A89,#REF!,3,FALSE())&gt;2,HLOOKUP(A89,#REF!,3,FALSE())&lt;-2),"",#REF!),"")</f>
        <v/>
      </c>
      <c r="F89" s="0" t="str">
        <f aca="false">IFERROR(IF(OR(HLOOKUP($A89,#REF!,4,FALSE())&gt;2,HLOOKUP($A89,#REF!,4,FALSE())&lt;-2),"",#REF!),"")</f>
        <v/>
      </c>
      <c r="G89" s="0" t="str">
        <f aca="false">IFERROR(IF(OR(HLOOKUP($A89,#REF!,5,FALSE())&gt;2,HLOOKUP($A89,#REF!,5,FALSE())&lt;-2),"",#REF!),"")</f>
        <v/>
      </c>
      <c r="H89" s="0" t="str">
        <f aca="false">IFERROR(IF(OR(HLOOKUP($A89,#REF!,6,FALSE())&gt;2,HLOOKUP($A89,#REF!,6,FALSE())&lt;-2),"",#REF!),"")</f>
        <v/>
      </c>
      <c r="I89" s="0" t="str">
        <f aca="false">IFERROR(IF(OR(HLOOKUP($A89,#REF!,7,FALSE())&gt;2,HLOOKUP($A89,#REF!,7,FALSE())&lt;-2),"",#REF!),"")</f>
        <v/>
      </c>
      <c r="J89" s="0" t="str">
        <f aca="false">IFERROR(IF(OR(HLOOKUP($A89,#REF!,8,FALSE())&gt;2,HLOOKUP($A89,#REF!,8,FALSE())&lt;-2),"",#REF!),"")</f>
        <v/>
      </c>
      <c r="K89" s="0" t="str">
        <f aca="false">IFERROR(IF(OR(HLOOKUP($A89,#REF!,9,FALSE())&gt;2,HLOOKUP($A89,#REF!,9,FALSE())&lt;-2),"",#REF!),"")</f>
        <v/>
      </c>
      <c r="L89" s="0" t="str">
        <f aca="false">IFERROR(IF(OR(HLOOKUP($A89,#REF!,10,FALSE())&gt;2,HLOOKUP($A89,#REF!,10,FALSE())&lt;-2),"",#REF!),"")</f>
        <v/>
      </c>
      <c r="M89" s="0" t="str">
        <f aca="false">IFERROR(IF(OR(HLOOKUP($A89,#REF!,11,FALSE())&gt;2,HLOOKUP($A89,#REF!,11,FALSE())&lt;-2),"",#REF!),"")</f>
        <v/>
      </c>
      <c r="N89" s="0" t="str">
        <f aca="false">IFERROR(IF(OR(HLOOKUP($A89,#REF!,12,FALSE())&gt;2,HLOOKUP($A89,#REF!,12,FALSE())&lt;-2),"",#REF!),"")</f>
        <v/>
      </c>
      <c r="O89" s="0" t="str">
        <f aca="false">IFERROR(IF(OR(HLOOKUP($A89,#REF!,13,FALSE())&gt;2,HLOOKUP($A89,#REF!,13,FALSE())&lt;-2),"",#REF!),"")</f>
        <v/>
      </c>
      <c r="P89" s="0" t="str">
        <f aca="false">IFERROR(IF(OR(HLOOKUP($A89,#REF!,14,FALSE())&gt;2,HLOOKUP($A89,#REF!,14,FALSE())&lt;-2),"",#REF!),"")</f>
        <v/>
      </c>
      <c r="Q89" s="0" t="str">
        <f aca="false">IFERROR(IF(OR(HLOOKUP($A89,#REF!,15,FALSE())&gt;2,HLOOKUP($A89,#REF!,15,FALSE())&lt;-2),"",#REF!),"")</f>
        <v/>
      </c>
      <c r="R89" s="0" t="str">
        <f aca="false">IFERROR(IF(OR(HLOOKUP($A89,#REF!,16,FALSE())&gt;2,HLOOKUP($A89,#REF!,16,FALSE())&lt;-2),"",#REF!),"")</f>
        <v/>
      </c>
      <c r="S89" s="0" t="str">
        <f aca="false">IFERROR(IF(OR(HLOOKUP($A89,#REF!,17,FALSE())&gt;2,HLOOKUP($A89,#REF!,17,FALSE())&lt;-2),"",#REF!),"")</f>
        <v/>
      </c>
      <c r="T89" s="0" t="str">
        <f aca="false">IFERROR(IF(OR(HLOOKUP($A89,#REF!,18,FALSE())&gt;2,HLOOKUP($A89,#REF!,18,FALSE())&lt;-2),"",#REF!),"")</f>
        <v/>
      </c>
      <c r="U89" s="0" t="str">
        <f aca="false">IFERROR(IF(OR(HLOOKUP($A89,#REF!,19,FALSE())&gt;2,HLOOKUP($A89,#REF!,19,FALSE())&lt;-2),"",#REF!),"")</f>
        <v/>
      </c>
      <c r="V89" s="0" t="n">
        <f aca="false">IFERROR(IF(AND(X89=0,Y89=0),0,1),0)</f>
        <v>1</v>
      </c>
      <c r="W89" s="3" t="str">
        <f aca="false">IFERROR(_xlfn.T.TEST(E89:M89,N89:U89,2,2),"")</f>
        <v/>
      </c>
      <c r="X89" s="0" t="str">
        <f aca="false">IFERROR(AVERAGE(E89:M89),"")</f>
        <v/>
      </c>
      <c r="Y89" s="0" t="str">
        <f aca="false">IFERROR(AVERAGE(N89:U89),"")</f>
        <v/>
      </c>
    </row>
    <row r="90" customFormat="false" ht="14.5" hidden="false" customHeight="false" outlineLevel="0" collapsed="false">
      <c r="A90" s="0" t="n">
        <v>92</v>
      </c>
      <c r="B90" s="0" t="s">
        <v>180</v>
      </c>
      <c r="C90" s="0" t="n">
        <v>42000</v>
      </c>
      <c r="D90" s="0" t="n">
        <v>918</v>
      </c>
      <c r="E90" s="0" t="str">
        <f aca="false">IFERROR(IF(OR(HLOOKUP($A90,#REF!,3,FALSE())&gt;2,HLOOKUP(A90,#REF!,3,FALSE())&lt;-2),"",#REF!),"")</f>
        <v/>
      </c>
      <c r="F90" s="0" t="str">
        <f aca="false">IFERROR(IF(OR(HLOOKUP($A90,#REF!,4,FALSE())&gt;2,HLOOKUP($A90,#REF!,4,FALSE())&lt;-2),"",#REF!),"")</f>
        <v/>
      </c>
      <c r="G90" s="0" t="str">
        <f aca="false">IFERROR(IF(OR(HLOOKUP($A90,#REF!,5,FALSE())&gt;2,HLOOKUP($A90,#REF!,5,FALSE())&lt;-2),"",#REF!),"")</f>
        <v/>
      </c>
      <c r="H90" s="0" t="str">
        <f aca="false">IFERROR(IF(OR(HLOOKUP($A90,#REF!,6,FALSE())&gt;2,HLOOKUP($A90,#REF!,6,FALSE())&lt;-2),"",#REF!),"")</f>
        <v/>
      </c>
      <c r="I90" s="0" t="str">
        <f aca="false">IFERROR(IF(OR(HLOOKUP($A90,#REF!,7,FALSE())&gt;2,HLOOKUP($A90,#REF!,7,FALSE())&lt;-2),"",#REF!),"")</f>
        <v/>
      </c>
      <c r="J90" s="0" t="str">
        <f aca="false">IFERROR(IF(OR(HLOOKUP($A90,#REF!,8,FALSE())&gt;2,HLOOKUP($A90,#REF!,8,FALSE())&lt;-2),"",#REF!),"")</f>
        <v/>
      </c>
      <c r="K90" s="0" t="str">
        <f aca="false">IFERROR(IF(OR(HLOOKUP($A90,#REF!,9,FALSE())&gt;2,HLOOKUP($A90,#REF!,9,FALSE())&lt;-2),"",#REF!),"")</f>
        <v/>
      </c>
      <c r="L90" s="0" t="str">
        <f aca="false">IFERROR(IF(OR(HLOOKUP($A90,#REF!,10,FALSE())&gt;2,HLOOKUP($A90,#REF!,10,FALSE())&lt;-2),"",#REF!),"")</f>
        <v/>
      </c>
      <c r="M90" s="0" t="str">
        <f aca="false">IFERROR(IF(OR(HLOOKUP($A90,#REF!,11,FALSE())&gt;2,HLOOKUP($A90,#REF!,11,FALSE())&lt;-2),"",#REF!),"")</f>
        <v/>
      </c>
      <c r="N90" s="0" t="str">
        <f aca="false">IFERROR(IF(OR(HLOOKUP($A90,#REF!,12,FALSE())&gt;2,HLOOKUP($A90,#REF!,12,FALSE())&lt;-2),"",#REF!),"")</f>
        <v/>
      </c>
      <c r="O90" s="0" t="str">
        <f aca="false">IFERROR(IF(OR(HLOOKUP($A90,#REF!,13,FALSE())&gt;2,HLOOKUP($A90,#REF!,13,FALSE())&lt;-2),"",#REF!),"")</f>
        <v/>
      </c>
      <c r="P90" s="0" t="str">
        <f aca="false">IFERROR(IF(OR(HLOOKUP($A90,#REF!,14,FALSE())&gt;2,HLOOKUP($A90,#REF!,14,FALSE())&lt;-2),"",#REF!),"")</f>
        <v/>
      </c>
      <c r="Q90" s="0" t="str">
        <f aca="false">IFERROR(IF(OR(HLOOKUP($A90,#REF!,15,FALSE())&gt;2,HLOOKUP($A90,#REF!,15,FALSE())&lt;-2),"",#REF!),"")</f>
        <v/>
      </c>
      <c r="R90" s="0" t="str">
        <f aca="false">IFERROR(IF(OR(HLOOKUP($A90,#REF!,16,FALSE())&gt;2,HLOOKUP($A90,#REF!,16,FALSE())&lt;-2),"",#REF!),"")</f>
        <v/>
      </c>
      <c r="S90" s="0" t="str">
        <f aca="false">IFERROR(IF(OR(HLOOKUP($A90,#REF!,17,FALSE())&gt;2,HLOOKUP($A90,#REF!,17,FALSE())&lt;-2),"",#REF!),"")</f>
        <v/>
      </c>
      <c r="T90" s="0" t="str">
        <f aca="false">IFERROR(IF(OR(HLOOKUP($A90,#REF!,18,FALSE())&gt;2,HLOOKUP($A90,#REF!,18,FALSE())&lt;-2),"",#REF!),"")</f>
        <v/>
      </c>
      <c r="U90" s="0" t="str">
        <f aca="false">IFERROR(IF(OR(HLOOKUP($A90,#REF!,19,FALSE())&gt;2,HLOOKUP($A90,#REF!,19,FALSE())&lt;-2),"",#REF!),"")</f>
        <v/>
      </c>
      <c r="V90" s="0" t="n">
        <f aca="false">IFERROR(IF(AND(X90=0,Y90=0),0,1),0)</f>
        <v>1</v>
      </c>
      <c r="W90" s="3" t="str">
        <f aca="false">IFERROR(_xlfn.T.TEST(E90:M90,N90:U90,2,2),"")</f>
        <v/>
      </c>
      <c r="X90" s="0" t="str">
        <f aca="false">IFERROR(AVERAGE(E90:M90),"")</f>
        <v/>
      </c>
      <c r="Y90" s="0" t="str">
        <f aca="false">IFERROR(AVERAGE(N90:U90),"")</f>
        <v/>
      </c>
    </row>
    <row r="91" customFormat="false" ht="14.5" hidden="false" customHeight="false" outlineLevel="0" collapsed="false">
      <c r="A91" s="0" t="n">
        <v>93</v>
      </c>
      <c r="B91" s="0" t="s">
        <v>181</v>
      </c>
      <c r="C91" s="0" t="n">
        <v>99700</v>
      </c>
      <c r="D91" s="0" t="n">
        <v>901</v>
      </c>
      <c r="E91" s="0" t="str">
        <f aca="false">IFERROR(IF(OR(HLOOKUP($A91,#REF!,3,FALSE())&gt;2,HLOOKUP(A91,#REF!,3,FALSE())&lt;-2),"",#REF!),"")</f>
        <v/>
      </c>
      <c r="F91" s="0" t="str">
        <f aca="false">IFERROR(IF(OR(HLOOKUP($A91,#REF!,4,FALSE())&gt;2,HLOOKUP($A91,#REF!,4,FALSE())&lt;-2),"",#REF!),"")</f>
        <v/>
      </c>
      <c r="G91" s="0" t="str">
        <f aca="false">IFERROR(IF(OR(HLOOKUP($A91,#REF!,5,FALSE())&gt;2,HLOOKUP($A91,#REF!,5,FALSE())&lt;-2),"",#REF!),"")</f>
        <v/>
      </c>
      <c r="H91" s="0" t="str">
        <f aca="false">IFERROR(IF(OR(HLOOKUP($A91,#REF!,6,FALSE())&gt;2,HLOOKUP($A91,#REF!,6,FALSE())&lt;-2),"",#REF!),"")</f>
        <v/>
      </c>
      <c r="I91" s="0" t="str">
        <f aca="false">IFERROR(IF(OR(HLOOKUP($A91,#REF!,7,FALSE())&gt;2,HLOOKUP($A91,#REF!,7,FALSE())&lt;-2),"",#REF!),"")</f>
        <v/>
      </c>
      <c r="J91" s="0" t="str">
        <f aca="false">IFERROR(IF(OR(HLOOKUP($A91,#REF!,8,FALSE())&gt;2,HLOOKUP($A91,#REF!,8,FALSE())&lt;-2),"",#REF!),"")</f>
        <v/>
      </c>
      <c r="K91" s="0" t="str">
        <f aca="false">IFERROR(IF(OR(HLOOKUP($A91,#REF!,9,FALSE())&gt;2,HLOOKUP($A91,#REF!,9,FALSE())&lt;-2),"",#REF!),"")</f>
        <v/>
      </c>
      <c r="L91" s="0" t="str">
        <f aca="false">IFERROR(IF(OR(HLOOKUP($A91,#REF!,10,FALSE())&gt;2,HLOOKUP($A91,#REF!,10,FALSE())&lt;-2),"",#REF!),"")</f>
        <v/>
      </c>
      <c r="M91" s="0" t="str">
        <f aca="false">IFERROR(IF(OR(HLOOKUP($A91,#REF!,11,FALSE())&gt;2,HLOOKUP($A91,#REF!,11,FALSE())&lt;-2),"",#REF!),"")</f>
        <v/>
      </c>
      <c r="N91" s="0" t="str">
        <f aca="false">IFERROR(IF(OR(HLOOKUP($A91,#REF!,12,FALSE())&gt;2,HLOOKUP($A91,#REF!,12,FALSE())&lt;-2),"",#REF!),"")</f>
        <v/>
      </c>
      <c r="O91" s="0" t="str">
        <f aca="false">IFERROR(IF(OR(HLOOKUP($A91,#REF!,13,FALSE())&gt;2,HLOOKUP($A91,#REF!,13,FALSE())&lt;-2),"",#REF!),"")</f>
        <v/>
      </c>
      <c r="P91" s="0" t="str">
        <f aca="false">IFERROR(IF(OR(HLOOKUP($A91,#REF!,14,FALSE())&gt;2,HLOOKUP($A91,#REF!,14,FALSE())&lt;-2),"",#REF!),"")</f>
        <v/>
      </c>
      <c r="Q91" s="0" t="str">
        <f aca="false">IFERROR(IF(OR(HLOOKUP($A91,#REF!,15,FALSE())&gt;2,HLOOKUP($A91,#REF!,15,FALSE())&lt;-2),"",#REF!),"")</f>
        <v/>
      </c>
      <c r="R91" s="0" t="str">
        <f aca="false">IFERROR(IF(OR(HLOOKUP($A91,#REF!,16,FALSE())&gt;2,HLOOKUP($A91,#REF!,16,FALSE())&lt;-2),"",#REF!),"")</f>
        <v/>
      </c>
      <c r="S91" s="0" t="str">
        <f aca="false">IFERROR(IF(OR(HLOOKUP($A91,#REF!,17,FALSE())&gt;2,HLOOKUP($A91,#REF!,17,FALSE())&lt;-2),"",#REF!),"")</f>
        <v/>
      </c>
      <c r="T91" s="0" t="str">
        <f aca="false">IFERROR(IF(OR(HLOOKUP($A91,#REF!,18,FALSE())&gt;2,HLOOKUP($A91,#REF!,18,FALSE())&lt;-2),"",#REF!),"")</f>
        <v/>
      </c>
      <c r="U91" s="0" t="str">
        <f aca="false">IFERROR(IF(OR(HLOOKUP($A91,#REF!,19,FALSE())&gt;2,HLOOKUP($A91,#REF!,19,FALSE())&lt;-2),"",#REF!),"")</f>
        <v/>
      </c>
      <c r="V91" s="0" t="n">
        <f aca="false">IFERROR(IF(AND(X91=0,Y91=0),0,1),0)</f>
        <v>1</v>
      </c>
      <c r="W91" s="3" t="str">
        <f aca="false">IFERROR(_xlfn.T.TEST(E91:M91,N91:U91,2,2),"")</f>
        <v/>
      </c>
      <c r="X91" s="0" t="str">
        <f aca="false">IFERROR(AVERAGE(E91:M91),"")</f>
        <v/>
      </c>
      <c r="Y91" s="0" t="str">
        <f aca="false">IFERROR(AVERAGE(N91:U91),"")</f>
        <v/>
      </c>
    </row>
    <row r="92" customFormat="false" ht="14.5" hidden="false" customHeight="false" outlineLevel="0" collapsed="false">
      <c r="A92" s="0" t="n">
        <v>94</v>
      </c>
      <c r="B92" s="0" t="s">
        <v>182</v>
      </c>
      <c r="C92" s="0" t="n">
        <v>71200</v>
      </c>
      <c r="D92" s="0" t="n">
        <v>38</v>
      </c>
      <c r="E92" s="0" t="str">
        <f aca="false">IFERROR(IF(OR(HLOOKUP($A92,#REF!,3,FALSE())&gt;2,HLOOKUP(A92,#REF!,3,FALSE())&lt;-2),"",#REF!),"")</f>
        <v/>
      </c>
      <c r="F92" s="0" t="str">
        <f aca="false">IFERROR(IF(OR(HLOOKUP($A92,#REF!,4,FALSE())&gt;2,HLOOKUP($A92,#REF!,4,FALSE())&lt;-2),"",#REF!),"")</f>
        <v/>
      </c>
      <c r="G92" s="0" t="str">
        <f aca="false">IFERROR(IF(OR(HLOOKUP($A92,#REF!,5,FALSE())&gt;2,HLOOKUP($A92,#REF!,5,FALSE())&lt;-2),"",#REF!),"")</f>
        <v/>
      </c>
      <c r="H92" s="0" t="str">
        <f aca="false">IFERROR(IF(OR(HLOOKUP($A92,#REF!,6,FALSE())&gt;2,HLOOKUP($A92,#REF!,6,FALSE())&lt;-2),"",#REF!),"")</f>
        <v/>
      </c>
      <c r="I92" s="0" t="str">
        <f aca="false">IFERROR(IF(OR(HLOOKUP($A92,#REF!,7,FALSE())&gt;2,HLOOKUP($A92,#REF!,7,FALSE())&lt;-2),"",#REF!),"")</f>
        <v/>
      </c>
      <c r="J92" s="0" t="str">
        <f aca="false">IFERROR(IF(OR(HLOOKUP($A92,#REF!,8,FALSE())&gt;2,HLOOKUP($A92,#REF!,8,FALSE())&lt;-2),"",#REF!),"")</f>
        <v/>
      </c>
      <c r="K92" s="0" t="str">
        <f aca="false">IFERROR(IF(OR(HLOOKUP($A92,#REF!,9,FALSE())&gt;2,HLOOKUP($A92,#REF!,9,FALSE())&lt;-2),"",#REF!),"")</f>
        <v/>
      </c>
      <c r="L92" s="0" t="str">
        <f aca="false">IFERROR(IF(OR(HLOOKUP($A92,#REF!,10,FALSE())&gt;2,HLOOKUP($A92,#REF!,10,FALSE())&lt;-2),"",#REF!),"")</f>
        <v/>
      </c>
      <c r="M92" s="0" t="str">
        <f aca="false">IFERROR(IF(OR(HLOOKUP($A92,#REF!,11,FALSE())&gt;2,HLOOKUP($A92,#REF!,11,FALSE())&lt;-2),"",#REF!),"")</f>
        <v/>
      </c>
      <c r="N92" s="0" t="str">
        <f aca="false">IFERROR(IF(OR(HLOOKUP($A92,#REF!,12,FALSE())&gt;2,HLOOKUP($A92,#REF!,12,FALSE())&lt;-2),"",#REF!),"")</f>
        <v/>
      </c>
      <c r="O92" s="0" t="str">
        <f aca="false">IFERROR(IF(OR(HLOOKUP($A92,#REF!,13,FALSE())&gt;2,HLOOKUP($A92,#REF!,13,FALSE())&lt;-2),"",#REF!),"")</f>
        <v/>
      </c>
      <c r="P92" s="0" t="str">
        <f aca="false">IFERROR(IF(OR(HLOOKUP($A92,#REF!,14,FALSE())&gt;2,HLOOKUP($A92,#REF!,14,FALSE())&lt;-2),"",#REF!),"")</f>
        <v/>
      </c>
      <c r="Q92" s="0" t="str">
        <f aca="false">IFERROR(IF(OR(HLOOKUP($A92,#REF!,15,FALSE())&gt;2,HLOOKUP($A92,#REF!,15,FALSE())&lt;-2),"",#REF!),"")</f>
        <v/>
      </c>
      <c r="R92" s="0" t="str">
        <f aca="false">IFERROR(IF(OR(HLOOKUP($A92,#REF!,16,FALSE())&gt;2,HLOOKUP($A92,#REF!,16,FALSE())&lt;-2),"",#REF!),"")</f>
        <v/>
      </c>
      <c r="S92" s="0" t="str">
        <f aca="false">IFERROR(IF(OR(HLOOKUP($A92,#REF!,17,FALSE())&gt;2,HLOOKUP($A92,#REF!,17,FALSE())&lt;-2),"",#REF!),"")</f>
        <v/>
      </c>
      <c r="T92" s="0" t="str">
        <f aca="false">IFERROR(IF(OR(HLOOKUP($A92,#REF!,18,FALSE())&gt;2,HLOOKUP($A92,#REF!,18,FALSE())&lt;-2),"",#REF!),"")</f>
        <v/>
      </c>
      <c r="U92" s="0" t="str">
        <f aca="false">IFERROR(IF(OR(HLOOKUP($A92,#REF!,19,FALSE())&gt;2,HLOOKUP($A92,#REF!,19,FALSE())&lt;-2),"",#REF!),"")</f>
        <v/>
      </c>
      <c r="V92" s="0" t="n">
        <f aca="false">IFERROR(IF(AND(X92=0,Y92=0),0,1),0)</f>
        <v>1</v>
      </c>
      <c r="W92" s="3" t="str">
        <f aca="false">IFERROR(_xlfn.T.TEST(E92:M92,N92:U92,2,2),"")</f>
        <v/>
      </c>
      <c r="X92" s="0" t="str">
        <f aca="false">IFERROR(AVERAGE(E92:M92),"")</f>
        <v/>
      </c>
      <c r="Y92" s="0" t="str">
        <f aca="false">IFERROR(AVERAGE(N92:U92),"")</f>
        <v/>
      </c>
    </row>
    <row r="93" customFormat="false" ht="14.5" hidden="false" customHeight="false" outlineLevel="0" collapsed="false">
      <c r="A93" s="0" t="n">
        <v>95</v>
      </c>
      <c r="B93" s="0" t="s">
        <v>183</v>
      </c>
      <c r="C93" s="0" t="n">
        <v>23300</v>
      </c>
      <c r="D93" s="0" t="n">
        <v>315</v>
      </c>
      <c r="E93" s="0" t="str">
        <f aca="false">IFERROR(IF(OR(HLOOKUP($A93,#REF!,3,FALSE())&gt;2,HLOOKUP(A93,#REF!,3,FALSE())&lt;-2),"",#REF!),"")</f>
        <v/>
      </c>
      <c r="F93" s="0" t="str">
        <f aca="false">IFERROR(IF(OR(HLOOKUP($A93,#REF!,4,FALSE())&gt;2,HLOOKUP($A93,#REF!,4,FALSE())&lt;-2),"",#REF!),"")</f>
        <v/>
      </c>
      <c r="G93" s="0" t="str">
        <f aca="false">IFERROR(IF(OR(HLOOKUP($A93,#REF!,5,FALSE())&gt;2,HLOOKUP($A93,#REF!,5,FALSE())&lt;-2),"",#REF!),"")</f>
        <v/>
      </c>
      <c r="H93" s="0" t="str">
        <f aca="false">IFERROR(IF(OR(HLOOKUP($A93,#REF!,6,FALSE())&gt;2,HLOOKUP($A93,#REF!,6,FALSE())&lt;-2),"",#REF!),"")</f>
        <v/>
      </c>
      <c r="I93" s="0" t="str">
        <f aca="false">IFERROR(IF(OR(HLOOKUP($A93,#REF!,7,FALSE())&gt;2,HLOOKUP($A93,#REF!,7,FALSE())&lt;-2),"",#REF!),"")</f>
        <v/>
      </c>
      <c r="J93" s="0" t="str">
        <f aca="false">IFERROR(IF(OR(HLOOKUP($A93,#REF!,8,FALSE())&gt;2,HLOOKUP($A93,#REF!,8,FALSE())&lt;-2),"",#REF!),"")</f>
        <v/>
      </c>
      <c r="K93" s="0" t="str">
        <f aca="false">IFERROR(IF(OR(HLOOKUP($A93,#REF!,9,FALSE())&gt;2,HLOOKUP($A93,#REF!,9,FALSE())&lt;-2),"",#REF!),"")</f>
        <v/>
      </c>
      <c r="L93" s="0" t="str">
        <f aca="false">IFERROR(IF(OR(HLOOKUP($A93,#REF!,10,FALSE())&gt;2,HLOOKUP($A93,#REF!,10,FALSE())&lt;-2),"",#REF!),"")</f>
        <v/>
      </c>
      <c r="M93" s="0" t="str">
        <f aca="false">IFERROR(IF(OR(HLOOKUP($A93,#REF!,11,FALSE())&gt;2,HLOOKUP($A93,#REF!,11,FALSE())&lt;-2),"",#REF!),"")</f>
        <v/>
      </c>
      <c r="N93" s="0" t="str">
        <f aca="false">IFERROR(IF(OR(HLOOKUP($A93,#REF!,12,FALSE())&gt;2,HLOOKUP($A93,#REF!,12,FALSE())&lt;-2),"",#REF!),"")</f>
        <v/>
      </c>
      <c r="O93" s="0" t="str">
        <f aca="false">IFERROR(IF(OR(HLOOKUP($A93,#REF!,13,FALSE())&gt;2,HLOOKUP($A93,#REF!,13,FALSE())&lt;-2),"",#REF!),"")</f>
        <v/>
      </c>
      <c r="P93" s="0" t="str">
        <f aca="false">IFERROR(IF(OR(HLOOKUP($A93,#REF!,14,FALSE())&gt;2,HLOOKUP($A93,#REF!,14,FALSE())&lt;-2),"",#REF!),"")</f>
        <v/>
      </c>
      <c r="Q93" s="0" t="str">
        <f aca="false">IFERROR(IF(OR(HLOOKUP($A93,#REF!,15,FALSE())&gt;2,HLOOKUP($A93,#REF!,15,FALSE())&lt;-2),"",#REF!),"")</f>
        <v/>
      </c>
      <c r="R93" s="0" t="str">
        <f aca="false">IFERROR(IF(OR(HLOOKUP($A93,#REF!,16,FALSE())&gt;2,HLOOKUP($A93,#REF!,16,FALSE())&lt;-2),"",#REF!),"")</f>
        <v/>
      </c>
      <c r="S93" s="0" t="str">
        <f aca="false">IFERROR(IF(OR(HLOOKUP($A93,#REF!,17,FALSE())&gt;2,HLOOKUP($A93,#REF!,17,FALSE())&lt;-2),"",#REF!),"")</f>
        <v/>
      </c>
      <c r="T93" s="0" t="str">
        <f aca="false">IFERROR(IF(OR(HLOOKUP($A93,#REF!,18,FALSE())&gt;2,HLOOKUP($A93,#REF!,18,FALSE())&lt;-2),"",#REF!),"")</f>
        <v/>
      </c>
      <c r="U93" s="0" t="str">
        <f aca="false">IFERROR(IF(OR(HLOOKUP($A93,#REF!,19,FALSE())&gt;2,HLOOKUP($A93,#REF!,19,FALSE())&lt;-2),"",#REF!),"")</f>
        <v/>
      </c>
      <c r="V93" s="0" t="n">
        <f aca="false">IFERROR(IF(AND(X93=0,Y93=0),0,1),0)</f>
        <v>1</v>
      </c>
      <c r="W93" s="3" t="str">
        <f aca="false">IFERROR(_xlfn.T.TEST(E93:M93,N93:U93,2,2),"")</f>
        <v/>
      </c>
      <c r="X93" s="0" t="str">
        <f aca="false">IFERROR(AVERAGE(E93:M93),"")</f>
        <v/>
      </c>
      <c r="Y93" s="0" t="str">
        <f aca="false">IFERROR(AVERAGE(N93:U93),"")</f>
        <v/>
      </c>
    </row>
    <row r="94" customFormat="false" ht="14.5" hidden="false" customHeight="false" outlineLevel="0" collapsed="false">
      <c r="A94" s="0" t="n">
        <v>96</v>
      </c>
      <c r="B94" s="0" t="s">
        <v>184</v>
      </c>
      <c r="C94" s="0" t="n">
        <v>90000</v>
      </c>
      <c r="D94" s="0" t="n">
        <v>607</v>
      </c>
      <c r="E94" s="0" t="str">
        <f aca="false">IFERROR(IF(OR(HLOOKUP($A94,#REF!,3,FALSE())&gt;2,HLOOKUP(A94,#REF!,3,FALSE())&lt;-2),"",#REF!),"")</f>
        <v/>
      </c>
      <c r="F94" s="0" t="str">
        <f aca="false">IFERROR(IF(OR(HLOOKUP($A94,#REF!,4,FALSE())&gt;2,HLOOKUP($A94,#REF!,4,FALSE())&lt;-2),"",#REF!),"")</f>
        <v/>
      </c>
      <c r="G94" s="0" t="str">
        <f aca="false">IFERROR(IF(OR(HLOOKUP($A94,#REF!,5,FALSE())&gt;2,HLOOKUP($A94,#REF!,5,FALSE())&lt;-2),"",#REF!),"")</f>
        <v/>
      </c>
      <c r="H94" s="0" t="str">
        <f aca="false">IFERROR(IF(OR(HLOOKUP($A94,#REF!,6,FALSE())&gt;2,HLOOKUP($A94,#REF!,6,FALSE())&lt;-2),"",#REF!),"")</f>
        <v/>
      </c>
      <c r="I94" s="0" t="str">
        <f aca="false">IFERROR(IF(OR(HLOOKUP($A94,#REF!,7,FALSE())&gt;2,HLOOKUP($A94,#REF!,7,FALSE())&lt;-2),"",#REF!),"")</f>
        <v/>
      </c>
      <c r="J94" s="0" t="str">
        <f aca="false">IFERROR(IF(OR(HLOOKUP($A94,#REF!,8,FALSE())&gt;2,HLOOKUP($A94,#REF!,8,FALSE())&lt;-2),"",#REF!),"")</f>
        <v/>
      </c>
      <c r="K94" s="0" t="str">
        <f aca="false">IFERROR(IF(OR(HLOOKUP($A94,#REF!,9,FALSE())&gt;2,HLOOKUP($A94,#REF!,9,FALSE())&lt;-2),"",#REF!),"")</f>
        <v/>
      </c>
      <c r="L94" s="0" t="str">
        <f aca="false">IFERROR(IF(OR(HLOOKUP($A94,#REF!,10,FALSE())&gt;2,HLOOKUP($A94,#REF!,10,FALSE())&lt;-2),"",#REF!),"")</f>
        <v/>
      </c>
      <c r="M94" s="0" t="str">
        <f aca="false">IFERROR(IF(OR(HLOOKUP($A94,#REF!,11,FALSE())&gt;2,HLOOKUP($A94,#REF!,11,FALSE())&lt;-2),"",#REF!),"")</f>
        <v/>
      </c>
      <c r="N94" s="0" t="str">
        <f aca="false">IFERROR(IF(OR(HLOOKUP($A94,#REF!,12,FALSE())&gt;2,HLOOKUP($A94,#REF!,12,FALSE())&lt;-2),"",#REF!),"")</f>
        <v/>
      </c>
      <c r="O94" s="0" t="str">
        <f aca="false">IFERROR(IF(OR(HLOOKUP($A94,#REF!,13,FALSE())&gt;2,HLOOKUP($A94,#REF!,13,FALSE())&lt;-2),"",#REF!),"")</f>
        <v/>
      </c>
      <c r="P94" s="0" t="str">
        <f aca="false">IFERROR(IF(OR(HLOOKUP($A94,#REF!,14,FALSE())&gt;2,HLOOKUP($A94,#REF!,14,FALSE())&lt;-2),"",#REF!),"")</f>
        <v/>
      </c>
      <c r="Q94" s="0" t="str">
        <f aca="false">IFERROR(IF(OR(HLOOKUP($A94,#REF!,15,FALSE())&gt;2,HLOOKUP($A94,#REF!,15,FALSE())&lt;-2),"",#REF!),"")</f>
        <v/>
      </c>
      <c r="R94" s="0" t="str">
        <f aca="false">IFERROR(IF(OR(HLOOKUP($A94,#REF!,16,FALSE())&gt;2,HLOOKUP($A94,#REF!,16,FALSE())&lt;-2),"",#REF!),"")</f>
        <v/>
      </c>
      <c r="S94" s="0" t="str">
        <f aca="false">IFERROR(IF(OR(HLOOKUP($A94,#REF!,17,FALSE())&gt;2,HLOOKUP($A94,#REF!,17,FALSE())&lt;-2),"",#REF!),"")</f>
        <v/>
      </c>
      <c r="T94" s="0" t="str">
        <f aca="false">IFERROR(IF(OR(HLOOKUP($A94,#REF!,18,FALSE())&gt;2,HLOOKUP($A94,#REF!,18,FALSE())&lt;-2),"",#REF!),"")</f>
        <v/>
      </c>
      <c r="U94" s="0" t="str">
        <f aca="false">IFERROR(IF(OR(HLOOKUP($A94,#REF!,19,FALSE())&gt;2,HLOOKUP($A94,#REF!,19,FALSE())&lt;-2),"",#REF!),"")</f>
        <v/>
      </c>
      <c r="V94" s="0" t="n">
        <f aca="false">IFERROR(IF(AND(X94=0,Y94=0),0,1),0)</f>
        <v>1</v>
      </c>
      <c r="W94" s="3" t="str">
        <f aca="false">IFERROR(_xlfn.T.TEST(E94:M94,N94:U94,2,2),"")</f>
        <v/>
      </c>
      <c r="X94" s="0" t="str">
        <f aca="false">IFERROR(AVERAGE(E94:M94),"")</f>
        <v/>
      </c>
      <c r="Y94" s="0" t="str">
        <f aca="false">IFERROR(AVERAGE(N94:U94),"")</f>
        <v/>
      </c>
    </row>
    <row r="95" customFormat="false" ht="14.5" hidden="false" customHeight="false" outlineLevel="0" collapsed="false">
      <c r="A95" s="0" t="n">
        <v>97</v>
      </c>
      <c r="B95" s="0" t="s">
        <v>185</v>
      </c>
      <c r="C95" s="0" t="n">
        <v>28100</v>
      </c>
      <c r="D95" s="0" t="n">
        <v>541</v>
      </c>
      <c r="E95" s="0" t="str">
        <f aca="false">IFERROR(IF(OR(HLOOKUP($A95,#REF!,3,FALSE())&gt;2,HLOOKUP(A95,#REF!,3,FALSE())&lt;-2),"",#REF!),"")</f>
        <v/>
      </c>
      <c r="F95" s="0" t="str">
        <f aca="false">IFERROR(IF(OR(HLOOKUP($A95,#REF!,4,FALSE())&gt;2,HLOOKUP($A95,#REF!,4,FALSE())&lt;-2),"",#REF!),"")</f>
        <v/>
      </c>
      <c r="G95" s="0" t="str">
        <f aca="false">IFERROR(IF(OR(HLOOKUP($A95,#REF!,5,FALSE())&gt;2,HLOOKUP($A95,#REF!,5,FALSE())&lt;-2),"",#REF!),"")</f>
        <v/>
      </c>
      <c r="H95" s="0" t="str">
        <f aca="false">IFERROR(IF(OR(HLOOKUP($A95,#REF!,6,FALSE())&gt;2,HLOOKUP($A95,#REF!,6,FALSE())&lt;-2),"",#REF!),"")</f>
        <v/>
      </c>
      <c r="I95" s="0" t="str">
        <f aca="false">IFERROR(IF(OR(HLOOKUP($A95,#REF!,7,FALSE())&gt;2,HLOOKUP($A95,#REF!,7,FALSE())&lt;-2),"",#REF!),"")</f>
        <v/>
      </c>
      <c r="J95" s="0" t="str">
        <f aca="false">IFERROR(IF(OR(HLOOKUP($A95,#REF!,8,FALSE())&gt;2,HLOOKUP($A95,#REF!,8,FALSE())&lt;-2),"",#REF!),"")</f>
        <v/>
      </c>
      <c r="K95" s="0" t="str">
        <f aca="false">IFERROR(IF(OR(HLOOKUP($A95,#REF!,9,FALSE())&gt;2,HLOOKUP($A95,#REF!,9,FALSE())&lt;-2),"",#REF!),"")</f>
        <v/>
      </c>
      <c r="L95" s="0" t="str">
        <f aca="false">IFERROR(IF(OR(HLOOKUP($A95,#REF!,10,FALSE())&gt;2,HLOOKUP($A95,#REF!,10,FALSE())&lt;-2),"",#REF!),"")</f>
        <v/>
      </c>
      <c r="M95" s="0" t="str">
        <f aca="false">IFERROR(IF(OR(HLOOKUP($A95,#REF!,11,FALSE())&gt;2,HLOOKUP($A95,#REF!,11,FALSE())&lt;-2),"",#REF!),"")</f>
        <v/>
      </c>
      <c r="N95" s="0" t="str">
        <f aca="false">IFERROR(IF(OR(HLOOKUP($A95,#REF!,12,FALSE())&gt;2,HLOOKUP($A95,#REF!,12,FALSE())&lt;-2),"",#REF!),"")</f>
        <v/>
      </c>
      <c r="O95" s="0" t="str">
        <f aca="false">IFERROR(IF(OR(HLOOKUP($A95,#REF!,13,FALSE())&gt;2,HLOOKUP($A95,#REF!,13,FALSE())&lt;-2),"",#REF!),"")</f>
        <v/>
      </c>
      <c r="P95" s="0" t="str">
        <f aca="false">IFERROR(IF(OR(HLOOKUP($A95,#REF!,14,FALSE())&gt;2,HLOOKUP($A95,#REF!,14,FALSE())&lt;-2),"",#REF!),"")</f>
        <v/>
      </c>
      <c r="Q95" s="0" t="str">
        <f aca="false">IFERROR(IF(OR(HLOOKUP($A95,#REF!,15,FALSE())&gt;2,HLOOKUP($A95,#REF!,15,FALSE())&lt;-2),"",#REF!),"")</f>
        <v/>
      </c>
      <c r="R95" s="0" t="str">
        <f aca="false">IFERROR(IF(OR(HLOOKUP($A95,#REF!,16,FALSE())&gt;2,HLOOKUP($A95,#REF!,16,FALSE())&lt;-2),"",#REF!),"")</f>
        <v/>
      </c>
      <c r="S95" s="0" t="str">
        <f aca="false">IFERROR(IF(OR(HLOOKUP($A95,#REF!,17,FALSE())&gt;2,HLOOKUP($A95,#REF!,17,FALSE())&lt;-2),"",#REF!),"")</f>
        <v/>
      </c>
      <c r="T95" s="0" t="str">
        <f aca="false">IFERROR(IF(OR(HLOOKUP($A95,#REF!,18,FALSE())&gt;2,HLOOKUP($A95,#REF!,18,FALSE())&lt;-2),"",#REF!),"")</f>
        <v/>
      </c>
      <c r="U95" s="0" t="str">
        <f aca="false">IFERROR(IF(OR(HLOOKUP($A95,#REF!,19,FALSE())&gt;2,HLOOKUP($A95,#REF!,19,FALSE())&lt;-2),"",#REF!),"")</f>
        <v/>
      </c>
      <c r="V95" s="0" t="n">
        <f aca="false">IFERROR(IF(AND(X95=0,Y95=0),0,1),0)</f>
        <v>1</v>
      </c>
      <c r="W95" s="3" t="str">
        <f aca="false">IFERROR(_xlfn.T.TEST(E95:M95,N95:U95,2,2),"")</f>
        <v/>
      </c>
      <c r="X95" s="0" t="str">
        <f aca="false">IFERROR(AVERAGE(E95:M95),"")</f>
        <v/>
      </c>
      <c r="Y95" s="0" t="str">
        <f aca="false">IFERROR(AVERAGE(N95:U95),"")</f>
        <v/>
      </c>
    </row>
    <row r="96" customFormat="false" ht="14.5" hidden="false" customHeight="false" outlineLevel="0" collapsed="false">
      <c r="A96" s="0" t="n">
        <v>98</v>
      </c>
      <c r="B96" s="0" t="s">
        <v>186</v>
      </c>
      <c r="C96" s="0" t="n">
        <v>116100</v>
      </c>
      <c r="D96" s="0" t="n">
        <v>81</v>
      </c>
      <c r="E96" s="0" t="str">
        <f aca="false">IFERROR(IF(OR(HLOOKUP($A96,#REF!,3,FALSE())&gt;2,HLOOKUP(A96,#REF!,3,FALSE())&lt;-2),"",#REF!),"")</f>
        <v/>
      </c>
      <c r="F96" s="0" t="str">
        <f aca="false">IFERROR(IF(OR(HLOOKUP($A96,#REF!,4,FALSE())&gt;2,HLOOKUP($A96,#REF!,4,FALSE())&lt;-2),"",#REF!),"")</f>
        <v/>
      </c>
      <c r="G96" s="0" t="str">
        <f aca="false">IFERROR(IF(OR(HLOOKUP($A96,#REF!,5,FALSE())&gt;2,HLOOKUP($A96,#REF!,5,FALSE())&lt;-2),"",#REF!),"")</f>
        <v/>
      </c>
      <c r="H96" s="0" t="str">
        <f aca="false">IFERROR(IF(OR(HLOOKUP($A96,#REF!,6,FALSE())&gt;2,HLOOKUP($A96,#REF!,6,FALSE())&lt;-2),"",#REF!),"")</f>
        <v/>
      </c>
      <c r="I96" s="0" t="str">
        <f aca="false">IFERROR(IF(OR(HLOOKUP($A96,#REF!,7,FALSE())&gt;2,HLOOKUP($A96,#REF!,7,FALSE())&lt;-2),"",#REF!),"")</f>
        <v/>
      </c>
      <c r="J96" s="0" t="str">
        <f aca="false">IFERROR(IF(OR(HLOOKUP($A96,#REF!,8,FALSE())&gt;2,HLOOKUP($A96,#REF!,8,FALSE())&lt;-2),"",#REF!),"")</f>
        <v/>
      </c>
      <c r="K96" s="0" t="str">
        <f aca="false">IFERROR(IF(OR(HLOOKUP($A96,#REF!,9,FALSE())&gt;2,HLOOKUP($A96,#REF!,9,FALSE())&lt;-2),"",#REF!),"")</f>
        <v/>
      </c>
      <c r="L96" s="0" t="str">
        <f aca="false">IFERROR(IF(OR(HLOOKUP($A96,#REF!,10,FALSE())&gt;2,HLOOKUP($A96,#REF!,10,FALSE())&lt;-2),"",#REF!),"")</f>
        <v/>
      </c>
      <c r="M96" s="0" t="str">
        <f aca="false">IFERROR(IF(OR(HLOOKUP($A96,#REF!,11,FALSE())&gt;2,HLOOKUP($A96,#REF!,11,FALSE())&lt;-2),"",#REF!),"")</f>
        <v/>
      </c>
      <c r="N96" s="0" t="str">
        <f aca="false">IFERROR(IF(OR(HLOOKUP($A96,#REF!,12,FALSE())&gt;2,HLOOKUP($A96,#REF!,12,FALSE())&lt;-2),"",#REF!),"")</f>
        <v/>
      </c>
      <c r="O96" s="0" t="str">
        <f aca="false">IFERROR(IF(OR(HLOOKUP($A96,#REF!,13,FALSE())&gt;2,HLOOKUP($A96,#REF!,13,FALSE())&lt;-2),"",#REF!),"")</f>
        <v/>
      </c>
      <c r="P96" s="0" t="str">
        <f aca="false">IFERROR(IF(OR(HLOOKUP($A96,#REF!,14,FALSE())&gt;2,HLOOKUP($A96,#REF!,14,FALSE())&lt;-2),"",#REF!),"")</f>
        <v/>
      </c>
      <c r="Q96" s="0" t="str">
        <f aca="false">IFERROR(IF(OR(HLOOKUP($A96,#REF!,15,FALSE())&gt;2,HLOOKUP($A96,#REF!,15,FALSE())&lt;-2),"",#REF!),"")</f>
        <v/>
      </c>
      <c r="R96" s="0" t="str">
        <f aca="false">IFERROR(IF(OR(HLOOKUP($A96,#REF!,16,FALSE())&gt;2,HLOOKUP($A96,#REF!,16,FALSE())&lt;-2),"",#REF!),"")</f>
        <v/>
      </c>
      <c r="S96" s="0" t="str">
        <f aca="false">IFERROR(IF(OR(HLOOKUP($A96,#REF!,17,FALSE())&gt;2,HLOOKUP($A96,#REF!,17,FALSE())&lt;-2),"",#REF!),"")</f>
        <v/>
      </c>
      <c r="T96" s="0" t="str">
        <f aca="false">IFERROR(IF(OR(HLOOKUP($A96,#REF!,18,FALSE())&gt;2,HLOOKUP($A96,#REF!,18,FALSE())&lt;-2),"",#REF!),"")</f>
        <v/>
      </c>
      <c r="U96" s="0" t="str">
        <f aca="false">IFERROR(IF(OR(HLOOKUP($A96,#REF!,19,FALSE())&gt;2,HLOOKUP($A96,#REF!,19,FALSE())&lt;-2),"",#REF!),"")</f>
        <v/>
      </c>
      <c r="V96" s="0" t="n">
        <f aca="false">IFERROR(IF(AND(X96=0,Y96=0),0,1),0)</f>
        <v>1</v>
      </c>
      <c r="W96" s="3" t="str">
        <f aca="false">IFERROR(_xlfn.T.TEST(E96:M96,N96:U96,2,2),"")</f>
        <v/>
      </c>
      <c r="X96" s="0" t="str">
        <f aca="false">IFERROR(AVERAGE(E96:M96),"")</f>
        <v/>
      </c>
      <c r="Y96" s="0" t="str">
        <f aca="false">IFERROR(AVERAGE(N96:U96),"")</f>
        <v/>
      </c>
    </row>
    <row r="97" customFormat="false" ht="14.5" hidden="false" customHeight="false" outlineLevel="0" collapsed="false">
      <c r="A97" s="0" t="n">
        <v>99</v>
      </c>
      <c r="B97" s="0" t="s">
        <v>187</v>
      </c>
      <c r="C97" s="0" t="n">
        <v>85200</v>
      </c>
      <c r="D97" s="0" t="n">
        <v>612</v>
      </c>
      <c r="E97" s="0" t="str">
        <f aca="false">IFERROR(IF(OR(HLOOKUP($A97,#REF!,3,FALSE())&gt;2,HLOOKUP(A97,#REF!,3,FALSE())&lt;-2),"",#REF!),"")</f>
        <v/>
      </c>
      <c r="F97" s="0" t="str">
        <f aca="false">IFERROR(IF(OR(HLOOKUP($A97,#REF!,4,FALSE())&gt;2,HLOOKUP($A97,#REF!,4,FALSE())&lt;-2),"",#REF!),"")</f>
        <v/>
      </c>
      <c r="G97" s="0" t="str">
        <f aca="false">IFERROR(IF(OR(HLOOKUP($A97,#REF!,5,FALSE())&gt;2,HLOOKUP($A97,#REF!,5,FALSE())&lt;-2),"",#REF!),"")</f>
        <v/>
      </c>
      <c r="H97" s="0" t="str">
        <f aca="false">IFERROR(IF(OR(HLOOKUP($A97,#REF!,6,FALSE())&gt;2,HLOOKUP($A97,#REF!,6,FALSE())&lt;-2),"",#REF!),"")</f>
        <v/>
      </c>
      <c r="I97" s="0" t="str">
        <f aca="false">IFERROR(IF(OR(HLOOKUP($A97,#REF!,7,FALSE())&gt;2,HLOOKUP($A97,#REF!,7,FALSE())&lt;-2),"",#REF!),"")</f>
        <v/>
      </c>
      <c r="J97" s="0" t="str">
        <f aca="false">IFERROR(IF(OR(HLOOKUP($A97,#REF!,8,FALSE())&gt;2,HLOOKUP($A97,#REF!,8,FALSE())&lt;-2),"",#REF!),"")</f>
        <v/>
      </c>
      <c r="K97" s="0" t="str">
        <f aca="false">IFERROR(IF(OR(HLOOKUP($A97,#REF!,9,FALSE())&gt;2,HLOOKUP($A97,#REF!,9,FALSE())&lt;-2),"",#REF!),"")</f>
        <v/>
      </c>
      <c r="L97" s="0" t="str">
        <f aca="false">IFERROR(IF(OR(HLOOKUP($A97,#REF!,10,FALSE())&gt;2,HLOOKUP($A97,#REF!,10,FALSE())&lt;-2),"",#REF!),"")</f>
        <v/>
      </c>
      <c r="M97" s="0" t="str">
        <f aca="false">IFERROR(IF(OR(HLOOKUP($A97,#REF!,11,FALSE())&gt;2,HLOOKUP($A97,#REF!,11,FALSE())&lt;-2),"",#REF!),"")</f>
        <v/>
      </c>
      <c r="N97" s="0" t="str">
        <f aca="false">IFERROR(IF(OR(HLOOKUP($A97,#REF!,12,FALSE())&gt;2,HLOOKUP($A97,#REF!,12,FALSE())&lt;-2),"",#REF!),"")</f>
        <v/>
      </c>
      <c r="O97" s="0" t="str">
        <f aca="false">IFERROR(IF(OR(HLOOKUP($A97,#REF!,13,FALSE())&gt;2,HLOOKUP($A97,#REF!,13,FALSE())&lt;-2),"",#REF!),"")</f>
        <v/>
      </c>
      <c r="P97" s="0" t="str">
        <f aca="false">IFERROR(IF(OR(HLOOKUP($A97,#REF!,14,FALSE())&gt;2,HLOOKUP($A97,#REF!,14,FALSE())&lt;-2),"",#REF!),"")</f>
        <v/>
      </c>
      <c r="Q97" s="0" t="str">
        <f aca="false">IFERROR(IF(OR(HLOOKUP($A97,#REF!,15,FALSE())&gt;2,HLOOKUP($A97,#REF!,15,FALSE())&lt;-2),"",#REF!),"")</f>
        <v/>
      </c>
      <c r="R97" s="0" t="str">
        <f aca="false">IFERROR(IF(OR(HLOOKUP($A97,#REF!,16,FALSE())&gt;2,HLOOKUP($A97,#REF!,16,FALSE())&lt;-2),"",#REF!),"")</f>
        <v/>
      </c>
      <c r="S97" s="0" t="str">
        <f aca="false">IFERROR(IF(OR(HLOOKUP($A97,#REF!,17,FALSE())&gt;2,HLOOKUP($A97,#REF!,17,FALSE())&lt;-2),"",#REF!),"")</f>
        <v/>
      </c>
      <c r="T97" s="0" t="str">
        <f aca="false">IFERROR(IF(OR(HLOOKUP($A97,#REF!,18,FALSE())&gt;2,HLOOKUP($A97,#REF!,18,FALSE())&lt;-2),"",#REF!),"")</f>
        <v/>
      </c>
      <c r="U97" s="0" t="str">
        <f aca="false">IFERROR(IF(OR(HLOOKUP($A97,#REF!,19,FALSE())&gt;2,HLOOKUP($A97,#REF!,19,FALSE())&lt;-2),"",#REF!),"")</f>
        <v/>
      </c>
      <c r="V97" s="0" t="n">
        <f aca="false">IFERROR(IF(AND(X97=0,Y97=0),0,1),0)</f>
        <v>1</v>
      </c>
      <c r="W97" s="3" t="str">
        <f aca="false">IFERROR(_xlfn.T.TEST(E97:M97,N97:U97,2,2),"")</f>
        <v/>
      </c>
      <c r="X97" s="0" t="str">
        <f aca="false">IFERROR(AVERAGE(E97:M97),"")</f>
        <v/>
      </c>
      <c r="Y97" s="0" t="str">
        <f aca="false">IFERROR(AVERAGE(N97:U97),"")</f>
        <v/>
      </c>
    </row>
    <row r="98" customFormat="false" ht="14.5" hidden="false" customHeight="false" outlineLevel="0" collapsed="false">
      <c r="A98" s="0" t="n">
        <v>100</v>
      </c>
      <c r="B98" s="0" t="s">
        <v>188</v>
      </c>
      <c r="C98" s="0" t="n">
        <v>84200</v>
      </c>
      <c r="D98" s="0" t="n">
        <v>165</v>
      </c>
      <c r="E98" s="0" t="str">
        <f aca="false">IFERROR(IF(OR(HLOOKUP($A98,#REF!,3,FALSE())&gt;2,HLOOKUP(A98,#REF!,3,FALSE())&lt;-2),"",#REF!),"")</f>
        <v/>
      </c>
      <c r="F98" s="0" t="str">
        <f aca="false">IFERROR(IF(OR(HLOOKUP($A98,#REF!,4,FALSE())&gt;2,HLOOKUP($A98,#REF!,4,FALSE())&lt;-2),"",#REF!),"")</f>
        <v/>
      </c>
      <c r="G98" s="0" t="str">
        <f aca="false">IFERROR(IF(OR(HLOOKUP($A98,#REF!,5,FALSE())&gt;2,HLOOKUP($A98,#REF!,5,FALSE())&lt;-2),"",#REF!),"")</f>
        <v/>
      </c>
      <c r="H98" s="0" t="str">
        <f aca="false">IFERROR(IF(OR(HLOOKUP($A98,#REF!,6,FALSE())&gt;2,HLOOKUP($A98,#REF!,6,FALSE())&lt;-2),"",#REF!),"")</f>
        <v/>
      </c>
      <c r="I98" s="0" t="str">
        <f aca="false">IFERROR(IF(OR(HLOOKUP($A98,#REF!,7,FALSE())&gt;2,HLOOKUP($A98,#REF!,7,FALSE())&lt;-2),"",#REF!),"")</f>
        <v/>
      </c>
      <c r="J98" s="0" t="str">
        <f aca="false">IFERROR(IF(OR(HLOOKUP($A98,#REF!,8,FALSE())&gt;2,HLOOKUP($A98,#REF!,8,FALSE())&lt;-2),"",#REF!),"")</f>
        <v/>
      </c>
      <c r="K98" s="0" t="str">
        <f aca="false">IFERROR(IF(OR(HLOOKUP($A98,#REF!,9,FALSE())&gt;2,HLOOKUP($A98,#REF!,9,FALSE())&lt;-2),"",#REF!),"")</f>
        <v/>
      </c>
      <c r="L98" s="0" t="str">
        <f aca="false">IFERROR(IF(OR(HLOOKUP($A98,#REF!,10,FALSE())&gt;2,HLOOKUP($A98,#REF!,10,FALSE())&lt;-2),"",#REF!),"")</f>
        <v/>
      </c>
      <c r="M98" s="0" t="str">
        <f aca="false">IFERROR(IF(OR(HLOOKUP($A98,#REF!,11,FALSE())&gt;2,HLOOKUP($A98,#REF!,11,FALSE())&lt;-2),"",#REF!),"")</f>
        <v/>
      </c>
      <c r="N98" s="0" t="str">
        <f aca="false">IFERROR(IF(OR(HLOOKUP($A98,#REF!,12,FALSE())&gt;2,HLOOKUP($A98,#REF!,12,FALSE())&lt;-2),"",#REF!),"")</f>
        <v/>
      </c>
      <c r="O98" s="0" t="str">
        <f aca="false">IFERROR(IF(OR(HLOOKUP($A98,#REF!,13,FALSE())&gt;2,HLOOKUP($A98,#REF!,13,FALSE())&lt;-2),"",#REF!),"")</f>
        <v/>
      </c>
      <c r="P98" s="0" t="str">
        <f aca="false">IFERROR(IF(OR(HLOOKUP($A98,#REF!,14,FALSE())&gt;2,HLOOKUP($A98,#REF!,14,FALSE())&lt;-2),"",#REF!),"")</f>
        <v/>
      </c>
      <c r="Q98" s="0" t="str">
        <f aca="false">IFERROR(IF(OR(HLOOKUP($A98,#REF!,15,FALSE())&gt;2,HLOOKUP($A98,#REF!,15,FALSE())&lt;-2),"",#REF!),"")</f>
        <v/>
      </c>
      <c r="R98" s="0" t="str">
        <f aca="false">IFERROR(IF(OR(HLOOKUP($A98,#REF!,16,FALSE())&gt;2,HLOOKUP($A98,#REF!,16,FALSE())&lt;-2),"",#REF!),"")</f>
        <v/>
      </c>
      <c r="S98" s="0" t="str">
        <f aca="false">IFERROR(IF(OR(HLOOKUP($A98,#REF!,17,FALSE())&gt;2,HLOOKUP($A98,#REF!,17,FALSE())&lt;-2),"",#REF!),"")</f>
        <v/>
      </c>
      <c r="T98" s="0" t="str">
        <f aca="false">IFERROR(IF(OR(HLOOKUP($A98,#REF!,18,FALSE())&gt;2,HLOOKUP($A98,#REF!,18,FALSE())&lt;-2),"",#REF!),"")</f>
        <v/>
      </c>
      <c r="U98" s="0" t="str">
        <f aca="false">IFERROR(IF(OR(HLOOKUP($A98,#REF!,19,FALSE())&gt;2,HLOOKUP($A98,#REF!,19,FALSE())&lt;-2),"",#REF!),"")</f>
        <v/>
      </c>
      <c r="V98" s="0" t="n">
        <f aca="false">IFERROR(IF(AND(X98=0,Y98=0),0,1),0)</f>
        <v>1</v>
      </c>
      <c r="W98" s="3" t="str">
        <f aca="false">IFERROR(_xlfn.T.TEST(E98:M98,N98:U98,2,2),"")</f>
        <v/>
      </c>
      <c r="X98" s="0" t="str">
        <f aca="false">IFERROR(AVERAGE(E98:M98),"")</f>
        <v/>
      </c>
      <c r="Y98" s="0" t="str">
        <f aca="false">IFERROR(AVERAGE(N98:U98),"")</f>
        <v/>
      </c>
    </row>
    <row r="99" customFormat="false" ht="14.5" hidden="false" customHeight="false" outlineLevel="0" collapsed="false">
      <c r="A99" s="0" t="n">
        <v>101</v>
      </c>
      <c r="B99" s="0" t="s">
        <v>189</v>
      </c>
      <c r="C99" s="0" t="n">
        <v>90100</v>
      </c>
      <c r="D99" s="0" t="n">
        <v>607</v>
      </c>
      <c r="E99" s="0" t="str">
        <f aca="false">IFERROR(IF(OR(HLOOKUP($A99,#REF!,3,FALSE())&gt;2,HLOOKUP(A99,#REF!,3,FALSE())&lt;-2),"",#REF!),"")</f>
        <v/>
      </c>
      <c r="F99" s="0" t="str">
        <f aca="false">IFERROR(IF(OR(HLOOKUP($A99,#REF!,4,FALSE())&gt;2,HLOOKUP($A99,#REF!,4,FALSE())&lt;-2),"",#REF!),"")</f>
        <v/>
      </c>
      <c r="G99" s="0" t="str">
        <f aca="false">IFERROR(IF(OR(HLOOKUP($A99,#REF!,5,FALSE())&gt;2,HLOOKUP($A99,#REF!,5,FALSE())&lt;-2),"",#REF!),"")</f>
        <v/>
      </c>
      <c r="H99" s="0" t="str">
        <f aca="false">IFERROR(IF(OR(HLOOKUP($A99,#REF!,6,FALSE())&gt;2,HLOOKUP($A99,#REF!,6,FALSE())&lt;-2),"",#REF!),"")</f>
        <v/>
      </c>
      <c r="I99" s="0" t="str">
        <f aca="false">IFERROR(IF(OR(HLOOKUP($A99,#REF!,7,FALSE())&gt;2,HLOOKUP($A99,#REF!,7,FALSE())&lt;-2),"",#REF!),"")</f>
        <v/>
      </c>
      <c r="J99" s="0" t="str">
        <f aca="false">IFERROR(IF(OR(HLOOKUP($A99,#REF!,8,FALSE())&gt;2,HLOOKUP($A99,#REF!,8,FALSE())&lt;-2),"",#REF!),"")</f>
        <v/>
      </c>
      <c r="K99" s="0" t="str">
        <f aca="false">IFERROR(IF(OR(HLOOKUP($A99,#REF!,9,FALSE())&gt;2,HLOOKUP($A99,#REF!,9,FALSE())&lt;-2),"",#REF!),"")</f>
        <v/>
      </c>
      <c r="L99" s="0" t="str">
        <f aca="false">IFERROR(IF(OR(HLOOKUP($A99,#REF!,10,FALSE())&gt;2,HLOOKUP($A99,#REF!,10,FALSE())&lt;-2),"",#REF!),"")</f>
        <v/>
      </c>
      <c r="M99" s="0" t="str">
        <f aca="false">IFERROR(IF(OR(HLOOKUP($A99,#REF!,11,FALSE())&gt;2,HLOOKUP($A99,#REF!,11,FALSE())&lt;-2),"",#REF!),"")</f>
        <v/>
      </c>
      <c r="N99" s="0" t="str">
        <f aca="false">IFERROR(IF(OR(HLOOKUP($A99,#REF!,12,FALSE())&gt;2,HLOOKUP($A99,#REF!,12,FALSE())&lt;-2),"",#REF!),"")</f>
        <v/>
      </c>
      <c r="O99" s="0" t="str">
        <f aca="false">IFERROR(IF(OR(HLOOKUP($A99,#REF!,13,FALSE())&gt;2,HLOOKUP($A99,#REF!,13,FALSE())&lt;-2),"",#REF!),"")</f>
        <v/>
      </c>
      <c r="P99" s="0" t="str">
        <f aca="false">IFERROR(IF(OR(HLOOKUP($A99,#REF!,14,FALSE())&gt;2,HLOOKUP($A99,#REF!,14,FALSE())&lt;-2),"",#REF!),"")</f>
        <v/>
      </c>
      <c r="Q99" s="0" t="str">
        <f aca="false">IFERROR(IF(OR(HLOOKUP($A99,#REF!,15,FALSE())&gt;2,HLOOKUP($A99,#REF!,15,FALSE())&lt;-2),"",#REF!),"")</f>
        <v/>
      </c>
      <c r="R99" s="0" t="str">
        <f aca="false">IFERROR(IF(OR(HLOOKUP($A99,#REF!,16,FALSE())&gt;2,HLOOKUP($A99,#REF!,16,FALSE())&lt;-2),"",#REF!),"")</f>
        <v/>
      </c>
      <c r="S99" s="0" t="str">
        <f aca="false">IFERROR(IF(OR(HLOOKUP($A99,#REF!,17,FALSE())&gt;2,HLOOKUP($A99,#REF!,17,FALSE())&lt;-2),"",#REF!),"")</f>
        <v/>
      </c>
      <c r="T99" s="0" t="str">
        <f aca="false">IFERROR(IF(OR(HLOOKUP($A99,#REF!,18,FALSE())&gt;2,HLOOKUP($A99,#REF!,18,FALSE())&lt;-2),"",#REF!),"")</f>
        <v/>
      </c>
      <c r="U99" s="0" t="str">
        <f aca="false">IFERROR(IF(OR(HLOOKUP($A99,#REF!,19,FALSE())&gt;2,HLOOKUP($A99,#REF!,19,FALSE())&lt;-2),"",#REF!),"")</f>
        <v/>
      </c>
      <c r="V99" s="0" t="n">
        <f aca="false">IFERROR(IF(AND(X99=0,Y99=0),0,1),0)</f>
        <v>1</v>
      </c>
      <c r="W99" s="3" t="str">
        <f aca="false">IFERROR(_xlfn.T.TEST(E99:M99,N99:U99,2,2),"")</f>
        <v/>
      </c>
      <c r="X99" s="0" t="str">
        <f aca="false">IFERROR(AVERAGE(E99:M99),"")</f>
        <v/>
      </c>
      <c r="Y99" s="0" t="str">
        <f aca="false">IFERROR(AVERAGE(N99:U99),"")</f>
        <v/>
      </c>
    </row>
    <row r="100" customFormat="false" ht="14.5" hidden="false" customHeight="false" outlineLevel="0" collapsed="false">
      <c r="A100" s="0" t="n">
        <v>102</v>
      </c>
      <c r="B100" s="0" t="s">
        <v>190</v>
      </c>
      <c r="C100" s="0" t="n">
        <v>108800</v>
      </c>
      <c r="D100" s="0" t="n">
        <v>760</v>
      </c>
      <c r="E100" s="0" t="str">
        <f aca="false">IFERROR(IF(OR(HLOOKUP($A100,#REF!,3,FALSE())&gt;2,HLOOKUP(A100,#REF!,3,FALSE())&lt;-2),"",#REF!),"")</f>
        <v/>
      </c>
      <c r="F100" s="0" t="str">
        <f aca="false">IFERROR(IF(OR(HLOOKUP($A100,#REF!,4,FALSE())&gt;2,HLOOKUP($A100,#REF!,4,FALSE())&lt;-2),"",#REF!),"")</f>
        <v/>
      </c>
      <c r="G100" s="0" t="str">
        <f aca="false">IFERROR(IF(OR(HLOOKUP($A100,#REF!,5,FALSE())&gt;2,HLOOKUP($A100,#REF!,5,FALSE())&lt;-2),"",#REF!),"")</f>
        <v/>
      </c>
      <c r="H100" s="0" t="str">
        <f aca="false">IFERROR(IF(OR(HLOOKUP($A100,#REF!,6,FALSE())&gt;2,HLOOKUP($A100,#REF!,6,FALSE())&lt;-2),"",#REF!),"")</f>
        <v/>
      </c>
      <c r="I100" s="0" t="str">
        <f aca="false">IFERROR(IF(OR(HLOOKUP($A100,#REF!,7,FALSE())&gt;2,HLOOKUP($A100,#REF!,7,FALSE())&lt;-2),"",#REF!),"")</f>
        <v/>
      </c>
      <c r="J100" s="0" t="str">
        <f aca="false">IFERROR(IF(OR(HLOOKUP($A100,#REF!,8,FALSE())&gt;2,HLOOKUP($A100,#REF!,8,FALSE())&lt;-2),"",#REF!),"")</f>
        <v/>
      </c>
      <c r="K100" s="0" t="str">
        <f aca="false">IFERROR(IF(OR(HLOOKUP($A100,#REF!,9,FALSE())&gt;2,HLOOKUP($A100,#REF!,9,FALSE())&lt;-2),"",#REF!),"")</f>
        <v/>
      </c>
      <c r="L100" s="0" t="str">
        <f aca="false">IFERROR(IF(OR(HLOOKUP($A100,#REF!,10,FALSE())&gt;2,HLOOKUP($A100,#REF!,10,FALSE())&lt;-2),"",#REF!),"")</f>
        <v/>
      </c>
      <c r="M100" s="0" t="str">
        <f aca="false">IFERROR(IF(OR(HLOOKUP($A100,#REF!,11,FALSE())&gt;2,HLOOKUP($A100,#REF!,11,FALSE())&lt;-2),"",#REF!),"")</f>
        <v/>
      </c>
      <c r="N100" s="0" t="str">
        <f aca="false">IFERROR(IF(OR(HLOOKUP($A100,#REF!,12,FALSE())&gt;2,HLOOKUP($A100,#REF!,12,FALSE())&lt;-2),"",#REF!),"")</f>
        <v/>
      </c>
      <c r="O100" s="0" t="str">
        <f aca="false">IFERROR(IF(OR(HLOOKUP($A100,#REF!,13,FALSE())&gt;2,HLOOKUP($A100,#REF!,13,FALSE())&lt;-2),"",#REF!),"")</f>
        <v/>
      </c>
      <c r="P100" s="0" t="str">
        <f aca="false">IFERROR(IF(OR(HLOOKUP($A100,#REF!,14,FALSE())&gt;2,HLOOKUP($A100,#REF!,14,FALSE())&lt;-2),"",#REF!),"")</f>
        <v/>
      </c>
      <c r="Q100" s="0" t="str">
        <f aca="false">IFERROR(IF(OR(HLOOKUP($A100,#REF!,15,FALSE())&gt;2,HLOOKUP($A100,#REF!,15,FALSE())&lt;-2),"",#REF!),"")</f>
        <v/>
      </c>
      <c r="R100" s="0" t="str">
        <f aca="false">IFERROR(IF(OR(HLOOKUP($A100,#REF!,16,FALSE())&gt;2,HLOOKUP($A100,#REF!,16,FALSE())&lt;-2),"",#REF!),"")</f>
        <v/>
      </c>
      <c r="S100" s="0" t="str">
        <f aca="false">IFERROR(IF(OR(HLOOKUP($A100,#REF!,17,FALSE())&gt;2,HLOOKUP($A100,#REF!,17,FALSE())&lt;-2),"",#REF!),"")</f>
        <v/>
      </c>
      <c r="T100" s="0" t="str">
        <f aca="false">IFERROR(IF(OR(HLOOKUP($A100,#REF!,18,FALSE())&gt;2,HLOOKUP($A100,#REF!,18,FALSE())&lt;-2),"",#REF!),"")</f>
        <v/>
      </c>
      <c r="U100" s="0" t="str">
        <f aca="false">IFERROR(IF(OR(HLOOKUP($A100,#REF!,19,FALSE())&gt;2,HLOOKUP($A100,#REF!,19,FALSE())&lt;-2),"",#REF!),"")</f>
        <v/>
      </c>
      <c r="V100" s="0" t="n">
        <f aca="false">IFERROR(IF(AND(X100=0,Y100=0),0,1),0)</f>
        <v>1</v>
      </c>
      <c r="W100" s="3" t="str">
        <f aca="false">IFERROR(_xlfn.T.TEST(E100:M100,N100:U100,2,2),"")</f>
        <v/>
      </c>
      <c r="X100" s="0" t="str">
        <f aca="false">IFERROR(AVERAGE(E100:M100),"")</f>
        <v/>
      </c>
      <c r="Y100" s="0" t="str">
        <f aca="false">IFERROR(AVERAGE(N100:U100),"")</f>
        <v/>
      </c>
    </row>
    <row r="101" customFormat="false" ht="14.5" hidden="false" customHeight="false" outlineLevel="0" collapsed="false">
      <c r="A101" s="0" t="n">
        <v>103</v>
      </c>
      <c r="B101" s="0" t="s">
        <v>191</v>
      </c>
      <c r="C101" s="0" t="n">
        <v>70900</v>
      </c>
      <c r="D101" s="0" t="n">
        <v>71</v>
      </c>
      <c r="E101" s="0" t="str">
        <f aca="false">IFERROR(IF(OR(HLOOKUP($A101,#REF!,3,FALSE())&gt;2,HLOOKUP(A101,#REF!,3,FALSE())&lt;-2),"",#REF!),"")</f>
        <v/>
      </c>
      <c r="F101" s="0" t="str">
        <f aca="false">IFERROR(IF(OR(HLOOKUP($A101,#REF!,4,FALSE())&gt;2,HLOOKUP($A101,#REF!,4,FALSE())&lt;-2),"",#REF!),"")</f>
        <v/>
      </c>
      <c r="G101" s="0" t="str">
        <f aca="false">IFERROR(IF(OR(HLOOKUP($A101,#REF!,5,FALSE())&gt;2,HLOOKUP($A101,#REF!,5,FALSE())&lt;-2),"",#REF!),"")</f>
        <v/>
      </c>
      <c r="H101" s="0" t="str">
        <f aca="false">IFERROR(IF(OR(HLOOKUP($A101,#REF!,6,FALSE())&gt;2,HLOOKUP($A101,#REF!,6,FALSE())&lt;-2),"",#REF!),"")</f>
        <v/>
      </c>
      <c r="I101" s="0" t="str">
        <f aca="false">IFERROR(IF(OR(HLOOKUP($A101,#REF!,7,FALSE())&gt;2,HLOOKUP($A101,#REF!,7,FALSE())&lt;-2),"",#REF!),"")</f>
        <v/>
      </c>
      <c r="J101" s="0" t="str">
        <f aca="false">IFERROR(IF(OR(HLOOKUP($A101,#REF!,8,FALSE())&gt;2,HLOOKUP($A101,#REF!,8,FALSE())&lt;-2),"",#REF!),"")</f>
        <v/>
      </c>
      <c r="K101" s="0" t="str">
        <f aca="false">IFERROR(IF(OR(HLOOKUP($A101,#REF!,9,FALSE())&gt;2,HLOOKUP($A101,#REF!,9,FALSE())&lt;-2),"",#REF!),"")</f>
        <v/>
      </c>
      <c r="L101" s="0" t="str">
        <f aca="false">IFERROR(IF(OR(HLOOKUP($A101,#REF!,10,FALSE())&gt;2,HLOOKUP($A101,#REF!,10,FALSE())&lt;-2),"",#REF!),"")</f>
        <v/>
      </c>
      <c r="M101" s="0" t="str">
        <f aca="false">IFERROR(IF(OR(HLOOKUP($A101,#REF!,11,FALSE())&gt;2,HLOOKUP($A101,#REF!,11,FALSE())&lt;-2),"",#REF!),"")</f>
        <v/>
      </c>
      <c r="N101" s="0" t="str">
        <f aca="false">IFERROR(IF(OR(HLOOKUP($A101,#REF!,12,FALSE())&gt;2,HLOOKUP($A101,#REF!,12,FALSE())&lt;-2),"",#REF!),"")</f>
        <v/>
      </c>
      <c r="O101" s="0" t="str">
        <f aca="false">IFERROR(IF(OR(HLOOKUP($A101,#REF!,13,FALSE())&gt;2,HLOOKUP($A101,#REF!,13,FALSE())&lt;-2),"",#REF!),"")</f>
        <v/>
      </c>
      <c r="P101" s="0" t="str">
        <f aca="false">IFERROR(IF(OR(HLOOKUP($A101,#REF!,14,FALSE())&gt;2,HLOOKUP($A101,#REF!,14,FALSE())&lt;-2),"",#REF!),"")</f>
        <v/>
      </c>
      <c r="Q101" s="0" t="str">
        <f aca="false">IFERROR(IF(OR(HLOOKUP($A101,#REF!,15,FALSE())&gt;2,HLOOKUP($A101,#REF!,15,FALSE())&lt;-2),"",#REF!),"")</f>
        <v/>
      </c>
      <c r="R101" s="0" t="str">
        <f aca="false">IFERROR(IF(OR(HLOOKUP($A101,#REF!,16,FALSE())&gt;2,HLOOKUP($A101,#REF!,16,FALSE())&lt;-2),"",#REF!),"")</f>
        <v/>
      </c>
      <c r="S101" s="0" t="str">
        <f aca="false">IFERROR(IF(OR(HLOOKUP($A101,#REF!,17,FALSE())&gt;2,HLOOKUP($A101,#REF!,17,FALSE())&lt;-2),"",#REF!),"")</f>
        <v/>
      </c>
      <c r="T101" s="0" t="str">
        <f aca="false">IFERROR(IF(OR(HLOOKUP($A101,#REF!,18,FALSE())&gt;2,HLOOKUP($A101,#REF!,18,FALSE())&lt;-2),"",#REF!),"")</f>
        <v/>
      </c>
      <c r="U101" s="0" t="str">
        <f aca="false">IFERROR(IF(OR(HLOOKUP($A101,#REF!,19,FALSE())&gt;2,HLOOKUP($A101,#REF!,19,FALSE())&lt;-2),"",#REF!),"")</f>
        <v/>
      </c>
      <c r="V101" s="0" t="n">
        <f aca="false">IFERROR(IF(AND(X101=0,Y101=0),0,1),0)</f>
        <v>1</v>
      </c>
      <c r="W101" s="3" t="str">
        <f aca="false">IFERROR(_xlfn.T.TEST(E101:M101,N101:U101,2,2),"")</f>
        <v/>
      </c>
      <c r="X101" s="0" t="str">
        <f aca="false">IFERROR(AVERAGE(E101:M101),"")</f>
        <v/>
      </c>
      <c r="Y101" s="0" t="str">
        <f aca="false">IFERROR(AVERAGE(N101:U101),"")</f>
        <v/>
      </c>
    </row>
    <row r="102" customFormat="false" ht="14.5" hidden="false" customHeight="false" outlineLevel="0" collapsed="false">
      <c r="A102" s="0" t="n">
        <v>104</v>
      </c>
      <c r="B102" s="0" t="s">
        <v>192</v>
      </c>
      <c r="C102" s="0" t="n">
        <v>23400</v>
      </c>
      <c r="D102" s="0" t="n">
        <v>95</v>
      </c>
      <c r="E102" s="0" t="str">
        <f aca="false">IFERROR(IF(OR(HLOOKUP($A102,#REF!,3,FALSE())&gt;2,HLOOKUP(A102,#REF!,3,FALSE())&lt;-2),"",#REF!),"")</f>
        <v/>
      </c>
      <c r="F102" s="0" t="str">
        <f aca="false">IFERROR(IF(OR(HLOOKUP($A102,#REF!,4,FALSE())&gt;2,HLOOKUP($A102,#REF!,4,FALSE())&lt;-2),"",#REF!),"")</f>
        <v/>
      </c>
      <c r="G102" s="0" t="str">
        <f aca="false">IFERROR(IF(OR(HLOOKUP($A102,#REF!,5,FALSE())&gt;2,HLOOKUP($A102,#REF!,5,FALSE())&lt;-2),"",#REF!),"")</f>
        <v/>
      </c>
      <c r="H102" s="0" t="str">
        <f aca="false">IFERROR(IF(OR(HLOOKUP($A102,#REF!,6,FALSE())&gt;2,HLOOKUP($A102,#REF!,6,FALSE())&lt;-2),"",#REF!),"")</f>
        <v/>
      </c>
      <c r="I102" s="0" t="str">
        <f aca="false">IFERROR(IF(OR(HLOOKUP($A102,#REF!,7,FALSE())&gt;2,HLOOKUP($A102,#REF!,7,FALSE())&lt;-2),"",#REF!),"")</f>
        <v/>
      </c>
      <c r="J102" s="0" t="str">
        <f aca="false">IFERROR(IF(OR(HLOOKUP($A102,#REF!,8,FALSE())&gt;2,HLOOKUP($A102,#REF!,8,FALSE())&lt;-2),"",#REF!),"")</f>
        <v/>
      </c>
      <c r="K102" s="0" t="str">
        <f aca="false">IFERROR(IF(OR(HLOOKUP($A102,#REF!,9,FALSE())&gt;2,HLOOKUP($A102,#REF!,9,FALSE())&lt;-2),"",#REF!),"")</f>
        <v/>
      </c>
      <c r="L102" s="0" t="str">
        <f aca="false">IFERROR(IF(OR(HLOOKUP($A102,#REF!,10,FALSE())&gt;2,HLOOKUP($A102,#REF!,10,FALSE())&lt;-2),"",#REF!),"")</f>
        <v/>
      </c>
      <c r="M102" s="0" t="str">
        <f aca="false">IFERROR(IF(OR(HLOOKUP($A102,#REF!,11,FALSE())&gt;2,HLOOKUP($A102,#REF!,11,FALSE())&lt;-2),"",#REF!),"")</f>
        <v/>
      </c>
      <c r="N102" s="0" t="str">
        <f aca="false">IFERROR(IF(OR(HLOOKUP($A102,#REF!,12,FALSE())&gt;2,HLOOKUP($A102,#REF!,12,FALSE())&lt;-2),"",#REF!),"")</f>
        <v/>
      </c>
      <c r="O102" s="0" t="str">
        <f aca="false">IFERROR(IF(OR(HLOOKUP($A102,#REF!,13,FALSE())&gt;2,HLOOKUP($A102,#REF!,13,FALSE())&lt;-2),"",#REF!),"")</f>
        <v/>
      </c>
      <c r="P102" s="0" t="str">
        <f aca="false">IFERROR(IF(OR(HLOOKUP($A102,#REF!,14,FALSE())&gt;2,HLOOKUP($A102,#REF!,14,FALSE())&lt;-2),"",#REF!),"")</f>
        <v/>
      </c>
      <c r="Q102" s="0" t="str">
        <f aca="false">IFERROR(IF(OR(HLOOKUP($A102,#REF!,15,FALSE())&gt;2,HLOOKUP($A102,#REF!,15,FALSE())&lt;-2),"",#REF!),"")</f>
        <v/>
      </c>
      <c r="R102" s="0" t="str">
        <f aca="false">IFERROR(IF(OR(HLOOKUP($A102,#REF!,16,FALSE())&gt;2,HLOOKUP($A102,#REF!,16,FALSE())&lt;-2),"",#REF!),"")</f>
        <v/>
      </c>
      <c r="S102" s="0" t="str">
        <f aca="false">IFERROR(IF(OR(HLOOKUP($A102,#REF!,17,FALSE())&gt;2,HLOOKUP($A102,#REF!,17,FALSE())&lt;-2),"",#REF!),"")</f>
        <v/>
      </c>
      <c r="T102" s="0" t="str">
        <f aca="false">IFERROR(IF(OR(HLOOKUP($A102,#REF!,18,FALSE())&gt;2,HLOOKUP($A102,#REF!,18,FALSE())&lt;-2),"",#REF!),"")</f>
        <v/>
      </c>
      <c r="U102" s="0" t="str">
        <f aca="false">IFERROR(IF(OR(HLOOKUP($A102,#REF!,19,FALSE())&gt;2,HLOOKUP($A102,#REF!,19,FALSE())&lt;-2),"",#REF!),"")</f>
        <v/>
      </c>
      <c r="V102" s="0" t="n">
        <f aca="false">IFERROR(IF(AND(X102=0,Y102=0),0,1),0)</f>
        <v>1</v>
      </c>
      <c r="W102" s="3" t="str">
        <f aca="false">IFERROR(_xlfn.T.TEST(E102:M102,N102:U102,2,2),"")</f>
        <v/>
      </c>
      <c r="X102" s="0" t="str">
        <f aca="false">IFERROR(AVERAGE(E102:M102),"")</f>
        <v/>
      </c>
      <c r="Y102" s="0" t="str">
        <f aca="false">IFERROR(AVERAGE(N102:U102),"")</f>
        <v/>
      </c>
    </row>
    <row r="103" customFormat="false" ht="14.5" hidden="false" customHeight="false" outlineLevel="0" collapsed="false">
      <c r="A103" s="0" t="n">
        <v>105</v>
      </c>
      <c r="B103" s="0" t="s">
        <v>193</v>
      </c>
      <c r="C103" s="0" t="n">
        <v>86800</v>
      </c>
      <c r="D103" s="0" t="n">
        <v>398</v>
      </c>
      <c r="E103" s="0" t="str">
        <f aca="false">IFERROR(IF(OR(HLOOKUP($A103,#REF!,3,FALSE())&gt;2,HLOOKUP(A103,#REF!,3,FALSE())&lt;-2),"",#REF!),"")</f>
        <v/>
      </c>
      <c r="F103" s="0" t="str">
        <f aca="false">IFERROR(IF(OR(HLOOKUP($A103,#REF!,4,FALSE())&gt;2,HLOOKUP($A103,#REF!,4,FALSE())&lt;-2),"",#REF!),"")</f>
        <v/>
      </c>
      <c r="G103" s="0" t="str">
        <f aca="false">IFERROR(IF(OR(HLOOKUP($A103,#REF!,5,FALSE())&gt;2,HLOOKUP($A103,#REF!,5,FALSE())&lt;-2),"",#REF!),"")</f>
        <v/>
      </c>
      <c r="H103" s="0" t="str">
        <f aca="false">IFERROR(IF(OR(HLOOKUP($A103,#REF!,6,FALSE())&gt;2,HLOOKUP($A103,#REF!,6,FALSE())&lt;-2),"",#REF!),"")</f>
        <v/>
      </c>
      <c r="I103" s="0" t="str">
        <f aca="false">IFERROR(IF(OR(HLOOKUP($A103,#REF!,7,FALSE())&gt;2,HLOOKUP($A103,#REF!,7,FALSE())&lt;-2),"",#REF!),"")</f>
        <v/>
      </c>
      <c r="J103" s="0" t="str">
        <f aca="false">IFERROR(IF(OR(HLOOKUP($A103,#REF!,8,FALSE())&gt;2,HLOOKUP($A103,#REF!,8,FALSE())&lt;-2),"",#REF!),"")</f>
        <v/>
      </c>
      <c r="K103" s="0" t="str">
        <f aca="false">IFERROR(IF(OR(HLOOKUP($A103,#REF!,9,FALSE())&gt;2,HLOOKUP($A103,#REF!,9,FALSE())&lt;-2),"",#REF!),"")</f>
        <v/>
      </c>
      <c r="L103" s="0" t="str">
        <f aca="false">IFERROR(IF(OR(HLOOKUP($A103,#REF!,10,FALSE())&gt;2,HLOOKUP($A103,#REF!,10,FALSE())&lt;-2),"",#REF!),"")</f>
        <v/>
      </c>
      <c r="M103" s="0" t="str">
        <f aca="false">IFERROR(IF(OR(HLOOKUP($A103,#REF!,11,FALSE())&gt;2,HLOOKUP($A103,#REF!,11,FALSE())&lt;-2),"",#REF!),"")</f>
        <v/>
      </c>
      <c r="N103" s="0" t="str">
        <f aca="false">IFERROR(IF(OR(HLOOKUP($A103,#REF!,12,FALSE())&gt;2,HLOOKUP($A103,#REF!,12,FALSE())&lt;-2),"",#REF!),"")</f>
        <v/>
      </c>
      <c r="O103" s="0" t="str">
        <f aca="false">IFERROR(IF(OR(HLOOKUP($A103,#REF!,13,FALSE())&gt;2,HLOOKUP($A103,#REF!,13,FALSE())&lt;-2),"",#REF!),"")</f>
        <v/>
      </c>
      <c r="P103" s="0" t="str">
        <f aca="false">IFERROR(IF(OR(HLOOKUP($A103,#REF!,14,FALSE())&gt;2,HLOOKUP($A103,#REF!,14,FALSE())&lt;-2),"",#REF!),"")</f>
        <v/>
      </c>
      <c r="Q103" s="0" t="str">
        <f aca="false">IFERROR(IF(OR(HLOOKUP($A103,#REF!,15,FALSE())&gt;2,HLOOKUP($A103,#REF!,15,FALSE())&lt;-2),"",#REF!),"")</f>
        <v/>
      </c>
      <c r="R103" s="0" t="str">
        <f aca="false">IFERROR(IF(OR(HLOOKUP($A103,#REF!,16,FALSE())&gt;2,HLOOKUP($A103,#REF!,16,FALSE())&lt;-2),"",#REF!),"")</f>
        <v/>
      </c>
      <c r="S103" s="0" t="str">
        <f aca="false">IFERROR(IF(OR(HLOOKUP($A103,#REF!,17,FALSE())&gt;2,HLOOKUP($A103,#REF!,17,FALSE())&lt;-2),"",#REF!),"")</f>
        <v/>
      </c>
      <c r="T103" s="0" t="str">
        <f aca="false">IFERROR(IF(OR(HLOOKUP($A103,#REF!,18,FALSE())&gt;2,HLOOKUP($A103,#REF!,18,FALSE())&lt;-2),"",#REF!),"")</f>
        <v/>
      </c>
      <c r="U103" s="0" t="str">
        <f aca="false">IFERROR(IF(OR(HLOOKUP($A103,#REF!,19,FALSE())&gt;2,HLOOKUP($A103,#REF!,19,FALSE())&lt;-2),"",#REF!),"")</f>
        <v/>
      </c>
      <c r="V103" s="0" t="n">
        <f aca="false">IFERROR(IF(AND(X103=0,Y103=0),0,1),0)</f>
        <v>1</v>
      </c>
      <c r="W103" s="3" t="str">
        <f aca="false">IFERROR(_xlfn.T.TEST(E103:M103,N103:U103,2,2),"")</f>
        <v/>
      </c>
      <c r="X103" s="0" t="str">
        <f aca="false">IFERROR(AVERAGE(E103:M103),"")</f>
        <v/>
      </c>
      <c r="Y103" s="0" t="str">
        <f aca="false">IFERROR(AVERAGE(N103:U103),"")</f>
        <v/>
      </c>
    </row>
    <row r="104" customFormat="false" ht="14.5" hidden="false" customHeight="false" outlineLevel="0" collapsed="false">
      <c r="A104" s="0" t="n">
        <v>106</v>
      </c>
      <c r="B104" s="0" t="s">
        <v>194</v>
      </c>
      <c r="C104" s="0" t="n">
        <v>93700</v>
      </c>
      <c r="D104" s="0" t="n">
        <v>370</v>
      </c>
      <c r="E104" s="0" t="str">
        <f aca="false">IFERROR(IF(OR(HLOOKUP($A104,#REF!,3,FALSE())&gt;2,HLOOKUP(A104,#REF!,3,FALSE())&lt;-2),"",#REF!),"")</f>
        <v/>
      </c>
      <c r="F104" s="0" t="str">
        <f aca="false">IFERROR(IF(OR(HLOOKUP($A104,#REF!,4,FALSE())&gt;2,HLOOKUP($A104,#REF!,4,FALSE())&lt;-2),"",#REF!),"")</f>
        <v/>
      </c>
      <c r="G104" s="0" t="str">
        <f aca="false">IFERROR(IF(OR(HLOOKUP($A104,#REF!,5,FALSE())&gt;2,HLOOKUP($A104,#REF!,5,FALSE())&lt;-2),"",#REF!),"")</f>
        <v/>
      </c>
      <c r="H104" s="0" t="str">
        <f aca="false">IFERROR(IF(OR(HLOOKUP($A104,#REF!,6,FALSE())&gt;2,HLOOKUP($A104,#REF!,6,FALSE())&lt;-2),"",#REF!),"")</f>
        <v/>
      </c>
      <c r="I104" s="0" t="str">
        <f aca="false">IFERROR(IF(OR(HLOOKUP($A104,#REF!,7,FALSE())&gt;2,HLOOKUP($A104,#REF!,7,FALSE())&lt;-2),"",#REF!),"")</f>
        <v/>
      </c>
      <c r="J104" s="0" t="str">
        <f aca="false">IFERROR(IF(OR(HLOOKUP($A104,#REF!,8,FALSE())&gt;2,HLOOKUP($A104,#REF!,8,FALSE())&lt;-2),"",#REF!),"")</f>
        <v/>
      </c>
      <c r="K104" s="0" t="str">
        <f aca="false">IFERROR(IF(OR(HLOOKUP($A104,#REF!,9,FALSE())&gt;2,HLOOKUP($A104,#REF!,9,FALSE())&lt;-2),"",#REF!),"")</f>
        <v/>
      </c>
      <c r="L104" s="0" t="str">
        <f aca="false">IFERROR(IF(OR(HLOOKUP($A104,#REF!,10,FALSE())&gt;2,HLOOKUP($A104,#REF!,10,FALSE())&lt;-2),"",#REF!),"")</f>
        <v/>
      </c>
      <c r="M104" s="0" t="str">
        <f aca="false">IFERROR(IF(OR(HLOOKUP($A104,#REF!,11,FALSE())&gt;2,HLOOKUP($A104,#REF!,11,FALSE())&lt;-2),"",#REF!),"")</f>
        <v/>
      </c>
      <c r="N104" s="0" t="str">
        <f aca="false">IFERROR(IF(OR(HLOOKUP($A104,#REF!,12,FALSE())&gt;2,HLOOKUP($A104,#REF!,12,FALSE())&lt;-2),"",#REF!),"")</f>
        <v/>
      </c>
      <c r="O104" s="0" t="str">
        <f aca="false">IFERROR(IF(OR(HLOOKUP($A104,#REF!,13,FALSE())&gt;2,HLOOKUP($A104,#REF!,13,FALSE())&lt;-2),"",#REF!),"")</f>
        <v/>
      </c>
      <c r="P104" s="0" t="str">
        <f aca="false">IFERROR(IF(OR(HLOOKUP($A104,#REF!,14,FALSE())&gt;2,HLOOKUP($A104,#REF!,14,FALSE())&lt;-2),"",#REF!),"")</f>
        <v/>
      </c>
      <c r="Q104" s="0" t="str">
        <f aca="false">IFERROR(IF(OR(HLOOKUP($A104,#REF!,15,FALSE())&gt;2,HLOOKUP($A104,#REF!,15,FALSE())&lt;-2),"",#REF!),"")</f>
        <v/>
      </c>
      <c r="R104" s="0" t="str">
        <f aca="false">IFERROR(IF(OR(HLOOKUP($A104,#REF!,16,FALSE())&gt;2,HLOOKUP($A104,#REF!,16,FALSE())&lt;-2),"",#REF!),"")</f>
        <v/>
      </c>
      <c r="S104" s="0" t="str">
        <f aca="false">IFERROR(IF(OR(HLOOKUP($A104,#REF!,17,FALSE())&gt;2,HLOOKUP($A104,#REF!,17,FALSE())&lt;-2),"",#REF!),"")</f>
        <v/>
      </c>
      <c r="T104" s="0" t="str">
        <f aca="false">IFERROR(IF(OR(HLOOKUP($A104,#REF!,18,FALSE())&gt;2,HLOOKUP($A104,#REF!,18,FALSE())&lt;-2),"",#REF!),"")</f>
        <v/>
      </c>
      <c r="U104" s="0" t="str">
        <f aca="false">IFERROR(IF(OR(HLOOKUP($A104,#REF!,19,FALSE())&gt;2,HLOOKUP($A104,#REF!,19,FALSE())&lt;-2),"",#REF!),"")</f>
        <v/>
      </c>
      <c r="V104" s="0" t="n">
        <f aca="false">IFERROR(IF(AND(X104=0,Y104=0),0,1),0)</f>
        <v>1</v>
      </c>
      <c r="W104" s="3" t="str">
        <f aca="false">IFERROR(_xlfn.T.TEST(E104:M104,N104:U104,2,2),"")</f>
        <v/>
      </c>
      <c r="X104" s="0" t="str">
        <f aca="false">IFERROR(AVERAGE(E104:M104),"")</f>
        <v/>
      </c>
      <c r="Y104" s="0" t="str">
        <f aca="false">IFERROR(AVERAGE(N104:U104),"")</f>
        <v/>
      </c>
    </row>
    <row r="105" customFormat="false" ht="14.5" hidden="false" customHeight="false" outlineLevel="0" collapsed="false">
      <c r="A105" s="0" t="n">
        <v>107</v>
      </c>
      <c r="B105" s="0" t="s">
        <v>195</v>
      </c>
      <c r="C105" s="0" t="n">
        <v>1000</v>
      </c>
      <c r="D105" s="0" t="n">
        <v>500</v>
      </c>
      <c r="E105" s="0" t="str">
        <f aca="false">IFERROR(IF(OR(HLOOKUP($A105,#REF!,3,FALSE())&gt;2,HLOOKUP(A105,#REF!,3,FALSE())&lt;-2),"",#REF!),"")</f>
        <v/>
      </c>
      <c r="F105" s="0" t="str">
        <f aca="false">IFERROR(IF(OR(HLOOKUP($A105,#REF!,4,FALSE())&gt;2,HLOOKUP($A105,#REF!,4,FALSE())&lt;-2),"",#REF!),"")</f>
        <v/>
      </c>
      <c r="G105" s="0" t="str">
        <f aca="false">IFERROR(IF(OR(HLOOKUP($A105,#REF!,5,FALSE())&gt;2,HLOOKUP($A105,#REF!,5,FALSE())&lt;-2),"",#REF!),"")</f>
        <v/>
      </c>
      <c r="H105" s="0" t="str">
        <f aca="false">IFERROR(IF(OR(HLOOKUP($A105,#REF!,6,FALSE())&gt;2,HLOOKUP($A105,#REF!,6,FALSE())&lt;-2),"",#REF!),"")</f>
        <v/>
      </c>
      <c r="I105" s="0" t="str">
        <f aca="false">IFERROR(IF(OR(HLOOKUP($A105,#REF!,7,FALSE())&gt;2,HLOOKUP($A105,#REF!,7,FALSE())&lt;-2),"",#REF!),"")</f>
        <v/>
      </c>
      <c r="J105" s="0" t="str">
        <f aca="false">IFERROR(IF(OR(HLOOKUP($A105,#REF!,8,FALSE())&gt;2,HLOOKUP($A105,#REF!,8,FALSE())&lt;-2),"",#REF!),"")</f>
        <v/>
      </c>
      <c r="K105" s="0" t="str">
        <f aca="false">IFERROR(IF(OR(HLOOKUP($A105,#REF!,9,FALSE())&gt;2,HLOOKUP($A105,#REF!,9,FALSE())&lt;-2),"",#REF!),"")</f>
        <v/>
      </c>
      <c r="L105" s="0" t="str">
        <f aca="false">IFERROR(IF(OR(HLOOKUP($A105,#REF!,10,FALSE())&gt;2,HLOOKUP($A105,#REF!,10,FALSE())&lt;-2),"",#REF!),"")</f>
        <v/>
      </c>
      <c r="M105" s="0" t="str">
        <f aca="false">IFERROR(IF(OR(HLOOKUP($A105,#REF!,11,FALSE())&gt;2,HLOOKUP($A105,#REF!,11,FALSE())&lt;-2),"",#REF!),"")</f>
        <v/>
      </c>
      <c r="N105" s="0" t="str">
        <f aca="false">IFERROR(IF(OR(HLOOKUP($A105,#REF!,12,FALSE())&gt;2,HLOOKUP($A105,#REF!,12,FALSE())&lt;-2),"",#REF!),"")</f>
        <v/>
      </c>
      <c r="O105" s="0" t="str">
        <f aca="false">IFERROR(IF(OR(HLOOKUP($A105,#REF!,13,FALSE())&gt;2,HLOOKUP($A105,#REF!,13,FALSE())&lt;-2),"",#REF!),"")</f>
        <v/>
      </c>
      <c r="P105" s="0" t="str">
        <f aca="false">IFERROR(IF(OR(HLOOKUP($A105,#REF!,14,FALSE())&gt;2,HLOOKUP($A105,#REF!,14,FALSE())&lt;-2),"",#REF!),"")</f>
        <v/>
      </c>
      <c r="Q105" s="0" t="str">
        <f aca="false">IFERROR(IF(OR(HLOOKUP($A105,#REF!,15,FALSE())&gt;2,HLOOKUP($A105,#REF!,15,FALSE())&lt;-2),"",#REF!),"")</f>
        <v/>
      </c>
      <c r="R105" s="0" t="str">
        <f aca="false">IFERROR(IF(OR(HLOOKUP($A105,#REF!,16,FALSE())&gt;2,HLOOKUP($A105,#REF!,16,FALSE())&lt;-2),"",#REF!),"")</f>
        <v/>
      </c>
      <c r="S105" s="0" t="str">
        <f aca="false">IFERROR(IF(OR(HLOOKUP($A105,#REF!,17,FALSE())&gt;2,HLOOKUP($A105,#REF!,17,FALSE())&lt;-2),"",#REF!),"")</f>
        <v/>
      </c>
      <c r="T105" s="0" t="str">
        <f aca="false">IFERROR(IF(OR(HLOOKUP($A105,#REF!,18,FALSE())&gt;2,HLOOKUP($A105,#REF!,18,FALSE())&lt;-2),"",#REF!),"")</f>
        <v/>
      </c>
      <c r="U105" s="0" t="str">
        <f aca="false">IFERROR(IF(OR(HLOOKUP($A105,#REF!,19,FALSE())&gt;2,HLOOKUP($A105,#REF!,19,FALSE())&lt;-2),"",#REF!),"")</f>
        <v/>
      </c>
      <c r="V105" s="0" t="n">
        <f aca="false">IFERROR(IF(AND(X105=0,Y105=0),0,1),0)</f>
        <v>1</v>
      </c>
      <c r="W105" s="3" t="str">
        <f aca="false">IFERROR(_xlfn.T.TEST(E105:M105,N105:U105,2,2),"")</f>
        <v/>
      </c>
      <c r="X105" s="0" t="str">
        <f aca="false">IFERROR(AVERAGE(E105:M105),"")</f>
        <v/>
      </c>
      <c r="Y105" s="0" t="str">
        <f aca="false">IFERROR(AVERAGE(N105:U105),"")</f>
        <v/>
      </c>
    </row>
    <row r="106" customFormat="false" ht="14.5" hidden="false" customHeight="false" outlineLevel="0" collapsed="false">
      <c r="A106" s="0" t="n">
        <v>108</v>
      </c>
      <c r="B106" s="0" t="s">
        <v>196</v>
      </c>
      <c r="C106" s="0" t="n">
        <v>116200</v>
      </c>
      <c r="D106" s="0" t="n">
        <v>81</v>
      </c>
      <c r="E106" s="0" t="str">
        <f aca="false">IFERROR(IF(OR(HLOOKUP($A106,#REF!,3,FALSE())&gt;2,HLOOKUP(A106,#REF!,3,FALSE())&lt;-2),"",#REF!),"")</f>
        <v/>
      </c>
      <c r="F106" s="0" t="str">
        <f aca="false">IFERROR(IF(OR(HLOOKUP($A106,#REF!,4,FALSE())&gt;2,HLOOKUP($A106,#REF!,4,FALSE())&lt;-2),"",#REF!),"")</f>
        <v/>
      </c>
      <c r="G106" s="0" t="str">
        <f aca="false">IFERROR(IF(OR(HLOOKUP($A106,#REF!,5,FALSE())&gt;2,HLOOKUP($A106,#REF!,5,FALSE())&lt;-2),"",#REF!),"")</f>
        <v/>
      </c>
      <c r="H106" s="0" t="str">
        <f aca="false">IFERROR(IF(OR(HLOOKUP($A106,#REF!,6,FALSE())&gt;2,HLOOKUP($A106,#REF!,6,FALSE())&lt;-2),"",#REF!),"")</f>
        <v/>
      </c>
      <c r="I106" s="0" t="str">
        <f aca="false">IFERROR(IF(OR(HLOOKUP($A106,#REF!,7,FALSE())&gt;2,HLOOKUP($A106,#REF!,7,FALSE())&lt;-2),"",#REF!),"")</f>
        <v/>
      </c>
      <c r="J106" s="0" t="str">
        <f aca="false">IFERROR(IF(OR(HLOOKUP($A106,#REF!,8,FALSE())&gt;2,HLOOKUP($A106,#REF!,8,FALSE())&lt;-2),"",#REF!),"")</f>
        <v/>
      </c>
      <c r="K106" s="0" t="str">
        <f aca="false">IFERROR(IF(OR(HLOOKUP($A106,#REF!,9,FALSE())&gt;2,HLOOKUP($A106,#REF!,9,FALSE())&lt;-2),"",#REF!),"")</f>
        <v/>
      </c>
      <c r="L106" s="0" t="str">
        <f aca="false">IFERROR(IF(OR(HLOOKUP($A106,#REF!,10,FALSE())&gt;2,HLOOKUP($A106,#REF!,10,FALSE())&lt;-2),"",#REF!),"")</f>
        <v/>
      </c>
      <c r="M106" s="0" t="str">
        <f aca="false">IFERROR(IF(OR(HLOOKUP($A106,#REF!,11,FALSE())&gt;2,HLOOKUP($A106,#REF!,11,FALSE())&lt;-2),"",#REF!),"")</f>
        <v/>
      </c>
      <c r="N106" s="0" t="str">
        <f aca="false">IFERROR(IF(OR(HLOOKUP($A106,#REF!,12,FALSE())&gt;2,HLOOKUP($A106,#REF!,12,FALSE())&lt;-2),"",#REF!),"")</f>
        <v/>
      </c>
      <c r="O106" s="0" t="str">
        <f aca="false">IFERROR(IF(OR(HLOOKUP($A106,#REF!,13,FALSE())&gt;2,HLOOKUP($A106,#REF!,13,FALSE())&lt;-2),"",#REF!),"")</f>
        <v/>
      </c>
      <c r="P106" s="0" t="str">
        <f aca="false">IFERROR(IF(OR(HLOOKUP($A106,#REF!,14,FALSE())&gt;2,HLOOKUP($A106,#REF!,14,FALSE())&lt;-2),"",#REF!),"")</f>
        <v/>
      </c>
      <c r="Q106" s="0" t="str">
        <f aca="false">IFERROR(IF(OR(HLOOKUP($A106,#REF!,15,FALSE())&gt;2,HLOOKUP($A106,#REF!,15,FALSE())&lt;-2),"",#REF!),"")</f>
        <v/>
      </c>
      <c r="R106" s="0" t="str">
        <f aca="false">IFERROR(IF(OR(HLOOKUP($A106,#REF!,16,FALSE())&gt;2,HLOOKUP($A106,#REF!,16,FALSE())&lt;-2),"",#REF!),"")</f>
        <v/>
      </c>
      <c r="S106" s="0" t="str">
        <f aca="false">IFERROR(IF(OR(HLOOKUP($A106,#REF!,17,FALSE())&gt;2,HLOOKUP($A106,#REF!,17,FALSE())&lt;-2),"",#REF!),"")</f>
        <v/>
      </c>
      <c r="T106" s="0" t="str">
        <f aca="false">IFERROR(IF(OR(HLOOKUP($A106,#REF!,18,FALSE())&gt;2,HLOOKUP($A106,#REF!,18,FALSE())&lt;-2),"",#REF!),"")</f>
        <v/>
      </c>
      <c r="U106" s="0" t="str">
        <f aca="false">IFERROR(IF(OR(HLOOKUP($A106,#REF!,19,FALSE())&gt;2,HLOOKUP($A106,#REF!,19,FALSE())&lt;-2),"",#REF!),"")</f>
        <v/>
      </c>
      <c r="V106" s="0" t="n">
        <f aca="false">IFERROR(IF(AND(X106=0,Y106=0),0,1),0)</f>
        <v>1</v>
      </c>
      <c r="W106" s="3" t="str">
        <f aca="false">IFERROR(_xlfn.T.TEST(E106:M106,N106:U106,2,2),"")</f>
        <v/>
      </c>
      <c r="X106" s="0" t="str">
        <f aca="false">IFERROR(AVERAGE(E106:M106),"")</f>
        <v/>
      </c>
      <c r="Y106" s="0" t="str">
        <f aca="false">IFERROR(AVERAGE(N106:U106),"")</f>
        <v/>
      </c>
    </row>
    <row r="107" customFormat="false" ht="14.5" hidden="false" customHeight="false" outlineLevel="0" collapsed="false">
      <c r="A107" s="0" t="n">
        <v>109</v>
      </c>
      <c r="B107" s="0" t="s">
        <v>197</v>
      </c>
      <c r="C107" s="0" t="n">
        <v>108900</v>
      </c>
      <c r="D107" s="0" t="n">
        <v>760</v>
      </c>
      <c r="E107" s="0" t="str">
        <f aca="false">IFERROR(IF(OR(HLOOKUP($A107,#REF!,3,FALSE())&gt;2,HLOOKUP(A107,#REF!,3,FALSE())&lt;-2),"",#REF!),"")</f>
        <v/>
      </c>
      <c r="F107" s="0" t="str">
        <f aca="false">IFERROR(IF(OR(HLOOKUP($A107,#REF!,4,FALSE())&gt;2,HLOOKUP($A107,#REF!,4,FALSE())&lt;-2),"",#REF!),"")</f>
        <v/>
      </c>
      <c r="G107" s="0" t="str">
        <f aca="false">IFERROR(IF(OR(HLOOKUP($A107,#REF!,5,FALSE())&gt;2,HLOOKUP($A107,#REF!,5,FALSE())&lt;-2),"",#REF!),"")</f>
        <v/>
      </c>
      <c r="H107" s="0" t="str">
        <f aca="false">IFERROR(IF(OR(HLOOKUP($A107,#REF!,6,FALSE())&gt;2,HLOOKUP($A107,#REF!,6,FALSE())&lt;-2),"",#REF!),"")</f>
        <v/>
      </c>
      <c r="I107" s="0" t="str">
        <f aca="false">IFERROR(IF(OR(HLOOKUP($A107,#REF!,7,FALSE())&gt;2,HLOOKUP($A107,#REF!,7,FALSE())&lt;-2),"",#REF!),"")</f>
        <v/>
      </c>
      <c r="J107" s="0" t="str">
        <f aca="false">IFERROR(IF(OR(HLOOKUP($A107,#REF!,8,FALSE())&gt;2,HLOOKUP($A107,#REF!,8,FALSE())&lt;-2),"",#REF!),"")</f>
        <v/>
      </c>
      <c r="K107" s="0" t="str">
        <f aca="false">IFERROR(IF(OR(HLOOKUP($A107,#REF!,9,FALSE())&gt;2,HLOOKUP($A107,#REF!,9,FALSE())&lt;-2),"",#REF!),"")</f>
        <v/>
      </c>
      <c r="L107" s="0" t="str">
        <f aca="false">IFERROR(IF(OR(HLOOKUP($A107,#REF!,10,FALSE())&gt;2,HLOOKUP($A107,#REF!,10,FALSE())&lt;-2),"",#REF!),"")</f>
        <v/>
      </c>
      <c r="M107" s="0" t="str">
        <f aca="false">IFERROR(IF(OR(HLOOKUP($A107,#REF!,11,FALSE())&gt;2,HLOOKUP($A107,#REF!,11,FALSE())&lt;-2),"",#REF!),"")</f>
        <v/>
      </c>
      <c r="N107" s="0" t="str">
        <f aca="false">IFERROR(IF(OR(HLOOKUP($A107,#REF!,12,FALSE())&gt;2,HLOOKUP($A107,#REF!,12,FALSE())&lt;-2),"",#REF!),"")</f>
        <v/>
      </c>
      <c r="O107" s="0" t="str">
        <f aca="false">IFERROR(IF(OR(HLOOKUP($A107,#REF!,13,FALSE())&gt;2,HLOOKUP($A107,#REF!,13,FALSE())&lt;-2),"",#REF!),"")</f>
        <v/>
      </c>
      <c r="P107" s="0" t="str">
        <f aca="false">IFERROR(IF(OR(HLOOKUP($A107,#REF!,14,FALSE())&gt;2,HLOOKUP($A107,#REF!,14,FALSE())&lt;-2),"",#REF!),"")</f>
        <v/>
      </c>
      <c r="Q107" s="0" t="str">
        <f aca="false">IFERROR(IF(OR(HLOOKUP($A107,#REF!,15,FALSE())&gt;2,HLOOKUP($A107,#REF!,15,FALSE())&lt;-2),"",#REF!),"")</f>
        <v/>
      </c>
      <c r="R107" s="0" t="str">
        <f aca="false">IFERROR(IF(OR(HLOOKUP($A107,#REF!,16,FALSE())&gt;2,HLOOKUP($A107,#REF!,16,FALSE())&lt;-2),"",#REF!),"")</f>
        <v/>
      </c>
      <c r="S107" s="0" t="str">
        <f aca="false">IFERROR(IF(OR(HLOOKUP($A107,#REF!,17,FALSE())&gt;2,HLOOKUP($A107,#REF!,17,FALSE())&lt;-2),"",#REF!),"")</f>
        <v/>
      </c>
      <c r="T107" s="0" t="str">
        <f aca="false">IFERROR(IF(OR(HLOOKUP($A107,#REF!,18,FALSE())&gt;2,HLOOKUP($A107,#REF!,18,FALSE())&lt;-2),"",#REF!),"")</f>
        <v/>
      </c>
      <c r="U107" s="0" t="str">
        <f aca="false">IFERROR(IF(OR(HLOOKUP($A107,#REF!,19,FALSE())&gt;2,HLOOKUP($A107,#REF!,19,FALSE())&lt;-2),"",#REF!),"")</f>
        <v/>
      </c>
      <c r="V107" s="0" t="n">
        <f aca="false">IFERROR(IF(AND(X107=0,Y107=0),0,1),0)</f>
        <v>1</v>
      </c>
      <c r="W107" s="3" t="str">
        <f aca="false">IFERROR(_xlfn.T.TEST(E107:M107,N107:U107,2,2),"")</f>
        <v/>
      </c>
      <c r="X107" s="0" t="str">
        <f aca="false">IFERROR(AVERAGE(E107:M107),"")</f>
        <v/>
      </c>
      <c r="Y107" s="0" t="str">
        <f aca="false">IFERROR(AVERAGE(N107:U107),"")</f>
        <v/>
      </c>
    </row>
    <row r="108" customFormat="false" ht="14.5" hidden="false" customHeight="false" outlineLevel="0" collapsed="false">
      <c r="A108" s="0" t="n">
        <v>110</v>
      </c>
      <c r="B108" s="0" t="s">
        <v>198</v>
      </c>
      <c r="C108" s="0" t="n">
        <v>71500</v>
      </c>
      <c r="D108" s="0" t="n">
        <v>94</v>
      </c>
      <c r="E108" s="0" t="str">
        <f aca="false">IFERROR(IF(OR(HLOOKUP($A108,#REF!,3,FALSE())&gt;2,HLOOKUP(A108,#REF!,3,FALSE())&lt;-2),"",#REF!),"")</f>
        <v/>
      </c>
      <c r="F108" s="0" t="str">
        <f aca="false">IFERROR(IF(OR(HLOOKUP($A108,#REF!,4,FALSE())&gt;2,HLOOKUP($A108,#REF!,4,FALSE())&lt;-2),"",#REF!),"")</f>
        <v/>
      </c>
      <c r="G108" s="0" t="str">
        <f aca="false">IFERROR(IF(OR(HLOOKUP($A108,#REF!,5,FALSE())&gt;2,HLOOKUP($A108,#REF!,5,FALSE())&lt;-2),"",#REF!),"")</f>
        <v/>
      </c>
      <c r="H108" s="0" t="str">
        <f aca="false">IFERROR(IF(OR(HLOOKUP($A108,#REF!,6,FALSE())&gt;2,HLOOKUP($A108,#REF!,6,FALSE())&lt;-2),"",#REF!),"")</f>
        <v/>
      </c>
      <c r="I108" s="0" t="str">
        <f aca="false">IFERROR(IF(OR(HLOOKUP($A108,#REF!,7,FALSE())&gt;2,HLOOKUP($A108,#REF!,7,FALSE())&lt;-2),"",#REF!),"")</f>
        <v/>
      </c>
      <c r="J108" s="0" t="str">
        <f aca="false">IFERROR(IF(OR(HLOOKUP($A108,#REF!,8,FALSE())&gt;2,HLOOKUP($A108,#REF!,8,FALSE())&lt;-2),"",#REF!),"")</f>
        <v/>
      </c>
      <c r="K108" s="0" t="str">
        <f aca="false">IFERROR(IF(OR(HLOOKUP($A108,#REF!,9,FALSE())&gt;2,HLOOKUP($A108,#REF!,9,FALSE())&lt;-2),"",#REF!),"")</f>
        <v/>
      </c>
      <c r="L108" s="0" t="str">
        <f aca="false">IFERROR(IF(OR(HLOOKUP($A108,#REF!,10,FALSE())&gt;2,HLOOKUP($A108,#REF!,10,FALSE())&lt;-2),"",#REF!),"")</f>
        <v/>
      </c>
      <c r="M108" s="0" t="str">
        <f aca="false">IFERROR(IF(OR(HLOOKUP($A108,#REF!,11,FALSE())&gt;2,HLOOKUP($A108,#REF!,11,FALSE())&lt;-2),"",#REF!),"")</f>
        <v/>
      </c>
      <c r="N108" s="0" t="str">
        <f aca="false">IFERROR(IF(OR(HLOOKUP($A108,#REF!,12,FALSE())&gt;2,HLOOKUP($A108,#REF!,12,FALSE())&lt;-2),"",#REF!),"")</f>
        <v/>
      </c>
      <c r="O108" s="0" t="str">
        <f aca="false">IFERROR(IF(OR(HLOOKUP($A108,#REF!,13,FALSE())&gt;2,HLOOKUP($A108,#REF!,13,FALSE())&lt;-2),"",#REF!),"")</f>
        <v/>
      </c>
      <c r="P108" s="0" t="str">
        <f aca="false">IFERROR(IF(OR(HLOOKUP($A108,#REF!,14,FALSE())&gt;2,HLOOKUP($A108,#REF!,14,FALSE())&lt;-2),"",#REF!),"")</f>
        <v/>
      </c>
      <c r="Q108" s="0" t="str">
        <f aca="false">IFERROR(IF(OR(HLOOKUP($A108,#REF!,15,FALSE())&gt;2,HLOOKUP($A108,#REF!,15,FALSE())&lt;-2),"",#REF!),"")</f>
        <v/>
      </c>
      <c r="R108" s="0" t="str">
        <f aca="false">IFERROR(IF(OR(HLOOKUP($A108,#REF!,16,FALSE())&gt;2,HLOOKUP($A108,#REF!,16,FALSE())&lt;-2),"",#REF!),"")</f>
        <v/>
      </c>
      <c r="S108" s="0" t="str">
        <f aca="false">IFERROR(IF(OR(HLOOKUP($A108,#REF!,17,FALSE())&gt;2,HLOOKUP($A108,#REF!,17,FALSE())&lt;-2),"",#REF!),"")</f>
        <v/>
      </c>
      <c r="T108" s="0" t="str">
        <f aca="false">IFERROR(IF(OR(HLOOKUP($A108,#REF!,18,FALSE())&gt;2,HLOOKUP($A108,#REF!,18,FALSE())&lt;-2),"",#REF!),"")</f>
        <v/>
      </c>
      <c r="U108" s="0" t="str">
        <f aca="false">IFERROR(IF(OR(HLOOKUP($A108,#REF!,19,FALSE())&gt;2,HLOOKUP($A108,#REF!,19,FALSE())&lt;-2),"",#REF!),"")</f>
        <v/>
      </c>
      <c r="V108" s="0" t="n">
        <f aca="false">IFERROR(IF(AND(X108=0,Y108=0),0,1),0)</f>
        <v>1</v>
      </c>
      <c r="W108" s="3" t="str">
        <f aca="false">IFERROR(_xlfn.T.TEST(E108:M108,N108:U108,2,2),"")</f>
        <v/>
      </c>
      <c r="X108" s="0" t="str">
        <f aca="false">IFERROR(AVERAGE(E108:M108),"")</f>
        <v/>
      </c>
      <c r="Y108" s="0" t="str">
        <f aca="false">IFERROR(AVERAGE(N108:U108),"")</f>
        <v/>
      </c>
    </row>
    <row r="109" customFormat="false" ht="14.5" hidden="false" customHeight="false" outlineLevel="0" collapsed="false">
      <c r="A109" s="0" t="n">
        <v>111</v>
      </c>
      <c r="B109" s="0" t="s">
        <v>199</v>
      </c>
      <c r="C109" s="0" t="n">
        <v>24000</v>
      </c>
      <c r="D109" s="0" t="n">
        <v>95</v>
      </c>
      <c r="E109" s="0" t="str">
        <f aca="false">IFERROR(IF(OR(HLOOKUP($A109,#REF!,3,FALSE())&gt;2,HLOOKUP(A109,#REF!,3,FALSE())&lt;-2),"",#REF!),"")</f>
        <v/>
      </c>
      <c r="F109" s="0" t="str">
        <f aca="false">IFERROR(IF(OR(HLOOKUP($A109,#REF!,4,FALSE())&gt;2,HLOOKUP($A109,#REF!,4,FALSE())&lt;-2),"",#REF!),"")</f>
        <v/>
      </c>
      <c r="G109" s="0" t="str">
        <f aca="false">IFERROR(IF(OR(HLOOKUP($A109,#REF!,5,FALSE())&gt;2,HLOOKUP($A109,#REF!,5,FALSE())&lt;-2),"",#REF!),"")</f>
        <v/>
      </c>
      <c r="H109" s="0" t="str">
        <f aca="false">IFERROR(IF(OR(HLOOKUP($A109,#REF!,6,FALSE())&gt;2,HLOOKUP($A109,#REF!,6,FALSE())&lt;-2),"",#REF!),"")</f>
        <v/>
      </c>
      <c r="I109" s="0" t="str">
        <f aca="false">IFERROR(IF(OR(HLOOKUP($A109,#REF!,7,FALSE())&gt;2,HLOOKUP($A109,#REF!,7,FALSE())&lt;-2),"",#REF!),"")</f>
        <v/>
      </c>
      <c r="J109" s="0" t="str">
        <f aca="false">IFERROR(IF(OR(HLOOKUP($A109,#REF!,8,FALSE())&gt;2,HLOOKUP($A109,#REF!,8,FALSE())&lt;-2),"",#REF!),"")</f>
        <v/>
      </c>
      <c r="K109" s="0" t="str">
        <f aca="false">IFERROR(IF(OR(HLOOKUP($A109,#REF!,9,FALSE())&gt;2,HLOOKUP($A109,#REF!,9,FALSE())&lt;-2),"",#REF!),"")</f>
        <v/>
      </c>
      <c r="L109" s="0" t="str">
        <f aca="false">IFERROR(IF(OR(HLOOKUP($A109,#REF!,10,FALSE())&gt;2,HLOOKUP($A109,#REF!,10,FALSE())&lt;-2),"",#REF!),"")</f>
        <v/>
      </c>
      <c r="M109" s="0" t="str">
        <f aca="false">IFERROR(IF(OR(HLOOKUP($A109,#REF!,11,FALSE())&gt;2,HLOOKUP($A109,#REF!,11,FALSE())&lt;-2),"",#REF!),"")</f>
        <v/>
      </c>
      <c r="N109" s="0" t="str">
        <f aca="false">IFERROR(IF(OR(HLOOKUP($A109,#REF!,12,FALSE())&gt;2,HLOOKUP($A109,#REF!,12,FALSE())&lt;-2),"",#REF!),"")</f>
        <v/>
      </c>
      <c r="O109" s="0" t="str">
        <f aca="false">IFERROR(IF(OR(HLOOKUP($A109,#REF!,13,FALSE())&gt;2,HLOOKUP($A109,#REF!,13,FALSE())&lt;-2),"",#REF!),"")</f>
        <v/>
      </c>
      <c r="P109" s="0" t="str">
        <f aca="false">IFERROR(IF(OR(HLOOKUP($A109,#REF!,14,FALSE())&gt;2,HLOOKUP($A109,#REF!,14,FALSE())&lt;-2),"",#REF!),"")</f>
        <v/>
      </c>
      <c r="Q109" s="0" t="str">
        <f aca="false">IFERROR(IF(OR(HLOOKUP($A109,#REF!,15,FALSE())&gt;2,HLOOKUP($A109,#REF!,15,FALSE())&lt;-2),"",#REF!),"")</f>
        <v/>
      </c>
      <c r="R109" s="0" t="str">
        <f aca="false">IFERROR(IF(OR(HLOOKUP($A109,#REF!,16,FALSE())&gt;2,HLOOKUP($A109,#REF!,16,FALSE())&lt;-2),"",#REF!),"")</f>
        <v/>
      </c>
      <c r="S109" s="0" t="str">
        <f aca="false">IFERROR(IF(OR(HLOOKUP($A109,#REF!,17,FALSE())&gt;2,HLOOKUP($A109,#REF!,17,FALSE())&lt;-2),"",#REF!),"")</f>
        <v/>
      </c>
      <c r="T109" s="0" t="str">
        <f aca="false">IFERROR(IF(OR(HLOOKUP($A109,#REF!,18,FALSE())&gt;2,HLOOKUP($A109,#REF!,18,FALSE())&lt;-2),"",#REF!),"")</f>
        <v/>
      </c>
      <c r="U109" s="0" t="str">
        <f aca="false">IFERROR(IF(OR(HLOOKUP($A109,#REF!,19,FALSE())&gt;2,HLOOKUP($A109,#REF!,19,FALSE())&lt;-2),"",#REF!),"")</f>
        <v/>
      </c>
      <c r="V109" s="0" t="n">
        <f aca="false">IFERROR(IF(AND(X109=0,Y109=0),0,1),0)</f>
        <v>1</v>
      </c>
      <c r="W109" s="3" t="str">
        <f aca="false">IFERROR(_xlfn.T.TEST(E109:M109,N109:U109,2,2),"")</f>
        <v/>
      </c>
      <c r="X109" s="0" t="str">
        <f aca="false">IFERROR(AVERAGE(E109:M109),"")</f>
        <v/>
      </c>
      <c r="Y109" s="0" t="str">
        <f aca="false">IFERROR(AVERAGE(N109:U109),"")</f>
        <v/>
      </c>
    </row>
    <row r="110" customFormat="false" ht="14.5" hidden="false" customHeight="false" outlineLevel="0" collapsed="false">
      <c r="A110" s="0" t="n">
        <v>112</v>
      </c>
      <c r="B110" s="0" t="s">
        <v>200</v>
      </c>
      <c r="C110" s="0" t="n">
        <v>89800</v>
      </c>
      <c r="D110" s="0" t="n">
        <v>607</v>
      </c>
      <c r="E110" s="0" t="str">
        <f aca="false">IFERROR(IF(OR(HLOOKUP($A110,#REF!,3,FALSE())&gt;2,HLOOKUP(A110,#REF!,3,FALSE())&lt;-2),"",#REF!),"")</f>
        <v/>
      </c>
      <c r="F110" s="0" t="str">
        <f aca="false">IFERROR(IF(OR(HLOOKUP($A110,#REF!,4,FALSE())&gt;2,HLOOKUP($A110,#REF!,4,FALSE())&lt;-2),"",#REF!),"")</f>
        <v/>
      </c>
      <c r="G110" s="0" t="str">
        <f aca="false">IFERROR(IF(OR(HLOOKUP($A110,#REF!,5,FALSE())&gt;2,HLOOKUP($A110,#REF!,5,FALSE())&lt;-2),"",#REF!),"")</f>
        <v/>
      </c>
      <c r="H110" s="0" t="str">
        <f aca="false">IFERROR(IF(OR(HLOOKUP($A110,#REF!,6,FALSE())&gt;2,HLOOKUP($A110,#REF!,6,FALSE())&lt;-2),"",#REF!),"")</f>
        <v/>
      </c>
      <c r="I110" s="0" t="str">
        <f aca="false">IFERROR(IF(OR(HLOOKUP($A110,#REF!,7,FALSE())&gt;2,HLOOKUP($A110,#REF!,7,FALSE())&lt;-2),"",#REF!),"")</f>
        <v/>
      </c>
      <c r="J110" s="0" t="str">
        <f aca="false">IFERROR(IF(OR(HLOOKUP($A110,#REF!,8,FALSE())&gt;2,HLOOKUP($A110,#REF!,8,FALSE())&lt;-2),"",#REF!),"")</f>
        <v/>
      </c>
      <c r="K110" s="0" t="str">
        <f aca="false">IFERROR(IF(OR(HLOOKUP($A110,#REF!,9,FALSE())&gt;2,HLOOKUP($A110,#REF!,9,FALSE())&lt;-2),"",#REF!),"")</f>
        <v/>
      </c>
      <c r="L110" s="0" t="str">
        <f aca="false">IFERROR(IF(OR(HLOOKUP($A110,#REF!,10,FALSE())&gt;2,HLOOKUP($A110,#REF!,10,FALSE())&lt;-2),"",#REF!),"")</f>
        <v/>
      </c>
      <c r="M110" s="0" t="str">
        <f aca="false">IFERROR(IF(OR(HLOOKUP($A110,#REF!,11,FALSE())&gt;2,HLOOKUP($A110,#REF!,11,FALSE())&lt;-2),"",#REF!),"")</f>
        <v/>
      </c>
      <c r="N110" s="0" t="str">
        <f aca="false">IFERROR(IF(OR(HLOOKUP($A110,#REF!,12,FALSE())&gt;2,HLOOKUP($A110,#REF!,12,FALSE())&lt;-2),"",#REF!),"")</f>
        <v/>
      </c>
      <c r="O110" s="0" t="str">
        <f aca="false">IFERROR(IF(OR(HLOOKUP($A110,#REF!,13,FALSE())&gt;2,HLOOKUP($A110,#REF!,13,FALSE())&lt;-2),"",#REF!),"")</f>
        <v/>
      </c>
      <c r="P110" s="0" t="str">
        <f aca="false">IFERROR(IF(OR(HLOOKUP($A110,#REF!,14,FALSE())&gt;2,HLOOKUP($A110,#REF!,14,FALSE())&lt;-2),"",#REF!),"")</f>
        <v/>
      </c>
      <c r="Q110" s="0" t="str">
        <f aca="false">IFERROR(IF(OR(HLOOKUP($A110,#REF!,15,FALSE())&gt;2,HLOOKUP($A110,#REF!,15,FALSE())&lt;-2),"",#REF!),"")</f>
        <v/>
      </c>
      <c r="R110" s="0" t="str">
        <f aca="false">IFERROR(IF(OR(HLOOKUP($A110,#REF!,16,FALSE())&gt;2,HLOOKUP($A110,#REF!,16,FALSE())&lt;-2),"",#REF!),"")</f>
        <v/>
      </c>
      <c r="S110" s="0" t="str">
        <f aca="false">IFERROR(IF(OR(HLOOKUP($A110,#REF!,17,FALSE())&gt;2,HLOOKUP($A110,#REF!,17,FALSE())&lt;-2),"",#REF!),"")</f>
        <v/>
      </c>
      <c r="T110" s="0" t="str">
        <f aca="false">IFERROR(IF(OR(HLOOKUP($A110,#REF!,18,FALSE())&gt;2,HLOOKUP($A110,#REF!,18,FALSE())&lt;-2),"",#REF!),"")</f>
        <v/>
      </c>
      <c r="U110" s="0" t="str">
        <f aca="false">IFERROR(IF(OR(HLOOKUP($A110,#REF!,19,FALSE())&gt;2,HLOOKUP($A110,#REF!,19,FALSE())&lt;-2),"",#REF!),"")</f>
        <v/>
      </c>
      <c r="V110" s="0" t="n">
        <f aca="false">IFERROR(IF(AND(X110=0,Y110=0),0,1),0)</f>
        <v>1</v>
      </c>
      <c r="W110" s="3" t="str">
        <f aca="false">IFERROR(_xlfn.T.TEST(E110:M110,N110:U110,2,2),"")</f>
        <v/>
      </c>
      <c r="X110" s="0" t="str">
        <f aca="false">IFERROR(AVERAGE(E110:M110),"")</f>
        <v/>
      </c>
      <c r="Y110" s="0" t="str">
        <f aca="false">IFERROR(AVERAGE(N110:U110),"")</f>
        <v/>
      </c>
    </row>
    <row r="111" customFormat="false" ht="14.5" hidden="false" customHeight="false" outlineLevel="0" collapsed="false">
      <c r="A111" s="0" t="n">
        <v>113</v>
      </c>
      <c r="B111" s="0" t="s">
        <v>201</v>
      </c>
      <c r="C111" s="0" t="n">
        <v>5100</v>
      </c>
      <c r="D111" s="0" t="n">
        <v>337</v>
      </c>
      <c r="E111" s="0" t="str">
        <f aca="false">IFERROR(IF(OR(HLOOKUP($A111,#REF!,3,FALSE())&gt;2,HLOOKUP(A111,#REF!,3,FALSE())&lt;-2),"",#REF!),"")</f>
        <v/>
      </c>
      <c r="F111" s="0" t="str">
        <f aca="false">IFERROR(IF(OR(HLOOKUP($A111,#REF!,4,FALSE())&gt;2,HLOOKUP($A111,#REF!,4,FALSE())&lt;-2),"",#REF!),"")</f>
        <v/>
      </c>
      <c r="G111" s="0" t="str">
        <f aca="false">IFERROR(IF(OR(HLOOKUP($A111,#REF!,5,FALSE())&gt;2,HLOOKUP($A111,#REF!,5,FALSE())&lt;-2),"",#REF!),"")</f>
        <v/>
      </c>
      <c r="H111" s="0" t="str">
        <f aca="false">IFERROR(IF(OR(HLOOKUP($A111,#REF!,6,FALSE())&gt;2,HLOOKUP($A111,#REF!,6,FALSE())&lt;-2),"",#REF!),"")</f>
        <v/>
      </c>
      <c r="I111" s="0" t="str">
        <f aca="false">IFERROR(IF(OR(HLOOKUP($A111,#REF!,7,FALSE())&gt;2,HLOOKUP($A111,#REF!,7,FALSE())&lt;-2),"",#REF!),"")</f>
        <v/>
      </c>
      <c r="J111" s="0" t="str">
        <f aca="false">IFERROR(IF(OR(HLOOKUP($A111,#REF!,8,FALSE())&gt;2,HLOOKUP($A111,#REF!,8,FALSE())&lt;-2),"",#REF!),"")</f>
        <v/>
      </c>
      <c r="K111" s="0" t="str">
        <f aca="false">IFERROR(IF(OR(HLOOKUP($A111,#REF!,9,FALSE())&gt;2,HLOOKUP($A111,#REF!,9,FALSE())&lt;-2),"",#REF!),"")</f>
        <v/>
      </c>
      <c r="L111" s="0" t="str">
        <f aca="false">IFERROR(IF(OR(HLOOKUP($A111,#REF!,10,FALSE())&gt;2,HLOOKUP($A111,#REF!,10,FALSE())&lt;-2),"",#REF!),"")</f>
        <v/>
      </c>
      <c r="M111" s="0" t="str">
        <f aca="false">IFERROR(IF(OR(HLOOKUP($A111,#REF!,11,FALSE())&gt;2,HLOOKUP($A111,#REF!,11,FALSE())&lt;-2),"",#REF!),"")</f>
        <v/>
      </c>
      <c r="N111" s="0" t="str">
        <f aca="false">IFERROR(IF(OR(HLOOKUP($A111,#REF!,12,FALSE())&gt;2,HLOOKUP($A111,#REF!,12,FALSE())&lt;-2),"",#REF!),"")</f>
        <v/>
      </c>
      <c r="O111" s="0" t="str">
        <f aca="false">IFERROR(IF(OR(HLOOKUP($A111,#REF!,13,FALSE())&gt;2,HLOOKUP($A111,#REF!,13,FALSE())&lt;-2),"",#REF!),"")</f>
        <v/>
      </c>
      <c r="P111" s="0" t="str">
        <f aca="false">IFERROR(IF(OR(HLOOKUP($A111,#REF!,14,FALSE())&gt;2,HLOOKUP($A111,#REF!,14,FALSE())&lt;-2),"",#REF!),"")</f>
        <v/>
      </c>
      <c r="Q111" s="0" t="str">
        <f aca="false">IFERROR(IF(OR(HLOOKUP($A111,#REF!,15,FALSE())&gt;2,HLOOKUP($A111,#REF!,15,FALSE())&lt;-2),"",#REF!),"")</f>
        <v/>
      </c>
      <c r="R111" s="0" t="str">
        <f aca="false">IFERROR(IF(OR(HLOOKUP($A111,#REF!,16,FALSE())&gt;2,HLOOKUP($A111,#REF!,16,FALSE())&lt;-2),"",#REF!),"")</f>
        <v/>
      </c>
      <c r="S111" s="0" t="str">
        <f aca="false">IFERROR(IF(OR(HLOOKUP($A111,#REF!,17,FALSE())&gt;2,HLOOKUP($A111,#REF!,17,FALSE())&lt;-2),"",#REF!),"")</f>
        <v/>
      </c>
      <c r="T111" s="0" t="str">
        <f aca="false">IFERROR(IF(OR(HLOOKUP($A111,#REF!,18,FALSE())&gt;2,HLOOKUP($A111,#REF!,18,FALSE())&lt;-2),"",#REF!),"")</f>
        <v/>
      </c>
      <c r="U111" s="0" t="str">
        <f aca="false">IFERROR(IF(OR(HLOOKUP($A111,#REF!,19,FALSE())&gt;2,HLOOKUP($A111,#REF!,19,FALSE())&lt;-2),"",#REF!),"")</f>
        <v/>
      </c>
      <c r="V111" s="0" t="n">
        <f aca="false">IFERROR(IF(AND(X111=0,Y111=0),0,1),0)</f>
        <v>1</v>
      </c>
      <c r="W111" s="3" t="str">
        <f aca="false">IFERROR(_xlfn.T.TEST(E111:M111,N111:U111,2,2),"")</f>
        <v/>
      </c>
      <c r="X111" s="0" t="str">
        <f aca="false">IFERROR(AVERAGE(E111:M111),"")</f>
        <v/>
      </c>
      <c r="Y111" s="0" t="str">
        <f aca="false">IFERROR(AVERAGE(N111:U111),"")</f>
        <v/>
      </c>
    </row>
    <row r="112" customFormat="false" ht="14.5" hidden="false" customHeight="false" outlineLevel="0" collapsed="false">
      <c r="A112" s="0" t="n">
        <v>114</v>
      </c>
      <c r="B112" s="0" t="s">
        <v>202</v>
      </c>
      <c r="C112" s="0" t="n">
        <v>86900</v>
      </c>
      <c r="D112" s="0" t="n">
        <v>398</v>
      </c>
      <c r="E112" s="0" t="str">
        <f aca="false">IFERROR(IF(OR(HLOOKUP($A112,#REF!,3,FALSE())&gt;2,HLOOKUP(A112,#REF!,3,FALSE())&lt;-2),"",#REF!),"")</f>
        <v/>
      </c>
      <c r="F112" s="0" t="str">
        <f aca="false">IFERROR(IF(OR(HLOOKUP($A112,#REF!,4,FALSE())&gt;2,HLOOKUP($A112,#REF!,4,FALSE())&lt;-2),"",#REF!),"")</f>
        <v/>
      </c>
      <c r="G112" s="0" t="str">
        <f aca="false">IFERROR(IF(OR(HLOOKUP($A112,#REF!,5,FALSE())&gt;2,HLOOKUP($A112,#REF!,5,FALSE())&lt;-2),"",#REF!),"")</f>
        <v/>
      </c>
      <c r="H112" s="0" t="str">
        <f aca="false">IFERROR(IF(OR(HLOOKUP($A112,#REF!,6,FALSE())&gt;2,HLOOKUP($A112,#REF!,6,FALSE())&lt;-2),"",#REF!),"")</f>
        <v/>
      </c>
      <c r="I112" s="0" t="str">
        <f aca="false">IFERROR(IF(OR(HLOOKUP($A112,#REF!,7,FALSE())&gt;2,HLOOKUP($A112,#REF!,7,FALSE())&lt;-2),"",#REF!),"")</f>
        <v/>
      </c>
      <c r="J112" s="0" t="str">
        <f aca="false">IFERROR(IF(OR(HLOOKUP($A112,#REF!,8,FALSE())&gt;2,HLOOKUP($A112,#REF!,8,FALSE())&lt;-2),"",#REF!),"")</f>
        <v/>
      </c>
      <c r="K112" s="0" t="str">
        <f aca="false">IFERROR(IF(OR(HLOOKUP($A112,#REF!,9,FALSE())&gt;2,HLOOKUP($A112,#REF!,9,FALSE())&lt;-2),"",#REF!),"")</f>
        <v/>
      </c>
      <c r="L112" s="0" t="str">
        <f aca="false">IFERROR(IF(OR(HLOOKUP($A112,#REF!,10,FALSE())&gt;2,HLOOKUP($A112,#REF!,10,FALSE())&lt;-2),"",#REF!),"")</f>
        <v/>
      </c>
      <c r="M112" s="0" t="str">
        <f aca="false">IFERROR(IF(OR(HLOOKUP($A112,#REF!,11,FALSE())&gt;2,HLOOKUP($A112,#REF!,11,FALSE())&lt;-2),"",#REF!),"")</f>
        <v/>
      </c>
      <c r="N112" s="0" t="str">
        <f aca="false">IFERROR(IF(OR(HLOOKUP($A112,#REF!,12,FALSE())&gt;2,HLOOKUP($A112,#REF!,12,FALSE())&lt;-2),"",#REF!),"")</f>
        <v/>
      </c>
      <c r="O112" s="0" t="str">
        <f aca="false">IFERROR(IF(OR(HLOOKUP($A112,#REF!,13,FALSE())&gt;2,HLOOKUP($A112,#REF!,13,FALSE())&lt;-2),"",#REF!),"")</f>
        <v/>
      </c>
      <c r="P112" s="0" t="str">
        <f aca="false">IFERROR(IF(OR(HLOOKUP($A112,#REF!,14,FALSE())&gt;2,HLOOKUP($A112,#REF!,14,FALSE())&lt;-2),"",#REF!),"")</f>
        <v/>
      </c>
      <c r="Q112" s="0" t="str">
        <f aca="false">IFERROR(IF(OR(HLOOKUP($A112,#REF!,15,FALSE())&gt;2,HLOOKUP($A112,#REF!,15,FALSE())&lt;-2),"",#REF!),"")</f>
        <v/>
      </c>
      <c r="R112" s="0" t="str">
        <f aca="false">IFERROR(IF(OR(HLOOKUP($A112,#REF!,16,FALSE())&gt;2,HLOOKUP($A112,#REF!,16,FALSE())&lt;-2),"",#REF!),"")</f>
        <v/>
      </c>
      <c r="S112" s="0" t="str">
        <f aca="false">IFERROR(IF(OR(HLOOKUP($A112,#REF!,17,FALSE())&gt;2,HLOOKUP($A112,#REF!,17,FALSE())&lt;-2),"",#REF!),"")</f>
        <v/>
      </c>
      <c r="T112" s="0" t="str">
        <f aca="false">IFERROR(IF(OR(HLOOKUP($A112,#REF!,18,FALSE())&gt;2,HLOOKUP($A112,#REF!,18,FALSE())&lt;-2),"",#REF!),"")</f>
        <v/>
      </c>
      <c r="U112" s="0" t="str">
        <f aca="false">IFERROR(IF(OR(HLOOKUP($A112,#REF!,19,FALSE())&gt;2,HLOOKUP($A112,#REF!,19,FALSE())&lt;-2),"",#REF!),"")</f>
        <v/>
      </c>
      <c r="V112" s="0" t="n">
        <f aca="false">IFERROR(IF(AND(X112=0,Y112=0),0,1),0)</f>
        <v>1</v>
      </c>
      <c r="W112" s="3" t="str">
        <f aca="false">IFERROR(_xlfn.T.TEST(E112:M112,N112:U112,2,2),"")</f>
        <v/>
      </c>
      <c r="X112" s="0" t="str">
        <f aca="false">IFERROR(AVERAGE(E112:M112),"")</f>
        <v/>
      </c>
      <c r="Y112" s="0" t="str">
        <f aca="false">IFERROR(AVERAGE(N112:U112),"")</f>
        <v/>
      </c>
    </row>
    <row r="113" customFormat="false" ht="14.5" hidden="false" customHeight="false" outlineLevel="0" collapsed="false">
      <c r="A113" s="0" t="n">
        <v>115</v>
      </c>
      <c r="B113" s="0" t="s">
        <v>203</v>
      </c>
      <c r="C113" s="0" t="n">
        <v>83000</v>
      </c>
      <c r="D113" s="0" t="n">
        <v>323</v>
      </c>
      <c r="E113" s="0" t="str">
        <f aca="false">IFERROR(IF(OR(HLOOKUP($A113,#REF!,3,FALSE())&gt;2,HLOOKUP(A113,#REF!,3,FALSE())&lt;-2),"",#REF!),"")</f>
        <v/>
      </c>
      <c r="F113" s="0" t="str">
        <f aca="false">IFERROR(IF(OR(HLOOKUP($A113,#REF!,4,FALSE())&gt;2,HLOOKUP($A113,#REF!,4,FALSE())&lt;-2),"",#REF!),"")</f>
        <v/>
      </c>
      <c r="G113" s="0" t="str">
        <f aca="false">IFERROR(IF(OR(HLOOKUP($A113,#REF!,5,FALSE())&gt;2,HLOOKUP($A113,#REF!,5,FALSE())&lt;-2),"",#REF!),"")</f>
        <v/>
      </c>
      <c r="H113" s="0" t="str">
        <f aca="false">IFERROR(IF(OR(HLOOKUP($A113,#REF!,6,FALSE())&gt;2,HLOOKUP($A113,#REF!,6,FALSE())&lt;-2),"",#REF!),"")</f>
        <v/>
      </c>
      <c r="I113" s="0" t="str">
        <f aca="false">IFERROR(IF(OR(HLOOKUP($A113,#REF!,7,FALSE())&gt;2,HLOOKUP($A113,#REF!,7,FALSE())&lt;-2),"",#REF!),"")</f>
        <v/>
      </c>
      <c r="J113" s="0" t="str">
        <f aca="false">IFERROR(IF(OR(HLOOKUP($A113,#REF!,8,FALSE())&gt;2,HLOOKUP($A113,#REF!,8,FALSE())&lt;-2),"",#REF!),"")</f>
        <v/>
      </c>
      <c r="K113" s="0" t="str">
        <f aca="false">IFERROR(IF(OR(HLOOKUP($A113,#REF!,9,FALSE())&gt;2,HLOOKUP($A113,#REF!,9,FALSE())&lt;-2),"",#REF!),"")</f>
        <v/>
      </c>
      <c r="L113" s="0" t="str">
        <f aca="false">IFERROR(IF(OR(HLOOKUP($A113,#REF!,10,FALSE())&gt;2,HLOOKUP($A113,#REF!,10,FALSE())&lt;-2),"",#REF!),"")</f>
        <v/>
      </c>
      <c r="M113" s="0" t="str">
        <f aca="false">IFERROR(IF(OR(HLOOKUP($A113,#REF!,11,FALSE())&gt;2,HLOOKUP($A113,#REF!,11,FALSE())&lt;-2),"",#REF!),"")</f>
        <v/>
      </c>
      <c r="N113" s="0" t="str">
        <f aca="false">IFERROR(IF(OR(HLOOKUP($A113,#REF!,12,FALSE())&gt;2,HLOOKUP($A113,#REF!,12,FALSE())&lt;-2),"",#REF!),"")</f>
        <v/>
      </c>
      <c r="O113" s="0" t="str">
        <f aca="false">IFERROR(IF(OR(HLOOKUP($A113,#REF!,13,FALSE())&gt;2,HLOOKUP($A113,#REF!,13,FALSE())&lt;-2),"",#REF!),"")</f>
        <v/>
      </c>
      <c r="P113" s="0" t="str">
        <f aca="false">IFERROR(IF(OR(HLOOKUP($A113,#REF!,14,FALSE())&gt;2,HLOOKUP($A113,#REF!,14,FALSE())&lt;-2),"",#REF!),"")</f>
        <v/>
      </c>
      <c r="Q113" s="0" t="str">
        <f aca="false">IFERROR(IF(OR(HLOOKUP($A113,#REF!,15,FALSE())&gt;2,HLOOKUP($A113,#REF!,15,FALSE())&lt;-2),"",#REF!),"")</f>
        <v/>
      </c>
      <c r="R113" s="0" t="str">
        <f aca="false">IFERROR(IF(OR(HLOOKUP($A113,#REF!,16,FALSE())&gt;2,HLOOKUP($A113,#REF!,16,FALSE())&lt;-2),"",#REF!),"")</f>
        <v/>
      </c>
      <c r="S113" s="0" t="str">
        <f aca="false">IFERROR(IF(OR(HLOOKUP($A113,#REF!,17,FALSE())&gt;2,HLOOKUP($A113,#REF!,17,FALSE())&lt;-2),"",#REF!),"")</f>
        <v/>
      </c>
      <c r="T113" s="0" t="str">
        <f aca="false">IFERROR(IF(OR(HLOOKUP($A113,#REF!,18,FALSE())&gt;2,HLOOKUP($A113,#REF!,18,FALSE())&lt;-2),"",#REF!),"")</f>
        <v/>
      </c>
      <c r="U113" s="0" t="str">
        <f aca="false">IFERROR(IF(OR(HLOOKUP($A113,#REF!,19,FALSE())&gt;2,HLOOKUP($A113,#REF!,19,FALSE())&lt;-2),"",#REF!),"")</f>
        <v/>
      </c>
      <c r="V113" s="0" t="n">
        <f aca="false">IFERROR(IF(AND(X113=0,Y113=0),0,1),0)</f>
        <v>1</v>
      </c>
      <c r="W113" s="3" t="str">
        <f aca="false">IFERROR(_xlfn.T.TEST(E113:M113,N113:U113,2,2),"")</f>
        <v/>
      </c>
      <c r="X113" s="0" t="str">
        <f aca="false">IFERROR(AVERAGE(E113:M113),"")</f>
        <v/>
      </c>
      <c r="Y113" s="0" t="str">
        <f aca="false">IFERROR(AVERAGE(N113:U113),"")</f>
        <v/>
      </c>
    </row>
    <row r="114" customFormat="false" ht="14.5" hidden="false" customHeight="false" outlineLevel="0" collapsed="false">
      <c r="A114" s="0" t="n">
        <v>116</v>
      </c>
      <c r="B114" s="0" t="s">
        <v>204</v>
      </c>
      <c r="C114" s="0" t="n">
        <v>116300</v>
      </c>
      <c r="D114" s="0" t="n">
        <v>81</v>
      </c>
      <c r="E114" s="0" t="str">
        <f aca="false">IFERROR(IF(OR(HLOOKUP($A114,#REF!,3,FALSE())&gt;2,HLOOKUP(A114,#REF!,3,FALSE())&lt;-2),"",#REF!),"")</f>
        <v/>
      </c>
      <c r="F114" s="0" t="str">
        <f aca="false">IFERROR(IF(OR(HLOOKUP($A114,#REF!,4,FALSE())&gt;2,HLOOKUP($A114,#REF!,4,FALSE())&lt;-2),"",#REF!),"")</f>
        <v/>
      </c>
      <c r="G114" s="0" t="str">
        <f aca="false">IFERROR(IF(OR(HLOOKUP($A114,#REF!,5,FALSE())&gt;2,HLOOKUP($A114,#REF!,5,FALSE())&lt;-2),"",#REF!),"")</f>
        <v/>
      </c>
      <c r="H114" s="0" t="str">
        <f aca="false">IFERROR(IF(OR(HLOOKUP($A114,#REF!,6,FALSE())&gt;2,HLOOKUP($A114,#REF!,6,FALSE())&lt;-2),"",#REF!),"")</f>
        <v/>
      </c>
      <c r="I114" s="0" t="str">
        <f aca="false">IFERROR(IF(OR(HLOOKUP($A114,#REF!,7,FALSE())&gt;2,HLOOKUP($A114,#REF!,7,FALSE())&lt;-2),"",#REF!),"")</f>
        <v/>
      </c>
      <c r="J114" s="0" t="str">
        <f aca="false">IFERROR(IF(OR(HLOOKUP($A114,#REF!,8,FALSE())&gt;2,HLOOKUP($A114,#REF!,8,FALSE())&lt;-2),"",#REF!),"")</f>
        <v/>
      </c>
      <c r="K114" s="0" t="str">
        <f aca="false">IFERROR(IF(OR(HLOOKUP($A114,#REF!,9,FALSE())&gt;2,HLOOKUP($A114,#REF!,9,FALSE())&lt;-2),"",#REF!),"")</f>
        <v/>
      </c>
      <c r="L114" s="0" t="str">
        <f aca="false">IFERROR(IF(OR(HLOOKUP($A114,#REF!,10,FALSE())&gt;2,HLOOKUP($A114,#REF!,10,FALSE())&lt;-2),"",#REF!),"")</f>
        <v/>
      </c>
      <c r="M114" s="0" t="str">
        <f aca="false">IFERROR(IF(OR(HLOOKUP($A114,#REF!,11,FALSE())&gt;2,HLOOKUP($A114,#REF!,11,FALSE())&lt;-2),"",#REF!),"")</f>
        <v/>
      </c>
      <c r="N114" s="0" t="str">
        <f aca="false">IFERROR(IF(OR(HLOOKUP($A114,#REF!,12,FALSE())&gt;2,HLOOKUP($A114,#REF!,12,FALSE())&lt;-2),"",#REF!),"")</f>
        <v/>
      </c>
      <c r="O114" s="0" t="str">
        <f aca="false">IFERROR(IF(OR(HLOOKUP($A114,#REF!,13,FALSE())&gt;2,HLOOKUP($A114,#REF!,13,FALSE())&lt;-2),"",#REF!),"")</f>
        <v/>
      </c>
      <c r="P114" s="0" t="str">
        <f aca="false">IFERROR(IF(OR(HLOOKUP($A114,#REF!,14,FALSE())&gt;2,HLOOKUP($A114,#REF!,14,FALSE())&lt;-2),"",#REF!),"")</f>
        <v/>
      </c>
      <c r="Q114" s="0" t="str">
        <f aca="false">IFERROR(IF(OR(HLOOKUP($A114,#REF!,15,FALSE())&gt;2,HLOOKUP($A114,#REF!,15,FALSE())&lt;-2),"",#REF!),"")</f>
        <v/>
      </c>
      <c r="R114" s="0" t="str">
        <f aca="false">IFERROR(IF(OR(HLOOKUP($A114,#REF!,16,FALSE())&gt;2,HLOOKUP($A114,#REF!,16,FALSE())&lt;-2),"",#REF!),"")</f>
        <v/>
      </c>
      <c r="S114" s="0" t="str">
        <f aca="false">IFERROR(IF(OR(HLOOKUP($A114,#REF!,17,FALSE())&gt;2,HLOOKUP($A114,#REF!,17,FALSE())&lt;-2),"",#REF!),"")</f>
        <v/>
      </c>
      <c r="T114" s="0" t="str">
        <f aca="false">IFERROR(IF(OR(HLOOKUP($A114,#REF!,18,FALSE())&gt;2,HLOOKUP($A114,#REF!,18,FALSE())&lt;-2),"",#REF!),"")</f>
        <v/>
      </c>
      <c r="U114" s="0" t="str">
        <f aca="false">IFERROR(IF(OR(HLOOKUP($A114,#REF!,19,FALSE())&gt;2,HLOOKUP($A114,#REF!,19,FALSE())&lt;-2),"",#REF!),"")</f>
        <v/>
      </c>
      <c r="V114" s="0" t="n">
        <f aca="false">IFERROR(IF(AND(X114=0,Y114=0),0,1),0)</f>
        <v>1</v>
      </c>
      <c r="W114" s="3" t="str">
        <f aca="false">IFERROR(_xlfn.T.TEST(E114:M114,N114:U114,2,2),"")</f>
        <v/>
      </c>
      <c r="X114" s="0" t="str">
        <f aca="false">IFERROR(AVERAGE(E114:M114),"")</f>
        <v/>
      </c>
      <c r="Y114" s="0" t="str">
        <f aca="false">IFERROR(AVERAGE(N114:U114),"")</f>
        <v/>
      </c>
    </row>
    <row r="115" customFormat="false" ht="14.5" hidden="false" customHeight="false" outlineLevel="0" collapsed="false">
      <c r="A115" s="0" t="n">
        <v>117</v>
      </c>
      <c r="B115" s="0" t="s">
        <v>205</v>
      </c>
      <c r="C115" s="0" t="n">
        <v>98700</v>
      </c>
      <c r="D115" s="0" t="n">
        <v>848</v>
      </c>
      <c r="E115" s="0" t="str">
        <f aca="false">IFERROR(IF(OR(HLOOKUP($A115,#REF!,3,FALSE())&gt;2,HLOOKUP(A115,#REF!,3,FALSE())&lt;-2),"",#REF!),"")</f>
        <v/>
      </c>
      <c r="F115" s="0" t="str">
        <f aca="false">IFERROR(IF(OR(HLOOKUP($A115,#REF!,4,FALSE())&gt;2,HLOOKUP($A115,#REF!,4,FALSE())&lt;-2),"",#REF!),"")</f>
        <v/>
      </c>
      <c r="G115" s="0" t="str">
        <f aca="false">IFERROR(IF(OR(HLOOKUP($A115,#REF!,5,FALSE())&gt;2,HLOOKUP($A115,#REF!,5,FALSE())&lt;-2),"",#REF!),"")</f>
        <v/>
      </c>
      <c r="H115" s="0" t="str">
        <f aca="false">IFERROR(IF(OR(HLOOKUP($A115,#REF!,6,FALSE())&gt;2,HLOOKUP($A115,#REF!,6,FALSE())&lt;-2),"",#REF!),"")</f>
        <v/>
      </c>
      <c r="I115" s="0" t="str">
        <f aca="false">IFERROR(IF(OR(HLOOKUP($A115,#REF!,7,FALSE())&gt;2,HLOOKUP($A115,#REF!,7,FALSE())&lt;-2),"",#REF!),"")</f>
        <v/>
      </c>
      <c r="J115" s="0" t="str">
        <f aca="false">IFERROR(IF(OR(HLOOKUP($A115,#REF!,8,FALSE())&gt;2,HLOOKUP($A115,#REF!,8,FALSE())&lt;-2),"",#REF!),"")</f>
        <v/>
      </c>
      <c r="K115" s="0" t="str">
        <f aca="false">IFERROR(IF(OR(HLOOKUP($A115,#REF!,9,FALSE())&gt;2,HLOOKUP($A115,#REF!,9,FALSE())&lt;-2),"",#REF!),"")</f>
        <v/>
      </c>
      <c r="L115" s="0" t="str">
        <f aca="false">IFERROR(IF(OR(HLOOKUP($A115,#REF!,10,FALSE())&gt;2,HLOOKUP($A115,#REF!,10,FALSE())&lt;-2),"",#REF!),"")</f>
        <v/>
      </c>
      <c r="M115" s="0" t="str">
        <f aca="false">IFERROR(IF(OR(HLOOKUP($A115,#REF!,11,FALSE())&gt;2,HLOOKUP($A115,#REF!,11,FALSE())&lt;-2),"",#REF!),"")</f>
        <v/>
      </c>
      <c r="N115" s="0" t="str">
        <f aca="false">IFERROR(IF(OR(HLOOKUP($A115,#REF!,12,FALSE())&gt;2,HLOOKUP($A115,#REF!,12,FALSE())&lt;-2),"",#REF!),"")</f>
        <v/>
      </c>
      <c r="O115" s="0" t="str">
        <f aca="false">IFERROR(IF(OR(HLOOKUP($A115,#REF!,13,FALSE())&gt;2,HLOOKUP($A115,#REF!,13,FALSE())&lt;-2),"",#REF!),"")</f>
        <v/>
      </c>
      <c r="P115" s="0" t="str">
        <f aca="false">IFERROR(IF(OR(HLOOKUP($A115,#REF!,14,FALSE())&gt;2,HLOOKUP($A115,#REF!,14,FALSE())&lt;-2),"",#REF!),"")</f>
        <v/>
      </c>
      <c r="Q115" s="0" t="str">
        <f aca="false">IFERROR(IF(OR(HLOOKUP($A115,#REF!,15,FALSE())&gt;2,HLOOKUP($A115,#REF!,15,FALSE())&lt;-2),"",#REF!),"")</f>
        <v/>
      </c>
      <c r="R115" s="0" t="str">
        <f aca="false">IFERROR(IF(OR(HLOOKUP($A115,#REF!,16,FALSE())&gt;2,HLOOKUP($A115,#REF!,16,FALSE())&lt;-2),"",#REF!),"")</f>
        <v/>
      </c>
      <c r="S115" s="0" t="str">
        <f aca="false">IFERROR(IF(OR(HLOOKUP($A115,#REF!,17,FALSE())&gt;2,HLOOKUP($A115,#REF!,17,FALSE())&lt;-2),"",#REF!),"")</f>
        <v/>
      </c>
      <c r="T115" s="0" t="str">
        <f aca="false">IFERROR(IF(OR(HLOOKUP($A115,#REF!,18,FALSE())&gt;2,HLOOKUP($A115,#REF!,18,FALSE())&lt;-2),"",#REF!),"")</f>
        <v/>
      </c>
      <c r="U115" s="0" t="str">
        <f aca="false">IFERROR(IF(OR(HLOOKUP($A115,#REF!,19,FALSE())&gt;2,HLOOKUP($A115,#REF!,19,FALSE())&lt;-2),"",#REF!),"")</f>
        <v/>
      </c>
      <c r="V115" s="0" t="n">
        <f aca="false">IFERROR(IF(AND(X115=0,Y115=0),0,1),0)</f>
        <v>1</v>
      </c>
      <c r="W115" s="3" t="str">
        <f aca="false">IFERROR(_xlfn.T.TEST(E115:M115,N115:U115,2,2),"")</f>
        <v/>
      </c>
      <c r="X115" s="0" t="str">
        <f aca="false">IFERROR(AVERAGE(E115:M115),"")</f>
        <v/>
      </c>
      <c r="Y115" s="0" t="str">
        <f aca="false">IFERROR(AVERAGE(N115:U115),"")</f>
        <v/>
      </c>
    </row>
    <row r="116" customFormat="false" ht="14.5" hidden="false" customHeight="false" outlineLevel="0" collapsed="false">
      <c r="A116" s="0" t="n">
        <v>118</v>
      </c>
      <c r="B116" s="0" t="s">
        <v>206</v>
      </c>
      <c r="C116" s="0" t="n">
        <v>71700</v>
      </c>
      <c r="D116" s="0" t="n">
        <v>157</v>
      </c>
      <c r="E116" s="0" t="str">
        <f aca="false">IFERROR(IF(OR(HLOOKUP($A116,#REF!,3,FALSE())&gt;2,HLOOKUP(A116,#REF!,3,FALSE())&lt;-2),"",#REF!),"")</f>
        <v/>
      </c>
      <c r="F116" s="0" t="str">
        <f aca="false">IFERROR(IF(OR(HLOOKUP($A116,#REF!,4,FALSE())&gt;2,HLOOKUP($A116,#REF!,4,FALSE())&lt;-2),"",#REF!),"")</f>
        <v/>
      </c>
      <c r="G116" s="0" t="str">
        <f aca="false">IFERROR(IF(OR(HLOOKUP($A116,#REF!,5,FALSE())&gt;2,HLOOKUP($A116,#REF!,5,FALSE())&lt;-2),"",#REF!),"")</f>
        <v/>
      </c>
      <c r="H116" s="0" t="str">
        <f aca="false">IFERROR(IF(OR(HLOOKUP($A116,#REF!,6,FALSE())&gt;2,HLOOKUP($A116,#REF!,6,FALSE())&lt;-2),"",#REF!),"")</f>
        <v/>
      </c>
      <c r="I116" s="0" t="str">
        <f aca="false">IFERROR(IF(OR(HLOOKUP($A116,#REF!,7,FALSE())&gt;2,HLOOKUP($A116,#REF!,7,FALSE())&lt;-2),"",#REF!),"")</f>
        <v/>
      </c>
      <c r="J116" s="0" t="str">
        <f aca="false">IFERROR(IF(OR(HLOOKUP($A116,#REF!,8,FALSE())&gt;2,HLOOKUP($A116,#REF!,8,FALSE())&lt;-2),"",#REF!),"")</f>
        <v/>
      </c>
      <c r="K116" s="0" t="str">
        <f aca="false">IFERROR(IF(OR(HLOOKUP($A116,#REF!,9,FALSE())&gt;2,HLOOKUP($A116,#REF!,9,FALSE())&lt;-2),"",#REF!),"")</f>
        <v/>
      </c>
      <c r="L116" s="0" t="str">
        <f aca="false">IFERROR(IF(OR(HLOOKUP($A116,#REF!,10,FALSE())&gt;2,HLOOKUP($A116,#REF!,10,FALSE())&lt;-2),"",#REF!),"")</f>
        <v/>
      </c>
      <c r="M116" s="0" t="str">
        <f aca="false">IFERROR(IF(OR(HLOOKUP($A116,#REF!,11,FALSE())&gt;2,HLOOKUP($A116,#REF!,11,FALSE())&lt;-2),"",#REF!),"")</f>
        <v/>
      </c>
      <c r="N116" s="0" t="str">
        <f aca="false">IFERROR(IF(OR(HLOOKUP($A116,#REF!,12,FALSE())&gt;2,HLOOKUP($A116,#REF!,12,FALSE())&lt;-2),"",#REF!),"")</f>
        <v/>
      </c>
      <c r="O116" s="0" t="str">
        <f aca="false">IFERROR(IF(OR(HLOOKUP($A116,#REF!,13,FALSE())&gt;2,HLOOKUP($A116,#REF!,13,FALSE())&lt;-2),"",#REF!),"")</f>
        <v/>
      </c>
      <c r="P116" s="0" t="str">
        <f aca="false">IFERROR(IF(OR(HLOOKUP($A116,#REF!,14,FALSE())&gt;2,HLOOKUP($A116,#REF!,14,FALSE())&lt;-2),"",#REF!),"")</f>
        <v/>
      </c>
      <c r="Q116" s="0" t="str">
        <f aca="false">IFERROR(IF(OR(HLOOKUP($A116,#REF!,15,FALSE())&gt;2,HLOOKUP($A116,#REF!,15,FALSE())&lt;-2),"",#REF!),"")</f>
        <v/>
      </c>
      <c r="R116" s="0" t="str">
        <f aca="false">IFERROR(IF(OR(HLOOKUP($A116,#REF!,16,FALSE())&gt;2,HLOOKUP($A116,#REF!,16,FALSE())&lt;-2),"",#REF!),"")</f>
        <v/>
      </c>
      <c r="S116" s="0" t="str">
        <f aca="false">IFERROR(IF(OR(HLOOKUP($A116,#REF!,17,FALSE())&gt;2,HLOOKUP($A116,#REF!,17,FALSE())&lt;-2),"",#REF!),"")</f>
        <v/>
      </c>
      <c r="T116" s="0" t="str">
        <f aca="false">IFERROR(IF(OR(HLOOKUP($A116,#REF!,18,FALSE())&gt;2,HLOOKUP($A116,#REF!,18,FALSE())&lt;-2),"",#REF!),"")</f>
        <v/>
      </c>
      <c r="U116" s="0" t="str">
        <f aca="false">IFERROR(IF(OR(HLOOKUP($A116,#REF!,19,FALSE())&gt;2,HLOOKUP($A116,#REF!,19,FALSE())&lt;-2),"",#REF!),"")</f>
        <v/>
      </c>
      <c r="V116" s="0" t="n">
        <f aca="false">IFERROR(IF(AND(X116=0,Y116=0),0,1),0)</f>
        <v>1</v>
      </c>
      <c r="W116" s="3" t="str">
        <f aca="false">IFERROR(_xlfn.T.TEST(E116:M116,N116:U116,2,2),"")</f>
        <v/>
      </c>
      <c r="X116" s="0" t="str">
        <f aca="false">IFERROR(AVERAGE(E116:M116),"")</f>
        <v/>
      </c>
      <c r="Y116" s="0" t="str">
        <f aca="false">IFERROR(AVERAGE(N116:U116),"")</f>
        <v/>
      </c>
    </row>
    <row r="117" customFormat="false" ht="14.5" hidden="false" customHeight="false" outlineLevel="0" collapsed="false">
      <c r="A117" s="0" t="n">
        <v>119</v>
      </c>
      <c r="B117" s="0" t="s">
        <v>207</v>
      </c>
      <c r="C117" s="0" t="n">
        <v>24600</v>
      </c>
      <c r="D117" s="0" t="n">
        <v>95</v>
      </c>
      <c r="E117" s="0" t="str">
        <f aca="false">IFERROR(IF(OR(HLOOKUP($A117,#REF!,3,FALSE())&gt;2,HLOOKUP(A117,#REF!,3,FALSE())&lt;-2),"",#REF!),"")</f>
        <v/>
      </c>
      <c r="F117" s="0" t="str">
        <f aca="false">IFERROR(IF(OR(HLOOKUP($A117,#REF!,4,FALSE())&gt;2,HLOOKUP($A117,#REF!,4,FALSE())&lt;-2),"",#REF!),"")</f>
        <v/>
      </c>
      <c r="G117" s="0" t="str">
        <f aca="false">IFERROR(IF(OR(HLOOKUP($A117,#REF!,5,FALSE())&gt;2,HLOOKUP($A117,#REF!,5,FALSE())&lt;-2),"",#REF!),"")</f>
        <v/>
      </c>
      <c r="H117" s="0" t="str">
        <f aca="false">IFERROR(IF(OR(HLOOKUP($A117,#REF!,6,FALSE())&gt;2,HLOOKUP($A117,#REF!,6,FALSE())&lt;-2),"",#REF!),"")</f>
        <v/>
      </c>
      <c r="I117" s="0" t="str">
        <f aca="false">IFERROR(IF(OR(HLOOKUP($A117,#REF!,7,FALSE())&gt;2,HLOOKUP($A117,#REF!,7,FALSE())&lt;-2),"",#REF!),"")</f>
        <v/>
      </c>
      <c r="J117" s="0" t="str">
        <f aca="false">IFERROR(IF(OR(HLOOKUP($A117,#REF!,8,FALSE())&gt;2,HLOOKUP($A117,#REF!,8,FALSE())&lt;-2),"",#REF!),"")</f>
        <v/>
      </c>
      <c r="K117" s="0" t="str">
        <f aca="false">IFERROR(IF(OR(HLOOKUP($A117,#REF!,9,FALSE())&gt;2,HLOOKUP($A117,#REF!,9,FALSE())&lt;-2),"",#REF!),"")</f>
        <v/>
      </c>
      <c r="L117" s="0" t="str">
        <f aca="false">IFERROR(IF(OR(HLOOKUP($A117,#REF!,10,FALSE())&gt;2,HLOOKUP($A117,#REF!,10,FALSE())&lt;-2),"",#REF!),"")</f>
        <v/>
      </c>
      <c r="M117" s="0" t="str">
        <f aca="false">IFERROR(IF(OR(HLOOKUP($A117,#REF!,11,FALSE())&gt;2,HLOOKUP($A117,#REF!,11,FALSE())&lt;-2),"",#REF!),"")</f>
        <v/>
      </c>
      <c r="N117" s="0" t="str">
        <f aca="false">IFERROR(IF(OR(HLOOKUP($A117,#REF!,12,FALSE())&gt;2,HLOOKUP($A117,#REF!,12,FALSE())&lt;-2),"",#REF!),"")</f>
        <v/>
      </c>
      <c r="O117" s="0" t="str">
        <f aca="false">IFERROR(IF(OR(HLOOKUP($A117,#REF!,13,FALSE())&gt;2,HLOOKUP($A117,#REF!,13,FALSE())&lt;-2),"",#REF!),"")</f>
        <v/>
      </c>
      <c r="P117" s="0" t="str">
        <f aca="false">IFERROR(IF(OR(HLOOKUP($A117,#REF!,14,FALSE())&gt;2,HLOOKUP($A117,#REF!,14,FALSE())&lt;-2),"",#REF!),"")</f>
        <v/>
      </c>
      <c r="Q117" s="0" t="str">
        <f aca="false">IFERROR(IF(OR(HLOOKUP($A117,#REF!,15,FALSE())&gt;2,HLOOKUP($A117,#REF!,15,FALSE())&lt;-2),"",#REF!),"")</f>
        <v/>
      </c>
      <c r="R117" s="0" t="str">
        <f aca="false">IFERROR(IF(OR(HLOOKUP($A117,#REF!,16,FALSE())&gt;2,HLOOKUP($A117,#REF!,16,FALSE())&lt;-2),"",#REF!),"")</f>
        <v/>
      </c>
      <c r="S117" s="0" t="str">
        <f aca="false">IFERROR(IF(OR(HLOOKUP($A117,#REF!,17,FALSE())&gt;2,HLOOKUP($A117,#REF!,17,FALSE())&lt;-2),"",#REF!),"")</f>
        <v/>
      </c>
      <c r="T117" s="0" t="str">
        <f aca="false">IFERROR(IF(OR(HLOOKUP($A117,#REF!,18,FALSE())&gt;2,HLOOKUP($A117,#REF!,18,FALSE())&lt;-2),"",#REF!),"")</f>
        <v/>
      </c>
      <c r="U117" s="0" t="str">
        <f aca="false">IFERROR(IF(OR(HLOOKUP($A117,#REF!,19,FALSE())&gt;2,HLOOKUP($A117,#REF!,19,FALSE())&lt;-2),"",#REF!),"")</f>
        <v/>
      </c>
      <c r="V117" s="0" t="n">
        <f aca="false">IFERROR(IF(AND(X117=0,Y117=0),0,1),0)</f>
        <v>1</v>
      </c>
      <c r="W117" s="3" t="str">
        <f aca="false">IFERROR(_xlfn.T.TEST(E117:M117,N117:U117,2,2),"")</f>
        <v/>
      </c>
      <c r="X117" s="0" t="str">
        <f aca="false">IFERROR(AVERAGE(E117:M117),"")</f>
        <v/>
      </c>
      <c r="Y117" s="0" t="str">
        <f aca="false">IFERROR(AVERAGE(N117:U117),"")</f>
        <v/>
      </c>
    </row>
    <row r="118" customFormat="false" ht="14.5" hidden="false" customHeight="false" outlineLevel="0" collapsed="false">
      <c r="A118" s="0" t="n">
        <v>120</v>
      </c>
      <c r="B118" s="0" t="s">
        <v>208</v>
      </c>
      <c r="C118" s="0" t="n">
        <v>24100</v>
      </c>
      <c r="D118" s="0" t="n">
        <v>111</v>
      </c>
      <c r="E118" s="0" t="str">
        <f aca="false">IFERROR(IF(OR(HLOOKUP($A118,#REF!,3,FALSE())&gt;2,HLOOKUP(A118,#REF!,3,FALSE())&lt;-2),"",#REF!),"")</f>
        <v/>
      </c>
      <c r="F118" s="0" t="str">
        <f aca="false">IFERROR(IF(OR(HLOOKUP($A118,#REF!,4,FALSE())&gt;2,HLOOKUP($A118,#REF!,4,FALSE())&lt;-2),"",#REF!),"")</f>
        <v/>
      </c>
      <c r="G118" s="0" t="str">
        <f aca="false">IFERROR(IF(OR(HLOOKUP($A118,#REF!,5,FALSE())&gt;2,HLOOKUP($A118,#REF!,5,FALSE())&lt;-2),"",#REF!),"")</f>
        <v/>
      </c>
      <c r="H118" s="0" t="str">
        <f aca="false">IFERROR(IF(OR(HLOOKUP($A118,#REF!,6,FALSE())&gt;2,HLOOKUP($A118,#REF!,6,FALSE())&lt;-2),"",#REF!),"")</f>
        <v/>
      </c>
      <c r="I118" s="0" t="str">
        <f aca="false">IFERROR(IF(OR(HLOOKUP($A118,#REF!,7,FALSE())&gt;2,HLOOKUP($A118,#REF!,7,FALSE())&lt;-2),"",#REF!),"")</f>
        <v/>
      </c>
      <c r="J118" s="0" t="str">
        <f aca="false">IFERROR(IF(OR(HLOOKUP($A118,#REF!,8,FALSE())&gt;2,HLOOKUP($A118,#REF!,8,FALSE())&lt;-2),"",#REF!),"")</f>
        <v/>
      </c>
      <c r="K118" s="0" t="str">
        <f aca="false">IFERROR(IF(OR(HLOOKUP($A118,#REF!,9,FALSE())&gt;2,HLOOKUP($A118,#REF!,9,FALSE())&lt;-2),"",#REF!),"")</f>
        <v/>
      </c>
      <c r="L118" s="0" t="str">
        <f aca="false">IFERROR(IF(OR(HLOOKUP($A118,#REF!,10,FALSE())&gt;2,HLOOKUP($A118,#REF!,10,FALSE())&lt;-2),"",#REF!),"")</f>
        <v/>
      </c>
      <c r="M118" s="0" t="str">
        <f aca="false">IFERROR(IF(OR(HLOOKUP($A118,#REF!,11,FALSE())&gt;2,HLOOKUP($A118,#REF!,11,FALSE())&lt;-2),"",#REF!),"")</f>
        <v/>
      </c>
      <c r="N118" s="0" t="str">
        <f aca="false">IFERROR(IF(OR(HLOOKUP($A118,#REF!,12,FALSE())&gt;2,HLOOKUP($A118,#REF!,12,FALSE())&lt;-2),"",#REF!),"")</f>
        <v/>
      </c>
      <c r="O118" s="0" t="str">
        <f aca="false">IFERROR(IF(OR(HLOOKUP($A118,#REF!,13,FALSE())&gt;2,HLOOKUP($A118,#REF!,13,FALSE())&lt;-2),"",#REF!),"")</f>
        <v/>
      </c>
      <c r="P118" s="0" t="str">
        <f aca="false">IFERROR(IF(OR(HLOOKUP($A118,#REF!,14,FALSE())&gt;2,HLOOKUP($A118,#REF!,14,FALSE())&lt;-2),"",#REF!),"")</f>
        <v/>
      </c>
      <c r="Q118" s="0" t="str">
        <f aca="false">IFERROR(IF(OR(HLOOKUP($A118,#REF!,15,FALSE())&gt;2,HLOOKUP($A118,#REF!,15,FALSE())&lt;-2),"",#REF!),"")</f>
        <v/>
      </c>
      <c r="R118" s="0" t="str">
        <f aca="false">IFERROR(IF(OR(HLOOKUP($A118,#REF!,16,FALSE())&gt;2,HLOOKUP($A118,#REF!,16,FALSE())&lt;-2),"",#REF!),"")</f>
        <v/>
      </c>
      <c r="S118" s="0" t="str">
        <f aca="false">IFERROR(IF(OR(HLOOKUP($A118,#REF!,17,FALSE())&gt;2,HLOOKUP($A118,#REF!,17,FALSE())&lt;-2),"",#REF!),"")</f>
        <v/>
      </c>
      <c r="T118" s="0" t="str">
        <f aca="false">IFERROR(IF(OR(HLOOKUP($A118,#REF!,18,FALSE())&gt;2,HLOOKUP($A118,#REF!,18,FALSE())&lt;-2),"",#REF!),"")</f>
        <v/>
      </c>
      <c r="U118" s="0" t="str">
        <f aca="false">IFERROR(IF(OR(HLOOKUP($A118,#REF!,19,FALSE())&gt;2,HLOOKUP($A118,#REF!,19,FALSE())&lt;-2),"",#REF!),"")</f>
        <v/>
      </c>
      <c r="V118" s="0" t="n">
        <f aca="false">IFERROR(IF(AND(X118=0,Y118=0),0,1),0)</f>
        <v>1</v>
      </c>
      <c r="W118" s="3" t="str">
        <f aca="false">IFERROR(_xlfn.T.TEST(E118:M118,N118:U118,2,2),"")</f>
        <v/>
      </c>
      <c r="X118" s="0" t="str">
        <f aca="false">IFERROR(AVERAGE(E118:M118),"")</f>
        <v/>
      </c>
      <c r="Y118" s="0" t="str">
        <f aca="false">IFERROR(AVERAGE(N118:U118),"")</f>
        <v/>
      </c>
    </row>
    <row r="119" customFormat="false" ht="14.5" hidden="false" customHeight="false" outlineLevel="0" collapsed="false">
      <c r="A119" s="0" t="n">
        <v>121</v>
      </c>
      <c r="B119" s="0" t="s">
        <v>209</v>
      </c>
      <c r="C119" s="0" t="n">
        <v>16100</v>
      </c>
      <c r="D119" s="0" t="n">
        <v>409</v>
      </c>
      <c r="E119" s="0" t="str">
        <f aca="false">IFERROR(IF(OR(HLOOKUP($A119,#REF!,3,FALSE())&gt;2,HLOOKUP(A119,#REF!,3,FALSE())&lt;-2),"",#REF!),"")</f>
        <v/>
      </c>
      <c r="F119" s="0" t="str">
        <f aca="false">IFERROR(IF(OR(HLOOKUP($A119,#REF!,4,FALSE())&gt;2,HLOOKUP($A119,#REF!,4,FALSE())&lt;-2),"",#REF!),"")</f>
        <v/>
      </c>
      <c r="G119" s="0" t="str">
        <f aca="false">IFERROR(IF(OR(HLOOKUP($A119,#REF!,5,FALSE())&gt;2,HLOOKUP($A119,#REF!,5,FALSE())&lt;-2),"",#REF!),"")</f>
        <v/>
      </c>
      <c r="H119" s="0" t="str">
        <f aca="false">IFERROR(IF(OR(HLOOKUP($A119,#REF!,6,FALSE())&gt;2,HLOOKUP($A119,#REF!,6,FALSE())&lt;-2),"",#REF!),"")</f>
        <v/>
      </c>
      <c r="I119" s="0" t="str">
        <f aca="false">IFERROR(IF(OR(HLOOKUP($A119,#REF!,7,FALSE())&gt;2,HLOOKUP($A119,#REF!,7,FALSE())&lt;-2),"",#REF!),"")</f>
        <v/>
      </c>
      <c r="J119" s="0" t="str">
        <f aca="false">IFERROR(IF(OR(HLOOKUP($A119,#REF!,8,FALSE())&gt;2,HLOOKUP($A119,#REF!,8,FALSE())&lt;-2),"",#REF!),"")</f>
        <v/>
      </c>
      <c r="K119" s="0" t="str">
        <f aca="false">IFERROR(IF(OR(HLOOKUP($A119,#REF!,9,FALSE())&gt;2,HLOOKUP($A119,#REF!,9,FALSE())&lt;-2),"",#REF!),"")</f>
        <v/>
      </c>
      <c r="L119" s="0" t="str">
        <f aca="false">IFERROR(IF(OR(HLOOKUP($A119,#REF!,10,FALSE())&gt;2,HLOOKUP($A119,#REF!,10,FALSE())&lt;-2),"",#REF!),"")</f>
        <v/>
      </c>
      <c r="M119" s="0" t="str">
        <f aca="false">IFERROR(IF(OR(HLOOKUP($A119,#REF!,11,FALSE())&gt;2,HLOOKUP($A119,#REF!,11,FALSE())&lt;-2),"",#REF!),"")</f>
        <v/>
      </c>
      <c r="N119" s="0" t="str">
        <f aca="false">IFERROR(IF(OR(HLOOKUP($A119,#REF!,12,FALSE())&gt;2,HLOOKUP($A119,#REF!,12,FALSE())&lt;-2),"",#REF!),"")</f>
        <v/>
      </c>
      <c r="O119" s="0" t="str">
        <f aca="false">IFERROR(IF(OR(HLOOKUP($A119,#REF!,13,FALSE())&gt;2,HLOOKUP($A119,#REF!,13,FALSE())&lt;-2),"",#REF!),"")</f>
        <v/>
      </c>
      <c r="P119" s="0" t="str">
        <f aca="false">IFERROR(IF(OR(HLOOKUP($A119,#REF!,14,FALSE())&gt;2,HLOOKUP($A119,#REF!,14,FALSE())&lt;-2),"",#REF!),"")</f>
        <v/>
      </c>
      <c r="Q119" s="0" t="str">
        <f aca="false">IFERROR(IF(OR(HLOOKUP($A119,#REF!,15,FALSE())&gt;2,HLOOKUP($A119,#REF!,15,FALSE())&lt;-2),"",#REF!),"")</f>
        <v/>
      </c>
      <c r="R119" s="0" t="str">
        <f aca="false">IFERROR(IF(OR(HLOOKUP($A119,#REF!,16,FALSE())&gt;2,HLOOKUP($A119,#REF!,16,FALSE())&lt;-2),"",#REF!),"")</f>
        <v/>
      </c>
      <c r="S119" s="0" t="str">
        <f aca="false">IFERROR(IF(OR(HLOOKUP($A119,#REF!,17,FALSE())&gt;2,HLOOKUP($A119,#REF!,17,FALSE())&lt;-2),"",#REF!),"")</f>
        <v/>
      </c>
      <c r="T119" s="0" t="str">
        <f aca="false">IFERROR(IF(OR(HLOOKUP($A119,#REF!,18,FALSE())&gt;2,HLOOKUP($A119,#REF!,18,FALSE())&lt;-2),"",#REF!),"")</f>
        <v/>
      </c>
      <c r="U119" s="0" t="str">
        <f aca="false">IFERROR(IF(OR(HLOOKUP($A119,#REF!,19,FALSE())&gt;2,HLOOKUP($A119,#REF!,19,FALSE())&lt;-2),"",#REF!),"")</f>
        <v/>
      </c>
      <c r="V119" s="0" t="n">
        <f aca="false">IFERROR(IF(AND(X119=0,Y119=0),0,1),0)</f>
        <v>1</v>
      </c>
      <c r="W119" s="3" t="str">
        <f aca="false">IFERROR(_xlfn.T.TEST(E119:M119,N119:U119,2,2),"")</f>
        <v/>
      </c>
      <c r="X119" s="0" t="str">
        <f aca="false">IFERROR(AVERAGE(E119:M119),"")</f>
        <v/>
      </c>
      <c r="Y119" s="0" t="str">
        <f aca="false">IFERROR(AVERAGE(N119:U119),"")</f>
        <v/>
      </c>
    </row>
    <row r="120" customFormat="false" ht="14.5" hidden="false" customHeight="false" outlineLevel="0" collapsed="false">
      <c r="A120" s="0" t="n">
        <v>122</v>
      </c>
      <c r="B120" s="0" t="s">
        <v>210</v>
      </c>
      <c r="C120" s="0" t="n">
        <v>86700</v>
      </c>
      <c r="D120" s="0" t="n">
        <v>398</v>
      </c>
      <c r="E120" s="0" t="str">
        <f aca="false">IFERROR(IF(OR(HLOOKUP($A120,#REF!,3,FALSE())&gt;2,HLOOKUP(A120,#REF!,3,FALSE())&lt;-2),"",#REF!),"")</f>
        <v/>
      </c>
      <c r="F120" s="0" t="str">
        <f aca="false">IFERROR(IF(OR(HLOOKUP($A120,#REF!,4,FALSE())&gt;2,HLOOKUP($A120,#REF!,4,FALSE())&lt;-2),"",#REF!),"")</f>
        <v/>
      </c>
      <c r="G120" s="0" t="str">
        <f aca="false">IFERROR(IF(OR(HLOOKUP($A120,#REF!,5,FALSE())&gt;2,HLOOKUP($A120,#REF!,5,FALSE())&lt;-2),"",#REF!),"")</f>
        <v/>
      </c>
      <c r="H120" s="0" t="str">
        <f aca="false">IFERROR(IF(OR(HLOOKUP($A120,#REF!,6,FALSE())&gt;2,HLOOKUP($A120,#REF!,6,FALSE())&lt;-2),"",#REF!),"")</f>
        <v/>
      </c>
      <c r="I120" s="0" t="str">
        <f aca="false">IFERROR(IF(OR(HLOOKUP($A120,#REF!,7,FALSE())&gt;2,HLOOKUP($A120,#REF!,7,FALSE())&lt;-2),"",#REF!),"")</f>
        <v/>
      </c>
      <c r="J120" s="0" t="str">
        <f aca="false">IFERROR(IF(OR(HLOOKUP($A120,#REF!,8,FALSE())&gt;2,HLOOKUP($A120,#REF!,8,FALSE())&lt;-2),"",#REF!),"")</f>
        <v/>
      </c>
      <c r="K120" s="0" t="str">
        <f aca="false">IFERROR(IF(OR(HLOOKUP($A120,#REF!,9,FALSE())&gt;2,HLOOKUP($A120,#REF!,9,FALSE())&lt;-2),"",#REF!),"")</f>
        <v/>
      </c>
      <c r="L120" s="0" t="str">
        <f aca="false">IFERROR(IF(OR(HLOOKUP($A120,#REF!,10,FALSE())&gt;2,HLOOKUP($A120,#REF!,10,FALSE())&lt;-2),"",#REF!),"")</f>
        <v/>
      </c>
      <c r="M120" s="0" t="str">
        <f aca="false">IFERROR(IF(OR(HLOOKUP($A120,#REF!,11,FALSE())&gt;2,HLOOKUP($A120,#REF!,11,FALSE())&lt;-2),"",#REF!),"")</f>
        <v/>
      </c>
      <c r="N120" s="0" t="str">
        <f aca="false">IFERROR(IF(OR(HLOOKUP($A120,#REF!,12,FALSE())&gt;2,HLOOKUP($A120,#REF!,12,FALSE())&lt;-2),"",#REF!),"")</f>
        <v/>
      </c>
      <c r="O120" s="0" t="str">
        <f aca="false">IFERROR(IF(OR(HLOOKUP($A120,#REF!,13,FALSE())&gt;2,HLOOKUP($A120,#REF!,13,FALSE())&lt;-2),"",#REF!),"")</f>
        <v/>
      </c>
      <c r="P120" s="0" t="str">
        <f aca="false">IFERROR(IF(OR(HLOOKUP($A120,#REF!,14,FALSE())&gt;2,HLOOKUP($A120,#REF!,14,FALSE())&lt;-2),"",#REF!),"")</f>
        <v/>
      </c>
      <c r="Q120" s="0" t="str">
        <f aca="false">IFERROR(IF(OR(HLOOKUP($A120,#REF!,15,FALSE())&gt;2,HLOOKUP($A120,#REF!,15,FALSE())&lt;-2),"",#REF!),"")</f>
        <v/>
      </c>
      <c r="R120" s="0" t="str">
        <f aca="false">IFERROR(IF(OR(HLOOKUP($A120,#REF!,16,FALSE())&gt;2,HLOOKUP($A120,#REF!,16,FALSE())&lt;-2),"",#REF!),"")</f>
        <v/>
      </c>
      <c r="S120" s="0" t="str">
        <f aca="false">IFERROR(IF(OR(HLOOKUP($A120,#REF!,17,FALSE())&gt;2,HLOOKUP($A120,#REF!,17,FALSE())&lt;-2),"",#REF!),"")</f>
        <v/>
      </c>
      <c r="T120" s="0" t="str">
        <f aca="false">IFERROR(IF(OR(HLOOKUP($A120,#REF!,18,FALSE())&gt;2,HLOOKUP($A120,#REF!,18,FALSE())&lt;-2),"",#REF!),"")</f>
        <v/>
      </c>
      <c r="U120" s="0" t="str">
        <f aca="false">IFERROR(IF(OR(HLOOKUP($A120,#REF!,19,FALSE())&gt;2,HLOOKUP($A120,#REF!,19,FALSE())&lt;-2),"",#REF!),"")</f>
        <v/>
      </c>
      <c r="V120" s="0" t="n">
        <f aca="false">IFERROR(IF(AND(X120=0,Y120=0),0,1),0)</f>
        <v>1</v>
      </c>
      <c r="W120" s="3" t="str">
        <f aca="false">IFERROR(_xlfn.T.TEST(E120:M120,N120:U120,2,2),"")</f>
        <v/>
      </c>
      <c r="X120" s="0" t="str">
        <f aca="false">IFERROR(AVERAGE(E120:M120),"")</f>
        <v/>
      </c>
      <c r="Y120" s="0" t="str">
        <f aca="false">IFERROR(AVERAGE(N120:U120),"")</f>
        <v/>
      </c>
    </row>
    <row r="121" customFormat="false" ht="14.5" hidden="false" customHeight="false" outlineLevel="0" collapsed="false">
      <c r="A121" s="0" t="n">
        <v>123</v>
      </c>
      <c r="B121" s="0" t="s">
        <v>211</v>
      </c>
      <c r="C121" s="0" t="n">
        <v>85500</v>
      </c>
      <c r="D121" s="0" t="n">
        <v>867</v>
      </c>
      <c r="E121" s="0" t="str">
        <f aca="false">IFERROR(IF(OR(HLOOKUP($A121,#REF!,3,FALSE())&gt;2,HLOOKUP(A121,#REF!,3,FALSE())&lt;-2),"",#REF!),"")</f>
        <v/>
      </c>
      <c r="F121" s="0" t="str">
        <f aca="false">IFERROR(IF(OR(HLOOKUP($A121,#REF!,4,FALSE())&gt;2,HLOOKUP($A121,#REF!,4,FALSE())&lt;-2),"",#REF!),"")</f>
        <v/>
      </c>
      <c r="G121" s="0" t="str">
        <f aca="false">IFERROR(IF(OR(HLOOKUP($A121,#REF!,5,FALSE())&gt;2,HLOOKUP($A121,#REF!,5,FALSE())&lt;-2),"",#REF!),"")</f>
        <v/>
      </c>
      <c r="H121" s="0" t="str">
        <f aca="false">IFERROR(IF(OR(HLOOKUP($A121,#REF!,6,FALSE())&gt;2,HLOOKUP($A121,#REF!,6,FALSE())&lt;-2),"",#REF!),"")</f>
        <v/>
      </c>
      <c r="I121" s="0" t="str">
        <f aca="false">IFERROR(IF(OR(HLOOKUP($A121,#REF!,7,FALSE())&gt;2,HLOOKUP($A121,#REF!,7,FALSE())&lt;-2),"",#REF!),"")</f>
        <v/>
      </c>
      <c r="J121" s="0" t="str">
        <f aca="false">IFERROR(IF(OR(HLOOKUP($A121,#REF!,8,FALSE())&gt;2,HLOOKUP($A121,#REF!,8,FALSE())&lt;-2),"",#REF!),"")</f>
        <v/>
      </c>
      <c r="K121" s="0" t="str">
        <f aca="false">IFERROR(IF(OR(HLOOKUP($A121,#REF!,9,FALSE())&gt;2,HLOOKUP($A121,#REF!,9,FALSE())&lt;-2),"",#REF!),"")</f>
        <v/>
      </c>
      <c r="L121" s="0" t="str">
        <f aca="false">IFERROR(IF(OR(HLOOKUP($A121,#REF!,10,FALSE())&gt;2,HLOOKUP($A121,#REF!,10,FALSE())&lt;-2),"",#REF!),"")</f>
        <v/>
      </c>
      <c r="M121" s="0" t="str">
        <f aca="false">IFERROR(IF(OR(HLOOKUP($A121,#REF!,11,FALSE())&gt;2,HLOOKUP($A121,#REF!,11,FALSE())&lt;-2),"",#REF!),"")</f>
        <v/>
      </c>
      <c r="N121" s="0" t="str">
        <f aca="false">IFERROR(IF(OR(HLOOKUP($A121,#REF!,12,FALSE())&gt;2,HLOOKUP($A121,#REF!,12,FALSE())&lt;-2),"",#REF!),"")</f>
        <v/>
      </c>
      <c r="O121" s="0" t="str">
        <f aca="false">IFERROR(IF(OR(HLOOKUP($A121,#REF!,13,FALSE())&gt;2,HLOOKUP($A121,#REF!,13,FALSE())&lt;-2),"",#REF!),"")</f>
        <v/>
      </c>
      <c r="P121" s="0" t="str">
        <f aca="false">IFERROR(IF(OR(HLOOKUP($A121,#REF!,14,FALSE())&gt;2,HLOOKUP($A121,#REF!,14,FALSE())&lt;-2),"",#REF!),"")</f>
        <v/>
      </c>
      <c r="Q121" s="0" t="str">
        <f aca="false">IFERROR(IF(OR(HLOOKUP($A121,#REF!,15,FALSE())&gt;2,HLOOKUP($A121,#REF!,15,FALSE())&lt;-2),"",#REF!),"")</f>
        <v/>
      </c>
      <c r="R121" s="0" t="str">
        <f aca="false">IFERROR(IF(OR(HLOOKUP($A121,#REF!,16,FALSE())&gt;2,HLOOKUP($A121,#REF!,16,FALSE())&lt;-2),"",#REF!),"")</f>
        <v/>
      </c>
      <c r="S121" s="0" t="str">
        <f aca="false">IFERROR(IF(OR(HLOOKUP($A121,#REF!,17,FALSE())&gt;2,HLOOKUP($A121,#REF!,17,FALSE())&lt;-2),"",#REF!),"")</f>
        <v/>
      </c>
      <c r="T121" s="0" t="str">
        <f aca="false">IFERROR(IF(OR(HLOOKUP($A121,#REF!,18,FALSE())&gt;2,HLOOKUP($A121,#REF!,18,FALSE())&lt;-2),"",#REF!),"")</f>
        <v/>
      </c>
      <c r="U121" s="0" t="str">
        <f aca="false">IFERROR(IF(OR(HLOOKUP($A121,#REF!,19,FALSE())&gt;2,HLOOKUP($A121,#REF!,19,FALSE())&lt;-2),"",#REF!),"")</f>
        <v/>
      </c>
      <c r="V121" s="0" t="n">
        <f aca="false">IFERROR(IF(AND(X121=0,Y121=0),0,1),0)</f>
        <v>1</v>
      </c>
      <c r="W121" s="3" t="str">
        <f aca="false">IFERROR(_xlfn.T.TEST(E121:M121,N121:U121,2,2),"")</f>
        <v/>
      </c>
      <c r="X121" s="0" t="str">
        <f aca="false">IFERROR(AVERAGE(E121:M121),"")</f>
        <v/>
      </c>
      <c r="Y121" s="0" t="str">
        <f aca="false">IFERROR(AVERAGE(N121:U121),"")</f>
        <v/>
      </c>
    </row>
    <row r="122" customFormat="false" ht="14.5" hidden="false" customHeight="false" outlineLevel="0" collapsed="false">
      <c r="A122" s="0" t="n">
        <v>124</v>
      </c>
      <c r="B122" s="0" t="s">
        <v>212</v>
      </c>
      <c r="C122" s="0" t="n">
        <v>116400</v>
      </c>
      <c r="D122" s="0" t="n">
        <v>73</v>
      </c>
      <c r="E122" s="0" t="str">
        <f aca="false">IFERROR(IF(OR(HLOOKUP($A122,#REF!,3,FALSE())&gt;2,HLOOKUP(A122,#REF!,3,FALSE())&lt;-2),"",#REF!),"")</f>
        <v/>
      </c>
      <c r="F122" s="0" t="str">
        <f aca="false">IFERROR(IF(OR(HLOOKUP($A122,#REF!,4,FALSE())&gt;2,HLOOKUP($A122,#REF!,4,FALSE())&lt;-2),"",#REF!),"")</f>
        <v/>
      </c>
      <c r="G122" s="0" t="str">
        <f aca="false">IFERROR(IF(OR(HLOOKUP($A122,#REF!,5,FALSE())&gt;2,HLOOKUP($A122,#REF!,5,FALSE())&lt;-2),"",#REF!),"")</f>
        <v/>
      </c>
      <c r="H122" s="0" t="str">
        <f aca="false">IFERROR(IF(OR(HLOOKUP($A122,#REF!,6,FALSE())&gt;2,HLOOKUP($A122,#REF!,6,FALSE())&lt;-2),"",#REF!),"")</f>
        <v/>
      </c>
      <c r="I122" s="0" t="str">
        <f aca="false">IFERROR(IF(OR(HLOOKUP($A122,#REF!,7,FALSE())&gt;2,HLOOKUP($A122,#REF!,7,FALSE())&lt;-2),"",#REF!),"")</f>
        <v/>
      </c>
      <c r="J122" s="0" t="str">
        <f aca="false">IFERROR(IF(OR(HLOOKUP($A122,#REF!,8,FALSE())&gt;2,HLOOKUP($A122,#REF!,8,FALSE())&lt;-2),"",#REF!),"")</f>
        <v/>
      </c>
      <c r="K122" s="0" t="str">
        <f aca="false">IFERROR(IF(OR(HLOOKUP($A122,#REF!,9,FALSE())&gt;2,HLOOKUP($A122,#REF!,9,FALSE())&lt;-2),"",#REF!),"")</f>
        <v/>
      </c>
      <c r="L122" s="0" t="str">
        <f aca="false">IFERROR(IF(OR(HLOOKUP($A122,#REF!,10,FALSE())&gt;2,HLOOKUP($A122,#REF!,10,FALSE())&lt;-2),"",#REF!),"")</f>
        <v/>
      </c>
      <c r="M122" s="0" t="str">
        <f aca="false">IFERROR(IF(OR(HLOOKUP($A122,#REF!,11,FALSE())&gt;2,HLOOKUP($A122,#REF!,11,FALSE())&lt;-2),"",#REF!),"")</f>
        <v/>
      </c>
      <c r="N122" s="0" t="str">
        <f aca="false">IFERROR(IF(OR(HLOOKUP($A122,#REF!,12,FALSE())&gt;2,HLOOKUP($A122,#REF!,12,FALSE())&lt;-2),"",#REF!),"")</f>
        <v/>
      </c>
      <c r="O122" s="0" t="str">
        <f aca="false">IFERROR(IF(OR(HLOOKUP($A122,#REF!,13,FALSE())&gt;2,HLOOKUP($A122,#REF!,13,FALSE())&lt;-2),"",#REF!),"")</f>
        <v/>
      </c>
      <c r="P122" s="0" t="str">
        <f aca="false">IFERROR(IF(OR(HLOOKUP($A122,#REF!,14,FALSE())&gt;2,HLOOKUP($A122,#REF!,14,FALSE())&lt;-2),"",#REF!),"")</f>
        <v/>
      </c>
      <c r="Q122" s="0" t="str">
        <f aca="false">IFERROR(IF(OR(HLOOKUP($A122,#REF!,15,FALSE())&gt;2,HLOOKUP($A122,#REF!,15,FALSE())&lt;-2),"",#REF!),"")</f>
        <v/>
      </c>
      <c r="R122" s="0" t="str">
        <f aca="false">IFERROR(IF(OR(HLOOKUP($A122,#REF!,16,FALSE())&gt;2,HLOOKUP($A122,#REF!,16,FALSE())&lt;-2),"",#REF!),"")</f>
        <v/>
      </c>
      <c r="S122" s="0" t="str">
        <f aca="false">IFERROR(IF(OR(HLOOKUP($A122,#REF!,17,FALSE())&gt;2,HLOOKUP($A122,#REF!,17,FALSE())&lt;-2),"",#REF!),"")</f>
        <v/>
      </c>
      <c r="T122" s="0" t="str">
        <f aca="false">IFERROR(IF(OR(HLOOKUP($A122,#REF!,18,FALSE())&gt;2,HLOOKUP($A122,#REF!,18,FALSE())&lt;-2),"",#REF!),"")</f>
        <v/>
      </c>
      <c r="U122" s="0" t="str">
        <f aca="false">IFERROR(IF(OR(HLOOKUP($A122,#REF!,19,FALSE())&gt;2,HLOOKUP($A122,#REF!,19,FALSE())&lt;-2),"",#REF!),"")</f>
        <v/>
      </c>
      <c r="V122" s="0" t="n">
        <f aca="false">IFERROR(IF(AND(X122=0,Y122=0),0,1),0)</f>
        <v>1</v>
      </c>
      <c r="W122" s="3" t="str">
        <f aca="false">IFERROR(_xlfn.T.TEST(E122:M122,N122:U122,2,2),"")</f>
        <v/>
      </c>
      <c r="X122" s="0" t="str">
        <f aca="false">IFERROR(AVERAGE(E122:M122),"")</f>
        <v/>
      </c>
      <c r="Y122" s="0" t="str">
        <f aca="false">IFERROR(AVERAGE(N122:U122),"")</f>
        <v/>
      </c>
    </row>
    <row r="123" customFormat="false" ht="14.5" hidden="false" customHeight="false" outlineLevel="0" collapsed="false">
      <c r="A123" s="0" t="n">
        <v>125</v>
      </c>
      <c r="B123" s="0" t="s">
        <v>213</v>
      </c>
      <c r="C123" s="0" t="n">
        <v>98800</v>
      </c>
      <c r="D123" s="0" t="n">
        <v>848</v>
      </c>
      <c r="E123" s="0" t="str">
        <f aca="false">IFERROR(IF(OR(HLOOKUP($A123,#REF!,3,FALSE())&gt;2,HLOOKUP(A123,#REF!,3,FALSE())&lt;-2),"",#REF!),"")</f>
        <v/>
      </c>
      <c r="F123" s="0" t="str">
        <f aca="false">IFERROR(IF(OR(HLOOKUP($A123,#REF!,4,FALSE())&gt;2,HLOOKUP($A123,#REF!,4,FALSE())&lt;-2),"",#REF!),"")</f>
        <v/>
      </c>
      <c r="G123" s="0" t="str">
        <f aca="false">IFERROR(IF(OR(HLOOKUP($A123,#REF!,5,FALSE())&gt;2,HLOOKUP($A123,#REF!,5,FALSE())&lt;-2),"",#REF!),"")</f>
        <v/>
      </c>
      <c r="H123" s="0" t="str">
        <f aca="false">IFERROR(IF(OR(HLOOKUP($A123,#REF!,6,FALSE())&gt;2,HLOOKUP($A123,#REF!,6,FALSE())&lt;-2),"",#REF!),"")</f>
        <v/>
      </c>
      <c r="I123" s="0" t="str">
        <f aca="false">IFERROR(IF(OR(HLOOKUP($A123,#REF!,7,FALSE())&gt;2,HLOOKUP($A123,#REF!,7,FALSE())&lt;-2),"",#REF!),"")</f>
        <v/>
      </c>
      <c r="J123" s="0" t="str">
        <f aca="false">IFERROR(IF(OR(HLOOKUP($A123,#REF!,8,FALSE())&gt;2,HLOOKUP($A123,#REF!,8,FALSE())&lt;-2),"",#REF!),"")</f>
        <v/>
      </c>
      <c r="K123" s="0" t="str">
        <f aca="false">IFERROR(IF(OR(HLOOKUP($A123,#REF!,9,FALSE())&gt;2,HLOOKUP($A123,#REF!,9,FALSE())&lt;-2),"",#REF!),"")</f>
        <v/>
      </c>
      <c r="L123" s="0" t="str">
        <f aca="false">IFERROR(IF(OR(HLOOKUP($A123,#REF!,10,FALSE())&gt;2,HLOOKUP($A123,#REF!,10,FALSE())&lt;-2),"",#REF!),"")</f>
        <v/>
      </c>
      <c r="M123" s="0" t="str">
        <f aca="false">IFERROR(IF(OR(HLOOKUP($A123,#REF!,11,FALSE())&gt;2,HLOOKUP($A123,#REF!,11,FALSE())&lt;-2),"",#REF!),"")</f>
        <v/>
      </c>
      <c r="N123" s="0" t="str">
        <f aca="false">IFERROR(IF(OR(HLOOKUP($A123,#REF!,12,FALSE())&gt;2,HLOOKUP($A123,#REF!,12,FALSE())&lt;-2),"",#REF!),"")</f>
        <v/>
      </c>
      <c r="O123" s="0" t="str">
        <f aca="false">IFERROR(IF(OR(HLOOKUP($A123,#REF!,13,FALSE())&gt;2,HLOOKUP($A123,#REF!,13,FALSE())&lt;-2),"",#REF!),"")</f>
        <v/>
      </c>
      <c r="P123" s="0" t="str">
        <f aca="false">IFERROR(IF(OR(HLOOKUP($A123,#REF!,14,FALSE())&gt;2,HLOOKUP($A123,#REF!,14,FALSE())&lt;-2),"",#REF!),"")</f>
        <v/>
      </c>
      <c r="Q123" s="0" t="str">
        <f aca="false">IFERROR(IF(OR(HLOOKUP($A123,#REF!,15,FALSE())&gt;2,HLOOKUP($A123,#REF!,15,FALSE())&lt;-2),"",#REF!),"")</f>
        <v/>
      </c>
      <c r="R123" s="0" t="str">
        <f aca="false">IFERROR(IF(OR(HLOOKUP($A123,#REF!,16,FALSE())&gt;2,HLOOKUP($A123,#REF!,16,FALSE())&lt;-2),"",#REF!),"")</f>
        <v/>
      </c>
      <c r="S123" s="0" t="str">
        <f aca="false">IFERROR(IF(OR(HLOOKUP($A123,#REF!,17,FALSE())&gt;2,HLOOKUP($A123,#REF!,17,FALSE())&lt;-2),"",#REF!),"")</f>
        <v/>
      </c>
      <c r="T123" s="0" t="str">
        <f aca="false">IFERROR(IF(OR(HLOOKUP($A123,#REF!,18,FALSE())&gt;2,HLOOKUP($A123,#REF!,18,FALSE())&lt;-2),"",#REF!),"")</f>
        <v/>
      </c>
      <c r="U123" s="0" t="str">
        <f aca="false">IFERROR(IF(OR(HLOOKUP($A123,#REF!,19,FALSE())&gt;2,HLOOKUP($A123,#REF!,19,FALSE())&lt;-2),"",#REF!),"")</f>
        <v/>
      </c>
      <c r="V123" s="0" t="n">
        <f aca="false">IFERROR(IF(AND(X123=0,Y123=0),0,1),0)</f>
        <v>1</v>
      </c>
      <c r="W123" s="3" t="str">
        <f aca="false">IFERROR(_xlfn.T.TEST(E123:M123,N123:U123,2,2),"")</f>
        <v/>
      </c>
      <c r="X123" s="0" t="str">
        <f aca="false">IFERROR(AVERAGE(E123:M123),"")</f>
        <v/>
      </c>
      <c r="Y123" s="0" t="str">
        <f aca="false">IFERROR(AVERAGE(N123:U123),"")</f>
        <v/>
      </c>
    </row>
    <row r="124" customFormat="false" ht="14.5" hidden="false" customHeight="false" outlineLevel="0" collapsed="false">
      <c r="A124" s="0" t="n">
        <v>126</v>
      </c>
      <c r="B124" s="0" t="s">
        <v>214</v>
      </c>
      <c r="C124" s="0" t="n">
        <v>73400</v>
      </c>
      <c r="D124" s="0" t="n">
        <v>141</v>
      </c>
      <c r="E124" s="0" t="str">
        <f aca="false">IFERROR(IF(OR(HLOOKUP($A124,#REF!,3,FALSE())&gt;2,HLOOKUP(A124,#REF!,3,FALSE())&lt;-2),"",#REF!),"")</f>
        <v/>
      </c>
      <c r="F124" s="0" t="str">
        <f aca="false">IFERROR(IF(OR(HLOOKUP($A124,#REF!,4,FALSE())&gt;2,HLOOKUP($A124,#REF!,4,FALSE())&lt;-2),"",#REF!),"")</f>
        <v/>
      </c>
      <c r="G124" s="0" t="str">
        <f aca="false">IFERROR(IF(OR(HLOOKUP($A124,#REF!,5,FALSE())&gt;2,HLOOKUP($A124,#REF!,5,FALSE())&lt;-2),"",#REF!),"")</f>
        <v/>
      </c>
      <c r="H124" s="0" t="str">
        <f aca="false">IFERROR(IF(OR(HLOOKUP($A124,#REF!,6,FALSE())&gt;2,HLOOKUP($A124,#REF!,6,FALSE())&lt;-2),"",#REF!),"")</f>
        <v/>
      </c>
      <c r="I124" s="0" t="str">
        <f aca="false">IFERROR(IF(OR(HLOOKUP($A124,#REF!,7,FALSE())&gt;2,HLOOKUP($A124,#REF!,7,FALSE())&lt;-2),"",#REF!),"")</f>
        <v/>
      </c>
      <c r="J124" s="0" t="str">
        <f aca="false">IFERROR(IF(OR(HLOOKUP($A124,#REF!,8,FALSE())&gt;2,HLOOKUP($A124,#REF!,8,FALSE())&lt;-2),"",#REF!),"")</f>
        <v/>
      </c>
      <c r="K124" s="0" t="str">
        <f aca="false">IFERROR(IF(OR(HLOOKUP($A124,#REF!,9,FALSE())&gt;2,HLOOKUP($A124,#REF!,9,FALSE())&lt;-2),"",#REF!),"")</f>
        <v/>
      </c>
      <c r="L124" s="0" t="str">
        <f aca="false">IFERROR(IF(OR(HLOOKUP($A124,#REF!,10,FALSE())&gt;2,HLOOKUP($A124,#REF!,10,FALSE())&lt;-2),"",#REF!),"")</f>
        <v/>
      </c>
      <c r="M124" s="0" t="str">
        <f aca="false">IFERROR(IF(OR(HLOOKUP($A124,#REF!,11,FALSE())&gt;2,HLOOKUP($A124,#REF!,11,FALSE())&lt;-2),"",#REF!),"")</f>
        <v/>
      </c>
      <c r="N124" s="0" t="str">
        <f aca="false">IFERROR(IF(OR(HLOOKUP($A124,#REF!,12,FALSE())&gt;2,HLOOKUP($A124,#REF!,12,FALSE())&lt;-2),"",#REF!),"")</f>
        <v/>
      </c>
      <c r="O124" s="0" t="str">
        <f aca="false">IFERROR(IF(OR(HLOOKUP($A124,#REF!,13,FALSE())&gt;2,HLOOKUP($A124,#REF!,13,FALSE())&lt;-2),"",#REF!),"")</f>
        <v/>
      </c>
      <c r="P124" s="0" t="str">
        <f aca="false">IFERROR(IF(OR(HLOOKUP($A124,#REF!,14,FALSE())&gt;2,HLOOKUP($A124,#REF!,14,FALSE())&lt;-2),"",#REF!),"")</f>
        <v/>
      </c>
      <c r="Q124" s="0" t="str">
        <f aca="false">IFERROR(IF(OR(HLOOKUP($A124,#REF!,15,FALSE())&gt;2,HLOOKUP($A124,#REF!,15,FALSE())&lt;-2),"",#REF!),"")</f>
        <v/>
      </c>
      <c r="R124" s="0" t="str">
        <f aca="false">IFERROR(IF(OR(HLOOKUP($A124,#REF!,16,FALSE())&gt;2,HLOOKUP($A124,#REF!,16,FALSE())&lt;-2),"",#REF!),"")</f>
        <v/>
      </c>
      <c r="S124" s="0" t="str">
        <f aca="false">IFERROR(IF(OR(HLOOKUP($A124,#REF!,17,FALSE())&gt;2,HLOOKUP($A124,#REF!,17,FALSE())&lt;-2),"",#REF!),"")</f>
        <v/>
      </c>
      <c r="T124" s="0" t="str">
        <f aca="false">IFERROR(IF(OR(HLOOKUP($A124,#REF!,18,FALSE())&gt;2,HLOOKUP($A124,#REF!,18,FALSE())&lt;-2),"",#REF!),"")</f>
        <v/>
      </c>
      <c r="U124" s="0" t="str">
        <f aca="false">IFERROR(IF(OR(HLOOKUP($A124,#REF!,19,FALSE())&gt;2,HLOOKUP($A124,#REF!,19,FALSE())&lt;-2),"",#REF!),"")</f>
        <v/>
      </c>
      <c r="V124" s="0" t="n">
        <f aca="false">IFERROR(IF(AND(X124=0,Y124=0),0,1),0)</f>
        <v>1</v>
      </c>
      <c r="W124" s="3" t="str">
        <f aca="false">IFERROR(_xlfn.T.TEST(E124:M124,N124:U124,2,2),"")</f>
        <v/>
      </c>
      <c r="X124" s="0" t="str">
        <f aca="false">IFERROR(AVERAGE(E124:M124),"")</f>
        <v/>
      </c>
      <c r="Y124" s="0" t="str">
        <f aca="false">IFERROR(AVERAGE(N124:U124),"")</f>
        <v/>
      </c>
    </row>
    <row r="125" customFormat="false" ht="14.5" hidden="false" customHeight="false" outlineLevel="0" collapsed="false">
      <c r="A125" s="0" t="n">
        <v>127</v>
      </c>
      <c r="B125" s="0" t="s">
        <v>215</v>
      </c>
      <c r="C125" s="0" t="n">
        <v>66400</v>
      </c>
      <c r="D125" s="0" t="n">
        <v>239</v>
      </c>
      <c r="E125" s="0" t="str">
        <f aca="false">IFERROR(IF(OR(HLOOKUP($A125,#REF!,3,FALSE())&gt;2,HLOOKUP(A125,#REF!,3,FALSE())&lt;-2),"",#REF!),"")</f>
        <v/>
      </c>
      <c r="F125" s="0" t="str">
        <f aca="false">IFERROR(IF(OR(HLOOKUP($A125,#REF!,4,FALSE())&gt;2,HLOOKUP($A125,#REF!,4,FALSE())&lt;-2),"",#REF!),"")</f>
        <v/>
      </c>
      <c r="G125" s="0" t="str">
        <f aca="false">IFERROR(IF(OR(HLOOKUP($A125,#REF!,5,FALSE())&gt;2,HLOOKUP($A125,#REF!,5,FALSE())&lt;-2),"",#REF!),"")</f>
        <v/>
      </c>
      <c r="H125" s="0" t="str">
        <f aca="false">IFERROR(IF(OR(HLOOKUP($A125,#REF!,6,FALSE())&gt;2,HLOOKUP($A125,#REF!,6,FALSE())&lt;-2),"",#REF!),"")</f>
        <v/>
      </c>
      <c r="I125" s="0" t="str">
        <f aca="false">IFERROR(IF(OR(HLOOKUP($A125,#REF!,7,FALSE())&gt;2,HLOOKUP($A125,#REF!,7,FALSE())&lt;-2),"",#REF!),"")</f>
        <v/>
      </c>
      <c r="J125" s="0" t="str">
        <f aca="false">IFERROR(IF(OR(HLOOKUP($A125,#REF!,8,FALSE())&gt;2,HLOOKUP($A125,#REF!,8,FALSE())&lt;-2),"",#REF!),"")</f>
        <v/>
      </c>
      <c r="K125" s="0" t="str">
        <f aca="false">IFERROR(IF(OR(HLOOKUP($A125,#REF!,9,FALSE())&gt;2,HLOOKUP($A125,#REF!,9,FALSE())&lt;-2),"",#REF!),"")</f>
        <v/>
      </c>
      <c r="L125" s="0" t="str">
        <f aca="false">IFERROR(IF(OR(HLOOKUP($A125,#REF!,10,FALSE())&gt;2,HLOOKUP($A125,#REF!,10,FALSE())&lt;-2),"",#REF!),"")</f>
        <v/>
      </c>
      <c r="M125" s="0" t="str">
        <f aca="false">IFERROR(IF(OR(HLOOKUP($A125,#REF!,11,FALSE())&gt;2,HLOOKUP($A125,#REF!,11,FALSE())&lt;-2),"",#REF!),"")</f>
        <v/>
      </c>
      <c r="N125" s="0" t="str">
        <f aca="false">IFERROR(IF(OR(HLOOKUP($A125,#REF!,12,FALSE())&gt;2,HLOOKUP($A125,#REF!,12,FALSE())&lt;-2),"",#REF!),"")</f>
        <v/>
      </c>
      <c r="O125" s="0" t="str">
        <f aca="false">IFERROR(IF(OR(HLOOKUP($A125,#REF!,13,FALSE())&gt;2,HLOOKUP($A125,#REF!,13,FALSE())&lt;-2),"",#REF!),"")</f>
        <v/>
      </c>
      <c r="P125" s="0" t="str">
        <f aca="false">IFERROR(IF(OR(HLOOKUP($A125,#REF!,14,FALSE())&gt;2,HLOOKUP($A125,#REF!,14,FALSE())&lt;-2),"",#REF!),"")</f>
        <v/>
      </c>
      <c r="Q125" s="0" t="str">
        <f aca="false">IFERROR(IF(OR(HLOOKUP($A125,#REF!,15,FALSE())&gt;2,HLOOKUP($A125,#REF!,15,FALSE())&lt;-2),"",#REF!),"")</f>
        <v/>
      </c>
      <c r="R125" s="0" t="str">
        <f aca="false">IFERROR(IF(OR(HLOOKUP($A125,#REF!,16,FALSE())&gt;2,HLOOKUP($A125,#REF!,16,FALSE())&lt;-2),"",#REF!),"")</f>
        <v/>
      </c>
      <c r="S125" s="0" t="str">
        <f aca="false">IFERROR(IF(OR(HLOOKUP($A125,#REF!,17,FALSE())&gt;2,HLOOKUP($A125,#REF!,17,FALSE())&lt;-2),"",#REF!),"")</f>
        <v/>
      </c>
      <c r="T125" s="0" t="str">
        <f aca="false">IFERROR(IF(OR(HLOOKUP($A125,#REF!,18,FALSE())&gt;2,HLOOKUP($A125,#REF!,18,FALSE())&lt;-2),"",#REF!),"")</f>
        <v/>
      </c>
      <c r="U125" s="0" t="str">
        <f aca="false">IFERROR(IF(OR(HLOOKUP($A125,#REF!,19,FALSE())&gt;2,HLOOKUP($A125,#REF!,19,FALSE())&lt;-2),"",#REF!),"")</f>
        <v/>
      </c>
      <c r="V125" s="0" t="n">
        <f aca="false">IFERROR(IF(AND(X125=0,Y125=0),0,1),0)</f>
        <v>1</v>
      </c>
      <c r="W125" s="3" t="str">
        <f aca="false">IFERROR(_xlfn.T.TEST(E125:M125,N125:U125,2,2),"")</f>
        <v/>
      </c>
      <c r="X125" s="0" t="str">
        <f aca="false">IFERROR(AVERAGE(E125:M125),"")</f>
        <v/>
      </c>
      <c r="Y125" s="0" t="str">
        <f aca="false">IFERROR(AVERAGE(N125:U125),"")</f>
        <v/>
      </c>
    </row>
    <row r="126" customFormat="false" ht="14.5" hidden="false" customHeight="false" outlineLevel="0" collapsed="false">
      <c r="A126" s="0" t="n">
        <v>128</v>
      </c>
      <c r="B126" s="0" t="s">
        <v>216</v>
      </c>
      <c r="C126" s="0" t="n">
        <v>80300</v>
      </c>
      <c r="D126" s="0" t="n">
        <v>323</v>
      </c>
      <c r="E126" s="0" t="str">
        <f aca="false">IFERROR(IF(OR(HLOOKUP($A126,#REF!,3,FALSE())&gt;2,HLOOKUP(A126,#REF!,3,FALSE())&lt;-2),"",#REF!),"")</f>
        <v/>
      </c>
      <c r="F126" s="0" t="str">
        <f aca="false">IFERROR(IF(OR(HLOOKUP($A126,#REF!,4,FALSE())&gt;2,HLOOKUP($A126,#REF!,4,FALSE())&lt;-2),"",#REF!),"")</f>
        <v/>
      </c>
      <c r="G126" s="0" t="str">
        <f aca="false">IFERROR(IF(OR(HLOOKUP($A126,#REF!,5,FALSE())&gt;2,HLOOKUP($A126,#REF!,5,FALSE())&lt;-2),"",#REF!),"")</f>
        <v/>
      </c>
      <c r="H126" s="0" t="str">
        <f aca="false">IFERROR(IF(OR(HLOOKUP($A126,#REF!,6,FALSE())&gt;2,HLOOKUP($A126,#REF!,6,FALSE())&lt;-2),"",#REF!),"")</f>
        <v/>
      </c>
      <c r="I126" s="0" t="str">
        <f aca="false">IFERROR(IF(OR(HLOOKUP($A126,#REF!,7,FALSE())&gt;2,HLOOKUP($A126,#REF!,7,FALSE())&lt;-2),"",#REF!),"")</f>
        <v/>
      </c>
      <c r="J126" s="0" t="str">
        <f aca="false">IFERROR(IF(OR(HLOOKUP($A126,#REF!,8,FALSE())&gt;2,HLOOKUP($A126,#REF!,8,FALSE())&lt;-2),"",#REF!),"")</f>
        <v/>
      </c>
      <c r="K126" s="0" t="str">
        <f aca="false">IFERROR(IF(OR(HLOOKUP($A126,#REF!,9,FALSE())&gt;2,HLOOKUP($A126,#REF!,9,FALSE())&lt;-2),"",#REF!),"")</f>
        <v/>
      </c>
      <c r="L126" s="0" t="str">
        <f aca="false">IFERROR(IF(OR(HLOOKUP($A126,#REF!,10,FALSE())&gt;2,HLOOKUP($A126,#REF!,10,FALSE())&lt;-2),"",#REF!),"")</f>
        <v/>
      </c>
      <c r="M126" s="0" t="str">
        <f aca="false">IFERROR(IF(OR(HLOOKUP($A126,#REF!,11,FALSE())&gt;2,HLOOKUP($A126,#REF!,11,FALSE())&lt;-2),"",#REF!),"")</f>
        <v/>
      </c>
      <c r="N126" s="0" t="str">
        <f aca="false">IFERROR(IF(OR(HLOOKUP($A126,#REF!,12,FALSE())&gt;2,HLOOKUP($A126,#REF!,12,FALSE())&lt;-2),"",#REF!),"")</f>
        <v/>
      </c>
      <c r="O126" s="0" t="str">
        <f aca="false">IFERROR(IF(OR(HLOOKUP($A126,#REF!,13,FALSE())&gt;2,HLOOKUP($A126,#REF!,13,FALSE())&lt;-2),"",#REF!),"")</f>
        <v/>
      </c>
      <c r="P126" s="0" t="str">
        <f aca="false">IFERROR(IF(OR(HLOOKUP($A126,#REF!,14,FALSE())&gt;2,HLOOKUP($A126,#REF!,14,FALSE())&lt;-2),"",#REF!),"")</f>
        <v/>
      </c>
      <c r="Q126" s="0" t="str">
        <f aca="false">IFERROR(IF(OR(HLOOKUP($A126,#REF!,15,FALSE())&gt;2,HLOOKUP($A126,#REF!,15,FALSE())&lt;-2),"",#REF!),"")</f>
        <v/>
      </c>
      <c r="R126" s="0" t="str">
        <f aca="false">IFERROR(IF(OR(HLOOKUP($A126,#REF!,16,FALSE())&gt;2,HLOOKUP($A126,#REF!,16,FALSE())&lt;-2),"",#REF!),"")</f>
        <v/>
      </c>
      <c r="S126" s="0" t="str">
        <f aca="false">IFERROR(IF(OR(HLOOKUP($A126,#REF!,17,FALSE())&gt;2,HLOOKUP($A126,#REF!,17,FALSE())&lt;-2),"",#REF!),"")</f>
        <v/>
      </c>
      <c r="T126" s="0" t="str">
        <f aca="false">IFERROR(IF(OR(HLOOKUP($A126,#REF!,18,FALSE())&gt;2,HLOOKUP($A126,#REF!,18,FALSE())&lt;-2),"",#REF!),"")</f>
        <v/>
      </c>
      <c r="U126" s="0" t="str">
        <f aca="false">IFERROR(IF(OR(HLOOKUP($A126,#REF!,19,FALSE())&gt;2,HLOOKUP($A126,#REF!,19,FALSE())&lt;-2),"",#REF!),"")</f>
        <v/>
      </c>
      <c r="V126" s="0" t="n">
        <f aca="false">IFERROR(IF(AND(X126=0,Y126=0),0,1),0)</f>
        <v>1</v>
      </c>
      <c r="W126" s="3" t="str">
        <f aca="false">IFERROR(_xlfn.T.TEST(E126:M126,N126:U126,2,2),"")</f>
        <v/>
      </c>
      <c r="X126" s="0" t="str">
        <f aca="false">IFERROR(AVERAGE(E126:M126),"")</f>
        <v/>
      </c>
      <c r="Y126" s="0" t="str">
        <f aca="false">IFERROR(AVERAGE(N126:U126),"")</f>
        <v/>
      </c>
    </row>
    <row r="127" customFormat="false" ht="14.5" hidden="false" customHeight="false" outlineLevel="0" collapsed="false">
      <c r="A127" s="0" t="n">
        <v>129</v>
      </c>
      <c r="B127" s="0" t="s">
        <v>217</v>
      </c>
      <c r="C127" s="0" t="n">
        <v>116500</v>
      </c>
      <c r="D127" s="0" t="n">
        <v>73</v>
      </c>
      <c r="E127" s="0" t="str">
        <f aca="false">IFERROR(IF(OR(HLOOKUP($A127,#REF!,3,FALSE())&gt;2,HLOOKUP(A127,#REF!,3,FALSE())&lt;-2),"",#REF!),"")</f>
        <v/>
      </c>
      <c r="F127" s="0" t="str">
        <f aca="false">IFERROR(IF(OR(HLOOKUP($A127,#REF!,4,FALSE())&gt;2,HLOOKUP($A127,#REF!,4,FALSE())&lt;-2),"",#REF!),"")</f>
        <v/>
      </c>
      <c r="G127" s="0" t="str">
        <f aca="false">IFERROR(IF(OR(HLOOKUP($A127,#REF!,5,FALSE())&gt;2,HLOOKUP($A127,#REF!,5,FALSE())&lt;-2),"",#REF!),"")</f>
        <v/>
      </c>
      <c r="H127" s="0" t="str">
        <f aca="false">IFERROR(IF(OR(HLOOKUP($A127,#REF!,6,FALSE())&gt;2,HLOOKUP($A127,#REF!,6,FALSE())&lt;-2),"",#REF!),"")</f>
        <v/>
      </c>
      <c r="I127" s="0" t="str">
        <f aca="false">IFERROR(IF(OR(HLOOKUP($A127,#REF!,7,FALSE())&gt;2,HLOOKUP($A127,#REF!,7,FALSE())&lt;-2),"",#REF!),"")</f>
        <v/>
      </c>
      <c r="J127" s="0" t="str">
        <f aca="false">IFERROR(IF(OR(HLOOKUP($A127,#REF!,8,FALSE())&gt;2,HLOOKUP($A127,#REF!,8,FALSE())&lt;-2),"",#REF!),"")</f>
        <v/>
      </c>
      <c r="K127" s="0" t="str">
        <f aca="false">IFERROR(IF(OR(HLOOKUP($A127,#REF!,9,FALSE())&gt;2,HLOOKUP($A127,#REF!,9,FALSE())&lt;-2),"",#REF!),"")</f>
        <v/>
      </c>
      <c r="L127" s="0" t="str">
        <f aca="false">IFERROR(IF(OR(HLOOKUP($A127,#REF!,10,FALSE())&gt;2,HLOOKUP($A127,#REF!,10,FALSE())&lt;-2),"",#REF!),"")</f>
        <v/>
      </c>
      <c r="M127" s="0" t="str">
        <f aca="false">IFERROR(IF(OR(HLOOKUP($A127,#REF!,11,FALSE())&gt;2,HLOOKUP($A127,#REF!,11,FALSE())&lt;-2),"",#REF!),"")</f>
        <v/>
      </c>
      <c r="N127" s="0" t="str">
        <f aca="false">IFERROR(IF(OR(HLOOKUP($A127,#REF!,12,FALSE())&gt;2,HLOOKUP($A127,#REF!,12,FALSE())&lt;-2),"",#REF!),"")</f>
        <v/>
      </c>
      <c r="O127" s="0" t="str">
        <f aca="false">IFERROR(IF(OR(HLOOKUP($A127,#REF!,13,FALSE())&gt;2,HLOOKUP($A127,#REF!,13,FALSE())&lt;-2),"",#REF!),"")</f>
        <v/>
      </c>
      <c r="P127" s="0" t="str">
        <f aca="false">IFERROR(IF(OR(HLOOKUP($A127,#REF!,14,FALSE())&gt;2,HLOOKUP($A127,#REF!,14,FALSE())&lt;-2),"",#REF!),"")</f>
        <v/>
      </c>
      <c r="Q127" s="0" t="str">
        <f aca="false">IFERROR(IF(OR(HLOOKUP($A127,#REF!,15,FALSE())&gt;2,HLOOKUP($A127,#REF!,15,FALSE())&lt;-2),"",#REF!),"")</f>
        <v/>
      </c>
      <c r="R127" s="0" t="str">
        <f aca="false">IFERROR(IF(OR(HLOOKUP($A127,#REF!,16,FALSE())&gt;2,HLOOKUP($A127,#REF!,16,FALSE())&lt;-2),"",#REF!),"")</f>
        <v/>
      </c>
      <c r="S127" s="0" t="str">
        <f aca="false">IFERROR(IF(OR(HLOOKUP($A127,#REF!,17,FALSE())&gt;2,HLOOKUP($A127,#REF!,17,FALSE())&lt;-2),"",#REF!),"")</f>
        <v/>
      </c>
      <c r="T127" s="0" t="str">
        <f aca="false">IFERROR(IF(OR(HLOOKUP($A127,#REF!,18,FALSE())&gt;2,HLOOKUP($A127,#REF!,18,FALSE())&lt;-2),"",#REF!),"")</f>
        <v/>
      </c>
      <c r="U127" s="0" t="str">
        <f aca="false">IFERROR(IF(OR(HLOOKUP($A127,#REF!,19,FALSE())&gt;2,HLOOKUP($A127,#REF!,19,FALSE())&lt;-2),"",#REF!),"")</f>
        <v/>
      </c>
      <c r="V127" s="0" t="n">
        <f aca="false">IFERROR(IF(AND(X127=0,Y127=0),0,1),0)</f>
        <v>1</v>
      </c>
      <c r="W127" s="3" t="str">
        <f aca="false">IFERROR(_xlfn.T.TEST(E127:M127,N127:U127,2,2),"")</f>
        <v/>
      </c>
      <c r="X127" s="0" t="str">
        <f aca="false">IFERROR(AVERAGE(E127:M127),"")</f>
        <v/>
      </c>
      <c r="Y127" s="0" t="str">
        <f aca="false">IFERROR(AVERAGE(N127:U127),"")</f>
        <v/>
      </c>
    </row>
    <row r="128" customFormat="false" ht="14.5" hidden="false" customHeight="false" outlineLevel="0" collapsed="false">
      <c r="A128" s="0" t="n">
        <v>130</v>
      </c>
      <c r="B128" s="0" t="s">
        <v>218</v>
      </c>
      <c r="C128" s="0" t="n">
        <v>88600</v>
      </c>
      <c r="D128" s="0" t="n">
        <v>679</v>
      </c>
      <c r="E128" s="0" t="str">
        <f aca="false">IFERROR(IF(OR(HLOOKUP($A128,#REF!,3,FALSE())&gt;2,HLOOKUP(A128,#REF!,3,FALSE())&lt;-2),"",#REF!),"")</f>
        <v/>
      </c>
      <c r="F128" s="0" t="str">
        <f aca="false">IFERROR(IF(OR(HLOOKUP($A128,#REF!,4,FALSE())&gt;2,HLOOKUP($A128,#REF!,4,FALSE())&lt;-2),"",#REF!),"")</f>
        <v/>
      </c>
      <c r="G128" s="0" t="str">
        <f aca="false">IFERROR(IF(OR(HLOOKUP($A128,#REF!,5,FALSE())&gt;2,HLOOKUP($A128,#REF!,5,FALSE())&lt;-2),"",#REF!),"")</f>
        <v/>
      </c>
      <c r="H128" s="0" t="str">
        <f aca="false">IFERROR(IF(OR(HLOOKUP($A128,#REF!,6,FALSE())&gt;2,HLOOKUP($A128,#REF!,6,FALSE())&lt;-2),"",#REF!),"")</f>
        <v/>
      </c>
      <c r="I128" s="0" t="str">
        <f aca="false">IFERROR(IF(OR(HLOOKUP($A128,#REF!,7,FALSE())&gt;2,HLOOKUP($A128,#REF!,7,FALSE())&lt;-2),"",#REF!),"")</f>
        <v/>
      </c>
      <c r="J128" s="0" t="str">
        <f aca="false">IFERROR(IF(OR(HLOOKUP($A128,#REF!,8,FALSE())&gt;2,HLOOKUP($A128,#REF!,8,FALSE())&lt;-2),"",#REF!),"")</f>
        <v/>
      </c>
      <c r="K128" s="0" t="str">
        <f aca="false">IFERROR(IF(OR(HLOOKUP($A128,#REF!,9,FALSE())&gt;2,HLOOKUP($A128,#REF!,9,FALSE())&lt;-2),"",#REF!),"")</f>
        <v/>
      </c>
      <c r="L128" s="0" t="str">
        <f aca="false">IFERROR(IF(OR(HLOOKUP($A128,#REF!,10,FALSE())&gt;2,HLOOKUP($A128,#REF!,10,FALSE())&lt;-2),"",#REF!),"")</f>
        <v/>
      </c>
      <c r="M128" s="0" t="str">
        <f aca="false">IFERROR(IF(OR(HLOOKUP($A128,#REF!,11,FALSE())&gt;2,HLOOKUP($A128,#REF!,11,FALSE())&lt;-2),"",#REF!),"")</f>
        <v/>
      </c>
      <c r="N128" s="0" t="str">
        <f aca="false">IFERROR(IF(OR(HLOOKUP($A128,#REF!,12,FALSE())&gt;2,HLOOKUP($A128,#REF!,12,FALSE())&lt;-2),"",#REF!),"")</f>
        <v/>
      </c>
      <c r="O128" s="0" t="str">
        <f aca="false">IFERROR(IF(OR(HLOOKUP($A128,#REF!,13,FALSE())&gt;2,HLOOKUP($A128,#REF!,13,FALSE())&lt;-2),"",#REF!),"")</f>
        <v/>
      </c>
      <c r="P128" s="0" t="str">
        <f aca="false">IFERROR(IF(OR(HLOOKUP($A128,#REF!,14,FALSE())&gt;2,HLOOKUP($A128,#REF!,14,FALSE())&lt;-2),"",#REF!),"")</f>
        <v/>
      </c>
      <c r="Q128" s="0" t="str">
        <f aca="false">IFERROR(IF(OR(HLOOKUP($A128,#REF!,15,FALSE())&gt;2,HLOOKUP($A128,#REF!,15,FALSE())&lt;-2),"",#REF!),"")</f>
        <v/>
      </c>
      <c r="R128" s="0" t="str">
        <f aca="false">IFERROR(IF(OR(HLOOKUP($A128,#REF!,16,FALSE())&gt;2,HLOOKUP($A128,#REF!,16,FALSE())&lt;-2),"",#REF!),"")</f>
        <v/>
      </c>
      <c r="S128" s="0" t="str">
        <f aca="false">IFERROR(IF(OR(HLOOKUP($A128,#REF!,17,FALSE())&gt;2,HLOOKUP($A128,#REF!,17,FALSE())&lt;-2),"",#REF!),"")</f>
        <v/>
      </c>
      <c r="T128" s="0" t="str">
        <f aca="false">IFERROR(IF(OR(HLOOKUP($A128,#REF!,18,FALSE())&gt;2,HLOOKUP($A128,#REF!,18,FALSE())&lt;-2),"",#REF!),"")</f>
        <v/>
      </c>
      <c r="U128" s="0" t="str">
        <f aca="false">IFERROR(IF(OR(HLOOKUP($A128,#REF!,19,FALSE())&gt;2,HLOOKUP($A128,#REF!,19,FALSE())&lt;-2),"",#REF!),"")</f>
        <v/>
      </c>
      <c r="V128" s="0" t="n">
        <f aca="false">IFERROR(IF(AND(X128=0,Y128=0),0,1),0)</f>
        <v>1</v>
      </c>
      <c r="W128" s="3" t="str">
        <f aca="false">IFERROR(_xlfn.T.TEST(E128:M128,N128:U128,2,2),"")</f>
        <v/>
      </c>
      <c r="X128" s="0" t="str">
        <f aca="false">IFERROR(AVERAGE(E128:M128),"")</f>
        <v/>
      </c>
      <c r="Y128" s="0" t="str">
        <f aca="false">IFERROR(AVERAGE(N128:U128),"")</f>
        <v/>
      </c>
    </row>
    <row r="129" customFormat="false" ht="14.5" hidden="false" customHeight="false" outlineLevel="0" collapsed="false">
      <c r="A129" s="0" t="n">
        <v>131</v>
      </c>
      <c r="B129" s="0" t="s">
        <v>219</v>
      </c>
      <c r="C129" s="0" t="n">
        <v>47000</v>
      </c>
      <c r="D129" s="0" t="n">
        <v>703</v>
      </c>
      <c r="E129" s="0" t="str">
        <f aca="false">IFERROR(IF(OR(HLOOKUP($A129,#REF!,3,FALSE())&gt;2,HLOOKUP(A129,#REF!,3,FALSE())&lt;-2),"",#REF!),"")</f>
        <v/>
      </c>
      <c r="F129" s="0" t="str">
        <f aca="false">IFERROR(IF(OR(HLOOKUP($A129,#REF!,4,FALSE())&gt;2,HLOOKUP($A129,#REF!,4,FALSE())&lt;-2),"",#REF!),"")</f>
        <v/>
      </c>
      <c r="G129" s="0" t="str">
        <f aca="false">IFERROR(IF(OR(HLOOKUP($A129,#REF!,5,FALSE())&gt;2,HLOOKUP($A129,#REF!,5,FALSE())&lt;-2),"",#REF!),"")</f>
        <v/>
      </c>
      <c r="H129" s="0" t="str">
        <f aca="false">IFERROR(IF(OR(HLOOKUP($A129,#REF!,6,FALSE())&gt;2,HLOOKUP($A129,#REF!,6,FALSE())&lt;-2),"",#REF!),"")</f>
        <v/>
      </c>
      <c r="I129" s="0" t="str">
        <f aca="false">IFERROR(IF(OR(HLOOKUP($A129,#REF!,7,FALSE())&gt;2,HLOOKUP($A129,#REF!,7,FALSE())&lt;-2),"",#REF!),"")</f>
        <v/>
      </c>
      <c r="J129" s="0" t="str">
        <f aca="false">IFERROR(IF(OR(HLOOKUP($A129,#REF!,8,FALSE())&gt;2,HLOOKUP($A129,#REF!,8,FALSE())&lt;-2),"",#REF!),"")</f>
        <v/>
      </c>
      <c r="K129" s="0" t="str">
        <f aca="false">IFERROR(IF(OR(HLOOKUP($A129,#REF!,9,FALSE())&gt;2,HLOOKUP($A129,#REF!,9,FALSE())&lt;-2),"",#REF!),"")</f>
        <v/>
      </c>
      <c r="L129" s="0" t="str">
        <f aca="false">IFERROR(IF(OR(HLOOKUP($A129,#REF!,10,FALSE())&gt;2,HLOOKUP($A129,#REF!,10,FALSE())&lt;-2),"",#REF!),"")</f>
        <v/>
      </c>
      <c r="M129" s="0" t="str">
        <f aca="false">IFERROR(IF(OR(HLOOKUP($A129,#REF!,11,FALSE())&gt;2,HLOOKUP($A129,#REF!,11,FALSE())&lt;-2),"",#REF!),"")</f>
        <v/>
      </c>
      <c r="N129" s="0" t="str">
        <f aca="false">IFERROR(IF(OR(HLOOKUP($A129,#REF!,12,FALSE())&gt;2,HLOOKUP($A129,#REF!,12,FALSE())&lt;-2),"",#REF!),"")</f>
        <v/>
      </c>
      <c r="O129" s="0" t="str">
        <f aca="false">IFERROR(IF(OR(HLOOKUP($A129,#REF!,13,FALSE())&gt;2,HLOOKUP($A129,#REF!,13,FALSE())&lt;-2),"",#REF!),"")</f>
        <v/>
      </c>
      <c r="P129" s="0" t="str">
        <f aca="false">IFERROR(IF(OR(HLOOKUP($A129,#REF!,14,FALSE())&gt;2,HLOOKUP($A129,#REF!,14,FALSE())&lt;-2),"",#REF!),"")</f>
        <v/>
      </c>
      <c r="Q129" s="0" t="str">
        <f aca="false">IFERROR(IF(OR(HLOOKUP($A129,#REF!,15,FALSE())&gt;2,HLOOKUP($A129,#REF!,15,FALSE())&lt;-2),"",#REF!),"")</f>
        <v/>
      </c>
      <c r="R129" s="0" t="str">
        <f aca="false">IFERROR(IF(OR(HLOOKUP($A129,#REF!,16,FALSE())&gt;2,HLOOKUP($A129,#REF!,16,FALSE())&lt;-2),"",#REF!),"")</f>
        <v/>
      </c>
      <c r="S129" s="0" t="str">
        <f aca="false">IFERROR(IF(OR(HLOOKUP($A129,#REF!,17,FALSE())&gt;2,HLOOKUP($A129,#REF!,17,FALSE())&lt;-2),"",#REF!),"")</f>
        <v/>
      </c>
      <c r="T129" s="0" t="str">
        <f aca="false">IFERROR(IF(OR(HLOOKUP($A129,#REF!,18,FALSE())&gt;2,HLOOKUP($A129,#REF!,18,FALSE())&lt;-2),"",#REF!),"")</f>
        <v/>
      </c>
      <c r="U129" s="0" t="str">
        <f aca="false">IFERROR(IF(OR(HLOOKUP($A129,#REF!,19,FALSE())&gt;2,HLOOKUP($A129,#REF!,19,FALSE())&lt;-2),"",#REF!),"")</f>
        <v/>
      </c>
      <c r="V129" s="0" t="n">
        <f aca="false">IFERROR(IF(AND(X129=0,Y129=0),0,1),0)</f>
        <v>1</v>
      </c>
      <c r="W129" s="3" t="str">
        <f aca="false">IFERROR(_xlfn.T.TEST(E129:M129,N129:U129,2,2),"")</f>
        <v/>
      </c>
      <c r="X129" s="0" t="str">
        <f aca="false">IFERROR(AVERAGE(E129:M129),"")</f>
        <v/>
      </c>
      <c r="Y129" s="0" t="str">
        <f aca="false">IFERROR(AVERAGE(N129:U129),"")</f>
        <v/>
      </c>
    </row>
    <row r="130" customFormat="false" ht="14.5" hidden="false" customHeight="false" outlineLevel="0" collapsed="false">
      <c r="A130" s="0" t="n">
        <v>132</v>
      </c>
      <c r="B130" s="0" t="s">
        <v>83</v>
      </c>
      <c r="C130" s="0" t="n">
        <v>20700</v>
      </c>
      <c r="D130" s="0" t="n">
        <v>972</v>
      </c>
      <c r="E130" s="0" t="str">
        <f aca="false">IFERROR(IF(OR(HLOOKUP($A130,#REF!,3,FALSE())&gt;2,HLOOKUP(A130,#REF!,3,FALSE())&lt;-2),"",#REF!),"")</f>
        <v/>
      </c>
      <c r="F130" s="0" t="str">
        <f aca="false">IFERROR(IF(OR(HLOOKUP($A130,#REF!,4,FALSE())&gt;2,HLOOKUP($A130,#REF!,4,FALSE())&lt;-2),"",#REF!),"")</f>
        <v/>
      </c>
      <c r="G130" s="0" t="str">
        <f aca="false">IFERROR(IF(OR(HLOOKUP($A130,#REF!,5,FALSE())&gt;2,HLOOKUP($A130,#REF!,5,FALSE())&lt;-2),"",#REF!),"")</f>
        <v/>
      </c>
      <c r="H130" s="0" t="str">
        <f aca="false">IFERROR(IF(OR(HLOOKUP($A130,#REF!,6,FALSE())&gt;2,HLOOKUP($A130,#REF!,6,FALSE())&lt;-2),"",#REF!),"")</f>
        <v/>
      </c>
      <c r="I130" s="0" t="str">
        <f aca="false">IFERROR(IF(OR(HLOOKUP($A130,#REF!,7,FALSE())&gt;2,HLOOKUP($A130,#REF!,7,FALSE())&lt;-2),"",#REF!),"")</f>
        <v/>
      </c>
      <c r="J130" s="0" t="str">
        <f aca="false">IFERROR(IF(OR(HLOOKUP($A130,#REF!,8,FALSE())&gt;2,HLOOKUP($A130,#REF!,8,FALSE())&lt;-2),"",#REF!),"")</f>
        <v/>
      </c>
      <c r="K130" s="0" t="str">
        <f aca="false">IFERROR(IF(OR(HLOOKUP($A130,#REF!,9,FALSE())&gt;2,HLOOKUP($A130,#REF!,9,FALSE())&lt;-2),"",#REF!),"")</f>
        <v/>
      </c>
      <c r="L130" s="0" t="str">
        <f aca="false">IFERROR(IF(OR(HLOOKUP($A130,#REF!,10,FALSE())&gt;2,HLOOKUP($A130,#REF!,10,FALSE())&lt;-2),"",#REF!),"")</f>
        <v/>
      </c>
      <c r="M130" s="0" t="str">
        <f aca="false">IFERROR(IF(OR(HLOOKUP($A130,#REF!,11,FALSE())&gt;2,HLOOKUP($A130,#REF!,11,FALSE())&lt;-2),"",#REF!),"")</f>
        <v/>
      </c>
      <c r="N130" s="0" t="str">
        <f aca="false">IFERROR(IF(OR(HLOOKUP($A130,#REF!,12,FALSE())&gt;2,HLOOKUP($A130,#REF!,12,FALSE())&lt;-2),"",#REF!),"")</f>
        <v/>
      </c>
      <c r="O130" s="0" t="str">
        <f aca="false">IFERROR(IF(OR(HLOOKUP($A130,#REF!,13,FALSE())&gt;2,HLOOKUP($A130,#REF!,13,FALSE())&lt;-2),"",#REF!),"")</f>
        <v/>
      </c>
      <c r="P130" s="0" t="str">
        <f aca="false">IFERROR(IF(OR(HLOOKUP($A130,#REF!,14,FALSE())&gt;2,HLOOKUP($A130,#REF!,14,FALSE())&lt;-2),"",#REF!),"")</f>
        <v/>
      </c>
      <c r="Q130" s="0" t="str">
        <f aca="false">IFERROR(IF(OR(HLOOKUP($A130,#REF!,15,FALSE())&gt;2,HLOOKUP($A130,#REF!,15,FALSE())&lt;-2),"",#REF!),"")</f>
        <v/>
      </c>
      <c r="R130" s="0" t="str">
        <f aca="false">IFERROR(IF(OR(HLOOKUP($A130,#REF!,16,FALSE())&gt;2,HLOOKUP($A130,#REF!,16,FALSE())&lt;-2),"",#REF!),"")</f>
        <v/>
      </c>
      <c r="S130" s="0" t="str">
        <f aca="false">IFERROR(IF(OR(HLOOKUP($A130,#REF!,17,FALSE())&gt;2,HLOOKUP($A130,#REF!,17,FALSE())&lt;-2),"",#REF!),"")</f>
        <v/>
      </c>
      <c r="T130" s="0" t="str">
        <f aca="false">IFERROR(IF(OR(HLOOKUP($A130,#REF!,18,FALSE())&gt;2,HLOOKUP($A130,#REF!,18,FALSE())&lt;-2),"",#REF!),"")</f>
        <v/>
      </c>
      <c r="U130" s="0" t="str">
        <f aca="false">IFERROR(IF(OR(HLOOKUP($A130,#REF!,19,FALSE())&gt;2,HLOOKUP($A130,#REF!,19,FALSE())&lt;-2),"",#REF!),"")</f>
        <v/>
      </c>
      <c r="V130" s="0" t="n">
        <f aca="false">IFERROR(IF(AND(X130=0,Y130=0),0,1),0)</f>
        <v>1</v>
      </c>
      <c r="W130" s="3" t="str">
        <f aca="false">IFERROR(_xlfn.T.TEST(E130:M130,N130:U130,2,2),"")</f>
        <v/>
      </c>
      <c r="X130" s="0" t="str">
        <f aca="false">IFERROR(AVERAGE(E130:M130),"")</f>
        <v/>
      </c>
      <c r="Y130" s="0" t="str">
        <f aca="false">IFERROR(AVERAGE(N130:U130),"")</f>
        <v/>
      </c>
    </row>
    <row r="131" customFormat="false" ht="14.5" hidden="false" customHeight="false" outlineLevel="0" collapsed="false">
      <c r="A131" s="0" t="n">
        <v>133</v>
      </c>
      <c r="B131" s="0" t="s">
        <v>220</v>
      </c>
      <c r="C131" s="0" t="n">
        <v>73500</v>
      </c>
      <c r="D131" s="0" t="n">
        <v>141</v>
      </c>
      <c r="E131" s="0" t="str">
        <f aca="false">IFERROR(IF(OR(HLOOKUP($A131,#REF!,3,FALSE())&gt;2,HLOOKUP(A131,#REF!,3,FALSE())&lt;-2),"",#REF!),"")</f>
        <v/>
      </c>
      <c r="F131" s="0" t="str">
        <f aca="false">IFERROR(IF(OR(HLOOKUP($A131,#REF!,4,FALSE())&gt;2,HLOOKUP($A131,#REF!,4,FALSE())&lt;-2),"",#REF!),"")</f>
        <v/>
      </c>
      <c r="G131" s="0" t="str">
        <f aca="false">IFERROR(IF(OR(HLOOKUP($A131,#REF!,5,FALSE())&gt;2,HLOOKUP($A131,#REF!,5,FALSE())&lt;-2),"",#REF!),"")</f>
        <v/>
      </c>
      <c r="H131" s="0" t="str">
        <f aca="false">IFERROR(IF(OR(HLOOKUP($A131,#REF!,6,FALSE())&gt;2,HLOOKUP($A131,#REF!,6,FALSE())&lt;-2),"",#REF!),"")</f>
        <v/>
      </c>
      <c r="I131" s="0" t="str">
        <f aca="false">IFERROR(IF(OR(HLOOKUP($A131,#REF!,7,FALSE())&gt;2,HLOOKUP($A131,#REF!,7,FALSE())&lt;-2),"",#REF!),"")</f>
        <v/>
      </c>
      <c r="J131" s="0" t="str">
        <f aca="false">IFERROR(IF(OR(HLOOKUP($A131,#REF!,8,FALSE())&gt;2,HLOOKUP($A131,#REF!,8,FALSE())&lt;-2),"",#REF!),"")</f>
        <v/>
      </c>
      <c r="K131" s="0" t="str">
        <f aca="false">IFERROR(IF(OR(HLOOKUP($A131,#REF!,9,FALSE())&gt;2,HLOOKUP($A131,#REF!,9,FALSE())&lt;-2),"",#REF!),"")</f>
        <v/>
      </c>
      <c r="L131" s="0" t="str">
        <f aca="false">IFERROR(IF(OR(HLOOKUP($A131,#REF!,10,FALSE())&gt;2,HLOOKUP($A131,#REF!,10,FALSE())&lt;-2),"",#REF!),"")</f>
        <v/>
      </c>
      <c r="M131" s="0" t="str">
        <f aca="false">IFERROR(IF(OR(HLOOKUP($A131,#REF!,11,FALSE())&gt;2,HLOOKUP($A131,#REF!,11,FALSE())&lt;-2),"",#REF!),"")</f>
        <v/>
      </c>
      <c r="N131" s="0" t="str">
        <f aca="false">IFERROR(IF(OR(HLOOKUP($A131,#REF!,12,FALSE())&gt;2,HLOOKUP($A131,#REF!,12,FALSE())&lt;-2),"",#REF!),"")</f>
        <v/>
      </c>
      <c r="O131" s="0" t="str">
        <f aca="false">IFERROR(IF(OR(HLOOKUP($A131,#REF!,13,FALSE())&gt;2,HLOOKUP($A131,#REF!,13,FALSE())&lt;-2),"",#REF!),"")</f>
        <v/>
      </c>
      <c r="P131" s="0" t="str">
        <f aca="false">IFERROR(IF(OR(HLOOKUP($A131,#REF!,14,FALSE())&gt;2,HLOOKUP($A131,#REF!,14,FALSE())&lt;-2),"",#REF!),"")</f>
        <v/>
      </c>
      <c r="Q131" s="0" t="str">
        <f aca="false">IFERROR(IF(OR(HLOOKUP($A131,#REF!,15,FALSE())&gt;2,HLOOKUP($A131,#REF!,15,FALSE())&lt;-2),"",#REF!),"")</f>
        <v/>
      </c>
      <c r="R131" s="0" t="str">
        <f aca="false">IFERROR(IF(OR(HLOOKUP($A131,#REF!,16,FALSE())&gt;2,HLOOKUP($A131,#REF!,16,FALSE())&lt;-2),"",#REF!),"")</f>
        <v/>
      </c>
      <c r="S131" s="0" t="str">
        <f aca="false">IFERROR(IF(OR(HLOOKUP($A131,#REF!,17,FALSE())&gt;2,HLOOKUP($A131,#REF!,17,FALSE())&lt;-2),"",#REF!),"")</f>
        <v/>
      </c>
      <c r="T131" s="0" t="str">
        <f aca="false">IFERROR(IF(OR(HLOOKUP($A131,#REF!,18,FALSE())&gt;2,HLOOKUP($A131,#REF!,18,FALSE())&lt;-2),"",#REF!),"")</f>
        <v/>
      </c>
      <c r="U131" s="0" t="str">
        <f aca="false">IFERROR(IF(OR(HLOOKUP($A131,#REF!,19,FALSE())&gt;2,HLOOKUP($A131,#REF!,19,FALSE())&lt;-2),"",#REF!),"")</f>
        <v/>
      </c>
      <c r="V131" s="0" t="n">
        <f aca="false">IFERROR(IF(AND(X131=0,Y131=0),0,1),0)</f>
        <v>1</v>
      </c>
      <c r="W131" s="3" t="str">
        <f aca="false">IFERROR(_xlfn.T.TEST(E131:M131,N131:U131,2,2),"")</f>
        <v/>
      </c>
      <c r="X131" s="0" t="str">
        <f aca="false">IFERROR(AVERAGE(E131:M131),"")</f>
        <v/>
      </c>
      <c r="Y131" s="0" t="str">
        <f aca="false">IFERROR(AVERAGE(N131:U131),"")</f>
        <v/>
      </c>
    </row>
    <row r="132" customFormat="false" ht="14.5" hidden="false" customHeight="false" outlineLevel="0" collapsed="false">
      <c r="A132" s="0" t="n">
        <v>134</v>
      </c>
      <c r="B132" s="0" t="s">
        <v>221</v>
      </c>
      <c r="C132" s="0" t="n">
        <v>109000</v>
      </c>
      <c r="D132" s="0" t="n">
        <v>760</v>
      </c>
      <c r="E132" s="0" t="str">
        <f aca="false">IFERROR(IF(OR(HLOOKUP($A132,#REF!,3,FALSE())&gt;2,HLOOKUP(A132,#REF!,3,FALSE())&lt;-2),"",#REF!),"")</f>
        <v/>
      </c>
      <c r="F132" s="0" t="str">
        <f aca="false">IFERROR(IF(OR(HLOOKUP($A132,#REF!,4,FALSE())&gt;2,HLOOKUP($A132,#REF!,4,FALSE())&lt;-2),"",#REF!),"")</f>
        <v/>
      </c>
      <c r="G132" s="0" t="str">
        <f aca="false">IFERROR(IF(OR(HLOOKUP($A132,#REF!,5,FALSE())&gt;2,HLOOKUP($A132,#REF!,5,FALSE())&lt;-2),"",#REF!),"")</f>
        <v/>
      </c>
      <c r="H132" s="0" t="str">
        <f aca="false">IFERROR(IF(OR(HLOOKUP($A132,#REF!,6,FALSE())&gt;2,HLOOKUP($A132,#REF!,6,FALSE())&lt;-2),"",#REF!),"")</f>
        <v/>
      </c>
      <c r="I132" s="0" t="str">
        <f aca="false">IFERROR(IF(OR(HLOOKUP($A132,#REF!,7,FALSE())&gt;2,HLOOKUP($A132,#REF!,7,FALSE())&lt;-2),"",#REF!),"")</f>
        <v/>
      </c>
      <c r="J132" s="0" t="str">
        <f aca="false">IFERROR(IF(OR(HLOOKUP($A132,#REF!,8,FALSE())&gt;2,HLOOKUP($A132,#REF!,8,FALSE())&lt;-2),"",#REF!),"")</f>
        <v/>
      </c>
      <c r="K132" s="0" t="str">
        <f aca="false">IFERROR(IF(OR(HLOOKUP($A132,#REF!,9,FALSE())&gt;2,HLOOKUP($A132,#REF!,9,FALSE())&lt;-2),"",#REF!),"")</f>
        <v/>
      </c>
      <c r="L132" s="0" t="str">
        <f aca="false">IFERROR(IF(OR(HLOOKUP($A132,#REF!,10,FALSE())&gt;2,HLOOKUP($A132,#REF!,10,FALSE())&lt;-2),"",#REF!),"")</f>
        <v/>
      </c>
      <c r="M132" s="0" t="str">
        <f aca="false">IFERROR(IF(OR(HLOOKUP($A132,#REF!,11,FALSE())&gt;2,HLOOKUP($A132,#REF!,11,FALSE())&lt;-2),"",#REF!),"")</f>
        <v/>
      </c>
      <c r="N132" s="0" t="str">
        <f aca="false">IFERROR(IF(OR(HLOOKUP($A132,#REF!,12,FALSE())&gt;2,HLOOKUP($A132,#REF!,12,FALSE())&lt;-2),"",#REF!),"")</f>
        <v/>
      </c>
      <c r="O132" s="0" t="str">
        <f aca="false">IFERROR(IF(OR(HLOOKUP($A132,#REF!,13,FALSE())&gt;2,HLOOKUP($A132,#REF!,13,FALSE())&lt;-2),"",#REF!),"")</f>
        <v/>
      </c>
      <c r="P132" s="0" t="str">
        <f aca="false">IFERROR(IF(OR(HLOOKUP($A132,#REF!,14,FALSE())&gt;2,HLOOKUP($A132,#REF!,14,FALSE())&lt;-2),"",#REF!),"")</f>
        <v/>
      </c>
      <c r="Q132" s="0" t="str">
        <f aca="false">IFERROR(IF(OR(HLOOKUP($A132,#REF!,15,FALSE())&gt;2,HLOOKUP($A132,#REF!,15,FALSE())&lt;-2),"",#REF!),"")</f>
        <v/>
      </c>
      <c r="R132" s="0" t="str">
        <f aca="false">IFERROR(IF(OR(HLOOKUP($A132,#REF!,16,FALSE())&gt;2,HLOOKUP($A132,#REF!,16,FALSE())&lt;-2),"",#REF!),"")</f>
        <v/>
      </c>
      <c r="S132" s="0" t="str">
        <f aca="false">IFERROR(IF(OR(HLOOKUP($A132,#REF!,17,FALSE())&gt;2,HLOOKUP($A132,#REF!,17,FALSE())&lt;-2),"",#REF!),"")</f>
        <v/>
      </c>
      <c r="T132" s="0" t="str">
        <f aca="false">IFERROR(IF(OR(HLOOKUP($A132,#REF!,18,FALSE())&gt;2,HLOOKUP($A132,#REF!,18,FALSE())&lt;-2),"",#REF!),"")</f>
        <v/>
      </c>
      <c r="U132" s="0" t="str">
        <f aca="false">IFERROR(IF(OR(HLOOKUP($A132,#REF!,19,FALSE())&gt;2,HLOOKUP($A132,#REF!,19,FALSE())&lt;-2),"",#REF!),"")</f>
        <v/>
      </c>
      <c r="V132" s="0" t="n">
        <f aca="false">IFERROR(IF(AND(X132=0,Y132=0),0,1),0)</f>
        <v>1</v>
      </c>
      <c r="W132" s="3" t="str">
        <f aca="false">IFERROR(_xlfn.T.TEST(E132:M132,N132:U132,2,2),"")</f>
        <v/>
      </c>
      <c r="X132" s="0" t="str">
        <f aca="false">IFERROR(AVERAGE(E132:M132),"")</f>
        <v/>
      </c>
      <c r="Y132" s="0" t="str">
        <f aca="false">IFERROR(AVERAGE(N132:U132),"")</f>
        <v/>
      </c>
    </row>
    <row r="133" customFormat="false" ht="14.5" hidden="false" customHeight="false" outlineLevel="0" collapsed="false">
      <c r="A133" s="0" t="n">
        <v>135</v>
      </c>
      <c r="B133" s="0" t="s">
        <v>222</v>
      </c>
      <c r="C133" s="0" t="n">
        <v>92800</v>
      </c>
      <c r="D133" s="0" t="n">
        <v>370</v>
      </c>
      <c r="E133" s="0" t="str">
        <f aca="false">IFERROR(IF(OR(HLOOKUP($A133,#REF!,3,FALSE())&gt;2,HLOOKUP(A133,#REF!,3,FALSE())&lt;-2),"",#REF!),"")</f>
        <v/>
      </c>
      <c r="F133" s="0" t="str">
        <f aca="false">IFERROR(IF(OR(HLOOKUP($A133,#REF!,4,FALSE())&gt;2,HLOOKUP($A133,#REF!,4,FALSE())&lt;-2),"",#REF!),"")</f>
        <v/>
      </c>
      <c r="G133" s="0" t="str">
        <f aca="false">IFERROR(IF(OR(HLOOKUP($A133,#REF!,5,FALSE())&gt;2,HLOOKUP($A133,#REF!,5,FALSE())&lt;-2),"",#REF!),"")</f>
        <v/>
      </c>
      <c r="H133" s="0" t="str">
        <f aca="false">IFERROR(IF(OR(HLOOKUP($A133,#REF!,6,FALSE())&gt;2,HLOOKUP($A133,#REF!,6,FALSE())&lt;-2),"",#REF!),"")</f>
        <v/>
      </c>
      <c r="I133" s="0" t="str">
        <f aca="false">IFERROR(IF(OR(HLOOKUP($A133,#REF!,7,FALSE())&gt;2,HLOOKUP($A133,#REF!,7,FALSE())&lt;-2),"",#REF!),"")</f>
        <v/>
      </c>
      <c r="J133" s="0" t="str">
        <f aca="false">IFERROR(IF(OR(HLOOKUP($A133,#REF!,8,FALSE())&gt;2,HLOOKUP($A133,#REF!,8,FALSE())&lt;-2),"",#REF!),"")</f>
        <v/>
      </c>
      <c r="K133" s="0" t="str">
        <f aca="false">IFERROR(IF(OR(HLOOKUP($A133,#REF!,9,FALSE())&gt;2,HLOOKUP($A133,#REF!,9,FALSE())&lt;-2),"",#REF!),"")</f>
        <v/>
      </c>
      <c r="L133" s="0" t="str">
        <f aca="false">IFERROR(IF(OR(HLOOKUP($A133,#REF!,10,FALSE())&gt;2,HLOOKUP($A133,#REF!,10,FALSE())&lt;-2),"",#REF!),"")</f>
        <v/>
      </c>
      <c r="M133" s="0" t="str">
        <f aca="false">IFERROR(IF(OR(HLOOKUP($A133,#REF!,11,FALSE())&gt;2,HLOOKUP($A133,#REF!,11,FALSE())&lt;-2),"",#REF!),"")</f>
        <v/>
      </c>
      <c r="N133" s="0" t="str">
        <f aca="false">IFERROR(IF(OR(HLOOKUP($A133,#REF!,12,FALSE())&gt;2,HLOOKUP($A133,#REF!,12,FALSE())&lt;-2),"",#REF!),"")</f>
        <v/>
      </c>
      <c r="O133" s="0" t="str">
        <f aca="false">IFERROR(IF(OR(HLOOKUP($A133,#REF!,13,FALSE())&gt;2,HLOOKUP($A133,#REF!,13,FALSE())&lt;-2),"",#REF!),"")</f>
        <v/>
      </c>
      <c r="P133" s="0" t="str">
        <f aca="false">IFERROR(IF(OR(HLOOKUP($A133,#REF!,14,FALSE())&gt;2,HLOOKUP($A133,#REF!,14,FALSE())&lt;-2),"",#REF!),"")</f>
        <v/>
      </c>
      <c r="Q133" s="0" t="str">
        <f aca="false">IFERROR(IF(OR(HLOOKUP($A133,#REF!,15,FALSE())&gt;2,HLOOKUP($A133,#REF!,15,FALSE())&lt;-2),"",#REF!),"")</f>
        <v/>
      </c>
      <c r="R133" s="0" t="str">
        <f aca="false">IFERROR(IF(OR(HLOOKUP($A133,#REF!,16,FALSE())&gt;2,HLOOKUP($A133,#REF!,16,FALSE())&lt;-2),"",#REF!),"")</f>
        <v/>
      </c>
      <c r="S133" s="0" t="str">
        <f aca="false">IFERROR(IF(OR(HLOOKUP($A133,#REF!,17,FALSE())&gt;2,HLOOKUP($A133,#REF!,17,FALSE())&lt;-2),"",#REF!),"")</f>
        <v/>
      </c>
      <c r="T133" s="0" t="str">
        <f aca="false">IFERROR(IF(OR(HLOOKUP($A133,#REF!,18,FALSE())&gt;2,HLOOKUP($A133,#REF!,18,FALSE())&lt;-2),"",#REF!),"")</f>
        <v/>
      </c>
      <c r="U133" s="0" t="str">
        <f aca="false">IFERROR(IF(OR(HLOOKUP($A133,#REF!,19,FALSE())&gt;2,HLOOKUP($A133,#REF!,19,FALSE())&lt;-2),"",#REF!),"")</f>
        <v/>
      </c>
      <c r="V133" s="0" t="n">
        <f aca="false">IFERROR(IF(AND(X133=0,Y133=0),0,1),0)</f>
        <v>1</v>
      </c>
      <c r="W133" s="3" t="str">
        <f aca="false">IFERROR(_xlfn.T.TEST(E133:M133,N133:U133,2,2),"")</f>
        <v/>
      </c>
      <c r="X133" s="0" t="str">
        <f aca="false">IFERROR(AVERAGE(E133:M133),"")</f>
        <v/>
      </c>
      <c r="Y133" s="0" t="str">
        <f aca="false">IFERROR(AVERAGE(N133:U133),"")</f>
        <v/>
      </c>
    </row>
    <row r="134" customFormat="false" ht="14.5" hidden="false" customHeight="false" outlineLevel="0" collapsed="false">
      <c r="A134" s="0" t="n">
        <v>136</v>
      </c>
      <c r="B134" s="0" t="s">
        <v>223</v>
      </c>
      <c r="C134" s="0" t="n">
        <v>93600</v>
      </c>
      <c r="D134" s="0" t="n">
        <v>370</v>
      </c>
      <c r="E134" s="0" t="str">
        <f aca="false">IFERROR(IF(OR(HLOOKUP($A134,#REF!,3,FALSE())&gt;2,HLOOKUP(A134,#REF!,3,FALSE())&lt;-2),"",#REF!),"")</f>
        <v/>
      </c>
      <c r="F134" s="0" t="str">
        <f aca="false">IFERROR(IF(OR(HLOOKUP($A134,#REF!,4,FALSE())&gt;2,HLOOKUP($A134,#REF!,4,FALSE())&lt;-2),"",#REF!),"")</f>
        <v/>
      </c>
      <c r="G134" s="0" t="str">
        <f aca="false">IFERROR(IF(OR(HLOOKUP($A134,#REF!,5,FALSE())&gt;2,HLOOKUP($A134,#REF!,5,FALSE())&lt;-2),"",#REF!),"")</f>
        <v/>
      </c>
      <c r="H134" s="0" t="str">
        <f aca="false">IFERROR(IF(OR(HLOOKUP($A134,#REF!,6,FALSE())&gt;2,HLOOKUP($A134,#REF!,6,FALSE())&lt;-2),"",#REF!),"")</f>
        <v/>
      </c>
      <c r="I134" s="0" t="str">
        <f aca="false">IFERROR(IF(OR(HLOOKUP($A134,#REF!,7,FALSE())&gt;2,HLOOKUP($A134,#REF!,7,FALSE())&lt;-2),"",#REF!),"")</f>
        <v/>
      </c>
      <c r="J134" s="0" t="str">
        <f aca="false">IFERROR(IF(OR(HLOOKUP($A134,#REF!,8,FALSE())&gt;2,HLOOKUP($A134,#REF!,8,FALSE())&lt;-2),"",#REF!),"")</f>
        <v/>
      </c>
      <c r="K134" s="0" t="str">
        <f aca="false">IFERROR(IF(OR(HLOOKUP($A134,#REF!,9,FALSE())&gt;2,HLOOKUP($A134,#REF!,9,FALSE())&lt;-2),"",#REF!),"")</f>
        <v/>
      </c>
      <c r="L134" s="0" t="str">
        <f aca="false">IFERROR(IF(OR(HLOOKUP($A134,#REF!,10,FALSE())&gt;2,HLOOKUP($A134,#REF!,10,FALSE())&lt;-2),"",#REF!),"")</f>
        <v/>
      </c>
      <c r="M134" s="0" t="str">
        <f aca="false">IFERROR(IF(OR(HLOOKUP($A134,#REF!,11,FALSE())&gt;2,HLOOKUP($A134,#REF!,11,FALSE())&lt;-2),"",#REF!),"")</f>
        <v/>
      </c>
      <c r="N134" s="0" t="str">
        <f aca="false">IFERROR(IF(OR(HLOOKUP($A134,#REF!,12,FALSE())&gt;2,HLOOKUP($A134,#REF!,12,FALSE())&lt;-2),"",#REF!),"")</f>
        <v/>
      </c>
      <c r="O134" s="0" t="str">
        <f aca="false">IFERROR(IF(OR(HLOOKUP($A134,#REF!,13,FALSE())&gt;2,HLOOKUP($A134,#REF!,13,FALSE())&lt;-2),"",#REF!),"")</f>
        <v/>
      </c>
      <c r="P134" s="0" t="str">
        <f aca="false">IFERROR(IF(OR(HLOOKUP($A134,#REF!,14,FALSE())&gt;2,HLOOKUP($A134,#REF!,14,FALSE())&lt;-2),"",#REF!),"")</f>
        <v/>
      </c>
      <c r="Q134" s="0" t="str">
        <f aca="false">IFERROR(IF(OR(HLOOKUP($A134,#REF!,15,FALSE())&gt;2,HLOOKUP($A134,#REF!,15,FALSE())&lt;-2),"",#REF!),"")</f>
        <v/>
      </c>
      <c r="R134" s="0" t="str">
        <f aca="false">IFERROR(IF(OR(HLOOKUP($A134,#REF!,16,FALSE())&gt;2,HLOOKUP($A134,#REF!,16,FALSE())&lt;-2),"",#REF!),"")</f>
        <v/>
      </c>
      <c r="S134" s="0" t="str">
        <f aca="false">IFERROR(IF(OR(HLOOKUP($A134,#REF!,17,FALSE())&gt;2,HLOOKUP($A134,#REF!,17,FALSE())&lt;-2),"",#REF!),"")</f>
        <v/>
      </c>
      <c r="T134" s="0" t="str">
        <f aca="false">IFERROR(IF(OR(HLOOKUP($A134,#REF!,18,FALSE())&gt;2,HLOOKUP($A134,#REF!,18,FALSE())&lt;-2),"",#REF!),"")</f>
        <v/>
      </c>
      <c r="U134" s="0" t="str">
        <f aca="false">IFERROR(IF(OR(HLOOKUP($A134,#REF!,19,FALSE())&gt;2,HLOOKUP($A134,#REF!,19,FALSE())&lt;-2),"",#REF!),"")</f>
        <v/>
      </c>
      <c r="V134" s="0" t="n">
        <f aca="false">IFERROR(IF(AND(X134=0,Y134=0),0,1),0)</f>
        <v>1</v>
      </c>
      <c r="W134" s="3" t="str">
        <f aca="false">IFERROR(_xlfn.T.TEST(E134:M134,N134:U134,2,2),"")</f>
        <v/>
      </c>
      <c r="X134" s="0" t="str">
        <f aca="false">IFERROR(AVERAGE(E134:M134),"")</f>
        <v/>
      </c>
      <c r="Y134" s="0" t="str">
        <f aca="false">IFERROR(AVERAGE(N134:U134),"")</f>
        <v/>
      </c>
    </row>
    <row r="135" customFormat="false" ht="14.5" hidden="false" customHeight="false" outlineLevel="0" collapsed="false">
      <c r="A135" s="0" t="n">
        <v>137</v>
      </c>
      <c r="B135" s="0" t="s">
        <v>224</v>
      </c>
      <c r="C135" s="0" t="n">
        <v>88500</v>
      </c>
      <c r="D135" s="0" t="n">
        <v>679</v>
      </c>
      <c r="E135" s="0" t="str">
        <f aca="false">IFERROR(IF(OR(HLOOKUP($A135,#REF!,3,FALSE())&gt;2,HLOOKUP(A135,#REF!,3,FALSE())&lt;-2),"",#REF!),"")</f>
        <v/>
      </c>
      <c r="F135" s="0" t="str">
        <f aca="false">IFERROR(IF(OR(HLOOKUP($A135,#REF!,4,FALSE())&gt;2,HLOOKUP($A135,#REF!,4,FALSE())&lt;-2),"",#REF!),"")</f>
        <v/>
      </c>
      <c r="G135" s="0" t="str">
        <f aca="false">IFERROR(IF(OR(HLOOKUP($A135,#REF!,5,FALSE())&gt;2,HLOOKUP($A135,#REF!,5,FALSE())&lt;-2),"",#REF!),"")</f>
        <v/>
      </c>
      <c r="H135" s="0" t="str">
        <f aca="false">IFERROR(IF(OR(HLOOKUP($A135,#REF!,6,FALSE())&gt;2,HLOOKUP($A135,#REF!,6,FALSE())&lt;-2),"",#REF!),"")</f>
        <v/>
      </c>
      <c r="I135" s="0" t="str">
        <f aca="false">IFERROR(IF(OR(HLOOKUP($A135,#REF!,7,FALSE())&gt;2,HLOOKUP($A135,#REF!,7,FALSE())&lt;-2),"",#REF!),"")</f>
        <v/>
      </c>
      <c r="J135" s="0" t="str">
        <f aca="false">IFERROR(IF(OR(HLOOKUP($A135,#REF!,8,FALSE())&gt;2,HLOOKUP($A135,#REF!,8,FALSE())&lt;-2),"",#REF!),"")</f>
        <v/>
      </c>
      <c r="K135" s="0" t="str">
        <f aca="false">IFERROR(IF(OR(HLOOKUP($A135,#REF!,9,FALSE())&gt;2,HLOOKUP($A135,#REF!,9,FALSE())&lt;-2),"",#REF!),"")</f>
        <v/>
      </c>
      <c r="L135" s="0" t="str">
        <f aca="false">IFERROR(IF(OR(HLOOKUP($A135,#REF!,10,FALSE())&gt;2,HLOOKUP($A135,#REF!,10,FALSE())&lt;-2),"",#REF!),"")</f>
        <v/>
      </c>
      <c r="M135" s="0" t="str">
        <f aca="false">IFERROR(IF(OR(HLOOKUP($A135,#REF!,11,FALSE())&gt;2,HLOOKUP($A135,#REF!,11,FALSE())&lt;-2),"",#REF!),"")</f>
        <v/>
      </c>
      <c r="N135" s="0" t="str">
        <f aca="false">IFERROR(IF(OR(HLOOKUP($A135,#REF!,12,FALSE())&gt;2,HLOOKUP($A135,#REF!,12,FALSE())&lt;-2),"",#REF!),"")</f>
        <v/>
      </c>
      <c r="O135" s="0" t="str">
        <f aca="false">IFERROR(IF(OR(HLOOKUP($A135,#REF!,13,FALSE())&gt;2,HLOOKUP($A135,#REF!,13,FALSE())&lt;-2),"",#REF!),"")</f>
        <v/>
      </c>
      <c r="P135" s="0" t="str">
        <f aca="false">IFERROR(IF(OR(HLOOKUP($A135,#REF!,14,FALSE())&gt;2,HLOOKUP($A135,#REF!,14,FALSE())&lt;-2),"",#REF!),"")</f>
        <v/>
      </c>
      <c r="Q135" s="0" t="str">
        <f aca="false">IFERROR(IF(OR(HLOOKUP($A135,#REF!,15,FALSE())&gt;2,HLOOKUP($A135,#REF!,15,FALSE())&lt;-2),"",#REF!),"")</f>
        <v/>
      </c>
      <c r="R135" s="0" t="str">
        <f aca="false">IFERROR(IF(OR(HLOOKUP($A135,#REF!,16,FALSE())&gt;2,HLOOKUP($A135,#REF!,16,FALSE())&lt;-2),"",#REF!),"")</f>
        <v/>
      </c>
      <c r="S135" s="0" t="str">
        <f aca="false">IFERROR(IF(OR(HLOOKUP($A135,#REF!,17,FALSE())&gt;2,HLOOKUP($A135,#REF!,17,FALSE())&lt;-2),"",#REF!),"")</f>
        <v/>
      </c>
      <c r="T135" s="0" t="str">
        <f aca="false">IFERROR(IF(OR(HLOOKUP($A135,#REF!,18,FALSE())&gt;2,HLOOKUP($A135,#REF!,18,FALSE())&lt;-2),"",#REF!),"")</f>
        <v/>
      </c>
      <c r="U135" s="0" t="str">
        <f aca="false">IFERROR(IF(OR(HLOOKUP($A135,#REF!,19,FALSE())&gt;2,HLOOKUP($A135,#REF!,19,FALSE())&lt;-2),"",#REF!),"")</f>
        <v/>
      </c>
      <c r="V135" s="0" t="n">
        <f aca="false">IFERROR(IF(AND(X135=0,Y135=0),0,1),0)</f>
        <v>1</v>
      </c>
      <c r="W135" s="3" t="str">
        <f aca="false">IFERROR(_xlfn.T.TEST(E135:M135,N135:U135,2,2),"")</f>
        <v/>
      </c>
      <c r="X135" s="0" t="str">
        <f aca="false">IFERROR(AVERAGE(E135:M135),"")</f>
        <v/>
      </c>
      <c r="Y135" s="0" t="str">
        <f aca="false">IFERROR(AVERAGE(N135:U135),"")</f>
        <v/>
      </c>
    </row>
    <row r="136" customFormat="false" ht="14.5" hidden="false" customHeight="false" outlineLevel="0" collapsed="false">
      <c r="A136" s="0" t="n">
        <v>138</v>
      </c>
      <c r="B136" s="0" t="s">
        <v>225</v>
      </c>
      <c r="C136" s="0" t="n">
        <v>65700</v>
      </c>
      <c r="D136" s="0" t="n">
        <v>856</v>
      </c>
      <c r="E136" s="0" t="str">
        <f aca="false">IFERROR(IF(OR(HLOOKUP($A136,#REF!,3,FALSE())&gt;2,HLOOKUP(A136,#REF!,3,FALSE())&lt;-2),"",#REF!),"")</f>
        <v/>
      </c>
      <c r="F136" s="0" t="str">
        <f aca="false">IFERROR(IF(OR(HLOOKUP($A136,#REF!,4,FALSE())&gt;2,HLOOKUP($A136,#REF!,4,FALSE())&lt;-2),"",#REF!),"")</f>
        <v/>
      </c>
      <c r="G136" s="0" t="str">
        <f aca="false">IFERROR(IF(OR(HLOOKUP($A136,#REF!,5,FALSE())&gt;2,HLOOKUP($A136,#REF!,5,FALSE())&lt;-2),"",#REF!),"")</f>
        <v/>
      </c>
      <c r="H136" s="0" t="str">
        <f aca="false">IFERROR(IF(OR(HLOOKUP($A136,#REF!,6,FALSE())&gt;2,HLOOKUP($A136,#REF!,6,FALSE())&lt;-2),"",#REF!),"")</f>
        <v/>
      </c>
      <c r="I136" s="0" t="str">
        <f aca="false">IFERROR(IF(OR(HLOOKUP($A136,#REF!,7,FALSE())&gt;2,HLOOKUP($A136,#REF!,7,FALSE())&lt;-2),"",#REF!),"")</f>
        <v/>
      </c>
      <c r="J136" s="0" t="str">
        <f aca="false">IFERROR(IF(OR(HLOOKUP($A136,#REF!,8,FALSE())&gt;2,HLOOKUP($A136,#REF!,8,FALSE())&lt;-2),"",#REF!),"")</f>
        <v/>
      </c>
      <c r="K136" s="0" t="str">
        <f aca="false">IFERROR(IF(OR(HLOOKUP($A136,#REF!,9,FALSE())&gt;2,HLOOKUP($A136,#REF!,9,FALSE())&lt;-2),"",#REF!),"")</f>
        <v/>
      </c>
      <c r="L136" s="0" t="str">
        <f aca="false">IFERROR(IF(OR(HLOOKUP($A136,#REF!,10,FALSE())&gt;2,HLOOKUP($A136,#REF!,10,FALSE())&lt;-2),"",#REF!),"")</f>
        <v/>
      </c>
      <c r="M136" s="0" t="str">
        <f aca="false">IFERROR(IF(OR(HLOOKUP($A136,#REF!,11,FALSE())&gt;2,HLOOKUP($A136,#REF!,11,FALSE())&lt;-2),"",#REF!),"")</f>
        <v/>
      </c>
      <c r="N136" s="0" t="str">
        <f aca="false">IFERROR(IF(OR(HLOOKUP($A136,#REF!,12,FALSE())&gt;2,HLOOKUP($A136,#REF!,12,FALSE())&lt;-2),"",#REF!),"")</f>
        <v/>
      </c>
      <c r="O136" s="0" t="str">
        <f aca="false">IFERROR(IF(OR(HLOOKUP($A136,#REF!,13,FALSE())&gt;2,HLOOKUP($A136,#REF!,13,FALSE())&lt;-2),"",#REF!),"")</f>
        <v/>
      </c>
      <c r="P136" s="0" t="str">
        <f aca="false">IFERROR(IF(OR(HLOOKUP($A136,#REF!,14,FALSE())&gt;2,HLOOKUP($A136,#REF!,14,FALSE())&lt;-2),"",#REF!),"")</f>
        <v/>
      </c>
      <c r="Q136" s="0" t="str">
        <f aca="false">IFERROR(IF(OR(HLOOKUP($A136,#REF!,15,FALSE())&gt;2,HLOOKUP($A136,#REF!,15,FALSE())&lt;-2),"",#REF!),"")</f>
        <v/>
      </c>
      <c r="R136" s="0" t="str">
        <f aca="false">IFERROR(IF(OR(HLOOKUP($A136,#REF!,16,FALSE())&gt;2,HLOOKUP($A136,#REF!,16,FALSE())&lt;-2),"",#REF!),"")</f>
        <v/>
      </c>
      <c r="S136" s="0" t="str">
        <f aca="false">IFERROR(IF(OR(HLOOKUP($A136,#REF!,17,FALSE())&gt;2,HLOOKUP($A136,#REF!,17,FALSE())&lt;-2),"",#REF!),"")</f>
        <v/>
      </c>
      <c r="T136" s="0" t="str">
        <f aca="false">IFERROR(IF(OR(HLOOKUP($A136,#REF!,18,FALSE())&gt;2,HLOOKUP($A136,#REF!,18,FALSE())&lt;-2),"",#REF!),"")</f>
        <v/>
      </c>
      <c r="U136" s="0" t="str">
        <f aca="false">IFERROR(IF(OR(HLOOKUP($A136,#REF!,19,FALSE())&gt;2,HLOOKUP($A136,#REF!,19,FALSE())&lt;-2),"",#REF!),"")</f>
        <v/>
      </c>
      <c r="V136" s="0" t="n">
        <f aca="false">IFERROR(IF(AND(X136=0,Y136=0),0,1),0)</f>
        <v>1</v>
      </c>
      <c r="W136" s="3" t="str">
        <f aca="false">IFERROR(_xlfn.T.TEST(E136:M136,N136:U136,2,2),"")</f>
        <v/>
      </c>
      <c r="X136" s="0" t="str">
        <f aca="false">IFERROR(AVERAGE(E136:M136),"")</f>
        <v/>
      </c>
      <c r="Y136" s="0" t="str">
        <f aca="false">IFERROR(AVERAGE(N136:U136),"")</f>
        <v/>
      </c>
    </row>
    <row r="137" customFormat="false" ht="14.5" hidden="false" customHeight="false" outlineLevel="0" collapsed="false">
      <c r="A137" s="0" t="n">
        <v>139</v>
      </c>
      <c r="B137" s="0" t="s">
        <v>226</v>
      </c>
      <c r="C137" s="0" t="n">
        <v>42200</v>
      </c>
      <c r="D137" s="0" t="n">
        <v>918</v>
      </c>
      <c r="E137" s="0" t="str">
        <f aca="false">IFERROR(IF(OR(HLOOKUP($A137,#REF!,3,FALSE())&gt;2,HLOOKUP(A137,#REF!,3,FALSE())&lt;-2),"",#REF!),"")</f>
        <v/>
      </c>
      <c r="F137" s="0" t="str">
        <f aca="false">IFERROR(IF(OR(HLOOKUP($A137,#REF!,4,FALSE())&gt;2,HLOOKUP($A137,#REF!,4,FALSE())&lt;-2),"",#REF!),"")</f>
        <v/>
      </c>
      <c r="G137" s="0" t="str">
        <f aca="false">IFERROR(IF(OR(HLOOKUP($A137,#REF!,5,FALSE())&gt;2,HLOOKUP($A137,#REF!,5,FALSE())&lt;-2),"",#REF!),"")</f>
        <v/>
      </c>
      <c r="H137" s="0" t="str">
        <f aca="false">IFERROR(IF(OR(HLOOKUP($A137,#REF!,6,FALSE())&gt;2,HLOOKUP($A137,#REF!,6,FALSE())&lt;-2),"",#REF!),"")</f>
        <v/>
      </c>
      <c r="I137" s="0" t="str">
        <f aca="false">IFERROR(IF(OR(HLOOKUP($A137,#REF!,7,FALSE())&gt;2,HLOOKUP($A137,#REF!,7,FALSE())&lt;-2),"",#REF!),"")</f>
        <v/>
      </c>
      <c r="J137" s="0" t="str">
        <f aca="false">IFERROR(IF(OR(HLOOKUP($A137,#REF!,8,FALSE())&gt;2,HLOOKUP($A137,#REF!,8,FALSE())&lt;-2),"",#REF!),"")</f>
        <v/>
      </c>
      <c r="K137" s="0" t="str">
        <f aca="false">IFERROR(IF(OR(HLOOKUP($A137,#REF!,9,FALSE())&gt;2,HLOOKUP($A137,#REF!,9,FALSE())&lt;-2),"",#REF!),"")</f>
        <v/>
      </c>
      <c r="L137" s="0" t="str">
        <f aca="false">IFERROR(IF(OR(HLOOKUP($A137,#REF!,10,FALSE())&gt;2,HLOOKUP($A137,#REF!,10,FALSE())&lt;-2),"",#REF!),"")</f>
        <v/>
      </c>
      <c r="M137" s="0" t="str">
        <f aca="false">IFERROR(IF(OR(HLOOKUP($A137,#REF!,11,FALSE())&gt;2,HLOOKUP($A137,#REF!,11,FALSE())&lt;-2),"",#REF!),"")</f>
        <v/>
      </c>
      <c r="N137" s="0" t="str">
        <f aca="false">IFERROR(IF(OR(HLOOKUP($A137,#REF!,12,FALSE())&gt;2,HLOOKUP($A137,#REF!,12,FALSE())&lt;-2),"",#REF!),"")</f>
        <v/>
      </c>
      <c r="O137" s="0" t="str">
        <f aca="false">IFERROR(IF(OR(HLOOKUP($A137,#REF!,13,FALSE())&gt;2,HLOOKUP($A137,#REF!,13,FALSE())&lt;-2),"",#REF!),"")</f>
        <v/>
      </c>
      <c r="P137" s="0" t="str">
        <f aca="false">IFERROR(IF(OR(HLOOKUP($A137,#REF!,14,FALSE())&gt;2,HLOOKUP($A137,#REF!,14,FALSE())&lt;-2),"",#REF!),"")</f>
        <v/>
      </c>
      <c r="Q137" s="0" t="str">
        <f aca="false">IFERROR(IF(OR(HLOOKUP($A137,#REF!,15,FALSE())&gt;2,HLOOKUP($A137,#REF!,15,FALSE())&lt;-2),"",#REF!),"")</f>
        <v/>
      </c>
      <c r="R137" s="0" t="str">
        <f aca="false">IFERROR(IF(OR(HLOOKUP($A137,#REF!,16,FALSE())&gt;2,HLOOKUP($A137,#REF!,16,FALSE())&lt;-2),"",#REF!),"")</f>
        <v/>
      </c>
      <c r="S137" s="0" t="str">
        <f aca="false">IFERROR(IF(OR(HLOOKUP($A137,#REF!,17,FALSE())&gt;2,HLOOKUP($A137,#REF!,17,FALSE())&lt;-2),"",#REF!),"")</f>
        <v/>
      </c>
      <c r="T137" s="0" t="str">
        <f aca="false">IFERROR(IF(OR(HLOOKUP($A137,#REF!,18,FALSE())&gt;2,HLOOKUP($A137,#REF!,18,FALSE())&lt;-2),"",#REF!),"")</f>
        <v/>
      </c>
      <c r="U137" s="0" t="str">
        <f aca="false">IFERROR(IF(OR(HLOOKUP($A137,#REF!,19,FALSE())&gt;2,HLOOKUP($A137,#REF!,19,FALSE())&lt;-2),"",#REF!),"")</f>
        <v/>
      </c>
      <c r="V137" s="0" t="n">
        <f aca="false">IFERROR(IF(AND(X137=0,Y137=0),0,1),0)</f>
        <v>1</v>
      </c>
      <c r="W137" s="3" t="str">
        <f aca="false">IFERROR(_xlfn.T.TEST(E137:M137,N137:U137,2,2),"")</f>
        <v/>
      </c>
      <c r="X137" s="0" t="str">
        <f aca="false">IFERROR(AVERAGE(E137:M137),"")</f>
        <v/>
      </c>
      <c r="Y137" s="0" t="str">
        <f aca="false">IFERROR(AVERAGE(N137:U137),"")</f>
        <v/>
      </c>
    </row>
    <row r="138" customFormat="false" ht="14.5" hidden="false" customHeight="false" outlineLevel="0" collapsed="false">
      <c r="A138" s="0" t="n">
        <v>140</v>
      </c>
      <c r="B138" s="0" t="s">
        <v>227</v>
      </c>
      <c r="C138" s="0" t="n">
        <v>116600</v>
      </c>
      <c r="D138" s="0" t="n">
        <v>73</v>
      </c>
      <c r="E138" s="0" t="str">
        <f aca="false">IFERROR(IF(OR(HLOOKUP($A138,#REF!,3,FALSE())&gt;2,HLOOKUP(A138,#REF!,3,FALSE())&lt;-2),"",#REF!),"")</f>
        <v/>
      </c>
      <c r="F138" s="0" t="str">
        <f aca="false">IFERROR(IF(OR(HLOOKUP($A138,#REF!,4,FALSE())&gt;2,HLOOKUP($A138,#REF!,4,FALSE())&lt;-2),"",#REF!),"")</f>
        <v/>
      </c>
      <c r="G138" s="0" t="str">
        <f aca="false">IFERROR(IF(OR(HLOOKUP($A138,#REF!,5,FALSE())&gt;2,HLOOKUP($A138,#REF!,5,FALSE())&lt;-2),"",#REF!),"")</f>
        <v/>
      </c>
      <c r="H138" s="0" t="str">
        <f aca="false">IFERROR(IF(OR(HLOOKUP($A138,#REF!,6,FALSE())&gt;2,HLOOKUP($A138,#REF!,6,FALSE())&lt;-2),"",#REF!),"")</f>
        <v/>
      </c>
      <c r="I138" s="0" t="str">
        <f aca="false">IFERROR(IF(OR(HLOOKUP($A138,#REF!,7,FALSE())&gt;2,HLOOKUP($A138,#REF!,7,FALSE())&lt;-2),"",#REF!),"")</f>
        <v/>
      </c>
      <c r="J138" s="0" t="str">
        <f aca="false">IFERROR(IF(OR(HLOOKUP($A138,#REF!,8,FALSE())&gt;2,HLOOKUP($A138,#REF!,8,FALSE())&lt;-2),"",#REF!),"")</f>
        <v/>
      </c>
      <c r="K138" s="0" t="str">
        <f aca="false">IFERROR(IF(OR(HLOOKUP($A138,#REF!,9,FALSE())&gt;2,HLOOKUP($A138,#REF!,9,FALSE())&lt;-2),"",#REF!),"")</f>
        <v/>
      </c>
      <c r="L138" s="0" t="str">
        <f aca="false">IFERROR(IF(OR(HLOOKUP($A138,#REF!,10,FALSE())&gt;2,HLOOKUP($A138,#REF!,10,FALSE())&lt;-2),"",#REF!),"")</f>
        <v/>
      </c>
      <c r="M138" s="0" t="str">
        <f aca="false">IFERROR(IF(OR(HLOOKUP($A138,#REF!,11,FALSE())&gt;2,HLOOKUP($A138,#REF!,11,FALSE())&lt;-2),"",#REF!),"")</f>
        <v/>
      </c>
      <c r="N138" s="0" t="str">
        <f aca="false">IFERROR(IF(OR(HLOOKUP($A138,#REF!,12,FALSE())&gt;2,HLOOKUP($A138,#REF!,12,FALSE())&lt;-2),"",#REF!),"")</f>
        <v/>
      </c>
      <c r="O138" s="0" t="str">
        <f aca="false">IFERROR(IF(OR(HLOOKUP($A138,#REF!,13,FALSE())&gt;2,HLOOKUP($A138,#REF!,13,FALSE())&lt;-2),"",#REF!),"")</f>
        <v/>
      </c>
      <c r="P138" s="0" t="str">
        <f aca="false">IFERROR(IF(OR(HLOOKUP($A138,#REF!,14,FALSE())&gt;2,HLOOKUP($A138,#REF!,14,FALSE())&lt;-2),"",#REF!),"")</f>
        <v/>
      </c>
      <c r="Q138" s="0" t="str">
        <f aca="false">IFERROR(IF(OR(HLOOKUP($A138,#REF!,15,FALSE())&gt;2,HLOOKUP($A138,#REF!,15,FALSE())&lt;-2),"",#REF!),"")</f>
        <v/>
      </c>
      <c r="R138" s="0" t="str">
        <f aca="false">IFERROR(IF(OR(HLOOKUP($A138,#REF!,16,FALSE())&gt;2,HLOOKUP($A138,#REF!,16,FALSE())&lt;-2),"",#REF!),"")</f>
        <v/>
      </c>
      <c r="S138" s="0" t="str">
        <f aca="false">IFERROR(IF(OR(HLOOKUP($A138,#REF!,17,FALSE())&gt;2,HLOOKUP($A138,#REF!,17,FALSE())&lt;-2),"",#REF!),"")</f>
        <v/>
      </c>
      <c r="T138" s="0" t="str">
        <f aca="false">IFERROR(IF(OR(HLOOKUP($A138,#REF!,18,FALSE())&gt;2,HLOOKUP($A138,#REF!,18,FALSE())&lt;-2),"",#REF!),"")</f>
        <v/>
      </c>
      <c r="U138" s="0" t="str">
        <f aca="false">IFERROR(IF(OR(HLOOKUP($A138,#REF!,19,FALSE())&gt;2,HLOOKUP($A138,#REF!,19,FALSE())&lt;-2),"",#REF!),"")</f>
        <v/>
      </c>
      <c r="V138" s="0" t="n">
        <f aca="false">IFERROR(IF(AND(X138=0,Y138=0),0,1),0)</f>
        <v>1</v>
      </c>
      <c r="W138" s="3" t="str">
        <f aca="false">IFERROR(_xlfn.T.TEST(E138:M138,N138:U138,2,2),"")</f>
        <v/>
      </c>
      <c r="X138" s="0" t="str">
        <f aca="false">IFERROR(AVERAGE(E138:M138),"")</f>
        <v/>
      </c>
      <c r="Y138" s="0" t="str">
        <f aca="false">IFERROR(AVERAGE(N138:U138),"")</f>
        <v/>
      </c>
    </row>
    <row r="139" customFormat="false" ht="14.5" hidden="false" customHeight="false" outlineLevel="0" collapsed="false">
      <c r="A139" s="0" t="n">
        <v>141</v>
      </c>
      <c r="B139" s="0" t="s">
        <v>228</v>
      </c>
      <c r="C139" s="0" t="n">
        <v>71900</v>
      </c>
      <c r="D139" s="0" t="n">
        <v>1097</v>
      </c>
      <c r="E139" s="0" t="str">
        <f aca="false">IFERROR(IF(OR(HLOOKUP($A139,#REF!,3,FALSE())&gt;2,HLOOKUP(A139,#REF!,3,FALSE())&lt;-2),"",#REF!),"")</f>
        <v/>
      </c>
      <c r="F139" s="0" t="str">
        <f aca="false">IFERROR(IF(OR(HLOOKUP($A139,#REF!,4,FALSE())&gt;2,HLOOKUP($A139,#REF!,4,FALSE())&lt;-2),"",#REF!),"")</f>
        <v/>
      </c>
      <c r="G139" s="0" t="str">
        <f aca="false">IFERROR(IF(OR(HLOOKUP($A139,#REF!,5,FALSE())&gt;2,HLOOKUP($A139,#REF!,5,FALSE())&lt;-2),"",#REF!),"")</f>
        <v/>
      </c>
      <c r="H139" s="0" t="str">
        <f aca="false">IFERROR(IF(OR(HLOOKUP($A139,#REF!,6,FALSE())&gt;2,HLOOKUP($A139,#REF!,6,FALSE())&lt;-2),"",#REF!),"")</f>
        <v/>
      </c>
      <c r="I139" s="0" t="str">
        <f aca="false">IFERROR(IF(OR(HLOOKUP($A139,#REF!,7,FALSE())&gt;2,HLOOKUP($A139,#REF!,7,FALSE())&lt;-2),"",#REF!),"")</f>
        <v/>
      </c>
      <c r="J139" s="0" t="str">
        <f aca="false">IFERROR(IF(OR(HLOOKUP($A139,#REF!,8,FALSE())&gt;2,HLOOKUP($A139,#REF!,8,FALSE())&lt;-2),"",#REF!),"")</f>
        <v/>
      </c>
      <c r="K139" s="0" t="str">
        <f aca="false">IFERROR(IF(OR(HLOOKUP($A139,#REF!,9,FALSE())&gt;2,HLOOKUP($A139,#REF!,9,FALSE())&lt;-2),"",#REF!),"")</f>
        <v/>
      </c>
      <c r="L139" s="0" t="str">
        <f aca="false">IFERROR(IF(OR(HLOOKUP($A139,#REF!,10,FALSE())&gt;2,HLOOKUP($A139,#REF!,10,FALSE())&lt;-2),"",#REF!),"")</f>
        <v/>
      </c>
      <c r="M139" s="0" t="str">
        <f aca="false">IFERROR(IF(OR(HLOOKUP($A139,#REF!,11,FALSE())&gt;2,HLOOKUP($A139,#REF!,11,FALSE())&lt;-2),"",#REF!),"")</f>
        <v/>
      </c>
      <c r="N139" s="0" t="str">
        <f aca="false">IFERROR(IF(OR(HLOOKUP($A139,#REF!,12,FALSE())&gt;2,HLOOKUP($A139,#REF!,12,FALSE())&lt;-2),"",#REF!),"")</f>
        <v/>
      </c>
      <c r="O139" s="0" t="str">
        <f aca="false">IFERROR(IF(OR(HLOOKUP($A139,#REF!,13,FALSE())&gt;2,HLOOKUP($A139,#REF!,13,FALSE())&lt;-2),"",#REF!),"")</f>
        <v/>
      </c>
      <c r="P139" s="0" t="str">
        <f aca="false">IFERROR(IF(OR(HLOOKUP($A139,#REF!,14,FALSE())&gt;2,HLOOKUP($A139,#REF!,14,FALSE())&lt;-2),"",#REF!),"")</f>
        <v/>
      </c>
      <c r="Q139" s="0" t="str">
        <f aca="false">IFERROR(IF(OR(HLOOKUP($A139,#REF!,15,FALSE())&gt;2,HLOOKUP($A139,#REF!,15,FALSE())&lt;-2),"",#REF!),"")</f>
        <v/>
      </c>
      <c r="R139" s="0" t="str">
        <f aca="false">IFERROR(IF(OR(HLOOKUP($A139,#REF!,16,FALSE())&gt;2,HLOOKUP($A139,#REF!,16,FALSE())&lt;-2),"",#REF!),"")</f>
        <v/>
      </c>
      <c r="S139" s="0" t="str">
        <f aca="false">IFERROR(IF(OR(HLOOKUP($A139,#REF!,17,FALSE())&gt;2,HLOOKUP($A139,#REF!,17,FALSE())&lt;-2),"",#REF!),"")</f>
        <v/>
      </c>
      <c r="T139" s="0" t="str">
        <f aca="false">IFERROR(IF(OR(HLOOKUP($A139,#REF!,18,FALSE())&gt;2,HLOOKUP($A139,#REF!,18,FALSE())&lt;-2),"",#REF!),"")</f>
        <v/>
      </c>
      <c r="U139" s="0" t="str">
        <f aca="false">IFERROR(IF(OR(HLOOKUP($A139,#REF!,19,FALSE())&gt;2,HLOOKUP($A139,#REF!,19,FALSE())&lt;-2),"",#REF!),"")</f>
        <v/>
      </c>
      <c r="V139" s="0" t="n">
        <f aca="false">IFERROR(IF(AND(X139=0,Y139=0),0,1),0)</f>
        <v>1</v>
      </c>
      <c r="W139" s="3" t="str">
        <f aca="false">IFERROR(_xlfn.T.TEST(E139:M139,N139:U139,2,2),"")</f>
        <v/>
      </c>
      <c r="X139" s="0" t="str">
        <f aca="false">IFERROR(AVERAGE(E139:M139),"")</f>
        <v/>
      </c>
      <c r="Y139" s="0" t="str">
        <f aca="false">IFERROR(AVERAGE(N139:U139),"")</f>
        <v/>
      </c>
    </row>
    <row r="140" customFormat="false" ht="14.5" hidden="false" customHeight="false" outlineLevel="0" collapsed="false">
      <c r="A140" s="0" t="n">
        <v>142</v>
      </c>
      <c r="B140" s="0" t="s">
        <v>229</v>
      </c>
      <c r="C140" s="0" t="n">
        <v>108700</v>
      </c>
      <c r="D140" s="0" t="n">
        <v>760</v>
      </c>
      <c r="E140" s="0" t="str">
        <f aca="false">IFERROR(IF(OR(HLOOKUP($A140,#REF!,3,FALSE())&gt;2,HLOOKUP(A140,#REF!,3,FALSE())&lt;-2),"",#REF!),"")</f>
        <v/>
      </c>
      <c r="F140" s="0" t="str">
        <f aca="false">IFERROR(IF(OR(HLOOKUP($A140,#REF!,4,FALSE())&gt;2,HLOOKUP($A140,#REF!,4,FALSE())&lt;-2),"",#REF!),"")</f>
        <v/>
      </c>
      <c r="G140" s="0" t="str">
        <f aca="false">IFERROR(IF(OR(HLOOKUP($A140,#REF!,5,FALSE())&gt;2,HLOOKUP($A140,#REF!,5,FALSE())&lt;-2),"",#REF!),"")</f>
        <v/>
      </c>
      <c r="H140" s="0" t="str">
        <f aca="false">IFERROR(IF(OR(HLOOKUP($A140,#REF!,6,FALSE())&gt;2,HLOOKUP($A140,#REF!,6,FALSE())&lt;-2),"",#REF!),"")</f>
        <v/>
      </c>
      <c r="I140" s="0" t="str">
        <f aca="false">IFERROR(IF(OR(HLOOKUP($A140,#REF!,7,FALSE())&gt;2,HLOOKUP($A140,#REF!,7,FALSE())&lt;-2),"",#REF!),"")</f>
        <v/>
      </c>
      <c r="J140" s="0" t="str">
        <f aca="false">IFERROR(IF(OR(HLOOKUP($A140,#REF!,8,FALSE())&gt;2,HLOOKUP($A140,#REF!,8,FALSE())&lt;-2),"",#REF!),"")</f>
        <v/>
      </c>
      <c r="K140" s="0" t="str">
        <f aca="false">IFERROR(IF(OR(HLOOKUP($A140,#REF!,9,FALSE())&gt;2,HLOOKUP($A140,#REF!,9,FALSE())&lt;-2),"",#REF!),"")</f>
        <v/>
      </c>
      <c r="L140" s="0" t="str">
        <f aca="false">IFERROR(IF(OR(HLOOKUP($A140,#REF!,10,FALSE())&gt;2,HLOOKUP($A140,#REF!,10,FALSE())&lt;-2),"",#REF!),"")</f>
        <v/>
      </c>
      <c r="M140" s="0" t="str">
        <f aca="false">IFERROR(IF(OR(HLOOKUP($A140,#REF!,11,FALSE())&gt;2,HLOOKUP($A140,#REF!,11,FALSE())&lt;-2),"",#REF!),"")</f>
        <v/>
      </c>
      <c r="N140" s="0" t="str">
        <f aca="false">IFERROR(IF(OR(HLOOKUP($A140,#REF!,12,FALSE())&gt;2,HLOOKUP($A140,#REF!,12,FALSE())&lt;-2),"",#REF!),"")</f>
        <v/>
      </c>
      <c r="O140" s="0" t="str">
        <f aca="false">IFERROR(IF(OR(HLOOKUP($A140,#REF!,13,FALSE())&gt;2,HLOOKUP($A140,#REF!,13,FALSE())&lt;-2),"",#REF!),"")</f>
        <v/>
      </c>
      <c r="P140" s="0" t="str">
        <f aca="false">IFERROR(IF(OR(HLOOKUP($A140,#REF!,14,FALSE())&gt;2,HLOOKUP($A140,#REF!,14,FALSE())&lt;-2),"",#REF!),"")</f>
        <v/>
      </c>
      <c r="Q140" s="0" t="str">
        <f aca="false">IFERROR(IF(OR(HLOOKUP($A140,#REF!,15,FALSE())&gt;2,HLOOKUP($A140,#REF!,15,FALSE())&lt;-2),"",#REF!),"")</f>
        <v/>
      </c>
      <c r="R140" s="0" t="str">
        <f aca="false">IFERROR(IF(OR(HLOOKUP($A140,#REF!,16,FALSE())&gt;2,HLOOKUP($A140,#REF!,16,FALSE())&lt;-2),"",#REF!),"")</f>
        <v/>
      </c>
      <c r="S140" s="0" t="str">
        <f aca="false">IFERROR(IF(OR(HLOOKUP($A140,#REF!,17,FALSE())&gt;2,HLOOKUP($A140,#REF!,17,FALSE())&lt;-2),"",#REF!),"")</f>
        <v/>
      </c>
      <c r="T140" s="0" t="str">
        <f aca="false">IFERROR(IF(OR(HLOOKUP($A140,#REF!,18,FALSE())&gt;2,HLOOKUP($A140,#REF!,18,FALSE())&lt;-2),"",#REF!),"")</f>
        <v/>
      </c>
      <c r="U140" s="0" t="str">
        <f aca="false">IFERROR(IF(OR(HLOOKUP($A140,#REF!,19,FALSE())&gt;2,HLOOKUP($A140,#REF!,19,FALSE())&lt;-2),"",#REF!),"")</f>
        <v/>
      </c>
      <c r="V140" s="0" t="n">
        <f aca="false">IFERROR(IF(AND(X140=0,Y140=0),0,1),0)</f>
        <v>1</v>
      </c>
      <c r="W140" s="3" t="str">
        <f aca="false">IFERROR(_xlfn.T.TEST(E140:M140,N140:U140,2,2),"")</f>
        <v/>
      </c>
      <c r="X140" s="0" t="str">
        <f aca="false">IFERROR(AVERAGE(E140:M140),"")</f>
        <v/>
      </c>
      <c r="Y140" s="0" t="str">
        <f aca="false">IFERROR(AVERAGE(N140:U140),"")</f>
        <v/>
      </c>
    </row>
    <row r="141" customFormat="false" ht="14.5" hidden="false" customHeight="false" outlineLevel="0" collapsed="false">
      <c r="A141" s="0" t="n">
        <v>143</v>
      </c>
      <c r="B141" s="0" t="s">
        <v>230</v>
      </c>
      <c r="C141" s="0" t="n">
        <v>93000</v>
      </c>
      <c r="D141" s="0" t="n">
        <v>135</v>
      </c>
      <c r="E141" s="0" t="str">
        <f aca="false">IFERROR(IF(OR(HLOOKUP($A141,#REF!,3,FALSE())&gt;2,HLOOKUP(A141,#REF!,3,FALSE())&lt;-2),"",#REF!),"")</f>
        <v/>
      </c>
      <c r="F141" s="0" t="str">
        <f aca="false">IFERROR(IF(OR(HLOOKUP($A141,#REF!,4,FALSE())&gt;2,HLOOKUP($A141,#REF!,4,FALSE())&lt;-2),"",#REF!),"")</f>
        <v/>
      </c>
      <c r="G141" s="0" t="str">
        <f aca="false">IFERROR(IF(OR(HLOOKUP($A141,#REF!,5,FALSE())&gt;2,HLOOKUP($A141,#REF!,5,FALSE())&lt;-2),"",#REF!),"")</f>
        <v/>
      </c>
      <c r="H141" s="0" t="str">
        <f aca="false">IFERROR(IF(OR(HLOOKUP($A141,#REF!,6,FALSE())&gt;2,HLOOKUP($A141,#REF!,6,FALSE())&lt;-2),"",#REF!),"")</f>
        <v/>
      </c>
      <c r="I141" s="0" t="str">
        <f aca="false">IFERROR(IF(OR(HLOOKUP($A141,#REF!,7,FALSE())&gt;2,HLOOKUP($A141,#REF!,7,FALSE())&lt;-2),"",#REF!),"")</f>
        <v/>
      </c>
      <c r="J141" s="0" t="str">
        <f aca="false">IFERROR(IF(OR(HLOOKUP($A141,#REF!,8,FALSE())&gt;2,HLOOKUP($A141,#REF!,8,FALSE())&lt;-2),"",#REF!),"")</f>
        <v/>
      </c>
      <c r="K141" s="0" t="str">
        <f aca="false">IFERROR(IF(OR(HLOOKUP($A141,#REF!,9,FALSE())&gt;2,HLOOKUP($A141,#REF!,9,FALSE())&lt;-2),"",#REF!),"")</f>
        <v/>
      </c>
      <c r="L141" s="0" t="str">
        <f aca="false">IFERROR(IF(OR(HLOOKUP($A141,#REF!,10,FALSE())&gt;2,HLOOKUP($A141,#REF!,10,FALSE())&lt;-2),"",#REF!),"")</f>
        <v/>
      </c>
      <c r="M141" s="0" t="str">
        <f aca="false">IFERROR(IF(OR(HLOOKUP($A141,#REF!,11,FALSE())&gt;2,HLOOKUP($A141,#REF!,11,FALSE())&lt;-2),"",#REF!),"")</f>
        <v/>
      </c>
      <c r="N141" s="0" t="str">
        <f aca="false">IFERROR(IF(OR(HLOOKUP($A141,#REF!,12,FALSE())&gt;2,HLOOKUP($A141,#REF!,12,FALSE())&lt;-2),"",#REF!),"")</f>
        <v/>
      </c>
      <c r="O141" s="0" t="str">
        <f aca="false">IFERROR(IF(OR(HLOOKUP($A141,#REF!,13,FALSE())&gt;2,HLOOKUP($A141,#REF!,13,FALSE())&lt;-2),"",#REF!),"")</f>
        <v/>
      </c>
      <c r="P141" s="0" t="str">
        <f aca="false">IFERROR(IF(OR(HLOOKUP($A141,#REF!,14,FALSE())&gt;2,HLOOKUP($A141,#REF!,14,FALSE())&lt;-2),"",#REF!),"")</f>
        <v/>
      </c>
      <c r="Q141" s="0" t="str">
        <f aca="false">IFERROR(IF(OR(HLOOKUP($A141,#REF!,15,FALSE())&gt;2,HLOOKUP($A141,#REF!,15,FALSE())&lt;-2),"",#REF!),"")</f>
        <v/>
      </c>
      <c r="R141" s="0" t="str">
        <f aca="false">IFERROR(IF(OR(HLOOKUP($A141,#REF!,16,FALSE())&gt;2,HLOOKUP($A141,#REF!,16,FALSE())&lt;-2),"",#REF!),"")</f>
        <v/>
      </c>
      <c r="S141" s="0" t="str">
        <f aca="false">IFERROR(IF(OR(HLOOKUP($A141,#REF!,17,FALSE())&gt;2,HLOOKUP($A141,#REF!,17,FALSE())&lt;-2),"",#REF!),"")</f>
        <v/>
      </c>
      <c r="T141" s="0" t="str">
        <f aca="false">IFERROR(IF(OR(HLOOKUP($A141,#REF!,18,FALSE())&gt;2,HLOOKUP($A141,#REF!,18,FALSE())&lt;-2),"",#REF!),"")</f>
        <v/>
      </c>
      <c r="U141" s="0" t="str">
        <f aca="false">IFERROR(IF(OR(HLOOKUP($A141,#REF!,19,FALSE())&gt;2,HLOOKUP($A141,#REF!,19,FALSE())&lt;-2),"",#REF!),"")</f>
        <v/>
      </c>
      <c r="V141" s="0" t="n">
        <f aca="false">IFERROR(IF(AND(X141=0,Y141=0),0,1),0)</f>
        <v>1</v>
      </c>
      <c r="W141" s="3" t="str">
        <f aca="false">IFERROR(_xlfn.T.TEST(E141:M141,N141:U141,2,2),"")</f>
        <v/>
      </c>
      <c r="X141" s="0" t="str">
        <f aca="false">IFERROR(AVERAGE(E141:M141),"")</f>
        <v/>
      </c>
      <c r="Y141" s="0" t="str">
        <f aca="false">IFERROR(AVERAGE(N141:U141),"")</f>
        <v/>
      </c>
    </row>
    <row r="142" customFormat="false" ht="14.5" hidden="false" customHeight="false" outlineLevel="0" collapsed="false">
      <c r="A142" s="0" t="n">
        <v>144</v>
      </c>
      <c r="B142" s="0" t="s">
        <v>231</v>
      </c>
      <c r="C142" s="0" t="n">
        <v>48900</v>
      </c>
      <c r="D142" s="0" t="n">
        <v>754</v>
      </c>
      <c r="E142" s="0" t="str">
        <f aca="false">IFERROR(IF(OR(HLOOKUP($A142,#REF!,3,FALSE())&gt;2,HLOOKUP(A142,#REF!,3,FALSE())&lt;-2),"",#REF!),"")</f>
        <v/>
      </c>
      <c r="F142" s="0" t="str">
        <f aca="false">IFERROR(IF(OR(HLOOKUP($A142,#REF!,4,FALSE())&gt;2,HLOOKUP($A142,#REF!,4,FALSE())&lt;-2),"",#REF!),"")</f>
        <v/>
      </c>
      <c r="G142" s="0" t="str">
        <f aca="false">IFERROR(IF(OR(HLOOKUP($A142,#REF!,5,FALSE())&gt;2,HLOOKUP($A142,#REF!,5,FALSE())&lt;-2),"",#REF!),"")</f>
        <v/>
      </c>
      <c r="H142" s="0" t="str">
        <f aca="false">IFERROR(IF(OR(HLOOKUP($A142,#REF!,6,FALSE())&gt;2,HLOOKUP($A142,#REF!,6,FALSE())&lt;-2),"",#REF!),"")</f>
        <v/>
      </c>
      <c r="I142" s="0" t="str">
        <f aca="false">IFERROR(IF(OR(HLOOKUP($A142,#REF!,7,FALSE())&gt;2,HLOOKUP($A142,#REF!,7,FALSE())&lt;-2),"",#REF!),"")</f>
        <v/>
      </c>
      <c r="J142" s="0" t="str">
        <f aca="false">IFERROR(IF(OR(HLOOKUP($A142,#REF!,8,FALSE())&gt;2,HLOOKUP($A142,#REF!,8,FALSE())&lt;-2),"",#REF!),"")</f>
        <v/>
      </c>
      <c r="K142" s="0" t="str">
        <f aca="false">IFERROR(IF(OR(HLOOKUP($A142,#REF!,9,FALSE())&gt;2,HLOOKUP($A142,#REF!,9,FALSE())&lt;-2),"",#REF!),"")</f>
        <v/>
      </c>
      <c r="L142" s="0" t="str">
        <f aca="false">IFERROR(IF(OR(HLOOKUP($A142,#REF!,10,FALSE())&gt;2,HLOOKUP($A142,#REF!,10,FALSE())&lt;-2),"",#REF!),"")</f>
        <v/>
      </c>
      <c r="M142" s="0" t="str">
        <f aca="false">IFERROR(IF(OR(HLOOKUP($A142,#REF!,11,FALSE())&gt;2,HLOOKUP($A142,#REF!,11,FALSE())&lt;-2),"",#REF!),"")</f>
        <v/>
      </c>
      <c r="N142" s="0" t="str">
        <f aca="false">IFERROR(IF(OR(HLOOKUP($A142,#REF!,12,FALSE())&gt;2,HLOOKUP($A142,#REF!,12,FALSE())&lt;-2),"",#REF!),"")</f>
        <v/>
      </c>
      <c r="O142" s="0" t="str">
        <f aca="false">IFERROR(IF(OR(HLOOKUP($A142,#REF!,13,FALSE())&gt;2,HLOOKUP($A142,#REF!,13,FALSE())&lt;-2),"",#REF!),"")</f>
        <v/>
      </c>
      <c r="P142" s="0" t="str">
        <f aca="false">IFERROR(IF(OR(HLOOKUP($A142,#REF!,14,FALSE())&gt;2,HLOOKUP($A142,#REF!,14,FALSE())&lt;-2),"",#REF!),"")</f>
        <v/>
      </c>
      <c r="Q142" s="0" t="str">
        <f aca="false">IFERROR(IF(OR(HLOOKUP($A142,#REF!,15,FALSE())&gt;2,HLOOKUP($A142,#REF!,15,FALSE())&lt;-2),"",#REF!),"")</f>
        <v/>
      </c>
      <c r="R142" s="0" t="str">
        <f aca="false">IFERROR(IF(OR(HLOOKUP($A142,#REF!,16,FALSE())&gt;2,HLOOKUP($A142,#REF!,16,FALSE())&lt;-2),"",#REF!),"")</f>
        <v/>
      </c>
      <c r="S142" s="0" t="str">
        <f aca="false">IFERROR(IF(OR(HLOOKUP($A142,#REF!,17,FALSE())&gt;2,HLOOKUP($A142,#REF!,17,FALSE())&lt;-2),"",#REF!),"")</f>
        <v/>
      </c>
      <c r="T142" s="0" t="str">
        <f aca="false">IFERROR(IF(OR(HLOOKUP($A142,#REF!,18,FALSE())&gt;2,HLOOKUP($A142,#REF!,18,FALSE())&lt;-2),"",#REF!),"")</f>
        <v/>
      </c>
      <c r="U142" s="0" t="str">
        <f aca="false">IFERROR(IF(OR(HLOOKUP($A142,#REF!,19,FALSE())&gt;2,HLOOKUP($A142,#REF!,19,FALSE())&lt;-2),"",#REF!),"")</f>
        <v/>
      </c>
      <c r="V142" s="0" t="n">
        <f aca="false">IFERROR(IF(AND(X142=0,Y142=0),0,1),0)</f>
        <v>1</v>
      </c>
      <c r="W142" s="3" t="str">
        <f aca="false">IFERROR(_xlfn.T.TEST(E142:M142,N142:U142,2,2),"")</f>
        <v/>
      </c>
      <c r="X142" s="0" t="str">
        <f aca="false">IFERROR(AVERAGE(E142:M142),"")</f>
        <v/>
      </c>
      <c r="Y142" s="0" t="str">
        <f aca="false">IFERROR(AVERAGE(N142:U142),"")</f>
        <v/>
      </c>
    </row>
    <row r="143" customFormat="false" ht="14.5" hidden="false" customHeight="false" outlineLevel="0" collapsed="false">
      <c r="A143" s="0" t="n">
        <v>145</v>
      </c>
      <c r="B143" s="0" t="s">
        <v>232</v>
      </c>
      <c r="C143" s="0" t="n">
        <v>116700</v>
      </c>
      <c r="D143" s="0" t="n">
        <v>73</v>
      </c>
      <c r="E143" s="0" t="str">
        <f aca="false">IFERROR(IF(OR(HLOOKUP($A143,#REF!,3,FALSE())&gt;2,HLOOKUP(A143,#REF!,3,FALSE())&lt;-2),"",#REF!),"")</f>
        <v/>
      </c>
      <c r="F143" s="0" t="str">
        <f aca="false">IFERROR(IF(OR(HLOOKUP($A143,#REF!,4,FALSE())&gt;2,HLOOKUP($A143,#REF!,4,FALSE())&lt;-2),"",#REF!),"")</f>
        <v/>
      </c>
      <c r="G143" s="0" t="str">
        <f aca="false">IFERROR(IF(OR(HLOOKUP($A143,#REF!,5,FALSE())&gt;2,HLOOKUP($A143,#REF!,5,FALSE())&lt;-2),"",#REF!),"")</f>
        <v/>
      </c>
      <c r="H143" s="0" t="str">
        <f aca="false">IFERROR(IF(OR(HLOOKUP($A143,#REF!,6,FALSE())&gt;2,HLOOKUP($A143,#REF!,6,FALSE())&lt;-2),"",#REF!),"")</f>
        <v/>
      </c>
      <c r="I143" s="0" t="str">
        <f aca="false">IFERROR(IF(OR(HLOOKUP($A143,#REF!,7,FALSE())&gt;2,HLOOKUP($A143,#REF!,7,FALSE())&lt;-2),"",#REF!),"")</f>
        <v/>
      </c>
      <c r="J143" s="0" t="str">
        <f aca="false">IFERROR(IF(OR(HLOOKUP($A143,#REF!,8,FALSE())&gt;2,HLOOKUP($A143,#REF!,8,FALSE())&lt;-2),"",#REF!),"")</f>
        <v/>
      </c>
      <c r="K143" s="0" t="str">
        <f aca="false">IFERROR(IF(OR(HLOOKUP($A143,#REF!,9,FALSE())&gt;2,HLOOKUP($A143,#REF!,9,FALSE())&lt;-2),"",#REF!),"")</f>
        <v/>
      </c>
      <c r="L143" s="0" t="str">
        <f aca="false">IFERROR(IF(OR(HLOOKUP($A143,#REF!,10,FALSE())&gt;2,HLOOKUP($A143,#REF!,10,FALSE())&lt;-2),"",#REF!),"")</f>
        <v/>
      </c>
      <c r="M143" s="0" t="str">
        <f aca="false">IFERROR(IF(OR(HLOOKUP($A143,#REF!,11,FALSE())&gt;2,HLOOKUP($A143,#REF!,11,FALSE())&lt;-2),"",#REF!),"")</f>
        <v/>
      </c>
      <c r="N143" s="0" t="str">
        <f aca="false">IFERROR(IF(OR(HLOOKUP($A143,#REF!,12,FALSE())&gt;2,HLOOKUP($A143,#REF!,12,FALSE())&lt;-2),"",#REF!),"")</f>
        <v/>
      </c>
      <c r="O143" s="0" t="str">
        <f aca="false">IFERROR(IF(OR(HLOOKUP($A143,#REF!,13,FALSE())&gt;2,HLOOKUP($A143,#REF!,13,FALSE())&lt;-2),"",#REF!),"")</f>
        <v/>
      </c>
      <c r="P143" s="0" t="str">
        <f aca="false">IFERROR(IF(OR(HLOOKUP($A143,#REF!,14,FALSE())&gt;2,HLOOKUP($A143,#REF!,14,FALSE())&lt;-2),"",#REF!),"")</f>
        <v/>
      </c>
      <c r="Q143" s="0" t="str">
        <f aca="false">IFERROR(IF(OR(HLOOKUP($A143,#REF!,15,FALSE())&gt;2,HLOOKUP($A143,#REF!,15,FALSE())&lt;-2),"",#REF!),"")</f>
        <v/>
      </c>
      <c r="R143" s="0" t="str">
        <f aca="false">IFERROR(IF(OR(HLOOKUP($A143,#REF!,16,FALSE())&gt;2,HLOOKUP($A143,#REF!,16,FALSE())&lt;-2),"",#REF!),"")</f>
        <v/>
      </c>
      <c r="S143" s="0" t="str">
        <f aca="false">IFERROR(IF(OR(HLOOKUP($A143,#REF!,17,FALSE())&gt;2,HLOOKUP($A143,#REF!,17,FALSE())&lt;-2),"",#REF!),"")</f>
        <v/>
      </c>
      <c r="T143" s="0" t="str">
        <f aca="false">IFERROR(IF(OR(HLOOKUP($A143,#REF!,18,FALSE())&gt;2,HLOOKUP($A143,#REF!,18,FALSE())&lt;-2),"",#REF!),"")</f>
        <v/>
      </c>
      <c r="U143" s="0" t="str">
        <f aca="false">IFERROR(IF(OR(HLOOKUP($A143,#REF!,19,FALSE())&gt;2,HLOOKUP($A143,#REF!,19,FALSE())&lt;-2),"",#REF!),"")</f>
        <v/>
      </c>
      <c r="V143" s="0" t="n">
        <f aca="false">IFERROR(IF(AND(X143=0,Y143=0),0,1),0)</f>
        <v>1</v>
      </c>
      <c r="W143" s="3" t="str">
        <f aca="false">IFERROR(_xlfn.T.TEST(E143:M143,N143:U143,2,2),"")</f>
        <v/>
      </c>
      <c r="X143" s="0" t="str">
        <f aca="false">IFERROR(AVERAGE(E143:M143),"")</f>
        <v/>
      </c>
      <c r="Y143" s="0" t="str">
        <f aca="false">IFERROR(AVERAGE(N143:U143),"")</f>
        <v/>
      </c>
    </row>
    <row r="144" customFormat="false" ht="14.5" hidden="false" customHeight="false" outlineLevel="0" collapsed="false">
      <c r="A144" s="0" t="n">
        <v>146</v>
      </c>
      <c r="B144" s="0" t="s">
        <v>233</v>
      </c>
      <c r="C144" s="0" t="n">
        <v>89000</v>
      </c>
      <c r="D144" s="0" t="n">
        <v>1117</v>
      </c>
      <c r="E144" s="0" t="str">
        <f aca="false">IFERROR(IF(OR(HLOOKUP($A144,#REF!,3,FALSE())&gt;2,HLOOKUP(A144,#REF!,3,FALSE())&lt;-2),"",#REF!),"")</f>
        <v/>
      </c>
      <c r="F144" s="0" t="str">
        <f aca="false">IFERROR(IF(OR(HLOOKUP($A144,#REF!,4,FALSE())&gt;2,HLOOKUP($A144,#REF!,4,FALSE())&lt;-2),"",#REF!),"")</f>
        <v/>
      </c>
      <c r="G144" s="0" t="str">
        <f aca="false">IFERROR(IF(OR(HLOOKUP($A144,#REF!,5,FALSE())&gt;2,HLOOKUP($A144,#REF!,5,FALSE())&lt;-2),"",#REF!),"")</f>
        <v/>
      </c>
      <c r="H144" s="0" t="str">
        <f aca="false">IFERROR(IF(OR(HLOOKUP($A144,#REF!,6,FALSE())&gt;2,HLOOKUP($A144,#REF!,6,FALSE())&lt;-2),"",#REF!),"")</f>
        <v/>
      </c>
      <c r="I144" s="0" t="str">
        <f aca="false">IFERROR(IF(OR(HLOOKUP($A144,#REF!,7,FALSE())&gt;2,HLOOKUP($A144,#REF!,7,FALSE())&lt;-2),"",#REF!),"")</f>
        <v/>
      </c>
      <c r="J144" s="0" t="str">
        <f aca="false">IFERROR(IF(OR(HLOOKUP($A144,#REF!,8,FALSE())&gt;2,HLOOKUP($A144,#REF!,8,FALSE())&lt;-2),"",#REF!),"")</f>
        <v/>
      </c>
      <c r="K144" s="0" t="str">
        <f aca="false">IFERROR(IF(OR(HLOOKUP($A144,#REF!,9,FALSE())&gt;2,HLOOKUP($A144,#REF!,9,FALSE())&lt;-2),"",#REF!),"")</f>
        <v/>
      </c>
      <c r="L144" s="0" t="str">
        <f aca="false">IFERROR(IF(OR(HLOOKUP($A144,#REF!,10,FALSE())&gt;2,HLOOKUP($A144,#REF!,10,FALSE())&lt;-2),"",#REF!),"")</f>
        <v/>
      </c>
      <c r="M144" s="0" t="str">
        <f aca="false">IFERROR(IF(OR(HLOOKUP($A144,#REF!,11,FALSE())&gt;2,HLOOKUP($A144,#REF!,11,FALSE())&lt;-2),"",#REF!),"")</f>
        <v/>
      </c>
      <c r="N144" s="0" t="str">
        <f aca="false">IFERROR(IF(OR(HLOOKUP($A144,#REF!,12,FALSE())&gt;2,HLOOKUP($A144,#REF!,12,FALSE())&lt;-2),"",#REF!),"")</f>
        <v/>
      </c>
      <c r="O144" s="0" t="str">
        <f aca="false">IFERROR(IF(OR(HLOOKUP($A144,#REF!,13,FALSE())&gt;2,HLOOKUP($A144,#REF!,13,FALSE())&lt;-2),"",#REF!),"")</f>
        <v/>
      </c>
      <c r="P144" s="0" t="str">
        <f aca="false">IFERROR(IF(OR(HLOOKUP($A144,#REF!,14,FALSE())&gt;2,HLOOKUP($A144,#REF!,14,FALSE())&lt;-2),"",#REF!),"")</f>
        <v/>
      </c>
      <c r="Q144" s="0" t="str">
        <f aca="false">IFERROR(IF(OR(HLOOKUP($A144,#REF!,15,FALSE())&gt;2,HLOOKUP($A144,#REF!,15,FALSE())&lt;-2),"",#REF!),"")</f>
        <v/>
      </c>
      <c r="R144" s="0" t="str">
        <f aca="false">IFERROR(IF(OR(HLOOKUP($A144,#REF!,16,FALSE())&gt;2,HLOOKUP($A144,#REF!,16,FALSE())&lt;-2),"",#REF!),"")</f>
        <v/>
      </c>
      <c r="S144" s="0" t="str">
        <f aca="false">IFERROR(IF(OR(HLOOKUP($A144,#REF!,17,FALSE())&gt;2,HLOOKUP($A144,#REF!,17,FALSE())&lt;-2),"",#REF!),"")</f>
        <v/>
      </c>
      <c r="T144" s="0" t="str">
        <f aca="false">IFERROR(IF(OR(HLOOKUP($A144,#REF!,18,FALSE())&gt;2,HLOOKUP($A144,#REF!,18,FALSE())&lt;-2),"",#REF!),"")</f>
        <v/>
      </c>
      <c r="U144" s="0" t="str">
        <f aca="false">IFERROR(IF(OR(HLOOKUP($A144,#REF!,19,FALSE())&gt;2,HLOOKUP($A144,#REF!,19,FALSE())&lt;-2),"",#REF!),"")</f>
        <v/>
      </c>
      <c r="V144" s="0" t="n">
        <f aca="false">IFERROR(IF(AND(X144=0,Y144=0),0,1),0)</f>
        <v>1</v>
      </c>
      <c r="W144" s="3" t="str">
        <f aca="false">IFERROR(_xlfn.T.TEST(E144:M144,N144:U144,2,2),"")</f>
        <v/>
      </c>
      <c r="X144" s="0" t="str">
        <f aca="false">IFERROR(AVERAGE(E144:M144),"")</f>
        <v/>
      </c>
      <c r="Y144" s="0" t="str">
        <f aca="false">IFERROR(AVERAGE(N144:U144),"")</f>
        <v/>
      </c>
    </row>
    <row r="145" customFormat="false" ht="14.5" hidden="false" customHeight="false" outlineLevel="0" collapsed="false">
      <c r="A145" s="0" t="n">
        <v>147</v>
      </c>
      <c r="B145" s="0" t="s">
        <v>234</v>
      </c>
      <c r="C145" s="0" t="n">
        <v>88700</v>
      </c>
      <c r="D145" s="0" t="n">
        <v>1117</v>
      </c>
      <c r="E145" s="0" t="str">
        <f aca="false">IFERROR(IF(OR(HLOOKUP($A145,#REF!,3,FALSE())&gt;2,HLOOKUP(A145,#REF!,3,FALSE())&lt;-2),"",#REF!),"")</f>
        <v/>
      </c>
      <c r="F145" s="0" t="str">
        <f aca="false">IFERROR(IF(OR(HLOOKUP($A145,#REF!,4,FALSE())&gt;2,HLOOKUP($A145,#REF!,4,FALSE())&lt;-2),"",#REF!),"")</f>
        <v/>
      </c>
      <c r="G145" s="0" t="str">
        <f aca="false">IFERROR(IF(OR(HLOOKUP($A145,#REF!,5,FALSE())&gt;2,HLOOKUP($A145,#REF!,5,FALSE())&lt;-2),"",#REF!),"")</f>
        <v/>
      </c>
      <c r="H145" s="0" t="str">
        <f aca="false">IFERROR(IF(OR(HLOOKUP($A145,#REF!,6,FALSE())&gt;2,HLOOKUP($A145,#REF!,6,FALSE())&lt;-2),"",#REF!),"")</f>
        <v/>
      </c>
      <c r="I145" s="0" t="str">
        <f aca="false">IFERROR(IF(OR(HLOOKUP($A145,#REF!,7,FALSE())&gt;2,HLOOKUP($A145,#REF!,7,FALSE())&lt;-2),"",#REF!),"")</f>
        <v/>
      </c>
      <c r="J145" s="0" t="str">
        <f aca="false">IFERROR(IF(OR(HLOOKUP($A145,#REF!,8,FALSE())&gt;2,HLOOKUP($A145,#REF!,8,FALSE())&lt;-2),"",#REF!),"")</f>
        <v/>
      </c>
      <c r="K145" s="0" t="str">
        <f aca="false">IFERROR(IF(OR(HLOOKUP($A145,#REF!,9,FALSE())&gt;2,HLOOKUP($A145,#REF!,9,FALSE())&lt;-2),"",#REF!),"")</f>
        <v/>
      </c>
      <c r="L145" s="0" t="str">
        <f aca="false">IFERROR(IF(OR(HLOOKUP($A145,#REF!,10,FALSE())&gt;2,HLOOKUP($A145,#REF!,10,FALSE())&lt;-2),"",#REF!),"")</f>
        <v/>
      </c>
      <c r="M145" s="0" t="str">
        <f aca="false">IFERROR(IF(OR(HLOOKUP($A145,#REF!,11,FALSE())&gt;2,HLOOKUP($A145,#REF!,11,FALSE())&lt;-2),"",#REF!),"")</f>
        <v/>
      </c>
      <c r="N145" s="0" t="str">
        <f aca="false">IFERROR(IF(OR(HLOOKUP($A145,#REF!,12,FALSE())&gt;2,HLOOKUP($A145,#REF!,12,FALSE())&lt;-2),"",#REF!),"")</f>
        <v/>
      </c>
      <c r="O145" s="0" t="str">
        <f aca="false">IFERROR(IF(OR(HLOOKUP($A145,#REF!,13,FALSE())&gt;2,HLOOKUP($A145,#REF!,13,FALSE())&lt;-2),"",#REF!),"")</f>
        <v/>
      </c>
      <c r="P145" s="0" t="str">
        <f aca="false">IFERROR(IF(OR(HLOOKUP($A145,#REF!,14,FALSE())&gt;2,HLOOKUP($A145,#REF!,14,FALSE())&lt;-2),"",#REF!),"")</f>
        <v/>
      </c>
      <c r="Q145" s="0" t="str">
        <f aca="false">IFERROR(IF(OR(HLOOKUP($A145,#REF!,15,FALSE())&gt;2,HLOOKUP($A145,#REF!,15,FALSE())&lt;-2),"",#REF!),"")</f>
        <v/>
      </c>
      <c r="R145" s="0" t="str">
        <f aca="false">IFERROR(IF(OR(HLOOKUP($A145,#REF!,16,FALSE())&gt;2,HLOOKUP($A145,#REF!,16,FALSE())&lt;-2),"",#REF!),"")</f>
        <v/>
      </c>
      <c r="S145" s="0" t="str">
        <f aca="false">IFERROR(IF(OR(HLOOKUP($A145,#REF!,17,FALSE())&gt;2,HLOOKUP($A145,#REF!,17,FALSE())&lt;-2),"",#REF!),"")</f>
        <v/>
      </c>
      <c r="T145" s="0" t="str">
        <f aca="false">IFERROR(IF(OR(HLOOKUP($A145,#REF!,18,FALSE())&gt;2,HLOOKUP($A145,#REF!,18,FALSE())&lt;-2),"",#REF!),"")</f>
        <v/>
      </c>
      <c r="U145" s="0" t="str">
        <f aca="false">IFERROR(IF(OR(HLOOKUP($A145,#REF!,19,FALSE())&gt;2,HLOOKUP($A145,#REF!,19,FALSE())&lt;-2),"",#REF!),"")</f>
        <v/>
      </c>
      <c r="V145" s="0" t="n">
        <f aca="false">IFERROR(IF(AND(X145=0,Y145=0),0,1),0)</f>
        <v>1</v>
      </c>
      <c r="W145" s="3" t="str">
        <f aca="false">IFERROR(_xlfn.T.TEST(E145:M145,N145:U145,2,2),"")</f>
        <v/>
      </c>
      <c r="X145" s="0" t="str">
        <f aca="false">IFERROR(AVERAGE(E145:M145),"")</f>
        <v/>
      </c>
      <c r="Y145" s="0" t="str">
        <f aca="false">IFERROR(AVERAGE(N145:U145),"")</f>
        <v/>
      </c>
    </row>
    <row r="146" customFormat="false" ht="14.5" hidden="false" customHeight="false" outlineLevel="0" collapsed="false">
      <c r="A146" s="0" t="n">
        <v>148</v>
      </c>
      <c r="B146" s="0" t="s">
        <v>235</v>
      </c>
      <c r="C146" s="0" t="n">
        <v>9400</v>
      </c>
      <c r="D146" s="0" t="n">
        <v>1057</v>
      </c>
      <c r="E146" s="0" t="str">
        <f aca="false">IFERROR(IF(OR(HLOOKUP($A146,#REF!,3,FALSE())&gt;2,HLOOKUP(A146,#REF!,3,FALSE())&lt;-2),"",#REF!),"")</f>
        <v/>
      </c>
      <c r="F146" s="0" t="str">
        <f aca="false">IFERROR(IF(OR(HLOOKUP($A146,#REF!,4,FALSE())&gt;2,HLOOKUP($A146,#REF!,4,FALSE())&lt;-2),"",#REF!),"")</f>
        <v/>
      </c>
      <c r="G146" s="0" t="str">
        <f aca="false">IFERROR(IF(OR(HLOOKUP($A146,#REF!,5,FALSE())&gt;2,HLOOKUP($A146,#REF!,5,FALSE())&lt;-2),"",#REF!),"")</f>
        <v/>
      </c>
      <c r="H146" s="0" t="str">
        <f aca="false">IFERROR(IF(OR(HLOOKUP($A146,#REF!,6,FALSE())&gt;2,HLOOKUP($A146,#REF!,6,FALSE())&lt;-2),"",#REF!),"")</f>
        <v/>
      </c>
      <c r="I146" s="0" t="str">
        <f aca="false">IFERROR(IF(OR(HLOOKUP($A146,#REF!,7,FALSE())&gt;2,HLOOKUP($A146,#REF!,7,FALSE())&lt;-2),"",#REF!),"")</f>
        <v/>
      </c>
      <c r="J146" s="0" t="str">
        <f aca="false">IFERROR(IF(OR(HLOOKUP($A146,#REF!,8,FALSE())&gt;2,HLOOKUP($A146,#REF!,8,FALSE())&lt;-2),"",#REF!),"")</f>
        <v/>
      </c>
      <c r="K146" s="0" t="str">
        <f aca="false">IFERROR(IF(OR(HLOOKUP($A146,#REF!,9,FALSE())&gt;2,HLOOKUP($A146,#REF!,9,FALSE())&lt;-2),"",#REF!),"")</f>
        <v/>
      </c>
      <c r="L146" s="0" t="str">
        <f aca="false">IFERROR(IF(OR(HLOOKUP($A146,#REF!,10,FALSE())&gt;2,HLOOKUP($A146,#REF!,10,FALSE())&lt;-2),"",#REF!),"")</f>
        <v/>
      </c>
      <c r="M146" s="0" t="str">
        <f aca="false">IFERROR(IF(OR(HLOOKUP($A146,#REF!,11,FALSE())&gt;2,HLOOKUP($A146,#REF!,11,FALSE())&lt;-2),"",#REF!),"")</f>
        <v/>
      </c>
      <c r="N146" s="0" t="str">
        <f aca="false">IFERROR(IF(OR(HLOOKUP($A146,#REF!,12,FALSE())&gt;2,HLOOKUP($A146,#REF!,12,FALSE())&lt;-2),"",#REF!),"")</f>
        <v/>
      </c>
      <c r="O146" s="0" t="str">
        <f aca="false">IFERROR(IF(OR(HLOOKUP($A146,#REF!,13,FALSE())&gt;2,HLOOKUP($A146,#REF!,13,FALSE())&lt;-2),"",#REF!),"")</f>
        <v/>
      </c>
      <c r="P146" s="0" t="str">
        <f aca="false">IFERROR(IF(OR(HLOOKUP($A146,#REF!,14,FALSE())&gt;2,HLOOKUP($A146,#REF!,14,FALSE())&lt;-2),"",#REF!),"")</f>
        <v/>
      </c>
      <c r="Q146" s="0" t="str">
        <f aca="false">IFERROR(IF(OR(HLOOKUP($A146,#REF!,15,FALSE())&gt;2,HLOOKUP($A146,#REF!,15,FALSE())&lt;-2),"",#REF!),"")</f>
        <v/>
      </c>
      <c r="R146" s="0" t="str">
        <f aca="false">IFERROR(IF(OR(HLOOKUP($A146,#REF!,16,FALSE())&gt;2,HLOOKUP($A146,#REF!,16,FALSE())&lt;-2),"",#REF!),"")</f>
        <v/>
      </c>
      <c r="S146" s="0" t="str">
        <f aca="false">IFERROR(IF(OR(HLOOKUP($A146,#REF!,17,FALSE())&gt;2,HLOOKUP($A146,#REF!,17,FALSE())&lt;-2),"",#REF!),"")</f>
        <v/>
      </c>
      <c r="T146" s="0" t="str">
        <f aca="false">IFERROR(IF(OR(HLOOKUP($A146,#REF!,18,FALSE())&gt;2,HLOOKUP($A146,#REF!,18,FALSE())&lt;-2),"",#REF!),"")</f>
        <v/>
      </c>
      <c r="U146" s="0" t="str">
        <f aca="false">IFERROR(IF(OR(HLOOKUP($A146,#REF!,19,FALSE())&gt;2,HLOOKUP($A146,#REF!,19,FALSE())&lt;-2),"",#REF!),"")</f>
        <v/>
      </c>
      <c r="V146" s="0" t="n">
        <f aca="false">IFERROR(IF(AND(X146=0,Y146=0),0,1),0)</f>
        <v>1</v>
      </c>
      <c r="W146" s="3" t="str">
        <f aca="false">IFERROR(_xlfn.T.TEST(E146:M146,N146:U146,2,2),"")</f>
        <v/>
      </c>
      <c r="X146" s="0" t="str">
        <f aca="false">IFERROR(AVERAGE(E146:M146),"")</f>
        <v/>
      </c>
      <c r="Y146" s="0" t="str">
        <f aca="false">IFERROR(AVERAGE(N146:U146),"")</f>
        <v/>
      </c>
    </row>
    <row r="147" customFormat="false" ht="14.5" hidden="false" customHeight="false" outlineLevel="0" collapsed="false">
      <c r="A147" s="0" t="n">
        <v>149</v>
      </c>
      <c r="B147" s="0" t="s">
        <v>236</v>
      </c>
      <c r="C147" s="0" t="n">
        <v>68000</v>
      </c>
      <c r="D147" s="0" t="n">
        <v>571</v>
      </c>
      <c r="E147" s="0" t="str">
        <f aca="false">IFERROR(IF(OR(HLOOKUP($A147,#REF!,3,FALSE())&gt;2,HLOOKUP(A147,#REF!,3,FALSE())&lt;-2),"",#REF!),"")</f>
        <v/>
      </c>
      <c r="F147" s="0" t="str">
        <f aca="false">IFERROR(IF(OR(HLOOKUP($A147,#REF!,4,FALSE())&gt;2,HLOOKUP($A147,#REF!,4,FALSE())&lt;-2),"",#REF!),"")</f>
        <v/>
      </c>
      <c r="G147" s="0" t="str">
        <f aca="false">IFERROR(IF(OR(HLOOKUP($A147,#REF!,5,FALSE())&gt;2,HLOOKUP($A147,#REF!,5,FALSE())&lt;-2),"",#REF!),"")</f>
        <v/>
      </c>
      <c r="H147" s="0" t="str">
        <f aca="false">IFERROR(IF(OR(HLOOKUP($A147,#REF!,6,FALSE())&gt;2,HLOOKUP($A147,#REF!,6,FALSE())&lt;-2),"",#REF!),"")</f>
        <v/>
      </c>
      <c r="I147" s="0" t="str">
        <f aca="false">IFERROR(IF(OR(HLOOKUP($A147,#REF!,7,FALSE())&gt;2,HLOOKUP($A147,#REF!,7,FALSE())&lt;-2),"",#REF!),"")</f>
        <v/>
      </c>
      <c r="J147" s="0" t="str">
        <f aca="false">IFERROR(IF(OR(HLOOKUP($A147,#REF!,8,FALSE())&gt;2,HLOOKUP($A147,#REF!,8,FALSE())&lt;-2),"",#REF!),"")</f>
        <v/>
      </c>
      <c r="K147" s="0" t="str">
        <f aca="false">IFERROR(IF(OR(HLOOKUP($A147,#REF!,9,FALSE())&gt;2,HLOOKUP($A147,#REF!,9,FALSE())&lt;-2),"",#REF!),"")</f>
        <v/>
      </c>
      <c r="L147" s="0" t="str">
        <f aca="false">IFERROR(IF(OR(HLOOKUP($A147,#REF!,10,FALSE())&gt;2,HLOOKUP($A147,#REF!,10,FALSE())&lt;-2),"",#REF!),"")</f>
        <v/>
      </c>
      <c r="M147" s="0" t="str">
        <f aca="false">IFERROR(IF(OR(HLOOKUP($A147,#REF!,11,FALSE())&gt;2,HLOOKUP($A147,#REF!,11,FALSE())&lt;-2),"",#REF!),"")</f>
        <v/>
      </c>
      <c r="N147" s="0" t="str">
        <f aca="false">IFERROR(IF(OR(HLOOKUP($A147,#REF!,12,FALSE())&gt;2,HLOOKUP($A147,#REF!,12,FALSE())&lt;-2),"",#REF!),"")</f>
        <v/>
      </c>
      <c r="O147" s="0" t="str">
        <f aca="false">IFERROR(IF(OR(HLOOKUP($A147,#REF!,13,FALSE())&gt;2,HLOOKUP($A147,#REF!,13,FALSE())&lt;-2),"",#REF!),"")</f>
        <v/>
      </c>
      <c r="P147" s="0" t="str">
        <f aca="false">IFERROR(IF(OR(HLOOKUP($A147,#REF!,14,FALSE())&gt;2,HLOOKUP($A147,#REF!,14,FALSE())&lt;-2),"",#REF!),"")</f>
        <v/>
      </c>
      <c r="Q147" s="0" t="str">
        <f aca="false">IFERROR(IF(OR(HLOOKUP($A147,#REF!,15,FALSE())&gt;2,HLOOKUP($A147,#REF!,15,FALSE())&lt;-2),"",#REF!),"")</f>
        <v/>
      </c>
      <c r="R147" s="0" t="str">
        <f aca="false">IFERROR(IF(OR(HLOOKUP($A147,#REF!,16,FALSE())&gt;2,HLOOKUP($A147,#REF!,16,FALSE())&lt;-2),"",#REF!),"")</f>
        <v/>
      </c>
      <c r="S147" s="0" t="str">
        <f aca="false">IFERROR(IF(OR(HLOOKUP($A147,#REF!,17,FALSE())&gt;2,HLOOKUP($A147,#REF!,17,FALSE())&lt;-2),"",#REF!),"")</f>
        <v/>
      </c>
      <c r="T147" s="0" t="str">
        <f aca="false">IFERROR(IF(OR(HLOOKUP($A147,#REF!,18,FALSE())&gt;2,HLOOKUP($A147,#REF!,18,FALSE())&lt;-2),"",#REF!),"")</f>
        <v/>
      </c>
      <c r="U147" s="0" t="str">
        <f aca="false">IFERROR(IF(OR(HLOOKUP($A147,#REF!,19,FALSE())&gt;2,HLOOKUP($A147,#REF!,19,FALSE())&lt;-2),"",#REF!),"")</f>
        <v/>
      </c>
      <c r="V147" s="0" t="n">
        <f aca="false">IFERROR(IF(AND(X147=0,Y147=0),0,1),0)</f>
        <v>1</v>
      </c>
      <c r="W147" s="3" t="str">
        <f aca="false">IFERROR(_xlfn.T.TEST(E147:M147,N147:U147,2,2),"")</f>
        <v/>
      </c>
      <c r="X147" s="0" t="str">
        <f aca="false">IFERROR(AVERAGE(E147:M147),"")</f>
        <v/>
      </c>
      <c r="Y147" s="0" t="str">
        <f aca="false">IFERROR(AVERAGE(N147:U147),"")</f>
        <v/>
      </c>
    </row>
    <row r="148" customFormat="false" ht="14.5" hidden="false" customHeight="false" outlineLevel="0" collapsed="false">
      <c r="A148" s="0" t="n">
        <v>150</v>
      </c>
      <c r="B148" s="0" t="s">
        <v>237</v>
      </c>
      <c r="C148" s="0" t="n">
        <v>114200</v>
      </c>
      <c r="D148" s="0" t="n">
        <v>824</v>
      </c>
      <c r="E148" s="0" t="str">
        <f aca="false">IFERROR(IF(OR(HLOOKUP($A148,#REF!,3,FALSE())&gt;2,HLOOKUP(A148,#REF!,3,FALSE())&lt;-2),"",#REF!),"")</f>
        <v/>
      </c>
      <c r="F148" s="0" t="str">
        <f aca="false">IFERROR(IF(OR(HLOOKUP($A148,#REF!,4,FALSE())&gt;2,HLOOKUP($A148,#REF!,4,FALSE())&lt;-2),"",#REF!),"")</f>
        <v/>
      </c>
      <c r="G148" s="0" t="str">
        <f aca="false">IFERROR(IF(OR(HLOOKUP($A148,#REF!,5,FALSE())&gt;2,HLOOKUP($A148,#REF!,5,FALSE())&lt;-2),"",#REF!),"")</f>
        <v/>
      </c>
      <c r="H148" s="0" t="str">
        <f aca="false">IFERROR(IF(OR(HLOOKUP($A148,#REF!,6,FALSE())&gt;2,HLOOKUP($A148,#REF!,6,FALSE())&lt;-2),"",#REF!),"")</f>
        <v/>
      </c>
      <c r="I148" s="0" t="str">
        <f aca="false">IFERROR(IF(OR(HLOOKUP($A148,#REF!,7,FALSE())&gt;2,HLOOKUP($A148,#REF!,7,FALSE())&lt;-2),"",#REF!),"")</f>
        <v/>
      </c>
      <c r="J148" s="0" t="str">
        <f aca="false">IFERROR(IF(OR(HLOOKUP($A148,#REF!,8,FALSE())&gt;2,HLOOKUP($A148,#REF!,8,FALSE())&lt;-2),"",#REF!),"")</f>
        <v/>
      </c>
      <c r="K148" s="0" t="str">
        <f aca="false">IFERROR(IF(OR(HLOOKUP($A148,#REF!,9,FALSE())&gt;2,HLOOKUP($A148,#REF!,9,FALSE())&lt;-2),"",#REF!),"")</f>
        <v/>
      </c>
      <c r="L148" s="0" t="str">
        <f aca="false">IFERROR(IF(OR(HLOOKUP($A148,#REF!,10,FALSE())&gt;2,HLOOKUP($A148,#REF!,10,FALSE())&lt;-2),"",#REF!),"")</f>
        <v/>
      </c>
      <c r="M148" s="0" t="str">
        <f aca="false">IFERROR(IF(OR(HLOOKUP($A148,#REF!,11,FALSE())&gt;2,HLOOKUP($A148,#REF!,11,FALSE())&lt;-2),"",#REF!),"")</f>
        <v/>
      </c>
      <c r="N148" s="0" t="str">
        <f aca="false">IFERROR(IF(OR(HLOOKUP($A148,#REF!,12,FALSE())&gt;2,HLOOKUP($A148,#REF!,12,FALSE())&lt;-2),"",#REF!),"")</f>
        <v/>
      </c>
      <c r="O148" s="0" t="str">
        <f aca="false">IFERROR(IF(OR(HLOOKUP($A148,#REF!,13,FALSE())&gt;2,HLOOKUP($A148,#REF!,13,FALSE())&lt;-2),"",#REF!),"")</f>
        <v/>
      </c>
      <c r="P148" s="0" t="str">
        <f aca="false">IFERROR(IF(OR(HLOOKUP($A148,#REF!,14,FALSE())&gt;2,HLOOKUP($A148,#REF!,14,FALSE())&lt;-2),"",#REF!),"")</f>
        <v/>
      </c>
      <c r="Q148" s="0" t="str">
        <f aca="false">IFERROR(IF(OR(HLOOKUP($A148,#REF!,15,FALSE())&gt;2,HLOOKUP($A148,#REF!,15,FALSE())&lt;-2),"",#REF!),"")</f>
        <v/>
      </c>
      <c r="R148" s="0" t="str">
        <f aca="false">IFERROR(IF(OR(HLOOKUP($A148,#REF!,16,FALSE())&gt;2,HLOOKUP($A148,#REF!,16,FALSE())&lt;-2),"",#REF!),"")</f>
        <v/>
      </c>
      <c r="S148" s="0" t="str">
        <f aca="false">IFERROR(IF(OR(HLOOKUP($A148,#REF!,17,FALSE())&gt;2,HLOOKUP($A148,#REF!,17,FALSE())&lt;-2),"",#REF!),"")</f>
        <v/>
      </c>
      <c r="T148" s="0" t="str">
        <f aca="false">IFERROR(IF(OR(HLOOKUP($A148,#REF!,18,FALSE())&gt;2,HLOOKUP($A148,#REF!,18,FALSE())&lt;-2),"",#REF!),"")</f>
        <v/>
      </c>
      <c r="U148" s="0" t="str">
        <f aca="false">IFERROR(IF(OR(HLOOKUP($A148,#REF!,19,FALSE())&gt;2,HLOOKUP($A148,#REF!,19,FALSE())&lt;-2),"",#REF!),"")</f>
        <v/>
      </c>
      <c r="V148" s="0" t="n">
        <f aca="false">IFERROR(IF(AND(X148=0,Y148=0),0,1),0)</f>
        <v>1</v>
      </c>
      <c r="W148" s="3" t="str">
        <f aca="false">IFERROR(_xlfn.T.TEST(E148:M148,N148:U148,2,2),"")</f>
        <v/>
      </c>
      <c r="X148" s="0" t="str">
        <f aca="false">IFERROR(AVERAGE(E148:M148),"")</f>
        <v/>
      </c>
      <c r="Y148" s="0" t="str">
        <f aca="false">IFERROR(AVERAGE(N148:U148),"")</f>
        <v/>
      </c>
    </row>
    <row r="149" customFormat="false" ht="14.5" hidden="false" customHeight="false" outlineLevel="0" collapsed="false">
      <c r="A149" s="0" t="n">
        <v>151</v>
      </c>
      <c r="B149" s="0" t="s">
        <v>238</v>
      </c>
      <c r="C149" s="0" t="n">
        <v>30600</v>
      </c>
      <c r="D149" s="0" t="n">
        <v>698</v>
      </c>
      <c r="E149" s="0" t="str">
        <f aca="false">IFERROR(IF(OR(HLOOKUP($A149,#REF!,3,FALSE())&gt;2,HLOOKUP(A149,#REF!,3,FALSE())&lt;-2),"",#REF!),"")</f>
        <v/>
      </c>
      <c r="F149" s="0" t="str">
        <f aca="false">IFERROR(IF(OR(HLOOKUP($A149,#REF!,4,FALSE())&gt;2,HLOOKUP($A149,#REF!,4,FALSE())&lt;-2),"",#REF!),"")</f>
        <v/>
      </c>
      <c r="G149" s="0" t="str">
        <f aca="false">IFERROR(IF(OR(HLOOKUP($A149,#REF!,5,FALSE())&gt;2,HLOOKUP($A149,#REF!,5,FALSE())&lt;-2),"",#REF!),"")</f>
        <v/>
      </c>
      <c r="H149" s="0" t="str">
        <f aca="false">IFERROR(IF(OR(HLOOKUP($A149,#REF!,6,FALSE())&gt;2,HLOOKUP($A149,#REF!,6,FALSE())&lt;-2),"",#REF!),"")</f>
        <v/>
      </c>
      <c r="I149" s="0" t="str">
        <f aca="false">IFERROR(IF(OR(HLOOKUP($A149,#REF!,7,FALSE())&gt;2,HLOOKUP($A149,#REF!,7,FALSE())&lt;-2),"",#REF!),"")</f>
        <v/>
      </c>
      <c r="J149" s="0" t="str">
        <f aca="false">IFERROR(IF(OR(HLOOKUP($A149,#REF!,8,FALSE())&gt;2,HLOOKUP($A149,#REF!,8,FALSE())&lt;-2),"",#REF!),"")</f>
        <v/>
      </c>
      <c r="K149" s="0" t="str">
        <f aca="false">IFERROR(IF(OR(HLOOKUP($A149,#REF!,9,FALSE())&gt;2,HLOOKUP($A149,#REF!,9,FALSE())&lt;-2),"",#REF!),"")</f>
        <v/>
      </c>
      <c r="L149" s="0" t="str">
        <f aca="false">IFERROR(IF(OR(HLOOKUP($A149,#REF!,10,FALSE())&gt;2,HLOOKUP($A149,#REF!,10,FALSE())&lt;-2),"",#REF!),"")</f>
        <v/>
      </c>
      <c r="M149" s="0" t="str">
        <f aca="false">IFERROR(IF(OR(HLOOKUP($A149,#REF!,11,FALSE())&gt;2,HLOOKUP($A149,#REF!,11,FALSE())&lt;-2),"",#REF!),"")</f>
        <v/>
      </c>
      <c r="N149" s="0" t="str">
        <f aca="false">IFERROR(IF(OR(HLOOKUP($A149,#REF!,12,FALSE())&gt;2,HLOOKUP($A149,#REF!,12,FALSE())&lt;-2),"",#REF!),"")</f>
        <v/>
      </c>
      <c r="O149" s="0" t="str">
        <f aca="false">IFERROR(IF(OR(HLOOKUP($A149,#REF!,13,FALSE())&gt;2,HLOOKUP($A149,#REF!,13,FALSE())&lt;-2),"",#REF!),"")</f>
        <v/>
      </c>
      <c r="P149" s="0" t="str">
        <f aca="false">IFERROR(IF(OR(HLOOKUP($A149,#REF!,14,FALSE())&gt;2,HLOOKUP($A149,#REF!,14,FALSE())&lt;-2),"",#REF!),"")</f>
        <v/>
      </c>
      <c r="Q149" s="0" t="str">
        <f aca="false">IFERROR(IF(OR(HLOOKUP($A149,#REF!,15,FALSE())&gt;2,HLOOKUP($A149,#REF!,15,FALSE())&lt;-2),"",#REF!),"")</f>
        <v/>
      </c>
      <c r="R149" s="0" t="str">
        <f aca="false">IFERROR(IF(OR(HLOOKUP($A149,#REF!,16,FALSE())&gt;2,HLOOKUP($A149,#REF!,16,FALSE())&lt;-2),"",#REF!),"")</f>
        <v/>
      </c>
      <c r="S149" s="0" t="str">
        <f aca="false">IFERROR(IF(OR(HLOOKUP($A149,#REF!,17,FALSE())&gt;2,HLOOKUP($A149,#REF!,17,FALSE())&lt;-2),"",#REF!),"")</f>
        <v/>
      </c>
      <c r="T149" s="0" t="str">
        <f aca="false">IFERROR(IF(OR(HLOOKUP($A149,#REF!,18,FALSE())&gt;2,HLOOKUP($A149,#REF!,18,FALSE())&lt;-2),"",#REF!),"")</f>
        <v/>
      </c>
      <c r="U149" s="0" t="str">
        <f aca="false">IFERROR(IF(OR(HLOOKUP($A149,#REF!,19,FALSE())&gt;2,HLOOKUP($A149,#REF!,19,FALSE())&lt;-2),"",#REF!),"")</f>
        <v/>
      </c>
      <c r="V149" s="0" t="n">
        <f aca="false">IFERROR(IF(AND(X149=0,Y149=0),0,1),0)</f>
        <v>1</v>
      </c>
      <c r="W149" s="3" t="str">
        <f aca="false">IFERROR(_xlfn.T.TEST(E149:M149,N149:U149,2,2),"")</f>
        <v/>
      </c>
      <c r="X149" s="0" t="str">
        <f aca="false">IFERROR(AVERAGE(E149:M149),"")</f>
        <v/>
      </c>
      <c r="Y149" s="0" t="str">
        <f aca="false">IFERROR(AVERAGE(N149:U149),"")</f>
        <v/>
      </c>
    </row>
    <row r="150" customFormat="false" ht="14.5" hidden="false" customHeight="false" outlineLevel="0" collapsed="false">
      <c r="A150" s="0" t="n">
        <v>152</v>
      </c>
      <c r="B150" s="0" t="s">
        <v>239</v>
      </c>
      <c r="C150" s="0" t="n">
        <v>33700</v>
      </c>
      <c r="D150" s="0" t="n">
        <v>961</v>
      </c>
      <c r="E150" s="0" t="str">
        <f aca="false">IFERROR(IF(OR(HLOOKUP($A150,#REF!,3,FALSE())&gt;2,HLOOKUP(A150,#REF!,3,FALSE())&lt;-2),"",#REF!),"")</f>
        <v/>
      </c>
      <c r="F150" s="0" t="str">
        <f aca="false">IFERROR(IF(OR(HLOOKUP($A150,#REF!,4,FALSE())&gt;2,HLOOKUP($A150,#REF!,4,FALSE())&lt;-2),"",#REF!),"")</f>
        <v/>
      </c>
      <c r="G150" s="0" t="str">
        <f aca="false">IFERROR(IF(OR(HLOOKUP($A150,#REF!,5,FALSE())&gt;2,HLOOKUP($A150,#REF!,5,FALSE())&lt;-2),"",#REF!),"")</f>
        <v/>
      </c>
      <c r="H150" s="0" t="str">
        <f aca="false">IFERROR(IF(OR(HLOOKUP($A150,#REF!,6,FALSE())&gt;2,HLOOKUP($A150,#REF!,6,FALSE())&lt;-2),"",#REF!),"")</f>
        <v/>
      </c>
      <c r="I150" s="0" t="str">
        <f aca="false">IFERROR(IF(OR(HLOOKUP($A150,#REF!,7,FALSE())&gt;2,HLOOKUP($A150,#REF!,7,FALSE())&lt;-2),"",#REF!),"")</f>
        <v/>
      </c>
      <c r="J150" s="0" t="str">
        <f aca="false">IFERROR(IF(OR(HLOOKUP($A150,#REF!,8,FALSE())&gt;2,HLOOKUP($A150,#REF!,8,FALSE())&lt;-2),"",#REF!),"")</f>
        <v/>
      </c>
      <c r="K150" s="0" t="str">
        <f aca="false">IFERROR(IF(OR(HLOOKUP($A150,#REF!,9,FALSE())&gt;2,HLOOKUP($A150,#REF!,9,FALSE())&lt;-2),"",#REF!),"")</f>
        <v/>
      </c>
      <c r="L150" s="0" t="str">
        <f aca="false">IFERROR(IF(OR(HLOOKUP($A150,#REF!,10,FALSE())&gt;2,HLOOKUP($A150,#REF!,10,FALSE())&lt;-2),"",#REF!),"")</f>
        <v/>
      </c>
      <c r="M150" s="0" t="str">
        <f aca="false">IFERROR(IF(OR(HLOOKUP($A150,#REF!,11,FALSE())&gt;2,HLOOKUP($A150,#REF!,11,FALSE())&lt;-2),"",#REF!),"")</f>
        <v/>
      </c>
      <c r="N150" s="0" t="str">
        <f aca="false">IFERROR(IF(OR(HLOOKUP($A150,#REF!,12,FALSE())&gt;2,HLOOKUP($A150,#REF!,12,FALSE())&lt;-2),"",#REF!),"")</f>
        <v/>
      </c>
      <c r="O150" s="0" t="str">
        <f aca="false">IFERROR(IF(OR(HLOOKUP($A150,#REF!,13,FALSE())&gt;2,HLOOKUP($A150,#REF!,13,FALSE())&lt;-2),"",#REF!),"")</f>
        <v/>
      </c>
      <c r="P150" s="0" t="str">
        <f aca="false">IFERROR(IF(OR(HLOOKUP($A150,#REF!,14,FALSE())&gt;2,HLOOKUP($A150,#REF!,14,FALSE())&lt;-2),"",#REF!),"")</f>
        <v/>
      </c>
      <c r="Q150" s="0" t="str">
        <f aca="false">IFERROR(IF(OR(HLOOKUP($A150,#REF!,15,FALSE())&gt;2,HLOOKUP($A150,#REF!,15,FALSE())&lt;-2),"",#REF!),"")</f>
        <v/>
      </c>
      <c r="R150" s="0" t="str">
        <f aca="false">IFERROR(IF(OR(HLOOKUP($A150,#REF!,16,FALSE())&gt;2,HLOOKUP($A150,#REF!,16,FALSE())&lt;-2),"",#REF!),"")</f>
        <v/>
      </c>
      <c r="S150" s="0" t="str">
        <f aca="false">IFERROR(IF(OR(HLOOKUP($A150,#REF!,17,FALSE())&gt;2,HLOOKUP($A150,#REF!,17,FALSE())&lt;-2),"",#REF!),"")</f>
        <v/>
      </c>
      <c r="T150" s="0" t="str">
        <f aca="false">IFERROR(IF(OR(HLOOKUP($A150,#REF!,18,FALSE())&gt;2,HLOOKUP($A150,#REF!,18,FALSE())&lt;-2),"",#REF!),"")</f>
        <v/>
      </c>
      <c r="U150" s="0" t="str">
        <f aca="false">IFERROR(IF(OR(HLOOKUP($A150,#REF!,19,FALSE())&gt;2,HLOOKUP($A150,#REF!,19,FALSE())&lt;-2),"",#REF!),"")</f>
        <v/>
      </c>
      <c r="V150" s="0" t="n">
        <f aca="false">IFERROR(IF(AND(X150=0,Y150=0),0,1),0)</f>
        <v>1</v>
      </c>
      <c r="W150" s="3" t="str">
        <f aca="false">IFERROR(_xlfn.T.TEST(E150:M150,N150:U150,2,2),"")</f>
        <v/>
      </c>
      <c r="X150" s="0" t="str">
        <f aca="false">IFERROR(AVERAGE(E150:M150),"")</f>
        <v/>
      </c>
      <c r="Y150" s="0" t="str">
        <f aca="false">IFERROR(AVERAGE(N150:U150),"")</f>
        <v/>
      </c>
    </row>
    <row r="151" customFormat="false" ht="14.5" hidden="false" customHeight="false" outlineLevel="0" collapsed="false">
      <c r="A151" s="0" t="n">
        <v>153</v>
      </c>
      <c r="B151" s="0" t="s">
        <v>240</v>
      </c>
      <c r="C151" s="0" t="n">
        <v>116800</v>
      </c>
      <c r="D151" s="0" t="n">
        <v>145</v>
      </c>
      <c r="E151" s="0" t="str">
        <f aca="false">IFERROR(IF(OR(HLOOKUP($A151,#REF!,3,FALSE())&gt;2,HLOOKUP(A151,#REF!,3,FALSE())&lt;-2),"",#REF!),"")</f>
        <v/>
      </c>
      <c r="F151" s="0" t="str">
        <f aca="false">IFERROR(IF(OR(HLOOKUP($A151,#REF!,4,FALSE())&gt;2,HLOOKUP($A151,#REF!,4,FALSE())&lt;-2),"",#REF!),"")</f>
        <v/>
      </c>
      <c r="G151" s="0" t="str">
        <f aca="false">IFERROR(IF(OR(HLOOKUP($A151,#REF!,5,FALSE())&gt;2,HLOOKUP($A151,#REF!,5,FALSE())&lt;-2),"",#REF!),"")</f>
        <v/>
      </c>
      <c r="H151" s="0" t="str">
        <f aca="false">IFERROR(IF(OR(HLOOKUP($A151,#REF!,6,FALSE())&gt;2,HLOOKUP($A151,#REF!,6,FALSE())&lt;-2),"",#REF!),"")</f>
        <v/>
      </c>
      <c r="I151" s="0" t="str">
        <f aca="false">IFERROR(IF(OR(HLOOKUP($A151,#REF!,7,FALSE())&gt;2,HLOOKUP($A151,#REF!,7,FALSE())&lt;-2),"",#REF!),"")</f>
        <v/>
      </c>
      <c r="J151" s="0" t="str">
        <f aca="false">IFERROR(IF(OR(HLOOKUP($A151,#REF!,8,FALSE())&gt;2,HLOOKUP($A151,#REF!,8,FALSE())&lt;-2),"",#REF!),"")</f>
        <v/>
      </c>
      <c r="K151" s="0" t="str">
        <f aca="false">IFERROR(IF(OR(HLOOKUP($A151,#REF!,9,FALSE())&gt;2,HLOOKUP($A151,#REF!,9,FALSE())&lt;-2),"",#REF!),"")</f>
        <v/>
      </c>
      <c r="L151" s="0" t="str">
        <f aca="false">IFERROR(IF(OR(HLOOKUP($A151,#REF!,10,FALSE())&gt;2,HLOOKUP($A151,#REF!,10,FALSE())&lt;-2),"",#REF!),"")</f>
        <v/>
      </c>
      <c r="M151" s="0" t="str">
        <f aca="false">IFERROR(IF(OR(HLOOKUP($A151,#REF!,11,FALSE())&gt;2,HLOOKUP($A151,#REF!,11,FALSE())&lt;-2),"",#REF!),"")</f>
        <v/>
      </c>
      <c r="N151" s="0" t="str">
        <f aca="false">IFERROR(IF(OR(HLOOKUP($A151,#REF!,12,FALSE())&gt;2,HLOOKUP($A151,#REF!,12,FALSE())&lt;-2),"",#REF!),"")</f>
        <v/>
      </c>
      <c r="O151" s="0" t="str">
        <f aca="false">IFERROR(IF(OR(HLOOKUP($A151,#REF!,13,FALSE())&gt;2,HLOOKUP($A151,#REF!,13,FALSE())&lt;-2),"",#REF!),"")</f>
        <v/>
      </c>
      <c r="P151" s="0" t="str">
        <f aca="false">IFERROR(IF(OR(HLOOKUP($A151,#REF!,14,FALSE())&gt;2,HLOOKUP($A151,#REF!,14,FALSE())&lt;-2),"",#REF!),"")</f>
        <v/>
      </c>
      <c r="Q151" s="0" t="str">
        <f aca="false">IFERROR(IF(OR(HLOOKUP($A151,#REF!,15,FALSE())&gt;2,HLOOKUP($A151,#REF!,15,FALSE())&lt;-2),"",#REF!),"")</f>
        <v/>
      </c>
      <c r="R151" s="0" t="str">
        <f aca="false">IFERROR(IF(OR(HLOOKUP($A151,#REF!,16,FALSE())&gt;2,HLOOKUP($A151,#REF!,16,FALSE())&lt;-2),"",#REF!),"")</f>
        <v/>
      </c>
      <c r="S151" s="0" t="str">
        <f aca="false">IFERROR(IF(OR(HLOOKUP($A151,#REF!,17,FALSE())&gt;2,HLOOKUP($A151,#REF!,17,FALSE())&lt;-2),"",#REF!),"")</f>
        <v/>
      </c>
      <c r="T151" s="0" t="str">
        <f aca="false">IFERROR(IF(OR(HLOOKUP($A151,#REF!,18,FALSE())&gt;2,HLOOKUP($A151,#REF!,18,FALSE())&lt;-2),"",#REF!),"")</f>
        <v/>
      </c>
      <c r="U151" s="0" t="str">
        <f aca="false">IFERROR(IF(OR(HLOOKUP($A151,#REF!,19,FALSE())&gt;2,HLOOKUP($A151,#REF!,19,FALSE())&lt;-2),"",#REF!),"")</f>
        <v/>
      </c>
      <c r="V151" s="0" t="n">
        <f aca="false">IFERROR(IF(AND(X151=0,Y151=0),0,1),0)</f>
        <v>1</v>
      </c>
      <c r="W151" s="3" t="str">
        <f aca="false">IFERROR(_xlfn.T.TEST(E151:M151,N151:U151,2,2),"")</f>
        <v/>
      </c>
      <c r="X151" s="0" t="str">
        <f aca="false">IFERROR(AVERAGE(E151:M151),"")</f>
        <v/>
      </c>
      <c r="Y151" s="0" t="str">
        <f aca="false">IFERROR(AVERAGE(N151:U151),"")</f>
        <v/>
      </c>
    </row>
    <row r="152" customFormat="false" ht="14.5" hidden="false" customHeight="false" outlineLevel="0" collapsed="false">
      <c r="A152" s="0" t="n">
        <v>154</v>
      </c>
      <c r="B152" s="0" t="s">
        <v>241</v>
      </c>
      <c r="C152" s="0" t="n">
        <v>95100</v>
      </c>
      <c r="D152" s="0" t="n">
        <v>370</v>
      </c>
      <c r="E152" s="0" t="str">
        <f aca="false">IFERROR(IF(OR(HLOOKUP($A152,#REF!,3,FALSE())&gt;2,HLOOKUP(A152,#REF!,3,FALSE())&lt;-2),"",#REF!),"")</f>
        <v/>
      </c>
      <c r="F152" s="0" t="str">
        <f aca="false">IFERROR(IF(OR(HLOOKUP($A152,#REF!,4,FALSE())&gt;2,HLOOKUP($A152,#REF!,4,FALSE())&lt;-2),"",#REF!),"")</f>
        <v/>
      </c>
      <c r="G152" s="0" t="str">
        <f aca="false">IFERROR(IF(OR(HLOOKUP($A152,#REF!,5,FALSE())&gt;2,HLOOKUP($A152,#REF!,5,FALSE())&lt;-2),"",#REF!),"")</f>
        <v/>
      </c>
      <c r="H152" s="0" t="str">
        <f aca="false">IFERROR(IF(OR(HLOOKUP($A152,#REF!,6,FALSE())&gt;2,HLOOKUP($A152,#REF!,6,FALSE())&lt;-2),"",#REF!),"")</f>
        <v/>
      </c>
      <c r="I152" s="0" t="str">
        <f aca="false">IFERROR(IF(OR(HLOOKUP($A152,#REF!,7,FALSE())&gt;2,HLOOKUP($A152,#REF!,7,FALSE())&lt;-2),"",#REF!),"")</f>
        <v/>
      </c>
      <c r="J152" s="0" t="str">
        <f aca="false">IFERROR(IF(OR(HLOOKUP($A152,#REF!,8,FALSE())&gt;2,HLOOKUP($A152,#REF!,8,FALSE())&lt;-2),"",#REF!),"")</f>
        <v/>
      </c>
      <c r="K152" s="0" t="str">
        <f aca="false">IFERROR(IF(OR(HLOOKUP($A152,#REF!,9,FALSE())&gt;2,HLOOKUP($A152,#REF!,9,FALSE())&lt;-2),"",#REF!),"")</f>
        <v/>
      </c>
      <c r="L152" s="0" t="str">
        <f aca="false">IFERROR(IF(OR(HLOOKUP($A152,#REF!,10,FALSE())&gt;2,HLOOKUP($A152,#REF!,10,FALSE())&lt;-2),"",#REF!),"")</f>
        <v/>
      </c>
      <c r="M152" s="0" t="str">
        <f aca="false">IFERROR(IF(OR(HLOOKUP($A152,#REF!,11,FALSE())&gt;2,HLOOKUP($A152,#REF!,11,FALSE())&lt;-2),"",#REF!),"")</f>
        <v/>
      </c>
      <c r="N152" s="0" t="str">
        <f aca="false">IFERROR(IF(OR(HLOOKUP($A152,#REF!,12,FALSE())&gt;2,HLOOKUP($A152,#REF!,12,FALSE())&lt;-2),"",#REF!),"")</f>
        <v/>
      </c>
      <c r="O152" s="0" t="str">
        <f aca="false">IFERROR(IF(OR(HLOOKUP($A152,#REF!,13,FALSE())&gt;2,HLOOKUP($A152,#REF!,13,FALSE())&lt;-2),"",#REF!),"")</f>
        <v/>
      </c>
      <c r="P152" s="0" t="str">
        <f aca="false">IFERROR(IF(OR(HLOOKUP($A152,#REF!,14,FALSE())&gt;2,HLOOKUP($A152,#REF!,14,FALSE())&lt;-2),"",#REF!),"")</f>
        <v/>
      </c>
      <c r="Q152" s="0" t="str">
        <f aca="false">IFERROR(IF(OR(HLOOKUP($A152,#REF!,15,FALSE())&gt;2,HLOOKUP($A152,#REF!,15,FALSE())&lt;-2),"",#REF!),"")</f>
        <v/>
      </c>
      <c r="R152" s="0" t="str">
        <f aca="false">IFERROR(IF(OR(HLOOKUP($A152,#REF!,16,FALSE())&gt;2,HLOOKUP($A152,#REF!,16,FALSE())&lt;-2),"",#REF!),"")</f>
        <v/>
      </c>
      <c r="S152" s="0" t="str">
        <f aca="false">IFERROR(IF(OR(HLOOKUP($A152,#REF!,17,FALSE())&gt;2,HLOOKUP($A152,#REF!,17,FALSE())&lt;-2),"",#REF!),"")</f>
        <v/>
      </c>
      <c r="T152" s="0" t="str">
        <f aca="false">IFERROR(IF(OR(HLOOKUP($A152,#REF!,18,FALSE())&gt;2,HLOOKUP($A152,#REF!,18,FALSE())&lt;-2),"",#REF!),"")</f>
        <v/>
      </c>
      <c r="U152" s="0" t="str">
        <f aca="false">IFERROR(IF(OR(HLOOKUP($A152,#REF!,19,FALSE())&gt;2,HLOOKUP($A152,#REF!,19,FALSE())&lt;-2),"",#REF!),"")</f>
        <v/>
      </c>
      <c r="V152" s="0" t="n">
        <f aca="false">IFERROR(IF(AND(X152=0,Y152=0),0,1),0)</f>
        <v>1</v>
      </c>
      <c r="W152" s="3" t="str">
        <f aca="false">IFERROR(_xlfn.T.TEST(E152:M152,N152:U152,2,2),"")</f>
        <v/>
      </c>
      <c r="X152" s="0" t="str">
        <f aca="false">IFERROR(AVERAGE(E152:M152),"")</f>
        <v/>
      </c>
      <c r="Y152" s="0" t="str">
        <f aca="false">IFERROR(AVERAGE(N152:U152),"")</f>
        <v/>
      </c>
    </row>
    <row r="153" customFormat="false" ht="14.5" hidden="false" customHeight="false" outlineLevel="0" collapsed="false">
      <c r="A153" s="0" t="n">
        <v>155</v>
      </c>
      <c r="B153" s="0" t="s">
        <v>242</v>
      </c>
      <c r="C153" s="0" t="n">
        <v>67000</v>
      </c>
      <c r="D153" s="0" t="n">
        <v>239</v>
      </c>
      <c r="E153" s="0" t="str">
        <f aca="false">IFERROR(IF(OR(HLOOKUP($A153,#REF!,3,FALSE())&gt;2,HLOOKUP(A153,#REF!,3,FALSE())&lt;-2),"",#REF!),"")</f>
        <v/>
      </c>
      <c r="F153" s="0" t="str">
        <f aca="false">IFERROR(IF(OR(HLOOKUP($A153,#REF!,4,FALSE())&gt;2,HLOOKUP($A153,#REF!,4,FALSE())&lt;-2),"",#REF!),"")</f>
        <v/>
      </c>
      <c r="G153" s="0" t="str">
        <f aca="false">IFERROR(IF(OR(HLOOKUP($A153,#REF!,5,FALSE())&gt;2,HLOOKUP($A153,#REF!,5,FALSE())&lt;-2),"",#REF!),"")</f>
        <v/>
      </c>
      <c r="H153" s="0" t="str">
        <f aca="false">IFERROR(IF(OR(HLOOKUP($A153,#REF!,6,FALSE())&gt;2,HLOOKUP($A153,#REF!,6,FALSE())&lt;-2),"",#REF!),"")</f>
        <v/>
      </c>
      <c r="I153" s="0" t="str">
        <f aca="false">IFERROR(IF(OR(HLOOKUP($A153,#REF!,7,FALSE())&gt;2,HLOOKUP($A153,#REF!,7,FALSE())&lt;-2),"",#REF!),"")</f>
        <v/>
      </c>
      <c r="J153" s="0" t="str">
        <f aca="false">IFERROR(IF(OR(HLOOKUP($A153,#REF!,8,FALSE())&gt;2,HLOOKUP($A153,#REF!,8,FALSE())&lt;-2),"",#REF!),"")</f>
        <v/>
      </c>
      <c r="K153" s="0" t="str">
        <f aca="false">IFERROR(IF(OR(HLOOKUP($A153,#REF!,9,FALSE())&gt;2,HLOOKUP($A153,#REF!,9,FALSE())&lt;-2),"",#REF!),"")</f>
        <v/>
      </c>
      <c r="L153" s="0" t="str">
        <f aca="false">IFERROR(IF(OR(HLOOKUP($A153,#REF!,10,FALSE())&gt;2,HLOOKUP($A153,#REF!,10,FALSE())&lt;-2),"",#REF!),"")</f>
        <v/>
      </c>
      <c r="M153" s="0" t="str">
        <f aca="false">IFERROR(IF(OR(HLOOKUP($A153,#REF!,11,FALSE())&gt;2,HLOOKUP($A153,#REF!,11,FALSE())&lt;-2),"",#REF!),"")</f>
        <v/>
      </c>
      <c r="N153" s="0" t="str">
        <f aca="false">IFERROR(IF(OR(HLOOKUP($A153,#REF!,12,FALSE())&gt;2,HLOOKUP($A153,#REF!,12,FALSE())&lt;-2),"",#REF!),"")</f>
        <v/>
      </c>
      <c r="O153" s="0" t="str">
        <f aca="false">IFERROR(IF(OR(HLOOKUP($A153,#REF!,13,FALSE())&gt;2,HLOOKUP($A153,#REF!,13,FALSE())&lt;-2),"",#REF!),"")</f>
        <v/>
      </c>
      <c r="P153" s="0" t="str">
        <f aca="false">IFERROR(IF(OR(HLOOKUP($A153,#REF!,14,FALSE())&gt;2,HLOOKUP($A153,#REF!,14,FALSE())&lt;-2),"",#REF!),"")</f>
        <v/>
      </c>
      <c r="Q153" s="0" t="str">
        <f aca="false">IFERROR(IF(OR(HLOOKUP($A153,#REF!,15,FALSE())&gt;2,HLOOKUP($A153,#REF!,15,FALSE())&lt;-2),"",#REF!),"")</f>
        <v/>
      </c>
      <c r="R153" s="0" t="str">
        <f aca="false">IFERROR(IF(OR(HLOOKUP($A153,#REF!,16,FALSE())&gt;2,HLOOKUP($A153,#REF!,16,FALSE())&lt;-2),"",#REF!),"")</f>
        <v/>
      </c>
      <c r="S153" s="0" t="str">
        <f aca="false">IFERROR(IF(OR(HLOOKUP($A153,#REF!,17,FALSE())&gt;2,HLOOKUP($A153,#REF!,17,FALSE())&lt;-2),"",#REF!),"")</f>
        <v/>
      </c>
      <c r="T153" s="0" t="str">
        <f aca="false">IFERROR(IF(OR(HLOOKUP($A153,#REF!,18,FALSE())&gt;2,HLOOKUP($A153,#REF!,18,FALSE())&lt;-2),"",#REF!),"")</f>
        <v/>
      </c>
      <c r="U153" s="0" t="str">
        <f aca="false">IFERROR(IF(OR(HLOOKUP($A153,#REF!,19,FALSE())&gt;2,HLOOKUP($A153,#REF!,19,FALSE())&lt;-2),"",#REF!),"")</f>
        <v/>
      </c>
      <c r="V153" s="0" t="n">
        <f aca="false">IFERROR(IF(AND(X153=0,Y153=0),0,1),0)</f>
        <v>1</v>
      </c>
      <c r="W153" s="3" t="str">
        <f aca="false">IFERROR(_xlfn.T.TEST(E153:M153,N153:U153,2,2),"")</f>
        <v/>
      </c>
      <c r="X153" s="0" t="str">
        <f aca="false">IFERROR(AVERAGE(E153:M153),"")</f>
        <v/>
      </c>
      <c r="Y153" s="0" t="str">
        <f aca="false">IFERROR(AVERAGE(N153:U153),"")</f>
        <v/>
      </c>
    </row>
    <row r="154" customFormat="false" ht="14.5" hidden="false" customHeight="false" outlineLevel="0" collapsed="false">
      <c r="A154" s="0" t="n">
        <v>156</v>
      </c>
      <c r="B154" s="0" t="s">
        <v>243</v>
      </c>
      <c r="C154" s="0" t="n">
        <v>11100</v>
      </c>
      <c r="D154" s="0" t="n">
        <v>1011</v>
      </c>
      <c r="E154" s="0" t="str">
        <f aca="false">IFERROR(IF(OR(HLOOKUP($A154,#REF!,3,FALSE())&gt;2,HLOOKUP(A154,#REF!,3,FALSE())&lt;-2),"",#REF!),"")</f>
        <v/>
      </c>
      <c r="F154" s="0" t="str">
        <f aca="false">IFERROR(IF(OR(HLOOKUP($A154,#REF!,4,FALSE())&gt;2,HLOOKUP($A154,#REF!,4,FALSE())&lt;-2),"",#REF!),"")</f>
        <v/>
      </c>
      <c r="G154" s="0" t="str">
        <f aca="false">IFERROR(IF(OR(HLOOKUP($A154,#REF!,5,FALSE())&gt;2,HLOOKUP($A154,#REF!,5,FALSE())&lt;-2),"",#REF!),"")</f>
        <v/>
      </c>
      <c r="H154" s="0" t="str">
        <f aca="false">IFERROR(IF(OR(HLOOKUP($A154,#REF!,6,FALSE())&gt;2,HLOOKUP($A154,#REF!,6,FALSE())&lt;-2),"",#REF!),"")</f>
        <v/>
      </c>
      <c r="I154" s="0" t="str">
        <f aca="false">IFERROR(IF(OR(HLOOKUP($A154,#REF!,7,FALSE())&gt;2,HLOOKUP($A154,#REF!,7,FALSE())&lt;-2),"",#REF!),"")</f>
        <v/>
      </c>
      <c r="J154" s="0" t="str">
        <f aca="false">IFERROR(IF(OR(HLOOKUP($A154,#REF!,8,FALSE())&gt;2,HLOOKUP($A154,#REF!,8,FALSE())&lt;-2),"",#REF!),"")</f>
        <v/>
      </c>
      <c r="K154" s="0" t="str">
        <f aca="false">IFERROR(IF(OR(HLOOKUP($A154,#REF!,9,FALSE())&gt;2,HLOOKUP($A154,#REF!,9,FALSE())&lt;-2),"",#REF!),"")</f>
        <v/>
      </c>
      <c r="L154" s="0" t="str">
        <f aca="false">IFERROR(IF(OR(HLOOKUP($A154,#REF!,10,FALSE())&gt;2,HLOOKUP($A154,#REF!,10,FALSE())&lt;-2),"",#REF!),"")</f>
        <v/>
      </c>
      <c r="M154" s="0" t="str">
        <f aca="false">IFERROR(IF(OR(HLOOKUP($A154,#REF!,11,FALSE())&gt;2,HLOOKUP($A154,#REF!,11,FALSE())&lt;-2),"",#REF!),"")</f>
        <v/>
      </c>
      <c r="N154" s="0" t="str">
        <f aca="false">IFERROR(IF(OR(HLOOKUP($A154,#REF!,12,FALSE())&gt;2,HLOOKUP($A154,#REF!,12,FALSE())&lt;-2),"",#REF!),"")</f>
        <v/>
      </c>
      <c r="O154" s="0" t="str">
        <f aca="false">IFERROR(IF(OR(HLOOKUP($A154,#REF!,13,FALSE())&gt;2,HLOOKUP($A154,#REF!,13,FALSE())&lt;-2),"",#REF!),"")</f>
        <v/>
      </c>
      <c r="P154" s="0" t="str">
        <f aca="false">IFERROR(IF(OR(HLOOKUP($A154,#REF!,14,FALSE())&gt;2,HLOOKUP($A154,#REF!,14,FALSE())&lt;-2),"",#REF!),"")</f>
        <v/>
      </c>
      <c r="Q154" s="0" t="str">
        <f aca="false">IFERROR(IF(OR(HLOOKUP($A154,#REF!,15,FALSE())&gt;2,HLOOKUP($A154,#REF!,15,FALSE())&lt;-2),"",#REF!),"")</f>
        <v/>
      </c>
      <c r="R154" s="0" t="str">
        <f aca="false">IFERROR(IF(OR(HLOOKUP($A154,#REF!,16,FALSE())&gt;2,HLOOKUP($A154,#REF!,16,FALSE())&lt;-2),"",#REF!),"")</f>
        <v/>
      </c>
      <c r="S154" s="0" t="str">
        <f aca="false">IFERROR(IF(OR(HLOOKUP($A154,#REF!,17,FALSE())&gt;2,HLOOKUP($A154,#REF!,17,FALSE())&lt;-2),"",#REF!),"")</f>
        <v/>
      </c>
      <c r="T154" s="0" t="str">
        <f aca="false">IFERROR(IF(OR(HLOOKUP($A154,#REF!,18,FALSE())&gt;2,HLOOKUP($A154,#REF!,18,FALSE())&lt;-2),"",#REF!),"")</f>
        <v/>
      </c>
      <c r="U154" s="0" t="str">
        <f aca="false">IFERROR(IF(OR(HLOOKUP($A154,#REF!,19,FALSE())&gt;2,HLOOKUP($A154,#REF!,19,FALSE())&lt;-2),"",#REF!),"")</f>
        <v/>
      </c>
      <c r="V154" s="0" t="n">
        <f aca="false">IFERROR(IF(AND(X154=0,Y154=0),0,1),0)</f>
        <v>1</v>
      </c>
      <c r="W154" s="3" t="str">
        <f aca="false">IFERROR(_xlfn.T.TEST(E154:M154,N154:U154,2,2),"")</f>
        <v/>
      </c>
      <c r="X154" s="0" t="str">
        <f aca="false">IFERROR(AVERAGE(E154:M154),"")</f>
        <v/>
      </c>
      <c r="Y154" s="0" t="str">
        <f aca="false">IFERROR(AVERAGE(N154:U154),"")</f>
        <v/>
      </c>
    </row>
    <row r="155" customFormat="false" ht="14.5" hidden="false" customHeight="false" outlineLevel="0" collapsed="false">
      <c r="A155" s="0" t="n">
        <v>157</v>
      </c>
      <c r="B155" s="0" t="s">
        <v>244</v>
      </c>
      <c r="C155" s="0" t="n">
        <v>70100</v>
      </c>
      <c r="D155" s="0" t="n">
        <v>1097</v>
      </c>
      <c r="E155" s="0" t="str">
        <f aca="false">IFERROR(IF(OR(HLOOKUP($A155,#REF!,3,FALSE())&gt;2,HLOOKUP(A155,#REF!,3,FALSE())&lt;-2),"",#REF!),"")</f>
        <v/>
      </c>
      <c r="F155" s="0" t="str">
        <f aca="false">IFERROR(IF(OR(HLOOKUP($A155,#REF!,4,FALSE())&gt;2,HLOOKUP($A155,#REF!,4,FALSE())&lt;-2),"",#REF!),"")</f>
        <v/>
      </c>
      <c r="G155" s="0" t="str">
        <f aca="false">IFERROR(IF(OR(HLOOKUP($A155,#REF!,5,FALSE())&gt;2,HLOOKUP($A155,#REF!,5,FALSE())&lt;-2),"",#REF!),"")</f>
        <v/>
      </c>
      <c r="H155" s="0" t="str">
        <f aca="false">IFERROR(IF(OR(HLOOKUP($A155,#REF!,6,FALSE())&gt;2,HLOOKUP($A155,#REF!,6,FALSE())&lt;-2),"",#REF!),"")</f>
        <v/>
      </c>
      <c r="I155" s="0" t="str">
        <f aca="false">IFERROR(IF(OR(HLOOKUP($A155,#REF!,7,FALSE())&gt;2,HLOOKUP($A155,#REF!,7,FALSE())&lt;-2),"",#REF!),"")</f>
        <v/>
      </c>
      <c r="J155" s="0" t="str">
        <f aca="false">IFERROR(IF(OR(HLOOKUP($A155,#REF!,8,FALSE())&gt;2,HLOOKUP($A155,#REF!,8,FALSE())&lt;-2),"",#REF!),"")</f>
        <v/>
      </c>
      <c r="K155" s="0" t="str">
        <f aca="false">IFERROR(IF(OR(HLOOKUP($A155,#REF!,9,FALSE())&gt;2,HLOOKUP($A155,#REF!,9,FALSE())&lt;-2),"",#REF!),"")</f>
        <v/>
      </c>
      <c r="L155" s="0" t="str">
        <f aca="false">IFERROR(IF(OR(HLOOKUP($A155,#REF!,10,FALSE())&gt;2,HLOOKUP($A155,#REF!,10,FALSE())&lt;-2),"",#REF!),"")</f>
        <v/>
      </c>
      <c r="M155" s="0" t="str">
        <f aca="false">IFERROR(IF(OR(HLOOKUP($A155,#REF!,11,FALSE())&gt;2,HLOOKUP($A155,#REF!,11,FALSE())&lt;-2),"",#REF!),"")</f>
        <v/>
      </c>
      <c r="N155" s="0" t="str">
        <f aca="false">IFERROR(IF(OR(HLOOKUP($A155,#REF!,12,FALSE())&gt;2,HLOOKUP($A155,#REF!,12,FALSE())&lt;-2),"",#REF!),"")</f>
        <v/>
      </c>
      <c r="O155" s="0" t="str">
        <f aca="false">IFERROR(IF(OR(HLOOKUP($A155,#REF!,13,FALSE())&gt;2,HLOOKUP($A155,#REF!,13,FALSE())&lt;-2),"",#REF!),"")</f>
        <v/>
      </c>
      <c r="P155" s="0" t="str">
        <f aca="false">IFERROR(IF(OR(HLOOKUP($A155,#REF!,14,FALSE())&gt;2,HLOOKUP($A155,#REF!,14,FALSE())&lt;-2),"",#REF!),"")</f>
        <v/>
      </c>
      <c r="Q155" s="0" t="str">
        <f aca="false">IFERROR(IF(OR(HLOOKUP($A155,#REF!,15,FALSE())&gt;2,HLOOKUP($A155,#REF!,15,FALSE())&lt;-2),"",#REF!),"")</f>
        <v/>
      </c>
      <c r="R155" s="0" t="str">
        <f aca="false">IFERROR(IF(OR(HLOOKUP($A155,#REF!,16,FALSE())&gt;2,HLOOKUP($A155,#REF!,16,FALSE())&lt;-2),"",#REF!),"")</f>
        <v/>
      </c>
      <c r="S155" s="0" t="str">
        <f aca="false">IFERROR(IF(OR(HLOOKUP($A155,#REF!,17,FALSE())&gt;2,HLOOKUP($A155,#REF!,17,FALSE())&lt;-2),"",#REF!),"")</f>
        <v/>
      </c>
      <c r="T155" s="0" t="str">
        <f aca="false">IFERROR(IF(OR(HLOOKUP($A155,#REF!,18,FALSE())&gt;2,HLOOKUP($A155,#REF!,18,FALSE())&lt;-2),"",#REF!),"")</f>
        <v/>
      </c>
      <c r="U155" s="0" t="str">
        <f aca="false">IFERROR(IF(OR(HLOOKUP($A155,#REF!,19,FALSE())&gt;2,HLOOKUP($A155,#REF!,19,FALSE())&lt;-2),"",#REF!),"")</f>
        <v/>
      </c>
      <c r="V155" s="0" t="n">
        <f aca="false">IFERROR(IF(AND(X155=0,Y155=0),0,1),0)</f>
        <v>1</v>
      </c>
      <c r="W155" s="3" t="str">
        <f aca="false">IFERROR(_xlfn.T.TEST(E155:M155,N155:U155,2,2),"")</f>
        <v/>
      </c>
      <c r="X155" s="0" t="str">
        <f aca="false">IFERROR(AVERAGE(E155:M155),"")</f>
        <v/>
      </c>
      <c r="Y155" s="0" t="str">
        <f aca="false">IFERROR(AVERAGE(N155:U155),"")</f>
        <v/>
      </c>
    </row>
    <row r="156" customFormat="false" ht="14.5" hidden="false" customHeight="false" outlineLevel="0" collapsed="false">
      <c r="A156" s="0" t="n">
        <v>158</v>
      </c>
      <c r="B156" s="0" t="s">
        <v>245</v>
      </c>
      <c r="C156" s="0" t="n">
        <v>99200</v>
      </c>
      <c r="D156" s="0" t="n">
        <v>832</v>
      </c>
      <c r="E156" s="0" t="str">
        <f aca="false">IFERROR(IF(OR(HLOOKUP($A156,#REF!,3,FALSE())&gt;2,HLOOKUP(A156,#REF!,3,FALSE())&lt;-2),"",#REF!),"")</f>
        <v/>
      </c>
      <c r="F156" s="0" t="str">
        <f aca="false">IFERROR(IF(OR(HLOOKUP($A156,#REF!,4,FALSE())&gt;2,HLOOKUP($A156,#REF!,4,FALSE())&lt;-2),"",#REF!),"")</f>
        <v/>
      </c>
      <c r="G156" s="0" t="str">
        <f aca="false">IFERROR(IF(OR(HLOOKUP($A156,#REF!,5,FALSE())&gt;2,HLOOKUP($A156,#REF!,5,FALSE())&lt;-2),"",#REF!),"")</f>
        <v/>
      </c>
      <c r="H156" s="0" t="str">
        <f aca="false">IFERROR(IF(OR(HLOOKUP($A156,#REF!,6,FALSE())&gt;2,HLOOKUP($A156,#REF!,6,FALSE())&lt;-2),"",#REF!),"")</f>
        <v/>
      </c>
      <c r="I156" s="0" t="str">
        <f aca="false">IFERROR(IF(OR(HLOOKUP($A156,#REF!,7,FALSE())&gt;2,HLOOKUP($A156,#REF!,7,FALSE())&lt;-2),"",#REF!),"")</f>
        <v/>
      </c>
      <c r="J156" s="0" t="str">
        <f aca="false">IFERROR(IF(OR(HLOOKUP($A156,#REF!,8,FALSE())&gt;2,HLOOKUP($A156,#REF!,8,FALSE())&lt;-2),"",#REF!),"")</f>
        <v/>
      </c>
      <c r="K156" s="0" t="str">
        <f aca="false">IFERROR(IF(OR(HLOOKUP($A156,#REF!,9,FALSE())&gt;2,HLOOKUP($A156,#REF!,9,FALSE())&lt;-2),"",#REF!),"")</f>
        <v/>
      </c>
      <c r="L156" s="0" t="str">
        <f aca="false">IFERROR(IF(OR(HLOOKUP($A156,#REF!,10,FALSE())&gt;2,HLOOKUP($A156,#REF!,10,FALSE())&lt;-2),"",#REF!),"")</f>
        <v/>
      </c>
      <c r="M156" s="0" t="str">
        <f aca="false">IFERROR(IF(OR(HLOOKUP($A156,#REF!,11,FALSE())&gt;2,HLOOKUP($A156,#REF!,11,FALSE())&lt;-2),"",#REF!),"")</f>
        <v/>
      </c>
      <c r="N156" s="0" t="str">
        <f aca="false">IFERROR(IF(OR(HLOOKUP($A156,#REF!,12,FALSE())&gt;2,HLOOKUP($A156,#REF!,12,FALSE())&lt;-2),"",#REF!),"")</f>
        <v/>
      </c>
      <c r="O156" s="0" t="str">
        <f aca="false">IFERROR(IF(OR(HLOOKUP($A156,#REF!,13,FALSE())&gt;2,HLOOKUP($A156,#REF!,13,FALSE())&lt;-2),"",#REF!),"")</f>
        <v/>
      </c>
      <c r="P156" s="0" t="str">
        <f aca="false">IFERROR(IF(OR(HLOOKUP($A156,#REF!,14,FALSE())&gt;2,HLOOKUP($A156,#REF!,14,FALSE())&lt;-2),"",#REF!),"")</f>
        <v/>
      </c>
      <c r="Q156" s="0" t="str">
        <f aca="false">IFERROR(IF(OR(HLOOKUP($A156,#REF!,15,FALSE())&gt;2,HLOOKUP($A156,#REF!,15,FALSE())&lt;-2),"",#REF!),"")</f>
        <v/>
      </c>
      <c r="R156" s="0" t="str">
        <f aca="false">IFERROR(IF(OR(HLOOKUP($A156,#REF!,16,FALSE())&gt;2,HLOOKUP($A156,#REF!,16,FALSE())&lt;-2),"",#REF!),"")</f>
        <v/>
      </c>
      <c r="S156" s="0" t="str">
        <f aca="false">IFERROR(IF(OR(HLOOKUP($A156,#REF!,17,FALSE())&gt;2,HLOOKUP($A156,#REF!,17,FALSE())&lt;-2),"",#REF!),"")</f>
        <v/>
      </c>
      <c r="T156" s="0" t="str">
        <f aca="false">IFERROR(IF(OR(HLOOKUP($A156,#REF!,18,FALSE())&gt;2,HLOOKUP($A156,#REF!,18,FALSE())&lt;-2),"",#REF!),"")</f>
        <v/>
      </c>
      <c r="U156" s="0" t="str">
        <f aca="false">IFERROR(IF(OR(HLOOKUP($A156,#REF!,19,FALSE())&gt;2,HLOOKUP($A156,#REF!,19,FALSE())&lt;-2),"",#REF!),"")</f>
        <v/>
      </c>
      <c r="V156" s="0" t="n">
        <f aca="false">IFERROR(IF(AND(X156=0,Y156=0),0,1),0)</f>
        <v>1</v>
      </c>
      <c r="W156" s="3" t="str">
        <f aca="false">IFERROR(_xlfn.T.TEST(E156:M156,N156:U156,2,2),"")</f>
        <v/>
      </c>
      <c r="X156" s="0" t="str">
        <f aca="false">IFERROR(AVERAGE(E156:M156),"")</f>
        <v/>
      </c>
      <c r="Y156" s="0" t="str">
        <f aca="false">IFERROR(AVERAGE(N156:U156),"")</f>
        <v/>
      </c>
    </row>
    <row r="157" customFormat="false" ht="14.5" hidden="false" customHeight="false" outlineLevel="0" collapsed="false">
      <c r="A157" s="0" t="n">
        <v>159</v>
      </c>
      <c r="B157" s="0" t="s">
        <v>246</v>
      </c>
      <c r="C157" s="0" t="n">
        <v>31000</v>
      </c>
      <c r="D157" s="0" t="n">
        <v>698</v>
      </c>
      <c r="E157" s="0" t="str">
        <f aca="false">IFERROR(IF(OR(HLOOKUP($A157,#REF!,3,FALSE())&gt;2,HLOOKUP(A157,#REF!,3,FALSE())&lt;-2),"",#REF!),"")</f>
        <v/>
      </c>
      <c r="F157" s="0" t="str">
        <f aca="false">IFERROR(IF(OR(HLOOKUP($A157,#REF!,4,FALSE())&gt;2,HLOOKUP($A157,#REF!,4,FALSE())&lt;-2),"",#REF!),"")</f>
        <v/>
      </c>
      <c r="G157" s="0" t="str">
        <f aca="false">IFERROR(IF(OR(HLOOKUP($A157,#REF!,5,FALSE())&gt;2,HLOOKUP($A157,#REF!,5,FALSE())&lt;-2),"",#REF!),"")</f>
        <v/>
      </c>
      <c r="H157" s="0" t="str">
        <f aca="false">IFERROR(IF(OR(HLOOKUP($A157,#REF!,6,FALSE())&gt;2,HLOOKUP($A157,#REF!,6,FALSE())&lt;-2),"",#REF!),"")</f>
        <v/>
      </c>
      <c r="I157" s="0" t="str">
        <f aca="false">IFERROR(IF(OR(HLOOKUP($A157,#REF!,7,FALSE())&gt;2,HLOOKUP($A157,#REF!,7,FALSE())&lt;-2),"",#REF!),"")</f>
        <v/>
      </c>
      <c r="J157" s="0" t="str">
        <f aca="false">IFERROR(IF(OR(HLOOKUP($A157,#REF!,8,FALSE())&gt;2,HLOOKUP($A157,#REF!,8,FALSE())&lt;-2),"",#REF!),"")</f>
        <v/>
      </c>
      <c r="K157" s="0" t="str">
        <f aca="false">IFERROR(IF(OR(HLOOKUP($A157,#REF!,9,FALSE())&gt;2,HLOOKUP($A157,#REF!,9,FALSE())&lt;-2),"",#REF!),"")</f>
        <v/>
      </c>
      <c r="L157" s="0" t="str">
        <f aca="false">IFERROR(IF(OR(HLOOKUP($A157,#REF!,10,FALSE())&gt;2,HLOOKUP($A157,#REF!,10,FALSE())&lt;-2),"",#REF!),"")</f>
        <v/>
      </c>
      <c r="M157" s="0" t="str">
        <f aca="false">IFERROR(IF(OR(HLOOKUP($A157,#REF!,11,FALSE())&gt;2,HLOOKUP($A157,#REF!,11,FALSE())&lt;-2),"",#REF!),"")</f>
        <v/>
      </c>
      <c r="N157" s="0" t="str">
        <f aca="false">IFERROR(IF(OR(HLOOKUP($A157,#REF!,12,FALSE())&gt;2,HLOOKUP($A157,#REF!,12,FALSE())&lt;-2),"",#REF!),"")</f>
        <v/>
      </c>
      <c r="O157" s="0" t="str">
        <f aca="false">IFERROR(IF(OR(HLOOKUP($A157,#REF!,13,FALSE())&gt;2,HLOOKUP($A157,#REF!,13,FALSE())&lt;-2),"",#REF!),"")</f>
        <v/>
      </c>
      <c r="P157" s="0" t="str">
        <f aca="false">IFERROR(IF(OR(HLOOKUP($A157,#REF!,14,FALSE())&gt;2,HLOOKUP($A157,#REF!,14,FALSE())&lt;-2),"",#REF!),"")</f>
        <v/>
      </c>
      <c r="Q157" s="0" t="str">
        <f aca="false">IFERROR(IF(OR(HLOOKUP($A157,#REF!,15,FALSE())&gt;2,HLOOKUP($A157,#REF!,15,FALSE())&lt;-2),"",#REF!),"")</f>
        <v/>
      </c>
      <c r="R157" s="0" t="str">
        <f aca="false">IFERROR(IF(OR(HLOOKUP($A157,#REF!,16,FALSE())&gt;2,HLOOKUP($A157,#REF!,16,FALSE())&lt;-2),"",#REF!),"")</f>
        <v/>
      </c>
      <c r="S157" s="0" t="str">
        <f aca="false">IFERROR(IF(OR(HLOOKUP($A157,#REF!,17,FALSE())&gt;2,HLOOKUP($A157,#REF!,17,FALSE())&lt;-2),"",#REF!),"")</f>
        <v/>
      </c>
      <c r="T157" s="0" t="str">
        <f aca="false">IFERROR(IF(OR(HLOOKUP($A157,#REF!,18,FALSE())&gt;2,HLOOKUP($A157,#REF!,18,FALSE())&lt;-2),"",#REF!),"")</f>
        <v/>
      </c>
      <c r="U157" s="0" t="str">
        <f aca="false">IFERROR(IF(OR(HLOOKUP($A157,#REF!,19,FALSE())&gt;2,HLOOKUP($A157,#REF!,19,FALSE())&lt;-2),"",#REF!),"")</f>
        <v/>
      </c>
      <c r="V157" s="0" t="n">
        <f aca="false">IFERROR(IF(AND(X157=0,Y157=0),0,1),0)</f>
        <v>1</v>
      </c>
      <c r="W157" s="3" t="str">
        <f aca="false">IFERROR(_xlfn.T.TEST(E157:M157,N157:U157,2,2),"")</f>
        <v/>
      </c>
      <c r="X157" s="0" t="str">
        <f aca="false">IFERROR(AVERAGE(E157:M157),"")</f>
        <v/>
      </c>
      <c r="Y157" s="0" t="str">
        <f aca="false">IFERROR(AVERAGE(N157:U157),"")</f>
        <v/>
      </c>
    </row>
    <row r="158" customFormat="false" ht="14.5" hidden="false" customHeight="false" outlineLevel="0" collapsed="false">
      <c r="A158" s="0" t="n">
        <v>160</v>
      </c>
      <c r="B158" s="0" t="s">
        <v>247</v>
      </c>
      <c r="C158" s="0" t="n">
        <v>31600</v>
      </c>
      <c r="D158" s="0" t="n">
        <v>159</v>
      </c>
      <c r="E158" s="0" t="str">
        <f aca="false">IFERROR(IF(OR(HLOOKUP($A158,#REF!,3,FALSE())&gt;2,HLOOKUP(A158,#REF!,3,FALSE())&lt;-2),"",#REF!),"")</f>
        <v/>
      </c>
      <c r="F158" s="0" t="str">
        <f aca="false">IFERROR(IF(OR(HLOOKUP($A158,#REF!,4,FALSE())&gt;2,HLOOKUP($A158,#REF!,4,FALSE())&lt;-2),"",#REF!),"")</f>
        <v/>
      </c>
      <c r="G158" s="0" t="str">
        <f aca="false">IFERROR(IF(OR(HLOOKUP($A158,#REF!,5,FALSE())&gt;2,HLOOKUP($A158,#REF!,5,FALSE())&lt;-2),"",#REF!),"")</f>
        <v/>
      </c>
      <c r="H158" s="0" t="str">
        <f aca="false">IFERROR(IF(OR(HLOOKUP($A158,#REF!,6,FALSE())&gt;2,HLOOKUP($A158,#REF!,6,FALSE())&lt;-2),"",#REF!),"")</f>
        <v/>
      </c>
      <c r="I158" s="0" t="str">
        <f aca="false">IFERROR(IF(OR(HLOOKUP($A158,#REF!,7,FALSE())&gt;2,HLOOKUP($A158,#REF!,7,FALSE())&lt;-2),"",#REF!),"")</f>
        <v/>
      </c>
      <c r="J158" s="0" t="str">
        <f aca="false">IFERROR(IF(OR(HLOOKUP($A158,#REF!,8,FALSE())&gt;2,HLOOKUP($A158,#REF!,8,FALSE())&lt;-2),"",#REF!),"")</f>
        <v/>
      </c>
      <c r="K158" s="0" t="str">
        <f aca="false">IFERROR(IF(OR(HLOOKUP($A158,#REF!,9,FALSE())&gt;2,HLOOKUP($A158,#REF!,9,FALSE())&lt;-2),"",#REF!),"")</f>
        <v/>
      </c>
      <c r="L158" s="0" t="str">
        <f aca="false">IFERROR(IF(OR(HLOOKUP($A158,#REF!,10,FALSE())&gt;2,HLOOKUP($A158,#REF!,10,FALSE())&lt;-2),"",#REF!),"")</f>
        <v/>
      </c>
      <c r="M158" s="0" t="str">
        <f aca="false">IFERROR(IF(OR(HLOOKUP($A158,#REF!,11,FALSE())&gt;2,HLOOKUP($A158,#REF!,11,FALSE())&lt;-2),"",#REF!),"")</f>
        <v/>
      </c>
      <c r="N158" s="0" t="str">
        <f aca="false">IFERROR(IF(OR(HLOOKUP($A158,#REF!,12,FALSE())&gt;2,HLOOKUP($A158,#REF!,12,FALSE())&lt;-2),"",#REF!),"")</f>
        <v/>
      </c>
      <c r="O158" s="0" t="str">
        <f aca="false">IFERROR(IF(OR(HLOOKUP($A158,#REF!,13,FALSE())&gt;2,HLOOKUP($A158,#REF!,13,FALSE())&lt;-2),"",#REF!),"")</f>
        <v/>
      </c>
      <c r="P158" s="0" t="str">
        <f aca="false">IFERROR(IF(OR(HLOOKUP($A158,#REF!,14,FALSE())&gt;2,HLOOKUP($A158,#REF!,14,FALSE())&lt;-2),"",#REF!),"")</f>
        <v/>
      </c>
      <c r="Q158" s="0" t="str">
        <f aca="false">IFERROR(IF(OR(HLOOKUP($A158,#REF!,15,FALSE())&gt;2,HLOOKUP($A158,#REF!,15,FALSE())&lt;-2),"",#REF!),"")</f>
        <v/>
      </c>
      <c r="R158" s="0" t="str">
        <f aca="false">IFERROR(IF(OR(HLOOKUP($A158,#REF!,16,FALSE())&gt;2,HLOOKUP($A158,#REF!,16,FALSE())&lt;-2),"",#REF!),"")</f>
        <v/>
      </c>
      <c r="S158" s="0" t="str">
        <f aca="false">IFERROR(IF(OR(HLOOKUP($A158,#REF!,17,FALSE())&gt;2,HLOOKUP($A158,#REF!,17,FALSE())&lt;-2),"",#REF!),"")</f>
        <v/>
      </c>
      <c r="T158" s="0" t="str">
        <f aca="false">IFERROR(IF(OR(HLOOKUP($A158,#REF!,18,FALSE())&gt;2,HLOOKUP($A158,#REF!,18,FALSE())&lt;-2),"",#REF!),"")</f>
        <v/>
      </c>
      <c r="U158" s="0" t="str">
        <f aca="false">IFERROR(IF(OR(HLOOKUP($A158,#REF!,19,FALSE())&gt;2,HLOOKUP($A158,#REF!,19,FALSE())&lt;-2),"",#REF!),"")</f>
        <v/>
      </c>
      <c r="V158" s="0" t="n">
        <f aca="false">IFERROR(IF(AND(X158=0,Y158=0),0,1),0)</f>
        <v>1</v>
      </c>
      <c r="W158" s="3" t="str">
        <f aca="false">IFERROR(_xlfn.T.TEST(E158:M158,N158:U158,2,2),"")</f>
        <v/>
      </c>
      <c r="X158" s="0" t="str">
        <f aca="false">IFERROR(AVERAGE(E158:M158),"")</f>
        <v/>
      </c>
      <c r="Y158" s="0" t="str">
        <f aca="false">IFERROR(AVERAGE(N158:U158),"")</f>
        <v/>
      </c>
    </row>
    <row r="159" customFormat="false" ht="14.5" hidden="false" customHeight="false" outlineLevel="0" collapsed="false">
      <c r="A159" s="0" t="n">
        <v>161</v>
      </c>
      <c r="B159" s="0" t="s">
        <v>248</v>
      </c>
      <c r="C159" s="0" t="n">
        <v>95200</v>
      </c>
      <c r="D159" s="0" t="n">
        <v>154</v>
      </c>
      <c r="E159" s="0" t="str">
        <f aca="false">IFERROR(IF(OR(HLOOKUP($A159,#REF!,3,FALSE())&gt;2,HLOOKUP(A159,#REF!,3,FALSE())&lt;-2),"",#REF!),"")</f>
        <v/>
      </c>
      <c r="F159" s="0" t="str">
        <f aca="false">IFERROR(IF(OR(HLOOKUP($A159,#REF!,4,FALSE())&gt;2,HLOOKUP($A159,#REF!,4,FALSE())&lt;-2),"",#REF!),"")</f>
        <v/>
      </c>
      <c r="G159" s="0" t="str">
        <f aca="false">IFERROR(IF(OR(HLOOKUP($A159,#REF!,5,FALSE())&gt;2,HLOOKUP($A159,#REF!,5,FALSE())&lt;-2),"",#REF!),"")</f>
        <v/>
      </c>
      <c r="H159" s="0" t="str">
        <f aca="false">IFERROR(IF(OR(HLOOKUP($A159,#REF!,6,FALSE())&gt;2,HLOOKUP($A159,#REF!,6,FALSE())&lt;-2),"",#REF!),"")</f>
        <v/>
      </c>
      <c r="I159" s="0" t="str">
        <f aca="false">IFERROR(IF(OR(HLOOKUP($A159,#REF!,7,FALSE())&gt;2,HLOOKUP($A159,#REF!,7,FALSE())&lt;-2),"",#REF!),"")</f>
        <v/>
      </c>
      <c r="J159" s="0" t="str">
        <f aca="false">IFERROR(IF(OR(HLOOKUP($A159,#REF!,8,FALSE())&gt;2,HLOOKUP($A159,#REF!,8,FALSE())&lt;-2),"",#REF!),"")</f>
        <v/>
      </c>
      <c r="K159" s="0" t="str">
        <f aca="false">IFERROR(IF(OR(HLOOKUP($A159,#REF!,9,FALSE())&gt;2,HLOOKUP($A159,#REF!,9,FALSE())&lt;-2),"",#REF!),"")</f>
        <v/>
      </c>
      <c r="L159" s="0" t="str">
        <f aca="false">IFERROR(IF(OR(HLOOKUP($A159,#REF!,10,FALSE())&gt;2,HLOOKUP($A159,#REF!,10,FALSE())&lt;-2),"",#REF!),"")</f>
        <v/>
      </c>
      <c r="M159" s="0" t="str">
        <f aca="false">IFERROR(IF(OR(HLOOKUP($A159,#REF!,11,FALSE())&gt;2,HLOOKUP($A159,#REF!,11,FALSE())&lt;-2),"",#REF!),"")</f>
        <v/>
      </c>
      <c r="N159" s="0" t="str">
        <f aca="false">IFERROR(IF(OR(HLOOKUP($A159,#REF!,12,FALSE())&gt;2,HLOOKUP($A159,#REF!,12,FALSE())&lt;-2),"",#REF!),"")</f>
        <v/>
      </c>
      <c r="O159" s="0" t="str">
        <f aca="false">IFERROR(IF(OR(HLOOKUP($A159,#REF!,13,FALSE())&gt;2,HLOOKUP($A159,#REF!,13,FALSE())&lt;-2),"",#REF!),"")</f>
        <v/>
      </c>
      <c r="P159" s="0" t="str">
        <f aca="false">IFERROR(IF(OR(HLOOKUP($A159,#REF!,14,FALSE())&gt;2,HLOOKUP($A159,#REF!,14,FALSE())&lt;-2),"",#REF!),"")</f>
        <v/>
      </c>
      <c r="Q159" s="0" t="str">
        <f aca="false">IFERROR(IF(OR(HLOOKUP($A159,#REF!,15,FALSE())&gt;2,HLOOKUP($A159,#REF!,15,FALSE())&lt;-2),"",#REF!),"")</f>
        <v/>
      </c>
      <c r="R159" s="0" t="str">
        <f aca="false">IFERROR(IF(OR(HLOOKUP($A159,#REF!,16,FALSE())&gt;2,HLOOKUP($A159,#REF!,16,FALSE())&lt;-2),"",#REF!),"")</f>
        <v/>
      </c>
      <c r="S159" s="0" t="str">
        <f aca="false">IFERROR(IF(OR(HLOOKUP($A159,#REF!,17,FALSE())&gt;2,HLOOKUP($A159,#REF!,17,FALSE())&lt;-2),"",#REF!),"")</f>
        <v/>
      </c>
      <c r="T159" s="0" t="str">
        <f aca="false">IFERROR(IF(OR(HLOOKUP($A159,#REF!,18,FALSE())&gt;2,HLOOKUP($A159,#REF!,18,FALSE())&lt;-2),"",#REF!),"")</f>
        <v/>
      </c>
      <c r="U159" s="0" t="str">
        <f aca="false">IFERROR(IF(OR(HLOOKUP($A159,#REF!,19,FALSE())&gt;2,HLOOKUP($A159,#REF!,19,FALSE())&lt;-2),"",#REF!),"")</f>
        <v/>
      </c>
      <c r="V159" s="0" t="n">
        <f aca="false">IFERROR(IF(AND(X159=0,Y159=0),0,1),0)</f>
        <v>1</v>
      </c>
      <c r="W159" s="3" t="str">
        <f aca="false">IFERROR(_xlfn.T.TEST(E159:M159,N159:U159,2,2),"")</f>
        <v/>
      </c>
      <c r="X159" s="0" t="str">
        <f aca="false">IFERROR(AVERAGE(E159:M159),"")</f>
        <v/>
      </c>
      <c r="Y159" s="0" t="str">
        <f aca="false">IFERROR(AVERAGE(N159:U159),"")</f>
        <v/>
      </c>
    </row>
    <row r="160" customFormat="false" ht="14.5" hidden="false" customHeight="false" outlineLevel="0" collapsed="false">
      <c r="A160" s="0" t="n">
        <v>162</v>
      </c>
      <c r="B160" s="0" t="s">
        <v>249</v>
      </c>
      <c r="C160" s="0" t="n">
        <v>88800</v>
      </c>
      <c r="D160" s="0" t="n">
        <v>1117</v>
      </c>
      <c r="E160" s="0" t="str">
        <f aca="false">IFERROR(IF(OR(HLOOKUP($A160,#REF!,3,FALSE())&gt;2,HLOOKUP(A160,#REF!,3,FALSE())&lt;-2),"",#REF!),"")</f>
        <v/>
      </c>
      <c r="F160" s="0" t="str">
        <f aca="false">IFERROR(IF(OR(HLOOKUP($A160,#REF!,4,FALSE())&gt;2,HLOOKUP($A160,#REF!,4,FALSE())&lt;-2),"",#REF!),"")</f>
        <v/>
      </c>
      <c r="G160" s="0" t="str">
        <f aca="false">IFERROR(IF(OR(HLOOKUP($A160,#REF!,5,FALSE())&gt;2,HLOOKUP($A160,#REF!,5,FALSE())&lt;-2),"",#REF!),"")</f>
        <v/>
      </c>
      <c r="H160" s="0" t="str">
        <f aca="false">IFERROR(IF(OR(HLOOKUP($A160,#REF!,6,FALSE())&gt;2,HLOOKUP($A160,#REF!,6,FALSE())&lt;-2),"",#REF!),"")</f>
        <v/>
      </c>
      <c r="I160" s="0" t="str">
        <f aca="false">IFERROR(IF(OR(HLOOKUP($A160,#REF!,7,FALSE())&gt;2,HLOOKUP($A160,#REF!,7,FALSE())&lt;-2),"",#REF!),"")</f>
        <v/>
      </c>
      <c r="J160" s="0" t="str">
        <f aca="false">IFERROR(IF(OR(HLOOKUP($A160,#REF!,8,FALSE())&gt;2,HLOOKUP($A160,#REF!,8,FALSE())&lt;-2),"",#REF!),"")</f>
        <v/>
      </c>
      <c r="K160" s="0" t="str">
        <f aca="false">IFERROR(IF(OR(HLOOKUP($A160,#REF!,9,FALSE())&gt;2,HLOOKUP($A160,#REF!,9,FALSE())&lt;-2),"",#REF!),"")</f>
        <v/>
      </c>
      <c r="L160" s="0" t="str">
        <f aca="false">IFERROR(IF(OR(HLOOKUP($A160,#REF!,10,FALSE())&gt;2,HLOOKUP($A160,#REF!,10,FALSE())&lt;-2),"",#REF!),"")</f>
        <v/>
      </c>
      <c r="M160" s="0" t="str">
        <f aca="false">IFERROR(IF(OR(HLOOKUP($A160,#REF!,11,FALSE())&gt;2,HLOOKUP($A160,#REF!,11,FALSE())&lt;-2),"",#REF!),"")</f>
        <v/>
      </c>
      <c r="N160" s="0" t="str">
        <f aca="false">IFERROR(IF(OR(HLOOKUP($A160,#REF!,12,FALSE())&gt;2,HLOOKUP($A160,#REF!,12,FALSE())&lt;-2),"",#REF!),"")</f>
        <v/>
      </c>
      <c r="O160" s="0" t="str">
        <f aca="false">IFERROR(IF(OR(HLOOKUP($A160,#REF!,13,FALSE())&gt;2,HLOOKUP($A160,#REF!,13,FALSE())&lt;-2),"",#REF!),"")</f>
        <v/>
      </c>
      <c r="P160" s="0" t="str">
        <f aca="false">IFERROR(IF(OR(HLOOKUP($A160,#REF!,14,FALSE())&gt;2,HLOOKUP($A160,#REF!,14,FALSE())&lt;-2),"",#REF!),"")</f>
        <v/>
      </c>
      <c r="Q160" s="0" t="str">
        <f aca="false">IFERROR(IF(OR(HLOOKUP($A160,#REF!,15,FALSE())&gt;2,HLOOKUP($A160,#REF!,15,FALSE())&lt;-2),"",#REF!),"")</f>
        <v/>
      </c>
      <c r="R160" s="0" t="str">
        <f aca="false">IFERROR(IF(OR(HLOOKUP($A160,#REF!,16,FALSE())&gt;2,HLOOKUP($A160,#REF!,16,FALSE())&lt;-2),"",#REF!),"")</f>
        <v/>
      </c>
      <c r="S160" s="0" t="str">
        <f aca="false">IFERROR(IF(OR(HLOOKUP($A160,#REF!,17,FALSE())&gt;2,HLOOKUP($A160,#REF!,17,FALSE())&lt;-2),"",#REF!),"")</f>
        <v/>
      </c>
      <c r="T160" s="0" t="str">
        <f aca="false">IFERROR(IF(OR(HLOOKUP($A160,#REF!,18,FALSE())&gt;2,HLOOKUP($A160,#REF!,18,FALSE())&lt;-2),"",#REF!),"")</f>
        <v/>
      </c>
      <c r="U160" s="0" t="str">
        <f aca="false">IFERROR(IF(OR(HLOOKUP($A160,#REF!,19,FALSE())&gt;2,HLOOKUP($A160,#REF!,19,FALSE())&lt;-2),"",#REF!),"")</f>
        <v/>
      </c>
      <c r="V160" s="0" t="n">
        <f aca="false">IFERROR(IF(AND(X160=0,Y160=0),0,1),0)</f>
        <v>1</v>
      </c>
      <c r="W160" s="3" t="str">
        <f aca="false">IFERROR(_xlfn.T.TEST(E160:M160,N160:U160,2,2),"")</f>
        <v/>
      </c>
      <c r="X160" s="0" t="str">
        <f aca="false">IFERROR(AVERAGE(E160:M160),"")</f>
        <v/>
      </c>
      <c r="Y160" s="0" t="str">
        <f aca="false">IFERROR(AVERAGE(N160:U160),"")</f>
        <v/>
      </c>
    </row>
    <row r="161" customFormat="false" ht="14.5" hidden="false" customHeight="false" outlineLevel="0" collapsed="false">
      <c r="A161" s="0" t="n">
        <v>163</v>
      </c>
      <c r="B161" s="0" t="s">
        <v>250</v>
      </c>
      <c r="C161" s="0" t="n">
        <v>24200</v>
      </c>
      <c r="D161" s="0" t="n">
        <v>111</v>
      </c>
      <c r="E161" s="0" t="str">
        <f aca="false">IFERROR(IF(OR(HLOOKUP($A161,#REF!,3,FALSE())&gt;2,HLOOKUP(A161,#REF!,3,FALSE())&lt;-2),"",#REF!),"")</f>
        <v/>
      </c>
      <c r="F161" s="0" t="str">
        <f aca="false">IFERROR(IF(OR(HLOOKUP($A161,#REF!,4,FALSE())&gt;2,HLOOKUP($A161,#REF!,4,FALSE())&lt;-2),"",#REF!),"")</f>
        <v/>
      </c>
      <c r="G161" s="0" t="str">
        <f aca="false">IFERROR(IF(OR(HLOOKUP($A161,#REF!,5,FALSE())&gt;2,HLOOKUP($A161,#REF!,5,FALSE())&lt;-2),"",#REF!),"")</f>
        <v/>
      </c>
      <c r="H161" s="0" t="str">
        <f aca="false">IFERROR(IF(OR(HLOOKUP($A161,#REF!,6,FALSE())&gt;2,HLOOKUP($A161,#REF!,6,FALSE())&lt;-2),"",#REF!),"")</f>
        <v/>
      </c>
      <c r="I161" s="0" t="str">
        <f aca="false">IFERROR(IF(OR(HLOOKUP($A161,#REF!,7,FALSE())&gt;2,HLOOKUP($A161,#REF!,7,FALSE())&lt;-2),"",#REF!),"")</f>
        <v/>
      </c>
      <c r="J161" s="0" t="str">
        <f aca="false">IFERROR(IF(OR(HLOOKUP($A161,#REF!,8,FALSE())&gt;2,HLOOKUP($A161,#REF!,8,FALSE())&lt;-2),"",#REF!),"")</f>
        <v/>
      </c>
      <c r="K161" s="0" t="str">
        <f aca="false">IFERROR(IF(OR(HLOOKUP($A161,#REF!,9,FALSE())&gt;2,HLOOKUP($A161,#REF!,9,FALSE())&lt;-2),"",#REF!),"")</f>
        <v/>
      </c>
      <c r="L161" s="0" t="str">
        <f aca="false">IFERROR(IF(OR(HLOOKUP($A161,#REF!,10,FALSE())&gt;2,HLOOKUP($A161,#REF!,10,FALSE())&lt;-2),"",#REF!),"")</f>
        <v/>
      </c>
      <c r="M161" s="0" t="str">
        <f aca="false">IFERROR(IF(OR(HLOOKUP($A161,#REF!,11,FALSE())&gt;2,HLOOKUP($A161,#REF!,11,FALSE())&lt;-2),"",#REF!),"")</f>
        <v/>
      </c>
      <c r="N161" s="0" t="str">
        <f aca="false">IFERROR(IF(OR(HLOOKUP($A161,#REF!,12,FALSE())&gt;2,HLOOKUP($A161,#REF!,12,FALSE())&lt;-2),"",#REF!),"")</f>
        <v/>
      </c>
      <c r="O161" s="0" t="str">
        <f aca="false">IFERROR(IF(OR(HLOOKUP($A161,#REF!,13,FALSE())&gt;2,HLOOKUP($A161,#REF!,13,FALSE())&lt;-2),"",#REF!),"")</f>
        <v/>
      </c>
      <c r="P161" s="0" t="str">
        <f aca="false">IFERROR(IF(OR(HLOOKUP($A161,#REF!,14,FALSE())&gt;2,HLOOKUP($A161,#REF!,14,FALSE())&lt;-2),"",#REF!),"")</f>
        <v/>
      </c>
      <c r="Q161" s="0" t="str">
        <f aca="false">IFERROR(IF(OR(HLOOKUP($A161,#REF!,15,FALSE())&gt;2,HLOOKUP($A161,#REF!,15,FALSE())&lt;-2),"",#REF!),"")</f>
        <v/>
      </c>
      <c r="R161" s="0" t="str">
        <f aca="false">IFERROR(IF(OR(HLOOKUP($A161,#REF!,16,FALSE())&gt;2,HLOOKUP($A161,#REF!,16,FALSE())&lt;-2),"",#REF!),"")</f>
        <v/>
      </c>
      <c r="S161" s="0" t="str">
        <f aca="false">IFERROR(IF(OR(HLOOKUP($A161,#REF!,17,FALSE())&gt;2,HLOOKUP($A161,#REF!,17,FALSE())&lt;-2),"",#REF!),"")</f>
        <v/>
      </c>
      <c r="T161" s="0" t="str">
        <f aca="false">IFERROR(IF(OR(HLOOKUP($A161,#REF!,18,FALSE())&gt;2,HLOOKUP($A161,#REF!,18,FALSE())&lt;-2),"",#REF!),"")</f>
        <v/>
      </c>
      <c r="U161" s="0" t="str">
        <f aca="false">IFERROR(IF(OR(HLOOKUP($A161,#REF!,19,FALSE())&gt;2,HLOOKUP($A161,#REF!,19,FALSE())&lt;-2),"",#REF!),"")</f>
        <v/>
      </c>
      <c r="V161" s="0" t="n">
        <f aca="false">IFERROR(IF(AND(X161=0,Y161=0),0,1),0)</f>
        <v>1</v>
      </c>
      <c r="W161" s="3" t="str">
        <f aca="false">IFERROR(_xlfn.T.TEST(E161:M161,N161:U161,2,2),"")</f>
        <v/>
      </c>
      <c r="X161" s="0" t="str">
        <f aca="false">IFERROR(AVERAGE(E161:M161),"")</f>
        <v/>
      </c>
      <c r="Y161" s="0" t="str">
        <f aca="false">IFERROR(AVERAGE(N161:U161),"")</f>
        <v/>
      </c>
    </row>
    <row r="162" customFormat="false" ht="14.5" hidden="false" customHeight="false" outlineLevel="0" collapsed="false">
      <c r="A162" s="0" t="n">
        <v>164</v>
      </c>
      <c r="B162" s="0" t="s">
        <v>251</v>
      </c>
      <c r="C162" s="0" t="n">
        <v>116900</v>
      </c>
      <c r="D162" s="0" t="n">
        <v>73</v>
      </c>
      <c r="E162" s="0" t="str">
        <f aca="false">IFERROR(IF(OR(HLOOKUP($A162,#REF!,3,FALSE())&gt;2,HLOOKUP(A162,#REF!,3,FALSE())&lt;-2),"",#REF!),"")</f>
        <v/>
      </c>
      <c r="F162" s="0" t="str">
        <f aca="false">IFERROR(IF(OR(HLOOKUP($A162,#REF!,4,FALSE())&gt;2,HLOOKUP($A162,#REF!,4,FALSE())&lt;-2),"",#REF!),"")</f>
        <v/>
      </c>
      <c r="G162" s="0" t="str">
        <f aca="false">IFERROR(IF(OR(HLOOKUP($A162,#REF!,5,FALSE())&gt;2,HLOOKUP($A162,#REF!,5,FALSE())&lt;-2),"",#REF!),"")</f>
        <v/>
      </c>
      <c r="H162" s="0" t="str">
        <f aca="false">IFERROR(IF(OR(HLOOKUP($A162,#REF!,6,FALSE())&gt;2,HLOOKUP($A162,#REF!,6,FALSE())&lt;-2),"",#REF!),"")</f>
        <v/>
      </c>
      <c r="I162" s="0" t="str">
        <f aca="false">IFERROR(IF(OR(HLOOKUP($A162,#REF!,7,FALSE())&gt;2,HLOOKUP($A162,#REF!,7,FALSE())&lt;-2),"",#REF!),"")</f>
        <v/>
      </c>
      <c r="J162" s="0" t="str">
        <f aca="false">IFERROR(IF(OR(HLOOKUP($A162,#REF!,8,FALSE())&gt;2,HLOOKUP($A162,#REF!,8,FALSE())&lt;-2),"",#REF!),"")</f>
        <v/>
      </c>
      <c r="K162" s="0" t="str">
        <f aca="false">IFERROR(IF(OR(HLOOKUP($A162,#REF!,9,FALSE())&gt;2,HLOOKUP($A162,#REF!,9,FALSE())&lt;-2),"",#REF!),"")</f>
        <v/>
      </c>
      <c r="L162" s="0" t="str">
        <f aca="false">IFERROR(IF(OR(HLOOKUP($A162,#REF!,10,FALSE())&gt;2,HLOOKUP($A162,#REF!,10,FALSE())&lt;-2),"",#REF!),"")</f>
        <v/>
      </c>
      <c r="M162" s="0" t="str">
        <f aca="false">IFERROR(IF(OR(HLOOKUP($A162,#REF!,11,FALSE())&gt;2,HLOOKUP($A162,#REF!,11,FALSE())&lt;-2),"",#REF!),"")</f>
        <v/>
      </c>
      <c r="N162" s="0" t="str">
        <f aca="false">IFERROR(IF(OR(HLOOKUP($A162,#REF!,12,FALSE())&gt;2,HLOOKUP($A162,#REF!,12,FALSE())&lt;-2),"",#REF!),"")</f>
        <v/>
      </c>
      <c r="O162" s="0" t="str">
        <f aca="false">IFERROR(IF(OR(HLOOKUP($A162,#REF!,13,FALSE())&gt;2,HLOOKUP($A162,#REF!,13,FALSE())&lt;-2),"",#REF!),"")</f>
        <v/>
      </c>
      <c r="P162" s="0" t="str">
        <f aca="false">IFERROR(IF(OR(HLOOKUP($A162,#REF!,14,FALSE())&gt;2,HLOOKUP($A162,#REF!,14,FALSE())&lt;-2),"",#REF!),"")</f>
        <v/>
      </c>
      <c r="Q162" s="0" t="str">
        <f aca="false">IFERROR(IF(OR(HLOOKUP($A162,#REF!,15,FALSE())&gt;2,HLOOKUP($A162,#REF!,15,FALSE())&lt;-2),"",#REF!),"")</f>
        <v/>
      </c>
      <c r="R162" s="0" t="str">
        <f aca="false">IFERROR(IF(OR(HLOOKUP($A162,#REF!,16,FALSE())&gt;2,HLOOKUP($A162,#REF!,16,FALSE())&lt;-2),"",#REF!),"")</f>
        <v/>
      </c>
      <c r="S162" s="0" t="str">
        <f aca="false">IFERROR(IF(OR(HLOOKUP($A162,#REF!,17,FALSE())&gt;2,HLOOKUP($A162,#REF!,17,FALSE())&lt;-2),"",#REF!),"")</f>
        <v/>
      </c>
      <c r="T162" s="0" t="str">
        <f aca="false">IFERROR(IF(OR(HLOOKUP($A162,#REF!,18,FALSE())&gt;2,HLOOKUP($A162,#REF!,18,FALSE())&lt;-2),"",#REF!),"")</f>
        <v/>
      </c>
      <c r="U162" s="0" t="str">
        <f aca="false">IFERROR(IF(OR(HLOOKUP($A162,#REF!,19,FALSE())&gt;2,HLOOKUP($A162,#REF!,19,FALSE())&lt;-2),"",#REF!),"")</f>
        <v/>
      </c>
      <c r="V162" s="0" t="n">
        <f aca="false">IFERROR(IF(AND(X162=0,Y162=0),0,1),0)</f>
        <v>1</v>
      </c>
      <c r="W162" s="3" t="str">
        <f aca="false">IFERROR(_xlfn.T.TEST(E162:M162,N162:U162,2,2),"")</f>
        <v/>
      </c>
      <c r="X162" s="0" t="str">
        <f aca="false">IFERROR(AVERAGE(E162:M162),"")</f>
        <v/>
      </c>
      <c r="Y162" s="0" t="str">
        <f aca="false">IFERROR(AVERAGE(N162:U162),"")</f>
        <v/>
      </c>
    </row>
    <row r="163" customFormat="false" ht="14.5" hidden="false" customHeight="false" outlineLevel="0" collapsed="false">
      <c r="A163" s="0" t="n">
        <v>165</v>
      </c>
      <c r="B163" s="0" t="s">
        <v>252</v>
      </c>
      <c r="C163" s="0" t="n">
        <v>84000</v>
      </c>
      <c r="D163" s="0" t="n">
        <v>348</v>
      </c>
      <c r="E163" s="0" t="str">
        <f aca="false">IFERROR(IF(OR(HLOOKUP($A163,#REF!,3,FALSE())&gt;2,HLOOKUP(A163,#REF!,3,FALSE())&lt;-2),"",#REF!),"")</f>
        <v/>
      </c>
      <c r="F163" s="0" t="str">
        <f aca="false">IFERROR(IF(OR(HLOOKUP($A163,#REF!,4,FALSE())&gt;2,HLOOKUP($A163,#REF!,4,FALSE())&lt;-2),"",#REF!),"")</f>
        <v/>
      </c>
      <c r="G163" s="0" t="str">
        <f aca="false">IFERROR(IF(OR(HLOOKUP($A163,#REF!,5,FALSE())&gt;2,HLOOKUP($A163,#REF!,5,FALSE())&lt;-2),"",#REF!),"")</f>
        <v/>
      </c>
      <c r="H163" s="0" t="str">
        <f aca="false">IFERROR(IF(OR(HLOOKUP($A163,#REF!,6,FALSE())&gt;2,HLOOKUP($A163,#REF!,6,FALSE())&lt;-2),"",#REF!),"")</f>
        <v/>
      </c>
      <c r="I163" s="0" t="str">
        <f aca="false">IFERROR(IF(OR(HLOOKUP($A163,#REF!,7,FALSE())&gt;2,HLOOKUP($A163,#REF!,7,FALSE())&lt;-2),"",#REF!),"")</f>
        <v/>
      </c>
      <c r="J163" s="0" t="str">
        <f aca="false">IFERROR(IF(OR(HLOOKUP($A163,#REF!,8,FALSE())&gt;2,HLOOKUP($A163,#REF!,8,FALSE())&lt;-2),"",#REF!),"")</f>
        <v/>
      </c>
      <c r="K163" s="0" t="str">
        <f aca="false">IFERROR(IF(OR(HLOOKUP($A163,#REF!,9,FALSE())&gt;2,HLOOKUP($A163,#REF!,9,FALSE())&lt;-2),"",#REF!),"")</f>
        <v/>
      </c>
      <c r="L163" s="0" t="str">
        <f aca="false">IFERROR(IF(OR(HLOOKUP($A163,#REF!,10,FALSE())&gt;2,HLOOKUP($A163,#REF!,10,FALSE())&lt;-2),"",#REF!),"")</f>
        <v/>
      </c>
      <c r="M163" s="0" t="str">
        <f aca="false">IFERROR(IF(OR(HLOOKUP($A163,#REF!,11,FALSE())&gt;2,HLOOKUP($A163,#REF!,11,FALSE())&lt;-2),"",#REF!),"")</f>
        <v/>
      </c>
      <c r="N163" s="0" t="str">
        <f aca="false">IFERROR(IF(OR(HLOOKUP($A163,#REF!,12,FALSE())&gt;2,HLOOKUP($A163,#REF!,12,FALSE())&lt;-2),"",#REF!),"")</f>
        <v/>
      </c>
      <c r="O163" s="0" t="str">
        <f aca="false">IFERROR(IF(OR(HLOOKUP($A163,#REF!,13,FALSE())&gt;2,HLOOKUP($A163,#REF!,13,FALSE())&lt;-2),"",#REF!),"")</f>
        <v/>
      </c>
      <c r="P163" s="0" t="str">
        <f aca="false">IFERROR(IF(OR(HLOOKUP($A163,#REF!,14,FALSE())&gt;2,HLOOKUP($A163,#REF!,14,FALSE())&lt;-2),"",#REF!),"")</f>
        <v/>
      </c>
      <c r="Q163" s="0" t="str">
        <f aca="false">IFERROR(IF(OR(HLOOKUP($A163,#REF!,15,FALSE())&gt;2,HLOOKUP($A163,#REF!,15,FALSE())&lt;-2),"",#REF!),"")</f>
        <v/>
      </c>
      <c r="R163" s="0" t="str">
        <f aca="false">IFERROR(IF(OR(HLOOKUP($A163,#REF!,16,FALSE())&gt;2,HLOOKUP($A163,#REF!,16,FALSE())&lt;-2),"",#REF!),"")</f>
        <v/>
      </c>
      <c r="S163" s="0" t="str">
        <f aca="false">IFERROR(IF(OR(HLOOKUP($A163,#REF!,17,FALSE())&gt;2,HLOOKUP($A163,#REF!,17,FALSE())&lt;-2),"",#REF!),"")</f>
        <v/>
      </c>
      <c r="T163" s="0" t="str">
        <f aca="false">IFERROR(IF(OR(HLOOKUP($A163,#REF!,18,FALSE())&gt;2,HLOOKUP($A163,#REF!,18,FALSE())&lt;-2),"",#REF!),"")</f>
        <v/>
      </c>
      <c r="U163" s="0" t="str">
        <f aca="false">IFERROR(IF(OR(HLOOKUP($A163,#REF!,19,FALSE())&gt;2,HLOOKUP($A163,#REF!,19,FALSE())&lt;-2),"",#REF!),"")</f>
        <v/>
      </c>
      <c r="V163" s="0" t="n">
        <f aca="false">IFERROR(IF(AND(X163=0,Y163=0),0,1),0)</f>
        <v>1</v>
      </c>
      <c r="W163" s="3" t="str">
        <f aca="false">IFERROR(_xlfn.T.TEST(E163:M163,N163:U163,2,2),"")</f>
        <v/>
      </c>
      <c r="X163" s="0" t="str">
        <f aca="false">IFERROR(AVERAGE(E163:M163),"")</f>
        <v/>
      </c>
      <c r="Y163" s="0" t="str">
        <f aca="false">IFERROR(AVERAGE(N163:U163),"")</f>
        <v/>
      </c>
    </row>
    <row r="164" customFormat="false" ht="14.5" hidden="false" customHeight="false" outlineLevel="0" collapsed="false">
      <c r="A164" s="0" t="n">
        <v>166</v>
      </c>
      <c r="B164" s="0" t="s">
        <v>253</v>
      </c>
      <c r="C164" s="0" t="n">
        <v>113500</v>
      </c>
      <c r="D164" s="0" t="n">
        <v>824</v>
      </c>
      <c r="E164" s="0" t="str">
        <f aca="false">IFERROR(IF(OR(HLOOKUP($A164,#REF!,3,FALSE())&gt;2,HLOOKUP(A164,#REF!,3,FALSE())&lt;-2),"",#REF!),"")</f>
        <v/>
      </c>
      <c r="F164" s="0" t="str">
        <f aca="false">IFERROR(IF(OR(HLOOKUP($A164,#REF!,4,FALSE())&gt;2,HLOOKUP($A164,#REF!,4,FALSE())&lt;-2),"",#REF!),"")</f>
        <v/>
      </c>
      <c r="G164" s="0" t="str">
        <f aca="false">IFERROR(IF(OR(HLOOKUP($A164,#REF!,5,FALSE())&gt;2,HLOOKUP($A164,#REF!,5,FALSE())&lt;-2),"",#REF!),"")</f>
        <v/>
      </c>
      <c r="H164" s="0" t="str">
        <f aca="false">IFERROR(IF(OR(HLOOKUP($A164,#REF!,6,FALSE())&gt;2,HLOOKUP($A164,#REF!,6,FALSE())&lt;-2),"",#REF!),"")</f>
        <v/>
      </c>
      <c r="I164" s="0" t="str">
        <f aca="false">IFERROR(IF(OR(HLOOKUP($A164,#REF!,7,FALSE())&gt;2,HLOOKUP($A164,#REF!,7,FALSE())&lt;-2),"",#REF!),"")</f>
        <v/>
      </c>
      <c r="J164" s="0" t="str">
        <f aca="false">IFERROR(IF(OR(HLOOKUP($A164,#REF!,8,FALSE())&gt;2,HLOOKUP($A164,#REF!,8,FALSE())&lt;-2),"",#REF!),"")</f>
        <v/>
      </c>
      <c r="K164" s="0" t="str">
        <f aca="false">IFERROR(IF(OR(HLOOKUP($A164,#REF!,9,FALSE())&gt;2,HLOOKUP($A164,#REF!,9,FALSE())&lt;-2),"",#REF!),"")</f>
        <v/>
      </c>
      <c r="L164" s="0" t="str">
        <f aca="false">IFERROR(IF(OR(HLOOKUP($A164,#REF!,10,FALSE())&gt;2,HLOOKUP($A164,#REF!,10,FALSE())&lt;-2),"",#REF!),"")</f>
        <v/>
      </c>
      <c r="M164" s="0" t="str">
        <f aca="false">IFERROR(IF(OR(HLOOKUP($A164,#REF!,11,FALSE())&gt;2,HLOOKUP($A164,#REF!,11,FALSE())&lt;-2),"",#REF!),"")</f>
        <v/>
      </c>
      <c r="N164" s="0" t="str">
        <f aca="false">IFERROR(IF(OR(HLOOKUP($A164,#REF!,12,FALSE())&gt;2,HLOOKUP($A164,#REF!,12,FALSE())&lt;-2),"",#REF!),"")</f>
        <v/>
      </c>
      <c r="O164" s="0" t="str">
        <f aca="false">IFERROR(IF(OR(HLOOKUP($A164,#REF!,13,FALSE())&gt;2,HLOOKUP($A164,#REF!,13,FALSE())&lt;-2),"",#REF!),"")</f>
        <v/>
      </c>
      <c r="P164" s="0" t="str">
        <f aca="false">IFERROR(IF(OR(HLOOKUP($A164,#REF!,14,FALSE())&gt;2,HLOOKUP($A164,#REF!,14,FALSE())&lt;-2),"",#REF!),"")</f>
        <v/>
      </c>
      <c r="Q164" s="0" t="str">
        <f aca="false">IFERROR(IF(OR(HLOOKUP($A164,#REF!,15,FALSE())&gt;2,HLOOKUP($A164,#REF!,15,FALSE())&lt;-2),"",#REF!),"")</f>
        <v/>
      </c>
      <c r="R164" s="0" t="str">
        <f aca="false">IFERROR(IF(OR(HLOOKUP($A164,#REF!,16,FALSE())&gt;2,HLOOKUP($A164,#REF!,16,FALSE())&lt;-2),"",#REF!),"")</f>
        <v/>
      </c>
      <c r="S164" s="0" t="str">
        <f aca="false">IFERROR(IF(OR(HLOOKUP($A164,#REF!,17,FALSE())&gt;2,HLOOKUP($A164,#REF!,17,FALSE())&lt;-2),"",#REF!),"")</f>
        <v/>
      </c>
      <c r="T164" s="0" t="str">
        <f aca="false">IFERROR(IF(OR(HLOOKUP($A164,#REF!,18,FALSE())&gt;2,HLOOKUP($A164,#REF!,18,FALSE())&lt;-2),"",#REF!),"")</f>
        <v/>
      </c>
      <c r="U164" s="0" t="str">
        <f aca="false">IFERROR(IF(OR(HLOOKUP($A164,#REF!,19,FALSE())&gt;2,HLOOKUP($A164,#REF!,19,FALSE())&lt;-2),"",#REF!),"")</f>
        <v/>
      </c>
      <c r="V164" s="0" t="n">
        <f aca="false">IFERROR(IF(AND(X164=0,Y164=0),0,1),0)</f>
        <v>1</v>
      </c>
      <c r="W164" s="3" t="str">
        <f aca="false">IFERROR(_xlfn.T.TEST(E164:M164,N164:U164,2,2),"")</f>
        <v/>
      </c>
      <c r="X164" s="0" t="str">
        <f aca="false">IFERROR(AVERAGE(E164:M164),"")</f>
        <v/>
      </c>
      <c r="Y164" s="0" t="str">
        <f aca="false">IFERROR(AVERAGE(N164:U164),"")</f>
        <v/>
      </c>
    </row>
    <row r="165" customFormat="false" ht="14.5" hidden="false" customHeight="false" outlineLevel="0" collapsed="false">
      <c r="A165" s="0" t="n">
        <v>167</v>
      </c>
      <c r="B165" s="0" t="s">
        <v>254</v>
      </c>
      <c r="C165" s="0" t="n">
        <v>31100</v>
      </c>
      <c r="D165" s="0" t="n">
        <v>159</v>
      </c>
      <c r="E165" s="0" t="str">
        <f aca="false">IFERROR(IF(OR(HLOOKUP($A165,#REF!,3,FALSE())&gt;2,HLOOKUP(A165,#REF!,3,FALSE())&lt;-2),"",#REF!),"")</f>
        <v/>
      </c>
      <c r="F165" s="0" t="str">
        <f aca="false">IFERROR(IF(OR(HLOOKUP($A165,#REF!,4,FALSE())&gt;2,HLOOKUP($A165,#REF!,4,FALSE())&lt;-2),"",#REF!),"")</f>
        <v/>
      </c>
      <c r="G165" s="0" t="str">
        <f aca="false">IFERROR(IF(OR(HLOOKUP($A165,#REF!,5,FALSE())&gt;2,HLOOKUP($A165,#REF!,5,FALSE())&lt;-2),"",#REF!),"")</f>
        <v/>
      </c>
      <c r="H165" s="0" t="str">
        <f aca="false">IFERROR(IF(OR(HLOOKUP($A165,#REF!,6,FALSE())&gt;2,HLOOKUP($A165,#REF!,6,FALSE())&lt;-2),"",#REF!),"")</f>
        <v/>
      </c>
      <c r="I165" s="0" t="str">
        <f aca="false">IFERROR(IF(OR(HLOOKUP($A165,#REF!,7,FALSE())&gt;2,HLOOKUP($A165,#REF!,7,FALSE())&lt;-2),"",#REF!),"")</f>
        <v/>
      </c>
      <c r="J165" s="0" t="str">
        <f aca="false">IFERROR(IF(OR(HLOOKUP($A165,#REF!,8,FALSE())&gt;2,HLOOKUP($A165,#REF!,8,FALSE())&lt;-2),"",#REF!),"")</f>
        <v/>
      </c>
      <c r="K165" s="0" t="str">
        <f aca="false">IFERROR(IF(OR(HLOOKUP($A165,#REF!,9,FALSE())&gt;2,HLOOKUP($A165,#REF!,9,FALSE())&lt;-2),"",#REF!),"")</f>
        <v/>
      </c>
      <c r="L165" s="0" t="str">
        <f aca="false">IFERROR(IF(OR(HLOOKUP($A165,#REF!,10,FALSE())&gt;2,HLOOKUP($A165,#REF!,10,FALSE())&lt;-2),"",#REF!),"")</f>
        <v/>
      </c>
      <c r="M165" s="0" t="str">
        <f aca="false">IFERROR(IF(OR(HLOOKUP($A165,#REF!,11,FALSE())&gt;2,HLOOKUP($A165,#REF!,11,FALSE())&lt;-2),"",#REF!),"")</f>
        <v/>
      </c>
      <c r="N165" s="0" t="str">
        <f aca="false">IFERROR(IF(OR(HLOOKUP($A165,#REF!,12,FALSE())&gt;2,HLOOKUP($A165,#REF!,12,FALSE())&lt;-2),"",#REF!),"")</f>
        <v/>
      </c>
      <c r="O165" s="0" t="str">
        <f aca="false">IFERROR(IF(OR(HLOOKUP($A165,#REF!,13,FALSE())&gt;2,HLOOKUP($A165,#REF!,13,FALSE())&lt;-2),"",#REF!),"")</f>
        <v/>
      </c>
      <c r="P165" s="0" t="str">
        <f aca="false">IFERROR(IF(OR(HLOOKUP($A165,#REF!,14,FALSE())&gt;2,HLOOKUP($A165,#REF!,14,FALSE())&lt;-2),"",#REF!),"")</f>
        <v/>
      </c>
      <c r="Q165" s="0" t="str">
        <f aca="false">IFERROR(IF(OR(HLOOKUP($A165,#REF!,15,FALSE())&gt;2,HLOOKUP($A165,#REF!,15,FALSE())&lt;-2),"",#REF!),"")</f>
        <v/>
      </c>
      <c r="R165" s="0" t="str">
        <f aca="false">IFERROR(IF(OR(HLOOKUP($A165,#REF!,16,FALSE())&gt;2,HLOOKUP($A165,#REF!,16,FALSE())&lt;-2),"",#REF!),"")</f>
        <v/>
      </c>
      <c r="S165" s="0" t="str">
        <f aca="false">IFERROR(IF(OR(HLOOKUP($A165,#REF!,17,FALSE())&gt;2,HLOOKUP($A165,#REF!,17,FALSE())&lt;-2),"",#REF!),"")</f>
        <v/>
      </c>
      <c r="T165" s="0" t="str">
        <f aca="false">IFERROR(IF(OR(HLOOKUP($A165,#REF!,18,FALSE())&gt;2,HLOOKUP($A165,#REF!,18,FALSE())&lt;-2),"",#REF!),"")</f>
        <v/>
      </c>
      <c r="U165" s="0" t="str">
        <f aca="false">IFERROR(IF(OR(HLOOKUP($A165,#REF!,19,FALSE())&gt;2,HLOOKUP($A165,#REF!,19,FALSE())&lt;-2),"",#REF!),"")</f>
        <v/>
      </c>
      <c r="V165" s="0" t="n">
        <f aca="false">IFERROR(IF(AND(X165=0,Y165=0),0,1),0)</f>
        <v>1</v>
      </c>
      <c r="W165" s="3" t="str">
        <f aca="false">IFERROR(_xlfn.T.TEST(E165:M165,N165:U165,2,2),"")</f>
        <v/>
      </c>
      <c r="X165" s="0" t="str">
        <f aca="false">IFERROR(AVERAGE(E165:M165),"")</f>
        <v/>
      </c>
      <c r="Y165" s="0" t="str">
        <f aca="false">IFERROR(AVERAGE(N165:U165),"")</f>
        <v/>
      </c>
    </row>
    <row r="166" customFormat="false" ht="14.5" hidden="false" customHeight="false" outlineLevel="0" collapsed="false">
      <c r="A166" s="0" t="n">
        <v>168</v>
      </c>
      <c r="B166" s="0" t="s">
        <v>255</v>
      </c>
      <c r="C166" s="0" t="n">
        <v>31700</v>
      </c>
      <c r="D166" s="0" t="n">
        <v>159</v>
      </c>
      <c r="E166" s="0" t="str">
        <f aca="false">IFERROR(IF(OR(HLOOKUP($A166,#REF!,3,FALSE())&gt;2,HLOOKUP(A166,#REF!,3,FALSE())&lt;-2),"",#REF!),"")</f>
        <v/>
      </c>
      <c r="F166" s="0" t="str">
        <f aca="false">IFERROR(IF(OR(HLOOKUP($A166,#REF!,4,FALSE())&gt;2,HLOOKUP($A166,#REF!,4,FALSE())&lt;-2),"",#REF!),"")</f>
        <v/>
      </c>
      <c r="G166" s="0" t="str">
        <f aca="false">IFERROR(IF(OR(HLOOKUP($A166,#REF!,5,FALSE())&gt;2,HLOOKUP($A166,#REF!,5,FALSE())&lt;-2),"",#REF!),"")</f>
        <v/>
      </c>
      <c r="H166" s="0" t="str">
        <f aca="false">IFERROR(IF(OR(HLOOKUP($A166,#REF!,6,FALSE())&gt;2,HLOOKUP($A166,#REF!,6,FALSE())&lt;-2),"",#REF!),"")</f>
        <v/>
      </c>
      <c r="I166" s="0" t="str">
        <f aca="false">IFERROR(IF(OR(HLOOKUP($A166,#REF!,7,FALSE())&gt;2,HLOOKUP($A166,#REF!,7,FALSE())&lt;-2),"",#REF!),"")</f>
        <v/>
      </c>
      <c r="J166" s="0" t="str">
        <f aca="false">IFERROR(IF(OR(HLOOKUP($A166,#REF!,8,FALSE())&gt;2,HLOOKUP($A166,#REF!,8,FALSE())&lt;-2),"",#REF!),"")</f>
        <v/>
      </c>
      <c r="K166" s="0" t="str">
        <f aca="false">IFERROR(IF(OR(HLOOKUP($A166,#REF!,9,FALSE())&gt;2,HLOOKUP($A166,#REF!,9,FALSE())&lt;-2),"",#REF!),"")</f>
        <v/>
      </c>
      <c r="L166" s="0" t="str">
        <f aca="false">IFERROR(IF(OR(HLOOKUP($A166,#REF!,10,FALSE())&gt;2,HLOOKUP($A166,#REF!,10,FALSE())&lt;-2),"",#REF!),"")</f>
        <v/>
      </c>
      <c r="M166" s="0" t="str">
        <f aca="false">IFERROR(IF(OR(HLOOKUP($A166,#REF!,11,FALSE())&gt;2,HLOOKUP($A166,#REF!,11,FALSE())&lt;-2),"",#REF!),"")</f>
        <v/>
      </c>
      <c r="N166" s="0" t="str">
        <f aca="false">IFERROR(IF(OR(HLOOKUP($A166,#REF!,12,FALSE())&gt;2,HLOOKUP($A166,#REF!,12,FALSE())&lt;-2),"",#REF!),"")</f>
        <v/>
      </c>
      <c r="O166" s="0" t="str">
        <f aca="false">IFERROR(IF(OR(HLOOKUP($A166,#REF!,13,FALSE())&gt;2,HLOOKUP($A166,#REF!,13,FALSE())&lt;-2),"",#REF!),"")</f>
        <v/>
      </c>
      <c r="P166" s="0" t="str">
        <f aca="false">IFERROR(IF(OR(HLOOKUP($A166,#REF!,14,FALSE())&gt;2,HLOOKUP($A166,#REF!,14,FALSE())&lt;-2),"",#REF!),"")</f>
        <v/>
      </c>
      <c r="Q166" s="0" t="str">
        <f aca="false">IFERROR(IF(OR(HLOOKUP($A166,#REF!,15,FALSE())&gt;2,HLOOKUP($A166,#REF!,15,FALSE())&lt;-2),"",#REF!),"")</f>
        <v/>
      </c>
      <c r="R166" s="0" t="str">
        <f aca="false">IFERROR(IF(OR(HLOOKUP($A166,#REF!,16,FALSE())&gt;2,HLOOKUP($A166,#REF!,16,FALSE())&lt;-2),"",#REF!),"")</f>
        <v/>
      </c>
      <c r="S166" s="0" t="str">
        <f aca="false">IFERROR(IF(OR(HLOOKUP($A166,#REF!,17,FALSE())&gt;2,HLOOKUP($A166,#REF!,17,FALSE())&lt;-2),"",#REF!),"")</f>
        <v/>
      </c>
      <c r="T166" s="0" t="str">
        <f aca="false">IFERROR(IF(OR(HLOOKUP($A166,#REF!,18,FALSE())&gt;2,HLOOKUP($A166,#REF!,18,FALSE())&lt;-2),"",#REF!),"")</f>
        <v/>
      </c>
      <c r="U166" s="0" t="str">
        <f aca="false">IFERROR(IF(OR(HLOOKUP($A166,#REF!,19,FALSE())&gt;2,HLOOKUP($A166,#REF!,19,FALSE())&lt;-2),"",#REF!),"")</f>
        <v/>
      </c>
      <c r="V166" s="0" t="n">
        <f aca="false">IFERROR(IF(AND(X166=0,Y166=0),0,1),0)</f>
        <v>1</v>
      </c>
      <c r="W166" s="3" t="str">
        <f aca="false">IFERROR(_xlfn.T.TEST(E166:M166,N166:U166,2,2),"")</f>
        <v/>
      </c>
      <c r="X166" s="0" t="str">
        <f aca="false">IFERROR(AVERAGE(E166:M166),"")</f>
        <v/>
      </c>
      <c r="Y166" s="0" t="str">
        <f aca="false">IFERROR(AVERAGE(N166:U166),"")</f>
        <v/>
      </c>
    </row>
    <row r="167" customFormat="false" ht="14.5" hidden="false" customHeight="false" outlineLevel="0" collapsed="false">
      <c r="A167" s="0" t="n">
        <v>169</v>
      </c>
      <c r="B167" s="0" t="s">
        <v>256</v>
      </c>
      <c r="C167" s="0" t="n">
        <v>95400</v>
      </c>
      <c r="D167" s="0" t="n">
        <v>154</v>
      </c>
      <c r="E167" s="0" t="str">
        <f aca="false">IFERROR(IF(OR(HLOOKUP($A167,#REF!,3,FALSE())&gt;2,HLOOKUP(A167,#REF!,3,FALSE())&lt;-2),"",#REF!),"")</f>
        <v/>
      </c>
      <c r="F167" s="0" t="str">
        <f aca="false">IFERROR(IF(OR(HLOOKUP($A167,#REF!,4,FALSE())&gt;2,HLOOKUP($A167,#REF!,4,FALSE())&lt;-2),"",#REF!),"")</f>
        <v/>
      </c>
      <c r="G167" s="0" t="str">
        <f aca="false">IFERROR(IF(OR(HLOOKUP($A167,#REF!,5,FALSE())&gt;2,HLOOKUP($A167,#REF!,5,FALSE())&lt;-2),"",#REF!),"")</f>
        <v/>
      </c>
      <c r="H167" s="0" t="str">
        <f aca="false">IFERROR(IF(OR(HLOOKUP($A167,#REF!,6,FALSE())&gt;2,HLOOKUP($A167,#REF!,6,FALSE())&lt;-2),"",#REF!),"")</f>
        <v/>
      </c>
      <c r="I167" s="0" t="str">
        <f aca="false">IFERROR(IF(OR(HLOOKUP($A167,#REF!,7,FALSE())&gt;2,HLOOKUP($A167,#REF!,7,FALSE())&lt;-2),"",#REF!),"")</f>
        <v/>
      </c>
      <c r="J167" s="0" t="str">
        <f aca="false">IFERROR(IF(OR(HLOOKUP($A167,#REF!,8,FALSE())&gt;2,HLOOKUP($A167,#REF!,8,FALSE())&lt;-2),"",#REF!),"")</f>
        <v/>
      </c>
      <c r="K167" s="0" t="str">
        <f aca="false">IFERROR(IF(OR(HLOOKUP($A167,#REF!,9,FALSE())&gt;2,HLOOKUP($A167,#REF!,9,FALSE())&lt;-2),"",#REF!),"")</f>
        <v/>
      </c>
      <c r="L167" s="0" t="str">
        <f aca="false">IFERROR(IF(OR(HLOOKUP($A167,#REF!,10,FALSE())&gt;2,HLOOKUP($A167,#REF!,10,FALSE())&lt;-2),"",#REF!),"")</f>
        <v/>
      </c>
      <c r="M167" s="0" t="str">
        <f aca="false">IFERROR(IF(OR(HLOOKUP($A167,#REF!,11,FALSE())&gt;2,HLOOKUP($A167,#REF!,11,FALSE())&lt;-2),"",#REF!),"")</f>
        <v/>
      </c>
      <c r="N167" s="0" t="str">
        <f aca="false">IFERROR(IF(OR(HLOOKUP($A167,#REF!,12,FALSE())&gt;2,HLOOKUP($A167,#REF!,12,FALSE())&lt;-2),"",#REF!),"")</f>
        <v/>
      </c>
      <c r="O167" s="0" t="str">
        <f aca="false">IFERROR(IF(OR(HLOOKUP($A167,#REF!,13,FALSE())&gt;2,HLOOKUP($A167,#REF!,13,FALSE())&lt;-2),"",#REF!),"")</f>
        <v/>
      </c>
      <c r="P167" s="0" t="str">
        <f aca="false">IFERROR(IF(OR(HLOOKUP($A167,#REF!,14,FALSE())&gt;2,HLOOKUP($A167,#REF!,14,FALSE())&lt;-2),"",#REF!),"")</f>
        <v/>
      </c>
      <c r="Q167" s="0" t="str">
        <f aca="false">IFERROR(IF(OR(HLOOKUP($A167,#REF!,15,FALSE())&gt;2,HLOOKUP($A167,#REF!,15,FALSE())&lt;-2),"",#REF!),"")</f>
        <v/>
      </c>
      <c r="R167" s="0" t="str">
        <f aca="false">IFERROR(IF(OR(HLOOKUP($A167,#REF!,16,FALSE())&gt;2,HLOOKUP($A167,#REF!,16,FALSE())&lt;-2),"",#REF!),"")</f>
        <v/>
      </c>
      <c r="S167" s="0" t="str">
        <f aca="false">IFERROR(IF(OR(HLOOKUP($A167,#REF!,17,FALSE())&gt;2,HLOOKUP($A167,#REF!,17,FALSE())&lt;-2),"",#REF!),"")</f>
        <v/>
      </c>
      <c r="T167" s="0" t="str">
        <f aca="false">IFERROR(IF(OR(HLOOKUP($A167,#REF!,18,FALSE())&gt;2,HLOOKUP($A167,#REF!,18,FALSE())&lt;-2),"",#REF!),"")</f>
        <v/>
      </c>
      <c r="U167" s="0" t="str">
        <f aca="false">IFERROR(IF(OR(HLOOKUP($A167,#REF!,19,FALSE())&gt;2,HLOOKUP($A167,#REF!,19,FALSE())&lt;-2),"",#REF!),"")</f>
        <v/>
      </c>
      <c r="V167" s="0" t="n">
        <f aca="false">IFERROR(IF(AND(X167=0,Y167=0),0,1),0)</f>
        <v>1</v>
      </c>
      <c r="W167" s="3" t="str">
        <f aca="false">IFERROR(_xlfn.T.TEST(E167:M167,N167:U167,2,2),"")</f>
        <v/>
      </c>
      <c r="X167" s="0" t="str">
        <f aca="false">IFERROR(AVERAGE(E167:M167),"")</f>
        <v/>
      </c>
      <c r="Y167" s="0" t="str">
        <f aca="false">IFERROR(AVERAGE(N167:U167),"")</f>
        <v/>
      </c>
    </row>
    <row r="168" customFormat="false" ht="14.5" hidden="false" customHeight="false" outlineLevel="0" collapsed="false">
      <c r="A168" s="0" t="n">
        <v>170</v>
      </c>
      <c r="B168" s="0" t="s">
        <v>257</v>
      </c>
      <c r="C168" s="0" t="n">
        <v>65500</v>
      </c>
      <c r="D168" s="0" t="n">
        <v>1008</v>
      </c>
      <c r="E168" s="0" t="str">
        <f aca="false">IFERROR(IF(OR(HLOOKUP($A168,#REF!,3,FALSE())&gt;2,HLOOKUP(A168,#REF!,3,FALSE())&lt;-2),"",#REF!),"")</f>
        <v/>
      </c>
      <c r="F168" s="0" t="str">
        <f aca="false">IFERROR(IF(OR(HLOOKUP($A168,#REF!,4,FALSE())&gt;2,HLOOKUP($A168,#REF!,4,FALSE())&lt;-2),"",#REF!),"")</f>
        <v/>
      </c>
      <c r="G168" s="0" t="str">
        <f aca="false">IFERROR(IF(OR(HLOOKUP($A168,#REF!,5,FALSE())&gt;2,HLOOKUP($A168,#REF!,5,FALSE())&lt;-2),"",#REF!),"")</f>
        <v/>
      </c>
      <c r="H168" s="0" t="str">
        <f aca="false">IFERROR(IF(OR(HLOOKUP($A168,#REF!,6,FALSE())&gt;2,HLOOKUP($A168,#REF!,6,FALSE())&lt;-2),"",#REF!),"")</f>
        <v/>
      </c>
      <c r="I168" s="0" t="str">
        <f aca="false">IFERROR(IF(OR(HLOOKUP($A168,#REF!,7,FALSE())&gt;2,HLOOKUP($A168,#REF!,7,FALSE())&lt;-2),"",#REF!),"")</f>
        <v/>
      </c>
      <c r="J168" s="0" t="str">
        <f aca="false">IFERROR(IF(OR(HLOOKUP($A168,#REF!,8,FALSE())&gt;2,HLOOKUP($A168,#REF!,8,FALSE())&lt;-2),"",#REF!),"")</f>
        <v/>
      </c>
      <c r="K168" s="0" t="str">
        <f aca="false">IFERROR(IF(OR(HLOOKUP($A168,#REF!,9,FALSE())&gt;2,HLOOKUP($A168,#REF!,9,FALSE())&lt;-2),"",#REF!),"")</f>
        <v/>
      </c>
      <c r="L168" s="0" t="str">
        <f aca="false">IFERROR(IF(OR(HLOOKUP($A168,#REF!,10,FALSE())&gt;2,HLOOKUP($A168,#REF!,10,FALSE())&lt;-2),"",#REF!),"")</f>
        <v/>
      </c>
      <c r="M168" s="0" t="str">
        <f aca="false">IFERROR(IF(OR(HLOOKUP($A168,#REF!,11,FALSE())&gt;2,HLOOKUP($A168,#REF!,11,FALSE())&lt;-2),"",#REF!),"")</f>
        <v/>
      </c>
      <c r="N168" s="0" t="str">
        <f aca="false">IFERROR(IF(OR(HLOOKUP($A168,#REF!,12,FALSE())&gt;2,HLOOKUP($A168,#REF!,12,FALSE())&lt;-2),"",#REF!),"")</f>
        <v/>
      </c>
      <c r="O168" s="0" t="str">
        <f aca="false">IFERROR(IF(OR(HLOOKUP($A168,#REF!,13,FALSE())&gt;2,HLOOKUP($A168,#REF!,13,FALSE())&lt;-2),"",#REF!),"")</f>
        <v/>
      </c>
      <c r="P168" s="0" t="str">
        <f aca="false">IFERROR(IF(OR(HLOOKUP($A168,#REF!,14,FALSE())&gt;2,HLOOKUP($A168,#REF!,14,FALSE())&lt;-2),"",#REF!),"")</f>
        <v/>
      </c>
      <c r="Q168" s="0" t="str">
        <f aca="false">IFERROR(IF(OR(HLOOKUP($A168,#REF!,15,FALSE())&gt;2,HLOOKUP($A168,#REF!,15,FALSE())&lt;-2),"",#REF!),"")</f>
        <v/>
      </c>
      <c r="R168" s="0" t="str">
        <f aca="false">IFERROR(IF(OR(HLOOKUP($A168,#REF!,16,FALSE())&gt;2,HLOOKUP($A168,#REF!,16,FALSE())&lt;-2),"",#REF!),"")</f>
        <v/>
      </c>
      <c r="S168" s="0" t="str">
        <f aca="false">IFERROR(IF(OR(HLOOKUP($A168,#REF!,17,FALSE())&gt;2,HLOOKUP($A168,#REF!,17,FALSE())&lt;-2),"",#REF!),"")</f>
        <v/>
      </c>
      <c r="T168" s="0" t="str">
        <f aca="false">IFERROR(IF(OR(HLOOKUP($A168,#REF!,18,FALSE())&gt;2,HLOOKUP($A168,#REF!,18,FALSE())&lt;-2),"",#REF!),"")</f>
        <v/>
      </c>
      <c r="U168" s="0" t="str">
        <f aca="false">IFERROR(IF(OR(HLOOKUP($A168,#REF!,19,FALSE())&gt;2,HLOOKUP($A168,#REF!,19,FALSE())&lt;-2),"",#REF!),"")</f>
        <v/>
      </c>
      <c r="V168" s="0" t="n">
        <f aca="false">IFERROR(IF(AND(X168=0,Y168=0),0,1),0)</f>
        <v>1</v>
      </c>
      <c r="W168" s="3" t="str">
        <f aca="false">IFERROR(_xlfn.T.TEST(E168:M168,N168:U168,2,2),"")</f>
        <v/>
      </c>
      <c r="X168" s="0" t="str">
        <f aca="false">IFERROR(AVERAGE(E168:M168),"")</f>
        <v/>
      </c>
      <c r="Y168" s="0" t="str">
        <f aca="false">IFERROR(AVERAGE(N168:U168),"")</f>
        <v/>
      </c>
    </row>
    <row r="169" customFormat="false" ht="14.5" hidden="false" customHeight="false" outlineLevel="0" collapsed="false">
      <c r="A169" s="0" t="n">
        <v>171</v>
      </c>
      <c r="B169" s="0" t="s">
        <v>84</v>
      </c>
      <c r="C169" s="0" t="n">
        <v>20200</v>
      </c>
      <c r="D169" s="0" t="n">
        <v>972</v>
      </c>
      <c r="E169" s="0" t="str">
        <f aca="false">IFERROR(IF(OR(HLOOKUP($A169,#REF!,3,FALSE())&gt;2,HLOOKUP(A169,#REF!,3,FALSE())&lt;-2),"",#REF!),"")</f>
        <v/>
      </c>
      <c r="F169" s="0" t="str">
        <f aca="false">IFERROR(IF(OR(HLOOKUP($A169,#REF!,4,FALSE())&gt;2,HLOOKUP($A169,#REF!,4,FALSE())&lt;-2),"",#REF!),"")</f>
        <v/>
      </c>
      <c r="G169" s="0" t="str">
        <f aca="false">IFERROR(IF(OR(HLOOKUP($A169,#REF!,5,FALSE())&gt;2,HLOOKUP($A169,#REF!,5,FALSE())&lt;-2),"",#REF!),"")</f>
        <v/>
      </c>
      <c r="H169" s="0" t="str">
        <f aca="false">IFERROR(IF(OR(HLOOKUP($A169,#REF!,6,FALSE())&gt;2,HLOOKUP($A169,#REF!,6,FALSE())&lt;-2),"",#REF!),"")</f>
        <v/>
      </c>
      <c r="I169" s="0" t="str">
        <f aca="false">IFERROR(IF(OR(HLOOKUP($A169,#REF!,7,FALSE())&gt;2,HLOOKUP($A169,#REF!,7,FALSE())&lt;-2),"",#REF!),"")</f>
        <v/>
      </c>
      <c r="J169" s="0" t="str">
        <f aca="false">IFERROR(IF(OR(HLOOKUP($A169,#REF!,8,FALSE())&gt;2,HLOOKUP($A169,#REF!,8,FALSE())&lt;-2),"",#REF!),"")</f>
        <v/>
      </c>
      <c r="K169" s="0" t="str">
        <f aca="false">IFERROR(IF(OR(HLOOKUP($A169,#REF!,9,FALSE())&gt;2,HLOOKUP($A169,#REF!,9,FALSE())&lt;-2),"",#REF!),"")</f>
        <v/>
      </c>
      <c r="L169" s="0" t="str">
        <f aca="false">IFERROR(IF(OR(HLOOKUP($A169,#REF!,10,FALSE())&gt;2,HLOOKUP($A169,#REF!,10,FALSE())&lt;-2),"",#REF!),"")</f>
        <v/>
      </c>
      <c r="M169" s="0" t="str">
        <f aca="false">IFERROR(IF(OR(HLOOKUP($A169,#REF!,11,FALSE())&gt;2,HLOOKUP($A169,#REF!,11,FALSE())&lt;-2),"",#REF!),"")</f>
        <v/>
      </c>
      <c r="N169" s="0" t="str">
        <f aca="false">IFERROR(IF(OR(HLOOKUP($A169,#REF!,12,FALSE())&gt;2,HLOOKUP($A169,#REF!,12,FALSE())&lt;-2),"",#REF!),"")</f>
        <v/>
      </c>
      <c r="O169" s="0" t="str">
        <f aca="false">IFERROR(IF(OR(HLOOKUP($A169,#REF!,13,FALSE())&gt;2,HLOOKUP($A169,#REF!,13,FALSE())&lt;-2),"",#REF!),"")</f>
        <v/>
      </c>
      <c r="P169" s="0" t="str">
        <f aca="false">IFERROR(IF(OR(HLOOKUP($A169,#REF!,14,FALSE())&gt;2,HLOOKUP($A169,#REF!,14,FALSE())&lt;-2),"",#REF!),"")</f>
        <v/>
      </c>
      <c r="Q169" s="0" t="str">
        <f aca="false">IFERROR(IF(OR(HLOOKUP($A169,#REF!,15,FALSE())&gt;2,HLOOKUP($A169,#REF!,15,FALSE())&lt;-2),"",#REF!),"")</f>
        <v/>
      </c>
      <c r="R169" s="0" t="str">
        <f aca="false">IFERROR(IF(OR(HLOOKUP($A169,#REF!,16,FALSE())&gt;2,HLOOKUP($A169,#REF!,16,FALSE())&lt;-2),"",#REF!),"")</f>
        <v/>
      </c>
      <c r="S169" s="0" t="str">
        <f aca="false">IFERROR(IF(OR(HLOOKUP($A169,#REF!,17,FALSE())&gt;2,HLOOKUP($A169,#REF!,17,FALSE())&lt;-2),"",#REF!),"")</f>
        <v/>
      </c>
      <c r="T169" s="0" t="str">
        <f aca="false">IFERROR(IF(OR(HLOOKUP($A169,#REF!,18,FALSE())&gt;2,HLOOKUP($A169,#REF!,18,FALSE())&lt;-2),"",#REF!),"")</f>
        <v/>
      </c>
      <c r="U169" s="0" t="str">
        <f aca="false">IFERROR(IF(OR(HLOOKUP($A169,#REF!,19,FALSE())&gt;2,HLOOKUP($A169,#REF!,19,FALSE())&lt;-2),"",#REF!),"")</f>
        <v/>
      </c>
      <c r="V169" s="0" t="n">
        <f aca="false">IFERROR(IF(AND(X169=0,Y169=0),0,1),0)</f>
        <v>1</v>
      </c>
      <c r="W169" s="3" t="str">
        <f aca="false">IFERROR(_xlfn.T.TEST(E169:M169,N169:U169,2,2),"")</f>
        <v/>
      </c>
      <c r="X169" s="0" t="str">
        <f aca="false">IFERROR(AVERAGE(E169:M169),"")</f>
        <v/>
      </c>
      <c r="Y169" s="0" t="str">
        <f aca="false">IFERROR(AVERAGE(N169:U169),"")</f>
        <v/>
      </c>
    </row>
    <row r="170" customFormat="false" ht="14.5" hidden="false" customHeight="false" outlineLevel="0" collapsed="false">
      <c r="A170" s="0" t="n">
        <v>173</v>
      </c>
      <c r="B170" s="0" t="s">
        <v>258</v>
      </c>
      <c r="C170" s="0" t="n">
        <v>77800</v>
      </c>
      <c r="D170" s="0" t="n">
        <v>290</v>
      </c>
      <c r="E170" s="0" t="str">
        <f aca="false">IFERROR(IF(OR(HLOOKUP($A170,#REF!,3,FALSE())&gt;2,HLOOKUP(A170,#REF!,3,FALSE())&lt;-2),"",#REF!),"")</f>
        <v/>
      </c>
      <c r="F170" s="0" t="str">
        <f aca="false">IFERROR(IF(OR(HLOOKUP($A170,#REF!,4,FALSE())&gt;2,HLOOKUP($A170,#REF!,4,FALSE())&lt;-2),"",#REF!),"")</f>
        <v/>
      </c>
      <c r="G170" s="0" t="str">
        <f aca="false">IFERROR(IF(OR(HLOOKUP($A170,#REF!,5,FALSE())&gt;2,HLOOKUP($A170,#REF!,5,FALSE())&lt;-2),"",#REF!),"")</f>
        <v/>
      </c>
      <c r="H170" s="0" t="str">
        <f aca="false">IFERROR(IF(OR(HLOOKUP($A170,#REF!,6,FALSE())&gt;2,HLOOKUP($A170,#REF!,6,FALSE())&lt;-2),"",#REF!),"")</f>
        <v/>
      </c>
      <c r="I170" s="0" t="str">
        <f aca="false">IFERROR(IF(OR(HLOOKUP($A170,#REF!,7,FALSE())&gt;2,HLOOKUP($A170,#REF!,7,FALSE())&lt;-2),"",#REF!),"")</f>
        <v/>
      </c>
      <c r="J170" s="0" t="str">
        <f aca="false">IFERROR(IF(OR(HLOOKUP($A170,#REF!,8,FALSE())&gt;2,HLOOKUP($A170,#REF!,8,FALSE())&lt;-2),"",#REF!),"")</f>
        <v/>
      </c>
      <c r="K170" s="0" t="str">
        <f aca="false">IFERROR(IF(OR(HLOOKUP($A170,#REF!,9,FALSE())&gt;2,HLOOKUP($A170,#REF!,9,FALSE())&lt;-2),"",#REF!),"")</f>
        <v/>
      </c>
      <c r="L170" s="0" t="str">
        <f aca="false">IFERROR(IF(OR(HLOOKUP($A170,#REF!,10,FALSE())&gt;2,HLOOKUP($A170,#REF!,10,FALSE())&lt;-2),"",#REF!),"")</f>
        <v/>
      </c>
      <c r="M170" s="0" t="str">
        <f aca="false">IFERROR(IF(OR(HLOOKUP($A170,#REF!,11,FALSE())&gt;2,HLOOKUP($A170,#REF!,11,FALSE())&lt;-2),"",#REF!),"")</f>
        <v/>
      </c>
      <c r="N170" s="0" t="str">
        <f aca="false">IFERROR(IF(OR(HLOOKUP($A170,#REF!,12,FALSE())&gt;2,HLOOKUP($A170,#REF!,12,FALSE())&lt;-2),"",#REF!),"")</f>
        <v/>
      </c>
      <c r="O170" s="0" t="str">
        <f aca="false">IFERROR(IF(OR(HLOOKUP($A170,#REF!,13,FALSE())&gt;2,HLOOKUP($A170,#REF!,13,FALSE())&lt;-2),"",#REF!),"")</f>
        <v/>
      </c>
      <c r="P170" s="0" t="str">
        <f aca="false">IFERROR(IF(OR(HLOOKUP($A170,#REF!,14,FALSE())&gt;2,HLOOKUP($A170,#REF!,14,FALSE())&lt;-2),"",#REF!),"")</f>
        <v/>
      </c>
      <c r="Q170" s="0" t="str">
        <f aca="false">IFERROR(IF(OR(HLOOKUP($A170,#REF!,15,FALSE())&gt;2,HLOOKUP($A170,#REF!,15,FALSE())&lt;-2),"",#REF!),"")</f>
        <v/>
      </c>
      <c r="R170" s="0" t="str">
        <f aca="false">IFERROR(IF(OR(HLOOKUP($A170,#REF!,16,FALSE())&gt;2,HLOOKUP($A170,#REF!,16,FALSE())&lt;-2),"",#REF!),"")</f>
        <v/>
      </c>
      <c r="S170" s="0" t="str">
        <f aca="false">IFERROR(IF(OR(HLOOKUP($A170,#REF!,17,FALSE())&gt;2,HLOOKUP($A170,#REF!,17,FALSE())&lt;-2),"",#REF!),"")</f>
        <v/>
      </c>
      <c r="T170" s="0" t="str">
        <f aca="false">IFERROR(IF(OR(HLOOKUP($A170,#REF!,18,FALSE())&gt;2,HLOOKUP($A170,#REF!,18,FALSE())&lt;-2),"",#REF!),"")</f>
        <v/>
      </c>
      <c r="U170" s="0" t="str">
        <f aca="false">IFERROR(IF(OR(HLOOKUP($A170,#REF!,19,FALSE())&gt;2,HLOOKUP($A170,#REF!,19,FALSE())&lt;-2),"",#REF!),"")</f>
        <v/>
      </c>
      <c r="V170" s="0" t="n">
        <f aca="false">IFERROR(IF(AND(X170=0,Y170=0),0,1),0)</f>
        <v>1</v>
      </c>
      <c r="W170" s="3" t="str">
        <f aca="false">IFERROR(_xlfn.T.TEST(E170:M170,N170:U170,2,2),"")</f>
        <v/>
      </c>
      <c r="X170" s="0" t="str">
        <f aca="false">IFERROR(AVERAGE(E170:M170),"")</f>
        <v/>
      </c>
      <c r="Y170" s="0" t="str">
        <f aca="false">IFERROR(AVERAGE(N170:U170),"")</f>
        <v/>
      </c>
    </row>
    <row r="171" customFormat="false" ht="14.5" hidden="false" customHeight="false" outlineLevel="0" collapsed="false">
      <c r="A171" s="0" t="n">
        <v>174</v>
      </c>
      <c r="B171" s="0" t="s">
        <v>259</v>
      </c>
      <c r="C171" s="0" t="n">
        <v>113000</v>
      </c>
      <c r="D171" s="0" t="n">
        <v>824</v>
      </c>
      <c r="E171" s="0" t="str">
        <f aca="false">IFERROR(IF(OR(HLOOKUP($A171,#REF!,3,FALSE())&gt;2,HLOOKUP(A171,#REF!,3,FALSE())&lt;-2),"",#REF!),"")</f>
        <v/>
      </c>
      <c r="F171" s="0" t="str">
        <f aca="false">IFERROR(IF(OR(HLOOKUP($A171,#REF!,4,FALSE())&gt;2,HLOOKUP($A171,#REF!,4,FALSE())&lt;-2),"",#REF!),"")</f>
        <v/>
      </c>
      <c r="G171" s="0" t="str">
        <f aca="false">IFERROR(IF(OR(HLOOKUP($A171,#REF!,5,FALSE())&gt;2,HLOOKUP($A171,#REF!,5,FALSE())&lt;-2),"",#REF!),"")</f>
        <v/>
      </c>
      <c r="H171" s="0" t="str">
        <f aca="false">IFERROR(IF(OR(HLOOKUP($A171,#REF!,6,FALSE())&gt;2,HLOOKUP($A171,#REF!,6,FALSE())&lt;-2),"",#REF!),"")</f>
        <v/>
      </c>
      <c r="I171" s="0" t="str">
        <f aca="false">IFERROR(IF(OR(HLOOKUP($A171,#REF!,7,FALSE())&gt;2,HLOOKUP($A171,#REF!,7,FALSE())&lt;-2),"",#REF!),"")</f>
        <v/>
      </c>
      <c r="J171" s="0" t="str">
        <f aca="false">IFERROR(IF(OR(HLOOKUP($A171,#REF!,8,FALSE())&gt;2,HLOOKUP($A171,#REF!,8,FALSE())&lt;-2),"",#REF!),"")</f>
        <v/>
      </c>
      <c r="K171" s="0" t="str">
        <f aca="false">IFERROR(IF(OR(HLOOKUP($A171,#REF!,9,FALSE())&gt;2,HLOOKUP($A171,#REF!,9,FALSE())&lt;-2),"",#REF!),"")</f>
        <v/>
      </c>
      <c r="L171" s="0" t="str">
        <f aca="false">IFERROR(IF(OR(HLOOKUP($A171,#REF!,10,FALSE())&gt;2,HLOOKUP($A171,#REF!,10,FALSE())&lt;-2),"",#REF!),"")</f>
        <v/>
      </c>
      <c r="M171" s="0" t="str">
        <f aca="false">IFERROR(IF(OR(HLOOKUP($A171,#REF!,11,FALSE())&gt;2,HLOOKUP($A171,#REF!,11,FALSE())&lt;-2),"",#REF!),"")</f>
        <v/>
      </c>
      <c r="N171" s="0" t="str">
        <f aca="false">IFERROR(IF(OR(HLOOKUP($A171,#REF!,12,FALSE())&gt;2,HLOOKUP($A171,#REF!,12,FALSE())&lt;-2),"",#REF!),"")</f>
        <v/>
      </c>
      <c r="O171" s="0" t="str">
        <f aca="false">IFERROR(IF(OR(HLOOKUP($A171,#REF!,13,FALSE())&gt;2,HLOOKUP($A171,#REF!,13,FALSE())&lt;-2),"",#REF!),"")</f>
        <v/>
      </c>
      <c r="P171" s="0" t="str">
        <f aca="false">IFERROR(IF(OR(HLOOKUP($A171,#REF!,14,FALSE())&gt;2,HLOOKUP($A171,#REF!,14,FALSE())&lt;-2),"",#REF!),"")</f>
        <v/>
      </c>
      <c r="Q171" s="0" t="str">
        <f aca="false">IFERROR(IF(OR(HLOOKUP($A171,#REF!,15,FALSE())&gt;2,HLOOKUP($A171,#REF!,15,FALSE())&lt;-2),"",#REF!),"")</f>
        <v/>
      </c>
      <c r="R171" s="0" t="str">
        <f aca="false">IFERROR(IF(OR(HLOOKUP($A171,#REF!,16,FALSE())&gt;2,HLOOKUP($A171,#REF!,16,FALSE())&lt;-2),"",#REF!),"")</f>
        <v/>
      </c>
      <c r="S171" s="0" t="str">
        <f aca="false">IFERROR(IF(OR(HLOOKUP($A171,#REF!,17,FALSE())&gt;2,HLOOKUP($A171,#REF!,17,FALSE())&lt;-2),"",#REF!),"")</f>
        <v/>
      </c>
      <c r="T171" s="0" t="str">
        <f aca="false">IFERROR(IF(OR(HLOOKUP($A171,#REF!,18,FALSE())&gt;2,HLOOKUP($A171,#REF!,18,FALSE())&lt;-2),"",#REF!),"")</f>
        <v/>
      </c>
      <c r="U171" s="0" t="str">
        <f aca="false">IFERROR(IF(OR(HLOOKUP($A171,#REF!,19,FALSE())&gt;2,HLOOKUP($A171,#REF!,19,FALSE())&lt;-2),"",#REF!),"")</f>
        <v/>
      </c>
      <c r="V171" s="0" t="n">
        <f aca="false">IFERROR(IF(AND(X171=0,Y171=0),0,1),0)</f>
        <v>1</v>
      </c>
      <c r="W171" s="3" t="str">
        <f aca="false">IFERROR(_xlfn.T.TEST(E171:M171,N171:U171,2,2),"")</f>
        <v/>
      </c>
      <c r="X171" s="0" t="str">
        <f aca="false">IFERROR(AVERAGE(E171:M171),"")</f>
        <v/>
      </c>
      <c r="Y171" s="0" t="str">
        <f aca="false">IFERROR(AVERAGE(N171:U171),"")</f>
        <v/>
      </c>
    </row>
    <row r="172" customFormat="false" ht="14.5" hidden="false" customHeight="false" outlineLevel="0" collapsed="false">
      <c r="A172" s="0" t="n">
        <v>175</v>
      </c>
      <c r="B172" s="0" t="s">
        <v>260</v>
      </c>
      <c r="C172" s="0" t="n">
        <v>31200</v>
      </c>
      <c r="D172" s="0" t="n">
        <v>159</v>
      </c>
      <c r="E172" s="0" t="str">
        <f aca="false">IFERROR(IF(OR(HLOOKUP($A172,#REF!,3,FALSE())&gt;2,HLOOKUP(A172,#REF!,3,FALSE())&lt;-2),"",#REF!),"")</f>
        <v/>
      </c>
      <c r="F172" s="0" t="str">
        <f aca="false">IFERROR(IF(OR(HLOOKUP($A172,#REF!,4,FALSE())&gt;2,HLOOKUP($A172,#REF!,4,FALSE())&lt;-2),"",#REF!),"")</f>
        <v/>
      </c>
      <c r="G172" s="0" t="str">
        <f aca="false">IFERROR(IF(OR(HLOOKUP($A172,#REF!,5,FALSE())&gt;2,HLOOKUP($A172,#REF!,5,FALSE())&lt;-2),"",#REF!),"")</f>
        <v/>
      </c>
      <c r="H172" s="0" t="str">
        <f aca="false">IFERROR(IF(OR(HLOOKUP($A172,#REF!,6,FALSE())&gt;2,HLOOKUP($A172,#REF!,6,FALSE())&lt;-2),"",#REF!),"")</f>
        <v/>
      </c>
      <c r="I172" s="0" t="str">
        <f aca="false">IFERROR(IF(OR(HLOOKUP($A172,#REF!,7,FALSE())&gt;2,HLOOKUP($A172,#REF!,7,FALSE())&lt;-2),"",#REF!),"")</f>
        <v/>
      </c>
      <c r="J172" s="0" t="str">
        <f aca="false">IFERROR(IF(OR(HLOOKUP($A172,#REF!,8,FALSE())&gt;2,HLOOKUP($A172,#REF!,8,FALSE())&lt;-2),"",#REF!),"")</f>
        <v/>
      </c>
      <c r="K172" s="0" t="str">
        <f aca="false">IFERROR(IF(OR(HLOOKUP($A172,#REF!,9,FALSE())&gt;2,HLOOKUP($A172,#REF!,9,FALSE())&lt;-2),"",#REF!),"")</f>
        <v/>
      </c>
      <c r="L172" s="0" t="str">
        <f aca="false">IFERROR(IF(OR(HLOOKUP($A172,#REF!,10,FALSE())&gt;2,HLOOKUP($A172,#REF!,10,FALSE())&lt;-2),"",#REF!),"")</f>
        <v/>
      </c>
      <c r="M172" s="0" t="str">
        <f aca="false">IFERROR(IF(OR(HLOOKUP($A172,#REF!,11,FALSE())&gt;2,HLOOKUP($A172,#REF!,11,FALSE())&lt;-2),"",#REF!),"")</f>
        <v/>
      </c>
      <c r="N172" s="0" t="str">
        <f aca="false">IFERROR(IF(OR(HLOOKUP($A172,#REF!,12,FALSE())&gt;2,HLOOKUP($A172,#REF!,12,FALSE())&lt;-2),"",#REF!),"")</f>
        <v/>
      </c>
      <c r="O172" s="0" t="str">
        <f aca="false">IFERROR(IF(OR(HLOOKUP($A172,#REF!,13,FALSE())&gt;2,HLOOKUP($A172,#REF!,13,FALSE())&lt;-2),"",#REF!),"")</f>
        <v/>
      </c>
      <c r="P172" s="0" t="str">
        <f aca="false">IFERROR(IF(OR(HLOOKUP($A172,#REF!,14,FALSE())&gt;2,HLOOKUP($A172,#REF!,14,FALSE())&lt;-2),"",#REF!),"")</f>
        <v/>
      </c>
      <c r="Q172" s="0" t="str">
        <f aca="false">IFERROR(IF(OR(HLOOKUP($A172,#REF!,15,FALSE())&gt;2,HLOOKUP($A172,#REF!,15,FALSE())&lt;-2),"",#REF!),"")</f>
        <v/>
      </c>
      <c r="R172" s="0" t="str">
        <f aca="false">IFERROR(IF(OR(HLOOKUP($A172,#REF!,16,FALSE())&gt;2,HLOOKUP($A172,#REF!,16,FALSE())&lt;-2),"",#REF!),"")</f>
        <v/>
      </c>
      <c r="S172" s="0" t="str">
        <f aca="false">IFERROR(IF(OR(HLOOKUP($A172,#REF!,17,FALSE())&gt;2,HLOOKUP($A172,#REF!,17,FALSE())&lt;-2),"",#REF!),"")</f>
        <v/>
      </c>
      <c r="T172" s="0" t="str">
        <f aca="false">IFERROR(IF(OR(HLOOKUP($A172,#REF!,18,FALSE())&gt;2,HLOOKUP($A172,#REF!,18,FALSE())&lt;-2),"",#REF!),"")</f>
        <v/>
      </c>
      <c r="U172" s="0" t="str">
        <f aca="false">IFERROR(IF(OR(HLOOKUP($A172,#REF!,19,FALSE())&gt;2,HLOOKUP($A172,#REF!,19,FALSE())&lt;-2),"",#REF!),"")</f>
        <v/>
      </c>
      <c r="V172" s="0" t="n">
        <f aca="false">IFERROR(IF(AND(X172=0,Y172=0),0,1),0)</f>
        <v>1</v>
      </c>
      <c r="W172" s="3" t="str">
        <f aca="false">IFERROR(_xlfn.T.TEST(E172:M172,N172:U172,2,2),"")</f>
        <v/>
      </c>
      <c r="X172" s="0" t="str">
        <f aca="false">IFERROR(AVERAGE(E172:M172),"")</f>
        <v/>
      </c>
      <c r="Y172" s="0" t="str">
        <f aca="false">IFERROR(AVERAGE(N172:U172),"")</f>
        <v/>
      </c>
    </row>
    <row r="173" customFormat="false" ht="14.5" hidden="false" customHeight="false" outlineLevel="0" collapsed="false">
      <c r="A173" s="0" t="n">
        <v>177</v>
      </c>
      <c r="B173" s="0" t="s">
        <v>261</v>
      </c>
      <c r="C173" s="0" t="n">
        <v>95300</v>
      </c>
      <c r="D173" s="0" t="n">
        <v>154</v>
      </c>
      <c r="E173" s="0" t="str">
        <f aca="false">IFERROR(IF(OR(HLOOKUP($A173,#REF!,3,FALSE())&gt;2,HLOOKUP(A173,#REF!,3,FALSE())&lt;-2),"",#REF!),"")</f>
        <v/>
      </c>
      <c r="F173" s="0" t="str">
        <f aca="false">IFERROR(IF(OR(HLOOKUP($A173,#REF!,4,FALSE())&gt;2,HLOOKUP($A173,#REF!,4,FALSE())&lt;-2),"",#REF!),"")</f>
        <v/>
      </c>
      <c r="G173" s="0" t="str">
        <f aca="false">IFERROR(IF(OR(HLOOKUP($A173,#REF!,5,FALSE())&gt;2,HLOOKUP($A173,#REF!,5,FALSE())&lt;-2),"",#REF!),"")</f>
        <v/>
      </c>
      <c r="H173" s="0" t="str">
        <f aca="false">IFERROR(IF(OR(HLOOKUP($A173,#REF!,6,FALSE())&gt;2,HLOOKUP($A173,#REF!,6,FALSE())&lt;-2),"",#REF!),"")</f>
        <v/>
      </c>
      <c r="I173" s="0" t="str">
        <f aca="false">IFERROR(IF(OR(HLOOKUP($A173,#REF!,7,FALSE())&gt;2,HLOOKUP($A173,#REF!,7,FALSE())&lt;-2),"",#REF!),"")</f>
        <v/>
      </c>
      <c r="J173" s="0" t="str">
        <f aca="false">IFERROR(IF(OR(HLOOKUP($A173,#REF!,8,FALSE())&gt;2,HLOOKUP($A173,#REF!,8,FALSE())&lt;-2),"",#REF!),"")</f>
        <v/>
      </c>
      <c r="K173" s="0" t="str">
        <f aca="false">IFERROR(IF(OR(HLOOKUP($A173,#REF!,9,FALSE())&gt;2,HLOOKUP($A173,#REF!,9,FALSE())&lt;-2),"",#REF!),"")</f>
        <v/>
      </c>
      <c r="L173" s="0" t="str">
        <f aca="false">IFERROR(IF(OR(HLOOKUP($A173,#REF!,10,FALSE())&gt;2,HLOOKUP($A173,#REF!,10,FALSE())&lt;-2),"",#REF!),"")</f>
        <v/>
      </c>
      <c r="M173" s="0" t="str">
        <f aca="false">IFERROR(IF(OR(HLOOKUP($A173,#REF!,11,FALSE())&gt;2,HLOOKUP($A173,#REF!,11,FALSE())&lt;-2),"",#REF!),"")</f>
        <v/>
      </c>
      <c r="N173" s="0" t="str">
        <f aca="false">IFERROR(IF(OR(HLOOKUP($A173,#REF!,12,FALSE())&gt;2,HLOOKUP($A173,#REF!,12,FALSE())&lt;-2),"",#REF!),"")</f>
        <v/>
      </c>
      <c r="O173" s="0" t="str">
        <f aca="false">IFERROR(IF(OR(HLOOKUP($A173,#REF!,13,FALSE())&gt;2,HLOOKUP($A173,#REF!,13,FALSE())&lt;-2),"",#REF!),"")</f>
        <v/>
      </c>
      <c r="P173" s="0" t="str">
        <f aca="false">IFERROR(IF(OR(HLOOKUP($A173,#REF!,14,FALSE())&gt;2,HLOOKUP($A173,#REF!,14,FALSE())&lt;-2),"",#REF!),"")</f>
        <v/>
      </c>
      <c r="Q173" s="0" t="str">
        <f aca="false">IFERROR(IF(OR(HLOOKUP($A173,#REF!,15,FALSE())&gt;2,HLOOKUP($A173,#REF!,15,FALSE())&lt;-2),"",#REF!),"")</f>
        <v/>
      </c>
      <c r="R173" s="0" t="str">
        <f aca="false">IFERROR(IF(OR(HLOOKUP($A173,#REF!,16,FALSE())&gt;2,HLOOKUP($A173,#REF!,16,FALSE())&lt;-2),"",#REF!),"")</f>
        <v/>
      </c>
      <c r="S173" s="0" t="str">
        <f aca="false">IFERROR(IF(OR(HLOOKUP($A173,#REF!,17,FALSE())&gt;2,HLOOKUP($A173,#REF!,17,FALSE())&lt;-2),"",#REF!),"")</f>
        <v/>
      </c>
      <c r="T173" s="0" t="str">
        <f aca="false">IFERROR(IF(OR(HLOOKUP($A173,#REF!,18,FALSE())&gt;2,HLOOKUP($A173,#REF!,18,FALSE())&lt;-2),"",#REF!),"")</f>
        <v/>
      </c>
      <c r="U173" s="0" t="str">
        <f aca="false">IFERROR(IF(OR(HLOOKUP($A173,#REF!,19,FALSE())&gt;2,HLOOKUP($A173,#REF!,19,FALSE())&lt;-2),"",#REF!),"")</f>
        <v/>
      </c>
      <c r="V173" s="0" t="n">
        <f aca="false">IFERROR(IF(AND(X173=0,Y173=0),0,1),0)</f>
        <v>1</v>
      </c>
      <c r="W173" s="3" t="str">
        <f aca="false">IFERROR(_xlfn.T.TEST(E173:M173,N173:U173,2,2),"")</f>
        <v/>
      </c>
      <c r="X173" s="0" t="str">
        <f aca="false">IFERROR(AVERAGE(E173:M173),"")</f>
        <v/>
      </c>
      <c r="Y173" s="0" t="str">
        <f aca="false">IFERROR(AVERAGE(N173:U173),"")</f>
        <v/>
      </c>
    </row>
    <row r="174" customFormat="false" ht="14.5" hidden="false" customHeight="false" outlineLevel="0" collapsed="false">
      <c r="A174" s="0" t="n">
        <v>178</v>
      </c>
      <c r="B174" s="0" t="s">
        <v>262</v>
      </c>
      <c r="C174" s="0" t="n">
        <v>69200</v>
      </c>
      <c r="D174" s="0" t="n">
        <v>1014</v>
      </c>
      <c r="E174" s="0" t="str">
        <f aca="false">IFERROR(IF(OR(HLOOKUP($A174,#REF!,3,FALSE())&gt;2,HLOOKUP(A174,#REF!,3,FALSE())&lt;-2),"",#REF!),"")</f>
        <v/>
      </c>
      <c r="F174" s="0" t="str">
        <f aca="false">IFERROR(IF(OR(HLOOKUP($A174,#REF!,4,FALSE())&gt;2,HLOOKUP($A174,#REF!,4,FALSE())&lt;-2),"",#REF!),"")</f>
        <v/>
      </c>
      <c r="G174" s="0" t="str">
        <f aca="false">IFERROR(IF(OR(HLOOKUP($A174,#REF!,5,FALSE())&gt;2,HLOOKUP($A174,#REF!,5,FALSE())&lt;-2),"",#REF!),"")</f>
        <v/>
      </c>
      <c r="H174" s="0" t="str">
        <f aca="false">IFERROR(IF(OR(HLOOKUP($A174,#REF!,6,FALSE())&gt;2,HLOOKUP($A174,#REF!,6,FALSE())&lt;-2),"",#REF!),"")</f>
        <v/>
      </c>
      <c r="I174" s="0" t="str">
        <f aca="false">IFERROR(IF(OR(HLOOKUP($A174,#REF!,7,FALSE())&gt;2,HLOOKUP($A174,#REF!,7,FALSE())&lt;-2),"",#REF!),"")</f>
        <v/>
      </c>
      <c r="J174" s="0" t="str">
        <f aca="false">IFERROR(IF(OR(HLOOKUP($A174,#REF!,8,FALSE())&gt;2,HLOOKUP($A174,#REF!,8,FALSE())&lt;-2),"",#REF!),"")</f>
        <v/>
      </c>
      <c r="K174" s="0" t="str">
        <f aca="false">IFERROR(IF(OR(HLOOKUP($A174,#REF!,9,FALSE())&gt;2,HLOOKUP($A174,#REF!,9,FALSE())&lt;-2),"",#REF!),"")</f>
        <v/>
      </c>
      <c r="L174" s="0" t="str">
        <f aca="false">IFERROR(IF(OR(HLOOKUP($A174,#REF!,10,FALSE())&gt;2,HLOOKUP($A174,#REF!,10,FALSE())&lt;-2),"",#REF!),"")</f>
        <v/>
      </c>
      <c r="M174" s="0" t="str">
        <f aca="false">IFERROR(IF(OR(HLOOKUP($A174,#REF!,11,FALSE())&gt;2,HLOOKUP($A174,#REF!,11,FALSE())&lt;-2),"",#REF!),"")</f>
        <v/>
      </c>
      <c r="N174" s="0" t="str">
        <f aca="false">IFERROR(IF(OR(HLOOKUP($A174,#REF!,12,FALSE())&gt;2,HLOOKUP($A174,#REF!,12,FALSE())&lt;-2),"",#REF!),"")</f>
        <v/>
      </c>
      <c r="O174" s="0" t="str">
        <f aca="false">IFERROR(IF(OR(HLOOKUP($A174,#REF!,13,FALSE())&gt;2,HLOOKUP($A174,#REF!,13,FALSE())&lt;-2),"",#REF!),"")</f>
        <v/>
      </c>
      <c r="P174" s="0" t="str">
        <f aca="false">IFERROR(IF(OR(HLOOKUP($A174,#REF!,14,FALSE())&gt;2,HLOOKUP($A174,#REF!,14,FALSE())&lt;-2),"",#REF!),"")</f>
        <v/>
      </c>
      <c r="Q174" s="0" t="str">
        <f aca="false">IFERROR(IF(OR(HLOOKUP($A174,#REF!,15,FALSE())&gt;2,HLOOKUP($A174,#REF!,15,FALSE())&lt;-2),"",#REF!),"")</f>
        <v/>
      </c>
      <c r="R174" s="0" t="str">
        <f aca="false">IFERROR(IF(OR(HLOOKUP($A174,#REF!,16,FALSE())&gt;2,HLOOKUP($A174,#REF!,16,FALSE())&lt;-2),"",#REF!),"")</f>
        <v/>
      </c>
      <c r="S174" s="0" t="str">
        <f aca="false">IFERROR(IF(OR(HLOOKUP($A174,#REF!,17,FALSE())&gt;2,HLOOKUP($A174,#REF!,17,FALSE())&lt;-2),"",#REF!),"")</f>
        <v/>
      </c>
      <c r="T174" s="0" t="str">
        <f aca="false">IFERROR(IF(OR(HLOOKUP($A174,#REF!,18,FALSE())&gt;2,HLOOKUP($A174,#REF!,18,FALSE())&lt;-2),"",#REF!),"")</f>
        <v/>
      </c>
      <c r="U174" s="0" t="str">
        <f aca="false">IFERROR(IF(OR(HLOOKUP($A174,#REF!,19,FALSE())&gt;2,HLOOKUP($A174,#REF!,19,FALSE())&lt;-2),"",#REF!),"")</f>
        <v/>
      </c>
      <c r="V174" s="0" t="n">
        <f aca="false">IFERROR(IF(AND(X174=0,Y174=0),0,1),0)</f>
        <v>1</v>
      </c>
      <c r="W174" s="3" t="str">
        <f aca="false">IFERROR(_xlfn.T.TEST(E174:M174,N174:U174,2,2),"")</f>
        <v/>
      </c>
      <c r="X174" s="0" t="str">
        <f aca="false">IFERROR(AVERAGE(E174:M174),"")</f>
        <v/>
      </c>
      <c r="Y174" s="0" t="str">
        <f aca="false">IFERROR(AVERAGE(N174:U174),"")</f>
        <v/>
      </c>
    </row>
    <row r="175" customFormat="false" ht="14.5" hidden="false" customHeight="false" outlineLevel="0" collapsed="false">
      <c r="A175" s="0" t="n">
        <v>179</v>
      </c>
      <c r="B175" s="0" t="s">
        <v>263</v>
      </c>
      <c r="C175" s="0" t="n">
        <v>18700</v>
      </c>
      <c r="D175" s="0" t="n">
        <v>31</v>
      </c>
      <c r="E175" s="0" t="str">
        <f aca="false">IFERROR(IF(OR(HLOOKUP($A175,#REF!,3,FALSE())&gt;2,HLOOKUP(A175,#REF!,3,FALSE())&lt;-2),"",#REF!),"")</f>
        <v/>
      </c>
      <c r="F175" s="0" t="str">
        <f aca="false">IFERROR(IF(OR(HLOOKUP($A175,#REF!,4,FALSE())&gt;2,HLOOKUP($A175,#REF!,4,FALSE())&lt;-2),"",#REF!),"")</f>
        <v/>
      </c>
      <c r="G175" s="0" t="str">
        <f aca="false">IFERROR(IF(OR(HLOOKUP($A175,#REF!,5,FALSE())&gt;2,HLOOKUP($A175,#REF!,5,FALSE())&lt;-2),"",#REF!),"")</f>
        <v/>
      </c>
      <c r="H175" s="0" t="str">
        <f aca="false">IFERROR(IF(OR(HLOOKUP($A175,#REF!,6,FALSE())&gt;2,HLOOKUP($A175,#REF!,6,FALSE())&lt;-2),"",#REF!),"")</f>
        <v/>
      </c>
      <c r="I175" s="0" t="str">
        <f aca="false">IFERROR(IF(OR(HLOOKUP($A175,#REF!,7,FALSE())&gt;2,HLOOKUP($A175,#REF!,7,FALSE())&lt;-2),"",#REF!),"")</f>
        <v/>
      </c>
      <c r="J175" s="0" t="str">
        <f aca="false">IFERROR(IF(OR(HLOOKUP($A175,#REF!,8,FALSE())&gt;2,HLOOKUP($A175,#REF!,8,FALSE())&lt;-2),"",#REF!),"")</f>
        <v/>
      </c>
      <c r="K175" s="0" t="str">
        <f aca="false">IFERROR(IF(OR(HLOOKUP($A175,#REF!,9,FALSE())&gt;2,HLOOKUP($A175,#REF!,9,FALSE())&lt;-2),"",#REF!),"")</f>
        <v/>
      </c>
      <c r="L175" s="0" t="str">
        <f aca="false">IFERROR(IF(OR(HLOOKUP($A175,#REF!,10,FALSE())&gt;2,HLOOKUP($A175,#REF!,10,FALSE())&lt;-2),"",#REF!),"")</f>
        <v/>
      </c>
      <c r="M175" s="0" t="str">
        <f aca="false">IFERROR(IF(OR(HLOOKUP($A175,#REF!,11,FALSE())&gt;2,HLOOKUP($A175,#REF!,11,FALSE())&lt;-2),"",#REF!),"")</f>
        <v/>
      </c>
      <c r="N175" s="0" t="str">
        <f aca="false">IFERROR(IF(OR(HLOOKUP($A175,#REF!,12,FALSE())&gt;2,HLOOKUP($A175,#REF!,12,FALSE())&lt;-2),"",#REF!),"")</f>
        <v/>
      </c>
      <c r="O175" s="0" t="str">
        <f aca="false">IFERROR(IF(OR(HLOOKUP($A175,#REF!,13,FALSE())&gt;2,HLOOKUP($A175,#REF!,13,FALSE())&lt;-2),"",#REF!),"")</f>
        <v/>
      </c>
      <c r="P175" s="0" t="str">
        <f aca="false">IFERROR(IF(OR(HLOOKUP($A175,#REF!,14,FALSE())&gt;2,HLOOKUP($A175,#REF!,14,FALSE())&lt;-2),"",#REF!),"")</f>
        <v/>
      </c>
      <c r="Q175" s="0" t="str">
        <f aca="false">IFERROR(IF(OR(HLOOKUP($A175,#REF!,15,FALSE())&gt;2,HLOOKUP($A175,#REF!,15,FALSE())&lt;-2),"",#REF!),"")</f>
        <v/>
      </c>
      <c r="R175" s="0" t="str">
        <f aca="false">IFERROR(IF(OR(HLOOKUP($A175,#REF!,16,FALSE())&gt;2,HLOOKUP($A175,#REF!,16,FALSE())&lt;-2),"",#REF!),"")</f>
        <v/>
      </c>
      <c r="S175" s="0" t="str">
        <f aca="false">IFERROR(IF(OR(HLOOKUP($A175,#REF!,17,FALSE())&gt;2,HLOOKUP($A175,#REF!,17,FALSE())&lt;-2),"",#REF!),"")</f>
        <v/>
      </c>
      <c r="T175" s="0" t="str">
        <f aca="false">IFERROR(IF(OR(HLOOKUP($A175,#REF!,18,FALSE())&gt;2,HLOOKUP($A175,#REF!,18,FALSE())&lt;-2),"",#REF!),"")</f>
        <v/>
      </c>
      <c r="U175" s="0" t="str">
        <f aca="false">IFERROR(IF(OR(HLOOKUP($A175,#REF!,19,FALSE())&gt;2,HLOOKUP($A175,#REF!,19,FALSE())&lt;-2),"",#REF!),"")</f>
        <v/>
      </c>
      <c r="V175" s="0" t="n">
        <f aca="false">IFERROR(IF(AND(X175=0,Y175=0),0,1),0)</f>
        <v>1</v>
      </c>
      <c r="W175" s="3" t="str">
        <f aca="false">IFERROR(_xlfn.T.TEST(E175:M175,N175:U175,2,2),"")</f>
        <v/>
      </c>
      <c r="X175" s="0" t="str">
        <f aca="false">IFERROR(AVERAGE(E175:M175),"")</f>
        <v/>
      </c>
      <c r="Y175" s="0" t="str">
        <f aca="false">IFERROR(AVERAGE(N175:U175),"")</f>
        <v/>
      </c>
    </row>
    <row r="176" customFormat="false" ht="14.5" hidden="false" customHeight="false" outlineLevel="0" collapsed="false">
      <c r="A176" s="0" t="n">
        <v>180</v>
      </c>
      <c r="B176" s="0" t="s">
        <v>264</v>
      </c>
      <c r="C176" s="0" t="n">
        <v>9300</v>
      </c>
      <c r="D176" s="0" t="n">
        <v>1057</v>
      </c>
      <c r="E176" s="0" t="str">
        <f aca="false">IFERROR(IF(OR(HLOOKUP($A176,#REF!,3,FALSE())&gt;2,HLOOKUP(A176,#REF!,3,FALSE())&lt;-2),"",#REF!),"")</f>
        <v/>
      </c>
      <c r="F176" s="0" t="str">
        <f aca="false">IFERROR(IF(OR(HLOOKUP($A176,#REF!,4,FALSE())&gt;2,HLOOKUP($A176,#REF!,4,FALSE())&lt;-2),"",#REF!),"")</f>
        <v/>
      </c>
      <c r="G176" s="0" t="str">
        <f aca="false">IFERROR(IF(OR(HLOOKUP($A176,#REF!,5,FALSE())&gt;2,HLOOKUP($A176,#REF!,5,FALSE())&lt;-2),"",#REF!),"")</f>
        <v/>
      </c>
      <c r="H176" s="0" t="str">
        <f aca="false">IFERROR(IF(OR(HLOOKUP($A176,#REF!,6,FALSE())&gt;2,HLOOKUP($A176,#REF!,6,FALSE())&lt;-2),"",#REF!),"")</f>
        <v/>
      </c>
      <c r="I176" s="0" t="str">
        <f aca="false">IFERROR(IF(OR(HLOOKUP($A176,#REF!,7,FALSE())&gt;2,HLOOKUP($A176,#REF!,7,FALSE())&lt;-2),"",#REF!),"")</f>
        <v/>
      </c>
      <c r="J176" s="0" t="str">
        <f aca="false">IFERROR(IF(OR(HLOOKUP($A176,#REF!,8,FALSE())&gt;2,HLOOKUP($A176,#REF!,8,FALSE())&lt;-2),"",#REF!),"")</f>
        <v/>
      </c>
      <c r="K176" s="0" t="str">
        <f aca="false">IFERROR(IF(OR(HLOOKUP($A176,#REF!,9,FALSE())&gt;2,HLOOKUP($A176,#REF!,9,FALSE())&lt;-2),"",#REF!),"")</f>
        <v/>
      </c>
      <c r="L176" s="0" t="str">
        <f aca="false">IFERROR(IF(OR(HLOOKUP($A176,#REF!,10,FALSE())&gt;2,HLOOKUP($A176,#REF!,10,FALSE())&lt;-2),"",#REF!),"")</f>
        <v/>
      </c>
      <c r="M176" s="0" t="str">
        <f aca="false">IFERROR(IF(OR(HLOOKUP($A176,#REF!,11,FALSE())&gt;2,HLOOKUP($A176,#REF!,11,FALSE())&lt;-2),"",#REF!),"")</f>
        <v/>
      </c>
      <c r="N176" s="0" t="str">
        <f aca="false">IFERROR(IF(OR(HLOOKUP($A176,#REF!,12,FALSE())&gt;2,HLOOKUP($A176,#REF!,12,FALSE())&lt;-2),"",#REF!),"")</f>
        <v/>
      </c>
      <c r="O176" s="0" t="str">
        <f aca="false">IFERROR(IF(OR(HLOOKUP($A176,#REF!,13,FALSE())&gt;2,HLOOKUP($A176,#REF!,13,FALSE())&lt;-2),"",#REF!),"")</f>
        <v/>
      </c>
      <c r="P176" s="0" t="str">
        <f aca="false">IFERROR(IF(OR(HLOOKUP($A176,#REF!,14,FALSE())&gt;2,HLOOKUP($A176,#REF!,14,FALSE())&lt;-2),"",#REF!),"")</f>
        <v/>
      </c>
      <c r="Q176" s="0" t="str">
        <f aca="false">IFERROR(IF(OR(HLOOKUP($A176,#REF!,15,FALSE())&gt;2,HLOOKUP($A176,#REF!,15,FALSE())&lt;-2),"",#REF!),"")</f>
        <v/>
      </c>
      <c r="R176" s="0" t="str">
        <f aca="false">IFERROR(IF(OR(HLOOKUP($A176,#REF!,16,FALSE())&gt;2,HLOOKUP($A176,#REF!,16,FALSE())&lt;-2),"",#REF!),"")</f>
        <v/>
      </c>
      <c r="S176" s="0" t="str">
        <f aca="false">IFERROR(IF(OR(HLOOKUP($A176,#REF!,17,FALSE())&gt;2,HLOOKUP($A176,#REF!,17,FALSE())&lt;-2),"",#REF!),"")</f>
        <v/>
      </c>
      <c r="T176" s="0" t="str">
        <f aca="false">IFERROR(IF(OR(HLOOKUP($A176,#REF!,18,FALSE())&gt;2,HLOOKUP($A176,#REF!,18,FALSE())&lt;-2),"",#REF!),"")</f>
        <v/>
      </c>
      <c r="U176" s="0" t="str">
        <f aca="false">IFERROR(IF(OR(HLOOKUP($A176,#REF!,19,FALSE())&gt;2,HLOOKUP($A176,#REF!,19,FALSE())&lt;-2),"",#REF!),"")</f>
        <v/>
      </c>
      <c r="V176" s="0" t="n">
        <f aca="false">IFERROR(IF(AND(X176=0,Y176=0),0,1),0)</f>
        <v>1</v>
      </c>
      <c r="W176" s="3" t="str">
        <f aca="false">IFERROR(_xlfn.T.TEST(E176:M176,N176:U176,2,2),"")</f>
        <v/>
      </c>
      <c r="X176" s="0" t="str">
        <f aca="false">IFERROR(AVERAGE(E176:M176),"")</f>
        <v/>
      </c>
      <c r="Y176" s="0" t="str">
        <f aca="false">IFERROR(AVERAGE(N176:U176),"")</f>
        <v/>
      </c>
    </row>
    <row r="177" customFormat="false" ht="14.5" hidden="false" customHeight="false" outlineLevel="0" collapsed="false">
      <c r="A177" s="0" t="n">
        <v>181</v>
      </c>
      <c r="B177" s="0" t="s">
        <v>265</v>
      </c>
      <c r="C177" s="0" t="n">
        <v>68200</v>
      </c>
      <c r="D177" s="0" t="n">
        <v>571</v>
      </c>
      <c r="E177" s="0" t="str">
        <f aca="false">IFERROR(IF(OR(HLOOKUP($A177,#REF!,3,FALSE())&gt;2,HLOOKUP(A177,#REF!,3,FALSE())&lt;-2),"",#REF!),"")</f>
        <v/>
      </c>
      <c r="F177" s="0" t="str">
        <f aca="false">IFERROR(IF(OR(HLOOKUP($A177,#REF!,4,FALSE())&gt;2,HLOOKUP($A177,#REF!,4,FALSE())&lt;-2),"",#REF!),"")</f>
        <v/>
      </c>
      <c r="G177" s="0" t="str">
        <f aca="false">IFERROR(IF(OR(HLOOKUP($A177,#REF!,5,FALSE())&gt;2,HLOOKUP($A177,#REF!,5,FALSE())&lt;-2),"",#REF!),"")</f>
        <v/>
      </c>
      <c r="H177" s="0" t="str">
        <f aca="false">IFERROR(IF(OR(HLOOKUP($A177,#REF!,6,FALSE())&gt;2,HLOOKUP($A177,#REF!,6,FALSE())&lt;-2),"",#REF!),"")</f>
        <v/>
      </c>
      <c r="I177" s="0" t="str">
        <f aca="false">IFERROR(IF(OR(HLOOKUP($A177,#REF!,7,FALSE())&gt;2,HLOOKUP($A177,#REF!,7,FALSE())&lt;-2),"",#REF!),"")</f>
        <v/>
      </c>
      <c r="J177" s="0" t="str">
        <f aca="false">IFERROR(IF(OR(HLOOKUP($A177,#REF!,8,FALSE())&gt;2,HLOOKUP($A177,#REF!,8,FALSE())&lt;-2),"",#REF!),"")</f>
        <v/>
      </c>
      <c r="K177" s="0" t="str">
        <f aca="false">IFERROR(IF(OR(HLOOKUP($A177,#REF!,9,FALSE())&gt;2,HLOOKUP($A177,#REF!,9,FALSE())&lt;-2),"",#REF!),"")</f>
        <v/>
      </c>
      <c r="L177" s="0" t="str">
        <f aca="false">IFERROR(IF(OR(HLOOKUP($A177,#REF!,10,FALSE())&gt;2,HLOOKUP($A177,#REF!,10,FALSE())&lt;-2),"",#REF!),"")</f>
        <v/>
      </c>
      <c r="M177" s="0" t="str">
        <f aca="false">IFERROR(IF(OR(HLOOKUP($A177,#REF!,11,FALSE())&gt;2,HLOOKUP($A177,#REF!,11,FALSE())&lt;-2),"",#REF!),"")</f>
        <v/>
      </c>
      <c r="N177" s="0" t="str">
        <f aca="false">IFERROR(IF(OR(HLOOKUP($A177,#REF!,12,FALSE())&gt;2,HLOOKUP($A177,#REF!,12,FALSE())&lt;-2),"",#REF!),"")</f>
        <v/>
      </c>
      <c r="O177" s="0" t="str">
        <f aca="false">IFERROR(IF(OR(HLOOKUP($A177,#REF!,13,FALSE())&gt;2,HLOOKUP($A177,#REF!,13,FALSE())&lt;-2),"",#REF!),"")</f>
        <v/>
      </c>
      <c r="P177" s="0" t="str">
        <f aca="false">IFERROR(IF(OR(HLOOKUP($A177,#REF!,14,FALSE())&gt;2,HLOOKUP($A177,#REF!,14,FALSE())&lt;-2),"",#REF!),"")</f>
        <v/>
      </c>
      <c r="Q177" s="0" t="str">
        <f aca="false">IFERROR(IF(OR(HLOOKUP($A177,#REF!,15,FALSE())&gt;2,HLOOKUP($A177,#REF!,15,FALSE())&lt;-2),"",#REF!),"")</f>
        <v/>
      </c>
      <c r="R177" s="0" t="str">
        <f aca="false">IFERROR(IF(OR(HLOOKUP($A177,#REF!,16,FALSE())&gt;2,HLOOKUP($A177,#REF!,16,FALSE())&lt;-2),"",#REF!),"")</f>
        <v/>
      </c>
      <c r="S177" s="0" t="str">
        <f aca="false">IFERROR(IF(OR(HLOOKUP($A177,#REF!,17,FALSE())&gt;2,HLOOKUP($A177,#REF!,17,FALSE())&lt;-2),"",#REF!),"")</f>
        <v/>
      </c>
      <c r="T177" s="0" t="str">
        <f aca="false">IFERROR(IF(OR(HLOOKUP($A177,#REF!,18,FALSE())&gt;2,HLOOKUP($A177,#REF!,18,FALSE())&lt;-2),"",#REF!),"")</f>
        <v/>
      </c>
      <c r="U177" s="0" t="str">
        <f aca="false">IFERROR(IF(OR(HLOOKUP($A177,#REF!,19,FALSE())&gt;2,HLOOKUP($A177,#REF!,19,FALSE())&lt;-2),"",#REF!),"")</f>
        <v/>
      </c>
      <c r="V177" s="0" t="n">
        <f aca="false">IFERROR(IF(AND(X177=0,Y177=0),0,1),0)</f>
        <v>1</v>
      </c>
      <c r="W177" s="3" t="str">
        <f aca="false">IFERROR(_xlfn.T.TEST(E177:M177,N177:U177,2,2),"")</f>
        <v/>
      </c>
      <c r="X177" s="0" t="str">
        <f aca="false">IFERROR(AVERAGE(E177:M177),"")</f>
        <v/>
      </c>
      <c r="Y177" s="0" t="str">
        <f aca="false">IFERROR(AVERAGE(N177:U177),"")</f>
        <v/>
      </c>
    </row>
    <row r="178" customFormat="false" ht="14.5" hidden="false" customHeight="false" outlineLevel="0" collapsed="false">
      <c r="A178" s="0" t="n">
        <v>182</v>
      </c>
      <c r="B178" s="0" t="s">
        <v>266</v>
      </c>
      <c r="C178" s="0" t="n">
        <v>113700</v>
      </c>
      <c r="D178" s="0" t="n">
        <v>824</v>
      </c>
      <c r="E178" s="0" t="str">
        <f aca="false">IFERROR(IF(OR(HLOOKUP($A178,#REF!,3,FALSE())&gt;2,HLOOKUP(A178,#REF!,3,FALSE())&lt;-2),"",#REF!),"")</f>
        <v/>
      </c>
      <c r="F178" s="0" t="str">
        <f aca="false">IFERROR(IF(OR(HLOOKUP($A178,#REF!,4,FALSE())&gt;2,HLOOKUP($A178,#REF!,4,FALSE())&lt;-2),"",#REF!),"")</f>
        <v/>
      </c>
      <c r="G178" s="0" t="str">
        <f aca="false">IFERROR(IF(OR(HLOOKUP($A178,#REF!,5,FALSE())&gt;2,HLOOKUP($A178,#REF!,5,FALSE())&lt;-2),"",#REF!),"")</f>
        <v/>
      </c>
      <c r="H178" s="0" t="str">
        <f aca="false">IFERROR(IF(OR(HLOOKUP($A178,#REF!,6,FALSE())&gt;2,HLOOKUP($A178,#REF!,6,FALSE())&lt;-2),"",#REF!),"")</f>
        <v/>
      </c>
      <c r="I178" s="0" t="str">
        <f aca="false">IFERROR(IF(OR(HLOOKUP($A178,#REF!,7,FALSE())&gt;2,HLOOKUP($A178,#REF!,7,FALSE())&lt;-2),"",#REF!),"")</f>
        <v/>
      </c>
      <c r="J178" s="0" t="str">
        <f aca="false">IFERROR(IF(OR(HLOOKUP($A178,#REF!,8,FALSE())&gt;2,HLOOKUP($A178,#REF!,8,FALSE())&lt;-2),"",#REF!),"")</f>
        <v/>
      </c>
      <c r="K178" s="0" t="str">
        <f aca="false">IFERROR(IF(OR(HLOOKUP($A178,#REF!,9,FALSE())&gt;2,HLOOKUP($A178,#REF!,9,FALSE())&lt;-2),"",#REF!),"")</f>
        <v/>
      </c>
      <c r="L178" s="0" t="str">
        <f aca="false">IFERROR(IF(OR(HLOOKUP($A178,#REF!,10,FALSE())&gt;2,HLOOKUP($A178,#REF!,10,FALSE())&lt;-2),"",#REF!),"")</f>
        <v/>
      </c>
      <c r="M178" s="0" t="str">
        <f aca="false">IFERROR(IF(OR(HLOOKUP($A178,#REF!,11,FALSE())&gt;2,HLOOKUP($A178,#REF!,11,FALSE())&lt;-2),"",#REF!),"")</f>
        <v/>
      </c>
      <c r="N178" s="0" t="str">
        <f aca="false">IFERROR(IF(OR(HLOOKUP($A178,#REF!,12,FALSE())&gt;2,HLOOKUP($A178,#REF!,12,FALSE())&lt;-2),"",#REF!),"")</f>
        <v/>
      </c>
      <c r="O178" s="0" t="str">
        <f aca="false">IFERROR(IF(OR(HLOOKUP($A178,#REF!,13,FALSE())&gt;2,HLOOKUP($A178,#REF!,13,FALSE())&lt;-2),"",#REF!),"")</f>
        <v/>
      </c>
      <c r="P178" s="0" t="str">
        <f aca="false">IFERROR(IF(OR(HLOOKUP($A178,#REF!,14,FALSE())&gt;2,HLOOKUP($A178,#REF!,14,FALSE())&lt;-2),"",#REF!),"")</f>
        <v/>
      </c>
      <c r="Q178" s="0" t="str">
        <f aca="false">IFERROR(IF(OR(HLOOKUP($A178,#REF!,15,FALSE())&gt;2,HLOOKUP($A178,#REF!,15,FALSE())&lt;-2),"",#REF!),"")</f>
        <v/>
      </c>
      <c r="R178" s="0" t="str">
        <f aca="false">IFERROR(IF(OR(HLOOKUP($A178,#REF!,16,FALSE())&gt;2,HLOOKUP($A178,#REF!,16,FALSE())&lt;-2),"",#REF!),"")</f>
        <v/>
      </c>
      <c r="S178" s="0" t="str">
        <f aca="false">IFERROR(IF(OR(HLOOKUP($A178,#REF!,17,FALSE())&gt;2,HLOOKUP($A178,#REF!,17,FALSE())&lt;-2),"",#REF!),"")</f>
        <v/>
      </c>
      <c r="T178" s="0" t="str">
        <f aca="false">IFERROR(IF(OR(HLOOKUP($A178,#REF!,18,FALSE())&gt;2,HLOOKUP($A178,#REF!,18,FALSE())&lt;-2),"",#REF!),"")</f>
        <v/>
      </c>
      <c r="U178" s="0" t="str">
        <f aca="false">IFERROR(IF(OR(HLOOKUP($A178,#REF!,19,FALSE())&gt;2,HLOOKUP($A178,#REF!,19,FALSE())&lt;-2),"",#REF!),"")</f>
        <v/>
      </c>
      <c r="V178" s="0" t="n">
        <f aca="false">IFERROR(IF(AND(X178=0,Y178=0),0,1),0)</f>
        <v>1</v>
      </c>
      <c r="W178" s="3" t="str">
        <f aca="false">IFERROR(_xlfn.T.TEST(E178:M178,N178:U178,2,2),"")</f>
        <v/>
      </c>
      <c r="X178" s="0" t="str">
        <f aca="false">IFERROR(AVERAGE(E178:M178),"")</f>
        <v/>
      </c>
      <c r="Y178" s="0" t="str">
        <f aca="false">IFERROR(AVERAGE(N178:U178),"")</f>
        <v/>
      </c>
    </row>
    <row r="179" customFormat="false" ht="14.5" hidden="false" customHeight="false" outlineLevel="0" collapsed="false">
      <c r="A179" s="0" t="n">
        <v>183</v>
      </c>
      <c r="B179" s="0" t="s">
        <v>267</v>
      </c>
      <c r="C179" s="0" t="n">
        <v>31300</v>
      </c>
      <c r="D179" s="0" t="n">
        <v>159</v>
      </c>
      <c r="E179" s="0" t="str">
        <f aca="false">IFERROR(IF(OR(HLOOKUP($A179,#REF!,3,FALSE())&gt;2,HLOOKUP(A179,#REF!,3,FALSE())&lt;-2),"",#REF!),"")</f>
        <v/>
      </c>
      <c r="F179" s="0" t="str">
        <f aca="false">IFERROR(IF(OR(HLOOKUP($A179,#REF!,4,FALSE())&gt;2,HLOOKUP($A179,#REF!,4,FALSE())&lt;-2),"",#REF!),"")</f>
        <v/>
      </c>
      <c r="G179" s="0" t="str">
        <f aca="false">IFERROR(IF(OR(HLOOKUP($A179,#REF!,5,FALSE())&gt;2,HLOOKUP($A179,#REF!,5,FALSE())&lt;-2),"",#REF!),"")</f>
        <v/>
      </c>
      <c r="H179" s="0" t="str">
        <f aca="false">IFERROR(IF(OR(HLOOKUP($A179,#REF!,6,FALSE())&gt;2,HLOOKUP($A179,#REF!,6,FALSE())&lt;-2),"",#REF!),"")</f>
        <v/>
      </c>
      <c r="I179" s="0" t="str">
        <f aca="false">IFERROR(IF(OR(HLOOKUP($A179,#REF!,7,FALSE())&gt;2,HLOOKUP($A179,#REF!,7,FALSE())&lt;-2),"",#REF!),"")</f>
        <v/>
      </c>
      <c r="J179" s="0" t="str">
        <f aca="false">IFERROR(IF(OR(HLOOKUP($A179,#REF!,8,FALSE())&gt;2,HLOOKUP($A179,#REF!,8,FALSE())&lt;-2),"",#REF!),"")</f>
        <v/>
      </c>
      <c r="K179" s="0" t="str">
        <f aca="false">IFERROR(IF(OR(HLOOKUP($A179,#REF!,9,FALSE())&gt;2,HLOOKUP($A179,#REF!,9,FALSE())&lt;-2),"",#REF!),"")</f>
        <v/>
      </c>
      <c r="L179" s="0" t="str">
        <f aca="false">IFERROR(IF(OR(HLOOKUP($A179,#REF!,10,FALSE())&gt;2,HLOOKUP($A179,#REF!,10,FALSE())&lt;-2),"",#REF!),"")</f>
        <v/>
      </c>
      <c r="M179" s="0" t="str">
        <f aca="false">IFERROR(IF(OR(HLOOKUP($A179,#REF!,11,FALSE())&gt;2,HLOOKUP($A179,#REF!,11,FALSE())&lt;-2),"",#REF!),"")</f>
        <v/>
      </c>
      <c r="N179" s="0" t="str">
        <f aca="false">IFERROR(IF(OR(HLOOKUP($A179,#REF!,12,FALSE())&gt;2,HLOOKUP($A179,#REF!,12,FALSE())&lt;-2),"",#REF!),"")</f>
        <v/>
      </c>
      <c r="O179" s="0" t="str">
        <f aca="false">IFERROR(IF(OR(HLOOKUP($A179,#REF!,13,FALSE())&gt;2,HLOOKUP($A179,#REF!,13,FALSE())&lt;-2),"",#REF!),"")</f>
        <v/>
      </c>
      <c r="P179" s="0" t="str">
        <f aca="false">IFERROR(IF(OR(HLOOKUP($A179,#REF!,14,FALSE())&gt;2,HLOOKUP($A179,#REF!,14,FALSE())&lt;-2),"",#REF!),"")</f>
        <v/>
      </c>
      <c r="Q179" s="0" t="str">
        <f aca="false">IFERROR(IF(OR(HLOOKUP($A179,#REF!,15,FALSE())&gt;2,HLOOKUP($A179,#REF!,15,FALSE())&lt;-2),"",#REF!),"")</f>
        <v/>
      </c>
      <c r="R179" s="0" t="str">
        <f aca="false">IFERROR(IF(OR(HLOOKUP($A179,#REF!,16,FALSE())&gt;2,HLOOKUP($A179,#REF!,16,FALSE())&lt;-2),"",#REF!),"")</f>
        <v/>
      </c>
      <c r="S179" s="0" t="str">
        <f aca="false">IFERROR(IF(OR(HLOOKUP($A179,#REF!,17,FALSE())&gt;2,HLOOKUP($A179,#REF!,17,FALSE())&lt;-2),"",#REF!),"")</f>
        <v/>
      </c>
      <c r="T179" s="0" t="str">
        <f aca="false">IFERROR(IF(OR(HLOOKUP($A179,#REF!,18,FALSE())&gt;2,HLOOKUP($A179,#REF!,18,FALSE())&lt;-2),"",#REF!),"")</f>
        <v/>
      </c>
      <c r="U179" s="0" t="str">
        <f aca="false">IFERROR(IF(OR(HLOOKUP($A179,#REF!,19,FALSE())&gt;2,HLOOKUP($A179,#REF!,19,FALSE())&lt;-2),"",#REF!),"")</f>
        <v/>
      </c>
      <c r="V179" s="0" t="n">
        <f aca="false">IFERROR(IF(AND(X179=0,Y179=0),0,1),0)</f>
        <v>1</v>
      </c>
      <c r="W179" s="3" t="str">
        <f aca="false">IFERROR(_xlfn.T.TEST(E179:M179,N179:U179,2,2),"")</f>
        <v/>
      </c>
      <c r="X179" s="0" t="str">
        <f aca="false">IFERROR(AVERAGE(E179:M179),"")</f>
        <v/>
      </c>
      <c r="Y179" s="0" t="str">
        <f aca="false">IFERROR(AVERAGE(N179:U179),"")</f>
        <v/>
      </c>
    </row>
    <row r="180" customFormat="false" ht="14.5" hidden="false" customHeight="false" outlineLevel="0" collapsed="false">
      <c r="A180" s="0" t="n">
        <v>184</v>
      </c>
      <c r="B180" s="0" t="s">
        <v>268</v>
      </c>
      <c r="C180" s="0" t="n">
        <v>600</v>
      </c>
      <c r="D180" s="0" t="n">
        <v>315</v>
      </c>
      <c r="E180" s="0" t="str">
        <f aca="false">IFERROR(IF(OR(HLOOKUP($A180,#REF!,3,FALSE())&gt;2,HLOOKUP(A180,#REF!,3,FALSE())&lt;-2),"",#REF!),"")</f>
        <v/>
      </c>
      <c r="F180" s="0" t="str">
        <f aca="false">IFERROR(IF(OR(HLOOKUP($A180,#REF!,4,FALSE())&gt;2,HLOOKUP($A180,#REF!,4,FALSE())&lt;-2),"",#REF!),"")</f>
        <v/>
      </c>
      <c r="G180" s="0" t="str">
        <f aca="false">IFERROR(IF(OR(HLOOKUP($A180,#REF!,5,FALSE())&gt;2,HLOOKUP($A180,#REF!,5,FALSE())&lt;-2),"",#REF!),"")</f>
        <v/>
      </c>
      <c r="H180" s="0" t="str">
        <f aca="false">IFERROR(IF(OR(HLOOKUP($A180,#REF!,6,FALSE())&gt;2,HLOOKUP($A180,#REF!,6,FALSE())&lt;-2),"",#REF!),"")</f>
        <v/>
      </c>
      <c r="I180" s="0" t="str">
        <f aca="false">IFERROR(IF(OR(HLOOKUP($A180,#REF!,7,FALSE())&gt;2,HLOOKUP($A180,#REF!,7,FALSE())&lt;-2),"",#REF!),"")</f>
        <v/>
      </c>
      <c r="J180" s="0" t="str">
        <f aca="false">IFERROR(IF(OR(HLOOKUP($A180,#REF!,8,FALSE())&gt;2,HLOOKUP($A180,#REF!,8,FALSE())&lt;-2),"",#REF!),"")</f>
        <v/>
      </c>
      <c r="K180" s="0" t="str">
        <f aca="false">IFERROR(IF(OR(HLOOKUP($A180,#REF!,9,FALSE())&gt;2,HLOOKUP($A180,#REF!,9,FALSE())&lt;-2),"",#REF!),"")</f>
        <v/>
      </c>
      <c r="L180" s="0" t="str">
        <f aca="false">IFERROR(IF(OR(HLOOKUP($A180,#REF!,10,FALSE())&gt;2,HLOOKUP($A180,#REF!,10,FALSE())&lt;-2),"",#REF!),"")</f>
        <v/>
      </c>
      <c r="M180" s="0" t="str">
        <f aca="false">IFERROR(IF(OR(HLOOKUP($A180,#REF!,11,FALSE())&gt;2,HLOOKUP($A180,#REF!,11,FALSE())&lt;-2),"",#REF!),"")</f>
        <v/>
      </c>
      <c r="N180" s="0" t="str">
        <f aca="false">IFERROR(IF(OR(HLOOKUP($A180,#REF!,12,FALSE())&gt;2,HLOOKUP($A180,#REF!,12,FALSE())&lt;-2),"",#REF!),"")</f>
        <v/>
      </c>
      <c r="O180" s="0" t="str">
        <f aca="false">IFERROR(IF(OR(HLOOKUP($A180,#REF!,13,FALSE())&gt;2,HLOOKUP($A180,#REF!,13,FALSE())&lt;-2),"",#REF!),"")</f>
        <v/>
      </c>
      <c r="P180" s="0" t="str">
        <f aca="false">IFERROR(IF(OR(HLOOKUP($A180,#REF!,14,FALSE())&gt;2,HLOOKUP($A180,#REF!,14,FALSE())&lt;-2),"",#REF!),"")</f>
        <v/>
      </c>
      <c r="Q180" s="0" t="str">
        <f aca="false">IFERROR(IF(OR(HLOOKUP($A180,#REF!,15,FALSE())&gt;2,HLOOKUP($A180,#REF!,15,FALSE())&lt;-2),"",#REF!),"")</f>
        <v/>
      </c>
      <c r="R180" s="0" t="str">
        <f aca="false">IFERROR(IF(OR(HLOOKUP($A180,#REF!,16,FALSE())&gt;2,HLOOKUP($A180,#REF!,16,FALSE())&lt;-2),"",#REF!),"")</f>
        <v/>
      </c>
      <c r="S180" s="0" t="str">
        <f aca="false">IFERROR(IF(OR(HLOOKUP($A180,#REF!,17,FALSE())&gt;2,HLOOKUP($A180,#REF!,17,FALSE())&lt;-2),"",#REF!),"")</f>
        <v/>
      </c>
      <c r="T180" s="0" t="str">
        <f aca="false">IFERROR(IF(OR(HLOOKUP($A180,#REF!,18,FALSE())&gt;2,HLOOKUP($A180,#REF!,18,FALSE())&lt;-2),"",#REF!),"")</f>
        <v/>
      </c>
      <c r="U180" s="0" t="str">
        <f aca="false">IFERROR(IF(OR(HLOOKUP($A180,#REF!,19,FALSE())&gt;2,HLOOKUP($A180,#REF!,19,FALSE())&lt;-2),"",#REF!),"")</f>
        <v/>
      </c>
      <c r="V180" s="0" t="n">
        <f aca="false">IFERROR(IF(AND(X180=0,Y180=0),0,1),0)</f>
        <v>1</v>
      </c>
      <c r="W180" s="3" t="str">
        <f aca="false">IFERROR(_xlfn.T.TEST(E180:M180,N180:U180,2,2),"")</f>
        <v/>
      </c>
      <c r="X180" s="0" t="str">
        <f aca="false">IFERROR(AVERAGE(E180:M180),"")</f>
        <v/>
      </c>
      <c r="Y180" s="0" t="str">
        <f aca="false">IFERROR(AVERAGE(N180:U180),"")</f>
        <v/>
      </c>
    </row>
    <row r="181" customFormat="false" ht="14.5" hidden="false" customHeight="false" outlineLevel="0" collapsed="false">
      <c r="A181" s="0" t="n">
        <v>185</v>
      </c>
      <c r="B181" s="0" t="s">
        <v>269</v>
      </c>
      <c r="C181" s="0" t="n">
        <v>95700</v>
      </c>
      <c r="D181" s="0" t="n">
        <v>1069</v>
      </c>
      <c r="E181" s="0" t="str">
        <f aca="false">IFERROR(IF(OR(HLOOKUP($A181,#REF!,3,FALSE())&gt;2,HLOOKUP(A181,#REF!,3,FALSE())&lt;-2),"",#REF!),"")</f>
        <v/>
      </c>
      <c r="F181" s="0" t="str">
        <f aca="false">IFERROR(IF(OR(HLOOKUP($A181,#REF!,4,FALSE())&gt;2,HLOOKUP($A181,#REF!,4,FALSE())&lt;-2),"",#REF!),"")</f>
        <v/>
      </c>
      <c r="G181" s="0" t="str">
        <f aca="false">IFERROR(IF(OR(HLOOKUP($A181,#REF!,5,FALSE())&gt;2,HLOOKUP($A181,#REF!,5,FALSE())&lt;-2),"",#REF!),"")</f>
        <v/>
      </c>
      <c r="H181" s="0" t="str">
        <f aca="false">IFERROR(IF(OR(HLOOKUP($A181,#REF!,6,FALSE())&gt;2,HLOOKUP($A181,#REF!,6,FALSE())&lt;-2),"",#REF!),"")</f>
        <v/>
      </c>
      <c r="I181" s="0" t="str">
        <f aca="false">IFERROR(IF(OR(HLOOKUP($A181,#REF!,7,FALSE())&gt;2,HLOOKUP($A181,#REF!,7,FALSE())&lt;-2),"",#REF!),"")</f>
        <v/>
      </c>
      <c r="J181" s="0" t="str">
        <f aca="false">IFERROR(IF(OR(HLOOKUP($A181,#REF!,8,FALSE())&gt;2,HLOOKUP($A181,#REF!,8,FALSE())&lt;-2),"",#REF!),"")</f>
        <v/>
      </c>
      <c r="K181" s="0" t="str">
        <f aca="false">IFERROR(IF(OR(HLOOKUP($A181,#REF!,9,FALSE())&gt;2,HLOOKUP($A181,#REF!,9,FALSE())&lt;-2),"",#REF!),"")</f>
        <v/>
      </c>
      <c r="L181" s="0" t="str">
        <f aca="false">IFERROR(IF(OR(HLOOKUP($A181,#REF!,10,FALSE())&gt;2,HLOOKUP($A181,#REF!,10,FALSE())&lt;-2),"",#REF!),"")</f>
        <v/>
      </c>
      <c r="M181" s="0" t="str">
        <f aca="false">IFERROR(IF(OR(HLOOKUP($A181,#REF!,11,FALSE())&gt;2,HLOOKUP($A181,#REF!,11,FALSE())&lt;-2),"",#REF!),"")</f>
        <v/>
      </c>
      <c r="N181" s="0" t="str">
        <f aca="false">IFERROR(IF(OR(HLOOKUP($A181,#REF!,12,FALSE())&gt;2,HLOOKUP($A181,#REF!,12,FALSE())&lt;-2),"",#REF!),"")</f>
        <v/>
      </c>
      <c r="O181" s="0" t="str">
        <f aca="false">IFERROR(IF(OR(HLOOKUP($A181,#REF!,13,FALSE())&gt;2,HLOOKUP($A181,#REF!,13,FALSE())&lt;-2),"",#REF!),"")</f>
        <v/>
      </c>
      <c r="P181" s="0" t="str">
        <f aca="false">IFERROR(IF(OR(HLOOKUP($A181,#REF!,14,FALSE())&gt;2,HLOOKUP($A181,#REF!,14,FALSE())&lt;-2),"",#REF!),"")</f>
        <v/>
      </c>
      <c r="Q181" s="0" t="str">
        <f aca="false">IFERROR(IF(OR(HLOOKUP($A181,#REF!,15,FALSE())&gt;2,HLOOKUP($A181,#REF!,15,FALSE())&lt;-2),"",#REF!),"")</f>
        <v/>
      </c>
      <c r="R181" s="0" t="str">
        <f aca="false">IFERROR(IF(OR(HLOOKUP($A181,#REF!,16,FALSE())&gt;2,HLOOKUP($A181,#REF!,16,FALSE())&lt;-2),"",#REF!),"")</f>
        <v/>
      </c>
      <c r="S181" s="0" t="str">
        <f aca="false">IFERROR(IF(OR(HLOOKUP($A181,#REF!,17,FALSE())&gt;2,HLOOKUP($A181,#REF!,17,FALSE())&lt;-2),"",#REF!),"")</f>
        <v/>
      </c>
      <c r="T181" s="0" t="str">
        <f aca="false">IFERROR(IF(OR(HLOOKUP($A181,#REF!,18,FALSE())&gt;2,HLOOKUP($A181,#REF!,18,FALSE())&lt;-2),"",#REF!),"")</f>
        <v/>
      </c>
      <c r="U181" s="0" t="str">
        <f aca="false">IFERROR(IF(OR(HLOOKUP($A181,#REF!,19,FALSE())&gt;2,HLOOKUP($A181,#REF!,19,FALSE())&lt;-2),"",#REF!),"")</f>
        <v/>
      </c>
      <c r="V181" s="0" t="n">
        <f aca="false">IFERROR(IF(AND(X181=0,Y181=0),0,1),0)</f>
        <v>1</v>
      </c>
      <c r="W181" s="3" t="str">
        <f aca="false">IFERROR(_xlfn.T.TEST(E181:M181,N181:U181,2,2),"")</f>
        <v/>
      </c>
      <c r="X181" s="0" t="str">
        <f aca="false">IFERROR(AVERAGE(E181:M181),"")</f>
        <v/>
      </c>
      <c r="Y181" s="0" t="str">
        <f aca="false">IFERROR(AVERAGE(N181:U181),"")</f>
        <v/>
      </c>
    </row>
    <row r="182" customFormat="false" ht="14.5" hidden="false" customHeight="false" outlineLevel="0" collapsed="false">
      <c r="A182" s="0" t="n">
        <v>186</v>
      </c>
      <c r="B182" s="0" t="s">
        <v>270</v>
      </c>
      <c r="C182" s="0" t="n">
        <v>69800</v>
      </c>
      <c r="D182" s="0" t="n">
        <v>958</v>
      </c>
      <c r="E182" s="0" t="str">
        <f aca="false">IFERROR(IF(OR(HLOOKUP($A182,#REF!,3,FALSE())&gt;2,HLOOKUP(A182,#REF!,3,FALSE())&lt;-2),"",#REF!),"")</f>
        <v/>
      </c>
      <c r="F182" s="0" t="str">
        <f aca="false">IFERROR(IF(OR(HLOOKUP($A182,#REF!,4,FALSE())&gt;2,HLOOKUP($A182,#REF!,4,FALSE())&lt;-2),"",#REF!),"")</f>
        <v/>
      </c>
      <c r="G182" s="0" t="str">
        <f aca="false">IFERROR(IF(OR(HLOOKUP($A182,#REF!,5,FALSE())&gt;2,HLOOKUP($A182,#REF!,5,FALSE())&lt;-2),"",#REF!),"")</f>
        <v/>
      </c>
      <c r="H182" s="0" t="str">
        <f aca="false">IFERROR(IF(OR(HLOOKUP($A182,#REF!,6,FALSE())&gt;2,HLOOKUP($A182,#REF!,6,FALSE())&lt;-2),"",#REF!),"")</f>
        <v/>
      </c>
      <c r="I182" s="0" t="str">
        <f aca="false">IFERROR(IF(OR(HLOOKUP($A182,#REF!,7,FALSE())&gt;2,HLOOKUP($A182,#REF!,7,FALSE())&lt;-2),"",#REF!),"")</f>
        <v/>
      </c>
      <c r="J182" s="0" t="str">
        <f aca="false">IFERROR(IF(OR(HLOOKUP($A182,#REF!,8,FALSE())&gt;2,HLOOKUP($A182,#REF!,8,FALSE())&lt;-2),"",#REF!),"")</f>
        <v/>
      </c>
      <c r="K182" s="0" t="str">
        <f aca="false">IFERROR(IF(OR(HLOOKUP($A182,#REF!,9,FALSE())&gt;2,HLOOKUP($A182,#REF!,9,FALSE())&lt;-2),"",#REF!),"")</f>
        <v/>
      </c>
      <c r="L182" s="0" t="str">
        <f aca="false">IFERROR(IF(OR(HLOOKUP($A182,#REF!,10,FALSE())&gt;2,HLOOKUP($A182,#REF!,10,FALSE())&lt;-2),"",#REF!),"")</f>
        <v/>
      </c>
      <c r="M182" s="0" t="str">
        <f aca="false">IFERROR(IF(OR(HLOOKUP($A182,#REF!,11,FALSE())&gt;2,HLOOKUP($A182,#REF!,11,FALSE())&lt;-2),"",#REF!),"")</f>
        <v/>
      </c>
      <c r="N182" s="0" t="str">
        <f aca="false">IFERROR(IF(OR(HLOOKUP($A182,#REF!,12,FALSE())&gt;2,HLOOKUP($A182,#REF!,12,FALSE())&lt;-2),"",#REF!),"")</f>
        <v/>
      </c>
      <c r="O182" s="0" t="str">
        <f aca="false">IFERROR(IF(OR(HLOOKUP($A182,#REF!,13,FALSE())&gt;2,HLOOKUP($A182,#REF!,13,FALSE())&lt;-2),"",#REF!),"")</f>
        <v/>
      </c>
      <c r="P182" s="0" t="str">
        <f aca="false">IFERROR(IF(OR(HLOOKUP($A182,#REF!,14,FALSE())&gt;2,HLOOKUP($A182,#REF!,14,FALSE())&lt;-2),"",#REF!),"")</f>
        <v/>
      </c>
      <c r="Q182" s="0" t="str">
        <f aca="false">IFERROR(IF(OR(HLOOKUP($A182,#REF!,15,FALSE())&gt;2,HLOOKUP($A182,#REF!,15,FALSE())&lt;-2),"",#REF!),"")</f>
        <v/>
      </c>
      <c r="R182" s="0" t="str">
        <f aca="false">IFERROR(IF(OR(HLOOKUP($A182,#REF!,16,FALSE())&gt;2,HLOOKUP($A182,#REF!,16,FALSE())&lt;-2),"",#REF!),"")</f>
        <v/>
      </c>
      <c r="S182" s="0" t="str">
        <f aca="false">IFERROR(IF(OR(HLOOKUP($A182,#REF!,17,FALSE())&gt;2,HLOOKUP($A182,#REF!,17,FALSE())&lt;-2),"",#REF!),"")</f>
        <v/>
      </c>
      <c r="T182" s="0" t="str">
        <f aca="false">IFERROR(IF(OR(HLOOKUP($A182,#REF!,18,FALSE())&gt;2,HLOOKUP($A182,#REF!,18,FALSE())&lt;-2),"",#REF!),"")</f>
        <v/>
      </c>
      <c r="U182" s="0" t="str">
        <f aca="false">IFERROR(IF(OR(HLOOKUP($A182,#REF!,19,FALSE())&gt;2,HLOOKUP($A182,#REF!,19,FALSE())&lt;-2),"",#REF!),"")</f>
        <v/>
      </c>
      <c r="V182" s="0" t="n">
        <f aca="false">IFERROR(IF(AND(X182=0,Y182=0),0,1),0)</f>
        <v>1</v>
      </c>
      <c r="W182" s="3" t="str">
        <f aca="false">IFERROR(_xlfn.T.TEST(E182:M182,N182:U182,2,2),"")</f>
        <v/>
      </c>
      <c r="X182" s="0" t="str">
        <f aca="false">IFERROR(AVERAGE(E182:M182),"")</f>
        <v/>
      </c>
      <c r="Y182" s="0" t="str">
        <f aca="false">IFERROR(AVERAGE(N182:U182),"")</f>
        <v/>
      </c>
    </row>
    <row r="183" customFormat="false" ht="14.5" hidden="false" customHeight="false" outlineLevel="0" collapsed="false">
      <c r="A183" s="0" t="n">
        <v>187</v>
      </c>
      <c r="B183" s="0" t="s">
        <v>271</v>
      </c>
      <c r="C183" s="0" t="n">
        <v>9500</v>
      </c>
      <c r="D183" s="0" t="n">
        <v>1057</v>
      </c>
      <c r="E183" s="0" t="str">
        <f aca="false">IFERROR(IF(OR(HLOOKUP($A183,#REF!,3,FALSE())&gt;2,HLOOKUP(A183,#REF!,3,FALSE())&lt;-2),"",#REF!),"")</f>
        <v/>
      </c>
      <c r="F183" s="0" t="str">
        <f aca="false">IFERROR(IF(OR(HLOOKUP($A183,#REF!,4,FALSE())&gt;2,HLOOKUP($A183,#REF!,4,FALSE())&lt;-2),"",#REF!),"")</f>
        <v/>
      </c>
      <c r="G183" s="0" t="str">
        <f aca="false">IFERROR(IF(OR(HLOOKUP($A183,#REF!,5,FALSE())&gt;2,HLOOKUP($A183,#REF!,5,FALSE())&lt;-2),"",#REF!),"")</f>
        <v/>
      </c>
      <c r="H183" s="0" t="str">
        <f aca="false">IFERROR(IF(OR(HLOOKUP($A183,#REF!,6,FALSE())&gt;2,HLOOKUP($A183,#REF!,6,FALSE())&lt;-2),"",#REF!),"")</f>
        <v/>
      </c>
      <c r="I183" s="0" t="str">
        <f aca="false">IFERROR(IF(OR(HLOOKUP($A183,#REF!,7,FALSE())&gt;2,HLOOKUP($A183,#REF!,7,FALSE())&lt;-2),"",#REF!),"")</f>
        <v/>
      </c>
      <c r="J183" s="0" t="str">
        <f aca="false">IFERROR(IF(OR(HLOOKUP($A183,#REF!,8,FALSE())&gt;2,HLOOKUP($A183,#REF!,8,FALSE())&lt;-2),"",#REF!),"")</f>
        <v/>
      </c>
      <c r="K183" s="0" t="str">
        <f aca="false">IFERROR(IF(OR(HLOOKUP($A183,#REF!,9,FALSE())&gt;2,HLOOKUP($A183,#REF!,9,FALSE())&lt;-2),"",#REF!),"")</f>
        <v/>
      </c>
      <c r="L183" s="0" t="str">
        <f aca="false">IFERROR(IF(OR(HLOOKUP($A183,#REF!,10,FALSE())&gt;2,HLOOKUP($A183,#REF!,10,FALSE())&lt;-2),"",#REF!),"")</f>
        <v/>
      </c>
      <c r="M183" s="0" t="str">
        <f aca="false">IFERROR(IF(OR(HLOOKUP($A183,#REF!,11,FALSE())&gt;2,HLOOKUP($A183,#REF!,11,FALSE())&lt;-2),"",#REF!),"")</f>
        <v/>
      </c>
      <c r="N183" s="0" t="str">
        <f aca="false">IFERROR(IF(OR(HLOOKUP($A183,#REF!,12,FALSE())&gt;2,HLOOKUP($A183,#REF!,12,FALSE())&lt;-2),"",#REF!),"")</f>
        <v/>
      </c>
      <c r="O183" s="0" t="str">
        <f aca="false">IFERROR(IF(OR(HLOOKUP($A183,#REF!,13,FALSE())&gt;2,HLOOKUP($A183,#REF!,13,FALSE())&lt;-2),"",#REF!),"")</f>
        <v/>
      </c>
      <c r="P183" s="0" t="str">
        <f aca="false">IFERROR(IF(OR(HLOOKUP($A183,#REF!,14,FALSE())&gt;2,HLOOKUP($A183,#REF!,14,FALSE())&lt;-2),"",#REF!),"")</f>
        <v/>
      </c>
      <c r="Q183" s="0" t="str">
        <f aca="false">IFERROR(IF(OR(HLOOKUP($A183,#REF!,15,FALSE())&gt;2,HLOOKUP($A183,#REF!,15,FALSE())&lt;-2),"",#REF!),"")</f>
        <v/>
      </c>
      <c r="R183" s="0" t="str">
        <f aca="false">IFERROR(IF(OR(HLOOKUP($A183,#REF!,16,FALSE())&gt;2,HLOOKUP($A183,#REF!,16,FALSE())&lt;-2),"",#REF!),"")</f>
        <v/>
      </c>
      <c r="S183" s="0" t="str">
        <f aca="false">IFERROR(IF(OR(HLOOKUP($A183,#REF!,17,FALSE())&gt;2,HLOOKUP($A183,#REF!,17,FALSE())&lt;-2),"",#REF!),"")</f>
        <v/>
      </c>
      <c r="T183" s="0" t="str">
        <f aca="false">IFERROR(IF(OR(HLOOKUP($A183,#REF!,18,FALSE())&gt;2,HLOOKUP($A183,#REF!,18,FALSE())&lt;-2),"",#REF!),"")</f>
        <v/>
      </c>
      <c r="U183" s="0" t="str">
        <f aca="false">IFERROR(IF(OR(HLOOKUP($A183,#REF!,19,FALSE())&gt;2,HLOOKUP($A183,#REF!,19,FALSE())&lt;-2),"",#REF!),"")</f>
        <v/>
      </c>
      <c r="V183" s="0" t="n">
        <f aca="false">IFERROR(IF(AND(X183=0,Y183=0),0,1),0)</f>
        <v>1</v>
      </c>
      <c r="W183" s="3" t="str">
        <f aca="false">IFERROR(_xlfn.T.TEST(E183:M183,N183:U183,2,2),"")</f>
        <v/>
      </c>
      <c r="X183" s="0" t="str">
        <f aca="false">IFERROR(AVERAGE(E183:M183),"")</f>
        <v/>
      </c>
      <c r="Y183" s="0" t="str">
        <f aca="false">IFERROR(AVERAGE(N183:U183),"")</f>
        <v/>
      </c>
    </row>
    <row r="184" customFormat="false" ht="14.5" hidden="false" customHeight="false" outlineLevel="0" collapsed="false">
      <c r="A184" s="0" t="n">
        <v>188</v>
      </c>
      <c r="B184" s="0" t="s">
        <v>272</v>
      </c>
      <c r="C184" s="0" t="n">
        <v>30700</v>
      </c>
      <c r="D184" s="0" t="n">
        <v>151</v>
      </c>
      <c r="E184" s="0" t="str">
        <f aca="false">IFERROR(IF(OR(HLOOKUP($A184,#REF!,3,FALSE())&gt;2,HLOOKUP(A184,#REF!,3,FALSE())&lt;-2),"",#REF!),"")</f>
        <v/>
      </c>
      <c r="F184" s="0" t="str">
        <f aca="false">IFERROR(IF(OR(HLOOKUP($A184,#REF!,4,FALSE())&gt;2,HLOOKUP($A184,#REF!,4,FALSE())&lt;-2),"",#REF!),"")</f>
        <v/>
      </c>
      <c r="G184" s="0" t="str">
        <f aca="false">IFERROR(IF(OR(HLOOKUP($A184,#REF!,5,FALSE())&gt;2,HLOOKUP($A184,#REF!,5,FALSE())&lt;-2),"",#REF!),"")</f>
        <v/>
      </c>
      <c r="H184" s="0" t="str">
        <f aca="false">IFERROR(IF(OR(HLOOKUP($A184,#REF!,6,FALSE())&gt;2,HLOOKUP($A184,#REF!,6,FALSE())&lt;-2),"",#REF!),"")</f>
        <v/>
      </c>
      <c r="I184" s="0" t="str">
        <f aca="false">IFERROR(IF(OR(HLOOKUP($A184,#REF!,7,FALSE())&gt;2,HLOOKUP($A184,#REF!,7,FALSE())&lt;-2),"",#REF!),"")</f>
        <v/>
      </c>
      <c r="J184" s="0" t="str">
        <f aca="false">IFERROR(IF(OR(HLOOKUP($A184,#REF!,8,FALSE())&gt;2,HLOOKUP($A184,#REF!,8,FALSE())&lt;-2),"",#REF!),"")</f>
        <v/>
      </c>
      <c r="K184" s="0" t="str">
        <f aca="false">IFERROR(IF(OR(HLOOKUP($A184,#REF!,9,FALSE())&gt;2,HLOOKUP($A184,#REF!,9,FALSE())&lt;-2),"",#REF!),"")</f>
        <v/>
      </c>
      <c r="L184" s="0" t="str">
        <f aca="false">IFERROR(IF(OR(HLOOKUP($A184,#REF!,10,FALSE())&gt;2,HLOOKUP($A184,#REF!,10,FALSE())&lt;-2),"",#REF!),"")</f>
        <v/>
      </c>
      <c r="M184" s="0" t="str">
        <f aca="false">IFERROR(IF(OR(HLOOKUP($A184,#REF!,11,FALSE())&gt;2,HLOOKUP($A184,#REF!,11,FALSE())&lt;-2),"",#REF!),"")</f>
        <v/>
      </c>
      <c r="N184" s="0" t="str">
        <f aca="false">IFERROR(IF(OR(HLOOKUP($A184,#REF!,12,FALSE())&gt;2,HLOOKUP($A184,#REF!,12,FALSE())&lt;-2),"",#REF!),"")</f>
        <v/>
      </c>
      <c r="O184" s="0" t="str">
        <f aca="false">IFERROR(IF(OR(HLOOKUP($A184,#REF!,13,FALSE())&gt;2,HLOOKUP($A184,#REF!,13,FALSE())&lt;-2),"",#REF!),"")</f>
        <v/>
      </c>
      <c r="P184" s="0" t="str">
        <f aca="false">IFERROR(IF(OR(HLOOKUP($A184,#REF!,14,FALSE())&gt;2,HLOOKUP($A184,#REF!,14,FALSE())&lt;-2),"",#REF!),"")</f>
        <v/>
      </c>
      <c r="Q184" s="0" t="str">
        <f aca="false">IFERROR(IF(OR(HLOOKUP($A184,#REF!,15,FALSE())&gt;2,HLOOKUP($A184,#REF!,15,FALSE())&lt;-2),"",#REF!),"")</f>
        <v/>
      </c>
      <c r="R184" s="0" t="str">
        <f aca="false">IFERROR(IF(OR(HLOOKUP($A184,#REF!,16,FALSE())&gt;2,HLOOKUP($A184,#REF!,16,FALSE())&lt;-2),"",#REF!),"")</f>
        <v/>
      </c>
      <c r="S184" s="0" t="str">
        <f aca="false">IFERROR(IF(OR(HLOOKUP($A184,#REF!,17,FALSE())&gt;2,HLOOKUP($A184,#REF!,17,FALSE())&lt;-2),"",#REF!),"")</f>
        <v/>
      </c>
      <c r="T184" s="0" t="str">
        <f aca="false">IFERROR(IF(OR(HLOOKUP($A184,#REF!,18,FALSE())&gt;2,HLOOKUP($A184,#REF!,18,FALSE())&lt;-2),"",#REF!),"")</f>
        <v/>
      </c>
      <c r="U184" s="0" t="str">
        <f aca="false">IFERROR(IF(OR(HLOOKUP($A184,#REF!,19,FALSE())&gt;2,HLOOKUP($A184,#REF!,19,FALSE())&lt;-2),"",#REF!),"")</f>
        <v/>
      </c>
      <c r="V184" s="0" t="n">
        <f aca="false">IFERROR(IF(AND(X184=0,Y184=0),0,1),0)</f>
        <v>1</v>
      </c>
      <c r="W184" s="3" t="str">
        <f aca="false">IFERROR(_xlfn.T.TEST(E184:M184,N184:U184,2,2),"")</f>
        <v/>
      </c>
      <c r="X184" s="0" t="str">
        <f aca="false">IFERROR(AVERAGE(E184:M184),"")</f>
        <v/>
      </c>
      <c r="Y184" s="0" t="str">
        <f aca="false">IFERROR(AVERAGE(N184:U184),"")</f>
        <v/>
      </c>
    </row>
    <row r="185" customFormat="false" ht="14.5" hidden="false" customHeight="false" outlineLevel="0" collapsed="false">
      <c r="A185" s="0" t="n">
        <v>189</v>
      </c>
      <c r="B185" s="0" t="s">
        <v>273</v>
      </c>
      <c r="C185" s="0" t="n">
        <v>68400</v>
      </c>
      <c r="D185" s="0" t="n">
        <v>51</v>
      </c>
      <c r="E185" s="0" t="str">
        <f aca="false">IFERROR(IF(OR(HLOOKUP($A185,#REF!,3,FALSE())&gt;2,HLOOKUP(A185,#REF!,3,FALSE())&lt;-2),"",#REF!),"")</f>
        <v/>
      </c>
      <c r="F185" s="0" t="str">
        <f aca="false">IFERROR(IF(OR(HLOOKUP($A185,#REF!,4,FALSE())&gt;2,HLOOKUP($A185,#REF!,4,FALSE())&lt;-2),"",#REF!),"")</f>
        <v/>
      </c>
      <c r="G185" s="0" t="str">
        <f aca="false">IFERROR(IF(OR(HLOOKUP($A185,#REF!,5,FALSE())&gt;2,HLOOKUP($A185,#REF!,5,FALSE())&lt;-2),"",#REF!),"")</f>
        <v/>
      </c>
      <c r="H185" s="0" t="str">
        <f aca="false">IFERROR(IF(OR(HLOOKUP($A185,#REF!,6,FALSE())&gt;2,HLOOKUP($A185,#REF!,6,FALSE())&lt;-2),"",#REF!),"")</f>
        <v/>
      </c>
      <c r="I185" s="0" t="str">
        <f aca="false">IFERROR(IF(OR(HLOOKUP($A185,#REF!,7,FALSE())&gt;2,HLOOKUP($A185,#REF!,7,FALSE())&lt;-2),"",#REF!),"")</f>
        <v/>
      </c>
      <c r="J185" s="0" t="str">
        <f aca="false">IFERROR(IF(OR(HLOOKUP($A185,#REF!,8,FALSE())&gt;2,HLOOKUP($A185,#REF!,8,FALSE())&lt;-2),"",#REF!),"")</f>
        <v/>
      </c>
      <c r="K185" s="0" t="str">
        <f aca="false">IFERROR(IF(OR(HLOOKUP($A185,#REF!,9,FALSE())&gt;2,HLOOKUP($A185,#REF!,9,FALSE())&lt;-2),"",#REF!),"")</f>
        <v/>
      </c>
      <c r="L185" s="0" t="str">
        <f aca="false">IFERROR(IF(OR(HLOOKUP($A185,#REF!,10,FALSE())&gt;2,HLOOKUP($A185,#REF!,10,FALSE())&lt;-2),"",#REF!),"")</f>
        <v/>
      </c>
      <c r="M185" s="0" t="str">
        <f aca="false">IFERROR(IF(OR(HLOOKUP($A185,#REF!,11,FALSE())&gt;2,HLOOKUP($A185,#REF!,11,FALSE())&lt;-2),"",#REF!),"")</f>
        <v/>
      </c>
      <c r="N185" s="0" t="str">
        <f aca="false">IFERROR(IF(OR(HLOOKUP($A185,#REF!,12,FALSE())&gt;2,HLOOKUP($A185,#REF!,12,FALSE())&lt;-2),"",#REF!),"")</f>
        <v/>
      </c>
      <c r="O185" s="0" t="str">
        <f aca="false">IFERROR(IF(OR(HLOOKUP($A185,#REF!,13,FALSE())&gt;2,HLOOKUP($A185,#REF!,13,FALSE())&lt;-2),"",#REF!),"")</f>
        <v/>
      </c>
      <c r="P185" s="0" t="str">
        <f aca="false">IFERROR(IF(OR(HLOOKUP($A185,#REF!,14,FALSE())&gt;2,HLOOKUP($A185,#REF!,14,FALSE())&lt;-2),"",#REF!),"")</f>
        <v/>
      </c>
      <c r="Q185" s="0" t="str">
        <f aca="false">IFERROR(IF(OR(HLOOKUP($A185,#REF!,15,FALSE())&gt;2,HLOOKUP($A185,#REF!,15,FALSE())&lt;-2),"",#REF!),"")</f>
        <v/>
      </c>
      <c r="R185" s="0" t="str">
        <f aca="false">IFERROR(IF(OR(HLOOKUP($A185,#REF!,16,FALSE())&gt;2,HLOOKUP($A185,#REF!,16,FALSE())&lt;-2),"",#REF!),"")</f>
        <v/>
      </c>
      <c r="S185" s="0" t="str">
        <f aca="false">IFERROR(IF(OR(HLOOKUP($A185,#REF!,17,FALSE())&gt;2,HLOOKUP($A185,#REF!,17,FALSE())&lt;-2),"",#REF!),"")</f>
        <v/>
      </c>
      <c r="T185" s="0" t="str">
        <f aca="false">IFERROR(IF(OR(HLOOKUP($A185,#REF!,18,FALSE())&gt;2,HLOOKUP($A185,#REF!,18,FALSE())&lt;-2),"",#REF!),"")</f>
        <v/>
      </c>
      <c r="U185" s="0" t="str">
        <f aca="false">IFERROR(IF(OR(HLOOKUP($A185,#REF!,19,FALSE())&gt;2,HLOOKUP($A185,#REF!,19,FALSE())&lt;-2),"",#REF!),"")</f>
        <v/>
      </c>
      <c r="V185" s="0" t="n">
        <f aca="false">IFERROR(IF(AND(X185=0,Y185=0),0,1),0)</f>
        <v>1</v>
      </c>
      <c r="W185" s="3" t="str">
        <f aca="false">IFERROR(_xlfn.T.TEST(E185:M185,N185:U185,2,2),"")</f>
        <v/>
      </c>
      <c r="X185" s="0" t="str">
        <f aca="false">IFERROR(AVERAGE(E185:M185),"")</f>
        <v/>
      </c>
      <c r="Y185" s="0" t="str">
        <f aca="false">IFERROR(AVERAGE(N185:U185),"")</f>
        <v/>
      </c>
    </row>
    <row r="186" customFormat="false" ht="14.5" hidden="false" customHeight="false" outlineLevel="0" collapsed="false">
      <c r="A186" s="0" t="n">
        <v>190</v>
      </c>
      <c r="B186" s="0" t="s">
        <v>274</v>
      </c>
      <c r="C186" s="0" t="n">
        <v>107600</v>
      </c>
      <c r="D186" s="0" t="n">
        <v>784</v>
      </c>
      <c r="E186" s="0" t="str">
        <f aca="false">IFERROR(IF(OR(HLOOKUP($A186,#REF!,3,FALSE())&gt;2,HLOOKUP(A186,#REF!,3,FALSE())&lt;-2),"",#REF!),"")</f>
        <v/>
      </c>
      <c r="F186" s="0" t="str">
        <f aca="false">IFERROR(IF(OR(HLOOKUP($A186,#REF!,4,FALSE())&gt;2,HLOOKUP($A186,#REF!,4,FALSE())&lt;-2),"",#REF!),"")</f>
        <v/>
      </c>
      <c r="G186" s="0" t="str">
        <f aca="false">IFERROR(IF(OR(HLOOKUP($A186,#REF!,5,FALSE())&gt;2,HLOOKUP($A186,#REF!,5,FALSE())&lt;-2),"",#REF!),"")</f>
        <v/>
      </c>
      <c r="H186" s="0" t="str">
        <f aca="false">IFERROR(IF(OR(HLOOKUP($A186,#REF!,6,FALSE())&gt;2,HLOOKUP($A186,#REF!,6,FALSE())&lt;-2),"",#REF!),"")</f>
        <v/>
      </c>
      <c r="I186" s="0" t="str">
        <f aca="false">IFERROR(IF(OR(HLOOKUP($A186,#REF!,7,FALSE())&gt;2,HLOOKUP($A186,#REF!,7,FALSE())&lt;-2),"",#REF!),"")</f>
        <v/>
      </c>
      <c r="J186" s="0" t="str">
        <f aca="false">IFERROR(IF(OR(HLOOKUP($A186,#REF!,8,FALSE())&gt;2,HLOOKUP($A186,#REF!,8,FALSE())&lt;-2),"",#REF!),"")</f>
        <v/>
      </c>
      <c r="K186" s="0" t="str">
        <f aca="false">IFERROR(IF(OR(HLOOKUP($A186,#REF!,9,FALSE())&gt;2,HLOOKUP($A186,#REF!,9,FALSE())&lt;-2),"",#REF!),"")</f>
        <v/>
      </c>
      <c r="L186" s="0" t="str">
        <f aca="false">IFERROR(IF(OR(HLOOKUP($A186,#REF!,10,FALSE())&gt;2,HLOOKUP($A186,#REF!,10,FALSE())&lt;-2),"",#REF!),"")</f>
        <v/>
      </c>
      <c r="M186" s="0" t="str">
        <f aca="false">IFERROR(IF(OR(HLOOKUP($A186,#REF!,11,FALSE())&gt;2,HLOOKUP($A186,#REF!,11,FALSE())&lt;-2),"",#REF!),"")</f>
        <v/>
      </c>
      <c r="N186" s="0" t="str">
        <f aca="false">IFERROR(IF(OR(HLOOKUP($A186,#REF!,12,FALSE())&gt;2,HLOOKUP($A186,#REF!,12,FALSE())&lt;-2),"",#REF!),"")</f>
        <v/>
      </c>
      <c r="O186" s="0" t="str">
        <f aca="false">IFERROR(IF(OR(HLOOKUP($A186,#REF!,13,FALSE())&gt;2,HLOOKUP($A186,#REF!,13,FALSE())&lt;-2),"",#REF!),"")</f>
        <v/>
      </c>
      <c r="P186" s="0" t="str">
        <f aca="false">IFERROR(IF(OR(HLOOKUP($A186,#REF!,14,FALSE())&gt;2,HLOOKUP($A186,#REF!,14,FALSE())&lt;-2),"",#REF!),"")</f>
        <v/>
      </c>
      <c r="Q186" s="0" t="str">
        <f aca="false">IFERROR(IF(OR(HLOOKUP($A186,#REF!,15,FALSE())&gt;2,HLOOKUP($A186,#REF!,15,FALSE())&lt;-2),"",#REF!),"")</f>
        <v/>
      </c>
      <c r="R186" s="0" t="str">
        <f aca="false">IFERROR(IF(OR(HLOOKUP($A186,#REF!,16,FALSE())&gt;2,HLOOKUP($A186,#REF!,16,FALSE())&lt;-2),"",#REF!),"")</f>
        <v/>
      </c>
      <c r="S186" s="0" t="str">
        <f aca="false">IFERROR(IF(OR(HLOOKUP($A186,#REF!,17,FALSE())&gt;2,HLOOKUP($A186,#REF!,17,FALSE())&lt;-2),"",#REF!),"")</f>
        <v/>
      </c>
      <c r="T186" s="0" t="str">
        <f aca="false">IFERROR(IF(OR(HLOOKUP($A186,#REF!,18,FALSE())&gt;2,HLOOKUP($A186,#REF!,18,FALSE())&lt;-2),"",#REF!),"")</f>
        <v/>
      </c>
      <c r="U186" s="0" t="str">
        <f aca="false">IFERROR(IF(OR(HLOOKUP($A186,#REF!,19,FALSE())&gt;2,HLOOKUP($A186,#REF!,19,FALSE())&lt;-2),"",#REF!),"")</f>
        <v/>
      </c>
      <c r="V186" s="0" t="n">
        <f aca="false">IFERROR(IF(AND(X186=0,Y186=0),0,1),0)</f>
        <v>1</v>
      </c>
      <c r="W186" s="3" t="str">
        <f aca="false">IFERROR(_xlfn.T.TEST(E186:M186,N186:U186,2,2),"")</f>
        <v/>
      </c>
      <c r="X186" s="0" t="str">
        <f aca="false">IFERROR(AVERAGE(E186:M186),"")</f>
        <v/>
      </c>
      <c r="Y186" s="0" t="str">
        <f aca="false">IFERROR(AVERAGE(N186:U186),"")</f>
        <v/>
      </c>
    </row>
    <row r="187" customFormat="false" ht="14.5" hidden="false" customHeight="false" outlineLevel="0" collapsed="false">
      <c r="A187" s="0" t="n">
        <v>191</v>
      </c>
      <c r="B187" s="0" t="s">
        <v>275</v>
      </c>
      <c r="C187" s="0" t="n">
        <v>31400</v>
      </c>
      <c r="D187" s="0" t="n">
        <v>159</v>
      </c>
      <c r="E187" s="0" t="str">
        <f aca="false">IFERROR(IF(OR(HLOOKUP($A187,#REF!,3,FALSE())&gt;2,HLOOKUP(A187,#REF!,3,FALSE())&lt;-2),"",#REF!),"")</f>
        <v/>
      </c>
      <c r="F187" s="0" t="str">
        <f aca="false">IFERROR(IF(OR(HLOOKUP($A187,#REF!,4,FALSE())&gt;2,HLOOKUP($A187,#REF!,4,FALSE())&lt;-2),"",#REF!),"")</f>
        <v/>
      </c>
      <c r="G187" s="0" t="str">
        <f aca="false">IFERROR(IF(OR(HLOOKUP($A187,#REF!,5,FALSE())&gt;2,HLOOKUP($A187,#REF!,5,FALSE())&lt;-2),"",#REF!),"")</f>
        <v/>
      </c>
      <c r="H187" s="0" t="str">
        <f aca="false">IFERROR(IF(OR(HLOOKUP($A187,#REF!,6,FALSE())&gt;2,HLOOKUP($A187,#REF!,6,FALSE())&lt;-2),"",#REF!),"")</f>
        <v/>
      </c>
      <c r="I187" s="0" t="str">
        <f aca="false">IFERROR(IF(OR(HLOOKUP($A187,#REF!,7,FALSE())&gt;2,HLOOKUP($A187,#REF!,7,FALSE())&lt;-2),"",#REF!),"")</f>
        <v/>
      </c>
      <c r="J187" s="0" t="str">
        <f aca="false">IFERROR(IF(OR(HLOOKUP($A187,#REF!,8,FALSE())&gt;2,HLOOKUP($A187,#REF!,8,FALSE())&lt;-2),"",#REF!),"")</f>
        <v/>
      </c>
      <c r="K187" s="0" t="str">
        <f aca="false">IFERROR(IF(OR(HLOOKUP($A187,#REF!,9,FALSE())&gt;2,HLOOKUP($A187,#REF!,9,FALSE())&lt;-2),"",#REF!),"")</f>
        <v/>
      </c>
      <c r="L187" s="0" t="str">
        <f aca="false">IFERROR(IF(OR(HLOOKUP($A187,#REF!,10,FALSE())&gt;2,HLOOKUP($A187,#REF!,10,FALSE())&lt;-2),"",#REF!),"")</f>
        <v/>
      </c>
      <c r="M187" s="0" t="str">
        <f aca="false">IFERROR(IF(OR(HLOOKUP($A187,#REF!,11,FALSE())&gt;2,HLOOKUP($A187,#REF!,11,FALSE())&lt;-2),"",#REF!),"")</f>
        <v/>
      </c>
      <c r="N187" s="0" t="str">
        <f aca="false">IFERROR(IF(OR(HLOOKUP($A187,#REF!,12,FALSE())&gt;2,HLOOKUP($A187,#REF!,12,FALSE())&lt;-2),"",#REF!),"")</f>
        <v/>
      </c>
      <c r="O187" s="0" t="str">
        <f aca="false">IFERROR(IF(OR(HLOOKUP($A187,#REF!,13,FALSE())&gt;2,HLOOKUP($A187,#REF!,13,FALSE())&lt;-2),"",#REF!),"")</f>
        <v/>
      </c>
      <c r="P187" s="0" t="str">
        <f aca="false">IFERROR(IF(OR(HLOOKUP($A187,#REF!,14,FALSE())&gt;2,HLOOKUP($A187,#REF!,14,FALSE())&lt;-2),"",#REF!),"")</f>
        <v/>
      </c>
      <c r="Q187" s="0" t="str">
        <f aca="false">IFERROR(IF(OR(HLOOKUP($A187,#REF!,15,FALSE())&gt;2,HLOOKUP($A187,#REF!,15,FALSE())&lt;-2),"",#REF!),"")</f>
        <v/>
      </c>
      <c r="R187" s="0" t="str">
        <f aca="false">IFERROR(IF(OR(HLOOKUP($A187,#REF!,16,FALSE())&gt;2,HLOOKUP($A187,#REF!,16,FALSE())&lt;-2),"",#REF!),"")</f>
        <v/>
      </c>
      <c r="S187" s="0" t="str">
        <f aca="false">IFERROR(IF(OR(HLOOKUP($A187,#REF!,17,FALSE())&gt;2,HLOOKUP($A187,#REF!,17,FALSE())&lt;-2),"",#REF!),"")</f>
        <v/>
      </c>
      <c r="T187" s="0" t="str">
        <f aca="false">IFERROR(IF(OR(HLOOKUP($A187,#REF!,18,FALSE())&gt;2,HLOOKUP($A187,#REF!,18,FALSE())&lt;-2),"",#REF!),"")</f>
        <v/>
      </c>
      <c r="U187" s="0" t="str">
        <f aca="false">IFERROR(IF(OR(HLOOKUP($A187,#REF!,19,FALSE())&gt;2,HLOOKUP($A187,#REF!,19,FALSE())&lt;-2),"",#REF!),"")</f>
        <v/>
      </c>
      <c r="V187" s="0" t="n">
        <f aca="false">IFERROR(IF(AND(X187=0,Y187=0),0,1),0)</f>
        <v>1</v>
      </c>
      <c r="W187" s="3" t="str">
        <f aca="false">IFERROR(_xlfn.T.TEST(E187:M187,N187:U187,2,2),"")</f>
        <v/>
      </c>
      <c r="X187" s="0" t="str">
        <f aca="false">IFERROR(AVERAGE(E187:M187),"")</f>
        <v/>
      </c>
      <c r="Y187" s="0" t="str">
        <f aca="false">IFERROR(AVERAGE(N187:U187),"")</f>
        <v/>
      </c>
    </row>
    <row r="188" customFormat="false" ht="14.5" hidden="false" customHeight="false" outlineLevel="0" collapsed="false">
      <c r="A188" s="0" t="n">
        <v>192</v>
      </c>
      <c r="B188" s="0" t="s">
        <v>276</v>
      </c>
      <c r="C188" s="0" t="n">
        <v>34800</v>
      </c>
      <c r="D188" s="0" t="n">
        <v>639</v>
      </c>
      <c r="E188" s="0" t="str">
        <f aca="false">IFERROR(IF(OR(HLOOKUP($A188,#REF!,3,FALSE())&gt;2,HLOOKUP(A188,#REF!,3,FALSE())&lt;-2),"",#REF!),"")</f>
        <v/>
      </c>
      <c r="F188" s="0" t="str">
        <f aca="false">IFERROR(IF(OR(HLOOKUP($A188,#REF!,4,FALSE())&gt;2,HLOOKUP($A188,#REF!,4,FALSE())&lt;-2),"",#REF!),"")</f>
        <v/>
      </c>
      <c r="G188" s="0" t="str">
        <f aca="false">IFERROR(IF(OR(HLOOKUP($A188,#REF!,5,FALSE())&gt;2,HLOOKUP($A188,#REF!,5,FALSE())&lt;-2),"",#REF!),"")</f>
        <v/>
      </c>
      <c r="H188" s="0" t="str">
        <f aca="false">IFERROR(IF(OR(HLOOKUP($A188,#REF!,6,FALSE())&gt;2,HLOOKUP($A188,#REF!,6,FALSE())&lt;-2),"",#REF!),"")</f>
        <v/>
      </c>
      <c r="I188" s="0" t="str">
        <f aca="false">IFERROR(IF(OR(HLOOKUP($A188,#REF!,7,FALSE())&gt;2,HLOOKUP($A188,#REF!,7,FALSE())&lt;-2),"",#REF!),"")</f>
        <v/>
      </c>
      <c r="J188" s="0" t="str">
        <f aca="false">IFERROR(IF(OR(HLOOKUP($A188,#REF!,8,FALSE())&gt;2,HLOOKUP($A188,#REF!,8,FALSE())&lt;-2),"",#REF!),"")</f>
        <v/>
      </c>
      <c r="K188" s="0" t="str">
        <f aca="false">IFERROR(IF(OR(HLOOKUP($A188,#REF!,9,FALSE())&gt;2,HLOOKUP($A188,#REF!,9,FALSE())&lt;-2),"",#REF!),"")</f>
        <v/>
      </c>
      <c r="L188" s="0" t="str">
        <f aca="false">IFERROR(IF(OR(HLOOKUP($A188,#REF!,10,FALSE())&gt;2,HLOOKUP($A188,#REF!,10,FALSE())&lt;-2),"",#REF!),"")</f>
        <v/>
      </c>
      <c r="M188" s="0" t="str">
        <f aca="false">IFERROR(IF(OR(HLOOKUP($A188,#REF!,11,FALSE())&gt;2,HLOOKUP($A188,#REF!,11,FALSE())&lt;-2),"",#REF!),"")</f>
        <v/>
      </c>
      <c r="N188" s="0" t="str">
        <f aca="false">IFERROR(IF(OR(HLOOKUP($A188,#REF!,12,FALSE())&gt;2,HLOOKUP($A188,#REF!,12,FALSE())&lt;-2),"",#REF!),"")</f>
        <v/>
      </c>
      <c r="O188" s="0" t="str">
        <f aca="false">IFERROR(IF(OR(HLOOKUP($A188,#REF!,13,FALSE())&gt;2,HLOOKUP($A188,#REF!,13,FALSE())&lt;-2),"",#REF!),"")</f>
        <v/>
      </c>
      <c r="P188" s="0" t="str">
        <f aca="false">IFERROR(IF(OR(HLOOKUP($A188,#REF!,14,FALSE())&gt;2,HLOOKUP($A188,#REF!,14,FALSE())&lt;-2),"",#REF!),"")</f>
        <v/>
      </c>
      <c r="Q188" s="0" t="str">
        <f aca="false">IFERROR(IF(OR(HLOOKUP($A188,#REF!,15,FALSE())&gt;2,HLOOKUP($A188,#REF!,15,FALSE())&lt;-2),"",#REF!),"")</f>
        <v/>
      </c>
      <c r="R188" s="0" t="str">
        <f aca="false">IFERROR(IF(OR(HLOOKUP($A188,#REF!,16,FALSE())&gt;2,HLOOKUP($A188,#REF!,16,FALSE())&lt;-2),"",#REF!),"")</f>
        <v/>
      </c>
      <c r="S188" s="0" t="str">
        <f aca="false">IFERROR(IF(OR(HLOOKUP($A188,#REF!,17,FALSE())&gt;2,HLOOKUP($A188,#REF!,17,FALSE())&lt;-2),"",#REF!),"")</f>
        <v/>
      </c>
      <c r="T188" s="0" t="str">
        <f aca="false">IFERROR(IF(OR(HLOOKUP($A188,#REF!,18,FALSE())&gt;2,HLOOKUP($A188,#REF!,18,FALSE())&lt;-2),"",#REF!),"")</f>
        <v/>
      </c>
      <c r="U188" s="0" t="str">
        <f aca="false">IFERROR(IF(OR(HLOOKUP($A188,#REF!,19,FALSE())&gt;2,HLOOKUP($A188,#REF!,19,FALSE())&lt;-2),"",#REF!),"")</f>
        <v/>
      </c>
      <c r="V188" s="0" t="n">
        <f aca="false">IFERROR(IF(AND(X188=0,Y188=0),0,1),0)</f>
        <v>1</v>
      </c>
      <c r="W188" s="3" t="str">
        <f aca="false">IFERROR(_xlfn.T.TEST(E188:M188,N188:U188,2,2),"")</f>
        <v/>
      </c>
      <c r="X188" s="0" t="str">
        <f aca="false">IFERROR(AVERAGE(E188:M188),"")</f>
        <v/>
      </c>
      <c r="Y188" s="0" t="str">
        <f aca="false">IFERROR(AVERAGE(N188:U188),"")</f>
        <v/>
      </c>
    </row>
    <row r="189" customFormat="false" ht="14.5" hidden="false" customHeight="false" outlineLevel="0" collapsed="false">
      <c r="A189" s="0" t="n">
        <v>193</v>
      </c>
      <c r="B189" s="0" t="s">
        <v>277</v>
      </c>
      <c r="C189" s="0" t="n">
        <v>95800</v>
      </c>
      <c r="D189" s="0" t="n">
        <v>1069</v>
      </c>
      <c r="E189" s="0" t="str">
        <f aca="false">IFERROR(IF(OR(HLOOKUP($A189,#REF!,3,FALSE())&gt;2,HLOOKUP(A189,#REF!,3,FALSE())&lt;-2),"",#REF!),"")</f>
        <v/>
      </c>
      <c r="F189" s="0" t="str">
        <f aca="false">IFERROR(IF(OR(HLOOKUP($A189,#REF!,4,FALSE())&gt;2,HLOOKUP($A189,#REF!,4,FALSE())&lt;-2),"",#REF!),"")</f>
        <v/>
      </c>
      <c r="G189" s="0" t="str">
        <f aca="false">IFERROR(IF(OR(HLOOKUP($A189,#REF!,5,FALSE())&gt;2,HLOOKUP($A189,#REF!,5,FALSE())&lt;-2),"",#REF!),"")</f>
        <v/>
      </c>
      <c r="H189" s="0" t="str">
        <f aca="false">IFERROR(IF(OR(HLOOKUP($A189,#REF!,6,FALSE())&gt;2,HLOOKUP($A189,#REF!,6,FALSE())&lt;-2),"",#REF!),"")</f>
        <v/>
      </c>
      <c r="I189" s="0" t="str">
        <f aca="false">IFERROR(IF(OR(HLOOKUP($A189,#REF!,7,FALSE())&gt;2,HLOOKUP($A189,#REF!,7,FALSE())&lt;-2),"",#REF!),"")</f>
        <v/>
      </c>
      <c r="J189" s="0" t="str">
        <f aca="false">IFERROR(IF(OR(HLOOKUP($A189,#REF!,8,FALSE())&gt;2,HLOOKUP($A189,#REF!,8,FALSE())&lt;-2),"",#REF!),"")</f>
        <v/>
      </c>
      <c r="K189" s="0" t="str">
        <f aca="false">IFERROR(IF(OR(HLOOKUP($A189,#REF!,9,FALSE())&gt;2,HLOOKUP($A189,#REF!,9,FALSE())&lt;-2),"",#REF!),"")</f>
        <v/>
      </c>
      <c r="L189" s="0" t="str">
        <f aca="false">IFERROR(IF(OR(HLOOKUP($A189,#REF!,10,FALSE())&gt;2,HLOOKUP($A189,#REF!,10,FALSE())&lt;-2),"",#REF!),"")</f>
        <v/>
      </c>
      <c r="M189" s="0" t="str">
        <f aca="false">IFERROR(IF(OR(HLOOKUP($A189,#REF!,11,FALSE())&gt;2,HLOOKUP($A189,#REF!,11,FALSE())&lt;-2),"",#REF!),"")</f>
        <v/>
      </c>
      <c r="N189" s="0" t="str">
        <f aca="false">IFERROR(IF(OR(HLOOKUP($A189,#REF!,12,FALSE())&gt;2,HLOOKUP($A189,#REF!,12,FALSE())&lt;-2),"",#REF!),"")</f>
        <v/>
      </c>
      <c r="O189" s="0" t="str">
        <f aca="false">IFERROR(IF(OR(HLOOKUP($A189,#REF!,13,FALSE())&gt;2,HLOOKUP($A189,#REF!,13,FALSE())&lt;-2),"",#REF!),"")</f>
        <v/>
      </c>
      <c r="P189" s="0" t="str">
        <f aca="false">IFERROR(IF(OR(HLOOKUP($A189,#REF!,14,FALSE())&gt;2,HLOOKUP($A189,#REF!,14,FALSE())&lt;-2),"",#REF!),"")</f>
        <v/>
      </c>
      <c r="Q189" s="0" t="str">
        <f aca="false">IFERROR(IF(OR(HLOOKUP($A189,#REF!,15,FALSE())&gt;2,HLOOKUP($A189,#REF!,15,FALSE())&lt;-2),"",#REF!),"")</f>
        <v/>
      </c>
      <c r="R189" s="0" t="str">
        <f aca="false">IFERROR(IF(OR(HLOOKUP($A189,#REF!,16,FALSE())&gt;2,HLOOKUP($A189,#REF!,16,FALSE())&lt;-2),"",#REF!),"")</f>
        <v/>
      </c>
      <c r="S189" s="0" t="str">
        <f aca="false">IFERROR(IF(OR(HLOOKUP($A189,#REF!,17,FALSE())&gt;2,HLOOKUP($A189,#REF!,17,FALSE())&lt;-2),"",#REF!),"")</f>
        <v/>
      </c>
      <c r="T189" s="0" t="str">
        <f aca="false">IFERROR(IF(OR(HLOOKUP($A189,#REF!,18,FALSE())&gt;2,HLOOKUP($A189,#REF!,18,FALSE())&lt;-2),"",#REF!),"")</f>
        <v/>
      </c>
      <c r="U189" s="0" t="str">
        <f aca="false">IFERROR(IF(OR(HLOOKUP($A189,#REF!,19,FALSE())&gt;2,HLOOKUP($A189,#REF!,19,FALSE())&lt;-2),"",#REF!),"")</f>
        <v/>
      </c>
      <c r="V189" s="0" t="n">
        <f aca="false">IFERROR(IF(AND(X189=0,Y189=0),0,1),0)</f>
        <v>1</v>
      </c>
      <c r="W189" s="3" t="str">
        <f aca="false">IFERROR(_xlfn.T.TEST(E189:M189,N189:U189,2,2),"")</f>
        <v/>
      </c>
      <c r="X189" s="0" t="str">
        <f aca="false">IFERROR(AVERAGE(E189:M189),"")</f>
        <v/>
      </c>
      <c r="Y189" s="0" t="str">
        <f aca="false">IFERROR(AVERAGE(N189:U189),"")</f>
        <v/>
      </c>
    </row>
    <row r="190" customFormat="false" ht="14.5" hidden="false" customHeight="false" outlineLevel="0" collapsed="false">
      <c r="A190" s="0" t="n">
        <v>194</v>
      </c>
      <c r="B190" s="0" t="s">
        <v>278</v>
      </c>
      <c r="C190" s="0" t="n">
        <v>77300</v>
      </c>
      <c r="D190" s="0" t="n">
        <v>290</v>
      </c>
      <c r="E190" s="0" t="str">
        <f aca="false">IFERROR(IF(OR(HLOOKUP($A190,#REF!,3,FALSE())&gt;2,HLOOKUP(A190,#REF!,3,FALSE())&lt;-2),"",#REF!),"")</f>
        <v/>
      </c>
      <c r="F190" s="0" t="str">
        <f aca="false">IFERROR(IF(OR(HLOOKUP($A190,#REF!,4,FALSE())&gt;2,HLOOKUP($A190,#REF!,4,FALSE())&lt;-2),"",#REF!),"")</f>
        <v/>
      </c>
      <c r="G190" s="0" t="str">
        <f aca="false">IFERROR(IF(OR(HLOOKUP($A190,#REF!,5,FALSE())&gt;2,HLOOKUP($A190,#REF!,5,FALSE())&lt;-2),"",#REF!),"")</f>
        <v/>
      </c>
      <c r="H190" s="0" t="str">
        <f aca="false">IFERROR(IF(OR(HLOOKUP($A190,#REF!,6,FALSE())&gt;2,HLOOKUP($A190,#REF!,6,FALSE())&lt;-2),"",#REF!),"")</f>
        <v/>
      </c>
      <c r="I190" s="0" t="str">
        <f aca="false">IFERROR(IF(OR(HLOOKUP($A190,#REF!,7,FALSE())&gt;2,HLOOKUP($A190,#REF!,7,FALSE())&lt;-2),"",#REF!),"")</f>
        <v/>
      </c>
      <c r="J190" s="0" t="str">
        <f aca="false">IFERROR(IF(OR(HLOOKUP($A190,#REF!,8,FALSE())&gt;2,HLOOKUP($A190,#REF!,8,FALSE())&lt;-2),"",#REF!),"")</f>
        <v/>
      </c>
      <c r="K190" s="0" t="str">
        <f aca="false">IFERROR(IF(OR(HLOOKUP($A190,#REF!,9,FALSE())&gt;2,HLOOKUP($A190,#REF!,9,FALSE())&lt;-2),"",#REF!),"")</f>
        <v/>
      </c>
      <c r="L190" s="0" t="str">
        <f aca="false">IFERROR(IF(OR(HLOOKUP($A190,#REF!,10,FALSE())&gt;2,HLOOKUP($A190,#REF!,10,FALSE())&lt;-2),"",#REF!),"")</f>
        <v/>
      </c>
      <c r="M190" s="0" t="str">
        <f aca="false">IFERROR(IF(OR(HLOOKUP($A190,#REF!,11,FALSE())&gt;2,HLOOKUP($A190,#REF!,11,FALSE())&lt;-2),"",#REF!),"")</f>
        <v/>
      </c>
      <c r="N190" s="0" t="str">
        <f aca="false">IFERROR(IF(OR(HLOOKUP($A190,#REF!,12,FALSE())&gt;2,HLOOKUP($A190,#REF!,12,FALSE())&lt;-2),"",#REF!),"")</f>
        <v/>
      </c>
      <c r="O190" s="0" t="str">
        <f aca="false">IFERROR(IF(OR(HLOOKUP($A190,#REF!,13,FALSE())&gt;2,HLOOKUP($A190,#REF!,13,FALSE())&lt;-2),"",#REF!),"")</f>
        <v/>
      </c>
      <c r="P190" s="0" t="str">
        <f aca="false">IFERROR(IF(OR(HLOOKUP($A190,#REF!,14,FALSE())&gt;2,HLOOKUP($A190,#REF!,14,FALSE())&lt;-2),"",#REF!),"")</f>
        <v/>
      </c>
      <c r="Q190" s="0" t="str">
        <f aca="false">IFERROR(IF(OR(HLOOKUP($A190,#REF!,15,FALSE())&gt;2,HLOOKUP($A190,#REF!,15,FALSE())&lt;-2),"",#REF!),"")</f>
        <v/>
      </c>
      <c r="R190" s="0" t="str">
        <f aca="false">IFERROR(IF(OR(HLOOKUP($A190,#REF!,16,FALSE())&gt;2,HLOOKUP($A190,#REF!,16,FALSE())&lt;-2),"",#REF!),"")</f>
        <v/>
      </c>
      <c r="S190" s="0" t="str">
        <f aca="false">IFERROR(IF(OR(HLOOKUP($A190,#REF!,17,FALSE())&gt;2,HLOOKUP($A190,#REF!,17,FALSE())&lt;-2),"",#REF!),"")</f>
        <v/>
      </c>
      <c r="T190" s="0" t="str">
        <f aca="false">IFERROR(IF(OR(HLOOKUP($A190,#REF!,18,FALSE())&gt;2,HLOOKUP($A190,#REF!,18,FALSE())&lt;-2),"",#REF!),"")</f>
        <v/>
      </c>
      <c r="U190" s="0" t="str">
        <f aca="false">IFERROR(IF(OR(HLOOKUP($A190,#REF!,19,FALSE())&gt;2,HLOOKUP($A190,#REF!,19,FALSE())&lt;-2),"",#REF!),"")</f>
        <v/>
      </c>
      <c r="V190" s="0" t="n">
        <f aca="false">IFERROR(IF(AND(X190=0,Y190=0),0,1),0)</f>
        <v>1</v>
      </c>
      <c r="W190" s="3" t="str">
        <f aca="false">IFERROR(_xlfn.T.TEST(E190:M190,N190:U190,2,2),"")</f>
        <v/>
      </c>
      <c r="X190" s="0" t="str">
        <f aca="false">IFERROR(AVERAGE(E190:M190),"")</f>
        <v/>
      </c>
      <c r="Y190" s="0" t="str">
        <f aca="false">IFERROR(AVERAGE(N190:U190),"")</f>
        <v/>
      </c>
    </row>
    <row r="191" customFormat="false" ht="14.5" hidden="false" customHeight="false" outlineLevel="0" collapsed="false">
      <c r="A191" s="0" t="n">
        <v>195</v>
      </c>
      <c r="B191" s="0" t="s">
        <v>279</v>
      </c>
      <c r="C191" s="0" t="n">
        <v>20300</v>
      </c>
      <c r="D191" s="0" t="n">
        <v>972</v>
      </c>
      <c r="E191" s="0" t="str">
        <f aca="false">IFERROR(IF(OR(HLOOKUP($A191,#REF!,3,FALSE())&gt;2,HLOOKUP(A191,#REF!,3,FALSE())&lt;-2),"",#REF!),"")</f>
        <v/>
      </c>
      <c r="F191" s="0" t="str">
        <f aca="false">IFERROR(IF(OR(HLOOKUP($A191,#REF!,4,FALSE())&gt;2,HLOOKUP($A191,#REF!,4,FALSE())&lt;-2),"",#REF!),"")</f>
        <v/>
      </c>
      <c r="G191" s="0" t="str">
        <f aca="false">IFERROR(IF(OR(HLOOKUP($A191,#REF!,5,FALSE())&gt;2,HLOOKUP($A191,#REF!,5,FALSE())&lt;-2),"",#REF!),"")</f>
        <v/>
      </c>
      <c r="H191" s="0" t="str">
        <f aca="false">IFERROR(IF(OR(HLOOKUP($A191,#REF!,6,FALSE())&gt;2,HLOOKUP($A191,#REF!,6,FALSE())&lt;-2),"",#REF!),"")</f>
        <v/>
      </c>
      <c r="I191" s="0" t="str">
        <f aca="false">IFERROR(IF(OR(HLOOKUP($A191,#REF!,7,FALSE())&gt;2,HLOOKUP($A191,#REF!,7,FALSE())&lt;-2),"",#REF!),"")</f>
        <v/>
      </c>
      <c r="J191" s="0" t="str">
        <f aca="false">IFERROR(IF(OR(HLOOKUP($A191,#REF!,8,FALSE())&gt;2,HLOOKUP($A191,#REF!,8,FALSE())&lt;-2),"",#REF!),"")</f>
        <v/>
      </c>
      <c r="K191" s="0" t="str">
        <f aca="false">IFERROR(IF(OR(HLOOKUP($A191,#REF!,9,FALSE())&gt;2,HLOOKUP($A191,#REF!,9,FALSE())&lt;-2),"",#REF!),"")</f>
        <v/>
      </c>
      <c r="L191" s="0" t="str">
        <f aca="false">IFERROR(IF(OR(HLOOKUP($A191,#REF!,10,FALSE())&gt;2,HLOOKUP($A191,#REF!,10,FALSE())&lt;-2),"",#REF!),"")</f>
        <v/>
      </c>
      <c r="M191" s="0" t="str">
        <f aca="false">IFERROR(IF(OR(HLOOKUP($A191,#REF!,11,FALSE())&gt;2,HLOOKUP($A191,#REF!,11,FALSE())&lt;-2),"",#REF!),"")</f>
        <v/>
      </c>
      <c r="N191" s="0" t="str">
        <f aca="false">IFERROR(IF(OR(HLOOKUP($A191,#REF!,12,FALSE())&gt;2,HLOOKUP($A191,#REF!,12,FALSE())&lt;-2),"",#REF!),"")</f>
        <v/>
      </c>
      <c r="O191" s="0" t="str">
        <f aca="false">IFERROR(IF(OR(HLOOKUP($A191,#REF!,13,FALSE())&gt;2,HLOOKUP($A191,#REF!,13,FALSE())&lt;-2),"",#REF!),"")</f>
        <v/>
      </c>
      <c r="P191" s="0" t="str">
        <f aca="false">IFERROR(IF(OR(HLOOKUP($A191,#REF!,14,FALSE())&gt;2,HLOOKUP($A191,#REF!,14,FALSE())&lt;-2),"",#REF!),"")</f>
        <v/>
      </c>
      <c r="Q191" s="0" t="str">
        <f aca="false">IFERROR(IF(OR(HLOOKUP($A191,#REF!,15,FALSE())&gt;2,HLOOKUP($A191,#REF!,15,FALSE())&lt;-2),"",#REF!),"")</f>
        <v/>
      </c>
      <c r="R191" s="0" t="str">
        <f aca="false">IFERROR(IF(OR(HLOOKUP($A191,#REF!,16,FALSE())&gt;2,HLOOKUP($A191,#REF!,16,FALSE())&lt;-2),"",#REF!),"")</f>
        <v/>
      </c>
      <c r="S191" s="0" t="str">
        <f aca="false">IFERROR(IF(OR(HLOOKUP($A191,#REF!,17,FALSE())&gt;2,HLOOKUP($A191,#REF!,17,FALSE())&lt;-2),"",#REF!),"")</f>
        <v/>
      </c>
      <c r="T191" s="0" t="str">
        <f aca="false">IFERROR(IF(OR(HLOOKUP($A191,#REF!,18,FALSE())&gt;2,HLOOKUP($A191,#REF!,18,FALSE())&lt;-2),"",#REF!),"")</f>
        <v/>
      </c>
      <c r="U191" s="0" t="str">
        <f aca="false">IFERROR(IF(OR(HLOOKUP($A191,#REF!,19,FALSE())&gt;2,HLOOKUP($A191,#REF!,19,FALSE())&lt;-2),"",#REF!),"")</f>
        <v/>
      </c>
      <c r="V191" s="0" t="n">
        <f aca="false">IFERROR(IF(AND(X191=0,Y191=0),0,1),0)</f>
        <v>1</v>
      </c>
      <c r="W191" s="3" t="str">
        <f aca="false">IFERROR(_xlfn.T.TEST(E191:M191,N191:U191,2,2),"")</f>
        <v/>
      </c>
      <c r="X191" s="0" t="str">
        <f aca="false">IFERROR(AVERAGE(E191:M191),"")</f>
        <v/>
      </c>
      <c r="Y191" s="0" t="str">
        <f aca="false">IFERROR(AVERAGE(N191:U191),"")</f>
        <v/>
      </c>
    </row>
    <row r="192" customFormat="false" ht="14.5" hidden="false" customHeight="false" outlineLevel="0" collapsed="false">
      <c r="A192" s="0" t="n">
        <v>196</v>
      </c>
      <c r="B192" s="0" t="s">
        <v>280</v>
      </c>
      <c r="C192" s="0" t="n">
        <v>30800</v>
      </c>
      <c r="D192" s="0" t="n">
        <v>151</v>
      </c>
      <c r="E192" s="0" t="str">
        <f aca="false">IFERROR(IF(OR(HLOOKUP($A192,#REF!,3,FALSE())&gt;2,HLOOKUP(A192,#REF!,3,FALSE())&lt;-2),"",#REF!),"")</f>
        <v/>
      </c>
      <c r="F192" s="0" t="str">
        <f aca="false">IFERROR(IF(OR(HLOOKUP($A192,#REF!,4,FALSE())&gt;2,HLOOKUP($A192,#REF!,4,FALSE())&lt;-2),"",#REF!),"")</f>
        <v/>
      </c>
      <c r="G192" s="0" t="str">
        <f aca="false">IFERROR(IF(OR(HLOOKUP($A192,#REF!,5,FALSE())&gt;2,HLOOKUP($A192,#REF!,5,FALSE())&lt;-2),"",#REF!),"")</f>
        <v/>
      </c>
      <c r="H192" s="0" t="str">
        <f aca="false">IFERROR(IF(OR(HLOOKUP($A192,#REF!,6,FALSE())&gt;2,HLOOKUP($A192,#REF!,6,FALSE())&lt;-2),"",#REF!),"")</f>
        <v/>
      </c>
      <c r="I192" s="0" t="str">
        <f aca="false">IFERROR(IF(OR(HLOOKUP($A192,#REF!,7,FALSE())&gt;2,HLOOKUP($A192,#REF!,7,FALSE())&lt;-2),"",#REF!),"")</f>
        <v/>
      </c>
      <c r="J192" s="0" t="str">
        <f aca="false">IFERROR(IF(OR(HLOOKUP($A192,#REF!,8,FALSE())&gt;2,HLOOKUP($A192,#REF!,8,FALSE())&lt;-2),"",#REF!),"")</f>
        <v/>
      </c>
      <c r="K192" s="0" t="str">
        <f aca="false">IFERROR(IF(OR(HLOOKUP($A192,#REF!,9,FALSE())&gt;2,HLOOKUP($A192,#REF!,9,FALSE())&lt;-2),"",#REF!),"")</f>
        <v/>
      </c>
      <c r="L192" s="0" t="str">
        <f aca="false">IFERROR(IF(OR(HLOOKUP($A192,#REF!,10,FALSE())&gt;2,HLOOKUP($A192,#REF!,10,FALSE())&lt;-2),"",#REF!),"")</f>
        <v/>
      </c>
      <c r="M192" s="0" t="str">
        <f aca="false">IFERROR(IF(OR(HLOOKUP($A192,#REF!,11,FALSE())&gt;2,HLOOKUP($A192,#REF!,11,FALSE())&lt;-2),"",#REF!),"")</f>
        <v/>
      </c>
      <c r="N192" s="0" t="str">
        <f aca="false">IFERROR(IF(OR(HLOOKUP($A192,#REF!,12,FALSE())&gt;2,HLOOKUP($A192,#REF!,12,FALSE())&lt;-2),"",#REF!),"")</f>
        <v/>
      </c>
      <c r="O192" s="0" t="str">
        <f aca="false">IFERROR(IF(OR(HLOOKUP($A192,#REF!,13,FALSE())&gt;2,HLOOKUP($A192,#REF!,13,FALSE())&lt;-2),"",#REF!),"")</f>
        <v/>
      </c>
      <c r="P192" s="0" t="str">
        <f aca="false">IFERROR(IF(OR(HLOOKUP($A192,#REF!,14,FALSE())&gt;2,HLOOKUP($A192,#REF!,14,FALSE())&lt;-2),"",#REF!),"")</f>
        <v/>
      </c>
      <c r="Q192" s="0" t="str">
        <f aca="false">IFERROR(IF(OR(HLOOKUP($A192,#REF!,15,FALSE())&gt;2,HLOOKUP($A192,#REF!,15,FALSE())&lt;-2),"",#REF!),"")</f>
        <v/>
      </c>
      <c r="R192" s="0" t="str">
        <f aca="false">IFERROR(IF(OR(HLOOKUP($A192,#REF!,16,FALSE())&gt;2,HLOOKUP($A192,#REF!,16,FALSE())&lt;-2),"",#REF!),"")</f>
        <v/>
      </c>
      <c r="S192" s="0" t="str">
        <f aca="false">IFERROR(IF(OR(HLOOKUP($A192,#REF!,17,FALSE())&gt;2,HLOOKUP($A192,#REF!,17,FALSE())&lt;-2),"",#REF!),"")</f>
        <v/>
      </c>
      <c r="T192" s="0" t="str">
        <f aca="false">IFERROR(IF(OR(HLOOKUP($A192,#REF!,18,FALSE())&gt;2,HLOOKUP($A192,#REF!,18,FALSE())&lt;-2),"",#REF!),"")</f>
        <v/>
      </c>
      <c r="U192" s="0" t="str">
        <f aca="false">IFERROR(IF(OR(HLOOKUP($A192,#REF!,19,FALSE())&gt;2,HLOOKUP($A192,#REF!,19,FALSE())&lt;-2),"",#REF!),"")</f>
        <v/>
      </c>
      <c r="V192" s="0" t="n">
        <f aca="false">IFERROR(IF(AND(X192=0,Y192=0),0,1),0)</f>
        <v>1</v>
      </c>
      <c r="W192" s="3" t="str">
        <f aca="false">IFERROR(_xlfn.T.TEST(E192:M192,N192:U192,2,2),"")</f>
        <v/>
      </c>
      <c r="X192" s="0" t="str">
        <f aca="false">IFERROR(AVERAGE(E192:M192),"")</f>
        <v/>
      </c>
      <c r="Y192" s="0" t="str">
        <f aca="false">IFERROR(AVERAGE(N192:U192),"")</f>
        <v/>
      </c>
    </row>
    <row r="193" customFormat="false" ht="14.5" hidden="false" customHeight="false" outlineLevel="0" collapsed="false">
      <c r="A193" s="0" t="n">
        <v>197</v>
      </c>
      <c r="B193" s="0" t="s">
        <v>281</v>
      </c>
      <c r="C193" s="0" t="n">
        <v>84300</v>
      </c>
      <c r="D193" s="0" t="n">
        <v>165</v>
      </c>
      <c r="E193" s="0" t="str">
        <f aca="false">IFERROR(IF(OR(HLOOKUP($A193,#REF!,3,FALSE())&gt;2,HLOOKUP(A193,#REF!,3,FALSE())&lt;-2),"",#REF!),"")</f>
        <v/>
      </c>
      <c r="F193" s="0" t="str">
        <f aca="false">IFERROR(IF(OR(HLOOKUP($A193,#REF!,4,FALSE())&gt;2,HLOOKUP($A193,#REF!,4,FALSE())&lt;-2),"",#REF!),"")</f>
        <v/>
      </c>
      <c r="G193" s="0" t="str">
        <f aca="false">IFERROR(IF(OR(HLOOKUP($A193,#REF!,5,FALSE())&gt;2,HLOOKUP($A193,#REF!,5,FALSE())&lt;-2),"",#REF!),"")</f>
        <v/>
      </c>
      <c r="H193" s="0" t="str">
        <f aca="false">IFERROR(IF(OR(HLOOKUP($A193,#REF!,6,FALSE())&gt;2,HLOOKUP($A193,#REF!,6,FALSE())&lt;-2),"",#REF!),"")</f>
        <v/>
      </c>
      <c r="I193" s="0" t="str">
        <f aca="false">IFERROR(IF(OR(HLOOKUP($A193,#REF!,7,FALSE())&gt;2,HLOOKUP($A193,#REF!,7,FALSE())&lt;-2),"",#REF!),"")</f>
        <v/>
      </c>
      <c r="J193" s="0" t="str">
        <f aca="false">IFERROR(IF(OR(HLOOKUP($A193,#REF!,8,FALSE())&gt;2,HLOOKUP($A193,#REF!,8,FALSE())&lt;-2),"",#REF!),"")</f>
        <v/>
      </c>
      <c r="K193" s="0" t="str">
        <f aca="false">IFERROR(IF(OR(HLOOKUP($A193,#REF!,9,FALSE())&gt;2,HLOOKUP($A193,#REF!,9,FALSE())&lt;-2),"",#REF!),"")</f>
        <v/>
      </c>
      <c r="L193" s="0" t="str">
        <f aca="false">IFERROR(IF(OR(HLOOKUP($A193,#REF!,10,FALSE())&gt;2,HLOOKUP($A193,#REF!,10,FALSE())&lt;-2),"",#REF!),"")</f>
        <v/>
      </c>
      <c r="M193" s="0" t="str">
        <f aca="false">IFERROR(IF(OR(HLOOKUP($A193,#REF!,11,FALSE())&gt;2,HLOOKUP($A193,#REF!,11,FALSE())&lt;-2),"",#REF!),"")</f>
        <v/>
      </c>
      <c r="N193" s="0" t="str">
        <f aca="false">IFERROR(IF(OR(HLOOKUP($A193,#REF!,12,FALSE())&gt;2,HLOOKUP($A193,#REF!,12,FALSE())&lt;-2),"",#REF!),"")</f>
        <v/>
      </c>
      <c r="O193" s="0" t="str">
        <f aca="false">IFERROR(IF(OR(HLOOKUP($A193,#REF!,13,FALSE())&gt;2,HLOOKUP($A193,#REF!,13,FALSE())&lt;-2),"",#REF!),"")</f>
        <v/>
      </c>
      <c r="P193" s="0" t="str">
        <f aca="false">IFERROR(IF(OR(HLOOKUP($A193,#REF!,14,FALSE())&gt;2,HLOOKUP($A193,#REF!,14,FALSE())&lt;-2),"",#REF!),"")</f>
        <v/>
      </c>
      <c r="Q193" s="0" t="str">
        <f aca="false">IFERROR(IF(OR(HLOOKUP($A193,#REF!,15,FALSE())&gt;2,HLOOKUP($A193,#REF!,15,FALSE())&lt;-2),"",#REF!),"")</f>
        <v/>
      </c>
      <c r="R193" s="0" t="str">
        <f aca="false">IFERROR(IF(OR(HLOOKUP($A193,#REF!,16,FALSE())&gt;2,HLOOKUP($A193,#REF!,16,FALSE())&lt;-2),"",#REF!),"")</f>
        <v/>
      </c>
      <c r="S193" s="0" t="str">
        <f aca="false">IFERROR(IF(OR(HLOOKUP($A193,#REF!,17,FALSE())&gt;2,HLOOKUP($A193,#REF!,17,FALSE())&lt;-2),"",#REF!),"")</f>
        <v/>
      </c>
      <c r="T193" s="0" t="str">
        <f aca="false">IFERROR(IF(OR(HLOOKUP($A193,#REF!,18,FALSE())&gt;2,HLOOKUP($A193,#REF!,18,FALSE())&lt;-2),"",#REF!),"")</f>
        <v/>
      </c>
      <c r="U193" s="0" t="str">
        <f aca="false">IFERROR(IF(OR(HLOOKUP($A193,#REF!,19,FALSE())&gt;2,HLOOKUP($A193,#REF!,19,FALSE())&lt;-2),"",#REF!),"")</f>
        <v/>
      </c>
      <c r="V193" s="0" t="n">
        <f aca="false">IFERROR(IF(AND(X193=0,Y193=0),0,1),0)</f>
        <v>1</v>
      </c>
      <c r="W193" s="3" t="str">
        <f aca="false">IFERROR(_xlfn.T.TEST(E193:M193,N193:U193,2,2),"")</f>
        <v/>
      </c>
      <c r="X193" s="0" t="str">
        <f aca="false">IFERROR(AVERAGE(E193:M193),"")</f>
        <v/>
      </c>
      <c r="Y193" s="0" t="str">
        <f aca="false">IFERROR(AVERAGE(N193:U193),"")</f>
        <v/>
      </c>
    </row>
    <row r="194" customFormat="false" ht="14.5" hidden="false" customHeight="false" outlineLevel="0" collapsed="false">
      <c r="A194" s="0" t="n">
        <v>198</v>
      </c>
      <c r="B194" s="0" t="s">
        <v>282</v>
      </c>
      <c r="C194" s="0" t="n">
        <v>107700</v>
      </c>
      <c r="D194" s="0" t="n">
        <v>784</v>
      </c>
      <c r="E194" s="0" t="str">
        <f aca="false">IFERROR(IF(OR(HLOOKUP($A194,#REF!,3,FALSE())&gt;2,HLOOKUP(A194,#REF!,3,FALSE())&lt;-2),"",#REF!),"")</f>
        <v/>
      </c>
      <c r="F194" s="0" t="str">
        <f aca="false">IFERROR(IF(OR(HLOOKUP($A194,#REF!,4,FALSE())&gt;2,HLOOKUP($A194,#REF!,4,FALSE())&lt;-2),"",#REF!),"")</f>
        <v/>
      </c>
      <c r="G194" s="0" t="str">
        <f aca="false">IFERROR(IF(OR(HLOOKUP($A194,#REF!,5,FALSE())&gt;2,HLOOKUP($A194,#REF!,5,FALSE())&lt;-2),"",#REF!),"")</f>
        <v/>
      </c>
      <c r="H194" s="0" t="str">
        <f aca="false">IFERROR(IF(OR(HLOOKUP($A194,#REF!,6,FALSE())&gt;2,HLOOKUP($A194,#REF!,6,FALSE())&lt;-2),"",#REF!),"")</f>
        <v/>
      </c>
      <c r="I194" s="0" t="str">
        <f aca="false">IFERROR(IF(OR(HLOOKUP($A194,#REF!,7,FALSE())&gt;2,HLOOKUP($A194,#REF!,7,FALSE())&lt;-2),"",#REF!),"")</f>
        <v/>
      </c>
      <c r="J194" s="0" t="str">
        <f aca="false">IFERROR(IF(OR(HLOOKUP($A194,#REF!,8,FALSE())&gt;2,HLOOKUP($A194,#REF!,8,FALSE())&lt;-2),"",#REF!),"")</f>
        <v/>
      </c>
      <c r="K194" s="0" t="str">
        <f aca="false">IFERROR(IF(OR(HLOOKUP($A194,#REF!,9,FALSE())&gt;2,HLOOKUP($A194,#REF!,9,FALSE())&lt;-2),"",#REF!),"")</f>
        <v/>
      </c>
      <c r="L194" s="0" t="str">
        <f aca="false">IFERROR(IF(OR(HLOOKUP($A194,#REF!,10,FALSE())&gt;2,HLOOKUP($A194,#REF!,10,FALSE())&lt;-2),"",#REF!),"")</f>
        <v/>
      </c>
      <c r="M194" s="0" t="str">
        <f aca="false">IFERROR(IF(OR(HLOOKUP($A194,#REF!,11,FALSE())&gt;2,HLOOKUP($A194,#REF!,11,FALSE())&lt;-2),"",#REF!),"")</f>
        <v/>
      </c>
      <c r="N194" s="0" t="str">
        <f aca="false">IFERROR(IF(OR(HLOOKUP($A194,#REF!,12,FALSE())&gt;2,HLOOKUP($A194,#REF!,12,FALSE())&lt;-2),"",#REF!),"")</f>
        <v/>
      </c>
      <c r="O194" s="0" t="str">
        <f aca="false">IFERROR(IF(OR(HLOOKUP($A194,#REF!,13,FALSE())&gt;2,HLOOKUP($A194,#REF!,13,FALSE())&lt;-2),"",#REF!),"")</f>
        <v/>
      </c>
      <c r="P194" s="0" t="str">
        <f aca="false">IFERROR(IF(OR(HLOOKUP($A194,#REF!,14,FALSE())&gt;2,HLOOKUP($A194,#REF!,14,FALSE())&lt;-2),"",#REF!),"")</f>
        <v/>
      </c>
      <c r="Q194" s="0" t="str">
        <f aca="false">IFERROR(IF(OR(HLOOKUP($A194,#REF!,15,FALSE())&gt;2,HLOOKUP($A194,#REF!,15,FALSE())&lt;-2),"",#REF!),"")</f>
        <v/>
      </c>
      <c r="R194" s="0" t="str">
        <f aca="false">IFERROR(IF(OR(HLOOKUP($A194,#REF!,16,FALSE())&gt;2,HLOOKUP($A194,#REF!,16,FALSE())&lt;-2),"",#REF!),"")</f>
        <v/>
      </c>
      <c r="S194" s="0" t="str">
        <f aca="false">IFERROR(IF(OR(HLOOKUP($A194,#REF!,17,FALSE())&gt;2,HLOOKUP($A194,#REF!,17,FALSE())&lt;-2),"",#REF!),"")</f>
        <v/>
      </c>
      <c r="T194" s="0" t="str">
        <f aca="false">IFERROR(IF(OR(HLOOKUP($A194,#REF!,18,FALSE())&gt;2,HLOOKUP($A194,#REF!,18,FALSE())&lt;-2),"",#REF!),"")</f>
        <v/>
      </c>
      <c r="U194" s="0" t="str">
        <f aca="false">IFERROR(IF(OR(HLOOKUP($A194,#REF!,19,FALSE())&gt;2,HLOOKUP($A194,#REF!,19,FALSE())&lt;-2),"",#REF!),"")</f>
        <v/>
      </c>
      <c r="V194" s="0" t="n">
        <f aca="false">IFERROR(IF(AND(X194=0,Y194=0),0,1),0)</f>
        <v>1</v>
      </c>
      <c r="W194" s="3" t="str">
        <f aca="false">IFERROR(_xlfn.T.TEST(E194:M194,N194:U194,2,2),"")</f>
        <v/>
      </c>
      <c r="X194" s="0" t="str">
        <f aca="false">IFERROR(AVERAGE(E194:M194),"")</f>
        <v/>
      </c>
      <c r="Y194" s="0" t="str">
        <f aca="false">IFERROR(AVERAGE(N194:U194),"")</f>
        <v/>
      </c>
    </row>
    <row r="195" customFormat="false" ht="14.5" hidden="false" customHeight="false" outlineLevel="0" collapsed="false">
      <c r="A195" s="0" t="n">
        <v>199</v>
      </c>
      <c r="B195" s="0" t="s">
        <v>283</v>
      </c>
      <c r="C195" s="0" t="n">
        <v>31500</v>
      </c>
      <c r="D195" s="0" t="n">
        <v>159</v>
      </c>
      <c r="E195" s="0" t="str">
        <f aca="false">IFERROR(IF(OR(HLOOKUP($A195,#REF!,3,FALSE())&gt;2,HLOOKUP(A195,#REF!,3,FALSE())&lt;-2),"",#REF!),"")</f>
        <v/>
      </c>
      <c r="F195" s="0" t="str">
        <f aca="false">IFERROR(IF(OR(HLOOKUP($A195,#REF!,4,FALSE())&gt;2,HLOOKUP($A195,#REF!,4,FALSE())&lt;-2),"",#REF!),"")</f>
        <v/>
      </c>
      <c r="G195" s="0" t="str">
        <f aca="false">IFERROR(IF(OR(HLOOKUP($A195,#REF!,5,FALSE())&gt;2,HLOOKUP($A195,#REF!,5,FALSE())&lt;-2),"",#REF!),"")</f>
        <v/>
      </c>
      <c r="H195" s="0" t="str">
        <f aca="false">IFERROR(IF(OR(HLOOKUP($A195,#REF!,6,FALSE())&gt;2,HLOOKUP($A195,#REF!,6,FALSE())&lt;-2),"",#REF!),"")</f>
        <v/>
      </c>
      <c r="I195" s="0" t="str">
        <f aca="false">IFERROR(IF(OR(HLOOKUP($A195,#REF!,7,FALSE())&gt;2,HLOOKUP($A195,#REF!,7,FALSE())&lt;-2),"",#REF!),"")</f>
        <v/>
      </c>
      <c r="J195" s="0" t="str">
        <f aca="false">IFERROR(IF(OR(HLOOKUP($A195,#REF!,8,FALSE())&gt;2,HLOOKUP($A195,#REF!,8,FALSE())&lt;-2),"",#REF!),"")</f>
        <v/>
      </c>
      <c r="K195" s="0" t="str">
        <f aca="false">IFERROR(IF(OR(HLOOKUP($A195,#REF!,9,FALSE())&gt;2,HLOOKUP($A195,#REF!,9,FALSE())&lt;-2),"",#REF!),"")</f>
        <v/>
      </c>
      <c r="L195" s="0" t="str">
        <f aca="false">IFERROR(IF(OR(HLOOKUP($A195,#REF!,10,FALSE())&gt;2,HLOOKUP($A195,#REF!,10,FALSE())&lt;-2),"",#REF!),"")</f>
        <v/>
      </c>
      <c r="M195" s="0" t="str">
        <f aca="false">IFERROR(IF(OR(HLOOKUP($A195,#REF!,11,FALSE())&gt;2,HLOOKUP($A195,#REF!,11,FALSE())&lt;-2),"",#REF!),"")</f>
        <v/>
      </c>
      <c r="N195" s="0" t="str">
        <f aca="false">IFERROR(IF(OR(HLOOKUP($A195,#REF!,12,FALSE())&gt;2,HLOOKUP($A195,#REF!,12,FALSE())&lt;-2),"",#REF!),"")</f>
        <v/>
      </c>
      <c r="O195" s="0" t="str">
        <f aca="false">IFERROR(IF(OR(HLOOKUP($A195,#REF!,13,FALSE())&gt;2,HLOOKUP($A195,#REF!,13,FALSE())&lt;-2),"",#REF!),"")</f>
        <v/>
      </c>
      <c r="P195" s="0" t="str">
        <f aca="false">IFERROR(IF(OR(HLOOKUP($A195,#REF!,14,FALSE())&gt;2,HLOOKUP($A195,#REF!,14,FALSE())&lt;-2),"",#REF!),"")</f>
        <v/>
      </c>
      <c r="Q195" s="0" t="str">
        <f aca="false">IFERROR(IF(OR(HLOOKUP($A195,#REF!,15,FALSE())&gt;2,HLOOKUP($A195,#REF!,15,FALSE())&lt;-2),"",#REF!),"")</f>
        <v/>
      </c>
      <c r="R195" s="0" t="str">
        <f aca="false">IFERROR(IF(OR(HLOOKUP($A195,#REF!,16,FALSE())&gt;2,HLOOKUP($A195,#REF!,16,FALSE())&lt;-2),"",#REF!),"")</f>
        <v/>
      </c>
      <c r="S195" s="0" t="str">
        <f aca="false">IFERROR(IF(OR(HLOOKUP($A195,#REF!,17,FALSE())&gt;2,HLOOKUP($A195,#REF!,17,FALSE())&lt;-2),"",#REF!),"")</f>
        <v/>
      </c>
      <c r="T195" s="0" t="str">
        <f aca="false">IFERROR(IF(OR(HLOOKUP($A195,#REF!,18,FALSE())&gt;2,HLOOKUP($A195,#REF!,18,FALSE())&lt;-2),"",#REF!),"")</f>
        <v/>
      </c>
      <c r="U195" s="0" t="str">
        <f aca="false">IFERROR(IF(OR(HLOOKUP($A195,#REF!,19,FALSE())&gt;2,HLOOKUP($A195,#REF!,19,FALSE())&lt;-2),"",#REF!),"")</f>
        <v/>
      </c>
      <c r="V195" s="0" t="n">
        <f aca="false">IFERROR(IF(AND(X195=0,Y195=0),0,1),0)</f>
        <v>1</v>
      </c>
      <c r="W195" s="3" t="str">
        <f aca="false">IFERROR(_xlfn.T.TEST(E195:M195,N195:U195,2,2),"")</f>
        <v/>
      </c>
      <c r="X195" s="0" t="str">
        <f aca="false">IFERROR(AVERAGE(E195:M195),"")</f>
        <v/>
      </c>
      <c r="Y195" s="0" t="str">
        <f aca="false">IFERROR(AVERAGE(N195:U195),"")</f>
        <v/>
      </c>
    </row>
    <row r="196" customFormat="false" ht="14.5" hidden="false" customHeight="false" outlineLevel="0" collapsed="false">
      <c r="A196" s="0" t="n">
        <v>200</v>
      </c>
      <c r="B196" s="0" t="s">
        <v>284</v>
      </c>
      <c r="C196" s="0" t="n">
        <v>34900</v>
      </c>
      <c r="D196" s="0" t="n">
        <v>639</v>
      </c>
      <c r="E196" s="0" t="str">
        <f aca="false">IFERROR(IF(OR(HLOOKUP($A196,#REF!,3,FALSE())&gt;2,HLOOKUP(A196,#REF!,3,FALSE())&lt;-2),"",#REF!),"")</f>
        <v/>
      </c>
      <c r="F196" s="0" t="str">
        <f aca="false">IFERROR(IF(OR(HLOOKUP($A196,#REF!,4,FALSE())&gt;2,HLOOKUP($A196,#REF!,4,FALSE())&lt;-2),"",#REF!),"")</f>
        <v/>
      </c>
      <c r="G196" s="0" t="str">
        <f aca="false">IFERROR(IF(OR(HLOOKUP($A196,#REF!,5,FALSE())&gt;2,HLOOKUP($A196,#REF!,5,FALSE())&lt;-2),"",#REF!),"")</f>
        <v/>
      </c>
      <c r="H196" s="0" t="str">
        <f aca="false">IFERROR(IF(OR(HLOOKUP($A196,#REF!,6,FALSE())&gt;2,HLOOKUP($A196,#REF!,6,FALSE())&lt;-2),"",#REF!),"")</f>
        <v/>
      </c>
      <c r="I196" s="0" t="str">
        <f aca="false">IFERROR(IF(OR(HLOOKUP($A196,#REF!,7,FALSE())&gt;2,HLOOKUP($A196,#REF!,7,FALSE())&lt;-2),"",#REF!),"")</f>
        <v/>
      </c>
      <c r="J196" s="0" t="str">
        <f aca="false">IFERROR(IF(OR(HLOOKUP($A196,#REF!,8,FALSE())&gt;2,HLOOKUP($A196,#REF!,8,FALSE())&lt;-2),"",#REF!),"")</f>
        <v/>
      </c>
      <c r="K196" s="0" t="str">
        <f aca="false">IFERROR(IF(OR(HLOOKUP($A196,#REF!,9,FALSE())&gt;2,HLOOKUP($A196,#REF!,9,FALSE())&lt;-2),"",#REF!),"")</f>
        <v/>
      </c>
      <c r="L196" s="0" t="str">
        <f aca="false">IFERROR(IF(OR(HLOOKUP($A196,#REF!,10,FALSE())&gt;2,HLOOKUP($A196,#REF!,10,FALSE())&lt;-2),"",#REF!),"")</f>
        <v/>
      </c>
      <c r="M196" s="0" t="str">
        <f aca="false">IFERROR(IF(OR(HLOOKUP($A196,#REF!,11,FALSE())&gt;2,HLOOKUP($A196,#REF!,11,FALSE())&lt;-2),"",#REF!),"")</f>
        <v/>
      </c>
      <c r="N196" s="0" t="str">
        <f aca="false">IFERROR(IF(OR(HLOOKUP($A196,#REF!,12,FALSE())&gt;2,HLOOKUP($A196,#REF!,12,FALSE())&lt;-2),"",#REF!),"")</f>
        <v/>
      </c>
      <c r="O196" s="0" t="str">
        <f aca="false">IFERROR(IF(OR(HLOOKUP($A196,#REF!,13,FALSE())&gt;2,HLOOKUP($A196,#REF!,13,FALSE())&lt;-2),"",#REF!),"")</f>
        <v/>
      </c>
      <c r="P196" s="0" t="str">
        <f aca="false">IFERROR(IF(OR(HLOOKUP($A196,#REF!,14,FALSE())&gt;2,HLOOKUP($A196,#REF!,14,FALSE())&lt;-2),"",#REF!),"")</f>
        <v/>
      </c>
      <c r="Q196" s="0" t="str">
        <f aca="false">IFERROR(IF(OR(HLOOKUP($A196,#REF!,15,FALSE())&gt;2,HLOOKUP($A196,#REF!,15,FALSE())&lt;-2),"",#REF!),"")</f>
        <v/>
      </c>
      <c r="R196" s="0" t="str">
        <f aca="false">IFERROR(IF(OR(HLOOKUP($A196,#REF!,16,FALSE())&gt;2,HLOOKUP($A196,#REF!,16,FALSE())&lt;-2),"",#REF!),"")</f>
        <v/>
      </c>
      <c r="S196" s="0" t="str">
        <f aca="false">IFERROR(IF(OR(HLOOKUP($A196,#REF!,17,FALSE())&gt;2,HLOOKUP($A196,#REF!,17,FALSE())&lt;-2),"",#REF!),"")</f>
        <v/>
      </c>
      <c r="T196" s="0" t="str">
        <f aca="false">IFERROR(IF(OR(HLOOKUP($A196,#REF!,18,FALSE())&gt;2,HLOOKUP($A196,#REF!,18,FALSE())&lt;-2),"",#REF!),"")</f>
        <v/>
      </c>
      <c r="U196" s="0" t="str">
        <f aca="false">IFERROR(IF(OR(HLOOKUP($A196,#REF!,19,FALSE())&gt;2,HLOOKUP($A196,#REF!,19,FALSE())&lt;-2),"",#REF!),"")</f>
        <v/>
      </c>
      <c r="V196" s="0" t="n">
        <f aca="false">IFERROR(IF(AND(X196=0,Y196=0),0,1),0)</f>
        <v>1</v>
      </c>
      <c r="W196" s="3" t="str">
        <f aca="false">IFERROR(_xlfn.T.TEST(E196:M196,N196:U196,2,2),"")</f>
        <v/>
      </c>
      <c r="X196" s="0" t="str">
        <f aca="false">IFERROR(AVERAGE(E196:M196),"")</f>
        <v/>
      </c>
      <c r="Y196" s="0" t="str">
        <f aca="false">IFERROR(AVERAGE(N196:U196),"")</f>
        <v/>
      </c>
    </row>
    <row r="197" customFormat="false" ht="14.5" hidden="false" customHeight="false" outlineLevel="0" collapsed="false">
      <c r="A197" s="0" t="n">
        <v>201</v>
      </c>
      <c r="B197" s="0" t="s">
        <v>285</v>
      </c>
      <c r="C197" s="0" t="n">
        <v>4400</v>
      </c>
      <c r="D197" s="0" t="n">
        <v>329</v>
      </c>
      <c r="E197" s="0" t="str">
        <f aca="false">IFERROR(IF(OR(HLOOKUP($A197,#REF!,3,FALSE())&gt;2,HLOOKUP(A197,#REF!,3,FALSE())&lt;-2),"",#REF!),"")</f>
        <v/>
      </c>
      <c r="F197" s="0" t="str">
        <f aca="false">IFERROR(IF(OR(HLOOKUP($A197,#REF!,4,FALSE())&gt;2,HLOOKUP($A197,#REF!,4,FALSE())&lt;-2),"",#REF!),"")</f>
        <v/>
      </c>
      <c r="G197" s="0" t="str">
        <f aca="false">IFERROR(IF(OR(HLOOKUP($A197,#REF!,5,FALSE())&gt;2,HLOOKUP($A197,#REF!,5,FALSE())&lt;-2),"",#REF!),"")</f>
        <v/>
      </c>
      <c r="H197" s="0" t="str">
        <f aca="false">IFERROR(IF(OR(HLOOKUP($A197,#REF!,6,FALSE())&gt;2,HLOOKUP($A197,#REF!,6,FALSE())&lt;-2),"",#REF!),"")</f>
        <v/>
      </c>
      <c r="I197" s="0" t="str">
        <f aca="false">IFERROR(IF(OR(HLOOKUP($A197,#REF!,7,FALSE())&gt;2,HLOOKUP($A197,#REF!,7,FALSE())&lt;-2),"",#REF!),"")</f>
        <v/>
      </c>
      <c r="J197" s="0" t="str">
        <f aca="false">IFERROR(IF(OR(HLOOKUP($A197,#REF!,8,FALSE())&gt;2,HLOOKUP($A197,#REF!,8,FALSE())&lt;-2),"",#REF!),"")</f>
        <v/>
      </c>
      <c r="K197" s="0" t="str">
        <f aca="false">IFERROR(IF(OR(HLOOKUP($A197,#REF!,9,FALSE())&gt;2,HLOOKUP($A197,#REF!,9,FALSE())&lt;-2),"",#REF!),"")</f>
        <v/>
      </c>
      <c r="L197" s="0" t="str">
        <f aca="false">IFERROR(IF(OR(HLOOKUP($A197,#REF!,10,FALSE())&gt;2,HLOOKUP($A197,#REF!,10,FALSE())&lt;-2),"",#REF!),"")</f>
        <v/>
      </c>
      <c r="M197" s="0" t="str">
        <f aca="false">IFERROR(IF(OR(HLOOKUP($A197,#REF!,11,FALSE())&gt;2,HLOOKUP($A197,#REF!,11,FALSE())&lt;-2),"",#REF!),"")</f>
        <v/>
      </c>
      <c r="N197" s="0" t="str">
        <f aca="false">IFERROR(IF(OR(HLOOKUP($A197,#REF!,12,FALSE())&gt;2,HLOOKUP($A197,#REF!,12,FALSE())&lt;-2),"",#REF!),"")</f>
        <v/>
      </c>
      <c r="O197" s="0" t="str">
        <f aca="false">IFERROR(IF(OR(HLOOKUP($A197,#REF!,13,FALSE())&gt;2,HLOOKUP($A197,#REF!,13,FALSE())&lt;-2),"",#REF!),"")</f>
        <v/>
      </c>
      <c r="P197" s="0" t="str">
        <f aca="false">IFERROR(IF(OR(HLOOKUP($A197,#REF!,14,FALSE())&gt;2,HLOOKUP($A197,#REF!,14,FALSE())&lt;-2),"",#REF!),"")</f>
        <v/>
      </c>
      <c r="Q197" s="0" t="str">
        <f aca="false">IFERROR(IF(OR(HLOOKUP($A197,#REF!,15,FALSE())&gt;2,HLOOKUP($A197,#REF!,15,FALSE())&lt;-2),"",#REF!),"")</f>
        <v/>
      </c>
      <c r="R197" s="0" t="str">
        <f aca="false">IFERROR(IF(OR(HLOOKUP($A197,#REF!,16,FALSE())&gt;2,HLOOKUP($A197,#REF!,16,FALSE())&lt;-2),"",#REF!),"")</f>
        <v/>
      </c>
      <c r="S197" s="0" t="str">
        <f aca="false">IFERROR(IF(OR(HLOOKUP($A197,#REF!,17,FALSE())&gt;2,HLOOKUP($A197,#REF!,17,FALSE())&lt;-2),"",#REF!),"")</f>
        <v/>
      </c>
      <c r="T197" s="0" t="str">
        <f aca="false">IFERROR(IF(OR(HLOOKUP($A197,#REF!,18,FALSE())&gt;2,HLOOKUP($A197,#REF!,18,FALSE())&lt;-2),"",#REF!),"")</f>
        <v/>
      </c>
      <c r="U197" s="0" t="str">
        <f aca="false">IFERROR(IF(OR(HLOOKUP($A197,#REF!,19,FALSE())&gt;2,HLOOKUP($A197,#REF!,19,FALSE())&lt;-2),"",#REF!),"")</f>
        <v/>
      </c>
      <c r="V197" s="0" t="n">
        <f aca="false">IFERROR(IF(AND(X197=0,Y197=0),0,1),0)</f>
        <v>1</v>
      </c>
      <c r="W197" s="3" t="str">
        <f aca="false">IFERROR(_xlfn.T.TEST(E197:M197,N197:U197,2,2),"")</f>
        <v/>
      </c>
      <c r="X197" s="0" t="str">
        <f aca="false">IFERROR(AVERAGE(E197:M197),"")</f>
        <v/>
      </c>
      <c r="Y197" s="0" t="str">
        <f aca="false">IFERROR(AVERAGE(N197:U197),"")</f>
        <v/>
      </c>
    </row>
    <row r="198" customFormat="false" ht="14.5" hidden="false" customHeight="false" outlineLevel="0" collapsed="false">
      <c r="A198" s="0" t="n">
        <v>202</v>
      </c>
      <c r="B198" s="0" t="s">
        <v>286</v>
      </c>
      <c r="C198" s="0" t="n">
        <v>96100</v>
      </c>
      <c r="D198" s="0" t="n">
        <v>701</v>
      </c>
      <c r="E198" s="0" t="str">
        <f aca="false">IFERROR(IF(OR(HLOOKUP($A198,#REF!,3,FALSE())&gt;2,HLOOKUP(A198,#REF!,3,FALSE())&lt;-2),"",#REF!),"")</f>
        <v/>
      </c>
      <c r="F198" s="0" t="str">
        <f aca="false">IFERROR(IF(OR(HLOOKUP($A198,#REF!,4,FALSE())&gt;2,HLOOKUP($A198,#REF!,4,FALSE())&lt;-2),"",#REF!),"")</f>
        <v/>
      </c>
      <c r="G198" s="0" t="str">
        <f aca="false">IFERROR(IF(OR(HLOOKUP($A198,#REF!,5,FALSE())&gt;2,HLOOKUP($A198,#REF!,5,FALSE())&lt;-2),"",#REF!),"")</f>
        <v/>
      </c>
      <c r="H198" s="0" t="str">
        <f aca="false">IFERROR(IF(OR(HLOOKUP($A198,#REF!,6,FALSE())&gt;2,HLOOKUP($A198,#REF!,6,FALSE())&lt;-2),"",#REF!),"")</f>
        <v/>
      </c>
      <c r="I198" s="0" t="str">
        <f aca="false">IFERROR(IF(OR(HLOOKUP($A198,#REF!,7,FALSE())&gt;2,HLOOKUP($A198,#REF!,7,FALSE())&lt;-2),"",#REF!),"")</f>
        <v/>
      </c>
      <c r="J198" s="0" t="str">
        <f aca="false">IFERROR(IF(OR(HLOOKUP($A198,#REF!,8,FALSE())&gt;2,HLOOKUP($A198,#REF!,8,FALSE())&lt;-2),"",#REF!),"")</f>
        <v/>
      </c>
      <c r="K198" s="0" t="str">
        <f aca="false">IFERROR(IF(OR(HLOOKUP($A198,#REF!,9,FALSE())&gt;2,HLOOKUP($A198,#REF!,9,FALSE())&lt;-2),"",#REF!),"")</f>
        <v/>
      </c>
      <c r="L198" s="0" t="str">
        <f aca="false">IFERROR(IF(OR(HLOOKUP($A198,#REF!,10,FALSE())&gt;2,HLOOKUP($A198,#REF!,10,FALSE())&lt;-2),"",#REF!),"")</f>
        <v/>
      </c>
      <c r="M198" s="0" t="str">
        <f aca="false">IFERROR(IF(OR(HLOOKUP($A198,#REF!,11,FALSE())&gt;2,HLOOKUP($A198,#REF!,11,FALSE())&lt;-2),"",#REF!),"")</f>
        <v/>
      </c>
      <c r="N198" s="0" t="str">
        <f aca="false">IFERROR(IF(OR(HLOOKUP($A198,#REF!,12,FALSE())&gt;2,HLOOKUP($A198,#REF!,12,FALSE())&lt;-2),"",#REF!),"")</f>
        <v/>
      </c>
      <c r="O198" s="0" t="str">
        <f aca="false">IFERROR(IF(OR(HLOOKUP($A198,#REF!,13,FALSE())&gt;2,HLOOKUP($A198,#REF!,13,FALSE())&lt;-2),"",#REF!),"")</f>
        <v/>
      </c>
      <c r="P198" s="0" t="str">
        <f aca="false">IFERROR(IF(OR(HLOOKUP($A198,#REF!,14,FALSE())&gt;2,HLOOKUP($A198,#REF!,14,FALSE())&lt;-2),"",#REF!),"")</f>
        <v/>
      </c>
      <c r="Q198" s="0" t="str">
        <f aca="false">IFERROR(IF(OR(HLOOKUP($A198,#REF!,15,FALSE())&gt;2,HLOOKUP($A198,#REF!,15,FALSE())&lt;-2),"",#REF!),"")</f>
        <v/>
      </c>
      <c r="R198" s="0" t="str">
        <f aca="false">IFERROR(IF(OR(HLOOKUP($A198,#REF!,16,FALSE())&gt;2,HLOOKUP($A198,#REF!,16,FALSE())&lt;-2),"",#REF!),"")</f>
        <v/>
      </c>
      <c r="S198" s="0" t="str">
        <f aca="false">IFERROR(IF(OR(HLOOKUP($A198,#REF!,17,FALSE())&gt;2,HLOOKUP($A198,#REF!,17,FALSE())&lt;-2),"",#REF!),"")</f>
        <v/>
      </c>
      <c r="T198" s="0" t="str">
        <f aca="false">IFERROR(IF(OR(HLOOKUP($A198,#REF!,18,FALSE())&gt;2,HLOOKUP($A198,#REF!,18,FALSE())&lt;-2),"",#REF!),"")</f>
        <v/>
      </c>
      <c r="U198" s="0" t="str">
        <f aca="false">IFERROR(IF(OR(HLOOKUP($A198,#REF!,19,FALSE())&gt;2,HLOOKUP($A198,#REF!,19,FALSE())&lt;-2),"",#REF!),"")</f>
        <v/>
      </c>
      <c r="V198" s="0" t="n">
        <f aca="false">IFERROR(IF(AND(X198=0,Y198=0),0,1),0)</f>
        <v>1</v>
      </c>
      <c r="W198" s="3" t="str">
        <f aca="false">IFERROR(_xlfn.T.TEST(E198:M198,N198:U198,2,2),"")</f>
        <v/>
      </c>
      <c r="X198" s="0" t="str">
        <f aca="false">IFERROR(AVERAGE(E198:M198),"")</f>
        <v/>
      </c>
      <c r="Y198" s="0" t="str">
        <f aca="false">IFERROR(AVERAGE(N198:U198),"")</f>
        <v/>
      </c>
    </row>
    <row r="199" customFormat="false" ht="14.5" hidden="false" customHeight="false" outlineLevel="0" collapsed="false">
      <c r="A199" s="0" t="n">
        <v>203</v>
      </c>
      <c r="B199" s="0" t="s">
        <v>287</v>
      </c>
      <c r="C199" s="0" t="n">
        <v>93800</v>
      </c>
      <c r="D199" s="0" t="n">
        <v>370</v>
      </c>
      <c r="E199" s="0" t="str">
        <f aca="false">IFERROR(IF(OR(HLOOKUP($A199,#REF!,3,FALSE())&gt;2,HLOOKUP(A199,#REF!,3,FALSE())&lt;-2),"",#REF!),"")</f>
        <v/>
      </c>
      <c r="F199" s="0" t="str">
        <f aca="false">IFERROR(IF(OR(HLOOKUP($A199,#REF!,4,FALSE())&gt;2,HLOOKUP($A199,#REF!,4,FALSE())&lt;-2),"",#REF!),"")</f>
        <v/>
      </c>
      <c r="G199" s="0" t="str">
        <f aca="false">IFERROR(IF(OR(HLOOKUP($A199,#REF!,5,FALSE())&gt;2,HLOOKUP($A199,#REF!,5,FALSE())&lt;-2),"",#REF!),"")</f>
        <v/>
      </c>
      <c r="H199" s="0" t="str">
        <f aca="false">IFERROR(IF(OR(HLOOKUP($A199,#REF!,6,FALSE())&gt;2,HLOOKUP($A199,#REF!,6,FALSE())&lt;-2),"",#REF!),"")</f>
        <v/>
      </c>
      <c r="I199" s="0" t="str">
        <f aca="false">IFERROR(IF(OR(HLOOKUP($A199,#REF!,7,FALSE())&gt;2,HLOOKUP($A199,#REF!,7,FALSE())&lt;-2),"",#REF!),"")</f>
        <v/>
      </c>
      <c r="J199" s="0" t="str">
        <f aca="false">IFERROR(IF(OR(HLOOKUP($A199,#REF!,8,FALSE())&gt;2,HLOOKUP($A199,#REF!,8,FALSE())&lt;-2),"",#REF!),"")</f>
        <v/>
      </c>
      <c r="K199" s="0" t="str">
        <f aca="false">IFERROR(IF(OR(HLOOKUP($A199,#REF!,9,FALSE())&gt;2,HLOOKUP($A199,#REF!,9,FALSE())&lt;-2),"",#REF!),"")</f>
        <v/>
      </c>
      <c r="L199" s="0" t="str">
        <f aca="false">IFERROR(IF(OR(HLOOKUP($A199,#REF!,10,FALSE())&gt;2,HLOOKUP($A199,#REF!,10,FALSE())&lt;-2),"",#REF!),"")</f>
        <v/>
      </c>
      <c r="M199" s="0" t="str">
        <f aca="false">IFERROR(IF(OR(HLOOKUP($A199,#REF!,11,FALSE())&gt;2,HLOOKUP($A199,#REF!,11,FALSE())&lt;-2),"",#REF!),"")</f>
        <v/>
      </c>
      <c r="N199" s="0" t="str">
        <f aca="false">IFERROR(IF(OR(HLOOKUP($A199,#REF!,12,FALSE())&gt;2,HLOOKUP($A199,#REF!,12,FALSE())&lt;-2),"",#REF!),"")</f>
        <v/>
      </c>
      <c r="O199" s="0" t="str">
        <f aca="false">IFERROR(IF(OR(HLOOKUP($A199,#REF!,13,FALSE())&gt;2,HLOOKUP($A199,#REF!,13,FALSE())&lt;-2),"",#REF!),"")</f>
        <v/>
      </c>
      <c r="P199" s="0" t="str">
        <f aca="false">IFERROR(IF(OR(HLOOKUP($A199,#REF!,14,FALSE())&gt;2,HLOOKUP($A199,#REF!,14,FALSE())&lt;-2),"",#REF!),"")</f>
        <v/>
      </c>
      <c r="Q199" s="0" t="str">
        <f aca="false">IFERROR(IF(OR(HLOOKUP($A199,#REF!,15,FALSE())&gt;2,HLOOKUP($A199,#REF!,15,FALSE())&lt;-2),"",#REF!),"")</f>
        <v/>
      </c>
      <c r="R199" s="0" t="str">
        <f aca="false">IFERROR(IF(OR(HLOOKUP($A199,#REF!,16,FALSE())&gt;2,HLOOKUP($A199,#REF!,16,FALSE())&lt;-2),"",#REF!),"")</f>
        <v/>
      </c>
      <c r="S199" s="0" t="str">
        <f aca="false">IFERROR(IF(OR(HLOOKUP($A199,#REF!,17,FALSE())&gt;2,HLOOKUP($A199,#REF!,17,FALSE())&lt;-2),"",#REF!),"")</f>
        <v/>
      </c>
      <c r="T199" s="0" t="str">
        <f aca="false">IFERROR(IF(OR(HLOOKUP($A199,#REF!,18,FALSE())&gt;2,HLOOKUP($A199,#REF!,18,FALSE())&lt;-2),"",#REF!),"")</f>
        <v/>
      </c>
      <c r="U199" s="0" t="str">
        <f aca="false">IFERROR(IF(OR(HLOOKUP($A199,#REF!,19,FALSE())&gt;2,HLOOKUP($A199,#REF!,19,FALSE())&lt;-2),"",#REF!),"")</f>
        <v/>
      </c>
      <c r="V199" s="0" t="n">
        <f aca="false">IFERROR(IF(AND(X199=0,Y199=0),0,1),0)</f>
        <v>1</v>
      </c>
      <c r="W199" s="3" t="str">
        <f aca="false">IFERROR(_xlfn.T.TEST(E199:M199,N199:U199,2,2),"")</f>
        <v/>
      </c>
      <c r="X199" s="0" t="str">
        <f aca="false">IFERROR(AVERAGE(E199:M199),"")</f>
        <v/>
      </c>
      <c r="Y199" s="0" t="str">
        <f aca="false">IFERROR(AVERAGE(N199:U199),"")</f>
        <v/>
      </c>
    </row>
    <row r="200" customFormat="false" ht="14.5" hidden="false" customHeight="false" outlineLevel="0" collapsed="false">
      <c r="A200" s="0" t="n">
        <v>204</v>
      </c>
      <c r="B200" s="0" t="s">
        <v>288</v>
      </c>
      <c r="C200" s="0" t="n">
        <v>30900</v>
      </c>
      <c r="D200" s="0" t="n">
        <v>151</v>
      </c>
      <c r="E200" s="0" t="str">
        <f aca="false">IFERROR(IF(OR(HLOOKUP($A200,#REF!,3,FALSE())&gt;2,HLOOKUP(A200,#REF!,3,FALSE())&lt;-2),"",#REF!),"")</f>
        <v/>
      </c>
      <c r="F200" s="0" t="str">
        <f aca="false">IFERROR(IF(OR(HLOOKUP($A200,#REF!,4,FALSE())&gt;2,HLOOKUP($A200,#REF!,4,FALSE())&lt;-2),"",#REF!),"")</f>
        <v/>
      </c>
      <c r="G200" s="0" t="str">
        <f aca="false">IFERROR(IF(OR(HLOOKUP($A200,#REF!,5,FALSE())&gt;2,HLOOKUP($A200,#REF!,5,FALSE())&lt;-2),"",#REF!),"")</f>
        <v/>
      </c>
      <c r="H200" s="0" t="str">
        <f aca="false">IFERROR(IF(OR(HLOOKUP($A200,#REF!,6,FALSE())&gt;2,HLOOKUP($A200,#REF!,6,FALSE())&lt;-2),"",#REF!),"")</f>
        <v/>
      </c>
      <c r="I200" s="0" t="str">
        <f aca="false">IFERROR(IF(OR(HLOOKUP($A200,#REF!,7,FALSE())&gt;2,HLOOKUP($A200,#REF!,7,FALSE())&lt;-2),"",#REF!),"")</f>
        <v/>
      </c>
      <c r="J200" s="0" t="str">
        <f aca="false">IFERROR(IF(OR(HLOOKUP($A200,#REF!,8,FALSE())&gt;2,HLOOKUP($A200,#REF!,8,FALSE())&lt;-2),"",#REF!),"")</f>
        <v/>
      </c>
      <c r="K200" s="0" t="str">
        <f aca="false">IFERROR(IF(OR(HLOOKUP($A200,#REF!,9,FALSE())&gt;2,HLOOKUP($A200,#REF!,9,FALSE())&lt;-2),"",#REF!),"")</f>
        <v/>
      </c>
      <c r="L200" s="0" t="str">
        <f aca="false">IFERROR(IF(OR(HLOOKUP($A200,#REF!,10,FALSE())&gt;2,HLOOKUP($A200,#REF!,10,FALSE())&lt;-2),"",#REF!),"")</f>
        <v/>
      </c>
      <c r="M200" s="0" t="str">
        <f aca="false">IFERROR(IF(OR(HLOOKUP($A200,#REF!,11,FALSE())&gt;2,HLOOKUP($A200,#REF!,11,FALSE())&lt;-2),"",#REF!),"")</f>
        <v/>
      </c>
      <c r="N200" s="0" t="str">
        <f aca="false">IFERROR(IF(OR(HLOOKUP($A200,#REF!,12,FALSE())&gt;2,HLOOKUP($A200,#REF!,12,FALSE())&lt;-2),"",#REF!),"")</f>
        <v/>
      </c>
      <c r="O200" s="0" t="str">
        <f aca="false">IFERROR(IF(OR(HLOOKUP($A200,#REF!,13,FALSE())&gt;2,HLOOKUP($A200,#REF!,13,FALSE())&lt;-2),"",#REF!),"")</f>
        <v/>
      </c>
      <c r="P200" s="0" t="str">
        <f aca="false">IFERROR(IF(OR(HLOOKUP($A200,#REF!,14,FALSE())&gt;2,HLOOKUP($A200,#REF!,14,FALSE())&lt;-2),"",#REF!),"")</f>
        <v/>
      </c>
      <c r="Q200" s="0" t="str">
        <f aca="false">IFERROR(IF(OR(HLOOKUP($A200,#REF!,15,FALSE())&gt;2,HLOOKUP($A200,#REF!,15,FALSE())&lt;-2),"",#REF!),"")</f>
        <v/>
      </c>
      <c r="R200" s="0" t="str">
        <f aca="false">IFERROR(IF(OR(HLOOKUP($A200,#REF!,16,FALSE())&gt;2,HLOOKUP($A200,#REF!,16,FALSE())&lt;-2),"",#REF!),"")</f>
        <v/>
      </c>
      <c r="S200" s="0" t="str">
        <f aca="false">IFERROR(IF(OR(HLOOKUP($A200,#REF!,17,FALSE())&gt;2,HLOOKUP($A200,#REF!,17,FALSE())&lt;-2),"",#REF!),"")</f>
        <v/>
      </c>
      <c r="T200" s="0" t="str">
        <f aca="false">IFERROR(IF(OR(HLOOKUP($A200,#REF!,18,FALSE())&gt;2,HLOOKUP($A200,#REF!,18,FALSE())&lt;-2),"",#REF!),"")</f>
        <v/>
      </c>
      <c r="U200" s="0" t="str">
        <f aca="false">IFERROR(IF(OR(HLOOKUP($A200,#REF!,19,FALSE())&gt;2,HLOOKUP($A200,#REF!,19,FALSE())&lt;-2),"",#REF!),"")</f>
        <v/>
      </c>
      <c r="V200" s="0" t="n">
        <f aca="false">IFERROR(IF(AND(X200=0,Y200=0),0,1),0)</f>
        <v>1</v>
      </c>
      <c r="W200" s="3" t="str">
        <f aca="false">IFERROR(_xlfn.T.TEST(E200:M200,N200:U200,2,2),"")</f>
        <v/>
      </c>
      <c r="X200" s="0" t="str">
        <f aca="false">IFERROR(AVERAGE(E200:M200),"")</f>
        <v/>
      </c>
      <c r="Y200" s="0" t="str">
        <f aca="false">IFERROR(AVERAGE(N200:U200),"")</f>
        <v/>
      </c>
    </row>
    <row r="201" customFormat="false" ht="14.5" hidden="false" customHeight="false" outlineLevel="0" collapsed="false">
      <c r="A201" s="0" t="n">
        <v>205</v>
      </c>
      <c r="B201" s="0" t="s">
        <v>289</v>
      </c>
      <c r="C201" s="0" t="n">
        <v>110200</v>
      </c>
      <c r="D201" s="0" t="n">
        <v>855</v>
      </c>
      <c r="E201" s="0" t="str">
        <f aca="false">IFERROR(IF(OR(HLOOKUP($A201,#REF!,3,FALSE())&gt;2,HLOOKUP(A201,#REF!,3,FALSE())&lt;-2),"",#REF!),"")</f>
        <v/>
      </c>
      <c r="F201" s="0" t="str">
        <f aca="false">IFERROR(IF(OR(HLOOKUP($A201,#REF!,4,FALSE())&gt;2,HLOOKUP($A201,#REF!,4,FALSE())&lt;-2),"",#REF!),"")</f>
        <v/>
      </c>
      <c r="G201" s="0" t="str">
        <f aca="false">IFERROR(IF(OR(HLOOKUP($A201,#REF!,5,FALSE())&gt;2,HLOOKUP($A201,#REF!,5,FALSE())&lt;-2),"",#REF!),"")</f>
        <v/>
      </c>
      <c r="H201" s="0" t="str">
        <f aca="false">IFERROR(IF(OR(HLOOKUP($A201,#REF!,6,FALSE())&gt;2,HLOOKUP($A201,#REF!,6,FALSE())&lt;-2),"",#REF!),"")</f>
        <v/>
      </c>
      <c r="I201" s="0" t="str">
        <f aca="false">IFERROR(IF(OR(HLOOKUP($A201,#REF!,7,FALSE())&gt;2,HLOOKUP($A201,#REF!,7,FALSE())&lt;-2),"",#REF!),"")</f>
        <v/>
      </c>
      <c r="J201" s="0" t="str">
        <f aca="false">IFERROR(IF(OR(HLOOKUP($A201,#REF!,8,FALSE())&gt;2,HLOOKUP($A201,#REF!,8,FALSE())&lt;-2),"",#REF!),"")</f>
        <v/>
      </c>
      <c r="K201" s="0" t="str">
        <f aca="false">IFERROR(IF(OR(HLOOKUP($A201,#REF!,9,FALSE())&gt;2,HLOOKUP($A201,#REF!,9,FALSE())&lt;-2),"",#REF!),"")</f>
        <v/>
      </c>
      <c r="L201" s="0" t="str">
        <f aca="false">IFERROR(IF(OR(HLOOKUP($A201,#REF!,10,FALSE())&gt;2,HLOOKUP($A201,#REF!,10,FALSE())&lt;-2),"",#REF!),"")</f>
        <v/>
      </c>
      <c r="M201" s="0" t="str">
        <f aca="false">IFERROR(IF(OR(HLOOKUP($A201,#REF!,11,FALSE())&gt;2,HLOOKUP($A201,#REF!,11,FALSE())&lt;-2),"",#REF!),"")</f>
        <v/>
      </c>
      <c r="N201" s="0" t="str">
        <f aca="false">IFERROR(IF(OR(HLOOKUP($A201,#REF!,12,FALSE())&gt;2,HLOOKUP($A201,#REF!,12,FALSE())&lt;-2),"",#REF!),"")</f>
        <v/>
      </c>
      <c r="O201" s="0" t="str">
        <f aca="false">IFERROR(IF(OR(HLOOKUP($A201,#REF!,13,FALSE())&gt;2,HLOOKUP($A201,#REF!,13,FALSE())&lt;-2),"",#REF!),"")</f>
        <v/>
      </c>
      <c r="P201" s="0" t="str">
        <f aca="false">IFERROR(IF(OR(HLOOKUP($A201,#REF!,14,FALSE())&gt;2,HLOOKUP($A201,#REF!,14,FALSE())&lt;-2),"",#REF!),"")</f>
        <v/>
      </c>
      <c r="Q201" s="0" t="str">
        <f aca="false">IFERROR(IF(OR(HLOOKUP($A201,#REF!,15,FALSE())&gt;2,HLOOKUP($A201,#REF!,15,FALSE())&lt;-2),"",#REF!),"")</f>
        <v/>
      </c>
      <c r="R201" s="0" t="str">
        <f aca="false">IFERROR(IF(OR(HLOOKUP($A201,#REF!,16,FALSE())&gt;2,HLOOKUP($A201,#REF!,16,FALSE())&lt;-2),"",#REF!),"")</f>
        <v/>
      </c>
      <c r="S201" s="0" t="str">
        <f aca="false">IFERROR(IF(OR(HLOOKUP($A201,#REF!,17,FALSE())&gt;2,HLOOKUP($A201,#REF!,17,FALSE())&lt;-2),"",#REF!),"")</f>
        <v/>
      </c>
      <c r="T201" s="0" t="str">
        <f aca="false">IFERROR(IF(OR(HLOOKUP($A201,#REF!,18,FALSE())&gt;2,HLOOKUP($A201,#REF!,18,FALSE())&lt;-2),"",#REF!),"")</f>
        <v/>
      </c>
      <c r="U201" s="0" t="str">
        <f aca="false">IFERROR(IF(OR(HLOOKUP($A201,#REF!,19,FALSE())&gt;2,HLOOKUP($A201,#REF!,19,FALSE())&lt;-2),"",#REF!),"")</f>
        <v/>
      </c>
      <c r="V201" s="0" t="n">
        <f aca="false">IFERROR(IF(AND(X201=0,Y201=0),0,1),0)</f>
        <v>1</v>
      </c>
      <c r="W201" s="3" t="str">
        <f aca="false">IFERROR(_xlfn.T.TEST(E201:M201,N201:U201,2,2),"")</f>
        <v/>
      </c>
      <c r="X201" s="0" t="str">
        <f aca="false">IFERROR(AVERAGE(E201:M201),"")</f>
        <v/>
      </c>
      <c r="Y201" s="0" t="str">
        <f aca="false">IFERROR(AVERAGE(N201:U201),"")</f>
        <v/>
      </c>
    </row>
    <row r="202" customFormat="false" ht="14.5" hidden="false" customHeight="false" outlineLevel="0" collapsed="false">
      <c r="A202" s="0" t="n">
        <v>206</v>
      </c>
      <c r="B202" s="0" t="s">
        <v>290</v>
      </c>
      <c r="C202" s="0" t="n">
        <v>96900</v>
      </c>
      <c r="D202" s="0" t="n">
        <v>379</v>
      </c>
      <c r="E202" s="0" t="str">
        <f aca="false">IFERROR(IF(OR(HLOOKUP($A202,#REF!,3,FALSE())&gt;2,HLOOKUP(A202,#REF!,3,FALSE())&lt;-2),"",#REF!),"")</f>
        <v/>
      </c>
      <c r="F202" s="0" t="str">
        <f aca="false">IFERROR(IF(OR(HLOOKUP($A202,#REF!,4,FALSE())&gt;2,HLOOKUP($A202,#REF!,4,FALSE())&lt;-2),"",#REF!),"")</f>
        <v/>
      </c>
      <c r="G202" s="0" t="str">
        <f aca="false">IFERROR(IF(OR(HLOOKUP($A202,#REF!,5,FALSE())&gt;2,HLOOKUP($A202,#REF!,5,FALSE())&lt;-2),"",#REF!),"")</f>
        <v/>
      </c>
      <c r="H202" s="0" t="str">
        <f aca="false">IFERROR(IF(OR(HLOOKUP($A202,#REF!,6,FALSE())&gt;2,HLOOKUP($A202,#REF!,6,FALSE())&lt;-2),"",#REF!),"")</f>
        <v/>
      </c>
      <c r="I202" s="0" t="str">
        <f aca="false">IFERROR(IF(OR(HLOOKUP($A202,#REF!,7,FALSE())&gt;2,HLOOKUP($A202,#REF!,7,FALSE())&lt;-2),"",#REF!),"")</f>
        <v/>
      </c>
      <c r="J202" s="0" t="str">
        <f aca="false">IFERROR(IF(OR(HLOOKUP($A202,#REF!,8,FALSE())&gt;2,HLOOKUP($A202,#REF!,8,FALSE())&lt;-2),"",#REF!),"")</f>
        <v/>
      </c>
      <c r="K202" s="0" t="str">
        <f aca="false">IFERROR(IF(OR(HLOOKUP($A202,#REF!,9,FALSE())&gt;2,HLOOKUP($A202,#REF!,9,FALSE())&lt;-2),"",#REF!),"")</f>
        <v/>
      </c>
      <c r="L202" s="0" t="str">
        <f aca="false">IFERROR(IF(OR(HLOOKUP($A202,#REF!,10,FALSE())&gt;2,HLOOKUP($A202,#REF!,10,FALSE())&lt;-2),"",#REF!),"")</f>
        <v/>
      </c>
      <c r="M202" s="0" t="str">
        <f aca="false">IFERROR(IF(OR(HLOOKUP($A202,#REF!,11,FALSE())&gt;2,HLOOKUP($A202,#REF!,11,FALSE())&lt;-2),"",#REF!),"")</f>
        <v/>
      </c>
      <c r="N202" s="0" t="str">
        <f aca="false">IFERROR(IF(OR(HLOOKUP($A202,#REF!,12,FALSE())&gt;2,HLOOKUP($A202,#REF!,12,FALSE())&lt;-2),"",#REF!),"")</f>
        <v/>
      </c>
      <c r="O202" s="0" t="str">
        <f aca="false">IFERROR(IF(OR(HLOOKUP($A202,#REF!,13,FALSE())&gt;2,HLOOKUP($A202,#REF!,13,FALSE())&lt;-2),"",#REF!),"")</f>
        <v/>
      </c>
      <c r="P202" s="0" t="str">
        <f aca="false">IFERROR(IF(OR(HLOOKUP($A202,#REF!,14,FALSE())&gt;2,HLOOKUP($A202,#REF!,14,FALSE())&lt;-2),"",#REF!),"")</f>
        <v/>
      </c>
      <c r="Q202" s="0" t="str">
        <f aca="false">IFERROR(IF(OR(HLOOKUP($A202,#REF!,15,FALSE())&gt;2,HLOOKUP($A202,#REF!,15,FALSE())&lt;-2),"",#REF!),"")</f>
        <v/>
      </c>
      <c r="R202" s="0" t="str">
        <f aca="false">IFERROR(IF(OR(HLOOKUP($A202,#REF!,16,FALSE())&gt;2,HLOOKUP($A202,#REF!,16,FALSE())&lt;-2),"",#REF!),"")</f>
        <v/>
      </c>
      <c r="S202" s="0" t="str">
        <f aca="false">IFERROR(IF(OR(HLOOKUP($A202,#REF!,17,FALSE())&gt;2,HLOOKUP($A202,#REF!,17,FALSE())&lt;-2),"",#REF!),"")</f>
        <v/>
      </c>
      <c r="T202" s="0" t="str">
        <f aca="false">IFERROR(IF(OR(HLOOKUP($A202,#REF!,18,FALSE())&gt;2,HLOOKUP($A202,#REF!,18,FALSE())&lt;-2),"",#REF!),"")</f>
        <v/>
      </c>
      <c r="U202" s="0" t="str">
        <f aca="false">IFERROR(IF(OR(HLOOKUP($A202,#REF!,19,FALSE())&gt;2,HLOOKUP($A202,#REF!,19,FALSE())&lt;-2),"",#REF!),"")</f>
        <v/>
      </c>
      <c r="V202" s="0" t="n">
        <f aca="false">IFERROR(IF(AND(X202=0,Y202=0),0,1),0)</f>
        <v>1</v>
      </c>
      <c r="W202" s="3" t="str">
        <f aca="false">IFERROR(_xlfn.T.TEST(E202:M202,N202:U202,2,2),"")</f>
        <v/>
      </c>
      <c r="X202" s="0" t="str">
        <f aca="false">IFERROR(AVERAGE(E202:M202),"")</f>
        <v/>
      </c>
      <c r="Y202" s="0" t="str">
        <f aca="false">IFERROR(AVERAGE(N202:U202),"")</f>
        <v/>
      </c>
    </row>
    <row r="203" customFormat="false" ht="14.5" hidden="false" customHeight="false" outlineLevel="0" collapsed="false">
      <c r="A203" s="0" t="n">
        <v>207</v>
      </c>
      <c r="B203" s="0" t="s">
        <v>291</v>
      </c>
      <c r="C203" s="0" t="n">
        <v>89600</v>
      </c>
      <c r="D203" s="0" t="n">
        <v>386</v>
      </c>
      <c r="E203" s="0" t="str">
        <f aca="false">IFERROR(IF(OR(HLOOKUP($A203,#REF!,3,FALSE())&gt;2,HLOOKUP(A203,#REF!,3,FALSE())&lt;-2),"",#REF!),"")</f>
        <v/>
      </c>
      <c r="F203" s="0" t="str">
        <f aca="false">IFERROR(IF(OR(HLOOKUP($A203,#REF!,4,FALSE())&gt;2,HLOOKUP($A203,#REF!,4,FALSE())&lt;-2),"",#REF!),"")</f>
        <v/>
      </c>
      <c r="G203" s="0" t="str">
        <f aca="false">IFERROR(IF(OR(HLOOKUP($A203,#REF!,5,FALSE())&gt;2,HLOOKUP($A203,#REF!,5,FALSE())&lt;-2),"",#REF!),"")</f>
        <v/>
      </c>
      <c r="H203" s="0" t="str">
        <f aca="false">IFERROR(IF(OR(HLOOKUP($A203,#REF!,6,FALSE())&gt;2,HLOOKUP($A203,#REF!,6,FALSE())&lt;-2),"",#REF!),"")</f>
        <v/>
      </c>
      <c r="I203" s="0" t="str">
        <f aca="false">IFERROR(IF(OR(HLOOKUP($A203,#REF!,7,FALSE())&gt;2,HLOOKUP($A203,#REF!,7,FALSE())&lt;-2),"",#REF!),"")</f>
        <v/>
      </c>
      <c r="J203" s="0" t="str">
        <f aca="false">IFERROR(IF(OR(HLOOKUP($A203,#REF!,8,FALSE())&gt;2,HLOOKUP($A203,#REF!,8,FALSE())&lt;-2),"",#REF!),"")</f>
        <v/>
      </c>
      <c r="K203" s="0" t="str">
        <f aca="false">IFERROR(IF(OR(HLOOKUP($A203,#REF!,9,FALSE())&gt;2,HLOOKUP($A203,#REF!,9,FALSE())&lt;-2),"",#REF!),"")</f>
        <v/>
      </c>
      <c r="L203" s="0" t="str">
        <f aca="false">IFERROR(IF(OR(HLOOKUP($A203,#REF!,10,FALSE())&gt;2,HLOOKUP($A203,#REF!,10,FALSE())&lt;-2),"",#REF!),"")</f>
        <v/>
      </c>
      <c r="M203" s="0" t="str">
        <f aca="false">IFERROR(IF(OR(HLOOKUP($A203,#REF!,11,FALSE())&gt;2,HLOOKUP($A203,#REF!,11,FALSE())&lt;-2),"",#REF!),"")</f>
        <v/>
      </c>
      <c r="N203" s="0" t="str">
        <f aca="false">IFERROR(IF(OR(HLOOKUP($A203,#REF!,12,FALSE())&gt;2,HLOOKUP($A203,#REF!,12,FALSE())&lt;-2),"",#REF!),"")</f>
        <v/>
      </c>
      <c r="O203" s="0" t="str">
        <f aca="false">IFERROR(IF(OR(HLOOKUP($A203,#REF!,13,FALSE())&gt;2,HLOOKUP($A203,#REF!,13,FALSE())&lt;-2),"",#REF!),"")</f>
        <v/>
      </c>
      <c r="P203" s="0" t="str">
        <f aca="false">IFERROR(IF(OR(HLOOKUP($A203,#REF!,14,FALSE())&gt;2,HLOOKUP($A203,#REF!,14,FALSE())&lt;-2),"",#REF!),"")</f>
        <v/>
      </c>
      <c r="Q203" s="0" t="str">
        <f aca="false">IFERROR(IF(OR(HLOOKUP($A203,#REF!,15,FALSE())&gt;2,HLOOKUP($A203,#REF!,15,FALSE())&lt;-2),"",#REF!),"")</f>
        <v/>
      </c>
      <c r="R203" s="0" t="str">
        <f aca="false">IFERROR(IF(OR(HLOOKUP($A203,#REF!,16,FALSE())&gt;2,HLOOKUP($A203,#REF!,16,FALSE())&lt;-2),"",#REF!),"")</f>
        <v/>
      </c>
      <c r="S203" s="0" t="str">
        <f aca="false">IFERROR(IF(OR(HLOOKUP($A203,#REF!,17,FALSE())&gt;2,HLOOKUP($A203,#REF!,17,FALSE())&lt;-2),"",#REF!),"")</f>
        <v/>
      </c>
      <c r="T203" s="0" t="str">
        <f aca="false">IFERROR(IF(OR(HLOOKUP($A203,#REF!,18,FALSE())&gt;2,HLOOKUP($A203,#REF!,18,FALSE())&lt;-2),"",#REF!),"")</f>
        <v/>
      </c>
      <c r="U203" s="0" t="str">
        <f aca="false">IFERROR(IF(OR(HLOOKUP($A203,#REF!,19,FALSE())&gt;2,HLOOKUP($A203,#REF!,19,FALSE())&lt;-2),"",#REF!),"")</f>
        <v/>
      </c>
      <c r="V203" s="0" t="n">
        <f aca="false">IFERROR(IF(AND(X203=0,Y203=0),0,1),0)</f>
        <v>1</v>
      </c>
      <c r="W203" s="3" t="str">
        <f aca="false">IFERROR(_xlfn.T.TEST(E203:M203,N203:U203,2,2),"")</f>
        <v/>
      </c>
      <c r="X203" s="0" t="str">
        <f aca="false">IFERROR(AVERAGE(E203:M203),"")</f>
        <v/>
      </c>
      <c r="Y203" s="0" t="str">
        <f aca="false">IFERROR(AVERAGE(N203:U203),"")</f>
        <v/>
      </c>
    </row>
    <row r="204" customFormat="false" ht="14.5" hidden="false" customHeight="false" outlineLevel="0" collapsed="false">
      <c r="A204" s="0" t="n">
        <v>208</v>
      </c>
      <c r="B204" s="0" t="s">
        <v>292</v>
      </c>
      <c r="C204" s="0" t="n">
        <v>35000</v>
      </c>
      <c r="D204" s="0" t="n">
        <v>639</v>
      </c>
      <c r="E204" s="0" t="str">
        <f aca="false">IFERROR(IF(OR(HLOOKUP($A204,#REF!,3,FALSE())&gt;2,HLOOKUP(A204,#REF!,3,FALSE())&lt;-2),"",#REF!),"")</f>
        <v/>
      </c>
      <c r="F204" s="0" t="str">
        <f aca="false">IFERROR(IF(OR(HLOOKUP($A204,#REF!,4,FALSE())&gt;2,HLOOKUP($A204,#REF!,4,FALSE())&lt;-2),"",#REF!),"")</f>
        <v/>
      </c>
      <c r="G204" s="0" t="str">
        <f aca="false">IFERROR(IF(OR(HLOOKUP($A204,#REF!,5,FALSE())&gt;2,HLOOKUP($A204,#REF!,5,FALSE())&lt;-2),"",#REF!),"")</f>
        <v/>
      </c>
      <c r="H204" s="0" t="str">
        <f aca="false">IFERROR(IF(OR(HLOOKUP($A204,#REF!,6,FALSE())&gt;2,HLOOKUP($A204,#REF!,6,FALSE())&lt;-2),"",#REF!),"")</f>
        <v/>
      </c>
      <c r="I204" s="0" t="str">
        <f aca="false">IFERROR(IF(OR(HLOOKUP($A204,#REF!,7,FALSE())&gt;2,HLOOKUP($A204,#REF!,7,FALSE())&lt;-2),"",#REF!),"")</f>
        <v/>
      </c>
      <c r="J204" s="0" t="str">
        <f aca="false">IFERROR(IF(OR(HLOOKUP($A204,#REF!,8,FALSE())&gt;2,HLOOKUP($A204,#REF!,8,FALSE())&lt;-2),"",#REF!),"")</f>
        <v/>
      </c>
      <c r="K204" s="0" t="str">
        <f aca="false">IFERROR(IF(OR(HLOOKUP($A204,#REF!,9,FALSE())&gt;2,HLOOKUP($A204,#REF!,9,FALSE())&lt;-2),"",#REF!),"")</f>
        <v/>
      </c>
      <c r="L204" s="0" t="str">
        <f aca="false">IFERROR(IF(OR(HLOOKUP($A204,#REF!,10,FALSE())&gt;2,HLOOKUP($A204,#REF!,10,FALSE())&lt;-2),"",#REF!),"")</f>
        <v/>
      </c>
      <c r="M204" s="0" t="str">
        <f aca="false">IFERROR(IF(OR(HLOOKUP($A204,#REF!,11,FALSE())&gt;2,HLOOKUP($A204,#REF!,11,FALSE())&lt;-2),"",#REF!),"")</f>
        <v/>
      </c>
      <c r="N204" s="0" t="str">
        <f aca="false">IFERROR(IF(OR(HLOOKUP($A204,#REF!,12,FALSE())&gt;2,HLOOKUP($A204,#REF!,12,FALSE())&lt;-2),"",#REF!),"")</f>
        <v/>
      </c>
      <c r="O204" s="0" t="str">
        <f aca="false">IFERROR(IF(OR(HLOOKUP($A204,#REF!,13,FALSE())&gt;2,HLOOKUP($A204,#REF!,13,FALSE())&lt;-2),"",#REF!),"")</f>
        <v/>
      </c>
      <c r="P204" s="0" t="str">
        <f aca="false">IFERROR(IF(OR(HLOOKUP($A204,#REF!,14,FALSE())&gt;2,HLOOKUP($A204,#REF!,14,FALSE())&lt;-2),"",#REF!),"")</f>
        <v/>
      </c>
      <c r="Q204" s="0" t="str">
        <f aca="false">IFERROR(IF(OR(HLOOKUP($A204,#REF!,15,FALSE())&gt;2,HLOOKUP($A204,#REF!,15,FALSE())&lt;-2),"",#REF!),"")</f>
        <v/>
      </c>
      <c r="R204" s="0" t="str">
        <f aca="false">IFERROR(IF(OR(HLOOKUP($A204,#REF!,16,FALSE())&gt;2,HLOOKUP($A204,#REF!,16,FALSE())&lt;-2),"",#REF!),"")</f>
        <v/>
      </c>
      <c r="S204" s="0" t="str">
        <f aca="false">IFERROR(IF(OR(HLOOKUP($A204,#REF!,17,FALSE())&gt;2,HLOOKUP($A204,#REF!,17,FALSE())&lt;-2),"",#REF!),"")</f>
        <v/>
      </c>
      <c r="T204" s="0" t="str">
        <f aca="false">IFERROR(IF(OR(HLOOKUP($A204,#REF!,18,FALSE())&gt;2,HLOOKUP($A204,#REF!,18,FALSE())&lt;-2),"",#REF!),"")</f>
        <v/>
      </c>
      <c r="U204" s="0" t="str">
        <f aca="false">IFERROR(IF(OR(HLOOKUP($A204,#REF!,19,FALSE())&gt;2,HLOOKUP($A204,#REF!,19,FALSE())&lt;-2),"",#REF!),"")</f>
        <v/>
      </c>
      <c r="V204" s="0" t="n">
        <f aca="false">IFERROR(IF(AND(X204=0,Y204=0),0,1),0)</f>
        <v>1</v>
      </c>
      <c r="W204" s="3" t="str">
        <f aca="false">IFERROR(_xlfn.T.TEST(E204:M204,N204:U204,2,2),"")</f>
        <v/>
      </c>
      <c r="X204" s="0" t="str">
        <f aca="false">IFERROR(AVERAGE(E204:M204),"")</f>
        <v/>
      </c>
      <c r="Y204" s="0" t="str">
        <f aca="false">IFERROR(AVERAGE(N204:U204),"")</f>
        <v/>
      </c>
    </row>
    <row r="205" customFormat="false" ht="14.5" hidden="false" customHeight="false" outlineLevel="0" collapsed="false">
      <c r="A205" s="0" t="n">
        <v>209</v>
      </c>
      <c r="B205" s="0" t="s">
        <v>293</v>
      </c>
      <c r="C205" s="0" t="n">
        <v>96000</v>
      </c>
      <c r="D205" s="0" t="n">
        <v>701</v>
      </c>
      <c r="E205" s="0" t="str">
        <f aca="false">IFERROR(IF(OR(HLOOKUP($A205,#REF!,3,FALSE())&gt;2,HLOOKUP(A205,#REF!,3,FALSE())&lt;-2),"",#REF!),"")</f>
        <v/>
      </c>
      <c r="F205" s="0" t="str">
        <f aca="false">IFERROR(IF(OR(HLOOKUP($A205,#REF!,4,FALSE())&gt;2,HLOOKUP($A205,#REF!,4,FALSE())&lt;-2),"",#REF!),"")</f>
        <v/>
      </c>
      <c r="G205" s="0" t="str">
        <f aca="false">IFERROR(IF(OR(HLOOKUP($A205,#REF!,5,FALSE())&gt;2,HLOOKUP($A205,#REF!,5,FALSE())&lt;-2),"",#REF!),"")</f>
        <v/>
      </c>
      <c r="H205" s="0" t="str">
        <f aca="false">IFERROR(IF(OR(HLOOKUP($A205,#REF!,6,FALSE())&gt;2,HLOOKUP($A205,#REF!,6,FALSE())&lt;-2),"",#REF!),"")</f>
        <v/>
      </c>
      <c r="I205" s="0" t="str">
        <f aca="false">IFERROR(IF(OR(HLOOKUP($A205,#REF!,7,FALSE())&gt;2,HLOOKUP($A205,#REF!,7,FALSE())&lt;-2),"",#REF!),"")</f>
        <v/>
      </c>
      <c r="J205" s="0" t="str">
        <f aca="false">IFERROR(IF(OR(HLOOKUP($A205,#REF!,8,FALSE())&gt;2,HLOOKUP($A205,#REF!,8,FALSE())&lt;-2),"",#REF!),"")</f>
        <v/>
      </c>
      <c r="K205" s="0" t="str">
        <f aca="false">IFERROR(IF(OR(HLOOKUP($A205,#REF!,9,FALSE())&gt;2,HLOOKUP($A205,#REF!,9,FALSE())&lt;-2),"",#REF!),"")</f>
        <v/>
      </c>
      <c r="L205" s="0" t="str">
        <f aca="false">IFERROR(IF(OR(HLOOKUP($A205,#REF!,10,FALSE())&gt;2,HLOOKUP($A205,#REF!,10,FALSE())&lt;-2),"",#REF!),"")</f>
        <v/>
      </c>
      <c r="M205" s="0" t="str">
        <f aca="false">IFERROR(IF(OR(HLOOKUP($A205,#REF!,11,FALSE())&gt;2,HLOOKUP($A205,#REF!,11,FALSE())&lt;-2),"",#REF!),"")</f>
        <v/>
      </c>
      <c r="N205" s="0" t="str">
        <f aca="false">IFERROR(IF(OR(HLOOKUP($A205,#REF!,12,FALSE())&gt;2,HLOOKUP($A205,#REF!,12,FALSE())&lt;-2),"",#REF!),"")</f>
        <v/>
      </c>
      <c r="O205" s="0" t="str">
        <f aca="false">IFERROR(IF(OR(HLOOKUP($A205,#REF!,13,FALSE())&gt;2,HLOOKUP($A205,#REF!,13,FALSE())&lt;-2),"",#REF!),"")</f>
        <v/>
      </c>
      <c r="P205" s="0" t="str">
        <f aca="false">IFERROR(IF(OR(HLOOKUP($A205,#REF!,14,FALSE())&gt;2,HLOOKUP($A205,#REF!,14,FALSE())&lt;-2),"",#REF!),"")</f>
        <v/>
      </c>
      <c r="Q205" s="0" t="str">
        <f aca="false">IFERROR(IF(OR(HLOOKUP($A205,#REF!,15,FALSE())&gt;2,HLOOKUP($A205,#REF!,15,FALSE())&lt;-2),"",#REF!),"")</f>
        <v/>
      </c>
      <c r="R205" s="0" t="str">
        <f aca="false">IFERROR(IF(OR(HLOOKUP($A205,#REF!,16,FALSE())&gt;2,HLOOKUP($A205,#REF!,16,FALSE())&lt;-2),"",#REF!),"")</f>
        <v/>
      </c>
      <c r="S205" s="0" t="str">
        <f aca="false">IFERROR(IF(OR(HLOOKUP($A205,#REF!,17,FALSE())&gt;2,HLOOKUP($A205,#REF!,17,FALSE())&lt;-2),"",#REF!),"")</f>
        <v/>
      </c>
      <c r="T205" s="0" t="str">
        <f aca="false">IFERROR(IF(OR(HLOOKUP($A205,#REF!,18,FALSE())&gt;2,HLOOKUP($A205,#REF!,18,FALSE())&lt;-2),"",#REF!),"")</f>
        <v/>
      </c>
      <c r="U205" s="0" t="str">
        <f aca="false">IFERROR(IF(OR(HLOOKUP($A205,#REF!,19,FALSE())&gt;2,HLOOKUP($A205,#REF!,19,FALSE())&lt;-2),"",#REF!),"")</f>
        <v/>
      </c>
      <c r="V205" s="0" t="n">
        <f aca="false">IFERROR(IF(AND(X205=0,Y205=0),0,1),0)</f>
        <v>1</v>
      </c>
      <c r="W205" s="3" t="str">
        <f aca="false">IFERROR(_xlfn.T.TEST(E205:M205,N205:U205,2,2),"")</f>
        <v/>
      </c>
      <c r="X205" s="0" t="str">
        <f aca="false">IFERROR(AVERAGE(E205:M205),"")</f>
        <v/>
      </c>
      <c r="Y205" s="0" t="str">
        <f aca="false">IFERROR(AVERAGE(N205:U205),"")</f>
        <v/>
      </c>
    </row>
    <row r="206" customFormat="false" ht="14.5" hidden="false" customHeight="false" outlineLevel="0" collapsed="false">
      <c r="A206" s="0" t="n">
        <v>210</v>
      </c>
      <c r="B206" s="0" t="s">
        <v>294</v>
      </c>
      <c r="C206" s="0" t="n">
        <v>74700</v>
      </c>
      <c r="D206" s="0" t="n">
        <v>331</v>
      </c>
      <c r="E206" s="0" t="str">
        <f aca="false">IFERROR(IF(OR(HLOOKUP($A206,#REF!,3,FALSE())&gt;2,HLOOKUP(A206,#REF!,3,FALSE())&lt;-2),"",#REF!),"")</f>
        <v/>
      </c>
      <c r="F206" s="0" t="str">
        <f aca="false">IFERROR(IF(OR(HLOOKUP($A206,#REF!,4,FALSE())&gt;2,HLOOKUP($A206,#REF!,4,FALSE())&lt;-2),"",#REF!),"")</f>
        <v/>
      </c>
      <c r="G206" s="0" t="str">
        <f aca="false">IFERROR(IF(OR(HLOOKUP($A206,#REF!,5,FALSE())&gt;2,HLOOKUP($A206,#REF!,5,FALSE())&lt;-2),"",#REF!),"")</f>
        <v/>
      </c>
      <c r="H206" s="0" t="str">
        <f aca="false">IFERROR(IF(OR(HLOOKUP($A206,#REF!,6,FALSE())&gt;2,HLOOKUP($A206,#REF!,6,FALSE())&lt;-2),"",#REF!),"")</f>
        <v/>
      </c>
      <c r="I206" s="0" t="str">
        <f aca="false">IFERROR(IF(OR(HLOOKUP($A206,#REF!,7,FALSE())&gt;2,HLOOKUP($A206,#REF!,7,FALSE())&lt;-2),"",#REF!),"")</f>
        <v/>
      </c>
      <c r="J206" s="0" t="str">
        <f aca="false">IFERROR(IF(OR(HLOOKUP($A206,#REF!,8,FALSE())&gt;2,HLOOKUP($A206,#REF!,8,FALSE())&lt;-2),"",#REF!),"")</f>
        <v/>
      </c>
      <c r="K206" s="0" t="str">
        <f aca="false">IFERROR(IF(OR(HLOOKUP($A206,#REF!,9,FALSE())&gt;2,HLOOKUP($A206,#REF!,9,FALSE())&lt;-2),"",#REF!),"")</f>
        <v/>
      </c>
      <c r="L206" s="0" t="str">
        <f aca="false">IFERROR(IF(OR(HLOOKUP($A206,#REF!,10,FALSE())&gt;2,HLOOKUP($A206,#REF!,10,FALSE())&lt;-2),"",#REF!),"")</f>
        <v/>
      </c>
      <c r="M206" s="0" t="str">
        <f aca="false">IFERROR(IF(OR(HLOOKUP($A206,#REF!,11,FALSE())&gt;2,HLOOKUP($A206,#REF!,11,FALSE())&lt;-2),"",#REF!),"")</f>
        <v/>
      </c>
      <c r="N206" s="0" t="str">
        <f aca="false">IFERROR(IF(OR(HLOOKUP($A206,#REF!,12,FALSE())&gt;2,HLOOKUP($A206,#REF!,12,FALSE())&lt;-2),"",#REF!),"")</f>
        <v/>
      </c>
      <c r="O206" s="0" t="str">
        <f aca="false">IFERROR(IF(OR(HLOOKUP($A206,#REF!,13,FALSE())&gt;2,HLOOKUP($A206,#REF!,13,FALSE())&lt;-2),"",#REF!),"")</f>
        <v/>
      </c>
      <c r="P206" s="0" t="str">
        <f aca="false">IFERROR(IF(OR(HLOOKUP($A206,#REF!,14,FALSE())&gt;2,HLOOKUP($A206,#REF!,14,FALSE())&lt;-2),"",#REF!),"")</f>
        <v/>
      </c>
      <c r="Q206" s="0" t="str">
        <f aca="false">IFERROR(IF(OR(HLOOKUP($A206,#REF!,15,FALSE())&gt;2,HLOOKUP($A206,#REF!,15,FALSE())&lt;-2),"",#REF!),"")</f>
        <v/>
      </c>
      <c r="R206" s="0" t="str">
        <f aca="false">IFERROR(IF(OR(HLOOKUP($A206,#REF!,16,FALSE())&gt;2,HLOOKUP($A206,#REF!,16,FALSE())&lt;-2),"",#REF!),"")</f>
        <v/>
      </c>
      <c r="S206" s="0" t="str">
        <f aca="false">IFERROR(IF(OR(HLOOKUP($A206,#REF!,17,FALSE())&gt;2,HLOOKUP($A206,#REF!,17,FALSE())&lt;-2),"",#REF!),"")</f>
        <v/>
      </c>
      <c r="T206" s="0" t="str">
        <f aca="false">IFERROR(IF(OR(HLOOKUP($A206,#REF!,18,FALSE())&gt;2,HLOOKUP($A206,#REF!,18,FALSE())&lt;-2),"",#REF!),"")</f>
        <v/>
      </c>
      <c r="U206" s="0" t="str">
        <f aca="false">IFERROR(IF(OR(HLOOKUP($A206,#REF!,19,FALSE())&gt;2,HLOOKUP($A206,#REF!,19,FALSE())&lt;-2),"",#REF!),"")</f>
        <v/>
      </c>
      <c r="V206" s="0" t="n">
        <f aca="false">IFERROR(IF(AND(X206=0,Y206=0),0,1),0)</f>
        <v>1</v>
      </c>
      <c r="W206" s="3" t="str">
        <f aca="false">IFERROR(_xlfn.T.TEST(E206:M206,N206:U206,2,2),"")</f>
        <v/>
      </c>
      <c r="X206" s="0" t="str">
        <f aca="false">IFERROR(AVERAGE(E206:M206),"")</f>
        <v/>
      </c>
      <c r="Y206" s="0" t="str">
        <f aca="false">IFERROR(AVERAGE(N206:U206),"")</f>
        <v/>
      </c>
    </row>
    <row r="207" customFormat="false" ht="14.5" hidden="false" customHeight="false" outlineLevel="0" collapsed="false">
      <c r="A207" s="0" t="n">
        <v>211</v>
      </c>
      <c r="B207" s="0" t="s">
        <v>72</v>
      </c>
      <c r="C207" s="0" t="n">
        <v>19100</v>
      </c>
      <c r="D207" s="0" t="n">
        <v>39</v>
      </c>
      <c r="E207" s="0" t="str">
        <f aca="false">IFERROR(IF(OR(HLOOKUP($A207,#REF!,3,FALSE())&gt;2,HLOOKUP(A207,#REF!,3,FALSE())&lt;-2),"",#REF!),"")</f>
        <v/>
      </c>
      <c r="F207" s="0" t="str">
        <f aca="false">IFERROR(IF(OR(HLOOKUP($A207,#REF!,4,FALSE())&gt;2,HLOOKUP($A207,#REF!,4,FALSE())&lt;-2),"",#REF!),"")</f>
        <v/>
      </c>
      <c r="G207" s="0" t="str">
        <f aca="false">IFERROR(IF(OR(HLOOKUP($A207,#REF!,5,FALSE())&gt;2,HLOOKUP($A207,#REF!,5,FALSE())&lt;-2),"",#REF!),"")</f>
        <v/>
      </c>
      <c r="H207" s="0" t="str">
        <f aca="false">IFERROR(IF(OR(HLOOKUP($A207,#REF!,6,FALSE())&gt;2,HLOOKUP($A207,#REF!,6,FALSE())&lt;-2),"",#REF!),"")</f>
        <v/>
      </c>
      <c r="I207" s="0" t="str">
        <f aca="false">IFERROR(IF(OR(HLOOKUP($A207,#REF!,7,FALSE())&gt;2,HLOOKUP($A207,#REF!,7,FALSE())&lt;-2),"",#REF!),"")</f>
        <v/>
      </c>
      <c r="J207" s="0" t="str">
        <f aca="false">IFERROR(IF(OR(HLOOKUP($A207,#REF!,8,FALSE())&gt;2,HLOOKUP($A207,#REF!,8,FALSE())&lt;-2),"",#REF!),"")</f>
        <v/>
      </c>
      <c r="K207" s="0" t="str">
        <f aca="false">IFERROR(IF(OR(HLOOKUP($A207,#REF!,9,FALSE())&gt;2,HLOOKUP($A207,#REF!,9,FALSE())&lt;-2),"",#REF!),"")</f>
        <v/>
      </c>
      <c r="L207" s="0" t="str">
        <f aca="false">IFERROR(IF(OR(HLOOKUP($A207,#REF!,10,FALSE())&gt;2,HLOOKUP($A207,#REF!,10,FALSE())&lt;-2),"",#REF!),"")</f>
        <v/>
      </c>
      <c r="M207" s="0" t="str">
        <f aca="false">IFERROR(IF(OR(HLOOKUP($A207,#REF!,11,FALSE())&gt;2,HLOOKUP($A207,#REF!,11,FALSE())&lt;-2),"",#REF!),"")</f>
        <v/>
      </c>
      <c r="N207" s="0" t="str">
        <f aca="false">IFERROR(IF(OR(HLOOKUP($A207,#REF!,12,FALSE())&gt;2,HLOOKUP($A207,#REF!,12,FALSE())&lt;-2),"",#REF!),"")</f>
        <v/>
      </c>
      <c r="O207" s="0" t="str">
        <f aca="false">IFERROR(IF(OR(HLOOKUP($A207,#REF!,13,FALSE())&gt;2,HLOOKUP($A207,#REF!,13,FALSE())&lt;-2),"",#REF!),"")</f>
        <v/>
      </c>
      <c r="P207" s="0" t="str">
        <f aca="false">IFERROR(IF(OR(HLOOKUP($A207,#REF!,14,FALSE())&gt;2,HLOOKUP($A207,#REF!,14,FALSE())&lt;-2),"",#REF!),"")</f>
        <v/>
      </c>
      <c r="Q207" s="0" t="str">
        <f aca="false">IFERROR(IF(OR(HLOOKUP($A207,#REF!,15,FALSE())&gt;2,HLOOKUP($A207,#REF!,15,FALSE())&lt;-2),"",#REF!),"")</f>
        <v/>
      </c>
      <c r="R207" s="0" t="str">
        <f aca="false">IFERROR(IF(OR(HLOOKUP($A207,#REF!,16,FALSE())&gt;2,HLOOKUP($A207,#REF!,16,FALSE())&lt;-2),"",#REF!),"")</f>
        <v/>
      </c>
      <c r="S207" s="0" t="str">
        <f aca="false">IFERROR(IF(OR(HLOOKUP($A207,#REF!,17,FALSE())&gt;2,HLOOKUP($A207,#REF!,17,FALSE())&lt;-2),"",#REF!),"")</f>
        <v/>
      </c>
      <c r="T207" s="0" t="str">
        <f aca="false">IFERROR(IF(OR(HLOOKUP($A207,#REF!,18,FALSE())&gt;2,HLOOKUP($A207,#REF!,18,FALSE())&lt;-2),"",#REF!),"")</f>
        <v/>
      </c>
      <c r="U207" s="0" t="str">
        <f aca="false">IFERROR(IF(OR(HLOOKUP($A207,#REF!,19,FALSE())&gt;2,HLOOKUP($A207,#REF!,19,FALSE())&lt;-2),"",#REF!),"")</f>
        <v/>
      </c>
      <c r="V207" s="0" t="n">
        <f aca="false">IFERROR(IF(AND(X207=0,Y207=0),0,1),0)</f>
        <v>1</v>
      </c>
      <c r="W207" s="3" t="str">
        <f aca="false">IFERROR(_xlfn.T.TEST(E207:M207,N207:U207,2,2),"")</f>
        <v/>
      </c>
      <c r="X207" s="0" t="str">
        <f aca="false">IFERROR(AVERAGE(E207:M207),"")</f>
        <v/>
      </c>
      <c r="Y207" s="0" t="str">
        <f aca="false">IFERROR(AVERAGE(N207:U207),"")</f>
        <v/>
      </c>
    </row>
    <row r="208" customFormat="false" ht="14.5" hidden="false" customHeight="false" outlineLevel="0" collapsed="false">
      <c r="A208" s="0" t="n">
        <v>212</v>
      </c>
      <c r="B208" s="0" t="s">
        <v>295</v>
      </c>
      <c r="C208" s="0" t="n">
        <v>30100</v>
      </c>
      <c r="D208" s="0" t="n">
        <v>507</v>
      </c>
      <c r="E208" s="0" t="str">
        <f aca="false">IFERROR(IF(OR(HLOOKUP($A208,#REF!,3,FALSE())&gt;2,HLOOKUP(A208,#REF!,3,FALSE())&lt;-2),"",#REF!),"")</f>
        <v/>
      </c>
      <c r="F208" s="0" t="str">
        <f aca="false">IFERROR(IF(OR(HLOOKUP($A208,#REF!,4,FALSE())&gt;2,HLOOKUP($A208,#REF!,4,FALSE())&lt;-2),"",#REF!),"")</f>
        <v/>
      </c>
      <c r="G208" s="0" t="str">
        <f aca="false">IFERROR(IF(OR(HLOOKUP($A208,#REF!,5,FALSE())&gt;2,HLOOKUP($A208,#REF!,5,FALSE())&lt;-2),"",#REF!),"")</f>
        <v/>
      </c>
      <c r="H208" s="0" t="str">
        <f aca="false">IFERROR(IF(OR(HLOOKUP($A208,#REF!,6,FALSE())&gt;2,HLOOKUP($A208,#REF!,6,FALSE())&lt;-2),"",#REF!),"")</f>
        <v/>
      </c>
      <c r="I208" s="0" t="str">
        <f aca="false">IFERROR(IF(OR(HLOOKUP($A208,#REF!,7,FALSE())&gt;2,HLOOKUP($A208,#REF!,7,FALSE())&lt;-2),"",#REF!),"")</f>
        <v/>
      </c>
      <c r="J208" s="0" t="str">
        <f aca="false">IFERROR(IF(OR(HLOOKUP($A208,#REF!,8,FALSE())&gt;2,HLOOKUP($A208,#REF!,8,FALSE())&lt;-2),"",#REF!),"")</f>
        <v/>
      </c>
      <c r="K208" s="0" t="str">
        <f aca="false">IFERROR(IF(OR(HLOOKUP($A208,#REF!,9,FALSE())&gt;2,HLOOKUP($A208,#REF!,9,FALSE())&lt;-2),"",#REF!),"")</f>
        <v/>
      </c>
      <c r="L208" s="0" t="str">
        <f aca="false">IFERROR(IF(OR(HLOOKUP($A208,#REF!,10,FALSE())&gt;2,HLOOKUP($A208,#REF!,10,FALSE())&lt;-2),"",#REF!),"")</f>
        <v/>
      </c>
      <c r="M208" s="0" t="str">
        <f aca="false">IFERROR(IF(OR(HLOOKUP($A208,#REF!,11,FALSE())&gt;2,HLOOKUP($A208,#REF!,11,FALSE())&lt;-2),"",#REF!),"")</f>
        <v/>
      </c>
      <c r="N208" s="0" t="str">
        <f aca="false">IFERROR(IF(OR(HLOOKUP($A208,#REF!,12,FALSE())&gt;2,HLOOKUP($A208,#REF!,12,FALSE())&lt;-2),"",#REF!),"")</f>
        <v/>
      </c>
      <c r="O208" s="0" t="str">
        <f aca="false">IFERROR(IF(OR(HLOOKUP($A208,#REF!,13,FALSE())&gt;2,HLOOKUP($A208,#REF!,13,FALSE())&lt;-2),"",#REF!),"")</f>
        <v/>
      </c>
      <c r="P208" s="0" t="str">
        <f aca="false">IFERROR(IF(OR(HLOOKUP($A208,#REF!,14,FALSE())&gt;2,HLOOKUP($A208,#REF!,14,FALSE())&lt;-2),"",#REF!),"")</f>
        <v/>
      </c>
      <c r="Q208" s="0" t="str">
        <f aca="false">IFERROR(IF(OR(HLOOKUP($A208,#REF!,15,FALSE())&gt;2,HLOOKUP($A208,#REF!,15,FALSE())&lt;-2),"",#REF!),"")</f>
        <v/>
      </c>
      <c r="R208" s="0" t="str">
        <f aca="false">IFERROR(IF(OR(HLOOKUP($A208,#REF!,16,FALSE())&gt;2,HLOOKUP($A208,#REF!,16,FALSE())&lt;-2),"",#REF!),"")</f>
        <v/>
      </c>
      <c r="S208" s="0" t="str">
        <f aca="false">IFERROR(IF(OR(HLOOKUP($A208,#REF!,17,FALSE())&gt;2,HLOOKUP($A208,#REF!,17,FALSE())&lt;-2),"",#REF!),"")</f>
        <v/>
      </c>
      <c r="T208" s="0" t="str">
        <f aca="false">IFERROR(IF(OR(HLOOKUP($A208,#REF!,18,FALSE())&gt;2,HLOOKUP($A208,#REF!,18,FALSE())&lt;-2),"",#REF!),"")</f>
        <v/>
      </c>
      <c r="U208" s="0" t="str">
        <f aca="false">IFERROR(IF(OR(HLOOKUP($A208,#REF!,19,FALSE())&gt;2,HLOOKUP($A208,#REF!,19,FALSE())&lt;-2),"",#REF!),"")</f>
        <v/>
      </c>
      <c r="V208" s="0" t="n">
        <f aca="false">IFERROR(IF(AND(X208=0,Y208=0),0,1),0)</f>
        <v>1</v>
      </c>
      <c r="W208" s="3" t="str">
        <f aca="false">IFERROR(_xlfn.T.TEST(E208:M208,N208:U208,2,2),"")</f>
        <v/>
      </c>
      <c r="X208" s="0" t="str">
        <f aca="false">IFERROR(AVERAGE(E208:M208),"")</f>
        <v/>
      </c>
      <c r="Y208" s="0" t="str">
        <f aca="false">IFERROR(AVERAGE(N208:U208),"")</f>
        <v/>
      </c>
    </row>
    <row r="209" customFormat="false" ht="14.5" hidden="false" customHeight="false" outlineLevel="0" collapsed="false">
      <c r="A209" s="0" t="n">
        <v>213</v>
      </c>
      <c r="B209" s="0" t="s">
        <v>296</v>
      </c>
      <c r="C209" s="0" t="n">
        <v>110300</v>
      </c>
      <c r="D209" s="0" t="n">
        <v>855</v>
      </c>
      <c r="E209" s="0" t="str">
        <f aca="false">IFERROR(IF(OR(HLOOKUP($A209,#REF!,3,FALSE())&gt;2,HLOOKUP(A209,#REF!,3,FALSE())&lt;-2),"",#REF!),"")</f>
        <v/>
      </c>
      <c r="F209" s="0" t="str">
        <f aca="false">IFERROR(IF(OR(HLOOKUP($A209,#REF!,4,FALSE())&gt;2,HLOOKUP($A209,#REF!,4,FALSE())&lt;-2),"",#REF!),"")</f>
        <v/>
      </c>
      <c r="G209" s="0" t="str">
        <f aca="false">IFERROR(IF(OR(HLOOKUP($A209,#REF!,5,FALSE())&gt;2,HLOOKUP($A209,#REF!,5,FALSE())&lt;-2),"",#REF!),"")</f>
        <v/>
      </c>
      <c r="H209" s="0" t="str">
        <f aca="false">IFERROR(IF(OR(HLOOKUP($A209,#REF!,6,FALSE())&gt;2,HLOOKUP($A209,#REF!,6,FALSE())&lt;-2),"",#REF!),"")</f>
        <v/>
      </c>
      <c r="I209" s="0" t="str">
        <f aca="false">IFERROR(IF(OR(HLOOKUP($A209,#REF!,7,FALSE())&gt;2,HLOOKUP($A209,#REF!,7,FALSE())&lt;-2),"",#REF!),"")</f>
        <v/>
      </c>
      <c r="J209" s="0" t="str">
        <f aca="false">IFERROR(IF(OR(HLOOKUP($A209,#REF!,8,FALSE())&gt;2,HLOOKUP($A209,#REF!,8,FALSE())&lt;-2),"",#REF!),"")</f>
        <v/>
      </c>
      <c r="K209" s="0" t="str">
        <f aca="false">IFERROR(IF(OR(HLOOKUP($A209,#REF!,9,FALSE())&gt;2,HLOOKUP($A209,#REF!,9,FALSE())&lt;-2),"",#REF!),"")</f>
        <v/>
      </c>
      <c r="L209" s="0" t="str">
        <f aca="false">IFERROR(IF(OR(HLOOKUP($A209,#REF!,10,FALSE())&gt;2,HLOOKUP($A209,#REF!,10,FALSE())&lt;-2),"",#REF!),"")</f>
        <v/>
      </c>
      <c r="M209" s="0" t="str">
        <f aca="false">IFERROR(IF(OR(HLOOKUP($A209,#REF!,11,FALSE())&gt;2,HLOOKUP($A209,#REF!,11,FALSE())&lt;-2),"",#REF!),"")</f>
        <v/>
      </c>
      <c r="N209" s="0" t="str">
        <f aca="false">IFERROR(IF(OR(HLOOKUP($A209,#REF!,12,FALSE())&gt;2,HLOOKUP($A209,#REF!,12,FALSE())&lt;-2),"",#REF!),"")</f>
        <v/>
      </c>
      <c r="O209" s="0" t="str">
        <f aca="false">IFERROR(IF(OR(HLOOKUP($A209,#REF!,13,FALSE())&gt;2,HLOOKUP($A209,#REF!,13,FALSE())&lt;-2),"",#REF!),"")</f>
        <v/>
      </c>
      <c r="P209" s="0" t="str">
        <f aca="false">IFERROR(IF(OR(HLOOKUP($A209,#REF!,14,FALSE())&gt;2,HLOOKUP($A209,#REF!,14,FALSE())&lt;-2),"",#REF!),"")</f>
        <v/>
      </c>
      <c r="Q209" s="0" t="str">
        <f aca="false">IFERROR(IF(OR(HLOOKUP($A209,#REF!,15,FALSE())&gt;2,HLOOKUP($A209,#REF!,15,FALSE())&lt;-2),"",#REF!),"")</f>
        <v/>
      </c>
      <c r="R209" s="0" t="str">
        <f aca="false">IFERROR(IF(OR(HLOOKUP($A209,#REF!,16,FALSE())&gt;2,HLOOKUP($A209,#REF!,16,FALSE())&lt;-2),"",#REF!),"")</f>
        <v/>
      </c>
      <c r="S209" s="0" t="str">
        <f aca="false">IFERROR(IF(OR(HLOOKUP($A209,#REF!,17,FALSE())&gt;2,HLOOKUP($A209,#REF!,17,FALSE())&lt;-2),"",#REF!),"")</f>
        <v/>
      </c>
      <c r="T209" s="0" t="str">
        <f aca="false">IFERROR(IF(OR(HLOOKUP($A209,#REF!,18,FALSE())&gt;2,HLOOKUP($A209,#REF!,18,FALSE())&lt;-2),"",#REF!),"")</f>
        <v/>
      </c>
      <c r="U209" s="0" t="str">
        <f aca="false">IFERROR(IF(OR(HLOOKUP($A209,#REF!,19,FALSE())&gt;2,HLOOKUP($A209,#REF!,19,FALSE())&lt;-2),"",#REF!),"")</f>
        <v/>
      </c>
      <c r="V209" s="0" t="n">
        <f aca="false">IFERROR(IF(AND(X209=0,Y209=0),0,1),0)</f>
        <v>1</v>
      </c>
      <c r="W209" s="3" t="str">
        <f aca="false">IFERROR(_xlfn.T.TEST(E209:M209,N209:U209,2,2),"")</f>
        <v/>
      </c>
      <c r="X209" s="0" t="str">
        <f aca="false">IFERROR(AVERAGE(E209:M209),"")</f>
        <v/>
      </c>
      <c r="Y209" s="0" t="str">
        <f aca="false">IFERROR(AVERAGE(N209:U209),"")</f>
        <v/>
      </c>
    </row>
    <row r="210" customFormat="false" ht="14.5" hidden="false" customHeight="false" outlineLevel="0" collapsed="false">
      <c r="A210" s="0" t="n">
        <v>214</v>
      </c>
      <c r="B210" s="0" t="s">
        <v>297</v>
      </c>
      <c r="C210" s="0" t="n">
        <v>82700</v>
      </c>
      <c r="D210" s="0" t="n">
        <v>323</v>
      </c>
      <c r="E210" s="0" t="str">
        <f aca="false">IFERROR(IF(OR(HLOOKUP($A210,#REF!,3,FALSE())&gt;2,HLOOKUP(A210,#REF!,3,FALSE())&lt;-2),"",#REF!),"")</f>
        <v/>
      </c>
      <c r="F210" s="0" t="str">
        <f aca="false">IFERROR(IF(OR(HLOOKUP($A210,#REF!,4,FALSE())&gt;2,HLOOKUP($A210,#REF!,4,FALSE())&lt;-2),"",#REF!),"")</f>
        <v/>
      </c>
      <c r="G210" s="0" t="str">
        <f aca="false">IFERROR(IF(OR(HLOOKUP($A210,#REF!,5,FALSE())&gt;2,HLOOKUP($A210,#REF!,5,FALSE())&lt;-2),"",#REF!),"")</f>
        <v/>
      </c>
      <c r="H210" s="0" t="str">
        <f aca="false">IFERROR(IF(OR(HLOOKUP($A210,#REF!,6,FALSE())&gt;2,HLOOKUP($A210,#REF!,6,FALSE())&lt;-2),"",#REF!),"")</f>
        <v/>
      </c>
      <c r="I210" s="0" t="str">
        <f aca="false">IFERROR(IF(OR(HLOOKUP($A210,#REF!,7,FALSE())&gt;2,HLOOKUP($A210,#REF!,7,FALSE())&lt;-2),"",#REF!),"")</f>
        <v/>
      </c>
      <c r="J210" s="0" t="str">
        <f aca="false">IFERROR(IF(OR(HLOOKUP($A210,#REF!,8,FALSE())&gt;2,HLOOKUP($A210,#REF!,8,FALSE())&lt;-2),"",#REF!),"")</f>
        <v/>
      </c>
      <c r="K210" s="0" t="str">
        <f aca="false">IFERROR(IF(OR(HLOOKUP($A210,#REF!,9,FALSE())&gt;2,HLOOKUP($A210,#REF!,9,FALSE())&lt;-2),"",#REF!),"")</f>
        <v/>
      </c>
      <c r="L210" s="0" t="str">
        <f aca="false">IFERROR(IF(OR(HLOOKUP($A210,#REF!,10,FALSE())&gt;2,HLOOKUP($A210,#REF!,10,FALSE())&lt;-2),"",#REF!),"")</f>
        <v/>
      </c>
      <c r="M210" s="0" t="str">
        <f aca="false">IFERROR(IF(OR(HLOOKUP($A210,#REF!,11,FALSE())&gt;2,HLOOKUP($A210,#REF!,11,FALSE())&lt;-2),"",#REF!),"")</f>
        <v/>
      </c>
      <c r="N210" s="0" t="str">
        <f aca="false">IFERROR(IF(OR(HLOOKUP($A210,#REF!,12,FALSE())&gt;2,HLOOKUP($A210,#REF!,12,FALSE())&lt;-2),"",#REF!),"")</f>
        <v/>
      </c>
      <c r="O210" s="0" t="str">
        <f aca="false">IFERROR(IF(OR(HLOOKUP($A210,#REF!,13,FALSE())&gt;2,HLOOKUP($A210,#REF!,13,FALSE())&lt;-2),"",#REF!),"")</f>
        <v/>
      </c>
      <c r="P210" s="0" t="str">
        <f aca="false">IFERROR(IF(OR(HLOOKUP($A210,#REF!,14,FALSE())&gt;2,HLOOKUP($A210,#REF!,14,FALSE())&lt;-2),"",#REF!),"")</f>
        <v/>
      </c>
      <c r="Q210" s="0" t="str">
        <f aca="false">IFERROR(IF(OR(HLOOKUP($A210,#REF!,15,FALSE())&gt;2,HLOOKUP($A210,#REF!,15,FALSE())&lt;-2),"",#REF!),"")</f>
        <v/>
      </c>
      <c r="R210" s="0" t="str">
        <f aca="false">IFERROR(IF(OR(HLOOKUP($A210,#REF!,16,FALSE())&gt;2,HLOOKUP($A210,#REF!,16,FALSE())&lt;-2),"",#REF!),"")</f>
        <v/>
      </c>
      <c r="S210" s="0" t="str">
        <f aca="false">IFERROR(IF(OR(HLOOKUP($A210,#REF!,17,FALSE())&gt;2,HLOOKUP($A210,#REF!,17,FALSE())&lt;-2),"",#REF!),"")</f>
        <v/>
      </c>
      <c r="T210" s="0" t="str">
        <f aca="false">IFERROR(IF(OR(HLOOKUP($A210,#REF!,18,FALSE())&gt;2,HLOOKUP($A210,#REF!,18,FALSE())&lt;-2),"",#REF!),"")</f>
        <v/>
      </c>
      <c r="U210" s="0" t="str">
        <f aca="false">IFERROR(IF(OR(HLOOKUP($A210,#REF!,19,FALSE())&gt;2,HLOOKUP($A210,#REF!,19,FALSE())&lt;-2),"",#REF!),"")</f>
        <v/>
      </c>
      <c r="V210" s="0" t="n">
        <f aca="false">IFERROR(IF(AND(X210=0,Y210=0),0,1),0)</f>
        <v>1</v>
      </c>
      <c r="W210" s="3" t="str">
        <f aca="false">IFERROR(_xlfn.T.TEST(E210:M210,N210:U210,2,2),"")</f>
        <v/>
      </c>
      <c r="X210" s="0" t="str">
        <f aca="false">IFERROR(AVERAGE(E210:M210),"")</f>
        <v/>
      </c>
      <c r="Y210" s="0" t="str">
        <f aca="false">IFERROR(AVERAGE(N210:U210),"")</f>
        <v/>
      </c>
    </row>
    <row r="211" customFormat="false" ht="14.5" hidden="false" customHeight="false" outlineLevel="0" collapsed="false">
      <c r="A211" s="0" t="n">
        <v>215</v>
      </c>
      <c r="B211" s="0" t="s">
        <v>298</v>
      </c>
      <c r="C211" s="0" t="n">
        <v>82000</v>
      </c>
      <c r="D211" s="0" t="n">
        <v>1100</v>
      </c>
      <c r="E211" s="0" t="str">
        <f aca="false">IFERROR(IF(OR(HLOOKUP($A211,#REF!,3,FALSE())&gt;2,HLOOKUP(A211,#REF!,3,FALSE())&lt;-2),"",#REF!),"")</f>
        <v/>
      </c>
      <c r="F211" s="0" t="str">
        <f aca="false">IFERROR(IF(OR(HLOOKUP($A211,#REF!,4,FALSE())&gt;2,HLOOKUP($A211,#REF!,4,FALSE())&lt;-2),"",#REF!),"")</f>
        <v/>
      </c>
      <c r="G211" s="0" t="str">
        <f aca="false">IFERROR(IF(OR(HLOOKUP($A211,#REF!,5,FALSE())&gt;2,HLOOKUP($A211,#REF!,5,FALSE())&lt;-2),"",#REF!),"")</f>
        <v/>
      </c>
      <c r="H211" s="0" t="str">
        <f aca="false">IFERROR(IF(OR(HLOOKUP($A211,#REF!,6,FALSE())&gt;2,HLOOKUP($A211,#REF!,6,FALSE())&lt;-2),"",#REF!),"")</f>
        <v/>
      </c>
      <c r="I211" s="0" t="str">
        <f aca="false">IFERROR(IF(OR(HLOOKUP($A211,#REF!,7,FALSE())&gt;2,HLOOKUP($A211,#REF!,7,FALSE())&lt;-2),"",#REF!),"")</f>
        <v/>
      </c>
      <c r="J211" s="0" t="str">
        <f aca="false">IFERROR(IF(OR(HLOOKUP($A211,#REF!,8,FALSE())&gt;2,HLOOKUP($A211,#REF!,8,FALSE())&lt;-2),"",#REF!),"")</f>
        <v/>
      </c>
      <c r="K211" s="0" t="str">
        <f aca="false">IFERROR(IF(OR(HLOOKUP($A211,#REF!,9,FALSE())&gt;2,HLOOKUP($A211,#REF!,9,FALSE())&lt;-2),"",#REF!),"")</f>
        <v/>
      </c>
      <c r="L211" s="0" t="str">
        <f aca="false">IFERROR(IF(OR(HLOOKUP($A211,#REF!,10,FALSE())&gt;2,HLOOKUP($A211,#REF!,10,FALSE())&lt;-2),"",#REF!),"")</f>
        <v/>
      </c>
      <c r="M211" s="0" t="str">
        <f aca="false">IFERROR(IF(OR(HLOOKUP($A211,#REF!,11,FALSE())&gt;2,HLOOKUP($A211,#REF!,11,FALSE())&lt;-2),"",#REF!),"")</f>
        <v/>
      </c>
      <c r="N211" s="0" t="str">
        <f aca="false">IFERROR(IF(OR(HLOOKUP($A211,#REF!,12,FALSE())&gt;2,HLOOKUP($A211,#REF!,12,FALSE())&lt;-2),"",#REF!),"")</f>
        <v/>
      </c>
      <c r="O211" s="0" t="str">
        <f aca="false">IFERROR(IF(OR(HLOOKUP($A211,#REF!,13,FALSE())&gt;2,HLOOKUP($A211,#REF!,13,FALSE())&lt;-2),"",#REF!),"")</f>
        <v/>
      </c>
      <c r="P211" s="0" t="str">
        <f aca="false">IFERROR(IF(OR(HLOOKUP($A211,#REF!,14,FALSE())&gt;2,HLOOKUP($A211,#REF!,14,FALSE())&lt;-2),"",#REF!),"")</f>
        <v/>
      </c>
      <c r="Q211" s="0" t="str">
        <f aca="false">IFERROR(IF(OR(HLOOKUP($A211,#REF!,15,FALSE())&gt;2,HLOOKUP($A211,#REF!,15,FALSE())&lt;-2),"",#REF!),"")</f>
        <v/>
      </c>
      <c r="R211" s="0" t="str">
        <f aca="false">IFERROR(IF(OR(HLOOKUP($A211,#REF!,16,FALSE())&gt;2,HLOOKUP($A211,#REF!,16,FALSE())&lt;-2),"",#REF!),"")</f>
        <v/>
      </c>
      <c r="S211" s="0" t="str">
        <f aca="false">IFERROR(IF(OR(HLOOKUP($A211,#REF!,17,FALSE())&gt;2,HLOOKUP($A211,#REF!,17,FALSE())&lt;-2),"",#REF!),"")</f>
        <v/>
      </c>
      <c r="T211" s="0" t="str">
        <f aca="false">IFERROR(IF(OR(HLOOKUP($A211,#REF!,18,FALSE())&gt;2,HLOOKUP($A211,#REF!,18,FALSE())&lt;-2),"",#REF!),"")</f>
        <v/>
      </c>
      <c r="U211" s="0" t="str">
        <f aca="false">IFERROR(IF(OR(HLOOKUP($A211,#REF!,19,FALSE())&gt;2,HLOOKUP($A211,#REF!,19,FALSE())&lt;-2),"",#REF!),"")</f>
        <v/>
      </c>
      <c r="V211" s="0" t="n">
        <f aca="false">IFERROR(IF(AND(X211=0,Y211=0),0,1),0)</f>
        <v>1</v>
      </c>
      <c r="W211" s="3" t="str">
        <f aca="false">IFERROR(_xlfn.T.TEST(E211:M211,N211:U211,2,2),"")</f>
        <v/>
      </c>
      <c r="X211" s="0" t="str">
        <f aca="false">IFERROR(AVERAGE(E211:M211),"")</f>
        <v/>
      </c>
      <c r="Y211" s="0" t="str">
        <f aca="false">IFERROR(AVERAGE(N211:U211),"")</f>
        <v/>
      </c>
    </row>
    <row r="212" customFormat="false" ht="14.5" hidden="false" customHeight="false" outlineLevel="0" collapsed="false">
      <c r="A212" s="0" t="n">
        <v>216</v>
      </c>
      <c r="B212" s="0" t="s">
        <v>299</v>
      </c>
      <c r="C212" s="0" t="n">
        <v>35500</v>
      </c>
      <c r="D212" s="0" t="n">
        <v>655</v>
      </c>
      <c r="E212" s="0" t="str">
        <f aca="false">IFERROR(IF(OR(HLOOKUP($A212,#REF!,3,FALSE())&gt;2,HLOOKUP(A212,#REF!,3,FALSE())&lt;-2),"",#REF!),"")</f>
        <v/>
      </c>
      <c r="F212" s="0" t="str">
        <f aca="false">IFERROR(IF(OR(HLOOKUP($A212,#REF!,4,FALSE())&gt;2,HLOOKUP($A212,#REF!,4,FALSE())&lt;-2),"",#REF!),"")</f>
        <v/>
      </c>
      <c r="G212" s="0" t="str">
        <f aca="false">IFERROR(IF(OR(HLOOKUP($A212,#REF!,5,FALSE())&gt;2,HLOOKUP($A212,#REF!,5,FALSE())&lt;-2),"",#REF!),"")</f>
        <v/>
      </c>
      <c r="H212" s="0" t="str">
        <f aca="false">IFERROR(IF(OR(HLOOKUP($A212,#REF!,6,FALSE())&gt;2,HLOOKUP($A212,#REF!,6,FALSE())&lt;-2),"",#REF!),"")</f>
        <v/>
      </c>
      <c r="I212" s="0" t="str">
        <f aca="false">IFERROR(IF(OR(HLOOKUP($A212,#REF!,7,FALSE())&gt;2,HLOOKUP($A212,#REF!,7,FALSE())&lt;-2),"",#REF!),"")</f>
        <v/>
      </c>
      <c r="J212" s="0" t="str">
        <f aca="false">IFERROR(IF(OR(HLOOKUP($A212,#REF!,8,FALSE())&gt;2,HLOOKUP($A212,#REF!,8,FALSE())&lt;-2),"",#REF!),"")</f>
        <v/>
      </c>
      <c r="K212" s="0" t="str">
        <f aca="false">IFERROR(IF(OR(HLOOKUP($A212,#REF!,9,FALSE())&gt;2,HLOOKUP($A212,#REF!,9,FALSE())&lt;-2),"",#REF!),"")</f>
        <v/>
      </c>
      <c r="L212" s="0" t="str">
        <f aca="false">IFERROR(IF(OR(HLOOKUP($A212,#REF!,10,FALSE())&gt;2,HLOOKUP($A212,#REF!,10,FALSE())&lt;-2),"",#REF!),"")</f>
        <v/>
      </c>
      <c r="M212" s="0" t="str">
        <f aca="false">IFERROR(IF(OR(HLOOKUP($A212,#REF!,11,FALSE())&gt;2,HLOOKUP($A212,#REF!,11,FALSE())&lt;-2),"",#REF!),"")</f>
        <v/>
      </c>
      <c r="N212" s="0" t="str">
        <f aca="false">IFERROR(IF(OR(HLOOKUP($A212,#REF!,12,FALSE())&gt;2,HLOOKUP($A212,#REF!,12,FALSE())&lt;-2),"",#REF!),"")</f>
        <v/>
      </c>
      <c r="O212" s="0" t="str">
        <f aca="false">IFERROR(IF(OR(HLOOKUP($A212,#REF!,13,FALSE())&gt;2,HLOOKUP($A212,#REF!,13,FALSE())&lt;-2),"",#REF!),"")</f>
        <v/>
      </c>
      <c r="P212" s="0" t="str">
        <f aca="false">IFERROR(IF(OR(HLOOKUP($A212,#REF!,14,FALSE())&gt;2,HLOOKUP($A212,#REF!,14,FALSE())&lt;-2),"",#REF!),"")</f>
        <v/>
      </c>
      <c r="Q212" s="0" t="str">
        <f aca="false">IFERROR(IF(OR(HLOOKUP($A212,#REF!,15,FALSE())&gt;2,HLOOKUP($A212,#REF!,15,FALSE())&lt;-2),"",#REF!),"")</f>
        <v/>
      </c>
      <c r="R212" s="0" t="str">
        <f aca="false">IFERROR(IF(OR(HLOOKUP($A212,#REF!,16,FALSE())&gt;2,HLOOKUP($A212,#REF!,16,FALSE())&lt;-2),"",#REF!),"")</f>
        <v/>
      </c>
      <c r="S212" s="0" t="str">
        <f aca="false">IFERROR(IF(OR(HLOOKUP($A212,#REF!,17,FALSE())&gt;2,HLOOKUP($A212,#REF!,17,FALSE())&lt;-2),"",#REF!),"")</f>
        <v/>
      </c>
      <c r="T212" s="0" t="str">
        <f aca="false">IFERROR(IF(OR(HLOOKUP($A212,#REF!,18,FALSE())&gt;2,HLOOKUP($A212,#REF!,18,FALSE())&lt;-2),"",#REF!),"")</f>
        <v/>
      </c>
      <c r="U212" s="0" t="str">
        <f aca="false">IFERROR(IF(OR(HLOOKUP($A212,#REF!,19,FALSE())&gt;2,HLOOKUP($A212,#REF!,19,FALSE())&lt;-2),"",#REF!),"")</f>
        <v/>
      </c>
      <c r="V212" s="0" t="n">
        <f aca="false">IFERROR(IF(AND(X212=0,Y212=0),0,1),0)</f>
        <v>1</v>
      </c>
      <c r="W212" s="3" t="str">
        <f aca="false">IFERROR(_xlfn.T.TEST(E212:M212,N212:U212,2,2),"")</f>
        <v/>
      </c>
      <c r="X212" s="0" t="str">
        <f aca="false">IFERROR(AVERAGE(E212:M212),"")</f>
        <v/>
      </c>
      <c r="Y212" s="0" t="str">
        <f aca="false">IFERROR(AVERAGE(N212:U212),"")</f>
        <v/>
      </c>
    </row>
    <row r="213" customFormat="false" ht="14.5" hidden="false" customHeight="false" outlineLevel="0" collapsed="false">
      <c r="A213" s="0" t="n">
        <v>217</v>
      </c>
      <c r="B213" s="0" t="s">
        <v>300</v>
      </c>
      <c r="C213" s="0" t="n">
        <v>96300</v>
      </c>
      <c r="D213" s="0" t="n">
        <v>701</v>
      </c>
      <c r="E213" s="0" t="str">
        <f aca="false">IFERROR(IF(OR(HLOOKUP($A213,#REF!,3,FALSE())&gt;2,HLOOKUP(A213,#REF!,3,FALSE())&lt;-2),"",#REF!),"")</f>
        <v/>
      </c>
      <c r="F213" s="0" t="str">
        <f aca="false">IFERROR(IF(OR(HLOOKUP($A213,#REF!,4,FALSE())&gt;2,HLOOKUP($A213,#REF!,4,FALSE())&lt;-2),"",#REF!),"")</f>
        <v/>
      </c>
      <c r="G213" s="0" t="str">
        <f aca="false">IFERROR(IF(OR(HLOOKUP($A213,#REF!,5,FALSE())&gt;2,HLOOKUP($A213,#REF!,5,FALSE())&lt;-2),"",#REF!),"")</f>
        <v/>
      </c>
      <c r="H213" s="0" t="str">
        <f aca="false">IFERROR(IF(OR(HLOOKUP($A213,#REF!,6,FALSE())&gt;2,HLOOKUP($A213,#REF!,6,FALSE())&lt;-2),"",#REF!),"")</f>
        <v/>
      </c>
      <c r="I213" s="0" t="str">
        <f aca="false">IFERROR(IF(OR(HLOOKUP($A213,#REF!,7,FALSE())&gt;2,HLOOKUP($A213,#REF!,7,FALSE())&lt;-2),"",#REF!),"")</f>
        <v/>
      </c>
      <c r="J213" s="0" t="str">
        <f aca="false">IFERROR(IF(OR(HLOOKUP($A213,#REF!,8,FALSE())&gt;2,HLOOKUP($A213,#REF!,8,FALSE())&lt;-2),"",#REF!),"")</f>
        <v/>
      </c>
      <c r="K213" s="0" t="str">
        <f aca="false">IFERROR(IF(OR(HLOOKUP($A213,#REF!,9,FALSE())&gt;2,HLOOKUP($A213,#REF!,9,FALSE())&lt;-2),"",#REF!),"")</f>
        <v/>
      </c>
      <c r="L213" s="0" t="str">
        <f aca="false">IFERROR(IF(OR(HLOOKUP($A213,#REF!,10,FALSE())&gt;2,HLOOKUP($A213,#REF!,10,FALSE())&lt;-2),"",#REF!),"")</f>
        <v/>
      </c>
      <c r="M213" s="0" t="str">
        <f aca="false">IFERROR(IF(OR(HLOOKUP($A213,#REF!,11,FALSE())&gt;2,HLOOKUP($A213,#REF!,11,FALSE())&lt;-2),"",#REF!),"")</f>
        <v/>
      </c>
      <c r="N213" s="0" t="str">
        <f aca="false">IFERROR(IF(OR(HLOOKUP($A213,#REF!,12,FALSE())&gt;2,HLOOKUP($A213,#REF!,12,FALSE())&lt;-2),"",#REF!),"")</f>
        <v/>
      </c>
      <c r="O213" s="0" t="str">
        <f aca="false">IFERROR(IF(OR(HLOOKUP($A213,#REF!,13,FALSE())&gt;2,HLOOKUP($A213,#REF!,13,FALSE())&lt;-2),"",#REF!),"")</f>
        <v/>
      </c>
      <c r="P213" s="0" t="str">
        <f aca="false">IFERROR(IF(OR(HLOOKUP($A213,#REF!,14,FALSE())&gt;2,HLOOKUP($A213,#REF!,14,FALSE())&lt;-2),"",#REF!),"")</f>
        <v/>
      </c>
      <c r="Q213" s="0" t="str">
        <f aca="false">IFERROR(IF(OR(HLOOKUP($A213,#REF!,15,FALSE())&gt;2,HLOOKUP($A213,#REF!,15,FALSE())&lt;-2),"",#REF!),"")</f>
        <v/>
      </c>
      <c r="R213" s="0" t="str">
        <f aca="false">IFERROR(IF(OR(HLOOKUP($A213,#REF!,16,FALSE())&gt;2,HLOOKUP($A213,#REF!,16,FALSE())&lt;-2),"",#REF!),"")</f>
        <v/>
      </c>
      <c r="S213" s="0" t="str">
        <f aca="false">IFERROR(IF(OR(HLOOKUP($A213,#REF!,17,FALSE())&gt;2,HLOOKUP($A213,#REF!,17,FALSE())&lt;-2),"",#REF!),"")</f>
        <v/>
      </c>
      <c r="T213" s="0" t="str">
        <f aca="false">IFERROR(IF(OR(HLOOKUP($A213,#REF!,18,FALSE())&gt;2,HLOOKUP($A213,#REF!,18,FALSE())&lt;-2),"",#REF!),"")</f>
        <v/>
      </c>
      <c r="U213" s="0" t="str">
        <f aca="false">IFERROR(IF(OR(HLOOKUP($A213,#REF!,19,FALSE())&gt;2,HLOOKUP($A213,#REF!,19,FALSE())&lt;-2),"",#REF!),"")</f>
        <v/>
      </c>
      <c r="V213" s="0" t="n">
        <f aca="false">IFERROR(IF(AND(X213=0,Y213=0),0,1),0)</f>
        <v>1</v>
      </c>
      <c r="W213" s="3" t="str">
        <f aca="false">IFERROR(_xlfn.T.TEST(E213:M213,N213:U213,2,2),"")</f>
        <v/>
      </c>
      <c r="X213" s="0" t="str">
        <f aca="false">IFERROR(AVERAGE(E213:M213),"")</f>
        <v/>
      </c>
      <c r="Y213" s="0" t="str">
        <f aca="false">IFERROR(AVERAGE(N213:U213),"")</f>
        <v/>
      </c>
    </row>
    <row r="214" customFormat="false" ht="14.5" hidden="false" customHeight="false" outlineLevel="0" collapsed="false">
      <c r="A214" s="0" t="n">
        <v>218</v>
      </c>
      <c r="B214" s="0" t="s">
        <v>301</v>
      </c>
      <c r="C214" s="0" t="n">
        <v>65800</v>
      </c>
      <c r="D214" s="0" t="n">
        <v>138</v>
      </c>
      <c r="E214" s="0" t="str">
        <f aca="false">IFERROR(IF(OR(HLOOKUP($A214,#REF!,3,FALSE())&gt;2,HLOOKUP(A214,#REF!,3,FALSE())&lt;-2),"",#REF!),"")</f>
        <v/>
      </c>
      <c r="F214" s="0" t="str">
        <f aca="false">IFERROR(IF(OR(HLOOKUP($A214,#REF!,4,FALSE())&gt;2,HLOOKUP($A214,#REF!,4,FALSE())&lt;-2),"",#REF!),"")</f>
        <v/>
      </c>
      <c r="G214" s="0" t="str">
        <f aca="false">IFERROR(IF(OR(HLOOKUP($A214,#REF!,5,FALSE())&gt;2,HLOOKUP($A214,#REF!,5,FALSE())&lt;-2),"",#REF!),"")</f>
        <v/>
      </c>
      <c r="H214" s="0" t="str">
        <f aca="false">IFERROR(IF(OR(HLOOKUP($A214,#REF!,6,FALSE())&gt;2,HLOOKUP($A214,#REF!,6,FALSE())&lt;-2),"",#REF!),"")</f>
        <v/>
      </c>
      <c r="I214" s="0" t="str">
        <f aca="false">IFERROR(IF(OR(HLOOKUP($A214,#REF!,7,FALSE())&gt;2,HLOOKUP($A214,#REF!,7,FALSE())&lt;-2),"",#REF!),"")</f>
        <v/>
      </c>
      <c r="J214" s="0" t="str">
        <f aca="false">IFERROR(IF(OR(HLOOKUP($A214,#REF!,8,FALSE())&gt;2,HLOOKUP($A214,#REF!,8,FALSE())&lt;-2),"",#REF!),"")</f>
        <v/>
      </c>
      <c r="K214" s="0" t="str">
        <f aca="false">IFERROR(IF(OR(HLOOKUP($A214,#REF!,9,FALSE())&gt;2,HLOOKUP($A214,#REF!,9,FALSE())&lt;-2),"",#REF!),"")</f>
        <v/>
      </c>
      <c r="L214" s="0" t="str">
        <f aca="false">IFERROR(IF(OR(HLOOKUP($A214,#REF!,10,FALSE())&gt;2,HLOOKUP($A214,#REF!,10,FALSE())&lt;-2),"",#REF!),"")</f>
        <v/>
      </c>
      <c r="M214" s="0" t="str">
        <f aca="false">IFERROR(IF(OR(HLOOKUP($A214,#REF!,11,FALSE())&gt;2,HLOOKUP($A214,#REF!,11,FALSE())&lt;-2),"",#REF!),"")</f>
        <v/>
      </c>
      <c r="N214" s="0" t="str">
        <f aca="false">IFERROR(IF(OR(HLOOKUP($A214,#REF!,12,FALSE())&gt;2,HLOOKUP($A214,#REF!,12,FALSE())&lt;-2),"",#REF!),"")</f>
        <v/>
      </c>
      <c r="O214" s="0" t="str">
        <f aca="false">IFERROR(IF(OR(HLOOKUP($A214,#REF!,13,FALSE())&gt;2,HLOOKUP($A214,#REF!,13,FALSE())&lt;-2),"",#REF!),"")</f>
        <v/>
      </c>
      <c r="P214" s="0" t="str">
        <f aca="false">IFERROR(IF(OR(HLOOKUP($A214,#REF!,14,FALSE())&gt;2,HLOOKUP($A214,#REF!,14,FALSE())&lt;-2),"",#REF!),"")</f>
        <v/>
      </c>
      <c r="Q214" s="0" t="str">
        <f aca="false">IFERROR(IF(OR(HLOOKUP($A214,#REF!,15,FALSE())&gt;2,HLOOKUP($A214,#REF!,15,FALSE())&lt;-2),"",#REF!),"")</f>
        <v/>
      </c>
      <c r="R214" s="0" t="str">
        <f aca="false">IFERROR(IF(OR(HLOOKUP($A214,#REF!,16,FALSE())&gt;2,HLOOKUP($A214,#REF!,16,FALSE())&lt;-2),"",#REF!),"")</f>
        <v/>
      </c>
      <c r="S214" s="0" t="str">
        <f aca="false">IFERROR(IF(OR(HLOOKUP($A214,#REF!,17,FALSE())&gt;2,HLOOKUP($A214,#REF!,17,FALSE())&lt;-2),"",#REF!),"")</f>
        <v/>
      </c>
      <c r="T214" s="0" t="str">
        <f aca="false">IFERROR(IF(OR(HLOOKUP($A214,#REF!,18,FALSE())&gt;2,HLOOKUP($A214,#REF!,18,FALSE())&lt;-2),"",#REF!),"")</f>
        <v/>
      </c>
      <c r="U214" s="0" t="str">
        <f aca="false">IFERROR(IF(OR(HLOOKUP($A214,#REF!,19,FALSE())&gt;2,HLOOKUP($A214,#REF!,19,FALSE())&lt;-2),"",#REF!),"")</f>
        <v/>
      </c>
      <c r="V214" s="0" t="n">
        <f aca="false">IFERROR(IF(AND(X214=0,Y214=0),0,1),0)</f>
        <v>1</v>
      </c>
      <c r="W214" s="3" t="str">
        <f aca="false">IFERROR(_xlfn.T.TEST(E214:M214,N214:U214,2,2),"")</f>
        <v/>
      </c>
      <c r="X214" s="0" t="str">
        <f aca="false">IFERROR(AVERAGE(E214:M214),"")</f>
        <v/>
      </c>
      <c r="Y214" s="0" t="str">
        <f aca="false">IFERROR(AVERAGE(N214:U214),"")</f>
        <v/>
      </c>
    </row>
    <row r="215" customFormat="false" ht="14.5" hidden="false" customHeight="false" outlineLevel="0" collapsed="false">
      <c r="A215" s="0" t="n">
        <v>219</v>
      </c>
      <c r="B215" s="0" t="s">
        <v>302</v>
      </c>
      <c r="C215" s="0" t="n">
        <v>1100</v>
      </c>
      <c r="D215" s="0" t="n">
        <v>500</v>
      </c>
      <c r="E215" s="0" t="str">
        <f aca="false">IFERROR(IF(OR(HLOOKUP($A215,#REF!,3,FALSE())&gt;2,HLOOKUP(A215,#REF!,3,FALSE())&lt;-2),"",#REF!),"")</f>
        <v/>
      </c>
      <c r="F215" s="0" t="str">
        <f aca="false">IFERROR(IF(OR(HLOOKUP($A215,#REF!,4,FALSE())&gt;2,HLOOKUP($A215,#REF!,4,FALSE())&lt;-2),"",#REF!),"")</f>
        <v/>
      </c>
      <c r="G215" s="0" t="str">
        <f aca="false">IFERROR(IF(OR(HLOOKUP($A215,#REF!,5,FALSE())&gt;2,HLOOKUP($A215,#REF!,5,FALSE())&lt;-2),"",#REF!),"")</f>
        <v/>
      </c>
      <c r="H215" s="0" t="str">
        <f aca="false">IFERROR(IF(OR(HLOOKUP($A215,#REF!,6,FALSE())&gt;2,HLOOKUP($A215,#REF!,6,FALSE())&lt;-2),"",#REF!),"")</f>
        <v/>
      </c>
      <c r="I215" s="0" t="str">
        <f aca="false">IFERROR(IF(OR(HLOOKUP($A215,#REF!,7,FALSE())&gt;2,HLOOKUP($A215,#REF!,7,FALSE())&lt;-2),"",#REF!),"")</f>
        <v/>
      </c>
      <c r="J215" s="0" t="str">
        <f aca="false">IFERROR(IF(OR(HLOOKUP($A215,#REF!,8,FALSE())&gt;2,HLOOKUP($A215,#REF!,8,FALSE())&lt;-2),"",#REF!),"")</f>
        <v/>
      </c>
      <c r="K215" s="0" t="str">
        <f aca="false">IFERROR(IF(OR(HLOOKUP($A215,#REF!,9,FALSE())&gt;2,HLOOKUP($A215,#REF!,9,FALSE())&lt;-2),"",#REF!),"")</f>
        <v/>
      </c>
      <c r="L215" s="0" t="str">
        <f aca="false">IFERROR(IF(OR(HLOOKUP($A215,#REF!,10,FALSE())&gt;2,HLOOKUP($A215,#REF!,10,FALSE())&lt;-2),"",#REF!),"")</f>
        <v/>
      </c>
      <c r="M215" s="0" t="str">
        <f aca="false">IFERROR(IF(OR(HLOOKUP($A215,#REF!,11,FALSE())&gt;2,HLOOKUP($A215,#REF!,11,FALSE())&lt;-2),"",#REF!),"")</f>
        <v/>
      </c>
      <c r="N215" s="0" t="str">
        <f aca="false">IFERROR(IF(OR(HLOOKUP($A215,#REF!,12,FALSE())&gt;2,HLOOKUP($A215,#REF!,12,FALSE())&lt;-2),"",#REF!),"")</f>
        <v/>
      </c>
      <c r="O215" s="0" t="str">
        <f aca="false">IFERROR(IF(OR(HLOOKUP($A215,#REF!,13,FALSE())&gt;2,HLOOKUP($A215,#REF!,13,FALSE())&lt;-2),"",#REF!),"")</f>
        <v/>
      </c>
      <c r="P215" s="0" t="str">
        <f aca="false">IFERROR(IF(OR(HLOOKUP($A215,#REF!,14,FALSE())&gt;2,HLOOKUP($A215,#REF!,14,FALSE())&lt;-2),"",#REF!),"")</f>
        <v/>
      </c>
      <c r="Q215" s="0" t="str">
        <f aca="false">IFERROR(IF(OR(HLOOKUP($A215,#REF!,15,FALSE())&gt;2,HLOOKUP($A215,#REF!,15,FALSE())&lt;-2),"",#REF!),"")</f>
        <v/>
      </c>
      <c r="R215" s="0" t="str">
        <f aca="false">IFERROR(IF(OR(HLOOKUP($A215,#REF!,16,FALSE())&gt;2,HLOOKUP($A215,#REF!,16,FALSE())&lt;-2),"",#REF!),"")</f>
        <v/>
      </c>
      <c r="S215" s="0" t="str">
        <f aca="false">IFERROR(IF(OR(HLOOKUP($A215,#REF!,17,FALSE())&gt;2,HLOOKUP($A215,#REF!,17,FALSE())&lt;-2),"",#REF!),"")</f>
        <v/>
      </c>
      <c r="T215" s="0" t="str">
        <f aca="false">IFERROR(IF(OR(HLOOKUP($A215,#REF!,18,FALSE())&gt;2,HLOOKUP($A215,#REF!,18,FALSE())&lt;-2),"",#REF!),"")</f>
        <v/>
      </c>
      <c r="U215" s="0" t="str">
        <f aca="false">IFERROR(IF(OR(HLOOKUP($A215,#REF!,19,FALSE())&gt;2,HLOOKUP($A215,#REF!,19,FALSE())&lt;-2),"",#REF!),"")</f>
        <v/>
      </c>
      <c r="V215" s="0" t="n">
        <f aca="false">IFERROR(IF(AND(X215=0,Y215=0),0,1),0)</f>
        <v>1</v>
      </c>
      <c r="W215" s="3" t="str">
        <f aca="false">IFERROR(_xlfn.T.TEST(E215:M215,N215:U215,2,2),"")</f>
        <v/>
      </c>
      <c r="X215" s="0" t="str">
        <f aca="false">IFERROR(AVERAGE(E215:M215),"")</f>
        <v/>
      </c>
      <c r="Y215" s="0" t="str">
        <f aca="false">IFERROR(AVERAGE(N215:U215),"")</f>
        <v/>
      </c>
    </row>
    <row r="216" customFormat="false" ht="14.5" hidden="false" customHeight="false" outlineLevel="0" collapsed="false">
      <c r="A216" s="0" t="n">
        <v>220</v>
      </c>
      <c r="B216" s="0" t="s">
        <v>303</v>
      </c>
      <c r="C216" s="0" t="n">
        <v>30200</v>
      </c>
      <c r="D216" s="0" t="n">
        <v>507</v>
      </c>
      <c r="E216" s="0" t="str">
        <f aca="false">IFERROR(IF(OR(HLOOKUP($A216,#REF!,3,FALSE())&gt;2,HLOOKUP(A216,#REF!,3,FALSE())&lt;-2),"",#REF!),"")</f>
        <v/>
      </c>
      <c r="F216" s="0" t="str">
        <f aca="false">IFERROR(IF(OR(HLOOKUP($A216,#REF!,4,FALSE())&gt;2,HLOOKUP($A216,#REF!,4,FALSE())&lt;-2),"",#REF!),"")</f>
        <v/>
      </c>
      <c r="G216" s="0" t="str">
        <f aca="false">IFERROR(IF(OR(HLOOKUP($A216,#REF!,5,FALSE())&gt;2,HLOOKUP($A216,#REF!,5,FALSE())&lt;-2),"",#REF!),"")</f>
        <v/>
      </c>
      <c r="H216" s="0" t="str">
        <f aca="false">IFERROR(IF(OR(HLOOKUP($A216,#REF!,6,FALSE())&gt;2,HLOOKUP($A216,#REF!,6,FALSE())&lt;-2),"",#REF!),"")</f>
        <v/>
      </c>
      <c r="I216" s="0" t="str">
        <f aca="false">IFERROR(IF(OR(HLOOKUP($A216,#REF!,7,FALSE())&gt;2,HLOOKUP($A216,#REF!,7,FALSE())&lt;-2),"",#REF!),"")</f>
        <v/>
      </c>
      <c r="J216" s="0" t="str">
        <f aca="false">IFERROR(IF(OR(HLOOKUP($A216,#REF!,8,FALSE())&gt;2,HLOOKUP($A216,#REF!,8,FALSE())&lt;-2),"",#REF!),"")</f>
        <v/>
      </c>
      <c r="K216" s="0" t="str">
        <f aca="false">IFERROR(IF(OR(HLOOKUP($A216,#REF!,9,FALSE())&gt;2,HLOOKUP($A216,#REF!,9,FALSE())&lt;-2),"",#REF!),"")</f>
        <v/>
      </c>
      <c r="L216" s="0" t="str">
        <f aca="false">IFERROR(IF(OR(HLOOKUP($A216,#REF!,10,FALSE())&gt;2,HLOOKUP($A216,#REF!,10,FALSE())&lt;-2),"",#REF!),"")</f>
        <v/>
      </c>
      <c r="M216" s="0" t="str">
        <f aca="false">IFERROR(IF(OR(HLOOKUP($A216,#REF!,11,FALSE())&gt;2,HLOOKUP($A216,#REF!,11,FALSE())&lt;-2),"",#REF!),"")</f>
        <v/>
      </c>
      <c r="N216" s="0" t="str">
        <f aca="false">IFERROR(IF(OR(HLOOKUP($A216,#REF!,12,FALSE())&gt;2,HLOOKUP($A216,#REF!,12,FALSE())&lt;-2),"",#REF!),"")</f>
        <v/>
      </c>
      <c r="O216" s="0" t="str">
        <f aca="false">IFERROR(IF(OR(HLOOKUP($A216,#REF!,13,FALSE())&gt;2,HLOOKUP($A216,#REF!,13,FALSE())&lt;-2),"",#REF!),"")</f>
        <v/>
      </c>
      <c r="P216" s="0" t="str">
        <f aca="false">IFERROR(IF(OR(HLOOKUP($A216,#REF!,14,FALSE())&gt;2,HLOOKUP($A216,#REF!,14,FALSE())&lt;-2),"",#REF!),"")</f>
        <v/>
      </c>
      <c r="Q216" s="0" t="str">
        <f aca="false">IFERROR(IF(OR(HLOOKUP($A216,#REF!,15,FALSE())&gt;2,HLOOKUP($A216,#REF!,15,FALSE())&lt;-2),"",#REF!),"")</f>
        <v/>
      </c>
      <c r="R216" s="0" t="str">
        <f aca="false">IFERROR(IF(OR(HLOOKUP($A216,#REF!,16,FALSE())&gt;2,HLOOKUP($A216,#REF!,16,FALSE())&lt;-2),"",#REF!),"")</f>
        <v/>
      </c>
      <c r="S216" s="0" t="str">
        <f aca="false">IFERROR(IF(OR(HLOOKUP($A216,#REF!,17,FALSE())&gt;2,HLOOKUP($A216,#REF!,17,FALSE())&lt;-2),"",#REF!),"")</f>
        <v/>
      </c>
      <c r="T216" s="0" t="str">
        <f aca="false">IFERROR(IF(OR(HLOOKUP($A216,#REF!,18,FALSE())&gt;2,HLOOKUP($A216,#REF!,18,FALSE())&lt;-2),"",#REF!),"")</f>
        <v/>
      </c>
      <c r="U216" s="0" t="str">
        <f aca="false">IFERROR(IF(OR(HLOOKUP($A216,#REF!,19,FALSE())&gt;2,HLOOKUP($A216,#REF!,19,FALSE())&lt;-2),"",#REF!),"")</f>
        <v/>
      </c>
      <c r="V216" s="0" t="n">
        <f aca="false">IFERROR(IF(AND(X216=0,Y216=0),0,1),0)</f>
        <v>1</v>
      </c>
      <c r="W216" s="3" t="str">
        <f aca="false">IFERROR(_xlfn.T.TEST(E216:M216,N216:U216,2,2),"")</f>
        <v/>
      </c>
      <c r="X216" s="0" t="str">
        <f aca="false">IFERROR(AVERAGE(E216:M216),"")</f>
        <v/>
      </c>
      <c r="Y216" s="0" t="str">
        <f aca="false">IFERROR(AVERAGE(N216:U216),"")</f>
        <v/>
      </c>
    </row>
    <row r="217" customFormat="false" ht="14.5" hidden="false" customHeight="false" outlineLevel="0" collapsed="false">
      <c r="A217" s="0" t="n">
        <v>221</v>
      </c>
      <c r="B217" s="0" t="s">
        <v>304</v>
      </c>
      <c r="C217" s="0" t="n">
        <v>109900</v>
      </c>
      <c r="D217" s="0" t="n">
        <v>863</v>
      </c>
      <c r="E217" s="0" t="str">
        <f aca="false">IFERROR(IF(OR(HLOOKUP($A217,#REF!,3,FALSE())&gt;2,HLOOKUP(A217,#REF!,3,FALSE())&lt;-2),"",#REF!),"")</f>
        <v/>
      </c>
      <c r="F217" s="0" t="str">
        <f aca="false">IFERROR(IF(OR(HLOOKUP($A217,#REF!,4,FALSE())&gt;2,HLOOKUP($A217,#REF!,4,FALSE())&lt;-2),"",#REF!),"")</f>
        <v/>
      </c>
      <c r="G217" s="0" t="str">
        <f aca="false">IFERROR(IF(OR(HLOOKUP($A217,#REF!,5,FALSE())&gt;2,HLOOKUP($A217,#REF!,5,FALSE())&lt;-2),"",#REF!),"")</f>
        <v/>
      </c>
      <c r="H217" s="0" t="str">
        <f aca="false">IFERROR(IF(OR(HLOOKUP($A217,#REF!,6,FALSE())&gt;2,HLOOKUP($A217,#REF!,6,FALSE())&lt;-2),"",#REF!),"")</f>
        <v/>
      </c>
      <c r="I217" s="0" t="str">
        <f aca="false">IFERROR(IF(OR(HLOOKUP($A217,#REF!,7,FALSE())&gt;2,HLOOKUP($A217,#REF!,7,FALSE())&lt;-2),"",#REF!),"")</f>
        <v/>
      </c>
      <c r="J217" s="0" t="str">
        <f aca="false">IFERROR(IF(OR(HLOOKUP($A217,#REF!,8,FALSE())&gt;2,HLOOKUP($A217,#REF!,8,FALSE())&lt;-2),"",#REF!),"")</f>
        <v/>
      </c>
      <c r="K217" s="0" t="str">
        <f aca="false">IFERROR(IF(OR(HLOOKUP($A217,#REF!,9,FALSE())&gt;2,HLOOKUP($A217,#REF!,9,FALSE())&lt;-2),"",#REF!),"")</f>
        <v/>
      </c>
      <c r="L217" s="0" t="str">
        <f aca="false">IFERROR(IF(OR(HLOOKUP($A217,#REF!,10,FALSE())&gt;2,HLOOKUP($A217,#REF!,10,FALSE())&lt;-2),"",#REF!),"")</f>
        <v/>
      </c>
      <c r="M217" s="0" t="str">
        <f aca="false">IFERROR(IF(OR(HLOOKUP($A217,#REF!,11,FALSE())&gt;2,HLOOKUP($A217,#REF!,11,FALSE())&lt;-2),"",#REF!),"")</f>
        <v/>
      </c>
      <c r="N217" s="0" t="str">
        <f aca="false">IFERROR(IF(OR(HLOOKUP($A217,#REF!,12,FALSE())&gt;2,HLOOKUP($A217,#REF!,12,FALSE())&lt;-2),"",#REF!),"")</f>
        <v/>
      </c>
      <c r="O217" s="0" t="str">
        <f aca="false">IFERROR(IF(OR(HLOOKUP($A217,#REF!,13,FALSE())&gt;2,HLOOKUP($A217,#REF!,13,FALSE())&lt;-2),"",#REF!),"")</f>
        <v/>
      </c>
      <c r="P217" s="0" t="str">
        <f aca="false">IFERROR(IF(OR(HLOOKUP($A217,#REF!,14,FALSE())&gt;2,HLOOKUP($A217,#REF!,14,FALSE())&lt;-2),"",#REF!),"")</f>
        <v/>
      </c>
      <c r="Q217" s="0" t="str">
        <f aca="false">IFERROR(IF(OR(HLOOKUP($A217,#REF!,15,FALSE())&gt;2,HLOOKUP($A217,#REF!,15,FALSE())&lt;-2),"",#REF!),"")</f>
        <v/>
      </c>
      <c r="R217" s="0" t="str">
        <f aca="false">IFERROR(IF(OR(HLOOKUP($A217,#REF!,16,FALSE())&gt;2,HLOOKUP($A217,#REF!,16,FALSE())&lt;-2),"",#REF!),"")</f>
        <v/>
      </c>
      <c r="S217" s="0" t="str">
        <f aca="false">IFERROR(IF(OR(HLOOKUP($A217,#REF!,17,FALSE())&gt;2,HLOOKUP($A217,#REF!,17,FALSE())&lt;-2),"",#REF!),"")</f>
        <v/>
      </c>
      <c r="T217" s="0" t="str">
        <f aca="false">IFERROR(IF(OR(HLOOKUP($A217,#REF!,18,FALSE())&gt;2,HLOOKUP($A217,#REF!,18,FALSE())&lt;-2),"",#REF!),"")</f>
        <v/>
      </c>
      <c r="U217" s="0" t="str">
        <f aca="false">IFERROR(IF(OR(HLOOKUP($A217,#REF!,19,FALSE())&gt;2,HLOOKUP($A217,#REF!,19,FALSE())&lt;-2),"",#REF!),"")</f>
        <v/>
      </c>
      <c r="V217" s="0" t="n">
        <f aca="false">IFERROR(IF(AND(X217=0,Y217=0),0,1),0)</f>
        <v>1</v>
      </c>
      <c r="W217" s="3" t="str">
        <f aca="false">IFERROR(_xlfn.T.TEST(E217:M217,N217:U217,2,2),"")</f>
        <v/>
      </c>
      <c r="X217" s="0" t="str">
        <f aca="false">IFERROR(AVERAGE(E217:M217),"")</f>
        <v/>
      </c>
      <c r="Y217" s="0" t="str">
        <f aca="false">IFERROR(AVERAGE(N217:U217),"")</f>
        <v/>
      </c>
    </row>
    <row r="218" customFormat="false" ht="14.5" hidden="false" customHeight="false" outlineLevel="0" collapsed="false">
      <c r="A218" s="0" t="n">
        <v>222</v>
      </c>
      <c r="B218" s="0" t="s">
        <v>305</v>
      </c>
      <c r="C218" s="0" t="n">
        <v>97100</v>
      </c>
      <c r="D218" s="0" t="n">
        <v>379</v>
      </c>
      <c r="E218" s="0" t="str">
        <f aca="false">IFERROR(IF(OR(HLOOKUP($A218,#REF!,3,FALSE())&gt;2,HLOOKUP(A218,#REF!,3,FALSE())&lt;-2),"",#REF!),"")</f>
        <v/>
      </c>
      <c r="F218" s="0" t="str">
        <f aca="false">IFERROR(IF(OR(HLOOKUP($A218,#REF!,4,FALSE())&gt;2,HLOOKUP($A218,#REF!,4,FALSE())&lt;-2),"",#REF!),"")</f>
        <v/>
      </c>
      <c r="G218" s="0" t="str">
        <f aca="false">IFERROR(IF(OR(HLOOKUP($A218,#REF!,5,FALSE())&gt;2,HLOOKUP($A218,#REF!,5,FALSE())&lt;-2),"",#REF!),"")</f>
        <v/>
      </c>
      <c r="H218" s="0" t="str">
        <f aca="false">IFERROR(IF(OR(HLOOKUP($A218,#REF!,6,FALSE())&gt;2,HLOOKUP($A218,#REF!,6,FALSE())&lt;-2),"",#REF!),"")</f>
        <v/>
      </c>
      <c r="I218" s="0" t="str">
        <f aca="false">IFERROR(IF(OR(HLOOKUP($A218,#REF!,7,FALSE())&gt;2,HLOOKUP($A218,#REF!,7,FALSE())&lt;-2),"",#REF!),"")</f>
        <v/>
      </c>
      <c r="J218" s="0" t="str">
        <f aca="false">IFERROR(IF(OR(HLOOKUP($A218,#REF!,8,FALSE())&gt;2,HLOOKUP($A218,#REF!,8,FALSE())&lt;-2),"",#REF!),"")</f>
        <v/>
      </c>
      <c r="K218" s="0" t="str">
        <f aca="false">IFERROR(IF(OR(HLOOKUP($A218,#REF!,9,FALSE())&gt;2,HLOOKUP($A218,#REF!,9,FALSE())&lt;-2),"",#REF!),"")</f>
        <v/>
      </c>
      <c r="L218" s="0" t="str">
        <f aca="false">IFERROR(IF(OR(HLOOKUP($A218,#REF!,10,FALSE())&gt;2,HLOOKUP($A218,#REF!,10,FALSE())&lt;-2),"",#REF!),"")</f>
        <v/>
      </c>
      <c r="M218" s="0" t="str">
        <f aca="false">IFERROR(IF(OR(HLOOKUP($A218,#REF!,11,FALSE())&gt;2,HLOOKUP($A218,#REF!,11,FALSE())&lt;-2),"",#REF!),"")</f>
        <v/>
      </c>
      <c r="N218" s="0" t="str">
        <f aca="false">IFERROR(IF(OR(HLOOKUP($A218,#REF!,12,FALSE())&gt;2,HLOOKUP($A218,#REF!,12,FALSE())&lt;-2),"",#REF!),"")</f>
        <v/>
      </c>
      <c r="O218" s="0" t="str">
        <f aca="false">IFERROR(IF(OR(HLOOKUP($A218,#REF!,13,FALSE())&gt;2,HLOOKUP($A218,#REF!,13,FALSE())&lt;-2),"",#REF!),"")</f>
        <v/>
      </c>
      <c r="P218" s="0" t="str">
        <f aca="false">IFERROR(IF(OR(HLOOKUP($A218,#REF!,14,FALSE())&gt;2,HLOOKUP($A218,#REF!,14,FALSE())&lt;-2),"",#REF!),"")</f>
        <v/>
      </c>
      <c r="Q218" s="0" t="str">
        <f aca="false">IFERROR(IF(OR(HLOOKUP($A218,#REF!,15,FALSE())&gt;2,HLOOKUP($A218,#REF!,15,FALSE())&lt;-2),"",#REF!),"")</f>
        <v/>
      </c>
      <c r="R218" s="0" t="str">
        <f aca="false">IFERROR(IF(OR(HLOOKUP($A218,#REF!,16,FALSE())&gt;2,HLOOKUP($A218,#REF!,16,FALSE())&lt;-2),"",#REF!),"")</f>
        <v/>
      </c>
      <c r="S218" s="0" t="str">
        <f aca="false">IFERROR(IF(OR(HLOOKUP($A218,#REF!,17,FALSE())&gt;2,HLOOKUP($A218,#REF!,17,FALSE())&lt;-2),"",#REF!),"")</f>
        <v/>
      </c>
      <c r="T218" s="0" t="str">
        <f aca="false">IFERROR(IF(OR(HLOOKUP($A218,#REF!,18,FALSE())&gt;2,HLOOKUP($A218,#REF!,18,FALSE())&lt;-2),"",#REF!),"")</f>
        <v/>
      </c>
      <c r="U218" s="0" t="str">
        <f aca="false">IFERROR(IF(OR(HLOOKUP($A218,#REF!,19,FALSE())&gt;2,HLOOKUP($A218,#REF!,19,FALSE())&lt;-2),"",#REF!),"")</f>
        <v/>
      </c>
      <c r="V218" s="0" t="n">
        <f aca="false">IFERROR(IF(AND(X218=0,Y218=0),0,1),0)</f>
        <v>1</v>
      </c>
      <c r="W218" s="3" t="str">
        <f aca="false">IFERROR(_xlfn.T.TEST(E218:M218,N218:U218,2,2),"")</f>
        <v/>
      </c>
      <c r="X218" s="0" t="str">
        <f aca="false">IFERROR(AVERAGE(E218:M218),"")</f>
        <v/>
      </c>
      <c r="Y218" s="0" t="str">
        <f aca="false">IFERROR(AVERAGE(N218:U218),"")</f>
        <v/>
      </c>
    </row>
    <row r="219" customFormat="false" ht="14.5" hidden="false" customHeight="false" outlineLevel="0" collapsed="false">
      <c r="A219" s="0" t="n">
        <v>223</v>
      </c>
      <c r="B219" s="0" t="s">
        <v>306</v>
      </c>
      <c r="C219" s="0" t="n">
        <v>71800</v>
      </c>
      <c r="D219" s="0" t="n">
        <v>157</v>
      </c>
      <c r="E219" s="0" t="str">
        <f aca="false">IFERROR(IF(OR(HLOOKUP($A219,#REF!,3,FALSE())&gt;2,HLOOKUP(A219,#REF!,3,FALSE())&lt;-2),"",#REF!),"")</f>
        <v/>
      </c>
      <c r="F219" s="0" t="str">
        <f aca="false">IFERROR(IF(OR(HLOOKUP($A219,#REF!,4,FALSE())&gt;2,HLOOKUP($A219,#REF!,4,FALSE())&lt;-2),"",#REF!),"")</f>
        <v/>
      </c>
      <c r="G219" s="0" t="str">
        <f aca="false">IFERROR(IF(OR(HLOOKUP($A219,#REF!,5,FALSE())&gt;2,HLOOKUP($A219,#REF!,5,FALSE())&lt;-2),"",#REF!),"")</f>
        <v/>
      </c>
      <c r="H219" s="0" t="str">
        <f aca="false">IFERROR(IF(OR(HLOOKUP($A219,#REF!,6,FALSE())&gt;2,HLOOKUP($A219,#REF!,6,FALSE())&lt;-2),"",#REF!),"")</f>
        <v/>
      </c>
      <c r="I219" s="0" t="str">
        <f aca="false">IFERROR(IF(OR(HLOOKUP($A219,#REF!,7,FALSE())&gt;2,HLOOKUP($A219,#REF!,7,FALSE())&lt;-2),"",#REF!),"")</f>
        <v/>
      </c>
      <c r="J219" s="0" t="str">
        <f aca="false">IFERROR(IF(OR(HLOOKUP($A219,#REF!,8,FALSE())&gt;2,HLOOKUP($A219,#REF!,8,FALSE())&lt;-2),"",#REF!),"")</f>
        <v/>
      </c>
      <c r="K219" s="0" t="str">
        <f aca="false">IFERROR(IF(OR(HLOOKUP($A219,#REF!,9,FALSE())&gt;2,HLOOKUP($A219,#REF!,9,FALSE())&lt;-2),"",#REF!),"")</f>
        <v/>
      </c>
      <c r="L219" s="0" t="str">
        <f aca="false">IFERROR(IF(OR(HLOOKUP($A219,#REF!,10,FALSE())&gt;2,HLOOKUP($A219,#REF!,10,FALSE())&lt;-2),"",#REF!),"")</f>
        <v/>
      </c>
      <c r="M219" s="0" t="str">
        <f aca="false">IFERROR(IF(OR(HLOOKUP($A219,#REF!,11,FALSE())&gt;2,HLOOKUP($A219,#REF!,11,FALSE())&lt;-2),"",#REF!),"")</f>
        <v/>
      </c>
      <c r="N219" s="0" t="str">
        <f aca="false">IFERROR(IF(OR(HLOOKUP($A219,#REF!,12,FALSE())&gt;2,HLOOKUP($A219,#REF!,12,FALSE())&lt;-2),"",#REF!),"")</f>
        <v/>
      </c>
      <c r="O219" s="0" t="str">
        <f aca="false">IFERROR(IF(OR(HLOOKUP($A219,#REF!,13,FALSE())&gt;2,HLOOKUP($A219,#REF!,13,FALSE())&lt;-2),"",#REF!),"")</f>
        <v/>
      </c>
      <c r="P219" s="0" t="str">
        <f aca="false">IFERROR(IF(OR(HLOOKUP($A219,#REF!,14,FALSE())&gt;2,HLOOKUP($A219,#REF!,14,FALSE())&lt;-2),"",#REF!),"")</f>
        <v/>
      </c>
      <c r="Q219" s="0" t="str">
        <f aca="false">IFERROR(IF(OR(HLOOKUP($A219,#REF!,15,FALSE())&gt;2,HLOOKUP($A219,#REF!,15,FALSE())&lt;-2),"",#REF!),"")</f>
        <v/>
      </c>
      <c r="R219" s="0" t="str">
        <f aca="false">IFERROR(IF(OR(HLOOKUP($A219,#REF!,16,FALSE())&gt;2,HLOOKUP($A219,#REF!,16,FALSE())&lt;-2),"",#REF!),"")</f>
        <v/>
      </c>
      <c r="S219" s="0" t="str">
        <f aca="false">IFERROR(IF(OR(HLOOKUP($A219,#REF!,17,FALSE())&gt;2,HLOOKUP($A219,#REF!,17,FALSE())&lt;-2),"",#REF!),"")</f>
        <v/>
      </c>
      <c r="T219" s="0" t="str">
        <f aca="false">IFERROR(IF(OR(HLOOKUP($A219,#REF!,18,FALSE())&gt;2,HLOOKUP($A219,#REF!,18,FALSE())&lt;-2),"",#REF!),"")</f>
        <v/>
      </c>
      <c r="U219" s="0" t="str">
        <f aca="false">IFERROR(IF(OR(HLOOKUP($A219,#REF!,19,FALSE())&gt;2,HLOOKUP($A219,#REF!,19,FALSE())&lt;-2),"",#REF!),"")</f>
        <v/>
      </c>
      <c r="V219" s="0" t="n">
        <f aca="false">IFERROR(IF(AND(X219=0,Y219=0),0,1),0)</f>
        <v>1</v>
      </c>
      <c r="W219" s="3" t="str">
        <f aca="false">IFERROR(_xlfn.T.TEST(E219:M219,N219:U219,2,2),"")</f>
        <v/>
      </c>
      <c r="X219" s="0" t="str">
        <f aca="false">IFERROR(AVERAGE(E219:M219),"")</f>
        <v/>
      </c>
      <c r="Y219" s="0" t="str">
        <f aca="false">IFERROR(AVERAGE(N219:U219),"")</f>
        <v/>
      </c>
    </row>
    <row r="220" customFormat="false" ht="14.5" hidden="false" customHeight="false" outlineLevel="0" collapsed="false">
      <c r="A220" s="0" t="n">
        <v>224</v>
      </c>
      <c r="B220" s="0" t="s">
        <v>307</v>
      </c>
      <c r="C220" s="0" t="n">
        <v>35600</v>
      </c>
      <c r="D220" s="0" t="n">
        <v>655</v>
      </c>
      <c r="E220" s="0" t="str">
        <f aca="false">IFERROR(IF(OR(HLOOKUP($A220,#REF!,3,FALSE())&gt;2,HLOOKUP(A220,#REF!,3,FALSE())&lt;-2),"",#REF!),"")</f>
        <v/>
      </c>
      <c r="F220" s="0" t="str">
        <f aca="false">IFERROR(IF(OR(HLOOKUP($A220,#REF!,4,FALSE())&gt;2,HLOOKUP($A220,#REF!,4,FALSE())&lt;-2),"",#REF!),"")</f>
        <v/>
      </c>
      <c r="G220" s="0" t="str">
        <f aca="false">IFERROR(IF(OR(HLOOKUP($A220,#REF!,5,FALSE())&gt;2,HLOOKUP($A220,#REF!,5,FALSE())&lt;-2),"",#REF!),"")</f>
        <v/>
      </c>
      <c r="H220" s="0" t="str">
        <f aca="false">IFERROR(IF(OR(HLOOKUP($A220,#REF!,6,FALSE())&gt;2,HLOOKUP($A220,#REF!,6,FALSE())&lt;-2),"",#REF!),"")</f>
        <v/>
      </c>
      <c r="I220" s="0" t="str">
        <f aca="false">IFERROR(IF(OR(HLOOKUP($A220,#REF!,7,FALSE())&gt;2,HLOOKUP($A220,#REF!,7,FALSE())&lt;-2),"",#REF!),"")</f>
        <v/>
      </c>
      <c r="J220" s="0" t="str">
        <f aca="false">IFERROR(IF(OR(HLOOKUP($A220,#REF!,8,FALSE())&gt;2,HLOOKUP($A220,#REF!,8,FALSE())&lt;-2),"",#REF!),"")</f>
        <v/>
      </c>
      <c r="K220" s="0" t="str">
        <f aca="false">IFERROR(IF(OR(HLOOKUP($A220,#REF!,9,FALSE())&gt;2,HLOOKUP($A220,#REF!,9,FALSE())&lt;-2),"",#REF!),"")</f>
        <v/>
      </c>
      <c r="L220" s="0" t="str">
        <f aca="false">IFERROR(IF(OR(HLOOKUP($A220,#REF!,10,FALSE())&gt;2,HLOOKUP($A220,#REF!,10,FALSE())&lt;-2),"",#REF!),"")</f>
        <v/>
      </c>
      <c r="M220" s="0" t="str">
        <f aca="false">IFERROR(IF(OR(HLOOKUP($A220,#REF!,11,FALSE())&gt;2,HLOOKUP($A220,#REF!,11,FALSE())&lt;-2),"",#REF!),"")</f>
        <v/>
      </c>
      <c r="N220" s="0" t="str">
        <f aca="false">IFERROR(IF(OR(HLOOKUP($A220,#REF!,12,FALSE())&gt;2,HLOOKUP($A220,#REF!,12,FALSE())&lt;-2),"",#REF!),"")</f>
        <v/>
      </c>
      <c r="O220" s="0" t="str">
        <f aca="false">IFERROR(IF(OR(HLOOKUP($A220,#REF!,13,FALSE())&gt;2,HLOOKUP($A220,#REF!,13,FALSE())&lt;-2),"",#REF!),"")</f>
        <v/>
      </c>
      <c r="P220" s="0" t="str">
        <f aca="false">IFERROR(IF(OR(HLOOKUP($A220,#REF!,14,FALSE())&gt;2,HLOOKUP($A220,#REF!,14,FALSE())&lt;-2),"",#REF!),"")</f>
        <v/>
      </c>
      <c r="Q220" s="0" t="str">
        <f aca="false">IFERROR(IF(OR(HLOOKUP($A220,#REF!,15,FALSE())&gt;2,HLOOKUP($A220,#REF!,15,FALSE())&lt;-2),"",#REF!),"")</f>
        <v/>
      </c>
      <c r="R220" s="0" t="str">
        <f aca="false">IFERROR(IF(OR(HLOOKUP($A220,#REF!,16,FALSE())&gt;2,HLOOKUP($A220,#REF!,16,FALSE())&lt;-2),"",#REF!),"")</f>
        <v/>
      </c>
      <c r="S220" s="0" t="str">
        <f aca="false">IFERROR(IF(OR(HLOOKUP($A220,#REF!,17,FALSE())&gt;2,HLOOKUP($A220,#REF!,17,FALSE())&lt;-2),"",#REF!),"")</f>
        <v/>
      </c>
      <c r="T220" s="0" t="str">
        <f aca="false">IFERROR(IF(OR(HLOOKUP($A220,#REF!,18,FALSE())&gt;2,HLOOKUP($A220,#REF!,18,FALSE())&lt;-2),"",#REF!),"")</f>
        <v/>
      </c>
      <c r="U220" s="0" t="str">
        <f aca="false">IFERROR(IF(OR(HLOOKUP($A220,#REF!,19,FALSE())&gt;2,HLOOKUP($A220,#REF!,19,FALSE())&lt;-2),"",#REF!),"")</f>
        <v/>
      </c>
      <c r="V220" s="0" t="n">
        <f aca="false">IFERROR(IF(AND(X220=0,Y220=0),0,1),0)</f>
        <v>1</v>
      </c>
      <c r="W220" s="3" t="str">
        <f aca="false">IFERROR(_xlfn.T.TEST(E220:M220,N220:U220,2,2),"")</f>
        <v/>
      </c>
      <c r="X220" s="0" t="str">
        <f aca="false">IFERROR(AVERAGE(E220:M220),"")</f>
        <v/>
      </c>
      <c r="Y220" s="0" t="str">
        <f aca="false">IFERROR(AVERAGE(N220:U220),"")</f>
        <v/>
      </c>
    </row>
    <row r="221" customFormat="false" ht="14.5" hidden="false" customHeight="false" outlineLevel="0" collapsed="false">
      <c r="A221" s="0" t="n">
        <v>225</v>
      </c>
      <c r="B221" s="0" t="s">
        <v>308</v>
      </c>
      <c r="C221" s="0" t="n">
        <v>96200</v>
      </c>
      <c r="D221" s="0" t="n">
        <v>701</v>
      </c>
      <c r="E221" s="0" t="str">
        <f aca="false">IFERROR(IF(OR(HLOOKUP($A221,#REF!,3,FALSE())&gt;2,HLOOKUP(A221,#REF!,3,FALSE())&lt;-2),"",#REF!),"")</f>
        <v/>
      </c>
      <c r="F221" s="0" t="str">
        <f aca="false">IFERROR(IF(OR(HLOOKUP($A221,#REF!,4,FALSE())&gt;2,HLOOKUP($A221,#REF!,4,FALSE())&lt;-2),"",#REF!),"")</f>
        <v/>
      </c>
      <c r="G221" s="0" t="str">
        <f aca="false">IFERROR(IF(OR(HLOOKUP($A221,#REF!,5,FALSE())&gt;2,HLOOKUP($A221,#REF!,5,FALSE())&lt;-2),"",#REF!),"")</f>
        <v/>
      </c>
      <c r="H221" s="0" t="str">
        <f aca="false">IFERROR(IF(OR(HLOOKUP($A221,#REF!,6,FALSE())&gt;2,HLOOKUP($A221,#REF!,6,FALSE())&lt;-2),"",#REF!),"")</f>
        <v/>
      </c>
      <c r="I221" s="0" t="str">
        <f aca="false">IFERROR(IF(OR(HLOOKUP($A221,#REF!,7,FALSE())&gt;2,HLOOKUP($A221,#REF!,7,FALSE())&lt;-2),"",#REF!),"")</f>
        <v/>
      </c>
      <c r="J221" s="0" t="str">
        <f aca="false">IFERROR(IF(OR(HLOOKUP($A221,#REF!,8,FALSE())&gt;2,HLOOKUP($A221,#REF!,8,FALSE())&lt;-2),"",#REF!),"")</f>
        <v/>
      </c>
      <c r="K221" s="0" t="str">
        <f aca="false">IFERROR(IF(OR(HLOOKUP($A221,#REF!,9,FALSE())&gt;2,HLOOKUP($A221,#REF!,9,FALSE())&lt;-2),"",#REF!),"")</f>
        <v/>
      </c>
      <c r="L221" s="0" t="str">
        <f aca="false">IFERROR(IF(OR(HLOOKUP($A221,#REF!,10,FALSE())&gt;2,HLOOKUP($A221,#REF!,10,FALSE())&lt;-2),"",#REF!),"")</f>
        <v/>
      </c>
      <c r="M221" s="0" t="str">
        <f aca="false">IFERROR(IF(OR(HLOOKUP($A221,#REF!,11,FALSE())&gt;2,HLOOKUP($A221,#REF!,11,FALSE())&lt;-2),"",#REF!),"")</f>
        <v/>
      </c>
      <c r="N221" s="0" t="str">
        <f aca="false">IFERROR(IF(OR(HLOOKUP($A221,#REF!,12,FALSE())&gt;2,HLOOKUP($A221,#REF!,12,FALSE())&lt;-2),"",#REF!),"")</f>
        <v/>
      </c>
      <c r="O221" s="0" t="str">
        <f aca="false">IFERROR(IF(OR(HLOOKUP($A221,#REF!,13,FALSE())&gt;2,HLOOKUP($A221,#REF!,13,FALSE())&lt;-2),"",#REF!),"")</f>
        <v/>
      </c>
      <c r="P221" s="0" t="str">
        <f aca="false">IFERROR(IF(OR(HLOOKUP($A221,#REF!,14,FALSE())&gt;2,HLOOKUP($A221,#REF!,14,FALSE())&lt;-2),"",#REF!),"")</f>
        <v/>
      </c>
      <c r="Q221" s="0" t="str">
        <f aca="false">IFERROR(IF(OR(HLOOKUP($A221,#REF!,15,FALSE())&gt;2,HLOOKUP($A221,#REF!,15,FALSE())&lt;-2),"",#REF!),"")</f>
        <v/>
      </c>
      <c r="R221" s="0" t="str">
        <f aca="false">IFERROR(IF(OR(HLOOKUP($A221,#REF!,16,FALSE())&gt;2,HLOOKUP($A221,#REF!,16,FALSE())&lt;-2),"",#REF!),"")</f>
        <v/>
      </c>
      <c r="S221" s="0" t="str">
        <f aca="false">IFERROR(IF(OR(HLOOKUP($A221,#REF!,17,FALSE())&gt;2,HLOOKUP($A221,#REF!,17,FALSE())&lt;-2),"",#REF!),"")</f>
        <v/>
      </c>
      <c r="T221" s="0" t="str">
        <f aca="false">IFERROR(IF(OR(HLOOKUP($A221,#REF!,18,FALSE())&gt;2,HLOOKUP($A221,#REF!,18,FALSE())&lt;-2),"",#REF!),"")</f>
        <v/>
      </c>
      <c r="U221" s="0" t="str">
        <f aca="false">IFERROR(IF(OR(HLOOKUP($A221,#REF!,19,FALSE())&gt;2,HLOOKUP($A221,#REF!,19,FALSE())&lt;-2),"",#REF!),"")</f>
        <v/>
      </c>
      <c r="V221" s="0" t="n">
        <f aca="false">IFERROR(IF(AND(X221=0,Y221=0),0,1),0)</f>
        <v>1</v>
      </c>
      <c r="W221" s="3" t="str">
        <f aca="false">IFERROR(_xlfn.T.TEST(E221:M221,N221:U221,2,2),"")</f>
        <v/>
      </c>
      <c r="X221" s="0" t="str">
        <f aca="false">IFERROR(AVERAGE(E221:M221),"")</f>
        <v/>
      </c>
      <c r="Y221" s="0" t="str">
        <f aca="false">IFERROR(AVERAGE(N221:U221),"")</f>
        <v/>
      </c>
    </row>
    <row r="222" customFormat="false" ht="14.5" hidden="false" customHeight="false" outlineLevel="0" collapsed="false">
      <c r="A222" s="0" t="n">
        <v>226</v>
      </c>
      <c r="B222" s="0" t="s">
        <v>309</v>
      </c>
      <c r="C222" s="0" t="n">
        <v>77400</v>
      </c>
      <c r="D222" s="0" t="n">
        <v>290</v>
      </c>
      <c r="E222" s="0" t="str">
        <f aca="false">IFERROR(IF(OR(HLOOKUP($A222,#REF!,3,FALSE())&gt;2,HLOOKUP(A222,#REF!,3,FALSE())&lt;-2),"",#REF!),"")</f>
        <v/>
      </c>
      <c r="F222" s="0" t="str">
        <f aca="false">IFERROR(IF(OR(HLOOKUP($A222,#REF!,4,FALSE())&gt;2,HLOOKUP($A222,#REF!,4,FALSE())&lt;-2),"",#REF!),"")</f>
        <v/>
      </c>
      <c r="G222" s="0" t="str">
        <f aca="false">IFERROR(IF(OR(HLOOKUP($A222,#REF!,5,FALSE())&gt;2,HLOOKUP($A222,#REF!,5,FALSE())&lt;-2),"",#REF!),"")</f>
        <v/>
      </c>
      <c r="H222" s="0" t="str">
        <f aca="false">IFERROR(IF(OR(HLOOKUP($A222,#REF!,6,FALSE())&gt;2,HLOOKUP($A222,#REF!,6,FALSE())&lt;-2),"",#REF!),"")</f>
        <v/>
      </c>
      <c r="I222" s="0" t="str">
        <f aca="false">IFERROR(IF(OR(HLOOKUP($A222,#REF!,7,FALSE())&gt;2,HLOOKUP($A222,#REF!,7,FALSE())&lt;-2),"",#REF!),"")</f>
        <v/>
      </c>
      <c r="J222" s="0" t="str">
        <f aca="false">IFERROR(IF(OR(HLOOKUP($A222,#REF!,8,FALSE())&gt;2,HLOOKUP($A222,#REF!,8,FALSE())&lt;-2),"",#REF!),"")</f>
        <v/>
      </c>
      <c r="K222" s="0" t="str">
        <f aca="false">IFERROR(IF(OR(HLOOKUP($A222,#REF!,9,FALSE())&gt;2,HLOOKUP($A222,#REF!,9,FALSE())&lt;-2),"",#REF!),"")</f>
        <v/>
      </c>
      <c r="L222" s="0" t="str">
        <f aca="false">IFERROR(IF(OR(HLOOKUP($A222,#REF!,10,FALSE())&gt;2,HLOOKUP($A222,#REF!,10,FALSE())&lt;-2),"",#REF!),"")</f>
        <v/>
      </c>
      <c r="M222" s="0" t="str">
        <f aca="false">IFERROR(IF(OR(HLOOKUP($A222,#REF!,11,FALSE())&gt;2,HLOOKUP($A222,#REF!,11,FALSE())&lt;-2),"",#REF!),"")</f>
        <v/>
      </c>
      <c r="N222" s="0" t="str">
        <f aca="false">IFERROR(IF(OR(HLOOKUP($A222,#REF!,12,FALSE())&gt;2,HLOOKUP($A222,#REF!,12,FALSE())&lt;-2),"",#REF!),"")</f>
        <v/>
      </c>
      <c r="O222" s="0" t="str">
        <f aca="false">IFERROR(IF(OR(HLOOKUP($A222,#REF!,13,FALSE())&gt;2,HLOOKUP($A222,#REF!,13,FALSE())&lt;-2),"",#REF!),"")</f>
        <v/>
      </c>
      <c r="P222" s="0" t="str">
        <f aca="false">IFERROR(IF(OR(HLOOKUP($A222,#REF!,14,FALSE())&gt;2,HLOOKUP($A222,#REF!,14,FALSE())&lt;-2),"",#REF!),"")</f>
        <v/>
      </c>
      <c r="Q222" s="0" t="str">
        <f aca="false">IFERROR(IF(OR(HLOOKUP($A222,#REF!,15,FALSE())&gt;2,HLOOKUP($A222,#REF!,15,FALSE())&lt;-2),"",#REF!),"")</f>
        <v/>
      </c>
      <c r="R222" s="0" t="str">
        <f aca="false">IFERROR(IF(OR(HLOOKUP($A222,#REF!,16,FALSE())&gt;2,HLOOKUP($A222,#REF!,16,FALSE())&lt;-2),"",#REF!),"")</f>
        <v/>
      </c>
      <c r="S222" s="0" t="str">
        <f aca="false">IFERROR(IF(OR(HLOOKUP($A222,#REF!,17,FALSE())&gt;2,HLOOKUP($A222,#REF!,17,FALSE())&lt;-2),"",#REF!),"")</f>
        <v/>
      </c>
      <c r="T222" s="0" t="str">
        <f aca="false">IFERROR(IF(OR(HLOOKUP($A222,#REF!,18,FALSE())&gt;2,HLOOKUP($A222,#REF!,18,FALSE())&lt;-2),"",#REF!),"")</f>
        <v/>
      </c>
      <c r="U222" s="0" t="str">
        <f aca="false">IFERROR(IF(OR(HLOOKUP($A222,#REF!,19,FALSE())&gt;2,HLOOKUP($A222,#REF!,19,FALSE())&lt;-2),"",#REF!),"")</f>
        <v/>
      </c>
      <c r="V222" s="0" t="n">
        <f aca="false">IFERROR(IF(AND(X222=0,Y222=0),0,1),0)</f>
        <v>1</v>
      </c>
      <c r="W222" s="3" t="str">
        <f aca="false">IFERROR(_xlfn.T.TEST(E222:M222,N222:U222,2,2),"")</f>
        <v/>
      </c>
      <c r="X222" s="0" t="str">
        <f aca="false">IFERROR(AVERAGE(E222:M222),"")</f>
        <v/>
      </c>
      <c r="Y222" s="0" t="str">
        <f aca="false">IFERROR(AVERAGE(N222:U222),"")</f>
        <v/>
      </c>
    </row>
    <row r="223" customFormat="false" ht="14.5" hidden="false" customHeight="false" outlineLevel="0" collapsed="false">
      <c r="A223" s="0" t="n">
        <v>227</v>
      </c>
      <c r="B223" s="0" t="s">
        <v>310</v>
      </c>
      <c r="C223" s="0" t="n">
        <v>18800</v>
      </c>
      <c r="D223" s="0" t="n">
        <v>31</v>
      </c>
      <c r="E223" s="0" t="str">
        <f aca="false">IFERROR(IF(OR(HLOOKUP($A223,#REF!,3,FALSE())&gt;2,HLOOKUP(A223,#REF!,3,FALSE())&lt;-2),"",#REF!),"")</f>
        <v/>
      </c>
      <c r="F223" s="0" t="str">
        <f aca="false">IFERROR(IF(OR(HLOOKUP($A223,#REF!,4,FALSE())&gt;2,HLOOKUP($A223,#REF!,4,FALSE())&lt;-2),"",#REF!),"")</f>
        <v/>
      </c>
      <c r="G223" s="0" t="str">
        <f aca="false">IFERROR(IF(OR(HLOOKUP($A223,#REF!,5,FALSE())&gt;2,HLOOKUP($A223,#REF!,5,FALSE())&lt;-2),"",#REF!),"")</f>
        <v/>
      </c>
      <c r="H223" s="0" t="str">
        <f aca="false">IFERROR(IF(OR(HLOOKUP($A223,#REF!,6,FALSE())&gt;2,HLOOKUP($A223,#REF!,6,FALSE())&lt;-2),"",#REF!),"")</f>
        <v/>
      </c>
      <c r="I223" s="0" t="str">
        <f aca="false">IFERROR(IF(OR(HLOOKUP($A223,#REF!,7,FALSE())&gt;2,HLOOKUP($A223,#REF!,7,FALSE())&lt;-2),"",#REF!),"")</f>
        <v/>
      </c>
      <c r="J223" s="0" t="str">
        <f aca="false">IFERROR(IF(OR(HLOOKUP($A223,#REF!,8,FALSE())&gt;2,HLOOKUP($A223,#REF!,8,FALSE())&lt;-2),"",#REF!),"")</f>
        <v/>
      </c>
      <c r="K223" s="0" t="str">
        <f aca="false">IFERROR(IF(OR(HLOOKUP($A223,#REF!,9,FALSE())&gt;2,HLOOKUP($A223,#REF!,9,FALSE())&lt;-2),"",#REF!),"")</f>
        <v/>
      </c>
      <c r="L223" s="0" t="str">
        <f aca="false">IFERROR(IF(OR(HLOOKUP($A223,#REF!,10,FALSE())&gt;2,HLOOKUP($A223,#REF!,10,FALSE())&lt;-2),"",#REF!),"")</f>
        <v/>
      </c>
      <c r="M223" s="0" t="str">
        <f aca="false">IFERROR(IF(OR(HLOOKUP($A223,#REF!,11,FALSE())&gt;2,HLOOKUP($A223,#REF!,11,FALSE())&lt;-2),"",#REF!),"")</f>
        <v/>
      </c>
      <c r="N223" s="0" t="str">
        <f aca="false">IFERROR(IF(OR(HLOOKUP($A223,#REF!,12,FALSE())&gt;2,HLOOKUP($A223,#REF!,12,FALSE())&lt;-2),"",#REF!),"")</f>
        <v/>
      </c>
      <c r="O223" s="0" t="str">
        <f aca="false">IFERROR(IF(OR(HLOOKUP($A223,#REF!,13,FALSE())&gt;2,HLOOKUP($A223,#REF!,13,FALSE())&lt;-2),"",#REF!),"")</f>
        <v/>
      </c>
      <c r="P223" s="0" t="str">
        <f aca="false">IFERROR(IF(OR(HLOOKUP($A223,#REF!,14,FALSE())&gt;2,HLOOKUP($A223,#REF!,14,FALSE())&lt;-2),"",#REF!),"")</f>
        <v/>
      </c>
      <c r="Q223" s="0" t="str">
        <f aca="false">IFERROR(IF(OR(HLOOKUP($A223,#REF!,15,FALSE())&gt;2,HLOOKUP($A223,#REF!,15,FALSE())&lt;-2),"",#REF!),"")</f>
        <v/>
      </c>
      <c r="R223" s="0" t="str">
        <f aca="false">IFERROR(IF(OR(HLOOKUP($A223,#REF!,16,FALSE())&gt;2,HLOOKUP($A223,#REF!,16,FALSE())&lt;-2),"",#REF!),"")</f>
        <v/>
      </c>
      <c r="S223" s="0" t="str">
        <f aca="false">IFERROR(IF(OR(HLOOKUP($A223,#REF!,17,FALSE())&gt;2,HLOOKUP($A223,#REF!,17,FALSE())&lt;-2),"",#REF!),"")</f>
        <v/>
      </c>
      <c r="T223" s="0" t="str">
        <f aca="false">IFERROR(IF(OR(HLOOKUP($A223,#REF!,18,FALSE())&gt;2,HLOOKUP($A223,#REF!,18,FALSE())&lt;-2),"",#REF!),"")</f>
        <v/>
      </c>
      <c r="U223" s="0" t="str">
        <f aca="false">IFERROR(IF(OR(HLOOKUP($A223,#REF!,19,FALSE())&gt;2,HLOOKUP($A223,#REF!,19,FALSE())&lt;-2),"",#REF!),"")</f>
        <v/>
      </c>
      <c r="V223" s="0" t="n">
        <f aca="false">IFERROR(IF(AND(X223=0,Y223=0),0,1),0)</f>
        <v>1</v>
      </c>
      <c r="W223" s="3" t="str">
        <f aca="false">IFERROR(_xlfn.T.TEST(E223:M223,N223:U223,2,2),"")</f>
        <v/>
      </c>
      <c r="X223" s="0" t="str">
        <f aca="false">IFERROR(AVERAGE(E223:M223),"")</f>
        <v/>
      </c>
      <c r="Y223" s="0" t="str">
        <f aca="false">IFERROR(AVERAGE(N223:U223),"")</f>
        <v/>
      </c>
    </row>
    <row r="224" customFormat="false" ht="14.5" hidden="false" customHeight="false" outlineLevel="0" collapsed="false">
      <c r="A224" s="0" t="n">
        <v>228</v>
      </c>
      <c r="B224" s="0" t="s">
        <v>311</v>
      </c>
      <c r="C224" s="0" t="n">
        <v>30300</v>
      </c>
      <c r="D224" s="0" t="n">
        <v>507</v>
      </c>
      <c r="E224" s="0" t="str">
        <f aca="false">IFERROR(IF(OR(HLOOKUP($A224,#REF!,3,FALSE())&gt;2,HLOOKUP(A224,#REF!,3,FALSE())&lt;-2),"",#REF!),"")</f>
        <v/>
      </c>
      <c r="F224" s="0" t="str">
        <f aca="false">IFERROR(IF(OR(HLOOKUP($A224,#REF!,4,FALSE())&gt;2,HLOOKUP($A224,#REF!,4,FALSE())&lt;-2),"",#REF!),"")</f>
        <v/>
      </c>
      <c r="G224" s="0" t="str">
        <f aca="false">IFERROR(IF(OR(HLOOKUP($A224,#REF!,5,FALSE())&gt;2,HLOOKUP($A224,#REF!,5,FALSE())&lt;-2),"",#REF!),"")</f>
        <v/>
      </c>
      <c r="H224" s="0" t="str">
        <f aca="false">IFERROR(IF(OR(HLOOKUP($A224,#REF!,6,FALSE())&gt;2,HLOOKUP($A224,#REF!,6,FALSE())&lt;-2),"",#REF!),"")</f>
        <v/>
      </c>
      <c r="I224" s="0" t="str">
        <f aca="false">IFERROR(IF(OR(HLOOKUP($A224,#REF!,7,FALSE())&gt;2,HLOOKUP($A224,#REF!,7,FALSE())&lt;-2),"",#REF!),"")</f>
        <v/>
      </c>
      <c r="J224" s="0" t="str">
        <f aca="false">IFERROR(IF(OR(HLOOKUP($A224,#REF!,8,FALSE())&gt;2,HLOOKUP($A224,#REF!,8,FALSE())&lt;-2),"",#REF!),"")</f>
        <v/>
      </c>
      <c r="K224" s="0" t="str">
        <f aca="false">IFERROR(IF(OR(HLOOKUP($A224,#REF!,9,FALSE())&gt;2,HLOOKUP($A224,#REF!,9,FALSE())&lt;-2),"",#REF!),"")</f>
        <v/>
      </c>
      <c r="L224" s="0" t="str">
        <f aca="false">IFERROR(IF(OR(HLOOKUP($A224,#REF!,10,FALSE())&gt;2,HLOOKUP($A224,#REF!,10,FALSE())&lt;-2),"",#REF!),"")</f>
        <v/>
      </c>
      <c r="M224" s="0" t="str">
        <f aca="false">IFERROR(IF(OR(HLOOKUP($A224,#REF!,11,FALSE())&gt;2,HLOOKUP($A224,#REF!,11,FALSE())&lt;-2),"",#REF!),"")</f>
        <v/>
      </c>
      <c r="N224" s="0" t="str">
        <f aca="false">IFERROR(IF(OR(HLOOKUP($A224,#REF!,12,FALSE())&gt;2,HLOOKUP($A224,#REF!,12,FALSE())&lt;-2),"",#REF!),"")</f>
        <v/>
      </c>
      <c r="O224" s="0" t="str">
        <f aca="false">IFERROR(IF(OR(HLOOKUP($A224,#REF!,13,FALSE())&gt;2,HLOOKUP($A224,#REF!,13,FALSE())&lt;-2),"",#REF!),"")</f>
        <v/>
      </c>
      <c r="P224" s="0" t="str">
        <f aca="false">IFERROR(IF(OR(HLOOKUP($A224,#REF!,14,FALSE())&gt;2,HLOOKUP($A224,#REF!,14,FALSE())&lt;-2),"",#REF!),"")</f>
        <v/>
      </c>
      <c r="Q224" s="0" t="str">
        <f aca="false">IFERROR(IF(OR(HLOOKUP($A224,#REF!,15,FALSE())&gt;2,HLOOKUP($A224,#REF!,15,FALSE())&lt;-2),"",#REF!),"")</f>
        <v/>
      </c>
      <c r="R224" s="0" t="str">
        <f aca="false">IFERROR(IF(OR(HLOOKUP($A224,#REF!,16,FALSE())&gt;2,HLOOKUP($A224,#REF!,16,FALSE())&lt;-2),"",#REF!),"")</f>
        <v/>
      </c>
      <c r="S224" s="0" t="str">
        <f aca="false">IFERROR(IF(OR(HLOOKUP($A224,#REF!,17,FALSE())&gt;2,HLOOKUP($A224,#REF!,17,FALSE())&lt;-2),"",#REF!),"")</f>
        <v/>
      </c>
      <c r="T224" s="0" t="str">
        <f aca="false">IFERROR(IF(OR(HLOOKUP($A224,#REF!,18,FALSE())&gt;2,HLOOKUP($A224,#REF!,18,FALSE())&lt;-2),"",#REF!),"")</f>
        <v/>
      </c>
      <c r="U224" s="0" t="str">
        <f aca="false">IFERROR(IF(OR(HLOOKUP($A224,#REF!,19,FALSE())&gt;2,HLOOKUP($A224,#REF!,19,FALSE())&lt;-2),"",#REF!),"")</f>
        <v/>
      </c>
      <c r="V224" s="0" t="n">
        <f aca="false">IFERROR(IF(AND(X224=0,Y224=0),0,1),0)</f>
        <v>1</v>
      </c>
      <c r="W224" s="3" t="str">
        <f aca="false">IFERROR(_xlfn.T.TEST(E224:M224,N224:U224,2,2),"")</f>
        <v/>
      </c>
      <c r="X224" s="0" t="str">
        <f aca="false">IFERROR(AVERAGE(E224:M224),"")</f>
        <v/>
      </c>
      <c r="Y224" s="0" t="str">
        <f aca="false">IFERROR(AVERAGE(N224:U224),"")</f>
        <v/>
      </c>
    </row>
    <row r="225" customFormat="false" ht="14.5" hidden="false" customHeight="false" outlineLevel="0" collapsed="false">
      <c r="A225" s="0" t="n">
        <v>229</v>
      </c>
      <c r="B225" s="0" t="s">
        <v>312</v>
      </c>
      <c r="C225" s="0" t="n">
        <v>99800</v>
      </c>
      <c r="D225" s="0" t="n">
        <v>901</v>
      </c>
      <c r="E225" s="0" t="str">
        <f aca="false">IFERROR(IF(OR(HLOOKUP($A225,#REF!,3,FALSE())&gt;2,HLOOKUP(A225,#REF!,3,FALSE())&lt;-2),"",#REF!),"")</f>
        <v/>
      </c>
      <c r="F225" s="0" t="str">
        <f aca="false">IFERROR(IF(OR(HLOOKUP($A225,#REF!,4,FALSE())&gt;2,HLOOKUP($A225,#REF!,4,FALSE())&lt;-2),"",#REF!),"")</f>
        <v/>
      </c>
      <c r="G225" s="0" t="str">
        <f aca="false">IFERROR(IF(OR(HLOOKUP($A225,#REF!,5,FALSE())&gt;2,HLOOKUP($A225,#REF!,5,FALSE())&lt;-2),"",#REF!),"")</f>
        <v/>
      </c>
      <c r="H225" s="0" t="str">
        <f aca="false">IFERROR(IF(OR(HLOOKUP($A225,#REF!,6,FALSE())&gt;2,HLOOKUP($A225,#REF!,6,FALSE())&lt;-2),"",#REF!),"")</f>
        <v/>
      </c>
      <c r="I225" s="0" t="str">
        <f aca="false">IFERROR(IF(OR(HLOOKUP($A225,#REF!,7,FALSE())&gt;2,HLOOKUP($A225,#REF!,7,FALSE())&lt;-2),"",#REF!),"")</f>
        <v/>
      </c>
      <c r="J225" s="0" t="str">
        <f aca="false">IFERROR(IF(OR(HLOOKUP($A225,#REF!,8,FALSE())&gt;2,HLOOKUP($A225,#REF!,8,FALSE())&lt;-2),"",#REF!),"")</f>
        <v/>
      </c>
      <c r="K225" s="0" t="str">
        <f aca="false">IFERROR(IF(OR(HLOOKUP($A225,#REF!,9,FALSE())&gt;2,HLOOKUP($A225,#REF!,9,FALSE())&lt;-2),"",#REF!),"")</f>
        <v/>
      </c>
      <c r="L225" s="0" t="str">
        <f aca="false">IFERROR(IF(OR(HLOOKUP($A225,#REF!,10,FALSE())&gt;2,HLOOKUP($A225,#REF!,10,FALSE())&lt;-2),"",#REF!),"")</f>
        <v/>
      </c>
      <c r="M225" s="0" t="str">
        <f aca="false">IFERROR(IF(OR(HLOOKUP($A225,#REF!,11,FALSE())&gt;2,HLOOKUP($A225,#REF!,11,FALSE())&lt;-2),"",#REF!),"")</f>
        <v/>
      </c>
      <c r="N225" s="0" t="str">
        <f aca="false">IFERROR(IF(OR(HLOOKUP($A225,#REF!,12,FALSE())&gt;2,HLOOKUP($A225,#REF!,12,FALSE())&lt;-2),"",#REF!),"")</f>
        <v/>
      </c>
      <c r="O225" s="0" t="str">
        <f aca="false">IFERROR(IF(OR(HLOOKUP($A225,#REF!,13,FALSE())&gt;2,HLOOKUP($A225,#REF!,13,FALSE())&lt;-2),"",#REF!),"")</f>
        <v/>
      </c>
      <c r="P225" s="0" t="str">
        <f aca="false">IFERROR(IF(OR(HLOOKUP($A225,#REF!,14,FALSE())&gt;2,HLOOKUP($A225,#REF!,14,FALSE())&lt;-2),"",#REF!),"")</f>
        <v/>
      </c>
      <c r="Q225" s="0" t="str">
        <f aca="false">IFERROR(IF(OR(HLOOKUP($A225,#REF!,15,FALSE())&gt;2,HLOOKUP($A225,#REF!,15,FALSE())&lt;-2),"",#REF!),"")</f>
        <v/>
      </c>
      <c r="R225" s="0" t="str">
        <f aca="false">IFERROR(IF(OR(HLOOKUP($A225,#REF!,16,FALSE())&gt;2,HLOOKUP($A225,#REF!,16,FALSE())&lt;-2),"",#REF!),"")</f>
        <v/>
      </c>
      <c r="S225" s="0" t="str">
        <f aca="false">IFERROR(IF(OR(HLOOKUP($A225,#REF!,17,FALSE())&gt;2,HLOOKUP($A225,#REF!,17,FALSE())&lt;-2),"",#REF!),"")</f>
        <v/>
      </c>
      <c r="T225" s="0" t="str">
        <f aca="false">IFERROR(IF(OR(HLOOKUP($A225,#REF!,18,FALSE())&gt;2,HLOOKUP($A225,#REF!,18,FALSE())&lt;-2),"",#REF!),"")</f>
        <v/>
      </c>
      <c r="U225" s="0" t="str">
        <f aca="false">IFERROR(IF(OR(HLOOKUP($A225,#REF!,19,FALSE())&gt;2,HLOOKUP($A225,#REF!,19,FALSE())&lt;-2),"",#REF!),"")</f>
        <v/>
      </c>
      <c r="V225" s="0" t="n">
        <f aca="false">IFERROR(IF(AND(X225=0,Y225=0),0,1),0)</f>
        <v>1</v>
      </c>
      <c r="W225" s="3" t="str">
        <f aca="false">IFERROR(_xlfn.T.TEST(E225:M225,N225:U225,2,2),"")</f>
        <v/>
      </c>
      <c r="X225" s="0" t="str">
        <f aca="false">IFERROR(AVERAGE(E225:M225),"")</f>
        <v/>
      </c>
      <c r="Y225" s="0" t="str">
        <f aca="false">IFERROR(AVERAGE(N225:U225),"")</f>
        <v/>
      </c>
    </row>
    <row r="226" customFormat="false" ht="14.5" hidden="false" customHeight="false" outlineLevel="0" collapsed="false">
      <c r="A226" s="0" t="n">
        <v>230</v>
      </c>
      <c r="B226" s="0" t="s">
        <v>313</v>
      </c>
      <c r="C226" s="0" t="n">
        <v>97000</v>
      </c>
      <c r="D226" s="0" t="n">
        <v>379</v>
      </c>
      <c r="E226" s="0" t="str">
        <f aca="false">IFERROR(IF(OR(HLOOKUP($A226,#REF!,3,FALSE())&gt;2,HLOOKUP(A226,#REF!,3,FALSE())&lt;-2),"",#REF!),"")</f>
        <v/>
      </c>
      <c r="F226" s="0" t="str">
        <f aca="false">IFERROR(IF(OR(HLOOKUP($A226,#REF!,4,FALSE())&gt;2,HLOOKUP($A226,#REF!,4,FALSE())&lt;-2),"",#REF!),"")</f>
        <v/>
      </c>
      <c r="G226" s="0" t="str">
        <f aca="false">IFERROR(IF(OR(HLOOKUP($A226,#REF!,5,FALSE())&gt;2,HLOOKUP($A226,#REF!,5,FALSE())&lt;-2),"",#REF!),"")</f>
        <v/>
      </c>
      <c r="H226" s="0" t="str">
        <f aca="false">IFERROR(IF(OR(HLOOKUP($A226,#REF!,6,FALSE())&gt;2,HLOOKUP($A226,#REF!,6,FALSE())&lt;-2),"",#REF!),"")</f>
        <v/>
      </c>
      <c r="I226" s="0" t="str">
        <f aca="false">IFERROR(IF(OR(HLOOKUP($A226,#REF!,7,FALSE())&gt;2,HLOOKUP($A226,#REF!,7,FALSE())&lt;-2),"",#REF!),"")</f>
        <v/>
      </c>
      <c r="J226" s="0" t="str">
        <f aca="false">IFERROR(IF(OR(HLOOKUP($A226,#REF!,8,FALSE())&gt;2,HLOOKUP($A226,#REF!,8,FALSE())&lt;-2),"",#REF!),"")</f>
        <v/>
      </c>
      <c r="K226" s="0" t="str">
        <f aca="false">IFERROR(IF(OR(HLOOKUP($A226,#REF!,9,FALSE())&gt;2,HLOOKUP($A226,#REF!,9,FALSE())&lt;-2),"",#REF!),"")</f>
        <v/>
      </c>
      <c r="L226" s="0" t="str">
        <f aca="false">IFERROR(IF(OR(HLOOKUP($A226,#REF!,10,FALSE())&gt;2,HLOOKUP($A226,#REF!,10,FALSE())&lt;-2),"",#REF!),"")</f>
        <v/>
      </c>
      <c r="M226" s="0" t="str">
        <f aca="false">IFERROR(IF(OR(HLOOKUP($A226,#REF!,11,FALSE())&gt;2,HLOOKUP($A226,#REF!,11,FALSE())&lt;-2),"",#REF!),"")</f>
        <v/>
      </c>
      <c r="N226" s="0" t="str">
        <f aca="false">IFERROR(IF(OR(HLOOKUP($A226,#REF!,12,FALSE())&gt;2,HLOOKUP($A226,#REF!,12,FALSE())&lt;-2),"",#REF!),"")</f>
        <v/>
      </c>
      <c r="O226" s="0" t="str">
        <f aca="false">IFERROR(IF(OR(HLOOKUP($A226,#REF!,13,FALSE())&gt;2,HLOOKUP($A226,#REF!,13,FALSE())&lt;-2),"",#REF!),"")</f>
        <v/>
      </c>
      <c r="P226" s="0" t="str">
        <f aca="false">IFERROR(IF(OR(HLOOKUP($A226,#REF!,14,FALSE())&gt;2,HLOOKUP($A226,#REF!,14,FALSE())&lt;-2),"",#REF!),"")</f>
        <v/>
      </c>
      <c r="Q226" s="0" t="str">
        <f aca="false">IFERROR(IF(OR(HLOOKUP($A226,#REF!,15,FALSE())&gt;2,HLOOKUP($A226,#REF!,15,FALSE())&lt;-2),"",#REF!),"")</f>
        <v/>
      </c>
      <c r="R226" s="0" t="str">
        <f aca="false">IFERROR(IF(OR(HLOOKUP($A226,#REF!,16,FALSE())&gt;2,HLOOKUP($A226,#REF!,16,FALSE())&lt;-2),"",#REF!),"")</f>
        <v/>
      </c>
      <c r="S226" s="0" t="str">
        <f aca="false">IFERROR(IF(OR(HLOOKUP($A226,#REF!,17,FALSE())&gt;2,HLOOKUP($A226,#REF!,17,FALSE())&lt;-2),"",#REF!),"")</f>
        <v/>
      </c>
      <c r="T226" s="0" t="str">
        <f aca="false">IFERROR(IF(OR(HLOOKUP($A226,#REF!,18,FALSE())&gt;2,HLOOKUP($A226,#REF!,18,FALSE())&lt;-2),"",#REF!),"")</f>
        <v/>
      </c>
      <c r="U226" s="0" t="str">
        <f aca="false">IFERROR(IF(OR(HLOOKUP($A226,#REF!,19,FALSE())&gt;2,HLOOKUP($A226,#REF!,19,FALSE())&lt;-2),"",#REF!),"")</f>
        <v/>
      </c>
      <c r="V226" s="0" t="n">
        <f aca="false">IFERROR(IF(AND(X226=0,Y226=0),0,1),0)</f>
        <v>1</v>
      </c>
      <c r="W226" s="3" t="str">
        <f aca="false">IFERROR(_xlfn.T.TEST(E226:M226,N226:U226,2,2),"")</f>
        <v/>
      </c>
      <c r="X226" s="0" t="str">
        <f aca="false">IFERROR(AVERAGE(E226:M226),"")</f>
        <v/>
      </c>
      <c r="Y226" s="0" t="str">
        <f aca="false">IFERROR(AVERAGE(N226:U226),"")</f>
        <v/>
      </c>
    </row>
    <row r="227" customFormat="false" ht="14.5" hidden="false" customHeight="false" outlineLevel="0" collapsed="false">
      <c r="A227" s="0" t="n">
        <v>231</v>
      </c>
      <c r="B227" s="0" t="s">
        <v>314</v>
      </c>
      <c r="C227" s="0" t="n">
        <v>83200</v>
      </c>
      <c r="D227" s="0" t="n">
        <v>323</v>
      </c>
      <c r="E227" s="0" t="str">
        <f aca="false">IFERROR(IF(OR(HLOOKUP($A227,#REF!,3,FALSE())&gt;2,HLOOKUP(A227,#REF!,3,FALSE())&lt;-2),"",#REF!),"")</f>
        <v/>
      </c>
      <c r="F227" s="0" t="str">
        <f aca="false">IFERROR(IF(OR(HLOOKUP($A227,#REF!,4,FALSE())&gt;2,HLOOKUP($A227,#REF!,4,FALSE())&lt;-2),"",#REF!),"")</f>
        <v/>
      </c>
      <c r="G227" s="0" t="str">
        <f aca="false">IFERROR(IF(OR(HLOOKUP($A227,#REF!,5,FALSE())&gt;2,HLOOKUP($A227,#REF!,5,FALSE())&lt;-2),"",#REF!),"")</f>
        <v/>
      </c>
      <c r="H227" s="0" t="str">
        <f aca="false">IFERROR(IF(OR(HLOOKUP($A227,#REF!,6,FALSE())&gt;2,HLOOKUP($A227,#REF!,6,FALSE())&lt;-2),"",#REF!),"")</f>
        <v/>
      </c>
      <c r="I227" s="0" t="str">
        <f aca="false">IFERROR(IF(OR(HLOOKUP($A227,#REF!,7,FALSE())&gt;2,HLOOKUP($A227,#REF!,7,FALSE())&lt;-2),"",#REF!),"")</f>
        <v/>
      </c>
      <c r="J227" s="0" t="str">
        <f aca="false">IFERROR(IF(OR(HLOOKUP($A227,#REF!,8,FALSE())&gt;2,HLOOKUP($A227,#REF!,8,FALSE())&lt;-2),"",#REF!),"")</f>
        <v/>
      </c>
      <c r="K227" s="0" t="str">
        <f aca="false">IFERROR(IF(OR(HLOOKUP($A227,#REF!,9,FALSE())&gt;2,HLOOKUP($A227,#REF!,9,FALSE())&lt;-2),"",#REF!),"")</f>
        <v/>
      </c>
      <c r="L227" s="0" t="str">
        <f aca="false">IFERROR(IF(OR(HLOOKUP($A227,#REF!,10,FALSE())&gt;2,HLOOKUP($A227,#REF!,10,FALSE())&lt;-2),"",#REF!),"")</f>
        <v/>
      </c>
      <c r="M227" s="0" t="str">
        <f aca="false">IFERROR(IF(OR(HLOOKUP($A227,#REF!,11,FALSE())&gt;2,HLOOKUP($A227,#REF!,11,FALSE())&lt;-2),"",#REF!),"")</f>
        <v/>
      </c>
      <c r="N227" s="0" t="str">
        <f aca="false">IFERROR(IF(OR(HLOOKUP($A227,#REF!,12,FALSE())&gt;2,HLOOKUP($A227,#REF!,12,FALSE())&lt;-2),"",#REF!),"")</f>
        <v/>
      </c>
      <c r="O227" s="0" t="str">
        <f aca="false">IFERROR(IF(OR(HLOOKUP($A227,#REF!,13,FALSE())&gt;2,HLOOKUP($A227,#REF!,13,FALSE())&lt;-2),"",#REF!),"")</f>
        <v/>
      </c>
      <c r="P227" s="0" t="str">
        <f aca="false">IFERROR(IF(OR(HLOOKUP($A227,#REF!,14,FALSE())&gt;2,HLOOKUP($A227,#REF!,14,FALSE())&lt;-2),"",#REF!),"")</f>
        <v/>
      </c>
      <c r="Q227" s="0" t="str">
        <f aca="false">IFERROR(IF(OR(HLOOKUP($A227,#REF!,15,FALSE())&gt;2,HLOOKUP($A227,#REF!,15,FALSE())&lt;-2),"",#REF!),"")</f>
        <v/>
      </c>
      <c r="R227" s="0" t="str">
        <f aca="false">IFERROR(IF(OR(HLOOKUP($A227,#REF!,16,FALSE())&gt;2,HLOOKUP($A227,#REF!,16,FALSE())&lt;-2),"",#REF!),"")</f>
        <v/>
      </c>
      <c r="S227" s="0" t="str">
        <f aca="false">IFERROR(IF(OR(HLOOKUP($A227,#REF!,17,FALSE())&gt;2,HLOOKUP($A227,#REF!,17,FALSE())&lt;-2),"",#REF!),"")</f>
        <v/>
      </c>
      <c r="T227" s="0" t="str">
        <f aca="false">IFERROR(IF(OR(HLOOKUP($A227,#REF!,18,FALSE())&gt;2,HLOOKUP($A227,#REF!,18,FALSE())&lt;-2),"",#REF!),"")</f>
        <v/>
      </c>
      <c r="U227" s="0" t="str">
        <f aca="false">IFERROR(IF(OR(HLOOKUP($A227,#REF!,19,FALSE())&gt;2,HLOOKUP($A227,#REF!,19,FALSE())&lt;-2),"",#REF!),"")</f>
        <v/>
      </c>
      <c r="V227" s="0" t="n">
        <f aca="false">IFERROR(IF(AND(X227=0,Y227=0),0,1),0)</f>
        <v>1</v>
      </c>
      <c r="W227" s="3" t="str">
        <f aca="false">IFERROR(_xlfn.T.TEST(E227:M227,N227:U227,2,2),"")</f>
        <v/>
      </c>
      <c r="X227" s="0" t="str">
        <f aca="false">IFERROR(AVERAGE(E227:M227),"")</f>
        <v/>
      </c>
      <c r="Y227" s="0" t="str">
        <f aca="false">IFERROR(AVERAGE(N227:U227),"")</f>
        <v/>
      </c>
    </row>
    <row r="228" customFormat="false" ht="14.5" hidden="false" customHeight="false" outlineLevel="0" collapsed="false">
      <c r="A228" s="0" t="n">
        <v>232</v>
      </c>
      <c r="B228" s="0" t="s">
        <v>315</v>
      </c>
      <c r="C228" s="0" t="n">
        <v>35700</v>
      </c>
      <c r="D228" s="0" t="n">
        <v>655</v>
      </c>
      <c r="E228" s="0" t="str">
        <f aca="false">IFERROR(IF(OR(HLOOKUP($A228,#REF!,3,FALSE())&gt;2,HLOOKUP(A228,#REF!,3,FALSE())&lt;-2),"",#REF!),"")</f>
        <v/>
      </c>
      <c r="F228" s="0" t="str">
        <f aca="false">IFERROR(IF(OR(HLOOKUP($A228,#REF!,4,FALSE())&gt;2,HLOOKUP($A228,#REF!,4,FALSE())&lt;-2),"",#REF!),"")</f>
        <v/>
      </c>
      <c r="G228" s="0" t="str">
        <f aca="false">IFERROR(IF(OR(HLOOKUP($A228,#REF!,5,FALSE())&gt;2,HLOOKUP($A228,#REF!,5,FALSE())&lt;-2),"",#REF!),"")</f>
        <v/>
      </c>
      <c r="H228" s="0" t="str">
        <f aca="false">IFERROR(IF(OR(HLOOKUP($A228,#REF!,6,FALSE())&gt;2,HLOOKUP($A228,#REF!,6,FALSE())&lt;-2),"",#REF!),"")</f>
        <v/>
      </c>
      <c r="I228" s="0" t="str">
        <f aca="false">IFERROR(IF(OR(HLOOKUP($A228,#REF!,7,FALSE())&gt;2,HLOOKUP($A228,#REF!,7,FALSE())&lt;-2),"",#REF!),"")</f>
        <v/>
      </c>
      <c r="J228" s="0" t="str">
        <f aca="false">IFERROR(IF(OR(HLOOKUP($A228,#REF!,8,FALSE())&gt;2,HLOOKUP($A228,#REF!,8,FALSE())&lt;-2),"",#REF!),"")</f>
        <v/>
      </c>
      <c r="K228" s="0" t="str">
        <f aca="false">IFERROR(IF(OR(HLOOKUP($A228,#REF!,9,FALSE())&gt;2,HLOOKUP($A228,#REF!,9,FALSE())&lt;-2),"",#REF!),"")</f>
        <v/>
      </c>
      <c r="L228" s="0" t="str">
        <f aca="false">IFERROR(IF(OR(HLOOKUP($A228,#REF!,10,FALSE())&gt;2,HLOOKUP($A228,#REF!,10,FALSE())&lt;-2),"",#REF!),"")</f>
        <v/>
      </c>
      <c r="M228" s="0" t="str">
        <f aca="false">IFERROR(IF(OR(HLOOKUP($A228,#REF!,11,FALSE())&gt;2,HLOOKUP($A228,#REF!,11,FALSE())&lt;-2),"",#REF!),"")</f>
        <v/>
      </c>
      <c r="N228" s="0" t="str">
        <f aca="false">IFERROR(IF(OR(HLOOKUP($A228,#REF!,12,FALSE())&gt;2,HLOOKUP($A228,#REF!,12,FALSE())&lt;-2),"",#REF!),"")</f>
        <v/>
      </c>
      <c r="O228" s="0" t="str">
        <f aca="false">IFERROR(IF(OR(HLOOKUP($A228,#REF!,13,FALSE())&gt;2,HLOOKUP($A228,#REF!,13,FALSE())&lt;-2),"",#REF!),"")</f>
        <v/>
      </c>
      <c r="P228" s="0" t="str">
        <f aca="false">IFERROR(IF(OR(HLOOKUP($A228,#REF!,14,FALSE())&gt;2,HLOOKUP($A228,#REF!,14,FALSE())&lt;-2),"",#REF!),"")</f>
        <v/>
      </c>
      <c r="Q228" s="0" t="str">
        <f aca="false">IFERROR(IF(OR(HLOOKUP($A228,#REF!,15,FALSE())&gt;2,HLOOKUP($A228,#REF!,15,FALSE())&lt;-2),"",#REF!),"")</f>
        <v/>
      </c>
      <c r="R228" s="0" t="str">
        <f aca="false">IFERROR(IF(OR(HLOOKUP($A228,#REF!,16,FALSE())&gt;2,HLOOKUP($A228,#REF!,16,FALSE())&lt;-2),"",#REF!),"")</f>
        <v/>
      </c>
      <c r="S228" s="0" t="str">
        <f aca="false">IFERROR(IF(OR(HLOOKUP($A228,#REF!,17,FALSE())&gt;2,HLOOKUP($A228,#REF!,17,FALSE())&lt;-2),"",#REF!),"")</f>
        <v/>
      </c>
      <c r="T228" s="0" t="str">
        <f aca="false">IFERROR(IF(OR(HLOOKUP($A228,#REF!,18,FALSE())&gt;2,HLOOKUP($A228,#REF!,18,FALSE())&lt;-2),"",#REF!),"")</f>
        <v/>
      </c>
      <c r="U228" s="0" t="str">
        <f aca="false">IFERROR(IF(OR(HLOOKUP($A228,#REF!,19,FALSE())&gt;2,HLOOKUP($A228,#REF!,19,FALSE())&lt;-2),"",#REF!),"")</f>
        <v/>
      </c>
      <c r="V228" s="0" t="n">
        <f aca="false">IFERROR(IF(AND(X228=0,Y228=0),0,1),0)</f>
        <v>1</v>
      </c>
      <c r="W228" s="3" t="str">
        <f aca="false">IFERROR(_xlfn.T.TEST(E228:M228,N228:U228,2,2),"")</f>
        <v/>
      </c>
      <c r="X228" s="0" t="str">
        <f aca="false">IFERROR(AVERAGE(E228:M228),"")</f>
        <v/>
      </c>
      <c r="Y228" s="0" t="str">
        <f aca="false">IFERROR(AVERAGE(N228:U228),"")</f>
        <v/>
      </c>
    </row>
    <row r="229" customFormat="false" ht="14.5" hidden="false" customHeight="false" outlineLevel="0" collapsed="false">
      <c r="A229" s="0" t="n">
        <v>233</v>
      </c>
      <c r="B229" s="0" t="s">
        <v>316</v>
      </c>
      <c r="C229" s="0" t="n">
        <v>14500</v>
      </c>
      <c r="D229" s="0" t="n">
        <v>402</v>
      </c>
      <c r="E229" s="0" t="str">
        <f aca="false">IFERROR(IF(OR(HLOOKUP($A229,#REF!,3,FALSE())&gt;2,HLOOKUP(A229,#REF!,3,FALSE())&lt;-2),"",#REF!),"")</f>
        <v/>
      </c>
      <c r="F229" s="0" t="str">
        <f aca="false">IFERROR(IF(OR(HLOOKUP($A229,#REF!,4,FALSE())&gt;2,HLOOKUP($A229,#REF!,4,FALSE())&lt;-2),"",#REF!),"")</f>
        <v/>
      </c>
      <c r="G229" s="0" t="str">
        <f aca="false">IFERROR(IF(OR(HLOOKUP($A229,#REF!,5,FALSE())&gt;2,HLOOKUP($A229,#REF!,5,FALSE())&lt;-2),"",#REF!),"")</f>
        <v/>
      </c>
      <c r="H229" s="0" t="str">
        <f aca="false">IFERROR(IF(OR(HLOOKUP($A229,#REF!,6,FALSE())&gt;2,HLOOKUP($A229,#REF!,6,FALSE())&lt;-2),"",#REF!),"")</f>
        <v/>
      </c>
      <c r="I229" s="0" t="str">
        <f aca="false">IFERROR(IF(OR(HLOOKUP($A229,#REF!,7,FALSE())&gt;2,HLOOKUP($A229,#REF!,7,FALSE())&lt;-2),"",#REF!),"")</f>
        <v/>
      </c>
      <c r="J229" s="0" t="str">
        <f aca="false">IFERROR(IF(OR(HLOOKUP($A229,#REF!,8,FALSE())&gt;2,HLOOKUP($A229,#REF!,8,FALSE())&lt;-2),"",#REF!),"")</f>
        <v/>
      </c>
      <c r="K229" s="0" t="str">
        <f aca="false">IFERROR(IF(OR(HLOOKUP($A229,#REF!,9,FALSE())&gt;2,HLOOKUP($A229,#REF!,9,FALSE())&lt;-2),"",#REF!),"")</f>
        <v/>
      </c>
      <c r="L229" s="0" t="str">
        <f aca="false">IFERROR(IF(OR(HLOOKUP($A229,#REF!,10,FALSE())&gt;2,HLOOKUP($A229,#REF!,10,FALSE())&lt;-2),"",#REF!),"")</f>
        <v/>
      </c>
      <c r="M229" s="0" t="str">
        <f aca="false">IFERROR(IF(OR(HLOOKUP($A229,#REF!,11,FALSE())&gt;2,HLOOKUP($A229,#REF!,11,FALSE())&lt;-2),"",#REF!),"")</f>
        <v/>
      </c>
      <c r="N229" s="0" t="str">
        <f aca="false">IFERROR(IF(OR(HLOOKUP($A229,#REF!,12,FALSE())&gt;2,HLOOKUP($A229,#REF!,12,FALSE())&lt;-2),"",#REF!),"")</f>
        <v/>
      </c>
      <c r="O229" s="0" t="str">
        <f aca="false">IFERROR(IF(OR(HLOOKUP($A229,#REF!,13,FALSE())&gt;2,HLOOKUP($A229,#REF!,13,FALSE())&lt;-2),"",#REF!),"")</f>
        <v/>
      </c>
      <c r="P229" s="0" t="str">
        <f aca="false">IFERROR(IF(OR(HLOOKUP($A229,#REF!,14,FALSE())&gt;2,HLOOKUP($A229,#REF!,14,FALSE())&lt;-2),"",#REF!),"")</f>
        <v/>
      </c>
      <c r="Q229" s="0" t="str">
        <f aca="false">IFERROR(IF(OR(HLOOKUP($A229,#REF!,15,FALSE())&gt;2,HLOOKUP($A229,#REF!,15,FALSE())&lt;-2),"",#REF!),"")</f>
        <v/>
      </c>
      <c r="R229" s="0" t="str">
        <f aca="false">IFERROR(IF(OR(HLOOKUP($A229,#REF!,16,FALSE())&gt;2,HLOOKUP($A229,#REF!,16,FALSE())&lt;-2),"",#REF!),"")</f>
        <v/>
      </c>
      <c r="S229" s="0" t="str">
        <f aca="false">IFERROR(IF(OR(HLOOKUP($A229,#REF!,17,FALSE())&gt;2,HLOOKUP($A229,#REF!,17,FALSE())&lt;-2),"",#REF!),"")</f>
        <v/>
      </c>
      <c r="T229" s="0" t="str">
        <f aca="false">IFERROR(IF(OR(HLOOKUP($A229,#REF!,18,FALSE())&gt;2,HLOOKUP($A229,#REF!,18,FALSE())&lt;-2),"",#REF!),"")</f>
        <v/>
      </c>
      <c r="U229" s="0" t="str">
        <f aca="false">IFERROR(IF(OR(HLOOKUP($A229,#REF!,19,FALSE())&gt;2,HLOOKUP($A229,#REF!,19,FALSE())&lt;-2),"",#REF!),"")</f>
        <v/>
      </c>
      <c r="V229" s="0" t="n">
        <f aca="false">IFERROR(IF(AND(X229=0,Y229=0),0,1),0)</f>
        <v>1</v>
      </c>
      <c r="W229" s="3" t="str">
        <f aca="false">IFERROR(_xlfn.T.TEST(E229:M229,N229:U229,2,2),"")</f>
        <v/>
      </c>
      <c r="X229" s="0" t="str">
        <f aca="false">IFERROR(AVERAGE(E229:M229),"")</f>
        <v/>
      </c>
      <c r="Y229" s="0" t="str">
        <f aca="false">IFERROR(AVERAGE(N229:U229),"")</f>
        <v/>
      </c>
    </row>
    <row r="230" customFormat="false" ht="14.5" hidden="false" customHeight="false" outlineLevel="0" collapsed="false">
      <c r="A230" s="0" t="n">
        <v>234</v>
      </c>
      <c r="B230" s="0" t="s">
        <v>317</v>
      </c>
      <c r="C230" s="0" t="n">
        <v>28300</v>
      </c>
      <c r="D230" s="0" t="n">
        <v>541</v>
      </c>
      <c r="E230" s="0" t="str">
        <f aca="false">IFERROR(IF(OR(HLOOKUP($A230,#REF!,3,FALSE())&gt;2,HLOOKUP(A230,#REF!,3,FALSE())&lt;-2),"",#REF!),"")</f>
        <v/>
      </c>
      <c r="F230" s="0" t="str">
        <f aca="false">IFERROR(IF(OR(HLOOKUP($A230,#REF!,4,FALSE())&gt;2,HLOOKUP($A230,#REF!,4,FALSE())&lt;-2),"",#REF!),"")</f>
        <v/>
      </c>
      <c r="G230" s="0" t="str">
        <f aca="false">IFERROR(IF(OR(HLOOKUP($A230,#REF!,5,FALSE())&gt;2,HLOOKUP($A230,#REF!,5,FALSE())&lt;-2),"",#REF!),"")</f>
        <v/>
      </c>
      <c r="H230" s="0" t="str">
        <f aca="false">IFERROR(IF(OR(HLOOKUP($A230,#REF!,6,FALSE())&gt;2,HLOOKUP($A230,#REF!,6,FALSE())&lt;-2),"",#REF!),"")</f>
        <v/>
      </c>
      <c r="I230" s="0" t="str">
        <f aca="false">IFERROR(IF(OR(HLOOKUP($A230,#REF!,7,FALSE())&gt;2,HLOOKUP($A230,#REF!,7,FALSE())&lt;-2),"",#REF!),"")</f>
        <v/>
      </c>
      <c r="J230" s="0" t="str">
        <f aca="false">IFERROR(IF(OR(HLOOKUP($A230,#REF!,8,FALSE())&gt;2,HLOOKUP($A230,#REF!,8,FALSE())&lt;-2),"",#REF!),"")</f>
        <v/>
      </c>
      <c r="K230" s="0" t="str">
        <f aca="false">IFERROR(IF(OR(HLOOKUP($A230,#REF!,9,FALSE())&gt;2,HLOOKUP($A230,#REF!,9,FALSE())&lt;-2),"",#REF!),"")</f>
        <v/>
      </c>
      <c r="L230" s="0" t="str">
        <f aca="false">IFERROR(IF(OR(HLOOKUP($A230,#REF!,10,FALSE())&gt;2,HLOOKUP($A230,#REF!,10,FALSE())&lt;-2),"",#REF!),"")</f>
        <v/>
      </c>
      <c r="M230" s="0" t="str">
        <f aca="false">IFERROR(IF(OR(HLOOKUP($A230,#REF!,11,FALSE())&gt;2,HLOOKUP($A230,#REF!,11,FALSE())&lt;-2),"",#REF!),"")</f>
        <v/>
      </c>
      <c r="N230" s="0" t="str">
        <f aca="false">IFERROR(IF(OR(HLOOKUP($A230,#REF!,12,FALSE())&gt;2,HLOOKUP($A230,#REF!,12,FALSE())&lt;-2),"",#REF!),"")</f>
        <v/>
      </c>
      <c r="O230" s="0" t="str">
        <f aca="false">IFERROR(IF(OR(HLOOKUP($A230,#REF!,13,FALSE())&gt;2,HLOOKUP($A230,#REF!,13,FALSE())&lt;-2),"",#REF!),"")</f>
        <v/>
      </c>
      <c r="P230" s="0" t="str">
        <f aca="false">IFERROR(IF(OR(HLOOKUP($A230,#REF!,14,FALSE())&gt;2,HLOOKUP($A230,#REF!,14,FALSE())&lt;-2),"",#REF!),"")</f>
        <v/>
      </c>
      <c r="Q230" s="0" t="str">
        <f aca="false">IFERROR(IF(OR(HLOOKUP($A230,#REF!,15,FALSE())&gt;2,HLOOKUP($A230,#REF!,15,FALSE())&lt;-2),"",#REF!),"")</f>
        <v/>
      </c>
      <c r="R230" s="0" t="str">
        <f aca="false">IFERROR(IF(OR(HLOOKUP($A230,#REF!,16,FALSE())&gt;2,HLOOKUP($A230,#REF!,16,FALSE())&lt;-2),"",#REF!),"")</f>
        <v/>
      </c>
      <c r="S230" s="0" t="str">
        <f aca="false">IFERROR(IF(OR(HLOOKUP($A230,#REF!,17,FALSE())&gt;2,HLOOKUP($A230,#REF!,17,FALSE())&lt;-2),"",#REF!),"")</f>
        <v/>
      </c>
      <c r="T230" s="0" t="str">
        <f aca="false">IFERROR(IF(OR(HLOOKUP($A230,#REF!,18,FALSE())&gt;2,HLOOKUP($A230,#REF!,18,FALSE())&lt;-2),"",#REF!),"")</f>
        <v/>
      </c>
      <c r="U230" s="0" t="str">
        <f aca="false">IFERROR(IF(OR(HLOOKUP($A230,#REF!,19,FALSE())&gt;2,HLOOKUP($A230,#REF!,19,FALSE())&lt;-2),"",#REF!),"")</f>
        <v/>
      </c>
      <c r="V230" s="0" t="n">
        <f aca="false">IFERROR(IF(AND(X230=0,Y230=0),0,1),0)</f>
        <v>1</v>
      </c>
      <c r="W230" s="3" t="str">
        <f aca="false">IFERROR(_xlfn.T.TEST(E230:M230,N230:U230,2,2),"")</f>
        <v/>
      </c>
      <c r="X230" s="0" t="str">
        <f aca="false">IFERROR(AVERAGE(E230:M230),"")</f>
        <v/>
      </c>
      <c r="Y230" s="0" t="str">
        <f aca="false">IFERROR(AVERAGE(N230:U230),"")</f>
        <v/>
      </c>
    </row>
    <row r="231" customFormat="false" ht="14.5" hidden="false" customHeight="false" outlineLevel="0" collapsed="false">
      <c r="A231" s="0" t="n">
        <v>235</v>
      </c>
      <c r="B231" s="0" t="s">
        <v>318</v>
      </c>
      <c r="C231" s="0" t="n">
        <v>93900</v>
      </c>
      <c r="D231" s="0" t="n">
        <v>370</v>
      </c>
      <c r="E231" s="0" t="str">
        <f aca="false">IFERROR(IF(OR(HLOOKUP($A231,#REF!,3,FALSE())&gt;2,HLOOKUP(A231,#REF!,3,FALSE())&lt;-2),"",#REF!),"")</f>
        <v/>
      </c>
      <c r="F231" s="0" t="str">
        <f aca="false">IFERROR(IF(OR(HLOOKUP($A231,#REF!,4,FALSE())&gt;2,HLOOKUP($A231,#REF!,4,FALSE())&lt;-2),"",#REF!),"")</f>
        <v/>
      </c>
      <c r="G231" s="0" t="str">
        <f aca="false">IFERROR(IF(OR(HLOOKUP($A231,#REF!,5,FALSE())&gt;2,HLOOKUP($A231,#REF!,5,FALSE())&lt;-2),"",#REF!),"")</f>
        <v/>
      </c>
      <c r="H231" s="0" t="str">
        <f aca="false">IFERROR(IF(OR(HLOOKUP($A231,#REF!,6,FALSE())&gt;2,HLOOKUP($A231,#REF!,6,FALSE())&lt;-2),"",#REF!),"")</f>
        <v/>
      </c>
      <c r="I231" s="0" t="str">
        <f aca="false">IFERROR(IF(OR(HLOOKUP($A231,#REF!,7,FALSE())&gt;2,HLOOKUP($A231,#REF!,7,FALSE())&lt;-2),"",#REF!),"")</f>
        <v/>
      </c>
      <c r="J231" s="0" t="str">
        <f aca="false">IFERROR(IF(OR(HLOOKUP($A231,#REF!,8,FALSE())&gt;2,HLOOKUP($A231,#REF!,8,FALSE())&lt;-2),"",#REF!),"")</f>
        <v/>
      </c>
      <c r="K231" s="0" t="str">
        <f aca="false">IFERROR(IF(OR(HLOOKUP($A231,#REF!,9,FALSE())&gt;2,HLOOKUP($A231,#REF!,9,FALSE())&lt;-2),"",#REF!),"")</f>
        <v/>
      </c>
      <c r="L231" s="0" t="str">
        <f aca="false">IFERROR(IF(OR(HLOOKUP($A231,#REF!,10,FALSE())&gt;2,HLOOKUP($A231,#REF!,10,FALSE())&lt;-2),"",#REF!),"")</f>
        <v/>
      </c>
      <c r="M231" s="0" t="str">
        <f aca="false">IFERROR(IF(OR(HLOOKUP($A231,#REF!,11,FALSE())&gt;2,HLOOKUP($A231,#REF!,11,FALSE())&lt;-2),"",#REF!),"")</f>
        <v/>
      </c>
      <c r="N231" s="0" t="str">
        <f aca="false">IFERROR(IF(OR(HLOOKUP($A231,#REF!,12,FALSE())&gt;2,HLOOKUP($A231,#REF!,12,FALSE())&lt;-2),"",#REF!),"")</f>
        <v/>
      </c>
      <c r="O231" s="0" t="str">
        <f aca="false">IFERROR(IF(OR(HLOOKUP($A231,#REF!,13,FALSE())&gt;2,HLOOKUP($A231,#REF!,13,FALSE())&lt;-2),"",#REF!),"")</f>
        <v/>
      </c>
      <c r="P231" s="0" t="str">
        <f aca="false">IFERROR(IF(OR(HLOOKUP($A231,#REF!,14,FALSE())&gt;2,HLOOKUP($A231,#REF!,14,FALSE())&lt;-2),"",#REF!),"")</f>
        <v/>
      </c>
      <c r="Q231" s="0" t="str">
        <f aca="false">IFERROR(IF(OR(HLOOKUP($A231,#REF!,15,FALSE())&gt;2,HLOOKUP($A231,#REF!,15,FALSE())&lt;-2),"",#REF!),"")</f>
        <v/>
      </c>
      <c r="R231" s="0" t="str">
        <f aca="false">IFERROR(IF(OR(HLOOKUP($A231,#REF!,16,FALSE())&gt;2,HLOOKUP($A231,#REF!,16,FALSE())&lt;-2),"",#REF!),"")</f>
        <v/>
      </c>
      <c r="S231" s="0" t="str">
        <f aca="false">IFERROR(IF(OR(HLOOKUP($A231,#REF!,17,FALSE())&gt;2,HLOOKUP($A231,#REF!,17,FALSE())&lt;-2),"",#REF!),"")</f>
        <v/>
      </c>
      <c r="T231" s="0" t="str">
        <f aca="false">IFERROR(IF(OR(HLOOKUP($A231,#REF!,18,FALSE())&gt;2,HLOOKUP($A231,#REF!,18,FALSE())&lt;-2),"",#REF!),"")</f>
        <v/>
      </c>
      <c r="U231" s="0" t="str">
        <f aca="false">IFERROR(IF(OR(HLOOKUP($A231,#REF!,19,FALSE())&gt;2,HLOOKUP($A231,#REF!,19,FALSE())&lt;-2),"",#REF!),"")</f>
        <v/>
      </c>
      <c r="V231" s="0" t="n">
        <f aca="false">IFERROR(IF(AND(X231=0,Y231=0),0,1),0)</f>
        <v>1</v>
      </c>
      <c r="W231" s="3" t="str">
        <f aca="false">IFERROR(_xlfn.T.TEST(E231:M231,N231:U231,2,2),"")</f>
        <v/>
      </c>
      <c r="X231" s="0" t="str">
        <f aca="false">IFERROR(AVERAGE(E231:M231),"")</f>
        <v/>
      </c>
      <c r="Y231" s="0" t="str">
        <f aca="false">IFERROR(AVERAGE(N231:U231),"")</f>
        <v/>
      </c>
    </row>
    <row r="232" customFormat="false" ht="14.5" hidden="false" customHeight="false" outlineLevel="0" collapsed="false">
      <c r="A232" s="0" t="n">
        <v>236</v>
      </c>
      <c r="B232" s="0" t="s">
        <v>319</v>
      </c>
      <c r="C232" s="0" t="n">
        <v>30400</v>
      </c>
      <c r="D232" s="0" t="n">
        <v>507</v>
      </c>
      <c r="E232" s="0" t="str">
        <f aca="false">IFERROR(IF(OR(HLOOKUP($A232,#REF!,3,FALSE())&gt;2,HLOOKUP(A232,#REF!,3,FALSE())&lt;-2),"",#REF!),"")</f>
        <v/>
      </c>
      <c r="F232" s="0" t="str">
        <f aca="false">IFERROR(IF(OR(HLOOKUP($A232,#REF!,4,FALSE())&gt;2,HLOOKUP($A232,#REF!,4,FALSE())&lt;-2),"",#REF!),"")</f>
        <v/>
      </c>
      <c r="G232" s="0" t="str">
        <f aca="false">IFERROR(IF(OR(HLOOKUP($A232,#REF!,5,FALSE())&gt;2,HLOOKUP($A232,#REF!,5,FALSE())&lt;-2),"",#REF!),"")</f>
        <v/>
      </c>
      <c r="H232" s="0" t="str">
        <f aca="false">IFERROR(IF(OR(HLOOKUP($A232,#REF!,6,FALSE())&gt;2,HLOOKUP($A232,#REF!,6,FALSE())&lt;-2),"",#REF!),"")</f>
        <v/>
      </c>
      <c r="I232" s="0" t="str">
        <f aca="false">IFERROR(IF(OR(HLOOKUP($A232,#REF!,7,FALSE())&gt;2,HLOOKUP($A232,#REF!,7,FALSE())&lt;-2),"",#REF!),"")</f>
        <v/>
      </c>
      <c r="J232" s="0" t="str">
        <f aca="false">IFERROR(IF(OR(HLOOKUP($A232,#REF!,8,FALSE())&gt;2,HLOOKUP($A232,#REF!,8,FALSE())&lt;-2),"",#REF!),"")</f>
        <v/>
      </c>
      <c r="K232" s="0" t="str">
        <f aca="false">IFERROR(IF(OR(HLOOKUP($A232,#REF!,9,FALSE())&gt;2,HLOOKUP($A232,#REF!,9,FALSE())&lt;-2),"",#REF!),"")</f>
        <v/>
      </c>
      <c r="L232" s="0" t="str">
        <f aca="false">IFERROR(IF(OR(HLOOKUP($A232,#REF!,10,FALSE())&gt;2,HLOOKUP($A232,#REF!,10,FALSE())&lt;-2),"",#REF!),"")</f>
        <v/>
      </c>
      <c r="M232" s="0" t="str">
        <f aca="false">IFERROR(IF(OR(HLOOKUP($A232,#REF!,11,FALSE())&gt;2,HLOOKUP($A232,#REF!,11,FALSE())&lt;-2),"",#REF!),"")</f>
        <v/>
      </c>
      <c r="N232" s="0" t="str">
        <f aca="false">IFERROR(IF(OR(HLOOKUP($A232,#REF!,12,FALSE())&gt;2,HLOOKUP($A232,#REF!,12,FALSE())&lt;-2),"",#REF!),"")</f>
        <v/>
      </c>
      <c r="O232" s="0" t="str">
        <f aca="false">IFERROR(IF(OR(HLOOKUP($A232,#REF!,13,FALSE())&gt;2,HLOOKUP($A232,#REF!,13,FALSE())&lt;-2),"",#REF!),"")</f>
        <v/>
      </c>
      <c r="P232" s="0" t="str">
        <f aca="false">IFERROR(IF(OR(HLOOKUP($A232,#REF!,14,FALSE())&gt;2,HLOOKUP($A232,#REF!,14,FALSE())&lt;-2),"",#REF!),"")</f>
        <v/>
      </c>
      <c r="Q232" s="0" t="str">
        <f aca="false">IFERROR(IF(OR(HLOOKUP($A232,#REF!,15,FALSE())&gt;2,HLOOKUP($A232,#REF!,15,FALSE())&lt;-2),"",#REF!),"")</f>
        <v/>
      </c>
      <c r="R232" s="0" t="str">
        <f aca="false">IFERROR(IF(OR(HLOOKUP($A232,#REF!,16,FALSE())&gt;2,HLOOKUP($A232,#REF!,16,FALSE())&lt;-2),"",#REF!),"")</f>
        <v/>
      </c>
      <c r="S232" s="0" t="str">
        <f aca="false">IFERROR(IF(OR(HLOOKUP($A232,#REF!,17,FALSE())&gt;2,HLOOKUP($A232,#REF!,17,FALSE())&lt;-2),"",#REF!),"")</f>
        <v/>
      </c>
      <c r="T232" s="0" t="str">
        <f aca="false">IFERROR(IF(OR(HLOOKUP($A232,#REF!,18,FALSE())&gt;2,HLOOKUP($A232,#REF!,18,FALSE())&lt;-2),"",#REF!),"")</f>
        <v/>
      </c>
      <c r="U232" s="0" t="str">
        <f aca="false">IFERROR(IF(OR(HLOOKUP($A232,#REF!,19,FALSE())&gt;2,HLOOKUP($A232,#REF!,19,FALSE())&lt;-2),"",#REF!),"")</f>
        <v/>
      </c>
      <c r="V232" s="0" t="n">
        <f aca="false">IFERROR(IF(AND(X232=0,Y232=0),0,1),0)</f>
        <v>1</v>
      </c>
      <c r="W232" s="3" t="str">
        <f aca="false">IFERROR(_xlfn.T.TEST(E232:M232,N232:U232,2,2),"")</f>
        <v/>
      </c>
      <c r="X232" s="0" t="str">
        <f aca="false">IFERROR(AVERAGE(E232:M232),"")</f>
        <v/>
      </c>
      <c r="Y232" s="0" t="str">
        <f aca="false">IFERROR(AVERAGE(N232:U232),"")</f>
        <v/>
      </c>
    </row>
    <row r="233" customFormat="false" ht="14.5" hidden="false" customHeight="false" outlineLevel="0" collapsed="false">
      <c r="A233" s="0" t="n">
        <v>237</v>
      </c>
      <c r="B233" s="0" t="s">
        <v>320</v>
      </c>
      <c r="C233" s="0" t="n">
        <v>101600</v>
      </c>
      <c r="D233" s="0" t="n">
        <v>917</v>
      </c>
      <c r="E233" s="0" t="str">
        <f aca="false">IFERROR(IF(OR(HLOOKUP($A233,#REF!,3,FALSE())&gt;2,HLOOKUP(A233,#REF!,3,FALSE())&lt;-2),"",#REF!),"")</f>
        <v/>
      </c>
      <c r="F233" s="0" t="str">
        <f aca="false">IFERROR(IF(OR(HLOOKUP($A233,#REF!,4,FALSE())&gt;2,HLOOKUP($A233,#REF!,4,FALSE())&lt;-2),"",#REF!),"")</f>
        <v/>
      </c>
      <c r="G233" s="0" t="str">
        <f aca="false">IFERROR(IF(OR(HLOOKUP($A233,#REF!,5,FALSE())&gt;2,HLOOKUP($A233,#REF!,5,FALSE())&lt;-2),"",#REF!),"")</f>
        <v/>
      </c>
      <c r="H233" s="0" t="str">
        <f aca="false">IFERROR(IF(OR(HLOOKUP($A233,#REF!,6,FALSE())&gt;2,HLOOKUP($A233,#REF!,6,FALSE())&lt;-2),"",#REF!),"")</f>
        <v/>
      </c>
      <c r="I233" s="0" t="str">
        <f aca="false">IFERROR(IF(OR(HLOOKUP($A233,#REF!,7,FALSE())&gt;2,HLOOKUP($A233,#REF!,7,FALSE())&lt;-2),"",#REF!),"")</f>
        <v/>
      </c>
      <c r="J233" s="0" t="str">
        <f aca="false">IFERROR(IF(OR(HLOOKUP($A233,#REF!,8,FALSE())&gt;2,HLOOKUP($A233,#REF!,8,FALSE())&lt;-2),"",#REF!),"")</f>
        <v/>
      </c>
      <c r="K233" s="0" t="str">
        <f aca="false">IFERROR(IF(OR(HLOOKUP($A233,#REF!,9,FALSE())&gt;2,HLOOKUP($A233,#REF!,9,FALSE())&lt;-2),"",#REF!),"")</f>
        <v/>
      </c>
      <c r="L233" s="0" t="str">
        <f aca="false">IFERROR(IF(OR(HLOOKUP($A233,#REF!,10,FALSE())&gt;2,HLOOKUP($A233,#REF!,10,FALSE())&lt;-2),"",#REF!),"")</f>
        <v/>
      </c>
      <c r="M233" s="0" t="str">
        <f aca="false">IFERROR(IF(OR(HLOOKUP($A233,#REF!,11,FALSE())&gt;2,HLOOKUP($A233,#REF!,11,FALSE())&lt;-2),"",#REF!),"")</f>
        <v/>
      </c>
      <c r="N233" s="0" t="str">
        <f aca="false">IFERROR(IF(OR(HLOOKUP($A233,#REF!,12,FALSE())&gt;2,HLOOKUP($A233,#REF!,12,FALSE())&lt;-2),"",#REF!),"")</f>
        <v/>
      </c>
      <c r="O233" s="0" t="str">
        <f aca="false">IFERROR(IF(OR(HLOOKUP($A233,#REF!,13,FALSE())&gt;2,HLOOKUP($A233,#REF!,13,FALSE())&lt;-2),"",#REF!),"")</f>
        <v/>
      </c>
      <c r="P233" s="0" t="str">
        <f aca="false">IFERROR(IF(OR(HLOOKUP($A233,#REF!,14,FALSE())&gt;2,HLOOKUP($A233,#REF!,14,FALSE())&lt;-2),"",#REF!),"")</f>
        <v/>
      </c>
      <c r="Q233" s="0" t="str">
        <f aca="false">IFERROR(IF(OR(HLOOKUP($A233,#REF!,15,FALSE())&gt;2,HLOOKUP($A233,#REF!,15,FALSE())&lt;-2),"",#REF!),"")</f>
        <v/>
      </c>
      <c r="R233" s="0" t="str">
        <f aca="false">IFERROR(IF(OR(HLOOKUP($A233,#REF!,16,FALSE())&gt;2,HLOOKUP($A233,#REF!,16,FALSE())&lt;-2),"",#REF!),"")</f>
        <v/>
      </c>
      <c r="S233" s="0" t="str">
        <f aca="false">IFERROR(IF(OR(HLOOKUP($A233,#REF!,17,FALSE())&gt;2,HLOOKUP($A233,#REF!,17,FALSE())&lt;-2),"",#REF!),"")</f>
        <v/>
      </c>
      <c r="T233" s="0" t="str">
        <f aca="false">IFERROR(IF(OR(HLOOKUP($A233,#REF!,18,FALSE())&gt;2,HLOOKUP($A233,#REF!,18,FALSE())&lt;-2),"",#REF!),"")</f>
        <v/>
      </c>
      <c r="U233" s="0" t="str">
        <f aca="false">IFERROR(IF(OR(HLOOKUP($A233,#REF!,19,FALSE())&gt;2,HLOOKUP($A233,#REF!,19,FALSE())&lt;-2),"",#REF!),"")</f>
        <v/>
      </c>
      <c r="V233" s="0" t="n">
        <f aca="false">IFERROR(IF(AND(X233=0,Y233=0),0,1),0)</f>
        <v>1</v>
      </c>
      <c r="W233" s="3" t="str">
        <f aca="false">IFERROR(_xlfn.T.TEST(E233:M233,N233:U233,2,2),"")</f>
        <v/>
      </c>
      <c r="X233" s="0" t="str">
        <f aca="false">IFERROR(AVERAGE(E233:M233),"")</f>
        <v/>
      </c>
      <c r="Y233" s="0" t="str">
        <f aca="false">IFERROR(AVERAGE(N233:U233),"")</f>
        <v/>
      </c>
    </row>
    <row r="234" customFormat="false" ht="14.5" hidden="false" customHeight="false" outlineLevel="0" collapsed="false">
      <c r="A234" s="0" t="n">
        <v>238</v>
      </c>
      <c r="B234" s="0" t="s">
        <v>321</v>
      </c>
      <c r="C234" s="0" t="n">
        <v>89100</v>
      </c>
      <c r="D234" s="0" t="n">
        <v>1117</v>
      </c>
      <c r="E234" s="0" t="str">
        <f aca="false">IFERROR(IF(OR(HLOOKUP($A234,#REF!,3,FALSE())&gt;2,HLOOKUP(A234,#REF!,3,FALSE())&lt;-2),"",#REF!),"")</f>
        <v/>
      </c>
      <c r="F234" s="0" t="str">
        <f aca="false">IFERROR(IF(OR(HLOOKUP($A234,#REF!,4,FALSE())&gt;2,HLOOKUP($A234,#REF!,4,FALSE())&lt;-2),"",#REF!),"")</f>
        <v/>
      </c>
      <c r="G234" s="0" t="str">
        <f aca="false">IFERROR(IF(OR(HLOOKUP($A234,#REF!,5,FALSE())&gt;2,HLOOKUP($A234,#REF!,5,FALSE())&lt;-2),"",#REF!),"")</f>
        <v/>
      </c>
      <c r="H234" s="0" t="str">
        <f aca="false">IFERROR(IF(OR(HLOOKUP($A234,#REF!,6,FALSE())&gt;2,HLOOKUP($A234,#REF!,6,FALSE())&lt;-2),"",#REF!),"")</f>
        <v/>
      </c>
      <c r="I234" s="0" t="str">
        <f aca="false">IFERROR(IF(OR(HLOOKUP($A234,#REF!,7,FALSE())&gt;2,HLOOKUP($A234,#REF!,7,FALSE())&lt;-2),"",#REF!),"")</f>
        <v/>
      </c>
      <c r="J234" s="0" t="str">
        <f aca="false">IFERROR(IF(OR(HLOOKUP($A234,#REF!,8,FALSE())&gt;2,HLOOKUP($A234,#REF!,8,FALSE())&lt;-2),"",#REF!),"")</f>
        <v/>
      </c>
      <c r="K234" s="0" t="str">
        <f aca="false">IFERROR(IF(OR(HLOOKUP($A234,#REF!,9,FALSE())&gt;2,HLOOKUP($A234,#REF!,9,FALSE())&lt;-2),"",#REF!),"")</f>
        <v/>
      </c>
      <c r="L234" s="0" t="str">
        <f aca="false">IFERROR(IF(OR(HLOOKUP($A234,#REF!,10,FALSE())&gt;2,HLOOKUP($A234,#REF!,10,FALSE())&lt;-2),"",#REF!),"")</f>
        <v/>
      </c>
      <c r="M234" s="0" t="str">
        <f aca="false">IFERROR(IF(OR(HLOOKUP($A234,#REF!,11,FALSE())&gt;2,HLOOKUP($A234,#REF!,11,FALSE())&lt;-2),"",#REF!),"")</f>
        <v/>
      </c>
      <c r="N234" s="0" t="str">
        <f aca="false">IFERROR(IF(OR(HLOOKUP($A234,#REF!,12,FALSE())&gt;2,HLOOKUP($A234,#REF!,12,FALSE())&lt;-2),"",#REF!),"")</f>
        <v/>
      </c>
      <c r="O234" s="0" t="str">
        <f aca="false">IFERROR(IF(OR(HLOOKUP($A234,#REF!,13,FALSE())&gt;2,HLOOKUP($A234,#REF!,13,FALSE())&lt;-2),"",#REF!),"")</f>
        <v/>
      </c>
      <c r="P234" s="0" t="str">
        <f aca="false">IFERROR(IF(OR(HLOOKUP($A234,#REF!,14,FALSE())&gt;2,HLOOKUP($A234,#REF!,14,FALSE())&lt;-2),"",#REF!),"")</f>
        <v/>
      </c>
      <c r="Q234" s="0" t="str">
        <f aca="false">IFERROR(IF(OR(HLOOKUP($A234,#REF!,15,FALSE())&gt;2,HLOOKUP($A234,#REF!,15,FALSE())&lt;-2),"",#REF!),"")</f>
        <v/>
      </c>
      <c r="R234" s="0" t="str">
        <f aca="false">IFERROR(IF(OR(HLOOKUP($A234,#REF!,16,FALSE())&gt;2,HLOOKUP($A234,#REF!,16,FALSE())&lt;-2),"",#REF!),"")</f>
        <v/>
      </c>
      <c r="S234" s="0" t="str">
        <f aca="false">IFERROR(IF(OR(HLOOKUP($A234,#REF!,17,FALSE())&gt;2,HLOOKUP($A234,#REF!,17,FALSE())&lt;-2),"",#REF!),"")</f>
        <v/>
      </c>
      <c r="T234" s="0" t="str">
        <f aca="false">IFERROR(IF(OR(HLOOKUP($A234,#REF!,18,FALSE())&gt;2,HLOOKUP($A234,#REF!,18,FALSE())&lt;-2),"",#REF!),"")</f>
        <v/>
      </c>
      <c r="U234" s="0" t="str">
        <f aca="false">IFERROR(IF(OR(HLOOKUP($A234,#REF!,19,FALSE())&gt;2,HLOOKUP($A234,#REF!,19,FALSE())&lt;-2),"",#REF!),"")</f>
        <v/>
      </c>
      <c r="V234" s="0" t="n">
        <f aca="false">IFERROR(IF(AND(X234=0,Y234=0),0,1),0)</f>
        <v>1</v>
      </c>
      <c r="W234" s="3" t="str">
        <f aca="false">IFERROR(_xlfn.T.TEST(E234:M234,N234:U234,2,2),"")</f>
        <v/>
      </c>
      <c r="X234" s="0" t="str">
        <f aca="false">IFERROR(AVERAGE(E234:M234),"")</f>
        <v/>
      </c>
      <c r="Y234" s="0" t="str">
        <f aca="false">IFERROR(AVERAGE(N234:U234),"")</f>
        <v/>
      </c>
    </row>
    <row r="235" customFormat="false" ht="14.5" hidden="false" customHeight="false" outlineLevel="0" collapsed="false">
      <c r="A235" s="0" t="n">
        <v>239</v>
      </c>
      <c r="B235" s="0" t="s">
        <v>322</v>
      </c>
      <c r="C235" s="0" t="n">
        <v>66200</v>
      </c>
      <c r="D235" s="0" t="n">
        <v>856</v>
      </c>
      <c r="E235" s="0" t="str">
        <f aca="false">IFERROR(IF(OR(HLOOKUP($A235,#REF!,3,FALSE())&gt;2,HLOOKUP(A235,#REF!,3,FALSE())&lt;-2),"",#REF!),"")</f>
        <v/>
      </c>
      <c r="F235" s="0" t="str">
        <f aca="false">IFERROR(IF(OR(HLOOKUP($A235,#REF!,4,FALSE())&gt;2,HLOOKUP($A235,#REF!,4,FALSE())&lt;-2),"",#REF!),"")</f>
        <v/>
      </c>
      <c r="G235" s="0" t="str">
        <f aca="false">IFERROR(IF(OR(HLOOKUP($A235,#REF!,5,FALSE())&gt;2,HLOOKUP($A235,#REF!,5,FALSE())&lt;-2),"",#REF!),"")</f>
        <v/>
      </c>
      <c r="H235" s="0" t="str">
        <f aca="false">IFERROR(IF(OR(HLOOKUP($A235,#REF!,6,FALSE())&gt;2,HLOOKUP($A235,#REF!,6,FALSE())&lt;-2),"",#REF!),"")</f>
        <v/>
      </c>
      <c r="I235" s="0" t="str">
        <f aca="false">IFERROR(IF(OR(HLOOKUP($A235,#REF!,7,FALSE())&gt;2,HLOOKUP($A235,#REF!,7,FALSE())&lt;-2),"",#REF!),"")</f>
        <v/>
      </c>
      <c r="J235" s="0" t="str">
        <f aca="false">IFERROR(IF(OR(HLOOKUP($A235,#REF!,8,FALSE())&gt;2,HLOOKUP($A235,#REF!,8,FALSE())&lt;-2),"",#REF!),"")</f>
        <v/>
      </c>
      <c r="K235" s="0" t="str">
        <f aca="false">IFERROR(IF(OR(HLOOKUP($A235,#REF!,9,FALSE())&gt;2,HLOOKUP($A235,#REF!,9,FALSE())&lt;-2),"",#REF!),"")</f>
        <v/>
      </c>
      <c r="L235" s="0" t="str">
        <f aca="false">IFERROR(IF(OR(HLOOKUP($A235,#REF!,10,FALSE())&gt;2,HLOOKUP($A235,#REF!,10,FALSE())&lt;-2),"",#REF!),"")</f>
        <v/>
      </c>
      <c r="M235" s="0" t="str">
        <f aca="false">IFERROR(IF(OR(HLOOKUP($A235,#REF!,11,FALSE())&gt;2,HLOOKUP($A235,#REF!,11,FALSE())&lt;-2),"",#REF!),"")</f>
        <v/>
      </c>
      <c r="N235" s="0" t="str">
        <f aca="false">IFERROR(IF(OR(HLOOKUP($A235,#REF!,12,FALSE())&gt;2,HLOOKUP($A235,#REF!,12,FALSE())&lt;-2),"",#REF!),"")</f>
        <v/>
      </c>
      <c r="O235" s="0" t="str">
        <f aca="false">IFERROR(IF(OR(HLOOKUP($A235,#REF!,13,FALSE())&gt;2,HLOOKUP($A235,#REF!,13,FALSE())&lt;-2),"",#REF!),"")</f>
        <v/>
      </c>
      <c r="P235" s="0" t="str">
        <f aca="false">IFERROR(IF(OR(HLOOKUP($A235,#REF!,14,FALSE())&gt;2,HLOOKUP($A235,#REF!,14,FALSE())&lt;-2),"",#REF!),"")</f>
        <v/>
      </c>
      <c r="Q235" s="0" t="str">
        <f aca="false">IFERROR(IF(OR(HLOOKUP($A235,#REF!,15,FALSE())&gt;2,HLOOKUP($A235,#REF!,15,FALSE())&lt;-2),"",#REF!),"")</f>
        <v/>
      </c>
      <c r="R235" s="0" t="str">
        <f aca="false">IFERROR(IF(OR(HLOOKUP($A235,#REF!,16,FALSE())&gt;2,HLOOKUP($A235,#REF!,16,FALSE())&lt;-2),"",#REF!),"")</f>
        <v/>
      </c>
      <c r="S235" s="0" t="str">
        <f aca="false">IFERROR(IF(OR(HLOOKUP($A235,#REF!,17,FALSE())&gt;2,HLOOKUP($A235,#REF!,17,FALSE())&lt;-2),"",#REF!),"")</f>
        <v/>
      </c>
      <c r="T235" s="0" t="str">
        <f aca="false">IFERROR(IF(OR(HLOOKUP($A235,#REF!,18,FALSE())&gt;2,HLOOKUP($A235,#REF!,18,FALSE())&lt;-2),"",#REF!),"")</f>
        <v/>
      </c>
      <c r="U235" s="0" t="str">
        <f aca="false">IFERROR(IF(OR(HLOOKUP($A235,#REF!,19,FALSE())&gt;2,HLOOKUP($A235,#REF!,19,FALSE())&lt;-2),"",#REF!),"")</f>
        <v/>
      </c>
      <c r="V235" s="0" t="n">
        <f aca="false">IFERROR(IF(AND(X235=0,Y235=0),0,1),0)</f>
        <v>1</v>
      </c>
      <c r="W235" s="3" t="str">
        <f aca="false">IFERROR(_xlfn.T.TEST(E235:M235,N235:U235,2,2),"")</f>
        <v/>
      </c>
      <c r="X235" s="0" t="str">
        <f aca="false">IFERROR(AVERAGE(E235:M235),"")</f>
        <v/>
      </c>
      <c r="Y235" s="0" t="str">
        <f aca="false">IFERROR(AVERAGE(N235:U235),"")</f>
        <v/>
      </c>
    </row>
    <row r="236" customFormat="false" ht="14.5" hidden="false" customHeight="false" outlineLevel="0" collapsed="false">
      <c r="A236" s="0" t="n">
        <v>240</v>
      </c>
      <c r="B236" s="0" t="s">
        <v>323</v>
      </c>
      <c r="C236" s="0" t="n">
        <v>36100</v>
      </c>
      <c r="D236" s="0" t="n">
        <v>663</v>
      </c>
      <c r="E236" s="0" t="str">
        <f aca="false">IFERROR(IF(OR(HLOOKUP($A236,#REF!,3,FALSE())&gt;2,HLOOKUP(A236,#REF!,3,FALSE())&lt;-2),"",#REF!),"")</f>
        <v/>
      </c>
      <c r="F236" s="0" t="str">
        <f aca="false">IFERROR(IF(OR(HLOOKUP($A236,#REF!,4,FALSE())&gt;2,HLOOKUP($A236,#REF!,4,FALSE())&lt;-2),"",#REF!),"")</f>
        <v/>
      </c>
      <c r="G236" s="0" t="str">
        <f aca="false">IFERROR(IF(OR(HLOOKUP($A236,#REF!,5,FALSE())&gt;2,HLOOKUP($A236,#REF!,5,FALSE())&lt;-2),"",#REF!),"")</f>
        <v/>
      </c>
      <c r="H236" s="0" t="str">
        <f aca="false">IFERROR(IF(OR(HLOOKUP($A236,#REF!,6,FALSE())&gt;2,HLOOKUP($A236,#REF!,6,FALSE())&lt;-2),"",#REF!),"")</f>
        <v/>
      </c>
      <c r="I236" s="0" t="str">
        <f aca="false">IFERROR(IF(OR(HLOOKUP($A236,#REF!,7,FALSE())&gt;2,HLOOKUP($A236,#REF!,7,FALSE())&lt;-2),"",#REF!),"")</f>
        <v/>
      </c>
      <c r="J236" s="0" t="str">
        <f aca="false">IFERROR(IF(OR(HLOOKUP($A236,#REF!,8,FALSE())&gt;2,HLOOKUP($A236,#REF!,8,FALSE())&lt;-2),"",#REF!),"")</f>
        <v/>
      </c>
      <c r="K236" s="0" t="str">
        <f aca="false">IFERROR(IF(OR(HLOOKUP($A236,#REF!,9,FALSE())&gt;2,HLOOKUP($A236,#REF!,9,FALSE())&lt;-2),"",#REF!),"")</f>
        <v/>
      </c>
      <c r="L236" s="0" t="str">
        <f aca="false">IFERROR(IF(OR(HLOOKUP($A236,#REF!,10,FALSE())&gt;2,HLOOKUP($A236,#REF!,10,FALSE())&lt;-2),"",#REF!),"")</f>
        <v/>
      </c>
      <c r="M236" s="0" t="str">
        <f aca="false">IFERROR(IF(OR(HLOOKUP($A236,#REF!,11,FALSE())&gt;2,HLOOKUP($A236,#REF!,11,FALSE())&lt;-2),"",#REF!),"")</f>
        <v/>
      </c>
      <c r="N236" s="0" t="str">
        <f aca="false">IFERROR(IF(OR(HLOOKUP($A236,#REF!,12,FALSE())&gt;2,HLOOKUP($A236,#REF!,12,FALSE())&lt;-2),"",#REF!),"")</f>
        <v/>
      </c>
      <c r="O236" s="0" t="str">
        <f aca="false">IFERROR(IF(OR(HLOOKUP($A236,#REF!,13,FALSE())&gt;2,HLOOKUP($A236,#REF!,13,FALSE())&lt;-2),"",#REF!),"")</f>
        <v/>
      </c>
      <c r="P236" s="0" t="str">
        <f aca="false">IFERROR(IF(OR(HLOOKUP($A236,#REF!,14,FALSE())&gt;2,HLOOKUP($A236,#REF!,14,FALSE())&lt;-2),"",#REF!),"")</f>
        <v/>
      </c>
      <c r="Q236" s="0" t="str">
        <f aca="false">IFERROR(IF(OR(HLOOKUP($A236,#REF!,15,FALSE())&gt;2,HLOOKUP($A236,#REF!,15,FALSE())&lt;-2),"",#REF!),"")</f>
        <v/>
      </c>
      <c r="R236" s="0" t="str">
        <f aca="false">IFERROR(IF(OR(HLOOKUP($A236,#REF!,16,FALSE())&gt;2,HLOOKUP($A236,#REF!,16,FALSE())&lt;-2),"",#REF!),"")</f>
        <v/>
      </c>
      <c r="S236" s="0" t="str">
        <f aca="false">IFERROR(IF(OR(HLOOKUP($A236,#REF!,17,FALSE())&gt;2,HLOOKUP($A236,#REF!,17,FALSE())&lt;-2),"",#REF!),"")</f>
        <v/>
      </c>
      <c r="T236" s="0" t="str">
        <f aca="false">IFERROR(IF(OR(HLOOKUP($A236,#REF!,18,FALSE())&gt;2,HLOOKUP($A236,#REF!,18,FALSE())&lt;-2),"",#REF!),"")</f>
        <v/>
      </c>
      <c r="U236" s="0" t="str">
        <f aca="false">IFERROR(IF(OR(HLOOKUP($A236,#REF!,19,FALSE())&gt;2,HLOOKUP($A236,#REF!,19,FALSE())&lt;-2),"",#REF!),"")</f>
        <v/>
      </c>
      <c r="V236" s="0" t="n">
        <f aca="false">IFERROR(IF(AND(X236=0,Y236=0),0,1),0)</f>
        <v>1</v>
      </c>
      <c r="W236" s="3" t="str">
        <f aca="false">IFERROR(_xlfn.T.TEST(E236:M236,N236:U236,2,2),"")</f>
        <v/>
      </c>
      <c r="X236" s="0" t="str">
        <f aca="false">IFERROR(AVERAGE(E236:M236),"")</f>
        <v/>
      </c>
      <c r="Y236" s="0" t="str">
        <f aca="false">IFERROR(AVERAGE(N236:U236),"")</f>
        <v/>
      </c>
    </row>
    <row r="237" customFormat="false" ht="14.5" hidden="false" customHeight="false" outlineLevel="0" collapsed="false">
      <c r="A237" s="0" t="n">
        <v>241</v>
      </c>
      <c r="B237" s="0" t="s">
        <v>324</v>
      </c>
      <c r="C237" s="0" t="n">
        <v>27500</v>
      </c>
      <c r="D237" s="0" t="n">
        <v>22</v>
      </c>
      <c r="E237" s="0" t="str">
        <f aca="false">IFERROR(IF(OR(HLOOKUP($A237,#REF!,3,FALSE())&gt;2,HLOOKUP(A237,#REF!,3,FALSE())&lt;-2),"",#REF!),"")</f>
        <v/>
      </c>
      <c r="F237" s="0" t="str">
        <f aca="false">IFERROR(IF(OR(HLOOKUP($A237,#REF!,4,FALSE())&gt;2,HLOOKUP($A237,#REF!,4,FALSE())&lt;-2),"",#REF!),"")</f>
        <v/>
      </c>
      <c r="G237" s="0" t="str">
        <f aca="false">IFERROR(IF(OR(HLOOKUP($A237,#REF!,5,FALSE())&gt;2,HLOOKUP($A237,#REF!,5,FALSE())&lt;-2),"",#REF!),"")</f>
        <v/>
      </c>
      <c r="H237" s="0" t="str">
        <f aca="false">IFERROR(IF(OR(HLOOKUP($A237,#REF!,6,FALSE())&gt;2,HLOOKUP($A237,#REF!,6,FALSE())&lt;-2),"",#REF!),"")</f>
        <v/>
      </c>
      <c r="I237" s="0" t="str">
        <f aca="false">IFERROR(IF(OR(HLOOKUP($A237,#REF!,7,FALSE())&gt;2,HLOOKUP($A237,#REF!,7,FALSE())&lt;-2),"",#REF!),"")</f>
        <v/>
      </c>
      <c r="J237" s="0" t="str">
        <f aca="false">IFERROR(IF(OR(HLOOKUP($A237,#REF!,8,FALSE())&gt;2,HLOOKUP($A237,#REF!,8,FALSE())&lt;-2),"",#REF!),"")</f>
        <v/>
      </c>
      <c r="K237" s="0" t="str">
        <f aca="false">IFERROR(IF(OR(HLOOKUP($A237,#REF!,9,FALSE())&gt;2,HLOOKUP($A237,#REF!,9,FALSE())&lt;-2),"",#REF!),"")</f>
        <v/>
      </c>
      <c r="L237" s="0" t="str">
        <f aca="false">IFERROR(IF(OR(HLOOKUP($A237,#REF!,10,FALSE())&gt;2,HLOOKUP($A237,#REF!,10,FALSE())&lt;-2),"",#REF!),"")</f>
        <v/>
      </c>
      <c r="M237" s="0" t="str">
        <f aca="false">IFERROR(IF(OR(HLOOKUP($A237,#REF!,11,FALSE())&gt;2,HLOOKUP($A237,#REF!,11,FALSE())&lt;-2),"",#REF!),"")</f>
        <v/>
      </c>
      <c r="N237" s="0" t="str">
        <f aca="false">IFERROR(IF(OR(HLOOKUP($A237,#REF!,12,FALSE())&gt;2,HLOOKUP($A237,#REF!,12,FALSE())&lt;-2),"",#REF!),"")</f>
        <v/>
      </c>
      <c r="O237" s="0" t="str">
        <f aca="false">IFERROR(IF(OR(HLOOKUP($A237,#REF!,13,FALSE())&gt;2,HLOOKUP($A237,#REF!,13,FALSE())&lt;-2),"",#REF!),"")</f>
        <v/>
      </c>
      <c r="P237" s="0" t="str">
        <f aca="false">IFERROR(IF(OR(HLOOKUP($A237,#REF!,14,FALSE())&gt;2,HLOOKUP($A237,#REF!,14,FALSE())&lt;-2),"",#REF!),"")</f>
        <v/>
      </c>
      <c r="Q237" s="0" t="str">
        <f aca="false">IFERROR(IF(OR(HLOOKUP($A237,#REF!,15,FALSE())&gt;2,HLOOKUP($A237,#REF!,15,FALSE())&lt;-2),"",#REF!),"")</f>
        <v/>
      </c>
      <c r="R237" s="0" t="str">
        <f aca="false">IFERROR(IF(OR(HLOOKUP($A237,#REF!,16,FALSE())&gt;2,HLOOKUP($A237,#REF!,16,FALSE())&lt;-2),"",#REF!),"")</f>
        <v/>
      </c>
      <c r="S237" s="0" t="str">
        <f aca="false">IFERROR(IF(OR(HLOOKUP($A237,#REF!,17,FALSE())&gt;2,HLOOKUP($A237,#REF!,17,FALSE())&lt;-2),"",#REF!),"")</f>
        <v/>
      </c>
      <c r="T237" s="0" t="str">
        <f aca="false">IFERROR(IF(OR(HLOOKUP($A237,#REF!,18,FALSE())&gt;2,HLOOKUP($A237,#REF!,18,FALSE())&lt;-2),"",#REF!),"")</f>
        <v/>
      </c>
      <c r="U237" s="0" t="str">
        <f aca="false">IFERROR(IF(OR(HLOOKUP($A237,#REF!,19,FALSE())&gt;2,HLOOKUP($A237,#REF!,19,FALSE())&lt;-2),"",#REF!),"")</f>
        <v/>
      </c>
      <c r="V237" s="0" t="n">
        <f aca="false">IFERROR(IF(AND(X237=0,Y237=0),0,1),0)</f>
        <v>1</v>
      </c>
      <c r="W237" s="3" t="str">
        <f aca="false">IFERROR(_xlfn.T.TEST(E237:M237,N237:U237,2,2),"")</f>
        <v/>
      </c>
      <c r="X237" s="0" t="str">
        <f aca="false">IFERROR(AVERAGE(E237:M237),"")</f>
        <v/>
      </c>
      <c r="Y237" s="0" t="str">
        <f aca="false">IFERROR(AVERAGE(N237:U237),"")</f>
        <v/>
      </c>
    </row>
    <row r="238" customFormat="false" ht="14.5" hidden="false" customHeight="false" outlineLevel="0" collapsed="false">
      <c r="A238" s="0" t="n">
        <v>242</v>
      </c>
      <c r="B238" s="0" t="s">
        <v>325</v>
      </c>
      <c r="C238" s="0" t="n">
        <v>49400</v>
      </c>
      <c r="D238" s="0" t="n">
        <v>275</v>
      </c>
      <c r="E238" s="0" t="str">
        <f aca="false">IFERROR(IF(OR(HLOOKUP($A238,#REF!,3,FALSE())&gt;2,HLOOKUP(A238,#REF!,3,FALSE())&lt;-2),"",#REF!),"")</f>
        <v/>
      </c>
      <c r="F238" s="0" t="str">
        <f aca="false">IFERROR(IF(OR(HLOOKUP($A238,#REF!,4,FALSE())&gt;2,HLOOKUP($A238,#REF!,4,FALSE())&lt;-2),"",#REF!),"")</f>
        <v/>
      </c>
      <c r="G238" s="0" t="str">
        <f aca="false">IFERROR(IF(OR(HLOOKUP($A238,#REF!,5,FALSE())&gt;2,HLOOKUP($A238,#REF!,5,FALSE())&lt;-2),"",#REF!),"")</f>
        <v/>
      </c>
      <c r="H238" s="0" t="str">
        <f aca="false">IFERROR(IF(OR(HLOOKUP($A238,#REF!,6,FALSE())&gt;2,HLOOKUP($A238,#REF!,6,FALSE())&lt;-2),"",#REF!),"")</f>
        <v/>
      </c>
      <c r="I238" s="0" t="str">
        <f aca="false">IFERROR(IF(OR(HLOOKUP($A238,#REF!,7,FALSE())&gt;2,HLOOKUP($A238,#REF!,7,FALSE())&lt;-2),"",#REF!),"")</f>
        <v/>
      </c>
      <c r="J238" s="0" t="str">
        <f aca="false">IFERROR(IF(OR(HLOOKUP($A238,#REF!,8,FALSE())&gt;2,HLOOKUP($A238,#REF!,8,FALSE())&lt;-2),"",#REF!),"")</f>
        <v/>
      </c>
      <c r="K238" s="0" t="str">
        <f aca="false">IFERROR(IF(OR(HLOOKUP($A238,#REF!,9,FALSE())&gt;2,HLOOKUP($A238,#REF!,9,FALSE())&lt;-2),"",#REF!),"")</f>
        <v/>
      </c>
      <c r="L238" s="0" t="str">
        <f aca="false">IFERROR(IF(OR(HLOOKUP($A238,#REF!,10,FALSE())&gt;2,HLOOKUP($A238,#REF!,10,FALSE())&lt;-2),"",#REF!),"")</f>
        <v/>
      </c>
      <c r="M238" s="0" t="str">
        <f aca="false">IFERROR(IF(OR(HLOOKUP($A238,#REF!,11,FALSE())&gt;2,HLOOKUP($A238,#REF!,11,FALSE())&lt;-2),"",#REF!),"")</f>
        <v/>
      </c>
      <c r="N238" s="0" t="str">
        <f aca="false">IFERROR(IF(OR(HLOOKUP($A238,#REF!,12,FALSE())&gt;2,HLOOKUP($A238,#REF!,12,FALSE())&lt;-2),"",#REF!),"")</f>
        <v/>
      </c>
      <c r="O238" s="0" t="str">
        <f aca="false">IFERROR(IF(OR(HLOOKUP($A238,#REF!,13,FALSE())&gt;2,HLOOKUP($A238,#REF!,13,FALSE())&lt;-2),"",#REF!),"")</f>
        <v/>
      </c>
      <c r="P238" s="0" t="str">
        <f aca="false">IFERROR(IF(OR(HLOOKUP($A238,#REF!,14,FALSE())&gt;2,HLOOKUP($A238,#REF!,14,FALSE())&lt;-2),"",#REF!),"")</f>
        <v/>
      </c>
      <c r="Q238" s="0" t="str">
        <f aca="false">IFERROR(IF(OR(HLOOKUP($A238,#REF!,15,FALSE())&gt;2,HLOOKUP($A238,#REF!,15,FALSE())&lt;-2),"",#REF!),"")</f>
        <v/>
      </c>
      <c r="R238" s="0" t="str">
        <f aca="false">IFERROR(IF(OR(HLOOKUP($A238,#REF!,16,FALSE())&gt;2,HLOOKUP($A238,#REF!,16,FALSE())&lt;-2),"",#REF!),"")</f>
        <v/>
      </c>
      <c r="S238" s="0" t="str">
        <f aca="false">IFERROR(IF(OR(HLOOKUP($A238,#REF!,17,FALSE())&gt;2,HLOOKUP($A238,#REF!,17,FALSE())&lt;-2),"",#REF!),"")</f>
        <v/>
      </c>
      <c r="T238" s="0" t="str">
        <f aca="false">IFERROR(IF(OR(HLOOKUP($A238,#REF!,18,FALSE())&gt;2,HLOOKUP($A238,#REF!,18,FALSE())&lt;-2),"",#REF!),"")</f>
        <v/>
      </c>
      <c r="U238" s="0" t="str">
        <f aca="false">IFERROR(IF(OR(HLOOKUP($A238,#REF!,19,FALSE())&gt;2,HLOOKUP($A238,#REF!,19,FALSE())&lt;-2),"",#REF!),"")</f>
        <v/>
      </c>
      <c r="V238" s="0" t="n">
        <f aca="false">IFERROR(IF(AND(X238=0,Y238=0),0,1),0)</f>
        <v>1</v>
      </c>
      <c r="W238" s="3" t="str">
        <f aca="false">IFERROR(_xlfn.T.TEST(E238:M238,N238:U238,2,2),"")</f>
        <v/>
      </c>
      <c r="X238" s="0" t="str">
        <f aca="false">IFERROR(AVERAGE(E238:M238),"")</f>
        <v/>
      </c>
      <c r="Y238" s="0" t="str">
        <f aca="false">IFERROR(AVERAGE(N238:U238),"")</f>
        <v/>
      </c>
    </row>
    <row r="239" customFormat="false" ht="14.5" hidden="false" customHeight="false" outlineLevel="0" collapsed="false">
      <c r="A239" s="0" t="n">
        <v>243</v>
      </c>
      <c r="B239" s="0" t="s">
        <v>326</v>
      </c>
      <c r="C239" s="0" t="n">
        <v>11200</v>
      </c>
      <c r="D239" s="0" t="n">
        <v>1011</v>
      </c>
      <c r="E239" s="0" t="str">
        <f aca="false">IFERROR(IF(OR(HLOOKUP($A239,#REF!,3,FALSE())&gt;2,HLOOKUP(A239,#REF!,3,FALSE())&lt;-2),"",#REF!),"")</f>
        <v/>
      </c>
      <c r="F239" s="0" t="str">
        <f aca="false">IFERROR(IF(OR(HLOOKUP($A239,#REF!,4,FALSE())&gt;2,HLOOKUP($A239,#REF!,4,FALSE())&lt;-2),"",#REF!),"")</f>
        <v/>
      </c>
      <c r="G239" s="0" t="str">
        <f aca="false">IFERROR(IF(OR(HLOOKUP($A239,#REF!,5,FALSE())&gt;2,HLOOKUP($A239,#REF!,5,FALSE())&lt;-2),"",#REF!),"")</f>
        <v/>
      </c>
      <c r="H239" s="0" t="str">
        <f aca="false">IFERROR(IF(OR(HLOOKUP($A239,#REF!,6,FALSE())&gt;2,HLOOKUP($A239,#REF!,6,FALSE())&lt;-2),"",#REF!),"")</f>
        <v/>
      </c>
      <c r="I239" s="0" t="str">
        <f aca="false">IFERROR(IF(OR(HLOOKUP($A239,#REF!,7,FALSE())&gt;2,HLOOKUP($A239,#REF!,7,FALSE())&lt;-2),"",#REF!),"")</f>
        <v/>
      </c>
      <c r="J239" s="0" t="str">
        <f aca="false">IFERROR(IF(OR(HLOOKUP($A239,#REF!,8,FALSE())&gt;2,HLOOKUP($A239,#REF!,8,FALSE())&lt;-2),"",#REF!),"")</f>
        <v/>
      </c>
      <c r="K239" s="0" t="str">
        <f aca="false">IFERROR(IF(OR(HLOOKUP($A239,#REF!,9,FALSE())&gt;2,HLOOKUP($A239,#REF!,9,FALSE())&lt;-2),"",#REF!),"")</f>
        <v/>
      </c>
      <c r="L239" s="0" t="str">
        <f aca="false">IFERROR(IF(OR(HLOOKUP($A239,#REF!,10,FALSE())&gt;2,HLOOKUP($A239,#REF!,10,FALSE())&lt;-2),"",#REF!),"")</f>
        <v/>
      </c>
      <c r="M239" s="0" t="str">
        <f aca="false">IFERROR(IF(OR(HLOOKUP($A239,#REF!,11,FALSE())&gt;2,HLOOKUP($A239,#REF!,11,FALSE())&lt;-2),"",#REF!),"")</f>
        <v/>
      </c>
      <c r="N239" s="0" t="str">
        <f aca="false">IFERROR(IF(OR(HLOOKUP($A239,#REF!,12,FALSE())&gt;2,HLOOKUP($A239,#REF!,12,FALSE())&lt;-2),"",#REF!),"")</f>
        <v/>
      </c>
      <c r="O239" s="0" t="str">
        <f aca="false">IFERROR(IF(OR(HLOOKUP($A239,#REF!,13,FALSE())&gt;2,HLOOKUP($A239,#REF!,13,FALSE())&lt;-2),"",#REF!),"")</f>
        <v/>
      </c>
      <c r="P239" s="0" t="str">
        <f aca="false">IFERROR(IF(OR(HLOOKUP($A239,#REF!,14,FALSE())&gt;2,HLOOKUP($A239,#REF!,14,FALSE())&lt;-2),"",#REF!),"")</f>
        <v/>
      </c>
      <c r="Q239" s="0" t="str">
        <f aca="false">IFERROR(IF(OR(HLOOKUP($A239,#REF!,15,FALSE())&gt;2,HLOOKUP($A239,#REF!,15,FALSE())&lt;-2),"",#REF!),"")</f>
        <v/>
      </c>
      <c r="R239" s="0" t="str">
        <f aca="false">IFERROR(IF(OR(HLOOKUP($A239,#REF!,16,FALSE())&gt;2,HLOOKUP($A239,#REF!,16,FALSE())&lt;-2),"",#REF!),"")</f>
        <v/>
      </c>
      <c r="S239" s="0" t="str">
        <f aca="false">IFERROR(IF(OR(HLOOKUP($A239,#REF!,17,FALSE())&gt;2,HLOOKUP($A239,#REF!,17,FALSE())&lt;-2),"",#REF!),"")</f>
        <v/>
      </c>
      <c r="T239" s="0" t="str">
        <f aca="false">IFERROR(IF(OR(HLOOKUP($A239,#REF!,18,FALSE())&gt;2,HLOOKUP($A239,#REF!,18,FALSE())&lt;-2),"",#REF!),"")</f>
        <v/>
      </c>
      <c r="U239" s="0" t="str">
        <f aca="false">IFERROR(IF(OR(HLOOKUP($A239,#REF!,19,FALSE())&gt;2,HLOOKUP($A239,#REF!,19,FALSE())&lt;-2),"",#REF!),"")</f>
        <v/>
      </c>
      <c r="V239" s="0" t="n">
        <f aca="false">IFERROR(IF(AND(X239=0,Y239=0),0,1),0)</f>
        <v>1</v>
      </c>
      <c r="W239" s="3" t="str">
        <f aca="false">IFERROR(_xlfn.T.TEST(E239:M239,N239:U239,2,2),"")</f>
        <v/>
      </c>
      <c r="X239" s="0" t="str">
        <f aca="false">IFERROR(AVERAGE(E239:M239),"")</f>
        <v/>
      </c>
      <c r="Y239" s="0" t="str">
        <f aca="false">IFERROR(AVERAGE(N239:U239),"")</f>
        <v/>
      </c>
    </row>
    <row r="240" customFormat="false" ht="14.5" hidden="false" customHeight="false" outlineLevel="0" collapsed="false">
      <c r="A240" s="0" t="n">
        <v>244</v>
      </c>
      <c r="B240" s="0" t="s">
        <v>327</v>
      </c>
      <c r="C240" s="0" t="n">
        <v>30500</v>
      </c>
      <c r="D240" s="0" t="n">
        <v>507</v>
      </c>
      <c r="E240" s="0" t="str">
        <f aca="false">IFERROR(IF(OR(HLOOKUP($A240,#REF!,3,FALSE())&gt;2,HLOOKUP(A240,#REF!,3,FALSE())&lt;-2),"",#REF!),"")</f>
        <v/>
      </c>
      <c r="F240" s="0" t="str">
        <f aca="false">IFERROR(IF(OR(HLOOKUP($A240,#REF!,4,FALSE())&gt;2,HLOOKUP($A240,#REF!,4,FALSE())&lt;-2),"",#REF!),"")</f>
        <v/>
      </c>
      <c r="G240" s="0" t="str">
        <f aca="false">IFERROR(IF(OR(HLOOKUP($A240,#REF!,5,FALSE())&gt;2,HLOOKUP($A240,#REF!,5,FALSE())&lt;-2),"",#REF!),"")</f>
        <v/>
      </c>
      <c r="H240" s="0" t="str">
        <f aca="false">IFERROR(IF(OR(HLOOKUP($A240,#REF!,6,FALSE())&gt;2,HLOOKUP($A240,#REF!,6,FALSE())&lt;-2),"",#REF!),"")</f>
        <v/>
      </c>
      <c r="I240" s="0" t="str">
        <f aca="false">IFERROR(IF(OR(HLOOKUP($A240,#REF!,7,FALSE())&gt;2,HLOOKUP($A240,#REF!,7,FALSE())&lt;-2),"",#REF!),"")</f>
        <v/>
      </c>
      <c r="J240" s="0" t="str">
        <f aca="false">IFERROR(IF(OR(HLOOKUP($A240,#REF!,8,FALSE())&gt;2,HLOOKUP($A240,#REF!,8,FALSE())&lt;-2),"",#REF!),"")</f>
        <v/>
      </c>
      <c r="K240" s="0" t="str">
        <f aca="false">IFERROR(IF(OR(HLOOKUP($A240,#REF!,9,FALSE())&gt;2,HLOOKUP($A240,#REF!,9,FALSE())&lt;-2),"",#REF!),"")</f>
        <v/>
      </c>
      <c r="L240" s="0" t="str">
        <f aca="false">IFERROR(IF(OR(HLOOKUP($A240,#REF!,10,FALSE())&gt;2,HLOOKUP($A240,#REF!,10,FALSE())&lt;-2),"",#REF!),"")</f>
        <v/>
      </c>
      <c r="M240" s="0" t="str">
        <f aca="false">IFERROR(IF(OR(HLOOKUP($A240,#REF!,11,FALSE())&gt;2,HLOOKUP($A240,#REF!,11,FALSE())&lt;-2),"",#REF!),"")</f>
        <v/>
      </c>
      <c r="N240" s="0" t="str">
        <f aca="false">IFERROR(IF(OR(HLOOKUP($A240,#REF!,12,FALSE())&gt;2,HLOOKUP($A240,#REF!,12,FALSE())&lt;-2),"",#REF!),"")</f>
        <v/>
      </c>
      <c r="O240" s="0" t="str">
        <f aca="false">IFERROR(IF(OR(HLOOKUP($A240,#REF!,13,FALSE())&gt;2,HLOOKUP($A240,#REF!,13,FALSE())&lt;-2),"",#REF!),"")</f>
        <v/>
      </c>
      <c r="P240" s="0" t="str">
        <f aca="false">IFERROR(IF(OR(HLOOKUP($A240,#REF!,14,FALSE())&gt;2,HLOOKUP($A240,#REF!,14,FALSE())&lt;-2),"",#REF!),"")</f>
        <v/>
      </c>
      <c r="Q240" s="0" t="str">
        <f aca="false">IFERROR(IF(OR(HLOOKUP($A240,#REF!,15,FALSE())&gt;2,HLOOKUP($A240,#REF!,15,FALSE())&lt;-2),"",#REF!),"")</f>
        <v/>
      </c>
      <c r="R240" s="0" t="str">
        <f aca="false">IFERROR(IF(OR(HLOOKUP($A240,#REF!,16,FALSE())&gt;2,HLOOKUP($A240,#REF!,16,FALSE())&lt;-2),"",#REF!),"")</f>
        <v/>
      </c>
      <c r="S240" s="0" t="str">
        <f aca="false">IFERROR(IF(OR(HLOOKUP($A240,#REF!,17,FALSE())&gt;2,HLOOKUP($A240,#REF!,17,FALSE())&lt;-2),"",#REF!),"")</f>
        <v/>
      </c>
      <c r="T240" s="0" t="str">
        <f aca="false">IFERROR(IF(OR(HLOOKUP($A240,#REF!,18,FALSE())&gt;2,HLOOKUP($A240,#REF!,18,FALSE())&lt;-2),"",#REF!),"")</f>
        <v/>
      </c>
      <c r="U240" s="0" t="str">
        <f aca="false">IFERROR(IF(OR(HLOOKUP($A240,#REF!,19,FALSE())&gt;2,HLOOKUP($A240,#REF!,19,FALSE())&lt;-2),"",#REF!),"")</f>
        <v/>
      </c>
      <c r="V240" s="0" t="n">
        <f aca="false">IFERROR(IF(AND(X240=0,Y240=0),0,1),0)</f>
        <v>1</v>
      </c>
      <c r="W240" s="3" t="str">
        <f aca="false">IFERROR(_xlfn.T.TEST(E240:M240,N240:U240,2,2),"")</f>
        <v/>
      </c>
      <c r="X240" s="0" t="str">
        <f aca="false">IFERROR(AVERAGE(E240:M240),"")</f>
        <v/>
      </c>
      <c r="Y240" s="0" t="str">
        <f aca="false">IFERROR(AVERAGE(N240:U240),"")</f>
        <v/>
      </c>
    </row>
    <row r="241" customFormat="false" ht="14.5" hidden="false" customHeight="false" outlineLevel="0" collapsed="false">
      <c r="A241" s="0" t="n">
        <v>245</v>
      </c>
      <c r="B241" s="0" t="s">
        <v>328</v>
      </c>
      <c r="C241" s="0" t="n">
        <v>103400</v>
      </c>
      <c r="D241" s="0" t="n">
        <v>871</v>
      </c>
      <c r="E241" s="0" t="str">
        <f aca="false">IFERROR(IF(OR(HLOOKUP($A241,#REF!,3,FALSE())&gt;2,HLOOKUP(A241,#REF!,3,FALSE())&lt;-2),"",#REF!),"")</f>
        <v/>
      </c>
      <c r="F241" s="0" t="str">
        <f aca="false">IFERROR(IF(OR(HLOOKUP($A241,#REF!,4,FALSE())&gt;2,HLOOKUP($A241,#REF!,4,FALSE())&lt;-2),"",#REF!),"")</f>
        <v/>
      </c>
      <c r="G241" s="0" t="str">
        <f aca="false">IFERROR(IF(OR(HLOOKUP($A241,#REF!,5,FALSE())&gt;2,HLOOKUP($A241,#REF!,5,FALSE())&lt;-2),"",#REF!),"")</f>
        <v/>
      </c>
      <c r="H241" s="0" t="str">
        <f aca="false">IFERROR(IF(OR(HLOOKUP($A241,#REF!,6,FALSE())&gt;2,HLOOKUP($A241,#REF!,6,FALSE())&lt;-2),"",#REF!),"")</f>
        <v/>
      </c>
      <c r="I241" s="0" t="str">
        <f aca="false">IFERROR(IF(OR(HLOOKUP($A241,#REF!,7,FALSE())&gt;2,HLOOKUP($A241,#REF!,7,FALSE())&lt;-2),"",#REF!),"")</f>
        <v/>
      </c>
      <c r="J241" s="0" t="str">
        <f aca="false">IFERROR(IF(OR(HLOOKUP($A241,#REF!,8,FALSE())&gt;2,HLOOKUP($A241,#REF!,8,FALSE())&lt;-2),"",#REF!),"")</f>
        <v/>
      </c>
      <c r="K241" s="0" t="str">
        <f aca="false">IFERROR(IF(OR(HLOOKUP($A241,#REF!,9,FALSE())&gt;2,HLOOKUP($A241,#REF!,9,FALSE())&lt;-2),"",#REF!),"")</f>
        <v/>
      </c>
      <c r="L241" s="0" t="str">
        <f aca="false">IFERROR(IF(OR(HLOOKUP($A241,#REF!,10,FALSE())&gt;2,HLOOKUP($A241,#REF!,10,FALSE())&lt;-2),"",#REF!),"")</f>
        <v/>
      </c>
      <c r="M241" s="0" t="str">
        <f aca="false">IFERROR(IF(OR(HLOOKUP($A241,#REF!,11,FALSE())&gt;2,HLOOKUP($A241,#REF!,11,FALSE())&lt;-2),"",#REF!),"")</f>
        <v/>
      </c>
      <c r="N241" s="0" t="str">
        <f aca="false">IFERROR(IF(OR(HLOOKUP($A241,#REF!,12,FALSE())&gt;2,HLOOKUP($A241,#REF!,12,FALSE())&lt;-2),"",#REF!),"")</f>
        <v/>
      </c>
      <c r="O241" s="0" t="str">
        <f aca="false">IFERROR(IF(OR(HLOOKUP($A241,#REF!,13,FALSE())&gt;2,HLOOKUP($A241,#REF!,13,FALSE())&lt;-2),"",#REF!),"")</f>
        <v/>
      </c>
      <c r="P241" s="0" t="str">
        <f aca="false">IFERROR(IF(OR(HLOOKUP($A241,#REF!,14,FALSE())&gt;2,HLOOKUP($A241,#REF!,14,FALSE())&lt;-2),"",#REF!),"")</f>
        <v/>
      </c>
      <c r="Q241" s="0" t="str">
        <f aca="false">IFERROR(IF(OR(HLOOKUP($A241,#REF!,15,FALSE())&gt;2,HLOOKUP($A241,#REF!,15,FALSE())&lt;-2),"",#REF!),"")</f>
        <v/>
      </c>
      <c r="R241" s="0" t="str">
        <f aca="false">IFERROR(IF(OR(HLOOKUP($A241,#REF!,16,FALSE())&gt;2,HLOOKUP($A241,#REF!,16,FALSE())&lt;-2),"",#REF!),"")</f>
        <v/>
      </c>
      <c r="S241" s="0" t="str">
        <f aca="false">IFERROR(IF(OR(HLOOKUP($A241,#REF!,17,FALSE())&gt;2,HLOOKUP($A241,#REF!,17,FALSE())&lt;-2),"",#REF!),"")</f>
        <v/>
      </c>
      <c r="T241" s="0" t="str">
        <f aca="false">IFERROR(IF(OR(HLOOKUP($A241,#REF!,18,FALSE())&gt;2,HLOOKUP($A241,#REF!,18,FALSE())&lt;-2),"",#REF!),"")</f>
        <v/>
      </c>
      <c r="U241" s="0" t="str">
        <f aca="false">IFERROR(IF(OR(HLOOKUP($A241,#REF!,19,FALSE())&gt;2,HLOOKUP($A241,#REF!,19,FALSE())&lt;-2),"",#REF!),"")</f>
        <v/>
      </c>
      <c r="V241" s="0" t="n">
        <f aca="false">IFERROR(IF(AND(X241=0,Y241=0),0,1),0)</f>
        <v>1</v>
      </c>
      <c r="W241" s="3" t="str">
        <f aca="false">IFERROR(_xlfn.T.TEST(E241:M241,N241:U241,2,2),"")</f>
        <v/>
      </c>
      <c r="X241" s="0" t="str">
        <f aca="false">IFERROR(AVERAGE(E241:M241),"")</f>
        <v/>
      </c>
      <c r="Y241" s="0" t="str">
        <f aca="false">IFERROR(AVERAGE(N241:U241),"")</f>
        <v/>
      </c>
    </row>
    <row r="242" customFormat="false" ht="14.5" hidden="false" customHeight="false" outlineLevel="0" collapsed="false">
      <c r="A242" s="0" t="n">
        <v>246</v>
      </c>
      <c r="B242" s="0" t="s">
        <v>329</v>
      </c>
      <c r="C242" s="0" t="n">
        <v>80200</v>
      </c>
      <c r="D242" s="0" t="n">
        <v>323</v>
      </c>
      <c r="E242" s="0" t="str">
        <f aca="false">IFERROR(IF(OR(HLOOKUP($A242,#REF!,3,FALSE())&gt;2,HLOOKUP(A242,#REF!,3,FALSE())&lt;-2),"",#REF!),"")</f>
        <v/>
      </c>
      <c r="F242" s="0" t="str">
        <f aca="false">IFERROR(IF(OR(HLOOKUP($A242,#REF!,4,FALSE())&gt;2,HLOOKUP($A242,#REF!,4,FALSE())&lt;-2),"",#REF!),"")</f>
        <v/>
      </c>
      <c r="G242" s="0" t="str">
        <f aca="false">IFERROR(IF(OR(HLOOKUP($A242,#REF!,5,FALSE())&gt;2,HLOOKUP($A242,#REF!,5,FALSE())&lt;-2),"",#REF!),"")</f>
        <v/>
      </c>
      <c r="H242" s="0" t="str">
        <f aca="false">IFERROR(IF(OR(HLOOKUP($A242,#REF!,6,FALSE())&gt;2,HLOOKUP($A242,#REF!,6,FALSE())&lt;-2),"",#REF!),"")</f>
        <v/>
      </c>
      <c r="I242" s="0" t="str">
        <f aca="false">IFERROR(IF(OR(HLOOKUP($A242,#REF!,7,FALSE())&gt;2,HLOOKUP($A242,#REF!,7,FALSE())&lt;-2),"",#REF!),"")</f>
        <v/>
      </c>
      <c r="J242" s="0" t="str">
        <f aca="false">IFERROR(IF(OR(HLOOKUP($A242,#REF!,8,FALSE())&gt;2,HLOOKUP($A242,#REF!,8,FALSE())&lt;-2),"",#REF!),"")</f>
        <v/>
      </c>
      <c r="K242" s="0" t="str">
        <f aca="false">IFERROR(IF(OR(HLOOKUP($A242,#REF!,9,FALSE())&gt;2,HLOOKUP($A242,#REF!,9,FALSE())&lt;-2),"",#REF!),"")</f>
        <v/>
      </c>
      <c r="L242" s="0" t="str">
        <f aca="false">IFERROR(IF(OR(HLOOKUP($A242,#REF!,10,FALSE())&gt;2,HLOOKUP($A242,#REF!,10,FALSE())&lt;-2),"",#REF!),"")</f>
        <v/>
      </c>
      <c r="M242" s="0" t="str">
        <f aca="false">IFERROR(IF(OR(HLOOKUP($A242,#REF!,11,FALSE())&gt;2,HLOOKUP($A242,#REF!,11,FALSE())&lt;-2),"",#REF!),"")</f>
        <v/>
      </c>
      <c r="N242" s="0" t="str">
        <f aca="false">IFERROR(IF(OR(HLOOKUP($A242,#REF!,12,FALSE())&gt;2,HLOOKUP($A242,#REF!,12,FALSE())&lt;-2),"",#REF!),"")</f>
        <v/>
      </c>
      <c r="O242" s="0" t="str">
        <f aca="false">IFERROR(IF(OR(HLOOKUP($A242,#REF!,13,FALSE())&gt;2,HLOOKUP($A242,#REF!,13,FALSE())&lt;-2),"",#REF!),"")</f>
        <v/>
      </c>
      <c r="P242" s="0" t="str">
        <f aca="false">IFERROR(IF(OR(HLOOKUP($A242,#REF!,14,FALSE())&gt;2,HLOOKUP($A242,#REF!,14,FALSE())&lt;-2),"",#REF!),"")</f>
        <v/>
      </c>
      <c r="Q242" s="0" t="str">
        <f aca="false">IFERROR(IF(OR(HLOOKUP($A242,#REF!,15,FALSE())&gt;2,HLOOKUP($A242,#REF!,15,FALSE())&lt;-2),"",#REF!),"")</f>
        <v/>
      </c>
      <c r="R242" s="0" t="str">
        <f aca="false">IFERROR(IF(OR(HLOOKUP($A242,#REF!,16,FALSE())&gt;2,HLOOKUP($A242,#REF!,16,FALSE())&lt;-2),"",#REF!),"")</f>
        <v/>
      </c>
      <c r="S242" s="0" t="str">
        <f aca="false">IFERROR(IF(OR(HLOOKUP($A242,#REF!,17,FALSE())&gt;2,HLOOKUP($A242,#REF!,17,FALSE())&lt;-2),"",#REF!),"")</f>
        <v/>
      </c>
      <c r="T242" s="0" t="str">
        <f aca="false">IFERROR(IF(OR(HLOOKUP($A242,#REF!,18,FALSE())&gt;2,HLOOKUP($A242,#REF!,18,FALSE())&lt;-2),"",#REF!),"")</f>
        <v/>
      </c>
      <c r="U242" s="0" t="str">
        <f aca="false">IFERROR(IF(OR(HLOOKUP($A242,#REF!,19,FALSE())&gt;2,HLOOKUP($A242,#REF!,19,FALSE())&lt;-2),"",#REF!),"")</f>
        <v/>
      </c>
      <c r="V242" s="0" t="n">
        <f aca="false">IFERROR(IF(AND(X242=0,Y242=0),0,1),0)</f>
        <v>1</v>
      </c>
      <c r="W242" s="3" t="str">
        <f aca="false">IFERROR(_xlfn.T.TEST(E242:M242,N242:U242,2,2),"")</f>
        <v/>
      </c>
      <c r="X242" s="0" t="str">
        <f aca="false">IFERROR(AVERAGE(E242:M242),"")</f>
        <v/>
      </c>
      <c r="Y242" s="0" t="str">
        <f aca="false">IFERROR(AVERAGE(N242:U242),"")</f>
        <v/>
      </c>
    </row>
    <row r="243" customFormat="false" ht="14.5" hidden="false" customHeight="false" outlineLevel="0" collapsed="false">
      <c r="A243" s="0" t="n">
        <v>247</v>
      </c>
      <c r="B243" s="0" t="s">
        <v>330</v>
      </c>
      <c r="C243" s="0" t="n">
        <v>10500</v>
      </c>
      <c r="D243" s="0" t="n">
        <v>315</v>
      </c>
      <c r="E243" s="0" t="str">
        <f aca="false">IFERROR(IF(OR(HLOOKUP($A243,#REF!,3,FALSE())&gt;2,HLOOKUP(A243,#REF!,3,FALSE())&lt;-2),"",#REF!),"")</f>
        <v/>
      </c>
      <c r="F243" s="0" t="str">
        <f aca="false">IFERROR(IF(OR(HLOOKUP($A243,#REF!,4,FALSE())&gt;2,HLOOKUP($A243,#REF!,4,FALSE())&lt;-2),"",#REF!),"")</f>
        <v/>
      </c>
      <c r="G243" s="0" t="str">
        <f aca="false">IFERROR(IF(OR(HLOOKUP($A243,#REF!,5,FALSE())&gt;2,HLOOKUP($A243,#REF!,5,FALSE())&lt;-2),"",#REF!),"")</f>
        <v/>
      </c>
      <c r="H243" s="0" t="str">
        <f aca="false">IFERROR(IF(OR(HLOOKUP($A243,#REF!,6,FALSE())&gt;2,HLOOKUP($A243,#REF!,6,FALSE())&lt;-2),"",#REF!),"")</f>
        <v/>
      </c>
      <c r="I243" s="0" t="str">
        <f aca="false">IFERROR(IF(OR(HLOOKUP($A243,#REF!,7,FALSE())&gt;2,HLOOKUP($A243,#REF!,7,FALSE())&lt;-2),"",#REF!),"")</f>
        <v/>
      </c>
      <c r="J243" s="0" t="str">
        <f aca="false">IFERROR(IF(OR(HLOOKUP($A243,#REF!,8,FALSE())&gt;2,HLOOKUP($A243,#REF!,8,FALSE())&lt;-2),"",#REF!),"")</f>
        <v/>
      </c>
      <c r="K243" s="0" t="str">
        <f aca="false">IFERROR(IF(OR(HLOOKUP($A243,#REF!,9,FALSE())&gt;2,HLOOKUP($A243,#REF!,9,FALSE())&lt;-2),"",#REF!),"")</f>
        <v/>
      </c>
      <c r="L243" s="0" t="str">
        <f aca="false">IFERROR(IF(OR(HLOOKUP($A243,#REF!,10,FALSE())&gt;2,HLOOKUP($A243,#REF!,10,FALSE())&lt;-2),"",#REF!),"")</f>
        <v/>
      </c>
      <c r="M243" s="0" t="str">
        <f aca="false">IFERROR(IF(OR(HLOOKUP($A243,#REF!,11,FALSE())&gt;2,HLOOKUP($A243,#REF!,11,FALSE())&lt;-2),"",#REF!),"")</f>
        <v/>
      </c>
      <c r="N243" s="0" t="str">
        <f aca="false">IFERROR(IF(OR(HLOOKUP($A243,#REF!,12,FALSE())&gt;2,HLOOKUP($A243,#REF!,12,FALSE())&lt;-2),"",#REF!),"")</f>
        <v/>
      </c>
      <c r="O243" s="0" t="str">
        <f aca="false">IFERROR(IF(OR(HLOOKUP($A243,#REF!,13,FALSE())&gt;2,HLOOKUP($A243,#REF!,13,FALSE())&lt;-2),"",#REF!),"")</f>
        <v/>
      </c>
      <c r="P243" s="0" t="str">
        <f aca="false">IFERROR(IF(OR(HLOOKUP($A243,#REF!,14,FALSE())&gt;2,HLOOKUP($A243,#REF!,14,FALSE())&lt;-2),"",#REF!),"")</f>
        <v/>
      </c>
      <c r="Q243" s="0" t="str">
        <f aca="false">IFERROR(IF(OR(HLOOKUP($A243,#REF!,15,FALSE())&gt;2,HLOOKUP($A243,#REF!,15,FALSE())&lt;-2),"",#REF!),"")</f>
        <v/>
      </c>
      <c r="R243" s="0" t="str">
        <f aca="false">IFERROR(IF(OR(HLOOKUP($A243,#REF!,16,FALSE())&gt;2,HLOOKUP($A243,#REF!,16,FALSE())&lt;-2),"",#REF!),"")</f>
        <v/>
      </c>
      <c r="S243" s="0" t="str">
        <f aca="false">IFERROR(IF(OR(HLOOKUP($A243,#REF!,17,FALSE())&gt;2,HLOOKUP($A243,#REF!,17,FALSE())&lt;-2),"",#REF!),"")</f>
        <v/>
      </c>
      <c r="T243" s="0" t="str">
        <f aca="false">IFERROR(IF(OR(HLOOKUP($A243,#REF!,18,FALSE())&gt;2,HLOOKUP($A243,#REF!,18,FALSE())&lt;-2),"",#REF!),"")</f>
        <v/>
      </c>
      <c r="U243" s="0" t="str">
        <f aca="false">IFERROR(IF(OR(HLOOKUP($A243,#REF!,19,FALSE())&gt;2,HLOOKUP($A243,#REF!,19,FALSE())&lt;-2),"",#REF!),"")</f>
        <v/>
      </c>
      <c r="V243" s="0" t="n">
        <f aca="false">IFERROR(IF(AND(X243=0,Y243=0),0,1),0)</f>
        <v>1</v>
      </c>
      <c r="W243" s="3" t="str">
        <f aca="false">IFERROR(_xlfn.T.TEST(E243:M243,N243:U243,2,2),"")</f>
        <v/>
      </c>
      <c r="X243" s="0" t="str">
        <f aca="false">IFERROR(AVERAGE(E243:M243),"")</f>
        <v/>
      </c>
      <c r="Y243" s="0" t="str">
        <f aca="false">IFERROR(AVERAGE(N243:U243),"")</f>
        <v/>
      </c>
    </row>
    <row r="244" customFormat="false" ht="14.5" hidden="false" customHeight="false" outlineLevel="0" collapsed="false">
      <c r="A244" s="0" t="n">
        <v>248</v>
      </c>
      <c r="B244" s="0" t="s">
        <v>331</v>
      </c>
      <c r="C244" s="0" t="n">
        <v>36200</v>
      </c>
      <c r="D244" s="0" t="n">
        <v>663</v>
      </c>
      <c r="E244" s="0" t="str">
        <f aca="false">IFERROR(IF(OR(HLOOKUP($A244,#REF!,3,FALSE())&gt;2,HLOOKUP(A244,#REF!,3,FALSE())&lt;-2),"",#REF!),"")</f>
        <v/>
      </c>
      <c r="F244" s="0" t="str">
        <f aca="false">IFERROR(IF(OR(HLOOKUP($A244,#REF!,4,FALSE())&gt;2,HLOOKUP($A244,#REF!,4,FALSE())&lt;-2),"",#REF!),"")</f>
        <v/>
      </c>
      <c r="G244" s="0" t="str">
        <f aca="false">IFERROR(IF(OR(HLOOKUP($A244,#REF!,5,FALSE())&gt;2,HLOOKUP($A244,#REF!,5,FALSE())&lt;-2),"",#REF!),"")</f>
        <v/>
      </c>
      <c r="H244" s="0" t="str">
        <f aca="false">IFERROR(IF(OR(HLOOKUP($A244,#REF!,6,FALSE())&gt;2,HLOOKUP($A244,#REF!,6,FALSE())&lt;-2),"",#REF!),"")</f>
        <v/>
      </c>
      <c r="I244" s="0" t="str">
        <f aca="false">IFERROR(IF(OR(HLOOKUP($A244,#REF!,7,FALSE())&gt;2,HLOOKUP($A244,#REF!,7,FALSE())&lt;-2),"",#REF!),"")</f>
        <v/>
      </c>
      <c r="J244" s="0" t="str">
        <f aca="false">IFERROR(IF(OR(HLOOKUP($A244,#REF!,8,FALSE())&gt;2,HLOOKUP($A244,#REF!,8,FALSE())&lt;-2),"",#REF!),"")</f>
        <v/>
      </c>
      <c r="K244" s="0" t="str">
        <f aca="false">IFERROR(IF(OR(HLOOKUP($A244,#REF!,9,FALSE())&gt;2,HLOOKUP($A244,#REF!,9,FALSE())&lt;-2),"",#REF!),"")</f>
        <v/>
      </c>
      <c r="L244" s="0" t="str">
        <f aca="false">IFERROR(IF(OR(HLOOKUP($A244,#REF!,10,FALSE())&gt;2,HLOOKUP($A244,#REF!,10,FALSE())&lt;-2),"",#REF!),"")</f>
        <v/>
      </c>
      <c r="M244" s="0" t="str">
        <f aca="false">IFERROR(IF(OR(HLOOKUP($A244,#REF!,11,FALSE())&gt;2,HLOOKUP($A244,#REF!,11,FALSE())&lt;-2),"",#REF!),"")</f>
        <v/>
      </c>
      <c r="N244" s="0" t="str">
        <f aca="false">IFERROR(IF(OR(HLOOKUP($A244,#REF!,12,FALSE())&gt;2,HLOOKUP($A244,#REF!,12,FALSE())&lt;-2),"",#REF!),"")</f>
        <v/>
      </c>
      <c r="O244" s="0" t="str">
        <f aca="false">IFERROR(IF(OR(HLOOKUP($A244,#REF!,13,FALSE())&gt;2,HLOOKUP($A244,#REF!,13,FALSE())&lt;-2),"",#REF!),"")</f>
        <v/>
      </c>
      <c r="P244" s="0" t="str">
        <f aca="false">IFERROR(IF(OR(HLOOKUP($A244,#REF!,14,FALSE())&gt;2,HLOOKUP($A244,#REF!,14,FALSE())&lt;-2),"",#REF!),"")</f>
        <v/>
      </c>
      <c r="Q244" s="0" t="str">
        <f aca="false">IFERROR(IF(OR(HLOOKUP($A244,#REF!,15,FALSE())&gt;2,HLOOKUP($A244,#REF!,15,FALSE())&lt;-2),"",#REF!),"")</f>
        <v/>
      </c>
      <c r="R244" s="0" t="str">
        <f aca="false">IFERROR(IF(OR(HLOOKUP($A244,#REF!,16,FALSE())&gt;2,HLOOKUP($A244,#REF!,16,FALSE())&lt;-2),"",#REF!),"")</f>
        <v/>
      </c>
      <c r="S244" s="0" t="str">
        <f aca="false">IFERROR(IF(OR(HLOOKUP($A244,#REF!,17,FALSE())&gt;2,HLOOKUP($A244,#REF!,17,FALSE())&lt;-2),"",#REF!),"")</f>
        <v/>
      </c>
      <c r="T244" s="0" t="str">
        <f aca="false">IFERROR(IF(OR(HLOOKUP($A244,#REF!,18,FALSE())&gt;2,HLOOKUP($A244,#REF!,18,FALSE())&lt;-2),"",#REF!),"")</f>
        <v/>
      </c>
      <c r="U244" s="0" t="str">
        <f aca="false">IFERROR(IF(OR(HLOOKUP($A244,#REF!,19,FALSE())&gt;2,HLOOKUP($A244,#REF!,19,FALSE())&lt;-2),"",#REF!),"")</f>
        <v/>
      </c>
      <c r="V244" s="0" t="n">
        <f aca="false">IFERROR(IF(AND(X244=0,Y244=0),0,1),0)</f>
        <v>1</v>
      </c>
      <c r="W244" s="3" t="str">
        <f aca="false">IFERROR(_xlfn.T.TEST(E244:M244,N244:U244,2,2),"")</f>
        <v/>
      </c>
      <c r="X244" s="0" t="str">
        <f aca="false">IFERROR(AVERAGE(E244:M244),"")</f>
        <v/>
      </c>
      <c r="Y244" s="0" t="str">
        <f aca="false">IFERROR(AVERAGE(N244:U244),"")</f>
        <v/>
      </c>
    </row>
    <row r="245" customFormat="false" ht="14.5" hidden="false" customHeight="false" outlineLevel="0" collapsed="false">
      <c r="A245" s="0" t="n">
        <v>249</v>
      </c>
      <c r="B245" s="0" t="s">
        <v>332</v>
      </c>
      <c r="C245" s="0" t="n">
        <v>12500</v>
      </c>
      <c r="D245" s="0" t="n">
        <v>1027</v>
      </c>
      <c r="E245" s="0" t="str">
        <f aca="false">IFERROR(IF(OR(HLOOKUP($A245,#REF!,3,FALSE())&gt;2,HLOOKUP(A245,#REF!,3,FALSE())&lt;-2),"",#REF!),"")</f>
        <v/>
      </c>
      <c r="F245" s="0" t="str">
        <f aca="false">IFERROR(IF(OR(HLOOKUP($A245,#REF!,4,FALSE())&gt;2,HLOOKUP($A245,#REF!,4,FALSE())&lt;-2),"",#REF!),"")</f>
        <v/>
      </c>
      <c r="G245" s="0" t="str">
        <f aca="false">IFERROR(IF(OR(HLOOKUP($A245,#REF!,5,FALSE())&gt;2,HLOOKUP($A245,#REF!,5,FALSE())&lt;-2),"",#REF!),"")</f>
        <v/>
      </c>
      <c r="H245" s="0" t="str">
        <f aca="false">IFERROR(IF(OR(HLOOKUP($A245,#REF!,6,FALSE())&gt;2,HLOOKUP($A245,#REF!,6,FALSE())&lt;-2),"",#REF!),"")</f>
        <v/>
      </c>
      <c r="I245" s="0" t="str">
        <f aca="false">IFERROR(IF(OR(HLOOKUP($A245,#REF!,7,FALSE())&gt;2,HLOOKUP($A245,#REF!,7,FALSE())&lt;-2),"",#REF!),"")</f>
        <v/>
      </c>
      <c r="J245" s="0" t="str">
        <f aca="false">IFERROR(IF(OR(HLOOKUP($A245,#REF!,8,FALSE())&gt;2,HLOOKUP($A245,#REF!,8,FALSE())&lt;-2),"",#REF!),"")</f>
        <v/>
      </c>
      <c r="K245" s="0" t="str">
        <f aca="false">IFERROR(IF(OR(HLOOKUP($A245,#REF!,9,FALSE())&gt;2,HLOOKUP($A245,#REF!,9,FALSE())&lt;-2),"",#REF!),"")</f>
        <v/>
      </c>
      <c r="L245" s="0" t="str">
        <f aca="false">IFERROR(IF(OR(HLOOKUP($A245,#REF!,10,FALSE())&gt;2,HLOOKUP($A245,#REF!,10,FALSE())&lt;-2),"",#REF!),"")</f>
        <v/>
      </c>
      <c r="M245" s="0" t="str">
        <f aca="false">IFERROR(IF(OR(HLOOKUP($A245,#REF!,11,FALSE())&gt;2,HLOOKUP($A245,#REF!,11,FALSE())&lt;-2),"",#REF!),"")</f>
        <v/>
      </c>
      <c r="N245" s="0" t="str">
        <f aca="false">IFERROR(IF(OR(HLOOKUP($A245,#REF!,12,FALSE())&gt;2,HLOOKUP($A245,#REF!,12,FALSE())&lt;-2),"",#REF!),"")</f>
        <v/>
      </c>
      <c r="O245" s="0" t="str">
        <f aca="false">IFERROR(IF(OR(HLOOKUP($A245,#REF!,13,FALSE())&gt;2,HLOOKUP($A245,#REF!,13,FALSE())&lt;-2),"",#REF!),"")</f>
        <v/>
      </c>
      <c r="P245" s="0" t="str">
        <f aca="false">IFERROR(IF(OR(HLOOKUP($A245,#REF!,14,FALSE())&gt;2,HLOOKUP($A245,#REF!,14,FALSE())&lt;-2),"",#REF!),"")</f>
        <v/>
      </c>
      <c r="Q245" s="0" t="str">
        <f aca="false">IFERROR(IF(OR(HLOOKUP($A245,#REF!,15,FALSE())&gt;2,HLOOKUP($A245,#REF!,15,FALSE())&lt;-2),"",#REF!),"")</f>
        <v/>
      </c>
      <c r="R245" s="0" t="str">
        <f aca="false">IFERROR(IF(OR(HLOOKUP($A245,#REF!,16,FALSE())&gt;2,HLOOKUP($A245,#REF!,16,FALSE())&lt;-2),"",#REF!),"")</f>
        <v/>
      </c>
      <c r="S245" s="0" t="str">
        <f aca="false">IFERROR(IF(OR(HLOOKUP($A245,#REF!,17,FALSE())&gt;2,HLOOKUP($A245,#REF!,17,FALSE())&lt;-2),"",#REF!),"")</f>
        <v/>
      </c>
      <c r="T245" s="0" t="str">
        <f aca="false">IFERROR(IF(OR(HLOOKUP($A245,#REF!,18,FALSE())&gt;2,HLOOKUP($A245,#REF!,18,FALSE())&lt;-2),"",#REF!),"")</f>
        <v/>
      </c>
      <c r="U245" s="0" t="str">
        <f aca="false">IFERROR(IF(OR(HLOOKUP($A245,#REF!,19,FALSE())&gt;2,HLOOKUP($A245,#REF!,19,FALSE())&lt;-2),"",#REF!),"")</f>
        <v/>
      </c>
      <c r="V245" s="0" t="n">
        <f aca="false">IFERROR(IF(AND(X245=0,Y245=0),0,1),0)</f>
        <v>1</v>
      </c>
      <c r="W245" s="3" t="str">
        <f aca="false">IFERROR(_xlfn.T.TEST(E245:M245,N245:U245,2,2),"")</f>
        <v/>
      </c>
      <c r="X245" s="0" t="str">
        <f aca="false">IFERROR(AVERAGE(E245:M245),"")</f>
        <v/>
      </c>
      <c r="Y245" s="0" t="str">
        <f aca="false">IFERROR(AVERAGE(N245:U245),"")</f>
        <v/>
      </c>
    </row>
    <row r="246" customFormat="false" ht="14.5" hidden="false" customHeight="false" outlineLevel="0" collapsed="false">
      <c r="A246" s="0" t="n">
        <v>250</v>
      </c>
      <c r="B246" s="0" t="s">
        <v>333</v>
      </c>
      <c r="C246" s="0" t="n">
        <v>49500</v>
      </c>
      <c r="D246" s="0" t="n">
        <v>242</v>
      </c>
      <c r="E246" s="0" t="str">
        <f aca="false">IFERROR(IF(OR(HLOOKUP($A246,#REF!,3,FALSE())&gt;2,HLOOKUP(A246,#REF!,3,FALSE())&lt;-2),"",#REF!),"")</f>
        <v/>
      </c>
      <c r="F246" s="0" t="str">
        <f aca="false">IFERROR(IF(OR(HLOOKUP($A246,#REF!,4,FALSE())&gt;2,HLOOKUP($A246,#REF!,4,FALSE())&lt;-2),"",#REF!),"")</f>
        <v/>
      </c>
      <c r="G246" s="0" t="str">
        <f aca="false">IFERROR(IF(OR(HLOOKUP($A246,#REF!,5,FALSE())&gt;2,HLOOKUP($A246,#REF!,5,FALSE())&lt;-2),"",#REF!),"")</f>
        <v/>
      </c>
      <c r="H246" s="0" t="str">
        <f aca="false">IFERROR(IF(OR(HLOOKUP($A246,#REF!,6,FALSE())&gt;2,HLOOKUP($A246,#REF!,6,FALSE())&lt;-2),"",#REF!),"")</f>
        <v/>
      </c>
      <c r="I246" s="0" t="str">
        <f aca="false">IFERROR(IF(OR(HLOOKUP($A246,#REF!,7,FALSE())&gt;2,HLOOKUP($A246,#REF!,7,FALSE())&lt;-2),"",#REF!),"")</f>
        <v/>
      </c>
      <c r="J246" s="0" t="str">
        <f aca="false">IFERROR(IF(OR(HLOOKUP($A246,#REF!,8,FALSE())&gt;2,HLOOKUP($A246,#REF!,8,FALSE())&lt;-2),"",#REF!),"")</f>
        <v/>
      </c>
      <c r="K246" s="0" t="str">
        <f aca="false">IFERROR(IF(OR(HLOOKUP($A246,#REF!,9,FALSE())&gt;2,HLOOKUP($A246,#REF!,9,FALSE())&lt;-2),"",#REF!),"")</f>
        <v/>
      </c>
      <c r="L246" s="0" t="str">
        <f aca="false">IFERROR(IF(OR(HLOOKUP($A246,#REF!,10,FALSE())&gt;2,HLOOKUP($A246,#REF!,10,FALSE())&lt;-2),"",#REF!),"")</f>
        <v/>
      </c>
      <c r="M246" s="0" t="str">
        <f aca="false">IFERROR(IF(OR(HLOOKUP($A246,#REF!,11,FALSE())&gt;2,HLOOKUP($A246,#REF!,11,FALSE())&lt;-2),"",#REF!),"")</f>
        <v/>
      </c>
      <c r="N246" s="0" t="str">
        <f aca="false">IFERROR(IF(OR(HLOOKUP($A246,#REF!,12,FALSE())&gt;2,HLOOKUP($A246,#REF!,12,FALSE())&lt;-2),"",#REF!),"")</f>
        <v/>
      </c>
      <c r="O246" s="0" t="str">
        <f aca="false">IFERROR(IF(OR(HLOOKUP($A246,#REF!,13,FALSE())&gt;2,HLOOKUP($A246,#REF!,13,FALSE())&lt;-2),"",#REF!),"")</f>
        <v/>
      </c>
      <c r="P246" s="0" t="str">
        <f aca="false">IFERROR(IF(OR(HLOOKUP($A246,#REF!,14,FALSE())&gt;2,HLOOKUP($A246,#REF!,14,FALSE())&lt;-2),"",#REF!),"")</f>
        <v/>
      </c>
      <c r="Q246" s="0" t="str">
        <f aca="false">IFERROR(IF(OR(HLOOKUP($A246,#REF!,15,FALSE())&gt;2,HLOOKUP($A246,#REF!,15,FALSE())&lt;-2),"",#REF!),"")</f>
        <v/>
      </c>
      <c r="R246" s="0" t="str">
        <f aca="false">IFERROR(IF(OR(HLOOKUP($A246,#REF!,16,FALSE())&gt;2,HLOOKUP($A246,#REF!,16,FALSE())&lt;-2),"",#REF!),"")</f>
        <v/>
      </c>
      <c r="S246" s="0" t="str">
        <f aca="false">IFERROR(IF(OR(HLOOKUP($A246,#REF!,17,FALSE())&gt;2,HLOOKUP($A246,#REF!,17,FALSE())&lt;-2),"",#REF!),"")</f>
        <v/>
      </c>
      <c r="T246" s="0" t="str">
        <f aca="false">IFERROR(IF(OR(HLOOKUP($A246,#REF!,18,FALSE())&gt;2,HLOOKUP($A246,#REF!,18,FALSE())&lt;-2),"",#REF!),"")</f>
        <v/>
      </c>
      <c r="U246" s="0" t="str">
        <f aca="false">IFERROR(IF(OR(HLOOKUP($A246,#REF!,19,FALSE())&gt;2,HLOOKUP($A246,#REF!,19,FALSE())&lt;-2),"",#REF!),"")</f>
        <v/>
      </c>
      <c r="V246" s="0" t="n">
        <f aca="false">IFERROR(IF(AND(X246=0,Y246=0),0,1),0)</f>
        <v>1</v>
      </c>
      <c r="W246" s="3" t="str">
        <f aca="false">IFERROR(_xlfn.T.TEST(E246:M246,N246:U246,2,2),"")</f>
        <v/>
      </c>
      <c r="X246" s="0" t="str">
        <f aca="false">IFERROR(AVERAGE(E246:M246),"")</f>
        <v/>
      </c>
      <c r="Y246" s="0" t="str">
        <f aca="false">IFERROR(AVERAGE(N246:U246),"")</f>
        <v/>
      </c>
    </row>
    <row r="247" customFormat="false" ht="14.5" hidden="false" customHeight="false" outlineLevel="0" collapsed="false">
      <c r="A247" s="0" t="n">
        <v>251</v>
      </c>
      <c r="B247" s="0" t="s">
        <v>334</v>
      </c>
      <c r="C247" s="0" t="n">
        <v>11500</v>
      </c>
      <c r="D247" s="0" t="n">
        <v>1002</v>
      </c>
      <c r="E247" s="0" t="str">
        <f aca="false">IFERROR(IF(OR(HLOOKUP($A247,#REF!,3,FALSE())&gt;2,HLOOKUP(A247,#REF!,3,FALSE())&lt;-2),"",#REF!),"")</f>
        <v/>
      </c>
      <c r="F247" s="0" t="str">
        <f aca="false">IFERROR(IF(OR(HLOOKUP($A247,#REF!,4,FALSE())&gt;2,HLOOKUP($A247,#REF!,4,FALSE())&lt;-2),"",#REF!),"")</f>
        <v/>
      </c>
      <c r="G247" s="0" t="str">
        <f aca="false">IFERROR(IF(OR(HLOOKUP($A247,#REF!,5,FALSE())&gt;2,HLOOKUP($A247,#REF!,5,FALSE())&lt;-2),"",#REF!),"")</f>
        <v/>
      </c>
      <c r="H247" s="0" t="str">
        <f aca="false">IFERROR(IF(OR(HLOOKUP($A247,#REF!,6,FALSE())&gt;2,HLOOKUP($A247,#REF!,6,FALSE())&lt;-2),"",#REF!),"")</f>
        <v/>
      </c>
      <c r="I247" s="0" t="str">
        <f aca="false">IFERROR(IF(OR(HLOOKUP($A247,#REF!,7,FALSE())&gt;2,HLOOKUP($A247,#REF!,7,FALSE())&lt;-2),"",#REF!),"")</f>
        <v/>
      </c>
      <c r="J247" s="0" t="str">
        <f aca="false">IFERROR(IF(OR(HLOOKUP($A247,#REF!,8,FALSE())&gt;2,HLOOKUP($A247,#REF!,8,FALSE())&lt;-2),"",#REF!),"")</f>
        <v/>
      </c>
      <c r="K247" s="0" t="str">
        <f aca="false">IFERROR(IF(OR(HLOOKUP($A247,#REF!,9,FALSE())&gt;2,HLOOKUP($A247,#REF!,9,FALSE())&lt;-2),"",#REF!),"")</f>
        <v/>
      </c>
      <c r="L247" s="0" t="str">
        <f aca="false">IFERROR(IF(OR(HLOOKUP($A247,#REF!,10,FALSE())&gt;2,HLOOKUP($A247,#REF!,10,FALSE())&lt;-2),"",#REF!),"")</f>
        <v/>
      </c>
      <c r="M247" s="0" t="str">
        <f aca="false">IFERROR(IF(OR(HLOOKUP($A247,#REF!,11,FALSE())&gt;2,HLOOKUP($A247,#REF!,11,FALSE())&lt;-2),"",#REF!),"")</f>
        <v/>
      </c>
      <c r="N247" s="0" t="str">
        <f aca="false">IFERROR(IF(OR(HLOOKUP($A247,#REF!,12,FALSE())&gt;2,HLOOKUP($A247,#REF!,12,FALSE())&lt;-2),"",#REF!),"")</f>
        <v/>
      </c>
      <c r="O247" s="0" t="str">
        <f aca="false">IFERROR(IF(OR(HLOOKUP($A247,#REF!,13,FALSE())&gt;2,HLOOKUP($A247,#REF!,13,FALSE())&lt;-2),"",#REF!),"")</f>
        <v/>
      </c>
      <c r="P247" s="0" t="str">
        <f aca="false">IFERROR(IF(OR(HLOOKUP($A247,#REF!,14,FALSE())&gt;2,HLOOKUP($A247,#REF!,14,FALSE())&lt;-2),"",#REF!),"")</f>
        <v/>
      </c>
      <c r="Q247" s="0" t="str">
        <f aca="false">IFERROR(IF(OR(HLOOKUP($A247,#REF!,15,FALSE())&gt;2,HLOOKUP($A247,#REF!,15,FALSE())&lt;-2),"",#REF!),"")</f>
        <v/>
      </c>
      <c r="R247" s="0" t="str">
        <f aca="false">IFERROR(IF(OR(HLOOKUP($A247,#REF!,16,FALSE())&gt;2,HLOOKUP($A247,#REF!,16,FALSE())&lt;-2),"",#REF!),"")</f>
        <v/>
      </c>
      <c r="S247" s="0" t="str">
        <f aca="false">IFERROR(IF(OR(HLOOKUP($A247,#REF!,17,FALSE())&gt;2,HLOOKUP($A247,#REF!,17,FALSE())&lt;-2),"",#REF!),"")</f>
        <v/>
      </c>
      <c r="T247" s="0" t="str">
        <f aca="false">IFERROR(IF(OR(HLOOKUP($A247,#REF!,18,FALSE())&gt;2,HLOOKUP($A247,#REF!,18,FALSE())&lt;-2),"",#REF!),"")</f>
        <v/>
      </c>
      <c r="U247" s="0" t="str">
        <f aca="false">IFERROR(IF(OR(HLOOKUP($A247,#REF!,19,FALSE())&gt;2,HLOOKUP($A247,#REF!,19,FALSE())&lt;-2),"",#REF!),"")</f>
        <v/>
      </c>
      <c r="V247" s="0" t="n">
        <f aca="false">IFERROR(IF(AND(X247=0,Y247=0),0,1),0)</f>
        <v>1</v>
      </c>
      <c r="W247" s="3" t="str">
        <f aca="false">IFERROR(_xlfn.T.TEST(E247:M247,N247:U247,2,2),"")</f>
        <v/>
      </c>
      <c r="X247" s="0" t="str">
        <f aca="false">IFERROR(AVERAGE(E247:M247),"")</f>
        <v/>
      </c>
      <c r="Y247" s="0" t="str">
        <f aca="false">IFERROR(AVERAGE(N247:U247),"")</f>
        <v/>
      </c>
    </row>
    <row r="248" customFormat="false" ht="14.5" hidden="false" customHeight="false" outlineLevel="0" collapsed="false">
      <c r="A248" s="0" t="n">
        <v>252</v>
      </c>
      <c r="B248" s="0" t="s">
        <v>335</v>
      </c>
      <c r="C248" s="0" t="n">
        <v>11000</v>
      </c>
      <c r="D248" s="0" t="n">
        <v>1011</v>
      </c>
      <c r="E248" s="0" t="str">
        <f aca="false">IFERROR(IF(OR(HLOOKUP($A248,#REF!,3,FALSE())&gt;2,HLOOKUP(A248,#REF!,3,FALSE())&lt;-2),"",#REF!),"")</f>
        <v/>
      </c>
      <c r="F248" s="0" t="str">
        <f aca="false">IFERROR(IF(OR(HLOOKUP($A248,#REF!,4,FALSE())&gt;2,HLOOKUP($A248,#REF!,4,FALSE())&lt;-2),"",#REF!),"")</f>
        <v/>
      </c>
      <c r="G248" s="0" t="str">
        <f aca="false">IFERROR(IF(OR(HLOOKUP($A248,#REF!,5,FALSE())&gt;2,HLOOKUP($A248,#REF!,5,FALSE())&lt;-2),"",#REF!),"")</f>
        <v/>
      </c>
      <c r="H248" s="0" t="str">
        <f aca="false">IFERROR(IF(OR(HLOOKUP($A248,#REF!,6,FALSE())&gt;2,HLOOKUP($A248,#REF!,6,FALSE())&lt;-2),"",#REF!),"")</f>
        <v/>
      </c>
      <c r="I248" s="0" t="str">
        <f aca="false">IFERROR(IF(OR(HLOOKUP($A248,#REF!,7,FALSE())&gt;2,HLOOKUP($A248,#REF!,7,FALSE())&lt;-2),"",#REF!),"")</f>
        <v/>
      </c>
      <c r="J248" s="0" t="str">
        <f aca="false">IFERROR(IF(OR(HLOOKUP($A248,#REF!,8,FALSE())&gt;2,HLOOKUP($A248,#REF!,8,FALSE())&lt;-2),"",#REF!),"")</f>
        <v/>
      </c>
      <c r="K248" s="0" t="str">
        <f aca="false">IFERROR(IF(OR(HLOOKUP($A248,#REF!,9,FALSE())&gt;2,HLOOKUP($A248,#REF!,9,FALSE())&lt;-2),"",#REF!),"")</f>
        <v/>
      </c>
      <c r="L248" s="0" t="str">
        <f aca="false">IFERROR(IF(OR(HLOOKUP($A248,#REF!,10,FALSE())&gt;2,HLOOKUP($A248,#REF!,10,FALSE())&lt;-2),"",#REF!),"")</f>
        <v/>
      </c>
      <c r="M248" s="0" t="str">
        <f aca="false">IFERROR(IF(OR(HLOOKUP($A248,#REF!,11,FALSE())&gt;2,HLOOKUP($A248,#REF!,11,FALSE())&lt;-2),"",#REF!),"")</f>
        <v/>
      </c>
      <c r="N248" s="0" t="str">
        <f aca="false">IFERROR(IF(OR(HLOOKUP($A248,#REF!,12,FALSE())&gt;2,HLOOKUP($A248,#REF!,12,FALSE())&lt;-2),"",#REF!),"")</f>
        <v/>
      </c>
      <c r="O248" s="0" t="str">
        <f aca="false">IFERROR(IF(OR(HLOOKUP($A248,#REF!,13,FALSE())&gt;2,HLOOKUP($A248,#REF!,13,FALSE())&lt;-2),"",#REF!),"")</f>
        <v/>
      </c>
      <c r="P248" s="0" t="str">
        <f aca="false">IFERROR(IF(OR(HLOOKUP($A248,#REF!,14,FALSE())&gt;2,HLOOKUP($A248,#REF!,14,FALSE())&lt;-2),"",#REF!),"")</f>
        <v/>
      </c>
      <c r="Q248" s="0" t="str">
        <f aca="false">IFERROR(IF(OR(HLOOKUP($A248,#REF!,15,FALSE())&gt;2,HLOOKUP($A248,#REF!,15,FALSE())&lt;-2),"",#REF!),"")</f>
        <v/>
      </c>
      <c r="R248" s="0" t="str">
        <f aca="false">IFERROR(IF(OR(HLOOKUP($A248,#REF!,16,FALSE())&gt;2,HLOOKUP($A248,#REF!,16,FALSE())&lt;-2),"",#REF!),"")</f>
        <v/>
      </c>
      <c r="S248" s="0" t="str">
        <f aca="false">IFERROR(IF(OR(HLOOKUP($A248,#REF!,17,FALSE())&gt;2,HLOOKUP($A248,#REF!,17,FALSE())&lt;-2),"",#REF!),"")</f>
        <v/>
      </c>
      <c r="T248" s="0" t="str">
        <f aca="false">IFERROR(IF(OR(HLOOKUP($A248,#REF!,18,FALSE())&gt;2,HLOOKUP($A248,#REF!,18,FALSE())&lt;-2),"",#REF!),"")</f>
        <v/>
      </c>
      <c r="U248" s="0" t="str">
        <f aca="false">IFERROR(IF(OR(HLOOKUP($A248,#REF!,19,FALSE())&gt;2,HLOOKUP($A248,#REF!,19,FALSE())&lt;-2),"",#REF!),"")</f>
        <v/>
      </c>
      <c r="V248" s="0" t="n">
        <f aca="false">IFERROR(IF(AND(X248=0,Y248=0),0,1),0)</f>
        <v>1</v>
      </c>
      <c r="W248" s="3" t="str">
        <f aca="false">IFERROR(_xlfn.T.TEST(E248:M248,N248:U248,2,2),"")</f>
        <v/>
      </c>
      <c r="X248" s="0" t="str">
        <f aca="false">IFERROR(AVERAGE(E248:M248),"")</f>
        <v/>
      </c>
      <c r="Y248" s="0" t="str">
        <f aca="false">IFERROR(AVERAGE(N248:U248),"")</f>
        <v/>
      </c>
    </row>
    <row r="249" customFormat="false" ht="14.5" hidden="false" customHeight="false" outlineLevel="0" collapsed="false">
      <c r="A249" s="0" t="n">
        <v>253</v>
      </c>
      <c r="B249" s="0" t="s">
        <v>336</v>
      </c>
      <c r="C249" s="0" t="n">
        <v>103900</v>
      </c>
      <c r="D249" s="0" t="n">
        <v>871</v>
      </c>
      <c r="E249" s="0" t="str">
        <f aca="false">IFERROR(IF(OR(HLOOKUP($A249,#REF!,3,FALSE())&gt;2,HLOOKUP(A249,#REF!,3,FALSE())&lt;-2),"",#REF!),"")</f>
        <v/>
      </c>
      <c r="F249" s="0" t="str">
        <f aca="false">IFERROR(IF(OR(HLOOKUP($A249,#REF!,4,FALSE())&gt;2,HLOOKUP($A249,#REF!,4,FALSE())&lt;-2),"",#REF!),"")</f>
        <v/>
      </c>
      <c r="G249" s="0" t="str">
        <f aca="false">IFERROR(IF(OR(HLOOKUP($A249,#REF!,5,FALSE())&gt;2,HLOOKUP($A249,#REF!,5,FALSE())&lt;-2),"",#REF!),"")</f>
        <v/>
      </c>
      <c r="H249" s="0" t="str">
        <f aca="false">IFERROR(IF(OR(HLOOKUP($A249,#REF!,6,FALSE())&gt;2,HLOOKUP($A249,#REF!,6,FALSE())&lt;-2),"",#REF!),"")</f>
        <v/>
      </c>
      <c r="I249" s="0" t="str">
        <f aca="false">IFERROR(IF(OR(HLOOKUP($A249,#REF!,7,FALSE())&gt;2,HLOOKUP($A249,#REF!,7,FALSE())&lt;-2),"",#REF!),"")</f>
        <v/>
      </c>
      <c r="J249" s="0" t="str">
        <f aca="false">IFERROR(IF(OR(HLOOKUP($A249,#REF!,8,FALSE())&gt;2,HLOOKUP($A249,#REF!,8,FALSE())&lt;-2),"",#REF!),"")</f>
        <v/>
      </c>
      <c r="K249" s="0" t="str">
        <f aca="false">IFERROR(IF(OR(HLOOKUP($A249,#REF!,9,FALSE())&gt;2,HLOOKUP($A249,#REF!,9,FALSE())&lt;-2),"",#REF!),"")</f>
        <v/>
      </c>
      <c r="L249" s="0" t="str">
        <f aca="false">IFERROR(IF(OR(HLOOKUP($A249,#REF!,10,FALSE())&gt;2,HLOOKUP($A249,#REF!,10,FALSE())&lt;-2),"",#REF!),"")</f>
        <v/>
      </c>
      <c r="M249" s="0" t="str">
        <f aca="false">IFERROR(IF(OR(HLOOKUP($A249,#REF!,11,FALSE())&gt;2,HLOOKUP($A249,#REF!,11,FALSE())&lt;-2),"",#REF!),"")</f>
        <v/>
      </c>
      <c r="N249" s="0" t="str">
        <f aca="false">IFERROR(IF(OR(HLOOKUP($A249,#REF!,12,FALSE())&gt;2,HLOOKUP($A249,#REF!,12,FALSE())&lt;-2),"",#REF!),"")</f>
        <v/>
      </c>
      <c r="O249" s="0" t="str">
        <f aca="false">IFERROR(IF(OR(HLOOKUP($A249,#REF!,13,FALSE())&gt;2,HLOOKUP($A249,#REF!,13,FALSE())&lt;-2),"",#REF!),"")</f>
        <v/>
      </c>
      <c r="P249" s="0" t="str">
        <f aca="false">IFERROR(IF(OR(HLOOKUP($A249,#REF!,14,FALSE())&gt;2,HLOOKUP($A249,#REF!,14,FALSE())&lt;-2),"",#REF!),"")</f>
        <v/>
      </c>
      <c r="Q249" s="0" t="str">
        <f aca="false">IFERROR(IF(OR(HLOOKUP($A249,#REF!,15,FALSE())&gt;2,HLOOKUP($A249,#REF!,15,FALSE())&lt;-2),"",#REF!),"")</f>
        <v/>
      </c>
      <c r="R249" s="0" t="str">
        <f aca="false">IFERROR(IF(OR(HLOOKUP($A249,#REF!,16,FALSE())&gt;2,HLOOKUP($A249,#REF!,16,FALSE())&lt;-2),"",#REF!),"")</f>
        <v/>
      </c>
      <c r="S249" s="0" t="str">
        <f aca="false">IFERROR(IF(OR(HLOOKUP($A249,#REF!,17,FALSE())&gt;2,HLOOKUP($A249,#REF!,17,FALSE())&lt;-2),"",#REF!),"")</f>
        <v/>
      </c>
      <c r="T249" s="0" t="str">
        <f aca="false">IFERROR(IF(OR(HLOOKUP($A249,#REF!,18,FALSE())&gt;2,HLOOKUP($A249,#REF!,18,FALSE())&lt;-2),"",#REF!),"")</f>
        <v/>
      </c>
      <c r="U249" s="0" t="str">
        <f aca="false">IFERROR(IF(OR(HLOOKUP($A249,#REF!,19,FALSE())&gt;2,HLOOKUP($A249,#REF!,19,FALSE())&lt;-2),"",#REF!),"")</f>
        <v/>
      </c>
      <c r="V249" s="0" t="n">
        <f aca="false">IFERROR(IF(AND(X249=0,Y249=0),0,1),0)</f>
        <v>1</v>
      </c>
      <c r="W249" s="3" t="str">
        <f aca="false">IFERROR(_xlfn.T.TEST(E249:M249,N249:U249,2,2),"")</f>
        <v/>
      </c>
      <c r="X249" s="0" t="str">
        <f aca="false">IFERROR(AVERAGE(E249:M249),"")</f>
        <v/>
      </c>
      <c r="Y249" s="0" t="str">
        <f aca="false">IFERROR(AVERAGE(N249:U249),"")</f>
        <v/>
      </c>
    </row>
    <row r="250" customFormat="false" ht="14.5" hidden="false" customHeight="false" outlineLevel="0" collapsed="false">
      <c r="A250" s="0" t="n">
        <v>254</v>
      </c>
      <c r="B250" s="0" t="s">
        <v>39</v>
      </c>
      <c r="C250" s="0" t="n">
        <v>25200</v>
      </c>
      <c r="D250" s="0" t="n">
        <v>315</v>
      </c>
      <c r="E250" s="0" t="str">
        <f aca="false">IFERROR(IF(OR(HLOOKUP($A250,#REF!,3,FALSE())&gt;2,HLOOKUP(A250,#REF!,3,FALSE())&lt;-2),"",#REF!),"")</f>
        <v/>
      </c>
      <c r="F250" s="0" t="str">
        <f aca="false">IFERROR(IF(OR(HLOOKUP($A250,#REF!,4,FALSE())&gt;2,HLOOKUP($A250,#REF!,4,FALSE())&lt;-2),"",#REF!),"")</f>
        <v/>
      </c>
      <c r="G250" s="0" t="str">
        <f aca="false">IFERROR(IF(OR(HLOOKUP($A250,#REF!,5,FALSE())&gt;2,HLOOKUP($A250,#REF!,5,FALSE())&lt;-2),"",#REF!),"")</f>
        <v/>
      </c>
      <c r="H250" s="0" t="str">
        <f aca="false">IFERROR(IF(OR(HLOOKUP($A250,#REF!,6,FALSE())&gt;2,HLOOKUP($A250,#REF!,6,FALSE())&lt;-2),"",#REF!),"")</f>
        <v/>
      </c>
      <c r="I250" s="0" t="str">
        <f aca="false">IFERROR(IF(OR(HLOOKUP($A250,#REF!,7,FALSE())&gt;2,HLOOKUP($A250,#REF!,7,FALSE())&lt;-2),"",#REF!),"")</f>
        <v/>
      </c>
      <c r="J250" s="0" t="str">
        <f aca="false">IFERROR(IF(OR(HLOOKUP($A250,#REF!,8,FALSE())&gt;2,HLOOKUP($A250,#REF!,8,FALSE())&lt;-2),"",#REF!),"")</f>
        <v/>
      </c>
      <c r="K250" s="0" t="str">
        <f aca="false">IFERROR(IF(OR(HLOOKUP($A250,#REF!,9,FALSE())&gt;2,HLOOKUP($A250,#REF!,9,FALSE())&lt;-2),"",#REF!),"")</f>
        <v/>
      </c>
      <c r="L250" s="0" t="str">
        <f aca="false">IFERROR(IF(OR(HLOOKUP($A250,#REF!,10,FALSE())&gt;2,HLOOKUP($A250,#REF!,10,FALSE())&lt;-2),"",#REF!),"")</f>
        <v/>
      </c>
      <c r="M250" s="0" t="str">
        <f aca="false">IFERROR(IF(OR(HLOOKUP($A250,#REF!,11,FALSE())&gt;2,HLOOKUP($A250,#REF!,11,FALSE())&lt;-2),"",#REF!),"")</f>
        <v/>
      </c>
      <c r="N250" s="0" t="str">
        <f aca="false">IFERROR(IF(OR(HLOOKUP($A250,#REF!,12,FALSE())&gt;2,HLOOKUP($A250,#REF!,12,FALSE())&lt;-2),"",#REF!),"")</f>
        <v/>
      </c>
      <c r="O250" s="0" t="str">
        <f aca="false">IFERROR(IF(OR(HLOOKUP($A250,#REF!,13,FALSE())&gt;2,HLOOKUP($A250,#REF!,13,FALSE())&lt;-2),"",#REF!),"")</f>
        <v/>
      </c>
      <c r="P250" s="0" t="str">
        <f aca="false">IFERROR(IF(OR(HLOOKUP($A250,#REF!,14,FALSE())&gt;2,HLOOKUP($A250,#REF!,14,FALSE())&lt;-2),"",#REF!),"")</f>
        <v/>
      </c>
      <c r="Q250" s="0" t="str">
        <f aca="false">IFERROR(IF(OR(HLOOKUP($A250,#REF!,15,FALSE())&gt;2,HLOOKUP($A250,#REF!,15,FALSE())&lt;-2),"",#REF!),"")</f>
        <v/>
      </c>
      <c r="R250" s="0" t="str">
        <f aca="false">IFERROR(IF(OR(HLOOKUP($A250,#REF!,16,FALSE())&gt;2,HLOOKUP($A250,#REF!,16,FALSE())&lt;-2),"",#REF!),"")</f>
        <v/>
      </c>
      <c r="S250" s="0" t="str">
        <f aca="false">IFERROR(IF(OR(HLOOKUP($A250,#REF!,17,FALSE())&gt;2,HLOOKUP($A250,#REF!,17,FALSE())&lt;-2),"",#REF!),"")</f>
        <v/>
      </c>
      <c r="T250" s="0" t="str">
        <f aca="false">IFERROR(IF(OR(HLOOKUP($A250,#REF!,18,FALSE())&gt;2,HLOOKUP($A250,#REF!,18,FALSE())&lt;-2),"",#REF!),"")</f>
        <v/>
      </c>
      <c r="U250" s="0" t="str">
        <f aca="false">IFERROR(IF(OR(HLOOKUP($A250,#REF!,19,FALSE())&gt;2,HLOOKUP($A250,#REF!,19,FALSE())&lt;-2),"",#REF!),"")</f>
        <v/>
      </c>
      <c r="V250" s="0" t="n">
        <f aca="false">IFERROR(IF(AND(X250=0,Y250=0),0,1),0)</f>
        <v>1</v>
      </c>
      <c r="W250" s="3" t="str">
        <f aca="false">IFERROR(_xlfn.T.TEST(E250:M250,N250:U250,2,2),"")</f>
        <v/>
      </c>
      <c r="X250" s="0" t="str">
        <f aca="false">IFERROR(AVERAGE(E250:M250),"")</f>
        <v/>
      </c>
      <c r="Y250" s="0" t="str">
        <f aca="false">IFERROR(AVERAGE(N250:U250),"")</f>
        <v/>
      </c>
    </row>
    <row r="251" customFormat="false" ht="14.5" hidden="false" customHeight="false" outlineLevel="0" collapsed="false">
      <c r="A251" s="0" t="n">
        <v>255</v>
      </c>
      <c r="B251" s="0" t="s">
        <v>337</v>
      </c>
      <c r="C251" s="0" t="n">
        <v>66300</v>
      </c>
      <c r="D251" s="0" t="n">
        <v>239</v>
      </c>
      <c r="E251" s="0" t="str">
        <f aca="false">IFERROR(IF(OR(HLOOKUP($A251,#REF!,3,FALSE())&gt;2,HLOOKUP(A251,#REF!,3,FALSE())&lt;-2),"",#REF!),"")</f>
        <v/>
      </c>
      <c r="F251" s="0" t="str">
        <f aca="false">IFERROR(IF(OR(HLOOKUP($A251,#REF!,4,FALSE())&gt;2,HLOOKUP($A251,#REF!,4,FALSE())&lt;-2),"",#REF!),"")</f>
        <v/>
      </c>
      <c r="G251" s="0" t="str">
        <f aca="false">IFERROR(IF(OR(HLOOKUP($A251,#REF!,5,FALSE())&gt;2,HLOOKUP($A251,#REF!,5,FALSE())&lt;-2),"",#REF!),"")</f>
        <v/>
      </c>
      <c r="H251" s="0" t="str">
        <f aca="false">IFERROR(IF(OR(HLOOKUP($A251,#REF!,6,FALSE())&gt;2,HLOOKUP($A251,#REF!,6,FALSE())&lt;-2),"",#REF!),"")</f>
        <v/>
      </c>
      <c r="I251" s="0" t="str">
        <f aca="false">IFERROR(IF(OR(HLOOKUP($A251,#REF!,7,FALSE())&gt;2,HLOOKUP($A251,#REF!,7,FALSE())&lt;-2),"",#REF!),"")</f>
        <v/>
      </c>
      <c r="J251" s="0" t="str">
        <f aca="false">IFERROR(IF(OR(HLOOKUP($A251,#REF!,8,FALSE())&gt;2,HLOOKUP($A251,#REF!,8,FALSE())&lt;-2),"",#REF!),"")</f>
        <v/>
      </c>
      <c r="K251" s="0" t="str">
        <f aca="false">IFERROR(IF(OR(HLOOKUP($A251,#REF!,9,FALSE())&gt;2,HLOOKUP($A251,#REF!,9,FALSE())&lt;-2),"",#REF!),"")</f>
        <v/>
      </c>
      <c r="L251" s="0" t="str">
        <f aca="false">IFERROR(IF(OR(HLOOKUP($A251,#REF!,10,FALSE())&gt;2,HLOOKUP($A251,#REF!,10,FALSE())&lt;-2),"",#REF!),"")</f>
        <v/>
      </c>
      <c r="M251" s="0" t="str">
        <f aca="false">IFERROR(IF(OR(HLOOKUP($A251,#REF!,11,FALSE())&gt;2,HLOOKUP($A251,#REF!,11,FALSE())&lt;-2),"",#REF!),"")</f>
        <v/>
      </c>
      <c r="N251" s="0" t="str">
        <f aca="false">IFERROR(IF(OR(HLOOKUP($A251,#REF!,12,FALSE())&gt;2,HLOOKUP($A251,#REF!,12,FALSE())&lt;-2),"",#REF!),"")</f>
        <v/>
      </c>
      <c r="O251" s="0" t="str">
        <f aca="false">IFERROR(IF(OR(HLOOKUP($A251,#REF!,13,FALSE())&gt;2,HLOOKUP($A251,#REF!,13,FALSE())&lt;-2),"",#REF!),"")</f>
        <v/>
      </c>
      <c r="P251" s="0" t="str">
        <f aca="false">IFERROR(IF(OR(HLOOKUP($A251,#REF!,14,FALSE())&gt;2,HLOOKUP($A251,#REF!,14,FALSE())&lt;-2),"",#REF!),"")</f>
        <v/>
      </c>
      <c r="Q251" s="0" t="str">
        <f aca="false">IFERROR(IF(OR(HLOOKUP($A251,#REF!,15,FALSE())&gt;2,HLOOKUP($A251,#REF!,15,FALSE())&lt;-2),"",#REF!),"")</f>
        <v/>
      </c>
      <c r="R251" s="0" t="str">
        <f aca="false">IFERROR(IF(OR(HLOOKUP($A251,#REF!,16,FALSE())&gt;2,HLOOKUP($A251,#REF!,16,FALSE())&lt;-2),"",#REF!),"")</f>
        <v/>
      </c>
      <c r="S251" s="0" t="str">
        <f aca="false">IFERROR(IF(OR(HLOOKUP($A251,#REF!,17,FALSE())&gt;2,HLOOKUP($A251,#REF!,17,FALSE())&lt;-2),"",#REF!),"")</f>
        <v/>
      </c>
      <c r="T251" s="0" t="str">
        <f aca="false">IFERROR(IF(OR(HLOOKUP($A251,#REF!,18,FALSE())&gt;2,HLOOKUP($A251,#REF!,18,FALSE())&lt;-2),"",#REF!),"")</f>
        <v/>
      </c>
      <c r="U251" s="0" t="str">
        <f aca="false">IFERROR(IF(OR(HLOOKUP($A251,#REF!,19,FALSE())&gt;2,HLOOKUP($A251,#REF!,19,FALSE())&lt;-2),"",#REF!),"")</f>
        <v/>
      </c>
      <c r="V251" s="0" t="n">
        <f aca="false">IFERROR(IF(AND(X251=0,Y251=0),0,1),0)</f>
        <v>1</v>
      </c>
      <c r="W251" s="3" t="str">
        <f aca="false">IFERROR(_xlfn.T.TEST(E251:M251,N251:U251,2,2),"")</f>
        <v/>
      </c>
      <c r="X251" s="0" t="str">
        <f aca="false">IFERROR(AVERAGE(E251:M251),"")</f>
        <v/>
      </c>
      <c r="Y251" s="0" t="str">
        <f aca="false">IFERROR(AVERAGE(N251:U251),"")</f>
        <v/>
      </c>
    </row>
    <row r="252" customFormat="false" ht="14.5" hidden="false" customHeight="false" outlineLevel="0" collapsed="false">
      <c r="A252" s="0" t="n">
        <v>256</v>
      </c>
      <c r="B252" s="0" t="s">
        <v>338</v>
      </c>
      <c r="C252" s="0" t="n">
        <v>36300</v>
      </c>
      <c r="D252" s="0" t="n">
        <v>663</v>
      </c>
      <c r="E252" s="0" t="str">
        <f aca="false">IFERROR(IF(OR(HLOOKUP($A252,#REF!,3,FALSE())&gt;2,HLOOKUP(A252,#REF!,3,FALSE())&lt;-2),"",#REF!),"")</f>
        <v/>
      </c>
      <c r="F252" s="0" t="str">
        <f aca="false">IFERROR(IF(OR(HLOOKUP($A252,#REF!,4,FALSE())&gt;2,HLOOKUP($A252,#REF!,4,FALSE())&lt;-2),"",#REF!),"")</f>
        <v/>
      </c>
      <c r="G252" s="0" t="str">
        <f aca="false">IFERROR(IF(OR(HLOOKUP($A252,#REF!,5,FALSE())&gt;2,HLOOKUP($A252,#REF!,5,FALSE())&lt;-2),"",#REF!),"")</f>
        <v/>
      </c>
      <c r="H252" s="0" t="str">
        <f aca="false">IFERROR(IF(OR(HLOOKUP($A252,#REF!,6,FALSE())&gt;2,HLOOKUP($A252,#REF!,6,FALSE())&lt;-2),"",#REF!),"")</f>
        <v/>
      </c>
      <c r="I252" s="0" t="str">
        <f aca="false">IFERROR(IF(OR(HLOOKUP($A252,#REF!,7,FALSE())&gt;2,HLOOKUP($A252,#REF!,7,FALSE())&lt;-2),"",#REF!),"")</f>
        <v/>
      </c>
      <c r="J252" s="0" t="str">
        <f aca="false">IFERROR(IF(OR(HLOOKUP($A252,#REF!,8,FALSE())&gt;2,HLOOKUP($A252,#REF!,8,FALSE())&lt;-2),"",#REF!),"")</f>
        <v/>
      </c>
      <c r="K252" s="0" t="str">
        <f aca="false">IFERROR(IF(OR(HLOOKUP($A252,#REF!,9,FALSE())&gt;2,HLOOKUP($A252,#REF!,9,FALSE())&lt;-2),"",#REF!),"")</f>
        <v/>
      </c>
      <c r="L252" s="0" t="str">
        <f aca="false">IFERROR(IF(OR(HLOOKUP($A252,#REF!,10,FALSE())&gt;2,HLOOKUP($A252,#REF!,10,FALSE())&lt;-2),"",#REF!),"")</f>
        <v/>
      </c>
      <c r="M252" s="0" t="str">
        <f aca="false">IFERROR(IF(OR(HLOOKUP($A252,#REF!,11,FALSE())&gt;2,HLOOKUP($A252,#REF!,11,FALSE())&lt;-2),"",#REF!),"")</f>
        <v/>
      </c>
      <c r="N252" s="0" t="str">
        <f aca="false">IFERROR(IF(OR(HLOOKUP($A252,#REF!,12,FALSE())&gt;2,HLOOKUP($A252,#REF!,12,FALSE())&lt;-2),"",#REF!),"")</f>
        <v/>
      </c>
      <c r="O252" s="0" t="str">
        <f aca="false">IFERROR(IF(OR(HLOOKUP($A252,#REF!,13,FALSE())&gt;2,HLOOKUP($A252,#REF!,13,FALSE())&lt;-2),"",#REF!),"")</f>
        <v/>
      </c>
      <c r="P252" s="0" t="str">
        <f aca="false">IFERROR(IF(OR(HLOOKUP($A252,#REF!,14,FALSE())&gt;2,HLOOKUP($A252,#REF!,14,FALSE())&lt;-2),"",#REF!),"")</f>
        <v/>
      </c>
      <c r="Q252" s="0" t="str">
        <f aca="false">IFERROR(IF(OR(HLOOKUP($A252,#REF!,15,FALSE())&gt;2,HLOOKUP($A252,#REF!,15,FALSE())&lt;-2),"",#REF!),"")</f>
        <v/>
      </c>
      <c r="R252" s="0" t="str">
        <f aca="false">IFERROR(IF(OR(HLOOKUP($A252,#REF!,16,FALSE())&gt;2,HLOOKUP($A252,#REF!,16,FALSE())&lt;-2),"",#REF!),"")</f>
        <v/>
      </c>
      <c r="S252" s="0" t="str">
        <f aca="false">IFERROR(IF(OR(HLOOKUP($A252,#REF!,17,FALSE())&gt;2,HLOOKUP($A252,#REF!,17,FALSE())&lt;-2),"",#REF!),"")</f>
        <v/>
      </c>
      <c r="T252" s="0" t="str">
        <f aca="false">IFERROR(IF(OR(HLOOKUP($A252,#REF!,18,FALSE())&gt;2,HLOOKUP($A252,#REF!,18,FALSE())&lt;-2),"",#REF!),"")</f>
        <v/>
      </c>
      <c r="U252" s="0" t="str">
        <f aca="false">IFERROR(IF(OR(HLOOKUP($A252,#REF!,19,FALSE())&gt;2,HLOOKUP($A252,#REF!,19,FALSE())&lt;-2),"",#REF!),"")</f>
        <v/>
      </c>
      <c r="V252" s="0" t="n">
        <f aca="false">IFERROR(IF(AND(X252=0,Y252=0),0,1),0)</f>
        <v>1</v>
      </c>
      <c r="W252" s="3" t="str">
        <f aca="false">IFERROR(_xlfn.T.TEST(E252:M252,N252:U252,2,2),"")</f>
        <v/>
      </c>
      <c r="X252" s="0" t="str">
        <f aca="false">IFERROR(AVERAGE(E252:M252),"")</f>
        <v/>
      </c>
      <c r="Y252" s="0" t="str">
        <f aca="false">IFERROR(AVERAGE(N252:U252),"")</f>
        <v/>
      </c>
    </row>
    <row r="253" customFormat="false" ht="14.5" hidden="false" customHeight="false" outlineLevel="0" collapsed="false">
      <c r="A253" s="0" t="n">
        <v>257</v>
      </c>
      <c r="B253" s="0" t="s">
        <v>339</v>
      </c>
      <c r="C253" s="0" t="n">
        <v>18100</v>
      </c>
      <c r="D253" s="0" t="n">
        <v>533</v>
      </c>
      <c r="E253" s="0" t="str">
        <f aca="false">IFERROR(IF(OR(HLOOKUP($A253,#REF!,3,FALSE())&gt;2,HLOOKUP(A253,#REF!,3,FALSE())&lt;-2),"",#REF!),"")</f>
        <v/>
      </c>
      <c r="F253" s="0" t="str">
        <f aca="false">IFERROR(IF(OR(HLOOKUP($A253,#REF!,4,FALSE())&gt;2,HLOOKUP($A253,#REF!,4,FALSE())&lt;-2),"",#REF!),"")</f>
        <v/>
      </c>
      <c r="G253" s="0" t="str">
        <f aca="false">IFERROR(IF(OR(HLOOKUP($A253,#REF!,5,FALSE())&gt;2,HLOOKUP($A253,#REF!,5,FALSE())&lt;-2),"",#REF!),"")</f>
        <v/>
      </c>
      <c r="H253" s="0" t="str">
        <f aca="false">IFERROR(IF(OR(HLOOKUP($A253,#REF!,6,FALSE())&gt;2,HLOOKUP($A253,#REF!,6,FALSE())&lt;-2),"",#REF!),"")</f>
        <v/>
      </c>
      <c r="I253" s="0" t="str">
        <f aca="false">IFERROR(IF(OR(HLOOKUP($A253,#REF!,7,FALSE())&gt;2,HLOOKUP($A253,#REF!,7,FALSE())&lt;-2),"",#REF!),"")</f>
        <v/>
      </c>
      <c r="J253" s="0" t="str">
        <f aca="false">IFERROR(IF(OR(HLOOKUP($A253,#REF!,8,FALSE())&gt;2,HLOOKUP($A253,#REF!,8,FALSE())&lt;-2),"",#REF!),"")</f>
        <v/>
      </c>
      <c r="K253" s="0" t="str">
        <f aca="false">IFERROR(IF(OR(HLOOKUP($A253,#REF!,9,FALSE())&gt;2,HLOOKUP($A253,#REF!,9,FALSE())&lt;-2),"",#REF!),"")</f>
        <v/>
      </c>
      <c r="L253" s="0" t="str">
        <f aca="false">IFERROR(IF(OR(HLOOKUP($A253,#REF!,10,FALSE())&gt;2,HLOOKUP($A253,#REF!,10,FALSE())&lt;-2),"",#REF!),"")</f>
        <v/>
      </c>
      <c r="M253" s="0" t="str">
        <f aca="false">IFERROR(IF(OR(HLOOKUP($A253,#REF!,11,FALSE())&gt;2,HLOOKUP($A253,#REF!,11,FALSE())&lt;-2),"",#REF!),"")</f>
        <v/>
      </c>
      <c r="N253" s="0" t="str">
        <f aca="false">IFERROR(IF(OR(HLOOKUP($A253,#REF!,12,FALSE())&gt;2,HLOOKUP($A253,#REF!,12,FALSE())&lt;-2),"",#REF!),"")</f>
        <v/>
      </c>
      <c r="O253" s="0" t="str">
        <f aca="false">IFERROR(IF(OR(HLOOKUP($A253,#REF!,13,FALSE())&gt;2,HLOOKUP($A253,#REF!,13,FALSE())&lt;-2),"",#REF!),"")</f>
        <v/>
      </c>
      <c r="P253" s="0" t="str">
        <f aca="false">IFERROR(IF(OR(HLOOKUP($A253,#REF!,14,FALSE())&gt;2,HLOOKUP($A253,#REF!,14,FALSE())&lt;-2),"",#REF!),"")</f>
        <v/>
      </c>
      <c r="Q253" s="0" t="str">
        <f aca="false">IFERROR(IF(OR(HLOOKUP($A253,#REF!,15,FALSE())&gt;2,HLOOKUP($A253,#REF!,15,FALSE())&lt;-2),"",#REF!),"")</f>
        <v/>
      </c>
      <c r="R253" s="0" t="str">
        <f aca="false">IFERROR(IF(OR(HLOOKUP($A253,#REF!,16,FALSE())&gt;2,HLOOKUP($A253,#REF!,16,FALSE())&lt;-2),"",#REF!),"")</f>
        <v/>
      </c>
      <c r="S253" s="0" t="str">
        <f aca="false">IFERROR(IF(OR(HLOOKUP($A253,#REF!,17,FALSE())&gt;2,HLOOKUP($A253,#REF!,17,FALSE())&lt;-2),"",#REF!),"")</f>
        <v/>
      </c>
      <c r="T253" s="0" t="str">
        <f aca="false">IFERROR(IF(OR(HLOOKUP($A253,#REF!,18,FALSE())&gt;2,HLOOKUP($A253,#REF!,18,FALSE())&lt;-2),"",#REF!),"")</f>
        <v/>
      </c>
      <c r="U253" s="0" t="str">
        <f aca="false">IFERROR(IF(OR(HLOOKUP($A253,#REF!,19,FALSE())&gt;2,HLOOKUP($A253,#REF!,19,FALSE())&lt;-2),"",#REF!),"")</f>
        <v/>
      </c>
      <c r="V253" s="0" t="n">
        <f aca="false">IFERROR(IF(AND(X253=0,Y253=0),0,1),0)</f>
        <v>1</v>
      </c>
      <c r="W253" s="3" t="str">
        <f aca="false">IFERROR(_xlfn.T.TEST(E253:M253,N253:U253,2,2),"")</f>
        <v/>
      </c>
      <c r="X253" s="0" t="str">
        <f aca="false">IFERROR(AVERAGE(E253:M253),"")</f>
        <v/>
      </c>
      <c r="Y253" s="0" t="str">
        <f aca="false">IFERROR(AVERAGE(N253:U253),"")</f>
        <v/>
      </c>
    </row>
    <row r="254" customFormat="false" ht="14.5" hidden="false" customHeight="false" outlineLevel="0" collapsed="false">
      <c r="A254" s="0" t="n">
        <v>258</v>
      </c>
      <c r="B254" s="0" t="s">
        <v>340</v>
      </c>
      <c r="C254" s="0" t="n">
        <v>49600</v>
      </c>
      <c r="D254" s="0" t="n">
        <v>242</v>
      </c>
      <c r="E254" s="0" t="str">
        <f aca="false">IFERROR(IF(OR(HLOOKUP($A254,#REF!,3,FALSE())&gt;2,HLOOKUP(A254,#REF!,3,FALSE())&lt;-2),"",#REF!),"")</f>
        <v/>
      </c>
      <c r="F254" s="0" t="str">
        <f aca="false">IFERROR(IF(OR(HLOOKUP($A254,#REF!,4,FALSE())&gt;2,HLOOKUP($A254,#REF!,4,FALSE())&lt;-2),"",#REF!),"")</f>
        <v/>
      </c>
      <c r="G254" s="0" t="str">
        <f aca="false">IFERROR(IF(OR(HLOOKUP($A254,#REF!,5,FALSE())&gt;2,HLOOKUP($A254,#REF!,5,FALSE())&lt;-2),"",#REF!),"")</f>
        <v/>
      </c>
      <c r="H254" s="0" t="str">
        <f aca="false">IFERROR(IF(OR(HLOOKUP($A254,#REF!,6,FALSE())&gt;2,HLOOKUP($A254,#REF!,6,FALSE())&lt;-2),"",#REF!),"")</f>
        <v/>
      </c>
      <c r="I254" s="0" t="str">
        <f aca="false">IFERROR(IF(OR(HLOOKUP($A254,#REF!,7,FALSE())&gt;2,HLOOKUP($A254,#REF!,7,FALSE())&lt;-2),"",#REF!),"")</f>
        <v/>
      </c>
      <c r="J254" s="0" t="str">
        <f aca="false">IFERROR(IF(OR(HLOOKUP($A254,#REF!,8,FALSE())&gt;2,HLOOKUP($A254,#REF!,8,FALSE())&lt;-2),"",#REF!),"")</f>
        <v/>
      </c>
      <c r="K254" s="0" t="str">
        <f aca="false">IFERROR(IF(OR(HLOOKUP($A254,#REF!,9,FALSE())&gt;2,HLOOKUP($A254,#REF!,9,FALSE())&lt;-2),"",#REF!),"")</f>
        <v/>
      </c>
      <c r="L254" s="0" t="str">
        <f aca="false">IFERROR(IF(OR(HLOOKUP($A254,#REF!,10,FALSE())&gt;2,HLOOKUP($A254,#REF!,10,FALSE())&lt;-2),"",#REF!),"")</f>
        <v/>
      </c>
      <c r="M254" s="0" t="str">
        <f aca="false">IFERROR(IF(OR(HLOOKUP($A254,#REF!,11,FALSE())&gt;2,HLOOKUP($A254,#REF!,11,FALSE())&lt;-2),"",#REF!),"")</f>
        <v/>
      </c>
      <c r="N254" s="0" t="str">
        <f aca="false">IFERROR(IF(OR(HLOOKUP($A254,#REF!,12,FALSE())&gt;2,HLOOKUP($A254,#REF!,12,FALSE())&lt;-2),"",#REF!),"")</f>
        <v/>
      </c>
      <c r="O254" s="0" t="str">
        <f aca="false">IFERROR(IF(OR(HLOOKUP($A254,#REF!,13,FALSE())&gt;2,HLOOKUP($A254,#REF!,13,FALSE())&lt;-2),"",#REF!),"")</f>
        <v/>
      </c>
      <c r="P254" s="0" t="str">
        <f aca="false">IFERROR(IF(OR(HLOOKUP($A254,#REF!,14,FALSE())&gt;2,HLOOKUP($A254,#REF!,14,FALSE())&lt;-2),"",#REF!),"")</f>
        <v/>
      </c>
      <c r="Q254" s="0" t="str">
        <f aca="false">IFERROR(IF(OR(HLOOKUP($A254,#REF!,15,FALSE())&gt;2,HLOOKUP($A254,#REF!,15,FALSE())&lt;-2),"",#REF!),"")</f>
        <v/>
      </c>
      <c r="R254" s="0" t="str">
        <f aca="false">IFERROR(IF(OR(HLOOKUP($A254,#REF!,16,FALSE())&gt;2,HLOOKUP($A254,#REF!,16,FALSE())&lt;-2),"",#REF!),"")</f>
        <v/>
      </c>
      <c r="S254" s="0" t="str">
        <f aca="false">IFERROR(IF(OR(HLOOKUP($A254,#REF!,17,FALSE())&gt;2,HLOOKUP($A254,#REF!,17,FALSE())&lt;-2),"",#REF!),"")</f>
        <v/>
      </c>
      <c r="T254" s="0" t="str">
        <f aca="false">IFERROR(IF(OR(HLOOKUP($A254,#REF!,18,FALSE())&gt;2,HLOOKUP($A254,#REF!,18,FALSE())&lt;-2),"",#REF!),"")</f>
        <v/>
      </c>
      <c r="U254" s="0" t="str">
        <f aca="false">IFERROR(IF(OR(HLOOKUP($A254,#REF!,19,FALSE())&gt;2,HLOOKUP($A254,#REF!,19,FALSE())&lt;-2),"",#REF!),"")</f>
        <v/>
      </c>
      <c r="V254" s="0" t="n">
        <f aca="false">IFERROR(IF(AND(X254=0,Y254=0),0,1),0)</f>
        <v>1</v>
      </c>
      <c r="W254" s="3" t="str">
        <f aca="false">IFERROR(_xlfn.T.TEST(E254:M254,N254:U254,2,2),"")</f>
        <v/>
      </c>
      <c r="X254" s="0" t="str">
        <f aca="false">IFERROR(AVERAGE(E254:M254),"")</f>
        <v/>
      </c>
      <c r="Y254" s="0" t="str">
        <f aca="false">IFERROR(AVERAGE(N254:U254),"")</f>
        <v/>
      </c>
    </row>
    <row r="255" customFormat="false" ht="14.5" hidden="false" customHeight="false" outlineLevel="0" collapsed="false">
      <c r="A255" s="0" t="n">
        <v>259</v>
      </c>
      <c r="B255" s="0" t="s">
        <v>341</v>
      </c>
      <c r="C255" s="0" t="n">
        <v>43800</v>
      </c>
      <c r="D255" s="0" t="n">
        <v>934</v>
      </c>
      <c r="E255" s="0" t="str">
        <f aca="false">IFERROR(IF(OR(HLOOKUP($A255,#REF!,3,FALSE())&gt;2,HLOOKUP(A255,#REF!,3,FALSE())&lt;-2),"",#REF!),"")</f>
        <v/>
      </c>
      <c r="F255" s="0" t="str">
        <f aca="false">IFERROR(IF(OR(HLOOKUP($A255,#REF!,4,FALSE())&gt;2,HLOOKUP($A255,#REF!,4,FALSE())&lt;-2),"",#REF!),"")</f>
        <v/>
      </c>
      <c r="G255" s="0" t="str">
        <f aca="false">IFERROR(IF(OR(HLOOKUP($A255,#REF!,5,FALSE())&gt;2,HLOOKUP($A255,#REF!,5,FALSE())&lt;-2),"",#REF!),"")</f>
        <v/>
      </c>
      <c r="H255" s="0" t="str">
        <f aca="false">IFERROR(IF(OR(HLOOKUP($A255,#REF!,6,FALSE())&gt;2,HLOOKUP($A255,#REF!,6,FALSE())&lt;-2),"",#REF!),"")</f>
        <v/>
      </c>
      <c r="I255" s="0" t="str">
        <f aca="false">IFERROR(IF(OR(HLOOKUP($A255,#REF!,7,FALSE())&gt;2,HLOOKUP($A255,#REF!,7,FALSE())&lt;-2),"",#REF!),"")</f>
        <v/>
      </c>
      <c r="J255" s="0" t="str">
        <f aca="false">IFERROR(IF(OR(HLOOKUP($A255,#REF!,8,FALSE())&gt;2,HLOOKUP($A255,#REF!,8,FALSE())&lt;-2),"",#REF!),"")</f>
        <v/>
      </c>
      <c r="K255" s="0" t="str">
        <f aca="false">IFERROR(IF(OR(HLOOKUP($A255,#REF!,9,FALSE())&gt;2,HLOOKUP($A255,#REF!,9,FALSE())&lt;-2),"",#REF!),"")</f>
        <v/>
      </c>
      <c r="L255" s="0" t="str">
        <f aca="false">IFERROR(IF(OR(HLOOKUP($A255,#REF!,10,FALSE())&gt;2,HLOOKUP($A255,#REF!,10,FALSE())&lt;-2),"",#REF!),"")</f>
        <v/>
      </c>
      <c r="M255" s="0" t="str">
        <f aca="false">IFERROR(IF(OR(HLOOKUP($A255,#REF!,11,FALSE())&gt;2,HLOOKUP($A255,#REF!,11,FALSE())&lt;-2),"",#REF!),"")</f>
        <v/>
      </c>
      <c r="N255" s="0" t="str">
        <f aca="false">IFERROR(IF(OR(HLOOKUP($A255,#REF!,12,FALSE())&gt;2,HLOOKUP($A255,#REF!,12,FALSE())&lt;-2),"",#REF!),"")</f>
        <v/>
      </c>
      <c r="O255" s="0" t="str">
        <f aca="false">IFERROR(IF(OR(HLOOKUP($A255,#REF!,13,FALSE())&gt;2,HLOOKUP($A255,#REF!,13,FALSE())&lt;-2),"",#REF!),"")</f>
        <v/>
      </c>
      <c r="P255" s="0" t="str">
        <f aca="false">IFERROR(IF(OR(HLOOKUP($A255,#REF!,14,FALSE())&gt;2,HLOOKUP($A255,#REF!,14,FALSE())&lt;-2),"",#REF!),"")</f>
        <v/>
      </c>
      <c r="Q255" s="0" t="str">
        <f aca="false">IFERROR(IF(OR(HLOOKUP($A255,#REF!,15,FALSE())&gt;2,HLOOKUP($A255,#REF!,15,FALSE())&lt;-2),"",#REF!),"")</f>
        <v/>
      </c>
      <c r="R255" s="0" t="str">
        <f aca="false">IFERROR(IF(OR(HLOOKUP($A255,#REF!,16,FALSE())&gt;2,HLOOKUP($A255,#REF!,16,FALSE())&lt;-2),"",#REF!),"")</f>
        <v/>
      </c>
      <c r="S255" s="0" t="str">
        <f aca="false">IFERROR(IF(OR(HLOOKUP($A255,#REF!,17,FALSE())&gt;2,HLOOKUP($A255,#REF!,17,FALSE())&lt;-2),"",#REF!),"")</f>
        <v/>
      </c>
      <c r="T255" s="0" t="str">
        <f aca="false">IFERROR(IF(OR(HLOOKUP($A255,#REF!,18,FALSE())&gt;2,HLOOKUP($A255,#REF!,18,FALSE())&lt;-2),"",#REF!),"")</f>
        <v/>
      </c>
      <c r="U255" s="0" t="str">
        <f aca="false">IFERROR(IF(OR(HLOOKUP($A255,#REF!,19,FALSE())&gt;2,HLOOKUP($A255,#REF!,19,FALSE())&lt;-2),"",#REF!),"")</f>
        <v/>
      </c>
      <c r="V255" s="0" t="n">
        <f aca="false">IFERROR(IF(AND(X255=0,Y255=0),0,1),0)</f>
        <v>1</v>
      </c>
      <c r="W255" s="3" t="str">
        <f aca="false">IFERROR(_xlfn.T.TEST(E255:M255,N255:U255,2,2),"")</f>
        <v/>
      </c>
      <c r="X255" s="0" t="str">
        <f aca="false">IFERROR(AVERAGE(E255:M255),"")</f>
        <v/>
      </c>
      <c r="Y255" s="0" t="str">
        <f aca="false">IFERROR(AVERAGE(N255:U255),"")</f>
        <v/>
      </c>
    </row>
    <row r="256" customFormat="false" ht="14.5" hidden="false" customHeight="false" outlineLevel="0" collapsed="false">
      <c r="A256" s="0" t="n">
        <v>260</v>
      </c>
      <c r="B256" s="0" t="s">
        <v>342</v>
      </c>
      <c r="C256" s="0" t="n">
        <v>34300</v>
      </c>
      <c r="D256" s="0" t="n">
        <v>619</v>
      </c>
      <c r="E256" s="0" t="str">
        <f aca="false">IFERROR(IF(OR(HLOOKUP($A256,#REF!,3,FALSE())&gt;2,HLOOKUP(A256,#REF!,3,FALSE())&lt;-2),"",#REF!),"")</f>
        <v/>
      </c>
      <c r="F256" s="0" t="str">
        <f aca="false">IFERROR(IF(OR(HLOOKUP($A256,#REF!,4,FALSE())&gt;2,HLOOKUP($A256,#REF!,4,FALSE())&lt;-2),"",#REF!),"")</f>
        <v/>
      </c>
      <c r="G256" s="0" t="str">
        <f aca="false">IFERROR(IF(OR(HLOOKUP($A256,#REF!,5,FALSE())&gt;2,HLOOKUP($A256,#REF!,5,FALSE())&lt;-2),"",#REF!),"")</f>
        <v/>
      </c>
      <c r="H256" s="0" t="str">
        <f aca="false">IFERROR(IF(OR(HLOOKUP($A256,#REF!,6,FALSE())&gt;2,HLOOKUP($A256,#REF!,6,FALSE())&lt;-2),"",#REF!),"")</f>
        <v/>
      </c>
      <c r="I256" s="0" t="str">
        <f aca="false">IFERROR(IF(OR(HLOOKUP($A256,#REF!,7,FALSE())&gt;2,HLOOKUP($A256,#REF!,7,FALSE())&lt;-2),"",#REF!),"")</f>
        <v/>
      </c>
      <c r="J256" s="0" t="str">
        <f aca="false">IFERROR(IF(OR(HLOOKUP($A256,#REF!,8,FALSE())&gt;2,HLOOKUP($A256,#REF!,8,FALSE())&lt;-2),"",#REF!),"")</f>
        <v/>
      </c>
      <c r="K256" s="0" t="str">
        <f aca="false">IFERROR(IF(OR(HLOOKUP($A256,#REF!,9,FALSE())&gt;2,HLOOKUP($A256,#REF!,9,FALSE())&lt;-2),"",#REF!),"")</f>
        <v/>
      </c>
      <c r="L256" s="0" t="str">
        <f aca="false">IFERROR(IF(OR(HLOOKUP($A256,#REF!,10,FALSE())&gt;2,HLOOKUP($A256,#REF!,10,FALSE())&lt;-2),"",#REF!),"")</f>
        <v/>
      </c>
      <c r="M256" s="0" t="str">
        <f aca="false">IFERROR(IF(OR(HLOOKUP($A256,#REF!,11,FALSE())&gt;2,HLOOKUP($A256,#REF!,11,FALSE())&lt;-2),"",#REF!),"")</f>
        <v/>
      </c>
      <c r="N256" s="0" t="str">
        <f aca="false">IFERROR(IF(OR(HLOOKUP($A256,#REF!,12,FALSE())&gt;2,HLOOKUP($A256,#REF!,12,FALSE())&lt;-2),"",#REF!),"")</f>
        <v/>
      </c>
      <c r="O256" s="0" t="str">
        <f aca="false">IFERROR(IF(OR(HLOOKUP($A256,#REF!,13,FALSE())&gt;2,HLOOKUP($A256,#REF!,13,FALSE())&lt;-2),"",#REF!),"")</f>
        <v/>
      </c>
      <c r="P256" s="0" t="str">
        <f aca="false">IFERROR(IF(OR(HLOOKUP($A256,#REF!,14,FALSE())&gt;2,HLOOKUP($A256,#REF!,14,FALSE())&lt;-2),"",#REF!),"")</f>
        <v/>
      </c>
      <c r="Q256" s="0" t="str">
        <f aca="false">IFERROR(IF(OR(HLOOKUP($A256,#REF!,15,FALSE())&gt;2,HLOOKUP($A256,#REF!,15,FALSE())&lt;-2),"",#REF!),"")</f>
        <v/>
      </c>
      <c r="R256" s="0" t="str">
        <f aca="false">IFERROR(IF(OR(HLOOKUP($A256,#REF!,16,FALSE())&gt;2,HLOOKUP($A256,#REF!,16,FALSE())&lt;-2),"",#REF!),"")</f>
        <v/>
      </c>
      <c r="S256" s="0" t="str">
        <f aca="false">IFERROR(IF(OR(HLOOKUP($A256,#REF!,17,FALSE())&gt;2,HLOOKUP($A256,#REF!,17,FALSE())&lt;-2),"",#REF!),"")</f>
        <v/>
      </c>
      <c r="T256" s="0" t="str">
        <f aca="false">IFERROR(IF(OR(HLOOKUP($A256,#REF!,18,FALSE())&gt;2,HLOOKUP($A256,#REF!,18,FALSE())&lt;-2),"",#REF!),"")</f>
        <v/>
      </c>
      <c r="U256" s="0" t="str">
        <f aca="false">IFERROR(IF(OR(HLOOKUP($A256,#REF!,19,FALSE())&gt;2,HLOOKUP($A256,#REF!,19,FALSE())&lt;-2),"",#REF!),"")</f>
        <v/>
      </c>
      <c r="V256" s="0" t="n">
        <f aca="false">IFERROR(IF(AND(X256=0,Y256=0),0,1),0)</f>
        <v>1</v>
      </c>
      <c r="W256" s="3" t="str">
        <f aca="false">IFERROR(_xlfn.T.TEST(E256:M256,N256:U256,2,2),"")</f>
        <v/>
      </c>
      <c r="X256" s="0" t="str">
        <f aca="false">IFERROR(AVERAGE(E256:M256),"")</f>
        <v/>
      </c>
      <c r="Y256" s="0" t="str">
        <f aca="false">IFERROR(AVERAGE(N256:U256),"")</f>
        <v/>
      </c>
    </row>
    <row r="257" customFormat="false" ht="14.5" hidden="false" customHeight="false" outlineLevel="0" collapsed="false">
      <c r="A257" s="0" t="n">
        <v>261</v>
      </c>
      <c r="B257" s="0" t="s">
        <v>343</v>
      </c>
      <c r="C257" s="0" t="n">
        <v>103500</v>
      </c>
      <c r="D257" s="0" t="n">
        <v>871</v>
      </c>
      <c r="E257" s="0" t="str">
        <f aca="false">IFERROR(IF(OR(HLOOKUP($A257,#REF!,3,FALSE())&gt;2,HLOOKUP(A257,#REF!,3,FALSE())&lt;-2),"",#REF!),"")</f>
        <v/>
      </c>
      <c r="F257" s="0" t="str">
        <f aca="false">IFERROR(IF(OR(HLOOKUP($A257,#REF!,4,FALSE())&gt;2,HLOOKUP($A257,#REF!,4,FALSE())&lt;-2),"",#REF!),"")</f>
        <v/>
      </c>
      <c r="G257" s="0" t="str">
        <f aca="false">IFERROR(IF(OR(HLOOKUP($A257,#REF!,5,FALSE())&gt;2,HLOOKUP($A257,#REF!,5,FALSE())&lt;-2),"",#REF!),"")</f>
        <v/>
      </c>
      <c r="H257" s="0" t="str">
        <f aca="false">IFERROR(IF(OR(HLOOKUP($A257,#REF!,6,FALSE())&gt;2,HLOOKUP($A257,#REF!,6,FALSE())&lt;-2),"",#REF!),"")</f>
        <v/>
      </c>
      <c r="I257" s="0" t="str">
        <f aca="false">IFERROR(IF(OR(HLOOKUP($A257,#REF!,7,FALSE())&gt;2,HLOOKUP($A257,#REF!,7,FALSE())&lt;-2),"",#REF!),"")</f>
        <v/>
      </c>
      <c r="J257" s="0" t="str">
        <f aca="false">IFERROR(IF(OR(HLOOKUP($A257,#REF!,8,FALSE())&gt;2,HLOOKUP($A257,#REF!,8,FALSE())&lt;-2),"",#REF!),"")</f>
        <v/>
      </c>
      <c r="K257" s="0" t="str">
        <f aca="false">IFERROR(IF(OR(HLOOKUP($A257,#REF!,9,FALSE())&gt;2,HLOOKUP($A257,#REF!,9,FALSE())&lt;-2),"",#REF!),"")</f>
        <v/>
      </c>
      <c r="L257" s="0" t="str">
        <f aca="false">IFERROR(IF(OR(HLOOKUP($A257,#REF!,10,FALSE())&gt;2,HLOOKUP($A257,#REF!,10,FALSE())&lt;-2),"",#REF!),"")</f>
        <v/>
      </c>
      <c r="M257" s="0" t="str">
        <f aca="false">IFERROR(IF(OR(HLOOKUP($A257,#REF!,11,FALSE())&gt;2,HLOOKUP($A257,#REF!,11,FALSE())&lt;-2),"",#REF!),"")</f>
        <v/>
      </c>
      <c r="N257" s="0" t="str">
        <f aca="false">IFERROR(IF(OR(HLOOKUP($A257,#REF!,12,FALSE())&gt;2,HLOOKUP($A257,#REF!,12,FALSE())&lt;-2),"",#REF!),"")</f>
        <v/>
      </c>
      <c r="O257" s="0" t="str">
        <f aca="false">IFERROR(IF(OR(HLOOKUP($A257,#REF!,13,FALSE())&gt;2,HLOOKUP($A257,#REF!,13,FALSE())&lt;-2),"",#REF!),"")</f>
        <v/>
      </c>
      <c r="P257" s="0" t="str">
        <f aca="false">IFERROR(IF(OR(HLOOKUP($A257,#REF!,14,FALSE())&gt;2,HLOOKUP($A257,#REF!,14,FALSE())&lt;-2),"",#REF!),"")</f>
        <v/>
      </c>
      <c r="Q257" s="0" t="str">
        <f aca="false">IFERROR(IF(OR(HLOOKUP($A257,#REF!,15,FALSE())&gt;2,HLOOKUP($A257,#REF!,15,FALSE())&lt;-2),"",#REF!),"")</f>
        <v/>
      </c>
      <c r="R257" s="0" t="str">
        <f aca="false">IFERROR(IF(OR(HLOOKUP($A257,#REF!,16,FALSE())&gt;2,HLOOKUP($A257,#REF!,16,FALSE())&lt;-2),"",#REF!),"")</f>
        <v/>
      </c>
      <c r="S257" s="0" t="str">
        <f aca="false">IFERROR(IF(OR(HLOOKUP($A257,#REF!,17,FALSE())&gt;2,HLOOKUP($A257,#REF!,17,FALSE())&lt;-2),"",#REF!),"")</f>
        <v/>
      </c>
      <c r="T257" s="0" t="str">
        <f aca="false">IFERROR(IF(OR(HLOOKUP($A257,#REF!,18,FALSE())&gt;2,HLOOKUP($A257,#REF!,18,FALSE())&lt;-2),"",#REF!),"")</f>
        <v/>
      </c>
      <c r="U257" s="0" t="str">
        <f aca="false">IFERROR(IF(OR(HLOOKUP($A257,#REF!,19,FALSE())&gt;2,HLOOKUP($A257,#REF!,19,FALSE())&lt;-2),"",#REF!),"")</f>
        <v/>
      </c>
      <c r="V257" s="0" t="n">
        <f aca="false">IFERROR(IF(AND(X257=0,Y257=0),0,1),0)</f>
        <v>1</v>
      </c>
      <c r="W257" s="3" t="str">
        <f aca="false">IFERROR(_xlfn.T.TEST(E257:M257,N257:U257,2,2),"")</f>
        <v/>
      </c>
      <c r="X257" s="0" t="str">
        <f aca="false">IFERROR(AVERAGE(E257:M257),"")</f>
        <v/>
      </c>
      <c r="Y257" s="0" t="str">
        <f aca="false">IFERROR(AVERAGE(N257:U257),"")</f>
        <v/>
      </c>
    </row>
    <row r="258" customFormat="false" ht="14.5" hidden="false" customHeight="false" outlineLevel="0" collapsed="false">
      <c r="A258" s="0" t="n">
        <v>262</v>
      </c>
      <c r="B258" s="0" t="s">
        <v>344</v>
      </c>
      <c r="C258" s="0" t="n">
        <v>68900</v>
      </c>
      <c r="D258" s="0" t="n">
        <v>856</v>
      </c>
      <c r="E258" s="0" t="str">
        <f aca="false">IFERROR(IF(OR(HLOOKUP($A258,#REF!,3,FALSE())&gt;2,HLOOKUP(A258,#REF!,3,FALSE())&lt;-2),"",#REF!),"")</f>
        <v/>
      </c>
      <c r="F258" s="0" t="str">
        <f aca="false">IFERROR(IF(OR(HLOOKUP($A258,#REF!,4,FALSE())&gt;2,HLOOKUP($A258,#REF!,4,FALSE())&lt;-2),"",#REF!),"")</f>
        <v/>
      </c>
      <c r="G258" s="0" t="str">
        <f aca="false">IFERROR(IF(OR(HLOOKUP($A258,#REF!,5,FALSE())&gt;2,HLOOKUP($A258,#REF!,5,FALSE())&lt;-2),"",#REF!),"")</f>
        <v/>
      </c>
      <c r="H258" s="0" t="str">
        <f aca="false">IFERROR(IF(OR(HLOOKUP($A258,#REF!,6,FALSE())&gt;2,HLOOKUP($A258,#REF!,6,FALSE())&lt;-2),"",#REF!),"")</f>
        <v/>
      </c>
      <c r="I258" s="0" t="str">
        <f aca="false">IFERROR(IF(OR(HLOOKUP($A258,#REF!,7,FALSE())&gt;2,HLOOKUP($A258,#REF!,7,FALSE())&lt;-2),"",#REF!),"")</f>
        <v/>
      </c>
      <c r="J258" s="0" t="str">
        <f aca="false">IFERROR(IF(OR(HLOOKUP($A258,#REF!,8,FALSE())&gt;2,HLOOKUP($A258,#REF!,8,FALSE())&lt;-2),"",#REF!),"")</f>
        <v/>
      </c>
      <c r="K258" s="0" t="str">
        <f aca="false">IFERROR(IF(OR(HLOOKUP($A258,#REF!,9,FALSE())&gt;2,HLOOKUP($A258,#REF!,9,FALSE())&lt;-2),"",#REF!),"")</f>
        <v/>
      </c>
      <c r="L258" s="0" t="str">
        <f aca="false">IFERROR(IF(OR(HLOOKUP($A258,#REF!,10,FALSE())&gt;2,HLOOKUP($A258,#REF!,10,FALSE())&lt;-2),"",#REF!),"")</f>
        <v/>
      </c>
      <c r="M258" s="0" t="str">
        <f aca="false">IFERROR(IF(OR(HLOOKUP($A258,#REF!,11,FALSE())&gt;2,HLOOKUP($A258,#REF!,11,FALSE())&lt;-2),"",#REF!),"")</f>
        <v/>
      </c>
      <c r="N258" s="0" t="str">
        <f aca="false">IFERROR(IF(OR(HLOOKUP($A258,#REF!,12,FALSE())&gt;2,HLOOKUP($A258,#REF!,12,FALSE())&lt;-2),"",#REF!),"")</f>
        <v/>
      </c>
      <c r="O258" s="0" t="str">
        <f aca="false">IFERROR(IF(OR(HLOOKUP($A258,#REF!,13,FALSE())&gt;2,HLOOKUP($A258,#REF!,13,FALSE())&lt;-2),"",#REF!),"")</f>
        <v/>
      </c>
      <c r="P258" s="0" t="str">
        <f aca="false">IFERROR(IF(OR(HLOOKUP($A258,#REF!,14,FALSE())&gt;2,HLOOKUP($A258,#REF!,14,FALSE())&lt;-2),"",#REF!),"")</f>
        <v/>
      </c>
      <c r="Q258" s="0" t="str">
        <f aca="false">IFERROR(IF(OR(HLOOKUP($A258,#REF!,15,FALSE())&gt;2,HLOOKUP($A258,#REF!,15,FALSE())&lt;-2),"",#REF!),"")</f>
        <v/>
      </c>
      <c r="R258" s="0" t="str">
        <f aca="false">IFERROR(IF(OR(HLOOKUP($A258,#REF!,16,FALSE())&gt;2,HLOOKUP($A258,#REF!,16,FALSE())&lt;-2),"",#REF!),"")</f>
        <v/>
      </c>
      <c r="S258" s="0" t="str">
        <f aca="false">IFERROR(IF(OR(HLOOKUP($A258,#REF!,17,FALSE())&gt;2,HLOOKUP($A258,#REF!,17,FALSE())&lt;-2),"",#REF!),"")</f>
        <v/>
      </c>
      <c r="T258" s="0" t="str">
        <f aca="false">IFERROR(IF(OR(HLOOKUP($A258,#REF!,18,FALSE())&gt;2,HLOOKUP($A258,#REF!,18,FALSE())&lt;-2),"",#REF!),"")</f>
        <v/>
      </c>
      <c r="U258" s="0" t="str">
        <f aca="false">IFERROR(IF(OR(HLOOKUP($A258,#REF!,19,FALSE())&gt;2,HLOOKUP($A258,#REF!,19,FALSE())&lt;-2),"",#REF!),"")</f>
        <v/>
      </c>
      <c r="V258" s="0" t="n">
        <f aca="false">IFERROR(IF(AND(X258=0,Y258=0),0,1),0)</f>
        <v>1</v>
      </c>
      <c r="W258" s="3" t="str">
        <f aca="false">IFERROR(_xlfn.T.TEST(E258:M258,N258:U258,2,2),"")</f>
        <v/>
      </c>
      <c r="X258" s="0" t="str">
        <f aca="false">IFERROR(AVERAGE(E258:M258),"")</f>
        <v/>
      </c>
      <c r="Y258" s="0" t="str">
        <f aca="false">IFERROR(AVERAGE(N258:U258),"")</f>
        <v/>
      </c>
    </row>
    <row r="259" customFormat="false" ht="14.5" hidden="false" customHeight="false" outlineLevel="0" collapsed="false">
      <c r="A259" s="0" t="n">
        <v>263</v>
      </c>
      <c r="B259" s="0" t="s">
        <v>345</v>
      </c>
      <c r="C259" s="0" t="n">
        <v>72200</v>
      </c>
      <c r="D259" s="0" t="n">
        <v>141</v>
      </c>
      <c r="E259" s="0" t="str">
        <f aca="false">IFERROR(IF(OR(HLOOKUP($A259,#REF!,3,FALSE())&gt;2,HLOOKUP(A259,#REF!,3,FALSE())&lt;-2),"",#REF!),"")</f>
        <v/>
      </c>
      <c r="F259" s="0" t="str">
        <f aca="false">IFERROR(IF(OR(HLOOKUP($A259,#REF!,4,FALSE())&gt;2,HLOOKUP($A259,#REF!,4,FALSE())&lt;-2),"",#REF!),"")</f>
        <v/>
      </c>
      <c r="G259" s="0" t="str">
        <f aca="false">IFERROR(IF(OR(HLOOKUP($A259,#REF!,5,FALSE())&gt;2,HLOOKUP($A259,#REF!,5,FALSE())&lt;-2),"",#REF!),"")</f>
        <v/>
      </c>
      <c r="H259" s="0" t="str">
        <f aca="false">IFERROR(IF(OR(HLOOKUP($A259,#REF!,6,FALSE())&gt;2,HLOOKUP($A259,#REF!,6,FALSE())&lt;-2),"",#REF!),"")</f>
        <v/>
      </c>
      <c r="I259" s="0" t="str">
        <f aca="false">IFERROR(IF(OR(HLOOKUP($A259,#REF!,7,FALSE())&gt;2,HLOOKUP($A259,#REF!,7,FALSE())&lt;-2),"",#REF!),"")</f>
        <v/>
      </c>
      <c r="J259" s="0" t="str">
        <f aca="false">IFERROR(IF(OR(HLOOKUP($A259,#REF!,8,FALSE())&gt;2,HLOOKUP($A259,#REF!,8,FALSE())&lt;-2),"",#REF!),"")</f>
        <v/>
      </c>
      <c r="K259" s="0" t="str">
        <f aca="false">IFERROR(IF(OR(HLOOKUP($A259,#REF!,9,FALSE())&gt;2,HLOOKUP($A259,#REF!,9,FALSE())&lt;-2),"",#REF!),"")</f>
        <v/>
      </c>
      <c r="L259" s="0" t="str">
        <f aca="false">IFERROR(IF(OR(HLOOKUP($A259,#REF!,10,FALSE())&gt;2,HLOOKUP($A259,#REF!,10,FALSE())&lt;-2),"",#REF!),"")</f>
        <v/>
      </c>
      <c r="M259" s="0" t="str">
        <f aca="false">IFERROR(IF(OR(HLOOKUP($A259,#REF!,11,FALSE())&gt;2,HLOOKUP($A259,#REF!,11,FALSE())&lt;-2),"",#REF!),"")</f>
        <v/>
      </c>
      <c r="N259" s="0" t="str">
        <f aca="false">IFERROR(IF(OR(HLOOKUP($A259,#REF!,12,FALSE())&gt;2,HLOOKUP($A259,#REF!,12,FALSE())&lt;-2),"",#REF!),"")</f>
        <v/>
      </c>
      <c r="O259" s="0" t="str">
        <f aca="false">IFERROR(IF(OR(HLOOKUP($A259,#REF!,13,FALSE())&gt;2,HLOOKUP($A259,#REF!,13,FALSE())&lt;-2),"",#REF!),"")</f>
        <v/>
      </c>
      <c r="P259" s="0" t="str">
        <f aca="false">IFERROR(IF(OR(HLOOKUP($A259,#REF!,14,FALSE())&gt;2,HLOOKUP($A259,#REF!,14,FALSE())&lt;-2),"",#REF!),"")</f>
        <v/>
      </c>
      <c r="Q259" s="0" t="str">
        <f aca="false">IFERROR(IF(OR(HLOOKUP($A259,#REF!,15,FALSE())&gt;2,HLOOKUP($A259,#REF!,15,FALSE())&lt;-2),"",#REF!),"")</f>
        <v/>
      </c>
      <c r="R259" s="0" t="str">
        <f aca="false">IFERROR(IF(OR(HLOOKUP($A259,#REF!,16,FALSE())&gt;2,HLOOKUP($A259,#REF!,16,FALSE())&lt;-2),"",#REF!),"")</f>
        <v/>
      </c>
      <c r="S259" s="0" t="str">
        <f aca="false">IFERROR(IF(OR(HLOOKUP($A259,#REF!,17,FALSE())&gt;2,HLOOKUP($A259,#REF!,17,FALSE())&lt;-2),"",#REF!),"")</f>
        <v/>
      </c>
      <c r="T259" s="0" t="str">
        <f aca="false">IFERROR(IF(OR(HLOOKUP($A259,#REF!,18,FALSE())&gt;2,HLOOKUP($A259,#REF!,18,FALSE())&lt;-2),"",#REF!),"")</f>
        <v/>
      </c>
      <c r="U259" s="0" t="str">
        <f aca="false">IFERROR(IF(OR(HLOOKUP($A259,#REF!,19,FALSE())&gt;2,HLOOKUP($A259,#REF!,19,FALSE())&lt;-2),"",#REF!),"")</f>
        <v/>
      </c>
      <c r="V259" s="0" t="n">
        <f aca="false">IFERROR(IF(AND(X259=0,Y259=0),0,1),0)</f>
        <v>1</v>
      </c>
      <c r="W259" s="3" t="str">
        <f aca="false">IFERROR(_xlfn.T.TEST(E259:M259,N259:U259,2,2),"")</f>
        <v/>
      </c>
      <c r="X259" s="0" t="str">
        <f aca="false">IFERROR(AVERAGE(E259:M259),"")</f>
        <v/>
      </c>
      <c r="Y259" s="0" t="str">
        <f aca="false">IFERROR(AVERAGE(N259:U259),"")</f>
        <v/>
      </c>
    </row>
    <row r="260" customFormat="false" ht="14.5" hidden="false" customHeight="false" outlineLevel="0" collapsed="false">
      <c r="A260" s="0" t="n">
        <v>264</v>
      </c>
      <c r="B260" s="0" t="s">
        <v>346</v>
      </c>
      <c r="C260" s="0" t="n">
        <v>20900</v>
      </c>
      <c r="D260" s="0" t="n">
        <v>714</v>
      </c>
      <c r="E260" s="0" t="str">
        <f aca="false">IFERROR(IF(OR(HLOOKUP($A260,#REF!,3,FALSE())&gt;2,HLOOKUP(A260,#REF!,3,FALSE())&lt;-2),"",#REF!),"")</f>
        <v/>
      </c>
      <c r="F260" s="0" t="str">
        <f aca="false">IFERROR(IF(OR(HLOOKUP($A260,#REF!,4,FALSE())&gt;2,HLOOKUP($A260,#REF!,4,FALSE())&lt;-2),"",#REF!),"")</f>
        <v/>
      </c>
      <c r="G260" s="0" t="str">
        <f aca="false">IFERROR(IF(OR(HLOOKUP($A260,#REF!,5,FALSE())&gt;2,HLOOKUP($A260,#REF!,5,FALSE())&lt;-2),"",#REF!),"")</f>
        <v/>
      </c>
      <c r="H260" s="0" t="str">
        <f aca="false">IFERROR(IF(OR(HLOOKUP($A260,#REF!,6,FALSE())&gt;2,HLOOKUP($A260,#REF!,6,FALSE())&lt;-2),"",#REF!),"")</f>
        <v/>
      </c>
      <c r="I260" s="0" t="str">
        <f aca="false">IFERROR(IF(OR(HLOOKUP($A260,#REF!,7,FALSE())&gt;2,HLOOKUP($A260,#REF!,7,FALSE())&lt;-2),"",#REF!),"")</f>
        <v/>
      </c>
      <c r="J260" s="0" t="str">
        <f aca="false">IFERROR(IF(OR(HLOOKUP($A260,#REF!,8,FALSE())&gt;2,HLOOKUP($A260,#REF!,8,FALSE())&lt;-2),"",#REF!),"")</f>
        <v/>
      </c>
      <c r="K260" s="0" t="str">
        <f aca="false">IFERROR(IF(OR(HLOOKUP($A260,#REF!,9,FALSE())&gt;2,HLOOKUP($A260,#REF!,9,FALSE())&lt;-2),"",#REF!),"")</f>
        <v/>
      </c>
      <c r="L260" s="0" t="str">
        <f aca="false">IFERROR(IF(OR(HLOOKUP($A260,#REF!,10,FALSE())&gt;2,HLOOKUP($A260,#REF!,10,FALSE())&lt;-2),"",#REF!),"")</f>
        <v/>
      </c>
      <c r="M260" s="0" t="str">
        <f aca="false">IFERROR(IF(OR(HLOOKUP($A260,#REF!,11,FALSE())&gt;2,HLOOKUP($A260,#REF!,11,FALSE())&lt;-2),"",#REF!),"")</f>
        <v/>
      </c>
      <c r="N260" s="0" t="str">
        <f aca="false">IFERROR(IF(OR(HLOOKUP($A260,#REF!,12,FALSE())&gt;2,HLOOKUP($A260,#REF!,12,FALSE())&lt;-2),"",#REF!),"")</f>
        <v/>
      </c>
      <c r="O260" s="0" t="str">
        <f aca="false">IFERROR(IF(OR(HLOOKUP($A260,#REF!,13,FALSE())&gt;2,HLOOKUP($A260,#REF!,13,FALSE())&lt;-2),"",#REF!),"")</f>
        <v/>
      </c>
      <c r="P260" s="0" t="str">
        <f aca="false">IFERROR(IF(OR(HLOOKUP($A260,#REF!,14,FALSE())&gt;2,HLOOKUP($A260,#REF!,14,FALSE())&lt;-2),"",#REF!),"")</f>
        <v/>
      </c>
      <c r="Q260" s="0" t="str">
        <f aca="false">IFERROR(IF(OR(HLOOKUP($A260,#REF!,15,FALSE())&gt;2,HLOOKUP($A260,#REF!,15,FALSE())&lt;-2),"",#REF!),"")</f>
        <v/>
      </c>
      <c r="R260" s="0" t="str">
        <f aca="false">IFERROR(IF(OR(HLOOKUP($A260,#REF!,16,FALSE())&gt;2,HLOOKUP($A260,#REF!,16,FALSE())&lt;-2),"",#REF!),"")</f>
        <v/>
      </c>
      <c r="S260" s="0" t="str">
        <f aca="false">IFERROR(IF(OR(HLOOKUP($A260,#REF!,17,FALSE())&gt;2,HLOOKUP($A260,#REF!,17,FALSE())&lt;-2),"",#REF!),"")</f>
        <v/>
      </c>
      <c r="T260" s="0" t="str">
        <f aca="false">IFERROR(IF(OR(HLOOKUP($A260,#REF!,18,FALSE())&gt;2,HLOOKUP($A260,#REF!,18,FALSE())&lt;-2),"",#REF!),"")</f>
        <v/>
      </c>
      <c r="U260" s="0" t="str">
        <f aca="false">IFERROR(IF(OR(HLOOKUP($A260,#REF!,19,FALSE())&gt;2,HLOOKUP($A260,#REF!,19,FALSE())&lt;-2),"",#REF!),"")</f>
        <v/>
      </c>
      <c r="V260" s="0" t="n">
        <f aca="false">IFERROR(IF(AND(X260=0,Y260=0),0,1),0)</f>
        <v>1</v>
      </c>
      <c r="W260" s="3" t="str">
        <f aca="false">IFERROR(_xlfn.T.TEST(E260:M260,N260:U260,2,2),"")</f>
        <v/>
      </c>
      <c r="X260" s="0" t="str">
        <f aca="false">IFERROR(AVERAGE(E260:M260),"")</f>
        <v/>
      </c>
      <c r="Y260" s="0" t="str">
        <f aca="false">IFERROR(AVERAGE(N260:U260),"")</f>
        <v/>
      </c>
    </row>
    <row r="261" customFormat="false" ht="14.5" hidden="false" customHeight="false" outlineLevel="0" collapsed="false">
      <c r="A261" s="0" t="n">
        <v>266</v>
      </c>
      <c r="B261" s="0" t="s">
        <v>347</v>
      </c>
      <c r="C261" s="0" t="n">
        <v>49700</v>
      </c>
      <c r="D261" s="0" t="n">
        <v>242</v>
      </c>
      <c r="E261" s="0" t="str">
        <f aca="false">IFERROR(IF(OR(HLOOKUP($A261,#REF!,3,FALSE())&gt;2,HLOOKUP(A261,#REF!,3,FALSE())&lt;-2),"",#REF!),"")</f>
        <v/>
      </c>
      <c r="F261" s="0" t="str">
        <f aca="false">IFERROR(IF(OR(HLOOKUP($A261,#REF!,4,FALSE())&gt;2,HLOOKUP($A261,#REF!,4,FALSE())&lt;-2),"",#REF!),"")</f>
        <v/>
      </c>
      <c r="G261" s="0" t="str">
        <f aca="false">IFERROR(IF(OR(HLOOKUP($A261,#REF!,5,FALSE())&gt;2,HLOOKUP($A261,#REF!,5,FALSE())&lt;-2),"",#REF!),"")</f>
        <v/>
      </c>
      <c r="H261" s="0" t="str">
        <f aca="false">IFERROR(IF(OR(HLOOKUP($A261,#REF!,6,FALSE())&gt;2,HLOOKUP($A261,#REF!,6,FALSE())&lt;-2),"",#REF!),"")</f>
        <v/>
      </c>
      <c r="I261" s="0" t="str">
        <f aca="false">IFERROR(IF(OR(HLOOKUP($A261,#REF!,7,FALSE())&gt;2,HLOOKUP($A261,#REF!,7,FALSE())&lt;-2),"",#REF!),"")</f>
        <v/>
      </c>
      <c r="J261" s="0" t="str">
        <f aca="false">IFERROR(IF(OR(HLOOKUP($A261,#REF!,8,FALSE())&gt;2,HLOOKUP($A261,#REF!,8,FALSE())&lt;-2),"",#REF!),"")</f>
        <v/>
      </c>
      <c r="K261" s="0" t="str">
        <f aca="false">IFERROR(IF(OR(HLOOKUP($A261,#REF!,9,FALSE())&gt;2,HLOOKUP($A261,#REF!,9,FALSE())&lt;-2),"",#REF!),"")</f>
        <v/>
      </c>
      <c r="L261" s="0" t="str">
        <f aca="false">IFERROR(IF(OR(HLOOKUP($A261,#REF!,10,FALSE())&gt;2,HLOOKUP($A261,#REF!,10,FALSE())&lt;-2),"",#REF!),"")</f>
        <v/>
      </c>
      <c r="M261" s="0" t="str">
        <f aca="false">IFERROR(IF(OR(HLOOKUP($A261,#REF!,11,FALSE())&gt;2,HLOOKUP($A261,#REF!,11,FALSE())&lt;-2),"",#REF!),"")</f>
        <v/>
      </c>
      <c r="N261" s="0" t="str">
        <f aca="false">IFERROR(IF(OR(HLOOKUP($A261,#REF!,12,FALSE())&gt;2,HLOOKUP($A261,#REF!,12,FALSE())&lt;-2),"",#REF!),"")</f>
        <v/>
      </c>
      <c r="O261" s="0" t="str">
        <f aca="false">IFERROR(IF(OR(HLOOKUP($A261,#REF!,13,FALSE())&gt;2,HLOOKUP($A261,#REF!,13,FALSE())&lt;-2),"",#REF!),"")</f>
        <v/>
      </c>
      <c r="P261" s="0" t="str">
        <f aca="false">IFERROR(IF(OR(HLOOKUP($A261,#REF!,14,FALSE())&gt;2,HLOOKUP($A261,#REF!,14,FALSE())&lt;-2),"",#REF!),"")</f>
        <v/>
      </c>
      <c r="Q261" s="0" t="str">
        <f aca="false">IFERROR(IF(OR(HLOOKUP($A261,#REF!,15,FALSE())&gt;2,HLOOKUP($A261,#REF!,15,FALSE())&lt;-2),"",#REF!),"")</f>
        <v/>
      </c>
      <c r="R261" s="0" t="str">
        <f aca="false">IFERROR(IF(OR(HLOOKUP($A261,#REF!,16,FALSE())&gt;2,HLOOKUP($A261,#REF!,16,FALSE())&lt;-2),"",#REF!),"")</f>
        <v/>
      </c>
      <c r="S261" s="0" t="str">
        <f aca="false">IFERROR(IF(OR(HLOOKUP($A261,#REF!,17,FALSE())&gt;2,HLOOKUP($A261,#REF!,17,FALSE())&lt;-2),"",#REF!),"")</f>
        <v/>
      </c>
      <c r="T261" s="0" t="str">
        <f aca="false">IFERROR(IF(OR(HLOOKUP($A261,#REF!,18,FALSE())&gt;2,HLOOKUP($A261,#REF!,18,FALSE())&lt;-2),"",#REF!),"")</f>
        <v/>
      </c>
      <c r="U261" s="0" t="str">
        <f aca="false">IFERROR(IF(OR(HLOOKUP($A261,#REF!,19,FALSE())&gt;2,HLOOKUP($A261,#REF!,19,FALSE())&lt;-2),"",#REF!),"")</f>
        <v/>
      </c>
      <c r="V261" s="0" t="n">
        <f aca="false">IFERROR(IF(AND(X261=0,Y261=0),0,1),0)</f>
        <v>1</v>
      </c>
      <c r="W261" s="3" t="str">
        <f aca="false">IFERROR(_xlfn.T.TEST(E261:M261,N261:U261,2,2),"")</f>
        <v/>
      </c>
      <c r="X261" s="0" t="str">
        <f aca="false">IFERROR(AVERAGE(E261:M261),"")</f>
        <v/>
      </c>
      <c r="Y261" s="0" t="str">
        <f aca="false">IFERROR(AVERAGE(N261:U261),"")</f>
        <v/>
      </c>
    </row>
    <row r="262" customFormat="false" ht="14.5" hidden="false" customHeight="false" outlineLevel="0" collapsed="false">
      <c r="A262" s="0" t="n">
        <v>267</v>
      </c>
      <c r="B262" s="0" t="s">
        <v>348</v>
      </c>
      <c r="C262" s="0" t="n">
        <v>33500</v>
      </c>
      <c r="D262" s="0" t="n">
        <v>814</v>
      </c>
      <c r="E262" s="0" t="str">
        <f aca="false">IFERROR(IF(OR(HLOOKUP($A262,#REF!,3,FALSE())&gt;2,HLOOKUP(A262,#REF!,3,FALSE())&lt;-2),"",#REF!),"")</f>
        <v/>
      </c>
      <c r="F262" s="0" t="str">
        <f aca="false">IFERROR(IF(OR(HLOOKUP($A262,#REF!,4,FALSE())&gt;2,HLOOKUP($A262,#REF!,4,FALSE())&lt;-2),"",#REF!),"")</f>
        <v/>
      </c>
      <c r="G262" s="0" t="str">
        <f aca="false">IFERROR(IF(OR(HLOOKUP($A262,#REF!,5,FALSE())&gt;2,HLOOKUP($A262,#REF!,5,FALSE())&lt;-2),"",#REF!),"")</f>
        <v/>
      </c>
      <c r="H262" s="0" t="str">
        <f aca="false">IFERROR(IF(OR(HLOOKUP($A262,#REF!,6,FALSE())&gt;2,HLOOKUP($A262,#REF!,6,FALSE())&lt;-2),"",#REF!),"")</f>
        <v/>
      </c>
      <c r="I262" s="0" t="str">
        <f aca="false">IFERROR(IF(OR(HLOOKUP($A262,#REF!,7,FALSE())&gt;2,HLOOKUP($A262,#REF!,7,FALSE())&lt;-2),"",#REF!),"")</f>
        <v/>
      </c>
      <c r="J262" s="0" t="str">
        <f aca="false">IFERROR(IF(OR(HLOOKUP($A262,#REF!,8,FALSE())&gt;2,HLOOKUP($A262,#REF!,8,FALSE())&lt;-2),"",#REF!),"")</f>
        <v/>
      </c>
      <c r="K262" s="0" t="str">
        <f aca="false">IFERROR(IF(OR(HLOOKUP($A262,#REF!,9,FALSE())&gt;2,HLOOKUP($A262,#REF!,9,FALSE())&lt;-2),"",#REF!),"")</f>
        <v/>
      </c>
      <c r="L262" s="0" t="str">
        <f aca="false">IFERROR(IF(OR(HLOOKUP($A262,#REF!,10,FALSE())&gt;2,HLOOKUP($A262,#REF!,10,FALSE())&lt;-2),"",#REF!),"")</f>
        <v/>
      </c>
      <c r="M262" s="0" t="str">
        <f aca="false">IFERROR(IF(OR(HLOOKUP($A262,#REF!,11,FALSE())&gt;2,HLOOKUP($A262,#REF!,11,FALSE())&lt;-2),"",#REF!),"")</f>
        <v/>
      </c>
      <c r="N262" s="0" t="str">
        <f aca="false">IFERROR(IF(OR(HLOOKUP($A262,#REF!,12,FALSE())&gt;2,HLOOKUP($A262,#REF!,12,FALSE())&lt;-2),"",#REF!),"")</f>
        <v/>
      </c>
      <c r="O262" s="0" t="str">
        <f aca="false">IFERROR(IF(OR(HLOOKUP($A262,#REF!,13,FALSE())&gt;2,HLOOKUP($A262,#REF!,13,FALSE())&lt;-2),"",#REF!),"")</f>
        <v/>
      </c>
      <c r="P262" s="0" t="str">
        <f aca="false">IFERROR(IF(OR(HLOOKUP($A262,#REF!,14,FALSE())&gt;2,HLOOKUP($A262,#REF!,14,FALSE())&lt;-2),"",#REF!),"")</f>
        <v/>
      </c>
      <c r="Q262" s="0" t="str">
        <f aca="false">IFERROR(IF(OR(HLOOKUP($A262,#REF!,15,FALSE())&gt;2,HLOOKUP($A262,#REF!,15,FALSE())&lt;-2),"",#REF!),"")</f>
        <v/>
      </c>
      <c r="R262" s="0" t="str">
        <f aca="false">IFERROR(IF(OR(HLOOKUP($A262,#REF!,16,FALSE())&gt;2,HLOOKUP($A262,#REF!,16,FALSE())&lt;-2),"",#REF!),"")</f>
        <v/>
      </c>
      <c r="S262" s="0" t="str">
        <f aca="false">IFERROR(IF(OR(HLOOKUP($A262,#REF!,17,FALSE())&gt;2,HLOOKUP($A262,#REF!,17,FALSE())&lt;-2),"",#REF!),"")</f>
        <v/>
      </c>
      <c r="T262" s="0" t="str">
        <f aca="false">IFERROR(IF(OR(HLOOKUP($A262,#REF!,18,FALSE())&gt;2,HLOOKUP($A262,#REF!,18,FALSE())&lt;-2),"",#REF!),"")</f>
        <v/>
      </c>
      <c r="U262" s="0" t="str">
        <f aca="false">IFERROR(IF(OR(HLOOKUP($A262,#REF!,19,FALSE())&gt;2,HLOOKUP($A262,#REF!,19,FALSE())&lt;-2),"",#REF!),"")</f>
        <v/>
      </c>
      <c r="V262" s="0" t="n">
        <f aca="false">IFERROR(IF(AND(X262=0,Y262=0),0,1),0)</f>
        <v>1</v>
      </c>
      <c r="W262" s="3" t="str">
        <f aca="false">IFERROR(_xlfn.T.TEST(E262:M262,N262:U262,2,2),"")</f>
        <v/>
      </c>
      <c r="X262" s="0" t="str">
        <f aca="false">IFERROR(AVERAGE(E262:M262),"")</f>
        <v/>
      </c>
      <c r="Y262" s="0" t="str">
        <f aca="false">IFERROR(AVERAGE(N262:U262),"")</f>
        <v/>
      </c>
    </row>
    <row r="263" customFormat="false" ht="14.5" hidden="false" customHeight="false" outlineLevel="0" collapsed="false">
      <c r="A263" s="0" t="n">
        <v>268</v>
      </c>
      <c r="B263" s="0" t="s">
        <v>349</v>
      </c>
      <c r="C263" s="0" t="n">
        <v>34400</v>
      </c>
      <c r="D263" s="0" t="n">
        <v>619</v>
      </c>
      <c r="E263" s="0" t="str">
        <f aca="false">IFERROR(IF(OR(HLOOKUP($A263,#REF!,3,FALSE())&gt;2,HLOOKUP(A263,#REF!,3,FALSE())&lt;-2),"",#REF!),"")</f>
        <v/>
      </c>
      <c r="F263" s="0" t="str">
        <f aca="false">IFERROR(IF(OR(HLOOKUP($A263,#REF!,4,FALSE())&gt;2,HLOOKUP($A263,#REF!,4,FALSE())&lt;-2),"",#REF!),"")</f>
        <v/>
      </c>
      <c r="G263" s="0" t="str">
        <f aca="false">IFERROR(IF(OR(HLOOKUP($A263,#REF!,5,FALSE())&gt;2,HLOOKUP($A263,#REF!,5,FALSE())&lt;-2),"",#REF!),"")</f>
        <v/>
      </c>
      <c r="H263" s="0" t="str">
        <f aca="false">IFERROR(IF(OR(HLOOKUP($A263,#REF!,6,FALSE())&gt;2,HLOOKUP($A263,#REF!,6,FALSE())&lt;-2),"",#REF!),"")</f>
        <v/>
      </c>
      <c r="I263" s="0" t="str">
        <f aca="false">IFERROR(IF(OR(HLOOKUP($A263,#REF!,7,FALSE())&gt;2,HLOOKUP($A263,#REF!,7,FALSE())&lt;-2),"",#REF!),"")</f>
        <v/>
      </c>
      <c r="J263" s="0" t="str">
        <f aca="false">IFERROR(IF(OR(HLOOKUP($A263,#REF!,8,FALSE())&gt;2,HLOOKUP($A263,#REF!,8,FALSE())&lt;-2),"",#REF!),"")</f>
        <v/>
      </c>
      <c r="K263" s="0" t="str">
        <f aca="false">IFERROR(IF(OR(HLOOKUP($A263,#REF!,9,FALSE())&gt;2,HLOOKUP($A263,#REF!,9,FALSE())&lt;-2),"",#REF!),"")</f>
        <v/>
      </c>
      <c r="L263" s="0" t="str">
        <f aca="false">IFERROR(IF(OR(HLOOKUP($A263,#REF!,10,FALSE())&gt;2,HLOOKUP($A263,#REF!,10,FALSE())&lt;-2),"",#REF!),"")</f>
        <v/>
      </c>
      <c r="M263" s="0" t="str">
        <f aca="false">IFERROR(IF(OR(HLOOKUP($A263,#REF!,11,FALSE())&gt;2,HLOOKUP($A263,#REF!,11,FALSE())&lt;-2),"",#REF!),"")</f>
        <v/>
      </c>
      <c r="N263" s="0" t="str">
        <f aca="false">IFERROR(IF(OR(HLOOKUP($A263,#REF!,12,FALSE())&gt;2,HLOOKUP($A263,#REF!,12,FALSE())&lt;-2),"",#REF!),"")</f>
        <v/>
      </c>
      <c r="O263" s="0" t="str">
        <f aca="false">IFERROR(IF(OR(HLOOKUP($A263,#REF!,13,FALSE())&gt;2,HLOOKUP($A263,#REF!,13,FALSE())&lt;-2),"",#REF!),"")</f>
        <v/>
      </c>
      <c r="P263" s="0" t="str">
        <f aca="false">IFERROR(IF(OR(HLOOKUP($A263,#REF!,14,FALSE())&gt;2,HLOOKUP($A263,#REF!,14,FALSE())&lt;-2),"",#REF!),"")</f>
        <v/>
      </c>
      <c r="Q263" s="0" t="str">
        <f aca="false">IFERROR(IF(OR(HLOOKUP($A263,#REF!,15,FALSE())&gt;2,HLOOKUP($A263,#REF!,15,FALSE())&lt;-2),"",#REF!),"")</f>
        <v/>
      </c>
      <c r="R263" s="0" t="str">
        <f aca="false">IFERROR(IF(OR(HLOOKUP($A263,#REF!,16,FALSE())&gt;2,HLOOKUP($A263,#REF!,16,FALSE())&lt;-2),"",#REF!),"")</f>
        <v/>
      </c>
      <c r="S263" s="0" t="str">
        <f aca="false">IFERROR(IF(OR(HLOOKUP($A263,#REF!,17,FALSE())&gt;2,HLOOKUP($A263,#REF!,17,FALSE())&lt;-2),"",#REF!),"")</f>
        <v/>
      </c>
      <c r="T263" s="0" t="str">
        <f aca="false">IFERROR(IF(OR(HLOOKUP($A263,#REF!,18,FALSE())&gt;2,HLOOKUP($A263,#REF!,18,FALSE())&lt;-2),"",#REF!),"")</f>
        <v/>
      </c>
      <c r="U263" s="0" t="str">
        <f aca="false">IFERROR(IF(OR(HLOOKUP($A263,#REF!,19,FALSE())&gt;2,HLOOKUP($A263,#REF!,19,FALSE())&lt;-2),"",#REF!),"")</f>
        <v/>
      </c>
      <c r="V263" s="0" t="n">
        <f aca="false">IFERROR(IF(AND(X263=0,Y263=0),0,1),0)</f>
        <v>1</v>
      </c>
      <c r="W263" s="3" t="str">
        <f aca="false">IFERROR(_xlfn.T.TEST(E263:M263,N263:U263,2,2),"")</f>
        <v/>
      </c>
      <c r="X263" s="0" t="str">
        <f aca="false">IFERROR(AVERAGE(E263:M263),"")</f>
        <v/>
      </c>
      <c r="Y263" s="0" t="str">
        <f aca="false">IFERROR(AVERAGE(N263:U263),"")</f>
        <v/>
      </c>
    </row>
    <row r="264" customFormat="false" ht="14.5" hidden="false" customHeight="false" outlineLevel="0" collapsed="false">
      <c r="A264" s="0" t="n">
        <v>269</v>
      </c>
      <c r="B264" s="0" t="s">
        <v>350</v>
      </c>
      <c r="C264" s="0" t="n">
        <v>17100</v>
      </c>
      <c r="D264" s="0" t="n">
        <v>425</v>
      </c>
      <c r="E264" s="0" t="str">
        <f aca="false">IFERROR(IF(OR(HLOOKUP($A264,#REF!,3,FALSE())&gt;2,HLOOKUP(A264,#REF!,3,FALSE())&lt;-2),"",#REF!),"")</f>
        <v/>
      </c>
      <c r="F264" s="0" t="str">
        <f aca="false">IFERROR(IF(OR(HLOOKUP($A264,#REF!,4,FALSE())&gt;2,HLOOKUP($A264,#REF!,4,FALSE())&lt;-2),"",#REF!),"")</f>
        <v/>
      </c>
      <c r="G264" s="0" t="str">
        <f aca="false">IFERROR(IF(OR(HLOOKUP($A264,#REF!,5,FALSE())&gt;2,HLOOKUP($A264,#REF!,5,FALSE())&lt;-2),"",#REF!),"")</f>
        <v/>
      </c>
      <c r="H264" s="0" t="str">
        <f aca="false">IFERROR(IF(OR(HLOOKUP($A264,#REF!,6,FALSE())&gt;2,HLOOKUP($A264,#REF!,6,FALSE())&lt;-2),"",#REF!),"")</f>
        <v/>
      </c>
      <c r="I264" s="0" t="str">
        <f aca="false">IFERROR(IF(OR(HLOOKUP($A264,#REF!,7,FALSE())&gt;2,HLOOKUP($A264,#REF!,7,FALSE())&lt;-2),"",#REF!),"")</f>
        <v/>
      </c>
      <c r="J264" s="0" t="str">
        <f aca="false">IFERROR(IF(OR(HLOOKUP($A264,#REF!,8,FALSE())&gt;2,HLOOKUP($A264,#REF!,8,FALSE())&lt;-2),"",#REF!),"")</f>
        <v/>
      </c>
      <c r="K264" s="0" t="str">
        <f aca="false">IFERROR(IF(OR(HLOOKUP($A264,#REF!,9,FALSE())&gt;2,HLOOKUP($A264,#REF!,9,FALSE())&lt;-2),"",#REF!),"")</f>
        <v/>
      </c>
      <c r="L264" s="0" t="str">
        <f aca="false">IFERROR(IF(OR(HLOOKUP($A264,#REF!,10,FALSE())&gt;2,HLOOKUP($A264,#REF!,10,FALSE())&lt;-2),"",#REF!),"")</f>
        <v/>
      </c>
      <c r="M264" s="0" t="str">
        <f aca="false">IFERROR(IF(OR(HLOOKUP($A264,#REF!,11,FALSE())&gt;2,HLOOKUP($A264,#REF!,11,FALSE())&lt;-2),"",#REF!),"")</f>
        <v/>
      </c>
      <c r="N264" s="0" t="str">
        <f aca="false">IFERROR(IF(OR(HLOOKUP($A264,#REF!,12,FALSE())&gt;2,HLOOKUP($A264,#REF!,12,FALSE())&lt;-2),"",#REF!),"")</f>
        <v/>
      </c>
      <c r="O264" s="0" t="str">
        <f aca="false">IFERROR(IF(OR(HLOOKUP($A264,#REF!,13,FALSE())&gt;2,HLOOKUP($A264,#REF!,13,FALSE())&lt;-2),"",#REF!),"")</f>
        <v/>
      </c>
      <c r="P264" s="0" t="str">
        <f aca="false">IFERROR(IF(OR(HLOOKUP($A264,#REF!,14,FALSE())&gt;2,HLOOKUP($A264,#REF!,14,FALSE())&lt;-2),"",#REF!),"")</f>
        <v/>
      </c>
      <c r="Q264" s="0" t="str">
        <f aca="false">IFERROR(IF(OR(HLOOKUP($A264,#REF!,15,FALSE())&gt;2,HLOOKUP($A264,#REF!,15,FALSE())&lt;-2),"",#REF!),"")</f>
        <v/>
      </c>
      <c r="R264" s="0" t="str">
        <f aca="false">IFERROR(IF(OR(HLOOKUP($A264,#REF!,16,FALSE())&gt;2,HLOOKUP($A264,#REF!,16,FALSE())&lt;-2),"",#REF!),"")</f>
        <v/>
      </c>
      <c r="S264" s="0" t="str">
        <f aca="false">IFERROR(IF(OR(HLOOKUP($A264,#REF!,17,FALSE())&gt;2,HLOOKUP($A264,#REF!,17,FALSE())&lt;-2),"",#REF!),"")</f>
        <v/>
      </c>
      <c r="T264" s="0" t="str">
        <f aca="false">IFERROR(IF(OR(HLOOKUP($A264,#REF!,18,FALSE())&gt;2,HLOOKUP($A264,#REF!,18,FALSE())&lt;-2),"",#REF!),"")</f>
        <v/>
      </c>
      <c r="U264" s="0" t="str">
        <f aca="false">IFERROR(IF(OR(HLOOKUP($A264,#REF!,19,FALSE())&gt;2,HLOOKUP($A264,#REF!,19,FALSE())&lt;-2),"",#REF!),"")</f>
        <v/>
      </c>
      <c r="V264" s="0" t="n">
        <f aca="false">IFERROR(IF(AND(X264=0,Y264=0),0,1),0)</f>
        <v>1</v>
      </c>
      <c r="W264" s="3" t="str">
        <f aca="false">IFERROR(_xlfn.T.TEST(E264:M264,N264:U264,2,2),"")</f>
        <v/>
      </c>
      <c r="X264" s="0" t="str">
        <f aca="false">IFERROR(AVERAGE(E264:M264),"")</f>
        <v/>
      </c>
      <c r="Y264" s="0" t="str">
        <f aca="false">IFERROR(AVERAGE(N264:U264),"")</f>
        <v/>
      </c>
    </row>
    <row r="265" customFormat="false" ht="14.5" hidden="false" customHeight="false" outlineLevel="0" collapsed="false">
      <c r="A265" s="0" t="n">
        <v>270</v>
      </c>
      <c r="B265" s="0" t="s">
        <v>351</v>
      </c>
      <c r="C265" s="0" t="n">
        <v>103600</v>
      </c>
      <c r="D265" s="0" t="n">
        <v>871</v>
      </c>
      <c r="E265" s="0" t="str">
        <f aca="false">IFERROR(IF(OR(HLOOKUP($A265,#REF!,3,FALSE())&gt;2,HLOOKUP(A265,#REF!,3,FALSE())&lt;-2),"",#REF!),"")</f>
        <v/>
      </c>
      <c r="F265" s="0" t="str">
        <f aca="false">IFERROR(IF(OR(HLOOKUP($A265,#REF!,4,FALSE())&gt;2,HLOOKUP($A265,#REF!,4,FALSE())&lt;-2),"",#REF!),"")</f>
        <v/>
      </c>
      <c r="G265" s="0" t="str">
        <f aca="false">IFERROR(IF(OR(HLOOKUP($A265,#REF!,5,FALSE())&gt;2,HLOOKUP($A265,#REF!,5,FALSE())&lt;-2),"",#REF!),"")</f>
        <v/>
      </c>
      <c r="H265" s="0" t="str">
        <f aca="false">IFERROR(IF(OR(HLOOKUP($A265,#REF!,6,FALSE())&gt;2,HLOOKUP($A265,#REF!,6,FALSE())&lt;-2),"",#REF!),"")</f>
        <v/>
      </c>
      <c r="I265" s="0" t="str">
        <f aca="false">IFERROR(IF(OR(HLOOKUP($A265,#REF!,7,FALSE())&gt;2,HLOOKUP($A265,#REF!,7,FALSE())&lt;-2),"",#REF!),"")</f>
        <v/>
      </c>
      <c r="J265" s="0" t="str">
        <f aca="false">IFERROR(IF(OR(HLOOKUP($A265,#REF!,8,FALSE())&gt;2,HLOOKUP($A265,#REF!,8,FALSE())&lt;-2),"",#REF!),"")</f>
        <v/>
      </c>
      <c r="K265" s="0" t="str">
        <f aca="false">IFERROR(IF(OR(HLOOKUP($A265,#REF!,9,FALSE())&gt;2,HLOOKUP($A265,#REF!,9,FALSE())&lt;-2),"",#REF!),"")</f>
        <v/>
      </c>
      <c r="L265" s="0" t="str">
        <f aca="false">IFERROR(IF(OR(HLOOKUP($A265,#REF!,10,FALSE())&gt;2,HLOOKUP($A265,#REF!,10,FALSE())&lt;-2),"",#REF!),"")</f>
        <v/>
      </c>
      <c r="M265" s="0" t="str">
        <f aca="false">IFERROR(IF(OR(HLOOKUP($A265,#REF!,11,FALSE())&gt;2,HLOOKUP($A265,#REF!,11,FALSE())&lt;-2),"",#REF!),"")</f>
        <v/>
      </c>
      <c r="N265" s="0" t="str">
        <f aca="false">IFERROR(IF(OR(HLOOKUP($A265,#REF!,12,FALSE())&gt;2,HLOOKUP($A265,#REF!,12,FALSE())&lt;-2),"",#REF!),"")</f>
        <v/>
      </c>
      <c r="O265" s="0" t="str">
        <f aca="false">IFERROR(IF(OR(HLOOKUP($A265,#REF!,13,FALSE())&gt;2,HLOOKUP($A265,#REF!,13,FALSE())&lt;-2),"",#REF!),"")</f>
        <v/>
      </c>
      <c r="P265" s="0" t="str">
        <f aca="false">IFERROR(IF(OR(HLOOKUP($A265,#REF!,14,FALSE())&gt;2,HLOOKUP($A265,#REF!,14,FALSE())&lt;-2),"",#REF!),"")</f>
        <v/>
      </c>
      <c r="Q265" s="0" t="str">
        <f aca="false">IFERROR(IF(OR(HLOOKUP($A265,#REF!,15,FALSE())&gt;2,HLOOKUP($A265,#REF!,15,FALSE())&lt;-2),"",#REF!),"")</f>
        <v/>
      </c>
      <c r="R265" s="0" t="str">
        <f aca="false">IFERROR(IF(OR(HLOOKUP($A265,#REF!,16,FALSE())&gt;2,HLOOKUP($A265,#REF!,16,FALSE())&lt;-2),"",#REF!),"")</f>
        <v/>
      </c>
      <c r="S265" s="0" t="str">
        <f aca="false">IFERROR(IF(OR(HLOOKUP($A265,#REF!,17,FALSE())&gt;2,HLOOKUP($A265,#REF!,17,FALSE())&lt;-2),"",#REF!),"")</f>
        <v/>
      </c>
      <c r="T265" s="0" t="str">
        <f aca="false">IFERROR(IF(OR(HLOOKUP($A265,#REF!,18,FALSE())&gt;2,HLOOKUP($A265,#REF!,18,FALSE())&lt;-2),"",#REF!),"")</f>
        <v/>
      </c>
      <c r="U265" s="0" t="str">
        <f aca="false">IFERROR(IF(OR(HLOOKUP($A265,#REF!,19,FALSE())&gt;2,HLOOKUP($A265,#REF!,19,FALSE())&lt;-2),"",#REF!),"")</f>
        <v/>
      </c>
      <c r="V265" s="0" t="n">
        <f aca="false">IFERROR(IF(AND(X265=0,Y265=0),0,1),0)</f>
        <v>1</v>
      </c>
      <c r="W265" s="3" t="str">
        <f aca="false">IFERROR(_xlfn.T.TEST(E265:M265,N265:U265,2,2),"")</f>
        <v/>
      </c>
      <c r="X265" s="0" t="str">
        <f aca="false">IFERROR(AVERAGE(E265:M265),"")</f>
        <v/>
      </c>
      <c r="Y265" s="0" t="str">
        <f aca="false">IFERROR(AVERAGE(N265:U265),"")</f>
        <v/>
      </c>
    </row>
    <row r="266" customFormat="false" ht="14.5" hidden="false" customHeight="false" outlineLevel="0" collapsed="false">
      <c r="A266" s="0" t="n">
        <v>271</v>
      </c>
      <c r="B266" s="0" t="s">
        <v>352</v>
      </c>
      <c r="C266" s="0" t="n">
        <v>79600</v>
      </c>
      <c r="D266" s="0" t="n">
        <v>339</v>
      </c>
      <c r="E266" s="0" t="str">
        <f aca="false">IFERROR(IF(OR(HLOOKUP($A266,#REF!,3,FALSE())&gt;2,HLOOKUP(A266,#REF!,3,FALSE())&lt;-2),"",#REF!),"")</f>
        <v/>
      </c>
      <c r="F266" s="0" t="str">
        <f aca="false">IFERROR(IF(OR(HLOOKUP($A266,#REF!,4,FALSE())&gt;2,HLOOKUP($A266,#REF!,4,FALSE())&lt;-2),"",#REF!),"")</f>
        <v/>
      </c>
      <c r="G266" s="0" t="str">
        <f aca="false">IFERROR(IF(OR(HLOOKUP($A266,#REF!,5,FALSE())&gt;2,HLOOKUP($A266,#REF!,5,FALSE())&lt;-2),"",#REF!),"")</f>
        <v/>
      </c>
      <c r="H266" s="0" t="str">
        <f aca="false">IFERROR(IF(OR(HLOOKUP($A266,#REF!,6,FALSE())&gt;2,HLOOKUP($A266,#REF!,6,FALSE())&lt;-2),"",#REF!),"")</f>
        <v/>
      </c>
      <c r="I266" s="0" t="str">
        <f aca="false">IFERROR(IF(OR(HLOOKUP($A266,#REF!,7,FALSE())&gt;2,HLOOKUP($A266,#REF!,7,FALSE())&lt;-2),"",#REF!),"")</f>
        <v/>
      </c>
      <c r="J266" s="0" t="str">
        <f aca="false">IFERROR(IF(OR(HLOOKUP($A266,#REF!,8,FALSE())&gt;2,HLOOKUP($A266,#REF!,8,FALSE())&lt;-2),"",#REF!),"")</f>
        <v/>
      </c>
      <c r="K266" s="0" t="str">
        <f aca="false">IFERROR(IF(OR(HLOOKUP($A266,#REF!,9,FALSE())&gt;2,HLOOKUP($A266,#REF!,9,FALSE())&lt;-2),"",#REF!),"")</f>
        <v/>
      </c>
      <c r="L266" s="0" t="str">
        <f aca="false">IFERROR(IF(OR(HLOOKUP($A266,#REF!,10,FALSE())&gt;2,HLOOKUP($A266,#REF!,10,FALSE())&lt;-2),"",#REF!),"")</f>
        <v/>
      </c>
      <c r="M266" s="0" t="str">
        <f aca="false">IFERROR(IF(OR(HLOOKUP($A266,#REF!,11,FALSE())&gt;2,HLOOKUP($A266,#REF!,11,FALSE())&lt;-2),"",#REF!),"")</f>
        <v/>
      </c>
      <c r="N266" s="0" t="str">
        <f aca="false">IFERROR(IF(OR(HLOOKUP($A266,#REF!,12,FALSE())&gt;2,HLOOKUP($A266,#REF!,12,FALSE())&lt;-2),"",#REF!),"")</f>
        <v/>
      </c>
      <c r="O266" s="0" t="str">
        <f aca="false">IFERROR(IF(OR(HLOOKUP($A266,#REF!,13,FALSE())&gt;2,HLOOKUP($A266,#REF!,13,FALSE())&lt;-2),"",#REF!),"")</f>
        <v/>
      </c>
      <c r="P266" s="0" t="str">
        <f aca="false">IFERROR(IF(OR(HLOOKUP($A266,#REF!,14,FALSE())&gt;2,HLOOKUP($A266,#REF!,14,FALSE())&lt;-2),"",#REF!),"")</f>
        <v/>
      </c>
      <c r="Q266" s="0" t="str">
        <f aca="false">IFERROR(IF(OR(HLOOKUP($A266,#REF!,15,FALSE())&gt;2,HLOOKUP($A266,#REF!,15,FALSE())&lt;-2),"",#REF!),"")</f>
        <v/>
      </c>
      <c r="R266" s="0" t="str">
        <f aca="false">IFERROR(IF(OR(HLOOKUP($A266,#REF!,16,FALSE())&gt;2,HLOOKUP($A266,#REF!,16,FALSE())&lt;-2),"",#REF!),"")</f>
        <v/>
      </c>
      <c r="S266" s="0" t="str">
        <f aca="false">IFERROR(IF(OR(HLOOKUP($A266,#REF!,17,FALSE())&gt;2,HLOOKUP($A266,#REF!,17,FALSE())&lt;-2),"",#REF!),"")</f>
        <v/>
      </c>
      <c r="T266" s="0" t="str">
        <f aca="false">IFERROR(IF(OR(HLOOKUP($A266,#REF!,18,FALSE())&gt;2,HLOOKUP($A266,#REF!,18,FALSE())&lt;-2),"",#REF!),"")</f>
        <v/>
      </c>
      <c r="U266" s="0" t="str">
        <f aca="false">IFERROR(IF(OR(HLOOKUP($A266,#REF!,19,FALSE())&gt;2,HLOOKUP($A266,#REF!,19,FALSE())&lt;-2),"",#REF!),"")</f>
        <v/>
      </c>
      <c r="V266" s="0" t="n">
        <f aca="false">IFERROR(IF(AND(X266=0,Y266=0),0,1),0)</f>
        <v>1</v>
      </c>
      <c r="W266" s="3" t="str">
        <f aca="false">IFERROR(_xlfn.T.TEST(E266:M266,N266:U266,2,2),"")</f>
        <v/>
      </c>
      <c r="X266" s="0" t="str">
        <f aca="false">IFERROR(AVERAGE(E266:M266),"")</f>
        <v/>
      </c>
      <c r="Y266" s="0" t="str">
        <f aca="false">IFERROR(AVERAGE(N266:U266),"")</f>
        <v/>
      </c>
    </row>
    <row r="267" customFormat="false" ht="14.5" hidden="false" customHeight="false" outlineLevel="0" collapsed="false">
      <c r="A267" s="0" t="n">
        <v>272</v>
      </c>
      <c r="B267" s="0" t="s">
        <v>353</v>
      </c>
      <c r="C267" s="0" t="n">
        <v>72300</v>
      </c>
      <c r="D267" s="0" t="n">
        <v>141</v>
      </c>
      <c r="E267" s="0" t="str">
        <f aca="false">IFERROR(IF(OR(HLOOKUP($A267,#REF!,3,FALSE())&gt;2,HLOOKUP(A267,#REF!,3,FALSE())&lt;-2),"",#REF!),"")</f>
        <v/>
      </c>
      <c r="F267" s="0" t="str">
        <f aca="false">IFERROR(IF(OR(HLOOKUP($A267,#REF!,4,FALSE())&gt;2,HLOOKUP($A267,#REF!,4,FALSE())&lt;-2),"",#REF!),"")</f>
        <v/>
      </c>
      <c r="G267" s="0" t="str">
        <f aca="false">IFERROR(IF(OR(HLOOKUP($A267,#REF!,5,FALSE())&gt;2,HLOOKUP($A267,#REF!,5,FALSE())&lt;-2),"",#REF!),"")</f>
        <v/>
      </c>
      <c r="H267" s="0" t="str">
        <f aca="false">IFERROR(IF(OR(HLOOKUP($A267,#REF!,6,FALSE())&gt;2,HLOOKUP($A267,#REF!,6,FALSE())&lt;-2),"",#REF!),"")</f>
        <v/>
      </c>
      <c r="I267" s="0" t="str">
        <f aca="false">IFERROR(IF(OR(HLOOKUP($A267,#REF!,7,FALSE())&gt;2,HLOOKUP($A267,#REF!,7,FALSE())&lt;-2),"",#REF!),"")</f>
        <v/>
      </c>
      <c r="J267" s="0" t="str">
        <f aca="false">IFERROR(IF(OR(HLOOKUP($A267,#REF!,8,FALSE())&gt;2,HLOOKUP($A267,#REF!,8,FALSE())&lt;-2),"",#REF!),"")</f>
        <v/>
      </c>
      <c r="K267" s="0" t="str">
        <f aca="false">IFERROR(IF(OR(HLOOKUP($A267,#REF!,9,FALSE())&gt;2,HLOOKUP($A267,#REF!,9,FALSE())&lt;-2),"",#REF!),"")</f>
        <v/>
      </c>
      <c r="L267" s="0" t="str">
        <f aca="false">IFERROR(IF(OR(HLOOKUP($A267,#REF!,10,FALSE())&gt;2,HLOOKUP($A267,#REF!,10,FALSE())&lt;-2),"",#REF!),"")</f>
        <v/>
      </c>
      <c r="M267" s="0" t="str">
        <f aca="false">IFERROR(IF(OR(HLOOKUP($A267,#REF!,11,FALSE())&gt;2,HLOOKUP($A267,#REF!,11,FALSE())&lt;-2),"",#REF!),"")</f>
        <v/>
      </c>
      <c r="N267" s="0" t="str">
        <f aca="false">IFERROR(IF(OR(HLOOKUP($A267,#REF!,12,FALSE())&gt;2,HLOOKUP($A267,#REF!,12,FALSE())&lt;-2),"",#REF!),"")</f>
        <v/>
      </c>
      <c r="O267" s="0" t="str">
        <f aca="false">IFERROR(IF(OR(HLOOKUP($A267,#REF!,13,FALSE())&gt;2,HLOOKUP($A267,#REF!,13,FALSE())&lt;-2),"",#REF!),"")</f>
        <v/>
      </c>
      <c r="P267" s="0" t="str">
        <f aca="false">IFERROR(IF(OR(HLOOKUP($A267,#REF!,14,FALSE())&gt;2,HLOOKUP($A267,#REF!,14,FALSE())&lt;-2),"",#REF!),"")</f>
        <v/>
      </c>
      <c r="Q267" s="0" t="str">
        <f aca="false">IFERROR(IF(OR(HLOOKUP($A267,#REF!,15,FALSE())&gt;2,HLOOKUP($A267,#REF!,15,FALSE())&lt;-2),"",#REF!),"")</f>
        <v/>
      </c>
      <c r="R267" s="0" t="str">
        <f aca="false">IFERROR(IF(OR(HLOOKUP($A267,#REF!,16,FALSE())&gt;2,HLOOKUP($A267,#REF!,16,FALSE())&lt;-2),"",#REF!),"")</f>
        <v/>
      </c>
      <c r="S267" s="0" t="str">
        <f aca="false">IFERROR(IF(OR(HLOOKUP($A267,#REF!,17,FALSE())&gt;2,HLOOKUP($A267,#REF!,17,FALSE())&lt;-2),"",#REF!),"")</f>
        <v/>
      </c>
      <c r="T267" s="0" t="str">
        <f aca="false">IFERROR(IF(OR(HLOOKUP($A267,#REF!,18,FALSE())&gt;2,HLOOKUP($A267,#REF!,18,FALSE())&lt;-2),"",#REF!),"")</f>
        <v/>
      </c>
      <c r="U267" s="0" t="str">
        <f aca="false">IFERROR(IF(OR(HLOOKUP($A267,#REF!,19,FALSE())&gt;2,HLOOKUP($A267,#REF!,19,FALSE())&lt;-2),"",#REF!),"")</f>
        <v/>
      </c>
      <c r="V267" s="0" t="n">
        <f aca="false">IFERROR(IF(AND(X267=0,Y267=0),0,1),0)</f>
        <v>1</v>
      </c>
      <c r="W267" s="3" t="str">
        <f aca="false">IFERROR(_xlfn.T.TEST(E267:M267,N267:U267,2,2),"")</f>
        <v/>
      </c>
      <c r="X267" s="0" t="str">
        <f aca="false">IFERROR(AVERAGE(E267:M267),"")</f>
        <v/>
      </c>
      <c r="Y267" s="0" t="str">
        <f aca="false">IFERROR(AVERAGE(N267:U267),"")</f>
        <v/>
      </c>
    </row>
    <row r="268" customFormat="false" ht="14.5" hidden="false" customHeight="false" outlineLevel="0" collapsed="false">
      <c r="A268" s="0" t="n">
        <v>274</v>
      </c>
      <c r="B268" s="0" t="s">
        <v>56</v>
      </c>
      <c r="C268" s="0" t="n">
        <v>26400</v>
      </c>
      <c r="D268" s="0" t="n">
        <v>879</v>
      </c>
      <c r="E268" s="0" t="str">
        <f aca="false">IFERROR(IF(OR(HLOOKUP($A268,#REF!,3,FALSE())&gt;2,HLOOKUP(A268,#REF!,3,FALSE())&lt;-2),"",#REF!),"")</f>
        <v/>
      </c>
      <c r="F268" s="0" t="str">
        <f aca="false">IFERROR(IF(OR(HLOOKUP($A268,#REF!,4,FALSE())&gt;2,HLOOKUP($A268,#REF!,4,FALSE())&lt;-2),"",#REF!),"")</f>
        <v/>
      </c>
      <c r="G268" s="0" t="str">
        <f aca="false">IFERROR(IF(OR(HLOOKUP($A268,#REF!,5,FALSE())&gt;2,HLOOKUP($A268,#REF!,5,FALSE())&lt;-2),"",#REF!),"")</f>
        <v/>
      </c>
      <c r="H268" s="0" t="str">
        <f aca="false">IFERROR(IF(OR(HLOOKUP($A268,#REF!,6,FALSE())&gt;2,HLOOKUP($A268,#REF!,6,FALSE())&lt;-2),"",#REF!),"")</f>
        <v/>
      </c>
      <c r="I268" s="0" t="str">
        <f aca="false">IFERROR(IF(OR(HLOOKUP($A268,#REF!,7,FALSE())&gt;2,HLOOKUP($A268,#REF!,7,FALSE())&lt;-2),"",#REF!),"")</f>
        <v/>
      </c>
      <c r="J268" s="0" t="str">
        <f aca="false">IFERROR(IF(OR(HLOOKUP($A268,#REF!,8,FALSE())&gt;2,HLOOKUP($A268,#REF!,8,FALSE())&lt;-2),"",#REF!),"")</f>
        <v/>
      </c>
      <c r="K268" s="0" t="str">
        <f aca="false">IFERROR(IF(OR(HLOOKUP($A268,#REF!,9,FALSE())&gt;2,HLOOKUP($A268,#REF!,9,FALSE())&lt;-2),"",#REF!),"")</f>
        <v/>
      </c>
      <c r="L268" s="0" t="str">
        <f aca="false">IFERROR(IF(OR(HLOOKUP($A268,#REF!,10,FALSE())&gt;2,HLOOKUP($A268,#REF!,10,FALSE())&lt;-2),"",#REF!),"")</f>
        <v/>
      </c>
      <c r="M268" s="0" t="str">
        <f aca="false">IFERROR(IF(OR(HLOOKUP($A268,#REF!,11,FALSE())&gt;2,HLOOKUP($A268,#REF!,11,FALSE())&lt;-2),"",#REF!),"")</f>
        <v/>
      </c>
      <c r="N268" s="0" t="str">
        <f aca="false">IFERROR(IF(OR(HLOOKUP($A268,#REF!,12,FALSE())&gt;2,HLOOKUP($A268,#REF!,12,FALSE())&lt;-2),"",#REF!),"")</f>
        <v/>
      </c>
      <c r="O268" s="0" t="str">
        <f aca="false">IFERROR(IF(OR(HLOOKUP($A268,#REF!,13,FALSE())&gt;2,HLOOKUP($A268,#REF!,13,FALSE())&lt;-2),"",#REF!),"")</f>
        <v/>
      </c>
      <c r="P268" s="0" t="str">
        <f aca="false">IFERROR(IF(OR(HLOOKUP($A268,#REF!,14,FALSE())&gt;2,HLOOKUP($A268,#REF!,14,FALSE())&lt;-2),"",#REF!),"")</f>
        <v/>
      </c>
      <c r="Q268" s="0" t="str">
        <f aca="false">IFERROR(IF(OR(HLOOKUP($A268,#REF!,15,FALSE())&gt;2,HLOOKUP($A268,#REF!,15,FALSE())&lt;-2),"",#REF!),"")</f>
        <v/>
      </c>
      <c r="R268" s="0" t="str">
        <f aca="false">IFERROR(IF(OR(HLOOKUP($A268,#REF!,16,FALSE())&gt;2,HLOOKUP($A268,#REF!,16,FALSE())&lt;-2),"",#REF!),"")</f>
        <v/>
      </c>
      <c r="S268" s="0" t="str">
        <f aca="false">IFERROR(IF(OR(HLOOKUP($A268,#REF!,17,FALSE())&gt;2,HLOOKUP($A268,#REF!,17,FALSE())&lt;-2),"",#REF!),"")</f>
        <v/>
      </c>
      <c r="T268" s="0" t="str">
        <f aca="false">IFERROR(IF(OR(HLOOKUP($A268,#REF!,18,FALSE())&gt;2,HLOOKUP($A268,#REF!,18,FALSE())&lt;-2),"",#REF!),"")</f>
        <v/>
      </c>
      <c r="U268" s="0" t="str">
        <f aca="false">IFERROR(IF(OR(HLOOKUP($A268,#REF!,19,FALSE())&gt;2,HLOOKUP($A268,#REF!,19,FALSE())&lt;-2),"",#REF!),"")</f>
        <v/>
      </c>
      <c r="V268" s="0" t="n">
        <f aca="false">IFERROR(IF(AND(X268=0,Y268=0),0,1),0)</f>
        <v>1</v>
      </c>
      <c r="W268" s="3" t="str">
        <f aca="false">IFERROR(_xlfn.T.TEST(E268:M268,N268:U268,2,2),"")</f>
        <v/>
      </c>
      <c r="X268" s="0" t="str">
        <f aca="false">IFERROR(AVERAGE(E268:M268),"")</f>
        <v/>
      </c>
      <c r="Y268" s="0" t="str">
        <f aca="false">IFERROR(AVERAGE(N268:U268),"")</f>
        <v/>
      </c>
    </row>
    <row r="269" customFormat="false" ht="14.5" hidden="false" customHeight="false" outlineLevel="0" collapsed="false">
      <c r="A269" s="0" t="n">
        <v>275</v>
      </c>
      <c r="B269" s="0" t="s">
        <v>354</v>
      </c>
      <c r="C269" s="0" t="n">
        <v>49300</v>
      </c>
      <c r="D269" s="0" t="n">
        <v>477</v>
      </c>
      <c r="E269" s="0" t="str">
        <f aca="false">IFERROR(IF(OR(HLOOKUP($A269,#REF!,3,FALSE())&gt;2,HLOOKUP(A269,#REF!,3,FALSE())&lt;-2),"",#REF!),"")</f>
        <v/>
      </c>
      <c r="F269" s="0" t="str">
        <f aca="false">IFERROR(IF(OR(HLOOKUP($A269,#REF!,4,FALSE())&gt;2,HLOOKUP($A269,#REF!,4,FALSE())&lt;-2),"",#REF!),"")</f>
        <v/>
      </c>
      <c r="G269" s="0" t="str">
        <f aca="false">IFERROR(IF(OR(HLOOKUP($A269,#REF!,5,FALSE())&gt;2,HLOOKUP($A269,#REF!,5,FALSE())&lt;-2),"",#REF!),"")</f>
        <v/>
      </c>
      <c r="H269" s="0" t="str">
        <f aca="false">IFERROR(IF(OR(HLOOKUP($A269,#REF!,6,FALSE())&gt;2,HLOOKUP($A269,#REF!,6,FALSE())&lt;-2),"",#REF!),"")</f>
        <v/>
      </c>
      <c r="I269" s="0" t="str">
        <f aca="false">IFERROR(IF(OR(HLOOKUP($A269,#REF!,7,FALSE())&gt;2,HLOOKUP($A269,#REF!,7,FALSE())&lt;-2),"",#REF!),"")</f>
        <v/>
      </c>
      <c r="J269" s="0" t="str">
        <f aca="false">IFERROR(IF(OR(HLOOKUP($A269,#REF!,8,FALSE())&gt;2,HLOOKUP($A269,#REF!,8,FALSE())&lt;-2),"",#REF!),"")</f>
        <v/>
      </c>
      <c r="K269" s="0" t="str">
        <f aca="false">IFERROR(IF(OR(HLOOKUP($A269,#REF!,9,FALSE())&gt;2,HLOOKUP($A269,#REF!,9,FALSE())&lt;-2),"",#REF!),"")</f>
        <v/>
      </c>
      <c r="L269" s="0" t="str">
        <f aca="false">IFERROR(IF(OR(HLOOKUP($A269,#REF!,10,FALSE())&gt;2,HLOOKUP($A269,#REF!,10,FALSE())&lt;-2),"",#REF!),"")</f>
        <v/>
      </c>
      <c r="M269" s="0" t="str">
        <f aca="false">IFERROR(IF(OR(HLOOKUP($A269,#REF!,11,FALSE())&gt;2,HLOOKUP($A269,#REF!,11,FALSE())&lt;-2),"",#REF!),"")</f>
        <v/>
      </c>
      <c r="N269" s="0" t="str">
        <f aca="false">IFERROR(IF(OR(HLOOKUP($A269,#REF!,12,FALSE())&gt;2,HLOOKUP($A269,#REF!,12,FALSE())&lt;-2),"",#REF!),"")</f>
        <v/>
      </c>
      <c r="O269" s="0" t="str">
        <f aca="false">IFERROR(IF(OR(HLOOKUP($A269,#REF!,13,FALSE())&gt;2,HLOOKUP($A269,#REF!,13,FALSE())&lt;-2),"",#REF!),"")</f>
        <v/>
      </c>
      <c r="P269" s="0" t="str">
        <f aca="false">IFERROR(IF(OR(HLOOKUP($A269,#REF!,14,FALSE())&gt;2,HLOOKUP($A269,#REF!,14,FALSE())&lt;-2),"",#REF!),"")</f>
        <v/>
      </c>
      <c r="Q269" s="0" t="str">
        <f aca="false">IFERROR(IF(OR(HLOOKUP($A269,#REF!,15,FALSE())&gt;2,HLOOKUP($A269,#REF!,15,FALSE())&lt;-2),"",#REF!),"")</f>
        <v/>
      </c>
      <c r="R269" s="0" t="str">
        <f aca="false">IFERROR(IF(OR(HLOOKUP($A269,#REF!,16,FALSE())&gt;2,HLOOKUP($A269,#REF!,16,FALSE())&lt;-2),"",#REF!),"")</f>
        <v/>
      </c>
      <c r="S269" s="0" t="str">
        <f aca="false">IFERROR(IF(OR(HLOOKUP($A269,#REF!,17,FALSE())&gt;2,HLOOKUP($A269,#REF!,17,FALSE())&lt;-2),"",#REF!),"")</f>
        <v/>
      </c>
      <c r="T269" s="0" t="str">
        <f aca="false">IFERROR(IF(OR(HLOOKUP($A269,#REF!,18,FALSE())&gt;2,HLOOKUP($A269,#REF!,18,FALSE())&lt;-2),"",#REF!),"")</f>
        <v/>
      </c>
      <c r="U269" s="0" t="str">
        <f aca="false">IFERROR(IF(OR(HLOOKUP($A269,#REF!,19,FALSE())&gt;2,HLOOKUP($A269,#REF!,19,FALSE())&lt;-2),"",#REF!),"")</f>
        <v/>
      </c>
      <c r="V269" s="0" t="n">
        <f aca="false">IFERROR(IF(AND(X269=0,Y269=0),0,1),0)</f>
        <v>1</v>
      </c>
      <c r="W269" s="3" t="str">
        <f aca="false">IFERROR(_xlfn.T.TEST(E269:M269,N269:U269,2,2),"")</f>
        <v/>
      </c>
      <c r="X269" s="0" t="str">
        <f aca="false">IFERROR(AVERAGE(E269:M269),"")</f>
        <v/>
      </c>
      <c r="Y269" s="0" t="str">
        <f aca="false">IFERROR(AVERAGE(N269:U269),"")</f>
        <v/>
      </c>
    </row>
    <row r="270" customFormat="false" ht="14.5" hidden="false" customHeight="false" outlineLevel="0" collapsed="false">
      <c r="A270" s="0" t="n">
        <v>276</v>
      </c>
      <c r="B270" s="0" t="s">
        <v>355</v>
      </c>
      <c r="C270" s="0" t="n">
        <v>33800</v>
      </c>
      <c r="D270" s="0" t="n">
        <v>961</v>
      </c>
      <c r="E270" s="0" t="str">
        <f aca="false">IFERROR(IF(OR(HLOOKUP($A270,#REF!,3,FALSE())&gt;2,HLOOKUP(A270,#REF!,3,FALSE())&lt;-2),"",#REF!),"")</f>
        <v/>
      </c>
      <c r="F270" s="0" t="str">
        <f aca="false">IFERROR(IF(OR(HLOOKUP($A270,#REF!,4,FALSE())&gt;2,HLOOKUP($A270,#REF!,4,FALSE())&lt;-2),"",#REF!),"")</f>
        <v/>
      </c>
      <c r="G270" s="0" t="str">
        <f aca="false">IFERROR(IF(OR(HLOOKUP($A270,#REF!,5,FALSE())&gt;2,HLOOKUP($A270,#REF!,5,FALSE())&lt;-2),"",#REF!),"")</f>
        <v/>
      </c>
      <c r="H270" s="0" t="str">
        <f aca="false">IFERROR(IF(OR(HLOOKUP($A270,#REF!,6,FALSE())&gt;2,HLOOKUP($A270,#REF!,6,FALSE())&lt;-2),"",#REF!),"")</f>
        <v/>
      </c>
      <c r="I270" s="0" t="str">
        <f aca="false">IFERROR(IF(OR(HLOOKUP($A270,#REF!,7,FALSE())&gt;2,HLOOKUP($A270,#REF!,7,FALSE())&lt;-2),"",#REF!),"")</f>
        <v/>
      </c>
      <c r="J270" s="0" t="str">
        <f aca="false">IFERROR(IF(OR(HLOOKUP($A270,#REF!,8,FALSE())&gt;2,HLOOKUP($A270,#REF!,8,FALSE())&lt;-2),"",#REF!),"")</f>
        <v/>
      </c>
      <c r="K270" s="0" t="str">
        <f aca="false">IFERROR(IF(OR(HLOOKUP($A270,#REF!,9,FALSE())&gt;2,HLOOKUP($A270,#REF!,9,FALSE())&lt;-2),"",#REF!),"")</f>
        <v/>
      </c>
      <c r="L270" s="0" t="str">
        <f aca="false">IFERROR(IF(OR(HLOOKUP($A270,#REF!,10,FALSE())&gt;2,HLOOKUP($A270,#REF!,10,FALSE())&lt;-2),"",#REF!),"")</f>
        <v/>
      </c>
      <c r="M270" s="0" t="str">
        <f aca="false">IFERROR(IF(OR(HLOOKUP($A270,#REF!,11,FALSE())&gt;2,HLOOKUP($A270,#REF!,11,FALSE())&lt;-2),"",#REF!),"")</f>
        <v/>
      </c>
      <c r="N270" s="0" t="str">
        <f aca="false">IFERROR(IF(OR(HLOOKUP($A270,#REF!,12,FALSE())&gt;2,HLOOKUP($A270,#REF!,12,FALSE())&lt;-2),"",#REF!),"")</f>
        <v/>
      </c>
      <c r="O270" s="0" t="str">
        <f aca="false">IFERROR(IF(OR(HLOOKUP($A270,#REF!,13,FALSE())&gt;2,HLOOKUP($A270,#REF!,13,FALSE())&lt;-2),"",#REF!),"")</f>
        <v/>
      </c>
      <c r="P270" s="0" t="str">
        <f aca="false">IFERROR(IF(OR(HLOOKUP($A270,#REF!,14,FALSE())&gt;2,HLOOKUP($A270,#REF!,14,FALSE())&lt;-2),"",#REF!),"")</f>
        <v/>
      </c>
      <c r="Q270" s="0" t="str">
        <f aca="false">IFERROR(IF(OR(HLOOKUP($A270,#REF!,15,FALSE())&gt;2,HLOOKUP($A270,#REF!,15,FALSE())&lt;-2),"",#REF!),"")</f>
        <v/>
      </c>
      <c r="R270" s="0" t="str">
        <f aca="false">IFERROR(IF(OR(HLOOKUP($A270,#REF!,16,FALSE())&gt;2,HLOOKUP($A270,#REF!,16,FALSE())&lt;-2),"",#REF!),"")</f>
        <v/>
      </c>
      <c r="S270" s="0" t="str">
        <f aca="false">IFERROR(IF(OR(HLOOKUP($A270,#REF!,17,FALSE())&gt;2,HLOOKUP($A270,#REF!,17,FALSE())&lt;-2),"",#REF!),"")</f>
        <v/>
      </c>
      <c r="T270" s="0" t="str">
        <f aca="false">IFERROR(IF(OR(HLOOKUP($A270,#REF!,18,FALSE())&gt;2,HLOOKUP($A270,#REF!,18,FALSE())&lt;-2),"",#REF!),"")</f>
        <v/>
      </c>
      <c r="U270" s="0" t="str">
        <f aca="false">IFERROR(IF(OR(HLOOKUP($A270,#REF!,19,FALSE())&gt;2,HLOOKUP($A270,#REF!,19,FALSE())&lt;-2),"",#REF!),"")</f>
        <v/>
      </c>
      <c r="V270" s="0" t="n">
        <f aca="false">IFERROR(IF(AND(X270=0,Y270=0),0,1),0)</f>
        <v>1</v>
      </c>
      <c r="W270" s="3" t="str">
        <f aca="false">IFERROR(_xlfn.T.TEST(E270:M270,N270:U270,2,2),"")</f>
        <v/>
      </c>
      <c r="X270" s="0" t="str">
        <f aca="false">IFERROR(AVERAGE(E270:M270),"")</f>
        <v/>
      </c>
      <c r="Y270" s="0" t="str">
        <f aca="false">IFERROR(AVERAGE(N270:U270),"")</f>
        <v/>
      </c>
    </row>
    <row r="271" customFormat="false" ht="14.5" hidden="false" customHeight="false" outlineLevel="0" collapsed="false">
      <c r="A271" s="0" t="n">
        <v>277</v>
      </c>
      <c r="B271" s="0" t="s">
        <v>356</v>
      </c>
      <c r="C271" s="0" t="n">
        <v>103800</v>
      </c>
      <c r="D271" s="0" t="n">
        <v>871</v>
      </c>
      <c r="E271" s="0" t="str">
        <f aca="false">IFERROR(IF(OR(HLOOKUP($A271,#REF!,3,FALSE())&gt;2,HLOOKUP(A271,#REF!,3,FALSE())&lt;-2),"",#REF!),"")</f>
        <v/>
      </c>
      <c r="F271" s="0" t="str">
        <f aca="false">IFERROR(IF(OR(HLOOKUP($A271,#REF!,4,FALSE())&gt;2,HLOOKUP($A271,#REF!,4,FALSE())&lt;-2),"",#REF!),"")</f>
        <v/>
      </c>
      <c r="G271" s="0" t="str">
        <f aca="false">IFERROR(IF(OR(HLOOKUP($A271,#REF!,5,FALSE())&gt;2,HLOOKUP($A271,#REF!,5,FALSE())&lt;-2),"",#REF!),"")</f>
        <v/>
      </c>
      <c r="H271" s="0" t="str">
        <f aca="false">IFERROR(IF(OR(HLOOKUP($A271,#REF!,6,FALSE())&gt;2,HLOOKUP($A271,#REF!,6,FALSE())&lt;-2),"",#REF!),"")</f>
        <v/>
      </c>
      <c r="I271" s="0" t="str">
        <f aca="false">IFERROR(IF(OR(HLOOKUP($A271,#REF!,7,FALSE())&gt;2,HLOOKUP($A271,#REF!,7,FALSE())&lt;-2),"",#REF!),"")</f>
        <v/>
      </c>
      <c r="J271" s="0" t="str">
        <f aca="false">IFERROR(IF(OR(HLOOKUP($A271,#REF!,8,FALSE())&gt;2,HLOOKUP($A271,#REF!,8,FALSE())&lt;-2),"",#REF!),"")</f>
        <v/>
      </c>
      <c r="K271" s="0" t="str">
        <f aca="false">IFERROR(IF(OR(HLOOKUP($A271,#REF!,9,FALSE())&gt;2,HLOOKUP($A271,#REF!,9,FALSE())&lt;-2),"",#REF!),"")</f>
        <v/>
      </c>
      <c r="L271" s="0" t="str">
        <f aca="false">IFERROR(IF(OR(HLOOKUP($A271,#REF!,10,FALSE())&gt;2,HLOOKUP($A271,#REF!,10,FALSE())&lt;-2),"",#REF!),"")</f>
        <v/>
      </c>
      <c r="M271" s="0" t="str">
        <f aca="false">IFERROR(IF(OR(HLOOKUP($A271,#REF!,11,FALSE())&gt;2,HLOOKUP($A271,#REF!,11,FALSE())&lt;-2),"",#REF!),"")</f>
        <v/>
      </c>
      <c r="N271" s="0" t="str">
        <f aca="false">IFERROR(IF(OR(HLOOKUP($A271,#REF!,12,FALSE())&gt;2,HLOOKUP($A271,#REF!,12,FALSE())&lt;-2),"",#REF!),"")</f>
        <v/>
      </c>
      <c r="O271" s="0" t="str">
        <f aca="false">IFERROR(IF(OR(HLOOKUP($A271,#REF!,13,FALSE())&gt;2,HLOOKUP($A271,#REF!,13,FALSE())&lt;-2),"",#REF!),"")</f>
        <v/>
      </c>
      <c r="P271" s="0" t="str">
        <f aca="false">IFERROR(IF(OR(HLOOKUP($A271,#REF!,14,FALSE())&gt;2,HLOOKUP($A271,#REF!,14,FALSE())&lt;-2),"",#REF!),"")</f>
        <v/>
      </c>
      <c r="Q271" s="0" t="str">
        <f aca="false">IFERROR(IF(OR(HLOOKUP($A271,#REF!,15,FALSE())&gt;2,HLOOKUP($A271,#REF!,15,FALSE())&lt;-2),"",#REF!),"")</f>
        <v/>
      </c>
      <c r="R271" s="0" t="str">
        <f aca="false">IFERROR(IF(OR(HLOOKUP($A271,#REF!,16,FALSE())&gt;2,HLOOKUP($A271,#REF!,16,FALSE())&lt;-2),"",#REF!),"")</f>
        <v/>
      </c>
      <c r="S271" s="0" t="str">
        <f aca="false">IFERROR(IF(OR(HLOOKUP($A271,#REF!,17,FALSE())&gt;2,HLOOKUP($A271,#REF!,17,FALSE())&lt;-2),"",#REF!),"")</f>
        <v/>
      </c>
      <c r="T271" s="0" t="str">
        <f aca="false">IFERROR(IF(OR(HLOOKUP($A271,#REF!,18,FALSE())&gt;2,HLOOKUP($A271,#REF!,18,FALSE())&lt;-2),"",#REF!),"")</f>
        <v/>
      </c>
      <c r="U271" s="0" t="str">
        <f aca="false">IFERROR(IF(OR(HLOOKUP($A271,#REF!,19,FALSE())&gt;2,HLOOKUP($A271,#REF!,19,FALSE())&lt;-2),"",#REF!),"")</f>
        <v/>
      </c>
      <c r="V271" s="0" t="n">
        <f aca="false">IFERROR(IF(AND(X271=0,Y271=0),0,1),0)</f>
        <v>1</v>
      </c>
      <c r="W271" s="3" t="str">
        <f aca="false">IFERROR(_xlfn.T.TEST(E271:M271,N271:U271,2,2),"")</f>
        <v/>
      </c>
      <c r="X271" s="0" t="str">
        <f aca="false">IFERROR(AVERAGE(E271:M271),"")</f>
        <v/>
      </c>
      <c r="Y271" s="0" t="str">
        <f aca="false">IFERROR(AVERAGE(N271:U271),"")</f>
        <v/>
      </c>
    </row>
    <row r="272" customFormat="false" ht="14.5" hidden="false" customHeight="false" outlineLevel="0" collapsed="false">
      <c r="A272" s="0" t="n">
        <v>278</v>
      </c>
      <c r="B272" s="0" t="s">
        <v>357</v>
      </c>
      <c r="C272" s="0" t="n">
        <v>50000</v>
      </c>
      <c r="D272" s="0" t="n">
        <v>477</v>
      </c>
      <c r="E272" s="0" t="str">
        <f aca="false">IFERROR(IF(OR(HLOOKUP($A272,#REF!,3,FALSE())&gt;2,HLOOKUP(A272,#REF!,3,FALSE())&lt;-2),"",#REF!),"")</f>
        <v/>
      </c>
      <c r="F272" s="0" t="str">
        <f aca="false">IFERROR(IF(OR(HLOOKUP($A272,#REF!,4,FALSE())&gt;2,HLOOKUP($A272,#REF!,4,FALSE())&lt;-2),"",#REF!),"")</f>
        <v/>
      </c>
      <c r="G272" s="0" t="str">
        <f aca="false">IFERROR(IF(OR(HLOOKUP($A272,#REF!,5,FALSE())&gt;2,HLOOKUP($A272,#REF!,5,FALSE())&lt;-2),"",#REF!),"")</f>
        <v/>
      </c>
      <c r="H272" s="0" t="str">
        <f aca="false">IFERROR(IF(OR(HLOOKUP($A272,#REF!,6,FALSE())&gt;2,HLOOKUP($A272,#REF!,6,FALSE())&lt;-2),"",#REF!),"")</f>
        <v/>
      </c>
      <c r="I272" s="0" t="str">
        <f aca="false">IFERROR(IF(OR(HLOOKUP($A272,#REF!,7,FALSE())&gt;2,HLOOKUP($A272,#REF!,7,FALSE())&lt;-2),"",#REF!),"")</f>
        <v/>
      </c>
      <c r="J272" s="0" t="str">
        <f aca="false">IFERROR(IF(OR(HLOOKUP($A272,#REF!,8,FALSE())&gt;2,HLOOKUP($A272,#REF!,8,FALSE())&lt;-2),"",#REF!),"")</f>
        <v/>
      </c>
      <c r="K272" s="0" t="str">
        <f aca="false">IFERROR(IF(OR(HLOOKUP($A272,#REF!,9,FALSE())&gt;2,HLOOKUP($A272,#REF!,9,FALSE())&lt;-2),"",#REF!),"")</f>
        <v/>
      </c>
      <c r="L272" s="0" t="str">
        <f aca="false">IFERROR(IF(OR(HLOOKUP($A272,#REF!,10,FALSE())&gt;2,HLOOKUP($A272,#REF!,10,FALSE())&lt;-2),"",#REF!),"")</f>
        <v/>
      </c>
      <c r="M272" s="0" t="str">
        <f aca="false">IFERROR(IF(OR(HLOOKUP($A272,#REF!,11,FALSE())&gt;2,HLOOKUP($A272,#REF!,11,FALSE())&lt;-2),"",#REF!),"")</f>
        <v/>
      </c>
      <c r="N272" s="0" t="str">
        <f aca="false">IFERROR(IF(OR(HLOOKUP($A272,#REF!,12,FALSE())&gt;2,HLOOKUP($A272,#REF!,12,FALSE())&lt;-2),"",#REF!),"")</f>
        <v/>
      </c>
      <c r="O272" s="0" t="str">
        <f aca="false">IFERROR(IF(OR(HLOOKUP($A272,#REF!,13,FALSE())&gt;2,HLOOKUP($A272,#REF!,13,FALSE())&lt;-2),"",#REF!),"")</f>
        <v/>
      </c>
      <c r="P272" s="0" t="str">
        <f aca="false">IFERROR(IF(OR(HLOOKUP($A272,#REF!,14,FALSE())&gt;2,HLOOKUP($A272,#REF!,14,FALSE())&lt;-2),"",#REF!),"")</f>
        <v/>
      </c>
      <c r="Q272" s="0" t="str">
        <f aca="false">IFERROR(IF(OR(HLOOKUP($A272,#REF!,15,FALSE())&gt;2,HLOOKUP($A272,#REF!,15,FALSE())&lt;-2),"",#REF!),"")</f>
        <v/>
      </c>
      <c r="R272" s="0" t="str">
        <f aca="false">IFERROR(IF(OR(HLOOKUP($A272,#REF!,16,FALSE())&gt;2,HLOOKUP($A272,#REF!,16,FALSE())&lt;-2),"",#REF!),"")</f>
        <v/>
      </c>
      <c r="S272" s="0" t="str">
        <f aca="false">IFERROR(IF(OR(HLOOKUP($A272,#REF!,17,FALSE())&gt;2,HLOOKUP($A272,#REF!,17,FALSE())&lt;-2),"",#REF!),"")</f>
        <v/>
      </c>
      <c r="T272" s="0" t="str">
        <f aca="false">IFERROR(IF(OR(HLOOKUP($A272,#REF!,18,FALSE())&gt;2,HLOOKUP($A272,#REF!,18,FALSE())&lt;-2),"",#REF!),"")</f>
        <v/>
      </c>
      <c r="U272" s="0" t="str">
        <f aca="false">IFERROR(IF(OR(HLOOKUP($A272,#REF!,19,FALSE())&gt;2,HLOOKUP($A272,#REF!,19,FALSE())&lt;-2),"",#REF!),"")</f>
        <v/>
      </c>
      <c r="V272" s="0" t="n">
        <f aca="false">IFERROR(IF(AND(X272=0,Y272=0),0,1),0)</f>
        <v>1</v>
      </c>
      <c r="W272" s="3" t="str">
        <f aca="false">IFERROR(_xlfn.T.TEST(E272:M272,N272:U272,2,2),"")</f>
        <v/>
      </c>
      <c r="X272" s="0" t="str">
        <f aca="false">IFERROR(AVERAGE(E272:M272),"")</f>
        <v/>
      </c>
      <c r="Y272" s="0" t="str">
        <f aca="false">IFERROR(AVERAGE(N272:U272),"")</f>
        <v/>
      </c>
    </row>
    <row r="273" customFormat="false" ht="14.5" hidden="false" customHeight="false" outlineLevel="0" collapsed="false">
      <c r="A273" s="0" t="n">
        <v>279</v>
      </c>
      <c r="B273" s="0" t="s">
        <v>67</v>
      </c>
      <c r="C273" s="0" t="n">
        <v>25800</v>
      </c>
      <c r="D273" s="0" t="n">
        <v>894</v>
      </c>
      <c r="E273" s="0" t="str">
        <f aca="false">IFERROR(IF(OR(HLOOKUP($A273,#REF!,3,FALSE())&gt;2,HLOOKUP(A273,#REF!,3,FALSE())&lt;-2),"",#REF!),"")</f>
        <v/>
      </c>
      <c r="F273" s="0" t="str">
        <f aca="false">IFERROR(IF(OR(HLOOKUP($A273,#REF!,4,FALSE())&gt;2,HLOOKUP($A273,#REF!,4,FALSE())&lt;-2),"",#REF!),"")</f>
        <v/>
      </c>
      <c r="G273" s="0" t="str">
        <f aca="false">IFERROR(IF(OR(HLOOKUP($A273,#REF!,5,FALSE())&gt;2,HLOOKUP($A273,#REF!,5,FALSE())&lt;-2),"",#REF!),"")</f>
        <v/>
      </c>
      <c r="H273" s="0" t="str">
        <f aca="false">IFERROR(IF(OR(HLOOKUP($A273,#REF!,6,FALSE())&gt;2,HLOOKUP($A273,#REF!,6,FALSE())&lt;-2),"",#REF!),"")</f>
        <v/>
      </c>
      <c r="I273" s="0" t="str">
        <f aca="false">IFERROR(IF(OR(HLOOKUP($A273,#REF!,7,FALSE())&gt;2,HLOOKUP($A273,#REF!,7,FALSE())&lt;-2),"",#REF!),"")</f>
        <v/>
      </c>
      <c r="J273" s="0" t="str">
        <f aca="false">IFERROR(IF(OR(HLOOKUP($A273,#REF!,8,FALSE())&gt;2,HLOOKUP($A273,#REF!,8,FALSE())&lt;-2),"",#REF!),"")</f>
        <v/>
      </c>
      <c r="K273" s="0" t="str">
        <f aca="false">IFERROR(IF(OR(HLOOKUP($A273,#REF!,9,FALSE())&gt;2,HLOOKUP($A273,#REF!,9,FALSE())&lt;-2),"",#REF!),"")</f>
        <v/>
      </c>
      <c r="L273" s="0" t="str">
        <f aca="false">IFERROR(IF(OR(HLOOKUP($A273,#REF!,10,FALSE())&gt;2,HLOOKUP($A273,#REF!,10,FALSE())&lt;-2),"",#REF!),"")</f>
        <v/>
      </c>
      <c r="M273" s="0" t="str">
        <f aca="false">IFERROR(IF(OR(HLOOKUP($A273,#REF!,11,FALSE())&gt;2,HLOOKUP($A273,#REF!,11,FALSE())&lt;-2),"",#REF!),"")</f>
        <v/>
      </c>
      <c r="N273" s="0" t="str">
        <f aca="false">IFERROR(IF(OR(HLOOKUP($A273,#REF!,12,FALSE())&gt;2,HLOOKUP($A273,#REF!,12,FALSE())&lt;-2),"",#REF!),"")</f>
        <v/>
      </c>
      <c r="O273" s="0" t="str">
        <f aca="false">IFERROR(IF(OR(HLOOKUP($A273,#REF!,13,FALSE())&gt;2,HLOOKUP($A273,#REF!,13,FALSE())&lt;-2),"",#REF!),"")</f>
        <v/>
      </c>
      <c r="P273" s="0" t="str">
        <f aca="false">IFERROR(IF(OR(HLOOKUP($A273,#REF!,14,FALSE())&gt;2,HLOOKUP($A273,#REF!,14,FALSE())&lt;-2),"",#REF!),"")</f>
        <v/>
      </c>
      <c r="Q273" s="0" t="str">
        <f aca="false">IFERROR(IF(OR(HLOOKUP($A273,#REF!,15,FALSE())&gt;2,HLOOKUP($A273,#REF!,15,FALSE())&lt;-2),"",#REF!),"")</f>
        <v/>
      </c>
      <c r="R273" s="0" t="str">
        <f aca="false">IFERROR(IF(OR(HLOOKUP($A273,#REF!,16,FALSE())&gt;2,HLOOKUP($A273,#REF!,16,FALSE())&lt;-2),"",#REF!),"")</f>
        <v/>
      </c>
      <c r="S273" s="0" t="str">
        <f aca="false">IFERROR(IF(OR(HLOOKUP($A273,#REF!,17,FALSE())&gt;2,HLOOKUP($A273,#REF!,17,FALSE())&lt;-2),"",#REF!),"")</f>
        <v/>
      </c>
      <c r="T273" s="0" t="str">
        <f aca="false">IFERROR(IF(OR(HLOOKUP($A273,#REF!,18,FALSE())&gt;2,HLOOKUP($A273,#REF!,18,FALSE())&lt;-2),"",#REF!),"")</f>
        <v/>
      </c>
      <c r="U273" s="0" t="str">
        <f aca="false">IFERROR(IF(OR(HLOOKUP($A273,#REF!,19,FALSE())&gt;2,HLOOKUP($A273,#REF!,19,FALSE())&lt;-2),"",#REF!),"")</f>
        <v/>
      </c>
      <c r="V273" s="0" t="n">
        <f aca="false">IFERROR(IF(AND(X273=0,Y273=0),0,1),0)</f>
        <v>1</v>
      </c>
      <c r="W273" s="3" t="str">
        <f aca="false">IFERROR(_xlfn.T.TEST(E273:M273,N273:U273,2,2),"")</f>
        <v/>
      </c>
      <c r="X273" s="0" t="str">
        <f aca="false">IFERROR(AVERAGE(E273:M273),"")</f>
        <v/>
      </c>
      <c r="Y273" s="0" t="str">
        <f aca="false">IFERROR(AVERAGE(N273:U273),"")</f>
        <v/>
      </c>
    </row>
    <row r="274" customFormat="false" ht="14.5" hidden="false" customHeight="false" outlineLevel="0" collapsed="false">
      <c r="A274" s="0" t="n">
        <v>280</v>
      </c>
      <c r="B274" s="0" t="s">
        <v>358</v>
      </c>
      <c r="C274" s="0" t="n">
        <v>87100</v>
      </c>
      <c r="D274" s="0" t="n">
        <v>987</v>
      </c>
      <c r="E274" s="0" t="str">
        <f aca="false">IFERROR(IF(OR(HLOOKUP($A274,#REF!,3,FALSE())&gt;2,HLOOKUP(A274,#REF!,3,FALSE())&lt;-2),"",#REF!),"")</f>
        <v/>
      </c>
      <c r="F274" s="0" t="str">
        <f aca="false">IFERROR(IF(OR(HLOOKUP($A274,#REF!,4,FALSE())&gt;2,HLOOKUP($A274,#REF!,4,FALSE())&lt;-2),"",#REF!),"")</f>
        <v/>
      </c>
      <c r="G274" s="0" t="str">
        <f aca="false">IFERROR(IF(OR(HLOOKUP($A274,#REF!,5,FALSE())&gt;2,HLOOKUP($A274,#REF!,5,FALSE())&lt;-2),"",#REF!),"")</f>
        <v/>
      </c>
      <c r="H274" s="0" t="str">
        <f aca="false">IFERROR(IF(OR(HLOOKUP($A274,#REF!,6,FALSE())&gt;2,HLOOKUP($A274,#REF!,6,FALSE())&lt;-2),"",#REF!),"")</f>
        <v/>
      </c>
      <c r="I274" s="0" t="str">
        <f aca="false">IFERROR(IF(OR(HLOOKUP($A274,#REF!,7,FALSE())&gt;2,HLOOKUP($A274,#REF!,7,FALSE())&lt;-2),"",#REF!),"")</f>
        <v/>
      </c>
      <c r="J274" s="0" t="str">
        <f aca="false">IFERROR(IF(OR(HLOOKUP($A274,#REF!,8,FALSE())&gt;2,HLOOKUP($A274,#REF!,8,FALSE())&lt;-2),"",#REF!),"")</f>
        <v/>
      </c>
      <c r="K274" s="0" t="str">
        <f aca="false">IFERROR(IF(OR(HLOOKUP($A274,#REF!,9,FALSE())&gt;2,HLOOKUP($A274,#REF!,9,FALSE())&lt;-2),"",#REF!),"")</f>
        <v/>
      </c>
      <c r="L274" s="0" t="str">
        <f aca="false">IFERROR(IF(OR(HLOOKUP($A274,#REF!,10,FALSE())&gt;2,HLOOKUP($A274,#REF!,10,FALSE())&lt;-2),"",#REF!),"")</f>
        <v/>
      </c>
      <c r="M274" s="0" t="str">
        <f aca="false">IFERROR(IF(OR(HLOOKUP($A274,#REF!,11,FALSE())&gt;2,HLOOKUP($A274,#REF!,11,FALSE())&lt;-2),"",#REF!),"")</f>
        <v/>
      </c>
      <c r="N274" s="0" t="str">
        <f aca="false">IFERROR(IF(OR(HLOOKUP($A274,#REF!,12,FALSE())&gt;2,HLOOKUP($A274,#REF!,12,FALSE())&lt;-2),"",#REF!),"")</f>
        <v/>
      </c>
      <c r="O274" s="0" t="str">
        <f aca="false">IFERROR(IF(OR(HLOOKUP($A274,#REF!,13,FALSE())&gt;2,HLOOKUP($A274,#REF!,13,FALSE())&lt;-2),"",#REF!),"")</f>
        <v/>
      </c>
      <c r="P274" s="0" t="str">
        <f aca="false">IFERROR(IF(OR(HLOOKUP($A274,#REF!,14,FALSE())&gt;2,HLOOKUP($A274,#REF!,14,FALSE())&lt;-2),"",#REF!),"")</f>
        <v/>
      </c>
      <c r="Q274" s="0" t="str">
        <f aca="false">IFERROR(IF(OR(HLOOKUP($A274,#REF!,15,FALSE())&gt;2,HLOOKUP($A274,#REF!,15,FALSE())&lt;-2),"",#REF!),"")</f>
        <v/>
      </c>
      <c r="R274" s="0" t="str">
        <f aca="false">IFERROR(IF(OR(HLOOKUP($A274,#REF!,16,FALSE())&gt;2,HLOOKUP($A274,#REF!,16,FALSE())&lt;-2),"",#REF!),"")</f>
        <v/>
      </c>
      <c r="S274" s="0" t="str">
        <f aca="false">IFERROR(IF(OR(HLOOKUP($A274,#REF!,17,FALSE())&gt;2,HLOOKUP($A274,#REF!,17,FALSE())&lt;-2),"",#REF!),"")</f>
        <v/>
      </c>
      <c r="T274" s="0" t="str">
        <f aca="false">IFERROR(IF(OR(HLOOKUP($A274,#REF!,18,FALSE())&gt;2,HLOOKUP($A274,#REF!,18,FALSE())&lt;-2),"",#REF!),"")</f>
        <v/>
      </c>
      <c r="U274" s="0" t="str">
        <f aca="false">IFERROR(IF(OR(HLOOKUP($A274,#REF!,19,FALSE())&gt;2,HLOOKUP($A274,#REF!,19,FALSE())&lt;-2),"",#REF!),"")</f>
        <v/>
      </c>
      <c r="V274" s="0" t="n">
        <f aca="false">IFERROR(IF(AND(X274=0,Y274=0),0,1),0)</f>
        <v>1</v>
      </c>
      <c r="W274" s="3" t="str">
        <f aca="false">IFERROR(_xlfn.T.TEST(E274:M274,N274:U274,2,2),"")</f>
        <v/>
      </c>
      <c r="X274" s="0" t="str">
        <f aca="false">IFERROR(AVERAGE(E274:M274),"")</f>
        <v/>
      </c>
      <c r="Y274" s="0" t="str">
        <f aca="false">IFERROR(AVERAGE(N274:U274),"")</f>
        <v/>
      </c>
    </row>
    <row r="275" customFormat="false" ht="14.5" hidden="false" customHeight="false" outlineLevel="0" collapsed="false">
      <c r="A275" s="0" t="n">
        <v>281</v>
      </c>
      <c r="B275" s="0" t="s">
        <v>359</v>
      </c>
      <c r="C275" s="0" t="n">
        <v>14900</v>
      </c>
      <c r="D275" s="0" t="n">
        <v>394</v>
      </c>
      <c r="E275" s="0" t="str">
        <f aca="false">IFERROR(IF(OR(HLOOKUP($A275,#REF!,3,FALSE())&gt;2,HLOOKUP(A275,#REF!,3,FALSE())&lt;-2),"",#REF!),"")</f>
        <v/>
      </c>
      <c r="F275" s="0" t="str">
        <f aca="false">IFERROR(IF(OR(HLOOKUP($A275,#REF!,4,FALSE())&gt;2,HLOOKUP($A275,#REF!,4,FALSE())&lt;-2),"",#REF!),"")</f>
        <v/>
      </c>
      <c r="G275" s="0" t="str">
        <f aca="false">IFERROR(IF(OR(HLOOKUP($A275,#REF!,5,FALSE())&gt;2,HLOOKUP($A275,#REF!,5,FALSE())&lt;-2),"",#REF!),"")</f>
        <v/>
      </c>
      <c r="H275" s="0" t="str">
        <f aca="false">IFERROR(IF(OR(HLOOKUP($A275,#REF!,6,FALSE())&gt;2,HLOOKUP($A275,#REF!,6,FALSE())&lt;-2),"",#REF!),"")</f>
        <v/>
      </c>
      <c r="I275" s="0" t="str">
        <f aca="false">IFERROR(IF(OR(HLOOKUP($A275,#REF!,7,FALSE())&gt;2,HLOOKUP($A275,#REF!,7,FALSE())&lt;-2),"",#REF!),"")</f>
        <v/>
      </c>
      <c r="J275" s="0" t="str">
        <f aca="false">IFERROR(IF(OR(HLOOKUP($A275,#REF!,8,FALSE())&gt;2,HLOOKUP($A275,#REF!,8,FALSE())&lt;-2),"",#REF!),"")</f>
        <v/>
      </c>
      <c r="K275" s="0" t="str">
        <f aca="false">IFERROR(IF(OR(HLOOKUP($A275,#REF!,9,FALSE())&gt;2,HLOOKUP($A275,#REF!,9,FALSE())&lt;-2),"",#REF!),"")</f>
        <v/>
      </c>
      <c r="L275" s="0" t="str">
        <f aca="false">IFERROR(IF(OR(HLOOKUP($A275,#REF!,10,FALSE())&gt;2,HLOOKUP($A275,#REF!,10,FALSE())&lt;-2),"",#REF!),"")</f>
        <v/>
      </c>
      <c r="M275" s="0" t="str">
        <f aca="false">IFERROR(IF(OR(HLOOKUP($A275,#REF!,11,FALSE())&gt;2,HLOOKUP($A275,#REF!,11,FALSE())&lt;-2),"",#REF!),"")</f>
        <v/>
      </c>
      <c r="N275" s="0" t="str">
        <f aca="false">IFERROR(IF(OR(HLOOKUP($A275,#REF!,12,FALSE())&gt;2,HLOOKUP($A275,#REF!,12,FALSE())&lt;-2),"",#REF!),"")</f>
        <v/>
      </c>
      <c r="O275" s="0" t="str">
        <f aca="false">IFERROR(IF(OR(HLOOKUP($A275,#REF!,13,FALSE())&gt;2,HLOOKUP($A275,#REF!,13,FALSE())&lt;-2),"",#REF!),"")</f>
        <v/>
      </c>
      <c r="P275" s="0" t="str">
        <f aca="false">IFERROR(IF(OR(HLOOKUP($A275,#REF!,14,FALSE())&gt;2,HLOOKUP($A275,#REF!,14,FALSE())&lt;-2),"",#REF!),"")</f>
        <v/>
      </c>
      <c r="Q275" s="0" t="str">
        <f aca="false">IFERROR(IF(OR(HLOOKUP($A275,#REF!,15,FALSE())&gt;2,HLOOKUP($A275,#REF!,15,FALSE())&lt;-2),"",#REF!),"")</f>
        <v/>
      </c>
      <c r="R275" s="0" t="str">
        <f aca="false">IFERROR(IF(OR(HLOOKUP($A275,#REF!,16,FALSE())&gt;2,HLOOKUP($A275,#REF!,16,FALSE())&lt;-2),"",#REF!),"")</f>
        <v/>
      </c>
      <c r="S275" s="0" t="str">
        <f aca="false">IFERROR(IF(OR(HLOOKUP($A275,#REF!,17,FALSE())&gt;2,HLOOKUP($A275,#REF!,17,FALSE())&lt;-2),"",#REF!),"")</f>
        <v/>
      </c>
      <c r="T275" s="0" t="str">
        <f aca="false">IFERROR(IF(OR(HLOOKUP($A275,#REF!,18,FALSE())&gt;2,HLOOKUP($A275,#REF!,18,FALSE())&lt;-2),"",#REF!),"")</f>
        <v/>
      </c>
      <c r="U275" s="0" t="str">
        <f aca="false">IFERROR(IF(OR(HLOOKUP($A275,#REF!,19,FALSE())&gt;2,HLOOKUP($A275,#REF!,19,FALSE())&lt;-2),"",#REF!),"")</f>
        <v/>
      </c>
      <c r="V275" s="0" t="n">
        <f aca="false">IFERROR(IF(AND(X275=0,Y275=0),0,1),0)</f>
        <v>1</v>
      </c>
      <c r="W275" s="3" t="str">
        <f aca="false">IFERROR(_xlfn.T.TEST(E275:M275,N275:U275,2,2),"")</f>
        <v/>
      </c>
      <c r="X275" s="0" t="str">
        <f aca="false">IFERROR(AVERAGE(E275:M275),"")</f>
        <v/>
      </c>
      <c r="Y275" s="0" t="str">
        <f aca="false">IFERROR(AVERAGE(N275:U275),"")</f>
        <v/>
      </c>
    </row>
    <row r="276" customFormat="false" ht="14.5" hidden="false" customHeight="false" outlineLevel="0" collapsed="false">
      <c r="A276" s="0" t="n">
        <v>283</v>
      </c>
      <c r="B276" s="0" t="s">
        <v>360</v>
      </c>
      <c r="C276" s="0" t="n">
        <v>87300</v>
      </c>
      <c r="D276" s="0" t="n">
        <v>987</v>
      </c>
      <c r="E276" s="0" t="str">
        <f aca="false">IFERROR(IF(OR(HLOOKUP($A276,#REF!,3,FALSE())&gt;2,HLOOKUP(A276,#REF!,3,FALSE())&lt;-2),"",#REF!),"")</f>
        <v/>
      </c>
      <c r="F276" s="0" t="str">
        <f aca="false">IFERROR(IF(OR(HLOOKUP($A276,#REF!,4,FALSE())&gt;2,HLOOKUP($A276,#REF!,4,FALSE())&lt;-2),"",#REF!),"")</f>
        <v/>
      </c>
      <c r="G276" s="0" t="str">
        <f aca="false">IFERROR(IF(OR(HLOOKUP($A276,#REF!,5,FALSE())&gt;2,HLOOKUP($A276,#REF!,5,FALSE())&lt;-2),"",#REF!),"")</f>
        <v/>
      </c>
      <c r="H276" s="0" t="str">
        <f aca="false">IFERROR(IF(OR(HLOOKUP($A276,#REF!,6,FALSE())&gt;2,HLOOKUP($A276,#REF!,6,FALSE())&lt;-2),"",#REF!),"")</f>
        <v/>
      </c>
      <c r="I276" s="0" t="str">
        <f aca="false">IFERROR(IF(OR(HLOOKUP($A276,#REF!,7,FALSE())&gt;2,HLOOKUP($A276,#REF!,7,FALSE())&lt;-2),"",#REF!),"")</f>
        <v/>
      </c>
      <c r="J276" s="0" t="str">
        <f aca="false">IFERROR(IF(OR(HLOOKUP($A276,#REF!,8,FALSE())&gt;2,HLOOKUP($A276,#REF!,8,FALSE())&lt;-2),"",#REF!),"")</f>
        <v/>
      </c>
      <c r="K276" s="0" t="str">
        <f aca="false">IFERROR(IF(OR(HLOOKUP($A276,#REF!,9,FALSE())&gt;2,HLOOKUP($A276,#REF!,9,FALSE())&lt;-2),"",#REF!),"")</f>
        <v/>
      </c>
      <c r="L276" s="0" t="str">
        <f aca="false">IFERROR(IF(OR(HLOOKUP($A276,#REF!,10,FALSE())&gt;2,HLOOKUP($A276,#REF!,10,FALSE())&lt;-2),"",#REF!),"")</f>
        <v/>
      </c>
      <c r="M276" s="0" t="str">
        <f aca="false">IFERROR(IF(OR(HLOOKUP($A276,#REF!,11,FALSE())&gt;2,HLOOKUP($A276,#REF!,11,FALSE())&lt;-2),"",#REF!),"")</f>
        <v/>
      </c>
      <c r="N276" s="0" t="str">
        <f aca="false">IFERROR(IF(OR(HLOOKUP($A276,#REF!,12,FALSE())&gt;2,HLOOKUP($A276,#REF!,12,FALSE())&lt;-2),"",#REF!),"")</f>
        <v/>
      </c>
      <c r="O276" s="0" t="str">
        <f aca="false">IFERROR(IF(OR(HLOOKUP($A276,#REF!,13,FALSE())&gt;2,HLOOKUP($A276,#REF!,13,FALSE())&lt;-2),"",#REF!),"")</f>
        <v/>
      </c>
      <c r="P276" s="0" t="str">
        <f aca="false">IFERROR(IF(OR(HLOOKUP($A276,#REF!,14,FALSE())&gt;2,HLOOKUP($A276,#REF!,14,FALSE())&lt;-2),"",#REF!),"")</f>
        <v/>
      </c>
      <c r="Q276" s="0" t="str">
        <f aca="false">IFERROR(IF(OR(HLOOKUP($A276,#REF!,15,FALSE())&gt;2,HLOOKUP($A276,#REF!,15,FALSE())&lt;-2),"",#REF!),"")</f>
        <v/>
      </c>
      <c r="R276" s="0" t="str">
        <f aca="false">IFERROR(IF(OR(HLOOKUP($A276,#REF!,16,FALSE())&gt;2,HLOOKUP($A276,#REF!,16,FALSE())&lt;-2),"",#REF!),"")</f>
        <v/>
      </c>
      <c r="S276" s="0" t="str">
        <f aca="false">IFERROR(IF(OR(HLOOKUP($A276,#REF!,17,FALSE())&gt;2,HLOOKUP($A276,#REF!,17,FALSE())&lt;-2),"",#REF!),"")</f>
        <v/>
      </c>
      <c r="T276" s="0" t="str">
        <f aca="false">IFERROR(IF(OR(HLOOKUP($A276,#REF!,18,FALSE())&gt;2,HLOOKUP($A276,#REF!,18,FALSE())&lt;-2),"",#REF!),"")</f>
        <v/>
      </c>
      <c r="U276" s="0" t="str">
        <f aca="false">IFERROR(IF(OR(HLOOKUP($A276,#REF!,19,FALSE())&gt;2,HLOOKUP($A276,#REF!,19,FALSE())&lt;-2),"",#REF!),"")</f>
        <v/>
      </c>
      <c r="V276" s="0" t="n">
        <f aca="false">IFERROR(IF(AND(X276=0,Y276=0),0,1),0)</f>
        <v>1</v>
      </c>
      <c r="W276" s="3" t="str">
        <f aca="false">IFERROR(_xlfn.T.TEST(E276:M276,N276:U276,2,2),"")</f>
        <v/>
      </c>
      <c r="X276" s="0" t="str">
        <f aca="false">IFERROR(AVERAGE(E276:M276),"")</f>
        <v/>
      </c>
      <c r="Y276" s="0" t="str">
        <f aca="false">IFERROR(AVERAGE(N276:U276),"")</f>
        <v/>
      </c>
    </row>
    <row r="277" customFormat="false" ht="14.5" hidden="false" customHeight="false" outlineLevel="0" collapsed="false">
      <c r="A277" s="0" t="n">
        <v>284</v>
      </c>
      <c r="B277" s="0" t="s">
        <v>361</v>
      </c>
      <c r="C277" s="0" t="n">
        <v>33900</v>
      </c>
      <c r="D277" s="0" t="n">
        <v>961</v>
      </c>
      <c r="E277" s="0" t="str">
        <f aca="false">IFERROR(IF(OR(HLOOKUP($A277,#REF!,3,FALSE())&gt;2,HLOOKUP(A277,#REF!,3,FALSE())&lt;-2),"",#REF!),"")</f>
        <v/>
      </c>
      <c r="F277" s="0" t="str">
        <f aca="false">IFERROR(IF(OR(HLOOKUP($A277,#REF!,4,FALSE())&gt;2,HLOOKUP($A277,#REF!,4,FALSE())&lt;-2),"",#REF!),"")</f>
        <v/>
      </c>
      <c r="G277" s="0" t="str">
        <f aca="false">IFERROR(IF(OR(HLOOKUP($A277,#REF!,5,FALSE())&gt;2,HLOOKUP($A277,#REF!,5,FALSE())&lt;-2),"",#REF!),"")</f>
        <v/>
      </c>
      <c r="H277" s="0" t="str">
        <f aca="false">IFERROR(IF(OR(HLOOKUP($A277,#REF!,6,FALSE())&gt;2,HLOOKUP($A277,#REF!,6,FALSE())&lt;-2),"",#REF!),"")</f>
        <v/>
      </c>
      <c r="I277" s="0" t="str">
        <f aca="false">IFERROR(IF(OR(HLOOKUP($A277,#REF!,7,FALSE())&gt;2,HLOOKUP($A277,#REF!,7,FALSE())&lt;-2),"",#REF!),"")</f>
        <v/>
      </c>
      <c r="J277" s="0" t="str">
        <f aca="false">IFERROR(IF(OR(HLOOKUP($A277,#REF!,8,FALSE())&gt;2,HLOOKUP($A277,#REF!,8,FALSE())&lt;-2),"",#REF!),"")</f>
        <v/>
      </c>
      <c r="K277" s="0" t="str">
        <f aca="false">IFERROR(IF(OR(HLOOKUP($A277,#REF!,9,FALSE())&gt;2,HLOOKUP($A277,#REF!,9,FALSE())&lt;-2),"",#REF!),"")</f>
        <v/>
      </c>
      <c r="L277" s="0" t="str">
        <f aca="false">IFERROR(IF(OR(HLOOKUP($A277,#REF!,10,FALSE())&gt;2,HLOOKUP($A277,#REF!,10,FALSE())&lt;-2),"",#REF!),"")</f>
        <v/>
      </c>
      <c r="M277" s="0" t="str">
        <f aca="false">IFERROR(IF(OR(HLOOKUP($A277,#REF!,11,FALSE())&gt;2,HLOOKUP($A277,#REF!,11,FALSE())&lt;-2),"",#REF!),"")</f>
        <v/>
      </c>
      <c r="N277" s="0" t="str">
        <f aca="false">IFERROR(IF(OR(HLOOKUP($A277,#REF!,12,FALSE())&gt;2,HLOOKUP($A277,#REF!,12,FALSE())&lt;-2),"",#REF!),"")</f>
        <v/>
      </c>
      <c r="O277" s="0" t="str">
        <f aca="false">IFERROR(IF(OR(HLOOKUP($A277,#REF!,13,FALSE())&gt;2,HLOOKUP($A277,#REF!,13,FALSE())&lt;-2),"",#REF!),"")</f>
        <v/>
      </c>
      <c r="P277" s="0" t="str">
        <f aca="false">IFERROR(IF(OR(HLOOKUP($A277,#REF!,14,FALSE())&gt;2,HLOOKUP($A277,#REF!,14,FALSE())&lt;-2),"",#REF!),"")</f>
        <v/>
      </c>
      <c r="Q277" s="0" t="str">
        <f aca="false">IFERROR(IF(OR(HLOOKUP($A277,#REF!,15,FALSE())&gt;2,HLOOKUP($A277,#REF!,15,FALSE())&lt;-2),"",#REF!),"")</f>
        <v/>
      </c>
      <c r="R277" s="0" t="str">
        <f aca="false">IFERROR(IF(OR(HLOOKUP($A277,#REF!,16,FALSE())&gt;2,HLOOKUP($A277,#REF!,16,FALSE())&lt;-2),"",#REF!),"")</f>
        <v/>
      </c>
      <c r="S277" s="0" t="str">
        <f aca="false">IFERROR(IF(OR(HLOOKUP($A277,#REF!,17,FALSE())&gt;2,HLOOKUP($A277,#REF!,17,FALSE())&lt;-2),"",#REF!),"")</f>
        <v/>
      </c>
      <c r="T277" s="0" t="str">
        <f aca="false">IFERROR(IF(OR(HLOOKUP($A277,#REF!,18,FALSE())&gt;2,HLOOKUP($A277,#REF!,18,FALSE())&lt;-2),"",#REF!),"")</f>
        <v/>
      </c>
      <c r="U277" s="0" t="str">
        <f aca="false">IFERROR(IF(OR(HLOOKUP($A277,#REF!,19,FALSE())&gt;2,HLOOKUP($A277,#REF!,19,FALSE())&lt;-2),"",#REF!),"")</f>
        <v/>
      </c>
      <c r="V277" s="0" t="n">
        <f aca="false">IFERROR(IF(AND(X277=0,Y277=0),0,1),0)</f>
        <v>1</v>
      </c>
      <c r="W277" s="3" t="str">
        <f aca="false">IFERROR(_xlfn.T.TEST(E277:M277,N277:U277,2,2),"")</f>
        <v/>
      </c>
      <c r="X277" s="0" t="str">
        <f aca="false">IFERROR(AVERAGE(E277:M277),"")</f>
        <v/>
      </c>
      <c r="Y277" s="0" t="str">
        <f aca="false">IFERROR(AVERAGE(N277:U277),"")</f>
        <v/>
      </c>
    </row>
    <row r="278" customFormat="false" ht="14.5" hidden="false" customHeight="false" outlineLevel="0" collapsed="false">
      <c r="A278" s="0" t="n">
        <v>285</v>
      </c>
      <c r="B278" s="0" t="s">
        <v>362</v>
      </c>
      <c r="C278" s="0" t="n">
        <v>104000</v>
      </c>
      <c r="D278" s="0" t="n">
        <v>871</v>
      </c>
      <c r="E278" s="0" t="str">
        <f aca="false">IFERROR(IF(OR(HLOOKUP($A278,#REF!,3,FALSE())&gt;2,HLOOKUP(A278,#REF!,3,FALSE())&lt;-2),"",#REF!),"")</f>
        <v/>
      </c>
      <c r="F278" s="0" t="str">
        <f aca="false">IFERROR(IF(OR(HLOOKUP($A278,#REF!,4,FALSE())&gt;2,HLOOKUP($A278,#REF!,4,FALSE())&lt;-2),"",#REF!),"")</f>
        <v/>
      </c>
      <c r="G278" s="0" t="str">
        <f aca="false">IFERROR(IF(OR(HLOOKUP($A278,#REF!,5,FALSE())&gt;2,HLOOKUP($A278,#REF!,5,FALSE())&lt;-2),"",#REF!),"")</f>
        <v/>
      </c>
      <c r="H278" s="0" t="str">
        <f aca="false">IFERROR(IF(OR(HLOOKUP($A278,#REF!,6,FALSE())&gt;2,HLOOKUP($A278,#REF!,6,FALSE())&lt;-2),"",#REF!),"")</f>
        <v/>
      </c>
      <c r="I278" s="0" t="str">
        <f aca="false">IFERROR(IF(OR(HLOOKUP($A278,#REF!,7,FALSE())&gt;2,HLOOKUP($A278,#REF!,7,FALSE())&lt;-2),"",#REF!),"")</f>
        <v/>
      </c>
      <c r="J278" s="0" t="str">
        <f aca="false">IFERROR(IF(OR(HLOOKUP($A278,#REF!,8,FALSE())&gt;2,HLOOKUP($A278,#REF!,8,FALSE())&lt;-2),"",#REF!),"")</f>
        <v/>
      </c>
      <c r="K278" s="0" t="str">
        <f aca="false">IFERROR(IF(OR(HLOOKUP($A278,#REF!,9,FALSE())&gt;2,HLOOKUP($A278,#REF!,9,FALSE())&lt;-2),"",#REF!),"")</f>
        <v/>
      </c>
      <c r="L278" s="0" t="str">
        <f aca="false">IFERROR(IF(OR(HLOOKUP($A278,#REF!,10,FALSE())&gt;2,HLOOKUP($A278,#REF!,10,FALSE())&lt;-2),"",#REF!),"")</f>
        <v/>
      </c>
      <c r="M278" s="0" t="str">
        <f aca="false">IFERROR(IF(OR(HLOOKUP($A278,#REF!,11,FALSE())&gt;2,HLOOKUP($A278,#REF!,11,FALSE())&lt;-2),"",#REF!),"")</f>
        <v/>
      </c>
      <c r="N278" s="0" t="str">
        <f aca="false">IFERROR(IF(OR(HLOOKUP($A278,#REF!,12,FALSE())&gt;2,HLOOKUP($A278,#REF!,12,FALSE())&lt;-2),"",#REF!),"")</f>
        <v/>
      </c>
      <c r="O278" s="0" t="str">
        <f aca="false">IFERROR(IF(OR(HLOOKUP($A278,#REF!,13,FALSE())&gt;2,HLOOKUP($A278,#REF!,13,FALSE())&lt;-2),"",#REF!),"")</f>
        <v/>
      </c>
      <c r="P278" s="0" t="str">
        <f aca="false">IFERROR(IF(OR(HLOOKUP($A278,#REF!,14,FALSE())&gt;2,HLOOKUP($A278,#REF!,14,FALSE())&lt;-2),"",#REF!),"")</f>
        <v/>
      </c>
      <c r="Q278" s="0" t="str">
        <f aca="false">IFERROR(IF(OR(HLOOKUP($A278,#REF!,15,FALSE())&gt;2,HLOOKUP($A278,#REF!,15,FALSE())&lt;-2),"",#REF!),"")</f>
        <v/>
      </c>
      <c r="R278" s="0" t="str">
        <f aca="false">IFERROR(IF(OR(HLOOKUP($A278,#REF!,16,FALSE())&gt;2,HLOOKUP($A278,#REF!,16,FALSE())&lt;-2),"",#REF!),"")</f>
        <v/>
      </c>
      <c r="S278" s="0" t="str">
        <f aca="false">IFERROR(IF(OR(HLOOKUP($A278,#REF!,17,FALSE())&gt;2,HLOOKUP($A278,#REF!,17,FALSE())&lt;-2),"",#REF!),"")</f>
        <v/>
      </c>
      <c r="T278" s="0" t="str">
        <f aca="false">IFERROR(IF(OR(HLOOKUP($A278,#REF!,18,FALSE())&gt;2,HLOOKUP($A278,#REF!,18,FALSE())&lt;-2),"",#REF!),"")</f>
        <v/>
      </c>
      <c r="U278" s="0" t="str">
        <f aca="false">IFERROR(IF(OR(HLOOKUP($A278,#REF!,19,FALSE())&gt;2,HLOOKUP($A278,#REF!,19,FALSE())&lt;-2),"",#REF!),"")</f>
        <v/>
      </c>
      <c r="V278" s="0" t="n">
        <f aca="false">IFERROR(IF(AND(X278=0,Y278=0),0,1),0)</f>
        <v>1</v>
      </c>
      <c r="W278" s="3" t="str">
        <f aca="false">IFERROR(_xlfn.T.TEST(E278:M278,N278:U278,2,2),"")</f>
        <v/>
      </c>
      <c r="X278" s="0" t="str">
        <f aca="false">IFERROR(AVERAGE(E278:M278),"")</f>
        <v/>
      </c>
      <c r="Y278" s="0" t="str">
        <f aca="false">IFERROR(AVERAGE(N278:U278),"")</f>
        <v/>
      </c>
    </row>
    <row r="279" customFormat="false" ht="14.5" hidden="false" customHeight="false" outlineLevel="0" collapsed="false">
      <c r="A279" s="0" t="n">
        <v>286</v>
      </c>
      <c r="B279" s="0" t="s">
        <v>363</v>
      </c>
      <c r="C279" s="0" t="n">
        <v>73700</v>
      </c>
      <c r="D279" s="0" t="n">
        <v>141</v>
      </c>
      <c r="E279" s="0" t="str">
        <f aca="false">IFERROR(IF(OR(HLOOKUP($A279,#REF!,3,FALSE())&gt;2,HLOOKUP(A279,#REF!,3,FALSE())&lt;-2),"",#REF!),"")</f>
        <v/>
      </c>
      <c r="F279" s="0" t="str">
        <f aca="false">IFERROR(IF(OR(HLOOKUP($A279,#REF!,4,FALSE())&gt;2,HLOOKUP($A279,#REF!,4,FALSE())&lt;-2),"",#REF!),"")</f>
        <v/>
      </c>
      <c r="G279" s="0" t="str">
        <f aca="false">IFERROR(IF(OR(HLOOKUP($A279,#REF!,5,FALSE())&gt;2,HLOOKUP($A279,#REF!,5,FALSE())&lt;-2),"",#REF!),"")</f>
        <v/>
      </c>
      <c r="H279" s="0" t="str">
        <f aca="false">IFERROR(IF(OR(HLOOKUP($A279,#REF!,6,FALSE())&gt;2,HLOOKUP($A279,#REF!,6,FALSE())&lt;-2),"",#REF!),"")</f>
        <v/>
      </c>
      <c r="I279" s="0" t="str">
        <f aca="false">IFERROR(IF(OR(HLOOKUP($A279,#REF!,7,FALSE())&gt;2,HLOOKUP($A279,#REF!,7,FALSE())&lt;-2),"",#REF!),"")</f>
        <v/>
      </c>
      <c r="J279" s="0" t="str">
        <f aca="false">IFERROR(IF(OR(HLOOKUP($A279,#REF!,8,FALSE())&gt;2,HLOOKUP($A279,#REF!,8,FALSE())&lt;-2),"",#REF!),"")</f>
        <v/>
      </c>
      <c r="K279" s="0" t="str">
        <f aca="false">IFERROR(IF(OR(HLOOKUP($A279,#REF!,9,FALSE())&gt;2,HLOOKUP($A279,#REF!,9,FALSE())&lt;-2),"",#REF!),"")</f>
        <v/>
      </c>
      <c r="L279" s="0" t="str">
        <f aca="false">IFERROR(IF(OR(HLOOKUP($A279,#REF!,10,FALSE())&gt;2,HLOOKUP($A279,#REF!,10,FALSE())&lt;-2),"",#REF!),"")</f>
        <v/>
      </c>
      <c r="M279" s="0" t="str">
        <f aca="false">IFERROR(IF(OR(HLOOKUP($A279,#REF!,11,FALSE())&gt;2,HLOOKUP($A279,#REF!,11,FALSE())&lt;-2),"",#REF!),"")</f>
        <v/>
      </c>
      <c r="N279" s="0" t="str">
        <f aca="false">IFERROR(IF(OR(HLOOKUP($A279,#REF!,12,FALSE())&gt;2,HLOOKUP($A279,#REF!,12,FALSE())&lt;-2),"",#REF!),"")</f>
        <v/>
      </c>
      <c r="O279" s="0" t="str">
        <f aca="false">IFERROR(IF(OR(HLOOKUP($A279,#REF!,13,FALSE())&gt;2,HLOOKUP($A279,#REF!,13,FALSE())&lt;-2),"",#REF!),"")</f>
        <v/>
      </c>
      <c r="P279" s="0" t="str">
        <f aca="false">IFERROR(IF(OR(HLOOKUP($A279,#REF!,14,FALSE())&gt;2,HLOOKUP($A279,#REF!,14,FALSE())&lt;-2),"",#REF!),"")</f>
        <v/>
      </c>
      <c r="Q279" s="0" t="str">
        <f aca="false">IFERROR(IF(OR(HLOOKUP($A279,#REF!,15,FALSE())&gt;2,HLOOKUP($A279,#REF!,15,FALSE())&lt;-2),"",#REF!),"")</f>
        <v/>
      </c>
      <c r="R279" s="0" t="str">
        <f aca="false">IFERROR(IF(OR(HLOOKUP($A279,#REF!,16,FALSE())&gt;2,HLOOKUP($A279,#REF!,16,FALSE())&lt;-2),"",#REF!),"")</f>
        <v/>
      </c>
      <c r="S279" s="0" t="str">
        <f aca="false">IFERROR(IF(OR(HLOOKUP($A279,#REF!,17,FALSE())&gt;2,HLOOKUP($A279,#REF!,17,FALSE())&lt;-2),"",#REF!),"")</f>
        <v/>
      </c>
      <c r="T279" s="0" t="str">
        <f aca="false">IFERROR(IF(OR(HLOOKUP($A279,#REF!,18,FALSE())&gt;2,HLOOKUP($A279,#REF!,18,FALSE())&lt;-2),"",#REF!),"")</f>
        <v/>
      </c>
      <c r="U279" s="0" t="str">
        <f aca="false">IFERROR(IF(OR(HLOOKUP($A279,#REF!,19,FALSE())&gt;2,HLOOKUP($A279,#REF!,19,FALSE())&lt;-2),"",#REF!),"")</f>
        <v/>
      </c>
      <c r="V279" s="0" t="n">
        <f aca="false">IFERROR(IF(AND(X279=0,Y279=0),0,1),0)</f>
        <v>1</v>
      </c>
      <c r="W279" s="3" t="str">
        <f aca="false">IFERROR(_xlfn.T.TEST(E279:M279,N279:U279,2,2),"")</f>
        <v/>
      </c>
      <c r="X279" s="0" t="str">
        <f aca="false">IFERROR(AVERAGE(E279:M279),"")</f>
        <v/>
      </c>
      <c r="Y279" s="0" t="str">
        <f aca="false">IFERROR(AVERAGE(N279:U279),"")</f>
        <v/>
      </c>
    </row>
    <row r="280" customFormat="false" ht="14.5" hidden="false" customHeight="false" outlineLevel="0" collapsed="false">
      <c r="A280" s="0" t="n">
        <v>287</v>
      </c>
      <c r="B280" s="0" t="s">
        <v>364</v>
      </c>
      <c r="C280" s="0" t="n">
        <v>54600</v>
      </c>
      <c r="D280" s="0" t="n">
        <v>809</v>
      </c>
      <c r="E280" s="0" t="str">
        <f aca="false">IFERROR(IF(OR(HLOOKUP($A280,#REF!,3,FALSE())&gt;2,HLOOKUP(A280,#REF!,3,FALSE())&lt;-2),"",#REF!),"")</f>
        <v/>
      </c>
      <c r="F280" s="0" t="str">
        <f aca="false">IFERROR(IF(OR(HLOOKUP($A280,#REF!,4,FALSE())&gt;2,HLOOKUP($A280,#REF!,4,FALSE())&lt;-2),"",#REF!),"")</f>
        <v/>
      </c>
      <c r="G280" s="0" t="str">
        <f aca="false">IFERROR(IF(OR(HLOOKUP($A280,#REF!,5,FALSE())&gt;2,HLOOKUP($A280,#REF!,5,FALSE())&lt;-2),"",#REF!),"")</f>
        <v/>
      </c>
      <c r="H280" s="0" t="str">
        <f aca="false">IFERROR(IF(OR(HLOOKUP($A280,#REF!,6,FALSE())&gt;2,HLOOKUP($A280,#REF!,6,FALSE())&lt;-2),"",#REF!),"")</f>
        <v/>
      </c>
      <c r="I280" s="0" t="str">
        <f aca="false">IFERROR(IF(OR(HLOOKUP($A280,#REF!,7,FALSE())&gt;2,HLOOKUP($A280,#REF!,7,FALSE())&lt;-2),"",#REF!),"")</f>
        <v/>
      </c>
      <c r="J280" s="0" t="str">
        <f aca="false">IFERROR(IF(OR(HLOOKUP($A280,#REF!,8,FALSE())&gt;2,HLOOKUP($A280,#REF!,8,FALSE())&lt;-2),"",#REF!),"")</f>
        <v/>
      </c>
      <c r="K280" s="0" t="str">
        <f aca="false">IFERROR(IF(OR(HLOOKUP($A280,#REF!,9,FALSE())&gt;2,HLOOKUP($A280,#REF!,9,FALSE())&lt;-2),"",#REF!),"")</f>
        <v/>
      </c>
      <c r="L280" s="0" t="str">
        <f aca="false">IFERROR(IF(OR(HLOOKUP($A280,#REF!,10,FALSE())&gt;2,HLOOKUP($A280,#REF!,10,FALSE())&lt;-2),"",#REF!),"")</f>
        <v/>
      </c>
      <c r="M280" s="0" t="str">
        <f aca="false">IFERROR(IF(OR(HLOOKUP($A280,#REF!,11,FALSE())&gt;2,HLOOKUP($A280,#REF!,11,FALSE())&lt;-2),"",#REF!),"")</f>
        <v/>
      </c>
      <c r="N280" s="0" t="str">
        <f aca="false">IFERROR(IF(OR(HLOOKUP($A280,#REF!,12,FALSE())&gt;2,HLOOKUP($A280,#REF!,12,FALSE())&lt;-2),"",#REF!),"")</f>
        <v/>
      </c>
      <c r="O280" s="0" t="str">
        <f aca="false">IFERROR(IF(OR(HLOOKUP($A280,#REF!,13,FALSE())&gt;2,HLOOKUP($A280,#REF!,13,FALSE())&lt;-2),"",#REF!),"")</f>
        <v/>
      </c>
      <c r="P280" s="0" t="str">
        <f aca="false">IFERROR(IF(OR(HLOOKUP($A280,#REF!,14,FALSE())&gt;2,HLOOKUP($A280,#REF!,14,FALSE())&lt;-2),"",#REF!),"")</f>
        <v/>
      </c>
      <c r="Q280" s="0" t="str">
        <f aca="false">IFERROR(IF(OR(HLOOKUP($A280,#REF!,15,FALSE())&gt;2,HLOOKUP($A280,#REF!,15,FALSE())&lt;-2),"",#REF!),"")</f>
        <v/>
      </c>
      <c r="R280" s="0" t="str">
        <f aca="false">IFERROR(IF(OR(HLOOKUP($A280,#REF!,16,FALSE())&gt;2,HLOOKUP($A280,#REF!,16,FALSE())&lt;-2),"",#REF!),"")</f>
        <v/>
      </c>
      <c r="S280" s="0" t="str">
        <f aca="false">IFERROR(IF(OR(HLOOKUP($A280,#REF!,17,FALSE())&gt;2,HLOOKUP($A280,#REF!,17,FALSE())&lt;-2),"",#REF!),"")</f>
        <v/>
      </c>
      <c r="T280" s="0" t="str">
        <f aca="false">IFERROR(IF(OR(HLOOKUP($A280,#REF!,18,FALSE())&gt;2,HLOOKUP($A280,#REF!,18,FALSE())&lt;-2),"",#REF!),"")</f>
        <v/>
      </c>
      <c r="U280" s="0" t="str">
        <f aca="false">IFERROR(IF(OR(HLOOKUP($A280,#REF!,19,FALSE())&gt;2,HLOOKUP($A280,#REF!,19,FALSE())&lt;-2),"",#REF!),"")</f>
        <v/>
      </c>
      <c r="V280" s="0" t="n">
        <f aca="false">IFERROR(IF(AND(X280=0,Y280=0),0,1),0)</f>
        <v>1</v>
      </c>
      <c r="W280" s="3" t="str">
        <f aca="false">IFERROR(_xlfn.T.TEST(E280:M280,N280:U280,2,2),"")</f>
        <v/>
      </c>
      <c r="X280" s="0" t="str">
        <f aca="false">IFERROR(AVERAGE(E280:M280),"")</f>
        <v/>
      </c>
      <c r="Y280" s="0" t="str">
        <f aca="false">IFERROR(AVERAGE(N280:U280),"")</f>
        <v/>
      </c>
    </row>
    <row r="281" customFormat="false" ht="14.5" hidden="false" customHeight="false" outlineLevel="0" collapsed="false">
      <c r="A281" s="0" t="n">
        <v>288</v>
      </c>
      <c r="B281" s="0" t="s">
        <v>365</v>
      </c>
      <c r="C281" s="0" t="n">
        <v>22900</v>
      </c>
      <c r="D281" s="0" t="n">
        <v>746</v>
      </c>
      <c r="E281" s="0" t="str">
        <f aca="false">IFERROR(IF(OR(HLOOKUP($A281,#REF!,3,FALSE())&gt;2,HLOOKUP(A281,#REF!,3,FALSE())&lt;-2),"",#REF!),"")</f>
        <v/>
      </c>
      <c r="F281" s="0" t="str">
        <f aca="false">IFERROR(IF(OR(HLOOKUP($A281,#REF!,4,FALSE())&gt;2,HLOOKUP($A281,#REF!,4,FALSE())&lt;-2),"",#REF!),"")</f>
        <v/>
      </c>
      <c r="G281" s="0" t="str">
        <f aca="false">IFERROR(IF(OR(HLOOKUP($A281,#REF!,5,FALSE())&gt;2,HLOOKUP($A281,#REF!,5,FALSE())&lt;-2),"",#REF!),"")</f>
        <v/>
      </c>
      <c r="H281" s="0" t="str">
        <f aca="false">IFERROR(IF(OR(HLOOKUP($A281,#REF!,6,FALSE())&gt;2,HLOOKUP($A281,#REF!,6,FALSE())&lt;-2),"",#REF!),"")</f>
        <v/>
      </c>
      <c r="I281" s="0" t="str">
        <f aca="false">IFERROR(IF(OR(HLOOKUP($A281,#REF!,7,FALSE())&gt;2,HLOOKUP($A281,#REF!,7,FALSE())&lt;-2),"",#REF!),"")</f>
        <v/>
      </c>
      <c r="J281" s="0" t="str">
        <f aca="false">IFERROR(IF(OR(HLOOKUP($A281,#REF!,8,FALSE())&gt;2,HLOOKUP($A281,#REF!,8,FALSE())&lt;-2),"",#REF!),"")</f>
        <v/>
      </c>
      <c r="K281" s="0" t="str">
        <f aca="false">IFERROR(IF(OR(HLOOKUP($A281,#REF!,9,FALSE())&gt;2,HLOOKUP($A281,#REF!,9,FALSE())&lt;-2),"",#REF!),"")</f>
        <v/>
      </c>
      <c r="L281" s="0" t="str">
        <f aca="false">IFERROR(IF(OR(HLOOKUP($A281,#REF!,10,FALSE())&gt;2,HLOOKUP($A281,#REF!,10,FALSE())&lt;-2),"",#REF!),"")</f>
        <v/>
      </c>
      <c r="M281" s="0" t="str">
        <f aca="false">IFERROR(IF(OR(HLOOKUP($A281,#REF!,11,FALSE())&gt;2,HLOOKUP($A281,#REF!,11,FALSE())&lt;-2),"",#REF!),"")</f>
        <v/>
      </c>
      <c r="N281" s="0" t="str">
        <f aca="false">IFERROR(IF(OR(HLOOKUP($A281,#REF!,12,FALSE())&gt;2,HLOOKUP($A281,#REF!,12,FALSE())&lt;-2),"",#REF!),"")</f>
        <v/>
      </c>
      <c r="O281" s="0" t="str">
        <f aca="false">IFERROR(IF(OR(HLOOKUP($A281,#REF!,13,FALSE())&gt;2,HLOOKUP($A281,#REF!,13,FALSE())&lt;-2),"",#REF!),"")</f>
        <v/>
      </c>
      <c r="P281" s="0" t="str">
        <f aca="false">IFERROR(IF(OR(HLOOKUP($A281,#REF!,14,FALSE())&gt;2,HLOOKUP($A281,#REF!,14,FALSE())&lt;-2),"",#REF!),"")</f>
        <v/>
      </c>
      <c r="Q281" s="0" t="str">
        <f aca="false">IFERROR(IF(OR(HLOOKUP($A281,#REF!,15,FALSE())&gt;2,HLOOKUP($A281,#REF!,15,FALSE())&lt;-2),"",#REF!),"")</f>
        <v/>
      </c>
      <c r="R281" s="0" t="str">
        <f aca="false">IFERROR(IF(OR(HLOOKUP($A281,#REF!,16,FALSE())&gt;2,HLOOKUP($A281,#REF!,16,FALSE())&lt;-2),"",#REF!),"")</f>
        <v/>
      </c>
      <c r="S281" s="0" t="str">
        <f aca="false">IFERROR(IF(OR(HLOOKUP($A281,#REF!,17,FALSE())&gt;2,HLOOKUP($A281,#REF!,17,FALSE())&lt;-2),"",#REF!),"")</f>
        <v/>
      </c>
      <c r="T281" s="0" t="str">
        <f aca="false">IFERROR(IF(OR(HLOOKUP($A281,#REF!,18,FALSE())&gt;2,HLOOKUP($A281,#REF!,18,FALSE())&lt;-2),"",#REF!),"")</f>
        <v/>
      </c>
      <c r="U281" s="0" t="str">
        <f aca="false">IFERROR(IF(OR(HLOOKUP($A281,#REF!,19,FALSE())&gt;2,HLOOKUP($A281,#REF!,19,FALSE())&lt;-2),"",#REF!),"")</f>
        <v/>
      </c>
      <c r="V281" s="0" t="n">
        <f aca="false">IFERROR(IF(AND(X281=0,Y281=0),0,1),0)</f>
        <v>1</v>
      </c>
      <c r="W281" s="3" t="str">
        <f aca="false">IFERROR(_xlfn.T.TEST(E281:M281,N281:U281,2,2),"")</f>
        <v/>
      </c>
      <c r="X281" s="0" t="str">
        <f aca="false">IFERROR(AVERAGE(E281:M281),"")</f>
        <v/>
      </c>
      <c r="Y281" s="0" t="str">
        <f aca="false">IFERROR(AVERAGE(N281:U281),"")</f>
        <v/>
      </c>
    </row>
    <row r="282" customFormat="false" ht="14.5" hidden="false" customHeight="false" outlineLevel="0" collapsed="false">
      <c r="A282" s="0" t="n">
        <v>289</v>
      </c>
      <c r="B282" s="0" t="s">
        <v>366</v>
      </c>
      <c r="C282" s="0" t="n">
        <v>28400</v>
      </c>
      <c r="D282" s="0" t="n">
        <v>541</v>
      </c>
      <c r="E282" s="0" t="str">
        <f aca="false">IFERROR(IF(OR(HLOOKUP($A282,#REF!,3,FALSE())&gt;2,HLOOKUP(A282,#REF!,3,FALSE())&lt;-2),"",#REF!),"")</f>
        <v/>
      </c>
      <c r="F282" s="0" t="str">
        <f aca="false">IFERROR(IF(OR(HLOOKUP($A282,#REF!,4,FALSE())&gt;2,HLOOKUP($A282,#REF!,4,FALSE())&lt;-2),"",#REF!),"")</f>
        <v/>
      </c>
      <c r="G282" s="0" t="str">
        <f aca="false">IFERROR(IF(OR(HLOOKUP($A282,#REF!,5,FALSE())&gt;2,HLOOKUP($A282,#REF!,5,FALSE())&lt;-2),"",#REF!),"")</f>
        <v/>
      </c>
      <c r="H282" s="0" t="str">
        <f aca="false">IFERROR(IF(OR(HLOOKUP($A282,#REF!,6,FALSE())&gt;2,HLOOKUP($A282,#REF!,6,FALSE())&lt;-2),"",#REF!),"")</f>
        <v/>
      </c>
      <c r="I282" s="0" t="str">
        <f aca="false">IFERROR(IF(OR(HLOOKUP($A282,#REF!,7,FALSE())&gt;2,HLOOKUP($A282,#REF!,7,FALSE())&lt;-2),"",#REF!),"")</f>
        <v/>
      </c>
      <c r="J282" s="0" t="str">
        <f aca="false">IFERROR(IF(OR(HLOOKUP($A282,#REF!,8,FALSE())&gt;2,HLOOKUP($A282,#REF!,8,FALSE())&lt;-2),"",#REF!),"")</f>
        <v/>
      </c>
      <c r="K282" s="0" t="str">
        <f aca="false">IFERROR(IF(OR(HLOOKUP($A282,#REF!,9,FALSE())&gt;2,HLOOKUP($A282,#REF!,9,FALSE())&lt;-2),"",#REF!),"")</f>
        <v/>
      </c>
      <c r="L282" s="0" t="str">
        <f aca="false">IFERROR(IF(OR(HLOOKUP($A282,#REF!,10,FALSE())&gt;2,HLOOKUP($A282,#REF!,10,FALSE())&lt;-2),"",#REF!),"")</f>
        <v/>
      </c>
      <c r="M282" s="0" t="str">
        <f aca="false">IFERROR(IF(OR(HLOOKUP($A282,#REF!,11,FALSE())&gt;2,HLOOKUP($A282,#REF!,11,FALSE())&lt;-2),"",#REF!),"")</f>
        <v/>
      </c>
      <c r="N282" s="0" t="str">
        <f aca="false">IFERROR(IF(OR(HLOOKUP($A282,#REF!,12,FALSE())&gt;2,HLOOKUP($A282,#REF!,12,FALSE())&lt;-2),"",#REF!),"")</f>
        <v/>
      </c>
      <c r="O282" s="0" t="str">
        <f aca="false">IFERROR(IF(OR(HLOOKUP($A282,#REF!,13,FALSE())&gt;2,HLOOKUP($A282,#REF!,13,FALSE())&lt;-2),"",#REF!),"")</f>
        <v/>
      </c>
      <c r="P282" s="0" t="str">
        <f aca="false">IFERROR(IF(OR(HLOOKUP($A282,#REF!,14,FALSE())&gt;2,HLOOKUP($A282,#REF!,14,FALSE())&lt;-2),"",#REF!),"")</f>
        <v/>
      </c>
      <c r="Q282" s="0" t="str">
        <f aca="false">IFERROR(IF(OR(HLOOKUP($A282,#REF!,15,FALSE())&gt;2,HLOOKUP($A282,#REF!,15,FALSE())&lt;-2),"",#REF!),"")</f>
        <v/>
      </c>
      <c r="R282" s="0" t="str">
        <f aca="false">IFERROR(IF(OR(HLOOKUP($A282,#REF!,16,FALSE())&gt;2,HLOOKUP($A282,#REF!,16,FALSE())&lt;-2),"",#REF!),"")</f>
        <v/>
      </c>
      <c r="S282" s="0" t="str">
        <f aca="false">IFERROR(IF(OR(HLOOKUP($A282,#REF!,17,FALSE())&gt;2,HLOOKUP($A282,#REF!,17,FALSE())&lt;-2),"",#REF!),"")</f>
        <v/>
      </c>
      <c r="T282" s="0" t="str">
        <f aca="false">IFERROR(IF(OR(HLOOKUP($A282,#REF!,18,FALSE())&gt;2,HLOOKUP($A282,#REF!,18,FALSE())&lt;-2),"",#REF!),"")</f>
        <v/>
      </c>
      <c r="U282" s="0" t="str">
        <f aca="false">IFERROR(IF(OR(HLOOKUP($A282,#REF!,19,FALSE())&gt;2,HLOOKUP($A282,#REF!,19,FALSE())&lt;-2),"",#REF!),"")</f>
        <v/>
      </c>
      <c r="V282" s="0" t="n">
        <f aca="false">IFERROR(IF(AND(X282=0,Y282=0),0,1),0)</f>
        <v>1</v>
      </c>
      <c r="W282" s="3" t="str">
        <f aca="false">IFERROR(_xlfn.T.TEST(E282:M282,N282:U282,2,2),"")</f>
        <v/>
      </c>
      <c r="X282" s="0" t="str">
        <f aca="false">IFERROR(AVERAGE(E282:M282),"")</f>
        <v/>
      </c>
      <c r="Y282" s="0" t="str">
        <f aca="false">IFERROR(AVERAGE(N282:U282),"")</f>
        <v/>
      </c>
    </row>
    <row r="283" customFormat="false" ht="14.5" hidden="false" customHeight="false" outlineLevel="0" collapsed="false">
      <c r="A283" s="0" t="n">
        <v>290</v>
      </c>
      <c r="B283" s="0" t="s">
        <v>367</v>
      </c>
      <c r="C283" s="0" t="n">
        <v>77200</v>
      </c>
      <c r="D283" s="0" t="n">
        <v>1097</v>
      </c>
      <c r="E283" s="0" t="str">
        <f aca="false">IFERROR(IF(OR(HLOOKUP($A283,#REF!,3,FALSE())&gt;2,HLOOKUP(A283,#REF!,3,FALSE())&lt;-2),"",#REF!),"")</f>
        <v/>
      </c>
      <c r="F283" s="0" t="str">
        <f aca="false">IFERROR(IF(OR(HLOOKUP($A283,#REF!,4,FALSE())&gt;2,HLOOKUP($A283,#REF!,4,FALSE())&lt;-2),"",#REF!),"")</f>
        <v/>
      </c>
      <c r="G283" s="0" t="str">
        <f aca="false">IFERROR(IF(OR(HLOOKUP($A283,#REF!,5,FALSE())&gt;2,HLOOKUP($A283,#REF!,5,FALSE())&lt;-2),"",#REF!),"")</f>
        <v/>
      </c>
      <c r="H283" s="0" t="str">
        <f aca="false">IFERROR(IF(OR(HLOOKUP($A283,#REF!,6,FALSE())&gt;2,HLOOKUP($A283,#REF!,6,FALSE())&lt;-2),"",#REF!),"")</f>
        <v/>
      </c>
      <c r="I283" s="0" t="str">
        <f aca="false">IFERROR(IF(OR(HLOOKUP($A283,#REF!,7,FALSE())&gt;2,HLOOKUP($A283,#REF!,7,FALSE())&lt;-2),"",#REF!),"")</f>
        <v/>
      </c>
      <c r="J283" s="0" t="str">
        <f aca="false">IFERROR(IF(OR(HLOOKUP($A283,#REF!,8,FALSE())&gt;2,HLOOKUP($A283,#REF!,8,FALSE())&lt;-2),"",#REF!),"")</f>
        <v/>
      </c>
      <c r="K283" s="0" t="str">
        <f aca="false">IFERROR(IF(OR(HLOOKUP($A283,#REF!,9,FALSE())&gt;2,HLOOKUP($A283,#REF!,9,FALSE())&lt;-2),"",#REF!),"")</f>
        <v/>
      </c>
      <c r="L283" s="0" t="str">
        <f aca="false">IFERROR(IF(OR(HLOOKUP($A283,#REF!,10,FALSE())&gt;2,HLOOKUP($A283,#REF!,10,FALSE())&lt;-2),"",#REF!),"")</f>
        <v/>
      </c>
      <c r="M283" s="0" t="str">
        <f aca="false">IFERROR(IF(OR(HLOOKUP($A283,#REF!,11,FALSE())&gt;2,HLOOKUP($A283,#REF!,11,FALSE())&lt;-2),"",#REF!),"")</f>
        <v/>
      </c>
      <c r="N283" s="0" t="str">
        <f aca="false">IFERROR(IF(OR(HLOOKUP($A283,#REF!,12,FALSE())&gt;2,HLOOKUP($A283,#REF!,12,FALSE())&lt;-2),"",#REF!),"")</f>
        <v/>
      </c>
      <c r="O283" s="0" t="str">
        <f aca="false">IFERROR(IF(OR(HLOOKUP($A283,#REF!,13,FALSE())&gt;2,HLOOKUP($A283,#REF!,13,FALSE())&lt;-2),"",#REF!),"")</f>
        <v/>
      </c>
      <c r="P283" s="0" t="str">
        <f aca="false">IFERROR(IF(OR(HLOOKUP($A283,#REF!,14,FALSE())&gt;2,HLOOKUP($A283,#REF!,14,FALSE())&lt;-2),"",#REF!),"")</f>
        <v/>
      </c>
      <c r="Q283" s="0" t="str">
        <f aca="false">IFERROR(IF(OR(HLOOKUP($A283,#REF!,15,FALSE())&gt;2,HLOOKUP($A283,#REF!,15,FALSE())&lt;-2),"",#REF!),"")</f>
        <v/>
      </c>
      <c r="R283" s="0" t="str">
        <f aca="false">IFERROR(IF(OR(HLOOKUP($A283,#REF!,16,FALSE())&gt;2,HLOOKUP($A283,#REF!,16,FALSE())&lt;-2),"",#REF!),"")</f>
        <v/>
      </c>
      <c r="S283" s="0" t="str">
        <f aca="false">IFERROR(IF(OR(HLOOKUP($A283,#REF!,17,FALSE())&gt;2,HLOOKUP($A283,#REF!,17,FALSE())&lt;-2),"",#REF!),"")</f>
        <v/>
      </c>
      <c r="T283" s="0" t="str">
        <f aca="false">IFERROR(IF(OR(HLOOKUP($A283,#REF!,18,FALSE())&gt;2,HLOOKUP($A283,#REF!,18,FALSE())&lt;-2),"",#REF!),"")</f>
        <v/>
      </c>
      <c r="U283" s="0" t="str">
        <f aca="false">IFERROR(IF(OR(HLOOKUP($A283,#REF!,19,FALSE())&gt;2,HLOOKUP($A283,#REF!,19,FALSE())&lt;-2),"",#REF!),"")</f>
        <v/>
      </c>
      <c r="V283" s="0" t="n">
        <f aca="false">IFERROR(IF(AND(X283=0,Y283=0),0,1),0)</f>
        <v>1</v>
      </c>
      <c r="W283" s="3" t="str">
        <f aca="false">IFERROR(_xlfn.T.TEST(E283:M283,N283:U283,2,2),"")</f>
        <v/>
      </c>
      <c r="X283" s="0" t="str">
        <f aca="false">IFERROR(AVERAGE(E283:M283),"")</f>
        <v/>
      </c>
      <c r="Y283" s="0" t="str">
        <f aca="false">IFERROR(AVERAGE(N283:U283),"")</f>
        <v/>
      </c>
    </row>
    <row r="284" customFormat="false" ht="14.5" hidden="false" customHeight="false" outlineLevel="0" collapsed="false">
      <c r="A284" s="0" t="n">
        <v>291</v>
      </c>
      <c r="B284" s="0" t="s">
        <v>368</v>
      </c>
      <c r="C284" s="0" t="n">
        <v>34000</v>
      </c>
      <c r="D284" s="0" t="n">
        <v>961</v>
      </c>
      <c r="E284" s="0" t="str">
        <f aca="false">IFERROR(IF(OR(HLOOKUP($A284,#REF!,3,FALSE())&gt;2,HLOOKUP(A284,#REF!,3,FALSE())&lt;-2),"",#REF!),"")</f>
        <v/>
      </c>
      <c r="F284" s="0" t="str">
        <f aca="false">IFERROR(IF(OR(HLOOKUP($A284,#REF!,4,FALSE())&gt;2,HLOOKUP($A284,#REF!,4,FALSE())&lt;-2),"",#REF!),"")</f>
        <v/>
      </c>
      <c r="G284" s="0" t="str">
        <f aca="false">IFERROR(IF(OR(HLOOKUP($A284,#REF!,5,FALSE())&gt;2,HLOOKUP($A284,#REF!,5,FALSE())&lt;-2),"",#REF!),"")</f>
        <v/>
      </c>
      <c r="H284" s="0" t="str">
        <f aca="false">IFERROR(IF(OR(HLOOKUP($A284,#REF!,6,FALSE())&gt;2,HLOOKUP($A284,#REF!,6,FALSE())&lt;-2),"",#REF!),"")</f>
        <v/>
      </c>
      <c r="I284" s="0" t="str">
        <f aca="false">IFERROR(IF(OR(HLOOKUP($A284,#REF!,7,FALSE())&gt;2,HLOOKUP($A284,#REF!,7,FALSE())&lt;-2),"",#REF!),"")</f>
        <v/>
      </c>
      <c r="J284" s="0" t="str">
        <f aca="false">IFERROR(IF(OR(HLOOKUP($A284,#REF!,8,FALSE())&gt;2,HLOOKUP($A284,#REF!,8,FALSE())&lt;-2),"",#REF!),"")</f>
        <v/>
      </c>
      <c r="K284" s="0" t="str">
        <f aca="false">IFERROR(IF(OR(HLOOKUP($A284,#REF!,9,FALSE())&gt;2,HLOOKUP($A284,#REF!,9,FALSE())&lt;-2),"",#REF!),"")</f>
        <v/>
      </c>
      <c r="L284" s="0" t="str">
        <f aca="false">IFERROR(IF(OR(HLOOKUP($A284,#REF!,10,FALSE())&gt;2,HLOOKUP($A284,#REF!,10,FALSE())&lt;-2),"",#REF!),"")</f>
        <v/>
      </c>
      <c r="M284" s="0" t="str">
        <f aca="false">IFERROR(IF(OR(HLOOKUP($A284,#REF!,11,FALSE())&gt;2,HLOOKUP($A284,#REF!,11,FALSE())&lt;-2),"",#REF!),"")</f>
        <v/>
      </c>
      <c r="N284" s="0" t="str">
        <f aca="false">IFERROR(IF(OR(HLOOKUP($A284,#REF!,12,FALSE())&gt;2,HLOOKUP($A284,#REF!,12,FALSE())&lt;-2),"",#REF!),"")</f>
        <v/>
      </c>
      <c r="O284" s="0" t="str">
        <f aca="false">IFERROR(IF(OR(HLOOKUP($A284,#REF!,13,FALSE())&gt;2,HLOOKUP($A284,#REF!,13,FALSE())&lt;-2),"",#REF!),"")</f>
        <v/>
      </c>
      <c r="P284" s="0" t="str">
        <f aca="false">IFERROR(IF(OR(HLOOKUP($A284,#REF!,14,FALSE())&gt;2,HLOOKUP($A284,#REF!,14,FALSE())&lt;-2),"",#REF!),"")</f>
        <v/>
      </c>
      <c r="Q284" s="0" t="str">
        <f aca="false">IFERROR(IF(OR(HLOOKUP($A284,#REF!,15,FALSE())&gt;2,HLOOKUP($A284,#REF!,15,FALSE())&lt;-2),"",#REF!),"")</f>
        <v/>
      </c>
      <c r="R284" s="0" t="str">
        <f aca="false">IFERROR(IF(OR(HLOOKUP($A284,#REF!,16,FALSE())&gt;2,HLOOKUP($A284,#REF!,16,FALSE())&lt;-2),"",#REF!),"")</f>
        <v/>
      </c>
      <c r="S284" s="0" t="str">
        <f aca="false">IFERROR(IF(OR(HLOOKUP($A284,#REF!,17,FALSE())&gt;2,HLOOKUP($A284,#REF!,17,FALSE())&lt;-2),"",#REF!),"")</f>
        <v/>
      </c>
      <c r="T284" s="0" t="str">
        <f aca="false">IFERROR(IF(OR(HLOOKUP($A284,#REF!,18,FALSE())&gt;2,HLOOKUP($A284,#REF!,18,FALSE())&lt;-2),"",#REF!),"")</f>
        <v/>
      </c>
      <c r="U284" s="0" t="str">
        <f aca="false">IFERROR(IF(OR(HLOOKUP($A284,#REF!,19,FALSE())&gt;2,HLOOKUP($A284,#REF!,19,FALSE())&lt;-2),"",#REF!),"")</f>
        <v/>
      </c>
      <c r="V284" s="0" t="n">
        <f aca="false">IFERROR(IF(AND(X284=0,Y284=0),0,1),0)</f>
        <v>1</v>
      </c>
      <c r="W284" s="3" t="str">
        <f aca="false">IFERROR(_xlfn.T.TEST(E284:M284,N284:U284,2,2),"")</f>
        <v/>
      </c>
      <c r="X284" s="0" t="str">
        <f aca="false">IFERROR(AVERAGE(E284:M284),"")</f>
        <v/>
      </c>
      <c r="Y284" s="0" t="str">
        <f aca="false">IFERROR(AVERAGE(N284:U284),"")</f>
        <v/>
      </c>
    </row>
    <row r="285" customFormat="false" ht="14.5" hidden="false" customHeight="false" outlineLevel="0" collapsed="false">
      <c r="A285" s="0" t="n">
        <v>292</v>
      </c>
      <c r="B285" s="0" t="s">
        <v>369</v>
      </c>
      <c r="C285" s="0" t="n">
        <v>50200</v>
      </c>
      <c r="D285" s="0" t="n">
        <v>278</v>
      </c>
      <c r="E285" s="0" t="str">
        <f aca="false">IFERROR(IF(OR(HLOOKUP($A285,#REF!,3,FALSE())&gt;2,HLOOKUP(A285,#REF!,3,FALSE())&lt;-2),"",#REF!),"")</f>
        <v/>
      </c>
      <c r="F285" s="0" t="str">
        <f aca="false">IFERROR(IF(OR(HLOOKUP($A285,#REF!,4,FALSE())&gt;2,HLOOKUP($A285,#REF!,4,FALSE())&lt;-2),"",#REF!),"")</f>
        <v/>
      </c>
      <c r="G285" s="0" t="str">
        <f aca="false">IFERROR(IF(OR(HLOOKUP($A285,#REF!,5,FALSE())&gt;2,HLOOKUP($A285,#REF!,5,FALSE())&lt;-2),"",#REF!),"")</f>
        <v/>
      </c>
      <c r="H285" s="0" t="str">
        <f aca="false">IFERROR(IF(OR(HLOOKUP($A285,#REF!,6,FALSE())&gt;2,HLOOKUP($A285,#REF!,6,FALSE())&lt;-2),"",#REF!),"")</f>
        <v/>
      </c>
      <c r="I285" s="0" t="str">
        <f aca="false">IFERROR(IF(OR(HLOOKUP($A285,#REF!,7,FALSE())&gt;2,HLOOKUP($A285,#REF!,7,FALSE())&lt;-2),"",#REF!),"")</f>
        <v/>
      </c>
      <c r="J285" s="0" t="str">
        <f aca="false">IFERROR(IF(OR(HLOOKUP($A285,#REF!,8,FALSE())&gt;2,HLOOKUP($A285,#REF!,8,FALSE())&lt;-2),"",#REF!),"")</f>
        <v/>
      </c>
      <c r="K285" s="0" t="str">
        <f aca="false">IFERROR(IF(OR(HLOOKUP($A285,#REF!,9,FALSE())&gt;2,HLOOKUP($A285,#REF!,9,FALSE())&lt;-2),"",#REF!),"")</f>
        <v/>
      </c>
      <c r="L285" s="0" t="str">
        <f aca="false">IFERROR(IF(OR(HLOOKUP($A285,#REF!,10,FALSE())&gt;2,HLOOKUP($A285,#REF!,10,FALSE())&lt;-2),"",#REF!),"")</f>
        <v/>
      </c>
      <c r="M285" s="0" t="str">
        <f aca="false">IFERROR(IF(OR(HLOOKUP($A285,#REF!,11,FALSE())&gt;2,HLOOKUP($A285,#REF!,11,FALSE())&lt;-2),"",#REF!),"")</f>
        <v/>
      </c>
      <c r="N285" s="0" t="str">
        <f aca="false">IFERROR(IF(OR(HLOOKUP($A285,#REF!,12,FALSE())&gt;2,HLOOKUP($A285,#REF!,12,FALSE())&lt;-2),"",#REF!),"")</f>
        <v/>
      </c>
      <c r="O285" s="0" t="str">
        <f aca="false">IFERROR(IF(OR(HLOOKUP($A285,#REF!,13,FALSE())&gt;2,HLOOKUP($A285,#REF!,13,FALSE())&lt;-2),"",#REF!),"")</f>
        <v/>
      </c>
      <c r="P285" s="0" t="str">
        <f aca="false">IFERROR(IF(OR(HLOOKUP($A285,#REF!,14,FALSE())&gt;2,HLOOKUP($A285,#REF!,14,FALSE())&lt;-2),"",#REF!),"")</f>
        <v/>
      </c>
      <c r="Q285" s="0" t="str">
        <f aca="false">IFERROR(IF(OR(HLOOKUP($A285,#REF!,15,FALSE())&gt;2,HLOOKUP($A285,#REF!,15,FALSE())&lt;-2),"",#REF!),"")</f>
        <v/>
      </c>
      <c r="R285" s="0" t="str">
        <f aca="false">IFERROR(IF(OR(HLOOKUP($A285,#REF!,16,FALSE())&gt;2,HLOOKUP($A285,#REF!,16,FALSE())&lt;-2),"",#REF!),"")</f>
        <v/>
      </c>
      <c r="S285" s="0" t="str">
        <f aca="false">IFERROR(IF(OR(HLOOKUP($A285,#REF!,17,FALSE())&gt;2,HLOOKUP($A285,#REF!,17,FALSE())&lt;-2),"",#REF!),"")</f>
        <v/>
      </c>
      <c r="T285" s="0" t="str">
        <f aca="false">IFERROR(IF(OR(HLOOKUP($A285,#REF!,18,FALSE())&gt;2,HLOOKUP($A285,#REF!,18,FALSE())&lt;-2),"",#REF!),"")</f>
        <v/>
      </c>
      <c r="U285" s="0" t="str">
        <f aca="false">IFERROR(IF(OR(HLOOKUP($A285,#REF!,19,FALSE())&gt;2,HLOOKUP($A285,#REF!,19,FALSE())&lt;-2),"",#REF!),"")</f>
        <v/>
      </c>
      <c r="V285" s="0" t="n">
        <f aca="false">IFERROR(IF(AND(X285=0,Y285=0),0,1),0)</f>
        <v>1</v>
      </c>
      <c r="W285" s="3" t="str">
        <f aca="false">IFERROR(_xlfn.T.TEST(E285:M285,N285:U285,2,2),"")</f>
        <v/>
      </c>
      <c r="X285" s="0" t="str">
        <f aca="false">IFERROR(AVERAGE(E285:M285),"")</f>
        <v/>
      </c>
      <c r="Y285" s="0" t="str">
        <f aca="false">IFERROR(AVERAGE(N285:U285),"")</f>
        <v/>
      </c>
    </row>
    <row r="286" customFormat="false" ht="14.5" hidden="false" customHeight="false" outlineLevel="0" collapsed="false">
      <c r="A286" s="0" t="n">
        <v>293</v>
      </c>
      <c r="B286" s="0" t="s">
        <v>370</v>
      </c>
      <c r="C286" s="0" t="n">
        <v>103700</v>
      </c>
      <c r="D286" s="0" t="n">
        <v>871</v>
      </c>
      <c r="E286" s="0" t="str">
        <f aca="false">IFERROR(IF(OR(HLOOKUP($A286,#REF!,3,FALSE())&gt;2,HLOOKUP(A286,#REF!,3,FALSE())&lt;-2),"",#REF!),"")</f>
        <v/>
      </c>
      <c r="F286" s="0" t="str">
        <f aca="false">IFERROR(IF(OR(HLOOKUP($A286,#REF!,4,FALSE())&gt;2,HLOOKUP($A286,#REF!,4,FALSE())&lt;-2),"",#REF!),"")</f>
        <v/>
      </c>
      <c r="G286" s="0" t="str">
        <f aca="false">IFERROR(IF(OR(HLOOKUP($A286,#REF!,5,FALSE())&gt;2,HLOOKUP($A286,#REF!,5,FALSE())&lt;-2),"",#REF!),"")</f>
        <v/>
      </c>
      <c r="H286" s="0" t="str">
        <f aca="false">IFERROR(IF(OR(HLOOKUP($A286,#REF!,6,FALSE())&gt;2,HLOOKUP($A286,#REF!,6,FALSE())&lt;-2),"",#REF!),"")</f>
        <v/>
      </c>
      <c r="I286" s="0" t="str">
        <f aca="false">IFERROR(IF(OR(HLOOKUP($A286,#REF!,7,FALSE())&gt;2,HLOOKUP($A286,#REF!,7,FALSE())&lt;-2),"",#REF!),"")</f>
        <v/>
      </c>
      <c r="J286" s="0" t="str">
        <f aca="false">IFERROR(IF(OR(HLOOKUP($A286,#REF!,8,FALSE())&gt;2,HLOOKUP($A286,#REF!,8,FALSE())&lt;-2),"",#REF!),"")</f>
        <v/>
      </c>
      <c r="K286" s="0" t="str">
        <f aca="false">IFERROR(IF(OR(HLOOKUP($A286,#REF!,9,FALSE())&gt;2,HLOOKUP($A286,#REF!,9,FALSE())&lt;-2),"",#REF!),"")</f>
        <v/>
      </c>
      <c r="L286" s="0" t="str">
        <f aca="false">IFERROR(IF(OR(HLOOKUP($A286,#REF!,10,FALSE())&gt;2,HLOOKUP($A286,#REF!,10,FALSE())&lt;-2),"",#REF!),"")</f>
        <v/>
      </c>
      <c r="M286" s="0" t="str">
        <f aca="false">IFERROR(IF(OR(HLOOKUP($A286,#REF!,11,FALSE())&gt;2,HLOOKUP($A286,#REF!,11,FALSE())&lt;-2),"",#REF!),"")</f>
        <v/>
      </c>
      <c r="N286" s="0" t="str">
        <f aca="false">IFERROR(IF(OR(HLOOKUP($A286,#REF!,12,FALSE())&gt;2,HLOOKUP($A286,#REF!,12,FALSE())&lt;-2),"",#REF!),"")</f>
        <v/>
      </c>
      <c r="O286" s="0" t="str">
        <f aca="false">IFERROR(IF(OR(HLOOKUP($A286,#REF!,13,FALSE())&gt;2,HLOOKUP($A286,#REF!,13,FALSE())&lt;-2),"",#REF!),"")</f>
        <v/>
      </c>
      <c r="P286" s="0" t="str">
        <f aca="false">IFERROR(IF(OR(HLOOKUP($A286,#REF!,14,FALSE())&gt;2,HLOOKUP($A286,#REF!,14,FALSE())&lt;-2),"",#REF!),"")</f>
        <v/>
      </c>
      <c r="Q286" s="0" t="str">
        <f aca="false">IFERROR(IF(OR(HLOOKUP($A286,#REF!,15,FALSE())&gt;2,HLOOKUP($A286,#REF!,15,FALSE())&lt;-2),"",#REF!),"")</f>
        <v/>
      </c>
      <c r="R286" s="0" t="str">
        <f aca="false">IFERROR(IF(OR(HLOOKUP($A286,#REF!,16,FALSE())&gt;2,HLOOKUP($A286,#REF!,16,FALSE())&lt;-2),"",#REF!),"")</f>
        <v/>
      </c>
      <c r="S286" s="0" t="str">
        <f aca="false">IFERROR(IF(OR(HLOOKUP($A286,#REF!,17,FALSE())&gt;2,HLOOKUP($A286,#REF!,17,FALSE())&lt;-2),"",#REF!),"")</f>
        <v/>
      </c>
      <c r="T286" s="0" t="str">
        <f aca="false">IFERROR(IF(OR(HLOOKUP($A286,#REF!,18,FALSE())&gt;2,HLOOKUP($A286,#REF!,18,FALSE())&lt;-2),"",#REF!),"")</f>
        <v/>
      </c>
      <c r="U286" s="0" t="str">
        <f aca="false">IFERROR(IF(OR(HLOOKUP($A286,#REF!,19,FALSE())&gt;2,HLOOKUP($A286,#REF!,19,FALSE())&lt;-2),"",#REF!),"")</f>
        <v/>
      </c>
      <c r="V286" s="0" t="n">
        <f aca="false">IFERROR(IF(AND(X286=0,Y286=0),0,1),0)</f>
        <v>1</v>
      </c>
      <c r="W286" s="3" t="str">
        <f aca="false">IFERROR(_xlfn.T.TEST(E286:M286,N286:U286,2,2),"")</f>
        <v/>
      </c>
      <c r="X286" s="0" t="str">
        <f aca="false">IFERROR(AVERAGE(E286:M286),"")</f>
        <v/>
      </c>
      <c r="Y286" s="0" t="str">
        <f aca="false">IFERROR(AVERAGE(N286:U286),"")</f>
        <v/>
      </c>
    </row>
    <row r="287" customFormat="false" ht="14.5" hidden="false" customHeight="false" outlineLevel="0" collapsed="false">
      <c r="A287" s="0" t="n">
        <v>294</v>
      </c>
      <c r="B287" s="0" t="s">
        <v>371</v>
      </c>
      <c r="C287" s="0" t="n">
        <v>80700</v>
      </c>
      <c r="D287" s="0" t="n">
        <v>323</v>
      </c>
      <c r="E287" s="0" t="str">
        <f aca="false">IFERROR(IF(OR(HLOOKUP($A287,#REF!,3,FALSE())&gt;2,HLOOKUP(A287,#REF!,3,FALSE())&lt;-2),"",#REF!),"")</f>
        <v/>
      </c>
      <c r="F287" s="0" t="str">
        <f aca="false">IFERROR(IF(OR(HLOOKUP($A287,#REF!,4,FALSE())&gt;2,HLOOKUP($A287,#REF!,4,FALSE())&lt;-2),"",#REF!),"")</f>
        <v/>
      </c>
      <c r="G287" s="0" t="str">
        <f aca="false">IFERROR(IF(OR(HLOOKUP($A287,#REF!,5,FALSE())&gt;2,HLOOKUP($A287,#REF!,5,FALSE())&lt;-2),"",#REF!),"")</f>
        <v/>
      </c>
      <c r="H287" s="0" t="str">
        <f aca="false">IFERROR(IF(OR(HLOOKUP($A287,#REF!,6,FALSE())&gt;2,HLOOKUP($A287,#REF!,6,FALSE())&lt;-2),"",#REF!),"")</f>
        <v/>
      </c>
      <c r="I287" s="0" t="str">
        <f aca="false">IFERROR(IF(OR(HLOOKUP($A287,#REF!,7,FALSE())&gt;2,HLOOKUP($A287,#REF!,7,FALSE())&lt;-2),"",#REF!),"")</f>
        <v/>
      </c>
      <c r="J287" s="0" t="str">
        <f aca="false">IFERROR(IF(OR(HLOOKUP($A287,#REF!,8,FALSE())&gt;2,HLOOKUP($A287,#REF!,8,FALSE())&lt;-2),"",#REF!),"")</f>
        <v/>
      </c>
      <c r="K287" s="0" t="str">
        <f aca="false">IFERROR(IF(OR(HLOOKUP($A287,#REF!,9,FALSE())&gt;2,HLOOKUP($A287,#REF!,9,FALSE())&lt;-2),"",#REF!),"")</f>
        <v/>
      </c>
      <c r="L287" s="0" t="str">
        <f aca="false">IFERROR(IF(OR(HLOOKUP($A287,#REF!,10,FALSE())&gt;2,HLOOKUP($A287,#REF!,10,FALSE())&lt;-2),"",#REF!),"")</f>
        <v/>
      </c>
      <c r="M287" s="0" t="str">
        <f aca="false">IFERROR(IF(OR(HLOOKUP($A287,#REF!,11,FALSE())&gt;2,HLOOKUP($A287,#REF!,11,FALSE())&lt;-2),"",#REF!),"")</f>
        <v/>
      </c>
      <c r="N287" s="0" t="str">
        <f aca="false">IFERROR(IF(OR(HLOOKUP($A287,#REF!,12,FALSE())&gt;2,HLOOKUP($A287,#REF!,12,FALSE())&lt;-2),"",#REF!),"")</f>
        <v/>
      </c>
      <c r="O287" s="0" t="str">
        <f aca="false">IFERROR(IF(OR(HLOOKUP($A287,#REF!,13,FALSE())&gt;2,HLOOKUP($A287,#REF!,13,FALSE())&lt;-2),"",#REF!),"")</f>
        <v/>
      </c>
      <c r="P287" s="0" t="str">
        <f aca="false">IFERROR(IF(OR(HLOOKUP($A287,#REF!,14,FALSE())&gt;2,HLOOKUP($A287,#REF!,14,FALSE())&lt;-2),"",#REF!),"")</f>
        <v/>
      </c>
      <c r="Q287" s="0" t="str">
        <f aca="false">IFERROR(IF(OR(HLOOKUP($A287,#REF!,15,FALSE())&gt;2,HLOOKUP($A287,#REF!,15,FALSE())&lt;-2),"",#REF!),"")</f>
        <v/>
      </c>
      <c r="R287" s="0" t="str">
        <f aca="false">IFERROR(IF(OR(HLOOKUP($A287,#REF!,16,FALSE())&gt;2,HLOOKUP($A287,#REF!,16,FALSE())&lt;-2),"",#REF!),"")</f>
        <v/>
      </c>
      <c r="S287" s="0" t="str">
        <f aca="false">IFERROR(IF(OR(HLOOKUP($A287,#REF!,17,FALSE())&gt;2,HLOOKUP($A287,#REF!,17,FALSE())&lt;-2),"",#REF!),"")</f>
        <v/>
      </c>
      <c r="T287" s="0" t="str">
        <f aca="false">IFERROR(IF(OR(HLOOKUP($A287,#REF!,18,FALSE())&gt;2,HLOOKUP($A287,#REF!,18,FALSE())&lt;-2),"",#REF!),"")</f>
        <v/>
      </c>
      <c r="U287" s="0" t="str">
        <f aca="false">IFERROR(IF(OR(HLOOKUP($A287,#REF!,19,FALSE())&gt;2,HLOOKUP($A287,#REF!,19,FALSE())&lt;-2),"",#REF!),"")</f>
        <v/>
      </c>
      <c r="V287" s="0" t="n">
        <f aca="false">IFERROR(IF(AND(X287=0,Y287=0),0,1),0)</f>
        <v>1</v>
      </c>
      <c r="W287" s="3" t="str">
        <f aca="false">IFERROR(_xlfn.T.TEST(E287:M287,N287:U287,2,2),"")</f>
        <v/>
      </c>
      <c r="X287" s="0" t="str">
        <f aca="false">IFERROR(AVERAGE(E287:M287),"")</f>
        <v/>
      </c>
      <c r="Y287" s="0" t="str">
        <f aca="false">IFERROR(AVERAGE(N287:U287),"")</f>
        <v/>
      </c>
    </row>
    <row r="288" customFormat="false" ht="14.5" hidden="false" customHeight="false" outlineLevel="0" collapsed="false">
      <c r="A288" s="0" t="n">
        <v>295</v>
      </c>
      <c r="B288" s="0" t="s">
        <v>49</v>
      </c>
      <c r="C288" s="0" t="n">
        <v>47100</v>
      </c>
      <c r="D288" s="0" t="n">
        <v>703</v>
      </c>
      <c r="E288" s="0" t="str">
        <f aca="false">IFERROR(IF(OR(HLOOKUP($A288,#REF!,3,FALSE())&gt;2,HLOOKUP(A288,#REF!,3,FALSE())&lt;-2),"",#REF!),"")</f>
        <v/>
      </c>
      <c r="F288" s="0" t="str">
        <f aca="false">IFERROR(IF(OR(HLOOKUP($A288,#REF!,4,FALSE())&gt;2,HLOOKUP($A288,#REF!,4,FALSE())&lt;-2),"",#REF!),"")</f>
        <v/>
      </c>
      <c r="G288" s="0" t="str">
        <f aca="false">IFERROR(IF(OR(HLOOKUP($A288,#REF!,5,FALSE())&gt;2,HLOOKUP($A288,#REF!,5,FALSE())&lt;-2),"",#REF!),"")</f>
        <v/>
      </c>
      <c r="H288" s="0" t="str">
        <f aca="false">IFERROR(IF(OR(HLOOKUP($A288,#REF!,6,FALSE())&gt;2,HLOOKUP($A288,#REF!,6,FALSE())&lt;-2),"",#REF!),"")</f>
        <v/>
      </c>
      <c r="I288" s="0" t="str">
        <f aca="false">IFERROR(IF(OR(HLOOKUP($A288,#REF!,7,FALSE())&gt;2,HLOOKUP($A288,#REF!,7,FALSE())&lt;-2),"",#REF!),"")</f>
        <v/>
      </c>
      <c r="J288" s="0" t="str">
        <f aca="false">IFERROR(IF(OR(HLOOKUP($A288,#REF!,8,FALSE())&gt;2,HLOOKUP($A288,#REF!,8,FALSE())&lt;-2),"",#REF!),"")</f>
        <v/>
      </c>
      <c r="K288" s="0" t="str">
        <f aca="false">IFERROR(IF(OR(HLOOKUP($A288,#REF!,9,FALSE())&gt;2,HLOOKUP($A288,#REF!,9,FALSE())&lt;-2),"",#REF!),"")</f>
        <v/>
      </c>
      <c r="L288" s="0" t="str">
        <f aca="false">IFERROR(IF(OR(HLOOKUP($A288,#REF!,10,FALSE())&gt;2,HLOOKUP($A288,#REF!,10,FALSE())&lt;-2),"",#REF!),"")</f>
        <v/>
      </c>
      <c r="M288" s="0" t="str">
        <f aca="false">IFERROR(IF(OR(HLOOKUP($A288,#REF!,11,FALSE())&gt;2,HLOOKUP($A288,#REF!,11,FALSE())&lt;-2),"",#REF!),"")</f>
        <v/>
      </c>
      <c r="N288" s="0" t="str">
        <f aca="false">IFERROR(IF(OR(HLOOKUP($A288,#REF!,12,FALSE())&gt;2,HLOOKUP($A288,#REF!,12,FALSE())&lt;-2),"",#REF!),"")</f>
        <v/>
      </c>
      <c r="O288" s="0" t="str">
        <f aca="false">IFERROR(IF(OR(HLOOKUP($A288,#REF!,13,FALSE())&gt;2,HLOOKUP($A288,#REF!,13,FALSE())&lt;-2),"",#REF!),"")</f>
        <v/>
      </c>
      <c r="P288" s="0" t="str">
        <f aca="false">IFERROR(IF(OR(HLOOKUP($A288,#REF!,14,FALSE())&gt;2,HLOOKUP($A288,#REF!,14,FALSE())&lt;-2),"",#REF!),"")</f>
        <v/>
      </c>
      <c r="Q288" s="0" t="str">
        <f aca="false">IFERROR(IF(OR(HLOOKUP($A288,#REF!,15,FALSE())&gt;2,HLOOKUP($A288,#REF!,15,FALSE())&lt;-2),"",#REF!),"")</f>
        <v/>
      </c>
      <c r="R288" s="0" t="str">
        <f aca="false">IFERROR(IF(OR(HLOOKUP($A288,#REF!,16,FALSE())&gt;2,HLOOKUP($A288,#REF!,16,FALSE())&lt;-2),"",#REF!),"")</f>
        <v/>
      </c>
      <c r="S288" s="0" t="str">
        <f aca="false">IFERROR(IF(OR(HLOOKUP($A288,#REF!,17,FALSE())&gt;2,HLOOKUP($A288,#REF!,17,FALSE())&lt;-2),"",#REF!),"")</f>
        <v/>
      </c>
      <c r="T288" s="0" t="str">
        <f aca="false">IFERROR(IF(OR(HLOOKUP($A288,#REF!,18,FALSE())&gt;2,HLOOKUP($A288,#REF!,18,FALSE())&lt;-2),"",#REF!),"")</f>
        <v/>
      </c>
      <c r="U288" s="0" t="str">
        <f aca="false">IFERROR(IF(OR(HLOOKUP($A288,#REF!,19,FALSE())&gt;2,HLOOKUP($A288,#REF!,19,FALSE())&lt;-2),"",#REF!),"")</f>
        <v/>
      </c>
      <c r="V288" s="0" t="n">
        <f aca="false">IFERROR(IF(AND(X288=0,Y288=0),0,1),0)</f>
        <v>1</v>
      </c>
      <c r="W288" s="3" t="str">
        <f aca="false">IFERROR(_xlfn.T.TEST(E288:M288,N288:U288,2,2),"")</f>
        <v/>
      </c>
      <c r="X288" s="0" t="str">
        <f aca="false">IFERROR(AVERAGE(E288:M288),"")</f>
        <v/>
      </c>
      <c r="Y288" s="0" t="str">
        <f aca="false">IFERROR(AVERAGE(N288:U288),"")</f>
        <v/>
      </c>
    </row>
    <row r="289" customFormat="false" ht="14.5" hidden="false" customHeight="false" outlineLevel="0" collapsed="false">
      <c r="A289" s="0" t="n">
        <v>296</v>
      </c>
      <c r="B289" s="0" t="s">
        <v>77</v>
      </c>
      <c r="C289" s="0" t="n">
        <v>19700</v>
      </c>
      <c r="D289" s="0" t="n">
        <v>48</v>
      </c>
      <c r="E289" s="0" t="str">
        <f aca="false">IFERROR(IF(OR(HLOOKUP($A289,#REF!,3,FALSE())&gt;2,HLOOKUP(A289,#REF!,3,FALSE())&lt;-2),"",#REF!),"")</f>
        <v/>
      </c>
      <c r="F289" s="0" t="str">
        <f aca="false">IFERROR(IF(OR(HLOOKUP($A289,#REF!,4,FALSE())&gt;2,HLOOKUP($A289,#REF!,4,FALSE())&lt;-2),"",#REF!),"")</f>
        <v/>
      </c>
      <c r="G289" s="0" t="str">
        <f aca="false">IFERROR(IF(OR(HLOOKUP($A289,#REF!,5,FALSE())&gt;2,HLOOKUP($A289,#REF!,5,FALSE())&lt;-2),"",#REF!),"")</f>
        <v/>
      </c>
      <c r="H289" s="0" t="str">
        <f aca="false">IFERROR(IF(OR(HLOOKUP($A289,#REF!,6,FALSE())&gt;2,HLOOKUP($A289,#REF!,6,FALSE())&lt;-2),"",#REF!),"")</f>
        <v/>
      </c>
      <c r="I289" s="0" t="str">
        <f aca="false">IFERROR(IF(OR(HLOOKUP($A289,#REF!,7,FALSE())&gt;2,HLOOKUP($A289,#REF!,7,FALSE())&lt;-2),"",#REF!),"")</f>
        <v/>
      </c>
      <c r="J289" s="0" t="str">
        <f aca="false">IFERROR(IF(OR(HLOOKUP($A289,#REF!,8,FALSE())&gt;2,HLOOKUP($A289,#REF!,8,FALSE())&lt;-2),"",#REF!),"")</f>
        <v/>
      </c>
      <c r="K289" s="0" t="str">
        <f aca="false">IFERROR(IF(OR(HLOOKUP($A289,#REF!,9,FALSE())&gt;2,HLOOKUP($A289,#REF!,9,FALSE())&lt;-2),"",#REF!),"")</f>
        <v/>
      </c>
      <c r="L289" s="0" t="str">
        <f aca="false">IFERROR(IF(OR(HLOOKUP($A289,#REF!,10,FALSE())&gt;2,HLOOKUP($A289,#REF!,10,FALSE())&lt;-2),"",#REF!),"")</f>
        <v/>
      </c>
      <c r="M289" s="0" t="str">
        <f aca="false">IFERROR(IF(OR(HLOOKUP($A289,#REF!,11,FALSE())&gt;2,HLOOKUP($A289,#REF!,11,FALSE())&lt;-2),"",#REF!),"")</f>
        <v/>
      </c>
      <c r="N289" s="0" t="str">
        <f aca="false">IFERROR(IF(OR(HLOOKUP($A289,#REF!,12,FALSE())&gt;2,HLOOKUP($A289,#REF!,12,FALSE())&lt;-2),"",#REF!),"")</f>
        <v/>
      </c>
      <c r="O289" s="0" t="str">
        <f aca="false">IFERROR(IF(OR(HLOOKUP($A289,#REF!,13,FALSE())&gt;2,HLOOKUP($A289,#REF!,13,FALSE())&lt;-2),"",#REF!),"")</f>
        <v/>
      </c>
      <c r="P289" s="0" t="str">
        <f aca="false">IFERROR(IF(OR(HLOOKUP($A289,#REF!,14,FALSE())&gt;2,HLOOKUP($A289,#REF!,14,FALSE())&lt;-2),"",#REF!),"")</f>
        <v/>
      </c>
      <c r="Q289" s="0" t="str">
        <f aca="false">IFERROR(IF(OR(HLOOKUP($A289,#REF!,15,FALSE())&gt;2,HLOOKUP($A289,#REF!,15,FALSE())&lt;-2),"",#REF!),"")</f>
        <v/>
      </c>
      <c r="R289" s="0" t="str">
        <f aca="false">IFERROR(IF(OR(HLOOKUP($A289,#REF!,16,FALSE())&gt;2,HLOOKUP($A289,#REF!,16,FALSE())&lt;-2),"",#REF!),"")</f>
        <v/>
      </c>
      <c r="S289" s="0" t="str">
        <f aca="false">IFERROR(IF(OR(HLOOKUP($A289,#REF!,17,FALSE())&gt;2,HLOOKUP($A289,#REF!,17,FALSE())&lt;-2),"",#REF!),"")</f>
        <v/>
      </c>
      <c r="T289" s="0" t="str">
        <f aca="false">IFERROR(IF(OR(HLOOKUP($A289,#REF!,18,FALSE())&gt;2,HLOOKUP($A289,#REF!,18,FALSE())&lt;-2),"",#REF!),"")</f>
        <v/>
      </c>
      <c r="U289" s="0" t="str">
        <f aca="false">IFERROR(IF(OR(HLOOKUP($A289,#REF!,19,FALSE())&gt;2,HLOOKUP($A289,#REF!,19,FALSE())&lt;-2),"",#REF!),"")</f>
        <v/>
      </c>
      <c r="V289" s="0" t="n">
        <f aca="false">IFERROR(IF(AND(X289=0,Y289=0),0,1),0)</f>
        <v>1</v>
      </c>
      <c r="W289" s="3" t="str">
        <f aca="false">IFERROR(_xlfn.T.TEST(E289:M289,N289:U289,2,2),"")</f>
        <v/>
      </c>
      <c r="X289" s="0" t="str">
        <f aca="false">IFERROR(AVERAGE(E289:M289),"")</f>
        <v/>
      </c>
      <c r="Y289" s="0" t="str">
        <f aca="false">IFERROR(AVERAGE(N289:U289),"")</f>
        <v/>
      </c>
    </row>
    <row r="290" customFormat="false" ht="14.5" hidden="false" customHeight="false" outlineLevel="0" collapsed="false">
      <c r="A290" s="0" t="n">
        <v>297</v>
      </c>
      <c r="B290" s="0" t="s">
        <v>372</v>
      </c>
      <c r="C290" s="0" t="n">
        <v>32000</v>
      </c>
      <c r="D290" s="0" t="n">
        <v>589</v>
      </c>
      <c r="E290" s="0" t="str">
        <f aca="false">IFERROR(IF(OR(HLOOKUP($A290,#REF!,3,FALSE())&gt;2,HLOOKUP(A290,#REF!,3,FALSE())&lt;-2),"",#REF!),"")</f>
        <v/>
      </c>
      <c r="F290" s="0" t="str">
        <f aca="false">IFERROR(IF(OR(HLOOKUP($A290,#REF!,4,FALSE())&gt;2,HLOOKUP($A290,#REF!,4,FALSE())&lt;-2),"",#REF!),"")</f>
        <v/>
      </c>
      <c r="G290" s="0" t="str">
        <f aca="false">IFERROR(IF(OR(HLOOKUP($A290,#REF!,5,FALSE())&gt;2,HLOOKUP($A290,#REF!,5,FALSE())&lt;-2),"",#REF!),"")</f>
        <v/>
      </c>
      <c r="H290" s="0" t="str">
        <f aca="false">IFERROR(IF(OR(HLOOKUP($A290,#REF!,6,FALSE())&gt;2,HLOOKUP($A290,#REF!,6,FALSE())&lt;-2),"",#REF!),"")</f>
        <v/>
      </c>
      <c r="I290" s="0" t="str">
        <f aca="false">IFERROR(IF(OR(HLOOKUP($A290,#REF!,7,FALSE())&gt;2,HLOOKUP($A290,#REF!,7,FALSE())&lt;-2),"",#REF!),"")</f>
        <v/>
      </c>
      <c r="J290" s="0" t="str">
        <f aca="false">IFERROR(IF(OR(HLOOKUP($A290,#REF!,8,FALSE())&gt;2,HLOOKUP($A290,#REF!,8,FALSE())&lt;-2),"",#REF!),"")</f>
        <v/>
      </c>
      <c r="K290" s="0" t="str">
        <f aca="false">IFERROR(IF(OR(HLOOKUP($A290,#REF!,9,FALSE())&gt;2,HLOOKUP($A290,#REF!,9,FALSE())&lt;-2),"",#REF!),"")</f>
        <v/>
      </c>
      <c r="L290" s="0" t="str">
        <f aca="false">IFERROR(IF(OR(HLOOKUP($A290,#REF!,10,FALSE())&gt;2,HLOOKUP($A290,#REF!,10,FALSE())&lt;-2),"",#REF!),"")</f>
        <v/>
      </c>
      <c r="M290" s="0" t="str">
        <f aca="false">IFERROR(IF(OR(HLOOKUP($A290,#REF!,11,FALSE())&gt;2,HLOOKUP($A290,#REF!,11,FALSE())&lt;-2),"",#REF!),"")</f>
        <v/>
      </c>
      <c r="N290" s="0" t="str">
        <f aca="false">IFERROR(IF(OR(HLOOKUP($A290,#REF!,12,FALSE())&gt;2,HLOOKUP($A290,#REF!,12,FALSE())&lt;-2),"",#REF!),"")</f>
        <v/>
      </c>
      <c r="O290" s="0" t="str">
        <f aca="false">IFERROR(IF(OR(HLOOKUP($A290,#REF!,13,FALSE())&gt;2,HLOOKUP($A290,#REF!,13,FALSE())&lt;-2),"",#REF!),"")</f>
        <v/>
      </c>
      <c r="P290" s="0" t="str">
        <f aca="false">IFERROR(IF(OR(HLOOKUP($A290,#REF!,14,FALSE())&gt;2,HLOOKUP($A290,#REF!,14,FALSE())&lt;-2),"",#REF!),"")</f>
        <v/>
      </c>
      <c r="Q290" s="0" t="str">
        <f aca="false">IFERROR(IF(OR(HLOOKUP($A290,#REF!,15,FALSE())&gt;2,HLOOKUP($A290,#REF!,15,FALSE())&lt;-2),"",#REF!),"")</f>
        <v/>
      </c>
      <c r="R290" s="0" t="str">
        <f aca="false">IFERROR(IF(OR(HLOOKUP($A290,#REF!,16,FALSE())&gt;2,HLOOKUP($A290,#REF!,16,FALSE())&lt;-2),"",#REF!),"")</f>
        <v/>
      </c>
      <c r="S290" s="0" t="str">
        <f aca="false">IFERROR(IF(OR(HLOOKUP($A290,#REF!,17,FALSE())&gt;2,HLOOKUP($A290,#REF!,17,FALSE())&lt;-2),"",#REF!),"")</f>
        <v/>
      </c>
      <c r="T290" s="0" t="str">
        <f aca="false">IFERROR(IF(OR(HLOOKUP($A290,#REF!,18,FALSE())&gt;2,HLOOKUP($A290,#REF!,18,FALSE())&lt;-2),"",#REF!),"")</f>
        <v/>
      </c>
      <c r="U290" s="0" t="str">
        <f aca="false">IFERROR(IF(OR(HLOOKUP($A290,#REF!,19,FALSE())&gt;2,HLOOKUP($A290,#REF!,19,FALSE())&lt;-2),"",#REF!),"")</f>
        <v/>
      </c>
      <c r="V290" s="0" t="n">
        <f aca="false">IFERROR(IF(AND(X290=0,Y290=0),0,1),0)</f>
        <v>1</v>
      </c>
      <c r="W290" s="3" t="str">
        <f aca="false">IFERROR(_xlfn.T.TEST(E290:M290,N290:U290,2,2),"")</f>
        <v/>
      </c>
      <c r="X290" s="0" t="str">
        <f aca="false">IFERROR(AVERAGE(E290:M290),"")</f>
        <v/>
      </c>
      <c r="Y290" s="0" t="str">
        <f aca="false">IFERROR(AVERAGE(N290:U290),"")</f>
        <v/>
      </c>
    </row>
    <row r="291" customFormat="false" ht="14.5" hidden="false" customHeight="false" outlineLevel="0" collapsed="false">
      <c r="A291" s="0" t="n">
        <v>298</v>
      </c>
      <c r="B291" s="0" t="s">
        <v>373</v>
      </c>
      <c r="C291" s="0" t="n">
        <v>52200</v>
      </c>
      <c r="D291" s="0" t="n">
        <v>835</v>
      </c>
      <c r="E291" s="0" t="str">
        <f aca="false">IFERROR(IF(OR(HLOOKUP($A291,#REF!,3,FALSE())&gt;2,HLOOKUP(A291,#REF!,3,FALSE())&lt;-2),"",#REF!),"")</f>
        <v/>
      </c>
      <c r="F291" s="0" t="str">
        <f aca="false">IFERROR(IF(OR(HLOOKUP($A291,#REF!,4,FALSE())&gt;2,HLOOKUP($A291,#REF!,4,FALSE())&lt;-2),"",#REF!),"")</f>
        <v/>
      </c>
      <c r="G291" s="0" t="str">
        <f aca="false">IFERROR(IF(OR(HLOOKUP($A291,#REF!,5,FALSE())&gt;2,HLOOKUP($A291,#REF!,5,FALSE())&lt;-2),"",#REF!),"")</f>
        <v/>
      </c>
      <c r="H291" s="0" t="str">
        <f aca="false">IFERROR(IF(OR(HLOOKUP($A291,#REF!,6,FALSE())&gt;2,HLOOKUP($A291,#REF!,6,FALSE())&lt;-2),"",#REF!),"")</f>
        <v/>
      </c>
      <c r="I291" s="0" t="str">
        <f aca="false">IFERROR(IF(OR(HLOOKUP($A291,#REF!,7,FALSE())&gt;2,HLOOKUP($A291,#REF!,7,FALSE())&lt;-2),"",#REF!),"")</f>
        <v/>
      </c>
      <c r="J291" s="0" t="str">
        <f aca="false">IFERROR(IF(OR(HLOOKUP($A291,#REF!,8,FALSE())&gt;2,HLOOKUP($A291,#REF!,8,FALSE())&lt;-2),"",#REF!),"")</f>
        <v/>
      </c>
      <c r="K291" s="0" t="str">
        <f aca="false">IFERROR(IF(OR(HLOOKUP($A291,#REF!,9,FALSE())&gt;2,HLOOKUP($A291,#REF!,9,FALSE())&lt;-2),"",#REF!),"")</f>
        <v/>
      </c>
      <c r="L291" s="0" t="str">
        <f aca="false">IFERROR(IF(OR(HLOOKUP($A291,#REF!,10,FALSE())&gt;2,HLOOKUP($A291,#REF!,10,FALSE())&lt;-2),"",#REF!),"")</f>
        <v/>
      </c>
      <c r="M291" s="0" t="str">
        <f aca="false">IFERROR(IF(OR(HLOOKUP($A291,#REF!,11,FALSE())&gt;2,HLOOKUP($A291,#REF!,11,FALSE())&lt;-2),"",#REF!),"")</f>
        <v/>
      </c>
      <c r="N291" s="0" t="str">
        <f aca="false">IFERROR(IF(OR(HLOOKUP($A291,#REF!,12,FALSE())&gt;2,HLOOKUP($A291,#REF!,12,FALSE())&lt;-2),"",#REF!),"")</f>
        <v/>
      </c>
      <c r="O291" s="0" t="str">
        <f aca="false">IFERROR(IF(OR(HLOOKUP($A291,#REF!,13,FALSE())&gt;2,HLOOKUP($A291,#REF!,13,FALSE())&lt;-2),"",#REF!),"")</f>
        <v/>
      </c>
      <c r="P291" s="0" t="str">
        <f aca="false">IFERROR(IF(OR(HLOOKUP($A291,#REF!,14,FALSE())&gt;2,HLOOKUP($A291,#REF!,14,FALSE())&lt;-2),"",#REF!),"")</f>
        <v/>
      </c>
      <c r="Q291" s="0" t="str">
        <f aca="false">IFERROR(IF(OR(HLOOKUP($A291,#REF!,15,FALSE())&gt;2,HLOOKUP($A291,#REF!,15,FALSE())&lt;-2),"",#REF!),"")</f>
        <v/>
      </c>
      <c r="R291" s="0" t="str">
        <f aca="false">IFERROR(IF(OR(HLOOKUP($A291,#REF!,16,FALSE())&gt;2,HLOOKUP($A291,#REF!,16,FALSE())&lt;-2),"",#REF!),"")</f>
        <v/>
      </c>
      <c r="S291" s="0" t="str">
        <f aca="false">IFERROR(IF(OR(HLOOKUP($A291,#REF!,17,FALSE())&gt;2,HLOOKUP($A291,#REF!,17,FALSE())&lt;-2),"",#REF!),"")</f>
        <v/>
      </c>
      <c r="T291" s="0" t="str">
        <f aca="false">IFERROR(IF(OR(HLOOKUP($A291,#REF!,18,FALSE())&gt;2,HLOOKUP($A291,#REF!,18,FALSE())&lt;-2),"",#REF!),"")</f>
        <v/>
      </c>
      <c r="U291" s="0" t="str">
        <f aca="false">IFERROR(IF(OR(HLOOKUP($A291,#REF!,19,FALSE())&gt;2,HLOOKUP($A291,#REF!,19,FALSE())&lt;-2),"",#REF!),"")</f>
        <v/>
      </c>
      <c r="V291" s="0" t="n">
        <f aca="false">IFERROR(IF(AND(X291=0,Y291=0),0,1),0)</f>
        <v>1</v>
      </c>
      <c r="W291" s="3" t="str">
        <f aca="false">IFERROR(_xlfn.T.TEST(E291:M291,N291:U291,2,2),"")</f>
        <v/>
      </c>
      <c r="X291" s="0" t="str">
        <f aca="false">IFERROR(AVERAGE(E291:M291),"")</f>
        <v/>
      </c>
      <c r="Y291" s="0" t="str">
        <f aca="false">IFERROR(AVERAGE(N291:U291),"")</f>
        <v/>
      </c>
    </row>
    <row r="292" customFormat="false" ht="14.5" hidden="false" customHeight="false" outlineLevel="0" collapsed="false">
      <c r="A292" s="0" t="n">
        <v>299</v>
      </c>
      <c r="B292" s="0" t="s">
        <v>374</v>
      </c>
      <c r="C292" s="0" t="n">
        <v>1200</v>
      </c>
      <c r="D292" s="0" t="n">
        <v>500</v>
      </c>
      <c r="E292" s="0" t="str">
        <f aca="false">IFERROR(IF(OR(HLOOKUP($A292,#REF!,3,FALSE())&gt;2,HLOOKUP(A292,#REF!,3,FALSE())&lt;-2),"",#REF!),"")</f>
        <v/>
      </c>
      <c r="F292" s="0" t="str">
        <f aca="false">IFERROR(IF(OR(HLOOKUP($A292,#REF!,4,FALSE())&gt;2,HLOOKUP($A292,#REF!,4,FALSE())&lt;-2),"",#REF!),"")</f>
        <v/>
      </c>
      <c r="G292" s="0" t="str">
        <f aca="false">IFERROR(IF(OR(HLOOKUP($A292,#REF!,5,FALSE())&gt;2,HLOOKUP($A292,#REF!,5,FALSE())&lt;-2),"",#REF!),"")</f>
        <v/>
      </c>
      <c r="H292" s="0" t="str">
        <f aca="false">IFERROR(IF(OR(HLOOKUP($A292,#REF!,6,FALSE())&gt;2,HLOOKUP($A292,#REF!,6,FALSE())&lt;-2),"",#REF!),"")</f>
        <v/>
      </c>
      <c r="I292" s="0" t="str">
        <f aca="false">IFERROR(IF(OR(HLOOKUP($A292,#REF!,7,FALSE())&gt;2,HLOOKUP($A292,#REF!,7,FALSE())&lt;-2),"",#REF!),"")</f>
        <v/>
      </c>
      <c r="J292" s="0" t="str">
        <f aca="false">IFERROR(IF(OR(HLOOKUP($A292,#REF!,8,FALSE())&gt;2,HLOOKUP($A292,#REF!,8,FALSE())&lt;-2),"",#REF!),"")</f>
        <v/>
      </c>
      <c r="K292" s="0" t="str">
        <f aca="false">IFERROR(IF(OR(HLOOKUP($A292,#REF!,9,FALSE())&gt;2,HLOOKUP($A292,#REF!,9,FALSE())&lt;-2),"",#REF!),"")</f>
        <v/>
      </c>
      <c r="L292" s="0" t="str">
        <f aca="false">IFERROR(IF(OR(HLOOKUP($A292,#REF!,10,FALSE())&gt;2,HLOOKUP($A292,#REF!,10,FALSE())&lt;-2),"",#REF!),"")</f>
        <v/>
      </c>
      <c r="M292" s="0" t="str">
        <f aca="false">IFERROR(IF(OR(HLOOKUP($A292,#REF!,11,FALSE())&gt;2,HLOOKUP($A292,#REF!,11,FALSE())&lt;-2),"",#REF!),"")</f>
        <v/>
      </c>
      <c r="N292" s="0" t="str">
        <f aca="false">IFERROR(IF(OR(HLOOKUP($A292,#REF!,12,FALSE())&gt;2,HLOOKUP($A292,#REF!,12,FALSE())&lt;-2),"",#REF!),"")</f>
        <v/>
      </c>
      <c r="O292" s="0" t="str">
        <f aca="false">IFERROR(IF(OR(HLOOKUP($A292,#REF!,13,FALSE())&gt;2,HLOOKUP($A292,#REF!,13,FALSE())&lt;-2),"",#REF!),"")</f>
        <v/>
      </c>
      <c r="P292" s="0" t="str">
        <f aca="false">IFERROR(IF(OR(HLOOKUP($A292,#REF!,14,FALSE())&gt;2,HLOOKUP($A292,#REF!,14,FALSE())&lt;-2),"",#REF!),"")</f>
        <v/>
      </c>
      <c r="Q292" s="0" t="str">
        <f aca="false">IFERROR(IF(OR(HLOOKUP($A292,#REF!,15,FALSE())&gt;2,HLOOKUP($A292,#REF!,15,FALSE())&lt;-2),"",#REF!),"")</f>
        <v/>
      </c>
      <c r="R292" s="0" t="str">
        <f aca="false">IFERROR(IF(OR(HLOOKUP($A292,#REF!,16,FALSE())&gt;2,HLOOKUP($A292,#REF!,16,FALSE())&lt;-2),"",#REF!),"")</f>
        <v/>
      </c>
      <c r="S292" s="0" t="str">
        <f aca="false">IFERROR(IF(OR(HLOOKUP($A292,#REF!,17,FALSE())&gt;2,HLOOKUP($A292,#REF!,17,FALSE())&lt;-2),"",#REF!),"")</f>
        <v/>
      </c>
      <c r="T292" s="0" t="str">
        <f aca="false">IFERROR(IF(OR(HLOOKUP($A292,#REF!,18,FALSE())&gt;2,HLOOKUP($A292,#REF!,18,FALSE())&lt;-2),"",#REF!),"")</f>
        <v/>
      </c>
      <c r="U292" s="0" t="str">
        <f aca="false">IFERROR(IF(OR(HLOOKUP($A292,#REF!,19,FALSE())&gt;2,HLOOKUP($A292,#REF!,19,FALSE())&lt;-2),"",#REF!),"")</f>
        <v/>
      </c>
      <c r="V292" s="0" t="n">
        <f aca="false">IFERROR(IF(AND(X292=0,Y292=0),0,1),0)</f>
        <v>1</v>
      </c>
      <c r="W292" s="3" t="str">
        <f aca="false">IFERROR(_xlfn.T.TEST(E292:M292,N292:U292,2,2),"")</f>
        <v/>
      </c>
      <c r="X292" s="0" t="str">
        <f aca="false">IFERROR(AVERAGE(E292:M292),"")</f>
        <v/>
      </c>
      <c r="Y292" s="0" t="str">
        <f aca="false">IFERROR(AVERAGE(N292:U292),"")</f>
        <v/>
      </c>
    </row>
    <row r="293" customFormat="false" ht="14.5" hidden="false" customHeight="false" outlineLevel="0" collapsed="false">
      <c r="A293" s="0" t="n">
        <v>300</v>
      </c>
      <c r="B293" s="0" t="s">
        <v>375</v>
      </c>
      <c r="C293" s="0" t="n">
        <v>69300</v>
      </c>
      <c r="D293" s="0" t="n">
        <v>178</v>
      </c>
      <c r="E293" s="0" t="str">
        <f aca="false">IFERROR(IF(OR(HLOOKUP($A293,#REF!,3,FALSE())&gt;2,HLOOKUP(A293,#REF!,3,FALSE())&lt;-2),"",#REF!),"")</f>
        <v/>
      </c>
      <c r="F293" s="0" t="str">
        <f aca="false">IFERROR(IF(OR(HLOOKUP($A293,#REF!,4,FALSE())&gt;2,HLOOKUP($A293,#REF!,4,FALSE())&lt;-2),"",#REF!),"")</f>
        <v/>
      </c>
      <c r="G293" s="0" t="str">
        <f aca="false">IFERROR(IF(OR(HLOOKUP($A293,#REF!,5,FALSE())&gt;2,HLOOKUP($A293,#REF!,5,FALSE())&lt;-2),"",#REF!),"")</f>
        <v/>
      </c>
      <c r="H293" s="0" t="str">
        <f aca="false">IFERROR(IF(OR(HLOOKUP($A293,#REF!,6,FALSE())&gt;2,HLOOKUP($A293,#REF!,6,FALSE())&lt;-2),"",#REF!),"")</f>
        <v/>
      </c>
      <c r="I293" s="0" t="str">
        <f aca="false">IFERROR(IF(OR(HLOOKUP($A293,#REF!,7,FALSE())&gt;2,HLOOKUP($A293,#REF!,7,FALSE())&lt;-2),"",#REF!),"")</f>
        <v/>
      </c>
      <c r="J293" s="0" t="str">
        <f aca="false">IFERROR(IF(OR(HLOOKUP($A293,#REF!,8,FALSE())&gt;2,HLOOKUP($A293,#REF!,8,FALSE())&lt;-2),"",#REF!),"")</f>
        <v/>
      </c>
      <c r="K293" s="0" t="str">
        <f aca="false">IFERROR(IF(OR(HLOOKUP($A293,#REF!,9,FALSE())&gt;2,HLOOKUP($A293,#REF!,9,FALSE())&lt;-2),"",#REF!),"")</f>
        <v/>
      </c>
      <c r="L293" s="0" t="str">
        <f aca="false">IFERROR(IF(OR(HLOOKUP($A293,#REF!,10,FALSE())&gt;2,HLOOKUP($A293,#REF!,10,FALSE())&lt;-2),"",#REF!),"")</f>
        <v/>
      </c>
      <c r="M293" s="0" t="str">
        <f aca="false">IFERROR(IF(OR(HLOOKUP($A293,#REF!,11,FALSE())&gt;2,HLOOKUP($A293,#REF!,11,FALSE())&lt;-2),"",#REF!),"")</f>
        <v/>
      </c>
      <c r="N293" s="0" t="str">
        <f aca="false">IFERROR(IF(OR(HLOOKUP($A293,#REF!,12,FALSE())&gt;2,HLOOKUP($A293,#REF!,12,FALSE())&lt;-2),"",#REF!),"")</f>
        <v/>
      </c>
      <c r="O293" s="0" t="str">
        <f aca="false">IFERROR(IF(OR(HLOOKUP($A293,#REF!,13,FALSE())&gt;2,HLOOKUP($A293,#REF!,13,FALSE())&lt;-2),"",#REF!),"")</f>
        <v/>
      </c>
      <c r="P293" s="0" t="str">
        <f aca="false">IFERROR(IF(OR(HLOOKUP($A293,#REF!,14,FALSE())&gt;2,HLOOKUP($A293,#REF!,14,FALSE())&lt;-2),"",#REF!),"")</f>
        <v/>
      </c>
      <c r="Q293" s="0" t="str">
        <f aca="false">IFERROR(IF(OR(HLOOKUP($A293,#REF!,15,FALSE())&gt;2,HLOOKUP($A293,#REF!,15,FALSE())&lt;-2),"",#REF!),"")</f>
        <v/>
      </c>
      <c r="R293" s="0" t="str">
        <f aca="false">IFERROR(IF(OR(HLOOKUP($A293,#REF!,16,FALSE())&gt;2,HLOOKUP($A293,#REF!,16,FALSE())&lt;-2),"",#REF!),"")</f>
        <v/>
      </c>
      <c r="S293" s="0" t="str">
        <f aca="false">IFERROR(IF(OR(HLOOKUP($A293,#REF!,17,FALSE())&gt;2,HLOOKUP($A293,#REF!,17,FALSE())&lt;-2),"",#REF!),"")</f>
        <v/>
      </c>
      <c r="T293" s="0" t="str">
        <f aca="false">IFERROR(IF(OR(HLOOKUP($A293,#REF!,18,FALSE())&gt;2,HLOOKUP($A293,#REF!,18,FALSE())&lt;-2),"",#REF!),"")</f>
        <v/>
      </c>
      <c r="U293" s="0" t="str">
        <f aca="false">IFERROR(IF(OR(HLOOKUP($A293,#REF!,19,FALSE())&gt;2,HLOOKUP($A293,#REF!,19,FALSE())&lt;-2),"",#REF!),"")</f>
        <v/>
      </c>
      <c r="V293" s="0" t="n">
        <f aca="false">IFERROR(IF(AND(X293=0,Y293=0),0,1),0)</f>
        <v>1</v>
      </c>
      <c r="W293" s="3" t="str">
        <f aca="false">IFERROR(_xlfn.T.TEST(E293:M293,N293:U293,2,2),"")</f>
        <v/>
      </c>
      <c r="X293" s="0" t="str">
        <f aca="false">IFERROR(AVERAGE(E293:M293),"")</f>
        <v/>
      </c>
      <c r="Y293" s="0" t="str">
        <f aca="false">IFERROR(AVERAGE(N293:U293),"")</f>
        <v/>
      </c>
    </row>
    <row r="294" customFormat="false" ht="14.5" hidden="false" customHeight="false" outlineLevel="0" collapsed="false">
      <c r="A294" s="0" t="n">
        <v>301</v>
      </c>
      <c r="B294" s="0" t="s">
        <v>376</v>
      </c>
      <c r="C294" s="0" t="n">
        <v>112600</v>
      </c>
      <c r="D294" s="0" t="n">
        <v>768</v>
      </c>
      <c r="E294" s="0" t="str">
        <f aca="false">IFERROR(IF(OR(HLOOKUP($A294,#REF!,3,FALSE())&gt;2,HLOOKUP(A294,#REF!,3,FALSE())&lt;-2),"",#REF!),"")</f>
        <v/>
      </c>
      <c r="F294" s="0" t="str">
        <f aca="false">IFERROR(IF(OR(HLOOKUP($A294,#REF!,4,FALSE())&gt;2,HLOOKUP($A294,#REF!,4,FALSE())&lt;-2),"",#REF!),"")</f>
        <v/>
      </c>
      <c r="G294" s="0" t="str">
        <f aca="false">IFERROR(IF(OR(HLOOKUP($A294,#REF!,5,FALSE())&gt;2,HLOOKUP($A294,#REF!,5,FALSE())&lt;-2),"",#REF!),"")</f>
        <v/>
      </c>
      <c r="H294" s="0" t="str">
        <f aca="false">IFERROR(IF(OR(HLOOKUP($A294,#REF!,6,FALSE())&gt;2,HLOOKUP($A294,#REF!,6,FALSE())&lt;-2),"",#REF!),"")</f>
        <v/>
      </c>
      <c r="I294" s="0" t="str">
        <f aca="false">IFERROR(IF(OR(HLOOKUP($A294,#REF!,7,FALSE())&gt;2,HLOOKUP($A294,#REF!,7,FALSE())&lt;-2),"",#REF!),"")</f>
        <v/>
      </c>
      <c r="J294" s="0" t="str">
        <f aca="false">IFERROR(IF(OR(HLOOKUP($A294,#REF!,8,FALSE())&gt;2,HLOOKUP($A294,#REF!,8,FALSE())&lt;-2),"",#REF!),"")</f>
        <v/>
      </c>
      <c r="K294" s="0" t="str">
        <f aca="false">IFERROR(IF(OR(HLOOKUP($A294,#REF!,9,FALSE())&gt;2,HLOOKUP($A294,#REF!,9,FALSE())&lt;-2),"",#REF!),"")</f>
        <v/>
      </c>
      <c r="L294" s="0" t="str">
        <f aca="false">IFERROR(IF(OR(HLOOKUP($A294,#REF!,10,FALSE())&gt;2,HLOOKUP($A294,#REF!,10,FALSE())&lt;-2),"",#REF!),"")</f>
        <v/>
      </c>
      <c r="M294" s="0" t="str">
        <f aca="false">IFERROR(IF(OR(HLOOKUP($A294,#REF!,11,FALSE())&gt;2,HLOOKUP($A294,#REF!,11,FALSE())&lt;-2),"",#REF!),"")</f>
        <v/>
      </c>
      <c r="N294" s="0" t="str">
        <f aca="false">IFERROR(IF(OR(HLOOKUP($A294,#REF!,12,FALSE())&gt;2,HLOOKUP($A294,#REF!,12,FALSE())&lt;-2),"",#REF!),"")</f>
        <v/>
      </c>
      <c r="O294" s="0" t="str">
        <f aca="false">IFERROR(IF(OR(HLOOKUP($A294,#REF!,13,FALSE())&gt;2,HLOOKUP($A294,#REF!,13,FALSE())&lt;-2),"",#REF!),"")</f>
        <v/>
      </c>
      <c r="P294" s="0" t="str">
        <f aca="false">IFERROR(IF(OR(HLOOKUP($A294,#REF!,14,FALSE())&gt;2,HLOOKUP($A294,#REF!,14,FALSE())&lt;-2),"",#REF!),"")</f>
        <v/>
      </c>
      <c r="Q294" s="0" t="str">
        <f aca="false">IFERROR(IF(OR(HLOOKUP($A294,#REF!,15,FALSE())&gt;2,HLOOKUP($A294,#REF!,15,FALSE())&lt;-2),"",#REF!),"")</f>
        <v/>
      </c>
      <c r="R294" s="0" t="str">
        <f aca="false">IFERROR(IF(OR(HLOOKUP($A294,#REF!,16,FALSE())&gt;2,HLOOKUP($A294,#REF!,16,FALSE())&lt;-2),"",#REF!),"")</f>
        <v/>
      </c>
      <c r="S294" s="0" t="str">
        <f aca="false">IFERROR(IF(OR(HLOOKUP($A294,#REF!,17,FALSE())&gt;2,HLOOKUP($A294,#REF!,17,FALSE())&lt;-2),"",#REF!),"")</f>
        <v/>
      </c>
      <c r="T294" s="0" t="str">
        <f aca="false">IFERROR(IF(OR(HLOOKUP($A294,#REF!,18,FALSE())&gt;2,HLOOKUP($A294,#REF!,18,FALSE())&lt;-2),"",#REF!),"")</f>
        <v/>
      </c>
      <c r="U294" s="0" t="str">
        <f aca="false">IFERROR(IF(OR(HLOOKUP($A294,#REF!,19,FALSE())&gt;2,HLOOKUP($A294,#REF!,19,FALSE())&lt;-2),"",#REF!),"")</f>
        <v/>
      </c>
      <c r="V294" s="0" t="n">
        <f aca="false">IFERROR(IF(AND(X294=0,Y294=0),0,1),0)</f>
        <v>1</v>
      </c>
      <c r="W294" s="3" t="str">
        <f aca="false">IFERROR(_xlfn.T.TEST(E294:M294,N294:U294,2,2),"")</f>
        <v/>
      </c>
      <c r="X294" s="0" t="str">
        <f aca="false">IFERROR(AVERAGE(E294:M294),"")</f>
        <v/>
      </c>
      <c r="Y294" s="0" t="str">
        <f aca="false">IFERROR(AVERAGE(N294:U294),"")</f>
        <v/>
      </c>
    </row>
    <row r="295" customFormat="false" ht="14.5" hidden="false" customHeight="false" outlineLevel="0" collapsed="false">
      <c r="A295" s="0" t="n">
        <v>302</v>
      </c>
      <c r="B295" s="0" t="s">
        <v>377</v>
      </c>
      <c r="C295" s="0" t="n">
        <v>78700</v>
      </c>
      <c r="D295" s="0" t="n">
        <v>339</v>
      </c>
      <c r="E295" s="0" t="str">
        <f aca="false">IFERROR(IF(OR(HLOOKUP($A295,#REF!,3,FALSE())&gt;2,HLOOKUP(A295,#REF!,3,FALSE())&lt;-2),"",#REF!),"")</f>
        <v/>
      </c>
      <c r="F295" s="0" t="str">
        <f aca="false">IFERROR(IF(OR(HLOOKUP($A295,#REF!,4,FALSE())&gt;2,HLOOKUP($A295,#REF!,4,FALSE())&lt;-2),"",#REF!),"")</f>
        <v/>
      </c>
      <c r="G295" s="0" t="str">
        <f aca="false">IFERROR(IF(OR(HLOOKUP($A295,#REF!,5,FALSE())&gt;2,HLOOKUP($A295,#REF!,5,FALSE())&lt;-2),"",#REF!),"")</f>
        <v/>
      </c>
      <c r="H295" s="0" t="str">
        <f aca="false">IFERROR(IF(OR(HLOOKUP($A295,#REF!,6,FALSE())&gt;2,HLOOKUP($A295,#REF!,6,FALSE())&lt;-2),"",#REF!),"")</f>
        <v/>
      </c>
      <c r="I295" s="0" t="str">
        <f aca="false">IFERROR(IF(OR(HLOOKUP($A295,#REF!,7,FALSE())&gt;2,HLOOKUP($A295,#REF!,7,FALSE())&lt;-2),"",#REF!),"")</f>
        <v/>
      </c>
      <c r="J295" s="0" t="str">
        <f aca="false">IFERROR(IF(OR(HLOOKUP($A295,#REF!,8,FALSE())&gt;2,HLOOKUP($A295,#REF!,8,FALSE())&lt;-2),"",#REF!),"")</f>
        <v/>
      </c>
      <c r="K295" s="0" t="str">
        <f aca="false">IFERROR(IF(OR(HLOOKUP($A295,#REF!,9,FALSE())&gt;2,HLOOKUP($A295,#REF!,9,FALSE())&lt;-2),"",#REF!),"")</f>
        <v/>
      </c>
      <c r="L295" s="0" t="str">
        <f aca="false">IFERROR(IF(OR(HLOOKUP($A295,#REF!,10,FALSE())&gt;2,HLOOKUP($A295,#REF!,10,FALSE())&lt;-2),"",#REF!),"")</f>
        <v/>
      </c>
      <c r="M295" s="0" t="str">
        <f aca="false">IFERROR(IF(OR(HLOOKUP($A295,#REF!,11,FALSE())&gt;2,HLOOKUP($A295,#REF!,11,FALSE())&lt;-2),"",#REF!),"")</f>
        <v/>
      </c>
      <c r="N295" s="0" t="str">
        <f aca="false">IFERROR(IF(OR(HLOOKUP($A295,#REF!,12,FALSE())&gt;2,HLOOKUP($A295,#REF!,12,FALSE())&lt;-2),"",#REF!),"")</f>
        <v/>
      </c>
      <c r="O295" s="0" t="str">
        <f aca="false">IFERROR(IF(OR(HLOOKUP($A295,#REF!,13,FALSE())&gt;2,HLOOKUP($A295,#REF!,13,FALSE())&lt;-2),"",#REF!),"")</f>
        <v/>
      </c>
      <c r="P295" s="0" t="str">
        <f aca="false">IFERROR(IF(OR(HLOOKUP($A295,#REF!,14,FALSE())&gt;2,HLOOKUP($A295,#REF!,14,FALSE())&lt;-2),"",#REF!),"")</f>
        <v/>
      </c>
      <c r="Q295" s="0" t="str">
        <f aca="false">IFERROR(IF(OR(HLOOKUP($A295,#REF!,15,FALSE())&gt;2,HLOOKUP($A295,#REF!,15,FALSE())&lt;-2),"",#REF!),"")</f>
        <v/>
      </c>
      <c r="R295" s="0" t="str">
        <f aca="false">IFERROR(IF(OR(HLOOKUP($A295,#REF!,16,FALSE())&gt;2,HLOOKUP($A295,#REF!,16,FALSE())&lt;-2),"",#REF!),"")</f>
        <v/>
      </c>
      <c r="S295" s="0" t="str">
        <f aca="false">IFERROR(IF(OR(HLOOKUP($A295,#REF!,17,FALSE())&gt;2,HLOOKUP($A295,#REF!,17,FALSE())&lt;-2),"",#REF!),"")</f>
        <v/>
      </c>
      <c r="T295" s="0" t="str">
        <f aca="false">IFERROR(IF(OR(HLOOKUP($A295,#REF!,18,FALSE())&gt;2,HLOOKUP($A295,#REF!,18,FALSE())&lt;-2),"",#REF!),"")</f>
        <v/>
      </c>
      <c r="U295" s="0" t="str">
        <f aca="false">IFERROR(IF(OR(HLOOKUP($A295,#REF!,19,FALSE())&gt;2,HLOOKUP($A295,#REF!,19,FALSE())&lt;-2),"",#REF!),"")</f>
        <v/>
      </c>
      <c r="V295" s="0" t="n">
        <f aca="false">IFERROR(IF(AND(X295=0,Y295=0),0,1),0)</f>
        <v>1</v>
      </c>
      <c r="W295" s="3" t="str">
        <f aca="false">IFERROR(_xlfn.T.TEST(E295:M295,N295:U295,2,2),"")</f>
        <v/>
      </c>
      <c r="X295" s="0" t="str">
        <f aca="false">IFERROR(AVERAGE(E295:M295),"")</f>
        <v/>
      </c>
      <c r="Y295" s="0" t="str">
        <f aca="false">IFERROR(AVERAGE(N295:U295),"")</f>
        <v/>
      </c>
    </row>
    <row r="296" customFormat="false" ht="14.5" hidden="false" customHeight="false" outlineLevel="0" collapsed="false">
      <c r="A296" s="0" t="n">
        <v>303</v>
      </c>
      <c r="B296" s="0" t="s">
        <v>92</v>
      </c>
      <c r="C296" s="0" t="n">
        <v>47200</v>
      </c>
      <c r="D296" s="0" t="n">
        <v>295</v>
      </c>
      <c r="E296" s="0" t="str">
        <f aca="false">IFERROR(IF(OR(HLOOKUP($A296,#REF!,3,FALSE())&gt;2,HLOOKUP(A296,#REF!,3,FALSE())&lt;-2),"",#REF!),"")</f>
        <v/>
      </c>
      <c r="F296" s="0" t="str">
        <f aca="false">IFERROR(IF(OR(HLOOKUP($A296,#REF!,4,FALSE())&gt;2,HLOOKUP($A296,#REF!,4,FALSE())&lt;-2),"",#REF!),"")</f>
        <v/>
      </c>
      <c r="G296" s="0" t="str">
        <f aca="false">IFERROR(IF(OR(HLOOKUP($A296,#REF!,5,FALSE())&gt;2,HLOOKUP($A296,#REF!,5,FALSE())&lt;-2),"",#REF!),"")</f>
        <v/>
      </c>
      <c r="H296" s="0" t="str">
        <f aca="false">IFERROR(IF(OR(HLOOKUP($A296,#REF!,6,FALSE())&gt;2,HLOOKUP($A296,#REF!,6,FALSE())&lt;-2),"",#REF!),"")</f>
        <v/>
      </c>
      <c r="I296" s="0" t="str">
        <f aca="false">IFERROR(IF(OR(HLOOKUP($A296,#REF!,7,FALSE())&gt;2,HLOOKUP($A296,#REF!,7,FALSE())&lt;-2),"",#REF!),"")</f>
        <v/>
      </c>
      <c r="J296" s="0" t="str">
        <f aca="false">IFERROR(IF(OR(HLOOKUP($A296,#REF!,8,FALSE())&gt;2,HLOOKUP($A296,#REF!,8,FALSE())&lt;-2),"",#REF!),"")</f>
        <v/>
      </c>
      <c r="K296" s="0" t="str">
        <f aca="false">IFERROR(IF(OR(HLOOKUP($A296,#REF!,9,FALSE())&gt;2,HLOOKUP($A296,#REF!,9,FALSE())&lt;-2),"",#REF!),"")</f>
        <v/>
      </c>
      <c r="L296" s="0" t="str">
        <f aca="false">IFERROR(IF(OR(HLOOKUP($A296,#REF!,10,FALSE())&gt;2,HLOOKUP($A296,#REF!,10,FALSE())&lt;-2),"",#REF!),"")</f>
        <v/>
      </c>
      <c r="M296" s="0" t="str">
        <f aca="false">IFERROR(IF(OR(HLOOKUP($A296,#REF!,11,FALSE())&gt;2,HLOOKUP($A296,#REF!,11,FALSE())&lt;-2),"",#REF!),"")</f>
        <v/>
      </c>
      <c r="N296" s="0" t="str">
        <f aca="false">IFERROR(IF(OR(HLOOKUP($A296,#REF!,12,FALSE())&gt;2,HLOOKUP($A296,#REF!,12,FALSE())&lt;-2),"",#REF!),"")</f>
        <v/>
      </c>
      <c r="O296" s="0" t="str">
        <f aca="false">IFERROR(IF(OR(HLOOKUP($A296,#REF!,13,FALSE())&gt;2,HLOOKUP($A296,#REF!,13,FALSE())&lt;-2),"",#REF!),"")</f>
        <v/>
      </c>
      <c r="P296" s="0" t="str">
        <f aca="false">IFERROR(IF(OR(HLOOKUP($A296,#REF!,14,FALSE())&gt;2,HLOOKUP($A296,#REF!,14,FALSE())&lt;-2),"",#REF!),"")</f>
        <v/>
      </c>
      <c r="Q296" s="0" t="str">
        <f aca="false">IFERROR(IF(OR(HLOOKUP($A296,#REF!,15,FALSE())&gt;2,HLOOKUP($A296,#REF!,15,FALSE())&lt;-2),"",#REF!),"")</f>
        <v/>
      </c>
      <c r="R296" s="0" t="str">
        <f aca="false">IFERROR(IF(OR(HLOOKUP($A296,#REF!,16,FALSE())&gt;2,HLOOKUP($A296,#REF!,16,FALSE())&lt;-2),"",#REF!),"")</f>
        <v/>
      </c>
      <c r="S296" s="0" t="str">
        <f aca="false">IFERROR(IF(OR(HLOOKUP($A296,#REF!,17,FALSE())&gt;2,HLOOKUP($A296,#REF!,17,FALSE())&lt;-2),"",#REF!),"")</f>
        <v/>
      </c>
      <c r="T296" s="0" t="str">
        <f aca="false">IFERROR(IF(OR(HLOOKUP($A296,#REF!,18,FALSE())&gt;2,HLOOKUP($A296,#REF!,18,FALSE())&lt;-2),"",#REF!),"")</f>
        <v/>
      </c>
      <c r="U296" s="0" t="str">
        <f aca="false">IFERROR(IF(OR(HLOOKUP($A296,#REF!,19,FALSE())&gt;2,HLOOKUP($A296,#REF!,19,FALSE())&lt;-2),"",#REF!),"")</f>
        <v/>
      </c>
      <c r="V296" s="0" t="n">
        <f aca="false">IFERROR(IF(AND(X296=0,Y296=0),0,1),0)</f>
        <v>1</v>
      </c>
      <c r="W296" s="3" t="str">
        <f aca="false">IFERROR(_xlfn.T.TEST(E296:M296,N296:U296,2,2),"")</f>
        <v/>
      </c>
      <c r="X296" s="0" t="str">
        <f aca="false">IFERROR(AVERAGE(E296:M296),"")</f>
        <v/>
      </c>
      <c r="Y296" s="0" t="str">
        <f aca="false">IFERROR(AVERAGE(N296:U296),"")</f>
        <v/>
      </c>
    </row>
    <row r="297" customFormat="false" ht="14.5" hidden="false" customHeight="false" outlineLevel="0" collapsed="false">
      <c r="A297" s="0" t="n">
        <v>304</v>
      </c>
      <c r="B297" s="0" t="s">
        <v>85</v>
      </c>
      <c r="C297" s="0" t="n">
        <v>20400</v>
      </c>
      <c r="D297" s="0" t="n">
        <v>972</v>
      </c>
      <c r="E297" s="0" t="str">
        <f aca="false">IFERROR(IF(OR(HLOOKUP($A297,#REF!,3,FALSE())&gt;2,HLOOKUP(A297,#REF!,3,FALSE())&lt;-2),"",#REF!),"")</f>
        <v/>
      </c>
      <c r="F297" s="0" t="str">
        <f aca="false">IFERROR(IF(OR(HLOOKUP($A297,#REF!,4,FALSE())&gt;2,HLOOKUP($A297,#REF!,4,FALSE())&lt;-2),"",#REF!),"")</f>
        <v/>
      </c>
      <c r="G297" s="0" t="str">
        <f aca="false">IFERROR(IF(OR(HLOOKUP($A297,#REF!,5,FALSE())&gt;2,HLOOKUP($A297,#REF!,5,FALSE())&lt;-2),"",#REF!),"")</f>
        <v/>
      </c>
      <c r="H297" s="0" t="str">
        <f aca="false">IFERROR(IF(OR(HLOOKUP($A297,#REF!,6,FALSE())&gt;2,HLOOKUP($A297,#REF!,6,FALSE())&lt;-2),"",#REF!),"")</f>
        <v/>
      </c>
      <c r="I297" s="0" t="str">
        <f aca="false">IFERROR(IF(OR(HLOOKUP($A297,#REF!,7,FALSE())&gt;2,HLOOKUP($A297,#REF!,7,FALSE())&lt;-2),"",#REF!),"")</f>
        <v/>
      </c>
      <c r="J297" s="0" t="str">
        <f aca="false">IFERROR(IF(OR(HLOOKUP($A297,#REF!,8,FALSE())&gt;2,HLOOKUP($A297,#REF!,8,FALSE())&lt;-2),"",#REF!),"")</f>
        <v/>
      </c>
      <c r="K297" s="0" t="str">
        <f aca="false">IFERROR(IF(OR(HLOOKUP($A297,#REF!,9,FALSE())&gt;2,HLOOKUP($A297,#REF!,9,FALSE())&lt;-2),"",#REF!),"")</f>
        <v/>
      </c>
      <c r="L297" s="0" t="str">
        <f aca="false">IFERROR(IF(OR(HLOOKUP($A297,#REF!,10,FALSE())&gt;2,HLOOKUP($A297,#REF!,10,FALSE())&lt;-2),"",#REF!),"")</f>
        <v/>
      </c>
      <c r="M297" s="0" t="str">
        <f aca="false">IFERROR(IF(OR(HLOOKUP($A297,#REF!,11,FALSE())&gt;2,HLOOKUP($A297,#REF!,11,FALSE())&lt;-2),"",#REF!),"")</f>
        <v/>
      </c>
      <c r="N297" s="0" t="str">
        <f aca="false">IFERROR(IF(OR(HLOOKUP($A297,#REF!,12,FALSE())&gt;2,HLOOKUP($A297,#REF!,12,FALSE())&lt;-2),"",#REF!),"")</f>
        <v/>
      </c>
      <c r="O297" s="0" t="str">
        <f aca="false">IFERROR(IF(OR(HLOOKUP($A297,#REF!,13,FALSE())&gt;2,HLOOKUP($A297,#REF!,13,FALSE())&lt;-2),"",#REF!),"")</f>
        <v/>
      </c>
      <c r="P297" s="0" t="str">
        <f aca="false">IFERROR(IF(OR(HLOOKUP($A297,#REF!,14,FALSE())&gt;2,HLOOKUP($A297,#REF!,14,FALSE())&lt;-2),"",#REF!),"")</f>
        <v/>
      </c>
      <c r="Q297" s="0" t="str">
        <f aca="false">IFERROR(IF(OR(HLOOKUP($A297,#REF!,15,FALSE())&gt;2,HLOOKUP($A297,#REF!,15,FALSE())&lt;-2),"",#REF!),"")</f>
        <v/>
      </c>
      <c r="R297" s="0" t="str">
        <f aca="false">IFERROR(IF(OR(HLOOKUP($A297,#REF!,16,FALSE())&gt;2,HLOOKUP($A297,#REF!,16,FALSE())&lt;-2),"",#REF!),"")</f>
        <v/>
      </c>
      <c r="S297" s="0" t="str">
        <f aca="false">IFERROR(IF(OR(HLOOKUP($A297,#REF!,17,FALSE())&gt;2,HLOOKUP($A297,#REF!,17,FALSE())&lt;-2),"",#REF!),"")</f>
        <v/>
      </c>
      <c r="T297" s="0" t="str">
        <f aca="false">IFERROR(IF(OR(HLOOKUP($A297,#REF!,18,FALSE())&gt;2,HLOOKUP($A297,#REF!,18,FALSE())&lt;-2),"",#REF!),"")</f>
        <v/>
      </c>
      <c r="U297" s="0" t="str">
        <f aca="false">IFERROR(IF(OR(HLOOKUP($A297,#REF!,19,FALSE())&gt;2,HLOOKUP($A297,#REF!,19,FALSE())&lt;-2),"",#REF!),"")</f>
        <v/>
      </c>
      <c r="V297" s="0" t="n">
        <f aca="false">IFERROR(IF(AND(X297=0,Y297=0),0,1),0)</f>
        <v>1</v>
      </c>
      <c r="W297" s="3" t="str">
        <f aca="false">IFERROR(_xlfn.T.TEST(E297:M297,N297:U297,2,2),"")</f>
        <v/>
      </c>
      <c r="X297" s="0" t="str">
        <f aca="false">IFERROR(AVERAGE(E297:M297),"")</f>
        <v/>
      </c>
      <c r="Y297" s="0" t="str">
        <f aca="false">IFERROR(AVERAGE(N297:U297),"")</f>
        <v/>
      </c>
    </row>
    <row r="298" customFormat="false" ht="14.5" hidden="false" customHeight="false" outlineLevel="0" collapsed="false">
      <c r="A298" s="0" t="n">
        <v>305</v>
      </c>
      <c r="B298" s="0" t="s">
        <v>378</v>
      </c>
      <c r="C298" s="0" t="n">
        <v>16800</v>
      </c>
      <c r="D298" s="0" t="n">
        <v>385</v>
      </c>
      <c r="E298" s="0" t="str">
        <f aca="false">IFERROR(IF(OR(HLOOKUP($A298,#REF!,3,FALSE())&gt;2,HLOOKUP(A298,#REF!,3,FALSE())&lt;-2),"",#REF!),"")</f>
        <v/>
      </c>
      <c r="F298" s="0" t="str">
        <f aca="false">IFERROR(IF(OR(HLOOKUP($A298,#REF!,4,FALSE())&gt;2,HLOOKUP($A298,#REF!,4,FALSE())&lt;-2),"",#REF!),"")</f>
        <v/>
      </c>
      <c r="G298" s="0" t="str">
        <f aca="false">IFERROR(IF(OR(HLOOKUP($A298,#REF!,5,FALSE())&gt;2,HLOOKUP($A298,#REF!,5,FALSE())&lt;-2),"",#REF!),"")</f>
        <v/>
      </c>
      <c r="H298" s="0" t="str">
        <f aca="false">IFERROR(IF(OR(HLOOKUP($A298,#REF!,6,FALSE())&gt;2,HLOOKUP($A298,#REF!,6,FALSE())&lt;-2),"",#REF!),"")</f>
        <v/>
      </c>
      <c r="I298" s="0" t="str">
        <f aca="false">IFERROR(IF(OR(HLOOKUP($A298,#REF!,7,FALSE())&gt;2,HLOOKUP($A298,#REF!,7,FALSE())&lt;-2),"",#REF!),"")</f>
        <v/>
      </c>
      <c r="J298" s="0" t="str">
        <f aca="false">IFERROR(IF(OR(HLOOKUP($A298,#REF!,8,FALSE())&gt;2,HLOOKUP($A298,#REF!,8,FALSE())&lt;-2),"",#REF!),"")</f>
        <v/>
      </c>
      <c r="K298" s="0" t="str">
        <f aca="false">IFERROR(IF(OR(HLOOKUP($A298,#REF!,9,FALSE())&gt;2,HLOOKUP($A298,#REF!,9,FALSE())&lt;-2),"",#REF!),"")</f>
        <v/>
      </c>
      <c r="L298" s="0" t="str">
        <f aca="false">IFERROR(IF(OR(HLOOKUP($A298,#REF!,10,FALSE())&gt;2,HLOOKUP($A298,#REF!,10,FALSE())&lt;-2),"",#REF!),"")</f>
        <v/>
      </c>
      <c r="M298" s="0" t="str">
        <f aca="false">IFERROR(IF(OR(HLOOKUP($A298,#REF!,11,FALSE())&gt;2,HLOOKUP($A298,#REF!,11,FALSE())&lt;-2),"",#REF!),"")</f>
        <v/>
      </c>
      <c r="N298" s="0" t="str">
        <f aca="false">IFERROR(IF(OR(HLOOKUP($A298,#REF!,12,FALSE())&gt;2,HLOOKUP($A298,#REF!,12,FALSE())&lt;-2),"",#REF!),"")</f>
        <v/>
      </c>
      <c r="O298" s="0" t="str">
        <f aca="false">IFERROR(IF(OR(HLOOKUP($A298,#REF!,13,FALSE())&gt;2,HLOOKUP($A298,#REF!,13,FALSE())&lt;-2),"",#REF!),"")</f>
        <v/>
      </c>
      <c r="P298" s="0" t="str">
        <f aca="false">IFERROR(IF(OR(HLOOKUP($A298,#REF!,14,FALSE())&gt;2,HLOOKUP($A298,#REF!,14,FALSE())&lt;-2),"",#REF!),"")</f>
        <v/>
      </c>
      <c r="Q298" s="0" t="str">
        <f aca="false">IFERROR(IF(OR(HLOOKUP($A298,#REF!,15,FALSE())&gt;2,HLOOKUP($A298,#REF!,15,FALSE())&lt;-2),"",#REF!),"")</f>
        <v/>
      </c>
      <c r="R298" s="0" t="str">
        <f aca="false">IFERROR(IF(OR(HLOOKUP($A298,#REF!,16,FALSE())&gt;2,HLOOKUP($A298,#REF!,16,FALSE())&lt;-2),"",#REF!),"")</f>
        <v/>
      </c>
      <c r="S298" s="0" t="str">
        <f aca="false">IFERROR(IF(OR(HLOOKUP($A298,#REF!,17,FALSE())&gt;2,HLOOKUP($A298,#REF!,17,FALSE())&lt;-2),"",#REF!),"")</f>
        <v/>
      </c>
      <c r="T298" s="0" t="str">
        <f aca="false">IFERROR(IF(OR(HLOOKUP($A298,#REF!,18,FALSE())&gt;2,HLOOKUP($A298,#REF!,18,FALSE())&lt;-2),"",#REF!),"")</f>
        <v/>
      </c>
      <c r="U298" s="0" t="str">
        <f aca="false">IFERROR(IF(OR(HLOOKUP($A298,#REF!,19,FALSE())&gt;2,HLOOKUP($A298,#REF!,19,FALSE())&lt;-2),"",#REF!),"")</f>
        <v/>
      </c>
      <c r="V298" s="0" t="n">
        <f aca="false">IFERROR(IF(AND(X298=0,Y298=0),0,1),0)</f>
        <v>1</v>
      </c>
      <c r="W298" s="3" t="str">
        <f aca="false">IFERROR(_xlfn.T.TEST(E298:M298,N298:U298,2,2),"")</f>
        <v/>
      </c>
      <c r="X298" s="0" t="str">
        <f aca="false">IFERROR(AVERAGE(E298:M298),"")</f>
        <v/>
      </c>
      <c r="Y298" s="0" t="str">
        <f aca="false">IFERROR(AVERAGE(N298:U298),"")</f>
        <v/>
      </c>
    </row>
    <row r="299" customFormat="false" ht="14.5" hidden="false" customHeight="false" outlineLevel="0" collapsed="false">
      <c r="A299" s="0" t="n">
        <v>306</v>
      </c>
      <c r="B299" s="0" t="s">
        <v>379</v>
      </c>
      <c r="C299" s="0" t="n">
        <v>32600</v>
      </c>
      <c r="D299" s="0" t="n">
        <v>589</v>
      </c>
      <c r="E299" s="0" t="str">
        <f aca="false">IFERROR(IF(OR(HLOOKUP($A299,#REF!,3,FALSE())&gt;2,HLOOKUP(A299,#REF!,3,FALSE())&lt;-2),"",#REF!),"")</f>
        <v/>
      </c>
      <c r="F299" s="0" t="str">
        <f aca="false">IFERROR(IF(OR(HLOOKUP($A299,#REF!,4,FALSE())&gt;2,HLOOKUP($A299,#REF!,4,FALSE())&lt;-2),"",#REF!),"")</f>
        <v/>
      </c>
      <c r="G299" s="0" t="str">
        <f aca="false">IFERROR(IF(OR(HLOOKUP($A299,#REF!,5,FALSE())&gt;2,HLOOKUP($A299,#REF!,5,FALSE())&lt;-2),"",#REF!),"")</f>
        <v/>
      </c>
      <c r="H299" s="0" t="str">
        <f aca="false">IFERROR(IF(OR(HLOOKUP($A299,#REF!,6,FALSE())&gt;2,HLOOKUP($A299,#REF!,6,FALSE())&lt;-2),"",#REF!),"")</f>
        <v/>
      </c>
      <c r="I299" s="0" t="str">
        <f aca="false">IFERROR(IF(OR(HLOOKUP($A299,#REF!,7,FALSE())&gt;2,HLOOKUP($A299,#REF!,7,FALSE())&lt;-2),"",#REF!),"")</f>
        <v/>
      </c>
      <c r="J299" s="0" t="str">
        <f aca="false">IFERROR(IF(OR(HLOOKUP($A299,#REF!,8,FALSE())&gt;2,HLOOKUP($A299,#REF!,8,FALSE())&lt;-2),"",#REF!),"")</f>
        <v/>
      </c>
      <c r="K299" s="0" t="str">
        <f aca="false">IFERROR(IF(OR(HLOOKUP($A299,#REF!,9,FALSE())&gt;2,HLOOKUP($A299,#REF!,9,FALSE())&lt;-2),"",#REF!),"")</f>
        <v/>
      </c>
      <c r="L299" s="0" t="str">
        <f aca="false">IFERROR(IF(OR(HLOOKUP($A299,#REF!,10,FALSE())&gt;2,HLOOKUP($A299,#REF!,10,FALSE())&lt;-2),"",#REF!),"")</f>
        <v/>
      </c>
      <c r="M299" s="0" t="str">
        <f aca="false">IFERROR(IF(OR(HLOOKUP($A299,#REF!,11,FALSE())&gt;2,HLOOKUP($A299,#REF!,11,FALSE())&lt;-2),"",#REF!),"")</f>
        <v/>
      </c>
      <c r="N299" s="0" t="str">
        <f aca="false">IFERROR(IF(OR(HLOOKUP($A299,#REF!,12,FALSE())&gt;2,HLOOKUP($A299,#REF!,12,FALSE())&lt;-2),"",#REF!),"")</f>
        <v/>
      </c>
      <c r="O299" s="0" t="str">
        <f aca="false">IFERROR(IF(OR(HLOOKUP($A299,#REF!,13,FALSE())&gt;2,HLOOKUP($A299,#REF!,13,FALSE())&lt;-2),"",#REF!),"")</f>
        <v/>
      </c>
      <c r="P299" s="0" t="str">
        <f aca="false">IFERROR(IF(OR(HLOOKUP($A299,#REF!,14,FALSE())&gt;2,HLOOKUP($A299,#REF!,14,FALSE())&lt;-2),"",#REF!),"")</f>
        <v/>
      </c>
      <c r="Q299" s="0" t="str">
        <f aca="false">IFERROR(IF(OR(HLOOKUP($A299,#REF!,15,FALSE())&gt;2,HLOOKUP($A299,#REF!,15,FALSE())&lt;-2),"",#REF!),"")</f>
        <v/>
      </c>
      <c r="R299" s="0" t="str">
        <f aca="false">IFERROR(IF(OR(HLOOKUP($A299,#REF!,16,FALSE())&gt;2,HLOOKUP($A299,#REF!,16,FALSE())&lt;-2),"",#REF!),"")</f>
        <v/>
      </c>
      <c r="S299" s="0" t="str">
        <f aca="false">IFERROR(IF(OR(HLOOKUP($A299,#REF!,17,FALSE())&gt;2,HLOOKUP($A299,#REF!,17,FALSE())&lt;-2),"",#REF!),"")</f>
        <v/>
      </c>
      <c r="T299" s="0" t="str">
        <f aca="false">IFERROR(IF(OR(HLOOKUP($A299,#REF!,18,FALSE())&gt;2,HLOOKUP($A299,#REF!,18,FALSE())&lt;-2),"",#REF!),"")</f>
        <v/>
      </c>
      <c r="U299" s="0" t="str">
        <f aca="false">IFERROR(IF(OR(HLOOKUP($A299,#REF!,19,FALSE())&gt;2,HLOOKUP($A299,#REF!,19,FALSE())&lt;-2),"",#REF!),"")</f>
        <v/>
      </c>
      <c r="V299" s="0" t="n">
        <f aca="false">IFERROR(IF(AND(X299=0,Y299=0),0,1),0)</f>
        <v>1</v>
      </c>
      <c r="W299" s="3" t="str">
        <f aca="false">IFERROR(_xlfn.T.TEST(E299:M299,N299:U299,2,2),"")</f>
        <v/>
      </c>
      <c r="X299" s="0" t="str">
        <f aca="false">IFERROR(AVERAGE(E299:M299),"")</f>
        <v/>
      </c>
      <c r="Y299" s="0" t="str">
        <f aca="false">IFERROR(AVERAGE(N299:U299),"")</f>
        <v/>
      </c>
    </row>
    <row r="300" customFormat="false" ht="14.5" hidden="false" customHeight="false" outlineLevel="0" collapsed="false">
      <c r="A300" s="0" t="n">
        <v>307</v>
      </c>
      <c r="B300" s="0" t="s">
        <v>380</v>
      </c>
      <c r="C300" s="0" t="n">
        <v>94200</v>
      </c>
      <c r="D300" s="0" t="n">
        <v>370</v>
      </c>
      <c r="E300" s="0" t="str">
        <f aca="false">IFERROR(IF(OR(HLOOKUP($A300,#REF!,3,FALSE())&gt;2,HLOOKUP(A300,#REF!,3,FALSE())&lt;-2),"",#REF!),"")</f>
        <v/>
      </c>
      <c r="F300" s="0" t="str">
        <f aca="false">IFERROR(IF(OR(HLOOKUP($A300,#REF!,4,FALSE())&gt;2,HLOOKUP($A300,#REF!,4,FALSE())&lt;-2),"",#REF!),"")</f>
        <v/>
      </c>
      <c r="G300" s="0" t="str">
        <f aca="false">IFERROR(IF(OR(HLOOKUP($A300,#REF!,5,FALSE())&gt;2,HLOOKUP($A300,#REF!,5,FALSE())&lt;-2),"",#REF!),"")</f>
        <v/>
      </c>
      <c r="H300" s="0" t="str">
        <f aca="false">IFERROR(IF(OR(HLOOKUP($A300,#REF!,6,FALSE())&gt;2,HLOOKUP($A300,#REF!,6,FALSE())&lt;-2),"",#REF!),"")</f>
        <v/>
      </c>
      <c r="I300" s="0" t="str">
        <f aca="false">IFERROR(IF(OR(HLOOKUP($A300,#REF!,7,FALSE())&gt;2,HLOOKUP($A300,#REF!,7,FALSE())&lt;-2),"",#REF!),"")</f>
        <v/>
      </c>
      <c r="J300" s="0" t="str">
        <f aca="false">IFERROR(IF(OR(HLOOKUP($A300,#REF!,8,FALSE())&gt;2,HLOOKUP($A300,#REF!,8,FALSE())&lt;-2),"",#REF!),"")</f>
        <v/>
      </c>
      <c r="K300" s="0" t="str">
        <f aca="false">IFERROR(IF(OR(HLOOKUP($A300,#REF!,9,FALSE())&gt;2,HLOOKUP($A300,#REF!,9,FALSE())&lt;-2),"",#REF!),"")</f>
        <v/>
      </c>
      <c r="L300" s="0" t="str">
        <f aca="false">IFERROR(IF(OR(HLOOKUP($A300,#REF!,10,FALSE())&gt;2,HLOOKUP($A300,#REF!,10,FALSE())&lt;-2),"",#REF!),"")</f>
        <v/>
      </c>
      <c r="M300" s="0" t="str">
        <f aca="false">IFERROR(IF(OR(HLOOKUP($A300,#REF!,11,FALSE())&gt;2,HLOOKUP($A300,#REF!,11,FALSE())&lt;-2),"",#REF!),"")</f>
        <v/>
      </c>
      <c r="N300" s="0" t="str">
        <f aca="false">IFERROR(IF(OR(HLOOKUP($A300,#REF!,12,FALSE())&gt;2,HLOOKUP($A300,#REF!,12,FALSE())&lt;-2),"",#REF!),"")</f>
        <v/>
      </c>
      <c r="O300" s="0" t="str">
        <f aca="false">IFERROR(IF(OR(HLOOKUP($A300,#REF!,13,FALSE())&gt;2,HLOOKUP($A300,#REF!,13,FALSE())&lt;-2),"",#REF!),"")</f>
        <v/>
      </c>
      <c r="P300" s="0" t="str">
        <f aca="false">IFERROR(IF(OR(HLOOKUP($A300,#REF!,14,FALSE())&gt;2,HLOOKUP($A300,#REF!,14,FALSE())&lt;-2),"",#REF!),"")</f>
        <v/>
      </c>
      <c r="Q300" s="0" t="str">
        <f aca="false">IFERROR(IF(OR(HLOOKUP($A300,#REF!,15,FALSE())&gt;2,HLOOKUP($A300,#REF!,15,FALSE())&lt;-2),"",#REF!),"")</f>
        <v/>
      </c>
      <c r="R300" s="0" t="str">
        <f aca="false">IFERROR(IF(OR(HLOOKUP($A300,#REF!,16,FALSE())&gt;2,HLOOKUP($A300,#REF!,16,FALSE())&lt;-2),"",#REF!),"")</f>
        <v/>
      </c>
      <c r="S300" s="0" t="str">
        <f aca="false">IFERROR(IF(OR(HLOOKUP($A300,#REF!,17,FALSE())&gt;2,HLOOKUP($A300,#REF!,17,FALSE())&lt;-2),"",#REF!),"")</f>
        <v/>
      </c>
      <c r="T300" s="0" t="str">
        <f aca="false">IFERROR(IF(OR(HLOOKUP($A300,#REF!,18,FALSE())&gt;2,HLOOKUP($A300,#REF!,18,FALSE())&lt;-2),"",#REF!),"")</f>
        <v/>
      </c>
      <c r="U300" s="0" t="str">
        <f aca="false">IFERROR(IF(OR(HLOOKUP($A300,#REF!,19,FALSE())&gt;2,HLOOKUP($A300,#REF!,19,FALSE())&lt;-2),"",#REF!),"")</f>
        <v/>
      </c>
      <c r="V300" s="0" t="n">
        <f aca="false">IFERROR(IF(AND(X300=0,Y300=0),0,1),0)</f>
        <v>1</v>
      </c>
      <c r="W300" s="3" t="str">
        <f aca="false">IFERROR(_xlfn.T.TEST(E300:M300,N300:U300,2,2),"")</f>
        <v/>
      </c>
      <c r="X300" s="0" t="str">
        <f aca="false">IFERROR(AVERAGE(E300:M300),"")</f>
        <v/>
      </c>
      <c r="Y300" s="0" t="str">
        <f aca="false">IFERROR(AVERAGE(N300:U300),"")</f>
        <v/>
      </c>
    </row>
    <row r="301" customFormat="false" ht="14.5" hidden="false" customHeight="false" outlineLevel="0" collapsed="false">
      <c r="A301" s="0" t="n">
        <v>308</v>
      </c>
      <c r="B301" s="0" t="s">
        <v>381</v>
      </c>
      <c r="C301" s="0" t="n">
        <v>27800</v>
      </c>
      <c r="D301" s="0" t="n">
        <v>22</v>
      </c>
      <c r="E301" s="0" t="str">
        <f aca="false">IFERROR(IF(OR(HLOOKUP($A301,#REF!,3,FALSE())&gt;2,HLOOKUP(A301,#REF!,3,FALSE())&lt;-2),"",#REF!),"")</f>
        <v/>
      </c>
      <c r="F301" s="0" t="str">
        <f aca="false">IFERROR(IF(OR(HLOOKUP($A301,#REF!,4,FALSE())&gt;2,HLOOKUP($A301,#REF!,4,FALSE())&lt;-2),"",#REF!),"")</f>
        <v/>
      </c>
      <c r="G301" s="0" t="str">
        <f aca="false">IFERROR(IF(OR(HLOOKUP($A301,#REF!,5,FALSE())&gt;2,HLOOKUP($A301,#REF!,5,FALSE())&lt;-2),"",#REF!),"")</f>
        <v/>
      </c>
      <c r="H301" s="0" t="str">
        <f aca="false">IFERROR(IF(OR(HLOOKUP($A301,#REF!,6,FALSE())&gt;2,HLOOKUP($A301,#REF!,6,FALSE())&lt;-2),"",#REF!),"")</f>
        <v/>
      </c>
      <c r="I301" s="0" t="str">
        <f aca="false">IFERROR(IF(OR(HLOOKUP($A301,#REF!,7,FALSE())&gt;2,HLOOKUP($A301,#REF!,7,FALSE())&lt;-2),"",#REF!),"")</f>
        <v/>
      </c>
      <c r="J301" s="0" t="str">
        <f aca="false">IFERROR(IF(OR(HLOOKUP($A301,#REF!,8,FALSE())&gt;2,HLOOKUP($A301,#REF!,8,FALSE())&lt;-2),"",#REF!),"")</f>
        <v/>
      </c>
      <c r="K301" s="0" t="str">
        <f aca="false">IFERROR(IF(OR(HLOOKUP($A301,#REF!,9,FALSE())&gt;2,HLOOKUP($A301,#REF!,9,FALSE())&lt;-2),"",#REF!),"")</f>
        <v/>
      </c>
      <c r="L301" s="0" t="str">
        <f aca="false">IFERROR(IF(OR(HLOOKUP($A301,#REF!,10,FALSE())&gt;2,HLOOKUP($A301,#REF!,10,FALSE())&lt;-2),"",#REF!),"")</f>
        <v/>
      </c>
      <c r="M301" s="0" t="str">
        <f aca="false">IFERROR(IF(OR(HLOOKUP($A301,#REF!,11,FALSE())&gt;2,HLOOKUP($A301,#REF!,11,FALSE())&lt;-2),"",#REF!),"")</f>
        <v/>
      </c>
      <c r="N301" s="0" t="str">
        <f aca="false">IFERROR(IF(OR(HLOOKUP($A301,#REF!,12,FALSE())&gt;2,HLOOKUP($A301,#REF!,12,FALSE())&lt;-2),"",#REF!),"")</f>
        <v/>
      </c>
      <c r="O301" s="0" t="str">
        <f aca="false">IFERROR(IF(OR(HLOOKUP($A301,#REF!,13,FALSE())&gt;2,HLOOKUP($A301,#REF!,13,FALSE())&lt;-2),"",#REF!),"")</f>
        <v/>
      </c>
      <c r="P301" s="0" t="str">
        <f aca="false">IFERROR(IF(OR(HLOOKUP($A301,#REF!,14,FALSE())&gt;2,HLOOKUP($A301,#REF!,14,FALSE())&lt;-2),"",#REF!),"")</f>
        <v/>
      </c>
      <c r="Q301" s="0" t="str">
        <f aca="false">IFERROR(IF(OR(HLOOKUP($A301,#REF!,15,FALSE())&gt;2,HLOOKUP($A301,#REF!,15,FALSE())&lt;-2),"",#REF!),"")</f>
        <v/>
      </c>
      <c r="R301" s="0" t="str">
        <f aca="false">IFERROR(IF(OR(HLOOKUP($A301,#REF!,16,FALSE())&gt;2,HLOOKUP($A301,#REF!,16,FALSE())&lt;-2),"",#REF!),"")</f>
        <v/>
      </c>
      <c r="S301" s="0" t="str">
        <f aca="false">IFERROR(IF(OR(HLOOKUP($A301,#REF!,17,FALSE())&gt;2,HLOOKUP($A301,#REF!,17,FALSE())&lt;-2),"",#REF!),"")</f>
        <v/>
      </c>
      <c r="T301" s="0" t="str">
        <f aca="false">IFERROR(IF(OR(HLOOKUP($A301,#REF!,18,FALSE())&gt;2,HLOOKUP($A301,#REF!,18,FALSE())&lt;-2),"",#REF!),"")</f>
        <v/>
      </c>
      <c r="U301" s="0" t="str">
        <f aca="false">IFERROR(IF(OR(HLOOKUP($A301,#REF!,19,FALSE())&gt;2,HLOOKUP($A301,#REF!,19,FALSE())&lt;-2),"",#REF!),"")</f>
        <v/>
      </c>
      <c r="V301" s="0" t="n">
        <f aca="false">IFERROR(IF(AND(X301=0,Y301=0),0,1),0)</f>
        <v>1</v>
      </c>
      <c r="W301" s="3" t="str">
        <f aca="false">IFERROR(_xlfn.T.TEST(E301:M301,N301:U301,2,2),"")</f>
        <v/>
      </c>
      <c r="X301" s="0" t="str">
        <f aca="false">IFERROR(AVERAGE(E301:M301),"")</f>
        <v/>
      </c>
      <c r="Y301" s="0" t="str">
        <f aca="false">IFERROR(AVERAGE(N301:U301),"")</f>
        <v/>
      </c>
    </row>
    <row r="302" customFormat="false" ht="14.5" hidden="false" customHeight="false" outlineLevel="0" collapsed="false">
      <c r="A302" s="0" t="n">
        <v>309</v>
      </c>
      <c r="B302" s="0" t="s">
        <v>382</v>
      </c>
      <c r="C302" s="0" t="n">
        <v>109100</v>
      </c>
      <c r="D302" s="0" t="n">
        <v>760</v>
      </c>
      <c r="E302" s="0" t="str">
        <f aca="false">IFERROR(IF(OR(HLOOKUP($A302,#REF!,3,FALSE())&gt;2,HLOOKUP(A302,#REF!,3,FALSE())&lt;-2),"",#REF!),"")</f>
        <v/>
      </c>
      <c r="F302" s="0" t="str">
        <f aca="false">IFERROR(IF(OR(HLOOKUP($A302,#REF!,4,FALSE())&gt;2,HLOOKUP($A302,#REF!,4,FALSE())&lt;-2),"",#REF!),"")</f>
        <v/>
      </c>
      <c r="G302" s="0" t="str">
        <f aca="false">IFERROR(IF(OR(HLOOKUP($A302,#REF!,5,FALSE())&gt;2,HLOOKUP($A302,#REF!,5,FALSE())&lt;-2),"",#REF!),"")</f>
        <v/>
      </c>
      <c r="H302" s="0" t="str">
        <f aca="false">IFERROR(IF(OR(HLOOKUP($A302,#REF!,6,FALSE())&gt;2,HLOOKUP($A302,#REF!,6,FALSE())&lt;-2),"",#REF!),"")</f>
        <v/>
      </c>
      <c r="I302" s="0" t="str">
        <f aca="false">IFERROR(IF(OR(HLOOKUP($A302,#REF!,7,FALSE())&gt;2,HLOOKUP($A302,#REF!,7,FALSE())&lt;-2),"",#REF!),"")</f>
        <v/>
      </c>
      <c r="J302" s="0" t="str">
        <f aca="false">IFERROR(IF(OR(HLOOKUP($A302,#REF!,8,FALSE())&gt;2,HLOOKUP($A302,#REF!,8,FALSE())&lt;-2),"",#REF!),"")</f>
        <v/>
      </c>
      <c r="K302" s="0" t="str">
        <f aca="false">IFERROR(IF(OR(HLOOKUP($A302,#REF!,9,FALSE())&gt;2,HLOOKUP($A302,#REF!,9,FALSE())&lt;-2),"",#REF!),"")</f>
        <v/>
      </c>
      <c r="L302" s="0" t="str">
        <f aca="false">IFERROR(IF(OR(HLOOKUP($A302,#REF!,10,FALSE())&gt;2,HLOOKUP($A302,#REF!,10,FALSE())&lt;-2),"",#REF!),"")</f>
        <v/>
      </c>
      <c r="M302" s="0" t="str">
        <f aca="false">IFERROR(IF(OR(HLOOKUP($A302,#REF!,11,FALSE())&gt;2,HLOOKUP($A302,#REF!,11,FALSE())&lt;-2),"",#REF!),"")</f>
        <v/>
      </c>
      <c r="N302" s="0" t="str">
        <f aca="false">IFERROR(IF(OR(HLOOKUP($A302,#REF!,12,FALSE())&gt;2,HLOOKUP($A302,#REF!,12,FALSE())&lt;-2),"",#REF!),"")</f>
        <v/>
      </c>
      <c r="O302" s="0" t="str">
        <f aca="false">IFERROR(IF(OR(HLOOKUP($A302,#REF!,13,FALSE())&gt;2,HLOOKUP($A302,#REF!,13,FALSE())&lt;-2),"",#REF!),"")</f>
        <v/>
      </c>
      <c r="P302" s="0" t="str">
        <f aca="false">IFERROR(IF(OR(HLOOKUP($A302,#REF!,14,FALSE())&gt;2,HLOOKUP($A302,#REF!,14,FALSE())&lt;-2),"",#REF!),"")</f>
        <v/>
      </c>
      <c r="Q302" s="0" t="str">
        <f aca="false">IFERROR(IF(OR(HLOOKUP($A302,#REF!,15,FALSE())&gt;2,HLOOKUP($A302,#REF!,15,FALSE())&lt;-2),"",#REF!),"")</f>
        <v/>
      </c>
      <c r="R302" s="0" t="str">
        <f aca="false">IFERROR(IF(OR(HLOOKUP($A302,#REF!,16,FALSE())&gt;2,HLOOKUP($A302,#REF!,16,FALSE())&lt;-2),"",#REF!),"")</f>
        <v/>
      </c>
      <c r="S302" s="0" t="str">
        <f aca="false">IFERROR(IF(OR(HLOOKUP($A302,#REF!,17,FALSE())&gt;2,HLOOKUP($A302,#REF!,17,FALSE())&lt;-2),"",#REF!),"")</f>
        <v/>
      </c>
      <c r="T302" s="0" t="str">
        <f aca="false">IFERROR(IF(OR(HLOOKUP($A302,#REF!,18,FALSE())&gt;2,HLOOKUP($A302,#REF!,18,FALSE())&lt;-2),"",#REF!),"")</f>
        <v/>
      </c>
      <c r="U302" s="0" t="str">
        <f aca="false">IFERROR(IF(OR(HLOOKUP($A302,#REF!,19,FALSE())&gt;2,HLOOKUP($A302,#REF!,19,FALSE())&lt;-2),"",#REF!),"")</f>
        <v/>
      </c>
      <c r="V302" s="0" t="n">
        <f aca="false">IFERROR(IF(AND(X302=0,Y302=0),0,1),0)</f>
        <v>1</v>
      </c>
      <c r="W302" s="3" t="str">
        <f aca="false">IFERROR(_xlfn.T.TEST(E302:M302,N302:U302,2,2),"")</f>
        <v/>
      </c>
      <c r="X302" s="0" t="str">
        <f aca="false">IFERROR(AVERAGE(E302:M302),"")</f>
        <v/>
      </c>
      <c r="Y302" s="0" t="str">
        <f aca="false">IFERROR(AVERAGE(N302:U302),"")</f>
        <v/>
      </c>
    </row>
    <row r="303" customFormat="false" ht="14.5" hidden="false" customHeight="false" outlineLevel="0" collapsed="false">
      <c r="A303" s="0" t="n">
        <v>310</v>
      </c>
      <c r="B303" s="0" t="s">
        <v>383</v>
      </c>
      <c r="C303" s="0" t="n">
        <v>49800</v>
      </c>
      <c r="D303" s="0" t="n">
        <v>275</v>
      </c>
      <c r="E303" s="0" t="str">
        <f aca="false">IFERROR(IF(OR(HLOOKUP($A303,#REF!,3,FALSE())&gt;2,HLOOKUP(A303,#REF!,3,FALSE())&lt;-2),"",#REF!),"")</f>
        <v/>
      </c>
      <c r="F303" s="0" t="str">
        <f aca="false">IFERROR(IF(OR(HLOOKUP($A303,#REF!,4,FALSE())&gt;2,HLOOKUP($A303,#REF!,4,FALSE())&lt;-2),"",#REF!),"")</f>
        <v/>
      </c>
      <c r="G303" s="0" t="str">
        <f aca="false">IFERROR(IF(OR(HLOOKUP($A303,#REF!,5,FALSE())&gt;2,HLOOKUP($A303,#REF!,5,FALSE())&lt;-2),"",#REF!),"")</f>
        <v/>
      </c>
      <c r="H303" s="0" t="str">
        <f aca="false">IFERROR(IF(OR(HLOOKUP($A303,#REF!,6,FALSE())&gt;2,HLOOKUP($A303,#REF!,6,FALSE())&lt;-2),"",#REF!),"")</f>
        <v/>
      </c>
      <c r="I303" s="0" t="str">
        <f aca="false">IFERROR(IF(OR(HLOOKUP($A303,#REF!,7,FALSE())&gt;2,HLOOKUP($A303,#REF!,7,FALSE())&lt;-2),"",#REF!),"")</f>
        <v/>
      </c>
      <c r="J303" s="0" t="str">
        <f aca="false">IFERROR(IF(OR(HLOOKUP($A303,#REF!,8,FALSE())&gt;2,HLOOKUP($A303,#REF!,8,FALSE())&lt;-2),"",#REF!),"")</f>
        <v/>
      </c>
      <c r="K303" s="0" t="str">
        <f aca="false">IFERROR(IF(OR(HLOOKUP($A303,#REF!,9,FALSE())&gt;2,HLOOKUP($A303,#REF!,9,FALSE())&lt;-2),"",#REF!),"")</f>
        <v/>
      </c>
      <c r="L303" s="0" t="str">
        <f aca="false">IFERROR(IF(OR(HLOOKUP($A303,#REF!,10,FALSE())&gt;2,HLOOKUP($A303,#REF!,10,FALSE())&lt;-2),"",#REF!),"")</f>
        <v/>
      </c>
      <c r="M303" s="0" t="str">
        <f aca="false">IFERROR(IF(OR(HLOOKUP($A303,#REF!,11,FALSE())&gt;2,HLOOKUP($A303,#REF!,11,FALSE())&lt;-2),"",#REF!),"")</f>
        <v/>
      </c>
      <c r="N303" s="0" t="str">
        <f aca="false">IFERROR(IF(OR(HLOOKUP($A303,#REF!,12,FALSE())&gt;2,HLOOKUP($A303,#REF!,12,FALSE())&lt;-2),"",#REF!),"")</f>
        <v/>
      </c>
      <c r="O303" s="0" t="str">
        <f aca="false">IFERROR(IF(OR(HLOOKUP($A303,#REF!,13,FALSE())&gt;2,HLOOKUP($A303,#REF!,13,FALSE())&lt;-2),"",#REF!),"")</f>
        <v/>
      </c>
      <c r="P303" s="0" t="str">
        <f aca="false">IFERROR(IF(OR(HLOOKUP($A303,#REF!,14,FALSE())&gt;2,HLOOKUP($A303,#REF!,14,FALSE())&lt;-2),"",#REF!),"")</f>
        <v/>
      </c>
      <c r="Q303" s="0" t="str">
        <f aca="false">IFERROR(IF(OR(HLOOKUP($A303,#REF!,15,FALSE())&gt;2,HLOOKUP($A303,#REF!,15,FALSE())&lt;-2),"",#REF!),"")</f>
        <v/>
      </c>
      <c r="R303" s="0" t="str">
        <f aca="false">IFERROR(IF(OR(HLOOKUP($A303,#REF!,16,FALSE())&gt;2,HLOOKUP($A303,#REF!,16,FALSE())&lt;-2),"",#REF!),"")</f>
        <v/>
      </c>
      <c r="S303" s="0" t="str">
        <f aca="false">IFERROR(IF(OR(HLOOKUP($A303,#REF!,17,FALSE())&gt;2,HLOOKUP($A303,#REF!,17,FALSE())&lt;-2),"",#REF!),"")</f>
        <v/>
      </c>
      <c r="T303" s="0" t="str">
        <f aca="false">IFERROR(IF(OR(HLOOKUP($A303,#REF!,18,FALSE())&gt;2,HLOOKUP($A303,#REF!,18,FALSE())&lt;-2),"",#REF!),"")</f>
        <v/>
      </c>
      <c r="U303" s="0" t="str">
        <f aca="false">IFERROR(IF(OR(HLOOKUP($A303,#REF!,19,FALSE())&gt;2,HLOOKUP($A303,#REF!,19,FALSE())&lt;-2),"",#REF!),"")</f>
        <v/>
      </c>
      <c r="V303" s="0" t="n">
        <f aca="false">IFERROR(IF(AND(X303=0,Y303=0),0,1),0)</f>
        <v>1</v>
      </c>
      <c r="W303" s="3" t="str">
        <f aca="false">IFERROR(_xlfn.T.TEST(E303:M303,N303:U303,2,2),"")</f>
        <v/>
      </c>
      <c r="X303" s="0" t="str">
        <f aca="false">IFERROR(AVERAGE(E303:M303),"")</f>
        <v/>
      </c>
      <c r="Y303" s="0" t="str">
        <f aca="false">IFERROR(AVERAGE(N303:U303),"")</f>
        <v/>
      </c>
    </row>
    <row r="304" customFormat="false" ht="14.5" hidden="false" customHeight="false" outlineLevel="0" collapsed="false">
      <c r="A304" s="0" t="n">
        <v>311</v>
      </c>
      <c r="B304" s="0" t="s">
        <v>93</v>
      </c>
      <c r="C304" s="0" t="n">
        <v>47300</v>
      </c>
      <c r="D304" s="0" t="n">
        <v>295</v>
      </c>
      <c r="E304" s="0" t="str">
        <f aca="false">IFERROR(IF(OR(HLOOKUP($A304,#REF!,3,FALSE())&gt;2,HLOOKUP(A304,#REF!,3,FALSE())&lt;-2),"",#REF!),"")</f>
        <v/>
      </c>
      <c r="F304" s="0" t="str">
        <f aca="false">IFERROR(IF(OR(HLOOKUP($A304,#REF!,4,FALSE())&gt;2,HLOOKUP($A304,#REF!,4,FALSE())&lt;-2),"",#REF!),"")</f>
        <v/>
      </c>
      <c r="G304" s="0" t="str">
        <f aca="false">IFERROR(IF(OR(HLOOKUP($A304,#REF!,5,FALSE())&gt;2,HLOOKUP($A304,#REF!,5,FALSE())&lt;-2),"",#REF!),"")</f>
        <v/>
      </c>
      <c r="H304" s="0" t="str">
        <f aca="false">IFERROR(IF(OR(HLOOKUP($A304,#REF!,6,FALSE())&gt;2,HLOOKUP($A304,#REF!,6,FALSE())&lt;-2),"",#REF!),"")</f>
        <v/>
      </c>
      <c r="I304" s="0" t="str">
        <f aca="false">IFERROR(IF(OR(HLOOKUP($A304,#REF!,7,FALSE())&gt;2,HLOOKUP($A304,#REF!,7,FALSE())&lt;-2),"",#REF!),"")</f>
        <v/>
      </c>
      <c r="J304" s="0" t="str">
        <f aca="false">IFERROR(IF(OR(HLOOKUP($A304,#REF!,8,FALSE())&gt;2,HLOOKUP($A304,#REF!,8,FALSE())&lt;-2),"",#REF!),"")</f>
        <v/>
      </c>
      <c r="K304" s="0" t="str">
        <f aca="false">IFERROR(IF(OR(HLOOKUP($A304,#REF!,9,FALSE())&gt;2,HLOOKUP($A304,#REF!,9,FALSE())&lt;-2),"",#REF!),"")</f>
        <v/>
      </c>
      <c r="L304" s="0" t="str">
        <f aca="false">IFERROR(IF(OR(HLOOKUP($A304,#REF!,10,FALSE())&gt;2,HLOOKUP($A304,#REF!,10,FALSE())&lt;-2),"",#REF!),"")</f>
        <v/>
      </c>
      <c r="M304" s="0" t="str">
        <f aca="false">IFERROR(IF(OR(HLOOKUP($A304,#REF!,11,FALSE())&gt;2,HLOOKUP($A304,#REF!,11,FALSE())&lt;-2),"",#REF!),"")</f>
        <v/>
      </c>
      <c r="N304" s="0" t="str">
        <f aca="false">IFERROR(IF(OR(HLOOKUP($A304,#REF!,12,FALSE())&gt;2,HLOOKUP($A304,#REF!,12,FALSE())&lt;-2),"",#REF!),"")</f>
        <v/>
      </c>
      <c r="O304" s="0" t="str">
        <f aca="false">IFERROR(IF(OR(HLOOKUP($A304,#REF!,13,FALSE())&gt;2,HLOOKUP($A304,#REF!,13,FALSE())&lt;-2),"",#REF!),"")</f>
        <v/>
      </c>
      <c r="P304" s="0" t="str">
        <f aca="false">IFERROR(IF(OR(HLOOKUP($A304,#REF!,14,FALSE())&gt;2,HLOOKUP($A304,#REF!,14,FALSE())&lt;-2),"",#REF!),"")</f>
        <v/>
      </c>
      <c r="Q304" s="0" t="str">
        <f aca="false">IFERROR(IF(OR(HLOOKUP($A304,#REF!,15,FALSE())&gt;2,HLOOKUP($A304,#REF!,15,FALSE())&lt;-2),"",#REF!),"")</f>
        <v/>
      </c>
      <c r="R304" s="0" t="str">
        <f aca="false">IFERROR(IF(OR(HLOOKUP($A304,#REF!,16,FALSE())&gt;2,HLOOKUP($A304,#REF!,16,FALSE())&lt;-2),"",#REF!),"")</f>
        <v/>
      </c>
      <c r="S304" s="0" t="str">
        <f aca="false">IFERROR(IF(OR(HLOOKUP($A304,#REF!,17,FALSE())&gt;2,HLOOKUP($A304,#REF!,17,FALSE())&lt;-2),"",#REF!),"")</f>
        <v/>
      </c>
      <c r="T304" s="0" t="str">
        <f aca="false">IFERROR(IF(OR(HLOOKUP($A304,#REF!,18,FALSE())&gt;2,HLOOKUP($A304,#REF!,18,FALSE())&lt;-2),"",#REF!),"")</f>
        <v/>
      </c>
      <c r="U304" s="0" t="str">
        <f aca="false">IFERROR(IF(OR(HLOOKUP($A304,#REF!,19,FALSE())&gt;2,HLOOKUP($A304,#REF!,19,FALSE())&lt;-2),"",#REF!),"")</f>
        <v/>
      </c>
      <c r="V304" s="0" t="n">
        <f aca="false">IFERROR(IF(AND(X304=0,Y304=0),0,1),0)</f>
        <v>1</v>
      </c>
      <c r="W304" s="3" t="str">
        <f aca="false">IFERROR(_xlfn.T.TEST(E304:M304,N304:U304,2,2),"")</f>
        <v/>
      </c>
      <c r="X304" s="0" t="str">
        <f aca="false">IFERROR(AVERAGE(E304:M304),"")</f>
        <v/>
      </c>
      <c r="Y304" s="0" t="str">
        <f aca="false">IFERROR(AVERAGE(N304:U304),"")</f>
        <v/>
      </c>
    </row>
    <row r="305" customFormat="false" ht="14.5" hidden="false" customHeight="false" outlineLevel="0" collapsed="false">
      <c r="A305" s="0" t="n">
        <v>312</v>
      </c>
      <c r="B305" s="0" t="s">
        <v>384</v>
      </c>
      <c r="C305" s="0" t="n">
        <v>42100</v>
      </c>
      <c r="D305" s="0" t="n">
        <v>918</v>
      </c>
      <c r="E305" s="0" t="str">
        <f aca="false">IFERROR(IF(OR(HLOOKUP($A305,#REF!,3,FALSE())&gt;2,HLOOKUP(A305,#REF!,3,FALSE())&lt;-2),"",#REF!),"")</f>
        <v/>
      </c>
      <c r="F305" s="0" t="str">
        <f aca="false">IFERROR(IF(OR(HLOOKUP($A305,#REF!,4,FALSE())&gt;2,HLOOKUP($A305,#REF!,4,FALSE())&lt;-2),"",#REF!),"")</f>
        <v/>
      </c>
      <c r="G305" s="0" t="str">
        <f aca="false">IFERROR(IF(OR(HLOOKUP($A305,#REF!,5,FALSE())&gt;2,HLOOKUP($A305,#REF!,5,FALSE())&lt;-2),"",#REF!),"")</f>
        <v/>
      </c>
      <c r="H305" s="0" t="str">
        <f aca="false">IFERROR(IF(OR(HLOOKUP($A305,#REF!,6,FALSE())&gt;2,HLOOKUP($A305,#REF!,6,FALSE())&lt;-2),"",#REF!),"")</f>
        <v/>
      </c>
      <c r="I305" s="0" t="str">
        <f aca="false">IFERROR(IF(OR(HLOOKUP($A305,#REF!,7,FALSE())&gt;2,HLOOKUP($A305,#REF!,7,FALSE())&lt;-2),"",#REF!),"")</f>
        <v/>
      </c>
      <c r="J305" s="0" t="str">
        <f aca="false">IFERROR(IF(OR(HLOOKUP($A305,#REF!,8,FALSE())&gt;2,HLOOKUP($A305,#REF!,8,FALSE())&lt;-2),"",#REF!),"")</f>
        <v/>
      </c>
      <c r="K305" s="0" t="str">
        <f aca="false">IFERROR(IF(OR(HLOOKUP($A305,#REF!,9,FALSE())&gt;2,HLOOKUP($A305,#REF!,9,FALSE())&lt;-2),"",#REF!),"")</f>
        <v/>
      </c>
      <c r="L305" s="0" t="str">
        <f aca="false">IFERROR(IF(OR(HLOOKUP($A305,#REF!,10,FALSE())&gt;2,HLOOKUP($A305,#REF!,10,FALSE())&lt;-2),"",#REF!),"")</f>
        <v/>
      </c>
      <c r="M305" s="0" t="str">
        <f aca="false">IFERROR(IF(OR(HLOOKUP($A305,#REF!,11,FALSE())&gt;2,HLOOKUP($A305,#REF!,11,FALSE())&lt;-2),"",#REF!),"")</f>
        <v/>
      </c>
      <c r="N305" s="0" t="str">
        <f aca="false">IFERROR(IF(OR(HLOOKUP($A305,#REF!,12,FALSE())&gt;2,HLOOKUP($A305,#REF!,12,FALSE())&lt;-2),"",#REF!),"")</f>
        <v/>
      </c>
      <c r="O305" s="0" t="str">
        <f aca="false">IFERROR(IF(OR(HLOOKUP($A305,#REF!,13,FALSE())&gt;2,HLOOKUP($A305,#REF!,13,FALSE())&lt;-2),"",#REF!),"")</f>
        <v/>
      </c>
      <c r="P305" s="0" t="str">
        <f aca="false">IFERROR(IF(OR(HLOOKUP($A305,#REF!,14,FALSE())&gt;2,HLOOKUP($A305,#REF!,14,FALSE())&lt;-2),"",#REF!),"")</f>
        <v/>
      </c>
      <c r="Q305" s="0" t="str">
        <f aca="false">IFERROR(IF(OR(HLOOKUP($A305,#REF!,15,FALSE())&gt;2,HLOOKUP($A305,#REF!,15,FALSE())&lt;-2),"",#REF!),"")</f>
        <v/>
      </c>
      <c r="R305" s="0" t="str">
        <f aca="false">IFERROR(IF(OR(HLOOKUP($A305,#REF!,16,FALSE())&gt;2,HLOOKUP($A305,#REF!,16,FALSE())&lt;-2),"",#REF!),"")</f>
        <v/>
      </c>
      <c r="S305" s="0" t="str">
        <f aca="false">IFERROR(IF(OR(HLOOKUP($A305,#REF!,17,FALSE())&gt;2,HLOOKUP($A305,#REF!,17,FALSE())&lt;-2),"",#REF!),"")</f>
        <v/>
      </c>
      <c r="T305" s="0" t="str">
        <f aca="false">IFERROR(IF(OR(HLOOKUP($A305,#REF!,18,FALSE())&gt;2,HLOOKUP($A305,#REF!,18,FALSE())&lt;-2),"",#REF!),"")</f>
        <v/>
      </c>
      <c r="U305" s="0" t="str">
        <f aca="false">IFERROR(IF(OR(HLOOKUP($A305,#REF!,19,FALSE())&gt;2,HLOOKUP($A305,#REF!,19,FALSE())&lt;-2),"",#REF!),"")</f>
        <v/>
      </c>
      <c r="V305" s="0" t="n">
        <f aca="false">IFERROR(IF(AND(X305=0,Y305=0),0,1),0)</f>
        <v>1</v>
      </c>
      <c r="W305" s="3" t="str">
        <f aca="false">IFERROR(_xlfn.T.TEST(E305:M305,N305:U305,2,2),"")</f>
        <v/>
      </c>
      <c r="X305" s="0" t="str">
        <f aca="false">IFERROR(AVERAGE(E305:M305),"")</f>
        <v/>
      </c>
      <c r="Y305" s="0" t="str">
        <f aca="false">IFERROR(AVERAGE(N305:U305),"")</f>
        <v/>
      </c>
    </row>
    <row r="306" customFormat="false" ht="14.5" hidden="false" customHeight="false" outlineLevel="0" collapsed="false">
      <c r="A306" s="0" t="n">
        <v>313</v>
      </c>
      <c r="B306" s="0" t="s">
        <v>385</v>
      </c>
      <c r="C306" s="0" t="n">
        <v>78500</v>
      </c>
      <c r="D306" s="0" t="n">
        <v>343</v>
      </c>
      <c r="E306" s="0" t="str">
        <f aca="false">IFERROR(IF(OR(HLOOKUP($A306,#REF!,3,FALSE())&gt;2,HLOOKUP(A306,#REF!,3,FALSE())&lt;-2),"",#REF!),"")</f>
        <v/>
      </c>
      <c r="F306" s="0" t="str">
        <f aca="false">IFERROR(IF(OR(HLOOKUP($A306,#REF!,4,FALSE())&gt;2,HLOOKUP($A306,#REF!,4,FALSE())&lt;-2),"",#REF!),"")</f>
        <v/>
      </c>
      <c r="G306" s="0" t="str">
        <f aca="false">IFERROR(IF(OR(HLOOKUP($A306,#REF!,5,FALSE())&gt;2,HLOOKUP($A306,#REF!,5,FALSE())&lt;-2),"",#REF!),"")</f>
        <v/>
      </c>
      <c r="H306" s="0" t="str">
        <f aca="false">IFERROR(IF(OR(HLOOKUP($A306,#REF!,6,FALSE())&gt;2,HLOOKUP($A306,#REF!,6,FALSE())&lt;-2),"",#REF!),"")</f>
        <v/>
      </c>
      <c r="I306" s="0" t="str">
        <f aca="false">IFERROR(IF(OR(HLOOKUP($A306,#REF!,7,FALSE())&gt;2,HLOOKUP($A306,#REF!,7,FALSE())&lt;-2),"",#REF!),"")</f>
        <v/>
      </c>
      <c r="J306" s="0" t="str">
        <f aca="false">IFERROR(IF(OR(HLOOKUP($A306,#REF!,8,FALSE())&gt;2,HLOOKUP($A306,#REF!,8,FALSE())&lt;-2),"",#REF!),"")</f>
        <v/>
      </c>
      <c r="K306" s="0" t="str">
        <f aca="false">IFERROR(IF(OR(HLOOKUP($A306,#REF!,9,FALSE())&gt;2,HLOOKUP($A306,#REF!,9,FALSE())&lt;-2),"",#REF!),"")</f>
        <v/>
      </c>
      <c r="L306" s="0" t="str">
        <f aca="false">IFERROR(IF(OR(HLOOKUP($A306,#REF!,10,FALSE())&gt;2,HLOOKUP($A306,#REF!,10,FALSE())&lt;-2),"",#REF!),"")</f>
        <v/>
      </c>
      <c r="M306" s="0" t="str">
        <f aca="false">IFERROR(IF(OR(HLOOKUP($A306,#REF!,11,FALSE())&gt;2,HLOOKUP($A306,#REF!,11,FALSE())&lt;-2),"",#REF!),"")</f>
        <v/>
      </c>
      <c r="N306" s="0" t="str">
        <f aca="false">IFERROR(IF(OR(HLOOKUP($A306,#REF!,12,FALSE())&gt;2,HLOOKUP($A306,#REF!,12,FALSE())&lt;-2),"",#REF!),"")</f>
        <v/>
      </c>
      <c r="O306" s="0" t="str">
        <f aca="false">IFERROR(IF(OR(HLOOKUP($A306,#REF!,13,FALSE())&gt;2,HLOOKUP($A306,#REF!,13,FALSE())&lt;-2),"",#REF!),"")</f>
        <v/>
      </c>
      <c r="P306" s="0" t="str">
        <f aca="false">IFERROR(IF(OR(HLOOKUP($A306,#REF!,14,FALSE())&gt;2,HLOOKUP($A306,#REF!,14,FALSE())&lt;-2),"",#REF!),"")</f>
        <v/>
      </c>
      <c r="Q306" s="0" t="str">
        <f aca="false">IFERROR(IF(OR(HLOOKUP($A306,#REF!,15,FALSE())&gt;2,HLOOKUP($A306,#REF!,15,FALSE())&lt;-2),"",#REF!),"")</f>
        <v/>
      </c>
      <c r="R306" s="0" t="str">
        <f aca="false">IFERROR(IF(OR(HLOOKUP($A306,#REF!,16,FALSE())&gt;2,HLOOKUP($A306,#REF!,16,FALSE())&lt;-2),"",#REF!),"")</f>
        <v/>
      </c>
      <c r="S306" s="0" t="str">
        <f aca="false">IFERROR(IF(OR(HLOOKUP($A306,#REF!,17,FALSE())&gt;2,HLOOKUP($A306,#REF!,17,FALSE())&lt;-2),"",#REF!),"")</f>
        <v/>
      </c>
      <c r="T306" s="0" t="str">
        <f aca="false">IFERROR(IF(OR(HLOOKUP($A306,#REF!,18,FALSE())&gt;2,HLOOKUP($A306,#REF!,18,FALSE())&lt;-2),"",#REF!),"")</f>
        <v/>
      </c>
      <c r="U306" s="0" t="str">
        <f aca="false">IFERROR(IF(OR(HLOOKUP($A306,#REF!,19,FALSE())&gt;2,HLOOKUP($A306,#REF!,19,FALSE())&lt;-2),"",#REF!),"")</f>
        <v/>
      </c>
      <c r="V306" s="0" t="n">
        <f aca="false">IFERROR(IF(AND(X306=0,Y306=0),0,1),0)</f>
        <v>1</v>
      </c>
      <c r="W306" s="3" t="str">
        <f aca="false">IFERROR(_xlfn.T.TEST(E306:M306,N306:U306,2,2),"")</f>
        <v/>
      </c>
      <c r="X306" s="0" t="str">
        <f aca="false">IFERROR(AVERAGE(E306:M306),"")</f>
        <v/>
      </c>
      <c r="Y306" s="0" t="str">
        <f aca="false">IFERROR(AVERAGE(N306:U306),"")</f>
        <v/>
      </c>
    </row>
    <row r="307" customFormat="false" ht="14.5" hidden="false" customHeight="false" outlineLevel="0" collapsed="false">
      <c r="A307" s="0" t="n">
        <v>314</v>
      </c>
      <c r="B307" s="0" t="s">
        <v>386</v>
      </c>
      <c r="C307" s="0" t="n">
        <v>24400</v>
      </c>
      <c r="D307" s="0" t="n">
        <v>111</v>
      </c>
      <c r="E307" s="0" t="str">
        <f aca="false">IFERROR(IF(OR(HLOOKUP($A307,#REF!,3,FALSE())&gt;2,HLOOKUP(A307,#REF!,3,FALSE())&lt;-2),"",#REF!),"")</f>
        <v/>
      </c>
      <c r="F307" s="0" t="str">
        <f aca="false">IFERROR(IF(OR(HLOOKUP($A307,#REF!,4,FALSE())&gt;2,HLOOKUP($A307,#REF!,4,FALSE())&lt;-2),"",#REF!),"")</f>
        <v/>
      </c>
      <c r="G307" s="0" t="str">
        <f aca="false">IFERROR(IF(OR(HLOOKUP($A307,#REF!,5,FALSE())&gt;2,HLOOKUP($A307,#REF!,5,FALSE())&lt;-2),"",#REF!),"")</f>
        <v/>
      </c>
      <c r="H307" s="0" t="str">
        <f aca="false">IFERROR(IF(OR(HLOOKUP($A307,#REF!,6,FALSE())&gt;2,HLOOKUP($A307,#REF!,6,FALSE())&lt;-2),"",#REF!),"")</f>
        <v/>
      </c>
      <c r="I307" s="0" t="str">
        <f aca="false">IFERROR(IF(OR(HLOOKUP($A307,#REF!,7,FALSE())&gt;2,HLOOKUP($A307,#REF!,7,FALSE())&lt;-2),"",#REF!),"")</f>
        <v/>
      </c>
      <c r="J307" s="0" t="str">
        <f aca="false">IFERROR(IF(OR(HLOOKUP($A307,#REF!,8,FALSE())&gt;2,HLOOKUP($A307,#REF!,8,FALSE())&lt;-2),"",#REF!),"")</f>
        <v/>
      </c>
      <c r="K307" s="0" t="str">
        <f aca="false">IFERROR(IF(OR(HLOOKUP($A307,#REF!,9,FALSE())&gt;2,HLOOKUP($A307,#REF!,9,FALSE())&lt;-2),"",#REF!),"")</f>
        <v/>
      </c>
      <c r="L307" s="0" t="str">
        <f aca="false">IFERROR(IF(OR(HLOOKUP($A307,#REF!,10,FALSE())&gt;2,HLOOKUP($A307,#REF!,10,FALSE())&lt;-2),"",#REF!),"")</f>
        <v/>
      </c>
      <c r="M307" s="0" t="str">
        <f aca="false">IFERROR(IF(OR(HLOOKUP($A307,#REF!,11,FALSE())&gt;2,HLOOKUP($A307,#REF!,11,FALSE())&lt;-2),"",#REF!),"")</f>
        <v/>
      </c>
      <c r="N307" s="0" t="str">
        <f aca="false">IFERROR(IF(OR(HLOOKUP($A307,#REF!,12,FALSE())&gt;2,HLOOKUP($A307,#REF!,12,FALSE())&lt;-2),"",#REF!),"")</f>
        <v/>
      </c>
      <c r="O307" s="0" t="str">
        <f aca="false">IFERROR(IF(OR(HLOOKUP($A307,#REF!,13,FALSE())&gt;2,HLOOKUP($A307,#REF!,13,FALSE())&lt;-2),"",#REF!),"")</f>
        <v/>
      </c>
      <c r="P307" s="0" t="str">
        <f aca="false">IFERROR(IF(OR(HLOOKUP($A307,#REF!,14,FALSE())&gt;2,HLOOKUP($A307,#REF!,14,FALSE())&lt;-2),"",#REF!),"")</f>
        <v/>
      </c>
      <c r="Q307" s="0" t="str">
        <f aca="false">IFERROR(IF(OR(HLOOKUP($A307,#REF!,15,FALSE())&gt;2,HLOOKUP($A307,#REF!,15,FALSE())&lt;-2),"",#REF!),"")</f>
        <v/>
      </c>
      <c r="R307" s="0" t="str">
        <f aca="false">IFERROR(IF(OR(HLOOKUP($A307,#REF!,16,FALSE())&gt;2,HLOOKUP($A307,#REF!,16,FALSE())&lt;-2),"",#REF!),"")</f>
        <v/>
      </c>
      <c r="S307" s="0" t="str">
        <f aca="false">IFERROR(IF(OR(HLOOKUP($A307,#REF!,17,FALSE())&gt;2,HLOOKUP($A307,#REF!,17,FALSE())&lt;-2),"",#REF!),"")</f>
        <v/>
      </c>
      <c r="T307" s="0" t="str">
        <f aca="false">IFERROR(IF(OR(HLOOKUP($A307,#REF!,18,FALSE())&gt;2,HLOOKUP($A307,#REF!,18,FALSE())&lt;-2),"",#REF!),"")</f>
        <v/>
      </c>
      <c r="U307" s="0" t="str">
        <f aca="false">IFERROR(IF(OR(HLOOKUP($A307,#REF!,19,FALSE())&gt;2,HLOOKUP($A307,#REF!,19,FALSE())&lt;-2),"",#REF!),"")</f>
        <v/>
      </c>
      <c r="V307" s="0" t="n">
        <f aca="false">IFERROR(IF(AND(X307=0,Y307=0),0,1),0)</f>
        <v>1</v>
      </c>
      <c r="W307" s="3" t="str">
        <f aca="false">IFERROR(_xlfn.T.TEST(E307:M307,N307:U307,2,2),"")</f>
        <v/>
      </c>
      <c r="X307" s="0" t="str">
        <f aca="false">IFERROR(AVERAGE(E307:M307),"")</f>
        <v/>
      </c>
      <c r="Y307" s="0" t="str">
        <f aca="false">IFERROR(AVERAGE(N307:U307),"")</f>
        <v/>
      </c>
    </row>
    <row r="308" customFormat="false" ht="14.5" hidden="false" customHeight="false" outlineLevel="0" collapsed="false">
      <c r="A308" s="0" t="n">
        <v>315</v>
      </c>
      <c r="B308" s="0" t="s">
        <v>387</v>
      </c>
      <c r="C308" s="0" t="n">
        <v>500</v>
      </c>
      <c r="D308" s="0" t="n">
        <v>695</v>
      </c>
      <c r="E308" s="0" t="str">
        <f aca="false">IFERROR(IF(OR(HLOOKUP($A308,#REF!,3,FALSE())&gt;2,HLOOKUP(A308,#REF!,3,FALSE())&lt;-2),"",#REF!),"")</f>
        <v/>
      </c>
      <c r="F308" s="0" t="str">
        <f aca="false">IFERROR(IF(OR(HLOOKUP($A308,#REF!,4,FALSE())&gt;2,HLOOKUP($A308,#REF!,4,FALSE())&lt;-2),"",#REF!),"")</f>
        <v/>
      </c>
      <c r="G308" s="0" t="str">
        <f aca="false">IFERROR(IF(OR(HLOOKUP($A308,#REF!,5,FALSE())&gt;2,HLOOKUP($A308,#REF!,5,FALSE())&lt;-2),"",#REF!),"")</f>
        <v/>
      </c>
      <c r="H308" s="0" t="str">
        <f aca="false">IFERROR(IF(OR(HLOOKUP($A308,#REF!,6,FALSE())&gt;2,HLOOKUP($A308,#REF!,6,FALSE())&lt;-2),"",#REF!),"")</f>
        <v/>
      </c>
      <c r="I308" s="0" t="str">
        <f aca="false">IFERROR(IF(OR(HLOOKUP($A308,#REF!,7,FALSE())&gt;2,HLOOKUP($A308,#REF!,7,FALSE())&lt;-2),"",#REF!),"")</f>
        <v/>
      </c>
      <c r="J308" s="0" t="str">
        <f aca="false">IFERROR(IF(OR(HLOOKUP($A308,#REF!,8,FALSE())&gt;2,HLOOKUP($A308,#REF!,8,FALSE())&lt;-2),"",#REF!),"")</f>
        <v/>
      </c>
      <c r="K308" s="0" t="str">
        <f aca="false">IFERROR(IF(OR(HLOOKUP($A308,#REF!,9,FALSE())&gt;2,HLOOKUP($A308,#REF!,9,FALSE())&lt;-2),"",#REF!),"")</f>
        <v/>
      </c>
      <c r="L308" s="0" t="str">
        <f aca="false">IFERROR(IF(OR(HLOOKUP($A308,#REF!,10,FALSE())&gt;2,HLOOKUP($A308,#REF!,10,FALSE())&lt;-2),"",#REF!),"")</f>
        <v/>
      </c>
      <c r="M308" s="0" t="str">
        <f aca="false">IFERROR(IF(OR(HLOOKUP($A308,#REF!,11,FALSE())&gt;2,HLOOKUP($A308,#REF!,11,FALSE())&lt;-2),"",#REF!),"")</f>
        <v/>
      </c>
      <c r="N308" s="0" t="str">
        <f aca="false">IFERROR(IF(OR(HLOOKUP($A308,#REF!,12,FALSE())&gt;2,HLOOKUP($A308,#REF!,12,FALSE())&lt;-2),"",#REF!),"")</f>
        <v/>
      </c>
      <c r="O308" s="0" t="str">
        <f aca="false">IFERROR(IF(OR(HLOOKUP($A308,#REF!,13,FALSE())&gt;2,HLOOKUP($A308,#REF!,13,FALSE())&lt;-2),"",#REF!),"")</f>
        <v/>
      </c>
      <c r="P308" s="0" t="str">
        <f aca="false">IFERROR(IF(OR(HLOOKUP($A308,#REF!,14,FALSE())&gt;2,HLOOKUP($A308,#REF!,14,FALSE())&lt;-2),"",#REF!),"")</f>
        <v/>
      </c>
      <c r="Q308" s="0" t="str">
        <f aca="false">IFERROR(IF(OR(HLOOKUP($A308,#REF!,15,FALSE())&gt;2,HLOOKUP($A308,#REF!,15,FALSE())&lt;-2),"",#REF!),"")</f>
        <v/>
      </c>
      <c r="R308" s="0" t="str">
        <f aca="false">IFERROR(IF(OR(HLOOKUP($A308,#REF!,16,FALSE())&gt;2,HLOOKUP($A308,#REF!,16,FALSE())&lt;-2),"",#REF!),"")</f>
        <v/>
      </c>
      <c r="S308" s="0" t="str">
        <f aca="false">IFERROR(IF(OR(HLOOKUP($A308,#REF!,17,FALSE())&gt;2,HLOOKUP($A308,#REF!,17,FALSE())&lt;-2),"",#REF!),"")</f>
        <v/>
      </c>
      <c r="T308" s="0" t="str">
        <f aca="false">IFERROR(IF(OR(HLOOKUP($A308,#REF!,18,FALSE())&gt;2,HLOOKUP($A308,#REF!,18,FALSE())&lt;-2),"",#REF!),"")</f>
        <v/>
      </c>
      <c r="U308" s="0" t="str">
        <f aca="false">IFERROR(IF(OR(HLOOKUP($A308,#REF!,19,FALSE())&gt;2,HLOOKUP($A308,#REF!,19,FALSE())&lt;-2),"",#REF!),"")</f>
        <v/>
      </c>
      <c r="V308" s="0" t="n">
        <f aca="false">IFERROR(IF(AND(X308=0,Y308=0),0,1),0)</f>
        <v>1</v>
      </c>
      <c r="W308" s="3" t="str">
        <f aca="false">IFERROR(_xlfn.T.TEST(E308:M308,N308:U308,2,2),"")</f>
        <v/>
      </c>
      <c r="X308" s="0" t="str">
        <f aca="false">IFERROR(AVERAGE(E308:M308),"")</f>
        <v/>
      </c>
      <c r="Y308" s="0" t="str">
        <f aca="false">IFERROR(AVERAGE(N308:U308),"")</f>
        <v/>
      </c>
    </row>
    <row r="309" customFormat="false" ht="14.5" hidden="false" customHeight="false" outlineLevel="0" collapsed="false">
      <c r="A309" s="0" t="n">
        <v>316</v>
      </c>
      <c r="B309" s="0" t="s">
        <v>388</v>
      </c>
      <c r="C309" s="0" t="n">
        <v>69400</v>
      </c>
      <c r="D309" s="0" t="n">
        <v>178</v>
      </c>
      <c r="E309" s="0" t="str">
        <f aca="false">IFERROR(IF(OR(HLOOKUP($A309,#REF!,3,FALSE())&gt;2,HLOOKUP(A309,#REF!,3,FALSE())&lt;-2),"",#REF!),"")</f>
        <v/>
      </c>
      <c r="F309" s="0" t="str">
        <f aca="false">IFERROR(IF(OR(HLOOKUP($A309,#REF!,4,FALSE())&gt;2,HLOOKUP($A309,#REF!,4,FALSE())&lt;-2),"",#REF!),"")</f>
        <v/>
      </c>
      <c r="G309" s="0" t="str">
        <f aca="false">IFERROR(IF(OR(HLOOKUP($A309,#REF!,5,FALSE())&gt;2,HLOOKUP($A309,#REF!,5,FALSE())&lt;-2),"",#REF!),"")</f>
        <v/>
      </c>
      <c r="H309" s="0" t="str">
        <f aca="false">IFERROR(IF(OR(HLOOKUP($A309,#REF!,6,FALSE())&gt;2,HLOOKUP($A309,#REF!,6,FALSE())&lt;-2),"",#REF!),"")</f>
        <v/>
      </c>
      <c r="I309" s="0" t="str">
        <f aca="false">IFERROR(IF(OR(HLOOKUP($A309,#REF!,7,FALSE())&gt;2,HLOOKUP($A309,#REF!,7,FALSE())&lt;-2),"",#REF!),"")</f>
        <v/>
      </c>
      <c r="J309" s="0" t="str">
        <f aca="false">IFERROR(IF(OR(HLOOKUP($A309,#REF!,8,FALSE())&gt;2,HLOOKUP($A309,#REF!,8,FALSE())&lt;-2),"",#REF!),"")</f>
        <v/>
      </c>
      <c r="K309" s="0" t="str">
        <f aca="false">IFERROR(IF(OR(HLOOKUP($A309,#REF!,9,FALSE())&gt;2,HLOOKUP($A309,#REF!,9,FALSE())&lt;-2),"",#REF!),"")</f>
        <v/>
      </c>
      <c r="L309" s="0" t="str">
        <f aca="false">IFERROR(IF(OR(HLOOKUP($A309,#REF!,10,FALSE())&gt;2,HLOOKUP($A309,#REF!,10,FALSE())&lt;-2),"",#REF!),"")</f>
        <v/>
      </c>
      <c r="M309" s="0" t="str">
        <f aca="false">IFERROR(IF(OR(HLOOKUP($A309,#REF!,11,FALSE())&gt;2,HLOOKUP($A309,#REF!,11,FALSE())&lt;-2),"",#REF!),"")</f>
        <v/>
      </c>
      <c r="N309" s="0" t="str">
        <f aca="false">IFERROR(IF(OR(HLOOKUP($A309,#REF!,12,FALSE())&gt;2,HLOOKUP($A309,#REF!,12,FALSE())&lt;-2),"",#REF!),"")</f>
        <v/>
      </c>
      <c r="O309" s="0" t="str">
        <f aca="false">IFERROR(IF(OR(HLOOKUP($A309,#REF!,13,FALSE())&gt;2,HLOOKUP($A309,#REF!,13,FALSE())&lt;-2),"",#REF!),"")</f>
        <v/>
      </c>
      <c r="P309" s="0" t="str">
        <f aca="false">IFERROR(IF(OR(HLOOKUP($A309,#REF!,14,FALSE())&gt;2,HLOOKUP($A309,#REF!,14,FALSE())&lt;-2),"",#REF!),"")</f>
        <v/>
      </c>
      <c r="Q309" s="0" t="str">
        <f aca="false">IFERROR(IF(OR(HLOOKUP($A309,#REF!,15,FALSE())&gt;2,HLOOKUP($A309,#REF!,15,FALSE())&lt;-2),"",#REF!),"")</f>
        <v/>
      </c>
      <c r="R309" s="0" t="str">
        <f aca="false">IFERROR(IF(OR(HLOOKUP($A309,#REF!,16,FALSE())&gt;2,HLOOKUP($A309,#REF!,16,FALSE())&lt;-2),"",#REF!),"")</f>
        <v/>
      </c>
      <c r="S309" s="0" t="str">
        <f aca="false">IFERROR(IF(OR(HLOOKUP($A309,#REF!,17,FALSE())&gt;2,HLOOKUP($A309,#REF!,17,FALSE())&lt;-2),"",#REF!),"")</f>
        <v/>
      </c>
      <c r="T309" s="0" t="str">
        <f aca="false">IFERROR(IF(OR(HLOOKUP($A309,#REF!,18,FALSE())&gt;2,HLOOKUP($A309,#REF!,18,FALSE())&lt;-2),"",#REF!),"")</f>
        <v/>
      </c>
      <c r="U309" s="0" t="str">
        <f aca="false">IFERROR(IF(OR(HLOOKUP($A309,#REF!,19,FALSE())&gt;2,HLOOKUP($A309,#REF!,19,FALSE())&lt;-2),"",#REF!),"")</f>
        <v/>
      </c>
      <c r="V309" s="0" t="n">
        <f aca="false">IFERROR(IF(AND(X309=0,Y309=0),0,1),0)</f>
        <v>1</v>
      </c>
      <c r="W309" s="3" t="str">
        <f aca="false">IFERROR(_xlfn.T.TEST(E309:M309,N309:U309,2,2),"")</f>
        <v/>
      </c>
      <c r="X309" s="0" t="str">
        <f aca="false">IFERROR(AVERAGE(E309:M309),"")</f>
        <v/>
      </c>
      <c r="Y309" s="0" t="str">
        <f aca="false">IFERROR(AVERAGE(N309:U309),"")</f>
        <v/>
      </c>
    </row>
    <row r="310" customFormat="false" ht="14.5" hidden="false" customHeight="false" outlineLevel="0" collapsed="false">
      <c r="A310" s="0" t="n">
        <v>317</v>
      </c>
      <c r="B310" s="0" t="s">
        <v>389</v>
      </c>
      <c r="C310" s="0" t="n">
        <v>109200</v>
      </c>
      <c r="D310" s="0" t="n">
        <v>760</v>
      </c>
      <c r="E310" s="0" t="str">
        <f aca="false">IFERROR(IF(OR(HLOOKUP($A310,#REF!,3,FALSE())&gt;2,HLOOKUP(A310,#REF!,3,FALSE())&lt;-2),"",#REF!),"")</f>
        <v/>
      </c>
      <c r="F310" s="0" t="str">
        <f aca="false">IFERROR(IF(OR(HLOOKUP($A310,#REF!,4,FALSE())&gt;2,HLOOKUP($A310,#REF!,4,FALSE())&lt;-2),"",#REF!),"")</f>
        <v/>
      </c>
      <c r="G310" s="0" t="str">
        <f aca="false">IFERROR(IF(OR(HLOOKUP($A310,#REF!,5,FALSE())&gt;2,HLOOKUP($A310,#REF!,5,FALSE())&lt;-2),"",#REF!),"")</f>
        <v/>
      </c>
      <c r="H310" s="0" t="str">
        <f aca="false">IFERROR(IF(OR(HLOOKUP($A310,#REF!,6,FALSE())&gt;2,HLOOKUP($A310,#REF!,6,FALSE())&lt;-2),"",#REF!),"")</f>
        <v/>
      </c>
      <c r="I310" s="0" t="str">
        <f aca="false">IFERROR(IF(OR(HLOOKUP($A310,#REF!,7,FALSE())&gt;2,HLOOKUP($A310,#REF!,7,FALSE())&lt;-2),"",#REF!),"")</f>
        <v/>
      </c>
      <c r="J310" s="0" t="str">
        <f aca="false">IFERROR(IF(OR(HLOOKUP($A310,#REF!,8,FALSE())&gt;2,HLOOKUP($A310,#REF!,8,FALSE())&lt;-2),"",#REF!),"")</f>
        <v/>
      </c>
      <c r="K310" s="0" t="str">
        <f aca="false">IFERROR(IF(OR(HLOOKUP($A310,#REF!,9,FALSE())&gt;2,HLOOKUP($A310,#REF!,9,FALSE())&lt;-2),"",#REF!),"")</f>
        <v/>
      </c>
      <c r="L310" s="0" t="str">
        <f aca="false">IFERROR(IF(OR(HLOOKUP($A310,#REF!,10,FALSE())&gt;2,HLOOKUP($A310,#REF!,10,FALSE())&lt;-2),"",#REF!),"")</f>
        <v/>
      </c>
      <c r="M310" s="0" t="str">
        <f aca="false">IFERROR(IF(OR(HLOOKUP($A310,#REF!,11,FALSE())&gt;2,HLOOKUP($A310,#REF!,11,FALSE())&lt;-2),"",#REF!),"")</f>
        <v/>
      </c>
      <c r="N310" s="0" t="str">
        <f aca="false">IFERROR(IF(OR(HLOOKUP($A310,#REF!,12,FALSE())&gt;2,HLOOKUP($A310,#REF!,12,FALSE())&lt;-2),"",#REF!),"")</f>
        <v/>
      </c>
      <c r="O310" s="0" t="str">
        <f aca="false">IFERROR(IF(OR(HLOOKUP($A310,#REF!,13,FALSE())&gt;2,HLOOKUP($A310,#REF!,13,FALSE())&lt;-2),"",#REF!),"")</f>
        <v/>
      </c>
      <c r="P310" s="0" t="str">
        <f aca="false">IFERROR(IF(OR(HLOOKUP($A310,#REF!,14,FALSE())&gt;2,HLOOKUP($A310,#REF!,14,FALSE())&lt;-2),"",#REF!),"")</f>
        <v/>
      </c>
      <c r="Q310" s="0" t="str">
        <f aca="false">IFERROR(IF(OR(HLOOKUP($A310,#REF!,15,FALSE())&gt;2,HLOOKUP($A310,#REF!,15,FALSE())&lt;-2),"",#REF!),"")</f>
        <v/>
      </c>
      <c r="R310" s="0" t="str">
        <f aca="false">IFERROR(IF(OR(HLOOKUP($A310,#REF!,16,FALSE())&gt;2,HLOOKUP($A310,#REF!,16,FALSE())&lt;-2),"",#REF!),"")</f>
        <v/>
      </c>
      <c r="S310" s="0" t="str">
        <f aca="false">IFERROR(IF(OR(HLOOKUP($A310,#REF!,17,FALSE())&gt;2,HLOOKUP($A310,#REF!,17,FALSE())&lt;-2),"",#REF!),"")</f>
        <v/>
      </c>
      <c r="T310" s="0" t="str">
        <f aca="false">IFERROR(IF(OR(HLOOKUP($A310,#REF!,18,FALSE())&gt;2,HLOOKUP($A310,#REF!,18,FALSE())&lt;-2),"",#REF!),"")</f>
        <v/>
      </c>
      <c r="U310" s="0" t="str">
        <f aca="false">IFERROR(IF(OR(HLOOKUP($A310,#REF!,19,FALSE())&gt;2,HLOOKUP($A310,#REF!,19,FALSE())&lt;-2),"",#REF!),"")</f>
        <v/>
      </c>
      <c r="V310" s="0" t="n">
        <f aca="false">IFERROR(IF(AND(X310=0,Y310=0),0,1),0)</f>
        <v>1</v>
      </c>
      <c r="W310" s="3" t="str">
        <f aca="false">IFERROR(_xlfn.T.TEST(E310:M310,N310:U310,2,2),"")</f>
        <v/>
      </c>
      <c r="X310" s="0" t="str">
        <f aca="false">IFERROR(AVERAGE(E310:M310),"")</f>
        <v/>
      </c>
      <c r="Y310" s="0" t="str">
        <f aca="false">IFERROR(AVERAGE(N310:U310),"")</f>
        <v/>
      </c>
    </row>
    <row r="311" customFormat="false" ht="14.5" hidden="false" customHeight="false" outlineLevel="0" collapsed="false">
      <c r="A311" s="0" t="n">
        <v>318</v>
      </c>
      <c r="B311" s="0" t="s">
        <v>390</v>
      </c>
      <c r="C311" s="0" t="n">
        <v>87800</v>
      </c>
      <c r="D311" s="0" t="n">
        <v>987</v>
      </c>
      <c r="E311" s="0" t="str">
        <f aca="false">IFERROR(IF(OR(HLOOKUP($A311,#REF!,3,FALSE())&gt;2,HLOOKUP(A311,#REF!,3,FALSE())&lt;-2),"",#REF!),"")</f>
        <v/>
      </c>
      <c r="F311" s="0" t="str">
        <f aca="false">IFERROR(IF(OR(HLOOKUP($A311,#REF!,4,FALSE())&gt;2,HLOOKUP($A311,#REF!,4,FALSE())&lt;-2),"",#REF!),"")</f>
        <v/>
      </c>
      <c r="G311" s="0" t="str">
        <f aca="false">IFERROR(IF(OR(HLOOKUP($A311,#REF!,5,FALSE())&gt;2,HLOOKUP($A311,#REF!,5,FALSE())&lt;-2),"",#REF!),"")</f>
        <v/>
      </c>
      <c r="H311" s="0" t="str">
        <f aca="false">IFERROR(IF(OR(HLOOKUP($A311,#REF!,6,FALSE())&gt;2,HLOOKUP($A311,#REF!,6,FALSE())&lt;-2),"",#REF!),"")</f>
        <v/>
      </c>
      <c r="I311" s="0" t="str">
        <f aca="false">IFERROR(IF(OR(HLOOKUP($A311,#REF!,7,FALSE())&gt;2,HLOOKUP($A311,#REF!,7,FALSE())&lt;-2),"",#REF!),"")</f>
        <v/>
      </c>
      <c r="J311" s="0" t="str">
        <f aca="false">IFERROR(IF(OR(HLOOKUP($A311,#REF!,8,FALSE())&gt;2,HLOOKUP($A311,#REF!,8,FALSE())&lt;-2),"",#REF!),"")</f>
        <v/>
      </c>
      <c r="K311" s="0" t="str">
        <f aca="false">IFERROR(IF(OR(HLOOKUP($A311,#REF!,9,FALSE())&gt;2,HLOOKUP($A311,#REF!,9,FALSE())&lt;-2),"",#REF!),"")</f>
        <v/>
      </c>
      <c r="L311" s="0" t="str">
        <f aca="false">IFERROR(IF(OR(HLOOKUP($A311,#REF!,10,FALSE())&gt;2,HLOOKUP($A311,#REF!,10,FALSE())&lt;-2),"",#REF!),"")</f>
        <v/>
      </c>
      <c r="M311" s="0" t="str">
        <f aca="false">IFERROR(IF(OR(HLOOKUP($A311,#REF!,11,FALSE())&gt;2,HLOOKUP($A311,#REF!,11,FALSE())&lt;-2),"",#REF!),"")</f>
        <v/>
      </c>
      <c r="N311" s="0" t="str">
        <f aca="false">IFERROR(IF(OR(HLOOKUP($A311,#REF!,12,FALSE())&gt;2,HLOOKUP($A311,#REF!,12,FALSE())&lt;-2),"",#REF!),"")</f>
        <v/>
      </c>
      <c r="O311" s="0" t="str">
        <f aca="false">IFERROR(IF(OR(HLOOKUP($A311,#REF!,13,FALSE())&gt;2,HLOOKUP($A311,#REF!,13,FALSE())&lt;-2),"",#REF!),"")</f>
        <v/>
      </c>
      <c r="P311" s="0" t="str">
        <f aca="false">IFERROR(IF(OR(HLOOKUP($A311,#REF!,14,FALSE())&gt;2,HLOOKUP($A311,#REF!,14,FALSE())&lt;-2),"",#REF!),"")</f>
        <v/>
      </c>
      <c r="Q311" s="0" t="str">
        <f aca="false">IFERROR(IF(OR(HLOOKUP($A311,#REF!,15,FALSE())&gt;2,HLOOKUP($A311,#REF!,15,FALSE())&lt;-2),"",#REF!),"")</f>
        <v/>
      </c>
      <c r="R311" s="0" t="str">
        <f aca="false">IFERROR(IF(OR(HLOOKUP($A311,#REF!,16,FALSE())&gt;2,HLOOKUP($A311,#REF!,16,FALSE())&lt;-2),"",#REF!),"")</f>
        <v/>
      </c>
      <c r="S311" s="0" t="str">
        <f aca="false">IFERROR(IF(OR(HLOOKUP($A311,#REF!,17,FALSE())&gt;2,HLOOKUP($A311,#REF!,17,FALSE())&lt;-2),"",#REF!),"")</f>
        <v/>
      </c>
      <c r="T311" s="0" t="str">
        <f aca="false">IFERROR(IF(OR(HLOOKUP($A311,#REF!,18,FALSE())&gt;2,HLOOKUP($A311,#REF!,18,FALSE())&lt;-2),"",#REF!),"")</f>
        <v/>
      </c>
      <c r="U311" s="0" t="str">
        <f aca="false">IFERROR(IF(OR(HLOOKUP($A311,#REF!,19,FALSE())&gt;2,HLOOKUP($A311,#REF!,19,FALSE())&lt;-2),"",#REF!),"")</f>
        <v/>
      </c>
      <c r="V311" s="0" t="n">
        <f aca="false">IFERROR(IF(AND(X311=0,Y311=0),0,1),0)</f>
        <v>1</v>
      </c>
      <c r="W311" s="3" t="str">
        <f aca="false">IFERROR(_xlfn.T.TEST(E311:M311,N311:U311,2,2),"")</f>
        <v/>
      </c>
      <c r="X311" s="0" t="str">
        <f aca="false">IFERROR(AVERAGE(E311:M311),"")</f>
        <v/>
      </c>
      <c r="Y311" s="0" t="str">
        <f aca="false">IFERROR(AVERAGE(N311:U311),"")</f>
        <v/>
      </c>
    </row>
    <row r="312" customFormat="false" ht="14.5" hidden="false" customHeight="false" outlineLevel="0" collapsed="false">
      <c r="A312" s="0" t="n">
        <v>319</v>
      </c>
      <c r="B312" s="0" t="s">
        <v>391</v>
      </c>
      <c r="C312" s="0" t="n">
        <v>47500</v>
      </c>
      <c r="D312" s="0" t="n">
        <v>703</v>
      </c>
      <c r="E312" s="0" t="str">
        <f aca="false">IFERROR(IF(OR(HLOOKUP($A312,#REF!,3,FALSE())&gt;2,HLOOKUP(A312,#REF!,3,FALSE())&lt;-2),"",#REF!),"")</f>
        <v/>
      </c>
      <c r="F312" s="0" t="str">
        <f aca="false">IFERROR(IF(OR(HLOOKUP($A312,#REF!,4,FALSE())&gt;2,HLOOKUP($A312,#REF!,4,FALSE())&lt;-2),"",#REF!),"")</f>
        <v/>
      </c>
      <c r="G312" s="0" t="str">
        <f aca="false">IFERROR(IF(OR(HLOOKUP($A312,#REF!,5,FALSE())&gt;2,HLOOKUP($A312,#REF!,5,FALSE())&lt;-2),"",#REF!),"")</f>
        <v/>
      </c>
      <c r="H312" s="0" t="str">
        <f aca="false">IFERROR(IF(OR(HLOOKUP($A312,#REF!,6,FALSE())&gt;2,HLOOKUP($A312,#REF!,6,FALSE())&lt;-2),"",#REF!),"")</f>
        <v/>
      </c>
      <c r="I312" s="0" t="str">
        <f aca="false">IFERROR(IF(OR(HLOOKUP($A312,#REF!,7,FALSE())&gt;2,HLOOKUP($A312,#REF!,7,FALSE())&lt;-2),"",#REF!),"")</f>
        <v/>
      </c>
      <c r="J312" s="0" t="str">
        <f aca="false">IFERROR(IF(OR(HLOOKUP($A312,#REF!,8,FALSE())&gt;2,HLOOKUP($A312,#REF!,8,FALSE())&lt;-2),"",#REF!),"")</f>
        <v/>
      </c>
      <c r="K312" s="0" t="str">
        <f aca="false">IFERROR(IF(OR(HLOOKUP($A312,#REF!,9,FALSE())&gt;2,HLOOKUP($A312,#REF!,9,FALSE())&lt;-2),"",#REF!),"")</f>
        <v/>
      </c>
      <c r="L312" s="0" t="str">
        <f aca="false">IFERROR(IF(OR(HLOOKUP($A312,#REF!,10,FALSE())&gt;2,HLOOKUP($A312,#REF!,10,FALSE())&lt;-2),"",#REF!),"")</f>
        <v/>
      </c>
      <c r="M312" s="0" t="str">
        <f aca="false">IFERROR(IF(OR(HLOOKUP($A312,#REF!,11,FALSE())&gt;2,HLOOKUP($A312,#REF!,11,FALSE())&lt;-2),"",#REF!),"")</f>
        <v/>
      </c>
      <c r="N312" s="0" t="str">
        <f aca="false">IFERROR(IF(OR(HLOOKUP($A312,#REF!,12,FALSE())&gt;2,HLOOKUP($A312,#REF!,12,FALSE())&lt;-2),"",#REF!),"")</f>
        <v/>
      </c>
      <c r="O312" s="0" t="str">
        <f aca="false">IFERROR(IF(OR(HLOOKUP($A312,#REF!,13,FALSE())&gt;2,HLOOKUP($A312,#REF!,13,FALSE())&lt;-2),"",#REF!),"")</f>
        <v/>
      </c>
      <c r="P312" s="0" t="str">
        <f aca="false">IFERROR(IF(OR(HLOOKUP($A312,#REF!,14,FALSE())&gt;2,HLOOKUP($A312,#REF!,14,FALSE())&lt;-2),"",#REF!),"")</f>
        <v/>
      </c>
      <c r="Q312" s="0" t="str">
        <f aca="false">IFERROR(IF(OR(HLOOKUP($A312,#REF!,15,FALSE())&gt;2,HLOOKUP($A312,#REF!,15,FALSE())&lt;-2),"",#REF!),"")</f>
        <v/>
      </c>
      <c r="R312" s="0" t="str">
        <f aca="false">IFERROR(IF(OR(HLOOKUP($A312,#REF!,16,FALSE())&gt;2,HLOOKUP($A312,#REF!,16,FALSE())&lt;-2),"",#REF!),"")</f>
        <v/>
      </c>
      <c r="S312" s="0" t="str">
        <f aca="false">IFERROR(IF(OR(HLOOKUP($A312,#REF!,17,FALSE())&gt;2,HLOOKUP($A312,#REF!,17,FALSE())&lt;-2),"",#REF!),"")</f>
        <v/>
      </c>
      <c r="T312" s="0" t="str">
        <f aca="false">IFERROR(IF(OR(HLOOKUP($A312,#REF!,18,FALSE())&gt;2,HLOOKUP($A312,#REF!,18,FALSE())&lt;-2),"",#REF!),"")</f>
        <v/>
      </c>
      <c r="U312" s="0" t="str">
        <f aca="false">IFERROR(IF(OR(HLOOKUP($A312,#REF!,19,FALSE())&gt;2,HLOOKUP($A312,#REF!,19,FALSE())&lt;-2),"",#REF!),"")</f>
        <v/>
      </c>
      <c r="V312" s="0" t="n">
        <f aca="false">IFERROR(IF(AND(X312=0,Y312=0),0,1),0)</f>
        <v>1</v>
      </c>
      <c r="W312" s="3" t="str">
        <f aca="false">IFERROR(_xlfn.T.TEST(E312:M312,N312:U312,2,2),"")</f>
        <v/>
      </c>
      <c r="X312" s="0" t="str">
        <f aca="false">IFERROR(AVERAGE(E312:M312),"")</f>
        <v/>
      </c>
      <c r="Y312" s="0" t="str">
        <f aca="false">IFERROR(AVERAGE(N312:U312),"")</f>
        <v/>
      </c>
    </row>
    <row r="313" customFormat="false" ht="14.5" hidden="false" customHeight="false" outlineLevel="0" collapsed="false">
      <c r="A313" s="0" t="n">
        <v>320</v>
      </c>
      <c r="B313" s="0" t="s">
        <v>392</v>
      </c>
      <c r="C313" s="0" t="n">
        <v>1600</v>
      </c>
      <c r="D313" s="0" t="n">
        <v>985</v>
      </c>
      <c r="E313" s="0" t="str">
        <f aca="false">IFERROR(IF(OR(HLOOKUP($A313,#REF!,3,FALSE())&gt;2,HLOOKUP(A313,#REF!,3,FALSE())&lt;-2),"",#REF!),"")</f>
        <v/>
      </c>
      <c r="F313" s="0" t="str">
        <f aca="false">IFERROR(IF(OR(HLOOKUP($A313,#REF!,4,FALSE())&gt;2,HLOOKUP($A313,#REF!,4,FALSE())&lt;-2),"",#REF!),"")</f>
        <v/>
      </c>
      <c r="G313" s="0" t="str">
        <f aca="false">IFERROR(IF(OR(HLOOKUP($A313,#REF!,5,FALSE())&gt;2,HLOOKUP($A313,#REF!,5,FALSE())&lt;-2),"",#REF!),"")</f>
        <v/>
      </c>
      <c r="H313" s="0" t="str">
        <f aca="false">IFERROR(IF(OR(HLOOKUP($A313,#REF!,6,FALSE())&gt;2,HLOOKUP($A313,#REF!,6,FALSE())&lt;-2),"",#REF!),"")</f>
        <v/>
      </c>
      <c r="I313" s="0" t="str">
        <f aca="false">IFERROR(IF(OR(HLOOKUP($A313,#REF!,7,FALSE())&gt;2,HLOOKUP($A313,#REF!,7,FALSE())&lt;-2),"",#REF!),"")</f>
        <v/>
      </c>
      <c r="J313" s="0" t="str">
        <f aca="false">IFERROR(IF(OR(HLOOKUP($A313,#REF!,8,FALSE())&gt;2,HLOOKUP($A313,#REF!,8,FALSE())&lt;-2),"",#REF!),"")</f>
        <v/>
      </c>
      <c r="K313" s="0" t="str">
        <f aca="false">IFERROR(IF(OR(HLOOKUP($A313,#REF!,9,FALSE())&gt;2,HLOOKUP($A313,#REF!,9,FALSE())&lt;-2),"",#REF!),"")</f>
        <v/>
      </c>
      <c r="L313" s="0" t="str">
        <f aca="false">IFERROR(IF(OR(HLOOKUP($A313,#REF!,10,FALSE())&gt;2,HLOOKUP($A313,#REF!,10,FALSE())&lt;-2),"",#REF!),"")</f>
        <v/>
      </c>
      <c r="M313" s="0" t="str">
        <f aca="false">IFERROR(IF(OR(HLOOKUP($A313,#REF!,11,FALSE())&gt;2,HLOOKUP($A313,#REF!,11,FALSE())&lt;-2),"",#REF!),"")</f>
        <v/>
      </c>
      <c r="N313" s="0" t="str">
        <f aca="false">IFERROR(IF(OR(HLOOKUP($A313,#REF!,12,FALSE())&gt;2,HLOOKUP($A313,#REF!,12,FALSE())&lt;-2),"",#REF!),"")</f>
        <v/>
      </c>
      <c r="O313" s="0" t="str">
        <f aca="false">IFERROR(IF(OR(HLOOKUP($A313,#REF!,13,FALSE())&gt;2,HLOOKUP($A313,#REF!,13,FALSE())&lt;-2),"",#REF!),"")</f>
        <v/>
      </c>
      <c r="P313" s="0" t="str">
        <f aca="false">IFERROR(IF(OR(HLOOKUP($A313,#REF!,14,FALSE())&gt;2,HLOOKUP($A313,#REF!,14,FALSE())&lt;-2),"",#REF!),"")</f>
        <v/>
      </c>
      <c r="Q313" s="0" t="str">
        <f aca="false">IFERROR(IF(OR(HLOOKUP($A313,#REF!,15,FALSE())&gt;2,HLOOKUP($A313,#REF!,15,FALSE())&lt;-2),"",#REF!),"")</f>
        <v/>
      </c>
      <c r="R313" s="0" t="str">
        <f aca="false">IFERROR(IF(OR(HLOOKUP($A313,#REF!,16,FALSE())&gt;2,HLOOKUP($A313,#REF!,16,FALSE())&lt;-2),"",#REF!),"")</f>
        <v/>
      </c>
      <c r="S313" s="0" t="str">
        <f aca="false">IFERROR(IF(OR(HLOOKUP($A313,#REF!,17,FALSE())&gt;2,HLOOKUP($A313,#REF!,17,FALSE())&lt;-2),"",#REF!),"")</f>
        <v/>
      </c>
      <c r="T313" s="0" t="str">
        <f aca="false">IFERROR(IF(OR(HLOOKUP($A313,#REF!,18,FALSE())&gt;2,HLOOKUP($A313,#REF!,18,FALSE())&lt;-2),"",#REF!),"")</f>
        <v/>
      </c>
      <c r="U313" s="0" t="str">
        <f aca="false">IFERROR(IF(OR(HLOOKUP($A313,#REF!,19,FALSE())&gt;2,HLOOKUP($A313,#REF!,19,FALSE())&lt;-2),"",#REF!),"")</f>
        <v/>
      </c>
      <c r="V313" s="0" t="n">
        <f aca="false">IFERROR(IF(AND(X313=0,Y313=0),0,1),0)</f>
        <v>1</v>
      </c>
      <c r="W313" s="3" t="str">
        <f aca="false">IFERROR(_xlfn.T.TEST(E313:M313,N313:U313,2,2),"")</f>
        <v/>
      </c>
      <c r="X313" s="0" t="str">
        <f aca="false">IFERROR(AVERAGE(E313:M313),"")</f>
        <v/>
      </c>
      <c r="Y313" s="0" t="str">
        <f aca="false">IFERROR(AVERAGE(N313:U313),"")</f>
        <v/>
      </c>
    </row>
    <row r="314" customFormat="false" ht="14.5" hidden="false" customHeight="false" outlineLevel="0" collapsed="false">
      <c r="A314" s="0" t="n">
        <v>321</v>
      </c>
      <c r="B314" s="0" t="s">
        <v>393</v>
      </c>
      <c r="C314" s="0" t="n">
        <v>69500</v>
      </c>
      <c r="D314" s="0" t="n">
        <v>1014</v>
      </c>
      <c r="E314" s="0" t="str">
        <f aca="false">IFERROR(IF(OR(HLOOKUP($A314,#REF!,3,FALSE())&gt;2,HLOOKUP(A314,#REF!,3,FALSE())&lt;-2),"",#REF!),"")</f>
        <v/>
      </c>
      <c r="F314" s="0" t="str">
        <f aca="false">IFERROR(IF(OR(HLOOKUP($A314,#REF!,4,FALSE())&gt;2,HLOOKUP($A314,#REF!,4,FALSE())&lt;-2),"",#REF!),"")</f>
        <v/>
      </c>
      <c r="G314" s="0" t="str">
        <f aca="false">IFERROR(IF(OR(HLOOKUP($A314,#REF!,5,FALSE())&gt;2,HLOOKUP($A314,#REF!,5,FALSE())&lt;-2),"",#REF!),"")</f>
        <v/>
      </c>
      <c r="H314" s="0" t="str">
        <f aca="false">IFERROR(IF(OR(HLOOKUP($A314,#REF!,6,FALSE())&gt;2,HLOOKUP($A314,#REF!,6,FALSE())&lt;-2),"",#REF!),"")</f>
        <v/>
      </c>
      <c r="I314" s="0" t="str">
        <f aca="false">IFERROR(IF(OR(HLOOKUP($A314,#REF!,7,FALSE())&gt;2,HLOOKUP($A314,#REF!,7,FALSE())&lt;-2),"",#REF!),"")</f>
        <v/>
      </c>
      <c r="J314" s="0" t="str">
        <f aca="false">IFERROR(IF(OR(HLOOKUP($A314,#REF!,8,FALSE())&gt;2,HLOOKUP($A314,#REF!,8,FALSE())&lt;-2),"",#REF!),"")</f>
        <v/>
      </c>
      <c r="K314" s="0" t="str">
        <f aca="false">IFERROR(IF(OR(HLOOKUP($A314,#REF!,9,FALSE())&gt;2,HLOOKUP($A314,#REF!,9,FALSE())&lt;-2),"",#REF!),"")</f>
        <v/>
      </c>
      <c r="L314" s="0" t="str">
        <f aca="false">IFERROR(IF(OR(HLOOKUP($A314,#REF!,10,FALSE())&gt;2,HLOOKUP($A314,#REF!,10,FALSE())&lt;-2),"",#REF!),"")</f>
        <v/>
      </c>
      <c r="M314" s="0" t="str">
        <f aca="false">IFERROR(IF(OR(HLOOKUP($A314,#REF!,11,FALSE())&gt;2,HLOOKUP($A314,#REF!,11,FALSE())&lt;-2),"",#REF!),"")</f>
        <v/>
      </c>
      <c r="N314" s="0" t="str">
        <f aca="false">IFERROR(IF(OR(HLOOKUP($A314,#REF!,12,FALSE())&gt;2,HLOOKUP($A314,#REF!,12,FALSE())&lt;-2),"",#REF!),"")</f>
        <v/>
      </c>
      <c r="O314" s="0" t="str">
        <f aca="false">IFERROR(IF(OR(HLOOKUP($A314,#REF!,13,FALSE())&gt;2,HLOOKUP($A314,#REF!,13,FALSE())&lt;-2),"",#REF!),"")</f>
        <v/>
      </c>
      <c r="P314" s="0" t="str">
        <f aca="false">IFERROR(IF(OR(HLOOKUP($A314,#REF!,14,FALSE())&gt;2,HLOOKUP($A314,#REF!,14,FALSE())&lt;-2),"",#REF!),"")</f>
        <v/>
      </c>
      <c r="Q314" s="0" t="str">
        <f aca="false">IFERROR(IF(OR(HLOOKUP($A314,#REF!,15,FALSE())&gt;2,HLOOKUP($A314,#REF!,15,FALSE())&lt;-2),"",#REF!),"")</f>
        <v/>
      </c>
      <c r="R314" s="0" t="str">
        <f aca="false">IFERROR(IF(OR(HLOOKUP($A314,#REF!,16,FALSE())&gt;2,HLOOKUP($A314,#REF!,16,FALSE())&lt;-2),"",#REF!),"")</f>
        <v/>
      </c>
      <c r="S314" s="0" t="str">
        <f aca="false">IFERROR(IF(OR(HLOOKUP($A314,#REF!,17,FALSE())&gt;2,HLOOKUP($A314,#REF!,17,FALSE())&lt;-2),"",#REF!),"")</f>
        <v/>
      </c>
      <c r="T314" s="0" t="str">
        <f aca="false">IFERROR(IF(OR(HLOOKUP($A314,#REF!,18,FALSE())&gt;2,HLOOKUP($A314,#REF!,18,FALSE())&lt;-2),"",#REF!),"")</f>
        <v/>
      </c>
      <c r="U314" s="0" t="str">
        <f aca="false">IFERROR(IF(OR(HLOOKUP($A314,#REF!,19,FALSE())&gt;2,HLOOKUP($A314,#REF!,19,FALSE())&lt;-2),"",#REF!),"")</f>
        <v/>
      </c>
      <c r="V314" s="0" t="n">
        <f aca="false">IFERROR(IF(AND(X314=0,Y314=0),0,1),0)</f>
        <v>1</v>
      </c>
      <c r="W314" s="3" t="str">
        <f aca="false">IFERROR(_xlfn.T.TEST(E314:M314,N314:U314,2,2),"")</f>
        <v/>
      </c>
      <c r="X314" s="0" t="str">
        <f aca="false">IFERROR(AVERAGE(E314:M314),"")</f>
        <v/>
      </c>
      <c r="Y314" s="0" t="str">
        <f aca="false">IFERROR(AVERAGE(N314:U314),"")</f>
        <v/>
      </c>
    </row>
    <row r="315" customFormat="false" ht="14.5" hidden="false" customHeight="false" outlineLevel="0" collapsed="false">
      <c r="A315" s="0" t="n">
        <v>322</v>
      </c>
      <c r="B315" s="0" t="s">
        <v>394</v>
      </c>
      <c r="C315" s="0" t="n">
        <v>2800</v>
      </c>
      <c r="D315" s="0" t="n">
        <v>453</v>
      </c>
      <c r="E315" s="0" t="str">
        <f aca="false">IFERROR(IF(OR(HLOOKUP($A315,#REF!,3,FALSE())&gt;2,HLOOKUP(A315,#REF!,3,FALSE())&lt;-2),"",#REF!),"")</f>
        <v/>
      </c>
      <c r="F315" s="0" t="str">
        <f aca="false">IFERROR(IF(OR(HLOOKUP($A315,#REF!,4,FALSE())&gt;2,HLOOKUP($A315,#REF!,4,FALSE())&lt;-2),"",#REF!),"")</f>
        <v/>
      </c>
      <c r="G315" s="0" t="str">
        <f aca="false">IFERROR(IF(OR(HLOOKUP($A315,#REF!,5,FALSE())&gt;2,HLOOKUP($A315,#REF!,5,FALSE())&lt;-2),"",#REF!),"")</f>
        <v/>
      </c>
      <c r="H315" s="0" t="str">
        <f aca="false">IFERROR(IF(OR(HLOOKUP($A315,#REF!,6,FALSE())&gt;2,HLOOKUP($A315,#REF!,6,FALSE())&lt;-2),"",#REF!),"")</f>
        <v/>
      </c>
      <c r="I315" s="0" t="str">
        <f aca="false">IFERROR(IF(OR(HLOOKUP($A315,#REF!,7,FALSE())&gt;2,HLOOKUP($A315,#REF!,7,FALSE())&lt;-2),"",#REF!),"")</f>
        <v/>
      </c>
      <c r="J315" s="0" t="str">
        <f aca="false">IFERROR(IF(OR(HLOOKUP($A315,#REF!,8,FALSE())&gt;2,HLOOKUP($A315,#REF!,8,FALSE())&lt;-2),"",#REF!),"")</f>
        <v/>
      </c>
      <c r="K315" s="0" t="str">
        <f aca="false">IFERROR(IF(OR(HLOOKUP($A315,#REF!,9,FALSE())&gt;2,HLOOKUP($A315,#REF!,9,FALSE())&lt;-2),"",#REF!),"")</f>
        <v/>
      </c>
      <c r="L315" s="0" t="str">
        <f aca="false">IFERROR(IF(OR(HLOOKUP($A315,#REF!,10,FALSE())&gt;2,HLOOKUP($A315,#REF!,10,FALSE())&lt;-2),"",#REF!),"")</f>
        <v/>
      </c>
      <c r="M315" s="0" t="str">
        <f aca="false">IFERROR(IF(OR(HLOOKUP($A315,#REF!,11,FALSE())&gt;2,HLOOKUP($A315,#REF!,11,FALSE())&lt;-2),"",#REF!),"")</f>
        <v/>
      </c>
      <c r="N315" s="0" t="str">
        <f aca="false">IFERROR(IF(OR(HLOOKUP($A315,#REF!,12,FALSE())&gt;2,HLOOKUP($A315,#REF!,12,FALSE())&lt;-2),"",#REF!),"")</f>
        <v/>
      </c>
      <c r="O315" s="0" t="str">
        <f aca="false">IFERROR(IF(OR(HLOOKUP($A315,#REF!,13,FALSE())&gt;2,HLOOKUP($A315,#REF!,13,FALSE())&lt;-2),"",#REF!),"")</f>
        <v/>
      </c>
      <c r="P315" s="0" t="str">
        <f aca="false">IFERROR(IF(OR(HLOOKUP($A315,#REF!,14,FALSE())&gt;2,HLOOKUP($A315,#REF!,14,FALSE())&lt;-2),"",#REF!),"")</f>
        <v/>
      </c>
      <c r="Q315" s="0" t="str">
        <f aca="false">IFERROR(IF(OR(HLOOKUP($A315,#REF!,15,FALSE())&gt;2,HLOOKUP($A315,#REF!,15,FALSE())&lt;-2),"",#REF!),"")</f>
        <v/>
      </c>
      <c r="R315" s="0" t="str">
        <f aca="false">IFERROR(IF(OR(HLOOKUP($A315,#REF!,16,FALSE())&gt;2,HLOOKUP($A315,#REF!,16,FALSE())&lt;-2),"",#REF!),"")</f>
        <v/>
      </c>
      <c r="S315" s="0" t="str">
        <f aca="false">IFERROR(IF(OR(HLOOKUP($A315,#REF!,17,FALSE())&gt;2,HLOOKUP($A315,#REF!,17,FALSE())&lt;-2),"",#REF!),"")</f>
        <v/>
      </c>
      <c r="T315" s="0" t="str">
        <f aca="false">IFERROR(IF(OR(HLOOKUP($A315,#REF!,18,FALSE())&gt;2,HLOOKUP($A315,#REF!,18,FALSE())&lt;-2),"",#REF!),"")</f>
        <v/>
      </c>
      <c r="U315" s="0" t="str">
        <f aca="false">IFERROR(IF(OR(HLOOKUP($A315,#REF!,19,FALSE())&gt;2,HLOOKUP($A315,#REF!,19,FALSE())&lt;-2),"",#REF!),"")</f>
        <v/>
      </c>
      <c r="V315" s="0" t="n">
        <f aca="false">IFERROR(IF(AND(X315=0,Y315=0),0,1),0)</f>
        <v>1</v>
      </c>
      <c r="W315" s="3" t="str">
        <f aca="false">IFERROR(_xlfn.T.TEST(E315:M315,N315:U315,2,2),"")</f>
        <v/>
      </c>
      <c r="X315" s="0" t="str">
        <f aca="false">IFERROR(AVERAGE(E315:M315),"")</f>
        <v/>
      </c>
      <c r="Y315" s="0" t="str">
        <f aca="false">IFERROR(AVERAGE(N315:U315),"")</f>
        <v/>
      </c>
    </row>
    <row r="316" customFormat="false" ht="14.5" hidden="false" customHeight="false" outlineLevel="0" collapsed="false">
      <c r="A316" s="0" t="n">
        <v>323</v>
      </c>
      <c r="B316" s="0" t="s">
        <v>395</v>
      </c>
      <c r="C316" s="0" t="n">
        <v>79900</v>
      </c>
      <c r="D316" s="0" t="n">
        <v>313</v>
      </c>
      <c r="E316" s="0" t="str">
        <f aca="false">IFERROR(IF(OR(HLOOKUP($A316,#REF!,3,FALSE())&gt;2,HLOOKUP(A316,#REF!,3,FALSE())&lt;-2),"",#REF!),"")</f>
        <v/>
      </c>
      <c r="F316" s="0" t="str">
        <f aca="false">IFERROR(IF(OR(HLOOKUP($A316,#REF!,4,FALSE())&gt;2,HLOOKUP($A316,#REF!,4,FALSE())&lt;-2),"",#REF!),"")</f>
        <v/>
      </c>
      <c r="G316" s="0" t="str">
        <f aca="false">IFERROR(IF(OR(HLOOKUP($A316,#REF!,5,FALSE())&gt;2,HLOOKUP($A316,#REF!,5,FALSE())&lt;-2),"",#REF!),"")</f>
        <v/>
      </c>
      <c r="H316" s="0" t="str">
        <f aca="false">IFERROR(IF(OR(HLOOKUP($A316,#REF!,6,FALSE())&gt;2,HLOOKUP($A316,#REF!,6,FALSE())&lt;-2),"",#REF!),"")</f>
        <v/>
      </c>
      <c r="I316" s="0" t="str">
        <f aca="false">IFERROR(IF(OR(HLOOKUP($A316,#REF!,7,FALSE())&gt;2,HLOOKUP($A316,#REF!,7,FALSE())&lt;-2),"",#REF!),"")</f>
        <v/>
      </c>
      <c r="J316" s="0" t="str">
        <f aca="false">IFERROR(IF(OR(HLOOKUP($A316,#REF!,8,FALSE())&gt;2,HLOOKUP($A316,#REF!,8,FALSE())&lt;-2),"",#REF!),"")</f>
        <v/>
      </c>
      <c r="K316" s="0" t="str">
        <f aca="false">IFERROR(IF(OR(HLOOKUP($A316,#REF!,9,FALSE())&gt;2,HLOOKUP($A316,#REF!,9,FALSE())&lt;-2),"",#REF!),"")</f>
        <v/>
      </c>
      <c r="L316" s="0" t="str">
        <f aca="false">IFERROR(IF(OR(HLOOKUP($A316,#REF!,10,FALSE())&gt;2,HLOOKUP($A316,#REF!,10,FALSE())&lt;-2),"",#REF!),"")</f>
        <v/>
      </c>
      <c r="M316" s="0" t="str">
        <f aca="false">IFERROR(IF(OR(HLOOKUP($A316,#REF!,11,FALSE())&gt;2,HLOOKUP($A316,#REF!,11,FALSE())&lt;-2),"",#REF!),"")</f>
        <v/>
      </c>
      <c r="N316" s="0" t="str">
        <f aca="false">IFERROR(IF(OR(HLOOKUP($A316,#REF!,12,FALSE())&gt;2,HLOOKUP($A316,#REF!,12,FALSE())&lt;-2),"",#REF!),"")</f>
        <v/>
      </c>
      <c r="O316" s="0" t="str">
        <f aca="false">IFERROR(IF(OR(HLOOKUP($A316,#REF!,13,FALSE())&gt;2,HLOOKUP($A316,#REF!,13,FALSE())&lt;-2),"",#REF!),"")</f>
        <v/>
      </c>
      <c r="P316" s="0" t="str">
        <f aca="false">IFERROR(IF(OR(HLOOKUP($A316,#REF!,14,FALSE())&gt;2,HLOOKUP($A316,#REF!,14,FALSE())&lt;-2),"",#REF!),"")</f>
        <v/>
      </c>
      <c r="Q316" s="0" t="str">
        <f aca="false">IFERROR(IF(OR(HLOOKUP($A316,#REF!,15,FALSE())&gt;2,HLOOKUP($A316,#REF!,15,FALSE())&lt;-2),"",#REF!),"")</f>
        <v/>
      </c>
      <c r="R316" s="0" t="str">
        <f aca="false">IFERROR(IF(OR(HLOOKUP($A316,#REF!,16,FALSE())&gt;2,HLOOKUP($A316,#REF!,16,FALSE())&lt;-2),"",#REF!),"")</f>
        <v/>
      </c>
      <c r="S316" s="0" t="str">
        <f aca="false">IFERROR(IF(OR(HLOOKUP($A316,#REF!,17,FALSE())&gt;2,HLOOKUP($A316,#REF!,17,FALSE())&lt;-2),"",#REF!),"")</f>
        <v/>
      </c>
      <c r="T316" s="0" t="str">
        <f aca="false">IFERROR(IF(OR(HLOOKUP($A316,#REF!,18,FALSE())&gt;2,HLOOKUP($A316,#REF!,18,FALSE())&lt;-2),"",#REF!),"")</f>
        <v/>
      </c>
      <c r="U316" s="0" t="str">
        <f aca="false">IFERROR(IF(OR(HLOOKUP($A316,#REF!,19,FALSE())&gt;2,HLOOKUP($A316,#REF!,19,FALSE())&lt;-2),"",#REF!),"")</f>
        <v/>
      </c>
      <c r="V316" s="0" t="n">
        <f aca="false">IFERROR(IF(AND(X316=0,Y316=0),0,1),0)</f>
        <v>1</v>
      </c>
      <c r="W316" s="3" t="str">
        <f aca="false">IFERROR(_xlfn.T.TEST(E316:M316,N316:U316,2,2),"")</f>
        <v/>
      </c>
      <c r="X316" s="0" t="str">
        <f aca="false">IFERROR(AVERAGE(E316:M316),"")</f>
        <v/>
      </c>
      <c r="Y316" s="0" t="str">
        <f aca="false">IFERROR(AVERAGE(N316:U316),"")</f>
        <v/>
      </c>
    </row>
    <row r="317" customFormat="false" ht="14.5" hidden="false" customHeight="false" outlineLevel="0" collapsed="false">
      <c r="A317" s="0" t="n">
        <v>324</v>
      </c>
      <c r="B317" s="0" t="s">
        <v>396</v>
      </c>
      <c r="C317" s="0" t="n">
        <v>43900</v>
      </c>
      <c r="D317" s="0" t="n">
        <v>934</v>
      </c>
      <c r="E317" s="0" t="str">
        <f aca="false">IFERROR(IF(OR(HLOOKUP($A317,#REF!,3,FALSE())&gt;2,HLOOKUP(A317,#REF!,3,FALSE())&lt;-2),"",#REF!),"")</f>
        <v/>
      </c>
      <c r="F317" s="0" t="str">
        <f aca="false">IFERROR(IF(OR(HLOOKUP($A317,#REF!,4,FALSE())&gt;2,HLOOKUP($A317,#REF!,4,FALSE())&lt;-2),"",#REF!),"")</f>
        <v/>
      </c>
      <c r="G317" s="0" t="str">
        <f aca="false">IFERROR(IF(OR(HLOOKUP($A317,#REF!,5,FALSE())&gt;2,HLOOKUP($A317,#REF!,5,FALSE())&lt;-2),"",#REF!),"")</f>
        <v/>
      </c>
      <c r="H317" s="0" t="str">
        <f aca="false">IFERROR(IF(OR(HLOOKUP($A317,#REF!,6,FALSE())&gt;2,HLOOKUP($A317,#REF!,6,FALSE())&lt;-2),"",#REF!),"")</f>
        <v/>
      </c>
      <c r="I317" s="0" t="str">
        <f aca="false">IFERROR(IF(OR(HLOOKUP($A317,#REF!,7,FALSE())&gt;2,HLOOKUP($A317,#REF!,7,FALSE())&lt;-2),"",#REF!),"")</f>
        <v/>
      </c>
      <c r="J317" s="0" t="str">
        <f aca="false">IFERROR(IF(OR(HLOOKUP($A317,#REF!,8,FALSE())&gt;2,HLOOKUP($A317,#REF!,8,FALSE())&lt;-2),"",#REF!),"")</f>
        <v/>
      </c>
      <c r="K317" s="0" t="str">
        <f aca="false">IFERROR(IF(OR(HLOOKUP($A317,#REF!,9,FALSE())&gt;2,HLOOKUP($A317,#REF!,9,FALSE())&lt;-2),"",#REF!),"")</f>
        <v/>
      </c>
      <c r="L317" s="0" t="str">
        <f aca="false">IFERROR(IF(OR(HLOOKUP($A317,#REF!,10,FALSE())&gt;2,HLOOKUP($A317,#REF!,10,FALSE())&lt;-2),"",#REF!),"")</f>
        <v/>
      </c>
      <c r="M317" s="0" t="str">
        <f aca="false">IFERROR(IF(OR(HLOOKUP($A317,#REF!,11,FALSE())&gt;2,HLOOKUP($A317,#REF!,11,FALSE())&lt;-2),"",#REF!),"")</f>
        <v/>
      </c>
      <c r="N317" s="0" t="str">
        <f aca="false">IFERROR(IF(OR(HLOOKUP($A317,#REF!,12,FALSE())&gt;2,HLOOKUP($A317,#REF!,12,FALSE())&lt;-2),"",#REF!),"")</f>
        <v/>
      </c>
      <c r="O317" s="0" t="str">
        <f aca="false">IFERROR(IF(OR(HLOOKUP($A317,#REF!,13,FALSE())&gt;2,HLOOKUP($A317,#REF!,13,FALSE())&lt;-2),"",#REF!),"")</f>
        <v/>
      </c>
      <c r="P317" s="0" t="str">
        <f aca="false">IFERROR(IF(OR(HLOOKUP($A317,#REF!,14,FALSE())&gt;2,HLOOKUP($A317,#REF!,14,FALSE())&lt;-2),"",#REF!),"")</f>
        <v/>
      </c>
      <c r="Q317" s="0" t="str">
        <f aca="false">IFERROR(IF(OR(HLOOKUP($A317,#REF!,15,FALSE())&gt;2,HLOOKUP($A317,#REF!,15,FALSE())&lt;-2),"",#REF!),"")</f>
        <v/>
      </c>
      <c r="R317" s="0" t="str">
        <f aca="false">IFERROR(IF(OR(HLOOKUP($A317,#REF!,16,FALSE())&gt;2,HLOOKUP($A317,#REF!,16,FALSE())&lt;-2),"",#REF!),"")</f>
        <v/>
      </c>
      <c r="S317" s="0" t="str">
        <f aca="false">IFERROR(IF(OR(HLOOKUP($A317,#REF!,17,FALSE())&gt;2,HLOOKUP($A317,#REF!,17,FALSE())&lt;-2),"",#REF!),"")</f>
        <v/>
      </c>
      <c r="T317" s="0" t="str">
        <f aca="false">IFERROR(IF(OR(HLOOKUP($A317,#REF!,18,FALSE())&gt;2,HLOOKUP($A317,#REF!,18,FALSE())&lt;-2),"",#REF!),"")</f>
        <v/>
      </c>
      <c r="U317" s="0" t="str">
        <f aca="false">IFERROR(IF(OR(HLOOKUP($A317,#REF!,19,FALSE())&gt;2,HLOOKUP($A317,#REF!,19,FALSE())&lt;-2),"",#REF!),"")</f>
        <v/>
      </c>
      <c r="V317" s="0" t="n">
        <f aca="false">IFERROR(IF(AND(X317=0,Y317=0),0,1),0)</f>
        <v>1</v>
      </c>
      <c r="W317" s="3" t="str">
        <f aca="false">IFERROR(_xlfn.T.TEST(E317:M317,N317:U317,2,2),"")</f>
        <v/>
      </c>
      <c r="X317" s="0" t="str">
        <f aca="false">IFERROR(AVERAGE(E317:M317),"")</f>
        <v/>
      </c>
      <c r="Y317" s="0" t="str">
        <f aca="false">IFERROR(AVERAGE(N317:U317),"")</f>
        <v/>
      </c>
    </row>
    <row r="318" customFormat="false" ht="14.5" hidden="false" customHeight="false" outlineLevel="0" collapsed="false">
      <c r="A318" s="0" t="n">
        <v>325</v>
      </c>
      <c r="B318" s="0" t="s">
        <v>397</v>
      </c>
      <c r="C318" s="0" t="n">
        <v>66100</v>
      </c>
      <c r="D318" s="0" t="n">
        <v>138</v>
      </c>
      <c r="E318" s="0" t="str">
        <f aca="false">IFERROR(IF(OR(HLOOKUP($A318,#REF!,3,FALSE())&gt;2,HLOOKUP(A318,#REF!,3,FALSE())&lt;-2),"",#REF!),"")</f>
        <v/>
      </c>
      <c r="F318" s="0" t="str">
        <f aca="false">IFERROR(IF(OR(HLOOKUP($A318,#REF!,4,FALSE())&gt;2,HLOOKUP($A318,#REF!,4,FALSE())&lt;-2),"",#REF!),"")</f>
        <v/>
      </c>
      <c r="G318" s="0" t="str">
        <f aca="false">IFERROR(IF(OR(HLOOKUP($A318,#REF!,5,FALSE())&gt;2,HLOOKUP($A318,#REF!,5,FALSE())&lt;-2),"",#REF!),"")</f>
        <v/>
      </c>
      <c r="H318" s="0" t="str">
        <f aca="false">IFERROR(IF(OR(HLOOKUP($A318,#REF!,6,FALSE())&gt;2,HLOOKUP($A318,#REF!,6,FALSE())&lt;-2),"",#REF!),"")</f>
        <v/>
      </c>
      <c r="I318" s="0" t="str">
        <f aca="false">IFERROR(IF(OR(HLOOKUP($A318,#REF!,7,FALSE())&gt;2,HLOOKUP($A318,#REF!,7,FALSE())&lt;-2),"",#REF!),"")</f>
        <v/>
      </c>
      <c r="J318" s="0" t="str">
        <f aca="false">IFERROR(IF(OR(HLOOKUP($A318,#REF!,8,FALSE())&gt;2,HLOOKUP($A318,#REF!,8,FALSE())&lt;-2),"",#REF!),"")</f>
        <v/>
      </c>
      <c r="K318" s="0" t="str">
        <f aca="false">IFERROR(IF(OR(HLOOKUP($A318,#REF!,9,FALSE())&gt;2,HLOOKUP($A318,#REF!,9,FALSE())&lt;-2),"",#REF!),"")</f>
        <v/>
      </c>
      <c r="L318" s="0" t="str">
        <f aca="false">IFERROR(IF(OR(HLOOKUP($A318,#REF!,10,FALSE())&gt;2,HLOOKUP($A318,#REF!,10,FALSE())&lt;-2),"",#REF!),"")</f>
        <v/>
      </c>
      <c r="M318" s="0" t="str">
        <f aca="false">IFERROR(IF(OR(HLOOKUP($A318,#REF!,11,FALSE())&gt;2,HLOOKUP($A318,#REF!,11,FALSE())&lt;-2),"",#REF!),"")</f>
        <v/>
      </c>
      <c r="N318" s="0" t="str">
        <f aca="false">IFERROR(IF(OR(HLOOKUP($A318,#REF!,12,FALSE())&gt;2,HLOOKUP($A318,#REF!,12,FALSE())&lt;-2),"",#REF!),"")</f>
        <v/>
      </c>
      <c r="O318" s="0" t="str">
        <f aca="false">IFERROR(IF(OR(HLOOKUP($A318,#REF!,13,FALSE())&gt;2,HLOOKUP($A318,#REF!,13,FALSE())&lt;-2),"",#REF!),"")</f>
        <v/>
      </c>
      <c r="P318" s="0" t="str">
        <f aca="false">IFERROR(IF(OR(HLOOKUP($A318,#REF!,14,FALSE())&gt;2,HLOOKUP($A318,#REF!,14,FALSE())&lt;-2),"",#REF!),"")</f>
        <v/>
      </c>
      <c r="Q318" s="0" t="str">
        <f aca="false">IFERROR(IF(OR(HLOOKUP($A318,#REF!,15,FALSE())&gt;2,HLOOKUP($A318,#REF!,15,FALSE())&lt;-2),"",#REF!),"")</f>
        <v/>
      </c>
      <c r="R318" s="0" t="str">
        <f aca="false">IFERROR(IF(OR(HLOOKUP($A318,#REF!,16,FALSE())&gt;2,HLOOKUP($A318,#REF!,16,FALSE())&lt;-2),"",#REF!),"")</f>
        <v/>
      </c>
      <c r="S318" s="0" t="str">
        <f aca="false">IFERROR(IF(OR(HLOOKUP($A318,#REF!,17,FALSE())&gt;2,HLOOKUP($A318,#REF!,17,FALSE())&lt;-2),"",#REF!),"")</f>
        <v/>
      </c>
      <c r="T318" s="0" t="str">
        <f aca="false">IFERROR(IF(OR(HLOOKUP($A318,#REF!,18,FALSE())&gt;2,HLOOKUP($A318,#REF!,18,FALSE())&lt;-2),"",#REF!),"")</f>
        <v/>
      </c>
      <c r="U318" s="0" t="str">
        <f aca="false">IFERROR(IF(OR(HLOOKUP($A318,#REF!,19,FALSE())&gt;2,HLOOKUP($A318,#REF!,19,FALSE())&lt;-2),"",#REF!),"")</f>
        <v/>
      </c>
      <c r="V318" s="0" t="n">
        <f aca="false">IFERROR(IF(AND(X318=0,Y318=0),0,1),0)</f>
        <v>1</v>
      </c>
      <c r="W318" s="3" t="str">
        <f aca="false">IFERROR(_xlfn.T.TEST(E318:M318,N318:U318,2,2),"")</f>
        <v/>
      </c>
      <c r="X318" s="0" t="str">
        <f aca="false">IFERROR(AVERAGE(E318:M318),"")</f>
        <v/>
      </c>
      <c r="Y318" s="0" t="str">
        <f aca="false">IFERROR(AVERAGE(N318:U318),"")</f>
        <v/>
      </c>
    </row>
    <row r="319" customFormat="false" ht="14.5" hidden="false" customHeight="false" outlineLevel="0" collapsed="false">
      <c r="A319" s="0" t="n">
        <v>326</v>
      </c>
      <c r="B319" s="0" t="s">
        <v>398</v>
      </c>
      <c r="C319" s="0" t="n">
        <v>104500</v>
      </c>
      <c r="D319" s="0" t="n">
        <v>752</v>
      </c>
      <c r="E319" s="0" t="str">
        <f aca="false">IFERROR(IF(OR(HLOOKUP($A319,#REF!,3,FALSE())&gt;2,HLOOKUP(A319,#REF!,3,FALSE())&lt;-2),"",#REF!),"")</f>
        <v/>
      </c>
      <c r="F319" s="0" t="str">
        <f aca="false">IFERROR(IF(OR(HLOOKUP($A319,#REF!,4,FALSE())&gt;2,HLOOKUP($A319,#REF!,4,FALSE())&lt;-2),"",#REF!),"")</f>
        <v/>
      </c>
      <c r="G319" s="0" t="str">
        <f aca="false">IFERROR(IF(OR(HLOOKUP($A319,#REF!,5,FALSE())&gt;2,HLOOKUP($A319,#REF!,5,FALSE())&lt;-2),"",#REF!),"")</f>
        <v/>
      </c>
      <c r="H319" s="0" t="str">
        <f aca="false">IFERROR(IF(OR(HLOOKUP($A319,#REF!,6,FALSE())&gt;2,HLOOKUP($A319,#REF!,6,FALSE())&lt;-2),"",#REF!),"")</f>
        <v/>
      </c>
      <c r="I319" s="0" t="str">
        <f aca="false">IFERROR(IF(OR(HLOOKUP($A319,#REF!,7,FALSE())&gt;2,HLOOKUP($A319,#REF!,7,FALSE())&lt;-2),"",#REF!),"")</f>
        <v/>
      </c>
      <c r="J319" s="0" t="str">
        <f aca="false">IFERROR(IF(OR(HLOOKUP($A319,#REF!,8,FALSE())&gt;2,HLOOKUP($A319,#REF!,8,FALSE())&lt;-2),"",#REF!),"")</f>
        <v/>
      </c>
      <c r="K319" s="0" t="str">
        <f aca="false">IFERROR(IF(OR(HLOOKUP($A319,#REF!,9,FALSE())&gt;2,HLOOKUP($A319,#REF!,9,FALSE())&lt;-2),"",#REF!),"")</f>
        <v/>
      </c>
      <c r="L319" s="0" t="str">
        <f aca="false">IFERROR(IF(OR(HLOOKUP($A319,#REF!,10,FALSE())&gt;2,HLOOKUP($A319,#REF!,10,FALSE())&lt;-2),"",#REF!),"")</f>
        <v/>
      </c>
      <c r="M319" s="0" t="str">
        <f aca="false">IFERROR(IF(OR(HLOOKUP($A319,#REF!,11,FALSE())&gt;2,HLOOKUP($A319,#REF!,11,FALSE())&lt;-2),"",#REF!),"")</f>
        <v/>
      </c>
      <c r="N319" s="0" t="str">
        <f aca="false">IFERROR(IF(OR(HLOOKUP($A319,#REF!,12,FALSE())&gt;2,HLOOKUP($A319,#REF!,12,FALSE())&lt;-2),"",#REF!),"")</f>
        <v/>
      </c>
      <c r="O319" s="0" t="str">
        <f aca="false">IFERROR(IF(OR(HLOOKUP($A319,#REF!,13,FALSE())&gt;2,HLOOKUP($A319,#REF!,13,FALSE())&lt;-2),"",#REF!),"")</f>
        <v/>
      </c>
      <c r="P319" s="0" t="str">
        <f aca="false">IFERROR(IF(OR(HLOOKUP($A319,#REF!,14,FALSE())&gt;2,HLOOKUP($A319,#REF!,14,FALSE())&lt;-2),"",#REF!),"")</f>
        <v/>
      </c>
      <c r="Q319" s="0" t="str">
        <f aca="false">IFERROR(IF(OR(HLOOKUP($A319,#REF!,15,FALSE())&gt;2,HLOOKUP($A319,#REF!,15,FALSE())&lt;-2),"",#REF!),"")</f>
        <v/>
      </c>
      <c r="R319" s="0" t="str">
        <f aca="false">IFERROR(IF(OR(HLOOKUP($A319,#REF!,16,FALSE())&gt;2,HLOOKUP($A319,#REF!,16,FALSE())&lt;-2),"",#REF!),"")</f>
        <v/>
      </c>
      <c r="S319" s="0" t="str">
        <f aca="false">IFERROR(IF(OR(HLOOKUP($A319,#REF!,17,FALSE())&gt;2,HLOOKUP($A319,#REF!,17,FALSE())&lt;-2),"",#REF!),"")</f>
        <v/>
      </c>
      <c r="T319" s="0" t="str">
        <f aca="false">IFERROR(IF(OR(HLOOKUP($A319,#REF!,18,FALSE())&gt;2,HLOOKUP($A319,#REF!,18,FALSE())&lt;-2),"",#REF!),"")</f>
        <v/>
      </c>
      <c r="U319" s="0" t="str">
        <f aca="false">IFERROR(IF(OR(HLOOKUP($A319,#REF!,19,FALSE())&gt;2,HLOOKUP($A319,#REF!,19,FALSE())&lt;-2),"",#REF!),"")</f>
        <v/>
      </c>
      <c r="V319" s="0" t="n">
        <f aca="false">IFERROR(IF(AND(X319=0,Y319=0),0,1),0)</f>
        <v>1</v>
      </c>
      <c r="W319" s="3" t="str">
        <f aca="false">IFERROR(_xlfn.T.TEST(E319:M319,N319:U319,2,2),"")</f>
        <v/>
      </c>
      <c r="X319" s="0" t="str">
        <f aca="false">IFERROR(AVERAGE(E319:M319),"")</f>
        <v/>
      </c>
      <c r="Y319" s="0" t="str">
        <f aca="false">IFERROR(AVERAGE(N319:U319),"")</f>
        <v/>
      </c>
    </row>
    <row r="320" customFormat="false" ht="14.5" hidden="false" customHeight="false" outlineLevel="0" collapsed="false">
      <c r="A320" s="0" t="n">
        <v>327</v>
      </c>
      <c r="B320" s="0" t="s">
        <v>399</v>
      </c>
      <c r="C320" s="0" t="n">
        <v>47600</v>
      </c>
      <c r="D320" s="0" t="n">
        <v>319</v>
      </c>
      <c r="E320" s="0" t="str">
        <f aca="false">IFERROR(IF(OR(HLOOKUP($A320,#REF!,3,FALSE())&gt;2,HLOOKUP(A320,#REF!,3,FALSE())&lt;-2),"",#REF!),"")</f>
        <v/>
      </c>
      <c r="F320" s="0" t="str">
        <f aca="false">IFERROR(IF(OR(HLOOKUP($A320,#REF!,4,FALSE())&gt;2,HLOOKUP($A320,#REF!,4,FALSE())&lt;-2),"",#REF!),"")</f>
        <v/>
      </c>
      <c r="G320" s="0" t="str">
        <f aca="false">IFERROR(IF(OR(HLOOKUP($A320,#REF!,5,FALSE())&gt;2,HLOOKUP($A320,#REF!,5,FALSE())&lt;-2),"",#REF!),"")</f>
        <v/>
      </c>
      <c r="H320" s="0" t="str">
        <f aca="false">IFERROR(IF(OR(HLOOKUP($A320,#REF!,6,FALSE())&gt;2,HLOOKUP($A320,#REF!,6,FALSE())&lt;-2),"",#REF!),"")</f>
        <v/>
      </c>
      <c r="I320" s="0" t="str">
        <f aca="false">IFERROR(IF(OR(HLOOKUP($A320,#REF!,7,FALSE())&gt;2,HLOOKUP($A320,#REF!,7,FALSE())&lt;-2),"",#REF!),"")</f>
        <v/>
      </c>
      <c r="J320" s="0" t="str">
        <f aca="false">IFERROR(IF(OR(HLOOKUP($A320,#REF!,8,FALSE())&gt;2,HLOOKUP($A320,#REF!,8,FALSE())&lt;-2),"",#REF!),"")</f>
        <v/>
      </c>
      <c r="K320" s="0" t="str">
        <f aca="false">IFERROR(IF(OR(HLOOKUP($A320,#REF!,9,FALSE())&gt;2,HLOOKUP($A320,#REF!,9,FALSE())&lt;-2),"",#REF!),"")</f>
        <v/>
      </c>
      <c r="L320" s="0" t="str">
        <f aca="false">IFERROR(IF(OR(HLOOKUP($A320,#REF!,10,FALSE())&gt;2,HLOOKUP($A320,#REF!,10,FALSE())&lt;-2),"",#REF!),"")</f>
        <v/>
      </c>
      <c r="M320" s="0" t="str">
        <f aca="false">IFERROR(IF(OR(HLOOKUP($A320,#REF!,11,FALSE())&gt;2,HLOOKUP($A320,#REF!,11,FALSE())&lt;-2),"",#REF!),"")</f>
        <v/>
      </c>
      <c r="N320" s="0" t="str">
        <f aca="false">IFERROR(IF(OR(HLOOKUP($A320,#REF!,12,FALSE())&gt;2,HLOOKUP($A320,#REF!,12,FALSE())&lt;-2),"",#REF!),"")</f>
        <v/>
      </c>
      <c r="O320" s="0" t="str">
        <f aca="false">IFERROR(IF(OR(HLOOKUP($A320,#REF!,13,FALSE())&gt;2,HLOOKUP($A320,#REF!,13,FALSE())&lt;-2),"",#REF!),"")</f>
        <v/>
      </c>
      <c r="P320" s="0" t="str">
        <f aca="false">IFERROR(IF(OR(HLOOKUP($A320,#REF!,14,FALSE())&gt;2,HLOOKUP($A320,#REF!,14,FALSE())&lt;-2),"",#REF!),"")</f>
        <v/>
      </c>
      <c r="Q320" s="0" t="str">
        <f aca="false">IFERROR(IF(OR(HLOOKUP($A320,#REF!,15,FALSE())&gt;2,HLOOKUP($A320,#REF!,15,FALSE())&lt;-2),"",#REF!),"")</f>
        <v/>
      </c>
      <c r="R320" s="0" t="str">
        <f aca="false">IFERROR(IF(OR(HLOOKUP($A320,#REF!,16,FALSE())&gt;2,HLOOKUP($A320,#REF!,16,FALSE())&lt;-2),"",#REF!),"")</f>
        <v/>
      </c>
      <c r="S320" s="0" t="str">
        <f aca="false">IFERROR(IF(OR(HLOOKUP($A320,#REF!,17,FALSE())&gt;2,HLOOKUP($A320,#REF!,17,FALSE())&lt;-2),"",#REF!),"")</f>
        <v/>
      </c>
      <c r="T320" s="0" t="str">
        <f aca="false">IFERROR(IF(OR(HLOOKUP($A320,#REF!,18,FALSE())&gt;2,HLOOKUP($A320,#REF!,18,FALSE())&lt;-2),"",#REF!),"")</f>
        <v/>
      </c>
      <c r="U320" s="0" t="str">
        <f aca="false">IFERROR(IF(OR(HLOOKUP($A320,#REF!,19,FALSE())&gt;2,HLOOKUP($A320,#REF!,19,FALSE())&lt;-2),"",#REF!),"")</f>
        <v/>
      </c>
      <c r="V320" s="0" t="n">
        <f aca="false">IFERROR(IF(AND(X320=0,Y320=0),0,1),0)</f>
        <v>1</v>
      </c>
      <c r="W320" s="3" t="str">
        <f aca="false">IFERROR(_xlfn.T.TEST(E320:M320,N320:U320,2,2),"")</f>
        <v/>
      </c>
      <c r="X320" s="0" t="str">
        <f aca="false">IFERROR(AVERAGE(E320:M320),"")</f>
        <v/>
      </c>
      <c r="Y320" s="0" t="str">
        <f aca="false">IFERROR(AVERAGE(N320:U320),"")</f>
        <v/>
      </c>
    </row>
    <row r="321" customFormat="false" ht="14.5" hidden="false" customHeight="false" outlineLevel="0" collapsed="false">
      <c r="A321" s="0" t="n">
        <v>328</v>
      </c>
      <c r="B321" s="0" t="s">
        <v>400</v>
      </c>
      <c r="C321" s="0" t="n">
        <v>23600</v>
      </c>
      <c r="D321" s="0" t="n">
        <v>104</v>
      </c>
      <c r="E321" s="0" t="str">
        <f aca="false">IFERROR(IF(OR(HLOOKUP($A321,#REF!,3,FALSE())&gt;2,HLOOKUP(A321,#REF!,3,FALSE())&lt;-2),"",#REF!),"")</f>
        <v/>
      </c>
      <c r="F321" s="0" t="str">
        <f aca="false">IFERROR(IF(OR(HLOOKUP($A321,#REF!,4,FALSE())&gt;2,HLOOKUP($A321,#REF!,4,FALSE())&lt;-2),"",#REF!),"")</f>
        <v/>
      </c>
      <c r="G321" s="0" t="str">
        <f aca="false">IFERROR(IF(OR(HLOOKUP($A321,#REF!,5,FALSE())&gt;2,HLOOKUP($A321,#REF!,5,FALSE())&lt;-2),"",#REF!),"")</f>
        <v/>
      </c>
      <c r="H321" s="0" t="str">
        <f aca="false">IFERROR(IF(OR(HLOOKUP($A321,#REF!,6,FALSE())&gt;2,HLOOKUP($A321,#REF!,6,FALSE())&lt;-2),"",#REF!),"")</f>
        <v/>
      </c>
      <c r="I321" s="0" t="str">
        <f aca="false">IFERROR(IF(OR(HLOOKUP($A321,#REF!,7,FALSE())&gt;2,HLOOKUP($A321,#REF!,7,FALSE())&lt;-2),"",#REF!),"")</f>
        <v/>
      </c>
      <c r="J321" s="0" t="str">
        <f aca="false">IFERROR(IF(OR(HLOOKUP($A321,#REF!,8,FALSE())&gt;2,HLOOKUP($A321,#REF!,8,FALSE())&lt;-2),"",#REF!),"")</f>
        <v/>
      </c>
      <c r="K321" s="0" t="str">
        <f aca="false">IFERROR(IF(OR(HLOOKUP($A321,#REF!,9,FALSE())&gt;2,HLOOKUP($A321,#REF!,9,FALSE())&lt;-2),"",#REF!),"")</f>
        <v/>
      </c>
      <c r="L321" s="0" t="str">
        <f aca="false">IFERROR(IF(OR(HLOOKUP($A321,#REF!,10,FALSE())&gt;2,HLOOKUP($A321,#REF!,10,FALSE())&lt;-2),"",#REF!),"")</f>
        <v/>
      </c>
      <c r="M321" s="0" t="str">
        <f aca="false">IFERROR(IF(OR(HLOOKUP($A321,#REF!,11,FALSE())&gt;2,HLOOKUP($A321,#REF!,11,FALSE())&lt;-2),"",#REF!),"")</f>
        <v/>
      </c>
      <c r="N321" s="0" t="str">
        <f aca="false">IFERROR(IF(OR(HLOOKUP($A321,#REF!,12,FALSE())&gt;2,HLOOKUP($A321,#REF!,12,FALSE())&lt;-2),"",#REF!),"")</f>
        <v/>
      </c>
      <c r="O321" s="0" t="str">
        <f aca="false">IFERROR(IF(OR(HLOOKUP($A321,#REF!,13,FALSE())&gt;2,HLOOKUP($A321,#REF!,13,FALSE())&lt;-2),"",#REF!),"")</f>
        <v/>
      </c>
      <c r="P321" s="0" t="str">
        <f aca="false">IFERROR(IF(OR(HLOOKUP($A321,#REF!,14,FALSE())&gt;2,HLOOKUP($A321,#REF!,14,FALSE())&lt;-2),"",#REF!),"")</f>
        <v/>
      </c>
      <c r="Q321" s="0" t="str">
        <f aca="false">IFERROR(IF(OR(HLOOKUP($A321,#REF!,15,FALSE())&gt;2,HLOOKUP($A321,#REF!,15,FALSE())&lt;-2),"",#REF!),"")</f>
        <v/>
      </c>
      <c r="R321" s="0" t="str">
        <f aca="false">IFERROR(IF(OR(HLOOKUP($A321,#REF!,16,FALSE())&gt;2,HLOOKUP($A321,#REF!,16,FALSE())&lt;-2),"",#REF!),"")</f>
        <v/>
      </c>
      <c r="S321" s="0" t="str">
        <f aca="false">IFERROR(IF(OR(HLOOKUP($A321,#REF!,17,FALSE())&gt;2,HLOOKUP($A321,#REF!,17,FALSE())&lt;-2),"",#REF!),"")</f>
        <v/>
      </c>
      <c r="T321" s="0" t="str">
        <f aca="false">IFERROR(IF(OR(HLOOKUP($A321,#REF!,18,FALSE())&gt;2,HLOOKUP($A321,#REF!,18,FALSE())&lt;-2),"",#REF!),"")</f>
        <v/>
      </c>
      <c r="U321" s="0" t="str">
        <f aca="false">IFERROR(IF(OR(HLOOKUP($A321,#REF!,19,FALSE())&gt;2,HLOOKUP($A321,#REF!,19,FALSE())&lt;-2),"",#REF!),"")</f>
        <v/>
      </c>
      <c r="V321" s="0" t="n">
        <f aca="false">IFERROR(IF(AND(X321=0,Y321=0),0,1),0)</f>
        <v>1</v>
      </c>
      <c r="W321" s="3" t="str">
        <f aca="false">IFERROR(_xlfn.T.TEST(E321:M321,N321:U321,2,2),"")</f>
        <v/>
      </c>
      <c r="X321" s="0" t="str">
        <f aca="false">IFERROR(AVERAGE(E321:M321),"")</f>
        <v/>
      </c>
      <c r="Y321" s="0" t="str">
        <f aca="false">IFERROR(AVERAGE(N321:U321),"")</f>
        <v/>
      </c>
    </row>
    <row r="322" customFormat="false" ht="14.5" hidden="false" customHeight="false" outlineLevel="0" collapsed="false">
      <c r="A322" s="0" t="n">
        <v>329</v>
      </c>
      <c r="B322" s="0" t="s">
        <v>401</v>
      </c>
      <c r="C322" s="0" t="n">
        <v>4200</v>
      </c>
      <c r="D322" s="0" t="n">
        <v>322</v>
      </c>
      <c r="E322" s="0" t="str">
        <f aca="false">IFERROR(IF(OR(HLOOKUP($A322,#REF!,3,FALSE())&gt;2,HLOOKUP(A322,#REF!,3,FALSE())&lt;-2),"",#REF!),"")</f>
        <v/>
      </c>
      <c r="F322" s="0" t="str">
        <f aca="false">IFERROR(IF(OR(HLOOKUP($A322,#REF!,4,FALSE())&gt;2,HLOOKUP($A322,#REF!,4,FALSE())&lt;-2),"",#REF!),"")</f>
        <v/>
      </c>
      <c r="G322" s="0" t="str">
        <f aca="false">IFERROR(IF(OR(HLOOKUP($A322,#REF!,5,FALSE())&gt;2,HLOOKUP($A322,#REF!,5,FALSE())&lt;-2),"",#REF!),"")</f>
        <v/>
      </c>
      <c r="H322" s="0" t="str">
        <f aca="false">IFERROR(IF(OR(HLOOKUP($A322,#REF!,6,FALSE())&gt;2,HLOOKUP($A322,#REF!,6,FALSE())&lt;-2),"",#REF!),"")</f>
        <v/>
      </c>
      <c r="I322" s="0" t="str">
        <f aca="false">IFERROR(IF(OR(HLOOKUP($A322,#REF!,7,FALSE())&gt;2,HLOOKUP($A322,#REF!,7,FALSE())&lt;-2),"",#REF!),"")</f>
        <v/>
      </c>
      <c r="J322" s="0" t="str">
        <f aca="false">IFERROR(IF(OR(HLOOKUP($A322,#REF!,8,FALSE())&gt;2,HLOOKUP($A322,#REF!,8,FALSE())&lt;-2),"",#REF!),"")</f>
        <v/>
      </c>
      <c r="K322" s="0" t="str">
        <f aca="false">IFERROR(IF(OR(HLOOKUP($A322,#REF!,9,FALSE())&gt;2,HLOOKUP($A322,#REF!,9,FALSE())&lt;-2),"",#REF!),"")</f>
        <v/>
      </c>
      <c r="L322" s="0" t="str">
        <f aca="false">IFERROR(IF(OR(HLOOKUP($A322,#REF!,10,FALSE())&gt;2,HLOOKUP($A322,#REF!,10,FALSE())&lt;-2),"",#REF!),"")</f>
        <v/>
      </c>
      <c r="M322" s="0" t="str">
        <f aca="false">IFERROR(IF(OR(HLOOKUP($A322,#REF!,11,FALSE())&gt;2,HLOOKUP($A322,#REF!,11,FALSE())&lt;-2),"",#REF!),"")</f>
        <v/>
      </c>
      <c r="N322" s="0" t="str">
        <f aca="false">IFERROR(IF(OR(HLOOKUP($A322,#REF!,12,FALSE())&gt;2,HLOOKUP($A322,#REF!,12,FALSE())&lt;-2),"",#REF!),"")</f>
        <v/>
      </c>
      <c r="O322" s="0" t="str">
        <f aca="false">IFERROR(IF(OR(HLOOKUP($A322,#REF!,13,FALSE())&gt;2,HLOOKUP($A322,#REF!,13,FALSE())&lt;-2),"",#REF!),"")</f>
        <v/>
      </c>
      <c r="P322" s="0" t="str">
        <f aca="false">IFERROR(IF(OR(HLOOKUP($A322,#REF!,14,FALSE())&gt;2,HLOOKUP($A322,#REF!,14,FALSE())&lt;-2),"",#REF!),"")</f>
        <v/>
      </c>
      <c r="Q322" s="0" t="str">
        <f aca="false">IFERROR(IF(OR(HLOOKUP($A322,#REF!,15,FALSE())&gt;2,HLOOKUP($A322,#REF!,15,FALSE())&lt;-2),"",#REF!),"")</f>
        <v/>
      </c>
      <c r="R322" s="0" t="str">
        <f aca="false">IFERROR(IF(OR(HLOOKUP($A322,#REF!,16,FALSE())&gt;2,HLOOKUP($A322,#REF!,16,FALSE())&lt;-2),"",#REF!),"")</f>
        <v/>
      </c>
      <c r="S322" s="0" t="str">
        <f aca="false">IFERROR(IF(OR(HLOOKUP($A322,#REF!,17,FALSE())&gt;2,HLOOKUP($A322,#REF!,17,FALSE())&lt;-2),"",#REF!),"")</f>
        <v/>
      </c>
      <c r="T322" s="0" t="str">
        <f aca="false">IFERROR(IF(OR(HLOOKUP($A322,#REF!,18,FALSE())&gt;2,HLOOKUP($A322,#REF!,18,FALSE())&lt;-2),"",#REF!),"")</f>
        <v/>
      </c>
      <c r="U322" s="0" t="str">
        <f aca="false">IFERROR(IF(OR(HLOOKUP($A322,#REF!,19,FALSE())&gt;2,HLOOKUP($A322,#REF!,19,FALSE())&lt;-2),"",#REF!),"")</f>
        <v/>
      </c>
      <c r="V322" s="0" t="n">
        <f aca="false">IFERROR(IF(AND(X322=0,Y322=0),0,1),0)</f>
        <v>1</v>
      </c>
      <c r="W322" s="3" t="str">
        <f aca="false">IFERROR(_xlfn.T.TEST(E322:M322,N322:U322,2,2),"")</f>
        <v/>
      </c>
      <c r="X322" s="0" t="str">
        <f aca="false">IFERROR(AVERAGE(E322:M322),"")</f>
        <v/>
      </c>
      <c r="Y322" s="0" t="str">
        <f aca="false">IFERROR(AVERAGE(N322:U322),"")</f>
        <v/>
      </c>
    </row>
    <row r="323" customFormat="false" ht="14.5" hidden="false" customHeight="false" outlineLevel="0" collapsed="false">
      <c r="A323" s="0" t="n">
        <v>330</v>
      </c>
      <c r="B323" s="0" t="s">
        <v>57</v>
      </c>
      <c r="C323" s="0" t="n">
        <v>26500</v>
      </c>
      <c r="D323" s="0" t="n">
        <v>879</v>
      </c>
      <c r="E323" s="0" t="str">
        <f aca="false">IFERROR(IF(OR(HLOOKUP($A323,#REF!,3,FALSE())&gt;2,HLOOKUP(A323,#REF!,3,FALSE())&lt;-2),"",#REF!),"")</f>
        <v/>
      </c>
      <c r="F323" s="0" t="str">
        <f aca="false">IFERROR(IF(OR(HLOOKUP($A323,#REF!,4,FALSE())&gt;2,HLOOKUP($A323,#REF!,4,FALSE())&lt;-2),"",#REF!),"")</f>
        <v/>
      </c>
      <c r="G323" s="0" t="str">
        <f aca="false">IFERROR(IF(OR(HLOOKUP($A323,#REF!,5,FALSE())&gt;2,HLOOKUP($A323,#REF!,5,FALSE())&lt;-2),"",#REF!),"")</f>
        <v/>
      </c>
      <c r="H323" s="0" t="str">
        <f aca="false">IFERROR(IF(OR(HLOOKUP($A323,#REF!,6,FALSE())&gt;2,HLOOKUP($A323,#REF!,6,FALSE())&lt;-2),"",#REF!),"")</f>
        <v/>
      </c>
      <c r="I323" s="0" t="str">
        <f aca="false">IFERROR(IF(OR(HLOOKUP($A323,#REF!,7,FALSE())&gt;2,HLOOKUP($A323,#REF!,7,FALSE())&lt;-2),"",#REF!),"")</f>
        <v/>
      </c>
      <c r="J323" s="0" t="str">
        <f aca="false">IFERROR(IF(OR(HLOOKUP($A323,#REF!,8,FALSE())&gt;2,HLOOKUP($A323,#REF!,8,FALSE())&lt;-2),"",#REF!),"")</f>
        <v/>
      </c>
      <c r="K323" s="0" t="str">
        <f aca="false">IFERROR(IF(OR(HLOOKUP($A323,#REF!,9,FALSE())&gt;2,HLOOKUP($A323,#REF!,9,FALSE())&lt;-2),"",#REF!),"")</f>
        <v/>
      </c>
      <c r="L323" s="0" t="str">
        <f aca="false">IFERROR(IF(OR(HLOOKUP($A323,#REF!,10,FALSE())&gt;2,HLOOKUP($A323,#REF!,10,FALSE())&lt;-2),"",#REF!),"")</f>
        <v/>
      </c>
      <c r="M323" s="0" t="str">
        <f aca="false">IFERROR(IF(OR(HLOOKUP($A323,#REF!,11,FALSE())&gt;2,HLOOKUP($A323,#REF!,11,FALSE())&lt;-2),"",#REF!),"")</f>
        <v/>
      </c>
      <c r="N323" s="0" t="str">
        <f aca="false">IFERROR(IF(OR(HLOOKUP($A323,#REF!,12,FALSE())&gt;2,HLOOKUP($A323,#REF!,12,FALSE())&lt;-2),"",#REF!),"")</f>
        <v/>
      </c>
      <c r="O323" s="0" t="str">
        <f aca="false">IFERROR(IF(OR(HLOOKUP($A323,#REF!,13,FALSE())&gt;2,HLOOKUP($A323,#REF!,13,FALSE())&lt;-2),"",#REF!),"")</f>
        <v/>
      </c>
      <c r="P323" s="0" t="str">
        <f aca="false">IFERROR(IF(OR(HLOOKUP($A323,#REF!,14,FALSE())&gt;2,HLOOKUP($A323,#REF!,14,FALSE())&lt;-2),"",#REF!),"")</f>
        <v/>
      </c>
      <c r="Q323" s="0" t="str">
        <f aca="false">IFERROR(IF(OR(HLOOKUP($A323,#REF!,15,FALSE())&gt;2,HLOOKUP($A323,#REF!,15,FALSE())&lt;-2),"",#REF!),"")</f>
        <v/>
      </c>
      <c r="R323" s="0" t="str">
        <f aca="false">IFERROR(IF(OR(HLOOKUP($A323,#REF!,16,FALSE())&gt;2,HLOOKUP($A323,#REF!,16,FALSE())&lt;-2),"",#REF!),"")</f>
        <v/>
      </c>
      <c r="S323" s="0" t="str">
        <f aca="false">IFERROR(IF(OR(HLOOKUP($A323,#REF!,17,FALSE())&gt;2,HLOOKUP($A323,#REF!,17,FALSE())&lt;-2),"",#REF!),"")</f>
        <v/>
      </c>
      <c r="T323" s="0" t="str">
        <f aca="false">IFERROR(IF(OR(HLOOKUP($A323,#REF!,18,FALSE())&gt;2,HLOOKUP($A323,#REF!,18,FALSE())&lt;-2),"",#REF!),"")</f>
        <v/>
      </c>
      <c r="U323" s="0" t="str">
        <f aca="false">IFERROR(IF(OR(HLOOKUP($A323,#REF!,19,FALSE())&gt;2,HLOOKUP($A323,#REF!,19,FALSE())&lt;-2),"",#REF!),"")</f>
        <v/>
      </c>
      <c r="V323" s="0" t="n">
        <f aca="false">IFERROR(IF(AND(X323=0,Y323=0),0,1),0)</f>
        <v>1</v>
      </c>
      <c r="W323" s="3" t="str">
        <f aca="false">IFERROR(_xlfn.T.TEST(E323:M323,N323:U323,2,2),"")</f>
        <v/>
      </c>
      <c r="X323" s="0" t="str">
        <f aca="false">IFERROR(AVERAGE(E323:M323),"")</f>
        <v/>
      </c>
      <c r="Y323" s="0" t="str">
        <f aca="false">IFERROR(AVERAGE(N323:U323),"")</f>
        <v/>
      </c>
    </row>
    <row r="324" customFormat="false" ht="14.5" hidden="false" customHeight="false" outlineLevel="0" collapsed="false">
      <c r="A324" s="0" t="n">
        <v>331</v>
      </c>
      <c r="B324" s="0" t="s">
        <v>402</v>
      </c>
      <c r="C324" s="0" t="n">
        <v>74600</v>
      </c>
      <c r="D324" s="0" t="n">
        <v>467</v>
      </c>
      <c r="E324" s="0" t="str">
        <f aca="false">IFERROR(IF(OR(HLOOKUP($A324,#REF!,3,FALSE())&gt;2,HLOOKUP(A324,#REF!,3,FALSE())&lt;-2),"",#REF!),"")</f>
        <v/>
      </c>
      <c r="F324" s="0" t="str">
        <f aca="false">IFERROR(IF(OR(HLOOKUP($A324,#REF!,4,FALSE())&gt;2,HLOOKUP($A324,#REF!,4,FALSE())&lt;-2),"",#REF!),"")</f>
        <v/>
      </c>
      <c r="G324" s="0" t="str">
        <f aca="false">IFERROR(IF(OR(HLOOKUP($A324,#REF!,5,FALSE())&gt;2,HLOOKUP($A324,#REF!,5,FALSE())&lt;-2),"",#REF!),"")</f>
        <v/>
      </c>
      <c r="H324" s="0" t="str">
        <f aca="false">IFERROR(IF(OR(HLOOKUP($A324,#REF!,6,FALSE())&gt;2,HLOOKUP($A324,#REF!,6,FALSE())&lt;-2),"",#REF!),"")</f>
        <v/>
      </c>
      <c r="I324" s="0" t="str">
        <f aca="false">IFERROR(IF(OR(HLOOKUP($A324,#REF!,7,FALSE())&gt;2,HLOOKUP($A324,#REF!,7,FALSE())&lt;-2),"",#REF!),"")</f>
        <v/>
      </c>
      <c r="J324" s="0" t="str">
        <f aca="false">IFERROR(IF(OR(HLOOKUP($A324,#REF!,8,FALSE())&gt;2,HLOOKUP($A324,#REF!,8,FALSE())&lt;-2),"",#REF!),"")</f>
        <v/>
      </c>
      <c r="K324" s="0" t="str">
        <f aca="false">IFERROR(IF(OR(HLOOKUP($A324,#REF!,9,FALSE())&gt;2,HLOOKUP($A324,#REF!,9,FALSE())&lt;-2),"",#REF!),"")</f>
        <v/>
      </c>
      <c r="L324" s="0" t="str">
        <f aca="false">IFERROR(IF(OR(HLOOKUP($A324,#REF!,10,FALSE())&gt;2,HLOOKUP($A324,#REF!,10,FALSE())&lt;-2),"",#REF!),"")</f>
        <v/>
      </c>
      <c r="M324" s="0" t="str">
        <f aca="false">IFERROR(IF(OR(HLOOKUP($A324,#REF!,11,FALSE())&gt;2,HLOOKUP($A324,#REF!,11,FALSE())&lt;-2),"",#REF!),"")</f>
        <v/>
      </c>
      <c r="N324" s="0" t="str">
        <f aca="false">IFERROR(IF(OR(HLOOKUP($A324,#REF!,12,FALSE())&gt;2,HLOOKUP($A324,#REF!,12,FALSE())&lt;-2),"",#REF!),"")</f>
        <v/>
      </c>
      <c r="O324" s="0" t="str">
        <f aca="false">IFERROR(IF(OR(HLOOKUP($A324,#REF!,13,FALSE())&gt;2,HLOOKUP($A324,#REF!,13,FALSE())&lt;-2),"",#REF!),"")</f>
        <v/>
      </c>
      <c r="P324" s="0" t="str">
        <f aca="false">IFERROR(IF(OR(HLOOKUP($A324,#REF!,14,FALSE())&gt;2,HLOOKUP($A324,#REF!,14,FALSE())&lt;-2),"",#REF!),"")</f>
        <v/>
      </c>
      <c r="Q324" s="0" t="str">
        <f aca="false">IFERROR(IF(OR(HLOOKUP($A324,#REF!,15,FALSE())&gt;2,HLOOKUP($A324,#REF!,15,FALSE())&lt;-2),"",#REF!),"")</f>
        <v/>
      </c>
      <c r="R324" s="0" t="str">
        <f aca="false">IFERROR(IF(OR(HLOOKUP($A324,#REF!,16,FALSE())&gt;2,HLOOKUP($A324,#REF!,16,FALSE())&lt;-2),"",#REF!),"")</f>
        <v/>
      </c>
      <c r="S324" s="0" t="str">
        <f aca="false">IFERROR(IF(OR(HLOOKUP($A324,#REF!,17,FALSE())&gt;2,HLOOKUP($A324,#REF!,17,FALSE())&lt;-2),"",#REF!),"")</f>
        <v/>
      </c>
      <c r="T324" s="0" t="str">
        <f aca="false">IFERROR(IF(OR(HLOOKUP($A324,#REF!,18,FALSE())&gt;2,HLOOKUP($A324,#REF!,18,FALSE())&lt;-2),"",#REF!),"")</f>
        <v/>
      </c>
      <c r="U324" s="0" t="str">
        <f aca="false">IFERROR(IF(OR(HLOOKUP($A324,#REF!,19,FALSE())&gt;2,HLOOKUP($A324,#REF!,19,FALSE())&lt;-2),"",#REF!),"")</f>
        <v/>
      </c>
      <c r="V324" s="0" t="n">
        <f aca="false">IFERROR(IF(AND(X324=0,Y324=0),0,1),0)</f>
        <v>1</v>
      </c>
      <c r="W324" s="3" t="str">
        <f aca="false">IFERROR(_xlfn.T.TEST(E324:M324,N324:U324,2,2),"")</f>
        <v/>
      </c>
      <c r="X324" s="0" t="str">
        <f aca="false">IFERROR(AVERAGE(E324:M324),"")</f>
        <v/>
      </c>
      <c r="Y324" s="0" t="str">
        <f aca="false">IFERROR(AVERAGE(N324:U324),"")</f>
        <v/>
      </c>
    </row>
    <row r="325" customFormat="false" ht="14.5" hidden="false" customHeight="false" outlineLevel="0" collapsed="false">
      <c r="A325" s="0" t="n">
        <v>332</v>
      </c>
      <c r="B325" s="0" t="s">
        <v>403</v>
      </c>
      <c r="C325" s="0" t="n">
        <v>70300</v>
      </c>
      <c r="D325" s="0" t="n">
        <v>157</v>
      </c>
      <c r="E325" s="0" t="str">
        <f aca="false">IFERROR(IF(OR(HLOOKUP($A325,#REF!,3,FALSE())&gt;2,HLOOKUP(A325,#REF!,3,FALSE())&lt;-2),"",#REF!),"")</f>
        <v/>
      </c>
      <c r="F325" s="0" t="str">
        <f aca="false">IFERROR(IF(OR(HLOOKUP($A325,#REF!,4,FALSE())&gt;2,HLOOKUP($A325,#REF!,4,FALSE())&lt;-2),"",#REF!),"")</f>
        <v/>
      </c>
      <c r="G325" s="0" t="str">
        <f aca="false">IFERROR(IF(OR(HLOOKUP($A325,#REF!,5,FALSE())&gt;2,HLOOKUP($A325,#REF!,5,FALSE())&lt;-2),"",#REF!),"")</f>
        <v/>
      </c>
      <c r="H325" s="0" t="str">
        <f aca="false">IFERROR(IF(OR(HLOOKUP($A325,#REF!,6,FALSE())&gt;2,HLOOKUP($A325,#REF!,6,FALSE())&lt;-2),"",#REF!),"")</f>
        <v/>
      </c>
      <c r="I325" s="0" t="str">
        <f aca="false">IFERROR(IF(OR(HLOOKUP($A325,#REF!,7,FALSE())&gt;2,HLOOKUP($A325,#REF!,7,FALSE())&lt;-2),"",#REF!),"")</f>
        <v/>
      </c>
      <c r="J325" s="0" t="str">
        <f aca="false">IFERROR(IF(OR(HLOOKUP($A325,#REF!,8,FALSE())&gt;2,HLOOKUP($A325,#REF!,8,FALSE())&lt;-2),"",#REF!),"")</f>
        <v/>
      </c>
      <c r="K325" s="0" t="str">
        <f aca="false">IFERROR(IF(OR(HLOOKUP($A325,#REF!,9,FALSE())&gt;2,HLOOKUP($A325,#REF!,9,FALSE())&lt;-2),"",#REF!),"")</f>
        <v/>
      </c>
      <c r="L325" s="0" t="str">
        <f aca="false">IFERROR(IF(OR(HLOOKUP($A325,#REF!,10,FALSE())&gt;2,HLOOKUP($A325,#REF!,10,FALSE())&lt;-2),"",#REF!),"")</f>
        <v/>
      </c>
      <c r="M325" s="0" t="str">
        <f aca="false">IFERROR(IF(OR(HLOOKUP($A325,#REF!,11,FALSE())&gt;2,HLOOKUP($A325,#REF!,11,FALSE())&lt;-2),"",#REF!),"")</f>
        <v/>
      </c>
      <c r="N325" s="0" t="str">
        <f aca="false">IFERROR(IF(OR(HLOOKUP($A325,#REF!,12,FALSE())&gt;2,HLOOKUP($A325,#REF!,12,FALSE())&lt;-2),"",#REF!),"")</f>
        <v/>
      </c>
      <c r="O325" s="0" t="str">
        <f aca="false">IFERROR(IF(OR(HLOOKUP($A325,#REF!,13,FALSE())&gt;2,HLOOKUP($A325,#REF!,13,FALSE())&lt;-2),"",#REF!),"")</f>
        <v/>
      </c>
      <c r="P325" s="0" t="str">
        <f aca="false">IFERROR(IF(OR(HLOOKUP($A325,#REF!,14,FALSE())&gt;2,HLOOKUP($A325,#REF!,14,FALSE())&lt;-2),"",#REF!),"")</f>
        <v/>
      </c>
      <c r="Q325" s="0" t="str">
        <f aca="false">IFERROR(IF(OR(HLOOKUP($A325,#REF!,15,FALSE())&gt;2,HLOOKUP($A325,#REF!,15,FALSE())&lt;-2),"",#REF!),"")</f>
        <v/>
      </c>
      <c r="R325" s="0" t="str">
        <f aca="false">IFERROR(IF(OR(HLOOKUP($A325,#REF!,16,FALSE())&gt;2,HLOOKUP($A325,#REF!,16,FALSE())&lt;-2),"",#REF!),"")</f>
        <v/>
      </c>
      <c r="S325" s="0" t="str">
        <f aca="false">IFERROR(IF(OR(HLOOKUP($A325,#REF!,17,FALSE())&gt;2,HLOOKUP($A325,#REF!,17,FALSE())&lt;-2),"",#REF!),"")</f>
        <v/>
      </c>
      <c r="T325" s="0" t="str">
        <f aca="false">IFERROR(IF(OR(HLOOKUP($A325,#REF!,18,FALSE())&gt;2,HLOOKUP($A325,#REF!,18,FALSE())&lt;-2),"",#REF!),"")</f>
        <v/>
      </c>
      <c r="U325" s="0" t="str">
        <f aca="false">IFERROR(IF(OR(HLOOKUP($A325,#REF!,19,FALSE())&gt;2,HLOOKUP($A325,#REF!,19,FALSE())&lt;-2),"",#REF!),"")</f>
        <v/>
      </c>
      <c r="V325" s="0" t="n">
        <f aca="false">IFERROR(IF(AND(X325=0,Y325=0),0,1),0)</f>
        <v>1</v>
      </c>
      <c r="W325" s="3" t="str">
        <f aca="false">IFERROR(_xlfn.T.TEST(E325:M325,N325:U325,2,2),"")</f>
        <v/>
      </c>
      <c r="X325" s="0" t="str">
        <f aca="false">IFERROR(AVERAGE(E325:M325),"")</f>
        <v/>
      </c>
      <c r="Y325" s="0" t="str">
        <f aca="false">IFERROR(AVERAGE(N325:U325),"")</f>
        <v/>
      </c>
    </row>
    <row r="326" customFormat="false" ht="14.5" hidden="false" customHeight="false" outlineLevel="0" collapsed="false">
      <c r="A326" s="0" t="n">
        <v>333</v>
      </c>
      <c r="B326" s="0" t="s">
        <v>404</v>
      </c>
      <c r="C326" s="0" t="n">
        <v>49900</v>
      </c>
      <c r="D326" s="0" t="n">
        <v>275</v>
      </c>
      <c r="E326" s="0" t="str">
        <f aca="false">IFERROR(IF(OR(HLOOKUP($A326,#REF!,3,FALSE())&gt;2,HLOOKUP(A326,#REF!,3,FALSE())&lt;-2),"",#REF!),"")</f>
        <v/>
      </c>
      <c r="F326" s="0" t="str">
        <f aca="false">IFERROR(IF(OR(HLOOKUP($A326,#REF!,4,FALSE())&gt;2,HLOOKUP($A326,#REF!,4,FALSE())&lt;-2),"",#REF!),"")</f>
        <v/>
      </c>
      <c r="G326" s="0" t="str">
        <f aca="false">IFERROR(IF(OR(HLOOKUP($A326,#REF!,5,FALSE())&gt;2,HLOOKUP($A326,#REF!,5,FALSE())&lt;-2),"",#REF!),"")</f>
        <v/>
      </c>
      <c r="H326" s="0" t="str">
        <f aca="false">IFERROR(IF(OR(HLOOKUP($A326,#REF!,6,FALSE())&gt;2,HLOOKUP($A326,#REF!,6,FALSE())&lt;-2),"",#REF!),"")</f>
        <v/>
      </c>
      <c r="I326" s="0" t="str">
        <f aca="false">IFERROR(IF(OR(HLOOKUP($A326,#REF!,7,FALSE())&gt;2,HLOOKUP($A326,#REF!,7,FALSE())&lt;-2),"",#REF!),"")</f>
        <v/>
      </c>
      <c r="J326" s="0" t="str">
        <f aca="false">IFERROR(IF(OR(HLOOKUP($A326,#REF!,8,FALSE())&gt;2,HLOOKUP($A326,#REF!,8,FALSE())&lt;-2),"",#REF!),"")</f>
        <v/>
      </c>
      <c r="K326" s="0" t="str">
        <f aca="false">IFERROR(IF(OR(HLOOKUP($A326,#REF!,9,FALSE())&gt;2,HLOOKUP($A326,#REF!,9,FALSE())&lt;-2),"",#REF!),"")</f>
        <v/>
      </c>
      <c r="L326" s="0" t="str">
        <f aca="false">IFERROR(IF(OR(HLOOKUP($A326,#REF!,10,FALSE())&gt;2,HLOOKUP($A326,#REF!,10,FALSE())&lt;-2),"",#REF!),"")</f>
        <v/>
      </c>
      <c r="M326" s="0" t="str">
        <f aca="false">IFERROR(IF(OR(HLOOKUP($A326,#REF!,11,FALSE())&gt;2,HLOOKUP($A326,#REF!,11,FALSE())&lt;-2),"",#REF!),"")</f>
        <v/>
      </c>
      <c r="N326" s="0" t="str">
        <f aca="false">IFERROR(IF(OR(HLOOKUP($A326,#REF!,12,FALSE())&gt;2,HLOOKUP($A326,#REF!,12,FALSE())&lt;-2),"",#REF!),"")</f>
        <v/>
      </c>
      <c r="O326" s="0" t="str">
        <f aca="false">IFERROR(IF(OR(HLOOKUP($A326,#REF!,13,FALSE())&gt;2,HLOOKUP($A326,#REF!,13,FALSE())&lt;-2),"",#REF!),"")</f>
        <v/>
      </c>
      <c r="P326" s="0" t="str">
        <f aca="false">IFERROR(IF(OR(HLOOKUP($A326,#REF!,14,FALSE())&gt;2,HLOOKUP($A326,#REF!,14,FALSE())&lt;-2),"",#REF!),"")</f>
        <v/>
      </c>
      <c r="Q326" s="0" t="str">
        <f aca="false">IFERROR(IF(OR(HLOOKUP($A326,#REF!,15,FALSE())&gt;2,HLOOKUP($A326,#REF!,15,FALSE())&lt;-2),"",#REF!),"")</f>
        <v/>
      </c>
      <c r="R326" s="0" t="str">
        <f aca="false">IFERROR(IF(OR(HLOOKUP($A326,#REF!,16,FALSE())&gt;2,HLOOKUP($A326,#REF!,16,FALSE())&lt;-2),"",#REF!),"")</f>
        <v/>
      </c>
      <c r="S326" s="0" t="str">
        <f aca="false">IFERROR(IF(OR(HLOOKUP($A326,#REF!,17,FALSE())&gt;2,HLOOKUP($A326,#REF!,17,FALSE())&lt;-2),"",#REF!),"")</f>
        <v/>
      </c>
      <c r="T326" s="0" t="str">
        <f aca="false">IFERROR(IF(OR(HLOOKUP($A326,#REF!,18,FALSE())&gt;2,HLOOKUP($A326,#REF!,18,FALSE())&lt;-2),"",#REF!),"")</f>
        <v/>
      </c>
      <c r="U326" s="0" t="str">
        <f aca="false">IFERROR(IF(OR(HLOOKUP($A326,#REF!,19,FALSE())&gt;2,HLOOKUP($A326,#REF!,19,FALSE())&lt;-2),"",#REF!),"")</f>
        <v/>
      </c>
      <c r="V326" s="0" t="n">
        <f aca="false">IFERROR(IF(AND(X326=0,Y326=0),0,1),0)</f>
        <v>1</v>
      </c>
      <c r="W326" s="3" t="str">
        <f aca="false">IFERROR(_xlfn.T.TEST(E326:M326,N326:U326,2,2),"")</f>
        <v/>
      </c>
      <c r="X326" s="0" t="str">
        <f aca="false">IFERROR(AVERAGE(E326:M326),"")</f>
        <v/>
      </c>
      <c r="Y326" s="0" t="str">
        <f aca="false">IFERROR(AVERAGE(N326:U326),"")</f>
        <v/>
      </c>
    </row>
    <row r="327" customFormat="false" ht="14.5" hidden="false" customHeight="false" outlineLevel="0" collapsed="false">
      <c r="A327" s="0" t="n">
        <v>334</v>
      </c>
      <c r="B327" s="0" t="s">
        <v>405</v>
      </c>
      <c r="C327" s="0" t="n">
        <v>47700</v>
      </c>
      <c r="D327" s="0" t="n">
        <v>319</v>
      </c>
      <c r="E327" s="0" t="str">
        <f aca="false">IFERROR(IF(OR(HLOOKUP($A327,#REF!,3,FALSE())&gt;2,HLOOKUP(A327,#REF!,3,FALSE())&lt;-2),"",#REF!),"")</f>
        <v/>
      </c>
      <c r="F327" s="0" t="str">
        <f aca="false">IFERROR(IF(OR(HLOOKUP($A327,#REF!,4,FALSE())&gt;2,HLOOKUP($A327,#REF!,4,FALSE())&lt;-2),"",#REF!),"")</f>
        <v/>
      </c>
      <c r="G327" s="0" t="str">
        <f aca="false">IFERROR(IF(OR(HLOOKUP($A327,#REF!,5,FALSE())&gt;2,HLOOKUP($A327,#REF!,5,FALSE())&lt;-2),"",#REF!),"")</f>
        <v/>
      </c>
      <c r="H327" s="0" t="str">
        <f aca="false">IFERROR(IF(OR(HLOOKUP($A327,#REF!,6,FALSE())&gt;2,HLOOKUP($A327,#REF!,6,FALSE())&lt;-2),"",#REF!),"")</f>
        <v/>
      </c>
      <c r="I327" s="0" t="str">
        <f aca="false">IFERROR(IF(OR(HLOOKUP($A327,#REF!,7,FALSE())&gt;2,HLOOKUP($A327,#REF!,7,FALSE())&lt;-2),"",#REF!),"")</f>
        <v/>
      </c>
      <c r="J327" s="0" t="str">
        <f aca="false">IFERROR(IF(OR(HLOOKUP($A327,#REF!,8,FALSE())&gt;2,HLOOKUP($A327,#REF!,8,FALSE())&lt;-2),"",#REF!),"")</f>
        <v/>
      </c>
      <c r="K327" s="0" t="str">
        <f aca="false">IFERROR(IF(OR(HLOOKUP($A327,#REF!,9,FALSE())&gt;2,HLOOKUP($A327,#REF!,9,FALSE())&lt;-2),"",#REF!),"")</f>
        <v/>
      </c>
      <c r="L327" s="0" t="str">
        <f aca="false">IFERROR(IF(OR(HLOOKUP($A327,#REF!,10,FALSE())&gt;2,HLOOKUP($A327,#REF!,10,FALSE())&lt;-2),"",#REF!),"")</f>
        <v/>
      </c>
      <c r="M327" s="0" t="str">
        <f aca="false">IFERROR(IF(OR(HLOOKUP($A327,#REF!,11,FALSE())&gt;2,HLOOKUP($A327,#REF!,11,FALSE())&lt;-2),"",#REF!),"")</f>
        <v/>
      </c>
      <c r="N327" s="0" t="str">
        <f aca="false">IFERROR(IF(OR(HLOOKUP($A327,#REF!,12,FALSE())&gt;2,HLOOKUP($A327,#REF!,12,FALSE())&lt;-2),"",#REF!),"")</f>
        <v/>
      </c>
      <c r="O327" s="0" t="str">
        <f aca="false">IFERROR(IF(OR(HLOOKUP($A327,#REF!,13,FALSE())&gt;2,HLOOKUP($A327,#REF!,13,FALSE())&lt;-2),"",#REF!),"")</f>
        <v/>
      </c>
      <c r="P327" s="0" t="str">
        <f aca="false">IFERROR(IF(OR(HLOOKUP($A327,#REF!,14,FALSE())&gt;2,HLOOKUP($A327,#REF!,14,FALSE())&lt;-2),"",#REF!),"")</f>
        <v/>
      </c>
      <c r="Q327" s="0" t="str">
        <f aca="false">IFERROR(IF(OR(HLOOKUP($A327,#REF!,15,FALSE())&gt;2,HLOOKUP($A327,#REF!,15,FALSE())&lt;-2),"",#REF!),"")</f>
        <v/>
      </c>
      <c r="R327" s="0" t="str">
        <f aca="false">IFERROR(IF(OR(HLOOKUP($A327,#REF!,16,FALSE())&gt;2,HLOOKUP($A327,#REF!,16,FALSE())&lt;-2),"",#REF!),"")</f>
        <v/>
      </c>
      <c r="S327" s="0" t="str">
        <f aca="false">IFERROR(IF(OR(HLOOKUP($A327,#REF!,17,FALSE())&gt;2,HLOOKUP($A327,#REF!,17,FALSE())&lt;-2),"",#REF!),"")</f>
        <v/>
      </c>
      <c r="T327" s="0" t="str">
        <f aca="false">IFERROR(IF(OR(HLOOKUP($A327,#REF!,18,FALSE())&gt;2,HLOOKUP($A327,#REF!,18,FALSE())&lt;-2),"",#REF!),"")</f>
        <v/>
      </c>
      <c r="U327" s="0" t="str">
        <f aca="false">IFERROR(IF(OR(HLOOKUP($A327,#REF!,19,FALSE())&gt;2,HLOOKUP($A327,#REF!,19,FALSE())&lt;-2),"",#REF!),"")</f>
        <v/>
      </c>
      <c r="V327" s="0" t="n">
        <f aca="false">IFERROR(IF(AND(X327=0,Y327=0),0,1),0)</f>
        <v>1</v>
      </c>
      <c r="W327" s="3" t="str">
        <f aca="false">IFERROR(_xlfn.T.TEST(E327:M327,N327:U327,2,2),"")</f>
        <v/>
      </c>
      <c r="X327" s="0" t="str">
        <f aca="false">IFERROR(AVERAGE(E327:M327),"")</f>
        <v/>
      </c>
      <c r="Y327" s="0" t="str">
        <f aca="false">IFERROR(AVERAGE(N327:U327),"")</f>
        <v/>
      </c>
    </row>
    <row r="328" customFormat="false" ht="14.5" hidden="false" customHeight="false" outlineLevel="0" collapsed="false">
      <c r="A328" s="0" t="n">
        <v>335</v>
      </c>
      <c r="B328" s="0" t="s">
        <v>406</v>
      </c>
      <c r="C328" s="0" t="n">
        <v>28800</v>
      </c>
      <c r="D328" s="0" t="n">
        <v>922</v>
      </c>
      <c r="E328" s="0" t="str">
        <f aca="false">IFERROR(IF(OR(HLOOKUP($A328,#REF!,3,FALSE())&gt;2,HLOOKUP(A328,#REF!,3,FALSE())&lt;-2),"",#REF!),"")</f>
        <v/>
      </c>
      <c r="F328" s="0" t="str">
        <f aca="false">IFERROR(IF(OR(HLOOKUP($A328,#REF!,4,FALSE())&gt;2,HLOOKUP($A328,#REF!,4,FALSE())&lt;-2),"",#REF!),"")</f>
        <v/>
      </c>
      <c r="G328" s="0" t="str">
        <f aca="false">IFERROR(IF(OR(HLOOKUP($A328,#REF!,5,FALSE())&gt;2,HLOOKUP($A328,#REF!,5,FALSE())&lt;-2),"",#REF!),"")</f>
        <v/>
      </c>
      <c r="H328" s="0" t="str">
        <f aca="false">IFERROR(IF(OR(HLOOKUP($A328,#REF!,6,FALSE())&gt;2,HLOOKUP($A328,#REF!,6,FALSE())&lt;-2),"",#REF!),"")</f>
        <v/>
      </c>
      <c r="I328" s="0" t="str">
        <f aca="false">IFERROR(IF(OR(HLOOKUP($A328,#REF!,7,FALSE())&gt;2,HLOOKUP($A328,#REF!,7,FALSE())&lt;-2),"",#REF!),"")</f>
        <v/>
      </c>
      <c r="J328" s="0" t="str">
        <f aca="false">IFERROR(IF(OR(HLOOKUP($A328,#REF!,8,FALSE())&gt;2,HLOOKUP($A328,#REF!,8,FALSE())&lt;-2),"",#REF!),"")</f>
        <v/>
      </c>
      <c r="K328" s="0" t="str">
        <f aca="false">IFERROR(IF(OR(HLOOKUP($A328,#REF!,9,FALSE())&gt;2,HLOOKUP($A328,#REF!,9,FALSE())&lt;-2),"",#REF!),"")</f>
        <v/>
      </c>
      <c r="L328" s="0" t="str">
        <f aca="false">IFERROR(IF(OR(HLOOKUP($A328,#REF!,10,FALSE())&gt;2,HLOOKUP($A328,#REF!,10,FALSE())&lt;-2),"",#REF!),"")</f>
        <v/>
      </c>
      <c r="M328" s="0" t="str">
        <f aca="false">IFERROR(IF(OR(HLOOKUP($A328,#REF!,11,FALSE())&gt;2,HLOOKUP($A328,#REF!,11,FALSE())&lt;-2),"",#REF!),"")</f>
        <v/>
      </c>
      <c r="N328" s="0" t="str">
        <f aca="false">IFERROR(IF(OR(HLOOKUP($A328,#REF!,12,FALSE())&gt;2,HLOOKUP($A328,#REF!,12,FALSE())&lt;-2),"",#REF!),"")</f>
        <v/>
      </c>
      <c r="O328" s="0" t="str">
        <f aca="false">IFERROR(IF(OR(HLOOKUP($A328,#REF!,13,FALSE())&gt;2,HLOOKUP($A328,#REF!,13,FALSE())&lt;-2),"",#REF!),"")</f>
        <v/>
      </c>
      <c r="P328" s="0" t="str">
        <f aca="false">IFERROR(IF(OR(HLOOKUP($A328,#REF!,14,FALSE())&gt;2,HLOOKUP($A328,#REF!,14,FALSE())&lt;-2),"",#REF!),"")</f>
        <v/>
      </c>
      <c r="Q328" s="0" t="str">
        <f aca="false">IFERROR(IF(OR(HLOOKUP($A328,#REF!,15,FALSE())&gt;2,HLOOKUP($A328,#REF!,15,FALSE())&lt;-2),"",#REF!),"")</f>
        <v/>
      </c>
      <c r="R328" s="0" t="str">
        <f aca="false">IFERROR(IF(OR(HLOOKUP($A328,#REF!,16,FALSE())&gt;2,HLOOKUP($A328,#REF!,16,FALSE())&lt;-2),"",#REF!),"")</f>
        <v/>
      </c>
      <c r="S328" s="0" t="str">
        <f aca="false">IFERROR(IF(OR(HLOOKUP($A328,#REF!,17,FALSE())&gt;2,HLOOKUP($A328,#REF!,17,FALSE())&lt;-2),"",#REF!),"")</f>
        <v/>
      </c>
      <c r="T328" s="0" t="str">
        <f aca="false">IFERROR(IF(OR(HLOOKUP($A328,#REF!,18,FALSE())&gt;2,HLOOKUP($A328,#REF!,18,FALSE())&lt;-2),"",#REF!),"")</f>
        <v/>
      </c>
      <c r="U328" s="0" t="str">
        <f aca="false">IFERROR(IF(OR(HLOOKUP($A328,#REF!,19,FALSE())&gt;2,HLOOKUP($A328,#REF!,19,FALSE())&lt;-2),"",#REF!),"")</f>
        <v/>
      </c>
      <c r="V328" s="0" t="n">
        <f aca="false">IFERROR(IF(AND(X328=0,Y328=0),0,1),0)</f>
        <v>1</v>
      </c>
      <c r="W328" s="3" t="str">
        <f aca="false">IFERROR(_xlfn.T.TEST(E328:M328,N328:U328,2,2),"")</f>
        <v/>
      </c>
      <c r="X328" s="0" t="str">
        <f aca="false">IFERROR(AVERAGE(E328:M328),"")</f>
        <v/>
      </c>
      <c r="Y328" s="0" t="str">
        <f aca="false">IFERROR(AVERAGE(N328:U328),"")</f>
        <v/>
      </c>
    </row>
    <row r="329" customFormat="false" ht="14.5" hidden="false" customHeight="false" outlineLevel="0" collapsed="false">
      <c r="A329" s="0" t="n">
        <v>336</v>
      </c>
      <c r="B329" s="0" t="s">
        <v>407</v>
      </c>
      <c r="C329" s="0" t="n">
        <v>98600</v>
      </c>
      <c r="D329" s="0" t="n">
        <v>848</v>
      </c>
      <c r="E329" s="0" t="str">
        <f aca="false">IFERROR(IF(OR(HLOOKUP($A329,#REF!,3,FALSE())&gt;2,HLOOKUP(A329,#REF!,3,FALSE())&lt;-2),"",#REF!),"")</f>
        <v/>
      </c>
      <c r="F329" s="0" t="str">
        <f aca="false">IFERROR(IF(OR(HLOOKUP($A329,#REF!,4,FALSE())&gt;2,HLOOKUP($A329,#REF!,4,FALSE())&lt;-2),"",#REF!),"")</f>
        <v/>
      </c>
      <c r="G329" s="0" t="str">
        <f aca="false">IFERROR(IF(OR(HLOOKUP($A329,#REF!,5,FALSE())&gt;2,HLOOKUP($A329,#REF!,5,FALSE())&lt;-2),"",#REF!),"")</f>
        <v/>
      </c>
      <c r="H329" s="0" t="str">
        <f aca="false">IFERROR(IF(OR(HLOOKUP($A329,#REF!,6,FALSE())&gt;2,HLOOKUP($A329,#REF!,6,FALSE())&lt;-2),"",#REF!),"")</f>
        <v/>
      </c>
      <c r="I329" s="0" t="str">
        <f aca="false">IFERROR(IF(OR(HLOOKUP($A329,#REF!,7,FALSE())&gt;2,HLOOKUP($A329,#REF!,7,FALSE())&lt;-2),"",#REF!),"")</f>
        <v/>
      </c>
      <c r="J329" s="0" t="str">
        <f aca="false">IFERROR(IF(OR(HLOOKUP($A329,#REF!,8,FALSE())&gt;2,HLOOKUP($A329,#REF!,8,FALSE())&lt;-2),"",#REF!),"")</f>
        <v/>
      </c>
      <c r="K329" s="0" t="str">
        <f aca="false">IFERROR(IF(OR(HLOOKUP($A329,#REF!,9,FALSE())&gt;2,HLOOKUP($A329,#REF!,9,FALSE())&lt;-2),"",#REF!),"")</f>
        <v/>
      </c>
      <c r="L329" s="0" t="str">
        <f aca="false">IFERROR(IF(OR(HLOOKUP($A329,#REF!,10,FALSE())&gt;2,HLOOKUP($A329,#REF!,10,FALSE())&lt;-2),"",#REF!),"")</f>
        <v/>
      </c>
      <c r="M329" s="0" t="str">
        <f aca="false">IFERROR(IF(OR(HLOOKUP($A329,#REF!,11,FALSE())&gt;2,HLOOKUP($A329,#REF!,11,FALSE())&lt;-2),"",#REF!),"")</f>
        <v/>
      </c>
      <c r="N329" s="0" t="str">
        <f aca="false">IFERROR(IF(OR(HLOOKUP($A329,#REF!,12,FALSE())&gt;2,HLOOKUP($A329,#REF!,12,FALSE())&lt;-2),"",#REF!),"")</f>
        <v/>
      </c>
      <c r="O329" s="0" t="str">
        <f aca="false">IFERROR(IF(OR(HLOOKUP($A329,#REF!,13,FALSE())&gt;2,HLOOKUP($A329,#REF!,13,FALSE())&lt;-2),"",#REF!),"")</f>
        <v/>
      </c>
      <c r="P329" s="0" t="str">
        <f aca="false">IFERROR(IF(OR(HLOOKUP($A329,#REF!,14,FALSE())&gt;2,HLOOKUP($A329,#REF!,14,FALSE())&lt;-2),"",#REF!),"")</f>
        <v/>
      </c>
      <c r="Q329" s="0" t="str">
        <f aca="false">IFERROR(IF(OR(HLOOKUP($A329,#REF!,15,FALSE())&gt;2,HLOOKUP($A329,#REF!,15,FALSE())&lt;-2),"",#REF!),"")</f>
        <v/>
      </c>
      <c r="R329" s="0" t="str">
        <f aca="false">IFERROR(IF(OR(HLOOKUP($A329,#REF!,16,FALSE())&gt;2,HLOOKUP($A329,#REF!,16,FALSE())&lt;-2),"",#REF!),"")</f>
        <v/>
      </c>
      <c r="S329" s="0" t="str">
        <f aca="false">IFERROR(IF(OR(HLOOKUP($A329,#REF!,17,FALSE())&gt;2,HLOOKUP($A329,#REF!,17,FALSE())&lt;-2),"",#REF!),"")</f>
        <v/>
      </c>
      <c r="T329" s="0" t="str">
        <f aca="false">IFERROR(IF(OR(HLOOKUP($A329,#REF!,18,FALSE())&gt;2,HLOOKUP($A329,#REF!,18,FALSE())&lt;-2),"",#REF!),"")</f>
        <v/>
      </c>
      <c r="U329" s="0" t="str">
        <f aca="false">IFERROR(IF(OR(HLOOKUP($A329,#REF!,19,FALSE())&gt;2,HLOOKUP($A329,#REF!,19,FALSE())&lt;-2),"",#REF!),"")</f>
        <v/>
      </c>
      <c r="V329" s="0" t="n">
        <f aca="false">IFERROR(IF(AND(X329=0,Y329=0),0,1),0)</f>
        <v>1</v>
      </c>
      <c r="W329" s="3" t="str">
        <f aca="false">IFERROR(_xlfn.T.TEST(E329:M329,N329:U329,2,2),"")</f>
        <v/>
      </c>
      <c r="X329" s="0" t="str">
        <f aca="false">IFERROR(AVERAGE(E329:M329),"")</f>
        <v/>
      </c>
      <c r="Y329" s="0" t="str">
        <f aca="false">IFERROR(AVERAGE(N329:U329),"")</f>
        <v/>
      </c>
    </row>
    <row r="330" customFormat="false" ht="14.5" hidden="false" customHeight="false" outlineLevel="0" collapsed="false">
      <c r="A330" s="0" t="n">
        <v>337</v>
      </c>
      <c r="B330" s="0" t="s">
        <v>408</v>
      </c>
      <c r="C330" s="0" t="n">
        <v>4900</v>
      </c>
      <c r="D330" s="0" t="n">
        <v>322</v>
      </c>
      <c r="E330" s="0" t="str">
        <f aca="false">IFERROR(IF(OR(HLOOKUP($A330,#REF!,3,FALSE())&gt;2,HLOOKUP(A330,#REF!,3,FALSE())&lt;-2),"",#REF!),"")</f>
        <v/>
      </c>
      <c r="F330" s="0" t="str">
        <f aca="false">IFERROR(IF(OR(HLOOKUP($A330,#REF!,4,FALSE())&gt;2,HLOOKUP($A330,#REF!,4,FALSE())&lt;-2),"",#REF!),"")</f>
        <v/>
      </c>
      <c r="G330" s="0" t="str">
        <f aca="false">IFERROR(IF(OR(HLOOKUP($A330,#REF!,5,FALSE())&gt;2,HLOOKUP($A330,#REF!,5,FALSE())&lt;-2),"",#REF!),"")</f>
        <v/>
      </c>
      <c r="H330" s="0" t="str">
        <f aca="false">IFERROR(IF(OR(HLOOKUP($A330,#REF!,6,FALSE())&gt;2,HLOOKUP($A330,#REF!,6,FALSE())&lt;-2),"",#REF!),"")</f>
        <v/>
      </c>
      <c r="I330" s="0" t="str">
        <f aca="false">IFERROR(IF(OR(HLOOKUP($A330,#REF!,7,FALSE())&gt;2,HLOOKUP($A330,#REF!,7,FALSE())&lt;-2),"",#REF!),"")</f>
        <v/>
      </c>
      <c r="J330" s="0" t="str">
        <f aca="false">IFERROR(IF(OR(HLOOKUP($A330,#REF!,8,FALSE())&gt;2,HLOOKUP($A330,#REF!,8,FALSE())&lt;-2),"",#REF!),"")</f>
        <v/>
      </c>
      <c r="K330" s="0" t="str">
        <f aca="false">IFERROR(IF(OR(HLOOKUP($A330,#REF!,9,FALSE())&gt;2,HLOOKUP($A330,#REF!,9,FALSE())&lt;-2),"",#REF!),"")</f>
        <v/>
      </c>
      <c r="L330" s="0" t="str">
        <f aca="false">IFERROR(IF(OR(HLOOKUP($A330,#REF!,10,FALSE())&gt;2,HLOOKUP($A330,#REF!,10,FALSE())&lt;-2),"",#REF!),"")</f>
        <v/>
      </c>
      <c r="M330" s="0" t="str">
        <f aca="false">IFERROR(IF(OR(HLOOKUP($A330,#REF!,11,FALSE())&gt;2,HLOOKUP($A330,#REF!,11,FALSE())&lt;-2),"",#REF!),"")</f>
        <v/>
      </c>
      <c r="N330" s="0" t="str">
        <f aca="false">IFERROR(IF(OR(HLOOKUP($A330,#REF!,12,FALSE())&gt;2,HLOOKUP($A330,#REF!,12,FALSE())&lt;-2),"",#REF!),"")</f>
        <v/>
      </c>
      <c r="O330" s="0" t="str">
        <f aca="false">IFERROR(IF(OR(HLOOKUP($A330,#REF!,13,FALSE())&gt;2,HLOOKUP($A330,#REF!,13,FALSE())&lt;-2),"",#REF!),"")</f>
        <v/>
      </c>
      <c r="P330" s="0" t="str">
        <f aca="false">IFERROR(IF(OR(HLOOKUP($A330,#REF!,14,FALSE())&gt;2,HLOOKUP($A330,#REF!,14,FALSE())&lt;-2),"",#REF!),"")</f>
        <v/>
      </c>
      <c r="Q330" s="0" t="str">
        <f aca="false">IFERROR(IF(OR(HLOOKUP($A330,#REF!,15,FALSE())&gt;2,HLOOKUP($A330,#REF!,15,FALSE())&lt;-2),"",#REF!),"")</f>
        <v/>
      </c>
      <c r="R330" s="0" t="str">
        <f aca="false">IFERROR(IF(OR(HLOOKUP($A330,#REF!,16,FALSE())&gt;2,HLOOKUP($A330,#REF!,16,FALSE())&lt;-2),"",#REF!),"")</f>
        <v/>
      </c>
      <c r="S330" s="0" t="str">
        <f aca="false">IFERROR(IF(OR(HLOOKUP($A330,#REF!,17,FALSE())&gt;2,HLOOKUP($A330,#REF!,17,FALSE())&lt;-2),"",#REF!),"")</f>
        <v/>
      </c>
      <c r="T330" s="0" t="str">
        <f aca="false">IFERROR(IF(OR(HLOOKUP($A330,#REF!,18,FALSE())&gt;2,HLOOKUP($A330,#REF!,18,FALSE())&lt;-2),"",#REF!),"")</f>
        <v/>
      </c>
      <c r="U330" s="0" t="str">
        <f aca="false">IFERROR(IF(OR(HLOOKUP($A330,#REF!,19,FALSE())&gt;2,HLOOKUP($A330,#REF!,19,FALSE())&lt;-2),"",#REF!),"")</f>
        <v/>
      </c>
      <c r="V330" s="0" t="n">
        <f aca="false">IFERROR(IF(AND(X330=0,Y330=0),0,1),0)</f>
        <v>1</v>
      </c>
      <c r="W330" s="3" t="str">
        <f aca="false">IFERROR(_xlfn.T.TEST(E330:M330,N330:U330,2,2),"")</f>
        <v/>
      </c>
      <c r="X330" s="0" t="str">
        <f aca="false">IFERROR(AVERAGE(E330:M330),"")</f>
        <v/>
      </c>
      <c r="Y330" s="0" t="str">
        <f aca="false">IFERROR(AVERAGE(N330:U330),"")</f>
        <v/>
      </c>
    </row>
    <row r="331" customFormat="false" ht="14.5" hidden="false" customHeight="false" outlineLevel="0" collapsed="false">
      <c r="A331" s="0" t="n">
        <v>338</v>
      </c>
      <c r="B331" s="0" t="s">
        <v>409</v>
      </c>
      <c r="C331" s="0" t="n">
        <v>73800</v>
      </c>
      <c r="D331" s="0" t="n">
        <v>141</v>
      </c>
      <c r="E331" s="0" t="str">
        <f aca="false">IFERROR(IF(OR(HLOOKUP($A331,#REF!,3,FALSE())&gt;2,HLOOKUP(A331,#REF!,3,FALSE())&lt;-2),"",#REF!),"")</f>
        <v/>
      </c>
      <c r="F331" s="0" t="str">
        <f aca="false">IFERROR(IF(OR(HLOOKUP($A331,#REF!,4,FALSE())&gt;2,HLOOKUP($A331,#REF!,4,FALSE())&lt;-2),"",#REF!),"")</f>
        <v/>
      </c>
      <c r="G331" s="0" t="str">
        <f aca="false">IFERROR(IF(OR(HLOOKUP($A331,#REF!,5,FALSE())&gt;2,HLOOKUP($A331,#REF!,5,FALSE())&lt;-2),"",#REF!),"")</f>
        <v/>
      </c>
      <c r="H331" s="0" t="str">
        <f aca="false">IFERROR(IF(OR(HLOOKUP($A331,#REF!,6,FALSE())&gt;2,HLOOKUP($A331,#REF!,6,FALSE())&lt;-2),"",#REF!),"")</f>
        <v/>
      </c>
      <c r="I331" s="0" t="str">
        <f aca="false">IFERROR(IF(OR(HLOOKUP($A331,#REF!,7,FALSE())&gt;2,HLOOKUP($A331,#REF!,7,FALSE())&lt;-2),"",#REF!),"")</f>
        <v/>
      </c>
      <c r="J331" s="0" t="str">
        <f aca="false">IFERROR(IF(OR(HLOOKUP($A331,#REF!,8,FALSE())&gt;2,HLOOKUP($A331,#REF!,8,FALSE())&lt;-2),"",#REF!),"")</f>
        <v/>
      </c>
      <c r="K331" s="0" t="str">
        <f aca="false">IFERROR(IF(OR(HLOOKUP($A331,#REF!,9,FALSE())&gt;2,HLOOKUP($A331,#REF!,9,FALSE())&lt;-2),"",#REF!),"")</f>
        <v/>
      </c>
      <c r="L331" s="0" t="str">
        <f aca="false">IFERROR(IF(OR(HLOOKUP($A331,#REF!,10,FALSE())&gt;2,HLOOKUP($A331,#REF!,10,FALSE())&lt;-2),"",#REF!),"")</f>
        <v/>
      </c>
      <c r="M331" s="0" t="str">
        <f aca="false">IFERROR(IF(OR(HLOOKUP($A331,#REF!,11,FALSE())&gt;2,HLOOKUP($A331,#REF!,11,FALSE())&lt;-2),"",#REF!),"")</f>
        <v/>
      </c>
      <c r="N331" s="0" t="str">
        <f aca="false">IFERROR(IF(OR(HLOOKUP($A331,#REF!,12,FALSE())&gt;2,HLOOKUP($A331,#REF!,12,FALSE())&lt;-2),"",#REF!),"")</f>
        <v/>
      </c>
      <c r="O331" s="0" t="str">
        <f aca="false">IFERROR(IF(OR(HLOOKUP($A331,#REF!,13,FALSE())&gt;2,HLOOKUP($A331,#REF!,13,FALSE())&lt;-2),"",#REF!),"")</f>
        <v/>
      </c>
      <c r="P331" s="0" t="str">
        <f aca="false">IFERROR(IF(OR(HLOOKUP($A331,#REF!,14,FALSE())&gt;2,HLOOKUP($A331,#REF!,14,FALSE())&lt;-2),"",#REF!),"")</f>
        <v/>
      </c>
      <c r="Q331" s="0" t="str">
        <f aca="false">IFERROR(IF(OR(HLOOKUP($A331,#REF!,15,FALSE())&gt;2,HLOOKUP($A331,#REF!,15,FALSE())&lt;-2),"",#REF!),"")</f>
        <v/>
      </c>
      <c r="R331" s="0" t="str">
        <f aca="false">IFERROR(IF(OR(HLOOKUP($A331,#REF!,16,FALSE())&gt;2,HLOOKUP($A331,#REF!,16,FALSE())&lt;-2),"",#REF!),"")</f>
        <v/>
      </c>
      <c r="S331" s="0" t="str">
        <f aca="false">IFERROR(IF(OR(HLOOKUP($A331,#REF!,17,FALSE())&gt;2,HLOOKUP($A331,#REF!,17,FALSE())&lt;-2),"",#REF!),"")</f>
        <v/>
      </c>
      <c r="T331" s="0" t="str">
        <f aca="false">IFERROR(IF(OR(HLOOKUP($A331,#REF!,18,FALSE())&gt;2,HLOOKUP($A331,#REF!,18,FALSE())&lt;-2),"",#REF!),"")</f>
        <v/>
      </c>
      <c r="U331" s="0" t="str">
        <f aca="false">IFERROR(IF(OR(HLOOKUP($A331,#REF!,19,FALSE())&gt;2,HLOOKUP($A331,#REF!,19,FALSE())&lt;-2),"",#REF!),"")</f>
        <v/>
      </c>
      <c r="V331" s="0" t="n">
        <f aca="false">IFERROR(IF(AND(X331=0,Y331=0),0,1),0)</f>
        <v>1</v>
      </c>
      <c r="W331" s="3" t="str">
        <f aca="false">IFERROR(_xlfn.T.TEST(E331:M331,N331:U331,2,2),"")</f>
        <v/>
      </c>
      <c r="X331" s="0" t="str">
        <f aca="false">IFERROR(AVERAGE(E331:M331),"")</f>
        <v/>
      </c>
      <c r="Y331" s="0" t="str">
        <f aca="false">IFERROR(AVERAGE(N331:U331),"")</f>
        <v/>
      </c>
    </row>
    <row r="332" customFormat="false" ht="14.5" hidden="false" customHeight="false" outlineLevel="0" collapsed="false">
      <c r="A332" s="0" t="n">
        <v>339</v>
      </c>
      <c r="B332" s="0" t="s">
        <v>410</v>
      </c>
      <c r="C332" s="0" t="n">
        <v>78600</v>
      </c>
      <c r="D332" s="0" t="n">
        <v>313</v>
      </c>
      <c r="E332" s="0" t="str">
        <f aca="false">IFERROR(IF(OR(HLOOKUP($A332,#REF!,3,FALSE())&gt;2,HLOOKUP(A332,#REF!,3,FALSE())&lt;-2),"",#REF!),"")</f>
        <v/>
      </c>
      <c r="F332" s="0" t="str">
        <f aca="false">IFERROR(IF(OR(HLOOKUP($A332,#REF!,4,FALSE())&gt;2,HLOOKUP($A332,#REF!,4,FALSE())&lt;-2),"",#REF!),"")</f>
        <v/>
      </c>
      <c r="G332" s="0" t="str">
        <f aca="false">IFERROR(IF(OR(HLOOKUP($A332,#REF!,5,FALSE())&gt;2,HLOOKUP($A332,#REF!,5,FALSE())&lt;-2),"",#REF!),"")</f>
        <v/>
      </c>
      <c r="H332" s="0" t="str">
        <f aca="false">IFERROR(IF(OR(HLOOKUP($A332,#REF!,6,FALSE())&gt;2,HLOOKUP($A332,#REF!,6,FALSE())&lt;-2),"",#REF!),"")</f>
        <v/>
      </c>
      <c r="I332" s="0" t="str">
        <f aca="false">IFERROR(IF(OR(HLOOKUP($A332,#REF!,7,FALSE())&gt;2,HLOOKUP($A332,#REF!,7,FALSE())&lt;-2),"",#REF!),"")</f>
        <v/>
      </c>
      <c r="J332" s="0" t="str">
        <f aca="false">IFERROR(IF(OR(HLOOKUP($A332,#REF!,8,FALSE())&gt;2,HLOOKUP($A332,#REF!,8,FALSE())&lt;-2),"",#REF!),"")</f>
        <v/>
      </c>
      <c r="K332" s="0" t="str">
        <f aca="false">IFERROR(IF(OR(HLOOKUP($A332,#REF!,9,FALSE())&gt;2,HLOOKUP($A332,#REF!,9,FALSE())&lt;-2),"",#REF!),"")</f>
        <v/>
      </c>
      <c r="L332" s="0" t="str">
        <f aca="false">IFERROR(IF(OR(HLOOKUP($A332,#REF!,10,FALSE())&gt;2,HLOOKUP($A332,#REF!,10,FALSE())&lt;-2),"",#REF!),"")</f>
        <v/>
      </c>
      <c r="M332" s="0" t="str">
        <f aca="false">IFERROR(IF(OR(HLOOKUP($A332,#REF!,11,FALSE())&gt;2,HLOOKUP($A332,#REF!,11,FALSE())&lt;-2),"",#REF!),"")</f>
        <v/>
      </c>
      <c r="N332" s="0" t="str">
        <f aca="false">IFERROR(IF(OR(HLOOKUP($A332,#REF!,12,FALSE())&gt;2,HLOOKUP($A332,#REF!,12,FALSE())&lt;-2),"",#REF!),"")</f>
        <v/>
      </c>
      <c r="O332" s="0" t="str">
        <f aca="false">IFERROR(IF(OR(HLOOKUP($A332,#REF!,13,FALSE())&gt;2,HLOOKUP($A332,#REF!,13,FALSE())&lt;-2),"",#REF!),"")</f>
        <v/>
      </c>
      <c r="P332" s="0" t="str">
        <f aca="false">IFERROR(IF(OR(HLOOKUP($A332,#REF!,14,FALSE())&gt;2,HLOOKUP($A332,#REF!,14,FALSE())&lt;-2),"",#REF!),"")</f>
        <v/>
      </c>
      <c r="Q332" s="0" t="str">
        <f aca="false">IFERROR(IF(OR(HLOOKUP($A332,#REF!,15,FALSE())&gt;2,HLOOKUP($A332,#REF!,15,FALSE())&lt;-2),"",#REF!),"")</f>
        <v/>
      </c>
      <c r="R332" s="0" t="str">
        <f aca="false">IFERROR(IF(OR(HLOOKUP($A332,#REF!,16,FALSE())&gt;2,HLOOKUP($A332,#REF!,16,FALSE())&lt;-2),"",#REF!),"")</f>
        <v/>
      </c>
      <c r="S332" s="0" t="str">
        <f aca="false">IFERROR(IF(OR(HLOOKUP($A332,#REF!,17,FALSE())&gt;2,HLOOKUP($A332,#REF!,17,FALSE())&lt;-2),"",#REF!),"")</f>
        <v/>
      </c>
      <c r="T332" s="0" t="str">
        <f aca="false">IFERROR(IF(OR(HLOOKUP($A332,#REF!,18,FALSE())&gt;2,HLOOKUP($A332,#REF!,18,FALSE())&lt;-2),"",#REF!),"")</f>
        <v/>
      </c>
      <c r="U332" s="0" t="str">
        <f aca="false">IFERROR(IF(OR(HLOOKUP($A332,#REF!,19,FALSE())&gt;2,HLOOKUP($A332,#REF!,19,FALSE())&lt;-2),"",#REF!),"")</f>
        <v/>
      </c>
      <c r="V332" s="0" t="n">
        <f aca="false">IFERROR(IF(AND(X332=0,Y332=0),0,1),0)</f>
        <v>1</v>
      </c>
      <c r="W332" s="3" t="str">
        <f aca="false">IFERROR(_xlfn.T.TEST(E332:M332,N332:U332,2,2),"")</f>
        <v/>
      </c>
      <c r="X332" s="0" t="str">
        <f aca="false">IFERROR(AVERAGE(E332:M332),"")</f>
        <v/>
      </c>
      <c r="Y332" s="0" t="str">
        <f aca="false">IFERROR(AVERAGE(N332:U332),"")</f>
        <v/>
      </c>
    </row>
    <row r="333" customFormat="false" ht="14.5" hidden="false" customHeight="false" outlineLevel="0" collapsed="false">
      <c r="A333" s="0" t="n">
        <v>340</v>
      </c>
      <c r="B333" s="0" t="s">
        <v>411</v>
      </c>
      <c r="C333" s="0" t="n">
        <v>27900</v>
      </c>
      <c r="D333" s="0" t="n">
        <v>22</v>
      </c>
      <c r="E333" s="0" t="str">
        <f aca="false">IFERROR(IF(OR(HLOOKUP($A333,#REF!,3,FALSE())&gt;2,HLOOKUP(A333,#REF!,3,FALSE())&lt;-2),"",#REF!),"")</f>
        <v/>
      </c>
      <c r="F333" s="0" t="str">
        <f aca="false">IFERROR(IF(OR(HLOOKUP($A333,#REF!,4,FALSE())&gt;2,HLOOKUP($A333,#REF!,4,FALSE())&lt;-2),"",#REF!),"")</f>
        <v/>
      </c>
      <c r="G333" s="0" t="str">
        <f aca="false">IFERROR(IF(OR(HLOOKUP($A333,#REF!,5,FALSE())&gt;2,HLOOKUP($A333,#REF!,5,FALSE())&lt;-2),"",#REF!),"")</f>
        <v/>
      </c>
      <c r="H333" s="0" t="str">
        <f aca="false">IFERROR(IF(OR(HLOOKUP($A333,#REF!,6,FALSE())&gt;2,HLOOKUP($A333,#REF!,6,FALSE())&lt;-2),"",#REF!),"")</f>
        <v/>
      </c>
      <c r="I333" s="0" t="str">
        <f aca="false">IFERROR(IF(OR(HLOOKUP($A333,#REF!,7,FALSE())&gt;2,HLOOKUP($A333,#REF!,7,FALSE())&lt;-2),"",#REF!),"")</f>
        <v/>
      </c>
      <c r="J333" s="0" t="str">
        <f aca="false">IFERROR(IF(OR(HLOOKUP($A333,#REF!,8,FALSE())&gt;2,HLOOKUP($A333,#REF!,8,FALSE())&lt;-2),"",#REF!),"")</f>
        <v/>
      </c>
      <c r="K333" s="0" t="str">
        <f aca="false">IFERROR(IF(OR(HLOOKUP($A333,#REF!,9,FALSE())&gt;2,HLOOKUP($A333,#REF!,9,FALSE())&lt;-2),"",#REF!),"")</f>
        <v/>
      </c>
      <c r="L333" s="0" t="str">
        <f aca="false">IFERROR(IF(OR(HLOOKUP($A333,#REF!,10,FALSE())&gt;2,HLOOKUP($A333,#REF!,10,FALSE())&lt;-2),"",#REF!),"")</f>
        <v/>
      </c>
      <c r="M333" s="0" t="str">
        <f aca="false">IFERROR(IF(OR(HLOOKUP($A333,#REF!,11,FALSE())&gt;2,HLOOKUP($A333,#REF!,11,FALSE())&lt;-2),"",#REF!),"")</f>
        <v/>
      </c>
      <c r="N333" s="0" t="str">
        <f aca="false">IFERROR(IF(OR(HLOOKUP($A333,#REF!,12,FALSE())&gt;2,HLOOKUP($A333,#REF!,12,FALSE())&lt;-2),"",#REF!),"")</f>
        <v/>
      </c>
      <c r="O333" s="0" t="str">
        <f aca="false">IFERROR(IF(OR(HLOOKUP($A333,#REF!,13,FALSE())&gt;2,HLOOKUP($A333,#REF!,13,FALSE())&lt;-2),"",#REF!),"")</f>
        <v/>
      </c>
      <c r="P333" s="0" t="str">
        <f aca="false">IFERROR(IF(OR(HLOOKUP($A333,#REF!,14,FALSE())&gt;2,HLOOKUP($A333,#REF!,14,FALSE())&lt;-2),"",#REF!),"")</f>
        <v/>
      </c>
      <c r="Q333" s="0" t="str">
        <f aca="false">IFERROR(IF(OR(HLOOKUP($A333,#REF!,15,FALSE())&gt;2,HLOOKUP($A333,#REF!,15,FALSE())&lt;-2),"",#REF!),"")</f>
        <v/>
      </c>
      <c r="R333" s="0" t="str">
        <f aca="false">IFERROR(IF(OR(HLOOKUP($A333,#REF!,16,FALSE())&gt;2,HLOOKUP($A333,#REF!,16,FALSE())&lt;-2),"",#REF!),"")</f>
        <v/>
      </c>
      <c r="S333" s="0" t="str">
        <f aca="false">IFERROR(IF(OR(HLOOKUP($A333,#REF!,17,FALSE())&gt;2,HLOOKUP($A333,#REF!,17,FALSE())&lt;-2),"",#REF!),"")</f>
        <v/>
      </c>
      <c r="T333" s="0" t="str">
        <f aca="false">IFERROR(IF(OR(HLOOKUP($A333,#REF!,18,FALSE())&gt;2,HLOOKUP($A333,#REF!,18,FALSE())&lt;-2),"",#REF!),"")</f>
        <v/>
      </c>
      <c r="U333" s="0" t="str">
        <f aca="false">IFERROR(IF(OR(HLOOKUP($A333,#REF!,19,FALSE())&gt;2,HLOOKUP($A333,#REF!,19,FALSE())&lt;-2),"",#REF!),"")</f>
        <v/>
      </c>
      <c r="V333" s="0" t="n">
        <f aca="false">IFERROR(IF(AND(X333=0,Y333=0),0,1),0)</f>
        <v>1</v>
      </c>
      <c r="W333" s="3" t="str">
        <f aca="false">IFERROR(_xlfn.T.TEST(E333:M333,N333:U333,2,2),"")</f>
        <v/>
      </c>
      <c r="X333" s="0" t="str">
        <f aca="false">IFERROR(AVERAGE(E333:M333),"")</f>
        <v/>
      </c>
      <c r="Y333" s="0" t="str">
        <f aca="false">IFERROR(AVERAGE(N333:U333),"")</f>
        <v/>
      </c>
    </row>
    <row r="334" customFormat="false" ht="14.5" hidden="false" customHeight="false" outlineLevel="0" collapsed="false">
      <c r="A334" s="0" t="n">
        <v>341</v>
      </c>
      <c r="B334" s="0" t="s">
        <v>412</v>
      </c>
      <c r="C334" s="0" t="n">
        <v>113600</v>
      </c>
      <c r="D334" s="0" t="n">
        <v>824</v>
      </c>
      <c r="E334" s="0" t="str">
        <f aca="false">IFERROR(IF(OR(HLOOKUP($A334,#REF!,3,FALSE())&gt;2,HLOOKUP(A334,#REF!,3,FALSE())&lt;-2),"",#REF!),"")</f>
        <v/>
      </c>
      <c r="F334" s="0" t="str">
        <f aca="false">IFERROR(IF(OR(HLOOKUP($A334,#REF!,4,FALSE())&gt;2,HLOOKUP($A334,#REF!,4,FALSE())&lt;-2),"",#REF!),"")</f>
        <v/>
      </c>
      <c r="G334" s="0" t="str">
        <f aca="false">IFERROR(IF(OR(HLOOKUP($A334,#REF!,5,FALSE())&gt;2,HLOOKUP($A334,#REF!,5,FALSE())&lt;-2),"",#REF!),"")</f>
        <v/>
      </c>
      <c r="H334" s="0" t="str">
        <f aca="false">IFERROR(IF(OR(HLOOKUP($A334,#REF!,6,FALSE())&gt;2,HLOOKUP($A334,#REF!,6,FALSE())&lt;-2),"",#REF!),"")</f>
        <v/>
      </c>
      <c r="I334" s="0" t="str">
        <f aca="false">IFERROR(IF(OR(HLOOKUP($A334,#REF!,7,FALSE())&gt;2,HLOOKUP($A334,#REF!,7,FALSE())&lt;-2),"",#REF!),"")</f>
        <v/>
      </c>
      <c r="J334" s="0" t="str">
        <f aca="false">IFERROR(IF(OR(HLOOKUP($A334,#REF!,8,FALSE())&gt;2,HLOOKUP($A334,#REF!,8,FALSE())&lt;-2),"",#REF!),"")</f>
        <v/>
      </c>
      <c r="K334" s="0" t="str">
        <f aca="false">IFERROR(IF(OR(HLOOKUP($A334,#REF!,9,FALSE())&gt;2,HLOOKUP($A334,#REF!,9,FALSE())&lt;-2),"",#REF!),"")</f>
        <v/>
      </c>
      <c r="L334" s="0" t="str">
        <f aca="false">IFERROR(IF(OR(HLOOKUP($A334,#REF!,10,FALSE())&gt;2,HLOOKUP($A334,#REF!,10,FALSE())&lt;-2),"",#REF!),"")</f>
        <v/>
      </c>
      <c r="M334" s="0" t="str">
        <f aca="false">IFERROR(IF(OR(HLOOKUP($A334,#REF!,11,FALSE())&gt;2,HLOOKUP($A334,#REF!,11,FALSE())&lt;-2),"",#REF!),"")</f>
        <v/>
      </c>
      <c r="N334" s="0" t="str">
        <f aca="false">IFERROR(IF(OR(HLOOKUP($A334,#REF!,12,FALSE())&gt;2,HLOOKUP($A334,#REF!,12,FALSE())&lt;-2),"",#REF!),"")</f>
        <v/>
      </c>
      <c r="O334" s="0" t="str">
        <f aca="false">IFERROR(IF(OR(HLOOKUP($A334,#REF!,13,FALSE())&gt;2,HLOOKUP($A334,#REF!,13,FALSE())&lt;-2),"",#REF!),"")</f>
        <v/>
      </c>
      <c r="P334" s="0" t="str">
        <f aca="false">IFERROR(IF(OR(HLOOKUP($A334,#REF!,14,FALSE())&gt;2,HLOOKUP($A334,#REF!,14,FALSE())&lt;-2),"",#REF!),"")</f>
        <v/>
      </c>
      <c r="Q334" s="0" t="str">
        <f aca="false">IFERROR(IF(OR(HLOOKUP($A334,#REF!,15,FALSE())&gt;2,HLOOKUP($A334,#REF!,15,FALSE())&lt;-2),"",#REF!),"")</f>
        <v/>
      </c>
      <c r="R334" s="0" t="str">
        <f aca="false">IFERROR(IF(OR(HLOOKUP($A334,#REF!,16,FALSE())&gt;2,HLOOKUP($A334,#REF!,16,FALSE())&lt;-2),"",#REF!),"")</f>
        <v/>
      </c>
      <c r="S334" s="0" t="str">
        <f aca="false">IFERROR(IF(OR(HLOOKUP($A334,#REF!,17,FALSE())&gt;2,HLOOKUP($A334,#REF!,17,FALSE())&lt;-2),"",#REF!),"")</f>
        <v/>
      </c>
      <c r="T334" s="0" t="str">
        <f aca="false">IFERROR(IF(OR(HLOOKUP($A334,#REF!,18,FALSE())&gt;2,HLOOKUP($A334,#REF!,18,FALSE())&lt;-2),"",#REF!),"")</f>
        <v/>
      </c>
      <c r="U334" s="0" t="str">
        <f aca="false">IFERROR(IF(OR(HLOOKUP($A334,#REF!,19,FALSE())&gt;2,HLOOKUP($A334,#REF!,19,FALSE())&lt;-2),"",#REF!),"")</f>
        <v/>
      </c>
      <c r="V334" s="0" t="n">
        <f aca="false">IFERROR(IF(AND(X334=0,Y334=0),0,1),0)</f>
        <v>1</v>
      </c>
      <c r="W334" s="3" t="str">
        <f aca="false">IFERROR(_xlfn.T.TEST(E334:M334,N334:U334,2,2),"")</f>
        <v/>
      </c>
      <c r="X334" s="0" t="str">
        <f aca="false">IFERROR(AVERAGE(E334:M334),"")</f>
        <v/>
      </c>
      <c r="Y334" s="0" t="str">
        <f aca="false">IFERROR(AVERAGE(N334:U334),"")</f>
        <v/>
      </c>
    </row>
    <row r="335" customFormat="false" ht="14.5" hidden="false" customHeight="false" outlineLevel="0" collapsed="false">
      <c r="A335" s="0" t="n">
        <v>342</v>
      </c>
      <c r="B335" s="0" t="s">
        <v>413</v>
      </c>
      <c r="C335" s="0" t="n">
        <v>52100</v>
      </c>
      <c r="D335" s="0" t="n">
        <v>835</v>
      </c>
      <c r="E335" s="0" t="str">
        <f aca="false">IFERROR(IF(OR(HLOOKUP($A335,#REF!,3,FALSE())&gt;2,HLOOKUP(A335,#REF!,3,FALSE())&lt;-2),"",#REF!),"")</f>
        <v/>
      </c>
      <c r="F335" s="0" t="str">
        <f aca="false">IFERROR(IF(OR(HLOOKUP($A335,#REF!,4,FALSE())&gt;2,HLOOKUP($A335,#REF!,4,FALSE())&lt;-2),"",#REF!),"")</f>
        <v/>
      </c>
      <c r="G335" s="0" t="str">
        <f aca="false">IFERROR(IF(OR(HLOOKUP($A335,#REF!,5,FALSE())&gt;2,HLOOKUP($A335,#REF!,5,FALSE())&lt;-2),"",#REF!),"")</f>
        <v/>
      </c>
      <c r="H335" s="0" t="str">
        <f aca="false">IFERROR(IF(OR(HLOOKUP($A335,#REF!,6,FALSE())&gt;2,HLOOKUP($A335,#REF!,6,FALSE())&lt;-2),"",#REF!),"")</f>
        <v/>
      </c>
      <c r="I335" s="0" t="str">
        <f aca="false">IFERROR(IF(OR(HLOOKUP($A335,#REF!,7,FALSE())&gt;2,HLOOKUP($A335,#REF!,7,FALSE())&lt;-2),"",#REF!),"")</f>
        <v/>
      </c>
      <c r="J335" s="0" t="str">
        <f aca="false">IFERROR(IF(OR(HLOOKUP($A335,#REF!,8,FALSE())&gt;2,HLOOKUP($A335,#REF!,8,FALSE())&lt;-2),"",#REF!),"")</f>
        <v/>
      </c>
      <c r="K335" s="0" t="str">
        <f aca="false">IFERROR(IF(OR(HLOOKUP($A335,#REF!,9,FALSE())&gt;2,HLOOKUP($A335,#REF!,9,FALSE())&lt;-2),"",#REF!),"")</f>
        <v/>
      </c>
      <c r="L335" s="0" t="str">
        <f aca="false">IFERROR(IF(OR(HLOOKUP($A335,#REF!,10,FALSE())&gt;2,HLOOKUP($A335,#REF!,10,FALSE())&lt;-2),"",#REF!),"")</f>
        <v/>
      </c>
      <c r="M335" s="0" t="str">
        <f aca="false">IFERROR(IF(OR(HLOOKUP($A335,#REF!,11,FALSE())&gt;2,HLOOKUP($A335,#REF!,11,FALSE())&lt;-2),"",#REF!),"")</f>
        <v/>
      </c>
      <c r="N335" s="0" t="str">
        <f aca="false">IFERROR(IF(OR(HLOOKUP($A335,#REF!,12,FALSE())&gt;2,HLOOKUP($A335,#REF!,12,FALSE())&lt;-2),"",#REF!),"")</f>
        <v/>
      </c>
      <c r="O335" s="0" t="str">
        <f aca="false">IFERROR(IF(OR(HLOOKUP($A335,#REF!,13,FALSE())&gt;2,HLOOKUP($A335,#REF!,13,FALSE())&lt;-2),"",#REF!),"")</f>
        <v/>
      </c>
      <c r="P335" s="0" t="str">
        <f aca="false">IFERROR(IF(OR(HLOOKUP($A335,#REF!,14,FALSE())&gt;2,HLOOKUP($A335,#REF!,14,FALSE())&lt;-2),"",#REF!),"")</f>
        <v/>
      </c>
      <c r="Q335" s="0" t="str">
        <f aca="false">IFERROR(IF(OR(HLOOKUP($A335,#REF!,15,FALSE())&gt;2,HLOOKUP($A335,#REF!,15,FALSE())&lt;-2),"",#REF!),"")</f>
        <v/>
      </c>
      <c r="R335" s="0" t="str">
        <f aca="false">IFERROR(IF(OR(HLOOKUP($A335,#REF!,16,FALSE())&gt;2,HLOOKUP($A335,#REF!,16,FALSE())&lt;-2),"",#REF!),"")</f>
        <v/>
      </c>
      <c r="S335" s="0" t="str">
        <f aca="false">IFERROR(IF(OR(HLOOKUP($A335,#REF!,17,FALSE())&gt;2,HLOOKUP($A335,#REF!,17,FALSE())&lt;-2),"",#REF!),"")</f>
        <v/>
      </c>
      <c r="T335" s="0" t="str">
        <f aca="false">IFERROR(IF(OR(HLOOKUP($A335,#REF!,18,FALSE())&gt;2,HLOOKUP($A335,#REF!,18,FALSE())&lt;-2),"",#REF!),"")</f>
        <v/>
      </c>
      <c r="U335" s="0" t="str">
        <f aca="false">IFERROR(IF(OR(HLOOKUP($A335,#REF!,19,FALSE())&gt;2,HLOOKUP($A335,#REF!,19,FALSE())&lt;-2),"",#REF!),"")</f>
        <v/>
      </c>
      <c r="V335" s="0" t="n">
        <f aca="false">IFERROR(IF(AND(X335=0,Y335=0),0,1),0)</f>
        <v>1</v>
      </c>
      <c r="W335" s="3" t="str">
        <f aca="false">IFERROR(_xlfn.T.TEST(E335:M335,N335:U335,2,2),"")</f>
        <v/>
      </c>
      <c r="X335" s="0" t="str">
        <f aca="false">IFERROR(AVERAGE(E335:M335),"")</f>
        <v/>
      </c>
      <c r="Y335" s="0" t="str">
        <f aca="false">IFERROR(AVERAGE(N335:U335),"")</f>
        <v/>
      </c>
    </row>
    <row r="336" customFormat="false" ht="14.5" hidden="false" customHeight="false" outlineLevel="0" collapsed="false">
      <c r="A336" s="0" t="n">
        <v>343</v>
      </c>
      <c r="B336" s="0" t="s">
        <v>414</v>
      </c>
      <c r="C336" s="0" t="n">
        <v>63300</v>
      </c>
      <c r="D336" s="0" t="n">
        <v>8</v>
      </c>
      <c r="E336" s="0" t="str">
        <f aca="false">IFERROR(IF(OR(HLOOKUP($A336,#REF!,3,FALSE())&gt;2,HLOOKUP(A336,#REF!,3,FALSE())&lt;-2),"",#REF!),"")</f>
        <v/>
      </c>
      <c r="F336" s="0" t="str">
        <f aca="false">IFERROR(IF(OR(HLOOKUP($A336,#REF!,4,FALSE())&gt;2,HLOOKUP($A336,#REF!,4,FALSE())&lt;-2),"",#REF!),"")</f>
        <v/>
      </c>
      <c r="G336" s="0" t="str">
        <f aca="false">IFERROR(IF(OR(HLOOKUP($A336,#REF!,5,FALSE())&gt;2,HLOOKUP($A336,#REF!,5,FALSE())&lt;-2),"",#REF!),"")</f>
        <v/>
      </c>
      <c r="H336" s="0" t="str">
        <f aca="false">IFERROR(IF(OR(HLOOKUP($A336,#REF!,6,FALSE())&gt;2,HLOOKUP($A336,#REF!,6,FALSE())&lt;-2),"",#REF!),"")</f>
        <v/>
      </c>
      <c r="I336" s="0" t="str">
        <f aca="false">IFERROR(IF(OR(HLOOKUP($A336,#REF!,7,FALSE())&gt;2,HLOOKUP($A336,#REF!,7,FALSE())&lt;-2),"",#REF!),"")</f>
        <v/>
      </c>
      <c r="J336" s="0" t="str">
        <f aca="false">IFERROR(IF(OR(HLOOKUP($A336,#REF!,8,FALSE())&gt;2,HLOOKUP($A336,#REF!,8,FALSE())&lt;-2),"",#REF!),"")</f>
        <v/>
      </c>
      <c r="K336" s="0" t="str">
        <f aca="false">IFERROR(IF(OR(HLOOKUP($A336,#REF!,9,FALSE())&gt;2,HLOOKUP($A336,#REF!,9,FALSE())&lt;-2),"",#REF!),"")</f>
        <v/>
      </c>
      <c r="L336" s="0" t="str">
        <f aca="false">IFERROR(IF(OR(HLOOKUP($A336,#REF!,10,FALSE())&gt;2,HLOOKUP($A336,#REF!,10,FALSE())&lt;-2),"",#REF!),"")</f>
        <v/>
      </c>
      <c r="M336" s="0" t="str">
        <f aca="false">IFERROR(IF(OR(HLOOKUP($A336,#REF!,11,FALSE())&gt;2,HLOOKUP($A336,#REF!,11,FALSE())&lt;-2),"",#REF!),"")</f>
        <v/>
      </c>
      <c r="N336" s="0" t="str">
        <f aca="false">IFERROR(IF(OR(HLOOKUP($A336,#REF!,12,FALSE())&gt;2,HLOOKUP($A336,#REF!,12,FALSE())&lt;-2),"",#REF!),"")</f>
        <v/>
      </c>
      <c r="O336" s="0" t="str">
        <f aca="false">IFERROR(IF(OR(HLOOKUP($A336,#REF!,13,FALSE())&gt;2,HLOOKUP($A336,#REF!,13,FALSE())&lt;-2),"",#REF!),"")</f>
        <v/>
      </c>
      <c r="P336" s="0" t="str">
        <f aca="false">IFERROR(IF(OR(HLOOKUP($A336,#REF!,14,FALSE())&gt;2,HLOOKUP($A336,#REF!,14,FALSE())&lt;-2),"",#REF!),"")</f>
        <v/>
      </c>
      <c r="Q336" s="0" t="str">
        <f aca="false">IFERROR(IF(OR(HLOOKUP($A336,#REF!,15,FALSE())&gt;2,HLOOKUP($A336,#REF!,15,FALSE())&lt;-2),"",#REF!),"")</f>
        <v/>
      </c>
      <c r="R336" s="0" t="str">
        <f aca="false">IFERROR(IF(OR(HLOOKUP($A336,#REF!,16,FALSE())&gt;2,HLOOKUP($A336,#REF!,16,FALSE())&lt;-2),"",#REF!),"")</f>
        <v/>
      </c>
      <c r="S336" s="0" t="str">
        <f aca="false">IFERROR(IF(OR(HLOOKUP($A336,#REF!,17,FALSE())&gt;2,HLOOKUP($A336,#REF!,17,FALSE())&lt;-2),"",#REF!),"")</f>
        <v/>
      </c>
      <c r="T336" s="0" t="str">
        <f aca="false">IFERROR(IF(OR(HLOOKUP($A336,#REF!,18,FALSE())&gt;2,HLOOKUP($A336,#REF!,18,FALSE())&lt;-2),"",#REF!),"")</f>
        <v/>
      </c>
      <c r="U336" s="0" t="str">
        <f aca="false">IFERROR(IF(OR(HLOOKUP($A336,#REF!,19,FALSE())&gt;2,HLOOKUP($A336,#REF!,19,FALSE())&lt;-2),"",#REF!),"")</f>
        <v/>
      </c>
      <c r="V336" s="0" t="n">
        <f aca="false">IFERROR(IF(AND(X336=0,Y336=0),0,1),0)</f>
        <v>1</v>
      </c>
      <c r="W336" s="3" t="str">
        <f aca="false">IFERROR(_xlfn.T.TEST(E336:M336,N336:U336,2,2),"")</f>
        <v/>
      </c>
      <c r="X336" s="0" t="str">
        <f aca="false">IFERROR(AVERAGE(E336:M336),"")</f>
        <v/>
      </c>
      <c r="Y336" s="0" t="str">
        <f aca="false">IFERROR(AVERAGE(N336:U336),"")</f>
        <v/>
      </c>
    </row>
    <row r="337" customFormat="false" ht="14.5" hidden="false" customHeight="false" outlineLevel="0" collapsed="false">
      <c r="A337" s="0" t="n">
        <v>344</v>
      </c>
      <c r="B337" s="0" t="s">
        <v>415</v>
      </c>
      <c r="C337" s="0" t="n">
        <v>24300</v>
      </c>
      <c r="D337" s="0" t="n">
        <v>111</v>
      </c>
      <c r="E337" s="0" t="str">
        <f aca="false">IFERROR(IF(OR(HLOOKUP($A337,#REF!,3,FALSE())&gt;2,HLOOKUP(A337,#REF!,3,FALSE())&lt;-2),"",#REF!),"")</f>
        <v/>
      </c>
      <c r="F337" s="0" t="str">
        <f aca="false">IFERROR(IF(OR(HLOOKUP($A337,#REF!,4,FALSE())&gt;2,HLOOKUP($A337,#REF!,4,FALSE())&lt;-2),"",#REF!),"")</f>
        <v/>
      </c>
      <c r="G337" s="0" t="str">
        <f aca="false">IFERROR(IF(OR(HLOOKUP($A337,#REF!,5,FALSE())&gt;2,HLOOKUP($A337,#REF!,5,FALSE())&lt;-2),"",#REF!),"")</f>
        <v/>
      </c>
      <c r="H337" s="0" t="str">
        <f aca="false">IFERROR(IF(OR(HLOOKUP($A337,#REF!,6,FALSE())&gt;2,HLOOKUP($A337,#REF!,6,FALSE())&lt;-2),"",#REF!),"")</f>
        <v/>
      </c>
      <c r="I337" s="0" t="str">
        <f aca="false">IFERROR(IF(OR(HLOOKUP($A337,#REF!,7,FALSE())&gt;2,HLOOKUP($A337,#REF!,7,FALSE())&lt;-2),"",#REF!),"")</f>
        <v/>
      </c>
      <c r="J337" s="0" t="str">
        <f aca="false">IFERROR(IF(OR(HLOOKUP($A337,#REF!,8,FALSE())&gt;2,HLOOKUP($A337,#REF!,8,FALSE())&lt;-2),"",#REF!),"")</f>
        <v/>
      </c>
      <c r="K337" s="0" t="str">
        <f aca="false">IFERROR(IF(OR(HLOOKUP($A337,#REF!,9,FALSE())&gt;2,HLOOKUP($A337,#REF!,9,FALSE())&lt;-2),"",#REF!),"")</f>
        <v/>
      </c>
      <c r="L337" s="0" t="str">
        <f aca="false">IFERROR(IF(OR(HLOOKUP($A337,#REF!,10,FALSE())&gt;2,HLOOKUP($A337,#REF!,10,FALSE())&lt;-2),"",#REF!),"")</f>
        <v/>
      </c>
      <c r="M337" s="0" t="str">
        <f aca="false">IFERROR(IF(OR(HLOOKUP($A337,#REF!,11,FALSE())&gt;2,HLOOKUP($A337,#REF!,11,FALSE())&lt;-2),"",#REF!),"")</f>
        <v/>
      </c>
      <c r="N337" s="0" t="str">
        <f aca="false">IFERROR(IF(OR(HLOOKUP($A337,#REF!,12,FALSE())&gt;2,HLOOKUP($A337,#REF!,12,FALSE())&lt;-2),"",#REF!),"")</f>
        <v/>
      </c>
      <c r="O337" s="0" t="str">
        <f aca="false">IFERROR(IF(OR(HLOOKUP($A337,#REF!,13,FALSE())&gt;2,HLOOKUP($A337,#REF!,13,FALSE())&lt;-2),"",#REF!),"")</f>
        <v/>
      </c>
      <c r="P337" s="0" t="str">
        <f aca="false">IFERROR(IF(OR(HLOOKUP($A337,#REF!,14,FALSE())&gt;2,HLOOKUP($A337,#REF!,14,FALSE())&lt;-2),"",#REF!),"")</f>
        <v/>
      </c>
      <c r="Q337" s="0" t="str">
        <f aca="false">IFERROR(IF(OR(HLOOKUP($A337,#REF!,15,FALSE())&gt;2,HLOOKUP($A337,#REF!,15,FALSE())&lt;-2),"",#REF!),"")</f>
        <v/>
      </c>
      <c r="R337" s="0" t="str">
        <f aca="false">IFERROR(IF(OR(HLOOKUP($A337,#REF!,16,FALSE())&gt;2,HLOOKUP($A337,#REF!,16,FALSE())&lt;-2),"",#REF!),"")</f>
        <v/>
      </c>
      <c r="S337" s="0" t="str">
        <f aca="false">IFERROR(IF(OR(HLOOKUP($A337,#REF!,17,FALSE())&gt;2,HLOOKUP($A337,#REF!,17,FALSE())&lt;-2),"",#REF!),"")</f>
        <v/>
      </c>
      <c r="T337" s="0" t="str">
        <f aca="false">IFERROR(IF(OR(HLOOKUP($A337,#REF!,18,FALSE())&gt;2,HLOOKUP($A337,#REF!,18,FALSE())&lt;-2),"",#REF!),"")</f>
        <v/>
      </c>
      <c r="U337" s="0" t="str">
        <f aca="false">IFERROR(IF(OR(HLOOKUP($A337,#REF!,19,FALSE())&gt;2,HLOOKUP($A337,#REF!,19,FALSE())&lt;-2),"",#REF!),"")</f>
        <v/>
      </c>
      <c r="V337" s="0" t="n">
        <f aca="false">IFERROR(IF(AND(X337=0,Y337=0),0,1),0)</f>
        <v>1</v>
      </c>
      <c r="W337" s="3" t="str">
        <f aca="false">IFERROR(_xlfn.T.TEST(E337:M337,N337:U337,2,2),"")</f>
        <v/>
      </c>
      <c r="X337" s="0" t="str">
        <f aca="false">IFERROR(AVERAGE(E337:M337),"")</f>
        <v/>
      </c>
      <c r="Y337" s="0" t="str">
        <f aca="false">IFERROR(AVERAGE(N337:U337),"")</f>
        <v/>
      </c>
    </row>
    <row r="338" customFormat="false" ht="14.5" hidden="false" customHeight="false" outlineLevel="0" collapsed="false">
      <c r="A338" s="0" t="n">
        <v>345</v>
      </c>
      <c r="B338" s="0" t="s">
        <v>416</v>
      </c>
      <c r="C338" s="0" t="n">
        <v>5600</v>
      </c>
      <c r="D338" s="0" t="n">
        <v>322</v>
      </c>
      <c r="E338" s="0" t="str">
        <f aca="false">IFERROR(IF(OR(HLOOKUP($A338,#REF!,3,FALSE())&gt;2,HLOOKUP(A338,#REF!,3,FALSE())&lt;-2),"",#REF!),"")</f>
        <v/>
      </c>
      <c r="F338" s="0" t="str">
        <f aca="false">IFERROR(IF(OR(HLOOKUP($A338,#REF!,4,FALSE())&gt;2,HLOOKUP($A338,#REF!,4,FALSE())&lt;-2),"",#REF!),"")</f>
        <v/>
      </c>
      <c r="G338" s="0" t="str">
        <f aca="false">IFERROR(IF(OR(HLOOKUP($A338,#REF!,5,FALSE())&gt;2,HLOOKUP($A338,#REF!,5,FALSE())&lt;-2),"",#REF!),"")</f>
        <v/>
      </c>
      <c r="H338" s="0" t="str">
        <f aca="false">IFERROR(IF(OR(HLOOKUP($A338,#REF!,6,FALSE())&gt;2,HLOOKUP($A338,#REF!,6,FALSE())&lt;-2),"",#REF!),"")</f>
        <v/>
      </c>
      <c r="I338" s="0" t="str">
        <f aca="false">IFERROR(IF(OR(HLOOKUP($A338,#REF!,7,FALSE())&gt;2,HLOOKUP($A338,#REF!,7,FALSE())&lt;-2),"",#REF!),"")</f>
        <v/>
      </c>
      <c r="J338" s="0" t="str">
        <f aca="false">IFERROR(IF(OR(HLOOKUP($A338,#REF!,8,FALSE())&gt;2,HLOOKUP($A338,#REF!,8,FALSE())&lt;-2),"",#REF!),"")</f>
        <v/>
      </c>
      <c r="K338" s="0" t="str">
        <f aca="false">IFERROR(IF(OR(HLOOKUP($A338,#REF!,9,FALSE())&gt;2,HLOOKUP($A338,#REF!,9,FALSE())&lt;-2),"",#REF!),"")</f>
        <v/>
      </c>
      <c r="L338" s="0" t="str">
        <f aca="false">IFERROR(IF(OR(HLOOKUP($A338,#REF!,10,FALSE())&gt;2,HLOOKUP($A338,#REF!,10,FALSE())&lt;-2),"",#REF!),"")</f>
        <v/>
      </c>
      <c r="M338" s="0" t="str">
        <f aca="false">IFERROR(IF(OR(HLOOKUP($A338,#REF!,11,FALSE())&gt;2,HLOOKUP($A338,#REF!,11,FALSE())&lt;-2),"",#REF!),"")</f>
        <v/>
      </c>
      <c r="N338" s="0" t="str">
        <f aca="false">IFERROR(IF(OR(HLOOKUP($A338,#REF!,12,FALSE())&gt;2,HLOOKUP($A338,#REF!,12,FALSE())&lt;-2),"",#REF!),"")</f>
        <v/>
      </c>
      <c r="O338" s="0" t="str">
        <f aca="false">IFERROR(IF(OR(HLOOKUP($A338,#REF!,13,FALSE())&gt;2,HLOOKUP($A338,#REF!,13,FALSE())&lt;-2),"",#REF!),"")</f>
        <v/>
      </c>
      <c r="P338" s="0" t="str">
        <f aca="false">IFERROR(IF(OR(HLOOKUP($A338,#REF!,14,FALSE())&gt;2,HLOOKUP($A338,#REF!,14,FALSE())&lt;-2),"",#REF!),"")</f>
        <v/>
      </c>
      <c r="Q338" s="0" t="str">
        <f aca="false">IFERROR(IF(OR(HLOOKUP($A338,#REF!,15,FALSE())&gt;2,HLOOKUP($A338,#REF!,15,FALSE())&lt;-2),"",#REF!),"")</f>
        <v/>
      </c>
      <c r="R338" s="0" t="str">
        <f aca="false">IFERROR(IF(OR(HLOOKUP($A338,#REF!,16,FALSE())&gt;2,HLOOKUP($A338,#REF!,16,FALSE())&lt;-2),"",#REF!),"")</f>
        <v/>
      </c>
      <c r="S338" s="0" t="str">
        <f aca="false">IFERROR(IF(OR(HLOOKUP($A338,#REF!,17,FALSE())&gt;2,HLOOKUP($A338,#REF!,17,FALSE())&lt;-2),"",#REF!),"")</f>
        <v/>
      </c>
      <c r="T338" s="0" t="str">
        <f aca="false">IFERROR(IF(OR(HLOOKUP($A338,#REF!,18,FALSE())&gt;2,HLOOKUP($A338,#REF!,18,FALSE())&lt;-2),"",#REF!),"")</f>
        <v/>
      </c>
      <c r="U338" s="0" t="str">
        <f aca="false">IFERROR(IF(OR(HLOOKUP($A338,#REF!,19,FALSE())&gt;2,HLOOKUP($A338,#REF!,19,FALSE())&lt;-2),"",#REF!),"")</f>
        <v/>
      </c>
      <c r="V338" s="0" t="n">
        <f aca="false">IFERROR(IF(AND(X338=0,Y338=0),0,1),0)</f>
        <v>1</v>
      </c>
      <c r="W338" s="3" t="str">
        <f aca="false">IFERROR(_xlfn.T.TEST(E338:M338,N338:U338,2,2),"")</f>
        <v/>
      </c>
      <c r="X338" s="0" t="str">
        <f aca="false">IFERROR(AVERAGE(E338:M338),"")</f>
        <v/>
      </c>
      <c r="Y338" s="0" t="str">
        <f aca="false">IFERROR(AVERAGE(N338:U338),"")</f>
        <v/>
      </c>
    </row>
    <row r="339" customFormat="false" ht="14.5" hidden="false" customHeight="false" outlineLevel="0" collapsed="false">
      <c r="A339" s="0" t="n">
        <v>346</v>
      </c>
      <c r="B339" s="0" t="s">
        <v>417</v>
      </c>
      <c r="C339" s="0" t="n">
        <v>3000</v>
      </c>
      <c r="D339" s="0" t="n">
        <v>322</v>
      </c>
      <c r="E339" s="0" t="str">
        <f aca="false">IFERROR(IF(OR(HLOOKUP($A339,#REF!,3,FALSE())&gt;2,HLOOKUP(A339,#REF!,3,FALSE())&lt;-2),"",#REF!),"")</f>
        <v/>
      </c>
      <c r="F339" s="0" t="str">
        <f aca="false">IFERROR(IF(OR(HLOOKUP($A339,#REF!,4,FALSE())&gt;2,HLOOKUP($A339,#REF!,4,FALSE())&lt;-2),"",#REF!),"")</f>
        <v/>
      </c>
      <c r="G339" s="0" t="str">
        <f aca="false">IFERROR(IF(OR(HLOOKUP($A339,#REF!,5,FALSE())&gt;2,HLOOKUP($A339,#REF!,5,FALSE())&lt;-2),"",#REF!),"")</f>
        <v/>
      </c>
      <c r="H339" s="0" t="str">
        <f aca="false">IFERROR(IF(OR(HLOOKUP($A339,#REF!,6,FALSE())&gt;2,HLOOKUP($A339,#REF!,6,FALSE())&lt;-2),"",#REF!),"")</f>
        <v/>
      </c>
      <c r="I339" s="0" t="str">
        <f aca="false">IFERROR(IF(OR(HLOOKUP($A339,#REF!,7,FALSE())&gt;2,HLOOKUP($A339,#REF!,7,FALSE())&lt;-2),"",#REF!),"")</f>
        <v/>
      </c>
      <c r="J339" s="0" t="str">
        <f aca="false">IFERROR(IF(OR(HLOOKUP($A339,#REF!,8,FALSE())&gt;2,HLOOKUP($A339,#REF!,8,FALSE())&lt;-2),"",#REF!),"")</f>
        <v/>
      </c>
      <c r="K339" s="0" t="str">
        <f aca="false">IFERROR(IF(OR(HLOOKUP($A339,#REF!,9,FALSE())&gt;2,HLOOKUP($A339,#REF!,9,FALSE())&lt;-2),"",#REF!),"")</f>
        <v/>
      </c>
      <c r="L339" s="0" t="str">
        <f aca="false">IFERROR(IF(OR(HLOOKUP($A339,#REF!,10,FALSE())&gt;2,HLOOKUP($A339,#REF!,10,FALSE())&lt;-2),"",#REF!),"")</f>
        <v/>
      </c>
      <c r="M339" s="0" t="str">
        <f aca="false">IFERROR(IF(OR(HLOOKUP($A339,#REF!,11,FALSE())&gt;2,HLOOKUP($A339,#REF!,11,FALSE())&lt;-2),"",#REF!),"")</f>
        <v/>
      </c>
      <c r="N339" s="0" t="str">
        <f aca="false">IFERROR(IF(OR(HLOOKUP($A339,#REF!,12,FALSE())&gt;2,HLOOKUP($A339,#REF!,12,FALSE())&lt;-2),"",#REF!),"")</f>
        <v/>
      </c>
      <c r="O339" s="0" t="str">
        <f aca="false">IFERROR(IF(OR(HLOOKUP($A339,#REF!,13,FALSE())&gt;2,HLOOKUP($A339,#REF!,13,FALSE())&lt;-2),"",#REF!),"")</f>
        <v/>
      </c>
      <c r="P339" s="0" t="str">
        <f aca="false">IFERROR(IF(OR(HLOOKUP($A339,#REF!,14,FALSE())&gt;2,HLOOKUP($A339,#REF!,14,FALSE())&lt;-2),"",#REF!),"")</f>
        <v/>
      </c>
      <c r="Q339" s="0" t="str">
        <f aca="false">IFERROR(IF(OR(HLOOKUP($A339,#REF!,15,FALSE())&gt;2,HLOOKUP($A339,#REF!,15,FALSE())&lt;-2),"",#REF!),"")</f>
        <v/>
      </c>
      <c r="R339" s="0" t="str">
        <f aca="false">IFERROR(IF(OR(HLOOKUP($A339,#REF!,16,FALSE())&gt;2,HLOOKUP($A339,#REF!,16,FALSE())&lt;-2),"",#REF!),"")</f>
        <v/>
      </c>
      <c r="S339" s="0" t="str">
        <f aca="false">IFERROR(IF(OR(HLOOKUP($A339,#REF!,17,FALSE())&gt;2,HLOOKUP($A339,#REF!,17,FALSE())&lt;-2),"",#REF!),"")</f>
        <v/>
      </c>
      <c r="T339" s="0" t="str">
        <f aca="false">IFERROR(IF(OR(HLOOKUP($A339,#REF!,18,FALSE())&gt;2,HLOOKUP($A339,#REF!,18,FALSE())&lt;-2),"",#REF!),"")</f>
        <v/>
      </c>
      <c r="U339" s="0" t="str">
        <f aca="false">IFERROR(IF(OR(HLOOKUP($A339,#REF!,19,FALSE())&gt;2,HLOOKUP($A339,#REF!,19,FALSE())&lt;-2),"",#REF!),"")</f>
        <v/>
      </c>
      <c r="V339" s="0" t="n">
        <f aca="false">IFERROR(IF(AND(X339=0,Y339=0),0,1),0)</f>
        <v>1</v>
      </c>
      <c r="W339" s="3" t="str">
        <f aca="false">IFERROR(_xlfn.T.TEST(E339:M339,N339:U339,2,2),"")</f>
        <v/>
      </c>
      <c r="X339" s="0" t="str">
        <f aca="false">IFERROR(AVERAGE(E339:M339),"")</f>
        <v/>
      </c>
      <c r="Y339" s="0" t="str">
        <f aca="false">IFERROR(AVERAGE(N339:U339),"")</f>
        <v/>
      </c>
    </row>
    <row r="340" customFormat="false" ht="14.5" hidden="false" customHeight="false" outlineLevel="0" collapsed="false">
      <c r="A340" s="0" t="n">
        <v>347</v>
      </c>
      <c r="B340" s="0" t="s">
        <v>418</v>
      </c>
      <c r="C340" s="0" t="n">
        <v>73600</v>
      </c>
      <c r="D340" s="0" t="n">
        <v>141</v>
      </c>
      <c r="E340" s="0" t="str">
        <f aca="false">IFERROR(IF(OR(HLOOKUP($A340,#REF!,3,FALSE())&gt;2,HLOOKUP(A340,#REF!,3,FALSE())&lt;-2),"",#REF!),"")</f>
        <v/>
      </c>
      <c r="F340" s="0" t="str">
        <f aca="false">IFERROR(IF(OR(HLOOKUP($A340,#REF!,4,FALSE())&gt;2,HLOOKUP($A340,#REF!,4,FALSE())&lt;-2),"",#REF!),"")</f>
        <v/>
      </c>
      <c r="G340" s="0" t="str">
        <f aca="false">IFERROR(IF(OR(HLOOKUP($A340,#REF!,5,FALSE())&gt;2,HLOOKUP($A340,#REF!,5,FALSE())&lt;-2),"",#REF!),"")</f>
        <v/>
      </c>
      <c r="H340" s="0" t="str">
        <f aca="false">IFERROR(IF(OR(HLOOKUP($A340,#REF!,6,FALSE())&gt;2,HLOOKUP($A340,#REF!,6,FALSE())&lt;-2),"",#REF!),"")</f>
        <v/>
      </c>
      <c r="I340" s="0" t="str">
        <f aca="false">IFERROR(IF(OR(HLOOKUP($A340,#REF!,7,FALSE())&gt;2,HLOOKUP($A340,#REF!,7,FALSE())&lt;-2),"",#REF!),"")</f>
        <v/>
      </c>
      <c r="J340" s="0" t="str">
        <f aca="false">IFERROR(IF(OR(HLOOKUP($A340,#REF!,8,FALSE())&gt;2,HLOOKUP($A340,#REF!,8,FALSE())&lt;-2),"",#REF!),"")</f>
        <v/>
      </c>
      <c r="K340" s="0" t="str">
        <f aca="false">IFERROR(IF(OR(HLOOKUP($A340,#REF!,9,FALSE())&gt;2,HLOOKUP($A340,#REF!,9,FALSE())&lt;-2),"",#REF!),"")</f>
        <v/>
      </c>
      <c r="L340" s="0" t="str">
        <f aca="false">IFERROR(IF(OR(HLOOKUP($A340,#REF!,10,FALSE())&gt;2,HLOOKUP($A340,#REF!,10,FALSE())&lt;-2),"",#REF!),"")</f>
        <v/>
      </c>
      <c r="M340" s="0" t="str">
        <f aca="false">IFERROR(IF(OR(HLOOKUP($A340,#REF!,11,FALSE())&gt;2,HLOOKUP($A340,#REF!,11,FALSE())&lt;-2),"",#REF!),"")</f>
        <v/>
      </c>
      <c r="N340" s="0" t="str">
        <f aca="false">IFERROR(IF(OR(HLOOKUP($A340,#REF!,12,FALSE())&gt;2,HLOOKUP($A340,#REF!,12,FALSE())&lt;-2),"",#REF!),"")</f>
        <v/>
      </c>
      <c r="O340" s="0" t="str">
        <f aca="false">IFERROR(IF(OR(HLOOKUP($A340,#REF!,13,FALSE())&gt;2,HLOOKUP($A340,#REF!,13,FALSE())&lt;-2),"",#REF!),"")</f>
        <v/>
      </c>
      <c r="P340" s="0" t="str">
        <f aca="false">IFERROR(IF(OR(HLOOKUP($A340,#REF!,14,FALSE())&gt;2,HLOOKUP($A340,#REF!,14,FALSE())&lt;-2),"",#REF!),"")</f>
        <v/>
      </c>
      <c r="Q340" s="0" t="str">
        <f aca="false">IFERROR(IF(OR(HLOOKUP($A340,#REF!,15,FALSE())&gt;2,HLOOKUP($A340,#REF!,15,FALSE())&lt;-2),"",#REF!),"")</f>
        <v/>
      </c>
      <c r="R340" s="0" t="str">
        <f aca="false">IFERROR(IF(OR(HLOOKUP($A340,#REF!,16,FALSE())&gt;2,HLOOKUP($A340,#REF!,16,FALSE())&lt;-2),"",#REF!),"")</f>
        <v/>
      </c>
      <c r="S340" s="0" t="str">
        <f aca="false">IFERROR(IF(OR(HLOOKUP($A340,#REF!,17,FALSE())&gt;2,HLOOKUP($A340,#REF!,17,FALSE())&lt;-2),"",#REF!),"")</f>
        <v/>
      </c>
      <c r="T340" s="0" t="str">
        <f aca="false">IFERROR(IF(OR(HLOOKUP($A340,#REF!,18,FALSE())&gt;2,HLOOKUP($A340,#REF!,18,FALSE())&lt;-2),"",#REF!),"")</f>
        <v/>
      </c>
      <c r="U340" s="0" t="str">
        <f aca="false">IFERROR(IF(OR(HLOOKUP($A340,#REF!,19,FALSE())&gt;2,HLOOKUP($A340,#REF!,19,FALSE())&lt;-2),"",#REF!),"")</f>
        <v/>
      </c>
      <c r="V340" s="0" t="n">
        <f aca="false">IFERROR(IF(AND(X340=0,Y340=0),0,1),0)</f>
        <v>1</v>
      </c>
      <c r="W340" s="3" t="str">
        <f aca="false">IFERROR(_xlfn.T.TEST(E340:M340,N340:U340,2,2),"")</f>
        <v/>
      </c>
      <c r="X340" s="0" t="str">
        <f aca="false">IFERROR(AVERAGE(E340:M340),"")</f>
        <v/>
      </c>
      <c r="Y340" s="0" t="str">
        <f aca="false">IFERROR(AVERAGE(N340:U340),"")</f>
        <v/>
      </c>
    </row>
    <row r="341" customFormat="false" ht="14.5" hidden="false" customHeight="false" outlineLevel="0" collapsed="false">
      <c r="A341" s="0" t="n">
        <v>348</v>
      </c>
      <c r="B341" s="0" t="s">
        <v>419</v>
      </c>
      <c r="C341" s="0" t="n">
        <v>83700</v>
      </c>
      <c r="D341" s="0" t="n">
        <v>313</v>
      </c>
      <c r="E341" s="0" t="str">
        <f aca="false">IFERROR(IF(OR(HLOOKUP($A341,#REF!,3,FALSE())&gt;2,HLOOKUP(A341,#REF!,3,FALSE())&lt;-2),"",#REF!),"")</f>
        <v/>
      </c>
      <c r="F341" s="0" t="str">
        <f aca="false">IFERROR(IF(OR(HLOOKUP($A341,#REF!,4,FALSE())&gt;2,HLOOKUP($A341,#REF!,4,FALSE())&lt;-2),"",#REF!),"")</f>
        <v/>
      </c>
      <c r="G341" s="0" t="str">
        <f aca="false">IFERROR(IF(OR(HLOOKUP($A341,#REF!,5,FALSE())&gt;2,HLOOKUP($A341,#REF!,5,FALSE())&lt;-2),"",#REF!),"")</f>
        <v/>
      </c>
      <c r="H341" s="0" t="str">
        <f aca="false">IFERROR(IF(OR(HLOOKUP($A341,#REF!,6,FALSE())&gt;2,HLOOKUP($A341,#REF!,6,FALSE())&lt;-2),"",#REF!),"")</f>
        <v/>
      </c>
      <c r="I341" s="0" t="str">
        <f aca="false">IFERROR(IF(OR(HLOOKUP($A341,#REF!,7,FALSE())&gt;2,HLOOKUP($A341,#REF!,7,FALSE())&lt;-2),"",#REF!),"")</f>
        <v/>
      </c>
      <c r="J341" s="0" t="str">
        <f aca="false">IFERROR(IF(OR(HLOOKUP($A341,#REF!,8,FALSE())&gt;2,HLOOKUP($A341,#REF!,8,FALSE())&lt;-2),"",#REF!),"")</f>
        <v/>
      </c>
      <c r="K341" s="0" t="str">
        <f aca="false">IFERROR(IF(OR(HLOOKUP($A341,#REF!,9,FALSE())&gt;2,HLOOKUP($A341,#REF!,9,FALSE())&lt;-2),"",#REF!),"")</f>
        <v/>
      </c>
      <c r="L341" s="0" t="str">
        <f aca="false">IFERROR(IF(OR(HLOOKUP($A341,#REF!,10,FALSE())&gt;2,HLOOKUP($A341,#REF!,10,FALSE())&lt;-2),"",#REF!),"")</f>
        <v/>
      </c>
      <c r="M341" s="0" t="str">
        <f aca="false">IFERROR(IF(OR(HLOOKUP($A341,#REF!,11,FALSE())&gt;2,HLOOKUP($A341,#REF!,11,FALSE())&lt;-2),"",#REF!),"")</f>
        <v/>
      </c>
      <c r="N341" s="0" t="str">
        <f aca="false">IFERROR(IF(OR(HLOOKUP($A341,#REF!,12,FALSE())&gt;2,HLOOKUP($A341,#REF!,12,FALSE())&lt;-2),"",#REF!),"")</f>
        <v/>
      </c>
      <c r="O341" s="0" t="str">
        <f aca="false">IFERROR(IF(OR(HLOOKUP($A341,#REF!,13,FALSE())&gt;2,HLOOKUP($A341,#REF!,13,FALSE())&lt;-2),"",#REF!),"")</f>
        <v/>
      </c>
      <c r="P341" s="0" t="str">
        <f aca="false">IFERROR(IF(OR(HLOOKUP($A341,#REF!,14,FALSE())&gt;2,HLOOKUP($A341,#REF!,14,FALSE())&lt;-2),"",#REF!),"")</f>
        <v/>
      </c>
      <c r="Q341" s="0" t="str">
        <f aca="false">IFERROR(IF(OR(HLOOKUP($A341,#REF!,15,FALSE())&gt;2,HLOOKUP($A341,#REF!,15,FALSE())&lt;-2),"",#REF!),"")</f>
        <v/>
      </c>
      <c r="R341" s="0" t="str">
        <f aca="false">IFERROR(IF(OR(HLOOKUP($A341,#REF!,16,FALSE())&gt;2,HLOOKUP($A341,#REF!,16,FALSE())&lt;-2),"",#REF!),"")</f>
        <v/>
      </c>
      <c r="S341" s="0" t="str">
        <f aca="false">IFERROR(IF(OR(HLOOKUP($A341,#REF!,17,FALSE())&gt;2,HLOOKUP($A341,#REF!,17,FALSE())&lt;-2),"",#REF!),"")</f>
        <v/>
      </c>
      <c r="T341" s="0" t="str">
        <f aca="false">IFERROR(IF(OR(HLOOKUP($A341,#REF!,18,FALSE())&gt;2,HLOOKUP($A341,#REF!,18,FALSE())&lt;-2),"",#REF!),"")</f>
        <v/>
      </c>
      <c r="U341" s="0" t="str">
        <f aca="false">IFERROR(IF(OR(HLOOKUP($A341,#REF!,19,FALSE())&gt;2,HLOOKUP($A341,#REF!,19,FALSE())&lt;-2),"",#REF!),"")</f>
        <v/>
      </c>
      <c r="V341" s="0" t="n">
        <f aca="false">IFERROR(IF(AND(X341=0,Y341=0),0,1),0)</f>
        <v>1</v>
      </c>
      <c r="W341" s="3" t="str">
        <f aca="false">IFERROR(_xlfn.T.TEST(E341:M341,N341:U341,2,2),"")</f>
        <v/>
      </c>
      <c r="X341" s="0" t="str">
        <f aca="false">IFERROR(AVERAGE(E341:M341),"")</f>
        <v/>
      </c>
      <c r="Y341" s="0" t="str">
        <f aca="false">IFERROR(AVERAGE(N341:U341),"")</f>
        <v/>
      </c>
    </row>
    <row r="342" customFormat="false" ht="14.5" hidden="false" customHeight="false" outlineLevel="0" collapsed="false">
      <c r="A342" s="0" t="n">
        <v>349</v>
      </c>
      <c r="B342" s="0" t="s">
        <v>420</v>
      </c>
      <c r="C342" s="0" t="n">
        <v>113100</v>
      </c>
      <c r="D342" s="0" t="n">
        <v>824</v>
      </c>
      <c r="E342" s="0" t="str">
        <f aca="false">IFERROR(IF(OR(HLOOKUP($A342,#REF!,3,FALSE())&gt;2,HLOOKUP(A342,#REF!,3,FALSE())&lt;-2),"",#REF!),"")</f>
        <v/>
      </c>
      <c r="F342" s="0" t="str">
        <f aca="false">IFERROR(IF(OR(HLOOKUP($A342,#REF!,4,FALSE())&gt;2,HLOOKUP($A342,#REF!,4,FALSE())&lt;-2),"",#REF!),"")</f>
        <v/>
      </c>
      <c r="G342" s="0" t="str">
        <f aca="false">IFERROR(IF(OR(HLOOKUP($A342,#REF!,5,FALSE())&gt;2,HLOOKUP($A342,#REF!,5,FALSE())&lt;-2),"",#REF!),"")</f>
        <v/>
      </c>
      <c r="H342" s="0" t="str">
        <f aca="false">IFERROR(IF(OR(HLOOKUP($A342,#REF!,6,FALSE())&gt;2,HLOOKUP($A342,#REF!,6,FALSE())&lt;-2),"",#REF!),"")</f>
        <v/>
      </c>
      <c r="I342" s="0" t="str">
        <f aca="false">IFERROR(IF(OR(HLOOKUP($A342,#REF!,7,FALSE())&gt;2,HLOOKUP($A342,#REF!,7,FALSE())&lt;-2),"",#REF!),"")</f>
        <v/>
      </c>
      <c r="J342" s="0" t="str">
        <f aca="false">IFERROR(IF(OR(HLOOKUP($A342,#REF!,8,FALSE())&gt;2,HLOOKUP($A342,#REF!,8,FALSE())&lt;-2),"",#REF!),"")</f>
        <v/>
      </c>
      <c r="K342" s="0" t="str">
        <f aca="false">IFERROR(IF(OR(HLOOKUP($A342,#REF!,9,FALSE())&gt;2,HLOOKUP($A342,#REF!,9,FALSE())&lt;-2),"",#REF!),"")</f>
        <v/>
      </c>
      <c r="L342" s="0" t="str">
        <f aca="false">IFERROR(IF(OR(HLOOKUP($A342,#REF!,10,FALSE())&gt;2,HLOOKUP($A342,#REF!,10,FALSE())&lt;-2),"",#REF!),"")</f>
        <v/>
      </c>
      <c r="M342" s="0" t="str">
        <f aca="false">IFERROR(IF(OR(HLOOKUP($A342,#REF!,11,FALSE())&gt;2,HLOOKUP($A342,#REF!,11,FALSE())&lt;-2),"",#REF!),"")</f>
        <v/>
      </c>
      <c r="N342" s="0" t="str">
        <f aca="false">IFERROR(IF(OR(HLOOKUP($A342,#REF!,12,FALSE())&gt;2,HLOOKUP($A342,#REF!,12,FALSE())&lt;-2),"",#REF!),"")</f>
        <v/>
      </c>
      <c r="O342" s="0" t="str">
        <f aca="false">IFERROR(IF(OR(HLOOKUP($A342,#REF!,13,FALSE())&gt;2,HLOOKUP($A342,#REF!,13,FALSE())&lt;-2),"",#REF!),"")</f>
        <v/>
      </c>
      <c r="P342" s="0" t="str">
        <f aca="false">IFERROR(IF(OR(HLOOKUP($A342,#REF!,14,FALSE())&gt;2,HLOOKUP($A342,#REF!,14,FALSE())&lt;-2),"",#REF!),"")</f>
        <v/>
      </c>
      <c r="Q342" s="0" t="str">
        <f aca="false">IFERROR(IF(OR(HLOOKUP($A342,#REF!,15,FALSE())&gt;2,HLOOKUP($A342,#REF!,15,FALSE())&lt;-2),"",#REF!),"")</f>
        <v/>
      </c>
      <c r="R342" s="0" t="str">
        <f aca="false">IFERROR(IF(OR(HLOOKUP($A342,#REF!,16,FALSE())&gt;2,HLOOKUP($A342,#REF!,16,FALSE())&lt;-2),"",#REF!),"")</f>
        <v/>
      </c>
      <c r="S342" s="0" t="str">
        <f aca="false">IFERROR(IF(OR(HLOOKUP($A342,#REF!,17,FALSE())&gt;2,HLOOKUP($A342,#REF!,17,FALSE())&lt;-2),"",#REF!),"")</f>
        <v/>
      </c>
      <c r="T342" s="0" t="str">
        <f aca="false">IFERROR(IF(OR(HLOOKUP($A342,#REF!,18,FALSE())&gt;2,HLOOKUP($A342,#REF!,18,FALSE())&lt;-2),"",#REF!),"")</f>
        <v/>
      </c>
      <c r="U342" s="0" t="str">
        <f aca="false">IFERROR(IF(OR(HLOOKUP($A342,#REF!,19,FALSE())&gt;2,HLOOKUP($A342,#REF!,19,FALSE())&lt;-2),"",#REF!),"")</f>
        <v/>
      </c>
      <c r="V342" s="0" t="n">
        <f aca="false">IFERROR(IF(AND(X342=0,Y342=0),0,1),0)</f>
        <v>1</v>
      </c>
      <c r="W342" s="3" t="str">
        <f aca="false">IFERROR(_xlfn.T.TEST(E342:M342,N342:U342,2,2),"")</f>
        <v/>
      </c>
      <c r="X342" s="0" t="str">
        <f aca="false">IFERROR(AVERAGE(E342:M342),"")</f>
        <v/>
      </c>
      <c r="Y342" s="0" t="str">
        <f aca="false">IFERROR(AVERAGE(N342:U342),"")</f>
        <v/>
      </c>
    </row>
    <row r="343" customFormat="false" ht="14.5" hidden="false" customHeight="false" outlineLevel="0" collapsed="false">
      <c r="A343" s="0" t="n">
        <v>350</v>
      </c>
      <c r="B343" s="0" t="s">
        <v>421</v>
      </c>
      <c r="C343" s="0" t="n">
        <v>89200</v>
      </c>
      <c r="D343" s="0" t="n">
        <v>1117</v>
      </c>
      <c r="E343" s="0" t="str">
        <f aca="false">IFERROR(IF(OR(HLOOKUP($A343,#REF!,3,FALSE())&gt;2,HLOOKUP(A343,#REF!,3,FALSE())&lt;-2),"",#REF!),"")</f>
        <v/>
      </c>
      <c r="F343" s="0" t="str">
        <f aca="false">IFERROR(IF(OR(HLOOKUP($A343,#REF!,4,FALSE())&gt;2,HLOOKUP($A343,#REF!,4,FALSE())&lt;-2),"",#REF!),"")</f>
        <v/>
      </c>
      <c r="G343" s="0" t="str">
        <f aca="false">IFERROR(IF(OR(HLOOKUP($A343,#REF!,5,FALSE())&gt;2,HLOOKUP($A343,#REF!,5,FALSE())&lt;-2),"",#REF!),"")</f>
        <v/>
      </c>
      <c r="H343" s="0" t="str">
        <f aca="false">IFERROR(IF(OR(HLOOKUP($A343,#REF!,6,FALSE())&gt;2,HLOOKUP($A343,#REF!,6,FALSE())&lt;-2),"",#REF!),"")</f>
        <v/>
      </c>
      <c r="I343" s="0" t="str">
        <f aca="false">IFERROR(IF(OR(HLOOKUP($A343,#REF!,7,FALSE())&gt;2,HLOOKUP($A343,#REF!,7,FALSE())&lt;-2),"",#REF!),"")</f>
        <v/>
      </c>
      <c r="J343" s="0" t="str">
        <f aca="false">IFERROR(IF(OR(HLOOKUP($A343,#REF!,8,FALSE())&gt;2,HLOOKUP($A343,#REF!,8,FALSE())&lt;-2),"",#REF!),"")</f>
        <v/>
      </c>
      <c r="K343" s="0" t="str">
        <f aca="false">IFERROR(IF(OR(HLOOKUP($A343,#REF!,9,FALSE())&gt;2,HLOOKUP($A343,#REF!,9,FALSE())&lt;-2),"",#REF!),"")</f>
        <v/>
      </c>
      <c r="L343" s="0" t="str">
        <f aca="false">IFERROR(IF(OR(HLOOKUP($A343,#REF!,10,FALSE())&gt;2,HLOOKUP($A343,#REF!,10,FALSE())&lt;-2),"",#REF!),"")</f>
        <v/>
      </c>
      <c r="M343" s="0" t="str">
        <f aca="false">IFERROR(IF(OR(HLOOKUP($A343,#REF!,11,FALSE())&gt;2,HLOOKUP($A343,#REF!,11,FALSE())&lt;-2),"",#REF!),"")</f>
        <v/>
      </c>
      <c r="N343" s="0" t="str">
        <f aca="false">IFERROR(IF(OR(HLOOKUP($A343,#REF!,12,FALSE())&gt;2,HLOOKUP($A343,#REF!,12,FALSE())&lt;-2),"",#REF!),"")</f>
        <v/>
      </c>
      <c r="O343" s="0" t="str">
        <f aca="false">IFERROR(IF(OR(HLOOKUP($A343,#REF!,13,FALSE())&gt;2,HLOOKUP($A343,#REF!,13,FALSE())&lt;-2),"",#REF!),"")</f>
        <v/>
      </c>
      <c r="P343" s="0" t="str">
        <f aca="false">IFERROR(IF(OR(HLOOKUP($A343,#REF!,14,FALSE())&gt;2,HLOOKUP($A343,#REF!,14,FALSE())&lt;-2),"",#REF!),"")</f>
        <v/>
      </c>
      <c r="Q343" s="0" t="str">
        <f aca="false">IFERROR(IF(OR(HLOOKUP($A343,#REF!,15,FALSE())&gt;2,HLOOKUP($A343,#REF!,15,FALSE())&lt;-2),"",#REF!),"")</f>
        <v/>
      </c>
      <c r="R343" s="0" t="str">
        <f aca="false">IFERROR(IF(OR(HLOOKUP($A343,#REF!,16,FALSE())&gt;2,HLOOKUP($A343,#REF!,16,FALSE())&lt;-2),"",#REF!),"")</f>
        <v/>
      </c>
      <c r="S343" s="0" t="str">
        <f aca="false">IFERROR(IF(OR(HLOOKUP($A343,#REF!,17,FALSE())&gt;2,HLOOKUP($A343,#REF!,17,FALSE())&lt;-2),"",#REF!),"")</f>
        <v/>
      </c>
      <c r="T343" s="0" t="str">
        <f aca="false">IFERROR(IF(OR(HLOOKUP($A343,#REF!,18,FALSE())&gt;2,HLOOKUP($A343,#REF!,18,FALSE())&lt;-2),"",#REF!),"")</f>
        <v/>
      </c>
      <c r="U343" s="0" t="str">
        <f aca="false">IFERROR(IF(OR(HLOOKUP($A343,#REF!,19,FALSE())&gt;2,HLOOKUP($A343,#REF!,19,FALSE())&lt;-2),"",#REF!),"")</f>
        <v/>
      </c>
      <c r="V343" s="0" t="n">
        <f aca="false">IFERROR(IF(AND(X343=0,Y343=0),0,1),0)</f>
        <v>1</v>
      </c>
      <c r="W343" s="3" t="str">
        <f aca="false">IFERROR(_xlfn.T.TEST(E343:M343,N343:U343,2,2),"")</f>
        <v/>
      </c>
      <c r="X343" s="0" t="str">
        <f aca="false">IFERROR(AVERAGE(E343:M343),"")</f>
        <v/>
      </c>
      <c r="Y343" s="0" t="str">
        <f aca="false">IFERROR(AVERAGE(N343:U343),"")</f>
        <v/>
      </c>
    </row>
    <row r="344" customFormat="false" ht="14.5" hidden="false" customHeight="false" outlineLevel="0" collapsed="false">
      <c r="A344" s="0" t="n">
        <v>351</v>
      </c>
      <c r="B344" s="0" t="s">
        <v>422</v>
      </c>
      <c r="C344" s="0" t="n">
        <v>52900</v>
      </c>
      <c r="D344" s="0" t="n">
        <v>809</v>
      </c>
      <c r="E344" s="0" t="str">
        <f aca="false">IFERROR(IF(OR(HLOOKUP($A344,#REF!,3,FALSE())&gt;2,HLOOKUP(A344,#REF!,3,FALSE())&lt;-2),"",#REF!),"")</f>
        <v/>
      </c>
      <c r="F344" s="0" t="str">
        <f aca="false">IFERROR(IF(OR(HLOOKUP($A344,#REF!,4,FALSE())&gt;2,HLOOKUP($A344,#REF!,4,FALSE())&lt;-2),"",#REF!),"")</f>
        <v/>
      </c>
      <c r="G344" s="0" t="str">
        <f aca="false">IFERROR(IF(OR(HLOOKUP($A344,#REF!,5,FALSE())&gt;2,HLOOKUP($A344,#REF!,5,FALSE())&lt;-2),"",#REF!),"")</f>
        <v/>
      </c>
      <c r="H344" s="0" t="str">
        <f aca="false">IFERROR(IF(OR(HLOOKUP($A344,#REF!,6,FALSE())&gt;2,HLOOKUP($A344,#REF!,6,FALSE())&lt;-2),"",#REF!),"")</f>
        <v/>
      </c>
      <c r="I344" s="0" t="str">
        <f aca="false">IFERROR(IF(OR(HLOOKUP($A344,#REF!,7,FALSE())&gt;2,HLOOKUP($A344,#REF!,7,FALSE())&lt;-2),"",#REF!),"")</f>
        <v/>
      </c>
      <c r="J344" s="0" t="str">
        <f aca="false">IFERROR(IF(OR(HLOOKUP($A344,#REF!,8,FALSE())&gt;2,HLOOKUP($A344,#REF!,8,FALSE())&lt;-2),"",#REF!),"")</f>
        <v/>
      </c>
      <c r="K344" s="0" t="str">
        <f aca="false">IFERROR(IF(OR(HLOOKUP($A344,#REF!,9,FALSE())&gt;2,HLOOKUP($A344,#REF!,9,FALSE())&lt;-2),"",#REF!),"")</f>
        <v/>
      </c>
      <c r="L344" s="0" t="str">
        <f aca="false">IFERROR(IF(OR(HLOOKUP($A344,#REF!,10,FALSE())&gt;2,HLOOKUP($A344,#REF!,10,FALSE())&lt;-2),"",#REF!),"")</f>
        <v/>
      </c>
      <c r="M344" s="0" t="str">
        <f aca="false">IFERROR(IF(OR(HLOOKUP($A344,#REF!,11,FALSE())&gt;2,HLOOKUP($A344,#REF!,11,FALSE())&lt;-2),"",#REF!),"")</f>
        <v/>
      </c>
      <c r="N344" s="0" t="str">
        <f aca="false">IFERROR(IF(OR(HLOOKUP($A344,#REF!,12,FALSE())&gt;2,HLOOKUP($A344,#REF!,12,FALSE())&lt;-2),"",#REF!),"")</f>
        <v/>
      </c>
      <c r="O344" s="0" t="str">
        <f aca="false">IFERROR(IF(OR(HLOOKUP($A344,#REF!,13,FALSE())&gt;2,HLOOKUP($A344,#REF!,13,FALSE())&lt;-2),"",#REF!),"")</f>
        <v/>
      </c>
      <c r="P344" s="0" t="str">
        <f aca="false">IFERROR(IF(OR(HLOOKUP($A344,#REF!,14,FALSE())&gt;2,HLOOKUP($A344,#REF!,14,FALSE())&lt;-2),"",#REF!),"")</f>
        <v/>
      </c>
      <c r="Q344" s="0" t="str">
        <f aca="false">IFERROR(IF(OR(HLOOKUP($A344,#REF!,15,FALSE())&gt;2,HLOOKUP($A344,#REF!,15,FALSE())&lt;-2),"",#REF!),"")</f>
        <v/>
      </c>
      <c r="R344" s="0" t="str">
        <f aca="false">IFERROR(IF(OR(HLOOKUP($A344,#REF!,16,FALSE())&gt;2,HLOOKUP($A344,#REF!,16,FALSE())&lt;-2),"",#REF!),"")</f>
        <v/>
      </c>
      <c r="S344" s="0" t="str">
        <f aca="false">IFERROR(IF(OR(HLOOKUP($A344,#REF!,17,FALSE())&gt;2,HLOOKUP($A344,#REF!,17,FALSE())&lt;-2),"",#REF!),"")</f>
        <v/>
      </c>
      <c r="T344" s="0" t="str">
        <f aca="false">IFERROR(IF(OR(HLOOKUP($A344,#REF!,18,FALSE())&gt;2,HLOOKUP($A344,#REF!,18,FALSE())&lt;-2),"",#REF!),"")</f>
        <v/>
      </c>
      <c r="U344" s="0" t="str">
        <f aca="false">IFERROR(IF(OR(HLOOKUP($A344,#REF!,19,FALSE())&gt;2,HLOOKUP($A344,#REF!,19,FALSE())&lt;-2),"",#REF!),"")</f>
        <v/>
      </c>
      <c r="V344" s="0" t="n">
        <f aca="false">IFERROR(IF(AND(X344=0,Y344=0),0,1),0)</f>
        <v>1</v>
      </c>
      <c r="W344" s="3" t="str">
        <f aca="false">IFERROR(_xlfn.T.TEST(E344:M344,N344:U344,2,2),"")</f>
        <v/>
      </c>
      <c r="X344" s="0" t="str">
        <f aca="false">IFERROR(AVERAGE(E344:M344),"")</f>
        <v/>
      </c>
      <c r="Y344" s="0" t="str">
        <f aca="false">IFERROR(AVERAGE(N344:U344),"")</f>
        <v/>
      </c>
    </row>
    <row r="345" customFormat="false" ht="14.5" hidden="false" customHeight="false" outlineLevel="0" collapsed="false">
      <c r="A345" s="0" t="n">
        <v>352</v>
      </c>
      <c r="B345" s="0" t="s">
        <v>423</v>
      </c>
      <c r="C345" s="0" t="n">
        <v>21100</v>
      </c>
      <c r="D345" s="0" t="n">
        <v>714</v>
      </c>
      <c r="E345" s="0" t="str">
        <f aca="false">IFERROR(IF(OR(HLOOKUP($A345,#REF!,3,FALSE())&gt;2,HLOOKUP(A345,#REF!,3,FALSE())&lt;-2),"",#REF!),"")</f>
        <v/>
      </c>
      <c r="F345" s="0" t="str">
        <f aca="false">IFERROR(IF(OR(HLOOKUP($A345,#REF!,4,FALSE())&gt;2,HLOOKUP($A345,#REF!,4,FALSE())&lt;-2),"",#REF!),"")</f>
        <v/>
      </c>
      <c r="G345" s="0" t="str">
        <f aca="false">IFERROR(IF(OR(HLOOKUP($A345,#REF!,5,FALSE())&gt;2,HLOOKUP($A345,#REF!,5,FALSE())&lt;-2),"",#REF!),"")</f>
        <v/>
      </c>
      <c r="H345" s="0" t="str">
        <f aca="false">IFERROR(IF(OR(HLOOKUP($A345,#REF!,6,FALSE())&gt;2,HLOOKUP($A345,#REF!,6,FALSE())&lt;-2),"",#REF!),"")</f>
        <v/>
      </c>
      <c r="I345" s="0" t="str">
        <f aca="false">IFERROR(IF(OR(HLOOKUP($A345,#REF!,7,FALSE())&gt;2,HLOOKUP($A345,#REF!,7,FALSE())&lt;-2),"",#REF!),"")</f>
        <v/>
      </c>
      <c r="J345" s="0" t="str">
        <f aca="false">IFERROR(IF(OR(HLOOKUP($A345,#REF!,8,FALSE())&gt;2,HLOOKUP($A345,#REF!,8,FALSE())&lt;-2),"",#REF!),"")</f>
        <v/>
      </c>
      <c r="K345" s="0" t="str">
        <f aca="false">IFERROR(IF(OR(HLOOKUP($A345,#REF!,9,FALSE())&gt;2,HLOOKUP($A345,#REF!,9,FALSE())&lt;-2),"",#REF!),"")</f>
        <v/>
      </c>
      <c r="L345" s="0" t="str">
        <f aca="false">IFERROR(IF(OR(HLOOKUP($A345,#REF!,10,FALSE())&gt;2,HLOOKUP($A345,#REF!,10,FALSE())&lt;-2),"",#REF!),"")</f>
        <v/>
      </c>
      <c r="M345" s="0" t="str">
        <f aca="false">IFERROR(IF(OR(HLOOKUP($A345,#REF!,11,FALSE())&gt;2,HLOOKUP($A345,#REF!,11,FALSE())&lt;-2),"",#REF!),"")</f>
        <v/>
      </c>
      <c r="N345" s="0" t="str">
        <f aca="false">IFERROR(IF(OR(HLOOKUP($A345,#REF!,12,FALSE())&gt;2,HLOOKUP($A345,#REF!,12,FALSE())&lt;-2),"",#REF!),"")</f>
        <v/>
      </c>
      <c r="O345" s="0" t="str">
        <f aca="false">IFERROR(IF(OR(HLOOKUP($A345,#REF!,13,FALSE())&gt;2,HLOOKUP($A345,#REF!,13,FALSE())&lt;-2),"",#REF!),"")</f>
        <v/>
      </c>
      <c r="P345" s="0" t="str">
        <f aca="false">IFERROR(IF(OR(HLOOKUP($A345,#REF!,14,FALSE())&gt;2,HLOOKUP($A345,#REF!,14,FALSE())&lt;-2),"",#REF!),"")</f>
        <v/>
      </c>
      <c r="Q345" s="0" t="str">
        <f aca="false">IFERROR(IF(OR(HLOOKUP($A345,#REF!,15,FALSE())&gt;2,HLOOKUP($A345,#REF!,15,FALSE())&lt;-2),"",#REF!),"")</f>
        <v/>
      </c>
      <c r="R345" s="0" t="str">
        <f aca="false">IFERROR(IF(OR(HLOOKUP($A345,#REF!,16,FALSE())&gt;2,HLOOKUP($A345,#REF!,16,FALSE())&lt;-2),"",#REF!),"")</f>
        <v/>
      </c>
      <c r="S345" s="0" t="str">
        <f aca="false">IFERROR(IF(OR(HLOOKUP($A345,#REF!,17,FALSE())&gt;2,HLOOKUP($A345,#REF!,17,FALSE())&lt;-2),"",#REF!),"")</f>
        <v/>
      </c>
      <c r="T345" s="0" t="str">
        <f aca="false">IFERROR(IF(OR(HLOOKUP($A345,#REF!,18,FALSE())&gt;2,HLOOKUP($A345,#REF!,18,FALSE())&lt;-2),"",#REF!),"")</f>
        <v/>
      </c>
      <c r="U345" s="0" t="str">
        <f aca="false">IFERROR(IF(OR(HLOOKUP($A345,#REF!,19,FALSE())&gt;2,HLOOKUP($A345,#REF!,19,FALSE())&lt;-2),"",#REF!),"")</f>
        <v/>
      </c>
      <c r="V345" s="0" t="n">
        <f aca="false">IFERROR(IF(AND(X345=0,Y345=0),0,1),0)</f>
        <v>1</v>
      </c>
      <c r="W345" s="3" t="str">
        <f aca="false">IFERROR(_xlfn.T.TEST(E345:M345,N345:U345,2,2),"")</f>
        <v/>
      </c>
      <c r="X345" s="0" t="str">
        <f aca="false">IFERROR(AVERAGE(E345:M345),"")</f>
        <v/>
      </c>
      <c r="Y345" s="0" t="str">
        <f aca="false">IFERROR(AVERAGE(N345:U345),"")</f>
        <v/>
      </c>
    </row>
    <row r="346" customFormat="false" ht="14.5" hidden="false" customHeight="false" outlineLevel="0" collapsed="false">
      <c r="A346" s="0" t="n">
        <v>353</v>
      </c>
      <c r="B346" s="0" t="s">
        <v>424</v>
      </c>
      <c r="C346" s="0" t="n">
        <v>3500</v>
      </c>
      <c r="D346" s="0" t="n">
        <v>322</v>
      </c>
      <c r="E346" s="0" t="str">
        <f aca="false">IFERROR(IF(OR(HLOOKUP($A346,#REF!,3,FALSE())&gt;2,HLOOKUP(A346,#REF!,3,FALSE())&lt;-2),"",#REF!),"")</f>
        <v/>
      </c>
      <c r="F346" s="0" t="str">
        <f aca="false">IFERROR(IF(OR(HLOOKUP($A346,#REF!,4,FALSE())&gt;2,HLOOKUP($A346,#REF!,4,FALSE())&lt;-2),"",#REF!),"")</f>
        <v/>
      </c>
      <c r="G346" s="0" t="str">
        <f aca="false">IFERROR(IF(OR(HLOOKUP($A346,#REF!,5,FALSE())&gt;2,HLOOKUP($A346,#REF!,5,FALSE())&lt;-2),"",#REF!),"")</f>
        <v/>
      </c>
      <c r="H346" s="0" t="str">
        <f aca="false">IFERROR(IF(OR(HLOOKUP($A346,#REF!,6,FALSE())&gt;2,HLOOKUP($A346,#REF!,6,FALSE())&lt;-2),"",#REF!),"")</f>
        <v/>
      </c>
      <c r="I346" s="0" t="str">
        <f aca="false">IFERROR(IF(OR(HLOOKUP($A346,#REF!,7,FALSE())&gt;2,HLOOKUP($A346,#REF!,7,FALSE())&lt;-2),"",#REF!),"")</f>
        <v/>
      </c>
      <c r="J346" s="0" t="str">
        <f aca="false">IFERROR(IF(OR(HLOOKUP($A346,#REF!,8,FALSE())&gt;2,HLOOKUP($A346,#REF!,8,FALSE())&lt;-2),"",#REF!),"")</f>
        <v/>
      </c>
      <c r="K346" s="0" t="str">
        <f aca="false">IFERROR(IF(OR(HLOOKUP($A346,#REF!,9,FALSE())&gt;2,HLOOKUP($A346,#REF!,9,FALSE())&lt;-2),"",#REF!),"")</f>
        <v/>
      </c>
      <c r="L346" s="0" t="str">
        <f aca="false">IFERROR(IF(OR(HLOOKUP($A346,#REF!,10,FALSE())&gt;2,HLOOKUP($A346,#REF!,10,FALSE())&lt;-2),"",#REF!),"")</f>
        <v/>
      </c>
      <c r="M346" s="0" t="str">
        <f aca="false">IFERROR(IF(OR(HLOOKUP($A346,#REF!,11,FALSE())&gt;2,HLOOKUP($A346,#REF!,11,FALSE())&lt;-2),"",#REF!),"")</f>
        <v/>
      </c>
      <c r="N346" s="0" t="str">
        <f aca="false">IFERROR(IF(OR(HLOOKUP($A346,#REF!,12,FALSE())&gt;2,HLOOKUP($A346,#REF!,12,FALSE())&lt;-2),"",#REF!),"")</f>
        <v/>
      </c>
      <c r="O346" s="0" t="str">
        <f aca="false">IFERROR(IF(OR(HLOOKUP($A346,#REF!,13,FALSE())&gt;2,HLOOKUP($A346,#REF!,13,FALSE())&lt;-2),"",#REF!),"")</f>
        <v/>
      </c>
      <c r="P346" s="0" t="str">
        <f aca="false">IFERROR(IF(OR(HLOOKUP($A346,#REF!,14,FALSE())&gt;2,HLOOKUP($A346,#REF!,14,FALSE())&lt;-2),"",#REF!),"")</f>
        <v/>
      </c>
      <c r="Q346" s="0" t="str">
        <f aca="false">IFERROR(IF(OR(HLOOKUP($A346,#REF!,15,FALSE())&gt;2,HLOOKUP($A346,#REF!,15,FALSE())&lt;-2),"",#REF!),"")</f>
        <v/>
      </c>
      <c r="R346" s="0" t="str">
        <f aca="false">IFERROR(IF(OR(HLOOKUP($A346,#REF!,16,FALSE())&gt;2,HLOOKUP($A346,#REF!,16,FALSE())&lt;-2),"",#REF!),"")</f>
        <v/>
      </c>
      <c r="S346" s="0" t="str">
        <f aca="false">IFERROR(IF(OR(HLOOKUP($A346,#REF!,17,FALSE())&gt;2,HLOOKUP($A346,#REF!,17,FALSE())&lt;-2),"",#REF!),"")</f>
        <v/>
      </c>
      <c r="T346" s="0" t="str">
        <f aca="false">IFERROR(IF(OR(HLOOKUP($A346,#REF!,18,FALSE())&gt;2,HLOOKUP($A346,#REF!,18,FALSE())&lt;-2),"",#REF!),"")</f>
        <v/>
      </c>
      <c r="U346" s="0" t="str">
        <f aca="false">IFERROR(IF(OR(HLOOKUP($A346,#REF!,19,FALSE())&gt;2,HLOOKUP($A346,#REF!,19,FALSE())&lt;-2),"",#REF!),"")</f>
        <v/>
      </c>
      <c r="V346" s="0" t="n">
        <f aca="false">IFERROR(IF(AND(X346=0,Y346=0),0,1),0)</f>
        <v>1</v>
      </c>
      <c r="W346" s="3" t="str">
        <f aca="false">IFERROR(_xlfn.T.TEST(E346:M346,N346:U346,2,2),"")</f>
        <v/>
      </c>
      <c r="X346" s="0" t="str">
        <f aca="false">IFERROR(AVERAGE(E346:M346),"")</f>
        <v/>
      </c>
      <c r="Y346" s="0" t="str">
        <f aca="false">IFERROR(AVERAGE(N346:U346),"")</f>
        <v/>
      </c>
    </row>
    <row r="347" customFormat="false" ht="14.5" hidden="false" customHeight="false" outlineLevel="0" collapsed="false">
      <c r="A347" s="0" t="n">
        <v>354</v>
      </c>
      <c r="B347" s="0" t="s">
        <v>425</v>
      </c>
      <c r="C347" s="0" t="n">
        <v>89400</v>
      </c>
      <c r="D347" s="0" t="n">
        <v>1065</v>
      </c>
      <c r="E347" s="0" t="str">
        <f aca="false">IFERROR(IF(OR(HLOOKUP($A347,#REF!,3,FALSE())&gt;2,HLOOKUP(A347,#REF!,3,FALSE())&lt;-2),"",#REF!),"")</f>
        <v/>
      </c>
      <c r="F347" s="0" t="str">
        <f aca="false">IFERROR(IF(OR(HLOOKUP($A347,#REF!,4,FALSE())&gt;2,HLOOKUP($A347,#REF!,4,FALSE())&lt;-2),"",#REF!),"")</f>
        <v/>
      </c>
      <c r="G347" s="0" t="str">
        <f aca="false">IFERROR(IF(OR(HLOOKUP($A347,#REF!,5,FALSE())&gt;2,HLOOKUP($A347,#REF!,5,FALSE())&lt;-2),"",#REF!),"")</f>
        <v/>
      </c>
      <c r="H347" s="0" t="str">
        <f aca="false">IFERROR(IF(OR(HLOOKUP($A347,#REF!,6,FALSE())&gt;2,HLOOKUP($A347,#REF!,6,FALSE())&lt;-2),"",#REF!),"")</f>
        <v/>
      </c>
      <c r="I347" s="0" t="str">
        <f aca="false">IFERROR(IF(OR(HLOOKUP($A347,#REF!,7,FALSE())&gt;2,HLOOKUP($A347,#REF!,7,FALSE())&lt;-2),"",#REF!),"")</f>
        <v/>
      </c>
      <c r="J347" s="0" t="str">
        <f aca="false">IFERROR(IF(OR(HLOOKUP($A347,#REF!,8,FALSE())&gt;2,HLOOKUP($A347,#REF!,8,FALSE())&lt;-2),"",#REF!),"")</f>
        <v/>
      </c>
      <c r="K347" s="0" t="str">
        <f aca="false">IFERROR(IF(OR(HLOOKUP($A347,#REF!,9,FALSE())&gt;2,HLOOKUP($A347,#REF!,9,FALSE())&lt;-2),"",#REF!),"")</f>
        <v/>
      </c>
      <c r="L347" s="0" t="str">
        <f aca="false">IFERROR(IF(OR(HLOOKUP($A347,#REF!,10,FALSE())&gt;2,HLOOKUP($A347,#REF!,10,FALSE())&lt;-2),"",#REF!),"")</f>
        <v/>
      </c>
      <c r="M347" s="0" t="str">
        <f aca="false">IFERROR(IF(OR(HLOOKUP($A347,#REF!,11,FALSE())&gt;2,HLOOKUP($A347,#REF!,11,FALSE())&lt;-2),"",#REF!),"")</f>
        <v/>
      </c>
      <c r="N347" s="0" t="str">
        <f aca="false">IFERROR(IF(OR(HLOOKUP($A347,#REF!,12,FALSE())&gt;2,HLOOKUP($A347,#REF!,12,FALSE())&lt;-2),"",#REF!),"")</f>
        <v/>
      </c>
      <c r="O347" s="0" t="str">
        <f aca="false">IFERROR(IF(OR(HLOOKUP($A347,#REF!,13,FALSE())&gt;2,HLOOKUP($A347,#REF!,13,FALSE())&lt;-2),"",#REF!),"")</f>
        <v/>
      </c>
      <c r="P347" s="0" t="str">
        <f aca="false">IFERROR(IF(OR(HLOOKUP($A347,#REF!,14,FALSE())&gt;2,HLOOKUP($A347,#REF!,14,FALSE())&lt;-2),"",#REF!),"")</f>
        <v/>
      </c>
      <c r="Q347" s="0" t="str">
        <f aca="false">IFERROR(IF(OR(HLOOKUP($A347,#REF!,15,FALSE())&gt;2,HLOOKUP($A347,#REF!,15,FALSE())&lt;-2),"",#REF!),"")</f>
        <v/>
      </c>
      <c r="R347" s="0" t="str">
        <f aca="false">IFERROR(IF(OR(HLOOKUP($A347,#REF!,16,FALSE())&gt;2,HLOOKUP($A347,#REF!,16,FALSE())&lt;-2),"",#REF!),"")</f>
        <v/>
      </c>
      <c r="S347" s="0" t="str">
        <f aca="false">IFERROR(IF(OR(HLOOKUP($A347,#REF!,17,FALSE())&gt;2,HLOOKUP($A347,#REF!,17,FALSE())&lt;-2),"",#REF!),"")</f>
        <v/>
      </c>
      <c r="T347" s="0" t="str">
        <f aca="false">IFERROR(IF(OR(HLOOKUP($A347,#REF!,18,FALSE())&gt;2,HLOOKUP($A347,#REF!,18,FALSE())&lt;-2),"",#REF!),"")</f>
        <v/>
      </c>
      <c r="U347" s="0" t="str">
        <f aca="false">IFERROR(IF(OR(HLOOKUP($A347,#REF!,19,FALSE())&gt;2,HLOOKUP($A347,#REF!,19,FALSE())&lt;-2),"",#REF!),"")</f>
        <v/>
      </c>
      <c r="V347" s="0" t="n">
        <f aca="false">IFERROR(IF(AND(X347=0,Y347=0),0,1),0)</f>
        <v>1</v>
      </c>
      <c r="W347" s="3" t="str">
        <f aca="false">IFERROR(_xlfn.T.TEST(E347:M347,N347:U347,2,2),"")</f>
        <v/>
      </c>
      <c r="X347" s="0" t="str">
        <f aca="false">IFERROR(AVERAGE(E347:M347),"")</f>
        <v/>
      </c>
      <c r="Y347" s="0" t="str">
        <f aca="false">IFERROR(AVERAGE(N347:U347),"")</f>
        <v/>
      </c>
    </row>
    <row r="348" customFormat="false" ht="14.5" hidden="false" customHeight="false" outlineLevel="0" collapsed="false">
      <c r="A348" s="0" t="n">
        <v>355</v>
      </c>
      <c r="B348" s="0" t="s">
        <v>426</v>
      </c>
      <c r="C348" s="0" t="n">
        <v>24500</v>
      </c>
      <c r="D348" s="0" t="n">
        <v>111</v>
      </c>
      <c r="E348" s="0" t="str">
        <f aca="false">IFERROR(IF(OR(HLOOKUP($A348,#REF!,3,FALSE())&gt;2,HLOOKUP(A348,#REF!,3,FALSE())&lt;-2),"",#REF!),"")</f>
        <v/>
      </c>
      <c r="F348" s="0" t="str">
        <f aca="false">IFERROR(IF(OR(HLOOKUP($A348,#REF!,4,FALSE())&gt;2,HLOOKUP($A348,#REF!,4,FALSE())&lt;-2),"",#REF!),"")</f>
        <v/>
      </c>
      <c r="G348" s="0" t="str">
        <f aca="false">IFERROR(IF(OR(HLOOKUP($A348,#REF!,5,FALSE())&gt;2,HLOOKUP($A348,#REF!,5,FALSE())&lt;-2),"",#REF!),"")</f>
        <v/>
      </c>
      <c r="H348" s="0" t="str">
        <f aca="false">IFERROR(IF(OR(HLOOKUP($A348,#REF!,6,FALSE())&gt;2,HLOOKUP($A348,#REF!,6,FALSE())&lt;-2),"",#REF!),"")</f>
        <v/>
      </c>
      <c r="I348" s="0" t="str">
        <f aca="false">IFERROR(IF(OR(HLOOKUP($A348,#REF!,7,FALSE())&gt;2,HLOOKUP($A348,#REF!,7,FALSE())&lt;-2),"",#REF!),"")</f>
        <v/>
      </c>
      <c r="J348" s="0" t="str">
        <f aca="false">IFERROR(IF(OR(HLOOKUP($A348,#REF!,8,FALSE())&gt;2,HLOOKUP($A348,#REF!,8,FALSE())&lt;-2),"",#REF!),"")</f>
        <v/>
      </c>
      <c r="K348" s="0" t="str">
        <f aca="false">IFERROR(IF(OR(HLOOKUP($A348,#REF!,9,FALSE())&gt;2,HLOOKUP($A348,#REF!,9,FALSE())&lt;-2),"",#REF!),"")</f>
        <v/>
      </c>
      <c r="L348" s="0" t="str">
        <f aca="false">IFERROR(IF(OR(HLOOKUP($A348,#REF!,10,FALSE())&gt;2,HLOOKUP($A348,#REF!,10,FALSE())&lt;-2),"",#REF!),"")</f>
        <v/>
      </c>
      <c r="M348" s="0" t="str">
        <f aca="false">IFERROR(IF(OR(HLOOKUP($A348,#REF!,11,FALSE())&gt;2,HLOOKUP($A348,#REF!,11,FALSE())&lt;-2),"",#REF!),"")</f>
        <v/>
      </c>
      <c r="N348" s="0" t="str">
        <f aca="false">IFERROR(IF(OR(HLOOKUP($A348,#REF!,12,FALSE())&gt;2,HLOOKUP($A348,#REF!,12,FALSE())&lt;-2),"",#REF!),"")</f>
        <v/>
      </c>
      <c r="O348" s="0" t="str">
        <f aca="false">IFERROR(IF(OR(HLOOKUP($A348,#REF!,13,FALSE())&gt;2,HLOOKUP($A348,#REF!,13,FALSE())&lt;-2),"",#REF!),"")</f>
        <v/>
      </c>
      <c r="P348" s="0" t="str">
        <f aca="false">IFERROR(IF(OR(HLOOKUP($A348,#REF!,14,FALSE())&gt;2,HLOOKUP($A348,#REF!,14,FALSE())&lt;-2),"",#REF!),"")</f>
        <v/>
      </c>
      <c r="Q348" s="0" t="str">
        <f aca="false">IFERROR(IF(OR(HLOOKUP($A348,#REF!,15,FALSE())&gt;2,HLOOKUP($A348,#REF!,15,FALSE())&lt;-2),"",#REF!),"")</f>
        <v/>
      </c>
      <c r="R348" s="0" t="str">
        <f aca="false">IFERROR(IF(OR(HLOOKUP($A348,#REF!,16,FALSE())&gt;2,HLOOKUP($A348,#REF!,16,FALSE())&lt;-2),"",#REF!),"")</f>
        <v/>
      </c>
      <c r="S348" s="0" t="str">
        <f aca="false">IFERROR(IF(OR(HLOOKUP($A348,#REF!,17,FALSE())&gt;2,HLOOKUP($A348,#REF!,17,FALSE())&lt;-2),"",#REF!),"")</f>
        <v/>
      </c>
      <c r="T348" s="0" t="str">
        <f aca="false">IFERROR(IF(OR(HLOOKUP($A348,#REF!,18,FALSE())&gt;2,HLOOKUP($A348,#REF!,18,FALSE())&lt;-2),"",#REF!),"")</f>
        <v/>
      </c>
      <c r="U348" s="0" t="str">
        <f aca="false">IFERROR(IF(OR(HLOOKUP($A348,#REF!,19,FALSE())&gt;2,HLOOKUP($A348,#REF!,19,FALSE())&lt;-2),"",#REF!),"")</f>
        <v/>
      </c>
      <c r="V348" s="0" t="n">
        <f aca="false">IFERROR(IF(AND(X348=0,Y348=0),0,1),0)</f>
        <v>1</v>
      </c>
      <c r="W348" s="3" t="str">
        <f aca="false">IFERROR(_xlfn.T.TEST(E348:M348,N348:U348,2,2),"")</f>
        <v/>
      </c>
      <c r="X348" s="0" t="str">
        <f aca="false">IFERROR(AVERAGE(E348:M348),"")</f>
        <v/>
      </c>
      <c r="Y348" s="0" t="str">
        <f aca="false">IFERROR(AVERAGE(N348:U348),"")</f>
        <v/>
      </c>
    </row>
    <row r="349" customFormat="false" ht="14.5" hidden="false" customHeight="false" outlineLevel="0" collapsed="false">
      <c r="A349" s="0" t="n">
        <v>356</v>
      </c>
      <c r="B349" s="0" t="s">
        <v>427</v>
      </c>
      <c r="C349" s="0" t="n">
        <v>77600</v>
      </c>
      <c r="D349" s="0" t="n">
        <v>290</v>
      </c>
      <c r="E349" s="0" t="str">
        <f aca="false">IFERROR(IF(OR(HLOOKUP($A349,#REF!,3,FALSE())&gt;2,HLOOKUP(A349,#REF!,3,FALSE())&lt;-2),"",#REF!),"")</f>
        <v/>
      </c>
      <c r="F349" s="0" t="str">
        <f aca="false">IFERROR(IF(OR(HLOOKUP($A349,#REF!,4,FALSE())&gt;2,HLOOKUP($A349,#REF!,4,FALSE())&lt;-2),"",#REF!),"")</f>
        <v/>
      </c>
      <c r="G349" s="0" t="str">
        <f aca="false">IFERROR(IF(OR(HLOOKUP($A349,#REF!,5,FALSE())&gt;2,HLOOKUP($A349,#REF!,5,FALSE())&lt;-2),"",#REF!),"")</f>
        <v/>
      </c>
      <c r="H349" s="0" t="str">
        <f aca="false">IFERROR(IF(OR(HLOOKUP($A349,#REF!,6,FALSE())&gt;2,HLOOKUP($A349,#REF!,6,FALSE())&lt;-2),"",#REF!),"")</f>
        <v/>
      </c>
      <c r="I349" s="0" t="str">
        <f aca="false">IFERROR(IF(OR(HLOOKUP($A349,#REF!,7,FALSE())&gt;2,HLOOKUP($A349,#REF!,7,FALSE())&lt;-2),"",#REF!),"")</f>
        <v/>
      </c>
      <c r="J349" s="0" t="str">
        <f aca="false">IFERROR(IF(OR(HLOOKUP($A349,#REF!,8,FALSE())&gt;2,HLOOKUP($A349,#REF!,8,FALSE())&lt;-2),"",#REF!),"")</f>
        <v/>
      </c>
      <c r="K349" s="0" t="str">
        <f aca="false">IFERROR(IF(OR(HLOOKUP($A349,#REF!,9,FALSE())&gt;2,HLOOKUP($A349,#REF!,9,FALSE())&lt;-2),"",#REF!),"")</f>
        <v/>
      </c>
      <c r="L349" s="0" t="str">
        <f aca="false">IFERROR(IF(OR(HLOOKUP($A349,#REF!,10,FALSE())&gt;2,HLOOKUP($A349,#REF!,10,FALSE())&lt;-2),"",#REF!),"")</f>
        <v/>
      </c>
      <c r="M349" s="0" t="str">
        <f aca="false">IFERROR(IF(OR(HLOOKUP($A349,#REF!,11,FALSE())&gt;2,HLOOKUP($A349,#REF!,11,FALSE())&lt;-2),"",#REF!),"")</f>
        <v/>
      </c>
      <c r="N349" s="0" t="str">
        <f aca="false">IFERROR(IF(OR(HLOOKUP($A349,#REF!,12,FALSE())&gt;2,HLOOKUP($A349,#REF!,12,FALSE())&lt;-2),"",#REF!),"")</f>
        <v/>
      </c>
      <c r="O349" s="0" t="str">
        <f aca="false">IFERROR(IF(OR(HLOOKUP($A349,#REF!,13,FALSE())&gt;2,HLOOKUP($A349,#REF!,13,FALSE())&lt;-2),"",#REF!),"")</f>
        <v/>
      </c>
      <c r="P349" s="0" t="str">
        <f aca="false">IFERROR(IF(OR(HLOOKUP($A349,#REF!,14,FALSE())&gt;2,HLOOKUP($A349,#REF!,14,FALSE())&lt;-2),"",#REF!),"")</f>
        <v/>
      </c>
      <c r="Q349" s="0" t="str">
        <f aca="false">IFERROR(IF(OR(HLOOKUP($A349,#REF!,15,FALSE())&gt;2,HLOOKUP($A349,#REF!,15,FALSE())&lt;-2),"",#REF!),"")</f>
        <v/>
      </c>
      <c r="R349" s="0" t="str">
        <f aca="false">IFERROR(IF(OR(HLOOKUP($A349,#REF!,16,FALSE())&gt;2,HLOOKUP($A349,#REF!,16,FALSE())&lt;-2),"",#REF!),"")</f>
        <v/>
      </c>
      <c r="S349" s="0" t="str">
        <f aca="false">IFERROR(IF(OR(HLOOKUP($A349,#REF!,17,FALSE())&gt;2,HLOOKUP($A349,#REF!,17,FALSE())&lt;-2),"",#REF!),"")</f>
        <v/>
      </c>
      <c r="T349" s="0" t="str">
        <f aca="false">IFERROR(IF(OR(HLOOKUP($A349,#REF!,18,FALSE())&gt;2,HLOOKUP($A349,#REF!,18,FALSE())&lt;-2),"",#REF!),"")</f>
        <v/>
      </c>
      <c r="U349" s="0" t="str">
        <f aca="false">IFERROR(IF(OR(HLOOKUP($A349,#REF!,19,FALSE())&gt;2,HLOOKUP($A349,#REF!,19,FALSE())&lt;-2),"",#REF!),"")</f>
        <v/>
      </c>
      <c r="V349" s="0" t="n">
        <f aca="false">IFERROR(IF(AND(X349=0,Y349=0),0,1),0)</f>
        <v>1</v>
      </c>
      <c r="W349" s="3" t="str">
        <f aca="false">IFERROR(_xlfn.T.TEST(E349:M349,N349:U349,2,2),"")</f>
        <v/>
      </c>
      <c r="X349" s="0" t="str">
        <f aca="false">IFERROR(AVERAGE(E349:M349),"")</f>
        <v/>
      </c>
      <c r="Y349" s="0" t="str">
        <f aca="false">IFERROR(AVERAGE(N349:U349),"")</f>
        <v/>
      </c>
    </row>
    <row r="350" customFormat="false" ht="14.5" hidden="false" customHeight="false" outlineLevel="0" collapsed="false">
      <c r="A350" s="0" t="n">
        <v>357</v>
      </c>
      <c r="B350" s="0" t="s">
        <v>428</v>
      </c>
      <c r="C350" s="0" t="n">
        <v>98900</v>
      </c>
      <c r="D350" s="0" t="n">
        <v>848</v>
      </c>
      <c r="E350" s="0" t="str">
        <f aca="false">IFERROR(IF(OR(HLOOKUP($A350,#REF!,3,FALSE())&gt;2,HLOOKUP(A350,#REF!,3,FALSE())&lt;-2),"",#REF!),"")</f>
        <v/>
      </c>
      <c r="F350" s="0" t="str">
        <f aca="false">IFERROR(IF(OR(HLOOKUP($A350,#REF!,4,FALSE())&gt;2,HLOOKUP($A350,#REF!,4,FALSE())&lt;-2),"",#REF!),"")</f>
        <v/>
      </c>
      <c r="G350" s="0" t="str">
        <f aca="false">IFERROR(IF(OR(HLOOKUP($A350,#REF!,5,FALSE())&gt;2,HLOOKUP($A350,#REF!,5,FALSE())&lt;-2),"",#REF!),"")</f>
        <v/>
      </c>
      <c r="H350" s="0" t="str">
        <f aca="false">IFERROR(IF(OR(HLOOKUP($A350,#REF!,6,FALSE())&gt;2,HLOOKUP($A350,#REF!,6,FALSE())&lt;-2),"",#REF!),"")</f>
        <v/>
      </c>
      <c r="I350" s="0" t="str">
        <f aca="false">IFERROR(IF(OR(HLOOKUP($A350,#REF!,7,FALSE())&gt;2,HLOOKUP($A350,#REF!,7,FALSE())&lt;-2),"",#REF!),"")</f>
        <v/>
      </c>
      <c r="J350" s="0" t="str">
        <f aca="false">IFERROR(IF(OR(HLOOKUP($A350,#REF!,8,FALSE())&gt;2,HLOOKUP($A350,#REF!,8,FALSE())&lt;-2),"",#REF!),"")</f>
        <v/>
      </c>
      <c r="K350" s="0" t="str">
        <f aca="false">IFERROR(IF(OR(HLOOKUP($A350,#REF!,9,FALSE())&gt;2,HLOOKUP($A350,#REF!,9,FALSE())&lt;-2),"",#REF!),"")</f>
        <v/>
      </c>
      <c r="L350" s="0" t="str">
        <f aca="false">IFERROR(IF(OR(HLOOKUP($A350,#REF!,10,FALSE())&gt;2,HLOOKUP($A350,#REF!,10,FALSE())&lt;-2),"",#REF!),"")</f>
        <v/>
      </c>
      <c r="M350" s="0" t="str">
        <f aca="false">IFERROR(IF(OR(HLOOKUP($A350,#REF!,11,FALSE())&gt;2,HLOOKUP($A350,#REF!,11,FALSE())&lt;-2),"",#REF!),"")</f>
        <v/>
      </c>
      <c r="N350" s="0" t="str">
        <f aca="false">IFERROR(IF(OR(HLOOKUP($A350,#REF!,12,FALSE())&gt;2,HLOOKUP($A350,#REF!,12,FALSE())&lt;-2),"",#REF!),"")</f>
        <v/>
      </c>
      <c r="O350" s="0" t="str">
        <f aca="false">IFERROR(IF(OR(HLOOKUP($A350,#REF!,13,FALSE())&gt;2,HLOOKUP($A350,#REF!,13,FALSE())&lt;-2),"",#REF!),"")</f>
        <v/>
      </c>
      <c r="P350" s="0" t="str">
        <f aca="false">IFERROR(IF(OR(HLOOKUP($A350,#REF!,14,FALSE())&gt;2,HLOOKUP($A350,#REF!,14,FALSE())&lt;-2),"",#REF!),"")</f>
        <v/>
      </c>
      <c r="Q350" s="0" t="str">
        <f aca="false">IFERROR(IF(OR(HLOOKUP($A350,#REF!,15,FALSE())&gt;2,HLOOKUP($A350,#REF!,15,FALSE())&lt;-2),"",#REF!),"")</f>
        <v/>
      </c>
      <c r="R350" s="0" t="str">
        <f aca="false">IFERROR(IF(OR(HLOOKUP($A350,#REF!,16,FALSE())&gt;2,HLOOKUP($A350,#REF!,16,FALSE())&lt;-2),"",#REF!),"")</f>
        <v/>
      </c>
      <c r="S350" s="0" t="str">
        <f aca="false">IFERROR(IF(OR(HLOOKUP($A350,#REF!,17,FALSE())&gt;2,HLOOKUP($A350,#REF!,17,FALSE())&lt;-2),"",#REF!),"")</f>
        <v/>
      </c>
      <c r="T350" s="0" t="str">
        <f aca="false">IFERROR(IF(OR(HLOOKUP($A350,#REF!,18,FALSE())&gt;2,HLOOKUP($A350,#REF!,18,FALSE())&lt;-2),"",#REF!),"")</f>
        <v/>
      </c>
      <c r="U350" s="0" t="str">
        <f aca="false">IFERROR(IF(OR(HLOOKUP($A350,#REF!,19,FALSE())&gt;2,HLOOKUP($A350,#REF!,19,FALSE())&lt;-2),"",#REF!),"")</f>
        <v/>
      </c>
      <c r="V350" s="0" t="n">
        <f aca="false">IFERROR(IF(AND(X350=0,Y350=0),0,1),0)</f>
        <v>1</v>
      </c>
      <c r="W350" s="3" t="str">
        <f aca="false">IFERROR(_xlfn.T.TEST(E350:M350,N350:U350,2,2),"")</f>
        <v/>
      </c>
      <c r="X350" s="0" t="str">
        <f aca="false">IFERROR(AVERAGE(E350:M350),"")</f>
        <v/>
      </c>
      <c r="Y350" s="0" t="str">
        <f aca="false">IFERROR(AVERAGE(N350:U350),"")</f>
        <v/>
      </c>
    </row>
    <row r="351" customFormat="false" ht="14.5" hidden="false" customHeight="false" outlineLevel="0" collapsed="false">
      <c r="A351" s="0" t="n">
        <v>358</v>
      </c>
      <c r="B351" s="0" t="s">
        <v>429</v>
      </c>
      <c r="C351" s="0" t="n">
        <v>89300</v>
      </c>
      <c r="D351" s="0" t="n">
        <v>1117</v>
      </c>
      <c r="E351" s="0" t="str">
        <f aca="false">IFERROR(IF(OR(HLOOKUP($A351,#REF!,3,FALSE())&gt;2,HLOOKUP(A351,#REF!,3,FALSE())&lt;-2),"",#REF!),"")</f>
        <v/>
      </c>
      <c r="F351" s="0" t="str">
        <f aca="false">IFERROR(IF(OR(HLOOKUP($A351,#REF!,4,FALSE())&gt;2,HLOOKUP($A351,#REF!,4,FALSE())&lt;-2),"",#REF!),"")</f>
        <v/>
      </c>
      <c r="G351" s="0" t="str">
        <f aca="false">IFERROR(IF(OR(HLOOKUP($A351,#REF!,5,FALSE())&gt;2,HLOOKUP($A351,#REF!,5,FALSE())&lt;-2),"",#REF!),"")</f>
        <v/>
      </c>
      <c r="H351" s="0" t="str">
        <f aca="false">IFERROR(IF(OR(HLOOKUP($A351,#REF!,6,FALSE())&gt;2,HLOOKUP($A351,#REF!,6,FALSE())&lt;-2),"",#REF!),"")</f>
        <v/>
      </c>
      <c r="I351" s="0" t="str">
        <f aca="false">IFERROR(IF(OR(HLOOKUP($A351,#REF!,7,FALSE())&gt;2,HLOOKUP($A351,#REF!,7,FALSE())&lt;-2),"",#REF!),"")</f>
        <v/>
      </c>
      <c r="J351" s="0" t="str">
        <f aca="false">IFERROR(IF(OR(HLOOKUP($A351,#REF!,8,FALSE())&gt;2,HLOOKUP($A351,#REF!,8,FALSE())&lt;-2),"",#REF!),"")</f>
        <v/>
      </c>
      <c r="K351" s="0" t="str">
        <f aca="false">IFERROR(IF(OR(HLOOKUP($A351,#REF!,9,FALSE())&gt;2,HLOOKUP($A351,#REF!,9,FALSE())&lt;-2),"",#REF!),"")</f>
        <v/>
      </c>
      <c r="L351" s="0" t="str">
        <f aca="false">IFERROR(IF(OR(HLOOKUP($A351,#REF!,10,FALSE())&gt;2,HLOOKUP($A351,#REF!,10,FALSE())&lt;-2),"",#REF!),"")</f>
        <v/>
      </c>
      <c r="M351" s="0" t="str">
        <f aca="false">IFERROR(IF(OR(HLOOKUP($A351,#REF!,11,FALSE())&gt;2,HLOOKUP($A351,#REF!,11,FALSE())&lt;-2),"",#REF!),"")</f>
        <v/>
      </c>
      <c r="N351" s="0" t="str">
        <f aca="false">IFERROR(IF(OR(HLOOKUP($A351,#REF!,12,FALSE())&gt;2,HLOOKUP($A351,#REF!,12,FALSE())&lt;-2),"",#REF!),"")</f>
        <v/>
      </c>
      <c r="O351" s="0" t="str">
        <f aca="false">IFERROR(IF(OR(HLOOKUP($A351,#REF!,13,FALSE())&gt;2,HLOOKUP($A351,#REF!,13,FALSE())&lt;-2),"",#REF!),"")</f>
        <v/>
      </c>
      <c r="P351" s="0" t="str">
        <f aca="false">IFERROR(IF(OR(HLOOKUP($A351,#REF!,14,FALSE())&gt;2,HLOOKUP($A351,#REF!,14,FALSE())&lt;-2),"",#REF!),"")</f>
        <v/>
      </c>
      <c r="Q351" s="0" t="str">
        <f aca="false">IFERROR(IF(OR(HLOOKUP($A351,#REF!,15,FALSE())&gt;2,HLOOKUP($A351,#REF!,15,FALSE())&lt;-2),"",#REF!),"")</f>
        <v/>
      </c>
      <c r="R351" s="0" t="str">
        <f aca="false">IFERROR(IF(OR(HLOOKUP($A351,#REF!,16,FALSE())&gt;2,HLOOKUP($A351,#REF!,16,FALSE())&lt;-2),"",#REF!),"")</f>
        <v/>
      </c>
      <c r="S351" s="0" t="str">
        <f aca="false">IFERROR(IF(OR(HLOOKUP($A351,#REF!,17,FALSE())&gt;2,HLOOKUP($A351,#REF!,17,FALSE())&lt;-2),"",#REF!),"")</f>
        <v/>
      </c>
      <c r="T351" s="0" t="str">
        <f aca="false">IFERROR(IF(OR(HLOOKUP($A351,#REF!,18,FALSE())&gt;2,HLOOKUP($A351,#REF!,18,FALSE())&lt;-2),"",#REF!),"")</f>
        <v/>
      </c>
      <c r="U351" s="0" t="str">
        <f aca="false">IFERROR(IF(OR(HLOOKUP($A351,#REF!,19,FALSE())&gt;2,HLOOKUP($A351,#REF!,19,FALSE())&lt;-2),"",#REF!),"")</f>
        <v/>
      </c>
      <c r="V351" s="0" t="n">
        <f aca="false">IFERROR(IF(AND(X351=0,Y351=0),0,1),0)</f>
        <v>1</v>
      </c>
      <c r="W351" s="3" t="str">
        <f aca="false">IFERROR(_xlfn.T.TEST(E351:M351,N351:U351,2,2),"")</f>
        <v/>
      </c>
      <c r="X351" s="0" t="str">
        <f aca="false">IFERROR(AVERAGE(E351:M351),"")</f>
        <v/>
      </c>
      <c r="Y351" s="0" t="str">
        <f aca="false">IFERROR(AVERAGE(N351:U351),"")</f>
        <v/>
      </c>
    </row>
    <row r="352" customFormat="false" ht="14.5" hidden="false" customHeight="false" outlineLevel="0" collapsed="false">
      <c r="A352" s="0" t="n">
        <v>359</v>
      </c>
      <c r="B352" s="0" t="s">
        <v>430</v>
      </c>
      <c r="C352" s="0" t="n">
        <v>53000</v>
      </c>
      <c r="D352" s="0" t="n">
        <v>351</v>
      </c>
      <c r="E352" s="0" t="str">
        <f aca="false">IFERROR(IF(OR(HLOOKUP($A352,#REF!,3,FALSE())&gt;2,HLOOKUP(A352,#REF!,3,FALSE())&lt;-2),"",#REF!),"")</f>
        <v/>
      </c>
      <c r="F352" s="0" t="str">
        <f aca="false">IFERROR(IF(OR(HLOOKUP($A352,#REF!,4,FALSE())&gt;2,HLOOKUP($A352,#REF!,4,FALSE())&lt;-2),"",#REF!),"")</f>
        <v/>
      </c>
      <c r="G352" s="0" t="str">
        <f aca="false">IFERROR(IF(OR(HLOOKUP($A352,#REF!,5,FALSE())&gt;2,HLOOKUP($A352,#REF!,5,FALSE())&lt;-2),"",#REF!),"")</f>
        <v/>
      </c>
      <c r="H352" s="0" t="str">
        <f aca="false">IFERROR(IF(OR(HLOOKUP($A352,#REF!,6,FALSE())&gt;2,HLOOKUP($A352,#REF!,6,FALSE())&lt;-2),"",#REF!),"")</f>
        <v/>
      </c>
      <c r="I352" s="0" t="str">
        <f aca="false">IFERROR(IF(OR(HLOOKUP($A352,#REF!,7,FALSE())&gt;2,HLOOKUP($A352,#REF!,7,FALSE())&lt;-2),"",#REF!),"")</f>
        <v/>
      </c>
      <c r="J352" s="0" t="str">
        <f aca="false">IFERROR(IF(OR(HLOOKUP($A352,#REF!,8,FALSE())&gt;2,HLOOKUP($A352,#REF!,8,FALSE())&lt;-2),"",#REF!),"")</f>
        <v/>
      </c>
      <c r="K352" s="0" t="str">
        <f aca="false">IFERROR(IF(OR(HLOOKUP($A352,#REF!,9,FALSE())&gt;2,HLOOKUP($A352,#REF!,9,FALSE())&lt;-2),"",#REF!),"")</f>
        <v/>
      </c>
      <c r="L352" s="0" t="str">
        <f aca="false">IFERROR(IF(OR(HLOOKUP($A352,#REF!,10,FALSE())&gt;2,HLOOKUP($A352,#REF!,10,FALSE())&lt;-2),"",#REF!),"")</f>
        <v/>
      </c>
      <c r="M352" s="0" t="str">
        <f aca="false">IFERROR(IF(OR(HLOOKUP($A352,#REF!,11,FALSE())&gt;2,HLOOKUP($A352,#REF!,11,FALSE())&lt;-2),"",#REF!),"")</f>
        <v/>
      </c>
      <c r="N352" s="0" t="str">
        <f aca="false">IFERROR(IF(OR(HLOOKUP($A352,#REF!,12,FALSE())&gt;2,HLOOKUP($A352,#REF!,12,FALSE())&lt;-2),"",#REF!),"")</f>
        <v/>
      </c>
      <c r="O352" s="0" t="str">
        <f aca="false">IFERROR(IF(OR(HLOOKUP($A352,#REF!,13,FALSE())&gt;2,HLOOKUP($A352,#REF!,13,FALSE())&lt;-2),"",#REF!),"")</f>
        <v/>
      </c>
      <c r="P352" s="0" t="str">
        <f aca="false">IFERROR(IF(OR(HLOOKUP($A352,#REF!,14,FALSE())&gt;2,HLOOKUP($A352,#REF!,14,FALSE())&lt;-2),"",#REF!),"")</f>
        <v/>
      </c>
      <c r="Q352" s="0" t="str">
        <f aca="false">IFERROR(IF(OR(HLOOKUP($A352,#REF!,15,FALSE())&gt;2,HLOOKUP($A352,#REF!,15,FALSE())&lt;-2),"",#REF!),"")</f>
        <v/>
      </c>
      <c r="R352" s="0" t="str">
        <f aca="false">IFERROR(IF(OR(HLOOKUP($A352,#REF!,16,FALSE())&gt;2,HLOOKUP($A352,#REF!,16,FALSE())&lt;-2),"",#REF!),"")</f>
        <v/>
      </c>
      <c r="S352" s="0" t="str">
        <f aca="false">IFERROR(IF(OR(HLOOKUP($A352,#REF!,17,FALSE())&gt;2,HLOOKUP($A352,#REF!,17,FALSE())&lt;-2),"",#REF!),"")</f>
        <v/>
      </c>
      <c r="T352" s="0" t="str">
        <f aca="false">IFERROR(IF(OR(HLOOKUP($A352,#REF!,18,FALSE())&gt;2,HLOOKUP($A352,#REF!,18,FALSE())&lt;-2),"",#REF!),"")</f>
        <v/>
      </c>
      <c r="U352" s="0" t="str">
        <f aca="false">IFERROR(IF(OR(HLOOKUP($A352,#REF!,19,FALSE())&gt;2,HLOOKUP($A352,#REF!,19,FALSE())&lt;-2),"",#REF!),"")</f>
        <v/>
      </c>
      <c r="V352" s="0" t="n">
        <f aca="false">IFERROR(IF(AND(X352=0,Y352=0),0,1),0)</f>
        <v>1</v>
      </c>
      <c r="W352" s="3" t="str">
        <f aca="false">IFERROR(_xlfn.T.TEST(E352:M352,N352:U352,2,2),"")</f>
        <v/>
      </c>
      <c r="X352" s="0" t="str">
        <f aca="false">IFERROR(AVERAGE(E352:M352),"")</f>
        <v/>
      </c>
      <c r="Y352" s="0" t="str">
        <f aca="false">IFERROR(AVERAGE(N352:U352),"")</f>
        <v/>
      </c>
    </row>
    <row r="353" customFormat="false" ht="14.5" hidden="false" customHeight="false" outlineLevel="0" collapsed="false">
      <c r="A353" s="0" t="n">
        <v>360</v>
      </c>
      <c r="B353" s="0" t="s">
        <v>431</v>
      </c>
      <c r="C353" s="0" t="n">
        <v>33300</v>
      </c>
      <c r="D353" s="0" t="n">
        <v>814</v>
      </c>
      <c r="E353" s="0" t="str">
        <f aca="false">IFERROR(IF(OR(HLOOKUP($A353,#REF!,3,FALSE())&gt;2,HLOOKUP(A353,#REF!,3,FALSE())&lt;-2),"",#REF!),"")</f>
        <v/>
      </c>
      <c r="F353" s="0" t="str">
        <f aca="false">IFERROR(IF(OR(HLOOKUP($A353,#REF!,4,FALSE())&gt;2,HLOOKUP($A353,#REF!,4,FALSE())&lt;-2),"",#REF!),"")</f>
        <v/>
      </c>
      <c r="G353" s="0" t="str">
        <f aca="false">IFERROR(IF(OR(HLOOKUP($A353,#REF!,5,FALSE())&gt;2,HLOOKUP($A353,#REF!,5,FALSE())&lt;-2),"",#REF!),"")</f>
        <v/>
      </c>
      <c r="H353" s="0" t="str">
        <f aca="false">IFERROR(IF(OR(HLOOKUP($A353,#REF!,6,FALSE())&gt;2,HLOOKUP($A353,#REF!,6,FALSE())&lt;-2),"",#REF!),"")</f>
        <v/>
      </c>
      <c r="I353" s="0" t="str">
        <f aca="false">IFERROR(IF(OR(HLOOKUP($A353,#REF!,7,FALSE())&gt;2,HLOOKUP($A353,#REF!,7,FALSE())&lt;-2),"",#REF!),"")</f>
        <v/>
      </c>
      <c r="J353" s="0" t="str">
        <f aca="false">IFERROR(IF(OR(HLOOKUP($A353,#REF!,8,FALSE())&gt;2,HLOOKUP($A353,#REF!,8,FALSE())&lt;-2),"",#REF!),"")</f>
        <v/>
      </c>
      <c r="K353" s="0" t="str">
        <f aca="false">IFERROR(IF(OR(HLOOKUP($A353,#REF!,9,FALSE())&gt;2,HLOOKUP($A353,#REF!,9,FALSE())&lt;-2),"",#REF!),"")</f>
        <v/>
      </c>
      <c r="L353" s="0" t="str">
        <f aca="false">IFERROR(IF(OR(HLOOKUP($A353,#REF!,10,FALSE())&gt;2,HLOOKUP($A353,#REF!,10,FALSE())&lt;-2),"",#REF!),"")</f>
        <v/>
      </c>
      <c r="M353" s="0" t="str">
        <f aca="false">IFERROR(IF(OR(HLOOKUP($A353,#REF!,11,FALSE())&gt;2,HLOOKUP($A353,#REF!,11,FALSE())&lt;-2),"",#REF!),"")</f>
        <v/>
      </c>
      <c r="N353" s="0" t="str">
        <f aca="false">IFERROR(IF(OR(HLOOKUP($A353,#REF!,12,FALSE())&gt;2,HLOOKUP($A353,#REF!,12,FALSE())&lt;-2),"",#REF!),"")</f>
        <v/>
      </c>
      <c r="O353" s="0" t="str">
        <f aca="false">IFERROR(IF(OR(HLOOKUP($A353,#REF!,13,FALSE())&gt;2,HLOOKUP($A353,#REF!,13,FALSE())&lt;-2),"",#REF!),"")</f>
        <v/>
      </c>
      <c r="P353" s="0" t="str">
        <f aca="false">IFERROR(IF(OR(HLOOKUP($A353,#REF!,14,FALSE())&gt;2,HLOOKUP($A353,#REF!,14,FALSE())&lt;-2),"",#REF!),"")</f>
        <v/>
      </c>
      <c r="Q353" s="0" t="str">
        <f aca="false">IFERROR(IF(OR(HLOOKUP($A353,#REF!,15,FALSE())&gt;2,HLOOKUP($A353,#REF!,15,FALSE())&lt;-2),"",#REF!),"")</f>
        <v/>
      </c>
      <c r="R353" s="0" t="str">
        <f aca="false">IFERROR(IF(OR(HLOOKUP($A353,#REF!,16,FALSE())&gt;2,HLOOKUP($A353,#REF!,16,FALSE())&lt;-2),"",#REF!),"")</f>
        <v/>
      </c>
      <c r="S353" s="0" t="str">
        <f aca="false">IFERROR(IF(OR(HLOOKUP($A353,#REF!,17,FALSE())&gt;2,HLOOKUP($A353,#REF!,17,FALSE())&lt;-2),"",#REF!),"")</f>
        <v/>
      </c>
      <c r="T353" s="0" t="str">
        <f aca="false">IFERROR(IF(OR(HLOOKUP($A353,#REF!,18,FALSE())&gt;2,HLOOKUP($A353,#REF!,18,FALSE())&lt;-2),"",#REF!),"")</f>
        <v/>
      </c>
      <c r="U353" s="0" t="str">
        <f aca="false">IFERROR(IF(OR(HLOOKUP($A353,#REF!,19,FALSE())&gt;2,HLOOKUP($A353,#REF!,19,FALSE())&lt;-2),"",#REF!),"")</f>
        <v/>
      </c>
      <c r="V353" s="0" t="n">
        <f aca="false">IFERROR(IF(AND(X353=0,Y353=0),0,1),0)</f>
        <v>1</v>
      </c>
      <c r="W353" s="3" t="str">
        <f aca="false">IFERROR(_xlfn.T.TEST(E353:M353,N353:U353,2,2),"")</f>
        <v/>
      </c>
      <c r="X353" s="0" t="str">
        <f aca="false">IFERROR(AVERAGE(E353:M353),"")</f>
        <v/>
      </c>
      <c r="Y353" s="0" t="str">
        <f aca="false">IFERROR(AVERAGE(N353:U353),"")</f>
        <v/>
      </c>
    </row>
    <row r="354" customFormat="false" ht="14.5" hidden="false" customHeight="false" outlineLevel="0" collapsed="false">
      <c r="A354" s="0" t="n">
        <v>361</v>
      </c>
      <c r="B354" s="0" t="s">
        <v>432</v>
      </c>
      <c r="C354" s="0" t="n">
        <v>7000</v>
      </c>
      <c r="D354" s="0" t="n">
        <v>322</v>
      </c>
      <c r="E354" s="0" t="str">
        <f aca="false">IFERROR(IF(OR(HLOOKUP($A354,#REF!,3,FALSE())&gt;2,HLOOKUP(A354,#REF!,3,FALSE())&lt;-2),"",#REF!),"")</f>
        <v/>
      </c>
      <c r="F354" s="0" t="str">
        <f aca="false">IFERROR(IF(OR(HLOOKUP($A354,#REF!,4,FALSE())&gt;2,HLOOKUP($A354,#REF!,4,FALSE())&lt;-2),"",#REF!),"")</f>
        <v/>
      </c>
      <c r="G354" s="0" t="str">
        <f aca="false">IFERROR(IF(OR(HLOOKUP($A354,#REF!,5,FALSE())&gt;2,HLOOKUP($A354,#REF!,5,FALSE())&lt;-2),"",#REF!),"")</f>
        <v/>
      </c>
      <c r="H354" s="0" t="str">
        <f aca="false">IFERROR(IF(OR(HLOOKUP($A354,#REF!,6,FALSE())&gt;2,HLOOKUP($A354,#REF!,6,FALSE())&lt;-2),"",#REF!),"")</f>
        <v/>
      </c>
      <c r="I354" s="0" t="str">
        <f aca="false">IFERROR(IF(OR(HLOOKUP($A354,#REF!,7,FALSE())&gt;2,HLOOKUP($A354,#REF!,7,FALSE())&lt;-2),"",#REF!),"")</f>
        <v/>
      </c>
      <c r="J354" s="0" t="str">
        <f aca="false">IFERROR(IF(OR(HLOOKUP($A354,#REF!,8,FALSE())&gt;2,HLOOKUP($A354,#REF!,8,FALSE())&lt;-2),"",#REF!),"")</f>
        <v/>
      </c>
      <c r="K354" s="0" t="str">
        <f aca="false">IFERROR(IF(OR(HLOOKUP($A354,#REF!,9,FALSE())&gt;2,HLOOKUP($A354,#REF!,9,FALSE())&lt;-2),"",#REF!),"")</f>
        <v/>
      </c>
      <c r="L354" s="0" t="str">
        <f aca="false">IFERROR(IF(OR(HLOOKUP($A354,#REF!,10,FALSE())&gt;2,HLOOKUP($A354,#REF!,10,FALSE())&lt;-2),"",#REF!),"")</f>
        <v/>
      </c>
      <c r="M354" s="0" t="str">
        <f aca="false">IFERROR(IF(OR(HLOOKUP($A354,#REF!,11,FALSE())&gt;2,HLOOKUP($A354,#REF!,11,FALSE())&lt;-2),"",#REF!),"")</f>
        <v/>
      </c>
      <c r="N354" s="0" t="str">
        <f aca="false">IFERROR(IF(OR(HLOOKUP($A354,#REF!,12,FALSE())&gt;2,HLOOKUP($A354,#REF!,12,FALSE())&lt;-2),"",#REF!),"")</f>
        <v/>
      </c>
      <c r="O354" s="0" t="str">
        <f aca="false">IFERROR(IF(OR(HLOOKUP($A354,#REF!,13,FALSE())&gt;2,HLOOKUP($A354,#REF!,13,FALSE())&lt;-2),"",#REF!),"")</f>
        <v/>
      </c>
      <c r="P354" s="0" t="str">
        <f aca="false">IFERROR(IF(OR(HLOOKUP($A354,#REF!,14,FALSE())&gt;2,HLOOKUP($A354,#REF!,14,FALSE())&lt;-2),"",#REF!),"")</f>
        <v/>
      </c>
      <c r="Q354" s="0" t="str">
        <f aca="false">IFERROR(IF(OR(HLOOKUP($A354,#REF!,15,FALSE())&gt;2,HLOOKUP($A354,#REF!,15,FALSE())&lt;-2),"",#REF!),"")</f>
        <v/>
      </c>
      <c r="R354" s="0" t="str">
        <f aca="false">IFERROR(IF(OR(HLOOKUP($A354,#REF!,16,FALSE())&gt;2,HLOOKUP($A354,#REF!,16,FALSE())&lt;-2),"",#REF!),"")</f>
        <v/>
      </c>
      <c r="S354" s="0" t="str">
        <f aca="false">IFERROR(IF(OR(HLOOKUP($A354,#REF!,17,FALSE())&gt;2,HLOOKUP($A354,#REF!,17,FALSE())&lt;-2),"",#REF!),"")</f>
        <v/>
      </c>
      <c r="T354" s="0" t="str">
        <f aca="false">IFERROR(IF(OR(HLOOKUP($A354,#REF!,18,FALSE())&gt;2,HLOOKUP($A354,#REF!,18,FALSE())&lt;-2),"",#REF!),"")</f>
        <v/>
      </c>
      <c r="U354" s="0" t="str">
        <f aca="false">IFERROR(IF(OR(HLOOKUP($A354,#REF!,19,FALSE())&gt;2,HLOOKUP($A354,#REF!,19,FALSE())&lt;-2),"",#REF!),"")</f>
        <v/>
      </c>
      <c r="V354" s="0" t="n">
        <f aca="false">IFERROR(IF(AND(X354=0,Y354=0),0,1),0)</f>
        <v>1</v>
      </c>
      <c r="W354" s="3" t="str">
        <f aca="false">IFERROR(_xlfn.T.TEST(E354:M354,N354:U354,2,2),"")</f>
        <v/>
      </c>
      <c r="X354" s="0" t="str">
        <f aca="false">IFERROR(AVERAGE(E354:M354),"")</f>
        <v/>
      </c>
      <c r="Y354" s="0" t="str">
        <f aca="false">IFERROR(AVERAGE(N354:U354),"")</f>
        <v/>
      </c>
    </row>
    <row r="355" customFormat="false" ht="14.5" hidden="false" customHeight="false" outlineLevel="0" collapsed="false">
      <c r="A355" s="0" t="n">
        <v>362</v>
      </c>
      <c r="B355" s="0" t="s">
        <v>433</v>
      </c>
      <c r="C355" s="0" t="n">
        <v>67300</v>
      </c>
      <c r="D355" s="0" t="n">
        <v>444</v>
      </c>
      <c r="E355" s="0" t="str">
        <f aca="false">IFERROR(IF(OR(HLOOKUP($A355,#REF!,3,FALSE())&gt;2,HLOOKUP(A355,#REF!,3,FALSE())&lt;-2),"",#REF!),"")</f>
        <v/>
      </c>
      <c r="F355" s="0" t="str">
        <f aca="false">IFERROR(IF(OR(HLOOKUP($A355,#REF!,4,FALSE())&gt;2,HLOOKUP($A355,#REF!,4,FALSE())&lt;-2),"",#REF!),"")</f>
        <v/>
      </c>
      <c r="G355" s="0" t="str">
        <f aca="false">IFERROR(IF(OR(HLOOKUP($A355,#REF!,5,FALSE())&gt;2,HLOOKUP($A355,#REF!,5,FALSE())&lt;-2),"",#REF!),"")</f>
        <v/>
      </c>
      <c r="H355" s="0" t="str">
        <f aca="false">IFERROR(IF(OR(HLOOKUP($A355,#REF!,6,FALSE())&gt;2,HLOOKUP($A355,#REF!,6,FALSE())&lt;-2),"",#REF!),"")</f>
        <v/>
      </c>
      <c r="I355" s="0" t="str">
        <f aca="false">IFERROR(IF(OR(HLOOKUP($A355,#REF!,7,FALSE())&gt;2,HLOOKUP($A355,#REF!,7,FALSE())&lt;-2),"",#REF!),"")</f>
        <v/>
      </c>
      <c r="J355" s="0" t="str">
        <f aca="false">IFERROR(IF(OR(HLOOKUP($A355,#REF!,8,FALSE())&gt;2,HLOOKUP($A355,#REF!,8,FALSE())&lt;-2),"",#REF!),"")</f>
        <v/>
      </c>
      <c r="K355" s="0" t="str">
        <f aca="false">IFERROR(IF(OR(HLOOKUP($A355,#REF!,9,FALSE())&gt;2,HLOOKUP($A355,#REF!,9,FALSE())&lt;-2),"",#REF!),"")</f>
        <v/>
      </c>
      <c r="L355" s="0" t="str">
        <f aca="false">IFERROR(IF(OR(HLOOKUP($A355,#REF!,10,FALSE())&gt;2,HLOOKUP($A355,#REF!,10,FALSE())&lt;-2),"",#REF!),"")</f>
        <v/>
      </c>
      <c r="M355" s="0" t="str">
        <f aca="false">IFERROR(IF(OR(HLOOKUP($A355,#REF!,11,FALSE())&gt;2,HLOOKUP($A355,#REF!,11,FALSE())&lt;-2),"",#REF!),"")</f>
        <v/>
      </c>
      <c r="N355" s="0" t="str">
        <f aca="false">IFERROR(IF(OR(HLOOKUP($A355,#REF!,12,FALSE())&gt;2,HLOOKUP($A355,#REF!,12,FALSE())&lt;-2),"",#REF!),"")</f>
        <v/>
      </c>
      <c r="O355" s="0" t="str">
        <f aca="false">IFERROR(IF(OR(HLOOKUP($A355,#REF!,13,FALSE())&gt;2,HLOOKUP($A355,#REF!,13,FALSE())&lt;-2),"",#REF!),"")</f>
        <v/>
      </c>
      <c r="P355" s="0" t="str">
        <f aca="false">IFERROR(IF(OR(HLOOKUP($A355,#REF!,14,FALSE())&gt;2,HLOOKUP($A355,#REF!,14,FALSE())&lt;-2),"",#REF!),"")</f>
        <v/>
      </c>
      <c r="Q355" s="0" t="str">
        <f aca="false">IFERROR(IF(OR(HLOOKUP($A355,#REF!,15,FALSE())&gt;2,HLOOKUP($A355,#REF!,15,FALSE())&lt;-2),"",#REF!),"")</f>
        <v/>
      </c>
      <c r="R355" s="0" t="str">
        <f aca="false">IFERROR(IF(OR(HLOOKUP($A355,#REF!,16,FALSE())&gt;2,HLOOKUP($A355,#REF!,16,FALSE())&lt;-2),"",#REF!),"")</f>
        <v/>
      </c>
      <c r="S355" s="0" t="str">
        <f aca="false">IFERROR(IF(OR(HLOOKUP($A355,#REF!,17,FALSE())&gt;2,HLOOKUP($A355,#REF!,17,FALSE())&lt;-2),"",#REF!),"")</f>
        <v/>
      </c>
      <c r="T355" s="0" t="str">
        <f aca="false">IFERROR(IF(OR(HLOOKUP($A355,#REF!,18,FALSE())&gt;2,HLOOKUP($A355,#REF!,18,FALSE())&lt;-2),"",#REF!),"")</f>
        <v/>
      </c>
      <c r="U355" s="0" t="str">
        <f aca="false">IFERROR(IF(OR(HLOOKUP($A355,#REF!,19,FALSE())&gt;2,HLOOKUP($A355,#REF!,19,FALSE())&lt;-2),"",#REF!),"")</f>
        <v/>
      </c>
      <c r="V355" s="0" t="n">
        <f aca="false">IFERROR(IF(AND(X355=0,Y355=0),0,1),0)</f>
        <v>1</v>
      </c>
      <c r="W355" s="3" t="str">
        <f aca="false">IFERROR(_xlfn.T.TEST(E355:M355,N355:U355,2,2),"")</f>
        <v/>
      </c>
      <c r="X355" s="0" t="str">
        <f aca="false">IFERROR(AVERAGE(E355:M355),"")</f>
        <v/>
      </c>
      <c r="Y355" s="0" t="str">
        <f aca="false">IFERROR(AVERAGE(N355:U355),"")</f>
        <v/>
      </c>
    </row>
    <row r="356" customFormat="false" ht="14.5" hidden="false" customHeight="false" outlineLevel="0" collapsed="false">
      <c r="A356" s="0" t="n">
        <v>363</v>
      </c>
      <c r="B356" s="0" t="s">
        <v>86</v>
      </c>
      <c r="C356" s="0" t="n">
        <v>20500</v>
      </c>
      <c r="D356" s="0" t="n">
        <v>972</v>
      </c>
      <c r="E356" s="0" t="str">
        <f aca="false">IFERROR(IF(OR(HLOOKUP($A356,#REF!,3,FALSE())&gt;2,HLOOKUP(A356,#REF!,3,FALSE())&lt;-2),"",#REF!),"")</f>
        <v/>
      </c>
      <c r="F356" s="0" t="str">
        <f aca="false">IFERROR(IF(OR(HLOOKUP($A356,#REF!,4,FALSE())&gt;2,HLOOKUP($A356,#REF!,4,FALSE())&lt;-2),"",#REF!),"")</f>
        <v/>
      </c>
      <c r="G356" s="0" t="str">
        <f aca="false">IFERROR(IF(OR(HLOOKUP($A356,#REF!,5,FALSE())&gt;2,HLOOKUP($A356,#REF!,5,FALSE())&lt;-2),"",#REF!),"")</f>
        <v/>
      </c>
      <c r="H356" s="0" t="str">
        <f aca="false">IFERROR(IF(OR(HLOOKUP($A356,#REF!,6,FALSE())&gt;2,HLOOKUP($A356,#REF!,6,FALSE())&lt;-2),"",#REF!),"")</f>
        <v/>
      </c>
      <c r="I356" s="0" t="str">
        <f aca="false">IFERROR(IF(OR(HLOOKUP($A356,#REF!,7,FALSE())&gt;2,HLOOKUP($A356,#REF!,7,FALSE())&lt;-2),"",#REF!),"")</f>
        <v/>
      </c>
      <c r="J356" s="0" t="str">
        <f aca="false">IFERROR(IF(OR(HLOOKUP($A356,#REF!,8,FALSE())&gt;2,HLOOKUP($A356,#REF!,8,FALSE())&lt;-2),"",#REF!),"")</f>
        <v/>
      </c>
      <c r="K356" s="0" t="str">
        <f aca="false">IFERROR(IF(OR(HLOOKUP($A356,#REF!,9,FALSE())&gt;2,HLOOKUP($A356,#REF!,9,FALSE())&lt;-2),"",#REF!),"")</f>
        <v/>
      </c>
      <c r="L356" s="0" t="str">
        <f aca="false">IFERROR(IF(OR(HLOOKUP($A356,#REF!,10,FALSE())&gt;2,HLOOKUP($A356,#REF!,10,FALSE())&lt;-2),"",#REF!),"")</f>
        <v/>
      </c>
      <c r="M356" s="0" t="str">
        <f aca="false">IFERROR(IF(OR(HLOOKUP($A356,#REF!,11,FALSE())&gt;2,HLOOKUP($A356,#REF!,11,FALSE())&lt;-2),"",#REF!),"")</f>
        <v/>
      </c>
      <c r="N356" s="0" t="str">
        <f aca="false">IFERROR(IF(OR(HLOOKUP($A356,#REF!,12,FALSE())&gt;2,HLOOKUP($A356,#REF!,12,FALSE())&lt;-2),"",#REF!),"")</f>
        <v/>
      </c>
      <c r="O356" s="0" t="str">
        <f aca="false">IFERROR(IF(OR(HLOOKUP($A356,#REF!,13,FALSE())&gt;2,HLOOKUP($A356,#REF!,13,FALSE())&lt;-2),"",#REF!),"")</f>
        <v/>
      </c>
      <c r="P356" s="0" t="str">
        <f aca="false">IFERROR(IF(OR(HLOOKUP($A356,#REF!,14,FALSE())&gt;2,HLOOKUP($A356,#REF!,14,FALSE())&lt;-2),"",#REF!),"")</f>
        <v/>
      </c>
      <c r="Q356" s="0" t="str">
        <f aca="false">IFERROR(IF(OR(HLOOKUP($A356,#REF!,15,FALSE())&gt;2,HLOOKUP($A356,#REF!,15,FALSE())&lt;-2),"",#REF!),"")</f>
        <v/>
      </c>
      <c r="R356" s="0" t="str">
        <f aca="false">IFERROR(IF(OR(HLOOKUP($A356,#REF!,16,FALSE())&gt;2,HLOOKUP($A356,#REF!,16,FALSE())&lt;-2),"",#REF!),"")</f>
        <v/>
      </c>
      <c r="S356" s="0" t="str">
        <f aca="false">IFERROR(IF(OR(HLOOKUP($A356,#REF!,17,FALSE())&gt;2,HLOOKUP($A356,#REF!,17,FALSE())&lt;-2),"",#REF!),"")</f>
        <v/>
      </c>
      <c r="T356" s="0" t="str">
        <f aca="false">IFERROR(IF(OR(HLOOKUP($A356,#REF!,18,FALSE())&gt;2,HLOOKUP($A356,#REF!,18,FALSE())&lt;-2),"",#REF!),"")</f>
        <v/>
      </c>
      <c r="U356" s="0" t="str">
        <f aca="false">IFERROR(IF(OR(HLOOKUP($A356,#REF!,19,FALSE())&gt;2,HLOOKUP($A356,#REF!,19,FALSE())&lt;-2),"",#REF!),"")</f>
        <v/>
      </c>
      <c r="V356" s="0" t="n">
        <f aca="false">IFERROR(IF(AND(X356=0,Y356=0),0,1),0)</f>
        <v>1</v>
      </c>
      <c r="W356" s="3" t="str">
        <f aca="false">IFERROR(_xlfn.T.TEST(E356:M356,N356:U356,2,2),"")</f>
        <v/>
      </c>
      <c r="X356" s="0" t="str">
        <f aca="false">IFERROR(AVERAGE(E356:M356),"")</f>
        <v/>
      </c>
      <c r="Y356" s="0" t="str">
        <f aca="false">IFERROR(AVERAGE(N356:U356),"")</f>
        <v/>
      </c>
    </row>
    <row r="357" customFormat="false" ht="14.5" hidden="false" customHeight="false" outlineLevel="0" collapsed="false">
      <c r="A357" s="0" t="n">
        <v>364</v>
      </c>
      <c r="B357" s="0" t="s">
        <v>434</v>
      </c>
      <c r="C357" s="0" t="n">
        <v>77700</v>
      </c>
      <c r="D357" s="0" t="n">
        <v>290</v>
      </c>
      <c r="E357" s="0" t="str">
        <f aca="false">IFERROR(IF(OR(HLOOKUP($A357,#REF!,3,FALSE())&gt;2,HLOOKUP(A357,#REF!,3,FALSE())&lt;-2),"",#REF!),"")</f>
        <v/>
      </c>
      <c r="F357" s="0" t="str">
        <f aca="false">IFERROR(IF(OR(HLOOKUP($A357,#REF!,4,FALSE())&gt;2,HLOOKUP($A357,#REF!,4,FALSE())&lt;-2),"",#REF!),"")</f>
        <v/>
      </c>
      <c r="G357" s="0" t="str">
        <f aca="false">IFERROR(IF(OR(HLOOKUP($A357,#REF!,5,FALSE())&gt;2,HLOOKUP($A357,#REF!,5,FALSE())&lt;-2),"",#REF!),"")</f>
        <v/>
      </c>
      <c r="H357" s="0" t="str">
        <f aca="false">IFERROR(IF(OR(HLOOKUP($A357,#REF!,6,FALSE())&gt;2,HLOOKUP($A357,#REF!,6,FALSE())&lt;-2),"",#REF!),"")</f>
        <v/>
      </c>
      <c r="I357" s="0" t="str">
        <f aca="false">IFERROR(IF(OR(HLOOKUP($A357,#REF!,7,FALSE())&gt;2,HLOOKUP($A357,#REF!,7,FALSE())&lt;-2),"",#REF!),"")</f>
        <v/>
      </c>
      <c r="J357" s="0" t="str">
        <f aca="false">IFERROR(IF(OR(HLOOKUP($A357,#REF!,8,FALSE())&gt;2,HLOOKUP($A357,#REF!,8,FALSE())&lt;-2),"",#REF!),"")</f>
        <v/>
      </c>
      <c r="K357" s="0" t="str">
        <f aca="false">IFERROR(IF(OR(HLOOKUP($A357,#REF!,9,FALSE())&gt;2,HLOOKUP($A357,#REF!,9,FALSE())&lt;-2),"",#REF!),"")</f>
        <v/>
      </c>
      <c r="L357" s="0" t="str">
        <f aca="false">IFERROR(IF(OR(HLOOKUP($A357,#REF!,10,FALSE())&gt;2,HLOOKUP($A357,#REF!,10,FALSE())&lt;-2),"",#REF!),"")</f>
        <v/>
      </c>
      <c r="M357" s="0" t="str">
        <f aca="false">IFERROR(IF(OR(HLOOKUP($A357,#REF!,11,FALSE())&gt;2,HLOOKUP($A357,#REF!,11,FALSE())&lt;-2),"",#REF!),"")</f>
        <v/>
      </c>
      <c r="N357" s="0" t="str">
        <f aca="false">IFERROR(IF(OR(HLOOKUP($A357,#REF!,12,FALSE())&gt;2,HLOOKUP($A357,#REF!,12,FALSE())&lt;-2),"",#REF!),"")</f>
        <v/>
      </c>
      <c r="O357" s="0" t="str">
        <f aca="false">IFERROR(IF(OR(HLOOKUP($A357,#REF!,13,FALSE())&gt;2,HLOOKUP($A357,#REF!,13,FALSE())&lt;-2),"",#REF!),"")</f>
        <v/>
      </c>
      <c r="P357" s="0" t="str">
        <f aca="false">IFERROR(IF(OR(HLOOKUP($A357,#REF!,14,FALSE())&gt;2,HLOOKUP($A357,#REF!,14,FALSE())&lt;-2),"",#REF!),"")</f>
        <v/>
      </c>
      <c r="Q357" s="0" t="str">
        <f aca="false">IFERROR(IF(OR(HLOOKUP($A357,#REF!,15,FALSE())&gt;2,HLOOKUP($A357,#REF!,15,FALSE())&lt;-2),"",#REF!),"")</f>
        <v/>
      </c>
      <c r="R357" s="0" t="str">
        <f aca="false">IFERROR(IF(OR(HLOOKUP($A357,#REF!,16,FALSE())&gt;2,HLOOKUP($A357,#REF!,16,FALSE())&lt;-2),"",#REF!),"")</f>
        <v/>
      </c>
      <c r="S357" s="0" t="str">
        <f aca="false">IFERROR(IF(OR(HLOOKUP($A357,#REF!,17,FALSE())&gt;2,HLOOKUP($A357,#REF!,17,FALSE())&lt;-2),"",#REF!),"")</f>
        <v/>
      </c>
      <c r="T357" s="0" t="str">
        <f aca="false">IFERROR(IF(OR(HLOOKUP($A357,#REF!,18,FALSE())&gt;2,HLOOKUP($A357,#REF!,18,FALSE())&lt;-2),"",#REF!),"")</f>
        <v/>
      </c>
      <c r="U357" s="0" t="str">
        <f aca="false">IFERROR(IF(OR(HLOOKUP($A357,#REF!,19,FALSE())&gt;2,HLOOKUP($A357,#REF!,19,FALSE())&lt;-2),"",#REF!),"")</f>
        <v/>
      </c>
      <c r="V357" s="0" t="n">
        <f aca="false">IFERROR(IF(AND(X357=0,Y357=0),0,1),0)</f>
        <v>1</v>
      </c>
      <c r="W357" s="3" t="str">
        <f aca="false">IFERROR(_xlfn.T.TEST(E357:M357,N357:U357,2,2),"")</f>
        <v/>
      </c>
      <c r="X357" s="0" t="str">
        <f aca="false">IFERROR(AVERAGE(E357:M357),"")</f>
        <v/>
      </c>
      <c r="Y357" s="0" t="str">
        <f aca="false">IFERROR(AVERAGE(N357:U357),"")</f>
        <v/>
      </c>
    </row>
    <row r="358" customFormat="false" ht="14.5" hidden="false" customHeight="false" outlineLevel="0" collapsed="false">
      <c r="A358" s="0" t="n">
        <v>365</v>
      </c>
      <c r="B358" s="0" t="s">
        <v>435</v>
      </c>
      <c r="C358" s="0" t="n">
        <v>108400</v>
      </c>
      <c r="D358" s="0" t="n">
        <v>896</v>
      </c>
      <c r="E358" s="0" t="str">
        <f aca="false">IFERROR(IF(OR(HLOOKUP($A358,#REF!,3,FALSE())&gt;2,HLOOKUP(A358,#REF!,3,FALSE())&lt;-2),"",#REF!),"")</f>
        <v/>
      </c>
      <c r="F358" s="0" t="str">
        <f aca="false">IFERROR(IF(OR(HLOOKUP($A358,#REF!,4,FALSE())&gt;2,HLOOKUP($A358,#REF!,4,FALSE())&lt;-2),"",#REF!),"")</f>
        <v/>
      </c>
      <c r="G358" s="0" t="str">
        <f aca="false">IFERROR(IF(OR(HLOOKUP($A358,#REF!,5,FALSE())&gt;2,HLOOKUP($A358,#REF!,5,FALSE())&lt;-2),"",#REF!),"")</f>
        <v/>
      </c>
      <c r="H358" s="0" t="str">
        <f aca="false">IFERROR(IF(OR(HLOOKUP($A358,#REF!,6,FALSE())&gt;2,HLOOKUP($A358,#REF!,6,FALSE())&lt;-2),"",#REF!),"")</f>
        <v/>
      </c>
      <c r="I358" s="0" t="str">
        <f aca="false">IFERROR(IF(OR(HLOOKUP($A358,#REF!,7,FALSE())&gt;2,HLOOKUP($A358,#REF!,7,FALSE())&lt;-2),"",#REF!),"")</f>
        <v/>
      </c>
      <c r="J358" s="0" t="str">
        <f aca="false">IFERROR(IF(OR(HLOOKUP($A358,#REF!,8,FALSE())&gt;2,HLOOKUP($A358,#REF!,8,FALSE())&lt;-2),"",#REF!),"")</f>
        <v/>
      </c>
      <c r="K358" s="0" t="str">
        <f aca="false">IFERROR(IF(OR(HLOOKUP($A358,#REF!,9,FALSE())&gt;2,HLOOKUP($A358,#REF!,9,FALSE())&lt;-2),"",#REF!),"")</f>
        <v/>
      </c>
      <c r="L358" s="0" t="str">
        <f aca="false">IFERROR(IF(OR(HLOOKUP($A358,#REF!,10,FALSE())&gt;2,HLOOKUP($A358,#REF!,10,FALSE())&lt;-2),"",#REF!),"")</f>
        <v/>
      </c>
      <c r="M358" s="0" t="str">
        <f aca="false">IFERROR(IF(OR(HLOOKUP($A358,#REF!,11,FALSE())&gt;2,HLOOKUP($A358,#REF!,11,FALSE())&lt;-2),"",#REF!),"")</f>
        <v/>
      </c>
      <c r="N358" s="0" t="str">
        <f aca="false">IFERROR(IF(OR(HLOOKUP($A358,#REF!,12,FALSE())&gt;2,HLOOKUP($A358,#REF!,12,FALSE())&lt;-2),"",#REF!),"")</f>
        <v/>
      </c>
      <c r="O358" s="0" t="str">
        <f aca="false">IFERROR(IF(OR(HLOOKUP($A358,#REF!,13,FALSE())&gt;2,HLOOKUP($A358,#REF!,13,FALSE())&lt;-2),"",#REF!),"")</f>
        <v/>
      </c>
      <c r="P358" s="0" t="str">
        <f aca="false">IFERROR(IF(OR(HLOOKUP($A358,#REF!,14,FALSE())&gt;2,HLOOKUP($A358,#REF!,14,FALSE())&lt;-2),"",#REF!),"")</f>
        <v/>
      </c>
      <c r="Q358" s="0" t="str">
        <f aca="false">IFERROR(IF(OR(HLOOKUP($A358,#REF!,15,FALSE())&gt;2,HLOOKUP($A358,#REF!,15,FALSE())&lt;-2),"",#REF!),"")</f>
        <v/>
      </c>
      <c r="R358" s="0" t="str">
        <f aca="false">IFERROR(IF(OR(HLOOKUP($A358,#REF!,16,FALSE())&gt;2,HLOOKUP($A358,#REF!,16,FALSE())&lt;-2),"",#REF!),"")</f>
        <v/>
      </c>
      <c r="S358" s="0" t="str">
        <f aca="false">IFERROR(IF(OR(HLOOKUP($A358,#REF!,17,FALSE())&gt;2,HLOOKUP($A358,#REF!,17,FALSE())&lt;-2),"",#REF!),"")</f>
        <v/>
      </c>
      <c r="T358" s="0" t="str">
        <f aca="false">IFERROR(IF(OR(HLOOKUP($A358,#REF!,18,FALSE())&gt;2,HLOOKUP($A358,#REF!,18,FALSE())&lt;-2),"",#REF!),"")</f>
        <v/>
      </c>
      <c r="U358" s="0" t="str">
        <f aca="false">IFERROR(IF(OR(HLOOKUP($A358,#REF!,19,FALSE())&gt;2,HLOOKUP($A358,#REF!,19,FALSE())&lt;-2),"",#REF!),"")</f>
        <v/>
      </c>
      <c r="V358" s="0" t="n">
        <f aca="false">IFERROR(IF(AND(X358=0,Y358=0),0,1),0)</f>
        <v>1</v>
      </c>
      <c r="W358" s="3" t="str">
        <f aca="false">IFERROR(_xlfn.T.TEST(E358:M358,N358:U358,2,2),"")</f>
        <v/>
      </c>
      <c r="X358" s="0" t="str">
        <f aca="false">IFERROR(AVERAGE(E358:M358),"")</f>
        <v/>
      </c>
      <c r="Y358" s="0" t="str">
        <f aca="false">IFERROR(AVERAGE(N358:U358),"")</f>
        <v/>
      </c>
    </row>
    <row r="359" customFormat="false" ht="14.5" hidden="false" customHeight="false" outlineLevel="0" collapsed="false">
      <c r="A359" s="0" t="n">
        <v>366</v>
      </c>
      <c r="B359" s="0" t="s">
        <v>436</v>
      </c>
      <c r="C359" s="0" t="n">
        <v>67700</v>
      </c>
      <c r="D359" s="0" t="n">
        <v>444</v>
      </c>
      <c r="E359" s="0" t="str">
        <f aca="false">IFERROR(IF(OR(HLOOKUP($A359,#REF!,3,FALSE())&gt;2,HLOOKUP(A359,#REF!,3,FALSE())&lt;-2),"",#REF!),"")</f>
        <v/>
      </c>
      <c r="F359" s="0" t="str">
        <f aca="false">IFERROR(IF(OR(HLOOKUP($A359,#REF!,4,FALSE())&gt;2,HLOOKUP($A359,#REF!,4,FALSE())&lt;-2),"",#REF!),"")</f>
        <v/>
      </c>
      <c r="G359" s="0" t="str">
        <f aca="false">IFERROR(IF(OR(HLOOKUP($A359,#REF!,5,FALSE())&gt;2,HLOOKUP($A359,#REF!,5,FALSE())&lt;-2),"",#REF!),"")</f>
        <v/>
      </c>
      <c r="H359" s="0" t="str">
        <f aca="false">IFERROR(IF(OR(HLOOKUP($A359,#REF!,6,FALSE())&gt;2,HLOOKUP($A359,#REF!,6,FALSE())&lt;-2),"",#REF!),"")</f>
        <v/>
      </c>
      <c r="I359" s="0" t="str">
        <f aca="false">IFERROR(IF(OR(HLOOKUP($A359,#REF!,7,FALSE())&gt;2,HLOOKUP($A359,#REF!,7,FALSE())&lt;-2),"",#REF!),"")</f>
        <v/>
      </c>
      <c r="J359" s="0" t="str">
        <f aca="false">IFERROR(IF(OR(HLOOKUP($A359,#REF!,8,FALSE())&gt;2,HLOOKUP($A359,#REF!,8,FALSE())&lt;-2),"",#REF!),"")</f>
        <v/>
      </c>
      <c r="K359" s="0" t="str">
        <f aca="false">IFERROR(IF(OR(HLOOKUP($A359,#REF!,9,FALSE())&gt;2,HLOOKUP($A359,#REF!,9,FALSE())&lt;-2),"",#REF!),"")</f>
        <v/>
      </c>
      <c r="L359" s="0" t="str">
        <f aca="false">IFERROR(IF(OR(HLOOKUP($A359,#REF!,10,FALSE())&gt;2,HLOOKUP($A359,#REF!,10,FALSE())&lt;-2),"",#REF!),"")</f>
        <v/>
      </c>
      <c r="M359" s="0" t="str">
        <f aca="false">IFERROR(IF(OR(HLOOKUP($A359,#REF!,11,FALSE())&gt;2,HLOOKUP($A359,#REF!,11,FALSE())&lt;-2),"",#REF!),"")</f>
        <v/>
      </c>
      <c r="N359" s="0" t="str">
        <f aca="false">IFERROR(IF(OR(HLOOKUP($A359,#REF!,12,FALSE())&gt;2,HLOOKUP($A359,#REF!,12,FALSE())&lt;-2),"",#REF!),"")</f>
        <v/>
      </c>
      <c r="O359" s="0" t="str">
        <f aca="false">IFERROR(IF(OR(HLOOKUP($A359,#REF!,13,FALSE())&gt;2,HLOOKUP($A359,#REF!,13,FALSE())&lt;-2),"",#REF!),"")</f>
        <v/>
      </c>
      <c r="P359" s="0" t="str">
        <f aca="false">IFERROR(IF(OR(HLOOKUP($A359,#REF!,14,FALSE())&gt;2,HLOOKUP($A359,#REF!,14,FALSE())&lt;-2),"",#REF!),"")</f>
        <v/>
      </c>
      <c r="Q359" s="0" t="str">
        <f aca="false">IFERROR(IF(OR(HLOOKUP($A359,#REF!,15,FALSE())&gt;2,HLOOKUP($A359,#REF!,15,FALSE())&lt;-2),"",#REF!),"")</f>
        <v/>
      </c>
      <c r="R359" s="0" t="str">
        <f aca="false">IFERROR(IF(OR(HLOOKUP($A359,#REF!,16,FALSE())&gt;2,HLOOKUP($A359,#REF!,16,FALSE())&lt;-2),"",#REF!),"")</f>
        <v/>
      </c>
      <c r="S359" s="0" t="str">
        <f aca="false">IFERROR(IF(OR(HLOOKUP($A359,#REF!,17,FALSE())&gt;2,HLOOKUP($A359,#REF!,17,FALSE())&lt;-2),"",#REF!),"")</f>
        <v/>
      </c>
      <c r="T359" s="0" t="str">
        <f aca="false">IFERROR(IF(OR(HLOOKUP($A359,#REF!,18,FALSE())&gt;2,HLOOKUP($A359,#REF!,18,FALSE())&lt;-2),"",#REF!),"")</f>
        <v/>
      </c>
      <c r="U359" s="0" t="str">
        <f aca="false">IFERROR(IF(OR(HLOOKUP($A359,#REF!,19,FALSE())&gt;2,HLOOKUP($A359,#REF!,19,FALSE())&lt;-2),"",#REF!),"")</f>
        <v/>
      </c>
      <c r="V359" s="0" t="n">
        <f aca="false">IFERROR(IF(AND(X359=0,Y359=0),0,1),0)</f>
        <v>1</v>
      </c>
      <c r="W359" s="3" t="str">
        <f aca="false">IFERROR(_xlfn.T.TEST(E359:M359,N359:U359,2,2),"")</f>
        <v/>
      </c>
      <c r="X359" s="0" t="str">
        <f aca="false">IFERROR(AVERAGE(E359:M359),"")</f>
        <v/>
      </c>
      <c r="Y359" s="0" t="str">
        <f aca="false">IFERROR(AVERAGE(N359:U359),"")</f>
        <v/>
      </c>
    </row>
    <row r="360" customFormat="false" ht="14.5" hidden="false" customHeight="false" outlineLevel="0" collapsed="false">
      <c r="A360" s="0" t="n">
        <v>367</v>
      </c>
      <c r="B360" s="0" t="s">
        <v>437</v>
      </c>
      <c r="C360" s="0" t="n">
        <v>54000</v>
      </c>
      <c r="D360" s="0" t="n">
        <v>351</v>
      </c>
      <c r="E360" s="0" t="str">
        <f aca="false">IFERROR(IF(OR(HLOOKUP($A360,#REF!,3,FALSE())&gt;2,HLOOKUP(A360,#REF!,3,FALSE())&lt;-2),"",#REF!),"")</f>
        <v/>
      </c>
      <c r="F360" s="0" t="str">
        <f aca="false">IFERROR(IF(OR(HLOOKUP($A360,#REF!,4,FALSE())&gt;2,HLOOKUP($A360,#REF!,4,FALSE())&lt;-2),"",#REF!),"")</f>
        <v/>
      </c>
      <c r="G360" s="0" t="str">
        <f aca="false">IFERROR(IF(OR(HLOOKUP($A360,#REF!,5,FALSE())&gt;2,HLOOKUP($A360,#REF!,5,FALSE())&lt;-2),"",#REF!),"")</f>
        <v/>
      </c>
      <c r="H360" s="0" t="str">
        <f aca="false">IFERROR(IF(OR(HLOOKUP($A360,#REF!,6,FALSE())&gt;2,HLOOKUP($A360,#REF!,6,FALSE())&lt;-2),"",#REF!),"")</f>
        <v/>
      </c>
      <c r="I360" s="0" t="str">
        <f aca="false">IFERROR(IF(OR(HLOOKUP($A360,#REF!,7,FALSE())&gt;2,HLOOKUP($A360,#REF!,7,FALSE())&lt;-2),"",#REF!),"")</f>
        <v/>
      </c>
      <c r="J360" s="0" t="str">
        <f aca="false">IFERROR(IF(OR(HLOOKUP($A360,#REF!,8,FALSE())&gt;2,HLOOKUP($A360,#REF!,8,FALSE())&lt;-2),"",#REF!),"")</f>
        <v/>
      </c>
      <c r="K360" s="0" t="str">
        <f aca="false">IFERROR(IF(OR(HLOOKUP($A360,#REF!,9,FALSE())&gt;2,HLOOKUP($A360,#REF!,9,FALSE())&lt;-2),"",#REF!),"")</f>
        <v/>
      </c>
      <c r="L360" s="0" t="str">
        <f aca="false">IFERROR(IF(OR(HLOOKUP($A360,#REF!,10,FALSE())&gt;2,HLOOKUP($A360,#REF!,10,FALSE())&lt;-2),"",#REF!),"")</f>
        <v/>
      </c>
      <c r="M360" s="0" t="str">
        <f aca="false">IFERROR(IF(OR(HLOOKUP($A360,#REF!,11,FALSE())&gt;2,HLOOKUP($A360,#REF!,11,FALSE())&lt;-2),"",#REF!),"")</f>
        <v/>
      </c>
      <c r="N360" s="0" t="str">
        <f aca="false">IFERROR(IF(OR(HLOOKUP($A360,#REF!,12,FALSE())&gt;2,HLOOKUP($A360,#REF!,12,FALSE())&lt;-2),"",#REF!),"")</f>
        <v/>
      </c>
      <c r="O360" s="0" t="str">
        <f aca="false">IFERROR(IF(OR(HLOOKUP($A360,#REF!,13,FALSE())&gt;2,HLOOKUP($A360,#REF!,13,FALSE())&lt;-2),"",#REF!),"")</f>
        <v/>
      </c>
      <c r="P360" s="0" t="str">
        <f aca="false">IFERROR(IF(OR(HLOOKUP($A360,#REF!,14,FALSE())&gt;2,HLOOKUP($A360,#REF!,14,FALSE())&lt;-2),"",#REF!),"")</f>
        <v/>
      </c>
      <c r="Q360" s="0" t="str">
        <f aca="false">IFERROR(IF(OR(HLOOKUP($A360,#REF!,15,FALSE())&gt;2,HLOOKUP($A360,#REF!,15,FALSE())&lt;-2),"",#REF!),"")</f>
        <v/>
      </c>
      <c r="R360" s="0" t="str">
        <f aca="false">IFERROR(IF(OR(HLOOKUP($A360,#REF!,16,FALSE())&gt;2,HLOOKUP($A360,#REF!,16,FALSE())&lt;-2),"",#REF!),"")</f>
        <v/>
      </c>
      <c r="S360" s="0" t="str">
        <f aca="false">IFERROR(IF(OR(HLOOKUP($A360,#REF!,17,FALSE())&gt;2,HLOOKUP($A360,#REF!,17,FALSE())&lt;-2),"",#REF!),"")</f>
        <v/>
      </c>
      <c r="T360" s="0" t="str">
        <f aca="false">IFERROR(IF(OR(HLOOKUP($A360,#REF!,18,FALSE())&gt;2,HLOOKUP($A360,#REF!,18,FALSE())&lt;-2),"",#REF!),"")</f>
        <v/>
      </c>
      <c r="U360" s="0" t="str">
        <f aca="false">IFERROR(IF(OR(HLOOKUP($A360,#REF!,19,FALSE())&gt;2,HLOOKUP($A360,#REF!,19,FALSE())&lt;-2),"",#REF!),"")</f>
        <v/>
      </c>
      <c r="V360" s="0" t="n">
        <f aca="false">IFERROR(IF(AND(X360=0,Y360=0),0,1),0)</f>
        <v>1</v>
      </c>
      <c r="W360" s="3" t="str">
        <f aca="false">IFERROR(_xlfn.T.TEST(E360:M360,N360:U360,2,2),"")</f>
        <v/>
      </c>
      <c r="X360" s="0" t="str">
        <f aca="false">IFERROR(AVERAGE(E360:M360),"")</f>
        <v/>
      </c>
      <c r="Y360" s="0" t="str">
        <f aca="false">IFERROR(AVERAGE(N360:U360),"")</f>
        <v/>
      </c>
    </row>
    <row r="361" customFormat="false" ht="14.5" hidden="false" customHeight="false" outlineLevel="0" collapsed="false">
      <c r="A361" s="0" t="n">
        <v>368</v>
      </c>
      <c r="B361" s="0" t="s">
        <v>438</v>
      </c>
      <c r="C361" s="0" t="n">
        <v>28900</v>
      </c>
      <c r="D361" s="0" t="n">
        <v>922</v>
      </c>
      <c r="E361" s="0" t="str">
        <f aca="false">IFERROR(IF(OR(HLOOKUP($A361,#REF!,3,FALSE())&gt;2,HLOOKUP(A361,#REF!,3,FALSE())&lt;-2),"",#REF!),"")</f>
        <v/>
      </c>
      <c r="F361" s="0" t="str">
        <f aca="false">IFERROR(IF(OR(HLOOKUP($A361,#REF!,4,FALSE())&gt;2,HLOOKUP($A361,#REF!,4,FALSE())&lt;-2),"",#REF!),"")</f>
        <v/>
      </c>
      <c r="G361" s="0" t="str">
        <f aca="false">IFERROR(IF(OR(HLOOKUP($A361,#REF!,5,FALSE())&gt;2,HLOOKUP($A361,#REF!,5,FALSE())&lt;-2),"",#REF!),"")</f>
        <v/>
      </c>
      <c r="H361" s="0" t="str">
        <f aca="false">IFERROR(IF(OR(HLOOKUP($A361,#REF!,6,FALSE())&gt;2,HLOOKUP($A361,#REF!,6,FALSE())&lt;-2),"",#REF!),"")</f>
        <v/>
      </c>
      <c r="I361" s="0" t="str">
        <f aca="false">IFERROR(IF(OR(HLOOKUP($A361,#REF!,7,FALSE())&gt;2,HLOOKUP($A361,#REF!,7,FALSE())&lt;-2),"",#REF!),"")</f>
        <v/>
      </c>
      <c r="J361" s="0" t="str">
        <f aca="false">IFERROR(IF(OR(HLOOKUP($A361,#REF!,8,FALSE())&gt;2,HLOOKUP($A361,#REF!,8,FALSE())&lt;-2),"",#REF!),"")</f>
        <v/>
      </c>
      <c r="K361" s="0" t="str">
        <f aca="false">IFERROR(IF(OR(HLOOKUP($A361,#REF!,9,FALSE())&gt;2,HLOOKUP($A361,#REF!,9,FALSE())&lt;-2),"",#REF!),"")</f>
        <v/>
      </c>
      <c r="L361" s="0" t="str">
        <f aca="false">IFERROR(IF(OR(HLOOKUP($A361,#REF!,10,FALSE())&gt;2,HLOOKUP($A361,#REF!,10,FALSE())&lt;-2),"",#REF!),"")</f>
        <v/>
      </c>
      <c r="M361" s="0" t="str">
        <f aca="false">IFERROR(IF(OR(HLOOKUP($A361,#REF!,11,FALSE())&gt;2,HLOOKUP($A361,#REF!,11,FALSE())&lt;-2),"",#REF!),"")</f>
        <v/>
      </c>
      <c r="N361" s="0" t="str">
        <f aca="false">IFERROR(IF(OR(HLOOKUP($A361,#REF!,12,FALSE())&gt;2,HLOOKUP($A361,#REF!,12,FALSE())&lt;-2),"",#REF!),"")</f>
        <v/>
      </c>
      <c r="O361" s="0" t="str">
        <f aca="false">IFERROR(IF(OR(HLOOKUP($A361,#REF!,13,FALSE())&gt;2,HLOOKUP($A361,#REF!,13,FALSE())&lt;-2),"",#REF!),"")</f>
        <v/>
      </c>
      <c r="P361" s="0" t="str">
        <f aca="false">IFERROR(IF(OR(HLOOKUP($A361,#REF!,14,FALSE())&gt;2,HLOOKUP($A361,#REF!,14,FALSE())&lt;-2),"",#REF!),"")</f>
        <v/>
      </c>
      <c r="Q361" s="0" t="str">
        <f aca="false">IFERROR(IF(OR(HLOOKUP($A361,#REF!,15,FALSE())&gt;2,HLOOKUP($A361,#REF!,15,FALSE())&lt;-2),"",#REF!),"")</f>
        <v/>
      </c>
      <c r="R361" s="0" t="str">
        <f aca="false">IFERROR(IF(OR(HLOOKUP($A361,#REF!,16,FALSE())&gt;2,HLOOKUP($A361,#REF!,16,FALSE())&lt;-2),"",#REF!),"")</f>
        <v/>
      </c>
      <c r="S361" s="0" t="str">
        <f aca="false">IFERROR(IF(OR(HLOOKUP($A361,#REF!,17,FALSE())&gt;2,HLOOKUP($A361,#REF!,17,FALSE())&lt;-2),"",#REF!),"")</f>
        <v/>
      </c>
      <c r="T361" s="0" t="str">
        <f aca="false">IFERROR(IF(OR(HLOOKUP($A361,#REF!,18,FALSE())&gt;2,HLOOKUP($A361,#REF!,18,FALSE())&lt;-2),"",#REF!),"")</f>
        <v/>
      </c>
      <c r="U361" s="0" t="str">
        <f aca="false">IFERROR(IF(OR(HLOOKUP($A361,#REF!,19,FALSE())&gt;2,HLOOKUP($A361,#REF!,19,FALSE())&lt;-2),"",#REF!),"")</f>
        <v/>
      </c>
      <c r="V361" s="0" t="n">
        <f aca="false">IFERROR(IF(AND(X361=0,Y361=0),0,1),0)</f>
        <v>1</v>
      </c>
      <c r="W361" s="3" t="str">
        <f aca="false">IFERROR(_xlfn.T.TEST(E361:M361,N361:U361,2,2),"")</f>
        <v/>
      </c>
      <c r="X361" s="0" t="str">
        <f aca="false">IFERROR(AVERAGE(E361:M361),"")</f>
        <v/>
      </c>
      <c r="Y361" s="0" t="str">
        <f aca="false">IFERROR(AVERAGE(N361:U361),"")</f>
        <v/>
      </c>
    </row>
    <row r="362" customFormat="false" ht="14.5" hidden="false" customHeight="false" outlineLevel="0" collapsed="false">
      <c r="A362" s="0" t="n">
        <v>369</v>
      </c>
      <c r="B362" s="0" t="s">
        <v>439</v>
      </c>
      <c r="C362" s="0" t="n">
        <v>6300</v>
      </c>
      <c r="D362" s="0" t="n">
        <v>322</v>
      </c>
      <c r="E362" s="0" t="str">
        <f aca="false">IFERROR(IF(OR(HLOOKUP($A362,#REF!,3,FALSE())&gt;2,HLOOKUP(A362,#REF!,3,FALSE())&lt;-2),"",#REF!),"")</f>
        <v/>
      </c>
      <c r="F362" s="0" t="str">
        <f aca="false">IFERROR(IF(OR(HLOOKUP($A362,#REF!,4,FALSE())&gt;2,HLOOKUP($A362,#REF!,4,FALSE())&lt;-2),"",#REF!),"")</f>
        <v/>
      </c>
      <c r="G362" s="0" t="str">
        <f aca="false">IFERROR(IF(OR(HLOOKUP($A362,#REF!,5,FALSE())&gt;2,HLOOKUP($A362,#REF!,5,FALSE())&lt;-2),"",#REF!),"")</f>
        <v/>
      </c>
      <c r="H362" s="0" t="str">
        <f aca="false">IFERROR(IF(OR(HLOOKUP($A362,#REF!,6,FALSE())&gt;2,HLOOKUP($A362,#REF!,6,FALSE())&lt;-2),"",#REF!),"")</f>
        <v/>
      </c>
      <c r="I362" s="0" t="str">
        <f aca="false">IFERROR(IF(OR(HLOOKUP($A362,#REF!,7,FALSE())&gt;2,HLOOKUP($A362,#REF!,7,FALSE())&lt;-2),"",#REF!),"")</f>
        <v/>
      </c>
      <c r="J362" s="0" t="str">
        <f aca="false">IFERROR(IF(OR(HLOOKUP($A362,#REF!,8,FALSE())&gt;2,HLOOKUP($A362,#REF!,8,FALSE())&lt;-2),"",#REF!),"")</f>
        <v/>
      </c>
      <c r="K362" s="0" t="str">
        <f aca="false">IFERROR(IF(OR(HLOOKUP($A362,#REF!,9,FALSE())&gt;2,HLOOKUP($A362,#REF!,9,FALSE())&lt;-2),"",#REF!),"")</f>
        <v/>
      </c>
      <c r="L362" s="0" t="str">
        <f aca="false">IFERROR(IF(OR(HLOOKUP($A362,#REF!,10,FALSE())&gt;2,HLOOKUP($A362,#REF!,10,FALSE())&lt;-2),"",#REF!),"")</f>
        <v/>
      </c>
      <c r="M362" s="0" t="str">
        <f aca="false">IFERROR(IF(OR(HLOOKUP($A362,#REF!,11,FALSE())&gt;2,HLOOKUP($A362,#REF!,11,FALSE())&lt;-2),"",#REF!),"")</f>
        <v/>
      </c>
      <c r="N362" s="0" t="str">
        <f aca="false">IFERROR(IF(OR(HLOOKUP($A362,#REF!,12,FALSE())&gt;2,HLOOKUP($A362,#REF!,12,FALSE())&lt;-2),"",#REF!),"")</f>
        <v/>
      </c>
      <c r="O362" s="0" t="str">
        <f aca="false">IFERROR(IF(OR(HLOOKUP($A362,#REF!,13,FALSE())&gt;2,HLOOKUP($A362,#REF!,13,FALSE())&lt;-2),"",#REF!),"")</f>
        <v/>
      </c>
      <c r="P362" s="0" t="str">
        <f aca="false">IFERROR(IF(OR(HLOOKUP($A362,#REF!,14,FALSE())&gt;2,HLOOKUP($A362,#REF!,14,FALSE())&lt;-2),"",#REF!),"")</f>
        <v/>
      </c>
      <c r="Q362" s="0" t="str">
        <f aca="false">IFERROR(IF(OR(HLOOKUP($A362,#REF!,15,FALSE())&gt;2,HLOOKUP($A362,#REF!,15,FALSE())&lt;-2),"",#REF!),"")</f>
        <v/>
      </c>
      <c r="R362" s="0" t="str">
        <f aca="false">IFERROR(IF(OR(HLOOKUP($A362,#REF!,16,FALSE())&gt;2,HLOOKUP($A362,#REF!,16,FALSE())&lt;-2),"",#REF!),"")</f>
        <v/>
      </c>
      <c r="S362" s="0" t="str">
        <f aca="false">IFERROR(IF(OR(HLOOKUP($A362,#REF!,17,FALSE())&gt;2,HLOOKUP($A362,#REF!,17,FALSE())&lt;-2),"",#REF!),"")</f>
        <v/>
      </c>
      <c r="T362" s="0" t="str">
        <f aca="false">IFERROR(IF(OR(HLOOKUP($A362,#REF!,18,FALSE())&gt;2,HLOOKUP($A362,#REF!,18,FALSE())&lt;-2),"",#REF!),"")</f>
        <v/>
      </c>
      <c r="U362" s="0" t="str">
        <f aca="false">IFERROR(IF(OR(HLOOKUP($A362,#REF!,19,FALSE())&gt;2,HLOOKUP($A362,#REF!,19,FALSE())&lt;-2),"",#REF!),"")</f>
        <v/>
      </c>
      <c r="V362" s="0" t="n">
        <f aca="false">IFERROR(IF(AND(X362=0,Y362=0),0,1),0)</f>
        <v>1</v>
      </c>
      <c r="W362" s="3" t="str">
        <f aca="false">IFERROR(_xlfn.T.TEST(E362:M362,N362:U362,2,2),"")</f>
        <v/>
      </c>
      <c r="X362" s="0" t="str">
        <f aca="false">IFERROR(AVERAGE(E362:M362),"")</f>
        <v/>
      </c>
      <c r="Y362" s="0" t="str">
        <f aca="false">IFERROR(AVERAGE(N362:U362),"")</f>
        <v/>
      </c>
    </row>
    <row r="363" customFormat="false" ht="14.5" hidden="false" customHeight="false" outlineLevel="0" collapsed="false">
      <c r="A363" s="0" t="n">
        <v>370</v>
      </c>
      <c r="B363" s="0" t="s">
        <v>440</v>
      </c>
      <c r="C363" s="0" t="n">
        <v>92200</v>
      </c>
      <c r="D363" s="0" t="n">
        <v>354</v>
      </c>
      <c r="E363" s="0" t="str">
        <f aca="false">IFERROR(IF(OR(HLOOKUP($A363,#REF!,3,FALSE())&gt;2,HLOOKUP(A363,#REF!,3,FALSE())&lt;-2),"",#REF!),"")</f>
        <v/>
      </c>
      <c r="F363" s="0" t="str">
        <f aca="false">IFERROR(IF(OR(HLOOKUP($A363,#REF!,4,FALSE())&gt;2,HLOOKUP($A363,#REF!,4,FALSE())&lt;-2),"",#REF!),"")</f>
        <v/>
      </c>
      <c r="G363" s="0" t="str">
        <f aca="false">IFERROR(IF(OR(HLOOKUP($A363,#REF!,5,FALSE())&gt;2,HLOOKUP($A363,#REF!,5,FALSE())&lt;-2),"",#REF!),"")</f>
        <v/>
      </c>
      <c r="H363" s="0" t="str">
        <f aca="false">IFERROR(IF(OR(HLOOKUP($A363,#REF!,6,FALSE())&gt;2,HLOOKUP($A363,#REF!,6,FALSE())&lt;-2),"",#REF!),"")</f>
        <v/>
      </c>
      <c r="I363" s="0" t="str">
        <f aca="false">IFERROR(IF(OR(HLOOKUP($A363,#REF!,7,FALSE())&gt;2,HLOOKUP($A363,#REF!,7,FALSE())&lt;-2),"",#REF!),"")</f>
        <v/>
      </c>
      <c r="J363" s="0" t="str">
        <f aca="false">IFERROR(IF(OR(HLOOKUP($A363,#REF!,8,FALSE())&gt;2,HLOOKUP($A363,#REF!,8,FALSE())&lt;-2),"",#REF!),"")</f>
        <v/>
      </c>
      <c r="K363" s="0" t="str">
        <f aca="false">IFERROR(IF(OR(HLOOKUP($A363,#REF!,9,FALSE())&gt;2,HLOOKUP($A363,#REF!,9,FALSE())&lt;-2),"",#REF!),"")</f>
        <v/>
      </c>
      <c r="L363" s="0" t="str">
        <f aca="false">IFERROR(IF(OR(HLOOKUP($A363,#REF!,10,FALSE())&gt;2,HLOOKUP($A363,#REF!,10,FALSE())&lt;-2),"",#REF!),"")</f>
        <v/>
      </c>
      <c r="M363" s="0" t="str">
        <f aca="false">IFERROR(IF(OR(HLOOKUP($A363,#REF!,11,FALSE())&gt;2,HLOOKUP($A363,#REF!,11,FALSE())&lt;-2),"",#REF!),"")</f>
        <v/>
      </c>
      <c r="N363" s="0" t="str">
        <f aca="false">IFERROR(IF(OR(HLOOKUP($A363,#REF!,12,FALSE())&gt;2,HLOOKUP($A363,#REF!,12,FALSE())&lt;-2),"",#REF!),"")</f>
        <v/>
      </c>
      <c r="O363" s="0" t="str">
        <f aca="false">IFERROR(IF(OR(HLOOKUP($A363,#REF!,13,FALSE())&gt;2,HLOOKUP($A363,#REF!,13,FALSE())&lt;-2),"",#REF!),"")</f>
        <v/>
      </c>
      <c r="P363" s="0" t="str">
        <f aca="false">IFERROR(IF(OR(HLOOKUP($A363,#REF!,14,FALSE())&gt;2,HLOOKUP($A363,#REF!,14,FALSE())&lt;-2),"",#REF!),"")</f>
        <v/>
      </c>
      <c r="Q363" s="0" t="str">
        <f aca="false">IFERROR(IF(OR(HLOOKUP($A363,#REF!,15,FALSE())&gt;2,HLOOKUP($A363,#REF!,15,FALSE())&lt;-2),"",#REF!),"")</f>
        <v/>
      </c>
      <c r="R363" s="0" t="str">
        <f aca="false">IFERROR(IF(OR(HLOOKUP($A363,#REF!,16,FALSE())&gt;2,HLOOKUP($A363,#REF!,16,FALSE())&lt;-2),"",#REF!),"")</f>
        <v/>
      </c>
      <c r="S363" s="0" t="str">
        <f aca="false">IFERROR(IF(OR(HLOOKUP($A363,#REF!,17,FALSE())&gt;2,HLOOKUP($A363,#REF!,17,FALSE())&lt;-2),"",#REF!),"")</f>
        <v/>
      </c>
      <c r="T363" s="0" t="str">
        <f aca="false">IFERROR(IF(OR(HLOOKUP($A363,#REF!,18,FALSE())&gt;2,HLOOKUP($A363,#REF!,18,FALSE())&lt;-2),"",#REF!),"")</f>
        <v/>
      </c>
      <c r="U363" s="0" t="str">
        <f aca="false">IFERROR(IF(OR(HLOOKUP($A363,#REF!,19,FALSE())&gt;2,HLOOKUP($A363,#REF!,19,FALSE())&lt;-2),"",#REF!),"")</f>
        <v/>
      </c>
      <c r="V363" s="0" t="n">
        <f aca="false">IFERROR(IF(AND(X363=0,Y363=0),0,1),0)</f>
        <v>1</v>
      </c>
      <c r="W363" s="3" t="str">
        <f aca="false">IFERROR(_xlfn.T.TEST(E363:M363,N363:U363,2,2),"")</f>
        <v/>
      </c>
      <c r="X363" s="0" t="str">
        <f aca="false">IFERROR(AVERAGE(E363:M363),"")</f>
        <v/>
      </c>
      <c r="Y363" s="0" t="str">
        <f aca="false">IFERROR(AVERAGE(N363:U363),"")</f>
        <v/>
      </c>
    </row>
    <row r="364" customFormat="false" ht="14.5" hidden="false" customHeight="false" outlineLevel="0" collapsed="false">
      <c r="A364" s="0" t="n">
        <v>371</v>
      </c>
      <c r="B364" s="0" t="s">
        <v>441</v>
      </c>
      <c r="C364" s="0" t="n">
        <v>44000</v>
      </c>
      <c r="D364" s="0" t="n">
        <v>934</v>
      </c>
      <c r="E364" s="0" t="str">
        <f aca="false">IFERROR(IF(OR(HLOOKUP($A364,#REF!,3,FALSE())&gt;2,HLOOKUP(A364,#REF!,3,FALSE())&lt;-2),"",#REF!),"")</f>
        <v/>
      </c>
      <c r="F364" s="0" t="str">
        <f aca="false">IFERROR(IF(OR(HLOOKUP($A364,#REF!,4,FALSE())&gt;2,HLOOKUP($A364,#REF!,4,FALSE())&lt;-2),"",#REF!),"")</f>
        <v/>
      </c>
      <c r="G364" s="0" t="str">
        <f aca="false">IFERROR(IF(OR(HLOOKUP($A364,#REF!,5,FALSE())&gt;2,HLOOKUP($A364,#REF!,5,FALSE())&lt;-2),"",#REF!),"")</f>
        <v/>
      </c>
      <c r="H364" s="0" t="str">
        <f aca="false">IFERROR(IF(OR(HLOOKUP($A364,#REF!,6,FALSE())&gt;2,HLOOKUP($A364,#REF!,6,FALSE())&lt;-2),"",#REF!),"")</f>
        <v/>
      </c>
      <c r="I364" s="0" t="str">
        <f aca="false">IFERROR(IF(OR(HLOOKUP($A364,#REF!,7,FALSE())&gt;2,HLOOKUP($A364,#REF!,7,FALSE())&lt;-2),"",#REF!),"")</f>
        <v/>
      </c>
      <c r="J364" s="0" t="str">
        <f aca="false">IFERROR(IF(OR(HLOOKUP($A364,#REF!,8,FALSE())&gt;2,HLOOKUP($A364,#REF!,8,FALSE())&lt;-2),"",#REF!),"")</f>
        <v/>
      </c>
      <c r="K364" s="0" t="str">
        <f aca="false">IFERROR(IF(OR(HLOOKUP($A364,#REF!,9,FALSE())&gt;2,HLOOKUP($A364,#REF!,9,FALSE())&lt;-2),"",#REF!),"")</f>
        <v/>
      </c>
      <c r="L364" s="0" t="str">
        <f aca="false">IFERROR(IF(OR(HLOOKUP($A364,#REF!,10,FALSE())&gt;2,HLOOKUP($A364,#REF!,10,FALSE())&lt;-2),"",#REF!),"")</f>
        <v/>
      </c>
      <c r="M364" s="0" t="str">
        <f aca="false">IFERROR(IF(OR(HLOOKUP($A364,#REF!,11,FALSE())&gt;2,HLOOKUP($A364,#REF!,11,FALSE())&lt;-2),"",#REF!),"")</f>
        <v/>
      </c>
      <c r="N364" s="0" t="str">
        <f aca="false">IFERROR(IF(OR(HLOOKUP($A364,#REF!,12,FALSE())&gt;2,HLOOKUP($A364,#REF!,12,FALSE())&lt;-2),"",#REF!),"")</f>
        <v/>
      </c>
      <c r="O364" s="0" t="str">
        <f aca="false">IFERROR(IF(OR(HLOOKUP($A364,#REF!,13,FALSE())&gt;2,HLOOKUP($A364,#REF!,13,FALSE())&lt;-2),"",#REF!),"")</f>
        <v/>
      </c>
      <c r="P364" s="0" t="str">
        <f aca="false">IFERROR(IF(OR(HLOOKUP($A364,#REF!,14,FALSE())&gt;2,HLOOKUP($A364,#REF!,14,FALSE())&lt;-2),"",#REF!),"")</f>
        <v/>
      </c>
      <c r="Q364" s="0" t="str">
        <f aca="false">IFERROR(IF(OR(HLOOKUP($A364,#REF!,15,FALSE())&gt;2,HLOOKUP($A364,#REF!,15,FALSE())&lt;-2),"",#REF!),"")</f>
        <v/>
      </c>
      <c r="R364" s="0" t="str">
        <f aca="false">IFERROR(IF(OR(HLOOKUP($A364,#REF!,16,FALSE())&gt;2,HLOOKUP($A364,#REF!,16,FALSE())&lt;-2),"",#REF!),"")</f>
        <v/>
      </c>
      <c r="S364" s="0" t="str">
        <f aca="false">IFERROR(IF(OR(HLOOKUP($A364,#REF!,17,FALSE())&gt;2,HLOOKUP($A364,#REF!,17,FALSE())&lt;-2),"",#REF!),"")</f>
        <v/>
      </c>
      <c r="T364" s="0" t="str">
        <f aca="false">IFERROR(IF(OR(HLOOKUP($A364,#REF!,18,FALSE())&gt;2,HLOOKUP($A364,#REF!,18,FALSE())&lt;-2),"",#REF!),"")</f>
        <v/>
      </c>
      <c r="U364" s="0" t="str">
        <f aca="false">IFERROR(IF(OR(HLOOKUP($A364,#REF!,19,FALSE())&gt;2,HLOOKUP($A364,#REF!,19,FALSE())&lt;-2),"",#REF!),"")</f>
        <v/>
      </c>
      <c r="V364" s="0" t="n">
        <f aca="false">IFERROR(IF(AND(X364=0,Y364=0),0,1),0)</f>
        <v>1</v>
      </c>
      <c r="W364" s="3" t="str">
        <f aca="false">IFERROR(_xlfn.T.TEST(E364:M364,N364:U364,2,2),"")</f>
        <v/>
      </c>
      <c r="X364" s="0" t="str">
        <f aca="false">IFERROR(AVERAGE(E364:M364),"")</f>
        <v/>
      </c>
      <c r="Y364" s="0" t="str">
        <f aca="false">IFERROR(AVERAGE(N364:U364),"")</f>
        <v/>
      </c>
    </row>
    <row r="365" customFormat="false" ht="14.5" hidden="false" customHeight="false" outlineLevel="0" collapsed="false">
      <c r="A365" s="0" t="n">
        <v>372</v>
      </c>
      <c r="B365" s="0" t="s">
        <v>442</v>
      </c>
      <c r="C365" s="0" t="n">
        <v>93400</v>
      </c>
      <c r="D365" s="0" t="n">
        <v>370</v>
      </c>
      <c r="E365" s="0" t="str">
        <f aca="false">IFERROR(IF(OR(HLOOKUP($A365,#REF!,3,FALSE())&gt;2,HLOOKUP(A365,#REF!,3,FALSE())&lt;-2),"",#REF!),"")</f>
        <v/>
      </c>
      <c r="F365" s="0" t="str">
        <f aca="false">IFERROR(IF(OR(HLOOKUP($A365,#REF!,4,FALSE())&gt;2,HLOOKUP($A365,#REF!,4,FALSE())&lt;-2),"",#REF!),"")</f>
        <v/>
      </c>
      <c r="G365" s="0" t="str">
        <f aca="false">IFERROR(IF(OR(HLOOKUP($A365,#REF!,5,FALSE())&gt;2,HLOOKUP($A365,#REF!,5,FALSE())&lt;-2),"",#REF!),"")</f>
        <v/>
      </c>
      <c r="H365" s="0" t="str">
        <f aca="false">IFERROR(IF(OR(HLOOKUP($A365,#REF!,6,FALSE())&gt;2,HLOOKUP($A365,#REF!,6,FALSE())&lt;-2),"",#REF!),"")</f>
        <v/>
      </c>
      <c r="I365" s="0" t="str">
        <f aca="false">IFERROR(IF(OR(HLOOKUP($A365,#REF!,7,FALSE())&gt;2,HLOOKUP($A365,#REF!,7,FALSE())&lt;-2),"",#REF!),"")</f>
        <v/>
      </c>
      <c r="J365" s="0" t="str">
        <f aca="false">IFERROR(IF(OR(HLOOKUP($A365,#REF!,8,FALSE())&gt;2,HLOOKUP($A365,#REF!,8,FALSE())&lt;-2),"",#REF!),"")</f>
        <v/>
      </c>
      <c r="K365" s="0" t="str">
        <f aca="false">IFERROR(IF(OR(HLOOKUP($A365,#REF!,9,FALSE())&gt;2,HLOOKUP($A365,#REF!,9,FALSE())&lt;-2),"",#REF!),"")</f>
        <v/>
      </c>
      <c r="L365" s="0" t="str">
        <f aca="false">IFERROR(IF(OR(HLOOKUP($A365,#REF!,10,FALSE())&gt;2,HLOOKUP($A365,#REF!,10,FALSE())&lt;-2),"",#REF!),"")</f>
        <v/>
      </c>
      <c r="M365" s="0" t="str">
        <f aca="false">IFERROR(IF(OR(HLOOKUP($A365,#REF!,11,FALSE())&gt;2,HLOOKUP($A365,#REF!,11,FALSE())&lt;-2),"",#REF!),"")</f>
        <v/>
      </c>
      <c r="N365" s="0" t="str">
        <f aca="false">IFERROR(IF(OR(HLOOKUP($A365,#REF!,12,FALSE())&gt;2,HLOOKUP($A365,#REF!,12,FALSE())&lt;-2),"",#REF!),"")</f>
        <v/>
      </c>
      <c r="O365" s="0" t="str">
        <f aca="false">IFERROR(IF(OR(HLOOKUP($A365,#REF!,13,FALSE())&gt;2,HLOOKUP($A365,#REF!,13,FALSE())&lt;-2),"",#REF!),"")</f>
        <v/>
      </c>
      <c r="P365" s="0" t="str">
        <f aca="false">IFERROR(IF(OR(HLOOKUP($A365,#REF!,14,FALSE())&gt;2,HLOOKUP($A365,#REF!,14,FALSE())&lt;-2),"",#REF!),"")</f>
        <v/>
      </c>
      <c r="Q365" s="0" t="str">
        <f aca="false">IFERROR(IF(OR(HLOOKUP($A365,#REF!,15,FALSE())&gt;2,HLOOKUP($A365,#REF!,15,FALSE())&lt;-2),"",#REF!),"")</f>
        <v/>
      </c>
      <c r="R365" s="0" t="str">
        <f aca="false">IFERROR(IF(OR(HLOOKUP($A365,#REF!,16,FALSE())&gt;2,HLOOKUP($A365,#REF!,16,FALSE())&lt;-2),"",#REF!),"")</f>
        <v/>
      </c>
      <c r="S365" s="0" t="str">
        <f aca="false">IFERROR(IF(OR(HLOOKUP($A365,#REF!,17,FALSE())&gt;2,HLOOKUP($A365,#REF!,17,FALSE())&lt;-2),"",#REF!),"")</f>
        <v/>
      </c>
      <c r="T365" s="0" t="str">
        <f aca="false">IFERROR(IF(OR(HLOOKUP($A365,#REF!,18,FALSE())&gt;2,HLOOKUP($A365,#REF!,18,FALSE())&lt;-2),"",#REF!),"")</f>
        <v/>
      </c>
      <c r="U365" s="0" t="str">
        <f aca="false">IFERROR(IF(OR(HLOOKUP($A365,#REF!,19,FALSE())&gt;2,HLOOKUP($A365,#REF!,19,FALSE())&lt;-2),"",#REF!),"")</f>
        <v/>
      </c>
      <c r="V365" s="0" t="n">
        <f aca="false">IFERROR(IF(AND(X365=0,Y365=0),0,1),0)</f>
        <v>1</v>
      </c>
      <c r="W365" s="3" t="str">
        <f aca="false">IFERROR(_xlfn.T.TEST(E365:M365,N365:U365,2,2),"")</f>
        <v/>
      </c>
      <c r="X365" s="0" t="str">
        <f aca="false">IFERROR(AVERAGE(E365:M365),"")</f>
        <v/>
      </c>
      <c r="Y365" s="0" t="str">
        <f aca="false">IFERROR(AVERAGE(N365:U365),"")</f>
        <v/>
      </c>
    </row>
    <row r="366" customFormat="false" ht="14.5" hidden="false" customHeight="false" outlineLevel="0" collapsed="false">
      <c r="A366" s="0" t="n">
        <v>373</v>
      </c>
      <c r="B366" s="0" t="s">
        <v>443</v>
      </c>
      <c r="C366" s="0" t="n">
        <v>105800</v>
      </c>
      <c r="D366" s="0" t="n">
        <v>752</v>
      </c>
      <c r="E366" s="0" t="str">
        <f aca="false">IFERROR(IF(OR(HLOOKUP($A366,#REF!,3,FALSE())&gt;2,HLOOKUP(A366,#REF!,3,FALSE())&lt;-2),"",#REF!),"")</f>
        <v/>
      </c>
      <c r="F366" s="0" t="str">
        <f aca="false">IFERROR(IF(OR(HLOOKUP($A366,#REF!,4,FALSE())&gt;2,HLOOKUP($A366,#REF!,4,FALSE())&lt;-2),"",#REF!),"")</f>
        <v/>
      </c>
      <c r="G366" s="0" t="str">
        <f aca="false">IFERROR(IF(OR(HLOOKUP($A366,#REF!,5,FALSE())&gt;2,HLOOKUP($A366,#REF!,5,FALSE())&lt;-2),"",#REF!),"")</f>
        <v/>
      </c>
      <c r="H366" s="0" t="str">
        <f aca="false">IFERROR(IF(OR(HLOOKUP($A366,#REF!,6,FALSE())&gt;2,HLOOKUP($A366,#REF!,6,FALSE())&lt;-2),"",#REF!),"")</f>
        <v/>
      </c>
      <c r="I366" s="0" t="str">
        <f aca="false">IFERROR(IF(OR(HLOOKUP($A366,#REF!,7,FALSE())&gt;2,HLOOKUP($A366,#REF!,7,FALSE())&lt;-2),"",#REF!),"")</f>
        <v/>
      </c>
      <c r="J366" s="0" t="str">
        <f aca="false">IFERROR(IF(OR(HLOOKUP($A366,#REF!,8,FALSE())&gt;2,HLOOKUP($A366,#REF!,8,FALSE())&lt;-2),"",#REF!),"")</f>
        <v/>
      </c>
      <c r="K366" s="0" t="str">
        <f aca="false">IFERROR(IF(OR(HLOOKUP($A366,#REF!,9,FALSE())&gt;2,HLOOKUP($A366,#REF!,9,FALSE())&lt;-2),"",#REF!),"")</f>
        <v/>
      </c>
      <c r="L366" s="0" t="str">
        <f aca="false">IFERROR(IF(OR(HLOOKUP($A366,#REF!,10,FALSE())&gt;2,HLOOKUP($A366,#REF!,10,FALSE())&lt;-2),"",#REF!),"")</f>
        <v/>
      </c>
      <c r="M366" s="0" t="str">
        <f aca="false">IFERROR(IF(OR(HLOOKUP($A366,#REF!,11,FALSE())&gt;2,HLOOKUP($A366,#REF!,11,FALSE())&lt;-2),"",#REF!),"")</f>
        <v/>
      </c>
      <c r="N366" s="0" t="str">
        <f aca="false">IFERROR(IF(OR(HLOOKUP($A366,#REF!,12,FALSE())&gt;2,HLOOKUP($A366,#REF!,12,FALSE())&lt;-2),"",#REF!),"")</f>
        <v/>
      </c>
      <c r="O366" s="0" t="str">
        <f aca="false">IFERROR(IF(OR(HLOOKUP($A366,#REF!,13,FALSE())&gt;2,HLOOKUP($A366,#REF!,13,FALSE())&lt;-2),"",#REF!),"")</f>
        <v/>
      </c>
      <c r="P366" s="0" t="str">
        <f aca="false">IFERROR(IF(OR(HLOOKUP($A366,#REF!,14,FALSE())&gt;2,HLOOKUP($A366,#REF!,14,FALSE())&lt;-2),"",#REF!),"")</f>
        <v/>
      </c>
      <c r="Q366" s="0" t="str">
        <f aca="false">IFERROR(IF(OR(HLOOKUP($A366,#REF!,15,FALSE())&gt;2,HLOOKUP($A366,#REF!,15,FALSE())&lt;-2),"",#REF!),"")</f>
        <v/>
      </c>
      <c r="R366" s="0" t="str">
        <f aca="false">IFERROR(IF(OR(HLOOKUP($A366,#REF!,16,FALSE())&gt;2,HLOOKUP($A366,#REF!,16,FALSE())&lt;-2),"",#REF!),"")</f>
        <v/>
      </c>
      <c r="S366" s="0" t="str">
        <f aca="false">IFERROR(IF(OR(HLOOKUP($A366,#REF!,17,FALSE())&gt;2,HLOOKUP($A366,#REF!,17,FALSE())&lt;-2),"",#REF!),"")</f>
        <v/>
      </c>
      <c r="T366" s="0" t="str">
        <f aca="false">IFERROR(IF(OR(HLOOKUP($A366,#REF!,18,FALSE())&gt;2,HLOOKUP($A366,#REF!,18,FALSE())&lt;-2),"",#REF!),"")</f>
        <v/>
      </c>
      <c r="U366" s="0" t="str">
        <f aca="false">IFERROR(IF(OR(HLOOKUP($A366,#REF!,19,FALSE())&gt;2,HLOOKUP($A366,#REF!,19,FALSE())&lt;-2),"",#REF!),"")</f>
        <v/>
      </c>
      <c r="V366" s="0" t="n">
        <f aca="false">IFERROR(IF(AND(X366=0,Y366=0),0,1),0)</f>
        <v>1</v>
      </c>
      <c r="W366" s="3" t="str">
        <f aca="false">IFERROR(_xlfn.T.TEST(E366:M366,N366:U366,2,2),"")</f>
        <v/>
      </c>
      <c r="X366" s="0" t="str">
        <f aca="false">IFERROR(AVERAGE(E366:M366),"")</f>
        <v/>
      </c>
      <c r="Y366" s="0" t="str">
        <f aca="false">IFERROR(AVERAGE(N366:U366),"")</f>
        <v/>
      </c>
    </row>
    <row r="367" customFormat="false" ht="14.5" hidden="false" customHeight="false" outlineLevel="0" collapsed="false">
      <c r="A367" s="0" t="n">
        <v>374</v>
      </c>
      <c r="B367" s="0" t="s">
        <v>444</v>
      </c>
      <c r="C367" s="0" t="n">
        <v>83800</v>
      </c>
      <c r="D367" s="0" t="n">
        <v>348</v>
      </c>
      <c r="E367" s="0" t="str">
        <f aca="false">IFERROR(IF(OR(HLOOKUP($A367,#REF!,3,FALSE())&gt;2,HLOOKUP(A367,#REF!,3,FALSE())&lt;-2),"",#REF!),"")</f>
        <v/>
      </c>
      <c r="F367" s="0" t="str">
        <f aca="false">IFERROR(IF(OR(HLOOKUP($A367,#REF!,4,FALSE())&gt;2,HLOOKUP($A367,#REF!,4,FALSE())&lt;-2),"",#REF!),"")</f>
        <v/>
      </c>
      <c r="G367" s="0" t="str">
        <f aca="false">IFERROR(IF(OR(HLOOKUP($A367,#REF!,5,FALSE())&gt;2,HLOOKUP($A367,#REF!,5,FALSE())&lt;-2),"",#REF!),"")</f>
        <v/>
      </c>
      <c r="H367" s="0" t="str">
        <f aca="false">IFERROR(IF(OR(HLOOKUP($A367,#REF!,6,FALSE())&gt;2,HLOOKUP($A367,#REF!,6,FALSE())&lt;-2),"",#REF!),"")</f>
        <v/>
      </c>
      <c r="I367" s="0" t="str">
        <f aca="false">IFERROR(IF(OR(HLOOKUP($A367,#REF!,7,FALSE())&gt;2,HLOOKUP($A367,#REF!,7,FALSE())&lt;-2),"",#REF!),"")</f>
        <v/>
      </c>
      <c r="J367" s="0" t="str">
        <f aca="false">IFERROR(IF(OR(HLOOKUP($A367,#REF!,8,FALSE())&gt;2,HLOOKUP($A367,#REF!,8,FALSE())&lt;-2),"",#REF!),"")</f>
        <v/>
      </c>
      <c r="K367" s="0" t="str">
        <f aca="false">IFERROR(IF(OR(HLOOKUP($A367,#REF!,9,FALSE())&gt;2,HLOOKUP($A367,#REF!,9,FALSE())&lt;-2),"",#REF!),"")</f>
        <v/>
      </c>
      <c r="L367" s="0" t="str">
        <f aca="false">IFERROR(IF(OR(HLOOKUP($A367,#REF!,10,FALSE())&gt;2,HLOOKUP($A367,#REF!,10,FALSE())&lt;-2),"",#REF!),"")</f>
        <v/>
      </c>
      <c r="M367" s="0" t="str">
        <f aca="false">IFERROR(IF(OR(HLOOKUP($A367,#REF!,11,FALSE())&gt;2,HLOOKUP($A367,#REF!,11,FALSE())&lt;-2),"",#REF!),"")</f>
        <v/>
      </c>
      <c r="N367" s="0" t="str">
        <f aca="false">IFERROR(IF(OR(HLOOKUP($A367,#REF!,12,FALSE())&gt;2,HLOOKUP($A367,#REF!,12,FALSE())&lt;-2),"",#REF!),"")</f>
        <v/>
      </c>
      <c r="O367" s="0" t="str">
        <f aca="false">IFERROR(IF(OR(HLOOKUP($A367,#REF!,13,FALSE())&gt;2,HLOOKUP($A367,#REF!,13,FALSE())&lt;-2),"",#REF!),"")</f>
        <v/>
      </c>
      <c r="P367" s="0" t="str">
        <f aca="false">IFERROR(IF(OR(HLOOKUP($A367,#REF!,14,FALSE())&gt;2,HLOOKUP($A367,#REF!,14,FALSE())&lt;-2),"",#REF!),"")</f>
        <v/>
      </c>
      <c r="Q367" s="0" t="str">
        <f aca="false">IFERROR(IF(OR(HLOOKUP($A367,#REF!,15,FALSE())&gt;2,HLOOKUP($A367,#REF!,15,FALSE())&lt;-2),"",#REF!),"")</f>
        <v/>
      </c>
      <c r="R367" s="0" t="str">
        <f aca="false">IFERROR(IF(OR(HLOOKUP($A367,#REF!,16,FALSE())&gt;2,HLOOKUP($A367,#REF!,16,FALSE())&lt;-2),"",#REF!),"")</f>
        <v/>
      </c>
      <c r="S367" s="0" t="str">
        <f aca="false">IFERROR(IF(OR(HLOOKUP($A367,#REF!,17,FALSE())&gt;2,HLOOKUP($A367,#REF!,17,FALSE())&lt;-2),"",#REF!),"")</f>
        <v/>
      </c>
      <c r="T367" s="0" t="str">
        <f aca="false">IFERROR(IF(OR(HLOOKUP($A367,#REF!,18,FALSE())&gt;2,HLOOKUP($A367,#REF!,18,FALSE())&lt;-2),"",#REF!),"")</f>
        <v/>
      </c>
      <c r="U367" s="0" t="str">
        <f aca="false">IFERROR(IF(OR(HLOOKUP($A367,#REF!,19,FALSE())&gt;2,HLOOKUP($A367,#REF!,19,FALSE())&lt;-2),"",#REF!),"")</f>
        <v/>
      </c>
      <c r="V367" s="0" t="n">
        <f aca="false">IFERROR(IF(AND(X367=0,Y367=0),0,1),0)</f>
        <v>1</v>
      </c>
      <c r="W367" s="3" t="str">
        <f aca="false">IFERROR(_xlfn.T.TEST(E367:M367,N367:U367,2,2),"")</f>
        <v/>
      </c>
      <c r="X367" s="0" t="str">
        <f aca="false">IFERROR(AVERAGE(E367:M367),"")</f>
        <v/>
      </c>
      <c r="Y367" s="0" t="str">
        <f aca="false">IFERROR(AVERAGE(N367:U367),"")</f>
        <v/>
      </c>
    </row>
    <row r="368" customFormat="false" ht="14.5" hidden="false" customHeight="false" outlineLevel="0" collapsed="false">
      <c r="A368" s="0" t="n">
        <v>375</v>
      </c>
      <c r="B368" s="0" t="s">
        <v>445</v>
      </c>
      <c r="C368" s="0" t="n">
        <v>37600</v>
      </c>
      <c r="D368" s="0" t="n">
        <v>1080</v>
      </c>
      <c r="E368" s="0" t="str">
        <f aca="false">IFERROR(IF(OR(HLOOKUP($A368,#REF!,3,FALSE())&gt;2,HLOOKUP(A368,#REF!,3,FALSE())&lt;-2),"",#REF!),"")</f>
        <v/>
      </c>
      <c r="F368" s="0" t="str">
        <f aca="false">IFERROR(IF(OR(HLOOKUP($A368,#REF!,4,FALSE())&gt;2,HLOOKUP($A368,#REF!,4,FALSE())&lt;-2),"",#REF!),"")</f>
        <v/>
      </c>
      <c r="G368" s="0" t="str">
        <f aca="false">IFERROR(IF(OR(HLOOKUP($A368,#REF!,5,FALSE())&gt;2,HLOOKUP($A368,#REF!,5,FALSE())&lt;-2),"",#REF!),"")</f>
        <v/>
      </c>
      <c r="H368" s="0" t="str">
        <f aca="false">IFERROR(IF(OR(HLOOKUP($A368,#REF!,6,FALSE())&gt;2,HLOOKUP($A368,#REF!,6,FALSE())&lt;-2),"",#REF!),"")</f>
        <v/>
      </c>
      <c r="I368" s="0" t="str">
        <f aca="false">IFERROR(IF(OR(HLOOKUP($A368,#REF!,7,FALSE())&gt;2,HLOOKUP($A368,#REF!,7,FALSE())&lt;-2),"",#REF!),"")</f>
        <v/>
      </c>
      <c r="J368" s="0" t="str">
        <f aca="false">IFERROR(IF(OR(HLOOKUP($A368,#REF!,8,FALSE())&gt;2,HLOOKUP($A368,#REF!,8,FALSE())&lt;-2),"",#REF!),"")</f>
        <v/>
      </c>
      <c r="K368" s="0" t="str">
        <f aca="false">IFERROR(IF(OR(HLOOKUP($A368,#REF!,9,FALSE())&gt;2,HLOOKUP($A368,#REF!,9,FALSE())&lt;-2),"",#REF!),"")</f>
        <v/>
      </c>
      <c r="L368" s="0" t="str">
        <f aca="false">IFERROR(IF(OR(HLOOKUP($A368,#REF!,10,FALSE())&gt;2,HLOOKUP($A368,#REF!,10,FALSE())&lt;-2),"",#REF!),"")</f>
        <v/>
      </c>
      <c r="M368" s="0" t="str">
        <f aca="false">IFERROR(IF(OR(HLOOKUP($A368,#REF!,11,FALSE())&gt;2,HLOOKUP($A368,#REF!,11,FALSE())&lt;-2),"",#REF!),"")</f>
        <v/>
      </c>
      <c r="N368" s="0" t="str">
        <f aca="false">IFERROR(IF(OR(HLOOKUP($A368,#REF!,12,FALSE())&gt;2,HLOOKUP($A368,#REF!,12,FALSE())&lt;-2),"",#REF!),"")</f>
        <v/>
      </c>
      <c r="O368" s="0" t="str">
        <f aca="false">IFERROR(IF(OR(HLOOKUP($A368,#REF!,13,FALSE())&gt;2,HLOOKUP($A368,#REF!,13,FALSE())&lt;-2),"",#REF!),"")</f>
        <v/>
      </c>
      <c r="P368" s="0" t="str">
        <f aca="false">IFERROR(IF(OR(HLOOKUP($A368,#REF!,14,FALSE())&gt;2,HLOOKUP($A368,#REF!,14,FALSE())&lt;-2),"",#REF!),"")</f>
        <v/>
      </c>
      <c r="Q368" s="0" t="str">
        <f aca="false">IFERROR(IF(OR(HLOOKUP($A368,#REF!,15,FALSE())&gt;2,HLOOKUP($A368,#REF!,15,FALSE())&lt;-2),"",#REF!),"")</f>
        <v/>
      </c>
      <c r="R368" s="0" t="str">
        <f aca="false">IFERROR(IF(OR(HLOOKUP($A368,#REF!,16,FALSE())&gt;2,HLOOKUP($A368,#REF!,16,FALSE())&lt;-2),"",#REF!),"")</f>
        <v/>
      </c>
      <c r="S368" s="0" t="str">
        <f aca="false">IFERROR(IF(OR(HLOOKUP($A368,#REF!,17,FALSE())&gt;2,HLOOKUP($A368,#REF!,17,FALSE())&lt;-2),"",#REF!),"")</f>
        <v/>
      </c>
      <c r="T368" s="0" t="str">
        <f aca="false">IFERROR(IF(OR(HLOOKUP($A368,#REF!,18,FALSE())&gt;2,HLOOKUP($A368,#REF!,18,FALSE())&lt;-2),"",#REF!),"")</f>
        <v/>
      </c>
      <c r="U368" s="0" t="str">
        <f aca="false">IFERROR(IF(OR(HLOOKUP($A368,#REF!,19,FALSE())&gt;2,HLOOKUP($A368,#REF!,19,FALSE())&lt;-2),"",#REF!),"")</f>
        <v/>
      </c>
      <c r="V368" s="0" t="n">
        <f aca="false">IFERROR(IF(AND(X368=0,Y368=0),0,1),0)</f>
        <v>1</v>
      </c>
      <c r="W368" s="3" t="str">
        <f aca="false">IFERROR(_xlfn.T.TEST(E368:M368,N368:U368,2,2),"")</f>
        <v/>
      </c>
      <c r="X368" s="0" t="str">
        <f aca="false">IFERROR(AVERAGE(E368:M368),"")</f>
        <v/>
      </c>
      <c r="Y368" s="0" t="str">
        <f aca="false">IFERROR(AVERAGE(N368:U368),"")</f>
        <v/>
      </c>
    </row>
    <row r="369" customFormat="false" ht="14.5" hidden="false" customHeight="false" outlineLevel="0" collapsed="false">
      <c r="A369" s="0" t="n">
        <v>376</v>
      </c>
      <c r="B369" s="0" t="s">
        <v>446</v>
      </c>
      <c r="C369" s="0" t="n">
        <v>35400</v>
      </c>
      <c r="D369" s="0" t="n">
        <v>655</v>
      </c>
      <c r="E369" s="0" t="str">
        <f aca="false">IFERROR(IF(OR(HLOOKUP($A369,#REF!,3,FALSE())&gt;2,HLOOKUP(A369,#REF!,3,FALSE())&lt;-2),"",#REF!),"")</f>
        <v/>
      </c>
      <c r="F369" s="0" t="str">
        <f aca="false">IFERROR(IF(OR(HLOOKUP($A369,#REF!,4,FALSE())&gt;2,HLOOKUP($A369,#REF!,4,FALSE())&lt;-2),"",#REF!),"")</f>
        <v/>
      </c>
      <c r="G369" s="0" t="str">
        <f aca="false">IFERROR(IF(OR(HLOOKUP($A369,#REF!,5,FALSE())&gt;2,HLOOKUP($A369,#REF!,5,FALSE())&lt;-2),"",#REF!),"")</f>
        <v/>
      </c>
      <c r="H369" s="0" t="str">
        <f aca="false">IFERROR(IF(OR(HLOOKUP($A369,#REF!,6,FALSE())&gt;2,HLOOKUP($A369,#REF!,6,FALSE())&lt;-2),"",#REF!),"")</f>
        <v/>
      </c>
      <c r="I369" s="0" t="str">
        <f aca="false">IFERROR(IF(OR(HLOOKUP($A369,#REF!,7,FALSE())&gt;2,HLOOKUP($A369,#REF!,7,FALSE())&lt;-2),"",#REF!),"")</f>
        <v/>
      </c>
      <c r="J369" s="0" t="str">
        <f aca="false">IFERROR(IF(OR(HLOOKUP($A369,#REF!,8,FALSE())&gt;2,HLOOKUP($A369,#REF!,8,FALSE())&lt;-2),"",#REF!),"")</f>
        <v/>
      </c>
      <c r="K369" s="0" t="str">
        <f aca="false">IFERROR(IF(OR(HLOOKUP($A369,#REF!,9,FALSE())&gt;2,HLOOKUP($A369,#REF!,9,FALSE())&lt;-2),"",#REF!),"")</f>
        <v/>
      </c>
      <c r="L369" s="0" t="str">
        <f aca="false">IFERROR(IF(OR(HLOOKUP($A369,#REF!,10,FALSE())&gt;2,HLOOKUP($A369,#REF!,10,FALSE())&lt;-2),"",#REF!),"")</f>
        <v/>
      </c>
      <c r="M369" s="0" t="str">
        <f aca="false">IFERROR(IF(OR(HLOOKUP($A369,#REF!,11,FALSE())&gt;2,HLOOKUP($A369,#REF!,11,FALSE())&lt;-2),"",#REF!),"")</f>
        <v/>
      </c>
      <c r="N369" s="0" t="str">
        <f aca="false">IFERROR(IF(OR(HLOOKUP($A369,#REF!,12,FALSE())&gt;2,HLOOKUP($A369,#REF!,12,FALSE())&lt;-2),"",#REF!),"")</f>
        <v/>
      </c>
      <c r="O369" s="0" t="str">
        <f aca="false">IFERROR(IF(OR(HLOOKUP($A369,#REF!,13,FALSE())&gt;2,HLOOKUP($A369,#REF!,13,FALSE())&lt;-2),"",#REF!),"")</f>
        <v/>
      </c>
      <c r="P369" s="0" t="str">
        <f aca="false">IFERROR(IF(OR(HLOOKUP($A369,#REF!,14,FALSE())&gt;2,HLOOKUP($A369,#REF!,14,FALSE())&lt;-2),"",#REF!),"")</f>
        <v/>
      </c>
      <c r="Q369" s="0" t="str">
        <f aca="false">IFERROR(IF(OR(HLOOKUP($A369,#REF!,15,FALSE())&gt;2,HLOOKUP($A369,#REF!,15,FALSE())&lt;-2),"",#REF!),"")</f>
        <v/>
      </c>
      <c r="R369" s="0" t="str">
        <f aca="false">IFERROR(IF(OR(HLOOKUP($A369,#REF!,16,FALSE())&gt;2,HLOOKUP($A369,#REF!,16,FALSE())&lt;-2),"",#REF!),"")</f>
        <v/>
      </c>
      <c r="S369" s="0" t="str">
        <f aca="false">IFERROR(IF(OR(HLOOKUP($A369,#REF!,17,FALSE())&gt;2,HLOOKUP($A369,#REF!,17,FALSE())&lt;-2),"",#REF!),"")</f>
        <v/>
      </c>
      <c r="T369" s="0" t="str">
        <f aca="false">IFERROR(IF(OR(HLOOKUP($A369,#REF!,18,FALSE())&gt;2,HLOOKUP($A369,#REF!,18,FALSE())&lt;-2),"",#REF!),"")</f>
        <v/>
      </c>
      <c r="U369" s="0" t="str">
        <f aca="false">IFERROR(IF(OR(HLOOKUP($A369,#REF!,19,FALSE())&gt;2,HLOOKUP($A369,#REF!,19,FALSE())&lt;-2),"",#REF!),"")</f>
        <v/>
      </c>
      <c r="V369" s="0" t="n">
        <f aca="false">IFERROR(IF(AND(X369=0,Y369=0),0,1),0)</f>
        <v>1</v>
      </c>
      <c r="W369" s="3" t="str">
        <f aca="false">IFERROR(_xlfn.T.TEST(E369:M369,N369:U369,2,2),"")</f>
        <v/>
      </c>
      <c r="X369" s="0" t="str">
        <f aca="false">IFERROR(AVERAGE(E369:M369),"")</f>
        <v/>
      </c>
      <c r="Y369" s="0" t="str">
        <f aca="false">IFERROR(AVERAGE(N369:U369),"")</f>
        <v/>
      </c>
    </row>
    <row r="370" customFormat="false" ht="14.5" hidden="false" customHeight="false" outlineLevel="0" collapsed="false">
      <c r="A370" s="0" t="n">
        <v>377</v>
      </c>
      <c r="B370" s="0" t="s">
        <v>447</v>
      </c>
      <c r="C370" s="0" t="n">
        <v>17400</v>
      </c>
      <c r="D370" s="0" t="n">
        <v>425</v>
      </c>
      <c r="E370" s="0" t="str">
        <f aca="false">IFERROR(IF(OR(HLOOKUP($A370,#REF!,3,FALSE())&gt;2,HLOOKUP(A370,#REF!,3,FALSE())&lt;-2),"",#REF!),"")</f>
        <v/>
      </c>
      <c r="F370" s="0" t="str">
        <f aca="false">IFERROR(IF(OR(HLOOKUP($A370,#REF!,4,FALSE())&gt;2,HLOOKUP($A370,#REF!,4,FALSE())&lt;-2),"",#REF!),"")</f>
        <v/>
      </c>
      <c r="G370" s="0" t="str">
        <f aca="false">IFERROR(IF(OR(HLOOKUP($A370,#REF!,5,FALSE())&gt;2,HLOOKUP($A370,#REF!,5,FALSE())&lt;-2),"",#REF!),"")</f>
        <v/>
      </c>
      <c r="H370" s="0" t="str">
        <f aca="false">IFERROR(IF(OR(HLOOKUP($A370,#REF!,6,FALSE())&gt;2,HLOOKUP($A370,#REF!,6,FALSE())&lt;-2),"",#REF!),"")</f>
        <v/>
      </c>
      <c r="I370" s="0" t="str">
        <f aca="false">IFERROR(IF(OR(HLOOKUP($A370,#REF!,7,FALSE())&gt;2,HLOOKUP($A370,#REF!,7,FALSE())&lt;-2),"",#REF!),"")</f>
        <v/>
      </c>
      <c r="J370" s="0" t="str">
        <f aca="false">IFERROR(IF(OR(HLOOKUP($A370,#REF!,8,FALSE())&gt;2,HLOOKUP($A370,#REF!,8,FALSE())&lt;-2),"",#REF!),"")</f>
        <v/>
      </c>
      <c r="K370" s="0" t="str">
        <f aca="false">IFERROR(IF(OR(HLOOKUP($A370,#REF!,9,FALSE())&gt;2,HLOOKUP($A370,#REF!,9,FALSE())&lt;-2),"",#REF!),"")</f>
        <v/>
      </c>
      <c r="L370" s="0" t="str">
        <f aca="false">IFERROR(IF(OR(HLOOKUP($A370,#REF!,10,FALSE())&gt;2,HLOOKUP($A370,#REF!,10,FALSE())&lt;-2),"",#REF!),"")</f>
        <v/>
      </c>
      <c r="M370" s="0" t="str">
        <f aca="false">IFERROR(IF(OR(HLOOKUP($A370,#REF!,11,FALSE())&gt;2,HLOOKUP($A370,#REF!,11,FALSE())&lt;-2),"",#REF!),"")</f>
        <v/>
      </c>
      <c r="N370" s="0" t="str">
        <f aca="false">IFERROR(IF(OR(HLOOKUP($A370,#REF!,12,FALSE())&gt;2,HLOOKUP($A370,#REF!,12,FALSE())&lt;-2),"",#REF!),"")</f>
        <v/>
      </c>
      <c r="O370" s="0" t="str">
        <f aca="false">IFERROR(IF(OR(HLOOKUP($A370,#REF!,13,FALSE())&gt;2,HLOOKUP($A370,#REF!,13,FALSE())&lt;-2),"",#REF!),"")</f>
        <v/>
      </c>
      <c r="P370" s="0" t="str">
        <f aca="false">IFERROR(IF(OR(HLOOKUP($A370,#REF!,14,FALSE())&gt;2,HLOOKUP($A370,#REF!,14,FALSE())&lt;-2),"",#REF!),"")</f>
        <v/>
      </c>
      <c r="Q370" s="0" t="str">
        <f aca="false">IFERROR(IF(OR(HLOOKUP($A370,#REF!,15,FALSE())&gt;2,HLOOKUP($A370,#REF!,15,FALSE())&lt;-2),"",#REF!),"")</f>
        <v/>
      </c>
      <c r="R370" s="0" t="str">
        <f aca="false">IFERROR(IF(OR(HLOOKUP($A370,#REF!,16,FALSE())&gt;2,HLOOKUP($A370,#REF!,16,FALSE())&lt;-2),"",#REF!),"")</f>
        <v/>
      </c>
      <c r="S370" s="0" t="str">
        <f aca="false">IFERROR(IF(OR(HLOOKUP($A370,#REF!,17,FALSE())&gt;2,HLOOKUP($A370,#REF!,17,FALSE())&lt;-2),"",#REF!),"")</f>
        <v/>
      </c>
      <c r="T370" s="0" t="str">
        <f aca="false">IFERROR(IF(OR(HLOOKUP($A370,#REF!,18,FALSE())&gt;2,HLOOKUP($A370,#REF!,18,FALSE())&lt;-2),"",#REF!),"")</f>
        <v/>
      </c>
      <c r="U370" s="0" t="str">
        <f aca="false">IFERROR(IF(OR(HLOOKUP($A370,#REF!,19,FALSE())&gt;2,HLOOKUP($A370,#REF!,19,FALSE())&lt;-2),"",#REF!),"")</f>
        <v/>
      </c>
      <c r="V370" s="0" t="n">
        <f aca="false">IFERROR(IF(AND(X370=0,Y370=0),0,1),0)</f>
        <v>1</v>
      </c>
      <c r="W370" s="3" t="str">
        <f aca="false">IFERROR(_xlfn.T.TEST(E370:M370,N370:U370,2,2),"")</f>
        <v/>
      </c>
      <c r="X370" s="0" t="str">
        <f aca="false">IFERROR(AVERAGE(E370:M370),"")</f>
        <v/>
      </c>
      <c r="Y370" s="0" t="str">
        <f aca="false">IFERROR(AVERAGE(N370:U370),"")</f>
        <v/>
      </c>
    </row>
    <row r="371" customFormat="false" ht="14.5" hidden="false" customHeight="false" outlineLevel="0" collapsed="false">
      <c r="A371" s="0" t="n">
        <v>378</v>
      </c>
      <c r="B371" s="0" t="s">
        <v>448</v>
      </c>
      <c r="C371" s="0" t="n">
        <v>7700</v>
      </c>
      <c r="D371" s="0" t="n">
        <v>453</v>
      </c>
      <c r="E371" s="0" t="str">
        <f aca="false">IFERROR(IF(OR(HLOOKUP($A371,#REF!,3,FALSE())&gt;2,HLOOKUP(A371,#REF!,3,FALSE())&lt;-2),"",#REF!),"")</f>
        <v/>
      </c>
      <c r="F371" s="0" t="str">
        <f aca="false">IFERROR(IF(OR(HLOOKUP($A371,#REF!,4,FALSE())&gt;2,HLOOKUP($A371,#REF!,4,FALSE())&lt;-2),"",#REF!),"")</f>
        <v/>
      </c>
      <c r="G371" s="0" t="str">
        <f aca="false">IFERROR(IF(OR(HLOOKUP($A371,#REF!,5,FALSE())&gt;2,HLOOKUP($A371,#REF!,5,FALSE())&lt;-2),"",#REF!),"")</f>
        <v/>
      </c>
      <c r="H371" s="0" t="str">
        <f aca="false">IFERROR(IF(OR(HLOOKUP($A371,#REF!,6,FALSE())&gt;2,HLOOKUP($A371,#REF!,6,FALSE())&lt;-2),"",#REF!),"")</f>
        <v/>
      </c>
      <c r="I371" s="0" t="str">
        <f aca="false">IFERROR(IF(OR(HLOOKUP($A371,#REF!,7,FALSE())&gt;2,HLOOKUP($A371,#REF!,7,FALSE())&lt;-2),"",#REF!),"")</f>
        <v/>
      </c>
      <c r="J371" s="0" t="str">
        <f aca="false">IFERROR(IF(OR(HLOOKUP($A371,#REF!,8,FALSE())&gt;2,HLOOKUP($A371,#REF!,8,FALSE())&lt;-2),"",#REF!),"")</f>
        <v/>
      </c>
      <c r="K371" s="0" t="str">
        <f aca="false">IFERROR(IF(OR(HLOOKUP($A371,#REF!,9,FALSE())&gt;2,HLOOKUP($A371,#REF!,9,FALSE())&lt;-2),"",#REF!),"")</f>
        <v/>
      </c>
      <c r="L371" s="0" t="str">
        <f aca="false">IFERROR(IF(OR(HLOOKUP($A371,#REF!,10,FALSE())&gt;2,HLOOKUP($A371,#REF!,10,FALSE())&lt;-2),"",#REF!),"")</f>
        <v/>
      </c>
      <c r="M371" s="0" t="str">
        <f aca="false">IFERROR(IF(OR(HLOOKUP($A371,#REF!,11,FALSE())&gt;2,HLOOKUP($A371,#REF!,11,FALSE())&lt;-2),"",#REF!),"")</f>
        <v/>
      </c>
      <c r="N371" s="0" t="str">
        <f aca="false">IFERROR(IF(OR(HLOOKUP($A371,#REF!,12,FALSE())&gt;2,HLOOKUP($A371,#REF!,12,FALSE())&lt;-2),"",#REF!),"")</f>
        <v/>
      </c>
      <c r="O371" s="0" t="str">
        <f aca="false">IFERROR(IF(OR(HLOOKUP($A371,#REF!,13,FALSE())&gt;2,HLOOKUP($A371,#REF!,13,FALSE())&lt;-2),"",#REF!),"")</f>
        <v/>
      </c>
      <c r="P371" s="0" t="str">
        <f aca="false">IFERROR(IF(OR(HLOOKUP($A371,#REF!,14,FALSE())&gt;2,HLOOKUP($A371,#REF!,14,FALSE())&lt;-2),"",#REF!),"")</f>
        <v/>
      </c>
      <c r="Q371" s="0" t="str">
        <f aca="false">IFERROR(IF(OR(HLOOKUP($A371,#REF!,15,FALSE())&gt;2,HLOOKUP($A371,#REF!,15,FALSE())&lt;-2),"",#REF!),"")</f>
        <v/>
      </c>
      <c r="R371" s="0" t="str">
        <f aca="false">IFERROR(IF(OR(HLOOKUP($A371,#REF!,16,FALSE())&gt;2,HLOOKUP($A371,#REF!,16,FALSE())&lt;-2),"",#REF!),"")</f>
        <v/>
      </c>
      <c r="S371" s="0" t="str">
        <f aca="false">IFERROR(IF(OR(HLOOKUP($A371,#REF!,17,FALSE())&gt;2,HLOOKUP($A371,#REF!,17,FALSE())&lt;-2),"",#REF!),"")</f>
        <v/>
      </c>
      <c r="T371" s="0" t="str">
        <f aca="false">IFERROR(IF(OR(HLOOKUP($A371,#REF!,18,FALSE())&gt;2,HLOOKUP($A371,#REF!,18,FALSE())&lt;-2),"",#REF!),"")</f>
        <v/>
      </c>
      <c r="U371" s="0" t="str">
        <f aca="false">IFERROR(IF(OR(HLOOKUP($A371,#REF!,19,FALSE())&gt;2,HLOOKUP($A371,#REF!,19,FALSE())&lt;-2),"",#REF!),"")</f>
        <v/>
      </c>
      <c r="V371" s="0" t="n">
        <f aca="false">IFERROR(IF(AND(X371=0,Y371=0),0,1),0)</f>
        <v>1</v>
      </c>
      <c r="W371" s="3" t="str">
        <f aca="false">IFERROR(_xlfn.T.TEST(E371:M371,N371:U371,2,2),"")</f>
        <v/>
      </c>
      <c r="X371" s="0" t="str">
        <f aca="false">IFERROR(AVERAGE(E371:M371),"")</f>
        <v/>
      </c>
      <c r="Y371" s="0" t="str">
        <f aca="false">IFERROR(AVERAGE(N371:U371),"")</f>
        <v/>
      </c>
    </row>
    <row r="372" customFormat="false" ht="14.5" hidden="false" customHeight="false" outlineLevel="0" collapsed="false">
      <c r="A372" s="0" t="n">
        <v>379</v>
      </c>
      <c r="B372" s="0" t="s">
        <v>449</v>
      </c>
      <c r="C372" s="0" t="n">
        <v>96800</v>
      </c>
      <c r="D372" s="0" t="n">
        <v>354</v>
      </c>
      <c r="E372" s="0" t="str">
        <f aca="false">IFERROR(IF(OR(HLOOKUP($A372,#REF!,3,FALSE())&gt;2,HLOOKUP(A372,#REF!,3,FALSE())&lt;-2),"",#REF!),"")</f>
        <v/>
      </c>
      <c r="F372" s="0" t="str">
        <f aca="false">IFERROR(IF(OR(HLOOKUP($A372,#REF!,4,FALSE())&gt;2,HLOOKUP($A372,#REF!,4,FALSE())&lt;-2),"",#REF!),"")</f>
        <v/>
      </c>
      <c r="G372" s="0" t="str">
        <f aca="false">IFERROR(IF(OR(HLOOKUP($A372,#REF!,5,FALSE())&gt;2,HLOOKUP($A372,#REF!,5,FALSE())&lt;-2),"",#REF!),"")</f>
        <v/>
      </c>
      <c r="H372" s="0" t="str">
        <f aca="false">IFERROR(IF(OR(HLOOKUP($A372,#REF!,6,FALSE())&gt;2,HLOOKUP($A372,#REF!,6,FALSE())&lt;-2),"",#REF!),"")</f>
        <v/>
      </c>
      <c r="I372" s="0" t="str">
        <f aca="false">IFERROR(IF(OR(HLOOKUP($A372,#REF!,7,FALSE())&gt;2,HLOOKUP($A372,#REF!,7,FALSE())&lt;-2),"",#REF!),"")</f>
        <v/>
      </c>
      <c r="J372" s="0" t="str">
        <f aca="false">IFERROR(IF(OR(HLOOKUP($A372,#REF!,8,FALSE())&gt;2,HLOOKUP($A372,#REF!,8,FALSE())&lt;-2),"",#REF!),"")</f>
        <v/>
      </c>
      <c r="K372" s="0" t="str">
        <f aca="false">IFERROR(IF(OR(HLOOKUP($A372,#REF!,9,FALSE())&gt;2,HLOOKUP($A372,#REF!,9,FALSE())&lt;-2),"",#REF!),"")</f>
        <v/>
      </c>
      <c r="L372" s="0" t="str">
        <f aca="false">IFERROR(IF(OR(HLOOKUP($A372,#REF!,10,FALSE())&gt;2,HLOOKUP($A372,#REF!,10,FALSE())&lt;-2),"",#REF!),"")</f>
        <v/>
      </c>
      <c r="M372" s="0" t="str">
        <f aca="false">IFERROR(IF(OR(HLOOKUP($A372,#REF!,11,FALSE())&gt;2,HLOOKUP($A372,#REF!,11,FALSE())&lt;-2),"",#REF!),"")</f>
        <v/>
      </c>
      <c r="N372" s="0" t="str">
        <f aca="false">IFERROR(IF(OR(HLOOKUP($A372,#REF!,12,FALSE())&gt;2,HLOOKUP($A372,#REF!,12,FALSE())&lt;-2),"",#REF!),"")</f>
        <v/>
      </c>
      <c r="O372" s="0" t="str">
        <f aca="false">IFERROR(IF(OR(HLOOKUP($A372,#REF!,13,FALSE())&gt;2,HLOOKUP($A372,#REF!,13,FALSE())&lt;-2),"",#REF!),"")</f>
        <v/>
      </c>
      <c r="P372" s="0" t="str">
        <f aca="false">IFERROR(IF(OR(HLOOKUP($A372,#REF!,14,FALSE())&gt;2,HLOOKUP($A372,#REF!,14,FALSE())&lt;-2),"",#REF!),"")</f>
        <v/>
      </c>
      <c r="Q372" s="0" t="str">
        <f aca="false">IFERROR(IF(OR(HLOOKUP($A372,#REF!,15,FALSE())&gt;2,HLOOKUP($A372,#REF!,15,FALSE())&lt;-2),"",#REF!),"")</f>
        <v/>
      </c>
      <c r="R372" s="0" t="str">
        <f aca="false">IFERROR(IF(OR(HLOOKUP($A372,#REF!,16,FALSE())&gt;2,HLOOKUP($A372,#REF!,16,FALSE())&lt;-2),"",#REF!),"")</f>
        <v/>
      </c>
      <c r="S372" s="0" t="str">
        <f aca="false">IFERROR(IF(OR(HLOOKUP($A372,#REF!,17,FALSE())&gt;2,HLOOKUP($A372,#REF!,17,FALSE())&lt;-2),"",#REF!),"")</f>
        <v/>
      </c>
      <c r="T372" s="0" t="str">
        <f aca="false">IFERROR(IF(OR(HLOOKUP($A372,#REF!,18,FALSE())&gt;2,HLOOKUP($A372,#REF!,18,FALSE())&lt;-2),"",#REF!),"")</f>
        <v/>
      </c>
      <c r="U372" s="0" t="str">
        <f aca="false">IFERROR(IF(OR(HLOOKUP($A372,#REF!,19,FALSE())&gt;2,HLOOKUP($A372,#REF!,19,FALSE())&lt;-2),"",#REF!),"")</f>
        <v/>
      </c>
      <c r="V372" s="0" t="n">
        <f aca="false">IFERROR(IF(AND(X372=0,Y372=0),0,1),0)</f>
        <v>1</v>
      </c>
      <c r="W372" s="3" t="str">
        <f aca="false">IFERROR(_xlfn.T.TEST(E372:M372,N372:U372,2,2),"")</f>
        <v/>
      </c>
      <c r="X372" s="0" t="str">
        <f aca="false">IFERROR(AVERAGE(E372:M372),"")</f>
        <v/>
      </c>
      <c r="Y372" s="0" t="str">
        <f aca="false">IFERROR(AVERAGE(N372:U372),"")</f>
        <v/>
      </c>
    </row>
    <row r="373" customFormat="false" ht="14.5" hidden="false" customHeight="false" outlineLevel="0" collapsed="false">
      <c r="A373" s="0" t="n">
        <v>380</v>
      </c>
      <c r="B373" s="0" t="s">
        <v>450</v>
      </c>
      <c r="C373" s="0" t="n">
        <v>102700</v>
      </c>
      <c r="D373" s="0" t="n">
        <v>514</v>
      </c>
      <c r="E373" s="0" t="str">
        <f aca="false">IFERROR(IF(OR(HLOOKUP($A373,#REF!,3,FALSE())&gt;2,HLOOKUP(A373,#REF!,3,FALSE())&lt;-2),"",#REF!),"")</f>
        <v/>
      </c>
      <c r="F373" s="0" t="str">
        <f aca="false">IFERROR(IF(OR(HLOOKUP($A373,#REF!,4,FALSE())&gt;2,HLOOKUP($A373,#REF!,4,FALSE())&lt;-2),"",#REF!),"")</f>
        <v/>
      </c>
      <c r="G373" s="0" t="str">
        <f aca="false">IFERROR(IF(OR(HLOOKUP($A373,#REF!,5,FALSE())&gt;2,HLOOKUP($A373,#REF!,5,FALSE())&lt;-2),"",#REF!),"")</f>
        <v/>
      </c>
      <c r="H373" s="0" t="str">
        <f aca="false">IFERROR(IF(OR(HLOOKUP($A373,#REF!,6,FALSE())&gt;2,HLOOKUP($A373,#REF!,6,FALSE())&lt;-2),"",#REF!),"")</f>
        <v/>
      </c>
      <c r="I373" s="0" t="str">
        <f aca="false">IFERROR(IF(OR(HLOOKUP($A373,#REF!,7,FALSE())&gt;2,HLOOKUP($A373,#REF!,7,FALSE())&lt;-2),"",#REF!),"")</f>
        <v/>
      </c>
      <c r="J373" s="0" t="str">
        <f aca="false">IFERROR(IF(OR(HLOOKUP($A373,#REF!,8,FALSE())&gt;2,HLOOKUP($A373,#REF!,8,FALSE())&lt;-2),"",#REF!),"")</f>
        <v/>
      </c>
      <c r="K373" s="0" t="str">
        <f aca="false">IFERROR(IF(OR(HLOOKUP($A373,#REF!,9,FALSE())&gt;2,HLOOKUP($A373,#REF!,9,FALSE())&lt;-2),"",#REF!),"")</f>
        <v/>
      </c>
      <c r="L373" s="0" t="str">
        <f aca="false">IFERROR(IF(OR(HLOOKUP($A373,#REF!,10,FALSE())&gt;2,HLOOKUP($A373,#REF!,10,FALSE())&lt;-2),"",#REF!),"")</f>
        <v/>
      </c>
      <c r="M373" s="0" t="str">
        <f aca="false">IFERROR(IF(OR(HLOOKUP($A373,#REF!,11,FALSE())&gt;2,HLOOKUP($A373,#REF!,11,FALSE())&lt;-2),"",#REF!),"")</f>
        <v/>
      </c>
      <c r="N373" s="0" t="str">
        <f aca="false">IFERROR(IF(OR(HLOOKUP($A373,#REF!,12,FALSE())&gt;2,HLOOKUP($A373,#REF!,12,FALSE())&lt;-2),"",#REF!),"")</f>
        <v/>
      </c>
      <c r="O373" s="0" t="str">
        <f aca="false">IFERROR(IF(OR(HLOOKUP($A373,#REF!,13,FALSE())&gt;2,HLOOKUP($A373,#REF!,13,FALSE())&lt;-2),"",#REF!),"")</f>
        <v/>
      </c>
      <c r="P373" s="0" t="str">
        <f aca="false">IFERROR(IF(OR(HLOOKUP($A373,#REF!,14,FALSE())&gt;2,HLOOKUP($A373,#REF!,14,FALSE())&lt;-2),"",#REF!),"")</f>
        <v/>
      </c>
      <c r="Q373" s="0" t="str">
        <f aca="false">IFERROR(IF(OR(HLOOKUP($A373,#REF!,15,FALSE())&gt;2,HLOOKUP($A373,#REF!,15,FALSE())&lt;-2),"",#REF!),"")</f>
        <v/>
      </c>
      <c r="R373" s="0" t="str">
        <f aca="false">IFERROR(IF(OR(HLOOKUP($A373,#REF!,16,FALSE())&gt;2,HLOOKUP($A373,#REF!,16,FALSE())&lt;-2),"",#REF!),"")</f>
        <v/>
      </c>
      <c r="S373" s="0" t="str">
        <f aca="false">IFERROR(IF(OR(HLOOKUP($A373,#REF!,17,FALSE())&gt;2,HLOOKUP($A373,#REF!,17,FALSE())&lt;-2),"",#REF!),"")</f>
        <v/>
      </c>
      <c r="T373" s="0" t="str">
        <f aca="false">IFERROR(IF(OR(HLOOKUP($A373,#REF!,18,FALSE())&gt;2,HLOOKUP($A373,#REF!,18,FALSE())&lt;-2),"",#REF!),"")</f>
        <v/>
      </c>
      <c r="U373" s="0" t="str">
        <f aca="false">IFERROR(IF(OR(HLOOKUP($A373,#REF!,19,FALSE())&gt;2,HLOOKUP($A373,#REF!,19,FALSE())&lt;-2),"",#REF!),"")</f>
        <v/>
      </c>
      <c r="V373" s="0" t="n">
        <f aca="false">IFERROR(IF(AND(X373=0,Y373=0),0,1),0)</f>
        <v>1</v>
      </c>
      <c r="W373" s="3" t="str">
        <f aca="false">IFERROR(_xlfn.T.TEST(E373:M373,N373:U373,2,2),"")</f>
        <v/>
      </c>
      <c r="X373" s="0" t="str">
        <f aca="false">IFERROR(AVERAGE(E373:M373),"")</f>
        <v/>
      </c>
      <c r="Y373" s="0" t="str">
        <f aca="false">IFERROR(AVERAGE(N373:U373),"")</f>
        <v/>
      </c>
    </row>
    <row r="374" customFormat="false" ht="14.5" hidden="false" customHeight="false" outlineLevel="0" collapsed="false">
      <c r="A374" s="0" t="n">
        <v>381</v>
      </c>
      <c r="B374" s="0" t="s">
        <v>451</v>
      </c>
      <c r="C374" s="0" t="n">
        <v>80000</v>
      </c>
      <c r="D374" s="0" t="n">
        <v>323</v>
      </c>
      <c r="E374" s="0" t="str">
        <f aca="false">IFERROR(IF(OR(HLOOKUP($A374,#REF!,3,FALSE())&gt;2,HLOOKUP(A374,#REF!,3,FALSE())&lt;-2),"",#REF!),"")</f>
        <v/>
      </c>
      <c r="F374" s="0" t="str">
        <f aca="false">IFERROR(IF(OR(HLOOKUP($A374,#REF!,4,FALSE())&gt;2,HLOOKUP($A374,#REF!,4,FALSE())&lt;-2),"",#REF!),"")</f>
        <v/>
      </c>
      <c r="G374" s="0" t="str">
        <f aca="false">IFERROR(IF(OR(HLOOKUP($A374,#REF!,5,FALSE())&gt;2,HLOOKUP($A374,#REF!,5,FALSE())&lt;-2),"",#REF!),"")</f>
        <v/>
      </c>
      <c r="H374" s="0" t="str">
        <f aca="false">IFERROR(IF(OR(HLOOKUP($A374,#REF!,6,FALSE())&gt;2,HLOOKUP($A374,#REF!,6,FALSE())&lt;-2),"",#REF!),"")</f>
        <v/>
      </c>
      <c r="I374" s="0" t="str">
        <f aca="false">IFERROR(IF(OR(HLOOKUP($A374,#REF!,7,FALSE())&gt;2,HLOOKUP($A374,#REF!,7,FALSE())&lt;-2),"",#REF!),"")</f>
        <v/>
      </c>
      <c r="J374" s="0" t="str">
        <f aca="false">IFERROR(IF(OR(HLOOKUP($A374,#REF!,8,FALSE())&gt;2,HLOOKUP($A374,#REF!,8,FALSE())&lt;-2),"",#REF!),"")</f>
        <v/>
      </c>
      <c r="K374" s="0" t="str">
        <f aca="false">IFERROR(IF(OR(HLOOKUP($A374,#REF!,9,FALSE())&gt;2,HLOOKUP($A374,#REF!,9,FALSE())&lt;-2),"",#REF!),"")</f>
        <v/>
      </c>
      <c r="L374" s="0" t="str">
        <f aca="false">IFERROR(IF(OR(HLOOKUP($A374,#REF!,10,FALSE())&gt;2,HLOOKUP($A374,#REF!,10,FALSE())&lt;-2),"",#REF!),"")</f>
        <v/>
      </c>
      <c r="M374" s="0" t="str">
        <f aca="false">IFERROR(IF(OR(HLOOKUP($A374,#REF!,11,FALSE())&gt;2,HLOOKUP($A374,#REF!,11,FALSE())&lt;-2),"",#REF!),"")</f>
        <v/>
      </c>
      <c r="N374" s="0" t="str">
        <f aca="false">IFERROR(IF(OR(HLOOKUP($A374,#REF!,12,FALSE())&gt;2,HLOOKUP($A374,#REF!,12,FALSE())&lt;-2),"",#REF!),"")</f>
        <v/>
      </c>
      <c r="O374" s="0" t="str">
        <f aca="false">IFERROR(IF(OR(HLOOKUP($A374,#REF!,13,FALSE())&gt;2,HLOOKUP($A374,#REF!,13,FALSE())&lt;-2),"",#REF!),"")</f>
        <v/>
      </c>
      <c r="P374" s="0" t="str">
        <f aca="false">IFERROR(IF(OR(HLOOKUP($A374,#REF!,14,FALSE())&gt;2,HLOOKUP($A374,#REF!,14,FALSE())&lt;-2),"",#REF!),"")</f>
        <v/>
      </c>
      <c r="Q374" s="0" t="str">
        <f aca="false">IFERROR(IF(OR(HLOOKUP($A374,#REF!,15,FALSE())&gt;2,HLOOKUP($A374,#REF!,15,FALSE())&lt;-2),"",#REF!),"")</f>
        <v/>
      </c>
      <c r="R374" s="0" t="str">
        <f aca="false">IFERROR(IF(OR(HLOOKUP($A374,#REF!,16,FALSE())&gt;2,HLOOKUP($A374,#REF!,16,FALSE())&lt;-2),"",#REF!),"")</f>
        <v/>
      </c>
      <c r="S374" s="0" t="str">
        <f aca="false">IFERROR(IF(OR(HLOOKUP($A374,#REF!,17,FALSE())&gt;2,HLOOKUP($A374,#REF!,17,FALSE())&lt;-2),"",#REF!),"")</f>
        <v/>
      </c>
      <c r="T374" s="0" t="str">
        <f aca="false">IFERROR(IF(OR(HLOOKUP($A374,#REF!,18,FALSE())&gt;2,HLOOKUP($A374,#REF!,18,FALSE())&lt;-2),"",#REF!),"")</f>
        <v/>
      </c>
      <c r="U374" s="0" t="str">
        <f aca="false">IFERROR(IF(OR(HLOOKUP($A374,#REF!,19,FALSE())&gt;2,HLOOKUP($A374,#REF!,19,FALSE())&lt;-2),"",#REF!),"")</f>
        <v/>
      </c>
      <c r="V374" s="0" t="n">
        <f aca="false">IFERROR(IF(AND(X374=0,Y374=0),0,1),0)</f>
        <v>1</v>
      </c>
      <c r="W374" s="3" t="str">
        <f aca="false">IFERROR(_xlfn.T.TEST(E374:M374,N374:U374,2,2),"")</f>
        <v/>
      </c>
      <c r="X374" s="0" t="str">
        <f aca="false">IFERROR(AVERAGE(E374:M374),"")</f>
        <v/>
      </c>
      <c r="Y374" s="0" t="str">
        <f aca="false">IFERROR(AVERAGE(N374:U374),"")</f>
        <v/>
      </c>
    </row>
    <row r="375" customFormat="false" ht="14.5" hidden="false" customHeight="false" outlineLevel="0" collapsed="false">
      <c r="A375" s="0" t="n">
        <v>382</v>
      </c>
      <c r="B375" s="0" t="s">
        <v>27</v>
      </c>
      <c r="C375" s="0" t="n">
        <v>37700</v>
      </c>
      <c r="D375" s="0" t="n">
        <v>375</v>
      </c>
      <c r="E375" s="0" t="str">
        <f aca="false">IFERROR(IF(OR(HLOOKUP($A375,#REF!,3,FALSE())&gt;2,HLOOKUP(A375,#REF!,3,FALSE())&lt;-2),"",#REF!),"")</f>
        <v/>
      </c>
      <c r="F375" s="0" t="str">
        <f aca="false">IFERROR(IF(OR(HLOOKUP($A375,#REF!,4,FALSE())&gt;2,HLOOKUP($A375,#REF!,4,FALSE())&lt;-2),"",#REF!),"")</f>
        <v/>
      </c>
      <c r="G375" s="0" t="str">
        <f aca="false">IFERROR(IF(OR(HLOOKUP($A375,#REF!,5,FALSE())&gt;2,HLOOKUP($A375,#REF!,5,FALSE())&lt;-2),"",#REF!),"")</f>
        <v/>
      </c>
      <c r="H375" s="0" t="str">
        <f aca="false">IFERROR(IF(OR(HLOOKUP($A375,#REF!,6,FALSE())&gt;2,HLOOKUP($A375,#REF!,6,FALSE())&lt;-2),"",#REF!),"")</f>
        <v/>
      </c>
      <c r="I375" s="0" t="str">
        <f aca="false">IFERROR(IF(OR(HLOOKUP($A375,#REF!,7,FALSE())&gt;2,HLOOKUP($A375,#REF!,7,FALSE())&lt;-2),"",#REF!),"")</f>
        <v/>
      </c>
      <c r="J375" s="0" t="str">
        <f aca="false">IFERROR(IF(OR(HLOOKUP($A375,#REF!,8,FALSE())&gt;2,HLOOKUP($A375,#REF!,8,FALSE())&lt;-2),"",#REF!),"")</f>
        <v/>
      </c>
      <c r="K375" s="0" t="str">
        <f aca="false">IFERROR(IF(OR(HLOOKUP($A375,#REF!,9,FALSE())&gt;2,HLOOKUP($A375,#REF!,9,FALSE())&lt;-2),"",#REF!),"")</f>
        <v/>
      </c>
      <c r="L375" s="0" t="str">
        <f aca="false">IFERROR(IF(OR(HLOOKUP($A375,#REF!,10,FALSE())&gt;2,HLOOKUP($A375,#REF!,10,FALSE())&lt;-2),"",#REF!),"")</f>
        <v/>
      </c>
      <c r="M375" s="0" t="str">
        <f aca="false">IFERROR(IF(OR(HLOOKUP($A375,#REF!,11,FALSE())&gt;2,HLOOKUP($A375,#REF!,11,FALSE())&lt;-2),"",#REF!),"")</f>
        <v/>
      </c>
      <c r="N375" s="0" t="str">
        <f aca="false">IFERROR(IF(OR(HLOOKUP($A375,#REF!,12,FALSE())&gt;2,HLOOKUP($A375,#REF!,12,FALSE())&lt;-2),"",#REF!),"")</f>
        <v/>
      </c>
      <c r="O375" s="0" t="str">
        <f aca="false">IFERROR(IF(OR(HLOOKUP($A375,#REF!,13,FALSE())&gt;2,HLOOKUP($A375,#REF!,13,FALSE())&lt;-2),"",#REF!),"")</f>
        <v/>
      </c>
      <c r="P375" s="0" t="str">
        <f aca="false">IFERROR(IF(OR(HLOOKUP($A375,#REF!,14,FALSE())&gt;2,HLOOKUP($A375,#REF!,14,FALSE())&lt;-2),"",#REF!),"")</f>
        <v/>
      </c>
      <c r="Q375" s="0" t="str">
        <f aca="false">IFERROR(IF(OR(HLOOKUP($A375,#REF!,15,FALSE())&gt;2,HLOOKUP($A375,#REF!,15,FALSE())&lt;-2),"",#REF!),"")</f>
        <v/>
      </c>
      <c r="R375" s="0" t="str">
        <f aca="false">IFERROR(IF(OR(HLOOKUP($A375,#REF!,16,FALSE())&gt;2,HLOOKUP($A375,#REF!,16,FALSE())&lt;-2),"",#REF!),"")</f>
        <v/>
      </c>
      <c r="S375" s="0" t="str">
        <f aca="false">IFERROR(IF(OR(HLOOKUP($A375,#REF!,17,FALSE())&gt;2,HLOOKUP($A375,#REF!,17,FALSE())&lt;-2),"",#REF!),"")</f>
        <v/>
      </c>
      <c r="T375" s="0" t="str">
        <f aca="false">IFERROR(IF(OR(HLOOKUP($A375,#REF!,18,FALSE())&gt;2,HLOOKUP($A375,#REF!,18,FALSE())&lt;-2),"",#REF!),"")</f>
        <v/>
      </c>
      <c r="U375" s="0" t="str">
        <f aca="false">IFERROR(IF(OR(HLOOKUP($A375,#REF!,19,FALSE())&gt;2,HLOOKUP($A375,#REF!,19,FALSE())&lt;-2),"",#REF!),"")</f>
        <v/>
      </c>
      <c r="V375" s="0" t="n">
        <f aca="false">IFERROR(IF(AND(X375=0,Y375=0),0,1),0)</f>
        <v>1</v>
      </c>
      <c r="W375" s="3" t="str">
        <f aca="false">IFERROR(_xlfn.T.TEST(E375:M375,N375:U375,2,2),"")</f>
        <v/>
      </c>
      <c r="X375" s="0" t="str">
        <f aca="false">IFERROR(AVERAGE(E375:M375),"")</f>
        <v/>
      </c>
      <c r="Y375" s="0" t="str">
        <f aca="false">IFERROR(AVERAGE(N375:U375),"")</f>
        <v/>
      </c>
    </row>
    <row r="376" customFormat="false" ht="14.5" hidden="false" customHeight="false" outlineLevel="0" collapsed="false">
      <c r="A376" s="0" t="n">
        <v>383</v>
      </c>
      <c r="B376" s="0" t="s">
        <v>452</v>
      </c>
      <c r="C376" s="0" t="n">
        <v>36000</v>
      </c>
      <c r="D376" s="0" t="n">
        <v>663</v>
      </c>
      <c r="E376" s="0" t="str">
        <f aca="false">IFERROR(IF(OR(HLOOKUP($A376,#REF!,3,FALSE())&gt;2,HLOOKUP(A376,#REF!,3,FALSE())&lt;-2),"",#REF!),"")</f>
        <v/>
      </c>
      <c r="F376" s="0" t="str">
        <f aca="false">IFERROR(IF(OR(HLOOKUP($A376,#REF!,4,FALSE())&gt;2,HLOOKUP($A376,#REF!,4,FALSE())&lt;-2),"",#REF!),"")</f>
        <v/>
      </c>
      <c r="G376" s="0" t="str">
        <f aca="false">IFERROR(IF(OR(HLOOKUP($A376,#REF!,5,FALSE())&gt;2,HLOOKUP($A376,#REF!,5,FALSE())&lt;-2),"",#REF!),"")</f>
        <v/>
      </c>
      <c r="H376" s="0" t="str">
        <f aca="false">IFERROR(IF(OR(HLOOKUP($A376,#REF!,6,FALSE())&gt;2,HLOOKUP($A376,#REF!,6,FALSE())&lt;-2),"",#REF!),"")</f>
        <v/>
      </c>
      <c r="I376" s="0" t="str">
        <f aca="false">IFERROR(IF(OR(HLOOKUP($A376,#REF!,7,FALSE())&gt;2,HLOOKUP($A376,#REF!,7,FALSE())&lt;-2),"",#REF!),"")</f>
        <v/>
      </c>
      <c r="J376" s="0" t="str">
        <f aca="false">IFERROR(IF(OR(HLOOKUP($A376,#REF!,8,FALSE())&gt;2,HLOOKUP($A376,#REF!,8,FALSE())&lt;-2),"",#REF!),"")</f>
        <v/>
      </c>
      <c r="K376" s="0" t="str">
        <f aca="false">IFERROR(IF(OR(HLOOKUP($A376,#REF!,9,FALSE())&gt;2,HLOOKUP($A376,#REF!,9,FALSE())&lt;-2),"",#REF!),"")</f>
        <v/>
      </c>
      <c r="L376" s="0" t="str">
        <f aca="false">IFERROR(IF(OR(HLOOKUP($A376,#REF!,10,FALSE())&gt;2,HLOOKUP($A376,#REF!,10,FALSE())&lt;-2),"",#REF!),"")</f>
        <v/>
      </c>
      <c r="M376" s="0" t="str">
        <f aca="false">IFERROR(IF(OR(HLOOKUP($A376,#REF!,11,FALSE())&gt;2,HLOOKUP($A376,#REF!,11,FALSE())&lt;-2),"",#REF!),"")</f>
        <v/>
      </c>
      <c r="N376" s="0" t="str">
        <f aca="false">IFERROR(IF(OR(HLOOKUP($A376,#REF!,12,FALSE())&gt;2,HLOOKUP($A376,#REF!,12,FALSE())&lt;-2),"",#REF!),"")</f>
        <v/>
      </c>
      <c r="O376" s="0" t="str">
        <f aca="false">IFERROR(IF(OR(HLOOKUP($A376,#REF!,13,FALSE())&gt;2,HLOOKUP($A376,#REF!,13,FALSE())&lt;-2),"",#REF!),"")</f>
        <v/>
      </c>
      <c r="P376" s="0" t="str">
        <f aca="false">IFERROR(IF(OR(HLOOKUP($A376,#REF!,14,FALSE())&gt;2,HLOOKUP($A376,#REF!,14,FALSE())&lt;-2),"",#REF!),"")</f>
        <v/>
      </c>
      <c r="Q376" s="0" t="str">
        <f aca="false">IFERROR(IF(OR(HLOOKUP($A376,#REF!,15,FALSE())&gt;2,HLOOKUP($A376,#REF!,15,FALSE())&lt;-2),"",#REF!),"")</f>
        <v/>
      </c>
      <c r="R376" s="0" t="str">
        <f aca="false">IFERROR(IF(OR(HLOOKUP($A376,#REF!,16,FALSE())&gt;2,HLOOKUP($A376,#REF!,16,FALSE())&lt;-2),"",#REF!),"")</f>
        <v/>
      </c>
      <c r="S376" s="0" t="str">
        <f aca="false">IFERROR(IF(OR(HLOOKUP($A376,#REF!,17,FALSE())&gt;2,HLOOKUP($A376,#REF!,17,FALSE())&lt;-2),"",#REF!),"")</f>
        <v/>
      </c>
      <c r="T376" s="0" t="str">
        <f aca="false">IFERROR(IF(OR(HLOOKUP($A376,#REF!,18,FALSE())&gt;2,HLOOKUP($A376,#REF!,18,FALSE())&lt;-2),"",#REF!),"")</f>
        <v/>
      </c>
      <c r="U376" s="0" t="str">
        <f aca="false">IFERROR(IF(OR(HLOOKUP($A376,#REF!,19,FALSE())&gt;2,HLOOKUP($A376,#REF!,19,FALSE())&lt;-2),"",#REF!),"")</f>
        <v/>
      </c>
      <c r="V376" s="0" t="n">
        <f aca="false">IFERROR(IF(AND(X376=0,Y376=0),0,1),0)</f>
        <v>1</v>
      </c>
      <c r="W376" s="3" t="str">
        <f aca="false">IFERROR(_xlfn.T.TEST(E376:M376,N376:U376,2,2),"")</f>
        <v/>
      </c>
      <c r="X376" s="0" t="str">
        <f aca="false">IFERROR(AVERAGE(E376:M376),"")</f>
        <v/>
      </c>
      <c r="Y376" s="0" t="str">
        <f aca="false">IFERROR(AVERAGE(N376:U376),"")</f>
        <v/>
      </c>
    </row>
    <row r="377" customFormat="false" ht="14.5" hidden="false" customHeight="false" outlineLevel="0" collapsed="false">
      <c r="A377" s="0" t="n">
        <v>384</v>
      </c>
      <c r="B377" s="0" t="s">
        <v>453</v>
      </c>
      <c r="C377" s="0" t="n">
        <v>99400</v>
      </c>
      <c r="D377" s="0" t="n">
        <v>911</v>
      </c>
      <c r="E377" s="0" t="str">
        <f aca="false">IFERROR(IF(OR(HLOOKUP($A377,#REF!,3,FALSE())&gt;2,HLOOKUP(A377,#REF!,3,FALSE())&lt;-2),"",#REF!),"")</f>
        <v/>
      </c>
      <c r="F377" s="0" t="str">
        <f aca="false">IFERROR(IF(OR(HLOOKUP($A377,#REF!,4,FALSE())&gt;2,HLOOKUP($A377,#REF!,4,FALSE())&lt;-2),"",#REF!),"")</f>
        <v/>
      </c>
      <c r="G377" s="0" t="str">
        <f aca="false">IFERROR(IF(OR(HLOOKUP($A377,#REF!,5,FALSE())&gt;2,HLOOKUP($A377,#REF!,5,FALSE())&lt;-2),"",#REF!),"")</f>
        <v/>
      </c>
      <c r="H377" s="0" t="str">
        <f aca="false">IFERROR(IF(OR(HLOOKUP($A377,#REF!,6,FALSE())&gt;2,HLOOKUP($A377,#REF!,6,FALSE())&lt;-2),"",#REF!),"")</f>
        <v/>
      </c>
      <c r="I377" s="0" t="str">
        <f aca="false">IFERROR(IF(OR(HLOOKUP($A377,#REF!,7,FALSE())&gt;2,HLOOKUP($A377,#REF!,7,FALSE())&lt;-2),"",#REF!),"")</f>
        <v/>
      </c>
      <c r="J377" s="0" t="str">
        <f aca="false">IFERROR(IF(OR(HLOOKUP($A377,#REF!,8,FALSE())&gt;2,HLOOKUP($A377,#REF!,8,FALSE())&lt;-2),"",#REF!),"")</f>
        <v/>
      </c>
      <c r="K377" s="0" t="str">
        <f aca="false">IFERROR(IF(OR(HLOOKUP($A377,#REF!,9,FALSE())&gt;2,HLOOKUP($A377,#REF!,9,FALSE())&lt;-2),"",#REF!),"")</f>
        <v/>
      </c>
      <c r="L377" s="0" t="str">
        <f aca="false">IFERROR(IF(OR(HLOOKUP($A377,#REF!,10,FALSE())&gt;2,HLOOKUP($A377,#REF!,10,FALSE())&lt;-2),"",#REF!),"")</f>
        <v/>
      </c>
      <c r="M377" s="0" t="str">
        <f aca="false">IFERROR(IF(OR(HLOOKUP($A377,#REF!,11,FALSE())&gt;2,HLOOKUP($A377,#REF!,11,FALSE())&lt;-2),"",#REF!),"")</f>
        <v/>
      </c>
      <c r="N377" s="0" t="str">
        <f aca="false">IFERROR(IF(OR(HLOOKUP($A377,#REF!,12,FALSE())&gt;2,HLOOKUP($A377,#REF!,12,FALSE())&lt;-2),"",#REF!),"")</f>
        <v/>
      </c>
      <c r="O377" s="0" t="str">
        <f aca="false">IFERROR(IF(OR(HLOOKUP($A377,#REF!,13,FALSE())&gt;2,HLOOKUP($A377,#REF!,13,FALSE())&lt;-2),"",#REF!),"")</f>
        <v/>
      </c>
      <c r="P377" s="0" t="str">
        <f aca="false">IFERROR(IF(OR(HLOOKUP($A377,#REF!,14,FALSE())&gt;2,HLOOKUP($A377,#REF!,14,FALSE())&lt;-2),"",#REF!),"")</f>
        <v/>
      </c>
      <c r="Q377" s="0" t="str">
        <f aca="false">IFERROR(IF(OR(HLOOKUP($A377,#REF!,15,FALSE())&gt;2,HLOOKUP($A377,#REF!,15,FALSE())&lt;-2),"",#REF!),"")</f>
        <v/>
      </c>
      <c r="R377" s="0" t="str">
        <f aca="false">IFERROR(IF(OR(HLOOKUP($A377,#REF!,16,FALSE())&gt;2,HLOOKUP($A377,#REF!,16,FALSE())&lt;-2),"",#REF!),"")</f>
        <v/>
      </c>
      <c r="S377" s="0" t="str">
        <f aca="false">IFERROR(IF(OR(HLOOKUP($A377,#REF!,17,FALSE())&gt;2,HLOOKUP($A377,#REF!,17,FALSE())&lt;-2),"",#REF!),"")</f>
        <v/>
      </c>
      <c r="T377" s="0" t="str">
        <f aca="false">IFERROR(IF(OR(HLOOKUP($A377,#REF!,18,FALSE())&gt;2,HLOOKUP($A377,#REF!,18,FALSE())&lt;-2),"",#REF!),"")</f>
        <v/>
      </c>
      <c r="U377" s="0" t="str">
        <f aca="false">IFERROR(IF(OR(HLOOKUP($A377,#REF!,19,FALSE())&gt;2,HLOOKUP($A377,#REF!,19,FALSE())&lt;-2),"",#REF!),"")</f>
        <v/>
      </c>
      <c r="V377" s="0" t="n">
        <f aca="false">IFERROR(IF(AND(X377=0,Y377=0),0,1),0)</f>
        <v>1</v>
      </c>
      <c r="W377" s="3" t="str">
        <f aca="false">IFERROR(_xlfn.T.TEST(E377:M377,N377:U377,2,2),"")</f>
        <v/>
      </c>
      <c r="X377" s="0" t="str">
        <f aca="false">IFERROR(AVERAGE(E377:M377),"")</f>
        <v/>
      </c>
      <c r="Y377" s="0" t="str">
        <f aca="false">IFERROR(AVERAGE(N377:U377),"")</f>
        <v/>
      </c>
    </row>
    <row r="378" customFormat="false" ht="14.5" hidden="false" customHeight="false" outlineLevel="0" collapsed="false">
      <c r="A378" s="0" t="n">
        <v>385</v>
      </c>
      <c r="B378" s="0" t="s">
        <v>454</v>
      </c>
      <c r="C378" s="0" t="n">
        <v>16200</v>
      </c>
      <c r="D378" s="0" t="n">
        <v>669</v>
      </c>
      <c r="E378" s="0" t="str">
        <f aca="false">IFERROR(IF(OR(HLOOKUP($A378,#REF!,3,FALSE())&gt;2,HLOOKUP(A378,#REF!,3,FALSE())&lt;-2),"",#REF!),"")</f>
        <v/>
      </c>
      <c r="F378" s="0" t="str">
        <f aca="false">IFERROR(IF(OR(HLOOKUP($A378,#REF!,4,FALSE())&gt;2,HLOOKUP($A378,#REF!,4,FALSE())&lt;-2),"",#REF!),"")</f>
        <v/>
      </c>
      <c r="G378" s="0" t="str">
        <f aca="false">IFERROR(IF(OR(HLOOKUP($A378,#REF!,5,FALSE())&gt;2,HLOOKUP($A378,#REF!,5,FALSE())&lt;-2),"",#REF!),"")</f>
        <v/>
      </c>
      <c r="H378" s="0" t="str">
        <f aca="false">IFERROR(IF(OR(HLOOKUP($A378,#REF!,6,FALSE())&gt;2,HLOOKUP($A378,#REF!,6,FALSE())&lt;-2),"",#REF!),"")</f>
        <v/>
      </c>
      <c r="I378" s="0" t="str">
        <f aca="false">IFERROR(IF(OR(HLOOKUP($A378,#REF!,7,FALSE())&gt;2,HLOOKUP($A378,#REF!,7,FALSE())&lt;-2),"",#REF!),"")</f>
        <v/>
      </c>
      <c r="J378" s="0" t="str">
        <f aca="false">IFERROR(IF(OR(HLOOKUP($A378,#REF!,8,FALSE())&gt;2,HLOOKUP($A378,#REF!,8,FALSE())&lt;-2),"",#REF!),"")</f>
        <v/>
      </c>
      <c r="K378" s="0" t="str">
        <f aca="false">IFERROR(IF(OR(HLOOKUP($A378,#REF!,9,FALSE())&gt;2,HLOOKUP($A378,#REF!,9,FALSE())&lt;-2),"",#REF!),"")</f>
        <v/>
      </c>
      <c r="L378" s="0" t="str">
        <f aca="false">IFERROR(IF(OR(HLOOKUP($A378,#REF!,10,FALSE())&gt;2,HLOOKUP($A378,#REF!,10,FALSE())&lt;-2),"",#REF!),"")</f>
        <v/>
      </c>
      <c r="M378" s="0" t="str">
        <f aca="false">IFERROR(IF(OR(HLOOKUP($A378,#REF!,11,FALSE())&gt;2,HLOOKUP($A378,#REF!,11,FALSE())&lt;-2),"",#REF!),"")</f>
        <v/>
      </c>
      <c r="N378" s="0" t="str">
        <f aca="false">IFERROR(IF(OR(HLOOKUP($A378,#REF!,12,FALSE())&gt;2,HLOOKUP($A378,#REF!,12,FALSE())&lt;-2),"",#REF!),"")</f>
        <v/>
      </c>
      <c r="O378" s="0" t="str">
        <f aca="false">IFERROR(IF(OR(HLOOKUP($A378,#REF!,13,FALSE())&gt;2,HLOOKUP($A378,#REF!,13,FALSE())&lt;-2),"",#REF!),"")</f>
        <v/>
      </c>
      <c r="P378" s="0" t="str">
        <f aca="false">IFERROR(IF(OR(HLOOKUP($A378,#REF!,14,FALSE())&gt;2,HLOOKUP($A378,#REF!,14,FALSE())&lt;-2),"",#REF!),"")</f>
        <v/>
      </c>
      <c r="Q378" s="0" t="str">
        <f aca="false">IFERROR(IF(OR(HLOOKUP($A378,#REF!,15,FALSE())&gt;2,HLOOKUP($A378,#REF!,15,FALSE())&lt;-2),"",#REF!),"")</f>
        <v/>
      </c>
      <c r="R378" s="0" t="str">
        <f aca="false">IFERROR(IF(OR(HLOOKUP($A378,#REF!,16,FALSE())&gt;2,HLOOKUP($A378,#REF!,16,FALSE())&lt;-2),"",#REF!),"")</f>
        <v/>
      </c>
      <c r="S378" s="0" t="str">
        <f aca="false">IFERROR(IF(OR(HLOOKUP($A378,#REF!,17,FALSE())&gt;2,HLOOKUP($A378,#REF!,17,FALSE())&lt;-2),"",#REF!),"")</f>
        <v/>
      </c>
      <c r="T378" s="0" t="str">
        <f aca="false">IFERROR(IF(OR(HLOOKUP($A378,#REF!,18,FALSE())&gt;2,HLOOKUP($A378,#REF!,18,FALSE())&lt;-2),"",#REF!),"")</f>
        <v/>
      </c>
      <c r="U378" s="0" t="str">
        <f aca="false">IFERROR(IF(OR(HLOOKUP($A378,#REF!,19,FALSE())&gt;2,HLOOKUP($A378,#REF!,19,FALSE())&lt;-2),"",#REF!),"")</f>
        <v/>
      </c>
      <c r="V378" s="0" t="n">
        <f aca="false">IFERROR(IF(AND(X378=0,Y378=0),0,1),0)</f>
        <v>1</v>
      </c>
      <c r="W378" s="3" t="str">
        <f aca="false">IFERROR(_xlfn.T.TEST(E378:M378,N378:U378,2,2),"")</f>
        <v/>
      </c>
      <c r="X378" s="0" t="str">
        <f aca="false">IFERROR(AVERAGE(E378:M378),"")</f>
        <v/>
      </c>
      <c r="Y378" s="0" t="str">
        <f aca="false">IFERROR(AVERAGE(N378:U378),"")</f>
        <v/>
      </c>
    </row>
    <row r="379" customFormat="false" ht="14.5" hidden="false" customHeight="false" outlineLevel="0" collapsed="false">
      <c r="A379" s="0" t="n">
        <v>386</v>
      </c>
      <c r="B379" s="0" t="s">
        <v>455</v>
      </c>
      <c r="C379" s="0" t="n">
        <v>89500</v>
      </c>
      <c r="D379" s="0" t="n">
        <v>354</v>
      </c>
      <c r="E379" s="0" t="str">
        <f aca="false">IFERROR(IF(OR(HLOOKUP($A379,#REF!,3,FALSE())&gt;2,HLOOKUP(A379,#REF!,3,FALSE())&lt;-2),"",#REF!),"")</f>
        <v/>
      </c>
      <c r="F379" s="0" t="str">
        <f aca="false">IFERROR(IF(OR(HLOOKUP($A379,#REF!,4,FALSE())&gt;2,HLOOKUP($A379,#REF!,4,FALSE())&lt;-2),"",#REF!),"")</f>
        <v/>
      </c>
      <c r="G379" s="0" t="str">
        <f aca="false">IFERROR(IF(OR(HLOOKUP($A379,#REF!,5,FALSE())&gt;2,HLOOKUP($A379,#REF!,5,FALSE())&lt;-2),"",#REF!),"")</f>
        <v/>
      </c>
      <c r="H379" s="0" t="str">
        <f aca="false">IFERROR(IF(OR(HLOOKUP($A379,#REF!,6,FALSE())&gt;2,HLOOKUP($A379,#REF!,6,FALSE())&lt;-2),"",#REF!),"")</f>
        <v/>
      </c>
      <c r="I379" s="0" t="str">
        <f aca="false">IFERROR(IF(OR(HLOOKUP($A379,#REF!,7,FALSE())&gt;2,HLOOKUP($A379,#REF!,7,FALSE())&lt;-2),"",#REF!),"")</f>
        <v/>
      </c>
      <c r="J379" s="0" t="str">
        <f aca="false">IFERROR(IF(OR(HLOOKUP($A379,#REF!,8,FALSE())&gt;2,HLOOKUP($A379,#REF!,8,FALSE())&lt;-2),"",#REF!),"")</f>
        <v/>
      </c>
      <c r="K379" s="0" t="str">
        <f aca="false">IFERROR(IF(OR(HLOOKUP($A379,#REF!,9,FALSE())&gt;2,HLOOKUP($A379,#REF!,9,FALSE())&lt;-2),"",#REF!),"")</f>
        <v/>
      </c>
      <c r="L379" s="0" t="str">
        <f aca="false">IFERROR(IF(OR(HLOOKUP($A379,#REF!,10,FALSE())&gt;2,HLOOKUP($A379,#REF!,10,FALSE())&lt;-2),"",#REF!),"")</f>
        <v/>
      </c>
      <c r="M379" s="0" t="str">
        <f aca="false">IFERROR(IF(OR(HLOOKUP($A379,#REF!,11,FALSE())&gt;2,HLOOKUP($A379,#REF!,11,FALSE())&lt;-2),"",#REF!),"")</f>
        <v/>
      </c>
      <c r="N379" s="0" t="str">
        <f aca="false">IFERROR(IF(OR(HLOOKUP($A379,#REF!,12,FALSE())&gt;2,HLOOKUP($A379,#REF!,12,FALSE())&lt;-2),"",#REF!),"")</f>
        <v/>
      </c>
      <c r="O379" s="0" t="str">
        <f aca="false">IFERROR(IF(OR(HLOOKUP($A379,#REF!,13,FALSE())&gt;2,HLOOKUP($A379,#REF!,13,FALSE())&lt;-2),"",#REF!),"")</f>
        <v/>
      </c>
      <c r="P379" s="0" t="str">
        <f aca="false">IFERROR(IF(OR(HLOOKUP($A379,#REF!,14,FALSE())&gt;2,HLOOKUP($A379,#REF!,14,FALSE())&lt;-2),"",#REF!),"")</f>
        <v/>
      </c>
      <c r="Q379" s="0" t="str">
        <f aca="false">IFERROR(IF(OR(HLOOKUP($A379,#REF!,15,FALSE())&gt;2,HLOOKUP($A379,#REF!,15,FALSE())&lt;-2),"",#REF!),"")</f>
        <v/>
      </c>
      <c r="R379" s="0" t="str">
        <f aca="false">IFERROR(IF(OR(HLOOKUP($A379,#REF!,16,FALSE())&gt;2,HLOOKUP($A379,#REF!,16,FALSE())&lt;-2),"",#REF!),"")</f>
        <v/>
      </c>
      <c r="S379" s="0" t="str">
        <f aca="false">IFERROR(IF(OR(HLOOKUP($A379,#REF!,17,FALSE())&gt;2,HLOOKUP($A379,#REF!,17,FALSE())&lt;-2),"",#REF!),"")</f>
        <v/>
      </c>
      <c r="T379" s="0" t="str">
        <f aca="false">IFERROR(IF(OR(HLOOKUP($A379,#REF!,18,FALSE())&gt;2,HLOOKUP($A379,#REF!,18,FALSE())&lt;-2),"",#REF!),"")</f>
        <v/>
      </c>
      <c r="U379" s="0" t="str">
        <f aca="false">IFERROR(IF(OR(HLOOKUP($A379,#REF!,19,FALSE())&gt;2,HLOOKUP($A379,#REF!,19,FALSE())&lt;-2),"",#REF!),"")</f>
        <v/>
      </c>
      <c r="V379" s="0" t="n">
        <f aca="false">IFERROR(IF(AND(X379=0,Y379=0),0,1),0)</f>
        <v>1</v>
      </c>
      <c r="W379" s="3" t="str">
        <f aca="false">IFERROR(_xlfn.T.TEST(E379:M379,N379:U379,2,2),"")</f>
        <v/>
      </c>
      <c r="X379" s="0" t="str">
        <f aca="false">IFERROR(AVERAGE(E379:M379),"")</f>
        <v/>
      </c>
      <c r="Y379" s="0" t="str">
        <f aca="false">IFERROR(AVERAGE(N379:U379),"")</f>
        <v/>
      </c>
    </row>
    <row r="380" customFormat="false" ht="14.5" hidden="false" customHeight="false" outlineLevel="0" collapsed="false">
      <c r="A380" s="0" t="n">
        <v>387</v>
      </c>
      <c r="B380" s="0" t="s">
        <v>456</v>
      </c>
      <c r="C380" s="0" t="n">
        <v>42300</v>
      </c>
      <c r="D380" s="0" t="n">
        <v>918</v>
      </c>
      <c r="E380" s="0" t="str">
        <f aca="false">IFERROR(IF(OR(HLOOKUP($A380,#REF!,3,FALSE())&gt;2,HLOOKUP(A380,#REF!,3,FALSE())&lt;-2),"",#REF!),"")</f>
        <v/>
      </c>
      <c r="F380" s="0" t="str">
        <f aca="false">IFERROR(IF(OR(HLOOKUP($A380,#REF!,4,FALSE())&gt;2,HLOOKUP($A380,#REF!,4,FALSE())&lt;-2),"",#REF!),"")</f>
        <v/>
      </c>
      <c r="G380" s="0" t="str">
        <f aca="false">IFERROR(IF(OR(HLOOKUP($A380,#REF!,5,FALSE())&gt;2,HLOOKUP($A380,#REF!,5,FALSE())&lt;-2),"",#REF!),"")</f>
        <v/>
      </c>
      <c r="H380" s="0" t="str">
        <f aca="false">IFERROR(IF(OR(HLOOKUP($A380,#REF!,6,FALSE())&gt;2,HLOOKUP($A380,#REF!,6,FALSE())&lt;-2),"",#REF!),"")</f>
        <v/>
      </c>
      <c r="I380" s="0" t="str">
        <f aca="false">IFERROR(IF(OR(HLOOKUP($A380,#REF!,7,FALSE())&gt;2,HLOOKUP($A380,#REF!,7,FALSE())&lt;-2),"",#REF!),"")</f>
        <v/>
      </c>
      <c r="J380" s="0" t="str">
        <f aca="false">IFERROR(IF(OR(HLOOKUP($A380,#REF!,8,FALSE())&gt;2,HLOOKUP($A380,#REF!,8,FALSE())&lt;-2),"",#REF!),"")</f>
        <v/>
      </c>
      <c r="K380" s="0" t="str">
        <f aca="false">IFERROR(IF(OR(HLOOKUP($A380,#REF!,9,FALSE())&gt;2,HLOOKUP($A380,#REF!,9,FALSE())&lt;-2),"",#REF!),"")</f>
        <v/>
      </c>
      <c r="L380" s="0" t="str">
        <f aca="false">IFERROR(IF(OR(HLOOKUP($A380,#REF!,10,FALSE())&gt;2,HLOOKUP($A380,#REF!,10,FALSE())&lt;-2),"",#REF!),"")</f>
        <v/>
      </c>
      <c r="M380" s="0" t="str">
        <f aca="false">IFERROR(IF(OR(HLOOKUP($A380,#REF!,11,FALSE())&gt;2,HLOOKUP($A380,#REF!,11,FALSE())&lt;-2),"",#REF!),"")</f>
        <v/>
      </c>
      <c r="N380" s="0" t="str">
        <f aca="false">IFERROR(IF(OR(HLOOKUP($A380,#REF!,12,FALSE())&gt;2,HLOOKUP($A380,#REF!,12,FALSE())&lt;-2),"",#REF!),"")</f>
        <v/>
      </c>
      <c r="O380" s="0" t="str">
        <f aca="false">IFERROR(IF(OR(HLOOKUP($A380,#REF!,13,FALSE())&gt;2,HLOOKUP($A380,#REF!,13,FALSE())&lt;-2),"",#REF!),"")</f>
        <v/>
      </c>
      <c r="P380" s="0" t="str">
        <f aca="false">IFERROR(IF(OR(HLOOKUP($A380,#REF!,14,FALSE())&gt;2,HLOOKUP($A380,#REF!,14,FALSE())&lt;-2),"",#REF!),"")</f>
        <v/>
      </c>
      <c r="Q380" s="0" t="str">
        <f aca="false">IFERROR(IF(OR(HLOOKUP($A380,#REF!,15,FALSE())&gt;2,HLOOKUP($A380,#REF!,15,FALSE())&lt;-2),"",#REF!),"")</f>
        <v/>
      </c>
      <c r="R380" s="0" t="str">
        <f aca="false">IFERROR(IF(OR(HLOOKUP($A380,#REF!,16,FALSE())&gt;2,HLOOKUP($A380,#REF!,16,FALSE())&lt;-2),"",#REF!),"")</f>
        <v/>
      </c>
      <c r="S380" s="0" t="str">
        <f aca="false">IFERROR(IF(OR(HLOOKUP($A380,#REF!,17,FALSE())&gt;2,HLOOKUP($A380,#REF!,17,FALSE())&lt;-2),"",#REF!),"")</f>
        <v/>
      </c>
      <c r="T380" s="0" t="str">
        <f aca="false">IFERROR(IF(OR(HLOOKUP($A380,#REF!,18,FALSE())&gt;2,HLOOKUP($A380,#REF!,18,FALSE())&lt;-2),"",#REF!),"")</f>
        <v/>
      </c>
      <c r="U380" s="0" t="str">
        <f aca="false">IFERROR(IF(OR(HLOOKUP($A380,#REF!,19,FALSE())&gt;2,HLOOKUP($A380,#REF!,19,FALSE())&lt;-2),"",#REF!),"")</f>
        <v/>
      </c>
      <c r="V380" s="0" t="n">
        <f aca="false">IFERROR(IF(AND(X380=0,Y380=0),0,1),0)</f>
        <v>1</v>
      </c>
      <c r="W380" s="3" t="str">
        <f aca="false">IFERROR(_xlfn.T.TEST(E380:M380,N380:U380,2,2),"")</f>
        <v/>
      </c>
      <c r="X380" s="0" t="str">
        <f aca="false">IFERROR(AVERAGE(E380:M380),"")</f>
        <v/>
      </c>
      <c r="Y380" s="0" t="str">
        <f aca="false">IFERROR(AVERAGE(N380:U380),"")</f>
        <v/>
      </c>
    </row>
    <row r="381" customFormat="false" ht="14.5" hidden="false" customHeight="false" outlineLevel="0" collapsed="false">
      <c r="A381" s="0" t="n">
        <v>388</v>
      </c>
      <c r="B381" s="0" t="s">
        <v>457</v>
      </c>
      <c r="C381" s="0" t="n">
        <v>102800</v>
      </c>
      <c r="D381" s="0" t="n">
        <v>514</v>
      </c>
      <c r="E381" s="0" t="str">
        <f aca="false">IFERROR(IF(OR(HLOOKUP($A381,#REF!,3,FALSE())&gt;2,HLOOKUP(A381,#REF!,3,FALSE())&lt;-2),"",#REF!),"")</f>
        <v/>
      </c>
      <c r="F381" s="0" t="str">
        <f aca="false">IFERROR(IF(OR(HLOOKUP($A381,#REF!,4,FALSE())&gt;2,HLOOKUP($A381,#REF!,4,FALSE())&lt;-2),"",#REF!),"")</f>
        <v/>
      </c>
      <c r="G381" s="0" t="str">
        <f aca="false">IFERROR(IF(OR(HLOOKUP($A381,#REF!,5,FALSE())&gt;2,HLOOKUP($A381,#REF!,5,FALSE())&lt;-2),"",#REF!),"")</f>
        <v/>
      </c>
      <c r="H381" s="0" t="str">
        <f aca="false">IFERROR(IF(OR(HLOOKUP($A381,#REF!,6,FALSE())&gt;2,HLOOKUP($A381,#REF!,6,FALSE())&lt;-2),"",#REF!),"")</f>
        <v/>
      </c>
      <c r="I381" s="0" t="str">
        <f aca="false">IFERROR(IF(OR(HLOOKUP($A381,#REF!,7,FALSE())&gt;2,HLOOKUP($A381,#REF!,7,FALSE())&lt;-2),"",#REF!),"")</f>
        <v/>
      </c>
      <c r="J381" s="0" t="str">
        <f aca="false">IFERROR(IF(OR(HLOOKUP($A381,#REF!,8,FALSE())&gt;2,HLOOKUP($A381,#REF!,8,FALSE())&lt;-2),"",#REF!),"")</f>
        <v/>
      </c>
      <c r="K381" s="0" t="str">
        <f aca="false">IFERROR(IF(OR(HLOOKUP($A381,#REF!,9,FALSE())&gt;2,HLOOKUP($A381,#REF!,9,FALSE())&lt;-2),"",#REF!),"")</f>
        <v/>
      </c>
      <c r="L381" s="0" t="str">
        <f aca="false">IFERROR(IF(OR(HLOOKUP($A381,#REF!,10,FALSE())&gt;2,HLOOKUP($A381,#REF!,10,FALSE())&lt;-2),"",#REF!),"")</f>
        <v/>
      </c>
      <c r="M381" s="0" t="str">
        <f aca="false">IFERROR(IF(OR(HLOOKUP($A381,#REF!,11,FALSE())&gt;2,HLOOKUP($A381,#REF!,11,FALSE())&lt;-2),"",#REF!),"")</f>
        <v/>
      </c>
      <c r="N381" s="0" t="str">
        <f aca="false">IFERROR(IF(OR(HLOOKUP($A381,#REF!,12,FALSE())&gt;2,HLOOKUP($A381,#REF!,12,FALSE())&lt;-2),"",#REF!),"")</f>
        <v/>
      </c>
      <c r="O381" s="0" t="str">
        <f aca="false">IFERROR(IF(OR(HLOOKUP($A381,#REF!,13,FALSE())&gt;2,HLOOKUP($A381,#REF!,13,FALSE())&lt;-2),"",#REF!),"")</f>
        <v/>
      </c>
      <c r="P381" s="0" t="str">
        <f aca="false">IFERROR(IF(OR(HLOOKUP($A381,#REF!,14,FALSE())&gt;2,HLOOKUP($A381,#REF!,14,FALSE())&lt;-2),"",#REF!),"")</f>
        <v/>
      </c>
      <c r="Q381" s="0" t="str">
        <f aca="false">IFERROR(IF(OR(HLOOKUP($A381,#REF!,15,FALSE())&gt;2,HLOOKUP($A381,#REF!,15,FALSE())&lt;-2),"",#REF!),"")</f>
        <v/>
      </c>
      <c r="R381" s="0" t="str">
        <f aca="false">IFERROR(IF(OR(HLOOKUP($A381,#REF!,16,FALSE())&gt;2,HLOOKUP($A381,#REF!,16,FALSE())&lt;-2),"",#REF!),"")</f>
        <v/>
      </c>
      <c r="S381" s="0" t="str">
        <f aca="false">IFERROR(IF(OR(HLOOKUP($A381,#REF!,17,FALSE())&gt;2,HLOOKUP($A381,#REF!,17,FALSE())&lt;-2),"",#REF!),"")</f>
        <v/>
      </c>
      <c r="T381" s="0" t="str">
        <f aca="false">IFERROR(IF(OR(HLOOKUP($A381,#REF!,18,FALSE())&gt;2,HLOOKUP($A381,#REF!,18,FALSE())&lt;-2),"",#REF!),"")</f>
        <v/>
      </c>
      <c r="U381" s="0" t="str">
        <f aca="false">IFERROR(IF(OR(HLOOKUP($A381,#REF!,19,FALSE())&gt;2,HLOOKUP($A381,#REF!,19,FALSE())&lt;-2),"",#REF!),"")</f>
        <v/>
      </c>
      <c r="V381" s="0" t="n">
        <f aca="false">IFERROR(IF(AND(X381=0,Y381=0),0,1),0)</f>
        <v>1</v>
      </c>
      <c r="W381" s="3" t="str">
        <f aca="false">IFERROR(_xlfn.T.TEST(E381:M381,N381:U381,2,2),"")</f>
        <v/>
      </c>
      <c r="X381" s="0" t="str">
        <f aca="false">IFERROR(AVERAGE(E381:M381),"")</f>
        <v/>
      </c>
      <c r="Y381" s="0" t="str">
        <f aca="false">IFERROR(AVERAGE(N381:U381),"")</f>
        <v/>
      </c>
    </row>
    <row r="382" customFormat="false" ht="14.5" hidden="false" customHeight="false" outlineLevel="0" collapsed="false">
      <c r="A382" s="0" t="n">
        <v>389</v>
      </c>
      <c r="B382" s="0" t="s">
        <v>458</v>
      </c>
      <c r="C382" s="0" t="n">
        <v>103300</v>
      </c>
      <c r="D382" s="0" t="n">
        <v>871</v>
      </c>
      <c r="E382" s="0" t="str">
        <f aca="false">IFERROR(IF(OR(HLOOKUP($A382,#REF!,3,FALSE())&gt;2,HLOOKUP(A382,#REF!,3,FALSE())&lt;-2),"",#REF!),"")</f>
        <v/>
      </c>
      <c r="F382" s="0" t="str">
        <f aca="false">IFERROR(IF(OR(HLOOKUP($A382,#REF!,4,FALSE())&gt;2,HLOOKUP($A382,#REF!,4,FALSE())&lt;-2),"",#REF!),"")</f>
        <v/>
      </c>
      <c r="G382" s="0" t="str">
        <f aca="false">IFERROR(IF(OR(HLOOKUP($A382,#REF!,5,FALSE())&gt;2,HLOOKUP($A382,#REF!,5,FALSE())&lt;-2),"",#REF!),"")</f>
        <v/>
      </c>
      <c r="H382" s="0" t="str">
        <f aca="false">IFERROR(IF(OR(HLOOKUP($A382,#REF!,6,FALSE())&gt;2,HLOOKUP($A382,#REF!,6,FALSE())&lt;-2),"",#REF!),"")</f>
        <v/>
      </c>
      <c r="I382" s="0" t="str">
        <f aca="false">IFERROR(IF(OR(HLOOKUP($A382,#REF!,7,FALSE())&gt;2,HLOOKUP($A382,#REF!,7,FALSE())&lt;-2),"",#REF!),"")</f>
        <v/>
      </c>
      <c r="J382" s="0" t="str">
        <f aca="false">IFERROR(IF(OR(HLOOKUP($A382,#REF!,8,FALSE())&gt;2,HLOOKUP($A382,#REF!,8,FALSE())&lt;-2),"",#REF!),"")</f>
        <v/>
      </c>
      <c r="K382" s="0" t="str">
        <f aca="false">IFERROR(IF(OR(HLOOKUP($A382,#REF!,9,FALSE())&gt;2,HLOOKUP($A382,#REF!,9,FALSE())&lt;-2),"",#REF!),"")</f>
        <v/>
      </c>
      <c r="L382" s="0" t="str">
        <f aca="false">IFERROR(IF(OR(HLOOKUP($A382,#REF!,10,FALSE())&gt;2,HLOOKUP($A382,#REF!,10,FALSE())&lt;-2),"",#REF!),"")</f>
        <v/>
      </c>
      <c r="M382" s="0" t="str">
        <f aca="false">IFERROR(IF(OR(HLOOKUP($A382,#REF!,11,FALSE())&gt;2,HLOOKUP($A382,#REF!,11,FALSE())&lt;-2),"",#REF!),"")</f>
        <v/>
      </c>
      <c r="N382" s="0" t="str">
        <f aca="false">IFERROR(IF(OR(HLOOKUP($A382,#REF!,12,FALSE())&gt;2,HLOOKUP($A382,#REF!,12,FALSE())&lt;-2),"",#REF!),"")</f>
        <v/>
      </c>
      <c r="O382" s="0" t="str">
        <f aca="false">IFERROR(IF(OR(HLOOKUP($A382,#REF!,13,FALSE())&gt;2,HLOOKUP($A382,#REF!,13,FALSE())&lt;-2),"",#REF!),"")</f>
        <v/>
      </c>
      <c r="P382" s="0" t="str">
        <f aca="false">IFERROR(IF(OR(HLOOKUP($A382,#REF!,14,FALSE())&gt;2,HLOOKUP($A382,#REF!,14,FALSE())&lt;-2),"",#REF!),"")</f>
        <v/>
      </c>
      <c r="Q382" s="0" t="str">
        <f aca="false">IFERROR(IF(OR(HLOOKUP($A382,#REF!,15,FALSE())&gt;2,HLOOKUP($A382,#REF!,15,FALSE())&lt;-2),"",#REF!),"")</f>
        <v/>
      </c>
      <c r="R382" s="0" t="str">
        <f aca="false">IFERROR(IF(OR(HLOOKUP($A382,#REF!,16,FALSE())&gt;2,HLOOKUP($A382,#REF!,16,FALSE())&lt;-2),"",#REF!),"")</f>
        <v/>
      </c>
      <c r="S382" s="0" t="str">
        <f aca="false">IFERROR(IF(OR(HLOOKUP($A382,#REF!,17,FALSE())&gt;2,HLOOKUP($A382,#REF!,17,FALSE())&lt;-2),"",#REF!),"")</f>
        <v/>
      </c>
      <c r="T382" s="0" t="str">
        <f aca="false">IFERROR(IF(OR(HLOOKUP($A382,#REF!,18,FALSE())&gt;2,HLOOKUP($A382,#REF!,18,FALSE())&lt;-2),"",#REF!),"")</f>
        <v/>
      </c>
      <c r="U382" s="0" t="str">
        <f aca="false">IFERROR(IF(OR(HLOOKUP($A382,#REF!,19,FALSE())&gt;2,HLOOKUP($A382,#REF!,19,FALSE())&lt;-2),"",#REF!),"")</f>
        <v/>
      </c>
      <c r="V382" s="0" t="n">
        <f aca="false">IFERROR(IF(AND(X382=0,Y382=0),0,1),0)</f>
        <v>1</v>
      </c>
      <c r="W382" s="3" t="str">
        <f aca="false">IFERROR(_xlfn.T.TEST(E382:M382,N382:U382,2,2),"")</f>
        <v/>
      </c>
      <c r="X382" s="0" t="str">
        <f aca="false">IFERROR(AVERAGE(E382:M382),"")</f>
        <v/>
      </c>
      <c r="Y382" s="0" t="str">
        <f aca="false">IFERROR(AVERAGE(N382:U382),"")</f>
        <v/>
      </c>
    </row>
    <row r="383" customFormat="false" ht="14.5" hidden="false" customHeight="false" outlineLevel="0" collapsed="false">
      <c r="A383" s="0" t="n">
        <v>390</v>
      </c>
      <c r="B383" s="0" t="s">
        <v>459</v>
      </c>
      <c r="C383" s="0" t="n">
        <v>70200</v>
      </c>
      <c r="D383" s="0" t="n">
        <v>157</v>
      </c>
      <c r="E383" s="0" t="str">
        <f aca="false">IFERROR(IF(OR(HLOOKUP($A383,#REF!,3,FALSE())&gt;2,HLOOKUP(A383,#REF!,3,FALSE())&lt;-2),"",#REF!),"")</f>
        <v/>
      </c>
      <c r="F383" s="0" t="str">
        <f aca="false">IFERROR(IF(OR(HLOOKUP($A383,#REF!,4,FALSE())&gt;2,HLOOKUP($A383,#REF!,4,FALSE())&lt;-2),"",#REF!),"")</f>
        <v/>
      </c>
      <c r="G383" s="0" t="str">
        <f aca="false">IFERROR(IF(OR(HLOOKUP($A383,#REF!,5,FALSE())&gt;2,HLOOKUP($A383,#REF!,5,FALSE())&lt;-2),"",#REF!),"")</f>
        <v/>
      </c>
      <c r="H383" s="0" t="str">
        <f aca="false">IFERROR(IF(OR(HLOOKUP($A383,#REF!,6,FALSE())&gt;2,HLOOKUP($A383,#REF!,6,FALSE())&lt;-2),"",#REF!),"")</f>
        <v/>
      </c>
      <c r="I383" s="0" t="str">
        <f aca="false">IFERROR(IF(OR(HLOOKUP($A383,#REF!,7,FALSE())&gt;2,HLOOKUP($A383,#REF!,7,FALSE())&lt;-2),"",#REF!),"")</f>
        <v/>
      </c>
      <c r="J383" s="0" t="str">
        <f aca="false">IFERROR(IF(OR(HLOOKUP($A383,#REF!,8,FALSE())&gt;2,HLOOKUP($A383,#REF!,8,FALSE())&lt;-2),"",#REF!),"")</f>
        <v/>
      </c>
      <c r="K383" s="0" t="str">
        <f aca="false">IFERROR(IF(OR(HLOOKUP($A383,#REF!,9,FALSE())&gt;2,HLOOKUP($A383,#REF!,9,FALSE())&lt;-2),"",#REF!),"")</f>
        <v/>
      </c>
      <c r="L383" s="0" t="str">
        <f aca="false">IFERROR(IF(OR(HLOOKUP($A383,#REF!,10,FALSE())&gt;2,HLOOKUP($A383,#REF!,10,FALSE())&lt;-2),"",#REF!),"")</f>
        <v/>
      </c>
      <c r="M383" s="0" t="str">
        <f aca="false">IFERROR(IF(OR(HLOOKUP($A383,#REF!,11,FALSE())&gt;2,HLOOKUP($A383,#REF!,11,FALSE())&lt;-2),"",#REF!),"")</f>
        <v/>
      </c>
      <c r="N383" s="0" t="str">
        <f aca="false">IFERROR(IF(OR(HLOOKUP($A383,#REF!,12,FALSE())&gt;2,HLOOKUP($A383,#REF!,12,FALSE())&lt;-2),"",#REF!),"")</f>
        <v/>
      </c>
      <c r="O383" s="0" t="str">
        <f aca="false">IFERROR(IF(OR(HLOOKUP($A383,#REF!,13,FALSE())&gt;2,HLOOKUP($A383,#REF!,13,FALSE())&lt;-2),"",#REF!),"")</f>
        <v/>
      </c>
      <c r="P383" s="0" t="str">
        <f aca="false">IFERROR(IF(OR(HLOOKUP($A383,#REF!,14,FALSE())&gt;2,HLOOKUP($A383,#REF!,14,FALSE())&lt;-2),"",#REF!),"")</f>
        <v/>
      </c>
      <c r="Q383" s="0" t="str">
        <f aca="false">IFERROR(IF(OR(HLOOKUP($A383,#REF!,15,FALSE())&gt;2,HLOOKUP($A383,#REF!,15,FALSE())&lt;-2),"",#REF!),"")</f>
        <v/>
      </c>
      <c r="R383" s="0" t="str">
        <f aca="false">IFERROR(IF(OR(HLOOKUP($A383,#REF!,16,FALSE())&gt;2,HLOOKUP($A383,#REF!,16,FALSE())&lt;-2),"",#REF!),"")</f>
        <v/>
      </c>
      <c r="S383" s="0" t="str">
        <f aca="false">IFERROR(IF(OR(HLOOKUP($A383,#REF!,17,FALSE())&gt;2,HLOOKUP($A383,#REF!,17,FALSE())&lt;-2),"",#REF!),"")</f>
        <v/>
      </c>
      <c r="T383" s="0" t="str">
        <f aca="false">IFERROR(IF(OR(HLOOKUP($A383,#REF!,18,FALSE())&gt;2,HLOOKUP($A383,#REF!,18,FALSE())&lt;-2),"",#REF!),"")</f>
        <v/>
      </c>
      <c r="U383" s="0" t="str">
        <f aca="false">IFERROR(IF(OR(HLOOKUP($A383,#REF!,19,FALSE())&gt;2,HLOOKUP($A383,#REF!,19,FALSE())&lt;-2),"",#REF!),"")</f>
        <v/>
      </c>
      <c r="V383" s="0" t="n">
        <f aca="false">IFERROR(IF(AND(X383=0,Y383=0),0,1),0)</f>
        <v>1</v>
      </c>
      <c r="W383" s="3" t="str">
        <f aca="false">IFERROR(_xlfn.T.TEST(E383:M383,N383:U383,2,2),"")</f>
        <v/>
      </c>
      <c r="X383" s="0" t="str">
        <f aca="false">IFERROR(AVERAGE(E383:M383),"")</f>
        <v/>
      </c>
      <c r="Y383" s="0" t="str">
        <f aca="false">IFERROR(AVERAGE(N383:U383),"")</f>
        <v/>
      </c>
    </row>
    <row r="384" customFormat="false" ht="14.5" hidden="false" customHeight="false" outlineLevel="0" collapsed="false">
      <c r="A384" s="0" t="n">
        <v>391</v>
      </c>
      <c r="B384" s="0" t="s">
        <v>460</v>
      </c>
      <c r="C384" s="0" t="n">
        <v>37800</v>
      </c>
      <c r="D384" s="0" t="n">
        <v>382</v>
      </c>
      <c r="E384" s="0" t="str">
        <f aca="false">IFERROR(IF(OR(HLOOKUP($A384,#REF!,3,FALSE())&gt;2,HLOOKUP(A384,#REF!,3,FALSE())&lt;-2),"",#REF!),"")</f>
        <v/>
      </c>
      <c r="F384" s="0" t="str">
        <f aca="false">IFERROR(IF(OR(HLOOKUP($A384,#REF!,4,FALSE())&gt;2,HLOOKUP($A384,#REF!,4,FALSE())&lt;-2),"",#REF!),"")</f>
        <v/>
      </c>
      <c r="G384" s="0" t="str">
        <f aca="false">IFERROR(IF(OR(HLOOKUP($A384,#REF!,5,FALSE())&gt;2,HLOOKUP($A384,#REF!,5,FALSE())&lt;-2),"",#REF!),"")</f>
        <v/>
      </c>
      <c r="H384" s="0" t="str">
        <f aca="false">IFERROR(IF(OR(HLOOKUP($A384,#REF!,6,FALSE())&gt;2,HLOOKUP($A384,#REF!,6,FALSE())&lt;-2),"",#REF!),"")</f>
        <v/>
      </c>
      <c r="I384" s="0" t="str">
        <f aca="false">IFERROR(IF(OR(HLOOKUP($A384,#REF!,7,FALSE())&gt;2,HLOOKUP($A384,#REF!,7,FALSE())&lt;-2),"",#REF!),"")</f>
        <v/>
      </c>
      <c r="J384" s="0" t="str">
        <f aca="false">IFERROR(IF(OR(HLOOKUP($A384,#REF!,8,FALSE())&gt;2,HLOOKUP($A384,#REF!,8,FALSE())&lt;-2),"",#REF!),"")</f>
        <v/>
      </c>
      <c r="K384" s="0" t="str">
        <f aca="false">IFERROR(IF(OR(HLOOKUP($A384,#REF!,9,FALSE())&gt;2,HLOOKUP($A384,#REF!,9,FALSE())&lt;-2),"",#REF!),"")</f>
        <v/>
      </c>
      <c r="L384" s="0" t="str">
        <f aca="false">IFERROR(IF(OR(HLOOKUP($A384,#REF!,10,FALSE())&gt;2,HLOOKUP($A384,#REF!,10,FALSE())&lt;-2),"",#REF!),"")</f>
        <v/>
      </c>
      <c r="M384" s="0" t="str">
        <f aca="false">IFERROR(IF(OR(HLOOKUP($A384,#REF!,11,FALSE())&gt;2,HLOOKUP($A384,#REF!,11,FALSE())&lt;-2),"",#REF!),"")</f>
        <v/>
      </c>
      <c r="N384" s="0" t="str">
        <f aca="false">IFERROR(IF(OR(HLOOKUP($A384,#REF!,12,FALSE())&gt;2,HLOOKUP($A384,#REF!,12,FALSE())&lt;-2),"",#REF!),"")</f>
        <v/>
      </c>
      <c r="O384" s="0" t="str">
        <f aca="false">IFERROR(IF(OR(HLOOKUP($A384,#REF!,13,FALSE())&gt;2,HLOOKUP($A384,#REF!,13,FALSE())&lt;-2),"",#REF!),"")</f>
        <v/>
      </c>
      <c r="P384" s="0" t="str">
        <f aca="false">IFERROR(IF(OR(HLOOKUP($A384,#REF!,14,FALSE())&gt;2,HLOOKUP($A384,#REF!,14,FALSE())&lt;-2),"",#REF!),"")</f>
        <v/>
      </c>
      <c r="Q384" s="0" t="str">
        <f aca="false">IFERROR(IF(OR(HLOOKUP($A384,#REF!,15,FALSE())&gt;2,HLOOKUP($A384,#REF!,15,FALSE())&lt;-2),"",#REF!),"")</f>
        <v/>
      </c>
      <c r="R384" s="0" t="str">
        <f aca="false">IFERROR(IF(OR(HLOOKUP($A384,#REF!,16,FALSE())&gt;2,HLOOKUP($A384,#REF!,16,FALSE())&lt;-2),"",#REF!),"")</f>
        <v/>
      </c>
      <c r="S384" s="0" t="str">
        <f aca="false">IFERROR(IF(OR(HLOOKUP($A384,#REF!,17,FALSE())&gt;2,HLOOKUP($A384,#REF!,17,FALSE())&lt;-2),"",#REF!),"")</f>
        <v/>
      </c>
      <c r="T384" s="0" t="str">
        <f aca="false">IFERROR(IF(OR(HLOOKUP($A384,#REF!,18,FALSE())&gt;2,HLOOKUP($A384,#REF!,18,FALSE())&lt;-2),"",#REF!),"")</f>
        <v/>
      </c>
      <c r="U384" s="0" t="str">
        <f aca="false">IFERROR(IF(OR(HLOOKUP($A384,#REF!,19,FALSE())&gt;2,HLOOKUP($A384,#REF!,19,FALSE())&lt;-2),"",#REF!),"")</f>
        <v/>
      </c>
      <c r="V384" s="0" t="n">
        <f aca="false">IFERROR(IF(AND(X384=0,Y384=0),0,1),0)</f>
        <v>1</v>
      </c>
      <c r="W384" s="3" t="str">
        <f aca="false">IFERROR(_xlfn.T.TEST(E384:M384,N384:U384,2,2),"")</f>
        <v/>
      </c>
      <c r="X384" s="0" t="str">
        <f aca="false">IFERROR(AVERAGE(E384:M384),"")</f>
        <v/>
      </c>
      <c r="Y384" s="0" t="str">
        <f aca="false">IFERROR(AVERAGE(N384:U384),"")</f>
        <v/>
      </c>
    </row>
    <row r="385" customFormat="false" ht="14.5" hidden="false" customHeight="false" outlineLevel="0" collapsed="false">
      <c r="A385" s="0" t="n">
        <v>392</v>
      </c>
      <c r="B385" s="0" t="s">
        <v>461</v>
      </c>
      <c r="C385" s="0" t="n">
        <v>34200</v>
      </c>
      <c r="D385" s="0" t="n">
        <v>619</v>
      </c>
      <c r="E385" s="0" t="str">
        <f aca="false">IFERROR(IF(OR(HLOOKUP($A385,#REF!,3,FALSE())&gt;2,HLOOKUP(A385,#REF!,3,FALSE())&lt;-2),"",#REF!),"")</f>
        <v/>
      </c>
      <c r="F385" s="0" t="str">
        <f aca="false">IFERROR(IF(OR(HLOOKUP($A385,#REF!,4,FALSE())&gt;2,HLOOKUP($A385,#REF!,4,FALSE())&lt;-2),"",#REF!),"")</f>
        <v/>
      </c>
      <c r="G385" s="0" t="str">
        <f aca="false">IFERROR(IF(OR(HLOOKUP($A385,#REF!,5,FALSE())&gt;2,HLOOKUP($A385,#REF!,5,FALSE())&lt;-2),"",#REF!),"")</f>
        <v/>
      </c>
      <c r="H385" s="0" t="str">
        <f aca="false">IFERROR(IF(OR(HLOOKUP($A385,#REF!,6,FALSE())&gt;2,HLOOKUP($A385,#REF!,6,FALSE())&lt;-2),"",#REF!),"")</f>
        <v/>
      </c>
      <c r="I385" s="0" t="str">
        <f aca="false">IFERROR(IF(OR(HLOOKUP($A385,#REF!,7,FALSE())&gt;2,HLOOKUP($A385,#REF!,7,FALSE())&lt;-2),"",#REF!),"")</f>
        <v/>
      </c>
      <c r="J385" s="0" t="str">
        <f aca="false">IFERROR(IF(OR(HLOOKUP($A385,#REF!,8,FALSE())&gt;2,HLOOKUP($A385,#REF!,8,FALSE())&lt;-2),"",#REF!),"")</f>
        <v/>
      </c>
      <c r="K385" s="0" t="str">
        <f aca="false">IFERROR(IF(OR(HLOOKUP($A385,#REF!,9,FALSE())&gt;2,HLOOKUP($A385,#REF!,9,FALSE())&lt;-2),"",#REF!),"")</f>
        <v/>
      </c>
      <c r="L385" s="0" t="str">
        <f aca="false">IFERROR(IF(OR(HLOOKUP($A385,#REF!,10,FALSE())&gt;2,HLOOKUP($A385,#REF!,10,FALSE())&lt;-2),"",#REF!),"")</f>
        <v/>
      </c>
      <c r="M385" s="0" t="str">
        <f aca="false">IFERROR(IF(OR(HLOOKUP($A385,#REF!,11,FALSE())&gt;2,HLOOKUP($A385,#REF!,11,FALSE())&lt;-2),"",#REF!),"")</f>
        <v/>
      </c>
      <c r="N385" s="0" t="str">
        <f aca="false">IFERROR(IF(OR(HLOOKUP($A385,#REF!,12,FALSE())&gt;2,HLOOKUP($A385,#REF!,12,FALSE())&lt;-2),"",#REF!),"")</f>
        <v/>
      </c>
      <c r="O385" s="0" t="str">
        <f aca="false">IFERROR(IF(OR(HLOOKUP($A385,#REF!,13,FALSE())&gt;2,HLOOKUP($A385,#REF!,13,FALSE())&lt;-2),"",#REF!),"")</f>
        <v/>
      </c>
      <c r="P385" s="0" t="str">
        <f aca="false">IFERROR(IF(OR(HLOOKUP($A385,#REF!,14,FALSE())&gt;2,HLOOKUP($A385,#REF!,14,FALSE())&lt;-2),"",#REF!),"")</f>
        <v/>
      </c>
      <c r="Q385" s="0" t="str">
        <f aca="false">IFERROR(IF(OR(HLOOKUP($A385,#REF!,15,FALSE())&gt;2,HLOOKUP($A385,#REF!,15,FALSE())&lt;-2),"",#REF!),"")</f>
        <v/>
      </c>
      <c r="R385" s="0" t="str">
        <f aca="false">IFERROR(IF(OR(HLOOKUP($A385,#REF!,16,FALSE())&gt;2,HLOOKUP($A385,#REF!,16,FALSE())&lt;-2),"",#REF!),"")</f>
        <v/>
      </c>
      <c r="S385" s="0" t="str">
        <f aca="false">IFERROR(IF(OR(HLOOKUP($A385,#REF!,17,FALSE())&gt;2,HLOOKUP($A385,#REF!,17,FALSE())&lt;-2),"",#REF!),"")</f>
        <v/>
      </c>
      <c r="T385" s="0" t="str">
        <f aca="false">IFERROR(IF(OR(HLOOKUP($A385,#REF!,18,FALSE())&gt;2,HLOOKUP($A385,#REF!,18,FALSE())&lt;-2),"",#REF!),"")</f>
        <v/>
      </c>
      <c r="U385" s="0" t="str">
        <f aca="false">IFERROR(IF(OR(HLOOKUP($A385,#REF!,19,FALSE())&gt;2,HLOOKUP($A385,#REF!,19,FALSE())&lt;-2),"",#REF!),"")</f>
        <v/>
      </c>
      <c r="V385" s="0" t="n">
        <f aca="false">IFERROR(IF(AND(X385=0,Y385=0),0,1),0)</f>
        <v>1</v>
      </c>
      <c r="W385" s="3" t="str">
        <f aca="false">IFERROR(_xlfn.T.TEST(E385:M385,N385:U385,2,2),"")</f>
        <v/>
      </c>
      <c r="X385" s="0" t="str">
        <f aca="false">IFERROR(AVERAGE(E385:M385),"")</f>
        <v/>
      </c>
      <c r="Y385" s="0" t="str">
        <f aca="false">IFERROR(AVERAGE(N385:U385),"")</f>
        <v/>
      </c>
    </row>
    <row r="386" customFormat="false" ht="14.5" hidden="false" customHeight="false" outlineLevel="0" collapsed="false">
      <c r="A386" s="0" t="n">
        <v>393</v>
      </c>
      <c r="B386" s="0" t="s">
        <v>462</v>
      </c>
      <c r="C386" s="0" t="n">
        <v>17500</v>
      </c>
      <c r="D386" s="0" t="n">
        <v>425</v>
      </c>
      <c r="E386" s="0" t="str">
        <f aca="false">IFERROR(IF(OR(HLOOKUP($A386,#REF!,3,FALSE())&gt;2,HLOOKUP(A386,#REF!,3,FALSE())&lt;-2),"",#REF!),"")</f>
        <v/>
      </c>
      <c r="F386" s="0" t="str">
        <f aca="false">IFERROR(IF(OR(HLOOKUP($A386,#REF!,4,FALSE())&gt;2,HLOOKUP($A386,#REF!,4,FALSE())&lt;-2),"",#REF!),"")</f>
        <v/>
      </c>
      <c r="G386" s="0" t="str">
        <f aca="false">IFERROR(IF(OR(HLOOKUP($A386,#REF!,5,FALSE())&gt;2,HLOOKUP($A386,#REF!,5,FALSE())&lt;-2),"",#REF!),"")</f>
        <v/>
      </c>
      <c r="H386" s="0" t="str">
        <f aca="false">IFERROR(IF(OR(HLOOKUP($A386,#REF!,6,FALSE())&gt;2,HLOOKUP($A386,#REF!,6,FALSE())&lt;-2),"",#REF!),"")</f>
        <v/>
      </c>
      <c r="I386" s="0" t="str">
        <f aca="false">IFERROR(IF(OR(HLOOKUP($A386,#REF!,7,FALSE())&gt;2,HLOOKUP($A386,#REF!,7,FALSE())&lt;-2),"",#REF!),"")</f>
        <v/>
      </c>
      <c r="J386" s="0" t="str">
        <f aca="false">IFERROR(IF(OR(HLOOKUP($A386,#REF!,8,FALSE())&gt;2,HLOOKUP($A386,#REF!,8,FALSE())&lt;-2),"",#REF!),"")</f>
        <v/>
      </c>
      <c r="K386" s="0" t="str">
        <f aca="false">IFERROR(IF(OR(HLOOKUP($A386,#REF!,9,FALSE())&gt;2,HLOOKUP($A386,#REF!,9,FALSE())&lt;-2),"",#REF!),"")</f>
        <v/>
      </c>
      <c r="L386" s="0" t="str">
        <f aca="false">IFERROR(IF(OR(HLOOKUP($A386,#REF!,10,FALSE())&gt;2,HLOOKUP($A386,#REF!,10,FALSE())&lt;-2),"",#REF!),"")</f>
        <v/>
      </c>
      <c r="M386" s="0" t="str">
        <f aca="false">IFERROR(IF(OR(HLOOKUP($A386,#REF!,11,FALSE())&gt;2,HLOOKUP($A386,#REF!,11,FALSE())&lt;-2),"",#REF!),"")</f>
        <v/>
      </c>
      <c r="N386" s="0" t="str">
        <f aca="false">IFERROR(IF(OR(HLOOKUP($A386,#REF!,12,FALSE())&gt;2,HLOOKUP($A386,#REF!,12,FALSE())&lt;-2),"",#REF!),"")</f>
        <v/>
      </c>
      <c r="O386" s="0" t="str">
        <f aca="false">IFERROR(IF(OR(HLOOKUP($A386,#REF!,13,FALSE())&gt;2,HLOOKUP($A386,#REF!,13,FALSE())&lt;-2),"",#REF!),"")</f>
        <v/>
      </c>
      <c r="P386" s="0" t="str">
        <f aca="false">IFERROR(IF(OR(HLOOKUP($A386,#REF!,14,FALSE())&gt;2,HLOOKUP($A386,#REF!,14,FALSE())&lt;-2),"",#REF!),"")</f>
        <v/>
      </c>
      <c r="Q386" s="0" t="str">
        <f aca="false">IFERROR(IF(OR(HLOOKUP($A386,#REF!,15,FALSE())&gt;2,HLOOKUP($A386,#REF!,15,FALSE())&lt;-2),"",#REF!),"")</f>
        <v/>
      </c>
      <c r="R386" s="0" t="str">
        <f aca="false">IFERROR(IF(OR(HLOOKUP($A386,#REF!,16,FALSE())&gt;2,HLOOKUP($A386,#REF!,16,FALSE())&lt;-2),"",#REF!),"")</f>
        <v/>
      </c>
      <c r="S386" s="0" t="str">
        <f aca="false">IFERROR(IF(OR(HLOOKUP($A386,#REF!,17,FALSE())&gt;2,HLOOKUP($A386,#REF!,17,FALSE())&lt;-2),"",#REF!),"")</f>
        <v/>
      </c>
      <c r="T386" s="0" t="str">
        <f aca="false">IFERROR(IF(OR(HLOOKUP($A386,#REF!,18,FALSE())&gt;2,HLOOKUP($A386,#REF!,18,FALSE())&lt;-2),"",#REF!),"")</f>
        <v/>
      </c>
      <c r="U386" s="0" t="str">
        <f aca="false">IFERROR(IF(OR(HLOOKUP($A386,#REF!,19,FALSE())&gt;2,HLOOKUP($A386,#REF!,19,FALSE())&lt;-2),"",#REF!),"")</f>
        <v/>
      </c>
      <c r="V386" s="0" t="n">
        <f aca="false">IFERROR(IF(AND(X386=0,Y386=0),0,1),0)</f>
        <v>1</v>
      </c>
      <c r="W386" s="3" t="str">
        <f aca="false">IFERROR(_xlfn.T.TEST(E386:M386,N386:U386,2,2),"")</f>
        <v/>
      </c>
      <c r="X386" s="0" t="str">
        <f aca="false">IFERROR(AVERAGE(E386:M386),"")</f>
        <v/>
      </c>
      <c r="Y386" s="0" t="str">
        <f aca="false">IFERROR(AVERAGE(N386:U386),"")</f>
        <v/>
      </c>
    </row>
    <row r="387" customFormat="false" ht="14.5" hidden="false" customHeight="false" outlineLevel="0" collapsed="false">
      <c r="A387" s="0" t="n">
        <v>394</v>
      </c>
      <c r="B387" s="0" t="s">
        <v>463</v>
      </c>
      <c r="C387" s="0" t="n">
        <v>14800</v>
      </c>
      <c r="D387" s="0" t="n">
        <v>669</v>
      </c>
      <c r="E387" s="0" t="str">
        <f aca="false">IFERROR(IF(OR(HLOOKUP($A387,#REF!,3,FALSE())&gt;2,HLOOKUP(A387,#REF!,3,FALSE())&lt;-2),"",#REF!),"")</f>
        <v/>
      </c>
      <c r="F387" s="0" t="str">
        <f aca="false">IFERROR(IF(OR(HLOOKUP($A387,#REF!,4,FALSE())&gt;2,HLOOKUP($A387,#REF!,4,FALSE())&lt;-2),"",#REF!),"")</f>
        <v/>
      </c>
      <c r="G387" s="0" t="str">
        <f aca="false">IFERROR(IF(OR(HLOOKUP($A387,#REF!,5,FALSE())&gt;2,HLOOKUP($A387,#REF!,5,FALSE())&lt;-2),"",#REF!),"")</f>
        <v/>
      </c>
      <c r="H387" s="0" t="str">
        <f aca="false">IFERROR(IF(OR(HLOOKUP($A387,#REF!,6,FALSE())&gt;2,HLOOKUP($A387,#REF!,6,FALSE())&lt;-2),"",#REF!),"")</f>
        <v/>
      </c>
      <c r="I387" s="0" t="str">
        <f aca="false">IFERROR(IF(OR(HLOOKUP($A387,#REF!,7,FALSE())&gt;2,HLOOKUP($A387,#REF!,7,FALSE())&lt;-2),"",#REF!),"")</f>
        <v/>
      </c>
      <c r="J387" s="0" t="str">
        <f aca="false">IFERROR(IF(OR(HLOOKUP($A387,#REF!,8,FALSE())&gt;2,HLOOKUP($A387,#REF!,8,FALSE())&lt;-2),"",#REF!),"")</f>
        <v/>
      </c>
      <c r="K387" s="0" t="str">
        <f aca="false">IFERROR(IF(OR(HLOOKUP($A387,#REF!,9,FALSE())&gt;2,HLOOKUP($A387,#REF!,9,FALSE())&lt;-2),"",#REF!),"")</f>
        <v/>
      </c>
      <c r="L387" s="0" t="str">
        <f aca="false">IFERROR(IF(OR(HLOOKUP($A387,#REF!,10,FALSE())&gt;2,HLOOKUP($A387,#REF!,10,FALSE())&lt;-2),"",#REF!),"")</f>
        <v/>
      </c>
      <c r="M387" s="0" t="str">
        <f aca="false">IFERROR(IF(OR(HLOOKUP($A387,#REF!,11,FALSE())&gt;2,HLOOKUP($A387,#REF!,11,FALSE())&lt;-2),"",#REF!),"")</f>
        <v/>
      </c>
      <c r="N387" s="0" t="str">
        <f aca="false">IFERROR(IF(OR(HLOOKUP($A387,#REF!,12,FALSE())&gt;2,HLOOKUP($A387,#REF!,12,FALSE())&lt;-2),"",#REF!),"")</f>
        <v/>
      </c>
      <c r="O387" s="0" t="str">
        <f aca="false">IFERROR(IF(OR(HLOOKUP($A387,#REF!,13,FALSE())&gt;2,HLOOKUP($A387,#REF!,13,FALSE())&lt;-2),"",#REF!),"")</f>
        <v/>
      </c>
      <c r="P387" s="0" t="str">
        <f aca="false">IFERROR(IF(OR(HLOOKUP($A387,#REF!,14,FALSE())&gt;2,HLOOKUP($A387,#REF!,14,FALSE())&lt;-2),"",#REF!),"")</f>
        <v/>
      </c>
      <c r="Q387" s="0" t="str">
        <f aca="false">IFERROR(IF(OR(HLOOKUP($A387,#REF!,15,FALSE())&gt;2,HLOOKUP($A387,#REF!,15,FALSE())&lt;-2),"",#REF!),"")</f>
        <v/>
      </c>
      <c r="R387" s="0" t="str">
        <f aca="false">IFERROR(IF(OR(HLOOKUP($A387,#REF!,16,FALSE())&gt;2,HLOOKUP($A387,#REF!,16,FALSE())&lt;-2),"",#REF!),"")</f>
        <v/>
      </c>
      <c r="S387" s="0" t="str">
        <f aca="false">IFERROR(IF(OR(HLOOKUP($A387,#REF!,17,FALSE())&gt;2,HLOOKUP($A387,#REF!,17,FALSE())&lt;-2),"",#REF!),"")</f>
        <v/>
      </c>
      <c r="T387" s="0" t="str">
        <f aca="false">IFERROR(IF(OR(HLOOKUP($A387,#REF!,18,FALSE())&gt;2,HLOOKUP($A387,#REF!,18,FALSE())&lt;-2),"",#REF!),"")</f>
        <v/>
      </c>
      <c r="U387" s="0" t="str">
        <f aca="false">IFERROR(IF(OR(HLOOKUP($A387,#REF!,19,FALSE())&gt;2,HLOOKUP($A387,#REF!,19,FALSE())&lt;-2),"",#REF!),"")</f>
        <v/>
      </c>
      <c r="V387" s="0" t="n">
        <f aca="false">IFERROR(IF(AND(X387=0,Y387=0),0,1),0)</f>
        <v>1</v>
      </c>
      <c r="W387" s="3" t="str">
        <f aca="false">IFERROR(_xlfn.T.TEST(E387:M387,N387:U387,2,2),"")</f>
        <v/>
      </c>
      <c r="X387" s="0" t="str">
        <f aca="false">IFERROR(AVERAGE(E387:M387),"")</f>
        <v/>
      </c>
      <c r="Y387" s="0" t="str">
        <f aca="false">IFERROR(AVERAGE(N387:U387),"")</f>
        <v/>
      </c>
    </row>
    <row r="388" customFormat="false" ht="14.5" hidden="false" customHeight="false" outlineLevel="0" collapsed="false">
      <c r="A388" s="0" t="n">
        <v>395</v>
      </c>
      <c r="B388" s="0" t="s">
        <v>464</v>
      </c>
      <c r="C388" s="0" t="n">
        <v>94300</v>
      </c>
      <c r="D388" s="0" t="n">
        <v>370</v>
      </c>
      <c r="E388" s="0" t="str">
        <f aca="false">IFERROR(IF(OR(HLOOKUP($A388,#REF!,3,FALSE())&gt;2,HLOOKUP(A388,#REF!,3,FALSE())&lt;-2),"",#REF!),"")</f>
        <v/>
      </c>
      <c r="F388" s="0" t="str">
        <f aca="false">IFERROR(IF(OR(HLOOKUP($A388,#REF!,4,FALSE())&gt;2,HLOOKUP($A388,#REF!,4,FALSE())&lt;-2),"",#REF!),"")</f>
        <v/>
      </c>
      <c r="G388" s="0" t="str">
        <f aca="false">IFERROR(IF(OR(HLOOKUP($A388,#REF!,5,FALSE())&gt;2,HLOOKUP($A388,#REF!,5,FALSE())&lt;-2),"",#REF!),"")</f>
        <v/>
      </c>
      <c r="H388" s="0" t="str">
        <f aca="false">IFERROR(IF(OR(HLOOKUP($A388,#REF!,6,FALSE())&gt;2,HLOOKUP($A388,#REF!,6,FALSE())&lt;-2),"",#REF!),"")</f>
        <v/>
      </c>
      <c r="I388" s="0" t="str">
        <f aca="false">IFERROR(IF(OR(HLOOKUP($A388,#REF!,7,FALSE())&gt;2,HLOOKUP($A388,#REF!,7,FALSE())&lt;-2),"",#REF!),"")</f>
        <v/>
      </c>
      <c r="J388" s="0" t="str">
        <f aca="false">IFERROR(IF(OR(HLOOKUP($A388,#REF!,8,FALSE())&gt;2,HLOOKUP($A388,#REF!,8,FALSE())&lt;-2),"",#REF!),"")</f>
        <v/>
      </c>
      <c r="K388" s="0" t="str">
        <f aca="false">IFERROR(IF(OR(HLOOKUP($A388,#REF!,9,FALSE())&gt;2,HLOOKUP($A388,#REF!,9,FALSE())&lt;-2),"",#REF!),"")</f>
        <v/>
      </c>
      <c r="L388" s="0" t="str">
        <f aca="false">IFERROR(IF(OR(HLOOKUP($A388,#REF!,10,FALSE())&gt;2,HLOOKUP($A388,#REF!,10,FALSE())&lt;-2),"",#REF!),"")</f>
        <v/>
      </c>
      <c r="M388" s="0" t="str">
        <f aca="false">IFERROR(IF(OR(HLOOKUP($A388,#REF!,11,FALSE())&gt;2,HLOOKUP($A388,#REF!,11,FALSE())&lt;-2),"",#REF!),"")</f>
        <v/>
      </c>
      <c r="N388" s="0" t="str">
        <f aca="false">IFERROR(IF(OR(HLOOKUP($A388,#REF!,12,FALSE())&gt;2,HLOOKUP($A388,#REF!,12,FALSE())&lt;-2),"",#REF!),"")</f>
        <v/>
      </c>
      <c r="O388" s="0" t="str">
        <f aca="false">IFERROR(IF(OR(HLOOKUP($A388,#REF!,13,FALSE())&gt;2,HLOOKUP($A388,#REF!,13,FALSE())&lt;-2),"",#REF!),"")</f>
        <v/>
      </c>
      <c r="P388" s="0" t="str">
        <f aca="false">IFERROR(IF(OR(HLOOKUP($A388,#REF!,14,FALSE())&gt;2,HLOOKUP($A388,#REF!,14,FALSE())&lt;-2),"",#REF!),"")</f>
        <v/>
      </c>
      <c r="Q388" s="0" t="str">
        <f aca="false">IFERROR(IF(OR(HLOOKUP($A388,#REF!,15,FALSE())&gt;2,HLOOKUP($A388,#REF!,15,FALSE())&lt;-2),"",#REF!),"")</f>
        <v/>
      </c>
      <c r="R388" s="0" t="str">
        <f aca="false">IFERROR(IF(OR(HLOOKUP($A388,#REF!,16,FALSE())&gt;2,HLOOKUP($A388,#REF!,16,FALSE())&lt;-2),"",#REF!),"")</f>
        <v/>
      </c>
      <c r="S388" s="0" t="str">
        <f aca="false">IFERROR(IF(OR(HLOOKUP($A388,#REF!,17,FALSE())&gt;2,HLOOKUP($A388,#REF!,17,FALSE())&lt;-2),"",#REF!),"")</f>
        <v/>
      </c>
      <c r="T388" s="0" t="str">
        <f aca="false">IFERROR(IF(OR(HLOOKUP($A388,#REF!,18,FALSE())&gt;2,HLOOKUP($A388,#REF!,18,FALSE())&lt;-2),"",#REF!),"")</f>
        <v/>
      </c>
      <c r="U388" s="0" t="str">
        <f aca="false">IFERROR(IF(OR(HLOOKUP($A388,#REF!,19,FALSE())&gt;2,HLOOKUP($A388,#REF!,19,FALSE())&lt;-2),"",#REF!),"")</f>
        <v/>
      </c>
      <c r="V388" s="0" t="n">
        <f aca="false">IFERROR(IF(AND(X388=0,Y388=0),0,1),0)</f>
        <v>1</v>
      </c>
      <c r="W388" s="3" t="str">
        <f aca="false">IFERROR(_xlfn.T.TEST(E388:M388,N388:U388,2,2),"")</f>
        <v/>
      </c>
      <c r="X388" s="0" t="str">
        <f aca="false">IFERROR(AVERAGE(E388:M388),"")</f>
        <v/>
      </c>
      <c r="Y388" s="0" t="str">
        <f aca="false">IFERROR(AVERAGE(N388:U388),"")</f>
        <v/>
      </c>
    </row>
    <row r="389" customFormat="false" ht="14.5" hidden="false" customHeight="false" outlineLevel="0" collapsed="false">
      <c r="A389" s="0" t="n">
        <v>396</v>
      </c>
      <c r="B389" s="0" t="s">
        <v>465</v>
      </c>
      <c r="C389" s="0" t="n">
        <v>102900</v>
      </c>
      <c r="D389" s="0" t="n">
        <v>514</v>
      </c>
      <c r="E389" s="0" t="str">
        <f aca="false">IFERROR(IF(OR(HLOOKUP($A389,#REF!,3,FALSE())&gt;2,HLOOKUP(A389,#REF!,3,FALSE())&lt;-2),"",#REF!),"")</f>
        <v/>
      </c>
      <c r="F389" s="0" t="str">
        <f aca="false">IFERROR(IF(OR(HLOOKUP($A389,#REF!,4,FALSE())&gt;2,HLOOKUP($A389,#REF!,4,FALSE())&lt;-2),"",#REF!),"")</f>
        <v/>
      </c>
      <c r="G389" s="0" t="str">
        <f aca="false">IFERROR(IF(OR(HLOOKUP($A389,#REF!,5,FALSE())&gt;2,HLOOKUP($A389,#REF!,5,FALSE())&lt;-2),"",#REF!),"")</f>
        <v/>
      </c>
      <c r="H389" s="0" t="str">
        <f aca="false">IFERROR(IF(OR(HLOOKUP($A389,#REF!,6,FALSE())&gt;2,HLOOKUP($A389,#REF!,6,FALSE())&lt;-2),"",#REF!),"")</f>
        <v/>
      </c>
      <c r="I389" s="0" t="str">
        <f aca="false">IFERROR(IF(OR(HLOOKUP($A389,#REF!,7,FALSE())&gt;2,HLOOKUP($A389,#REF!,7,FALSE())&lt;-2),"",#REF!),"")</f>
        <v/>
      </c>
      <c r="J389" s="0" t="str">
        <f aca="false">IFERROR(IF(OR(HLOOKUP($A389,#REF!,8,FALSE())&gt;2,HLOOKUP($A389,#REF!,8,FALSE())&lt;-2),"",#REF!),"")</f>
        <v/>
      </c>
      <c r="K389" s="0" t="str">
        <f aca="false">IFERROR(IF(OR(HLOOKUP($A389,#REF!,9,FALSE())&gt;2,HLOOKUP($A389,#REF!,9,FALSE())&lt;-2),"",#REF!),"")</f>
        <v/>
      </c>
      <c r="L389" s="0" t="str">
        <f aca="false">IFERROR(IF(OR(HLOOKUP($A389,#REF!,10,FALSE())&gt;2,HLOOKUP($A389,#REF!,10,FALSE())&lt;-2),"",#REF!),"")</f>
        <v/>
      </c>
      <c r="M389" s="0" t="str">
        <f aca="false">IFERROR(IF(OR(HLOOKUP($A389,#REF!,11,FALSE())&gt;2,HLOOKUP($A389,#REF!,11,FALSE())&lt;-2),"",#REF!),"")</f>
        <v/>
      </c>
      <c r="N389" s="0" t="str">
        <f aca="false">IFERROR(IF(OR(HLOOKUP($A389,#REF!,12,FALSE())&gt;2,HLOOKUP($A389,#REF!,12,FALSE())&lt;-2),"",#REF!),"")</f>
        <v/>
      </c>
      <c r="O389" s="0" t="str">
        <f aca="false">IFERROR(IF(OR(HLOOKUP($A389,#REF!,13,FALSE())&gt;2,HLOOKUP($A389,#REF!,13,FALSE())&lt;-2),"",#REF!),"")</f>
        <v/>
      </c>
      <c r="P389" s="0" t="str">
        <f aca="false">IFERROR(IF(OR(HLOOKUP($A389,#REF!,14,FALSE())&gt;2,HLOOKUP($A389,#REF!,14,FALSE())&lt;-2),"",#REF!),"")</f>
        <v/>
      </c>
      <c r="Q389" s="0" t="str">
        <f aca="false">IFERROR(IF(OR(HLOOKUP($A389,#REF!,15,FALSE())&gt;2,HLOOKUP($A389,#REF!,15,FALSE())&lt;-2),"",#REF!),"")</f>
        <v/>
      </c>
      <c r="R389" s="0" t="str">
        <f aca="false">IFERROR(IF(OR(HLOOKUP($A389,#REF!,16,FALSE())&gt;2,HLOOKUP($A389,#REF!,16,FALSE())&lt;-2),"",#REF!),"")</f>
        <v/>
      </c>
      <c r="S389" s="0" t="str">
        <f aca="false">IFERROR(IF(OR(HLOOKUP($A389,#REF!,17,FALSE())&gt;2,HLOOKUP($A389,#REF!,17,FALSE())&lt;-2),"",#REF!),"")</f>
        <v/>
      </c>
      <c r="T389" s="0" t="str">
        <f aca="false">IFERROR(IF(OR(HLOOKUP($A389,#REF!,18,FALSE())&gt;2,HLOOKUP($A389,#REF!,18,FALSE())&lt;-2),"",#REF!),"")</f>
        <v/>
      </c>
      <c r="U389" s="0" t="str">
        <f aca="false">IFERROR(IF(OR(HLOOKUP($A389,#REF!,19,FALSE())&gt;2,HLOOKUP($A389,#REF!,19,FALSE())&lt;-2),"",#REF!),"")</f>
        <v/>
      </c>
      <c r="V389" s="0" t="n">
        <f aca="false">IFERROR(IF(AND(X389=0,Y389=0),0,1),0)</f>
        <v>1</v>
      </c>
      <c r="W389" s="3" t="str">
        <f aca="false">IFERROR(_xlfn.T.TEST(E389:M389,N389:U389,2,2),"")</f>
        <v/>
      </c>
      <c r="X389" s="0" t="str">
        <f aca="false">IFERROR(AVERAGE(E389:M389),"")</f>
        <v/>
      </c>
      <c r="Y389" s="0" t="str">
        <f aca="false">IFERROR(AVERAGE(N389:U389),"")</f>
        <v/>
      </c>
    </row>
    <row r="390" customFormat="false" ht="14.5" hidden="false" customHeight="false" outlineLevel="0" collapsed="false">
      <c r="A390" s="0" t="n">
        <v>397</v>
      </c>
      <c r="B390" s="0" t="s">
        <v>466</v>
      </c>
      <c r="C390" s="0" t="n">
        <v>109800</v>
      </c>
      <c r="D390" s="0" t="n">
        <v>863</v>
      </c>
      <c r="E390" s="0" t="str">
        <f aca="false">IFERROR(IF(OR(HLOOKUP($A390,#REF!,3,FALSE())&gt;2,HLOOKUP(A390,#REF!,3,FALSE())&lt;-2),"",#REF!),"")</f>
        <v/>
      </c>
      <c r="F390" s="0" t="str">
        <f aca="false">IFERROR(IF(OR(HLOOKUP($A390,#REF!,4,FALSE())&gt;2,HLOOKUP($A390,#REF!,4,FALSE())&lt;-2),"",#REF!),"")</f>
        <v/>
      </c>
      <c r="G390" s="0" t="str">
        <f aca="false">IFERROR(IF(OR(HLOOKUP($A390,#REF!,5,FALSE())&gt;2,HLOOKUP($A390,#REF!,5,FALSE())&lt;-2),"",#REF!),"")</f>
        <v/>
      </c>
      <c r="H390" s="0" t="str">
        <f aca="false">IFERROR(IF(OR(HLOOKUP($A390,#REF!,6,FALSE())&gt;2,HLOOKUP($A390,#REF!,6,FALSE())&lt;-2),"",#REF!),"")</f>
        <v/>
      </c>
      <c r="I390" s="0" t="str">
        <f aca="false">IFERROR(IF(OR(HLOOKUP($A390,#REF!,7,FALSE())&gt;2,HLOOKUP($A390,#REF!,7,FALSE())&lt;-2),"",#REF!),"")</f>
        <v/>
      </c>
      <c r="J390" s="0" t="str">
        <f aca="false">IFERROR(IF(OR(HLOOKUP($A390,#REF!,8,FALSE())&gt;2,HLOOKUP($A390,#REF!,8,FALSE())&lt;-2),"",#REF!),"")</f>
        <v/>
      </c>
      <c r="K390" s="0" t="str">
        <f aca="false">IFERROR(IF(OR(HLOOKUP($A390,#REF!,9,FALSE())&gt;2,HLOOKUP($A390,#REF!,9,FALSE())&lt;-2),"",#REF!),"")</f>
        <v/>
      </c>
      <c r="L390" s="0" t="str">
        <f aca="false">IFERROR(IF(OR(HLOOKUP($A390,#REF!,10,FALSE())&gt;2,HLOOKUP($A390,#REF!,10,FALSE())&lt;-2),"",#REF!),"")</f>
        <v/>
      </c>
      <c r="M390" s="0" t="str">
        <f aca="false">IFERROR(IF(OR(HLOOKUP($A390,#REF!,11,FALSE())&gt;2,HLOOKUP($A390,#REF!,11,FALSE())&lt;-2),"",#REF!),"")</f>
        <v/>
      </c>
      <c r="N390" s="0" t="str">
        <f aca="false">IFERROR(IF(OR(HLOOKUP($A390,#REF!,12,FALSE())&gt;2,HLOOKUP($A390,#REF!,12,FALSE())&lt;-2),"",#REF!),"")</f>
        <v/>
      </c>
      <c r="O390" s="0" t="str">
        <f aca="false">IFERROR(IF(OR(HLOOKUP($A390,#REF!,13,FALSE())&gt;2,HLOOKUP($A390,#REF!,13,FALSE())&lt;-2),"",#REF!),"")</f>
        <v/>
      </c>
      <c r="P390" s="0" t="str">
        <f aca="false">IFERROR(IF(OR(HLOOKUP($A390,#REF!,14,FALSE())&gt;2,HLOOKUP($A390,#REF!,14,FALSE())&lt;-2),"",#REF!),"")</f>
        <v/>
      </c>
      <c r="Q390" s="0" t="str">
        <f aca="false">IFERROR(IF(OR(HLOOKUP($A390,#REF!,15,FALSE())&gt;2,HLOOKUP($A390,#REF!,15,FALSE())&lt;-2),"",#REF!),"")</f>
        <v/>
      </c>
      <c r="R390" s="0" t="str">
        <f aca="false">IFERROR(IF(OR(HLOOKUP($A390,#REF!,16,FALSE())&gt;2,HLOOKUP($A390,#REF!,16,FALSE())&lt;-2),"",#REF!),"")</f>
        <v/>
      </c>
      <c r="S390" s="0" t="str">
        <f aca="false">IFERROR(IF(OR(HLOOKUP($A390,#REF!,17,FALSE())&gt;2,HLOOKUP($A390,#REF!,17,FALSE())&lt;-2),"",#REF!),"")</f>
        <v/>
      </c>
      <c r="T390" s="0" t="str">
        <f aca="false">IFERROR(IF(OR(HLOOKUP($A390,#REF!,18,FALSE())&gt;2,HLOOKUP($A390,#REF!,18,FALSE())&lt;-2),"",#REF!),"")</f>
        <v/>
      </c>
      <c r="U390" s="0" t="str">
        <f aca="false">IFERROR(IF(OR(HLOOKUP($A390,#REF!,19,FALSE())&gt;2,HLOOKUP($A390,#REF!,19,FALSE())&lt;-2),"",#REF!),"")</f>
        <v/>
      </c>
      <c r="V390" s="0" t="n">
        <f aca="false">IFERROR(IF(AND(X390=0,Y390=0),0,1),0)</f>
        <v>1</v>
      </c>
      <c r="W390" s="3" t="str">
        <f aca="false">IFERROR(_xlfn.T.TEST(E390:M390,N390:U390,2,2),"")</f>
        <v/>
      </c>
      <c r="X390" s="0" t="str">
        <f aca="false">IFERROR(AVERAGE(E390:M390),"")</f>
        <v/>
      </c>
      <c r="Y390" s="0" t="str">
        <f aca="false">IFERROR(AVERAGE(N390:U390),"")</f>
        <v/>
      </c>
    </row>
    <row r="391" customFormat="false" ht="14.5" hidden="false" customHeight="false" outlineLevel="0" collapsed="false">
      <c r="A391" s="0" t="n">
        <v>398</v>
      </c>
      <c r="B391" s="0" t="s">
        <v>467</v>
      </c>
      <c r="C391" s="0" t="n">
        <v>86600</v>
      </c>
      <c r="D391" s="0" t="n">
        <v>1132</v>
      </c>
      <c r="E391" s="0" t="str">
        <f aca="false">IFERROR(IF(OR(HLOOKUP($A391,#REF!,3,FALSE())&gt;2,HLOOKUP(A391,#REF!,3,FALSE())&lt;-2),"",#REF!),"")</f>
        <v/>
      </c>
      <c r="F391" s="0" t="str">
        <f aca="false">IFERROR(IF(OR(HLOOKUP($A391,#REF!,4,FALSE())&gt;2,HLOOKUP($A391,#REF!,4,FALSE())&lt;-2),"",#REF!),"")</f>
        <v/>
      </c>
      <c r="G391" s="0" t="str">
        <f aca="false">IFERROR(IF(OR(HLOOKUP($A391,#REF!,5,FALSE())&gt;2,HLOOKUP($A391,#REF!,5,FALSE())&lt;-2),"",#REF!),"")</f>
        <v/>
      </c>
      <c r="H391" s="0" t="str">
        <f aca="false">IFERROR(IF(OR(HLOOKUP($A391,#REF!,6,FALSE())&gt;2,HLOOKUP($A391,#REF!,6,FALSE())&lt;-2),"",#REF!),"")</f>
        <v/>
      </c>
      <c r="I391" s="0" t="str">
        <f aca="false">IFERROR(IF(OR(HLOOKUP($A391,#REF!,7,FALSE())&gt;2,HLOOKUP($A391,#REF!,7,FALSE())&lt;-2),"",#REF!),"")</f>
        <v/>
      </c>
      <c r="J391" s="0" t="str">
        <f aca="false">IFERROR(IF(OR(HLOOKUP($A391,#REF!,8,FALSE())&gt;2,HLOOKUP($A391,#REF!,8,FALSE())&lt;-2),"",#REF!),"")</f>
        <v/>
      </c>
      <c r="K391" s="0" t="str">
        <f aca="false">IFERROR(IF(OR(HLOOKUP($A391,#REF!,9,FALSE())&gt;2,HLOOKUP($A391,#REF!,9,FALSE())&lt;-2),"",#REF!),"")</f>
        <v/>
      </c>
      <c r="L391" s="0" t="str">
        <f aca="false">IFERROR(IF(OR(HLOOKUP($A391,#REF!,10,FALSE())&gt;2,HLOOKUP($A391,#REF!,10,FALSE())&lt;-2),"",#REF!),"")</f>
        <v/>
      </c>
      <c r="M391" s="0" t="str">
        <f aca="false">IFERROR(IF(OR(HLOOKUP($A391,#REF!,11,FALSE())&gt;2,HLOOKUP($A391,#REF!,11,FALSE())&lt;-2),"",#REF!),"")</f>
        <v/>
      </c>
      <c r="N391" s="0" t="str">
        <f aca="false">IFERROR(IF(OR(HLOOKUP($A391,#REF!,12,FALSE())&gt;2,HLOOKUP($A391,#REF!,12,FALSE())&lt;-2),"",#REF!),"")</f>
        <v/>
      </c>
      <c r="O391" s="0" t="str">
        <f aca="false">IFERROR(IF(OR(HLOOKUP($A391,#REF!,13,FALSE())&gt;2,HLOOKUP($A391,#REF!,13,FALSE())&lt;-2),"",#REF!),"")</f>
        <v/>
      </c>
      <c r="P391" s="0" t="str">
        <f aca="false">IFERROR(IF(OR(HLOOKUP($A391,#REF!,14,FALSE())&gt;2,HLOOKUP($A391,#REF!,14,FALSE())&lt;-2),"",#REF!),"")</f>
        <v/>
      </c>
      <c r="Q391" s="0" t="str">
        <f aca="false">IFERROR(IF(OR(HLOOKUP($A391,#REF!,15,FALSE())&gt;2,HLOOKUP($A391,#REF!,15,FALSE())&lt;-2),"",#REF!),"")</f>
        <v/>
      </c>
      <c r="R391" s="0" t="str">
        <f aca="false">IFERROR(IF(OR(HLOOKUP($A391,#REF!,16,FALSE())&gt;2,HLOOKUP($A391,#REF!,16,FALSE())&lt;-2),"",#REF!),"")</f>
        <v/>
      </c>
      <c r="S391" s="0" t="str">
        <f aca="false">IFERROR(IF(OR(HLOOKUP($A391,#REF!,17,FALSE())&gt;2,HLOOKUP($A391,#REF!,17,FALSE())&lt;-2),"",#REF!),"")</f>
        <v/>
      </c>
      <c r="T391" s="0" t="str">
        <f aca="false">IFERROR(IF(OR(HLOOKUP($A391,#REF!,18,FALSE())&gt;2,HLOOKUP($A391,#REF!,18,FALSE())&lt;-2),"",#REF!),"")</f>
        <v/>
      </c>
      <c r="U391" s="0" t="str">
        <f aca="false">IFERROR(IF(OR(HLOOKUP($A391,#REF!,19,FALSE())&gt;2,HLOOKUP($A391,#REF!,19,FALSE())&lt;-2),"",#REF!),"")</f>
        <v/>
      </c>
      <c r="V391" s="0" t="n">
        <f aca="false">IFERROR(IF(AND(X391=0,Y391=0),0,1),0)</f>
        <v>1</v>
      </c>
      <c r="W391" s="3" t="str">
        <f aca="false">IFERROR(_xlfn.T.TEST(E391:M391,N391:U391,2,2),"")</f>
        <v/>
      </c>
      <c r="X391" s="0" t="str">
        <f aca="false">IFERROR(AVERAGE(E391:M391),"")</f>
        <v/>
      </c>
      <c r="Y391" s="0" t="str">
        <f aca="false">IFERROR(AVERAGE(N391:U391),"")</f>
        <v/>
      </c>
    </row>
    <row r="392" customFormat="false" ht="14.5" hidden="false" customHeight="false" outlineLevel="0" collapsed="false">
      <c r="A392" s="0" t="n">
        <v>399</v>
      </c>
      <c r="B392" s="0" t="s">
        <v>468</v>
      </c>
      <c r="C392" s="0" t="n">
        <v>37900</v>
      </c>
      <c r="D392" s="0" t="n">
        <v>382</v>
      </c>
      <c r="E392" s="0" t="str">
        <f aca="false">IFERROR(IF(OR(HLOOKUP($A392,#REF!,3,FALSE())&gt;2,HLOOKUP(A392,#REF!,3,FALSE())&lt;-2),"",#REF!),"")</f>
        <v/>
      </c>
      <c r="F392" s="0" t="str">
        <f aca="false">IFERROR(IF(OR(HLOOKUP($A392,#REF!,4,FALSE())&gt;2,HLOOKUP($A392,#REF!,4,FALSE())&lt;-2),"",#REF!),"")</f>
        <v/>
      </c>
      <c r="G392" s="0" t="str">
        <f aca="false">IFERROR(IF(OR(HLOOKUP($A392,#REF!,5,FALSE())&gt;2,HLOOKUP($A392,#REF!,5,FALSE())&lt;-2),"",#REF!),"")</f>
        <v/>
      </c>
      <c r="H392" s="0" t="str">
        <f aca="false">IFERROR(IF(OR(HLOOKUP($A392,#REF!,6,FALSE())&gt;2,HLOOKUP($A392,#REF!,6,FALSE())&lt;-2),"",#REF!),"")</f>
        <v/>
      </c>
      <c r="I392" s="0" t="str">
        <f aca="false">IFERROR(IF(OR(HLOOKUP($A392,#REF!,7,FALSE())&gt;2,HLOOKUP($A392,#REF!,7,FALSE())&lt;-2),"",#REF!),"")</f>
        <v/>
      </c>
      <c r="J392" s="0" t="str">
        <f aca="false">IFERROR(IF(OR(HLOOKUP($A392,#REF!,8,FALSE())&gt;2,HLOOKUP($A392,#REF!,8,FALSE())&lt;-2),"",#REF!),"")</f>
        <v/>
      </c>
      <c r="K392" s="0" t="str">
        <f aca="false">IFERROR(IF(OR(HLOOKUP($A392,#REF!,9,FALSE())&gt;2,HLOOKUP($A392,#REF!,9,FALSE())&lt;-2),"",#REF!),"")</f>
        <v/>
      </c>
      <c r="L392" s="0" t="str">
        <f aca="false">IFERROR(IF(OR(HLOOKUP($A392,#REF!,10,FALSE())&gt;2,HLOOKUP($A392,#REF!,10,FALSE())&lt;-2),"",#REF!),"")</f>
        <v/>
      </c>
      <c r="M392" s="0" t="str">
        <f aca="false">IFERROR(IF(OR(HLOOKUP($A392,#REF!,11,FALSE())&gt;2,HLOOKUP($A392,#REF!,11,FALSE())&lt;-2),"",#REF!),"")</f>
        <v/>
      </c>
      <c r="N392" s="0" t="str">
        <f aca="false">IFERROR(IF(OR(HLOOKUP($A392,#REF!,12,FALSE())&gt;2,HLOOKUP($A392,#REF!,12,FALSE())&lt;-2),"",#REF!),"")</f>
        <v/>
      </c>
      <c r="O392" s="0" t="str">
        <f aca="false">IFERROR(IF(OR(HLOOKUP($A392,#REF!,13,FALSE())&gt;2,HLOOKUP($A392,#REF!,13,FALSE())&lt;-2),"",#REF!),"")</f>
        <v/>
      </c>
      <c r="P392" s="0" t="str">
        <f aca="false">IFERROR(IF(OR(HLOOKUP($A392,#REF!,14,FALSE())&gt;2,HLOOKUP($A392,#REF!,14,FALSE())&lt;-2),"",#REF!),"")</f>
        <v/>
      </c>
      <c r="Q392" s="0" t="str">
        <f aca="false">IFERROR(IF(OR(HLOOKUP($A392,#REF!,15,FALSE())&gt;2,HLOOKUP($A392,#REF!,15,FALSE())&lt;-2),"",#REF!),"")</f>
        <v/>
      </c>
      <c r="R392" s="0" t="str">
        <f aca="false">IFERROR(IF(OR(HLOOKUP($A392,#REF!,16,FALSE())&gt;2,HLOOKUP($A392,#REF!,16,FALSE())&lt;-2),"",#REF!),"")</f>
        <v/>
      </c>
      <c r="S392" s="0" t="str">
        <f aca="false">IFERROR(IF(OR(HLOOKUP($A392,#REF!,17,FALSE())&gt;2,HLOOKUP($A392,#REF!,17,FALSE())&lt;-2),"",#REF!),"")</f>
        <v/>
      </c>
      <c r="T392" s="0" t="str">
        <f aca="false">IFERROR(IF(OR(HLOOKUP($A392,#REF!,18,FALSE())&gt;2,HLOOKUP($A392,#REF!,18,FALSE())&lt;-2),"",#REF!),"")</f>
        <v/>
      </c>
      <c r="U392" s="0" t="str">
        <f aca="false">IFERROR(IF(OR(HLOOKUP($A392,#REF!,19,FALSE())&gt;2,HLOOKUP($A392,#REF!,19,FALSE())&lt;-2),"",#REF!),"")</f>
        <v/>
      </c>
      <c r="V392" s="0" t="n">
        <f aca="false">IFERROR(IF(AND(X392=0,Y392=0),0,1),0)</f>
        <v>1</v>
      </c>
      <c r="W392" s="3" t="str">
        <f aca="false">IFERROR(_xlfn.T.TEST(E392:M392,N392:U392,2,2),"")</f>
        <v/>
      </c>
      <c r="X392" s="0" t="str">
        <f aca="false">IFERROR(AVERAGE(E392:M392),"")</f>
        <v/>
      </c>
      <c r="Y392" s="0" t="str">
        <f aca="false">IFERROR(AVERAGE(N392:U392),"")</f>
        <v/>
      </c>
    </row>
    <row r="393" customFormat="false" ht="14.5" hidden="false" customHeight="false" outlineLevel="0" collapsed="false">
      <c r="A393" s="0" t="n">
        <v>400</v>
      </c>
      <c r="B393" s="0" t="s">
        <v>469</v>
      </c>
      <c r="C393" s="0" t="n">
        <v>36500</v>
      </c>
      <c r="D393" s="0" t="n">
        <v>788</v>
      </c>
      <c r="E393" s="0" t="str">
        <f aca="false">IFERROR(IF(OR(HLOOKUP($A393,#REF!,3,FALSE())&gt;2,HLOOKUP(A393,#REF!,3,FALSE())&lt;-2),"",#REF!),"")</f>
        <v/>
      </c>
      <c r="F393" s="0" t="str">
        <f aca="false">IFERROR(IF(OR(HLOOKUP($A393,#REF!,4,FALSE())&gt;2,HLOOKUP($A393,#REF!,4,FALSE())&lt;-2),"",#REF!),"")</f>
        <v/>
      </c>
      <c r="G393" s="0" t="str">
        <f aca="false">IFERROR(IF(OR(HLOOKUP($A393,#REF!,5,FALSE())&gt;2,HLOOKUP($A393,#REF!,5,FALSE())&lt;-2),"",#REF!),"")</f>
        <v/>
      </c>
      <c r="H393" s="0" t="str">
        <f aca="false">IFERROR(IF(OR(HLOOKUP($A393,#REF!,6,FALSE())&gt;2,HLOOKUP($A393,#REF!,6,FALSE())&lt;-2),"",#REF!),"")</f>
        <v/>
      </c>
      <c r="I393" s="0" t="str">
        <f aca="false">IFERROR(IF(OR(HLOOKUP($A393,#REF!,7,FALSE())&gt;2,HLOOKUP($A393,#REF!,7,FALSE())&lt;-2),"",#REF!),"")</f>
        <v/>
      </c>
      <c r="J393" s="0" t="str">
        <f aca="false">IFERROR(IF(OR(HLOOKUP($A393,#REF!,8,FALSE())&gt;2,HLOOKUP($A393,#REF!,8,FALSE())&lt;-2),"",#REF!),"")</f>
        <v/>
      </c>
      <c r="K393" s="0" t="str">
        <f aca="false">IFERROR(IF(OR(HLOOKUP($A393,#REF!,9,FALSE())&gt;2,HLOOKUP($A393,#REF!,9,FALSE())&lt;-2),"",#REF!),"")</f>
        <v/>
      </c>
      <c r="L393" s="0" t="str">
        <f aca="false">IFERROR(IF(OR(HLOOKUP($A393,#REF!,10,FALSE())&gt;2,HLOOKUP($A393,#REF!,10,FALSE())&lt;-2),"",#REF!),"")</f>
        <v/>
      </c>
      <c r="M393" s="0" t="str">
        <f aca="false">IFERROR(IF(OR(HLOOKUP($A393,#REF!,11,FALSE())&gt;2,HLOOKUP($A393,#REF!,11,FALSE())&lt;-2),"",#REF!),"")</f>
        <v/>
      </c>
      <c r="N393" s="0" t="str">
        <f aca="false">IFERROR(IF(OR(HLOOKUP($A393,#REF!,12,FALSE())&gt;2,HLOOKUP($A393,#REF!,12,FALSE())&lt;-2),"",#REF!),"")</f>
        <v/>
      </c>
      <c r="O393" s="0" t="str">
        <f aca="false">IFERROR(IF(OR(HLOOKUP($A393,#REF!,13,FALSE())&gt;2,HLOOKUP($A393,#REF!,13,FALSE())&lt;-2),"",#REF!),"")</f>
        <v/>
      </c>
      <c r="P393" s="0" t="str">
        <f aca="false">IFERROR(IF(OR(HLOOKUP($A393,#REF!,14,FALSE())&gt;2,HLOOKUP($A393,#REF!,14,FALSE())&lt;-2),"",#REF!),"")</f>
        <v/>
      </c>
      <c r="Q393" s="0" t="str">
        <f aca="false">IFERROR(IF(OR(HLOOKUP($A393,#REF!,15,FALSE())&gt;2,HLOOKUP($A393,#REF!,15,FALSE())&lt;-2),"",#REF!),"")</f>
        <v/>
      </c>
      <c r="R393" s="0" t="str">
        <f aca="false">IFERROR(IF(OR(HLOOKUP($A393,#REF!,16,FALSE())&gt;2,HLOOKUP($A393,#REF!,16,FALSE())&lt;-2),"",#REF!),"")</f>
        <v/>
      </c>
      <c r="S393" s="0" t="str">
        <f aca="false">IFERROR(IF(OR(HLOOKUP($A393,#REF!,17,FALSE())&gt;2,HLOOKUP($A393,#REF!,17,FALSE())&lt;-2),"",#REF!),"")</f>
        <v/>
      </c>
      <c r="T393" s="0" t="str">
        <f aca="false">IFERROR(IF(OR(HLOOKUP($A393,#REF!,18,FALSE())&gt;2,HLOOKUP($A393,#REF!,18,FALSE())&lt;-2),"",#REF!),"")</f>
        <v/>
      </c>
      <c r="U393" s="0" t="str">
        <f aca="false">IFERROR(IF(OR(HLOOKUP($A393,#REF!,19,FALSE())&gt;2,HLOOKUP($A393,#REF!,19,FALSE())&lt;-2),"",#REF!),"")</f>
        <v/>
      </c>
      <c r="V393" s="0" t="n">
        <f aca="false">IFERROR(IF(AND(X393=0,Y393=0),0,1),0)</f>
        <v>1</v>
      </c>
      <c r="W393" s="3" t="str">
        <f aca="false">IFERROR(_xlfn.T.TEST(E393:M393,N393:U393,2,2),"")</f>
        <v/>
      </c>
      <c r="X393" s="0" t="str">
        <f aca="false">IFERROR(AVERAGE(E393:M393),"")</f>
        <v/>
      </c>
      <c r="Y393" s="0" t="str">
        <f aca="false">IFERROR(AVERAGE(N393:U393),"")</f>
        <v/>
      </c>
    </row>
    <row r="394" customFormat="false" ht="14.5" hidden="false" customHeight="false" outlineLevel="0" collapsed="false">
      <c r="A394" s="0" t="n">
        <v>401</v>
      </c>
      <c r="B394" s="0" t="s">
        <v>470</v>
      </c>
      <c r="C394" s="0" t="n">
        <v>15100</v>
      </c>
      <c r="D394" s="0" t="n">
        <v>394</v>
      </c>
      <c r="E394" s="0" t="str">
        <f aca="false">IFERROR(IF(OR(HLOOKUP($A394,#REF!,3,FALSE())&gt;2,HLOOKUP(A394,#REF!,3,FALSE())&lt;-2),"",#REF!),"")</f>
        <v/>
      </c>
      <c r="F394" s="0" t="str">
        <f aca="false">IFERROR(IF(OR(HLOOKUP($A394,#REF!,4,FALSE())&gt;2,HLOOKUP($A394,#REF!,4,FALSE())&lt;-2),"",#REF!),"")</f>
        <v/>
      </c>
      <c r="G394" s="0" t="str">
        <f aca="false">IFERROR(IF(OR(HLOOKUP($A394,#REF!,5,FALSE())&gt;2,HLOOKUP($A394,#REF!,5,FALSE())&lt;-2),"",#REF!),"")</f>
        <v/>
      </c>
      <c r="H394" s="0" t="str">
        <f aca="false">IFERROR(IF(OR(HLOOKUP($A394,#REF!,6,FALSE())&gt;2,HLOOKUP($A394,#REF!,6,FALSE())&lt;-2),"",#REF!),"")</f>
        <v/>
      </c>
      <c r="I394" s="0" t="str">
        <f aca="false">IFERROR(IF(OR(HLOOKUP($A394,#REF!,7,FALSE())&gt;2,HLOOKUP($A394,#REF!,7,FALSE())&lt;-2),"",#REF!),"")</f>
        <v/>
      </c>
      <c r="J394" s="0" t="str">
        <f aca="false">IFERROR(IF(OR(HLOOKUP($A394,#REF!,8,FALSE())&gt;2,HLOOKUP($A394,#REF!,8,FALSE())&lt;-2),"",#REF!),"")</f>
        <v/>
      </c>
      <c r="K394" s="0" t="str">
        <f aca="false">IFERROR(IF(OR(HLOOKUP($A394,#REF!,9,FALSE())&gt;2,HLOOKUP($A394,#REF!,9,FALSE())&lt;-2),"",#REF!),"")</f>
        <v/>
      </c>
      <c r="L394" s="0" t="str">
        <f aca="false">IFERROR(IF(OR(HLOOKUP($A394,#REF!,10,FALSE())&gt;2,HLOOKUP($A394,#REF!,10,FALSE())&lt;-2),"",#REF!),"")</f>
        <v/>
      </c>
      <c r="M394" s="0" t="str">
        <f aca="false">IFERROR(IF(OR(HLOOKUP($A394,#REF!,11,FALSE())&gt;2,HLOOKUP($A394,#REF!,11,FALSE())&lt;-2),"",#REF!),"")</f>
        <v/>
      </c>
      <c r="N394" s="0" t="str">
        <f aca="false">IFERROR(IF(OR(HLOOKUP($A394,#REF!,12,FALSE())&gt;2,HLOOKUP($A394,#REF!,12,FALSE())&lt;-2),"",#REF!),"")</f>
        <v/>
      </c>
      <c r="O394" s="0" t="str">
        <f aca="false">IFERROR(IF(OR(HLOOKUP($A394,#REF!,13,FALSE())&gt;2,HLOOKUP($A394,#REF!,13,FALSE())&lt;-2),"",#REF!),"")</f>
        <v/>
      </c>
      <c r="P394" s="0" t="str">
        <f aca="false">IFERROR(IF(OR(HLOOKUP($A394,#REF!,14,FALSE())&gt;2,HLOOKUP($A394,#REF!,14,FALSE())&lt;-2),"",#REF!),"")</f>
        <v/>
      </c>
      <c r="Q394" s="0" t="str">
        <f aca="false">IFERROR(IF(OR(HLOOKUP($A394,#REF!,15,FALSE())&gt;2,HLOOKUP($A394,#REF!,15,FALSE())&lt;-2),"",#REF!),"")</f>
        <v/>
      </c>
      <c r="R394" s="0" t="str">
        <f aca="false">IFERROR(IF(OR(HLOOKUP($A394,#REF!,16,FALSE())&gt;2,HLOOKUP($A394,#REF!,16,FALSE())&lt;-2),"",#REF!),"")</f>
        <v/>
      </c>
      <c r="S394" s="0" t="str">
        <f aca="false">IFERROR(IF(OR(HLOOKUP($A394,#REF!,17,FALSE())&gt;2,HLOOKUP($A394,#REF!,17,FALSE())&lt;-2),"",#REF!),"")</f>
        <v/>
      </c>
      <c r="T394" s="0" t="str">
        <f aca="false">IFERROR(IF(OR(HLOOKUP($A394,#REF!,18,FALSE())&gt;2,HLOOKUP($A394,#REF!,18,FALSE())&lt;-2),"",#REF!),"")</f>
        <v/>
      </c>
      <c r="U394" s="0" t="str">
        <f aca="false">IFERROR(IF(OR(HLOOKUP($A394,#REF!,19,FALSE())&gt;2,HLOOKUP($A394,#REF!,19,FALSE())&lt;-2),"",#REF!),"")</f>
        <v/>
      </c>
      <c r="V394" s="0" t="n">
        <f aca="false">IFERROR(IF(AND(X394=0,Y394=0),0,1),0)</f>
        <v>1</v>
      </c>
      <c r="W394" s="3" t="str">
        <f aca="false">IFERROR(_xlfn.T.TEST(E394:M394,N394:U394,2,2),"")</f>
        <v/>
      </c>
      <c r="X394" s="0" t="str">
        <f aca="false">IFERROR(AVERAGE(E394:M394),"")</f>
        <v/>
      </c>
      <c r="Y394" s="0" t="str">
        <f aca="false">IFERROR(AVERAGE(N394:U394),"")</f>
        <v/>
      </c>
    </row>
    <row r="395" customFormat="false" ht="14.5" hidden="false" customHeight="false" outlineLevel="0" collapsed="false">
      <c r="A395" s="0" t="n">
        <v>402</v>
      </c>
      <c r="B395" s="0" t="s">
        <v>471</v>
      </c>
      <c r="C395" s="0" t="n">
        <v>14100</v>
      </c>
      <c r="D395" s="0" t="n">
        <v>669</v>
      </c>
      <c r="E395" s="0" t="str">
        <f aca="false">IFERROR(IF(OR(HLOOKUP($A395,#REF!,3,FALSE())&gt;2,HLOOKUP(A395,#REF!,3,FALSE())&lt;-2),"",#REF!),"")</f>
        <v/>
      </c>
      <c r="F395" s="0" t="str">
        <f aca="false">IFERROR(IF(OR(HLOOKUP($A395,#REF!,4,FALSE())&gt;2,HLOOKUP($A395,#REF!,4,FALSE())&lt;-2),"",#REF!),"")</f>
        <v/>
      </c>
      <c r="G395" s="0" t="str">
        <f aca="false">IFERROR(IF(OR(HLOOKUP($A395,#REF!,5,FALSE())&gt;2,HLOOKUP($A395,#REF!,5,FALSE())&lt;-2),"",#REF!),"")</f>
        <v/>
      </c>
      <c r="H395" s="0" t="str">
        <f aca="false">IFERROR(IF(OR(HLOOKUP($A395,#REF!,6,FALSE())&gt;2,HLOOKUP($A395,#REF!,6,FALSE())&lt;-2),"",#REF!),"")</f>
        <v/>
      </c>
      <c r="I395" s="0" t="str">
        <f aca="false">IFERROR(IF(OR(HLOOKUP($A395,#REF!,7,FALSE())&gt;2,HLOOKUP($A395,#REF!,7,FALSE())&lt;-2),"",#REF!),"")</f>
        <v/>
      </c>
      <c r="J395" s="0" t="str">
        <f aca="false">IFERROR(IF(OR(HLOOKUP($A395,#REF!,8,FALSE())&gt;2,HLOOKUP($A395,#REF!,8,FALSE())&lt;-2),"",#REF!),"")</f>
        <v/>
      </c>
      <c r="K395" s="0" t="str">
        <f aca="false">IFERROR(IF(OR(HLOOKUP($A395,#REF!,9,FALSE())&gt;2,HLOOKUP($A395,#REF!,9,FALSE())&lt;-2),"",#REF!),"")</f>
        <v/>
      </c>
      <c r="L395" s="0" t="str">
        <f aca="false">IFERROR(IF(OR(HLOOKUP($A395,#REF!,10,FALSE())&gt;2,HLOOKUP($A395,#REF!,10,FALSE())&lt;-2),"",#REF!),"")</f>
        <v/>
      </c>
      <c r="M395" s="0" t="str">
        <f aca="false">IFERROR(IF(OR(HLOOKUP($A395,#REF!,11,FALSE())&gt;2,HLOOKUP($A395,#REF!,11,FALSE())&lt;-2),"",#REF!),"")</f>
        <v/>
      </c>
      <c r="N395" s="0" t="str">
        <f aca="false">IFERROR(IF(OR(HLOOKUP($A395,#REF!,12,FALSE())&gt;2,HLOOKUP($A395,#REF!,12,FALSE())&lt;-2),"",#REF!),"")</f>
        <v/>
      </c>
      <c r="O395" s="0" t="str">
        <f aca="false">IFERROR(IF(OR(HLOOKUP($A395,#REF!,13,FALSE())&gt;2,HLOOKUP($A395,#REF!,13,FALSE())&lt;-2),"",#REF!),"")</f>
        <v/>
      </c>
      <c r="P395" s="0" t="str">
        <f aca="false">IFERROR(IF(OR(HLOOKUP($A395,#REF!,14,FALSE())&gt;2,HLOOKUP($A395,#REF!,14,FALSE())&lt;-2),"",#REF!),"")</f>
        <v/>
      </c>
      <c r="Q395" s="0" t="str">
        <f aca="false">IFERROR(IF(OR(HLOOKUP($A395,#REF!,15,FALSE())&gt;2,HLOOKUP($A395,#REF!,15,FALSE())&lt;-2),"",#REF!),"")</f>
        <v/>
      </c>
      <c r="R395" s="0" t="str">
        <f aca="false">IFERROR(IF(OR(HLOOKUP($A395,#REF!,16,FALSE())&gt;2,HLOOKUP($A395,#REF!,16,FALSE())&lt;-2),"",#REF!),"")</f>
        <v/>
      </c>
      <c r="S395" s="0" t="str">
        <f aca="false">IFERROR(IF(OR(HLOOKUP($A395,#REF!,17,FALSE())&gt;2,HLOOKUP($A395,#REF!,17,FALSE())&lt;-2),"",#REF!),"")</f>
        <v/>
      </c>
      <c r="T395" s="0" t="str">
        <f aca="false">IFERROR(IF(OR(HLOOKUP($A395,#REF!,18,FALSE())&gt;2,HLOOKUP($A395,#REF!,18,FALSE())&lt;-2),"",#REF!),"")</f>
        <v/>
      </c>
      <c r="U395" s="0" t="str">
        <f aca="false">IFERROR(IF(OR(HLOOKUP($A395,#REF!,19,FALSE())&gt;2,HLOOKUP($A395,#REF!,19,FALSE())&lt;-2),"",#REF!),"")</f>
        <v/>
      </c>
      <c r="V395" s="0" t="n">
        <f aca="false">IFERROR(IF(AND(X395=0,Y395=0),0,1),0)</f>
        <v>1</v>
      </c>
      <c r="W395" s="3" t="str">
        <f aca="false">IFERROR(_xlfn.T.TEST(E395:M395,N395:U395,2,2),"")</f>
        <v/>
      </c>
      <c r="X395" s="0" t="str">
        <f aca="false">IFERROR(AVERAGE(E395:M395),"")</f>
        <v/>
      </c>
      <c r="Y395" s="0" t="str">
        <f aca="false">IFERROR(AVERAGE(N395:U395),"")</f>
        <v/>
      </c>
    </row>
    <row r="396" customFormat="false" ht="14.5" hidden="false" customHeight="false" outlineLevel="0" collapsed="false">
      <c r="A396" s="0" t="n">
        <v>403</v>
      </c>
      <c r="B396" s="0" t="s">
        <v>472</v>
      </c>
      <c r="C396" s="0" t="n">
        <v>50800</v>
      </c>
      <c r="D396" s="0" t="n">
        <v>278</v>
      </c>
      <c r="E396" s="0" t="str">
        <f aca="false">IFERROR(IF(OR(HLOOKUP($A396,#REF!,3,FALSE())&gt;2,HLOOKUP(A396,#REF!,3,FALSE())&lt;-2),"",#REF!),"")</f>
        <v/>
      </c>
      <c r="F396" s="0" t="str">
        <f aca="false">IFERROR(IF(OR(HLOOKUP($A396,#REF!,4,FALSE())&gt;2,HLOOKUP($A396,#REF!,4,FALSE())&lt;-2),"",#REF!),"")</f>
        <v/>
      </c>
      <c r="G396" s="0" t="str">
        <f aca="false">IFERROR(IF(OR(HLOOKUP($A396,#REF!,5,FALSE())&gt;2,HLOOKUP($A396,#REF!,5,FALSE())&lt;-2),"",#REF!),"")</f>
        <v/>
      </c>
      <c r="H396" s="0" t="str">
        <f aca="false">IFERROR(IF(OR(HLOOKUP($A396,#REF!,6,FALSE())&gt;2,HLOOKUP($A396,#REF!,6,FALSE())&lt;-2),"",#REF!),"")</f>
        <v/>
      </c>
      <c r="I396" s="0" t="str">
        <f aca="false">IFERROR(IF(OR(HLOOKUP($A396,#REF!,7,FALSE())&gt;2,HLOOKUP($A396,#REF!,7,FALSE())&lt;-2),"",#REF!),"")</f>
        <v/>
      </c>
      <c r="J396" s="0" t="str">
        <f aca="false">IFERROR(IF(OR(HLOOKUP($A396,#REF!,8,FALSE())&gt;2,HLOOKUP($A396,#REF!,8,FALSE())&lt;-2),"",#REF!),"")</f>
        <v/>
      </c>
      <c r="K396" s="0" t="str">
        <f aca="false">IFERROR(IF(OR(HLOOKUP($A396,#REF!,9,FALSE())&gt;2,HLOOKUP($A396,#REF!,9,FALSE())&lt;-2),"",#REF!),"")</f>
        <v/>
      </c>
      <c r="L396" s="0" t="str">
        <f aca="false">IFERROR(IF(OR(HLOOKUP($A396,#REF!,10,FALSE())&gt;2,HLOOKUP($A396,#REF!,10,FALSE())&lt;-2),"",#REF!),"")</f>
        <v/>
      </c>
      <c r="M396" s="0" t="str">
        <f aca="false">IFERROR(IF(OR(HLOOKUP($A396,#REF!,11,FALSE())&gt;2,HLOOKUP($A396,#REF!,11,FALSE())&lt;-2),"",#REF!),"")</f>
        <v/>
      </c>
      <c r="N396" s="0" t="str">
        <f aca="false">IFERROR(IF(OR(HLOOKUP($A396,#REF!,12,FALSE())&gt;2,HLOOKUP($A396,#REF!,12,FALSE())&lt;-2),"",#REF!),"")</f>
        <v/>
      </c>
      <c r="O396" s="0" t="str">
        <f aca="false">IFERROR(IF(OR(HLOOKUP($A396,#REF!,13,FALSE())&gt;2,HLOOKUP($A396,#REF!,13,FALSE())&lt;-2),"",#REF!),"")</f>
        <v/>
      </c>
      <c r="P396" s="0" t="str">
        <f aca="false">IFERROR(IF(OR(HLOOKUP($A396,#REF!,14,FALSE())&gt;2,HLOOKUP($A396,#REF!,14,FALSE())&lt;-2),"",#REF!),"")</f>
        <v/>
      </c>
      <c r="Q396" s="0" t="str">
        <f aca="false">IFERROR(IF(OR(HLOOKUP($A396,#REF!,15,FALSE())&gt;2,HLOOKUP($A396,#REF!,15,FALSE())&lt;-2),"",#REF!),"")</f>
        <v/>
      </c>
      <c r="R396" s="0" t="str">
        <f aca="false">IFERROR(IF(OR(HLOOKUP($A396,#REF!,16,FALSE())&gt;2,HLOOKUP($A396,#REF!,16,FALSE())&lt;-2),"",#REF!),"")</f>
        <v/>
      </c>
      <c r="S396" s="0" t="str">
        <f aca="false">IFERROR(IF(OR(HLOOKUP($A396,#REF!,17,FALSE())&gt;2,HLOOKUP($A396,#REF!,17,FALSE())&lt;-2),"",#REF!),"")</f>
        <v/>
      </c>
      <c r="T396" s="0" t="str">
        <f aca="false">IFERROR(IF(OR(HLOOKUP($A396,#REF!,18,FALSE())&gt;2,HLOOKUP($A396,#REF!,18,FALSE())&lt;-2),"",#REF!),"")</f>
        <v/>
      </c>
      <c r="U396" s="0" t="str">
        <f aca="false">IFERROR(IF(OR(HLOOKUP($A396,#REF!,19,FALSE())&gt;2,HLOOKUP($A396,#REF!,19,FALSE())&lt;-2),"",#REF!),"")</f>
        <v/>
      </c>
      <c r="V396" s="0" t="n">
        <f aca="false">IFERROR(IF(AND(X396=0,Y396=0),0,1),0)</f>
        <v>1</v>
      </c>
      <c r="W396" s="3" t="str">
        <f aca="false">IFERROR(_xlfn.T.TEST(E396:M396,N396:U396,2,2),"")</f>
        <v/>
      </c>
      <c r="X396" s="0" t="str">
        <f aca="false">IFERROR(AVERAGE(E396:M396),"")</f>
        <v/>
      </c>
      <c r="Y396" s="0" t="str">
        <f aca="false">IFERROR(AVERAGE(N396:U396),"")</f>
        <v/>
      </c>
    </row>
    <row r="397" customFormat="false" ht="14.5" hidden="false" customHeight="false" outlineLevel="0" collapsed="false">
      <c r="A397" s="0" t="n">
        <v>404</v>
      </c>
      <c r="B397" s="0" t="s">
        <v>473</v>
      </c>
      <c r="C397" s="0" t="n">
        <v>105600</v>
      </c>
      <c r="D397" s="0" t="n">
        <v>490</v>
      </c>
      <c r="E397" s="0" t="str">
        <f aca="false">IFERROR(IF(OR(HLOOKUP($A397,#REF!,3,FALSE())&gt;2,HLOOKUP(A397,#REF!,3,FALSE())&lt;-2),"",#REF!),"")</f>
        <v/>
      </c>
      <c r="F397" s="0" t="str">
        <f aca="false">IFERROR(IF(OR(HLOOKUP($A397,#REF!,4,FALSE())&gt;2,HLOOKUP($A397,#REF!,4,FALSE())&lt;-2),"",#REF!),"")</f>
        <v/>
      </c>
      <c r="G397" s="0" t="str">
        <f aca="false">IFERROR(IF(OR(HLOOKUP($A397,#REF!,5,FALSE())&gt;2,HLOOKUP($A397,#REF!,5,FALSE())&lt;-2),"",#REF!),"")</f>
        <v/>
      </c>
      <c r="H397" s="0" t="str">
        <f aca="false">IFERROR(IF(OR(HLOOKUP($A397,#REF!,6,FALSE())&gt;2,HLOOKUP($A397,#REF!,6,FALSE())&lt;-2),"",#REF!),"")</f>
        <v/>
      </c>
      <c r="I397" s="0" t="str">
        <f aca="false">IFERROR(IF(OR(HLOOKUP($A397,#REF!,7,FALSE())&gt;2,HLOOKUP($A397,#REF!,7,FALSE())&lt;-2),"",#REF!),"")</f>
        <v/>
      </c>
      <c r="J397" s="0" t="str">
        <f aca="false">IFERROR(IF(OR(HLOOKUP($A397,#REF!,8,FALSE())&gt;2,HLOOKUP($A397,#REF!,8,FALSE())&lt;-2),"",#REF!),"")</f>
        <v/>
      </c>
      <c r="K397" s="0" t="str">
        <f aca="false">IFERROR(IF(OR(HLOOKUP($A397,#REF!,9,FALSE())&gt;2,HLOOKUP($A397,#REF!,9,FALSE())&lt;-2),"",#REF!),"")</f>
        <v/>
      </c>
      <c r="L397" s="0" t="str">
        <f aca="false">IFERROR(IF(OR(HLOOKUP($A397,#REF!,10,FALSE())&gt;2,HLOOKUP($A397,#REF!,10,FALSE())&lt;-2),"",#REF!),"")</f>
        <v/>
      </c>
      <c r="M397" s="0" t="str">
        <f aca="false">IFERROR(IF(OR(HLOOKUP($A397,#REF!,11,FALSE())&gt;2,HLOOKUP($A397,#REF!,11,FALSE())&lt;-2),"",#REF!),"")</f>
        <v/>
      </c>
      <c r="N397" s="0" t="str">
        <f aca="false">IFERROR(IF(OR(HLOOKUP($A397,#REF!,12,FALSE())&gt;2,HLOOKUP($A397,#REF!,12,FALSE())&lt;-2),"",#REF!),"")</f>
        <v/>
      </c>
      <c r="O397" s="0" t="str">
        <f aca="false">IFERROR(IF(OR(HLOOKUP($A397,#REF!,13,FALSE())&gt;2,HLOOKUP($A397,#REF!,13,FALSE())&lt;-2),"",#REF!),"")</f>
        <v/>
      </c>
      <c r="P397" s="0" t="str">
        <f aca="false">IFERROR(IF(OR(HLOOKUP($A397,#REF!,14,FALSE())&gt;2,HLOOKUP($A397,#REF!,14,FALSE())&lt;-2),"",#REF!),"")</f>
        <v/>
      </c>
      <c r="Q397" s="0" t="str">
        <f aca="false">IFERROR(IF(OR(HLOOKUP($A397,#REF!,15,FALSE())&gt;2,HLOOKUP($A397,#REF!,15,FALSE())&lt;-2),"",#REF!),"")</f>
        <v/>
      </c>
      <c r="R397" s="0" t="str">
        <f aca="false">IFERROR(IF(OR(HLOOKUP($A397,#REF!,16,FALSE())&gt;2,HLOOKUP($A397,#REF!,16,FALSE())&lt;-2),"",#REF!),"")</f>
        <v/>
      </c>
      <c r="S397" s="0" t="str">
        <f aca="false">IFERROR(IF(OR(HLOOKUP($A397,#REF!,17,FALSE())&gt;2,HLOOKUP($A397,#REF!,17,FALSE())&lt;-2),"",#REF!),"")</f>
        <v/>
      </c>
      <c r="T397" s="0" t="str">
        <f aca="false">IFERROR(IF(OR(HLOOKUP($A397,#REF!,18,FALSE())&gt;2,HLOOKUP($A397,#REF!,18,FALSE())&lt;-2),"",#REF!),"")</f>
        <v/>
      </c>
      <c r="U397" s="0" t="str">
        <f aca="false">IFERROR(IF(OR(HLOOKUP($A397,#REF!,19,FALSE())&gt;2,HLOOKUP($A397,#REF!,19,FALSE())&lt;-2),"",#REF!),"")</f>
        <v/>
      </c>
      <c r="V397" s="0" t="n">
        <f aca="false">IFERROR(IF(AND(X397=0,Y397=0),0,1),0)</f>
        <v>1</v>
      </c>
      <c r="W397" s="3" t="str">
        <f aca="false">IFERROR(_xlfn.T.TEST(E397:M397,N397:U397,2,2),"")</f>
        <v/>
      </c>
      <c r="X397" s="0" t="str">
        <f aca="false">IFERROR(AVERAGE(E397:M397),"")</f>
        <v/>
      </c>
      <c r="Y397" s="0" t="str">
        <f aca="false">IFERROR(AVERAGE(N397:U397),"")</f>
        <v/>
      </c>
    </row>
    <row r="398" customFormat="false" ht="14.5" hidden="false" customHeight="false" outlineLevel="0" collapsed="false">
      <c r="A398" s="0" t="n">
        <v>405</v>
      </c>
      <c r="B398" s="0" t="s">
        <v>474</v>
      </c>
      <c r="C398" s="0" t="n">
        <v>112900</v>
      </c>
      <c r="D398" s="0" t="n">
        <v>824</v>
      </c>
      <c r="E398" s="0" t="str">
        <f aca="false">IFERROR(IF(OR(HLOOKUP($A398,#REF!,3,FALSE())&gt;2,HLOOKUP(A398,#REF!,3,FALSE())&lt;-2),"",#REF!),"")</f>
        <v/>
      </c>
      <c r="F398" s="0" t="str">
        <f aca="false">IFERROR(IF(OR(HLOOKUP($A398,#REF!,4,FALSE())&gt;2,HLOOKUP($A398,#REF!,4,FALSE())&lt;-2),"",#REF!),"")</f>
        <v/>
      </c>
      <c r="G398" s="0" t="str">
        <f aca="false">IFERROR(IF(OR(HLOOKUP($A398,#REF!,5,FALSE())&gt;2,HLOOKUP($A398,#REF!,5,FALSE())&lt;-2),"",#REF!),"")</f>
        <v/>
      </c>
      <c r="H398" s="0" t="str">
        <f aca="false">IFERROR(IF(OR(HLOOKUP($A398,#REF!,6,FALSE())&gt;2,HLOOKUP($A398,#REF!,6,FALSE())&lt;-2),"",#REF!),"")</f>
        <v/>
      </c>
      <c r="I398" s="0" t="str">
        <f aca="false">IFERROR(IF(OR(HLOOKUP($A398,#REF!,7,FALSE())&gt;2,HLOOKUP($A398,#REF!,7,FALSE())&lt;-2),"",#REF!),"")</f>
        <v/>
      </c>
      <c r="J398" s="0" t="str">
        <f aca="false">IFERROR(IF(OR(HLOOKUP($A398,#REF!,8,FALSE())&gt;2,HLOOKUP($A398,#REF!,8,FALSE())&lt;-2),"",#REF!),"")</f>
        <v/>
      </c>
      <c r="K398" s="0" t="str">
        <f aca="false">IFERROR(IF(OR(HLOOKUP($A398,#REF!,9,FALSE())&gt;2,HLOOKUP($A398,#REF!,9,FALSE())&lt;-2),"",#REF!),"")</f>
        <v/>
      </c>
      <c r="L398" s="0" t="str">
        <f aca="false">IFERROR(IF(OR(HLOOKUP($A398,#REF!,10,FALSE())&gt;2,HLOOKUP($A398,#REF!,10,FALSE())&lt;-2),"",#REF!),"")</f>
        <v/>
      </c>
      <c r="M398" s="0" t="str">
        <f aca="false">IFERROR(IF(OR(HLOOKUP($A398,#REF!,11,FALSE())&gt;2,HLOOKUP($A398,#REF!,11,FALSE())&lt;-2),"",#REF!),"")</f>
        <v/>
      </c>
      <c r="N398" s="0" t="str">
        <f aca="false">IFERROR(IF(OR(HLOOKUP($A398,#REF!,12,FALSE())&gt;2,HLOOKUP($A398,#REF!,12,FALSE())&lt;-2),"",#REF!),"")</f>
        <v/>
      </c>
      <c r="O398" s="0" t="str">
        <f aca="false">IFERROR(IF(OR(HLOOKUP($A398,#REF!,13,FALSE())&gt;2,HLOOKUP($A398,#REF!,13,FALSE())&lt;-2),"",#REF!),"")</f>
        <v/>
      </c>
      <c r="P398" s="0" t="str">
        <f aca="false">IFERROR(IF(OR(HLOOKUP($A398,#REF!,14,FALSE())&gt;2,HLOOKUP($A398,#REF!,14,FALSE())&lt;-2),"",#REF!),"")</f>
        <v/>
      </c>
      <c r="Q398" s="0" t="str">
        <f aca="false">IFERROR(IF(OR(HLOOKUP($A398,#REF!,15,FALSE())&gt;2,HLOOKUP($A398,#REF!,15,FALSE())&lt;-2),"",#REF!),"")</f>
        <v/>
      </c>
      <c r="R398" s="0" t="str">
        <f aca="false">IFERROR(IF(OR(HLOOKUP($A398,#REF!,16,FALSE())&gt;2,HLOOKUP($A398,#REF!,16,FALSE())&lt;-2),"",#REF!),"")</f>
        <v/>
      </c>
      <c r="S398" s="0" t="str">
        <f aca="false">IFERROR(IF(OR(HLOOKUP($A398,#REF!,17,FALSE())&gt;2,HLOOKUP($A398,#REF!,17,FALSE())&lt;-2),"",#REF!),"")</f>
        <v/>
      </c>
      <c r="T398" s="0" t="str">
        <f aca="false">IFERROR(IF(OR(HLOOKUP($A398,#REF!,18,FALSE())&gt;2,HLOOKUP($A398,#REF!,18,FALSE())&lt;-2),"",#REF!),"")</f>
        <v/>
      </c>
      <c r="U398" s="0" t="str">
        <f aca="false">IFERROR(IF(OR(HLOOKUP($A398,#REF!,19,FALSE())&gt;2,HLOOKUP($A398,#REF!,19,FALSE())&lt;-2),"",#REF!),"")</f>
        <v/>
      </c>
      <c r="V398" s="0" t="n">
        <f aca="false">IFERROR(IF(AND(X398=0,Y398=0),0,1),0)</f>
        <v>1</v>
      </c>
      <c r="W398" s="3" t="str">
        <f aca="false">IFERROR(_xlfn.T.TEST(E398:M398,N398:U398,2,2),"")</f>
        <v/>
      </c>
      <c r="X398" s="0" t="str">
        <f aca="false">IFERROR(AVERAGE(E398:M398),"")</f>
        <v/>
      </c>
      <c r="Y398" s="0" t="str">
        <f aca="false">IFERROR(AVERAGE(N398:U398),"")</f>
        <v/>
      </c>
    </row>
    <row r="399" customFormat="false" ht="14.5" hidden="false" customHeight="false" outlineLevel="0" collapsed="false">
      <c r="A399" s="0" t="n">
        <v>406</v>
      </c>
      <c r="B399" s="0" t="s">
        <v>475</v>
      </c>
      <c r="C399" s="0" t="n">
        <v>64500</v>
      </c>
      <c r="D399" s="0" t="n">
        <v>864</v>
      </c>
      <c r="E399" s="0" t="str">
        <f aca="false">IFERROR(IF(OR(HLOOKUP($A399,#REF!,3,FALSE())&gt;2,HLOOKUP(A399,#REF!,3,FALSE())&lt;-2),"",#REF!),"")</f>
        <v/>
      </c>
      <c r="F399" s="0" t="str">
        <f aca="false">IFERROR(IF(OR(HLOOKUP($A399,#REF!,4,FALSE())&gt;2,HLOOKUP($A399,#REF!,4,FALSE())&lt;-2),"",#REF!),"")</f>
        <v/>
      </c>
      <c r="G399" s="0" t="str">
        <f aca="false">IFERROR(IF(OR(HLOOKUP($A399,#REF!,5,FALSE())&gt;2,HLOOKUP($A399,#REF!,5,FALSE())&lt;-2),"",#REF!),"")</f>
        <v/>
      </c>
      <c r="H399" s="0" t="str">
        <f aca="false">IFERROR(IF(OR(HLOOKUP($A399,#REF!,6,FALSE())&gt;2,HLOOKUP($A399,#REF!,6,FALSE())&lt;-2),"",#REF!),"")</f>
        <v/>
      </c>
      <c r="I399" s="0" t="str">
        <f aca="false">IFERROR(IF(OR(HLOOKUP($A399,#REF!,7,FALSE())&gt;2,HLOOKUP($A399,#REF!,7,FALSE())&lt;-2),"",#REF!),"")</f>
        <v/>
      </c>
      <c r="J399" s="0" t="str">
        <f aca="false">IFERROR(IF(OR(HLOOKUP($A399,#REF!,8,FALSE())&gt;2,HLOOKUP($A399,#REF!,8,FALSE())&lt;-2),"",#REF!),"")</f>
        <v/>
      </c>
      <c r="K399" s="0" t="str">
        <f aca="false">IFERROR(IF(OR(HLOOKUP($A399,#REF!,9,FALSE())&gt;2,HLOOKUP($A399,#REF!,9,FALSE())&lt;-2),"",#REF!),"")</f>
        <v/>
      </c>
      <c r="L399" s="0" t="str">
        <f aca="false">IFERROR(IF(OR(HLOOKUP($A399,#REF!,10,FALSE())&gt;2,HLOOKUP($A399,#REF!,10,FALSE())&lt;-2),"",#REF!),"")</f>
        <v/>
      </c>
      <c r="M399" s="0" t="str">
        <f aca="false">IFERROR(IF(OR(HLOOKUP($A399,#REF!,11,FALSE())&gt;2,HLOOKUP($A399,#REF!,11,FALSE())&lt;-2),"",#REF!),"")</f>
        <v/>
      </c>
      <c r="N399" s="0" t="str">
        <f aca="false">IFERROR(IF(OR(HLOOKUP($A399,#REF!,12,FALSE())&gt;2,HLOOKUP($A399,#REF!,12,FALSE())&lt;-2),"",#REF!),"")</f>
        <v/>
      </c>
      <c r="O399" s="0" t="str">
        <f aca="false">IFERROR(IF(OR(HLOOKUP($A399,#REF!,13,FALSE())&gt;2,HLOOKUP($A399,#REF!,13,FALSE())&lt;-2),"",#REF!),"")</f>
        <v/>
      </c>
      <c r="P399" s="0" t="str">
        <f aca="false">IFERROR(IF(OR(HLOOKUP($A399,#REF!,14,FALSE())&gt;2,HLOOKUP($A399,#REF!,14,FALSE())&lt;-2),"",#REF!),"")</f>
        <v/>
      </c>
      <c r="Q399" s="0" t="str">
        <f aca="false">IFERROR(IF(OR(HLOOKUP($A399,#REF!,15,FALSE())&gt;2,HLOOKUP($A399,#REF!,15,FALSE())&lt;-2),"",#REF!),"")</f>
        <v/>
      </c>
      <c r="R399" s="0" t="str">
        <f aca="false">IFERROR(IF(OR(HLOOKUP($A399,#REF!,16,FALSE())&gt;2,HLOOKUP($A399,#REF!,16,FALSE())&lt;-2),"",#REF!),"")</f>
        <v/>
      </c>
      <c r="S399" s="0" t="str">
        <f aca="false">IFERROR(IF(OR(HLOOKUP($A399,#REF!,17,FALSE())&gt;2,HLOOKUP($A399,#REF!,17,FALSE())&lt;-2),"",#REF!),"")</f>
        <v/>
      </c>
      <c r="T399" s="0" t="str">
        <f aca="false">IFERROR(IF(OR(HLOOKUP($A399,#REF!,18,FALSE())&gt;2,HLOOKUP($A399,#REF!,18,FALSE())&lt;-2),"",#REF!),"")</f>
        <v/>
      </c>
      <c r="U399" s="0" t="str">
        <f aca="false">IFERROR(IF(OR(HLOOKUP($A399,#REF!,19,FALSE())&gt;2,HLOOKUP($A399,#REF!,19,FALSE())&lt;-2),"",#REF!),"")</f>
        <v/>
      </c>
      <c r="V399" s="0" t="n">
        <f aca="false">IFERROR(IF(AND(X399=0,Y399=0),0,1),0)</f>
        <v>1</v>
      </c>
      <c r="W399" s="3" t="str">
        <f aca="false">IFERROR(_xlfn.T.TEST(E399:M399,N399:U399,2,2),"")</f>
        <v/>
      </c>
      <c r="X399" s="0" t="str">
        <f aca="false">IFERROR(AVERAGE(E399:M399),"")</f>
        <v/>
      </c>
      <c r="Y399" s="0" t="str">
        <f aca="false">IFERROR(AVERAGE(N399:U399),"")</f>
        <v/>
      </c>
    </row>
    <row r="400" customFormat="false" ht="14.5" hidden="false" customHeight="false" outlineLevel="0" collapsed="false">
      <c r="A400" s="0" t="n">
        <v>407</v>
      </c>
      <c r="B400" s="0" t="s">
        <v>476</v>
      </c>
      <c r="C400" s="0" t="n">
        <v>38000</v>
      </c>
      <c r="D400" s="0" t="n">
        <v>382</v>
      </c>
      <c r="E400" s="0" t="str">
        <f aca="false">IFERROR(IF(OR(HLOOKUP($A400,#REF!,3,FALSE())&gt;2,HLOOKUP(A400,#REF!,3,FALSE())&lt;-2),"",#REF!),"")</f>
        <v/>
      </c>
      <c r="F400" s="0" t="str">
        <f aca="false">IFERROR(IF(OR(HLOOKUP($A400,#REF!,4,FALSE())&gt;2,HLOOKUP($A400,#REF!,4,FALSE())&lt;-2),"",#REF!),"")</f>
        <v/>
      </c>
      <c r="G400" s="0" t="str">
        <f aca="false">IFERROR(IF(OR(HLOOKUP($A400,#REF!,5,FALSE())&gt;2,HLOOKUP($A400,#REF!,5,FALSE())&lt;-2),"",#REF!),"")</f>
        <v/>
      </c>
      <c r="H400" s="0" t="str">
        <f aca="false">IFERROR(IF(OR(HLOOKUP($A400,#REF!,6,FALSE())&gt;2,HLOOKUP($A400,#REF!,6,FALSE())&lt;-2),"",#REF!),"")</f>
        <v/>
      </c>
      <c r="I400" s="0" t="str">
        <f aca="false">IFERROR(IF(OR(HLOOKUP($A400,#REF!,7,FALSE())&gt;2,HLOOKUP($A400,#REF!,7,FALSE())&lt;-2),"",#REF!),"")</f>
        <v/>
      </c>
      <c r="J400" s="0" t="str">
        <f aca="false">IFERROR(IF(OR(HLOOKUP($A400,#REF!,8,FALSE())&gt;2,HLOOKUP($A400,#REF!,8,FALSE())&lt;-2),"",#REF!),"")</f>
        <v/>
      </c>
      <c r="K400" s="0" t="str">
        <f aca="false">IFERROR(IF(OR(HLOOKUP($A400,#REF!,9,FALSE())&gt;2,HLOOKUP($A400,#REF!,9,FALSE())&lt;-2),"",#REF!),"")</f>
        <v/>
      </c>
      <c r="L400" s="0" t="str">
        <f aca="false">IFERROR(IF(OR(HLOOKUP($A400,#REF!,10,FALSE())&gt;2,HLOOKUP($A400,#REF!,10,FALSE())&lt;-2),"",#REF!),"")</f>
        <v/>
      </c>
      <c r="M400" s="0" t="str">
        <f aca="false">IFERROR(IF(OR(HLOOKUP($A400,#REF!,11,FALSE())&gt;2,HLOOKUP($A400,#REF!,11,FALSE())&lt;-2),"",#REF!),"")</f>
        <v/>
      </c>
      <c r="N400" s="0" t="str">
        <f aca="false">IFERROR(IF(OR(HLOOKUP($A400,#REF!,12,FALSE())&gt;2,HLOOKUP($A400,#REF!,12,FALSE())&lt;-2),"",#REF!),"")</f>
        <v/>
      </c>
      <c r="O400" s="0" t="str">
        <f aca="false">IFERROR(IF(OR(HLOOKUP($A400,#REF!,13,FALSE())&gt;2,HLOOKUP($A400,#REF!,13,FALSE())&lt;-2),"",#REF!),"")</f>
        <v/>
      </c>
      <c r="P400" s="0" t="str">
        <f aca="false">IFERROR(IF(OR(HLOOKUP($A400,#REF!,14,FALSE())&gt;2,HLOOKUP($A400,#REF!,14,FALSE())&lt;-2),"",#REF!),"")</f>
        <v/>
      </c>
      <c r="Q400" s="0" t="str">
        <f aca="false">IFERROR(IF(OR(HLOOKUP($A400,#REF!,15,FALSE())&gt;2,HLOOKUP($A400,#REF!,15,FALSE())&lt;-2),"",#REF!),"")</f>
        <v/>
      </c>
      <c r="R400" s="0" t="str">
        <f aca="false">IFERROR(IF(OR(HLOOKUP($A400,#REF!,16,FALSE())&gt;2,HLOOKUP($A400,#REF!,16,FALSE())&lt;-2),"",#REF!),"")</f>
        <v/>
      </c>
      <c r="S400" s="0" t="str">
        <f aca="false">IFERROR(IF(OR(HLOOKUP($A400,#REF!,17,FALSE())&gt;2,HLOOKUP($A400,#REF!,17,FALSE())&lt;-2),"",#REF!),"")</f>
        <v/>
      </c>
      <c r="T400" s="0" t="str">
        <f aca="false">IFERROR(IF(OR(HLOOKUP($A400,#REF!,18,FALSE())&gt;2,HLOOKUP($A400,#REF!,18,FALSE())&lt;-2),"",#REF!),"")</f>
        <v/>
      </c>
      <c r="U400" s="0" t="str">
        <f aca="false">IFERROR(IF(OR(HLOOKUP($A400,#REF!,19,FALSE())&gt;2,HLOOKUP($A400,#REF!,19,FALSE())&lt;-2),"",#REF!),"")</f>
        <v/>
      </c>
      <c r="V400" s="0" t="n">
        <f aca="false">IFERROR(IF(AND(X400=0,Y400=0),0,1),0)</f>
        <v>1</v>
      </c>
      <c r="W400" s="3" t="str">
        <f aca="false">IFERROR(_xlfn.T.TEST(E400:M400,N400:U400,2,2),"")</f>
        <v/>
      </c>
      <c r="X400" s="0" t="str">
        <f aca="false">IFERROR(AVERAGE(E400:M400),"")</f>
        <v/>
      </c>
      <c r="Y400" s="0" t="str">
        <f aca="false">IFERROR(AVERAGE(N400:U400),"")</f>
        <v/>
      </c>
    </row>
    <row r="401" customFormat="false" ht="14.5" hidden="false" customHeight="false" outlineLevel="0" collapsed="false">
      <c r="A401" s="0" t="n">
        <v>408</v>
      </c>
      <c r="B401" s="0" t="s">
        <v>477</v>
      </c>
      <c r="C401" s="0" t="n">
        <v>36600</v>
      </c>
      <c r="D401" s="0" t="n">
        <v>788</v>
      </c>
      <c r="E401" s="0" t="str">
        <f aca="false">IFERROR(IF(OR(HLOOKUP($A401,#REF!,3,FALSE())&gt;2,HLOOKUP(A401,#REF!,3,FALSE())&lt;-2),"",#REF!),"")</f>
        <v/>
      </c>
      <c r="F401" s="0" t="str">
        <f aca="false">IFERROR(IF(OR(HLOOKUP($A401,#REF!,4,FALSE())&gt;2,HLOOKUP($A401,#REF!,4,FALSE())&lt;-2),"",#REF!),"")</f>
        <v/>
      </c>
      <c r="G401" s="0" t="str">
        <f aca="false">IFERROR(IF(OR(HLOOKUP($A401,#REF!,5,FALSE())&gt;2,HLOOKUP($A401,#REF!,5,FALSE())&lt;-2),"",#REF!),"")</f>
        <v/>
      </c>
      <c r="H401" s="0" t="str">
        <f aca="false">IFERROR(IF(OR(HLOOKUP($A401,#REF!,6,FALSE())&gt;2,HLOOKUP($A401,#REF!,6,FALSE())&lt;-2),"",#REF!),"")</f>
        <v/>
      </c>
      <c r="I401" s="0" t="str">
        <f aca="false">IFERROR(IF(OR(HLOOKUP($A401,#REF!,7,FALSE())&gt;2,HLOOKUP($A401,#REF!,7,FALSE())&lt;-2),"",#REF!),"")</f>
        <v/>
      </c>
      <c r="J401" s="0" t="str">
        <f aca="false">IFERROR(IF(OR(HLOOKUP($A401,#REF!,8,FALSE())&gt;2,HLOOKUP($A401,#REF!,8,FALSE())&lt;-2),"",#REF!),"")</f>
        <v/>
      </c>
      <c r="K401" s="0" t="str">
        <f aca="false">IFERROR(IF(OR(HLOOKUP($A401,#REF!,9,FALSE())&gt;2,HLOOKUP($A401,#REF!,9,FALSE())&lt;-2),"",#REF!),"")</f>
        <v/>
      </c>
      <c r="L401" s="0" t="str">
        <f aca="false">IFERROR(IF(OR(HLOOKUP($A401,#REF!,10,FALSE())&gt;2,HLOOKUP($A401,#REF!,10,FALSE())&lt;-2),"",#REF!),"")</f>
        <v/>
      </c>
      <c r="M401" s="0" t="str">
        <f aca="false">IFERROR(IF(OR(HLOOKUP($A401,#REF!,11,FALSE())&gt;2,HLOOKUP($A401,#REF!,11,FALSE())&lt;-2),"",#REF!),"")</f>
        <v/>
      </c>
      <c r="N401" s="0" t="str">
        <f aca="false">IFERROR(IF(OR(HLOOKUP($A401,#REF!,12,FALSE())&gt;2,HLOOKUP($A401,#REF!,12,FALSE())&lt;-2),"",#REF!),"")</f>
        <v/>
      </c>
      <c r="O401" s="0" t="str">
        <f aca="false">IFERROR(IF(OR(HLOOKUP($A401,#REF!,13,FALSE())&gt;2,HLOOKUP($A401,#REF!,13,FALSE())&lt;-2),"",#REF!),"")</f>
        <v/>
      </c>
      <c r="P401" s="0" t="str">
        <f aca="false">IFERROR(IF(OR(HLOOKUP($A401,#REF!,14,FALSE())&gt;2,HLOOKUP($A401,#REF!,14,FALSE())&lt;-2),"",#REF!),"")</f>
        <v/>
      </c>
      <c r="Q401" s="0" t="str">
        <f aca="false">IFERROR(IF(OR(HLOOKUP($A401,#REF!,15,FALSE())&gt;2,HLOOKUP($A401,#REF!,15,FALSE())&lt;-2),"",#REF!),"")</f>
        <v/>
      </c>
      <c r="R401" s="0" t="str">
        <f aca="false">IFERROR(IF(OR(HLOOKUP($A401,#REF!,16,FALSE())&gt;2,HLOOKUP($A401,#REF!,16,FALSE())&lt;-2),"",#REF!),"")</f>
        <v/>
      </c>
      <c r="S401" s="0" t="str">
        <f aca="false">IFERROR(IF(OR(HLOOKUP($A401,#REF!,17,FALSE())&gt;2,HLOOKUP($A401,#REF!,17,FALSE())&lt;-2),"",#REF!),"")</f>
        <v/>
      </c>
      <c r="T401" s="0" t="str">
        <f aca="false">IFERROR(IF(OR(HLOOKUP($A401,#REF!,18,FALSE())&gt;2,HLOOKUP($A401,#REF!,18,FALSE())&lt;-2),"",#REF!),"")</f>
        <v/>
      </c>
      <c r="U401" s="0" t="str">
        <f aca="false">IFERROR(IF(OR(HLOOKUP($A401,#REF!,19,FALSE())&gt;2,HLOOKUP($A401,#REF!,19,FALSE())&lt;-2),"",#REF!),"")</f>
        <v/>
      </c>
      <c r="V401" s="0" t="n">
        <f aca="false">IFERROR(IF(AND(X401=0,Y401=0),0,1),0)</f>
        <v>1</v>
      </c>
      <c r="W401" s="3" t="str">
        <f aca="false">IFERROR(_xlfn.T.TEST(E401:M401,N401:U401,2,2),"")</f>
        <v/>
      </c>
      <c r="X401" s="0" t="str">
        <f aca="false">IFERROR(AVERAGE(E401:M401),"")</f>
        <v/>
      </c>
      <c r="Y401" s="0" t="str">
        <f aca="false">IFERROR(AVERAGE(N401:U401),"")</f>
        <v/>
      </c>
    </row>
    <row r="402" customFormat="false" ht="14.5" hidden="false" customHeight="false" outlineLevel="0" collapsed="false">
      <c r="A402" s="0" t="n">
        <v>409</v>
      </c>
      <c r="B402" s="0" t="s">
        <v>478</v>
      </c>
      <c r="C402" s="0" t="n">
        <v>15500</v>
      </c>
      <c r="D402" s="0" t="n">
        <v>669</v>
      </c>
      <c r="E402" s="0" t="str">
        <f aca="false">IFERROR(IF(OR(HLOOKUP($A402,#REF!,3,FALSE())&gt;2,HLOOKUP(A402,#REF!,3,FALSE())&lt;-2),"",#REF!),"")</f>
        <v/>
      </c>
      <c r="F402" s="0" t="str">
        <f aca="false">IFERROR(IF(OR(HLOOKUP($A402,#REF!,4,FALSE())&gt;2,HLOOKUP($A402,#REF!,4,FALSE())&lt;-2),"",#REF!),"")</f>
        <v/>
      </c>
      <c r="G402" s="0" t="str">
        <f aca="false">IFERROR(IF(OR(HLOOKUP($A402,#REF!,5,FALSE())&gt;2,HLOOKUP($A402,#REF!,5,FALSE())&lt;-2),"",#REF!),"")</f>
        <v/>
      </c>
      <c r="H402" s="0" t="str">
        <f aca="false">IFERROR(IF(OR(HLOOKUP($A402,#REF!,6,FALSE())&gt;2,HLOOKUP($A402,#REF!,6,FALSE())&lt;-2),"",#REF!),"")</f>
        <v/>
      </c>
      <c r="I402" s="0" t="str">
        <f aca="false">IFERROR(IF(OR(HLOOKUP($A402,#REF!,7,FALSE())&gt;2,HLOOKUP($A402,#REF!,7,FALSE())&lt;-2),"",#REF!),"")</f>
        <v/>
      </c>
      <c r="J402" s="0" t="str">
        <f aca="false">IFERROR(IF(OR(HLOOKUP($A402,#REF!,8,FALSE())&gt;2,HLOOKUP($A402,#REF!,8,FALSE())&lt;-2),"",#REF!),"")</f>
        <v/>
      </c>
      <c r="K402" s="0" t="str">
        <f aca="false">IFERROR(IF(OR(HLOOKUP($A402,#REF!,9,FALSE())&gt;2,HLOOKUP($A402,#REF!,9,FALSE())&lt;-2),"",#REF!),"")</f>
        <v/>
      </c>
      <c r="L402" s="0" t="str">
        <f aca="false">IFERROR(IF(OR(HLOOKUP($A402,#REF!,10,FALSE())&gt;2,HLOOKUP($A402,#REF!,10,FALSE())&lt;-2),"",#REF!),"")</f>
        <v/>
      </c>
      <c r="M402" s="0" t="str">
        <f aca="false">IFERROR(IF(OR(HLOOKUP($A402,#REF!,11,FALSE())&gt;2,HLOOKUP($A402,#REF!,11,FALSE())&lt;-2),"",#REF!),"")</f>
        <v/>
      </c>
      <c r="N402" s="0" t="str">
        <f aca="false">IFERROR(IF(OR(HLOOKUP($A402,#REF!,12,FALSE())&gt;2,HLOOKUP($A402,#REF!,12,FALSE())&lt;-2),"",#REF!),"")</f>
        <v/>
      </c>
      <c r="O402" s="0" t="str">
        <f aca="false">IFERROR(IF(OR(HLOOKUP($A402,#REF!,13,FALSE())&gt;2,HLOOKUP($A402,#REF!,13,FALSE())&lt;-2),"",#REF!),"")</f>
        <v/>
      </c>
      <c r="P402" s="0" t="str">
        <f aca="false">IFERROR(IF(OR(HLOOKUP($A402,#REF!,14,FALSE())&gt;2,HLOOKUP($A402,#REF!,14,FALSE())&lt;-2),"",#REF!),"")</f>
        <v/>
      </c>
      <c r="Q402" s="0" t="str">
        <f aca="false">IFERROR(IF(OR(HLOOKUP($A402,#REF!,15,FALSE())&gt;2,HLOOKUP($A402,#REF!,15,FALSE())&lt;-2),"",#REF!),"")</f>
        <v/>
      </c>
      <c r="R402" s="0" t="str">
        <f aca="false">IFERROR(IF(OR(HLOOKUP($A402,#REF!,16,FALSE())&gt;2,HLOOKUP($A402,#REF!,16,FALSE())&lt;-2),"",#REF!),"")</f>
        <v/>
      </c>
      <c r="S402" s="0" t="str">
        <f aca="false">IFERROR(IF(OR(HLOOKUP($A402,#REF!,17,FALSE())&gt;2,HLOOKUP($A402,#REF!,17,FALSE())&lt;-2),"",#REF!),"")</f>
        <v/>
      </c>
      <c r="T402" s="0" t="str">
        <f aca="false">IFERROR(IF(OR(HLOOKUP($A402,#REF!,18,FALSE())&gt;2,HLOOKUP($A402,#REF!,18,FALSE())&lt;-2),"",#REF!),"")</f>
        <v/>
      </c>
      <c r="U402" s="0" t="str">
        <f aca="false">IFERROR(IF(OR(HLOOKUP($A402,#REF!,19,FALSE())&gt;2,HLOOKUP($A402,#REF!,19,FALSE())&lt;-2),"",#REF!),"")</f>
        <v/>
      </c>
      <c r="V402" s="0" t="n">
        <f aca="false">IFERROR(IF(AND(X402=0,Y402=0),0,1),0)</f>
        <v>1</v>
      </c>
      <c r="W402" s="3" t="str">
        <f aca="false">IFERROR(_xlfn.T.TEST(E402:M402,N402:U402,2,2),"")</f>
        <v/>
      </c>
      <c r="X402" s="0" t="str">
        <f aca="false">IFERROR(AVERAGE(E402:M402),"")</f>
        <v/>
      </c>
      <c r="Y402" s="0" t="str">
        <f aca="false">IFERROR(AVERAGE(N402:U402),"")</f>
        <v/>
      </c>
    </row>
    <row r="403" customFormat="false" ht="14.5" hidden="false" customHeight="false" outlineLevel="0" collapsed="false">
      <c r="A403" s="0" t="n">
        <v>410</v>
      </c>
      <c r="B403" s="0" t="s">
        <v>479</v>
      </c>
      <c r="C403" s="0" t="n">
        <v>105700</v>
      </c>
      <c r="D403" s="0" t="n">
        <v>490</v>
      </c>
      <c r="E403" s="0" t="str">
        <f aca="false">IFERROR(IF(OR(HLOOKUP($A403,#REF!,3,FALSE())&gt;2,HLOOKUP(A403,#REF!,3,FALSE())&lt;-2),"",#REF!),"")</f>
        <v/>
      </c>
      <c r="F403" s="0" t="str">
        <f aca="false">IFERROR(IF(OR(HLOOKUP($A403,#REF!,4,FALSE())&gt;2,HLOOKUP($A403,#REF!,4,FALSE())&lt;-2),"",#REF!),"")</f>
        <v/>
      </c>
      <c r="G403" s="0" t="str">
        <f aca="false">IFERROR(IF(OR(HLOOKUP($A403,#REF!,5,FALSE())&gt;2,HLOOKUP($A403,#REF!,5,FALSE())&lt;-2),"",#REF!),"")</f>
        <v/>
      </c>
      <c r="H403" s="0" t="str">
        <f aca="false">IFERROR(IF(OR(HLOOKUP($A403,#REF!,6,FALSE())&gt;2,HLOOKUP($A403,#REF!,6,FALSE())&lt;-2),"",#REF!),"")</f>
        <v/>
      </c>
      <c r="I403" s="0" t="str">
        <f aca="false">IFERROR(IF(OR(HLOOKUP($A403,#REF!,7,FALSE())&gt;2,HLOOKUP($A403,#REF!,7,FALSE())&lt;-2),"",#REF!),"")</f>
        <v/>
      </c>
      <c r="J403" s="0" t="str">
        <f aca="false">IFERROR(IF(OR(HLOOKUP($A403,#REF!,8,FALSE())&gt;2,HLOOKUP($A403,#REF!,8,FALSE())&lt;-2),"",#REF!),"")</f>
        <v/>
      </c>
      <c r="K403" s="0" t="str">
        <f aca="false">IFERROR(IF(OR(HLOOKUP($A403,#REF!,9,FALSE())&gt;2,HLOOKUP($A403,#REF!,9,FALSE())&lt;-2),"",#REF!),"")</f>
        <v/>
      </c>
      <c r="L403" s="0" t="str">
        <f aca="false">IFERROR(IF(OR(HLOOKUP($A403,#REF!,10,FALSE())&gt;2,HLOOKUP($A403,#REF!,10,FALSE())&lt;-2),"",#REF!),"")</f>
        <v/>
      </c>
      <c r="M403" s="0" t="str">
        <f aca="false">IFERROR(IF(OR(HLOOKUP($A403,#REF!,11,FALSE())&gt;2,HLOOKUP($A403,#REF!,11,FALSE())&lt;-2),"",#REF!),"")</f>
        <v/>
      </c>
      <c r="N403" s="0" t="str">
        <f aca="false">IFERROR(IF(OR(HLOOKUP($A403,#REF!,12,FALSE())&gt;2,HLOOKUP($A403,#REF!,12,FALSE())&lt;-2),"",#REF!),"")</f>
        <v/>
      </c>
      <c r="O403" s="0" t="str">
        <f aca="false">IFERROR(IF(OR(HLOOKUP($A403,#REF!,13,FALSE())&gt;2,HLOOKUP($A403,#REF!,13,FALSE())&lt;-2),"",#REF!),"")</f>
        <v/>
      </c>
      <c r="P403" s="0" t="str">
        <f aca="false">IFERROR(IF(OR(HLOOKUP($A403,#REF!,14,FALSE())&gt;2,HLOOKUP($A403,#REF!,14,FALSE())&lt;-2),"",#REF!),"")</f>
        <v/>
      </c>
      <c r="Q403" s="0" t="str">
        <f aca="false">IFERROR(IF(OR(HLOOKUP($A403,#REF!,15,FALSE())&gt;2,HLOOKUP($A403,#REF!,15,FALSE())&lt;-2),"",#REF!),"")</f>
        <v/>
      </c>
      <c r="R403" s="0" t="str">
        <f aca="false">IFERROR(IF(OR(HLOOKUP($A403,#REF!,16,FALSE())&gt;2,HLOOKUP($A403,#REF!,16,FALSE())&lt;-2),"",#REF!),"")</f>
        <v/>
      </c>
      <c r="S403" s="0" t="str">
        <f aca="false">IFERROR(IF(OR(HLOOKUP($A403,#REF!,17,FALSE())&gt;2,HLOOKUP($A403,#REF!,17,FALSE())&lt;-2),"",#REF!),"")</f>
        <v/>
      </c>
      <c r="T403" s="0" t="str">
        <f aca="false">IFERROR(IF(OR(HLOOKUP($A403,#REF!,18,FALSE())&gt;2,HLOOKUP($A403,#REF!,18,FALSE())&lt;-2),"",#REF!),"")</f>
        <v/>
      </c>
      <c r="U403" s="0" t="str">
        <f aca="false">IFERROR(IF(OR(HLOOKUP($A403,#REF!,19,FALSE())&gt;2,HLOOKUP($A403,#REF!,19,FALSE())&lt;-2),"",#REF!),"")</f>
        <v/>
      </c>
      <c r="V403" s="0" t="n">
        <f aca="false">IFERROR(IF(AND(X403=0,Y403=0),0,1),0)</f>
        <v>1</v>
      </c>
      <c r="W403" s="3" t="str">
        <f aca="false">IFERROR(_xlfn.T.TEST(E403:M403,N403:U403,2,2),"")</f>
        <v/>
      </c>
      <c r="X403" s="0" t="str">
        <f aca="false">IFERROR(AVERAGE(E403:M403),"")</f>
        <v/>
      </c>
      <c r="Y403" s="0" t="str">
        <f aca="false">IFERROR(AVERAGE(N403:U403),"")</f>
        <v/>
      </c>
    </row>
    <row r="404" customFormat="false" ht="14.5" hidden="false" customHeight="false" outlineLevel="0" collapsed="false">
      <c r="A404" s="0" t="n">
        <v>411</v>
      </c>
      <c r="B404" s="0" t="s">
        <v>480</v>
      </c>
      <c r="C404" s="0" t="n">
        <v>50900</v>
      </c>
      <c r="D404" s="0" t="n">
        <v>403</v>
      </c>
      <c r="E404" s="0" t="str">
        <f aca="false">IFERROR(IF(OR(HLOOKUP($A404,#REF!,3,FALSE())&gt;2,HLOOKUP(A404,#REF!,3,FALSE())&lt;-2),"",#REF!),"")</f>
        <v/>
      </c>
      <c r="F404" s="0" t="str">
        <f aca="false">IFERROR(IF(OR(HLOOKUP($A404,#REF!,4,FALSE())&gt;2,HLOOKUP($A404,#REF!,4,FALSE())&lt;-2),"",#REF!),"")</f>
        <v/>
      </c>
      <c r="G404" s="0" t="str">
        <f aca="false">IFERROR(IF(OR(HLOOKUP($A404,#REF!,5,FALSE())&gt;2,HLOOKUP($A404,#REF!,5,FALSE())&lt;-2),"",#REF!),"")</f>
        <v/>
      </c>
      <c r="H404" s="0" t="str">
        <f aca="false">IFERROR(IF(OR(HLOOKUP($A404,#REF!,6,FALSE())&gt;2,HLOOKUP($A404,#REF!,6,FALSE())&lt;-2),"",#REF!),"")</f>
        <v/>
      </c>
      <c r="I404" s="0" t="str">
        <f aca="false">IFERROR(IF(OR(HLOOKUP($A404,#REF!,7,FALSE())&gt;2,HLOOKUP($A404,#REF!,7,FALSE())&lt;-2),"",#REF!),"")</f>
        <v/>
      </c>
      <c r="J404" s="0" t="str">
        <f aca="false">IFERROR(IF(OR(HLOOKUP($A404,#REF!,8,FALSE())&gt;2,HLOOKUP($A404,#REF!,8,FALSE())&lt;-2),"",#REF!),"")</f>
        <v/>
      </c>
      <c r="K404" s="0" t="str">
        <f aca="false">IFERROR(IF(OR(HLOOKUP($A404,#REF!,9,FALSE())&gt;2,HLOOKUP($A404,#REF!,9,FALSE())&lt;-2),"",#REF!),"")</f>
        <v/>
      </c>
      <c r="L404" s="0" t="str">
        <f aca="false">IFERROR(IF(OR(HLOOKUP($A404,#REF!,10,FALSE())&gt;2,HLOOKUP($A404,#REF!,10,FALSE())&lt;-2),"",#REF!),"")</f>
        <v/>
      </c>
      <c r="M404" s="0" t="str">
        <f aca="false">IFERROR(IF(OR(HLOOKUP($A404,#REF!,11,FALSE())&gt;2,HLOOKUP($A404,#REF!,11,FALSE())&lt;-2),"",#REF!),"")</f>
        <v/>
      </c>
      <c r="N404" s="0" t="str">
        <f aca="false">IFERROR(IF(OR(HLOOKUP($A404,#REF!,12,FALSE())&gt;2,HLOOKUP($A404,#REF!,12,FALSE())&lt;-2),"",#REF!),"")</f>
        <v/>
      </c>
      <c r="O404" s="0" t="str">
        <f aca="false">IFERROR(IF(OR(HLOOKUP($A404,#REF!,13,FALSE())&gt;2,HLOOKUP($A404,#REF!,13,FALSE())&lt;-2),"",#REF!),"")</f>
        <v/>
      </c>
      <c r="P404" s="0" t="str">
        <f aca="false">IFERROR(IF(OR(HLOOKUP($A404,#REF!,14,FALSE())&gt;2,HLOOKUP($A404,#REF!,14,FALSE())&lt;-2),"",#REF!),"")</f>
        <v/>
      </c>
      <c r="Q404" s="0" t="str">
        <f aca="false">IFERROR(IF(OR(HLOOKUP($A404,#REF!,15,FALSE())&gt;2,HLOOKUP($A404,#REF!,15,FALSE())&lt;-2),"",#REF!),"")</f>
        <v/>
      </c>
      <c r="R404" s="0" t="str">
        <f aca="false">IFERROR(IF(OR(HLOOKUP($A404,#REF!,16,FALSE())&gt;2,HLOOKUP($A404,#REF!,16,FALSE())&lt;-2),"",#REF!),"")</f>
        <v/>
      </c>
      <c r="S404" s="0" t="str">
        <f aca="false">IFERROR(IF(OR(HLOOKUP($A404,#REF!,17,FALSE())&gt;2,HLOOKUP($A404,#REF!,17,FALSE())&lt;-2),"",#REF!),"")</f>
        <v/>
      </c>
      <c r="T404" s="0" t="str">
        <f aca="false">IFERROR(IF(OR(HLOOKUP($A404,#REF!,18,FALSE())&gt;2,HLOOKUP($A404,#REF!,18,FALSE())&lt;-2),"",#REF!),"")</f>
        <v/>
      </c>
      <c r="U404" s="0" t="str">
        <f aca="false">IFERROR(IF(OR(HLOOKUP($A404,#REF!,19,FALSE())&gt;2,HLOOKUP($A404,#REF!,19,FALSE())&lt;-2),"",#REF!),"")</f>
        <v/>
      </c>
      <c r="V404" s="0" t="n">
        <f aca="false">IFERROR(IF(AND(X404=0,Y404=0),0,1),0)</f>
        <v>1</v>
      </c>
      <c r="W404" s="3" t="str">
        <f aca="false">IFERROR(_xlfn.T.TEST(E404:M404,N404:U404,2,2),"")</f>
        <v/>
      </c>
      <c r="X404" s="0" t="str">
        <f aca="false">IFERROR(AVERAGE(E404:M404),"")</f>
        <v/>
      </c>
      <c r="Y404" s="0" t="str">
        <f aca="false">IFERROR(AVERAGE(N404:U404),"")</f>
        <v/>
      </c>
    </row>
    <row r="405" customFormat="false" ht="14.5" hidden="false" customHeight="false" outlineLevel="0" collapsed="false">
      <c r="A405" s="0" t="n">
        <v>412</v>
      </c>
      <c r="B405" s="0" t="s">
        <v>481</v>
      </c>
      <c r="C405" s="0" t="n">
        <v>21600</v>
      </c>
      <c r="D405" s="0" t="n">
        <v>723</v>
      </c>
      <c r="E405" s="0" t="str">
        <f aca="false">IFERROR(IF(OR(HLOOKUP($A405,#REF!,3,FALSE())&gt;2,HLOOKUP(A405,#REF!,3,FALSE())&lt;-2),"",#REF!),"")</f>
        <v/>
      </c>
      <c r="F405" s="0" t="str">
        <f aca="false">IFERROR(IF(OR(HLOOKUP($A405,#REF!,4,FALSE())&gt;2,HLOOKUP($A405,#REF!,4,FALSE())&lt;-2),"",#REF!),"")</f>
        <v/>
      </c>
      <c r="G405" s="0" t="str">
        <f aca="false">IFERROR(IF(OR(HLOOKUP($A405,#REF!,5,FALSE())&gt;2,HLOOKUP($A405,#REF!,5,FALSE())&lt;-2),"",#REF!),"")</f>
        <v/>
      </c>
      <c r="H405" s="0" t="str">
        <f aca="false">IFERROR(IF(OR(HLOOKUP($A405,#REF!,6,FALSE())&gt;2,HLOOKUP($A405,#REF!,6,FALSE())&lt;-2),"",#REF!),"")</f>
        <v/>
      </c>
      <c r="I405" s="0" t="str">
        <f aca="false">IFERROR(IF(OR(HLOOKUP($A405,#REF!,7,FALSE())&gt;2,HLOOKUP($A405,#REF!,7,FALSE())&lt;-2),"",#REF!),"")</f>
        <v/>
      </c>
      <c r="J405" s="0" t="str">
        <f aca="false">IFERROR(IF(OR(HLOOKUP($A405,#REF!,8,FALSE())&gt;2,HLOOKUP($A405,#REF!,8,FALSE())&lt;-2),"",#REF!),"")</f>
        <v/>
      </c>
      <c r="K405" s="0" t="str">
        <f aca="false">IFERROR(IF(OR(HLOOKUP($A405,#REF!,9,FALSE())&gt;2,HLOOKUP($A405,#REF!,9,FALSE())&lt;-2),"",#REF!),"")</f>
        <v/>
      </c>
      <c r="L405" s="0" t="str">
        <f aca="false">IFERROR(IF(OR(HLOOKUP($A405,#REF!,10,FALSE())&gt;2,HLOOKUP($A405,#REF!,10,FALSE())&lt;-2),"",#REF!),"")</f>
        <v/>
      </c>
      <c r="M405" s="0" t="str">
        <f aca="false">IFERROR(IF(OR(HLOOKUP($A405,#REF!,11,FALSE())&gt;2,HLOOKUP($A405,#REF!,11,FALSE())&lt;-2),"",#REF!),"")</f>
        <v/>
      </c>
      <c r="N405" s="0" t="str">
        <f aca="false">IFERROR(IF(OR(HLOOKUP($A405,#REF!,12,FALSE())&gt;2,HLOOKUP($A405,#REF!,12,FALSE())&lt;-2),"",#REF!),"")</f>
        <v/>
      </c>
      <c r="O405" s="0" t="str">
        <f aca="false">IFERROR(IF(OR(HLOOKUP($A405,#REF!,13,FALSE())&gt;2,HLOOKUP($A405,#REF!,13,FALSE())&lt;-2),"",#REF!),"")</f>
        <v/>
      </c>
      <c r="P405" s="0" t="str">
        <f aca="false">IFERROR(IF(OR(HLOOKUP($A405,#REF!,14,FALSE())&gt;2,HLOOKUP($A405,#REF!,14,FALSE())&lt;-2),"",#REF!),"")</f>
        <v/>
      </c>
      <c r="Q405" s="0" t="str">
        <f aca="false">IFERROR(IF(OR(HLOOKUP($A405,#REF!,15,FALSE())&gt;2,HLOOKUP($A405,#REF!,15,FALSE())&lt;-2),"",#REF!),"")</f>
        <v/>
      </c>
      <c r="R405" s="0" t="str">
        <f aca="false">IFERROR(IF(OR(HLOOKUP($A405,#REF!,16,FALSE())&gt;2,HLOOKUP($A405,#REF!,16,FALSE())&lt;-2),"",#REF!),"")</f>
        <v/>
      </c>
      <c r="S405" s="0" t="str">
        <f aca="false">IFERROR(IF(OR(HLOOKUP($A405,#REF!,17,FALSE())&gt;2,HLOOKUP($A405,#REF!,17,FALSE())&lt;-2),"",#REF!),"")</f>
        <v/>
      </c>
      <c r="T405" s="0" t="str">
        <f aca="false">IFERROR(IF(OR(HLOOKUP($A405,#REF!,18,FALSE())&gt;2,HLOOKUP($A405,#REF!,18,FALSE())&lt;-2),"",#REF!),"")</f>
        <v/>
      </c>
      <c r="U405" s="0" t="str">
        <f aca="false">IFERROR(IF(OR(HLOOKUP($A405,#REF!,19,FALSE())&gt;2,HLOOKUP($A405,#REF!,19,FALSE())&lt;-2),"",#REF!),"")</f>
        <v/>
      </c>
      <c r="V405" s="0" t="n">
        <f aca="false">IFERROR(IF(AND(X405=0,Y405=0),0,1),0)</f>
        <v>1</v>
      </c>
      <c r="W405" s="3" t="str">
        <f aca="false">IFERROR(_xlfn.T.TEST(E405:M405,N405:U405,2,2),"")</f>
        <v/>
      </c>
      <c r="X405" s="0" t="str">
        <f aca="false">IFERROR(AVERAGE(E405:M405),"")</f>
        <v/>
      </c>
      <c r="Y405" s="0" t="str">
        <f aca="false">IFERROR(AVERAGE(N405:U405),"")</f>
        <v/>
      </c>
    </row>
    <row r="406" customFormat="false" ht="14.5" hidden="false" customHeight="false" outlineLevel="0" collapsed="false">
      <c r="A406" s="0" t="n">
        <v>413</v>
      </c>
      <c r="B406" s="0" t="s">
        <v>482</v>
      </c>
      <c r="C406" s="0" t="n">
        <v>100600</v>
      </c>
      <c r="D406" s="0" t="n">
        <v>933</v>
      </c>
      <c r="E406" s="0" t="str">
        <f aca="false">IFERROR(IF(OR(HLOOKUP($A406,#REF!,3,FALSE())&gt;2,HLOOKUP(A406,#REF!,3,FALSE())&lt;-2),"",#REF!),"")</f>
        <v/>
      </c>
      <c r="F406" s="0" t="str">
        <f aca="false">IFERROR(IF(OR(HLOOKUP($A406,#REF!,4,FALSE())&gt;2,HLOOKUP($A406,#REF!,4,FALSE())&lt;-2),"",#REF!),"")</f>
        <v/>
      </c>
      <c r="G406" s="0" t="str">
        <f aca="false">IFERROR(IF(OR(HLOOKUP($A406,#REF!,5,FALSE())&gt;2,HLOOKUP($A406,#REF!,5,FALSE())&lt;-2),"",#REF!),"")</f>
        <v/>
      </c>
      <c r="H406" s="0" t="str">
        <f aca="false">IFERROR(IF(OR(HLOOKUP($A406,#REF!,6,FALSE())&gt;2,HLOOKUP($A406,#REF!,6,FALSE())&lt;-2),"",#REF!),"")</f>
        <v/>
      </c>
      <c r="I406" s="0" t="str">
        <f aca="false">IFERROR(IF(OR(HLOOKUP($A406,#REF!,7,FALSE())&gt;2,HLOOKUP($A406,#REF!,7,FALSE())&lt;-2),"",#REF!),"")</f>
        <v/>
      </c>
      <c r="J406" s="0" t="str">
        <f aca="false">IFERROR(IF(OR(HLOOKUP($A406,#REF!,8,FALSE())&gt;2,HLOOKUP($A406,#REF!,8,FALSE())&lt;-2),"",#REF!),"")</f>
        <v/>
      </c>
      <c r="K406" s="0" t="str">
        <f aca="false">IFERROR(IF(OR(HLOOKUP($A406,#REF!,9,FALSE())&gt;2,HLOOKUP($A406,#REF!,9,FALSE())&lt;-2),"",#REF!),"")</f>
        <v/>
      </c>
      <c r="L406" s="0" t="str">
        <f aca="false">IFERROR(IF(OR(HLOOKUP($A406,#REF!,10,FALSE())&gt;2,HLOOKUP($A406,#REF!,10,FALSE())&lt;-2),"",#REF!),"")</f>
        <v/>
      </c>
      <c r="M406" s="0" t="str">
        <f aca="false">IFERROR(IF(OR(HLOOKUP($A406,#REF!,11,FALSE())&gt;2,HLOOKUP($A406,#REF!,11,FALSE())&lt;-2),"",#REF!),"")</f>
        <v/>
      </c>
      <c r="N406" s="0" t="str">
        <f aca="false">IFERROR(IF(OR(HLOOKUP($A406,#REF!,12,FALSE())&gt;2,HLOOKUP($A406,#REF!,12,FALSE())&lt;-2),"",#REF!),"")</f>
        <v/>
      </c>
      <c r="O406" s="0" t="str">
        <f aca="false">IFERROR(IF(OR(HLOOKUP($A406,#REF!,13,FALSE())&gt;2,HLOOKUP($A406,#REF!,13,FALSE())&lt;-2),"",#REF!),"")</f>
        <v/>
      </c>
      <c r="P406" s="0" t="str">
        <f aca="false">IFERROR(IF(OR(HLOOKUP($A406,#REF!,14,FALSE())&gt;2,HLOOKUP($A406,#REF!,14,FALSE())&lt;-2),"",#REF!),"")</f>
        <v/>
      </c>
      <c r="Q406" s="0" t="str">
        <f aca="false">IFERROR(IF(OR(HLOOKUP($A406,#REF!,15,FALSE())&gt;2,HLOOKUP($A406,#REF!,15,FALSE())&lt;-2),"",#REF!),"")</f>
        <v/>
      </c>
      <c r="R406" s="0" t="str">
        <f aca="false">IFERROR(IF(OR(HLOOKUP($A406,#REF!,16,FALSE())&gt;2,HLOOKUP($A406,#REF!,16,FALSE())&lt;-2),"",#REF!),"")</f>
        <v/>
      </c>
      <c r="S406" s="0" t="str">
        <f aca="false">IFERROR(IF(OR(HLOOKUP($A406,#REF!,17,FALSE())&gt;2,HLOOKUP($A406,#REF!,17,FALSE())&lt;-2),"",#REF!),"")</f>
        <v/>
      </c>
      <c r="T406" s="0" t="str">
        <f aca="false">IFERROR(IF(OR(HLOOKUP($A406,#REF!,18,FALSE())&gt;2,HLOOKUP($A406,#REF!,18,FALSE())&lt;-2),"",#REF!),"")</f>
        <v/>
      </c>
      <c r="U406" s="0" t="str">
        <f aca="false">IFERROR(IF(OR(HLOOKUP($A406,#REF!,19,FALSE())&gt;2,HLOOKUP($A406,#REF!,19,FALSE())&lt;-2),"",#REF!),"")</f>
        <v/>
      </c>
      <c r="V406" s="0" t="n">
        <f aca="false">IFERROR(IF(AND(X406=0,Y406=0),0,1),0)</f>
        <v>1</v>
      </c>
      <c r="W406" s="3" t="str">
        <f aca="false">IFERROR(_xlfn.T.TEST(E406:M406,N406:U406,2,2),"")</f>
        <v/>
      </c>
      <c r="X406" s="0" t="str">
        <f aca="false">IFERROR(AVERAGE(E406:M406),"")</f>
        <v/>
      </c>
      <c r="Y406" s="0" t="str">
        <f aca="false">IFERROR(AVERAGE(N406:U406),"")</f>
        <v/>
      </c>
    </row>
    <row r="407" customFormat="false" ht="14.5" hidden="false" customHeight="false" outlineLevel="0" collapsed="false">
      <c r="A407" s="0" t="n">
        <v>414</v>
      </c>
      <c r="B407" s="0" t="s">
        <v>483</v>
      </c>
      <c r="C407" s="0" t="n">
        <v>64600</v>
      </c>
      <c r="D407" s="0" t="n">
        <v>406</v>
      </c>
      <c r="E407" s="0" t="str">
        <f aca="false">IFERROR(IF(OR(HLOOKUP($A407,#REF!,3,FALSE())&gt;2,HLOOKUP(A407,#REF!,3,FALSE())&lt;-2),"",#REF!),"")</f>
        <v/>
      </c>
      <c r="F407" s="0" t="str">
        <f aca="false">IFERROR(IF(OR(HLOOKUP($A407,#REF!,4,FALSE())&gt;2,HLOOKUP($A407,#REF!,4,FALSE())&lt;-2),"",#REF!),"")</f>
        <v/>
      </c>
      <c r="G407" s="0" t="str">
        <f aca="false">IFERROR(IF(OR(HLOOKUP($A407,#REF!,5,FALSE())&gt;2,HLOOKUP($A407,#REF!,5,FALSE())&lt;-2),"",#REF!),"")</f>
        <v/>
      </c>
      <c r="H407" s="0" t="str">
        <f aca="false">IFERROR(IF(OR(HLOOKUP($A407,#REF!,6,FALSE())&gt;2,HLOOKUP($A407,#REF!,6,FALSE())&lt;-2),"",#REF!),"")</f>
        <v/>
      </c>
      <c r="I407" s="0" t="str">
        <f aca="false">IFERROR(IF(OR(HLOOKUP($A407,#REF!,7,FALSE())&gt;2,HLOOKUP($A407,#REF!,7,FALSE())&lt;-2),"",#REF!),"")</f>
        <v/>
      </c>
      <c r="J407" s="0" t="str">
        <f aca="false">IFERROR(IF(OR(HLOOKUP($A407,#REF!,8,FALSE())&gt;2,HLOOKUP($A407,#REF!,8,FALSE())&lt;-2),"",#REF!),"")</f>
        <v/>
      </c>
      <c r="K407" s="0" t="str">
        <f aca="false">IFERROR(IF(OR(HLOOKUP($A407,#REF!,9,FALSE())&gt;2,HLOOKUP($A407,#REF!,9,FALSE())&lt;-2),"",#REF!),"")</f>
        <v/>
      </c>
      <c r="L407" s="0" t="str">
        <f aca="false">IFERROR(IF(OR(HLOOKUP($A407,#REF!,10,FALSE())&gt;2,HLOOKUP($A407,#REF!,10,FALSE())&lt;-2),"",#REF!),"")</f>
        <v/>
      </c>
      <c r="M407" s="0" t="str">
        <f aca="false">IFERROR(IF(OR(HLOOKUP($A407,#REF!,11,FALSE())&gt;2,HLOOKUP($A407,#REF!,11,FALSE())&lt;-2),"",#REF!),"")</f>
        <v/>
      </c>
      <c r="N407" s="0" t="str">
        <f aca="false">IFERROR(IF(OR(HLOOKUP($A407,#REF!,12,FALSE())&gt;2,HLOOKUP($A407,#REF!,12,FALSE())&lt;-2),"",#REF!),"")</f>
        <v/>
      </c>
      <c r="O407" s="0" t="str">
        <f aca="false">IFERROR(IF(OR(HLOOKUP($A407,#REF!,13,FALSE())&gt;2,HLOOKUP($A407,#REF!,13,FALSE())&lt;-2),"",#REF!),"")</f>
        <v/>
      </c>
      <c r="P407" s="0" t="str">
        <f aca="false">IFERROR(IF(OR(HLOOKUP($A407,#REF!,14,FALSE())&gt;2,HLOOKUP($A407,#REF!,14,FALSE())&lt;-2),"",#REF!),"")</f>
        <v/>
      </c>
      <c r="Q407" s="0" t="str">
        <f aca="false">IFERROR(IF(OR(HLOOKUP($A407,#REF!,15,FALSE())&gt;2,HLOOKUP($A407,#REF!,15,FALSE())&lt;-2),"",#REF!),"")</f>
        <v/>
      </c>
      <c r="R407" s="0" t="str">
        <f aca="false">IFERROR(IF(OR(HLOOKUP($A407,#REF!,16,FALSE())&gt;2,HLOOKUP($A407,#REF!,16,FALSE())&lt;-2),"",#REF!),"")</f>
        <v/>
      </c>
      <c r="S407" s="0" t="str">
        <f aca="false">IFERROR(IF(OR(HLOOKUP($A407,#REF!,17,FALSE())&gt;2,HLOOKUP($A407,#REF!,17,FALSE())&lt;-2),"",#REF!),"")</f>
        <v/>
      </c>
      <c r="T407" s="0" t="str">
        <f aca="false">IFERROR(IF(OR(HLOOKUP($A407,#REF!,18,FALSE())&gt;2,HLOOKUP($A407,#REF!,18,FALSE())&lt;-2),"",#REF!),"")</f>
        <v/>
      </c>
      <c r="U407" s="0" t="str">
        <f aca="false">IFERROR(IF(OR(HLOOKUP($A407,#REF!,19,FALSE())&gt;2,HLOOKUP($A407,#REF!,19,FALSE())&lt;-2),"",#REF!),"")</f>
        <v/>
      </c>
      <c r="V407" s="0" t="n">
        <f aca="false">IFERROR(IF(AND(X407=0,Y407=0),0,1),0)</f>
        <v>1</v>
      </c>
      <c r="W407" s="3" t="str">
        <f aca="false">IFERROR(_xlfn.T.TEST(E407:M407,N407:U407,2,2),"")</f>
        <v/>
      </c>
      <c r="X407" s="0" t="str">
        <f aca="false">IFERROR(AVERAGE(E407:M407),"")</f>
        <v/>
      </c>
      <c r="Y407" s="0" t="str">
        <f aca="false">IFERROR(AVERAGE(N407:U407),"")</f>
        <v/>
      </c>
    </row>
    <row r="408" customFormat="false" ht="14.5" hidden="false" customHeight="false" outlineLevel="0" collapsed="false">
      <c r="A408" s="0" t="n">
        <v>415</v>
      </c>
      <c r="B408" s="0" t="s">
        <v>484</v>
      </c>
      <c r="C408" s="0" t="n">
        <v>38100</v>
      </c>
      <c r="D408" s="0" t="n">
        <v>382</v>
      </c>
      <c r="E408" s="0" t="str">
        <f aca="false">IFERROR(IF(OR(HLOOKUP($A408,#REF!,3,FALSE())&gt;2,HLOOKUP(A408,#REF!,3,FALSE())&lt;-2),"",#REF!),"")</f>
        <v/>
      </c>
      <c r="F408" s="0" t="str">
        <f aca="false">IFERROR(IF(OR(HLOOKUP($A408,#REF!,4,FALSE())&gt;2,HLOOKUP($A408,#REF!,4,FALSE())&lt;-2),"",#REF!),"")</f>
        <v/>
      </c>
      <c r="G408" s="0" t="str">
        <f aca="false">IFERROR(IF(OR(HLOOKUP($A408,#REF!,5,FALSE())&gt;2,HLOOKUP($A408,#REF!,5,FALSE())&lt;-2),"",#REF!),"")</f>
        <v/>
      </c>
      <c r="H408" s="0" t="str">
        <f aca="false">IFERROR(IF(OR(HLOOKUP($A408,#REF!,6,FALSE())&gt;2,HLOOKUP($A408,#REF!,6,FALSE())&lt;-2),"",#REF!),"")</f>
        <v/>
      </c>
      <c r="I408" s="0" t="str">
        <f aca="false">IFERROR(IF(OR(HLOOKUP($A408,#REF!,7,FALSE())&gt;2,HLOOKUP($A408,#REF!,7,FALSE())&lt;-2),"",#REF!),"")</f>
        <v/>
      </c>
      <c r="J408" s="0" t="str">
        <f aca="false">IFERROR(IF(OR(HLOOKUP($A408,#REF!,8,FALSE())&gt;2,HLOOKUP($A408,#REF!,8,FALSE())&lt;-2),"",#REF!),"")</f>
        <v/>
      </c>
      <c r="K408" s="0" t="str">
        <f aca="false">IFERROR(IF(OR(HLOOKUP($A408,#REF!,9,FALSE())&gt;2,HLOOKUP($A408,#REF!,9,FALSE())&lt;-2),"",#REF!),"")</f>
        <v/>
      </c>
      <c r="L408" s="0" t="str">
        <f aca="false">IFERROR(IF(OR(HLOOKUP($A408,#REF!,10,FALSE())&gt;2,HLOOKUP($A408,#REF!,10,FALSE())&lt;-2),"",#REF!),"")</f>
        <v/>
      </c>
      <c r="M408" s="0" t="str">
        <f aca="false">IFERROR(IF(OR(HLOOKUP($A408,#REF!,11,FALSE())&gt;2,HLOOKUP($A408,#REF!,11,FALSE())&lt;-2),"",#REF!),"")</f>
        <v/>
      </c>
      <c r="N408" s="0" t="str">
        <f aca="false">IFERROR(IF(OR(HLOOKUP($A408,#REF!,12,FALSE())&gt;2,HLOOKUP($A408,#REF!,12,FALSE())&lt;-2),"",#REF!),"")</f>
        <v/>
      </c>
      <c r="O408" s="0" t="str">
        <f aca="false">IFERROR(IF(OR(HLOOKUP($A408,#REF!,13,FALSE())&gt;2,HLOOKUP($A408,#REF!,13,FALSE())&lt;-2),"",#REF!),"")</f>
        <v/>
      </c>
      <c r="P408" s="0" t="str">
        <f aca="false">IFERROR(IF(OR(HLOOKUP($A408,#REF!,14,FALSE())&gt;2,HLOOKUP($A408,#REF!,14,FALSE())&lt;-2),"",#REF!),"")</f>
        <v/>
      </c>
      <c r="Q408" s="0" t="str">
        <f aca="false">IFERROR(IF(OR(HLOOKUP($A408,#REF!,15,FALSE())&gt;2,HLOOKUP($A408,#REF!,15,FALSE())&lt;-2),"",#REF!),"")</f>
        <v/>
      </c>
      <c r="R408" s="0" t="str">
        <f aca="false">IFERROR(IF(OR(HLOOKUP($A408,#REF!,16,FALSE())&gt;2,HLOOKUP($A408,#REF!,16,FALSE())&lt;-2),"",#REF!),"")</f>
        <v/>
      </c>
      <c r="S408" s="0" t="str">
        <f aca="false">IFERROR(IF(OR(HLOOKUP($A408,#REF!,17,FALSE())&gt;2,HLOOKUP($A408,#REF!,17,FALSE())&lt;-2),"",#REF!),"")</f>
        <v/>
      </c>
      <c r="T408" s="0" t="str">
        <f aca="false">IFERROR(IF(OR(HLOOKUP($A408,#REF!,18,FALSE())&gt;2,HLOOKUP($A408,#REF!,18,FALSE())&lt;-2),"",#REF!),"")</f>
        <v/>
      </c>
      <c r="U408" s="0" t="str">
        <f aca="false">IFERROR(IF(OR(HLOOKUP($A408,#REF!,19,FALSE())&gt;2,HLOOKUP($A408,#REF!,19,FALSE())&lt;-2),"",#REF!),"")</f>
        <v/>
      </c>
      <c r="V408" s="0" t="n">
        <f aca="false">IFERROR(IF(AND(X408=0,Y408=0),0,1),0)</f>
        <v>1</v>
      </c>
      <c r="W408" s="3" t="str">
        <f aca="false">IFERROR(_xlfn.T.TEST(E408:M408,N408:U408,2,2),"")</f>
        <v/>
      </c>
      <c r="X408" s="0" t="str">
        <f aca="false">IFERROR(AVERAGE(E408:M408),"")</f>
        <v/>
      </c>
      <c r="Y408" s="0" t="str">
        <f aca="false">IFERROR(AVERAGE(N408:U408),"")</f>
        <v/>
      </c>
    </row>
    <row r="409" customFormat="false" ht="14.5" hidden="false" customHeight="false" outlineLevel="0" collapsed="false">
      <c r="A409" s="0" t="n">
        <v>416</v>
      </c>
      <c r="B409" s="0" t="s">
        <v>485</v>
      </c>
      <c r="C409" s="0" t="n">
        <v>36700</v>
      </c>
      <c r="D409" s="0" t="n">
        <v>788</v>
      </c>
      <c r="E409" s="0" t="str">
        <f aca="false">IFERROR(IF(OR(HLOOKUP($A409,#REF!,3,FALSE())&gt;2,HLOOKUP(A409,#REF!,3,FALSE())&lt;-2),"",#REF!),"")</f>
        <v/>
      </c>
      <c r="F409" s="0" t="str">
        <f aca="false">IFERROR(IF(OR(HLOOKUP($A409,#REF!,4,FALSE())&gt;2,HLOOKUP($A409,#REF!,4,FALSE())&lt;-2),"",#REF!),"")</f>
        <v/>
      </c>
      <c r="G409" s="0" t="str">
        <f aca="false">IFERROR(IF(OR(HLOOKUP($A409,#REF!,5,FALSE())&gt;2,HLOOKUP($A409,#REF!,5,FALSE())&lt;-2),"",#REF!),"")</f>
        <v/>
      </c>
      <c r="H409" s="0" t="str">
        <f aca="false">IFERROR(IF(OR(HLOOKUP($A409,#REF!,6,FALSE())&gt;2,HLOOKUP($A409,#REF!,6,FALSE())&lt;-2),"",#REF!),"")</f>
        <v/>
      </c>
      <c r="I409" s="0" t="str">
        <f aca="false">IFERROR(IF(OR(HLOOKUP($A409,#REF!,7,FALSE())&gt;2,HLOOKUP($A409,#REF!,7,FALSE())&lt;-2),"",#REF!),"")</f>
        <v/>
      </c>
      <c r="J409" s="0" t="str">
        <f aca="false">IFERROR(IF(OR(HLOOKUP($A409,#REF!,8,FALSE())&gt;2,HLOOKUP($A409,#REF!,8,FALSE())&lt;-2),"",#REF!),"")</f>
        <v/>
      </c>
      <c r="K409" s="0" t="str">
        <f aca="false">IFERROR(IF(OR(HLOOKUP($A409,#REF!,9,FALSE())&gt;2,HLOOKUP($A409,#REF!,9,FALSE())&lt;-2),"",#REF!),"")</f>
        <v/>
      </c>
      <c r="L409" s="0" t="str">
        <f aca="false">IFERROR(IF(OR(HLOOKUP($A409,#REF!,10,FALSE())&gt;2,HLOOKUP($A409,#REF!,10,FALSE())&lt;-2),"",#REF!),"")</f>
        <v/>
      </c>
      <c r="M409" s="0" t="str">
        <f aca="false">IFERROR(IF(OR(HLOOKUP($A409,#REF!,11,FALSE())&gt;2,HLOOKUP($A409,#REF!,11,FALSE())&lt;-2),"",#REF!),"")</f>
        <v/>
      </c>
      <c r="N409" s="0" t="str">
        <f aca="false">IFERROR(IF(OR(HLOOKUP($A409,#REF!,12,FALSE())&gt;2,HLOOKUP($A409,#REF!,12,FALSE())&lt;-2),"",#REF!),"")</f>
        <v/>
      </c>
      <c r="O409" s="0" t="str">
        <f aca="false">IFERROR(IF(OR(HLOOKUP($A409,#REF!,13,FALSE())&gt;2,HLOOKUP($A409,#REF!,13,FALSE())&lt;-2),"",#REF!),"")</f>
        <v/>
      </c>
      <c r="P409" s="0" t="str">
        <f aca="false">IFERROR(IF(OR(HLOOKUP($A409,#REF!,14,FALSE())&gt;2,HLOOKUP($A409,#REF!,14,FALSE())&lt;-2),"",#REF!),"")</f>
        <v/>
      </c>
      <c r="Q409" s="0" t="str">
        <f aca="false">IFERROR(IF(OR(HLOOKUP($A409,#REF!,15,FALSE())&gt;2,HLOOKUP($A409,#REF!,15,FALSE())&lt;-2),"",#REF!),"")</f>
        <v/>
      </c>
      <c r="R409" s="0" t="str">
        <f aca="false">IFERROR(IF(OR(HLOOKUP($A409,#REF!,16,FALSE())&gt;2,HLOOKUP($A409,#REF!,16,FALSE())&lt;-2),"",#REF!),"")</f>
        <v/>
      </c>
      <c r="S409" s="0" t="str">
        <f aca="false">IFERROR(IF(OR(HLOOKUP($A409,#REF!,17,FALSE())&gt;2,HLOOKUP($A409,#REF!,17,FALSE())&lt;-2),"",#REF!),"")</f>
        <v/>
      </c>
      <c r="T409" s="0" t="str">
        <f aca="false">IFERROR(IF(OR(HLOOKUP($A409,#REF!,18,FALSE())&gt;2,HLOOKUP($A409,#REF!,18,FALSE())&lt;-2),"",#REF!),"")</f>
        <v/>
      </c>
      <c r="U409" s="0" t="str">
        <f aca="false">IFERROR(IF(OR(HLOOKUP($A409,#REF!,19,FALSE())&gt;2,HLOOKUP($A409,#REF!,19,FALSE())&lt;-2),"",#REF!),"")</f>
        <v/>
      </c>
      <c r="V409" s="0" t="n">
        <f aca="false">IFERROR(IF(AND(X409=0,Y409=0),0,1),0)</f>
        <v>1</v>
      </c>
      <c r="W409" s="3" t="str">
        <f aca="false">IFERROR(_xlfn.T.TEST(E409:M409,N409:U409,2,2),"")</f>
        <v/>
      </c>
      <c r="X409" s="0" t="str">
        <f aca="false">IFERROR(AVERAGE(E409:M409),"")</f>
        <v/>
      </c>
      <c r="Y409" s="0" t="str">
        <f aca="false">IFERROR(AVERAGE(N409:U409),"")</f>
        <v/>
      </c>
    </row>
    <row r="410" customFormat="false" ht="14.5" hidden="false" customHeight="false" outlineLevel="0" collapsed="false">
      <c r="A410" s="0" t="n">
        <v>418</v>
      </c>
      <c r="B410" s="0" t="s">
        <v>486</v>
      </c>
      <c r="C410" s="0" t="n">
        <v>51000</v>
      </c>
      <c r="D410" s="0" t="n">
        <v>403</v>
      </c>
      <c r="E410" s="0" t="str">
        <f aca="false">IFERROR(IF(OR(HLOOKUP($A410,#REF!,3,FALSE())&gt;2,HLOOKUP(A410,#REF!,3,FALSE())&lt;-2),"",#REF!),"")</f>
        <v/>
      </c>
      <c r="F410" s="0" t="str">
        <f aca="false">IFERROR(IF(OR(HLOOKUP($A410,#REF!,4,FALSE())&gt;2,HLOOKUP($A410,#REF!,4,FALSE())&lt;-2),"",#REF!),"")</f>
        <v/>
      </c>
      <c r="G410" s="0" t="str">
        <f aca="false">IFERROR(IF(OR(HLOOKUP($A410,#REF!,5,FALSE())&gt;2,HLOOKUP($A410,#REF!,5,FALSE())&lt;-2),"",#REF!),"")</f>
        <v/>
      </c>
      <c r="H410" s="0" t="str">
        <f aca="false">IFERROR(IF(OR(HLOOKUP($A410,#REF!,6,FALSE())&gt;2,HLOOKUP($A410,#REF!,6,FALSE())&lt;-2),"",#REF!),"")</f>
        <v/>
      </c>
      <c r="I410" s="0" t="str">
        <f aca="false">IFERROR(IF(OR(HLOOKUP($A410,#REF!,7,FALSE())&gt;2,HLOOKUP($A410,#REF!,7,FALSE())&lt;-2),"",#REF!),"")</f>
        <v/>
      </c>
      <c r="J410" s="0" t="str">
        <f aca="false">IFERROR(IF(OR(HLOOKUP($A410,#REF!,8,FALSE())&gt;2,HLOOKUP($A410,#REF!,8,FALSE())&lt;-2),"",#REF!),"")</f>
        <v/>
      </c>
      <c r="K410" s="0" t="str">
        <f aca="false">IFERROR(IF(OR(HLOOKUP($A410,#REF!,9,FALSE())&gt;2,HLOOKUP($A410,#REF!,9,FALSE())&lt;-2),"",#REF!),"")</f>
        <v/>
      </c>
      <c r="L410" s="0" t="str">
        <f aca="false">IFERROR(IF(OR(HLOOKUP($A410,#REF!,10,FALSE())&gt;2,HLOOKUP($A410,#REF!,10,FALSE())&lt;-2),"",#REF!),"")</f>
        <v/>
      </c>
      <c r="M410" s="0" t="str">
        <f aca="false">IFERROR(IF(OR(HLOOKUP($A410,#REF!,11,FALSE())&gt;2,HLOOKUP($A410,#REF!,11,FALSE())&lt;-2),"",#REF!),"")</f>
        <v/>
      </c>
      <c r="N410" s="0" t="str">
        <f aca="false">IFERROR(IF(OR(HLOOKUP($A410,#REF!,12,FALSE())&gt;2,HLOOKUP($A410,#REF!,12,FALSE())&lt;-2),"",#REF!),"")</f>
        <v/>
      </c>
      <c r="O410" s="0" t="str">
        <f aca="false">IFERROR(IF(OR(HLOOKUP($A410,#REF!,13,FALSE())&gt;2,HLOOKUP($A410,#REF!,13,FALSE())&lt;-2),"",#REF!),"")</f>
        <v/>
      </c>
      <c r="P410" s="0" t="str">
        <f aca="false">IFERROR(IF(OR(HLOOKUP($A410,#REF!,14,FALSE())&gt;2,HLOOKUP($A410,#REF!,14,FALSE())&lt;-2),"",#REF!),"")</f>
        <v/>
      </c>
      <c r="Q410" s="0" t="str">
        <f aca="false">IFERROR(IF(OR(HLOOKUP($A410,#REF!,15,FALSE())&gt;2,HLOOKUP($A410,#REF!,15,FALSE())&lt;-2),"",#REF!),"")</f>
        <v/>
      </c>
      <c r="R410" s="0" t="str">
        <f aca="false">IFERROR(IF(OR(HLOOKUP($A410,#REF!,16,FALSE())&gt;2,HLOOKUP($A410,#REF!,16,FALSE())&lt;-2),"",#REF!),"")</f>
        <v/>
      </c>
      <c r="S410" s="0" t="str">
        <f aca="false">IFERROR(IF(OR(HLOOKUP($A410,#REF!,17,FALSE())&gt;2,HLOOKUP($A410,#REF!,17,FALSE())&lt;-2),"",#REF!),"")</f>
        <v/>
      </c>
      <c r="T410" s="0" t="str">
        <f aca="false">IFERROR(IF(OR(HLOOKUP($A410,#REF!,18,FALSE())&gt;2,HLOOKUP($A410,#REF!,18,FALSE())&lt;-2),"",#REF!),"")</f>
        <v/>
      </c>
      <c r="U410" s="0" t="str">
        <f aca="false">IFERROR(IF(OR(HLOOKUP($A410,#REF!,19,FALSE())&gt;2,HLOOKUP($A410,#REF!,19,FALSE())&lt;-2),"",#REF!),"")</f>
        <v/>
      </c>
      <c r="V410" s="0" t="n">
        <f aca="false">IFERROR(IF(AND(X410=0,Y410=0),0,1),0)</f>
        <v>1</v>
      </c>
      <c r="W410" s="3" t="str">
        <f aca="false">IFERROR(_xlfn.T.TEST(E410:M410,N410:U410,2,2),"")</f>
        <v/>
      </c>
      <c r="X410" s="0" t="str">
        <f aca="false">IFERROR(AVERAGE(E410:M410),"")</f>
        <v/>
      </c>
      <c r="Y410" s="0" t="str">
        <f aca="false">IFERROR(AVERAGE(N410:U410),"")</f>
        <v/>
      </c>
    </row>
    <row r="411" customFormat="false" ht="14.5" hidden="false" customHeight="false" outlineLevel="0" collapsed="false">
      <c r="A411" s="0" t="n">
        <v>419</v>
      </c>
      <c r="B411" s="0" t="s">
        <v>487</v>
      </c>
      <c r="C411" s="0" t="n">
        <v>44100</v>
      </c>
      <c r="D411" s="0" t="n">
        <v>934</v>
      </c>
      <c r="E411" s="0" t="str">
        <f aca="false">IFERROR(IF(OR(HLOOKUP($A411,#REF!,3,FALSE())&gt;2,HLOOKUP(A411,#REF!,3,FALSE())&lt;-2),"",#REF!),"")</f>
        <v/>
      </c>
      <c r="F411" s="0" t="str">
        <f aca="false">IFERROR(IF(OR(HLOOKUP($A411,#REF!,4,FALSE())&gt;2,HLOOKUP($A411,#REF!,4,FALSE())&lt;-2),"",#REF!),"")</f>
        <v/>
      </c>
      <c r="G411" s="0" t="str">
        <f aca="false">IFERROR(IF(OR(HLOOKUP($A411,#REF!,5,FALSE())&gt;2,HLOOKUP($A411,#REF!,5,FALSE())&lt;-2),"",#REF!),"")</f>
        <v/>
      </c>
      <c r="H411" s="0" t="str">
        <f aca="false">IFERROR(IF(OR(HLOOKUP($A411,#REF!,6,FALSE())&gt;2,HLOOKUP($A411,#REF!,6,FALSE())&lt;-2),"",#REF!),"")</f>
        <v/>
      </c>
      <c r="I411" s="0" t="str">
        <f aca="false">IFERROR(IF(OR(HLOOKUP($A411,#REF!,7,FALSE())&gt;2,HLOOKUP($A411,#REF!,7,FALSE())&lt;-2),"",#REF!),"")</f>
        <v/>
      </c>
      <c r="J411" s="0" t="str">
        <f aca="false">IFERROR(IF(OR(HLOOKUP($A411,#REF!,8,FALSE())&gt;2,HLOOKUP($A411,#REF!,8,FALSE())&lt;-2),"",#REF!),"")</f>
        <v/>
      </c>
      <c r="K411" s="0" t="str">
        <f aca="false">IFERROR(IF(OR(HLOOKUP($A411,#REF!,9,FALSE())&gt;2,HLOOKUP($A411,#REF!,9,FALSE())&lt;-2),"",#REF!),"")</f>
        <v/>
      </c>
      <c r="L411" s="0" t="str">
        <f aca="false">IFERROR(IF(OR(HLOOKUP($A411,#REF!,10,FALSE())&gt;2,HLOOKUP($A411,#REF!,10,FALSE())&lt;-2),"",#REF!),"")</f>
        <v/>
      </c>
      <c r="M411" s="0" t="str">
        <f aca="false">IFERROR(IF(OR(HLOOKUP($A411,#REF!,11,FALSE())&gt;2,HLOOKUP($A411,#REF!,11,FALSE())&lt;-2),"",#REF!),"")</f>
        <v/>
      </c>
      <c r="N411" s="0" t="str">
        <f aca="false">IFERROR(IF(OR(HLOOKUP($A411,#REF!,12,FALSE())&gt;2,HLOOKUP($A411,#REF!,12,FALSE())&lt;-2),"",#REF!),"")</f>
        <v/>
      </c>
      <c r="O411" s="0" t="str">
        <f aca="false">IFERROR(IF(OR(HLOOKUP($A411,#REF!,13,FALSE())&gt;2,HLOOKUP($A411,#REF!,13,FALSE())&lt;-2),"",#REF!),"")</f>
        <v/>
      </c>
      <c r="P411" s="0" t="str">
        <f aca="false">IFERROR(IF(OR(HLOOKUP($A411,#REF!,14,FALSE())&gt;2,HLOOKUP($A411,#REF!,14,FALSE())&lt;-2),"",#REF!),"")</f>
        <v/>
      </c>
      <c r="Q411" s="0" t="str">
        <f aca="false">IFERROR(IF(OR(HLOOKUP($A411,#REF!,15,FALSE())&gt;2,HLOOKUP($A411,#REF!,15,FALSE())&lt;-2),"",#REF!),"")</f>
        <v/>
      </c>
      <c r="R411" s="0" t="str">
        <f aca="false">IFERROR(IF(OR(HLOOKUP($A411,#REF!,16,FALSE())&gt;2,HLOOKUP($A411,#REF!,16,FALSE())&lt;-2),"",#REF!),"")</f>
        <v/>
      </c>
      <c r="S411" s="0" t="str">
        <f aca="false">IFERROR(IF(OR(HLOOKUP($A411,#REF!,17,FALSE())&gt;2,HLOOKUP($A411,#REF!,17,FALSE())&lt;-2),"",#REF!),"")</f>
        <v/>
      </c>
      <c r="T411" s="0" t="str">
        <f aca="false">IFERROR(IF(OR(HLOOKUP($A411,#REF!,18,FALSE())&gt;2,HLOOKUP($A411,#REF!,18,FALSE())&lt;-2),"",#REF!),"")</f>
        <v/>
      </c>
      <c r="U411" s="0" t="str">
        <f aca="false">IFERROR(IF(OR(HLOOKUP($A411,#REF!,19,FALSE())&gt;2,HLOOKUP($A411,#REF!,19,FALSE())&lt;-2),"",#REF!),"")</f>
        <v/>
      </c>
      <c r="V411" s="0" t="n">
        <f aca="false">IFERROR(IF(AND(X411=0,Y411=0),0,1),0)</f>
        <v>1</v>
      </c>
      <c r="W411" s="3" t="str">
        <f aca="false">IFERROR(_xlfn.T.TEST(E411:M411,N411:U411,2,2),"")</f>
        <v/>
      </c>
      <c r="X411" s="0" t="str">
        <f aca="false">IFERROR(AVERAGE(E411:M411),"")</f>
        <v/>
      </c>
      <c r="Y411" s="0" t="str">
        <f aca="false">IFERROR(AVERAGE(N411:U411),"")</f>
        <v/>
      </c>
    </row>
    <row r="412" customFormat="false" ht="14.5" hidden="false" customHeight="false" outlineLevel="0" collapsed="false">
      <c r="A412" s="0" t="n">
        <v>420</v>
      </c>
      <c r="B412" s="0" t="s">
        <v>488</v>
      </c>
      <c r="C412" s="0" t="n">
        <v>111600</v>
      </c>
      <c r="D412" s="0" t="n">
        <v>745</v>
      </c>
      <c r="E412" s="0" t="str">
        <f aca="false">IFERROR(IF(OR(HLOOKUP($A412,#REF!,3,FALSE())&gt;2,HLOOKUP(A412,#REF!,3,FALSE())&lt;-2),"",#REF!),"")</f>
        <v/>
      </c>
      <c r="F412" s="0" t="str">
        <f aca="false">IFERROR(IF(OR(HLOOKUP($A412,#REF!,4,FALSE())&gt;2,HLOOKUP($A412,#REF!,4,FALSE())&lt;-2),"",#REF!),"")</f>
        <v/>
      </c>
      <c r="G412" s="0" t="str">
        <f aca="false">IFERROR(IF(OR(HLOOKUP($A412,#REF!,5,FALSE())&gt;2,HLOOKUP($A412,#REF!,5,FALSE())&lt;-2),"",#REF!),"")</f>
        <v/>
      </c>
      <c r="H412" s="0" t="str">
        <f aca="false">IFERROR(IF(OR(HLOOKUP($A412,#REF!,6,FALSE())&gt;2,HLOOKUP($A412,#REF!,6,FALSE())&lt;-2),"",#REF!),"")</f>
        <v/>
      </c>
      <c r="I412" s="0" t="str">
        <f aca="false">IFERROR(IF(OR(HLOOKUP($A412,#REF!,7,FALSE())&gt;2,HLOOKUP($A412,#REF!,7,FALSE())&lt;-2),"",#REF!),"")</f>
        <v/>
      </c>
      <c r="J412" s="0" t="str">
        <f aca="false">IFERROR(IF(OR(HLOOKUP($A412,#REF!,8,FALSE())&gt;2,HLOOKUP($A412,#REF!,8,FALSE())&lt;-2),"",#REF!),"")</f>
        <v/>
      </c>
      <c r="K412" s="0" t="str">
        <f aca="false">IFERROR(IF(OR(HLOOKUP($A412,#REF!,9,FALSE())&gt;2,HLOOKUP($A412,#REF!,9,FALSE())&lt;-2),"",#REF!),"")</f>
        <v/>
      </c>
      <c r="L412" s="0" t="str">
        <f aca="false">IFERROR(IF(OR(HLOOKUP($A412,#REF!,10,FALSE())&gt;2,HLOOKUP($A412,#REF!,10,FALSE())&lt;-2),"",#REF!),"")</f>
        <v/>
      </c>
      <c r="M412" s="0" t="str">
        <f aca="false">IFERROR(IF(OR(HLOOKUP($A412,#REF!,11,FALSE())&gt;2,HLOOKUP($A412,#REF!,11,FALSE())&lt;-2),"",#REF!),"")</f>
        <v/>
      </c>
      <c r="N412" s="0" t="str">
        <f aca="false">IFERROR(IF(OR(HLOOKUP($A412,#REF!,12,FALSE())&gt;2,HLOOKUP($A412,#REF!,12,FALSE())&lt;-2),"",#REF!),"")</f>
        <v/>
      </c>
      <c r="O412" s="0" t="str">
        <f aca="false">IFERROR(IF(OR(HLOOKUP($A412,#REF!,13,FALSE())&gt;2,HLOOKUP($A412,#REF!,13,FALSE())&lt;-2),"",#REF!),"")</f>
        <v/>
      </c>
      <c r="P412" s="0" t="str">
        <f aca="false">IFERROR(IF(OR(HLOOKUP($A412,#REF!,14,FALSE())&gt;2,HLOOKUP($A412,#REF!,14,FALSE())&lt;-2),"",#REF!),"")</f>
        <v/>
      </c>
      <c r="Q412" s="0" t="str">
        <f aca="false">IFERROR(IF(OR(HLOOKUP($A412,#REF!,15,FALSE())&gt;2,HLOOKUP($A412,#REF!,15,FALSE())&lt;-2),"",#REF!),"")</f>
        <v/>
      </c>
      <c r="R412" s="0" t="str">
        <f aca="false">IFERROR(IF(OR(HLOOKUP($A412,#REF!,16,FALSE())&gt;2,HLOOKUP($A412,#REF!,16,FALSE())&lt;-2),"",#REF!),"")</f>
        <v/>
      </c>
      <c r="S412" s="0" t="str">
        <f aca="false">IFERROR(IF(OR(HLOOKUP($A412,#REF!,17,FALSE())&gt;2,HLOOKUP($A412,#REF!,17,FALSE())&lt;-2),"",#REF!),"")</f>
        <v/>
      </c>
      <c r="T412" s="0" t="str">
        <f aca="false">IFERROR(IF(OR(HLOOKUP($A412,#REF!,18,FALSE())&gt;2,HLOOKUP($A412,#REF!,18,FALSE())&lt;-2),"",#REF!),"")</f>
        <v/>
      </c>
      <c r="U412" s="0" t="str">
        <f aca="false">IFERROR(IF(OR(HLOOKUP($A412,#REF!,19,FALSE())&gt;2,HLOOKUP($A412,#REF!,19,FALSE())&lt;-2),"",#REF!),"")</f>
        <v/>
      </c>
      <c r="V412" s="0" t="n">
        <f aca="false">IFERROR(IF(AND(X412=0,Y412=0),0,1),0)</f>
        <v>1</v>
      </c>
      <c r="W412" s="3" t="str">
        <f aca="false">IFERROR(_xlfn.T.TEST(E412:M412,N412:U412,2,2),"")</f>
        <v/>
      </c>
      <c r="X412" s="0" t="str">
        <f aca="false">IFERROR(AVERAGE(E412:M412),"")</f>
        <v/>
      </c>
      <c r="Y412" s="0" t="str">
        <f aca="false">IFERROR(AVERAGE(N412:U412),"")</f>
        <v/>
      </c>
    </row>
    <row r="413" customFormat="false" ht="14.5" hidden="false" customHeight="false" outlineLevel="0" collapsed="false">
      <c r="A413" s="0" t="n">
        <v>421</v>
      </c>
      <c r="B413" s="0" t="s">
        <v>489</v>
      </c>
      <c r="C413" s="0" t="n">
        <v>15600</v>
      </c>
      <c r="D413" s="0" t="n">
        <v>409</v>
      </c>
      <c r="E413" s="0" t="str">
        <f aca="false">IFERROR(IF(OR(HLOOKUP($A413,#REF!,3,FALSE())&gt;2,HLOOKUP(A413,#REF!,3,FALSE())&lt;-2),"",#REF!),"")</f>
        <v/>
      </c>
      <c r="F413" s="0" t="str">
        <f aca="false">IFERROR(IF(OR(HLOOKUP($A413,#REF!,4,FALSE())&gt;2,HLOOKUP($A413,#REF!,4,FALSE())&lt;-2),"",#REF!),"")</f>
        <v/>
      </c>
      <c r="G413" s="0" t="str">
        <f aca="false">IFERROR(IF(OR(HLOOKUP($A413,#REF!,5,FALSE())&gt;2,HLOOKUP($A413,#REF!,5,FALSE())&lt;-2),"",#REF!),"")</f>
        <v/>
      </c>
      <c r="H413" s="0" t="str">
        <f aca="false">IFERROR(IF(OR(HLOOKUP($A413,#REF!,6,FALSE())&gt;2,HLOOKUP($A413,#REF!,6,FALSE())&lt;-2),"",#REF!),"")</f>
        <v/>
      </c>
      <c r="I413" s="0" t="str">
        <f aca="false">IFERROR(IF(OR(HLOOKUP($A413,#REF!,7,FALSE())&gt;2,HLOOKUP($A413,#REF!,7,FALSE())&lt;-2),"",#REF!),"")</f>
        <v/>
      </c>
      <c r="J413" s="0" t="str">
        <f aca="false">IFERROR(IF(OR(HLOOKUP($A413,#REF!,8,FALSE())&gt;2,HLOOKUP($A413,#REF!,8,FALSE())&lt;-2),"",#REF!),"")</f>
        <v/>
      </c>
      <c r="K413" s="0" t="str">
        <f aca="false">IFERROR(IF(OR(HLOOKUP($A413,#REF!,9,FALSE())&gt;2,HLOOKUP($A413,#REF!,9,FALSE())&lt;-2),"",#REF!),"")</f>
        <v/>
      </c>
      <c r="L413" s="0" t="str">
        <f aca="false">IFERROR(IF(OR(HLOOKUP($A413,#REF!,10,FALSE())&gt;2,HLOOKUP($A413,#REF!,10,FALSE())&lt;-2),"",#REF!),"")</f>
        <v/>
      </c>
      <c r="M413" s="0" t="str">
        <f aca="false">IFERROR(IF(OR(HLOOKUP($A413,#REF!,11,FALSE())&gt;2,HLOOKUP($A413,#REF!,11,FALSE())&lt;-2),"",#REF!),"")</f>
        <v/>
      </c>
      <c r="N413" s="0" t="str">
        <f aca="false">IFERROR(IF(OR(HLOOKUP($A413,#REF!,12,FALSE())&gt;2,HLOOKUP($A413,#REF!,12,FALSE())&lt;-2),"",#REF!),"")</f>
        <v/>
      </c>
      <c r="O413" s="0" t="str">
        <f aca="false">IFERROR(IF(OR(HLOOKUP($A413,#REF!,13,FALSE())&gt;2,HLOOKUP($A413,#REF!,13,FALSE())&lt;-2),"",#REF!),"")</f>
        <v/>
      </c>
      <c r="P413" s="0" t="str">
        <f aca="false">IFERROR(IF(OR(HLOOKUP($A413,#REF!,14,FALSE())&gt;2,HLOOKUP($A413,#REF!,14,FALSE())&lt;-2),"",#REF!),"")</f>
        <v/>
      </c>
      <c r="Q413" s="0" t="str">
        <f aca="false">IFERROR(IF(OR(HLOOKUP($A413,#REF!,15,FALSE())&gt;2,HLOOKUP($A413,#REF!,15,FALSE())&lt;-2),"",#REF!),"")</f>
        <v/>
      </c>
      <c r="R413" s="0" t="str">
        <f aca="false">IFERROR(IF(OR(HLOOKUP($A413,#REF!,16,FALSE())&gt;2,HLOOKUP($A413,#REF!,16,FALSE())&lt;-2),"",#REF!),"")</f>
        <v/>
      </c>
      <c r="S413" s="0" t="str">
        <f aca="false">IFERROR(IF(OR(HLOOKUP($A413,#REF!,17,FALSE())&gt;2,HLOOKUP($A413,#REF!,17,FALSE())&lt;-2),"",#REF!),"")</f>
        <v/>
      </c>
      <c r="T413" s="0" t="str">
        <f aca="false">IFERROR(IF(OR(HLOOKUP($A413,#REF!,18,FALSE())&gt;2,HLOOKUP($A413,#REF!,18,FALSE())&lt;-2),"",#REF!),"")</f>
        <v/>
      </c>
      <c r="U413" s="0" t="str">
        <f aca="false">IFERROR(IF(OR(HLOOKUP($A413,#REF!,19,FALSE())&gt;2,HLOOKUP($A413,#REF!,19,FALSE())&lt;-2),"",#REF!),"")</f>
        <v/>
      </c>
      <c r="V413" s="0" t="n">
        <f aca="false">IFERROR(IF(AND(X413=0,Y413=0),0,1),0)</f>
        <v>1</v>
      </c>
      <c r="W413" s="3" t="str">
        <f aca="false">IFERROR(_xlfn.T.TEST(E413:M413,N413:U413,2,2),"")</f>
        <v/>
      </c>
      <c r="X413" s="0" t="str">
        <f aca="false">IFERROR(AVERAGE(E413:M413),"")</f>
        <v/>
      </c>
      <c r="Y413" s="0" t="str">
        <f aca="false">IFERROR(AVERAGE(N413:U413),"")</f>
        <v/>
      </c>
    </row>
    <row r="414" customFormat="false" ht="14.5" hidden="false" customHeight="false" outlineLevel="0" collapsed="false">
      <c r="A414" s="0" t="n">
        <v>422</v>
      </c>
      <c r="B414" s="0" t="s">
        <v>490</v>
      </c>
      <c r="C414" s="0" t="n">
        <v>64700</v>
      </c>
      <c r="D414" s="0" t="n">
        <v>406</v>
      </c>
      <c r="E414" s="0" t="str">
        <f aca="false">IFERROR(IF(OR(HLOOKUP($A414,#REF!,3,FALSE())&gt;2,HLOOKUP(A414,#REF!,3,FALSE())&lt;-2),"",#REF!),"")</f>
        <v/>
      </c>
      <c r="F414" s="0" t="str">
        <f aca="false">IFERROR(IF(OR(HLOOKUP($A414,#REF!,4,FALSE())&gt;2,HLOOKUP($A414,#REF!,4,FALSE())&lt;-2),"",#REF!),"")</f>
        <v/>
      </c>
      <c r="G414" s="0" t="str">
        <f aca="false">IFERROR(IF(OR(HLOOKUP($A414,#REF!,5,FALSE())&gt;2,HLOOKUP($A414,#REF!,5,FALSE())&lt;-2),"",#REF!),"")</f>
        <v/>
      </c>
      <c r="H414" s="0" t="str">
        <f aca="false">IFERROR(IF(OR(HLOOKUP($A414,#REF!,6,FALSE())&gt;2,HLOOKUP($A414,#REF!,6,FALSE())&lt;-2),"",#REF!),"")</f>
        <v/>
      </c>
      <c r="I414" s="0" t="str">
        <f aca="false">IFERROR(IF(OR(HLOOKUP($A414,#REF!,7,FALSE())&gt;2,HLOOKUP($A414,#REF!,7,FALSE())&lt;-2),"",#REF!),"")</f>
        <v/>
      </c>
      <c r="J414" s="0" t="str">
        <f aca="false">IFERROR(IF(OR(HLOOKUP($A414,#REF!,8,FALSE())&gt;2,HLOOKUP($A414,#REF!,8,FALSE())&lt;-2),"",#REF!),"")</f>
        <v/>
      </c>
      <c r="K414" s="0" t="str">
        <f aca="false">IFERROR(IF(OR(HLOOKUP($A414,#REF!,9,FALSE())&gt;2,HLOOKUP($A414,#REF!,9,FALSE())&lt;-2),"",#REF!),"")</f>
        <v/>
      </c>
      <c r="L414" s="0" t="str">
        <f aca="false">IFERROR(IF(OR(HLOOKUP($A414,#REF!,10,FALSE())&gt;2,HLOOKUP($A414,#REF!,10,FALSE())&lt;-2),"",#REF!),"")</f>
        <v/>
      </c>
      <c r="M414" s="0" t="str">
        <f aca="false">IFERROR(IF(OR(HLOOKUP($A414,#REF!,11,FALSE())&gt;2,HLOOKUP($A414,#REF!,11,FALSE())&lt;-2),"",#REF!),"")</f>
        <v/>
      </c>
      <c r="N414" s="0" t="str">
        <f aca="false">IFERROR(IF(OR(HLOOKUP($A414,#REF!,12,FALSE())&gt;2,HLOOKUP($A414,#REF!,12,FALSE())&lt;-2),"",#REF!),"")</f>
        <v/>
      </c>
      <c r="O414" s="0" t="str">
        <f aca="false">IFERROR(IF(OR(HLOOKUP($A414,#REF!,13,FALSE())&gt;2,HLOOKUP($A414,#REF!,13,FALSE())&lt;-2),"",#REF!),"")</f>
        <v/>
      </c>
      <c r="P414" s="0" t="str">
        <f aca="false">IFERROR(IF(OR(HLOOKUP($A414,#REF!,14,FALSE())&gt;2,HLOOKUP($A414,#REF!,14,FALSE())&lt;-2),"",#REF!),"")</f>
        <v/>
      </c>
      <c r="Q414" s="0" t="str">
        <f aca="false">IFERROR(IF(OR(HLOOKUP($A414,#REF!,15,FALSE())&gt;2,HLOOKUP($A414,#REF!,15,FALSE())&lt;-2),"",#REF!),"")</f>
        <v/>
      </c>
      <c r="R414" s="0" t="str">
        <f aca="false">IFERROR(IF(OR(HLOOKUP($A414,#REF!,16,FALSE())&gt;2,HLOOKUP($A414,#REF!,16,FALSE())&lt;-2),"",#REF!),"")</f>
        <v/>
      </c>
      <c r="S414" s="0" t="str">
        <f aca="false">IFERROR(IF(OR(HLOOKUP($A414,#REF!,17,FALSE())&gt;2,HLOOKUP($A414,#REF!,17,FALSE())&lt;-2),"",#REF!),"")</f>
        <v/>
      </c>
      <c r="T414" s="0" t="str">
        <f aca="false">IFERROR(IF(OR(HLOOKUP($A414,#REF!,18,FALSE())&gt;2,HLOOKUP($A414,#REF!,18,FALSE())&lt;-2),"",#REF!),"")</f>
        <v/>
      </c>
      <c r="U414" s="0" t="str">
        <f aca="false">IFERROR(IF(OR(HLOOKUP($A414,#REF!,19,FALSE())&gt;2,HLOOKUP($A414,#REF!,19,FALSE())&lt;-2),"",#REF!),"")</f>
        <v/>
      </c>
      <c r="V414" s="0" t="n">
        <f aca="false">IFERROR(IF(AND(X414=0,Y414=0),0,1),0)</f>
        <v>1</v>
      </c>
      <c r="W414" s="3" t="str">
        <f aca="false">IFERROR(_xlfn.T.TEST(E414:M414,N414:U414,2,2),"")</f>
        <v/>
      </c>
      <c r="X414" s="0" t="str">
        <f aca="false">IFERROR(AVERAGE(E414:M414),"")</f>
        <v/>
      </c>
      <c r="Y414" s="0" t="str">
        <f aca="false">IFERROR(AVERAGE(N414:U414),"")</f>
        <v/>
      </c>
    </row>
    <row r="415" customFormat="false" ht="14.5" hidden="false" customHeight="false" outlineLevel="0" collapsed="false">
      <c r="A415" s="0" t="n">
        <v>423</v>
      </c>
      <c r="B415" s="0" t="s">
        <v>491</v>
      </c>
      <c r="C415" s="0" t="n">
        <v>38200</v>
      </c>
      <c r="D415" s="0" t="n">
        <v>375</v>
      </c>
      <c r="E415" s="0" t="str">
        <f aca="false">IFERROR(IF(OR(HLOOKUP($A415,#REF!,3,FALSE())&gt;2,HLOOKUP(A415,#REF!,3,FALSE())&lt;-2),"",#REF!),"")</f>
        <v/>
      </c>
      <c r="F415" s="0" t="str">
        <f aca="false">IFERROR(IF(OR(HLOOKUP($A415,#REF!,4,FALSE())&gt;2,HLOOKUP($A415,#REF!,4,FALSE())&lt;-2),"",#REF!),"")</f>
        <v/>
      </c>
      <c r="G415" s="0" t="str">
        <f aca="false">IFERROR(IF(OR(HLOOKUP($A415,#REF!,5,FALSE())&gt;2,HLOOKUP($A415,#REF!,5,FALSE())&lt;-2),"",#REF!),"")</f>
        <v/>
      </c>
      <c r="H415" s="0" t="str">
        <f aca="false">IFERROR(IF(OR(HLOOKUP($A415,#REF!,6,FALSE())&gt;2,HLOOKUP($A415,#REF!,6,FALSE())&lt;-2),"",#REF!),"")</f>
        <v/>
      </c>
      <c r="I415" s="0" t="str">
        <f aca="false">IFERROR(IF(OR(HLOOKUP($A415,#REF!,7,FALSE())&gt;2,HLOOKUP($A415,#REF!,7,FALSE())&lt;-2),"",#REF!),"")</f>
        <v/>
      </c>
      <c r="J415" s="0" t="str">
        <f aca="false">IFERROR(IF(OR(HLOOKUP($A415,#REF!,8,FALSE())&gt;2,HLOOKUP($A415,#REF!,8,FALSE())&lt;-2),"",#REF!),"")</f>
        <v/>
      </c>
      <c r="K415" s="0" t="str">
        <f aca="false">IFERROR(IF(OR(HLOOKUP($A415,#REF!,9,FALSE())&gt;2,HLOOKUP($A415,#REF!,9,FALSE())&lt;-2),"",#REF!),"")</f>
        <v/>
      </c>
      <c r="L415" s="0" t="str">
        <f aca="false">IFERROR(IF(OR(HLOOKUP($A415,#REF!,10,FALSE())&gt;2,HLOOKUP($A415,#REF!,10,FALSE())&lt;-2),"",#REF!),"")</f>
        <v/>
      </c>
      <c r="M415" s="0" t="str">
        <f aca="false">IFERROR(IF(OR(HLOOKUP($A415,#REF!,11,FALSE())&gt;2,HLOOKUP($A415,#REF!,11,FALSE())&lt;-2),"",#REF!),"")</f>
        <v/>
      </c>
      <c r="N415" s="0" t="str">
        <f aca="false">IFERROR(IF(OR(HLOOKUP($A415,#REF!,12,FALSE())&gt;2,HLOOKUP($A415,#REF!,12,FALSE())&lt;-2),"",#REF!),"")</f>
        <v/>
      </c>
      <c r="O415" s="0" t="str">
        <f aca="false">IFERROR(IF(OR(HLOOKUP($A415,#REF!,13,FALSE())&gt;2,HLOOKUP($A415,#REF!,13,FALSE())&lt;-2),"",#REF!),"")</f>
        <v/>
      </c>
      <c r="P415" s="0" t="str">
        <f aca="false">IFERROR(IF(OR(HLOOKUP($A415,#REF!,14,FALSE())&gt;2,HLOOKUP($A415,#REF!,14,FALSE())&lt;-2),"",#REF!),"")</f>
        <v/>
      </c>
      <c r="Q415" s="0" t="str">
        <f aca="false">IFERROR(IF(OR(HLOOKUP($A415,#REF!,15,FALSE())&gt;2,HLOOKUP($A415,#REF!,15,FALSE())&lt;-2),"",#REF!),"")</f>
        <v/>
      </c>
      <c r="R415" s="0" t="str">
        <f aca="false">IFERROR(IF(OR(HLOOKUP($A415,#REF!,16,FALSE())&gt;2,HLOOKUP($A415,#REF!,16,FALSE())&lt;-2),"",#REF!),"")</f>
        <v/>
      </c>
      <c r="S415" s="0" t="str">
        <f aca="false">IFERROR(IF(OR(HLOOKUP($A415,#REF!,17,FALSE())&gt;2,HLOOKUP($A415,#REF!,17,FALSE())&lt;-2),"",#REF!),"")</f>
        <v/>
      </c>
      <c r="T415" s="0" t="str">
        <f aca="false">IFERROR(IF(OR(HLOOKUP($A415,#REF!,18,FALSE())&gt;2,HLOOKUP($A415,#REF!,18,FALSE())&lt;-2),"",#REF!),"")</f>
        <v/>
      </c>
      <c r="U415" s="0" t="str">
        <f aca="false">IFERROR(IF(OR(HLOOKUP($A415,#REF!,19,FALSE())&gt;2,HLOOKUP($A415,#REF!,19,FALSE())&lt;-2),"",#REF!),"")</f>
        <v/>
      </c>
      <c r="V415" s="0" t="n">
        <f aca="false">IFERROR(IF(AND(X415=0,Y415=0),0,1),0)</f>
        <v>1</v>
      </c>
      <c r="W415" s="3" t="str">
        <f aca="false">IFERROR(_xlfn.T.TEST(E415:M415,N415:U415,2,2),"")</f>
        <v/>
      </c>
      <c r="X415" s="0" t="str">
        <f aca="false">IFERROR(AVERAGE(E415:M415),"")</f>
        <v/>
      </c>
      <c r="Y415" s="0" t="str">
        <f aca="false">IFERROR(AVERAGE(N415:U415),"")</f>
        <v/>
      </c>
    </row>
    <row r="416" customFormat="false" ht="14.5" hidden="false" customHeight="false" outlineLevel="0" collapsed="false">
      <c r="A416" s="0" t="n">
        <v>424</v>
      </c>
      <c r="B416" s="0" t="s">
        <v>492</v>
      </c>
      <c r="C416" s="0" t="n">
        <v>36800</v>
      </c>
      <c r="D416" s="0" t="n">
        <v>788</v>
      </c>
      <c r="E416" s="0" t="str">
        <f aca="false">IFERROR(IF(OR(HLOOKUP($A416,#REF!,3,FALSE())&gt;2,HLOOKUP(A416,#REF!,3,FALSE())&lt;-2),"",#REF!),"")</f>
        <v/>
      </c>
      <c r="F416" s="0" t="str">
        <f aca="false">IFERROR(IF(OR(HLOOKUP($A416,#REF!,4,FALSE())&gt;2,HLOOKUP($A416,#REF!,4,FALSE())&lt;-2),"",#REF!),"")</f>
        <v/>
      </c>
      <c r="G416" s="0" t="str">
        <f aca="false">IFERROR(IF(OR(HLOOKUP($A416,#REF!,5,FALSE())&gt;2,HLOOKUP($A416,#REF!,5,FALSE())&lt;-2),"",#REF!),"")</f>
        <v/>
      </c>
      <c r="H416" s="0" t="str">
        <f aca="false">IFERROR(IF(OR(HLOOKUP($A416,#REF!,6,FALSE())&gt;2,HLOOKUP($A416,#REF!,6,FALSE())&lt;-2),"",#REF!),"")</f>
        <v/>
      </c>
      <c r="I416" s="0" t="str">
        <f aca="false">IFERROR(IF(OR(HLOOKUP($A416,#REF!,7,FALSE())&gt;2,HLOOKUP($A416,#REF!,7,FALSE())&lt;-2),"",#REF!),"")</f>
        <v/>
      </c>
      <c r="J416" s="0" t="str">
        <f aca="false">IFERROR(IF(OR(HLOOKUP($A416,#REF!,8,FALSE())&gt;2,HLOOKUP($A416,#REF!,8,FALSE())&lt;-2),"",#REF!),"")</f>
        <v/>
      </c>
      <c r="K416" s="0" t="str">
        <f aca="false">IFERROR(IF(OR(HLOOKUP($A416,#REF!,9,FALSE())&gt;2,HLOOKUP($A416,#REF!,9,FALSE())&lt;-2),"",#REF!),"")</f>
        <v/>
      </c>
      <c r="L416" s="0" t="str">
        <f aca="false">IFERROR(IF(OR(HLOOKUP($A416,#REF!,10,FALSE())&gt;2,HLOOKUP($A416,#REF!,10,FALSE())&lt;-2),"",#REF!),"")</f>
        <v/>
      </c>
      <c r="M416" s="0" t="str">
        <f aca="false">IFERROR(IF(OR(HLOOKUP($A416,#REF!,11,FALSE())&gt;2,HLOOKUP($A416,#REF!,11,FALSE())&lt;-2),"",#REF!),"")</f>
        <v/>
      </c>
      <c r="N416" s="0" t="str">
        <f aca="false">IFERROR(IF(OR(HLOOKUP($A416,#REF!,12,FALSE())&gt;2,HLOOKUP($A416,#REF!,12,FALSE())&lt;-2),"",#REF!),"")</f>
        <v/>
      </c>
      <c r="O416" s="0" t="str">
        <f aca="false">IFERROR(IF(OR(HLOOKUP($A416,#REF!,13,FALSE())&gt;2,HLOOKUP($A416,#REF!,13,FALSE())&lt;-2),"",#REF!),"")</f>
        <v/>
      </c>
      <c r="P416" s="0" t="str">
        <f aca="false">IFERROR(IF(OR(HLOOKUP($A416,#REF!,14,FALSE())&gt;2,HLOOKUP($A416,#REF!,14,FALSE())&lt;-2),"",#REF!),"")</f>
        <v/>
      </c>
      <c r="Q416" s="0" t="str">
        <f aca="false">IFERROR(IF(OR(HLOOKUP($A416,#REF!,15,FALSE())&gt;2,HLOOKUP($A416,#REF!,15,FALSE())&lt;-2),"",#REF!),"")</f>
        <v/>
      </c>
      <c r="R416" s="0" t="str">
        <f aca="false">IFERROR(IF(OR(HLOOKUP($A416,#REF!,16,FALSE())&gt;2,HLOOKUP($A416,#REF!,16,FALSE())&lt;-2),"",#REF!),"")</f>
        <v/>
      </c>
      <c r="S416" s="0" t="str">
        <f aca="false">IFERROR(IF(OR(HLOOKUP($A416,#REF!,17,FALSE())&gt;2,HLOOKUP($A416,#REF!,17,FALSE())&lt;-2),"",#REF!),"")</f>
        <v/>
      </c>
      <c r="T416" s="0" t="str">
        <f aca="false">IFERROR(IF(OR(HLOOKUP($A416,#REF!,18,FALSE())&gt;2,HLOOKUP($A416,#REF!,18,FALSE())&lt;-2),"",#REF!),"")</f>
        <v/>
      </c>
      <c r="U416" s="0" t="str">
        <f aca="false">IFERROR(IF(OR(HLOOKUP($A416,#REF!,19,FALSE())&gt;2,HLOOKUP($A416,#REF!,19,FALSE())&lt;-2),"",#REF!),"")</f>
        <v/>
      </c>
      <c r="V416" s="0" t="n">
        <f aca="false">IFERROR(IF(AND(X416=0,Y416=0),0,1),0)</f>
        <v>1</v>
      </c>
      <c r="W416" s="3" t="str">
        <f aca="false">IFERROR(_xlfn.T.TEST(E416:M416,N416:U416,2,2),"")</f>
        <v/>
      </c>
      <c r="X416" s="0" t="str">
        <f aca="false">IFERROR(AVERAGE(E416:M416),"")</f>
        <v/>
      </c>
      <c r="Y416" s="0" t="str">
        <f aca="false">IFERROR(AVERAGE(N416:U416),"")</f>
        <v/>
      </c>
    </row>
    <row r="417" customFormat="false" ht="14.5" hidden="false" customHeight="false" outlineLevel="0" collapsed="false">
      <c r="A417" s="0" t="n">
        <v>425</v>
      </c>
      <c r="B417" s="0" t="s">
        <v>493</v>
      </c>
      <c r="C417" s="0" t="n">
        <v>16900</v>
      </c>
      <c r="D417" s="0" t="n">
        <v>669</v>
      </c>
      <c r="E417" s="0" t="str">
        <f aca="false">IFERROR(IF(OR(HLOOKUP($A417,#REF!,3,FALSE())&gt;2,HLOOKUP(A417,#REF!,3,FALSE())&lt;-2),"",#REF!),"")</f>
        <v/>
      </c>
      <c r="F417" s="0" t="str">
        <f aca="false">IFERROR(IF(OR(HLOOKUP($A417,#REF!,4,FALSE())&gt;2,HLOOKUP($A417,#REF!,4,FALSE())&lt;-2),"",#REF!),"")</f>
        <v/>
      </c>
      <c r="G417" s="0" t="str">
        <f aca="false">IFERROR(IF(OR(HLOOKUP($A417,#REF!,5,FALSE())&gt;2,HLOOKUP($A417,#REF!,5,FALSE())&lt;-2),"",#REF!),"")</f>
        <v/>
      </c>
      <c r="H417" s="0" t="str">
        <f aca="false">IFERROR(IF(OR(HLOOKUP($A417,#REF!,6,FALSE())&gt;2,HLOOKUP($A417,#REF!,6,FALSE())&lt;-2),"",#REF!),"")</f>
        <v/>
      </c>
      <c r="I417" s="0" t="str">
        <f aca="false">IFERROR(IF(OR(HLOOKUP($A417,#REF!,7,FALSE())&gt;2,HLOOKUP($A417,#REF!,7,FALSE())&lt;-2),"",#REF!),"")</f>
        <v/>
      </c>
      <c r="J417" s="0" t="str">
        <f aca="false">IFERROR(IF(OR(HLOOKUP($A417,#REF!,8,FALSE())&gt;2,HLOOKUP($A417,#REF!,8,FALSE())&lt;-2),"",#REF!),"")</f>
        <v/>
      </c>
      <c r="K417" s="0" t="str">
        <f aca="false">IFERROR(IF(OR(HLOOKUP($A417,#REF!,9,FALSE())&gt;2,HLOOKUP($A417,#REF!,9,FALSE())&lt;-2),"",#REF!),"")</f>
        <v/>
      </c>
      <c r="L417" s="0" t="str">
        <f aca="false">IFERROR(IF(OR(HLOOKUP($A417,#REF!,10,FALSE())&gt;2,HLOOKUP($A417,#REF!,10,FALSE())&lt;-2),"",#REF!),"")</f>
        <v/>
      </c>
      <c r="M417" s="0" t="str">
        <f aca="false">IFERROR(IF(OR(HLOOKUP($A417,#REF!,11,FALSE())&gt;2,HLOOKUP($A417,#REF!,11,FALSE())&lt;-2),"",#REF!),"")</f>
        <v/>
      </c>
      <c r="N417" s="0" t="str">
        <f aca="false">IFERROR(IF(OR(HLOOKUP($A417,#REF!,12,FALSE())&gt;2,HLOOKUP($A417,#REF!,12,FALSE())&lt;-2),"",#REF!),"")</f>
        <v/>
      </c>
      <c r="O417" s="0" t="str">
        <f aca="false">IFERROR(IF(OR(HLOOKUP($A417,#REF!,13,FALSE())&gt;2,HLOOKUP($A417,#REF!,13,FALSE())&lt;-2),"",#REF!),"")</f>
        <v/>
      </c>
      <c r="P417" s="0" t="str">
        <f aca="false">IFERROR(IF(OR(HLOOKUP($A417,#REF!,14,FALSE())&gt;2,HLOOKUP($A417,#REF!,14,FALSE())&lt;-2),"",#REF!),"")</f>
        <v/>
      </c>
      <c r="Q417" s="0" t="str">
        <f aca="false">IFERROR(IF(OR(HLOOKUP($A417,#REF!,15,FALSE())&gt;2,HLOOKUP($A417,#REF!,15,FALSE())&lt;-2),"",#REF!),"")</f>
        <v/>
      </c>
      <c r="R417" s="0" t="str">
        <f aca="false">IFERROR(IF(OR(HLOOKUP($A417,#REF!,16,FALSE())&gt;2,HLOOKUP($A417,#REF!,16,FALSE())&lt;-2),"",#REF!),"")</f>
        <v/>
      </c>
      <c r="S417" s="0" t="str">
        <f aca="false">IFERROR(IF(OR(HLOOKUP($A417,#REF!,17,FALSE())&gt;2,HLOOKUP($A417,#REF!,17,FALSE())&lt;-2),"",#REF!),"")</f>
        <v/>
      </c>
      <c r="T417" s="0" t="str">
        <f aca="false">IFERROR(IF(OR(HLOOKUP($A417,#REF!,18,FALSE())&gt;2,HLOOKUP($A417,#REF!,18,FALSE())&lt;-2),"",#REF!),"")</f>
        <v/>
      </c>
      <c r="U417" s="0" t="str">
        <f aca="false">IFERROR(IF(OR(HLOOKUP($A417,#REF!,19,FALSE())&gt;2,HLOOKUP($A417,#REF!,19,FALSE())&lt;-2),"",#REF!),"")</f>
        <v/>
      </c>
      <c r="V417" s="0" t="n">
        <f aca="false">IFERROR(IF(AND(X417=0,Y417=0),0,1),0)</f>
        <v>1</v>
      </c>
      <c r="W417" s="3" t="str">
        <f aca="false">IFERROR(_xlfn.T.TEST(E417:M417,N417:U417,2,2),"")</f>
        <v/>
      </c>
      <c r="X417" s="0" t="str">
        <f aca="false">IFERROR(AVERAGE(E417:M417),"")</f>
        <v/>
      </c>
      <c r="Y417" s="0" t="str">
        <f aca="false">IFERROR(AVERAGE(N417:U417),"")</f>
        <v/>
      </c>
    </row>
    <row r="418" customFormat="false" ht="14.5" hidden="false" customHeight="false" outlineLevel="0" collapsed="false">
      <c r="A418" s="0" t="n">
        <v>426</v>
      </c>
      <c r="B418" s="0" t="s">
        <v>494</v>
      </c>
      <c r="C418" s="0" t="n">
        <v>51100</v>
      </c>
      <c r="D418" s="0" t="n">
        <v>403</v>
      </c>
      <c r="E418" s="0" t="str">
        <f aca="false">IFERROR(IF(OR(HLOOKUP($A418,#REF!,3,FALSE())&gt;2,HLOOKUP(A418,#REF!,3,FALSE())&lt;-2),"",#REF!),"")</f>
        <v/>
      </c>
      <c r="F418" s="0" t="str">
        <f aca="false">IFERROR(IF(OR(HLOOKUP($A418,#REF!,4,FALSE())&gt;2,HLOOKUP($A418,#REF!,4,FALSE())&lt;-2),"",#REF!),"")</f>
        <v/>
      </c>
      <c r="G418" s="0" t="str">
        <f aca="false">IFERROR(IF(OR(HLOOKUP($A418,#REF!,5,FALSE())&gt;2,HLOOKUP($A418,#REF!,5,FALSE())&lt;-2),"",#REF!),"")</f>
        <v/>
      </c>
      <c r="H418" s="0" t="str">
        <f aca="false">IFERROR(IF(OR(HLOOKUP($A418,#REF!,6,FALSE())&gt;2,HLOOKUP($A418,#REF!,6,FALSE())&lt;-2),"",#REF!),"")</f>
        <v/>
      </c>
      <c r="I418" s="0" t="str">
        <f aca="false">IFERROR(IF(OR(HLOOKUP($A418,#REF!,7,FALSE())&gt;2,HLOOKUP($A418,#REF!,7,FALSE())&lt;-2),"",#REF!),"")</f>
        <v/>
      </c>
      <c r="J418" s="0" t="str">
        <f aca="false">IFERROR(IF(OR(HLOOKUP($A418,#REF!,8,FALSE())&gt;2,HLOOKUP($A418,#REF!,8,FALSE())&lt;-2),"",#REF!),"")</f>
        <v/>
      </c>
      <c r="K418" s="0" t="str">
        <f aca="false">IFERROR(IF(OR(HLOOKUP($A418,#REF!,9,FALSE())&gt;2,HLOOKUP($A418,#REF!,9,FALSE())&lt;-2),"",#REF!),"")</f>
        <v/>
      </c>
      <c r="L418" s="0" t="str">
        <f aca="false">IFERROR(IF(OR(HLOOKUP($A418,#REF!,10,FALSE())&gt;2,HLOOKUP($A418,#REF!,10,FALSE())&lt;-2),"",#REF!),"")</f>
        <v/>
      </c>
      <c r="M418" s="0" t="str">
        <f aca="false">IFERROR(IF(OR(HLOOKUP($A418,#REF!,11,FALSE())&gt;2,HLOOKUP($A418,#REF!,11,FALSE())&lt;-2),"",#REF!),"")</f>
        <v/>
      </c>
      <c r="N418" s="0" t="str">
        <f aca="false">IFERROR(IF(OR(HLOOKUP($A418,#REF!,12,FALSE())&gt;2,HLOOKUP($A418,#REF!,12,FALSE())&lt;-2),"",#REF!),"")</f>
        <v/>
      </c>
      <c r="O418" s="0" t="str">
        <f aca="false">IFERROR(IF(OR(HLOOKUP($A418,#REF!,13,FALSE())&gt;2,HLOOKUP($A418,#REF!,13,FALSE())&lt;-2),"",#REF!),"")</f>
        <v/>
      </c>
      <c r="P418" s="0" t="str">
        <f aca="false">IFERROR(IF(OR(HLOOKUP($A418,#REF!,14,FALSE())&gt;2,HLOOKUP($A418,#REF!,14,FALSE())&lt;-2),"",#REF!),"")</f>
        <v/>
      </c>
      <c r="Q418" s="0" t="str">
        <f aca="false">IFERROR(IF(OR(HLOOKUP($A418,#REF!,15,FALSE())&gt;2,HLOOKUP($A418,#REF!,15,FALSE())&lt;-2),"",#REF!),"")</f>
        <v/>
      </c>
      <c r="R418" s="0" t="str">
        <f aca="false">IFERROR(IF(OR(HLOOKUP($A418,#REF!,16,FALSE())&gt;2,HLOOKUP($A418,#REF!,16,FALSE())&lt;-2),"",#REF!),"")</f>
        <v/>
      </c>
      <c r="S418" s="0" t="str">
        <f aca="false">IFERROR(IF(OR(HLOOKUP($A418,#REF!,17,FALSE())&gt;2,HLOOKUP($A418,#REF!,17,FALSE())&lt;-2),"",#REF!),"")</f>
        <v/>
      </c>
      <c r="T418" s="0" t="str">
        <f aca="false">IFERROR(IF(OR(HLOOKUP($A418,#REF!,18,FALSE())&gt;2,HLOOKUP($A418,#REF!,18,FALSE())&lt;-2),"",#REF!),"")</f>
        <v/>
      </c>
      <c r="U418" s="0" t="str">
        <f aca="false">IFERROR(IF(OR(HLOOKUP($A418,#REF!,19,FALSE())&gt;2,HLOOKUP($A418,#REF!,19,FALSE())&lt;-2),"",#REF!),"")</f>
        <v/>
      </c>
      <c r="V418" s="0" t="n">
        <f aca="false">IFERROR(IF(AND(X418=0,Y418=0),0,1),0)</f>
        <v>1</v>
      </c>
      <c r="W418" s="3" t="str">
        <f aca="false">IFERROR(_xlfn.T.TEST(E418:M418,N418:U418,2,2),"")</f>
        <v/>
      </c>
      <c r="X418" s="0" t="str">
        <f aca="false">IFERROR(AVERAGE(E418:M418),"")</f>
        <v/>
      </c>
      <c r="Y418" s="0" t="str">
        <f aca="false">IFERROR(AVERAGE(N418:U418),"")</f>
        <v/>
      </c>
    </row>
    <row r="419" customFormat="false" ht="14.5" hidden="false" customHeight="false" outlineLevel="0" collapsed="false">
      <c r="A419" s="0" t="n">
        <v>427</v>
      </c>
      <c r="B419" s="0" t="s">
        <v>495</v>
      </c>
      <c r="C419" s="0" t="n">
        <v>29500</v>
      </c>
      <c r="D419" s="0" t="n">
        <v>895</v>
      </c>
      <c r="E419" s="0" t="str">
        <f aca="false">IFERROR(IF(OR(HLOOKUP($A419,#REF!,3,FALSE())&gt;2,HLOOKUP(A419,#REF!,3,FALSE())&lt;-2),"",#REF!),"")</f>
        <v/>
      </c>
      <c r="F419" s="0" t="str">
        <f aca="false">IFERROR(IF(OR(HLOOKUP($A419,#REF!,4,FALSE())&gt;2,HLOOKUP($A419,#REF!,4,FALSE())&lt;-2),"",#REF!),"")</f>
        <v/>
      </c>
      <c r="G419" s="0" t="str">
        <f aca="false">IFERROR(IF(OR(HLOOKUP($A419,#REF!,5,FALSE())&gt;2,HLOOKUP($A419,#REF!,5,FALSE())&lt;-2),"",#REF!),"")</f>
        <v/>
      </c>
      <c r="H419" s="0" t="str">
        <f aca="false">IFERROR(IF(OR(HLOOKUP($A419,#REF!,6,FALSE())&gt;2,HLOOKUP($A419,#REF!,6,FALSE())&lt;-2),"",#REF!),"")</f>
        <v/>
      </c>
      <c r="I419" s="0" t="str">
        <f aca="false">IFERROR(IF(OR(HLOOKUP($A419,#REF!,7,FALSE())&gt;2,HLOOKUP($A419,#REF!,7,FALSE())&lt;-2),"",#REF!),"")</f>
        <v/>
      </c>
      <c r="J419" s="0" t="str">
        <f aca="false">IFERROR(IF(OR(HLOOKUP($A419,#REF!,8,FALSE())&gt;2,HLOOKUP($A419,#REF!,8,FALSE())&lt;-2),"",#REF!),"")</f>
        <v/>
      </c>
      <c r="K419" s="0" t="str">
        <f aca="false">IFERROR(IF(OR(HLOOKUP($A419,#REF!,9,FALSE())&gt;2,HLOOKUP($A419,#REF!,9,FALSE())&lt;-2),"",#REF!),"")</f>
        <v/>
      </c>
      <c r="L419" s="0" t="str">
        <f aca="false">IFERROR(IF(OR(HLOOKUP($A419,#REF!,10,FALSE())&gt;2,HLOOKUP($A419,#REF!,10,FALSE())&lt;-2),"",#REF!),"")</f>
        <v/>
      </c>
      <c r="M419" s="0" t="str">
        <f aca="false">IFERROR(IF(OR(HLOOKUP($A419,#REF!,11,FALSE())&gt;2,HLOOKUP($A419,#REF!,11,FALSE())&lt;-2),"",#REF!),"")</f>
        <v/>
      </c>
      <c r="N419" s="0" t="str">
        <f aca="false">IFERROR(IF(OR(HLOOKUP($A419,#REF!,12,FALSE())&gt;2,HLOOKUP($A419,#REF!,12,FALSE())&lt;-2),"",#REF!),"")</f>
        <v/>
      </c>
      <c r="O419" s="0" t="str">
        <f aca="false">IFERROR(IF(OR(HLOOKUP($A419,#REF!,13,FALSE())&gt;2,HLOOKUP($A419,#REF!,13,FALSE())&lt;-2),"",#REF!),"")</f>
        <v/>
      </c>
      <c r="P419" s="0" t="str">
        <f aca="false">IFERROR(IF(OR(HLOOKUP($A419,#REF!,14,FALSE())&gt;2,HLOOKUP($A419,#REF!,14,FALSE())&lt;-2),"",#REF!),"")</f>
        <v/>
      </c>
      <c r="Q419" s="0" t="str">
        <f aca="false">IFERROR(IF(OR(HLOOKUP($A419,#REF!,15,FALSE())&gt;2,HLOOKUP($A419,#REF!,15,FALSE())&lt;-2),"",#REF!),"")</f>
        <v/>
      </c>
      <c r="R419" s="0" t="str">
        <f aca="false">IFERROR(IF(OR(HLOOKUP($A419,#REF!,16,FALSE())&gt;2,HLOOKUP($A419,#REF!,16,FALSE())&lt;-2),"",#REF!),"")</f>
        <v/>
      </c>
      <c r="S419" s="0" t="str">
        <f aca="false">IFERROR(IF(OR(HLOOKUP($A419,#REF!,17,FALSE())&gt;2,HLOOKUP($A419,#REF!,17,FALSE())&lt;-2),"",#REF!),"")</f>
        <v/>
      </c>
      <c r="T419" s="0" t="str">
        <f aca="false">IFERROR(IF(OR(HLOOKUP($A419,#REF!,18,FALSE())&gt;2,HLOOKUP($A419,#REF!,18,FALSE())&lt;-2),"",#REF!),"")</f>
        <v/>
      </c>
      <c r="U419" s="0" t="str">
        <f aca="false">IFERROR(IF(OR(HLOOKUP($A419,#REF!,19,FALSE())&gt;2,HLOOKUP($A419,#REF!,19,FALSE())&lt;-2),"",#REF!),"")</f>
        <v/>
      </c>
      <c r="V419" s="0" t="n">
        <f aca="false">IFERROR(IF(AND(X419=0,Y419=0),0,1),0)</f>
        <v>1</v>
      </c>
      <c r="W419" s="3" t="str">
        <f aca="false">IFERROR(_xlfn.T.TEST(E419:M419,N419:U419,2,2),"")</f>
        <v/>
      </c>
      <c r="X419" s="0" t="str">
        <f aca="false">IFERROR(AVERAGE(E419:M419),"")</f>
        <v/>
      </c>
      <c r="Y419" s="0" t="str">
        <f aca="false">IFERROR(AVERAGE(N419:U419),"")</f>
        <v/>
      </c>
    </row>
    <row r="420" customFormat="false" ht="14.5" hidden="false" customHeight="false" outlineLevel="0" collapsed="false">
      <c r="A420" s="0" t="n">
        <v>428</v>
      </c>
      <c r="B420" s="0" t="s">
        <v>496</v>
      </c>
      <c r="C420" s="0" t="n">
        <v>111800</v>
      </c>
      <c r="D420" s="0" t="n">
        <v>737</v>
      </c>
      <c r="E420" s="0" t="str">
        <f aca="false">IFERROR(IF(OR(HLOOKUP($A420,#REF!,3,FALSE())&gt;2,HLOOKUP(A420,#REF!,3,FALSE())&lt;-2),"",#REF!),"")</f>
        <v/>
      </c>
      <c r="F420" s="0" t="str">
        <f aca="false">IFERROR(IF(OR(HLOOKUP($A420,#REF!,4,FALSE())&gt;2,HLOOKUP($A420,#REF!,4,FALSE())&lt;-2),"",#REF!),"")</f>
        <v/>
      </c>
      <c r="G420" s="0" t="str">
        <f aca="false">IFERROR(IF(OR(HLOOKUP($A420,#REF!,5,FALSE())&gt;2,HLOOKUP($A420,#REF!,5,FALSE())&lt;-2),"",#REF!),"")</f>
        <v/>
      </c>
      <c r="H420" s="0" t="str">
        <f aca="false">IFERROR(IF(OR(HLOOKUP($A420,#REF!,6,FALSE())&gt;2,HLOOKUP($A420,#REF!,6,FALSE())&lt;-2),"",#REF!),"")</f>
        <v/>
      </c>
      <c r="I420" s="0" t="str">
        <f aca="false">IFERROR(IF(OR(HLOOKUP($A420,#REF!,7,FALSE())&gt;2,HLOOKUP($A420,#REF!,7,FALSE())&lt;-2),"",#REF!),"")</f>
        <v/>
      </c>
      <c r="J420" s="0" t="str">
        <f aca="false">IFERROR(IF(OR(HLOOKUP($A420,#REF!,8,FALSE())&gt;2,HLOOKUP($A420,#REF!,8,FALSE())&lt;-2),"",#REF!),"")</f>
        <v/>
      </c>
      <c r="K420" s="0" t="str">
        <f aca="false">IFERROR(IF(OR(HLOOKUP($A420,#REF!,9,FALSE())&gt;2,HLOOKUP($A420,#REF!,9,FALSE())&lt;-2),"",#REF!),"")</f>
        <v/>
      </c>
      <c r="L420" s="0" t="str">
        <f aca="false">IFERROR(IF(OR(HLOOKUP($A420,#REF!,10,FALSE())&gt;2,HLOOKUP($A420,#REF!,10,FALSE())&lt;-2),"",#REF!),"")</f>
        <v/>
      </c>
      <c r="M420" s="0" t="str">
        <f aca="false">IFERROR(IF(OR(HLOOKUP($A420,#REF!,11,FALSE())&gt;2,HLOOKUP($A420,#REF!,11,FALSE())&lt;-2),"",#REF!),"")</f>
        <v/>
      </c>
      <c r="N420" s="0" t="str">
        <f aca="false">IFERROR(IF(OR(HLOOKUP($A420,#REF!,12,FALSE())&gt;2,HLOOKUP($A420,#REF!,12,FALSE())&lt;-2),"",#REF!),"")</f>
        <v/>
      </c>
      <c r="O420" s="0" t="str">
        <f aca="false">IFERROR(IF(OR(HLOOKUP($A420,#REF!,13,FALSE())&gt;2,HLOOKUP($A420,#REF!,13,FALSE())&lt;-2),"",#REF!),"")</f>
        <v/>
      </c>
      <c r="P420" s="0" t="str">
        <f aca="false">IFERROR(IF(OR(HLOOKUP($A420,#REF!,14,FALSE())&gt;2,HLOOKUP($A420,#REF!,14,FALSE())&lt;-2),"",#REF!),"")</f>
        <v/>
      </c>
      <c r="Q420" s="0" t="str">
        <f aca="false">IFERROR(IF(OR(HLOOKUP($A420,#REF!,15,FALSE())&gt;2,HLOOKUP($A420,#REF!,15,FALSE())&lt;-2),"",#REF!),"")</f>
        <v/>
      </c>
      <c r="R420" s="0" t="str">
        <f aca="false">IFERROR(IF(OR(HLOOKUP($A420,#REF!,16,FALSE())&gt;2,HLOOKUP($A420,#REF!,16,FALSE())&lt;-2),"",#REF!),"")</f>
        <v/>
      </c>
      <c r="S420" s="0" t="str">
        <f aca="false">IFERROR(IF(OR(HLOOKUP($A420,#REF!,17,FALSE())&gt;2,HLOOKUP($A420,#REF!,17,FALSE())&lt;-2),"",#REF!),"")</f>
        <v/>
      </c>
      <c r="T420" s="0" t="str">
        <f aca="false">IFERROR(IF(OR(HLOOKUP($A420,#REF!,18,FALSE())&gt;2,HLOOKUP($A420,#REF!,18,FALSE())&lt;-2),"",#REF!),"")</f>
        <v/>
      </c>
      <c r="U420" s="0" t="str">
        <f aca="false">IFERROR(IF(OR(HLOOKUP($A420,#REF!,19,FALSE())&gt;2,HLOOKUP($A420,#REF!,19,FALSE())&lt;-2),"",#REF!),"")</f>
        <v/>
      </c>
      <c r="V420" s="0" t="n">
        <f aca="false">IFERROR(IF(AND(X420=0,Y420=0),0,1),0)</f>
        <v>1</v>
      </c>
      <c r="W420" s="3" t="str">
        <f aca="false">IFERROR(_xlfn.T.TEST(E420:M420,N420:U420,2,2),"")</f>
        <v/>
      </c>
      <c r="X420" s="0" t="str">
        <f aca="false">IFERROR(AVERAGE(E420:M420),"")</f>
        <v/>
      </c>
      <c r="Y420" s="0" t="str">
        <f aca="false">IFERROR(AVERAGE(N420:U420),"")</f>
        <v/>
      </c>
    </row>
    <row r="421" customFormat="false" ht="14.5" hidden="false" customHeight="false" outlineLevel="0" collapsed="false">
      <c r="A421" s="0" t="n">
        <v>429</v>
      </c>
      <c r="B421" s="0" t="s">
        <v>497</v>
      </c>
      <c r="C421" s="0" t="n">
        <v>91300</v>
      </c>
      <c r="D421" s="0" t="n">
        <v>386</v>
      </c>
      <c r="E421" s="0" t="str">
        <f aca="false">IFERROR(IF(OR(HLOOKUP($A421,#REF!,3,FALSE())&gt;2,HLOOKUP(A421,#REF!,3,FALSE())&lt;-2),"",#REF!),"")</f>
        <v/>
      </c>
      <c r="F421" s="0" t="str">
        <f aca="false">IFERROR(IF(OR(HLOOKUP($A421,#REF!,4,FALSE())&gt;2,HLOOKUP($A421,#REF!,4,FALSE())&lt;-2),"",#REF!),"")</f>
        <v/>
      </c>
      <c r="G421" s="0" t="str">
        <f aca="false">IFERROR(IF(OR(HLOOKUP($A421,#REF!,5,FALSE())&gt;2,HLOOKUP($A421,#REF!,5,FALSE())&lt;-2),"",#REF!),"")</f>
        <v/>
      </c>
      <c r="H421" s="0" t="str">
        <f aca="false">IFERROR(IF(OR(HLOOKUP($A421,#REF!,6,FALSE())&gt;2,HLOOKUP($A421,#REF!,6,FALSE())&lt;-2),"",#REF!),"")</f>
        <v/>
      </c>
      <c r="I421" s="0" t="str">
        <f aca="false">IFERROR(IF(OR(HLOOKUP($A421,#REF!,7,FALSE())&gt;2,HLOOKUP($A421,#REF!,7,FALSE())&lt;-2),"",#REF!),"")</f>
        <v/>
      </c>
      <c r="J421" s="0" t="str">
        <f aca="false">IFERROR(IF(OR(HLOOKUP($A421,#REF!,8,FALSE())&gt;2,HLOOKUP($A421,#REF!,8,FALSE())&lt;-2),"",#REF!),"")</f>
        <v/>
      </c>
      <c r="K421" s="0" t="str">
        <f aca="false">IFERROR(IF(OR(HLOOKUP($A421,#REF!,9,FALSE())&gt;2,HLOOKUP($A421,#REF!,9,FALSE())&lt;-2),"",#REF!),"")</f>
        <v/>
      </c>
      <c r="L421" s="0" t="str">
        <f aca="false">IFERROR(IF(OR(HLOOKUP($A421,#REF!,10,FALSE())&gt;2,HLOOKUP($A421,#REF!,10,FALSE())&lt;-2),"",#REF!),"")</f>
        <v/>
      </c>
      <c r="M421" s="0" t="str">
        <f aca="false">IFERROR(IF(OR(HLOOKUP($A421,#REF!,11,FALSE())&gt;2,HLOOKUP($A421,#REF!,11,FALSE())&lt;-2),"",#REF!),"")</f>
        <v/>
      </c>
      <c r="N421" s="0" t="str">
        <f aca="false">IFERROR(IF(OR(HLOOKUP($A421,#REF!,12,FALSE())&gt;2,HLOOKUP($A421,#REF!,12,FALSE())&lt;-2),"",#REF!),"")</f>
        <v/>
      </c>
      <c r="O421" s="0" t="str">
        <f aca="false">IFERROR(IF(OR(HLOOKUP($A421,#REF!,13,FALSE())&gt;2,HLOOKUP($A421,#REF!,13,FALSE())&lt;-2),"",#REF!),"")</f>
        <v/>
      </c>
      <c r="P421" s="0" t="str">
        <f aca="false">IFERROR(IF(OR(HLOOKUP($A421,#REF!,14,FALSE())&gt;2,HLOOKUP($A421,#REF!,14,FALSE())&lt;-2),"",#REF!),"")</f>
        <v/>
      </c>
      <c r="Q421" s="0" t="str">
        <f aca="false">IFERROR(IF(OR(HLOOKUP($A421,#REF!,15,FALSE())&gt;2,HLOOKUP($A421,#REF!,15,FALSE())&lt;-2),"",#REF!),"")</f>
        <v/>
      </c>
      <c r="R421" s="0" t="str">
        <f aca="false">IFERROR(IF(OR(HLOOKUP($A421,#REF!,16,FALSE())&gt;2,HLOOKUP($A421,#REF!,16,FALSE())&lt;-2),"",#REF!),"")</f>
        <v/>
      </c>
      <c r="S421" s="0" t="str">
        <f aca="false">IFERROR(IF(OR(HLOOKUP($A421,#REF!,17,FALSE())&gt;2,HLOOKUP($A421,#REF!,17,FALSE())&lt;-2),"",#REF!),"")</f>
        <v/>
      </c>
      <c r="T421" s="0" t="str">
        <f aca="false">IFERROR(IF(OR(HLOOKUP($A421,#REF!,18,FALSE())&gt;2,HLOOKUP($A421,#REF!,18,FALSE())&lt;-2),"",#REF!),"")</f>
        <v/>
      </c>
      <c r="U421" s="0" t="str">
        <f aca="false">IFERROR(IF(OR(HLOOKUP($A421,#REF!,19,FALSE())&gt;2,HLOOKUP($A421,#REF!,19,FALSE())&lt;-2),"",#REF!),"")</f>
        <v/>
      </c>
      <c r="V421" s="0" t="n">
        <f aca="false">IFERROR(IF(AND(X421=0,Y421=0),0,1),0)</f>
        <v>1</v>
      </c>
      <c r="W421" s="3" t="str">
        <f aca="false">IFERROR(_xlfn.T.TEST(E421:M421,N421:U421,2,2),"")</f>
        <v/>
      </c>
      <c r="X421" s="0" t="str">
        <f aca="false">IFERROR(AVERAGE(E421:M421),"")</f>
        <v/>
      </c>
      <c r="Y421" s="0" t="str">
        <f aca="false">IFERROR(AVERAGE(N421:U421),"")</f>
        <v/>
      </c>
    </row>
    <row r="422" customFormat="false" ht="14.5" hidden="false" customHeight="false" outlineLevel="0" collapsed="false">
      <c r="A422" s="0" t="n">
        <v>430</v>
      </c>
      <c r="B422" s="0" t="s">
        <v>62</v>
      </c>
      <c r="C422" s="0" t="n">
        <v>26900</v>
      </c>
      <c r="D422" s="0" t="n">
        <v>886</v>
      </c>
      <c r="E422" s="0" t="str">
        <f aca="false">IFERROR(IF(OR(HLOOKUP($A422,#REF!,3,FALSE())&gt;2,HLOOKUP(A422,#REF!,3,FALSE())&lt;-2),"",#REF!),"")</f>
        <v/>
      </c>
      <c r="F422" s="0" t="str">
        <f aca="false">IFERROR(IF(OR(HLOOKUP($A422,#REF!,4,FALSE())&gt;2,HLOOKUP($A422,#REF!,4,FALSE())&lt;-2),"",#REF!),"")</f>
        <v/>
      </c>
      <c r="G422" s="0" t="str">
        <f aca="false">IFERROR(IF(OR(HLOOKUP($A422,#REF!,5,FALSE())&gt;2,HLOOKUP($A422,#REF!,5,FALSE())&lt;-2),"",#REF!),"")</f>
        <v/>
      </c>
      <c r="H422" s="0" t="str">
        <f aca="false">IFERROR(IF(OR(HLOOKUP($A422,#REF!,6,FALSE())&gt;2,HLOOKUP($A422,#REF!,6,FALSE())&lt;-2),"",#REF!),"")</f>
        <v/>
      </c>
      <c r="I422" s="0" t="str">
        <f aca="false">IFERROR(IF(OR(HLOOKUP($A422,#REF!,7,FALSE())&gt;2,HLOOKUP($A422,#REF!,7,FALSE())&lt;-2),"",#REF!),"")</f>
        <v/>
      </c>
      <c r="J422" s="0" t="str">
        <f aca="false">IFERROR(IF(OR(HLOOKUP($A422,#REF!,8,FALSE())&gt;2,HLOOKUP($A422,#REF!,8,FALSE())&lt;-2),"",#REF!),"")</f>
        <v/>
      </c>
      <c r="K422" s="0" t="str">
        <f aca="false">IFERROR(IF(OR(HLOOKUP($A422,#REF!,9,FALSE())&gt;2,HLOOKUP($A422,#REF!,9,FALSE())&lt;-2),"",#REF!),"")</f>
        <v/>
      </c>
      <c r="L422" s="0" t="str">
        <f aca="false">IFERROR(IF(OR(HLOOKUP($A422,#REF!,10,FALSE())&gt;2,HLOOKUP($A422,#REF!,10,FALSE())&lt;-2),"",#REF!),"")</f>
        <v/>
      </c>
      <c r="M422" s="0" t="str">
        <f aca="false">IFERROR(IF(OR(HLOOKUP($A422,#REF!,11,FALSE())&gt;2,HLOOKUP($A422,#REF!,11,FALSE())&lt;-2),"",#REF!),"")</f>
        <v/>
      </c>
      <c r="N422" s="0" t="str">
        <f aca="false">IFERROR(IF(OR(HLOOKUP($A422,#REF!,12,FALSE())&gt;2,HLOOKUP($A422,#REF!,12,FALSE())&lt;-2),"",#REF!),"")</f>
        <v/>
      </c>
      <c r="O422" s="0" t="str">
        <f aca="false">IFERROR(IF(OR(HLOOKUP($A422,#REF!,13,FALSE())&gt;2,HLOOKUP($A422,#REF!,13,FALSE())&lt;-2),"",#REF!),"")</f>
        <v/>
      </c>
      <c r="P422" s="0" t="str">
        <f aca="false">IFERROR(IF(OR(HLOOKUP($A422,#REF!,14,FALSE())&gt;2,HLOOKUP($A422,#REF!,14,FALSE())&lt;-2),"",#REF!),"")</f>
        <v/>
      </c>
      <c r="Q422" s="0" t="str">
        <f aca="false">IFERROR(IF(OR(HLOOKUP($A422,#REF!,15,FALSE())&gt;2,HLOOKUP($A422,#REF!,15,FALSE())&lt;-2),"",#REF!),"")</f>
        <v/>
      </c>
      <c r="R422" s="0" t="str">
        <f aca="false">IFERROR(IF(OR(HLOOKUP($A422,#REF!,16,FALSE())&gt;2,HLOOKUP($A422,#REF!,16,FALSE())&lt;-2),"",#REF!),"")</f>
        <v/>
      </c>
      <c r="S422" s="0" t="str">
        <f aca="false">IFERROR(IF(OR(HLOOKUP($A422,#REF!,17,FALSE())&gt;2,HLOOKUP($A422,#REF!,17,FALSE())&lt;-2),"",#REF!),"")</f>
        <v/>
      </c>
      <c r="T422" s="0" t="str">
        <f aca="false">IFERROR(IF(OR(HLOOKUP($A422,#REF!,18,FALSE())&gt;2,HLOOKUP($A422,#REF!,18,FALSE())&lt;-2),"",#REF!),"")</f>
        <v/>
      </c>
      <c r="U422" s="0" t="str">
        <f aca="false">IFERROR(IF(OR(HLOOKUP($A422,#REF!,19,FALSE())&gt;2,HLOOKUP($A422,#REF!,19,FALSE())&lt;-2),"",#REF!),"")</f>
        <v/>
      </c>
      <c r="V422" s="0" t="n">
        <f aca="false">IFERROR(IF(AND(X422=0,Y422=0),0,1),0)</f>
        <v>1</v>
      </c>
      <c r="W422" s="3" t="str">
        <f aca="false">IFERROR(_xlfn.T.TEST(E422:M422,N422:U422,2,2),"")</f>
        <v/>
      </c>
      <c r="X422" s="0" t="str">
        <f aca="false">IFERROR(AVERAGE(E422:M422),"")</f>
        <v/>
      </c>
      <c r="Y422" s="0" t="str">
        <f aca="false">IFERROR(AVERAGE(N422:U422),"")</f>
        <v/>
      </c>
    </row>
    <row r="423" customFormat="false" ht="14.5" hidden="false" customHeight="false" outlineLevel="0" collapsed="false">
      <c r="A423" s="0" t="n">
        <v>431</v>
      </c>
      <c r="B423" s="0" t="s">
        <v>498</v>
      </c>
      <c r="C423" s="0" t="n">
        <v>38300</v>
      </c>
      <c r="D423" s="0" t="n">
        <v>423</v>
      </c>
      <c r="E423" s="0" t="str">
        <f aca="false">IFERROR(IF(OR(HLOOKUP($A423,#REF!,3,FALSE())&gt;2,HLOOKUP(A423,#REF!,3,FALSE())&lt;-2),"",#REF!),"")</f>
        <v/>
      </c>
      <c r="F423" s="0" t="str">
        <f aca="false">IFERROR(IF(OR(HLOOKUP($A423,#REF!,4,FALSE())&gt;2,HLOOKUP($A423,#REF!,4,FALSE())&lt;-2),"",#REF!),"")</f>
        <v/>
      </c>
      <c r="G423" s="0" t="str">
        <f aca="false">IFERROR(IF(OR(HLOOKUP($A423,#REF!,5,FALSE())&gt;2,HLOOKUP($A423,#REF!,5,FALSE())&lt;-2),"",#REF!),"")</f>
        <v/>
      </c>
      <c r="H423" s="0" t="str">
        <f aca="false">IFERROR(IF(OR(HLOOKUP($A423,#REF!,6,FALSE())&gt;2,HLOOKUP($A423,#REF!,6,FALSE())&lt;-2),"",#REF!),"")</f>
        <v/>
      </c>
      <c r="I423" s="0" t="str">
        <f aca="false">IFERROR(IF(OR(HLOOKUP($A423,#REF!,7,FALSE())&gt;2,HLOOKUP($A423,#REF!,7,FALSE())&lt;-2),"",#REF!),"")</f>
        <v/>
      </c>
      <c r="J423" s="0" t="str">
        <f aca="false">IFERROR(IF(OR(HLOOKUP($A423,#REF!,8,FALSE())&gt;2,HLOOKUP($A423,#REF!,8,FALSE())&lt;-2),"",#REF!),"")</f>
        <v/>
      </c>
      <c r="K423" s="0" t="str">
        <f aca="false">IFERROR(IF(OR(HLOOKUP($A423,#REF!,9,FALSE())&gt;2,HLOOKUP($A423,#REF!,9,FALSE())&lt;-2),"",#REF!),"")</f>
        <v/>
      </c>
      <c r="L423" s="0" t="str">
        <f aca="false">IFERROR(IF(OR(HLOOKUP($A423,#REF!,10,FALSE())&gt;2,HLOOKUP($A423,#REF!,10,FALSE())&lt;-2),"",#REF!),"")</f>
        <v/>
      </c>
      <c r="M423" s="0" t="str">
        <f aca="false">IFERROR(IF(OR(HLOOKUP($A423,#REF!,11,FALSE())&gt;2,HLOOKUP($A423,#REF!,11,FALSE())&lt;-2),"",#REF!),"")</f>
        <v/>
      </c>
      <c r="N423" s="0" t="str">
        <f aca="false">IFERROR(IF(OR(HLOOKUP($A423,#REF!,12,FALSE())&gt;2,HLOOKUP($A423,#REF!,12,FALSE())&lt;-2),"",#REF!),"")</f>
        <v/>
      </c>
      <c r="O423" s="0" t="str">
        <f aca="false">IFERROR(IF(OR(HLOOKUP($A423,#REF!,13,FALSE())&gt;2,HLOOKUP($A423,#REF!,13,FALSE())&lt;-2),"",#REF!),"")</f>
        <v/>
      </c>
      <c r="P423" s="0" t="str">
        <f aca="false">IFERROR(IF(OR(HLOOKUP($A423,#REF!,14,FALSE())&gt;2,HLOOKUP($A423,#REF!,14,FALSE())&lt;-2),"",#REF!),"")</f>
        <v/>
      </c>
      <c r="Q423" s="0" t="str">
        <f aca="false">IFERROR(IF(OR(HLOOKUP($A423,#REF!,15,FALSE())&gt;2,HLOOKUP($A423,#REF!,15,FALSE())&lt;-2),"",#REF!),"")</f>
        <v/>
      </c>
      <c r="R423" s="0" t="str">
        <f aca="false">IFERROR(IF(OR(HLOOKUP($A423,#REF!,16,FALSE())&gt;2,HLOOKUP($A423,#REF!,16,FALSE())&lt;-2),"",#REF!),"")</f>
        <v/>
      </c>
      <c r="S423" s="0" t="str">
        <f aca="false">IFERROR(IF(OR(HLOOKUP($A423,#REF!,17,FALSE())&gt;2,HLOOKUP($A423,#REF!,17,FALSE())&lt;-2),"",#REF!),"")</f>
        <v/>
      </c>
      <c r="T423" s="0" t="str">
        <f aca="false">IFERROR(IF(OR(HLOOKUP($A423,#REF!,18,FALSE())&gt;2,HLOOKUP($A423,#REF!,18,FALSE())&lt;-2),"",#REF!),"")</f>
        <v/>
      </c>
      <c r="U423" s="0" t="str">
        <f aca="false">IFERROR(IF(OR(HLOOKUP($A423,#REF!,19,FALSE())&gt;2,HLOOKUP($A423,#REF!,19,FALSE())&lt;-2),"",#REF!),"")</f>
        <v/>
      </c>
      <c r="V423" s="0" t="n">
        <f aca="false">IFERROR(IF(AND(X423=0,Y423=0),0,1),0)</f>
        <v>1</v>
      </c>
      <c r="W423" s="3" t="str">
        <f aca="false">IFERROR(_xlfn.T.TEST(E423:M423,N423:U423,2,2),"")</f>
        <v/>
      </c>
      <c r="X423" s="0" t="str">
        <f aca="false">IFERROR(AVERAGE(E423:M423),"")</f>
        <v/>
      </c>
      <c r="Y423" s="0" t="str">
        <f aca="false">IFERROR(AVERAGE(N423:U423),"")</f>
        <v/>
      </c>
    </row>
    <row r="424" customFormat="false" ht="14.5" hidden="false" customHeight="false" outlineLevel="0" collapsed="false">
      <c r="A424" s="0" t="n">
        <v>432</v>
      </c>
      <c r="B424" s="0" t="s">
        <v>499</v>
      </c>
      <c r="C424" s="0" t="n">
        <v>70400</v>
      </c>
      <c r="D424" s="0" t="n">
        <v>332</v>
      </c>
      <c r="E424" s="0" t="str">
        <f aca="false">IFERROR(IF(OR(HLOOKUP($A424,#REF!,3,FALSE())&gt;2,HLOOKUP(A424,#REF!,3,FALSE())&lt;-2),"",#REF!),"")</f>
        <v/>
      </c>
      <c r="F424" s="0" t="str">
        <f aca="false">IFERROR(IF(OR(HLOOKUP($A424,#REF!,4,FALSE())&gt;2,HLOOKUP($A424,#REF!,4,FALSE())&lt;-2),"",#REF!),"")</f>
        <v/>
      </c>
      <c r="G424" s="0" t="str">
        <f aca="false">IFERROR(IF(OR(HLOOKUP($A424,#REF!,5,FALSE())&gt;2,HLOOKUP($A424,#REF!,5,FALSE())&lt;-2),"",#REF!),"")</f>
        <v/>
      </c>
      <c r="H424" s="0" t="str">
        <f aca="false">IFERROR(IF(OR(HLOOKUP($A424,#REF!,6,FALSE())&gt;2,HLOOKUP($A424,#REF!,6,FALSE())&lt;-2),"",#REF!),"")</f>
        <v/>
      </c>
      <c r="I424" s="0" t="str">
        <f aca="false">IFERROR(IF(OR(HLOOKUP($A424,#REF!,7,FALSE())&gt;2,HLOOKUP($A424,#REF!,7,FALSE())&lt;-2),"",#REF!),"")</f>
        <v/>
      </c>
      <c r="J424" s="0" t="str">
        <f aca="false">IFERROR(IF(OR(HLOOKUP($A424,#REF!,8,FALSE())&gt;2,HLOOKUP($A424,#REF!,8,FALSE())&lt;-2),"",#REF!),"")</f>
        <v/>
      </c>
      <c r="K424" s="0" t="str">
        <f aca="false">IFERROR(IF(OR(HLOOKUP($A424,#REF!,9,FALSE())&gt;2,HLOOKUP($A424,#REF!,9,FALSE())&lt;-2),"",#REF!),"")</f>
        <v/>
      </c>
      <c r="L424" s="0" t="str">
        <f aca="false">IFERROR(IF(OR(HLOOKUP($A424,#REF!,10,FALSE())&gt;2,HLOOKUP($A424,#REF!,10,FALSE())&lt;-2),"",#REF!),"")</f>
        <v/>
      </c>
      <c r="M424" s="0" t="str">
        <f aca="false">IFERROR(IF(OR(HLOOKUP($A424,#REF!,11,FALSE())&gt;2,HLOOKUP($A424,#REF!,11,FALSE())&lt;-2),"",#REF!),"")</f>
        <v/>
      </c>
      <c r="N424" s="0" t="str">
        <f aca="false">IFERROR(IF(OR(HLOOKUP($A424,#REF!,12,FALSE())&gt;2,HLOOKUP($A424,#REF!,12,FALSE())&lt;-2),"",#REF!),"")</f>
        <v/>
      </c>
      <c r="O424" s="0" t="str">
        <f aca="false">IFERROR(IF(OR(HLOOKUP($A424,#REF!,13,FALSE())&gt;2,HLOOKUP($A424,#REF!,13,FALSE())&lt;-2),"",#REF!),"")</f>
        <v/>
      </c>
      <c r="P424" s="0" t="str">
        <f aca="false">IFERROR(IF(OR(HLOOKUP($A424,#REF!,14,FALSE())&gt;2,HLOOKUP($A424,#REF!,14,FALSE())&lt;-2),"",#REF!),"")</f>
        <v/>
      </c>
      <c r="Q424" s="0" t="str">
        <f aca="false">IFERROR(IF(OR(HLOOKUP($A424,#REF!,15,FALSE())&gt;2,HLOOKUP($A424,#REF!,15,FALSE())&lt;-2),"",#REF!),"")</f>
        <v/>
      </c>
      <c r="R424" s="0" t="str">
        <f aca="false">IFERROR(IF(OR(HLOOKUP($A424,#REF!,16,FALSE())&gt;2,HLOOKUP($A424,#REF!,16,FALSE())&lt;-2),"",#REF!),"")</f>
        <v/>
      </c>
      <c r="S424" s="0" t="str">
        <f aca="false">IFERROR(IF(OR(HLOOKUP($A424,#REF!,17,FALSE())&gt;2,HLOOKUP($A424,#REF!,17,FALSE())&lt;-2),"",#REF!),"")</f>
        <v/>
      </c>
      <c r="T424" s="0" t="str">
        <f aca="false">IFERROR(IF(OR(HLOOKUP($A424,#REF!,18,FALSE())&gt;2,HLOOKUP($A424,#REF!,18,FALSE())&lt;-2),"",#REF!),"")</f>
        <v/>
      </c>
      <c r="U424" s="0" t="str">
        <f aca="false">IFERROR(IF(OR(HLOOKUP($A424,#REF!,19,FALSE())&gt;2,HLOOKUP($A424,#REF!,19,FALSE())&lt;-2),"",#REF!),"")</f>
        <v/>
      </c>
      <c r="V424" s="0" t="n">
        <f aca="false">IFERROR(IF(AND(X424=0,Y424=0),0,1),0)</f>
        <v>1</v>
      </c>
      <c r="W424" s="3" t="str">
        <f aca="false">IFERROR(_xlfn.T.TEST(E424:M424,N424:U424,2,2),"")</f>
        <v/>
      </c>
      <c r="X424" s="0" t="str">
        <f aca="false">IFERROR(AVERAGE(E424:M424),"")</f>
        <v/>
      </c>
      <c r="Y424" s="0" t="str">
        <f aca="false">IFERROR(AVERAGE(N424:U424),"")</f>
        <v/>
      </c>
    </row>
    <row r="425" customFormat="false" ht="14.5" hidden="false" customHeight="false" outlineLevel="0" collapsed="false">
      <c r="A425" s="0" t="n">
        <v>433</v>
      </c>
      <c r="B425" s="0" t="s">
        <v>500</v>
      </c>
      <c r="C425" s="0" t="n">
        <v>15200</v>
      </c>
      <c r="D425" s="0" t="n">
        <v>394</v>
      </c>
      <c r="E425" s="0" t="str">
        <f aca="false">IFERROR(IF(OR(HLOOKUP($A425,#REF!,3,FALSE())&gt;2,HLOOKUP(A425,#REF!,3,FALSE())&lt;-2),"",#REF!),"")</f>
        <v/>
      </c>
      <c r="F425" s="0" t="str">
        <f aca="false">IFERROR(IF(OR(HLOOKUP($A425,#REF!,4,FALSE())&gt;2,HLOOKUP($A425,#REF!,4,FALSE())&lt;-2),"",#REF!),"")</f>
        <v/>
      </c>
      <c r="G425" s="0" t="str">
        <f aca="false">IFERROR(IF(OR(HLOOKUP($A425,#REF!,5,FALSE())&gt;2,HLOOKUP($A425,#REF!,5,FALSE())&lt;-2),"",#REF!),"")</f>
        <v/>
      </c>
      <c r="H425" s="0" t="str">
        <f aca="false">IFERROR(IF(OR(HLOOKUP($A425,#REF!,6,FALSE())&gt;2,HLOOKUP($A425,#REF!,6,FALSE())&lt;-2),"",#REF!),"")</f>
        <v/>
      </c>
      <c r="I425" s="0" t="str">
        <f aca="false">IFERROR(IF(OR(HLOOKUP($A425,#REF!,7,FALSE())&gt;2,HLOOKUP($A425,#REF!,7,FALSE())&lt;-2),"",#REF!),"")</f>
        <v/>
      </c>
      <c r="J425" s="0" t="str">
        <f aca="false">IFERROR(IF(OR(HLOOKUP($A425,#REF!,8,FALSE())&gt;2,HLOOKUP($A425,#REF!,8,FALSE())&lt;-2),"",#REF!),"")</f>
        <v/>
      </c>
      <c r="K425" s="0" t="str">
        <f aca="false">IFERROR(IF(OR(HLOOKUP($A425,#REF!,9,FALSE())&gt;2,HLOOKUP($A425,#REF!,9,FALSE())&lt;-2),"",#REF!),"")</f>
        <v/>
      </c>
      <c r="L425" s="0" t="str">
        <f aca="false">IFERROR(IF(OR(HLOOKUP($A425,#REF!,10,FALSE())&gt;2,HLOOKUP($A425,#REF!,10,FALSE())&lt;-2),"",#REF!),"")</f>
        <v/>
      </c>
      <c r="M425" s="0" t="str">
        <f aca="false">IFERROR(IF(OR(HLOOKUP($A425,#REF!,11,FALSE())&gt;2,HLOOKUP($A425,#REF!,11,FALSE())&lt;-2),"",#REF!),"")</f>
        <v/>
      </c>
      <c r="N425" s="0" t="str">
        <f aca="false">IFERROR(IF(OR(HLOOKUP($A425,#REF!,12,FALSE())&gt;2,HLOOKUP($A425,#REF!,12,FALSE())&lt;-2),"",#REF!),"")</f>
        <v/>
      </c>
      <c r="O425" s="0" t="str">
        <f aca="false">IFERROR(IF(OR(HLOOKUP($A425,#REF!,13,FALSE())&gt;2,HLOOKUP($A425,#REF!,13,FALSE())&lt;-2),"",#REF!),"")</f>
        <v/>
      </c>
      <c r="P425" s="0" t="str">
        <f aca="false">IFERROR(IF(OR(HLOOKUP($A425,#REF!,14,FALSE())&gt;2,HLOOKUP($A425,#REF!,14,FALSE())&lt;-2),"",#REF!),"")</f>
        <v/>
      </c>
      <c r="Q425" s="0" t="str">
        <f aca="false">IFERROR(IF(OR(HLOOKUP($A425,#REF!,15,FALSE())&gt;2,HLOOKUP($A425,#REF!,15,FALSE())&lt;-2),"",#REF!),"")</f>
        <v/>
      </c>
      <c r="R425" s="0" t="str">
        <f aca="false">IFERROR(IF(OR(HLOOKUP($A425,#REF!,16,FALSE())&gt;2,HLOOKUP($A425,#REF!,16,FALSE())&lt;-2),"",#REF!),"")</f>
        <v/>
      </c>
      <c r="S425" s="0" t="str">
        <f aca="false">IFERROR(IF(OR(HLOOKUP($A425,#REF!,17,FALSE())&gt;2,HLOOKUP($A425,#REF!,17,FALSE())&lt;-2),"",#REF!),"")</f>
        <v/>
      </c>
      <c r="T425" s="0" t="str">
        <f aca="false">IFERROR(IF(OR(HLOOKUP($A425,#REF!,18,FALSE())&gt;2,HLOOKUP($A425,#REF!,18,FALSE())&lt;-2),"",#REF!),"")</f>
        <v/>
      </c>
      <c r="U425" s="0" t="str">
        <f aca="false">IFERROR(IF(OR(HLOOKUP($A425,#REF!,19,FALSE())&gt;2,HLOOKUP($A425,#REF!,19,FALSE())&lt;-2),"",#REF!),"")</f>
        <v/>
      </c>
      <c r="V425" s="0" t="n">
        <f aca="false">IFERROR(IF(AND(X425=0,Y425=0),0,1),0)</f>
        <v>1</v>
      </c>
      <c r="W425" s="3" t="str">
        <f aca="false">IFERROR(_xlfn.T.TEST(E425:M425,N425:U425,2,2),"")</f>
        <v/>
      </c>
      <c r="X425" s="0" t="str">
        <f aca="false">IFERROR(AVERAGE(E425:M425),"")</f>
        <v/>
      </c>
      <c r="Y425" s="0" t="str">
        <f aca="false">IFERROR(AVERAGE(N425:U425),"")</f>
        <v/>
      </c>
    </row>
    <row r="426" customFormat="false" ht="14.5" hidden="false" customHeight="false" outlineLevel="0" collapsed="false">
      <c r="A426" s="0" t="n">
        <v>434</v>
      </c>
      <c r="B426" s="0" t="s">
        <v>58</v>
      </c>
      <c r="C426" s="0" t="n">
        <v>26100</v>
      </c>
      <c r="D426" s="0" t="n">
        <v>879</v>
      </c>
      <c r="E426" s="0" t="str">
        <f aca="false">IFERROR(IF(OR(HLOOKUP($A426,#REF!,3,FALSE())&gt;2,HLOOKUP(A426,#REF!,3,FALSE())&lt;-2),"",#REF!),"")</f>
        <v/>
      </c>
      <c r="F426" s="0" t="str">
        <f aca="false">IFERROR(IF(OR(HLOOKUP($A426,#REF!,4,FALSE())&gt;2,HLOOKUP($A426,#REF!,4,FALSE())&lt;-2),"",#REF!),"")</f>
        <v/>
      </c>
      <c r="G426" s="0" t="str">
        <f aca="false">IFERROR(IF(OR(HLOOKUP($A426,#REF!,5,FALSE())&gt;2,HLOOKUP($A426,#REF!,5,FALSE())&lt;-2),"",#REF!),"")</f>
        <v/>
      </c>
      <c r="H426" s="0" t="str">
        <f aca="false">IFERROR(IF(OR(HLOOKUP($A426,#REF!,6,FALSE())&gt;2,HLOOKUP($A426,#REF!,6,FALSE())&lt;-2),"",#REF!),"")</f>
        <v/>
      </c>
      <c r="I426" s="0" t="str">
        <f aca="false">IFERROR(IF(OR(HLOOKUP($A426,#REF!,7,FALSE())&gt;2,HLOOKUP($A426,#REF!,7,FALSE())&lt;-2),"",#REF!),"")</f>
        <v/>
      </c>
      <c r="J426" s="0" t="str">
        <f aca="false">IFERROR(IF(OR(HLOOKUP($A426,#REF!,8,FALSE())&gt;2,HLOOKUP($A426,#REF!,8,FALSE())&lt;-2),"",#REF!),"")</f>
        <v/>
      </c>
      <c r="K426" s="0" t="str">
        <f aca="false">IFERROR(IF(OR(HLOOKUP($A426,#REF!,9,FALSE())&gt;2,HLOOKUP($A426,#REF!,9,FALSE())&lt;-2),"",#REF!),"")</f>
        <v/>
      </c>
      <c r="L426" s="0" t="str">
        <f aca="false">IFERROR(IF(OR(HLOOKUP($A426,#REF!,10,FALSE())&gt;2,HLOOKUP($A426,#REF!,10,FALSE())&lt;-2),"",#REF!),"")</f>
        <v/>
      </c>
      <c r="M426" s="0" t="str">
        <f aca="false">IFERROR(IF(OR(HLOOKUP($A426,#REF!,11,FALSE())&gt;2,HLOOKUP($A426,#REF!,11,FALSE())&lt;-2),"",#REF!),"")</f>
        <v/>
      </c>
      <c r="N426" s="0" t="str">
        <f aca="false">IFERROR(IF(OR(HLOOKUP($A426,#REF!,12,FALSE())&gt;2,HLOOKUP($A426,#REF!,12,FALSE())&lt;-2),"",#REF!),"")</f>
        <v/>
      </c>
      <c r="O426" s="0" t="str">
        <f aca="false">IFERROR(IF(OR(HLOOKUP($A426,#REF!,13,FALSE())&gt;2,HLOOKUP($A426,#REF!,13,FALSE())&lt;-2),"",#REF!),"")</f>
        <v/>
      </c>
      <c r="P426" s="0" t="str">
        <f aca="false">IFERROR(IF(OR(HLOOKUP($A426,#REF!,14,FALSE())&gt;2,HLOOKUP($A426,#REF!,14,FALSE())&lt;-2),"",#REF!),"")</f>
        <v/>
      </c>
      <c r="Q426" s="0" t="str">
        <f aca="false">IFERROR(IF(OR(HLOOKUP($A426,#REF!,15,FALSE())&gt;2,HLOOKUP($A426,#REF!,15,FALSE())&lt;-2),"",#REF!),"")</f>
        <v/>
      </c>
      <c r="R426" s="0" t="str">
        <f aca="false">IFERROR(IF(OR(HLOOKUP($A426,#REF!,16,FALSE())&gt;2,HLOOKUP($A426,#REF!,16,FALSE())&lt;-2),"",#REF!),"")</f>
        <v/>
      </c>
      <c r="S426" s="0" t="str">
        <f aca="false">IFERROR(IF(OR(HLOOKUP($A426,#REF!,17,FALSE())&gt;2,HLOOKUP($A426,#REF!,17,FALSE())&lt;-2),"",#REF!),"")</f>
        <v/>
      </c>
      <c r="T426" s="0" t="str">
        <f aca="false">IFERROR(IF(OR(HLOOKUP($A426,#REF!,18,FALSE())&gt;2,HLOOKUP($A426,#REF!,18,FALSE())&lt;-2),"",#REF!),"")</f>
        <v/>
      </c>
      <c r="U426" s="0" t="str">
        <f aca="false">IFERROR(IF(OR(HLOOKUP($A426,#REF!,19,FALSE())&gt;2,HLOOKUP($A426,#REF!,19,FALSE())&lt;-2),"",#REF!),"")</f>
        <v/>
      </c>
      <c r="V426" s="0" t="n">
        <f aca="false">IFERROR(IF(AND(X426=0,Y426=0),0,1),0)</f>
        <v>1</v>
      </c>
      <c r="W426" s="3" t="str">
        <f aca="false">IFERROR(_xlfn.T.TEST(E426:M426,N426:U426,2,2),"")</f>
        <v/>
      </c>
      <c r="X426" s="0" t="str">
        <f aca="false">IFERROR(AVERAGE(E426:M426),"")</f>
        <v/>
      </c>
      <c r="Y426" s="0" t="str">
        <f aca="false">IFERROR(AVERAGE(N426:U426),"")</f>
        <v/>
      </c>
    </row>
    <row r="427" customFormat="false" ht="14.5" hidden="false" customHeight="false" outlineLevel="0" collapsed="false">
      <c r="A427" s="0" t="n">
        <v>435</v>
      </c>
      <c r="B427" s="0" t="s">
        <v>501</v>
      </c>
      <c r="C427" s="0" t="n">
        <v>51500</v>
      </c>
      <c r="D427" s="0" t="n">
        <v>403</v>
      </c>
      <c r="E427" s="0" t="str">
        <f aca="false">IFERROR(IF(OR(HLOOKUP($A427,#REF!,3,FALSE())&gt;2,HLOOKUP(A427,#REF!,3,FALSE())&lt;-2),"",#REF!),"")</f>
        <v/>
      </c>
      <c r="F427" s="0" t="str">
        <f aca="false">IFERROR(IF(OR(HLOOKUP($A427,#REF!,4,FALSE())&gt;2,HLOOKUP($A427,#REF!,4,FALSE())&lt;-2),"",#REF!),"")</f>
        <v/>
      </c>
      <c r="G427" s="0" t="str">
        <f aca="false">IFERROR(IF(OR(HLOOKUP($A427,#REF!,5,FALSE())&gt;2,HLOOKUP($A427,#REF!,5,FALSE())&lt;-2),"",#REF!),"")</f>
        <v/>
      </c>
      <c r="H427" s="0" t="str">
        <f aca="false">IFERROR(IF(OR(HLOOKUP($A427,#REF!,6,FALSE())&gt;2,HLOOKUP($A427,#REF!,6,FALSE())&lt;-2),"",#REF!),"")</f>
        <v/>
      </c>
      <c r="I427" s="0" t="str">
        <f aca="false">IFERROR(IF(OR(HLOOKUP($A427,#REF!,7,FALSE())&gt;2,HLOOKUP($A427,#REF!,7,FALSE())&lt;-2),"",#REF!),"")</f>
        <v/>
      </c>
      <c r="J427" s="0" t="str">
        <f aca="false">IFERROR(IF(OR(HLOOKUP($A427,#REF!,8,FALSE())&gt;2,HLOOKUP($A427,#REF!,8,FALSE())&lt;-2),"",#REF!),"")</f>
        <v/>
      </c>
      <c r="K427" s="0" t="str">
        <f aca="false">IFERROR(IF(OR(HLOOKUP($A427,#REF!,9,FALSE())&gt;2,HLOOKUP($A427,#REF!,9,FALSE())&lt;-2),"",#REF!),"")</f>
        <v/>
      </c>
      <c r="L427" s="0" t="str">
        <f aca="false">IFERROR(IF(OR(HLOOKUP($A427,#REF!,10,FALSE())&gt;2,HLOOKUP($A427,#REF!,10,FALSE())&lt;-2),"",#REF!),"")</f>
        <v/>
      </c>
      <c r="M427" s="0" t="str">
        <f aca="false">IFERROR(IF(OR(HLOOKUP($A427,#REF!,11,FALSE())&gt;2,HLOOKUP($A427,#REF!,11,FALSE())&lt;-2),"",#REF!),"")</f>
        <v/>
      </c>
      <c r="N427" s="0" t="str">
        <f aca="false">IFERROR(IF(OR(HLOOKUP($A427,#REF!,12,FALSE())&gt;2,HLOOKUP($A427,#REF!,12,FALSE())&lt;-2),"",#REF!),"")</f>
        <v/>
      </c>
      <c r="O427" s="0" t="str">
        <f aca="false">IFERROR(IF(OR(HLOOKUP($A427,#REF!,13,FALSE())&gt;2,HLOOKUP($A427,#REF!,13,FALSE())&lt;-2),"",#REF!),"")</f>
        <v/>
      </c>
      <c r="P427" s="0" t="str">
        <f aca="false">IFERROR(IF(OR(HLOOKUP($A427,#REF!,14,FALSE())&gt;2,HLOOKUP($A427,#REF!,14,FALSE())&lt;-2),"",#REF!),"")</f>
        <v/>
      </c>
      <c r="Q427" s="0" t="str">
        <f aca="false">IFERROR(IF(OR(HLOOKUP($A427,#REF!,15,FALSE())&gt;2,HLOOKUP($A427,#REF!,15,FALSE())&lt;-2),"",#REF!),"")</f>
        <v/>
      </c>
      <c r="R427" s="0" t="str">
        <f aca="false">IFERROR(IF(OR(HLOOKUP($A427,#REF!,16,FALSE())&gt;2,HLOOKUP($A427,#REF!,16,FALSE())&lt;-2),"",#REF!),"")</f>
        <v/>
      </c>
      <c r="S427" s="0" t="str">
        <f aca="false">IFERROR(IF(OR(HLOOKUP($A427,#REF!,17,FALSE())&gt;2,HLOOKUP($A427,#REF!,17,FALSE())&lt;-2),"",#REF!),"")</f>
        <v/>
      </c>
      <c r="T427" s="0" t="str">
        <f aca="false">IFERROR(IF(OR(HLOOKUP($A427,#REF!,18,FALSE())&gt;2,HLOOKUP($A427,#REF!,18,FALSE())&lt;-2),"",#REF!),"")</f>
        <v/>
      </c>
      <c r="U427" s="0" t="str">
        <f aca="false">IFERROR(IF(OR(HLOOKUP($A427,#REF!,19,FALSE())&gt;2,HLOOKUP($A427,#REF!,19,FALSE())&lt;-2),"",#REF!),"")</f>
        <v/>
      </c>
      <c r="V427" s="0" t="n">
        <f aca="false">IFERROR(IF(AND(X427=0,Y427=0),0,1),0)</f>
        <v>1</v>
      </c>
      <c r="W427" s="3" t="str">
        <f aca="false">IFERROR(_xlfn.T.TEST(E427:M427,N427:U427,2,2),"")</f>
        <v/>
      </c>
      <c r="X427" s="0" t="str">
        <f aca="false">IFERROR(AVERAGE(E427:M427),"")</f>
        <v/>
      </c>
      <c r="Y427" s="0" t="str">
        <f aca="false">IFERROR(AVERAGE(N427:U427),"")</f>
        <v/>
      </c>
    </row>
    <row r="428" customFormat="false" ht="14.5" hidden="false" customHeight="false" outlineLevel="0" collapsed="false">
      <c r="A428" s="0" t="n">
        <v>436</v>
      </c>
      <c r="B428" s="0" t="s">
        <v>502</v>
      </c>
      <c r="C428" s="0" t="n">
        <v>111900</v>
      </c>
      <c r="D428" s="0" t="n">
        <v>737</v>
      </c>
      <c r="E428" s="0" t="str">
        <f aca="false">IFERROR(IF(OR(HLOOKUP($A428,#REF!,3,FALSE())&gt;2,HLOOKUP(A428,#REF!,3,FALSE())&lt;-2),"",#REF!),"")</f>
        <v/>
      </c>
      <c r="F428" s="0" t="str">
        <f aca="false">IFERROR(IF(OR(HLOOKUP($A428,#REF!,4,FALSE())&gt;2,HLOOKUP($A428,#REF!,4,FALSE())&lt;-2),"",#REF!),"")</f>
        <v/>
      </c>
      <c r="G428" s="0" t="str">
        <f aca="false">IFERROR(IF(OR(HLOOKUP($A428,#REF!,5,FALSE())&gt;2,HLOOKUP($A428,#REF!,5,FALSE())&lt;-2),"",#REF!),"")</f>
        <v/>
      </c>
      <c r="H428" s="0" t="str">
        <f aca="false">IFERROR(IF(OR(HLOOKUP($A428,#REF!,6,FALSE())&gt;2,HLOOKUP($A428,#REF!,6,FALSE())&lt;-2),"",#REF!),"")</f>
        <v/>
      </c>
      <c r="I428" s="0" t="str">
        <f aca="false">IFERROR(IF(OR(HLOOKUP($A428,#REF!,7,FALSE())&gt;2,HLOOKUP($A428,#REF!,7,FALSE())&lt;-2),"",#REF!),"")</f>
        <v/>
      </c>
      <c r="J428" s="0" t="str">
        <f aca="false">IFERROR(IF(OR(HLOOKUP($A428,#REF!,8,FALSE())&gt;2,HLOOKUP($A428,#REF!,8,FALSE())&lt;-2),"",#REF!),"")</f>
        <v/>
      </c>
      <c r="K428" s="0" t="str">
        <f aca="false">IFERROR(IF(OR(HLOOKUP($A428,#REF!,9,FALSE())&gt;2,HLOOKUP($A428,#REF!,9,FALSE())&lt;-2),"",#REF!),"")</f>
        <v/>
      </c>
      <c r="L428" s="0" t="str">
        <f aca="false">IFERROR(IF(OR(HLOOKUP($A428,#REF!,10,FALSE())&gt;2,HLOOKUP($A428,#REF!,10,FALSE())&lt;-2),"",#REF!),"")</f>
        <v/>
      </c>
      <c r="M428" s="0" t="str">
        <f aca="false">IFERROR(IF(OR(HLOOKUP($A428,#REF!,11,FALSE())&gt;2,HLOOKUP($A428,#REF!,11,FALSE())&lt;-2),"",#REF!),"")</f>
        <v/>
      </c>
      <c r="N428" s="0" t="str">
        <f aca="false">IFERROR(IF(OR(HLOOKUP($A428,#REF!,12,FALSE())&gt;2,HLOOKUP($A428,#REF!,12,FALSE())&lt;-2),"",#REF!),"")</f>
        <v/>
      </c>
      <c r="O428" s="0" t="str">
        <f aca="false">IFERROR(IF(OR(HLOOKUP($A428,#REF!,13,FALSE())&gt;2,HLOOKUP($A428,#REF!,13,FALSE())&lt;-2),"",#REF!),"")</f>
        <v/>
      </c>
      <c r="P428" s="0" t="str">
        <f aca="false">IFERROR(IF(OR(HLOOKUP($A428,#REF!,14,FALSE())&gt;2,HLOOKUP($A428,#REF!,14,FALSE())&lt;-2),"",#REF!),"")</f>
        <v/>
      </c>
      <c r="Q428" s="0" t="str">
        <f aca="false">IFERROR(IF(OR(HLOOKUP($A428,#REF!,15,FALSE())&gt;2,HLOOKUP($A428,#REF!,15,FALSE())&lt;-2),"",#REF!),"")</f>
        <v/>
      </c>
      <c r="R428" s="0" t="str">
        <f aca="false">IFERROR(IF(OR(HLOOKUP($A428,#REF!,16,FALSE())&gt;2,HLOOKUP($A428,#REF!,16,FALSE())&lt;-2),"",#REF!),"")</f>
        <v/>
      </c>
      <c r="S428" s="0" t="str">
        <f aca="false">IFERROR(IF(OR(HLOOKUP($A428,#REF!,17,FALSE())&gt;2,HLOOKUP($A428,#REF!,17,FALSE())&lt;-2),"",#REF!),"")</f>
        <v/>
      </c>
      <c r="T428" s="0" t="str">
        <f aca="false">IFERROR(IF(OR(HLOOKUP($A428,#REF!,18,FALSE())&gt;2,HLOOKUP($A428,#REF!,18,FALSE())&lt;-2),"",#REF!),"")</f>
        <v/>
      </c>
      <c r="U428" s="0" t="str">
        <f aca="false">IFERROR(IF(OR(HLOOKUP($A428,#REF!,19,FALSE())&gt;2,HLOOKUP($A428,#REF!,19,FALSE())&lt;-2),"",#REF!),"")</f>
        <v/>
      </c>
      <c r="V428" s="0" t="n">
        <f aca="false">IFERROR(IF(AND(X428=0,Y428=0),0,1),0)</f>
        <v>1</v>
      </c>
      <c r="W428" s="3" t="str">
        <f aca="false">IFERROR(_xlfn.T.TEST(E428:M428,N428:U428,2,2),"")</f>
        <v/>
      </c>
      <c r="X428" s="0" t="str">
        <f aca="false">IFERROR(AVERAGE(E428:M428),"")</f>
        <v/>
      </c>
      <c r="Y428" s="0" t="str">
        <f aca="false">IFERROR(AVERAGE(N428:U428),"")</f>
        <v/>
      </c>
    </row>
    <row r="429" customFormat="false" ht="14.5" hidden="false" customHeight="false" outlineLevel="0" collapsed="false">
      <c r="A429" s="0" t="n">
        <v>437</v>
      </c>
      <c r="B429" s="0" t="s">
        <v>503</v>
      </c>
      <c r="C429" s="0" t="n">
        <v>91400</v>
      </c>
      <c r="D429" s="0" t="n">
        <v>386</v>
      </c>
      <c r="E429" s="0" t="str">
        <f aca="false">IFERROR(IF(OR(HLOOKUP($A429,#REF!,3,FALSE())&gt;2,HLOOKUP(A429,#REF!,3,FALSE())&lt;-2),"",#REF!),"")</f>
        <v/>
      </c>
      <c r="F429" s="0" t="str">
        <f aca="false">IFERROR(IF(OR(HLOOKUP($A429,#REF!,4,FALSE())&gt;2,HLOOKUP($A429,#REF!,4,FALSE())&lt;-2),"",#REF!),"")</f>
        <v/>
      </c>
      <c r="G429" s="0" t="str">
        <f aca="false">IFERROR(IF(OR(HLOOKUP($A429,#REF!,5,FALSE())&gt;2,HLOOKUP($A429,#REF!,5,FALSE())&lt;-2),"",#REF!),"")</f>
        <v/>
      </c>
      <c r="H429" s="0" t="str">
        <f aca="false">IFERROR(IF(OR(HLOOKUP($A429,#REF!,6,FALSE())&gt;2,HLOOKUP($A429,#REF!,6,FALSE())&lt;-2),"",#REF!),"")</f>
        <v/>
      </c>
      <c r="I429" s="0" t="str">
        <f aca="false">IFERROR(IF(OR(HLOOKUP($A429,#REF!,7,FALSE())&gt;2,HLOOKUP($A429,#REF!,7,FALSE())&lt;-2),"",#REF!),"")</f>
        <v/>
      </c>
      <c r="J429" s="0" t="str">
        <f aca="false">IFERROR(IF(OR(HLOOKUP($A429,#REF!,8,FALSE())&gt;2,HLOOKUP($A429,#REF!,8,FALSE())&lt;-2),"",#REF!),"")</f>
        <v/>
      </c>
      <c r="K429" s="0" t="str">
        <f aca="false">IFERROR(IF(OR(HLOOKUP($A429,#REF!,9,FALSE())&gt;2,HLOOKUP($A429,#REF!,9,FALSE())&lt;-2),"",#REF!),"")</f>
        <v/>
      </c>
      <c r="L429" s="0" t="str">
        <f aca="false">IFERROR(IF(OR(HLOOKUP($A429,#REF!,10,FALSE())&gt;2,HLOOKUP($A429,#REF!,10,FALSE())&lt;-2),"",#REF!),"")</f>
        <v/>
      </c>
      <c r="M429" s="0" t="str">
        <f aca="false">IFERROR(IF(OR(HLOOKUP($A429,#REF!,11,FALSE())&gt;2,HLOOKUP($A429,#REF!,11,FALSE())&lt;-2),"",#REF!),"")</f>
        <v/>
      </c>
      <c r="N429" s="0" t="str">
        <f aca="false">IFERROR(IF(OR(HLOOKUP($A429,#REF!,12,FALSE())&gt;2,HLOOKUP($A429,#REF!,12,FALSE())&lt;-2),"",#REF!),"")</f>
        <v/>
      </c>
      <c r="O429" s="0" t="str">
        <f aca="false">IFERROR(IF(OR(HLOOKUP($A429,#REF!,13,FALSE())&gt;2,HLOOKUP($A429,#REF!,13,FALSE())&lt;-2),"",#REF!),"")</f>
        <v/>
      </c>
      <c r="P429" s="0" t="str">
        <f aca="false">IFERROR(IF(OR(HLOOKUP($A429,#REF!,14,FALSE())&gt;2,HLOOKUP($A429,#REF!,14,FALSE())&lt;-2),"",#REF!),"")</f>
        <v/>
      </c>
      <c r="Q429" s="0" t="str">
        <f aca="false">IFERROR(IF(OR(HLOOKUP($A429,#REF!,15,FALSE())&gt;2,HLOOKUP($A429,#REF!,15,FALSE())&lt;-2),"",#REF!),"")</f>
        <v/>
      </c>
      <c r="R429" s="0" t="str">
        <f aca="false">IFERROR(IF(OR(HLOOKUP($A429,#REF!,16,FALSE())&gt;2,HLOOKUP($A429,#REF!,16,FALSE())&lt;-2),"",#REF!),"")</f>
        <v/>
      </c>
      <c r="S429" s="0" t="str">
        <f aca="false">IFERROR(IF(OR(HLOOKUP($A429,#REF!,17,FALSE())&gt;2,HLOOKUP($A429,#REF!,17,FALSE())&lt;-2),"",#REF!),"")</f>
        <v/>
      </c>
      <c r="T429" s="0" t="str">
        <f aca="false">IFERROR(IF(OR(HLOOKUP($A429,#REF!,18,FALSE())&gt;2,HLOOKUP($A429,#REF!,18,FALSE())&lt;-2),"",#REF!),"")</f>
        <v/>
      </c>
      <c r="U429" s="0" t="str">
        <f aca="false">IFERROR(IF(OR(HLOOKUP($A429,#REF!,19,FALSE())&gt;2,HLOOKUP($A429,#REF!,19,FALSE())&lt;-2),"",#REF!),"")</f>
        <v/>
      </c>
      <c r="V429" s="0" t="n">
        <f aca="false">IFERROR(IF(AND(X429=0,Y429=0),0,1),0)</f>
        <v>1</v>
      </c>
      <c r="W429" s="3" t="str">
        <f aca="false">IFERROR(_xlfn.T.TEST(E429:M429,N429:U429,2,2),"")</f>
        <v/>
      </c>
      <c r="X429" s="0" t="str">
        <f aca="false">IFERROR(AVERAGE(E429:M429),"")</f>
        <v/>
      </c>
      <c r="Y429" s="0" t="str">
        <f aca="false">IFERROR(AVERAGE(N429:U429),"")</f>
        <v/>
      </c>
    </row>
    <row r="430" customFormat="false" ht="14.5" hidden="false" customHeight="false" outlineLevel="0" collapsed="false">
      <c r="A430" s="0" t="n">
        <v>438</v>
      </c>
      <c r="B430" s="0" t="s">
        <v>504</v>
      </c>
      <c r="C430" s="0" t="n">
        <v>38400</v>
      </c>
      <c r="D430" s="0" t="n">
        <v>423</v>
      </c>
      <c r="E430" s="0" t="str">
        <f aca="false">IFERROR(IF(OR(HLOOKUP($A430,#REF!,3,FALSE())&gt;2,HLOOKUP(A430,#REF!,3,FALSE())&lt;-2),"",#REF!),"")</f>
        <v/>
      </c>
      <c r="F430" s="0" t="str">
        <f aca="false">IFERROR(IF(OR(HLOOKUP($A430,#REF!,4,FALSE())&gt;2,HLOOKUP($A430,#REF!,4,FALSE())&lt;-2),"",#REF!),"")</f>
        <v/>
      </c>
      <c r="G430" s="0" t="str">
        <f aca="false">IFERROR(IF(OR(HLOOKUP($A430,#REF!,5,FALSE())&gt;2,HLOOKUP($A430,#REF!,5,FALSE())&lt;-2),"",#REF!),"")</f>
        <v/>
      </c>
      <c r="H430" s="0" t="str">
        <f aca="false">IFERROR(IF(OR(HLOOKUP($A430,#REF!,6,FALSE())&gt;2,HLOOKUP($A430,#REF!,6,FALSE())&lt;-2),"",#REF!),"")</f>
        <v/>
      </c>
      <c r="I430" s="0" t="str">
        <f aca="false">IFERROR(IF(OR(HLOOKUP($A430,#REF!,7,FALSE())&gt;2,HLOOKUP($A430,#REF!,7,FALSE())&lt;-2),"",#REF!),"")</f>
        <v/>
      </c>
      <c r="J430" s="0" t="str">
        <f aca="false">IFERROR(IF(OR(HLOOKUP($A430,#REF!,8,FALSE())&gt;2,HLOOKUP($A430,#REF!,8,FALSE())&lt;-2),"",#REF!),"")</f>
        <v/>
      </c>
      <c r="K430" s="0" t="str">
        <f aca="false">IFERROR(IF(OR(HLOOKUP($A430,#REF!,9,FALSE())&gt;2,HLOOKUP($A430,#REF!,9,FALSE())&lt;-2),"",#REF!),"")</f>
        <v/>
      </c>
      <c r="L430" s="0" t="str">
        <f aca="false">IFERROR(IF(OR(HLOOKUP($A430,#REF!,10,FALSE())&gt;2,HLOOKUP($A430,#REF!,10,FALSE())&lt;-2),"",#REF!),"")</f>
        <v/>
      </c>
      <c r="M430" s="0" t="str">
        <f aca="false">IFERROR(IF(OR(HLOOKUP($A430,#REF!,11,FALSE())&gt;2,HLOOKUP($A430,#REF!,11,FALSE())&lt;-2),"",#REF!),"")</f>
        <v/>
      </c>
      <c r="N430" s="0" t="str">
        <f aca="false">IFERROR(IF(OR(HLOOKUP($A430,#REF!,12,FALSE())&gt;2,HLOOKUP($A430,#REF!,12,FALSE())&lt;-2),"",#REF!),"")</f>
        <v/>
      </c>
      <c r="O430" s="0" t="str">
        <f aca="false">IFERROR(IF(OR(HLOOKUP($A430,#REF!,13,FALSE())&gt;2,HLOOKUP($A430,#REF!,13,FALSE())&lt;-2),"",#REF!),"")</f>
        <v/>
      </c>
      <c r="P430" s="0" t="str">
        <f aca="false">IFERROR(IF(OR(HLOOKUP($A430,#REF!,14,FALSE())&gt;2,HLOOKUP($A430,#REF!,14,FALSE())&lt;-2),"",#REF!),"")</f>
        <v/>
      </c>
      <c r="Q430" s="0" t="str">
        <f aca="false">IFERROR(IF(OR(HLOOKUP($A430,#REF!,15,FALSE())&gt;2,HLOOKUP($A430,#REF!,15,FALSE())&lt;-2),"",#REF!),"")</f>
        <v/>
      </c>
      <c r="R430" s="0" t="str">
        <f aca="false">IFERROR(IF(OR(HLOOKUP($A430,#REF!,16,FALSE())&gt;2,HLOOKUP($A430,#REF!,16,FALSE())&lt;-2),"",#REF!),"")</f>
        <v/>
      </c>
      <c r="S430" s="0" t="str">
        <f aca="false">IFERROR(IF(OR(HLOOKUP($A430,#REF!,17,FALSE())&gt;2,HLOOKUP($A430,#REF!,17,FALSE())&lt;-2),"",#REF!),"")</f>
        <v/>
      </c>
      <c r="T430" s="0" t="str">
        <f aca="false">IFERROR(IF(OR(HLOOKUP($A430,#REF!,18,FALSE())&gt;2,HLOOKUP($A430,#REF!,18,FALSE())&lt;-2),"",#REF!),"")</f>
        <v/>
      </c>
      <c r="U430" s="0" t="str">
        <f aca="false">IFERROR(IF(OR(HLOOKUP($A430,#REF!,19,FALSE())&gt;2,HLOOKUP($A430,#REF!,19,FALSE())&lt;-2),"",#REF!),"")</f>
        <v/>
      </c>
      <c r="V430" s="0" t="n">
        <f aca="false">IFERROR(IF(AND(X430=0,Y430=0),0,1),0)</f>
        <v>1</v>
      </c>
      <c r="W430" s="3" t="str">
        <f aca="false">IFERROR(_xlfn.T.TEST(E430:M430,N430:U430,2,2),"")</f>
        <v/>
      </c>
      <c r="X430" s="0" t="str">
        <f aca="false">IFERROR(AVERAGE(E430:M430),"")</f>
        <v/>
      </c>
      <c r="Y430" s="0" t="str">
        <f aca="false">IFERROR(AVERAGE(N430:U430),"")</f>
        <v/>
      </c>
    </row>
    <row r="431" customFormat="false" ht="14.5" hidden="false" customHeight="false" outlineLevel="0" collapsed="false">
      <c r="A431" s="0" t="n">
        <v>439</v>
      </c>
      <c r="B431" s="0" t="s">
        <v>505</v>
      </c>
      <c r="C431" s="0" t="n">
        <v>76300</v>
      </c>
      <c r="D431" s="0" t="n">
        <v>63</v>
      </c>
      <c r="E431" s="0" t="str">
        <f aca="false">IFERROR(IF(OR(HLOOKUP($A431,#REF!,3,FALSE())&gt;2,HLOOKUP(A431,#REF!,3,FALSE())&lt;-2),"",#REF!),"")</f>
        <v/>
      </c>
      <c r="F431" s="0" t="str">
        <f aca="false">IFERROR(IF(OR(HLOOKUP($A431,#REF!,4,FALSE())&gt;2,HLOOKUP($A431,#REF!,4,FALSE())&lt;-2),"",#REF!),"")</f>
        <v/>
      </c>
      <c r="G431" s="0" t="str">
        <f aca="false">IFERROR(IF(OR(HLOOKUP($A431,#REF!,5,FALSE())&gt;2,HLOOKUP($A431,#REF!,5,FALSE())&lt;-2),"",#REF!),"")</f>
        <v/>
      </c>
      <c r="H431" s="0" t="str">
        <f aca="false">IFERROR(IF(OR(HLOOKUP($A431,#REF!,6,FALSE())&gt;2,HLOOKUP($A431,#REF!,6,FALSE())&lt;-2),"",#REF!),"")</f>
        <v/>
      </c>
      <c r="I431" s="0" t="str">
        <f aca="false">IFERROR(IF(OR(HLOOKUP($A431,#REF!,7,FALSE())&gt;2,HLOOKUP($A431,#REF!,7,FALSE())&lt;-2),"",#REF!),"")</f>
        <v/>
      </c>
      <c r="J431" s="0" t="str">
        <f aca="false">IFERROR(IF(OR(HLOOKUP($A431,#REF!,8,FALSE())&gt;2,HLOOKUP($A431,#REF!,8,FALSE())&lt;-2),"",#REF!),"")</f>
        <v/>
      </c>
      <c r="K431" s="0" t="str">
        <f aca="false">IFERROR(IF(OR(HLOOKUP($A431,#REF!,9,FALSE())&gt;2,HLOOKUP($A431,#REF!,9,FALSE())&lt;-2),"",#REF!),"")</f>
        <v/>
      </c>
      <c r="L431" s="0" t="str">
        <f aca="false">IFERROR(IF(OR(HLOOKUP($A431,#REF!,10,FALSE())&gt;2,HLOOKUP($A431,#REF!,10,FALSE())&lt;-2),"",#REF!),"")</f>
        <v/>
      </c>
      <c r="M431" s="0" t="str">
        <f aca="false">IFERROR(IF(OR(HLOOKUP($A431,#REF!,11,FALSE())&gt;2,HLOOKUP($A431,#REF!,11,FALSE())&lt;-2),"",#REF!),"")</f>
        <v/>
      </c>
      <c r="N431" s="0" t="str">
        <f aca="false">IFERROR(IF(OR(HLOOKUP($A431,#REF!,12,FALSE())&gt;2,HLOOKUP($A431,#REF!,12,FALSE())&lt;-2),"",#REF!),"")</f>
        <v/>
      </c>
      <c r="O431" s="0" t="str">
        <f aca="false">IFERROR(IF(OR(HLOOKUP($A431,#REF!,13,FALSE())&gt;2,HLOOKUP($A431,#REF!,13,FALSE())&lt;-2),"",#REF!),"")</f>
        <v/>
      </c>
      <c r="P431" s="0" t="str">
        <f aca="false">IFERROR(IF(OR(HLOOKUP($A431,#REF!,14,FALSE())&gt;2,HLOOKUP($A431,#REF!,14,FALSE())&lt;-2),"",#REF!),"")</f>
        <v/>
      </c>
      <c r="Q431" s="0" t="str">
        <f aca="false">IFERROR(IF(OR(HLOOKUP($A431,#REF!,15,FALSE())&gt;2,HLOOKUP($A431,#REF!,15,FALSE())&lt;-2),"",#REF!),"")</f>
        <v/>
      </c>
      <c r="R431" s="0" t="str">
        <f aca="false">IFERROR(IF(OR(HLOOKUP($A431,#REF!,16,FALSE())&gt;2,HLOOKUP($A431,#REF!,16,FALSE())&lt;-2),"",#REF!),"")</f>
        <v/>
      </c>
      <c r="S431" s="0" t="str">
        <f aca="false">IFERROR(IF(OR(HLOOKUP($A431,#REF!,17,FALSE())&gt;2,HLOOKUP($A431,#REF!,17,FALSE())&lt;-2),"",#REF!),"")</f>
        <v/>
      </c>
      <c r="T431" s="0" t="str">
        <f aca="false">IFERROR(IF(OR(HLOOKUP($A431,#REF!,18,FALSE())&gt;2,HLOOKUP($A431,#REF!,18,FALSE())&lt;-2),"",#REF!),"")</f>
        <v/>
      </c>
      <c r="U431" s="0" t="str">
        <f aca="false">IFERROR(IF(OR(HLOOKUP($A431,#REF!,19,FALSE())&gt;2,HLOOKUP($A431,#REF!,19,FALSE())&lt;-2),"",#REF!),"")</f>
        <v/>
      </c>
      <c r="V431" s="0" t="n">
        <f aca="false">IFERROR(IF(AND(X431=0,Y431=0),0,1),0)</f>
        <v>1</v>
      </c>
      <c r="W431" s="3" t="str">
        <f aca="false">IFERROR(_xlfn.T.TEST(E431:M431,N431:U431,2,2),"")</f>
        <v/>
      </c>
      <c r="X431" s="0" t="str">
        <f aca="false">IFERROR(AVERAGE(E431:M431),"")</f>
        <v/>
      </c>
      <c r="Y431" s="0" t="str">
        <f aca="false">IFERROR(AVERAGE(N431:U431),"")</f>
        <v/>
      </c>
    </row>
    <row r="432" customFormat="false" ht="14.5" hidden="false" customHeight="false" outlineLevel="0" collapsed="false">
      <c r="A432" s="0" t="n">
        <v>440</v>
      </c>
      <c r="B432" s="0" t="s">
        <v>506</v>
      </c>
      <c r="C432" s="0" t="n">
        <v>21800</v>
      </c>
      <c r="D432" s="0" t="n">
        <v>723</v>
      </c>
      <c r="E432" s="0" t="str">
        <f aca="false">IFERROR(IF(OR(HLOOKUP($A432,#REF!,3,FALSE())&gt;2,HLOOKUP(A432,#REF!,3,FALSE())&lt;-2),"",#REF!),"")</f>
        <v/>
      </c>
      <c r="F432" s="0" t="str">
        <f aca="false">IFERROR(IF(OR(HLOOKUP($A432,#REF!,4,FALSE())&gt;2,HLOOKUP($A432,#REF!,4,FALSE())&lt;-2),"",#REF!),"")</f>
        <v/>
      </c>
      <c r="G432" s="0" t="str">
        <f aca="false">IFERROR(IF(OR(HLOOKUP($A432,#REF!,5,FALSE())&gt;2,HLOOKUP($A432,#REF!,5,FALSE())&lt;-2),"",#REF!),"")</f>
        <v/>
      </c>
      <c r="H432" s="0" t="str">
        <f aca="false">IFERROR(IF(OR(HLOOKUP($A432,#REF!,6,FALSE())&gt;2,HLOOKUP($A432,#REF!,6,FALSE())&lt;-2),"",#REF!),"")</f>
        <v/>
      </c>
      <c r="I432" s="0" t="str">
        <f aca="false">IFERROR(IF(OR(HLOOKUP($A432,#REF!,7,FALSE())&gt;2,HLOOKUP($A432,#REF!,7,FALSE())&lt;-2),"",#REF!),"")</f>
        <v/>
      </c>
      <c r="J432" s="0" t="str">
        <f aca="false">IFERROR(IF(OR(HLOOKUP($A432,#REF!,8,FALSE())&gt;2,HLOOKUP($A432,#REF!,8,FALSE())&lt;-2),"",#REF!),"")</f>
        <v/>
      </c>
      <c r="K432" s="0" t="str">
        <f aca="false">IFERROR(IF(OR(HLOOKUP($A432,#REF!,9,FALSE())&gt;2,HLOOKUP($A432,#REF!,9,FALSE())&lt;-2),"",#REF!),"")</f>
        <v/>
      </c>
      <c r="L432" s="0" t="str">
        <f aca="false">IFERROR(IF(OR(HLOOKUP($A432,#REF!,10,FALSE())&gt;2,HLOOKUP($A432,#REF!,10,FALSE())&lt;-2),"",#REF!),"")</f>
        <v/>
      </c>
      <c r="M432" s="0" t="str">
        <f aca="false">IFERROR(IF(OR(HLOOKUP($A432,#REF!,11,FALSE())&gt;2,HLOOKUP($A432,#REF!,11,FALSE())&lt;-2),"",#REF!),"")</f>
        <v/>
      </c>
      <c r="N432" s="0" t="str">
        <f aca="false">IFERROR(IF(OR(HLOOKUP($A432,#REF!,12,FALSE())&gt;2,HLOOKUP($A432,#REF!,12,FALSE())&lt;-2),"",#REF!),"")</f>
        <v/>
      </c>
      <c r="O432" s="0" t="str">
        <f aca="false">IFERROR(IF(OR(HLOOKUP($A432,#REF!,13,FALSE())&gt;2,HLOOKUP($A432,#REF!,13,FALSE())&lt;-2),"",#REF!),"")</f>
        <v/>
      </c>
      <c r="P432" s="0" t="str">
        <f aca="false">IFERROR(IF(OR(HLOOKUP($A432,#REF!,14,FALSE())&gt;2,HLOOKUP($A432,#REF!,14,FALSE())&lt;-2),"",#REF!),"")</f>
        <v/>
      </c>
      <c r="Q432" s="0" t="str">
        <f aca="false">IFERROR(IF(OR(HLOOKUP($A432,#REF!,15,FALSE())&gt;2,HLOOKUP($A432,#REF!,15,FALSE())&lt;-2),"",#REF!),"")</f>
        <v/>
      </c>
      <c r="R432" s="0" t="str">
        <f aca="false">IFERROR(IF(OR(HLOOKUP($A432,#REF!,16,FALSE())&gt;2,HLOOKUP($A432,#REF!,16,FALSE())&lt;-2),"",#REF!),"")</f>
        <v/>
      </c>
      <c r="S432" s="0" t="str">
        <f aca="false">IFERROR(IF(OR(HLOOKUP($A432,#REF!,17,FALSE())&gt;2,HLOOKUP($A432,#REF!,17,FALSE())&lt;-2),"",#REF!),"")</f>
        <v/>
      </c>
      <c r="T432" s="0" t="str">
        <f aca="false">IFERROR(IF(OR(HLOOKUP($A432,#REF!,18,FALSE())&gt;2,HLOOKUP($A432,#REF!,18,FALSE())&lt;-2),"",#REF!),"")</f>
        <v/>
      </c>
      <c r="U432" s="0" t="str">
        <f aca="false">IFERROR(IF(OR(HLOOKUP($A432,#REF!,19,FALSE())&gt;2,HLOOKUP($A432,#REF!,19,FALSE())&lt;-2),"",#REF!),"")</f>
        <v/>
      </c>
      <c r="V432" s="0" t="n">
        <f aca="false">IFERROR(IF(AND(X432=0,Y432=0),0,1),0)</f>
        <v>1</v>
      </c>
      <c r="W432" s="3" t="str">
        <f aca="false">IFERROR(_xlfn.T.TEST(E432:M432,N432:U432,2,2),"")</f>
        <v/>
      </c>
      <c r="X432" s="0" t="str">
        <f aca="false">IFERROR(AVERAGE(E432:M432),"")</f>
        <v/>
      </c>
      <c r="Y432" s="0" t="str">
        <f aca="false">IFERROR(AVERAGE(N432:U432),"")</f>
        <v/>
      </c>
    </row>
    <row r="433" customFormat="false" ht="14.5" hidden="false" customHeight="false" outlineLevel="0" collapsed="false">
      <c r="A433" s="0" t="n">
        <v>441</v>
      </c>
      <c r="B433" s="0" t="s">
        <v>507</v>
      </c>
      <c r="C433" s="0" t="n">
        <v>15400</v>
      </c>
      <c r="D433" s="0" t="n">
        <v>394</v>
      </c>
      <c r="E433" s="0" t="str">
        <f aca="false">IFERROR(IF(OR(HLOOKUP($A433,#REF!,3,FALSE())&gt;2,HLOOKUP(A433,#REF!,3,FALSE())&lt;-2),"",#REF!),"")</f>
        <v/>
      </c>
      <c r="F433" s="0" t="str">
        <f aca="false">IFERROR(IF(OR(HLOOKUP($A433,#REF!,4,FALSE())&gt;2,HLOOKUP($A433,#REF!,4,FALSE())&lt;-2),"",#REF!),"")</f>
        <v/>
      </c>
      <c r="G433" s="0" t="str">
        <f aca="false">IFERROR(IF(OR(HLOOKUP($A433,#REF!,5,FALSE())&gt;2,HLOOKUP($A433,#REF!,5,FALSE())&lt;-2),"",#REF!),"")</f>
        <v/>
      </c>
      <c r="H433" s="0" t="str">
        <f aca="false">IFERROR(IF(OR(HLOOKUP($A433,#REF!,6,FALSE())&gt;2,HLOOKUP($A433,#REF!,6,FALSE())&lt;-2),"",#REF!),"")</f>
        <v/>
      </c>
      <c r="I433" s="0" t="str">
        <f aca="false">IFERROR(IF(OR(HLOOKUP($A433,#REF!,7,FALSE())&gt;2,HLOOKUP($A433,#REF!,7,FALSE())&lt;-2),"",#REF!),"")</f>
        <v/>
      </c>
      <c r="J433" s="0" t="str">
        <f aca="false">IFERROR(IF(OR(HLOOKUP($A433,#REF!,8,FALSE())&gt;2,HLOOKUP($A433,#REF!,8,FALSE())&lt;-2),"",#REF!),"")</f>
        <v/>
      </c>
      <c r="K433" s="0" t="str">
        <f aca="false">IFERROR(IF(OR(HLOOKUP($A433,#REF!,9,FALSE())&gt;2,HLOOKUP($A433,#REF!,9,FALSE())&lt;-2),"",#REF!),"")</f>
        <v/>
      </c>
      <c r="L433" s="0" t="str">
        <f aca="false">IFERROR(IF(OR(HLOOKUP($A433,#REF!,10,FALSE())&gt;2,HLOOKUP($A433,#REF!,10,FALSE())&lt;-2),"",#REF!),"")</f>
        <v/>
      </c>
      <c r="M433" s="0" t="str">
        <f aca="false">IFERROR(IF(OR(HLOOKUP($A433,#REF!,11,FALSE())&gt;2,HLOOKUP($A433,#REF!,11,FALSE())&lt;-2),"",#REF!),"")</f>
        <v/>
      </c>
      <c r="N433" s="0" t="str">
        <f aca="false">IFERROR(IF(OR(HLOOKUP($A433,#REF!,12,FALSE())&gt;2,HLOOKUP($A433,#REF!,12,FALSE())&lt;-2),"",#REF!),"")</f>
        <v/>
      </c>
      <c r="O433" s="0" t="str">
        <f aca="false">IFERROR(IF(OR(HLOOKUP($A433,#REF!,13,FALSE())&gt;2,HLOOKUP($A433,#REF!,13,FALSE())&lt;-2),"",#REF!),"")</f>
        <v/>
      </c>
      <c r="P433" s="0" t="str">
        <f aca="false">IFERROR(IF(OR(HLOOKUP($A433,#REF!,14,FALSE())&gt;2,HLOOKUP($A433,#REF!,14,FALSE())&lt;-2),"",#REF!),"")</f>
        <v/>
      </c>
      <c r="Q433" s="0" t="str">
        <f aca="false">IFERROR(IF(OR(HLOOKUP($A433,#REF!,15,FALSE())&gt;2,HLOOKUP($A433,#REF!,15,FALSE())&lt;-2),"",#REF!),"")</f>
        <v/>
      </c>
      <c r="R433" s="0" t="str">
        <f aca="false">IFERROR(IF(OR(HLOOKUP($A433,#REF!,16,FALSE())&gt;2,HLOOKUP($A433,#REF!,16,FALSE())&lt;-2),"",#REF!),"")</f>
        <v/>
      </c>
      <c r="S433" s="0" t="str">
        <f aca="false">IFERROR(IF(OR(HLOOKUP($A433,#REF!,17,FALSE())&gt;2,HLOOKUP($A433,#REF!,17,FALSE())&lt;-2),"",#REF!),"")</f>
        <v/>
      </c>
      <c r="T433" s="0" t="str">
        <f aca="false">IFERROR(IF(OR(HLOOKUP($A433,#REF!,18,FALSE())&gt;2,HLOOKUP($A433,#REF!,18,FALSE())&lt;-2),"",#REF!),"")</f>
        <v/>
      </c>
      <c r="U433" s="0" t="str">
        <f aca="false">IFERROR(IF(OR(HLOOKUP($A433,#REF!,19,FALSE())&gt;2,HLOOKUP($A433,#REF!,19,FALSE())&lt;-2),"",#REF!),"")</f>
        <v/>
      </c>
      <c r="V433" s="0" t="n">
        <f aca="false">IFERROR(IF(AND(X433=0,Y433=0),0,1),0)</f>
        <v>1</v>
      </c>
      <c r="W433" s="3" t="str">
        <f aca="false">IFERROR(_xlfn.T.TEST(E433:M433,N433:U433,2,2),"")</f>
        <v/>
      </c>
      <c r="X433" s="0" t="str">
        <f aca="false">IFERROR(AVERAGE(E433:M433),"")</f>
        <v/>
      </c>
      <c r="Y433" s="0" t="str">
        <f aca="false">IFERROR(AVERAGE(N433:U433),"")</f>
        <v/>
      </c>
    </row>
    <row r="434" customFormat="false" ht="14.5" hidden="false" customHeight="false" outlineLevel="0" collapsed="false">
      <c r="A434" s="0" t="n">
        <v>442</v>
      </c>
      <c r="B434" s="0" t="s">
        <v>59</v>
      </c>
      <c r="C434" s="0" t="n">
        <v>26000</v>
      </c>
      <c r="D434" s="0" t="n">
        <v>879</v>
      </c>
      <c r="E434" s="0" t="str">
        <f aca="false">IFERROR(IF(OR(HLOOKUP($A434,#REF!,3,FALSE())&gt;2,HLOOKUP(A434,#REF!,3,FALSE())&lt;-2),"",#REF!),"")</f>
        <v/>
      </c>
      <c r="F434" s="0" t="str">
        <f aca="false">IFERROR(IF(OR(HLOOKUP($A434,#REF!,4,FALSE())&gt;2,HLOOKUP($A434,#REF!,4,FALSE())&lt;-2),"",#REF!),"")</f>
        <v/>
      </c>
      <c r="G434" s="0" t="str">
        <f aca="false">IFERROR(IF(OR(HLOOKUP($A434,#REF!,5,FALSE())&gt;2,HLOOKUP($A434,#REF!,5,FALSE())&lt;-2),"",#REF!),"")</f>
        <v/>
      </c>
      <c r="H434" s="0" t="str">
        <f aca="false">IFERROR(IF(OR(HLOOKUP($A434,#REF!,6,FALSE())&gt;2,HLOOKUP($A434,#REF!,6,FALSE())&lt;-2),"",#REF!),"")</f>
        <v/>
      </c>
      <c r="I434" s="0" t="str">
        <f aca="false">IFERROR(IF(OR(HLOOKUP($A434,#REF!,7,FALSE())&gt;2,HLOOKUP($A434,#REF!,7,FALSE())&lt;-2),"",#REF!),"")</f>
        <v/>
      </c>
      <c r="J434" s="0" t="str">
        <f aca="false">IFERROR(IF(OR(HLOOKUP($A434,#REF!,8,FALSE())&gt;2,HLOOKUP($A434,#REF!,8,FALSE())&lt;-2),"",#REF!),"")</f>
        <v/>
      </c>
      <c r="K434" s="0" t="str">
        <f aca="false">IFERROR(IF(OR(HLOOKUP($A434,#REF!,9,FALSE())&gt;2,HLOOKUP($A434,#REF!,9,FALSE())&lt;-2),"",#REF!),"")</f>
        <v/>
      </c>
      <c r="L434" s="0" t="str">
        <f aca="false">IFERROR(IF(OR(HLOOKUP($A434,#REF!,10,FALSE())&gt;2,HLOOKUP($A434,#REF!,10,FALSE())&lt;-2),"",#REF!),"")</f>
        <v/>
      </c>
      <c r="M434" s="0" t="str">
        <f aca="false">IFERROR(IF(OR(HLOOKUP($A434,#REF!,11,FALSE())&gt;2,HLOOKUP($A434,#REF!,11,FALSE())&lt;-2),"",#REF!),"")</f>
        <v/>
      </c>
      <c r="N434" s="0" t="str">
        <f aca="false">IFERROR(IF(OR(HLOOKUP($A434,#REF!,12,FALSE())&gt;2,HLOOKUP($A434,#REF!,12,FALSE())&lt;-2),"",#REF!),"")</f>
        <v/>
      </c>
      <c r="O434" s="0" t="str">
        <f aca="false">IFERROR(IF(OR(HLOOKUP($A434,#REF!,13,FALSE())&gt;2,HLOOKUP($A434,#REF!,13,FALSE())&lt;-2),"",#REF!),"")</f>
        <v/>
      </c>
      <c r="P434" s="0" t="str">
        <f aca="false">IFERROR(IF(OR(HLOOKUP($A434,#REF!,14,FALSE())&gt;2,HLOOKUP($A434,#REF!,14,FALSE())&lt;-2),"",#REF!),"")</f>
        <v/>
      </c>
      <c r="Q434" s="0" t="str">
        <f aca="false">IFERROR(IF(OR(HLOOKUP($A434,#REF!,15,FALSE())&gt;2,HLOOKUP($A434,#REF!,15,FALSE())&lt;-2),"",#REF!),"")</f>
        <v/>
      </c>
      <c r="R434" s="0" t="str">
        <f aca="false">IFERROR(IF(OR(HLOOKUP($A434,#REF!,16,FALSE())&gt;2,HLOOKUP($A434,#REF!,16,FALSE())&lt;-2),"",#REF!),"")</f>
        <v/>
      </c>
      <c r="S434" s="0" t="str">
        <f aca="false">IFERROR(IF(OR(HLOOKUP($A434,#REF!,17,FALSE())&gt;2,HLOOKUP($A434,#REF!,17,FALSE())&lt;-2),"",#REF!),"")</f>
        <v/>
      </c>
      <c r="T434" s="0" t="str">
        <f aca="false">IFERROR(IF(OR(HLOOKUP($A434,#REF!,18,FALSE())&gt;2,HLOOKUP($A434,#REF!,18,FALSE())&lt;-2),"",#REF!),"")</f>
        <v/>
      </c>
      <c r="U434" s="0" t="str">
        <f aca="false">IFERROR(IF(OR(HLOOKUP($A434,#REF!,19,FALSE())&gt;2,HLOOKUP($A434,#REF!,19,FALSE())&lt;-2),"",#REF!),"")</f>
        <v/>
      </c>
      <c r="V434" s="0" t="n">
        <f aca="false">IFERROR(IF(AND(X434=0,Y434=0),0,1),0)</f>
        <v>1</v>
      </c>
      <c r="W434" s="3" t="str">
        <f aca="false">IFERROR(_xlfn.T.TEST(E434:M434,N434:U434,2,2),"")</f>
        <v/>
      </c>
      <c r="X434" s="0" t="str">
        <f aca="false">IFERROR(AVERAGE(E434:M434),"")</f>
        <v/>
      </c>
      <c r="Y434" s="0" t="str">
        <f aca="false">IFERROR(AVERAGE(N434:U434),"")</f>
        <v/>
      </c>
    </row>
    <row r="435" customFormat="false" ht="14.5" hidden="false" customHeight="false" outlineLevel="0" collapsed="false">
      <c r="A435" s="0" t="n">
        <v>443</v>
      </c>
      <c r="B435" s="0" t="s">
        <v>508</v>
      </c>
      <c r="C435" s="0" t="n">
        <v>112100</v>
      </c>
      <c r="D435" s="0" t="n">
        <v>618</v>
      </c>
      <c r="E435" s="0" t="str">
        <f aca="false">IFERROR(IF(OR(HLOOKUP($A435,#REF!,3,FALSE())&gt;2,HLOOKUP(A435,#REF!,3,FALSE())&lt;-2),"",#REF!),"")</f>
        <v/>
      </c>
      <c r="F435" s="0" t="str">
        <f aca="false">IFERROR(IF(OR(HLOOKUP($A435,#REF!,4,FALSE())&gt;2,HLOOKUP($A435,#REF!,4,FALSE())&lt;-2),"",#REF!),"")</f>
        <v/>
      </c>
      <c r="G435" s="0" t="str">
        <f aca="false">IFERROR(IF(OR(HLOOKUP($A435,#REF!,5,FALSE())&gt;2,HLOOKUP($A435,#REF!,5,FALSE())&lt;-2),"",#REF!),"")</f>
        <v/>
      </c>
      <c r="H435" s="0" t="str">
        <f aca="false">IFERROR(IF(OR(HLOOKUP($A435,#REF!,6,FALSE())&gt;2,HLOOKUP($A435,#REF!,6,FALSE())&lt;-2),"",#REF!),"")</f>
        <v/>
      </c>
      <c r="I435" s="0" t="str">
        <f aca="false">IFERROR(IF(OR(HLOOKUP($A435,#REF!,7,FALSE())&gt;2,HLOOKUP($A435,#REF!,7,FALSE())&lt;-2),"",#REF!),"")</f>
        <v/>
      </c>
      <c r="J435" s="0" t="str">
        <f aca="false">IFERROR(IF(OR(HLOOKUP($A435,#REF!,8,FALSE())&gt;2,HLOOKUP($A435,#REF!,8,FALSE())&lt;-2),"",#REF!),"")</f>
        <v/>
      </c>
      <c r="K435" s="0" t="str">
        <f aca="false">IFERROR(IF(OR(HLOOKUP($A435,#REF!,9,FALSE())&gt;2,HLOOKUP($A435,#REF!,9,FALSE())&lt;-2),"",#REF!),"")</f>
        <v/>
      </c>
      <c r="L435" s="0" t="str">
        <f aca="false">IFERROR(IF(OR(HLOOKUP($A435,#REF!,10,FALSE())&gt;2,HLOOKUP($A435,#REF!,10,FALSE())&lt;-2),"",#REF!),"")</f>
        <v/>
      </c>
      <c r="M435" s="0" t="str">
        <f aca="false">IFERROR(IF(OR(HLOOKUP($A435,#REF!,11,FALSE())&gt;2,HLOOKUP($A435,#REF!,11,FALSE())&lt;-2),"",#REF!),"")</f>
        <v/>
      </c>
      <c r="N435" s="0" t="str">
        <f aca="false">IFERROR(IF(OR(HLOOKUP($A435,#REF!,12,FALSE())&gt;2,HLOOKUP($A435,#REF!,12,FALSE())&lt;-2),"",#REF!),"")</f>
        <v/>
      </c>
      <c r="O435" s="0" t="str">
        <f aca="false">IFERROR(IF(OR(HLOOKUP($A435,#REF!,13,FALSE())&gt;2,HLOOKUP($A435,#REF!,13,FALSE())&lt;-2),"",#REF!),"")</f>
        <v/>
      </c>
      <c r="P435" s="0" t="str">
        <f aca="false">IFERROR(IF(OR(HLOOKUP($A435,#REF!,14,FALSE())&gt;2,HLOOKUP($A435,#REF!,14,FALSE())&lt;-2),"",#REF!),"")</f>
        <v/>
      </c>
      <c r="Q435" s="0" t="str">
        <f aca="false">IFERROR(IF(OR(HLOOKUP($A435,#REF!,15,FALSE())&gt;2,HLOOKUP($A435,#REF!,15,FALSE())&lt;-2),"",#REF!),"")</f>
        <v/>
      </c>
      <c r="R435" s="0" t="str">
        <f aca="false">IFERROR(IF(OR(HLOOKUP($A435,#REF!,16,FALSE())&gt;2,HLOOKUP($A435,#REF!,16,FALSE())&lt;-2),"",#REF!),"")</f>
        <v/>
      </c>
      <c r="S435" s="0" t="str">
        <f aca="false">IFERROR(IF(OR(HLOOKUP($A435,#REF!,17,FALSE())&gt;2,HLOOKUP($A435,#REF!,17,FALSE())&lt;-2),"",#REF!),"")</f>
        <v/>
      </c>
      <c r="T435" s="0" t="str">
        <f aca="false">IFERROR(IF(OR(HLOOKUP($A435,#REF!,18,FALSE())&gt;2,HLOOKUP($A435,#REF!,18,FALSE())&lt;-2),"",#REF!),"")</f>
        <v/>
      </c>
      <c r="U435" s="0" t="str">
        <f aca="false">IFERROR(IF(OR(HLOOKUP($A435,#REF!,19,FALSE())&gt;2,HLOOKUP($A435,#REF!,19,FALSE())&lt;-2),"",#REF!),"")</f>
        <v/>
      </c>
      <c r="V435" s="0" t="n">
        <f aca="false">IFERROR(IF(AND(X435=0,Y435=0),0,1),0)</f>
        <v>1</v>
      </c>
      <c r="W435" s="3" t="str">
        <f aca="false">IFERROR(_xlfn.T.TEST(E435:M435,N435:U435,2,2),"")</f>
        <v/>
      </c>
      <c r="X435" s="0" t="str">
        <f aca="false">IFERROR(AVERAGE(E435:M435),"")</f>
        <v/>
      </c>
      <c r="Y435" s="0" t="str">
        <f aca="false">IFERROR(AVERAGE(N435:U435),"")</f>
        <v/>
      </c>
    </row>
    <row r="436" customFormat="false" ht="14.5" hidden="false" customHeight="false" outlineLevel="0" collapsed="false">
      <c r="A436" s="0" t="n">
        <v>444</v>
      </c>
      <c r="B436" s="0" t="s">
        <v>509</v>
      </c>
      <c r="C436" s="0" t="n">
        <v>67100</v>
      </c>
      <c r="D436" s="0" t="n">
        <v>856</v>
      </c>
      <c r="E436" s="0" t="str">
        <f aca="false">IFERROR(IF(OR(HLOOKUP($A436,#REF!,3,FALSE())&gt;2,HLOOKUP(A436,#REF!,3,FALSE())&lt;-2),"",#REF!),"")</f>
        <v/>
      </c>
      <c r="F436" s="0" t="str">
        <f aca="false">IFERROR(IF(OR(HLOOKUP($A436,#REF!,4,FALSE())&gt;2,HLOOKUP($A436,#REF!,4,FALSE())&lt;-2),"",#REF!),"")</f>
        <v/>
      </c>
      <c r="G436" s="0" t="str">
        <f aca="false">IFERROR(IF(OR(HLOOKUP($A436,#REF!,5,FALSE())&gt;2,HLOOKUP($A436,#REF!,5,FALSE())&lt;-2),"",#REF!),"")</f>
        <v/>
      </c>
      <c r="H436" s="0" t="str">
        <f aca="false">IFERROR(IF(OR(HLOOKUP($A436,#REF!,6,FALSE())&gt;2,HLOOKUP($A436,#REF!,6,FALSE())&lt;-2),"",#REF!),"")</f>
        <v/>
      </c>
      <c r="I436" s="0" t="str">
        <f aca="false">IFERROR(IF(OR(HLOOKUP($A436,#REF!,7,FALSE())&gt;2,HLOOKUP($A436,#REF!,7,FALSE())&lt;-2),"",#REF!),"")</f>
        <v/>
      </c>
      <c r="J436" s="0" t="str">
        <f aca="false">IFERROR(IF(OR(HLOOKUP($A436,#REF!,8,FALSE())&gt;2,HLOOKUP($A436,#REF!,8,FALSE())&lt;-2),"",#REF!),"")</f>
        <v/>
      </c>
      <c r="K436" s="0" t="str">
        <f aca="false">IFERROR(IF(OR(HLOOKUP($A436,#REF!,9,FALSE())&gt;2,HLOOKUP($A436,#REF!,9,FALSE())&lt;-2),"",#REF!),"")</f>
        <v/>
      </c>
      <c r="L436" s="0" t="str">
        <f aca="false">IFERROR(IF(OR(HLOOKUP($A436,#REF!,10,FALSE())&gt;2,HLOOKUP($A436,#REF!,10,FALSE())&lt;-2),"",#REF!),"")</f>
        <v/>
      </c>
      <c r="M436" s="0" t="str">
        <f aca="false">IFERROR(IF(OR(HLOOKUP($A436,#REF!,11,FALSE())&gt;2,HLOOKUP($A436,#REF!,11,FALSE())&lt;-2),"",#REF!),"")</f>
        <v/>
      </c>
      <c r="N436" s="0" t="str">
        <f aca="false">IFERROR(IF(OR(HLOOKUP($A436,#REF!,12,FALSE())&gt;2,HLOOKUP($A436,#REF!,12,FALSE())&lt;-2),"",#REF!),"")</f>
        <v/>
      </c>
      <c r="O436" s="0" t="str">
        <f aca="false">IFERROR(IF(OR(HLOOKUP($A436,#REF!,13,FALSE())&gt;2,HLOOKUP($A436,#REF!,13,FALSE())&lt;-2),"",#REF!),"")</f>
        <v/>
      </c>
      <c r="P436" s="0" t="str">
        <f aca="false">IFERROR(IF(OR(HLOOKUP($A436,#REF!,14,FALSE())&gt;2,HLOOKUP($A436,#REF!,14,FALSE())&lt;-2),"",#REF!),"")</f>
        <v/>
      </c>
      <c r="Q436" s="0" t="str">
        <f aca="false">IFERROR(IF(OR(HLOOKUP($A436,#REF!,15,FALSE())&gt;2,HLOOKUP($A436,#REF!,15,FALSE())&lt;-2),"",#REF!),"")</f>
        <v/>
      </c>
      <c r="R436" s="0" t="str">
        <f aca="false">IFERROR(IF(OR(HLOOKUP($A436,#REF!,16,FALSE())&gt;2,HLOOKUP($A436,#REF!,16,FALSE())&lt;-2),"",#REF!),"")</f>
        <v/>
      </c>
      <c r="S436" s="0" t="str">
        <f aca="false">IFERROR(IF(OR(HLOOKUP($A436,#REF!,17,FALSE())&gt;2,HLOOKUP($A436,#REF!,17,FALSE())&lt;-2),"",#REF!),"")</f>
        <v/>
      </c>
      <c r="T436" s="0" t="str">
        <f aca="false">IFERROR(IF(OR(HLOOKUP($A436,#REF!,18,FALSE())&gt;2,HLOOKUP($A436,#REF!,18,FALSE())&lt;-2),"",#REF!),"")</f>
        <v/>
      </c>
      <c r="U436" s="0" t="str">
        <f aca="false">IFERROR(IF(OR(HLOOKUP($A436,#REF!,19,FALSE())&gt;2,HLOOKUP($A436,#REF!,19,FALSE())&lt;-2),"",#REF!),"")</f>
        <v/>
      </c>
      <c r="V436" s="0" t="n">
        <f aca="false">IFERROR(IF(AND(X436=0,Y436=0),0,1),0)</f>
        <v>1</v>
      </c>
      <c r="W436" s="3" t="str">
        <f aca="false">IFERROR(_xlfn.T.TEST(E436:M436,N436:U436,2,2),"")</f>
        <v/>
      </c>
      <c r="X436" s="0" t="str">
        <f aca="false">IFERROR(AVERAGE(E436:M436),"")</f>
        <v/>
      </c>
      <c r="Y436" s="0" t="str">
        <f aca="false">IFERROR(AVERAGE(N436:U436),"")</f>
        <v/>
      </c>
    </row>
    <row r="437" customFormat="false" ht="14.5" hidden="false" customHeight="false" outlineLevel="0" collapsed="false">
      <c r="A437" s="0" t="n">
        <v>445</v>
      </c>
      <c r="B437" s="0" t="s">
        <v>510</v>
      </c>
      <c r="C437" s="0" t="n">
        <v>91500</v>
      </c>
      <c r="D437" s="0" t="n">
        <v>386</v>
      </c>
      <c r="E437" s="0" t="str">
        <f aca="false">IFERROR(IF(OR(HLOOKUP($A437,#REF!,3,FALSE())&gt;2,HLOOKUP(A437,#REF!,3,FALSE())&lt;-2),"",#REF!),"")</f>
        <v/>
      </c>
      <c r="F437" s="0" t="str">
        <f aca="false">IFERROR(IF(OR(HLOOKUP($A437,#REF!,4,FALSE())&gt;2,HLOOKUP($A437,#REF!,4,FALSE())&lt;-2),"",#REF!),"")</f>
        <v/>
      </c>
      <c r="G437" s="0" t="str">
        <f aca="false">IFERROR(IF(OR(HLOOKUP($A437,#REF!,5,FALSE())&gt;2,HLOOKUP($A437,#REF!,5,FALSE())&lt;-2),"",#REF!),"")</f>
        <v/>
      </c>
      <c r="H437" s="0" t="str">
        <f aca="false">IFERROR(IF(OR(HLOOKUP($A437,#REF!,6,FALSE())&gt;2,HLOOKUP($A437,#REF!,6,FALSE())&lt;-2),"",#REF!),"")</f>
        <v/>
      </c>
      <c r="I437" s="0" t="str">
        <f aca="false">IFERROR(IF(OR(HLOOKUP($A437,#REF!,7,FALSE())&gt;2,HLOOKUP($A437,#REF!,7,FALSE())&lt;-2),"",#REF!),"")</f>
        <v/>
      </c>
      <c r="J437" s="0" t="str">
        <f aca="false">IFERROR(IF(OR(HLOOKUP($A437,#REF!,8,FALSE())&gt;2,HLOOKUP($A437,#REF!,8,FALSE())&lt;-2),"",#REF!),"")</f>
        <v/>
      </c>
      <c r="K437" s="0" t="str">
        <f aca="false">IFERROR(IF(OR(HLOOKUP($A437,#REF!,9,FALSE())&gt;2,HLOOKUP($A437,#REF!,9,FALSE())&lt;-2),"",#REF!),"")</f>
        <v/>
      </c>
      <c r="L437" s="0" t="str">
        <f aca="false">IFERROR(IF(OR(HLOOKUP($A437,#REF!,10,FALSE())&gt;2,HLOOKUP($A437,#REF!,10,FALSE())&lt;-2),"",#REF!),"")</f>
        <v/>
      </c>
      <c r="M437" s="0" t="str">
        <f aca="false">IFERROR(IF(OR(HLOOKUP($A437,#REF!,11,FALSE())&gt;2,HLOOKUP($A437,#REF!,11,FALSE())&lt;-2),"",#REF!),"")</f>
        <v/>
      </c>
      <c r="N437" s="0" t="str">
        <f aca="false">IFERROR(IF(OR(HLOOKUP($A437,#REF!,12,FALSE())&gt;2,HLOOKUP($A437,#REF!,12,FALSE())&lt;-2),"",#REF!),"")</f>
        <v/>
      </c>
      <c r="O437" s="0" t="str">
        <f aca="false">IFERROR(IF(OR(HLOOKUP($A437,#REF!,13,FALSE())&gt;2,HLOOKUP($A437,#REF!,13,FALSE())&lt;-2),"",#REF!),"")</f>
        <v/>
      </c>
      <c r="P437" s="0" t="str">
        <f aca="false">IFERROR(IF(OR(HLOOKUP($A437,#REF!,14,FALSE())&gt;2,HLOOKUP($A437,#REF!,14,FALSE())&lt;-2),"",#REF!),"")</f>
        <v/>
      </c>
      <c r="Q437" s="0" t="str">
        <f aca="false">IFERROR(IF(OR(HLOOKUP($A437,#REF!,15,FALSE())&gt;2,HLOOKUP($A437,#REF!,15,FALSE())&lt;-2),"",#REF!),"")</f>
        <v/>
      </c>
      <c r="R437" s="0" t="str">
        <f aca="false">IFERROR(IF(OR(HLOOKUP($A437,#REF!,16,FALSE())&gt;2,HLOOKUP($A437,#REF!,16,FALSE())&lt;-2),"",#REF!),"")</f>
        <v/>
      </c>
      <c r="S437" s="0" t="str">
        <f aca="false">IFERROR(IF(OR(HLOOKUP($A437,#REF!,17,FALSE())&gt;2,HLOOKUP($A437,#REF!,17,FALSE())&lt;-2),"",#REF!),"")</f>
        <v/>
      </c>
      <c r="T437" s="0" t="str">
        <f aca="false">IFERROR(IF(OR(HLOOKUP($A437,#REF!,18,FALSE())&gt;2,HLOOKUP($A437,#REF!,18,FALSE())&lt;-2),"",#REF!),"")</f>
        <v/>
      </c>
      <c r="U437" s="0" t="str">
        <f aca="false">IFERROR(IF(OR(HLOOKUP($A437,#REF!,19,FALSE())&gt;2,HLOOKUP($A437,#REF!,19,FALSE())&lt;-2),"",#REF!),"")</f>
        <v/>
      </c>
      <c r="V437" s="0" t="n">
        <f aca="false">IFERROR(IF(AND(X437=0,Y437=0),0,1),0)</f>
        <v>1</v>
      </c>
      <c r="W437" s="3" t="str">
        <f aca="false">IFERROR(_xlfn.T.TEST(E437:M437,N437:U437,2,2),"")</f>
        <v/>
      </c>
      <c r="X437" s="0" t="str">
        <f aca="false">IFERROR(AVERAGE(E437:M437),"")</f>
        <v/>
      </c>
      <c r="Y437" s="0" t="str">
        <f aca="false">IFERROR(AVERAGE(N437:U437),"")</f>
        <v/>
      </c>
    </row>
    <row r="438" customFormat="false" ht="14.5" hidden="false" customHeight="false" outlineLevel="0" collapsed="false">
      <c r="A438" s="0" t="n">
        <v>446</v>
      </c>
      <c r="B438" s="0" t="s">
        <v>511</v>
      </c>
      <c r="C438" s="0" t="n">
        <v>38500</v>
      </c>
      <c r="D438" s="0" t="n">
        <v>423</v>
      </c>
      <c r="E438" s="0" t="str">
        <f aca="false">IFERROR(IF(OR(HLOOKUP($A438,#REF!,3,FALSE())&gt;2,HLOOKUP(A438,#REF!,3,FALSE())&lt;-2),"",#REF!),"")</f>
        <v/>
      </c>
      <c r="F438" s="0" t="str">
        <f aca="false">IFERROR(IF(OR(HLOOKUP($A438,#REF!,4,FALSE())&gt;2,HLOOKUP($A438,#REF!,4,FALSE())&lt;-2),"",#REF!),"")</f>
        <v/>
      </c>
      <c r="G438" s="0" t="str">
        <f aca="false">IFERROR(IF(OR(HLOOKUP($A438,#REF!,5,FALSE())&gt;2,HLOOKUP($A438,#REF!,5,FALSE())&lt;-2),"",#REF!),"")</f>
        <v/>
      </c>
      <c r="H438" s="0" t="str">
        <f aca="false">IFERROR(IF(OR(HLOOKUP($A438,#REF!,6,FALSE())&gt;2,HLOOKUP($A438,#REF!,6,FALSE())&lt;-2),"",#REF!),"")</f>
        <v/>
      </c>
      <c r="I438" s="0" t="str">
        <f aca="false">IFERROR(IF(OR(HLOOKUP($A438,#REF!,7,FALSE())&gt;2,HLOOKUP($A438,#REF!,7,FALSE())&lt;-2),"",#REF!),"")</f>
        <v/>
      </c>
      <c r="J438" s="0" t="str">
        <f aca="false">IFERROR(IF(OR(HLOOKUP($A438,#REF!,8,FALSE())&gt;2,HLOOKUP($A438,#REF!,8,FALSE())&lt;-2),"",#REF!),"")</f>
        <v/>
      </c>
      <c r="K438" s="0" t="str">
        <f aca="false">IFERROR(IF(OR(HLOOKUP($A438,#REF!,9,FALSE())&gt;2,HLOOKUP($A438,#REF!,9,FALSE())&lt;-2),"",#REF!),"")</f>
        <v/>
      </c>
      <c r="L438" s="0" t="str">
        <f aca="false">IFERROR(IF(OR(HLOOKUP($A438,#REF!,10,FALSE())&gt;2,HLOOKUP($A438,#REF!,10,FALSE())&lt;-2),"",#REF!),"")</f>
        <v/>
      </c>
      <c r="M438" s="0" t="str">
        <f aca="false">IFERROR(IF(OR(HLOOKUP($A438,#REF!,11,FALSE())&gt;2,HLOOKUP($A438,#REF!,11,FALSE())&lt;-2),"",#REF!),"")</f>
        <v/>
      </c>
      <c r="N438" s="0" t="str">
        <f aca="false">IFERROR(IF(OR(HLOOKUP($A438,#REF!,12,FALSE())&gt;2,HLOOKUP($A438,#REF!,12,FALSE())&lt;-2),"",#REF!),"")</f>
        <v/>
      </c>
      <c r="O438" s="0" t="str">
        <f aca="false">IFERROR(IF(OR(HLOOKUP($A438,#REF!,13,FALSE())&gt;2,HLOOKUP($A438,#REF!,13,FALSE())&lt;-2),"",#REF!),"")</f>
        <v/>
      </c>
      <c r="P438" s="0" t="str">
        <f aca="false">IFERROR(IF(OR(HLOOKUP($A438,#REF!,14,FALSE())&gt;2,HLOOKUP($A438,#REF!,14,FALSE())&lt;-2),"",#REF!),"")</f>
        <v/>
      </c>
      <c r="Q438" s="0" t="str">
        <f aca="false">IFERROR(IF(OR(HLOOKUP($A438,#REF!,15,FALSE())&gt;2,HLOOKUP($A438,#REF!,15,FALSE())&lt;-2),"",#REF!),"")</f>
        <v/>
      </c>
      <c r="R438" s="0" t="str">
        <f aca="false">IFERROR(IF(OR(HLOOKUP($A438,#REF!,16,FALSE())&gt;2,HLOOKUP($A438,#REF!,16,FALSE())&lt;-2),"",#REF!),"")</f>
        <v/>
      </c>
      <c r="S438" s="0" t="str">
        <f aca="false">IFERROR(IF(OR(HLOOKUP($A438,#REF!,17,FALSE())&gt;2,HLOOKUP($A438,#REF!,17,FALSE())&lt;-2),"",#REF!),"")</f>
        <v/>
      </c>
      <c r="T438" s="0" t="str">
        <f aca="false">IFERROR(IF(OR(HLOOKUP($A438,#REF!,18,FALSE())&gt;2,HLOOKUP($A438,#REF!,18,FALSE())&lt;-2),"",#REF!),"")</f>
        <v/>
      </c>
      <c r="U438" s="0" t="str">
        <f aca="false">IFERROR(IF(OR(HLOOKUP($A438,#REF!,19,FALSE())&gt;2,HLOOKUP($A438,#REF!,19,FALSE())&lt;-2),"",#REF!),"")</f>
        <v/>
      </c>
      <c r="V438" s="0" t="n">
        <f aca="false">IFERROR(IF(AND(X438=0,Y438=0),0,1),0)</f>
        <v>1</v>
      </c>
      <c r="W438" s="3" t="str">
        <f aca="false">IFERROR(_xlfn.T.TEST(E438:M438,N438:U438,2,2),"")</f>
        <v/>
      </c>
      <c r="X438" s="0" t="str">
        <f aca="false">IFERROR(AVERAGE(E438:M438),"")</f>
        <v/>
      </c>
      <c r="Y438" s="0" t="str">
        <f aca="false">IFERROR(AVERAGE(N438:U438),"")</f>
        <v/>
      </c>
    </row>
    <row r="439" customFormat="false" ht="14.5" hidden="false" customHeight="false" outlineLevel="0" collapsed="false">
      <c r="A439" s="0" t="n">
        <v>447</v>
      </c>
      <c r="B439" s="0" t="s">
        <v>512</v>
      </c>
      <c r="C439" s="0" t="n">
        <v>76400</v>
      </c>
      <c r="D439" s="0" t="n">
        <v>63</v>
      </c>
      <c r="E439" s="0" t="str">
        <f aca="false">IFERROR(IF(OR(HLOOKUP($A439,#REF!,3,FALSE())&gt;2,HLOOKUP(A439,#REF!,3,FALSE())&lt;-2),"",#REF!),"")</f>
        <v/>
      </c>
      <c r="F439" s="0" t="str">
        <f aca="false">IFERROR(IF(OR(HLOOKUP($A439,#REF!,4,FALSE())&gt;2,HLOOKUP($A439,#REF!,4,FALSE())&lt;-2),"",#REF!),"")</f>
        <v/>
      </c>
      <c r="G439" s="0" t="str">
        <f aca="false">IFERROR(IF(OR(HLOOKUP($A439,#REF!,5,FALSE())&gt;2,HLOOKUP($A439,#REF!,5,FALSE())&lt;-2),"",#REF!),"")</f>
        <v/>
      </c>
      <c r="H439" s="0" t="str">
        <f aca="false">IFERROR(IF(OR(HLOOKUP($A439,#REF!,6,FALSE())&gt;2,HLOOKUP($A439,#REF!,6,FALSE())&lt;-2),"",#REF!),"")</f>
        <v/>
      </c>
      <c r="I439" s="0" t="str">
        <f aca="false">IFERROR(IF(OR(HLOOKUP($A439,#REF!,7,FALSE())&gt;2,HLOOKUP($A439,#REF!,7,FALSE())&lt;-2),"",#REF!),"")</f>
        <v/>
      </c>
      <c r="J439" s="0" t="str">
        <f aca="false">IFERROR(IF(OR(HLOOKUP($A439,#REF!,8,FALSE())&gt;2,HLOOKUP($A439,#REF!,8,FALSE())&lt;-2),"",#REF!),"")</f>
        <v/>
      </c>
      <c r="K439" s="0" t="str">
        <f aca="false">IFERROR(IF(OR(HLOOKUP($A439,#REF!,9,FALSE())&gt;2,HLOOKUP($A439,#REF!,9,FALSE())&lt;-2),"",#REF!),"")</f>
        <v/>
      </c>
      <c r="L439" s="0" t="str">
        <f aca="false">IFERROR(IF(OR(HLOOKUP($A439,#REF!,10,FALSE())&gt;2,HLOOKUP($A439,#REF!,10,FALSE())&lt;-2),"",#REF!),"")</f>
        <v/>
      </c>
      <c r="M439" s="0" t="str">
        <f aca="false">IFERROR(IF(OR(HLOOKUP($A439,#REF!,11,FALSE())&gt;2,HLOOKUP($A439,#REF!,11,FALSE())&lt;-2),"",#REF!),"")</f>
        <v/>
      </c>
      <c r="N439" s="0" t="str">
        <f aca="false">IFERROR(IF(OR(HLOOKUP($A439,#REF!,12,FALSE())&gt;2,HLOOKUP($A439,#REF!,12,FALSE())&lt;-2),"",#REF!),"")</f>
        <v/>
      </c>
      <c r="O439" s="0" t="str">
        <f aca="false">IFERROR(IF(OR(HLOOKUP($A439,#REF!,13,FALSE())&gt;2,HLOOKUP($A439,#REF!,13,FALSE())&lt;-2),"",#REF!),"")</f>
        <v/>
      </c>
      <c r="P439" s="0" t="str">
        <f aca="false">IFERROR(IF(OR(HLOOKUP($A439,#REF!,14,FALSE())&gt;2,HLOOKUP($A439,#REF!,14,FALSE())&lt;-2),"",#REF!),"")</f>
        <v/>
      </c>
      <c r="Q439" s="0" t="str">
        <f aca="false">IFERROR(IF(OR(HLOOKUP($A439,#REF!,15,FALSE())&gt;2,HLOOKUP($A439,#REF!,15,FALSE())&lt;-2),"",#REF!),"")</f>
        <v/>
      </c>
      <c r="R439" s="0" t="str">
        <f aca="false">IFERROR(IF(OR(HLOOKUP($A439,#REF!,16,FALSE())&gt;2,HLOOKUP($A439,#REF!,16,FALSE())&lt;-2),"",#REF!),"")</f>
        <v/>
      </c>
      <c r="S439" s="0" t="str">
        <f aca="false">IFERROR(IF(OR(HLOOKUP($A439,#REF!,17,FALSE())&gt;2,HLOOKUP($A439,#REF!,17,FALSE())&lt;-2),"",#REF!),"")</f>
        <v/>
      </c>
      <c r="T439" s="0" t="str">
        <f aca="false">IFERROR(IF(OR(HLOOKUP($A439,#REF!,18,FALSE())&gt;2,HLOOKUP($A439,#REF!,18,FALSE())&lt;-2),"",#REF!),"")</f>
        <v/>
      </c>
      <c r="U439" s="0" t="str">
        <f aca="false">IFERROR(IF(OR(HLOOKUP($A439,#REF!,19,FALSE())&gt;2,HLOOKUP($A439,#REF!,19,FALSE())&lt;-2),"",#REF!),"")</f>
        <v/>
      </c>
      <c r="V439" s="0" t="n">
        <f aca="false">IFERROR(IF(AND(X439=0,Y439=0),0,1),0)</f>
        <v>1</v>
      </c>
      <c r="W439" s="3" t="str">
        <f aca="false">IFERROR(_xlfn.T.TEST(E439:M439,N439:U439,2,2),"")</f>
        <v/>
      </c>
      <c r="X439" s="0" t="str">
        <f aca="false">IFERROR(AVERAGE(E439:M439),"")</f>
        <v/>
      </c>
      <c r="Y439" s="0" t="str">
        <f aca="false">IFERROR(AVERAGE(N439:U439),"")</f>
        <v/>
      </c>
    </row>
    <row r="440" customFormat="false" ht="14.5" hidden="false" customHeight="false" outlineLevel="0" collapsed="false">
      <c r="A440" s="0" t="n">
        <v>448</v>
      </c>
      <c r="B440" s="0" t="s">
        <v>513</v>
      </c>
      <c r="C440" s="0" t="n">
        <v>21500</v>
      </c>
      <c r="D440" s="0" t="n">
        <v>723</v>
      </c>
      <c r="E440" s="0" t="str">
        <f aca="false">IFERROR(IF(OR(HLOOKUP($A440,#REF!,3,FALSE())&gt;2,HLOOKUP(A440,#REF!,3,FALSE())&lt;-2),"",#REF!),"")</f>
        <v/>
      </c>
      <c r="F440" s="0" t="str">
        <f aca="false">IFERROR(IF(OR(HLOOKUP($A440,#REF!,4,FALSE())&gt;2,HLOOKUP($A440,#REF!,4,FALSE())&lt;-2),"",#REF!),"")</f>
        <v/>
      </c>
      <c r="G440" s="0" t="str">
        <f aca="false">IFERROR(IF(OR(HLOOKUP($A440,#REF!,5,FALSE())&gt;2,HLOOKUP($A440,#REF!,5,FALSE())&lt;-2),"",#REF!),"")</f>
        <v/>
      </c>
      <c r="H440" s="0" t="str">
        <f aca="false">IFERROR(IF(OR(HLOOKUP($A440,#REF!,6,FALSE())&gt;2,HLOOKUP($A440,#REF!,6,FALSE())&lt;-2),"",#REF!),"")</f>
        <v/>
      </c>
      <c r="I440" s="0" t="str">
        <f aca="false">IFERROR(IF(OR(HLOOKUP($A440,#REF!,7,FALSE())&gt;2,HLOOKUP($A440,#REF!,7,FALSE())&lt;-2),"",#REF!),"")</f>
        <v/>
      </c>
      <c r="J440" s="0" t="str">
        <f aca="false">IFERROR(IF(OR(HLOOKUP($A440,#REF!,8,FALSE())&gt;2,HLOOKUP($A440,#REF!,8,FALSE())&lt;-2),"",#REF!),"")</f>
        <v/>
      </c>
      <c r="K440" s="0" t="str">
        <f aca="false">IFERROR(IF(OR(HLOOKUP($A440,#REF!,9,FALSE())&gt;2,HLOOKUP($A440,#REF!,9,FALSE())&lt;-2),"",#REF!),"")</f>
        <v/>
      </c>
      <c r="L440" s="0" t="str">
        <f aca="false">IFERROR(IF(OR(HLOOKUP($A440,#REF!,10,FALSE())&gt;2,HLOOKUP($A440,#REF!,10,FALSE())&lt;-2),"",#REF!),"")</f>
        <v/>
      </c>
      <c r="M440" s="0" t="str">
        <f aca="false">IFERROR(IF(OR(HLOOKUP($A440,#REF!,11,FALSE())&gt;2,HLOOKUP($A440,#REF!,11,FALSE())&lt;-2),"",#REF!),"")</f>
        <v/>
      </c>
      <c r="N440" s="0" t="str">
        <f aca="false">IFERROR(IF(OR(HLOOKUP($A440,#REF!,12,FALSE())&gt;2,HLOOKUP($A440,#REF!,12,FALSE())&lt;-2),"",#REF!),"")</f>
        <v/>
      </c>
      <c r="O440" s="0" t="str">
        <f aca="false">IFERROR(IF(OR(HLOOKUP($A440,#REF!,13,FALSE())&gt;2,HLOOKUP($A440,#REF!,13,FALSE())&lt;-2),"",#REF!),"")</f>
        <v/>
      </c>
      <c r="P440" s="0" t="str">
        <f aca="false">IFERROR(IF(OR(HLOOKUP($A440,#REF!,14,FALSE())&gt;2,HLOOKUP($A440,#REF!,14,FALSE())&lt;-2),"",#REF!),"")</f>
        <v/>
      </c>
      <c r="Q440" s="0" t="str">
        <f aca="false">IFERROR(IF(OR(HLOOKUP($A440,#REF!,15,FALSE())&gt;2,HLOOKUP($A440,#REF!,15,FALSE())&lt;-2),"",#REF!),"")</f>
        <v/>
      </c>
      <c r="R440" s="0" t="str">
        <f aca="false">IFERROR(IF(OR(HLOOKUP($A440,#REF!,16,FALSE())&gt;2,HLOOKUP($A440,#REF!,16,FALSE())&lt;-2),"",#REF!),"")</f>
        <v/>
      </c>
      <c r="S440" s="0" t="str">
        <f aca="false">IFERROR(IF(OR(HLOOKUP($A440,#REF!,17,FALSE())&gt;2,HLOOKUP($A440,#REF!,17,FALSE())&lt;-2),"",#REF!),"")</f>
        <v/>
      </c>
      <c r="T440" s="0" t="str">
        <f aca="false">IFERROR(IF(OR(HLOOKUP($A440,#REF!,18,FALSE())&gt;2,HLOOKUP($A440,#REF!,18,FALSE())&lt;-2),"",#REF!),"")</f>
        <v/>
      </c>
      <c r="U440" s="0" t="str">
        <f aca="false">IFERROR(IF(OR(HLOOKUP($A440,#REF!,19,FALSE())&gt;2,HLOOKUP($A440,#REF!,19,FALSE())&lt;-2),"",#REF!),"")</f>
        <v/>
      </c>
      <c r="V440" s="0" t="n">
        <f aca="false">IFERROR(IF(AND(X440=0,Y440=0),0,1),0)</f>
        <v>1</v>
      </c>
      <c r="W440" s="3" t="str">
        <f aca="false">IFERROR(_xlfn.T.TEST(E440:M440,N440:U440,2,2),"")</f>
        <v/>
      </c>
      <c r="X440" s="0" t="str">
        <f aca="false">IFERROR(AVERAGE(E440:M440),"")</f>
        <v/>
      </c>
      <c r="Y440" s="0" t="str">
        <f aca="false">IFERROR(AVERAGE(N440:U440),"")</f>
        <v/>
      </c>
    </row>
    <row r="441" customFormat="false" ht="14.5" hidden="false" customHeight="false" outlineLevel="0" collapsed="false">
      <c r="A441" s="0" t="n">
        <v>449</v>
      </c>
      <c r="B441" s="0" t="s">
        <v>514</v>
      </c>
      <c r="C441" s="0" t="n">
        <v>112200</v>
      </c>
      <c r="D441" s="0" t="n">
        <v>618</v>
      </c>
      <c r="E441" s="0" t="str">
        <f aca="false">IFERROR(IF(OR(HLOOKUP($A441,#REF!,3,FALSE())&gt;2,HLOOKUP(A441,#REF!,3,FALSE())&lt;-2),"",#REF!),"")</f>
        <v/>
      </c>
      <c r="F441" s="0" t="str">
        <f aca="false">IFERROR(IF(OR(HLOOKUP($A441,#REF!,4,FALSE())&gt;2,HLOOKUP($A441,#REF!,4,FALSE())&lt;-2),"",#REF!),"")</f>
        <v/>
      </c>
      <c r="G441" s="0" t="str">
        <f aca="false">IFERROR(IF(OR(HLOOKUP($A441,#REF!,5,FALSE())&gt;2,HLOOKUP($A441,#REF!,5,FALSE())&lt;-2),"",#REF!),"")</f>
        <v/>
      </c>
      <c r="H441" s="0" t="str">
        <f aca="false">IFERROR(IF(OR(HLOOKUP($A441,#REF!,6,FALSE())&gt;2,HLOOKUP($A441,#REF!,6,FALSE())&lt;-2),"",#REF!),"")</f>
        <v/>
      </c>
      <c r="I441" s="0" t="str">
        <f aca="false">IFERROR(IF(OR(HLOOKUP($A441,#REF!,7,FALSE())&gt;2,HLOOKUP($A441,#REF!,7,FALSE())&lt;-2),"",#REF!),"")</f>
        <v/>
      </c>
      <c r="J441" s="0" t="str">
        <f aca="false">IFERROR(IF(OR(HLOOKUP($A441,#REF!,8,FALSE())&gt;2,HLOOKUP($A441,#REF!,8,FALSE())&lt;-2),"",#REF!),"")</f>
        <v/>
      </c>
      <c r="K441" s="0" t="str">
        <f aca="false">IFERROR(IF(OR(HLOOKUP($A441,#REF!,9,FALSE())&gt;2,HLOOKUP($A441,#REF!,9,FALSE())&lt;-2),"",#REF!),"")</f>
        <v/>
      </c>
      <c r="L441" s="0" t="str">
        <f aca="false">IFERROR(IF(OR(HLOOKUP($A441,#REF!,10,FALSE())&gt;2,HLOOKUP($A441,#REF!,10,FALSE())&lt;-2),"",#REF!),"")</f>
        <v/>
      </c>
      <c r="M441" s="0" t="str">
        <f aca="false">IFERROR(IF(OR(HLOOKUP($A441,#REF!,11,FALSE())&gt;2,HLOOKUP($A441,#REF!,11,FALSE())&lt;-2),"",#REF!),"")</f>
        <v/>
      </c>
      <c r="N441" s="0" t="str">
        <f aca="false">IFERROR(IF(OR(HLOOKUP($A441,#REF!,12,FALSE())&gt;2,HLOOKUP($A441,#REF!,12,FALSE())&lt;-2),"",#REF!),"")</f>
        <v/>
      </c>
      <c r="O441" s="0" t="str">
        <f aca="false">IFERROR(IF(OR(HLOOKUP($A441,#REF!,13,FALSE())&gt;2,HLOOKUP($A441,#REF!,13,FALSE())&lt;-2),"",#REF!),"")</f>
        <v/>
      </c>
      <c r="P441" s="0" t="str">
        <f aca="false">IFERROR(IF(OR(HLOOKUP($A441,#REF!,14,FALSE())&gt;2,HLOOKUP($A441,#REF!,14,FALSE())&lt;-2),"",#REF!),"")</f>
        <v/>
      </c>
      <c r="Q441" s="0" t="str">
        <f aca="false">IFERROR(IF(OR(HLOOKUP($A441,#REF!,15,FALSE())&gt;2,HLOOKUP($A441,#REF!,15,FALSE())&lt;-2),"",#REF!),"")</f>
        <v/>
      </c>
      <c r="R441" s="0" t="str">
        <f aca="false">IFERROR(IF(OR(HLOOKUP($A441,#REF!,16,FALSE())&gt;2,HLOOKUP($A441,#REF!,16,FALSE())&lt;-2),"",#REF!),"")</f>
        <v/>
      </c>
      <c r="S441" s="0" t="str">
        <f aca="false">IFERROR(IF(OR(HLOOKUP($A441,#REF!,17,FALSE())&gt;2,HLOOKUP($A441,#REF!,17,FALSE())&lt;-2),"",#REF!),"")</f>
        <v/>
      </c>
      <c r="T441" s="0" t="str">
        <f aca="false">IFERROR(IF(OR(HLOOKUP($A441,#REF!,18,FALSE())&gt;2,HLOOKUP($A441,#REF!,18,FALSE())&lt;-2),"",#REF!),"")</f>
        <v/>
      </c>
      <c r="U441" s="0" t="str">
        <f aca="false">IFERROR(IF(OR(HLOOKUP($A441,#REF!,19,FALSE())&gt;2,HLOOKUP($A441,#REF!,19,FALSE())&lt;-2),"",#REF!),"")</f>
        <v/>
      </c>
      <c r="V441" s="0" t="n">
        <f aca="false">IFERROR(IF(AND(X441=0,Y441=0),0,1),0)</f>
        <v>1</v>
      </c>
      <c r="W441" s="3" t="str">
        <f aca="false">IFERROR(_xlfn.T.TEST(E441:M441,N441:U441,2,2),"")</f>
        <v/>
      </c>
      <c r="X441" s="0" t="str">
        <f aca="false">IFERROR(AVERAGE(E441:M441),"")</f>
        <v/>
      </c>
      <c r="Y441" s="0" t="str">
        <f aca="false">IFERROR(AVERAGE(N441:U441),"")</f>
        <v/>
      </c>
    </row>
    <row r="442" customFormat="false" ht="14.5" hidden="false" customHeight="false" outlineLevel="0" collapsed="false">
      <c r="A442" s="0" t="n">
        <v>450</v>
      </c>
      <c r="B442" s="0" t="s">
        <v>515</v>
      </c>
      <c r="C442" s="0" t="n">
        <v>6400</v>
      </c>
      <c r="D442" s="0" t="n">
        <v>369</v>
      </c>
      <c r="E442" s="0" t="str">
        <f aca="false">IFERROR(IF(OR(HLOOKUP($A442,#REF!,3,FALSE())&gt;2,HLOOKUP(A442,#REF!,3,FALSE())&lt;-2),"",#REF!),"")</f>
        <v/>
      </c>
      <c r="F442" s="0" t="str">
        <f aca="false">IFERROR(IF(OR(HLOOKUP($A442,#REF!,4,FALSE())&gt;2,HLOOKUP($A442,#REF!,4,FALSE())&lt;-2),"",#REF!),"")</f>
        <v/>
      </c>
      <c r="G442" s="0" t="str">
        <f aca="false">IFERROR(IF(OR(HLOOKUP($A442,#REF!,5,FALSE())&gt;2,HLOOKUP($A442,#REF!,5,FALSE())&lt;-2),"",#REF!),"")</f>
        <v/>
      </c>
      <c r="H442" s="0" t="str">
        <f aca="false">IFERROR(IF(OR(HLOOKUP($A442,#REF!,6,FALSE())&gt;2,HLOOKUP($A442,#REF!,6,FALSE())&lt;-2),"",#REF!),"")</f>
        <v/>
      </c>
      <c r="I442" s="0" t="str">
        <f aca="false">IFERROR(IF(OR(HLOOKUP($A442,#REF!,7,FALSE())&gt;2,HLOOKUP($A442,#REF!,7,FALSE())&lt;-2),"",#REF!),"")</f>
        <v/>
      </c>
      <c r="J442" s="0" t="str">
        <f aca="false">IFERROR(IF(OR(HLOOKUP($A442,#REF!,8,FALSE())&gt;2,HLOOKUP($A442,#REF!,8,FALSE())&lt;-2),"",#REF!),"")</f>
        <v/>
      </c>
      <c r="K442" s="0" t="str">
        <f aca="false">IFERROR(IF(OR(HLOOKUP($A442,#REF!,9,FALSE())&gt;2,HLOOKUP($A442,#REF!,9,FALSE())&lt;-2),"",#REF!),"")</f>
        <v/>
      </c>
      <c r="L442" s="0" t="str">
        <f aca="false">IFERROR(IF(OR(HLOOKUP($A442,#REF!,10,FALSE())&gt;2,HLOOKUP($A442,#REF!,10,FALSE())&lt;-2),"",#REF!),"")</f>
        <v/>
      </c>
      <c r="M442" s="0" t="str">
        <f aca="false">IFERROR(IF(OR(HLOOKUP($A442,#REF!,11,FALSE())&gt;2,HLOOKUP($A442,#REF!,11,FALSE())&lt;-2),"",#REF!),"")</f>
        <v/>
      </c>
      <c r="N442" s="0" t="str">
        <f aca="false">IFERROR(IF(OR(HLOOKUP($A442,#REF!,12,FALSE())&gt;2,HLOOKUP($A442,#REF!,12,FALSE())&lt;-2),"",#REF!),"")</f>
        <v/>
      </c>
      <c r="O442" s="0" t="str">
        <f aca="false">IFERROR(IF(OR(HLOOKUP($A442,#REF!,13,FALSE())&gt;2,HLOOKUP($A442,#REF!,13,FALSE())&lt;-2),"",#REF!),"")</f>
        <v/>
      </c>
      <c r="P442" s="0" t="str">
        <f aca="false">IFERROR(IF(OR(HLOOKUP($A442,#REF!,14,FALSE())&gt;2,HLOOKUP($A442,#REF!,14,FALSE())&lt;-2),"",#REF!),"")</f>
        <v/>
      </c>
      <c r="Q442" s="0" t="str">
        <f aca="false">IFERROR(IF(OR(HLOOKUP($A442,#REF!,15,FALSE())&gt;2,HLOOKUP($A442,#REF!,15,FALSE())&lt;-2),"",#REF!),"")</f>
        <v/>
      </c>
      <c r="R442" s="0" t="str">
        <f aca="false">IFERROR(IF(OR(HLOOKUP($A442,#REF!,16,FALSE())&gt;2,HLOOKUP($A442,#REF!,16,FALSE())&lt;-2),"",#REF!),"")</f>
        <v/>
      </c>
      <c r="S442" s="0" t="str">
        <f aca="false">IFERROR(IF(OR(HLOOKUP($A442,#REF!,17,FALSE())&gt;2,HLOOKUP($A442,#REF!,17,FALSE())&lt;-2),"",#REF!),"")</f>
        <v/>
      </c>
      <c r="T442" s="0" t="str">
        <f aca="false">IFERROR(IF(OR(HLOOKUP($A442,#REF!,18,FALSE())&gt;2,HLOOKUP($A442,#REF!,18,FALSE())&lt;-2),"",#REF!),"")</f>
        <v/>
      </c>
      <c r="U442" s="0" t="str">
        <f aca="false">IFERROR(IF(OR(HLOOKUP($A442,#REF!,19,FALSE())&gt;2,HLOOKUP($A442,#REF!,19,FALSE())&lt;-2),"",#REF!),"")</f>
        <v/>
      </c>
      <c r="V442" s="0" t="n">
        <f aca="false">IFERROR(IF(AND(X442=0,Y442=0),0,1),0)</f>
        <v>1</v>
      </c>
      <c r="W442" s="3" t="str">
        <f aca="false">IFERROR(_xlfn.T.TEST(E442:M442,N442:U442,2,2),"")</f>
        <v/>
      </c>
      <c r="X442" s="0" t="str">
        <f aca="false">IFERROR(AVERAGE(E442:M442),"")</f>
        <v/>
      </c>
      <c r="Y442" s="0" t="str">
        <f aca="false">IFERROR(AVERAGE(N442:U442),"")</f>
        <v/>
      </c>
    </row>
    <row r="443" customFormat="false" ht="14.5" hidden="false" customHeight="false" outlineLevel="0" collapsed="false">
      <c r="A443" s="0" t="n">
        <v>451</v>
      </c>
      <c r="B443" s="0" t="s">
        <v>94</v>
      </c>
      <c r="C443" s="0" t="n">
        <v>47400</v>
      </c>
      <c r="D443" s="0" t="n">
        <v>295</v>
      </c>
      <c r="E443" s="0" t="str">
        <f aca="false">IFERROR(IF(OR(HLOOKUP($A443,#REF!,3,FALSE())&gt;2,HLOOKUP(A443,#REF!,3,FALSE())&lt;-2),"",#REF!),"")</f>
        <v/>
      </c>
      <c r="F443" s="0" t="str">
        <f aca="false">IFERROR(IF(OR(HLOOKUP($A443,#REF!,4,FALSE())&gt;2,HLOOKUP($A443,#REF!,4,FALSE())&lt;-2),"",#REF!),"")</f>
        <v/>
      </c>
      <c r="G443" s="0" t="str">
        <f aca="false">IFERROR(IF(OR(HLOOKUP($A443,#REF!,5,FALSE())&gt;2,HLOOKUP($A443,#REF!,5,FALSE())&lt;-2),"",#REF!),"")</f>
        <v/>
      </c>
      <c r="H443" s="0" t="str">
        <f aca="false">IFERROR(IF(OR(HLOOKUP($A443,#REF!,6,FALSE())&gt;2,HLOOKUP($A443,#REF!,6,FALSE())&lt;-2),"",#REF!),"")</f>
        <v/>
      </c>
      <c r="I443" s="0" t="str">
        <f aca="false">IFERROR(IF(OR(HLOOKUP($A443,#REF!,7,FALSE())&gt;2,HLOOKUP($A443,#REF!,7,FALSE())&lt;-2),"",#REF!),"")</f>
        <v/>
      </c>
      <c r="J443" s="0" t="str">
        <f aca="false">IFERROR(IF(OR(HLOOKUP($A443,#REF!,8,FALSE())&gt;2,HLOOKUP($A443,#REF!,8,FALSE())&lt;-2),"",#REF!),"")</f>
        <v/>
      </c>
      <c r="K443" s="0" t="str">
        <f aca="false">IFERROR(IF(OR(HLOOKUP($A443,#REF!,9,FALSE())&gt;2,HLOOKUP($A443,#REF!,9,FALSE())&lt;-2),"",#REF!),"")</f>
        <v/>
      </c>
      <c r="L443" s="0" t="str">
        <f aca="false">IFERROR(IF(OR(HLOOKUP($A443,#REF!,10,FALSE())&gt;2,HLOOKUP($A443,#REF!,10,FALSE())&lt;-2),"",#REF!),"")</f>
        <v/>
      </c>
      <c r="M443" s="0" t="str">
        <f aca="false">IFERROR(IF(OR(HLOOKUP($A443,#REF!,11,FALSE())&gt;2,HLOOKUP($A443,#REF!,11,FALSE())&lt;-2),"",#REF!),"")</f>
        <v/>
      </c>
      <c r="N443" s="0" t="str">
        <f aca="false">IFERROR(IF(OR(HLOOKUP($A443,#REF!,12,FALSE())&gt;2,HLOOKUP($A443,#REF!,12,FALSE())&lt;-2),"",#REF!),"")</f>
        <v/>
      </c>
      <c r="O443" s="0" t="str">
        <f aca="false">IFERROR(IF(OR(HLOOKUP($A443,#REF!,13,FALSE())&gt;2,HLOOKUP($A443,#REF!,13,FALSE())&lt;-2),"",#REF!),"")</f>
        <v/>
      </c>
      <c r="P443" s="0" t="str">
        <f aca="false">IFERROR(IF(OR(HLOOKUP($A443,#REF!,14,FALSE())&gt;2,HLOOKUP($A443,#REF!,14,FALSE())&lt;-2),"",#REF!),"")</f>
        <v/>
      </c>
      <c r="Q443" s="0" t="str">
        <f aca="false">IFERROR(IF(OR(HLOOKUP($A443,#REF!,15,FALSE())&gt;2,HLOOKUP($A443,#REF!,15,FALSE())&lt;-2),"",#REF!),"")</f>
        <v/>
      </c>
      <c r="R443" s="0" t="str">
        <f aca="false">IFERROR(IF(OR(HLOOKUP($A443,#REF!,16,FALSE())&gt;2,HLOOKUP($A443,#REF!,16,FALSE())&lt;-2),"",#REF!),"")</f>
        <v/>
      </c>
      <c r="S443" s="0" t="str">
        <f aca="false">IFERROR(IF(OR(HLOOKUP($A443,#REF!,17,FALSE())&gt;2,HLOOKUP($A443,#REF!,17,FALSE())&lt;-2),"",#REF!),"")</f>
        <v/>
      </c>
      <c r="T443" s="0" t="str">
        <f aca="false">IFERROR(IF(OR(HLOOKUP($A443,#REF!,18,FALSE())&gt;2,HLOOKUP($A443,#REF!,18,FALSE())&lt;-2),"",#REF!),"")</f>
        <v/>
      </c>
      <c r="U443" s="0" t="str">
        <f aca="false">IFERROR(IF(OR(HLOOKUP($A443,#REF!,19,FALSE())&gt;2,HLOOKUP($A443,#REF!,19,FALSE())&lt;-2),"",#REF!),"")</f>
        <v/>
      </c>
      <c r="V443" s="0" t="n">
        <f aca="false">IFERROR(IF(AND(X443=0,Y443=0),0,1),0)</f>
        <v>1</v>
      </c>
      <c r="W443" s="3" t="str">
        <f aca="false">IFERROR(_xlfn.T.TEST(E443:M443,N443:U443,2,2),"")</f>
        <v/>
      </c>
      <c r="X443" s="0" t="str">
        <f aca="false">IFERROR(AVERAGE(E443:M443),"")</f>
        <v/>
      </c>
      <c r="Y443" s="0" t="str">
        <f aca="false">IFERROR(AVERAGE(N443:U443),"")</f>
        <v/>
      </c>
    </row>
    <row r="444" customFormat="false" ht="14.5" hidden="false" customHeight="false" outlineLevel="0" collapsed="false">
      <c r="A444" s="0" t="n">
        <v>452</v>
      </c>
      <c r="B444" s="0" t="s">
        <v>516</v>
      </c>
      <c r="C444" s="0" t="n">
        <v>72800</v>
      </c>
      <c r="D444" s="0" t="n">
        <v>141</v>
      </c>
      <c r="E444" s="0" t="str">
        <f aca="false">IFERROR(IF(OR(HLOOKUP($A444,#REF!,3,FALSE())&gt;2,HLOOKUP(A444,#REF!,3,FALSE())&lt;-2),"",#REF!),"")</f>
        <v/>
      </c>
      <c r="F444" s="0" t="str">
        <f aca="false">IFERROR(IF(OR(HLOOKUP($A444,#REF!,4,FALSE())&gt;2,HLOOKUP($A444,#REF!,4,FALSE())&lt;-2),"",#REF!),"")</f>
        <v/>
      </c>
      <c r="G444" s="0" t="str">
        <f aca="false">IFERROR(IF(OR(HLOOKUP($A444,#REF!,5,FALSE())&gt;2,HLOOKUP($A444,#REF!,5,FALSE())&lt;-2),"",#REF!),"")</f>
        <v/>
      </c>
      <c r="H444" s="0" t="str">
        <f aca="false">IFERROR(IF(OR(HLOOKUP($A444,#REF!,6,FALSE())&gt;2,HLOOKUP($A444,#REF!,6,FALSE())&lt;-2),"",#REF!),"")</f>
        <v/>
      </c>
      <c r="I444" s="0" t="str">
        <f aca="false">IFERROR(IF(OR(HLOOKUP($A444,#REF!,7,FALSE())&gt;2,HLOOKUP($A444,#REF!,7,FALSE())&lt;-2),"",#REF!),"")</f>
        <v/>
      </c>
      <c r="J444" s="0" t="str">
        <f aca="false">IFERROR(IF(OR(HLOOKUP($A444,#REF!,8,FALSE())&gt;2,HLOOKUP($A444,#REF!,8,FALSE())&lt;-2),"",#REF!),"")</f>
        <v/>
      </c>
      <c r="K444" s="0" t="str">
        <f aca="false">IFERROR(IF(OR(HLOOKUP($A444,#REF!,9,FALSE())&gt;2,HLOOKUP($A444,#REF!,9,FALSE())&lt;-2),"",#REF!),"")</f>
        <v/>
      </c>
      <c r="L444" s="0" t="str">
        <f aca="false">IFERROR(IF(OR(HLOOKUP($A444,#REF!,10,FALSE())&gt;2,HLOOKUP($A444,#REF!,10,FALSE())&lt;-2),"",#REF!),"")</f>
        <v/>
      </c>
      <c r="M444" s="0" t="str">
        <f aca="false">IFERROR(IF(OR(HLOOKUP($A444,#REF!,11,FALSE())&gt;2,HLOOKUP($A444,#REF!,11,FALSE())&lt;-2),"",#REF!),"")</f>
        <v/>
      </c>
      <c r="N444" s="0" t="str">
        <f aca="false">IFERROR(IF(OR(HLOOKUP($A444,#REF!,12,FALSE())&gt;2,HLOOKUP($A444,#REF!,12,FALSE())&lt;-2),"",#REF!),"")</f>
        <v/>
      </c>
      <c r="O444" s="0" t="str">
        <f aca="false">IFERROR(IF(OR(HLOOKUP($A444,#REF!,13,FALSE())&gt;2,HLOOKUP($A444,#REF!,13,FALSE())&lt;-2),"",#REF!),"")</f>
        <v/>
      </c>
      <c r="P444" s="0" t="str">
        <f aca="false">IFERROR(IF(OR(HLOOKUP($A444,#REF!,14,FALSE())&gt;2,HLOOKUP($A444,#REF!,14,FALSE())&lt;-2),"",#REF!),"")</f>
        <v/>
      </c>
      <c r="Q444" s="0" t="str">
        <f aca="false">IFERROR(IF(OR(HLOOKUP($A444,#REF!,15,FALSE())&gt;2,HLOOKUP($A444,#REF!,15,FALSE())&lt;-2),"",#REF!),"")</f>
        <v/>
      </c>
      <c r="R444" s="0" t="str">
        <f aca="false">IFERROR(IF(OR(HLOOKUP($A444,#REF!,16,FALSE())&gt;2,HLOOKUP($A444,#REF!,16,FALSE())&lt;-2),"",#REF!),"")</f>
        <v/>
      </c>
      <c r="S444" s="0" t="str">
        <f aca="false">IFERROR(IF(OR(HLOOKUP($A444,#REF!,17,FALSE())&gt;2,HLOOKUP($A444,#REF!,17,FALSE())&lt;-2),"",#REF!),"")</f>
        <v/>
      </c>
      <c r="T444" s="0" t="str">
        <f aca="false">IFERROR(IF(OR(HLOOKUP($A444,#REF!,18,FALSE())&gt;2,HLOOKUP($A444,#REF!,18,FALSE())&lt;-2),"",#REF!),"")</f>
        <v/>
      </c>
      <c r="U444" s="0" t="str">
        <f aca="false">IFERROR(IF(OR(HLOOKUP($A444,#REF!,19,FALSE())&gt;2,HLOOKUP($A444,#REF!,19,FALSE())&lt;-2),"",#REF!),"")</f>
        <v/>
      </c>
      <c r="V444" s="0" t="n">
        <f aca="false">IFERROR(IF(AND(X444=0,Y444=0),0,1),0)</f>
        <v>1</v>
      </c>
      <c r="W444" s="3" t="str">
        <f aca="false">IFERROR(_xlfn.T.TEST(E444:M444,N444:U444,2,2),"")</f>
        <v/>
      </c>
      <c r="X444" s="0" t="str">
        <f aca="false">IFERROR(AVERAGE(E444:M444),"")</f>
        <v/>
      </c>
      <c r="Y444" s="0" t="str">
        <f aca="false">IFERROR(AVERAGE(N444:U444),"")</f>
        <v/>
      </c>
    </row>
    <row r="445" customFormat="false" ht="14.5" hidden="false" customHeight="false" outlineLevel="0" collapsed="false">
      <c r="A445" s="0" t="n">
        <v>453</v>
      </c>
      <c r="B445" s="0" t="s">
        <v>517</v>
      </c>
      <c r="C445" s="0" t="n">
        <v>2700</v>
      </c>
      <c r="D445" s="0" t="n">
        <v>315</v>
      </c>
      <c r="E445" s="0" t="str">
        <f aca="false">IFERROR(IF(OR(HLOOKUP($A445,#REF!,3,FALSE())&gt;2,HLOOKUP(A445,#REF!,3,FALSE())&lt;-2),"",#REF!),"")</f>
        <v/>
      </c>
      <c r="F445" s="0" t="str">
        <f aca="false">IFERROR(IF(OR(HLOOKUP($A445,#REF!,4,FALSE())&gt;2,HLOOKUP($A445,#REF!,4,FALSE())&lt;-2),"",#REF!),"")</f>
        <v/>
      </c>
      <c r="G445" s="0" t="str">
        <f aca="false">IFERROR(IF(OR(HLOOKUP($A445,#REF!,5,FALSE())&gt;2,HLOOKUP($A445,#REF!,5,FALSE())&lt;-2),"",#REF!),"")</f>
        <v/>
      </c>
      <c r="H445" s="0" t="str">
        <f aca="false">IFERROR(IF(OR(HLOOKUP($A445,#REF!,6,FALSE())&gt;2,HLOOKUP($A445,#REF!,6,FALSE())&lt;-2),"",#REF!),"")</f>
        <v/>
      </c>
      <c r="I445" s="0" t="str">
        <f aca="false">IFERROR(IF(OR(HLOOKUP($A445,#REF!,7,FALSE())&gt;2,HLOOKUP($A445,#REF!,7,FALSE())&lt;-2),"",#REF!),"")</f>
        <v/>
      </c>
      <c r="J445" s="0" t="str">
        <f aca="false">IFERROR(IF(OR(HLOOKUP($A445,#REF!,8,FALSE())&gt;2,HLOOKUP($A445,#REF!,8,FALSE())&lt;-2),"",#REF!),"")</f>
        <v/>
      </c>
      <c r="K445" s="0" t="str">
        <f aca="false">IFERROR(IF(OR(HLOOKUP($A445,#REF!,9,FALSE())&gt;2,HLOOKUP($A445,#REF!,9,FALSE())&lt;-2),"",#REF!),"")</f>
        <v/>
      </c>
      <c r="L445" s="0" t="str">
        <f aca="false">IFERROR(IF(OR(HLOOKUP($A445,#REF!,10,FALSE())&gt;2,HLOOKUP($A445,#REF!,10,FALSE())&lt;-2),"",#REF!),"")</f>
        <v/>
      </c>
      <c r="M445" s="0" t="str">
        <f aca="false">IFERROR(IF(OR(HLOOKUP($A445,#REF!,11,FALSE())&gt;2,HLOOKUP($A445,#REF!,11,FALSE())&lt;-2),"",#REF!),"")</f>
        <v/>
      </c>
      <c r="N445" s="0" t="str">
        <f aca="false">IFERROR(IF(OR(HLOOKUP($A445,#REF!,12,FALSE())&gt;2,HLOOKUP($A445,#REF!,12,FALSE())&lt;-2),"",#REF!),"")</f>
        <v/>
      </c>
      <c r="O445" s="0" t="str">
        <f aca="false">IFERROR(IF(OR(HLOOKUP($A445,#REF!,13,FALSE())&gt;2,HLOOKUP($A445,#REF!,13,FALSE())&lt;-2),"",#REF!),"")</f>
        <v/>
      </c>
      <c r="P445" s="0" t="str">
        <f aca="false">IFERROR(IF(OR(HLOOKUP($A445,#REF!,14,FALSE())&gt;2,HLOOKUP($A445,#REF!,14,FALSE())&lt;-2),"",#REF!),"")</f>
        <v/>
      </c>
      <c r="Q445" s="0" t="str">
        <f aca="false">IFERROR(IF(OR(HLOOKUP($A445,#REF!,15,FALSE())&gt;2,HLOOKUP($A445,#REF!,15,FALSE())&lt;-2),"",#REF!),"")</f>
        <v/>
      </c>
      <c r="R445" s="0" t="str">
        <f aca="false">IFERROR(IF(OR(HLOOKUP($A445,#REF!,16,FALSE())&gt;2,HLOOKUP($A445,#REF!,16,FALSE())&lt;-2),"",#REF!),"")</f>
        <v/>
      </c>
      <c r="S445" s="0" t="str">
        <f aca="false">IFERROR(IF(OR(HLOOKUP($A445,#REF!,17,FALSE())&gt;2,HLOOKUP($A445,#REF!,17,FALSE())&lt;-2),"",#REF!),"")</f>
        <v/>
      </c>
      <c r="T445" s="0" t="str">
        <f aca="false">IFERROR(IF(OR(HLOOKUP($A445,#REF!,18,FALSE())&gt;2,HLOOKUP($A445,#REF!,18,FALSE())&lt;-2),"",#REF!),"")</f>
        <v/>
      </c>
      <c r="U445" s="0" t="str">
        <f aca="false">IFERROR(IF(OR(HLOOKUP($A445,#REF!,19,FALSE())&gt;2,HLOOKUP($A445,#REF!,19,FALSE())&lt;-2),"",#REF!),"")</f>
        <v/>
      </c>
      <c r="V445" s="0" t="n">
        <f aca="false">IFERROR(IF(AND(X445=0,Y445=0),0,1),0)</f>
        <v>1</v>
      </c>
      <c r="W445" s="3" t="str">
        <f aca="false">IFERROR(_xlfn.T.TEST(E445:M445,N445:U445,2,2),"")</f>
        <v/>
      </c>
      <c r="X445" s="0" t="str">
        <f aca="false">IFERROR(AVERAGE(E445:M445),"")</f>
        <v/>
      </c>
      <c r="Y445" s="0" t="str">
        <f aca="false">IFERROR(AVERAGE(N445:U445),"")</f>
        <v/>
      </c>
    </row>
    <row r="446" customFormat="false" ht="14.5" hidden="false" customHeight="false" outlineLevel="0" collapsed="false">
      <c r="A446" s="0" t="n">
        <v>454</v>
      </c>
      <c r="B446" s="0" t="s">
        <v>518</v>
      </c>
      <c r="C446" s="0" t="n">
        <v>38600</v>
      </c>
      <c r="D446" s="0" t="n">
        <v>423</v>
      </c>
      <c r="E446" s="0" t="str">
        <f aca="false">IFERROR(IF(OR(HLOOKUP($A446,#REF!,3,FALSE())&gt;2,HLOOKUP(A446,#REF!,3,FALSE())&lt;-2),"",#REF!),"")</f>
        <v/>
      </c>
      <c r="F446" s="0" t="str">
        <f aca="false">IFERROR(IF(OR(HLOOKUP($A446,#REF!,4,FALSE())&gt;2,HLOOKUP($A446,#REF!,4,FALSE())&lt;-2),"",#REF!),"")</f>
        <v/>
      </c>
      <c r="G446" s="0" t="str">
        <f aca="false">IFERROR(IF(OR(HLOOKUP($A446,#REF!,5,FALSE())&gt;2,HLOOKUP($A446,#REF!,5,FALSE())&lt;-2),"",#REF!),"")</f>
        <v/>
      </c>
      <c r="H446" s="0" t="str">
        <f aca="false">IFERROR(IF(OR(HLOOKUP($A446,#REF!,6,FALSE())&gt;2,HLOOKUP($A446,#REF!,6,FALSE())&lt;-2),"",#REF!),"")</f>
        <v/>
      </c>
      <c r="I446" s="0" t="str">
        <f aca="false">IFERROR(IF(OR(HLOOKUP($A446,#REF!,7,FALSE())&gt;2,HLOOKUP($A446,#REF!,7,FALSE())&lt;-2),"",#REF!),"")</f>
        <v/>
      </c>
      <c r="J446" s="0" t="str">
        <f aca="false">IFERROR(IF(OR(HLOOKUP($A446,#REF!,8,FALSE())&gt;2,HLOOKUP($A446,#REF!,8,FALSE())&lt;-2),"",#REF!),"")</f>
        <v/>
      </c>
      <c r="K446" s="0" t="str">
        <f aca="false">IFERROR(IF(OR(HLOOKUP($A446,#REF!,9,FALSE())&gt;2,HLOOKUP($A446,#REF!,9,FALSE())&lt;-2),"",#REF!),"")</f>
        <v/>
      </c>
      <c r="L446" s="0" t="str">
        <f aca="false">IFERROR(IF(OR(HLOOKUP($A446,#REF!,10,FALSE())&gt;2,HLOOKUP($A446,#REF!,10,FALSE())&lt;-2),"",#REF!),"")</f>
        <v/>
      </c>
      <c r="M446" s="0" t="str">
        <f aca="false">IFERROR(IF(OR(HLOOKUP($A446,#REF!,11,FALSE())&gt;2,HLOOKUP($A446,#REF!,11,FALSE())&lt;-2),"",#REF!),"")</f>
        <v/>
      </c>
      <c r="N446" s="0" t="str">
        <f aca="false">IFERROR(IF(OR(HLOOKUP($A446,#REF!,12,FALSE())&gt;2,HLOOKUP($A446,#REF!,12,FALSE())&lt;-2),"",#REF!),"")</f>
        <v/>
      </c>
      <c r="O446" s="0" t="str">
        <f aca="false">IFERROR(IF(OR(HLOOKUP($A446,#REF!,13,FALSE())&gt;2,HLOOKUP($A446,#REF!,13,FALSE())&lt;-2),"",#REF!),"")</f>
        <v/>
      </c>
      <c r="P446" s="0" t="str">
        <f aca="false">IFERROR(IF(OR(HLOOKUP($A446,#REF!,14,FALSE())&gt;2,HLOOKUP($A446,#REF!,14,FALSE())&lt;-2),"",#REF!),"")</f>
        <v/>
      </c>
      <c r="Q446" s="0" t="str">
        <f aca="false">IFERROR(IF(OR(HLOOKUP($A446,#REF!,15,FALSE())&gt;2,HLOOKUP($A446,#REF!,15,FALSE())&lt;-2),"",#REF!),"")</f>
        <v/>
      </c>
      <c r="R446" s="0" t="str">
        <f aca="false">IFERROR(IF(OR(HLOOKUP($A446,#REF!,16,FALSE())&gt;2,HLOOKUP($A446,#REF!,16,FALSE())&lt;-2),"",#REF!),"")</f>
        <v/>
      </c>
      <c r="S446" s="0" t="str">
        <f aca="false">IFERROR(IF(OR(HLOOKUP($A446,#REF!,17,FALSE())&gt;2,HLOOKUP($A446,#REF!,17,FALSE())&lt;-2),"",#REF!),"")</f>
        <v/>
      </c>
      <c r="T446" s="0" t="str">
        <f aca="false">IFERROR(IF(OR(HLOOKUP($A446,#REF!,18,FALSE())&gt;2,HLOOKUP($A446,#REF!,18,FALSE())&lt;-2),"",#REF!),"")</f>
        <v/>
      </c>
      <c r="U446" s="0" t="str">
        <f aca="false">IFERROR(IF(OR(HLOOKUP($A446,#REF!,19,FALSE())&gt;2,HLOOKUP($A446,#REF!,19,FALSE())&lt;-2),"",#REF!),"")</f>
        <v/>
      </c>
      <c r="V446" s="0" t="n">
        <f aca="false">IFERROR(IF(AND(X446=0,Y446=0),0,1),0)</f>
        <v>1</v>
      </c>
      <c r="W446" s="3" t="str">
        <f aca="false">IFERROR(_xlfn.T.TEST(E446:M446,N446:U446,2,2),"")</f>
        <v/>
      </c>
      <c r="X446" s="0" t="str">
        <f aca="false">IFERROR(AVERAGE(E446:M446),"")</f>
        <v/>
      </c>
      <c r="Y446" s="0" t="str">
        <f aca="false">IFERROR(AVERAGE(N446:U446),"")</f>
        <v/>
      </c>
    </row>
    <row r="447" customFormat="false" ht="14.5" hidden="false" customHeight="false" outlineLevel="0" collapsed="false">
      <c r="A447" s="0" t="n">
        <v>455</v>
      </c>
      <c r="B447" s="0" t="s">
        <v>519</v>
      </c>
      <c r="C447" s="0" t="n">
        <v>76500</v>
      </c>
      <c r="D447" s="0" t="n">
        <v>63</v>
      </c>
      <c r="E447" s="0" t="str">
        <f aca="false">IFERROR(IF(OR(HLOOKUP($A447,#REF!,3,FALSE())&gt;2,HLOOKUP(A447,#REF!,3,FALSE())&lt;-2),"",#REF!),"")</f>
        <v/>
      </c>
      <c r="F447" s="0" t="str">
        <f aca="false">IFERROR(IF(OR(HLOOKUP($A447,#REF!,4,FALSE())&gt;2,HLOOKUP($A447,#REF!,4,FALSE())&lt;-2),"",#REF!),"")</f>
        <v/>
      </c>
      <c r="G447" s="0" t="str">
        <f aca="false">IFERROR(IF(OR(HLOOKUP($A447,#REF!,5,FALSE())&gt;2,HLOOKUP($A447,#REF!,5,FALSE())&lt;-2),"",#REF!),"")</f>
        <v/>
      </c>
      <c r="H447" s="0" t="str">
        <f aca="false">IFERROR(IF(OR(HLOOKUP($A447,#REF!,6,FALSE())&gt;2,HLOOKUP($A447,#REF!,6,FALSE())&lt;-2),"",#REF!),"")</f>
        <v/>
      </c>
      <c r="I447" s="0" t="str">
        <f aca="false">IFERROR(IF(OR(HLOOKUP($A447,#REF!,7,FALSE())&gt;2,HLOOKUP($A447,#REF!,7,FALSE())&lt;-2),"",#REF!),"")</f>
        <v/>
      </c>
      <c r="J447" s="0" t="str">
        <f aca="false">IFERROR(IF(OR(HLOOKUP($A447,#REF!,8,FALSE())&gt;2,HLOOKUP($A447,#REF!,8,FALSE())&lt;-2),"",#REF!),"")</f>
        <v/>
      </c>
      <c r="K447" s="0" t="str">
        <f aca="false">IFERROR(IF(OR(HLOOKUP($A447,#REF!,9,FALSE())&gt;2,HLOOKUP($A447,#REF!,9,FALSE())&lt;-2),"",#REF!),"")</f>
        <v/>
      </c>
      <c r="L447" s="0" t="str">
        <f aca="false">IFERROR(IF(OR(HLOOKUP($A447,#REF!,10,FALSE())&gt;2,HLOOKUP($A447,#REF!,10,FALSE())&lt;-2),"",#REF!),"")</f>
        <v/>
      </c>
      <c r="M447" s="0" t="str">
        <f aca="false">IFERROR(IF(OR(HLOOKUP($A447,#REF!,11,FALSE())&gt;2,HLOOKUP($A447,#REF!,11,FALSE())&lt;-2),"",#REF!),"")</f>
        <v/>
      </c>
      <c r="N447" s="0" t="str">
        <f aca="false">IFERROR(IF(OR(HLOOKUP($A447,#REF!,12,FALSE())&gt;2,HLOOKUP($A447,#REF!,12,FALSE())&lt;-2),"",#REF!),"")</f>
        <v/>
      </c>
      <c r="O447" s="0" t="str">
        <f aca="false">IFERROR(IF(OR(HLOOKUP($A447,#REF!,13,FALSE())&gt;2,HLOOKUP($A447,#REF!,13,FALSE())&lt;-2),"",#REF!),"")</f>
        <v/>
      </c>
      <c r="P447" s="0" t="str">
        <f aca="false">IFERROR(IF(OR(HLOOKUP($A447,#REF!,14,FALSE())&gt;2,HLOOKUP($A447,#REF!,14,FALSE())&lt;-2),"",#REF!),"")</f>
        <v/>
      </c>
      <c r="Q447" s="0" t="str">
        <f aca="false">IFERROR(IF(OR(HLOOKUP($A447,#REF!,15,FALSE())&gt;2,HLOOKUP($A447,#REF!,15,FALSE())&lt;-2),"",#REF!),"")</f>
        <v/>
      </c>
      <c r="R447" s="0" t="str">
        <f aca="false">IFERROR(IF(OR(HLOOKUP($A447,#REF!,16,FALSE())&gt;2,HLOOKUP($A447,#REF!,16,FALSE())&lt;-2),"",#REF!),"")</f>
        <v/>
      </c>
      <c r="S447" s="0" t="str">
        <f aca="false">IFERROR(IF(OR(HLOOKUP($A447,#REF!,17,FALSE())&gt;2,HLOOKUP($A447,#REF!,17,FALSE())&lt;-2),"",#REF!),"")</f>
        <v/>
      </c>
      <c r="T447" s="0" t="str">
        <f aca="false">IFERROR(IF(OR(HLOOKUP($A447,#REF!,18,FALSE())&gt;2,HLOOKUP($A447,#REF!,18,FALSE())&lt;-2),"",#REF!),"")</f>
        <v/>
      </c>
      <c r="U447" s="0" t="str">
        <f aca="false">IFERROR(IF(OR(HLOOKUP($A447,#REF!,19,FALSE())&gt;2,HLOOKUP($A447,#REF!,19,FALSE())&lt;-2),"",#REF!),"")</f>
        <v/>
      </c>
      <c r="V447" s="0" t="n">
        <f aca="false">IFERROR(IF(AND(X447=0,Y447=0),0,1),0)</f>
        <v>1</v>
      </c>
      <c r="W447" s="3" t="str">
        <f aca="false">IFERROR(_xlfn.T.TEST(E447:M447,N447:U447,2,2),"")</f>
        <v/>
      </c>
      <c r="X447" s="0" t="str">
        <f aca="false">IFERROR(AVERAGE(E447:M447),"")</f>
        <v/>
      </c>
      <c r="Y447" s="0" t="str">
        <f aca="false">IFERROR(AVERAGE(N447:U447),"")</f>
        <v/>
      </c>
    </row>
    <row r="448" customFormat="false" ht="14.5" hidden="false" customHeight="false" outlineLevel="0" collapsed="false">
      <c r="A448" s="0" t="n">
        <v>456</v>
      </c>
      <c r="B448" s="0" t="s">
        <v>520</v>
      </c>
      <c r="C448" s="0" t="n">
        <v>12600</v>
      </c>
      <c r="D448" s="0" t="n">
        <v>1027</v>
      </c>
      <c r="E448" s="0" t="str">
        <f aca="false">IFERROR(IF(OR(HLOOKUP($A448,#REF!,3,FALSE())&gt;2,HLOOKUP(A448,#REF!,3,FALSE())&lt;-2),"",#REF!),"")</f>
        <v/>
      </c>
      <c r="F448" s="0" t="str">
        <f aca="false">IFERROR(IF(OR(HLOOKUP($A448,#REF!,4,FALSE())&gt;2,HLOOKUP($A448,#REF!,4,FALSE())&lt;-2),"",#REF!),"")</f>
        <v/>
      </c>
      <c r="G448" s="0" t="str">
        <f aca="false">IFERROR(IF(OR(HLOOKUP($A448,#REF!,5,FALSE())&gt;2,HLOOKUP($A448,#REF!,5,FALSE())&lt;-2),"",#REF!),"")</f>
        <v/>
      </c>
      <c r="H448" s="0" t="str">
        <f aca="false">IFERROR(IF(OR(HLOOKUP($A448,#REF!,6,FALSE())&gt;2,HLOOKUP($A448,#REF!,6,FALSE())&lt;-2),"",#REF!),"")</f>
        <v/>
      </c>
      <c r="I448" s="0" t="str">
        <f aca="false">IFERROR(IF(OR(HLOOKUP($A448,#REF!,7,FALSE())&gt;2,HLOOKUP($A448,#REF!,7,FALSE())&lt;-2),"",#REF!),"")</f>
        <v/>
      </c>
      <c r="J448" s="0" t="str">
        <f aca="false">IFERROR(IF(OR(HLOOKUP($A448,#REF!,8,FALSE())&gt;2,HLOOKUP($A448,#REF!,8,FALSE())&lt;-2),"",#REF!),"")</f>
        <v/>
      </c>
      <c r="K448" s="0" t="str">
        <f aca="false">IFERROR(IF(OR(HLOOKUP($A448,#REF!,9,FALSE())&gt;2,HLOOKUP($A448,#REF!,9,FALSE())&lt;-2),"",#REF!),"")</f>
        <v/>
      </c>
      <c r="L448" s="0" t="str">
        <f aca="false">IFERROR(IF(OR(HLOOKUP($A448,#REF!,10,FALSE())&gt;2,HLOOKUP($A448,#REF!,10,FALSE())&lt;-2),"",#REF!),"")</f>
        <v/>
      </c>
      <c r="M448" s="0" t="str">
        <f aca="false">IFERROR(IF(OR(HLOOKUP($A448,#REF!,11,FALSE())&gt;2,HLOOKUP($A448,#REF!,11,FALSE())&lt;-2),"",#REF!),"")</f>
        <v/>
      </c>
      <c r="N448" s="0" t="str">
        <f aca="false">IFERROR(IF(OR(HLOOKUP($A448,#REF!,12,FALSE())&gt;2,HLOOKUP($A448,#REF!,12,FALSE())&lt;-2),"",#REF!),"")</f>
        <v/>
      </c>
      <c r="O448" s="0" t="str">
        <f aca="false">IFERROR(IF(OR(HLOOKUP($A448,#REF!,13,FALSE())&gt;2,HLOOKUP($A448,#REF!,13,FALSE())&lt;-2),"",#REF!),"")</f>
        <v/>
      </c>
      <c r="P448" s="0" t="str">
        <f aca="false">IFERROR(IF(OR(HLOOKUP($A448,#REF!,14,FALSE())&gt;2,HLOOKUP($A448,#REF!,14,FALSE())&lt;-2),"",#REF!),"")</f>
        <v/>
      </c>
      <c r="Q448" s="0" t="str">
        <f aca="false">IFERROR(IF(OR(HLOOKUP($A448,#REF!,15,FALSE())&gt;2,HLOOKUP($A448,#REF!,15,FALSE())&lt;-2),"",#REF!),"")</f>
        <v/>
      </c>
      <c r="R448" s="0" t="str">
        <f aca="false">IFERROR(IF(OR(HLOOKUP($A448,#REF!,16,FALSE())&gt;2,HLOOKUP($A448,#REF!,16,FALSE())&lt;-2),"",#REF!),"")</f>
        <v/>
      </c>
      <c r="S448" s="0" t="str">
        <f aca="false">IFERROR(IF(OR(HLOOKUP($A448,#REF!,17,FALSE())&gt;2,HLOOKUP($A448,#REF!,17,FALSE())&lt;-2),"",#REF!),"")</f>
        <v/>
      </c>
      <c r="T448" s="0" t="str">
        <f aca="false">IFERROR(IF(OR(HLOOKUP($A448,#REF!,18,FALSE())&gt;2,HLOOKUP($A448,#REF!,18,FALSE())&lt;-2),"",#REF!),"")</f>
        <v/>
      </c>
      <c r="U448" s="0" t="str">
        <f aca="false">IFERROR(IF(OR(HLOOKUP($A448,#REF!,19,FALSE())&gt;2,HLOOKUP($A448,#REF!,19,FALSE())&lt;-2),"",#REF!),"")</f>
        <v/>
      </c>
      <c r="V448" s="0" t="n">
        <f aca="false">IFERROR(IF(AND(X448=0,Y448=0),0,1),0)</f>
        <v>1</v>
      </c>
      <c r="W448" s="3" t="str">
        <f aca="false">IFERROR(_xlfn.T.TEST(E448:M448,N448:U448,2,2),"")</f>
        <v/>
      </c>
      <c r="X448" s="0" t="str">
        <f aca="false">IFERROR(AVERAGE(E448:M448),"")</f>
        <v/>
      </c>
      <c r="Y448" s="0" t="str">
        <f aca="false">IFERROR(AVERAGE(N448:U448),"")</f>
        <v/>
      </c>
    </row>
    <row r="449" customFormat="false" ht="14.5" hidden="false" customHeight="false" outlineLevel="0" collapsed="false">
      <c r="A449" s="0" t="n">
        <v>457</v>
      </c>
      <c r="B449" s="0" t="s">
        <v>521</v>
      </c>
      <c r="C449" s="0" t="n">
        <v>13900</v>
      </c>
      <c r="D449" s="0" t="n">
        <v>669</v>
      </c>
      <c r="E449" s="0" t="str">
        <f aca="false">IFERROR(IF(OR(HLOOKUP($A449,#REF!,3,FALSE())&gt;2,HLOOKUP(A449,#REF!,3,FALSE())&lt;-2),"",#REF!),"")</f>
        <v/>
      </c>
      <c r="F449" s="0" t="str">
        <f aca="false">IFERROR(IF(OR(HLOOKUP($A449,#REF!,4,FALSE())&gt;2,HLOOKUP($A449,#REF!,4,FALSE())&lt;-2),"",#REF!),"")</f>
        <v/>
      </c>
      <c r="G449" s="0" t="str">
        <f aca="false">IFERROR(IF(OR(HLOOKUP($A449,#REF!,5,FALSE())&gt;2,HLOOKUP($A449,#REF!,5,FALSE())&lt;-2),"",#REF!),"")</f>
        <v/>
      </c>
      <c r="H449" s="0" t="str">
        <f aca="false">IFERROR(IF(OR(HLOOKUP($A449,#REF!,6,FALSE())&gt;2,HLOOKUP($A449,#REF!,6,FALSE())&lt;-2),"",#REF!),"")</f>
        <v/>
      </c>
      <c r="I449" s="0" t="str">
        <f aca="false">IFERROR(IF(OR(HLOOKUP($A449,#REF!,7,FALSE())&gt;2,HLOOKUP($A449,#REF!,7,FALSE())&lt;-2),"",#REF!),"")</f>
        <v/>
      </c>
      <c r="J449" s="0" t="str">
        <f aca="false">IFERROR(IF(OR(HLOOKUP($A449,#REF!,8,FALSE())&gt;2,HLOOKUP($A449,#REF!,8,FALSE())&lt;-2),"",#REF!),"")</f>
        <v/>
      </c>
      <c r="K449" s="0" t="str">
        <f aca="false">IFERROR(IF(OR(HLOOKUP($A449,#REF!,9,FALSE())&gt;2,HLOOKUP($A449,#REF!,9,FALSE())&lt;-2),"",#REF!),"")</f>
        <v/>
      </c>
      <c r="L449" s="0" t="str">
        <f aca="false">IFERROR(IF(OR(HLOOKUP($A449,#REF!,10,FALSE())&gt;2,HLOOKUP($A449,#REF!,10,FALSE())&lt;-2),"",#REF!),"")</f>
        <v/>
      </c>
      <c r="M449" s="0" t="str">
        <f aca="false">IFERROR(IF(OR(HLOOKUP($A449,#REF!,11,FALSE())&gt;2,HLOOKUP($A449,#REF!,11,FALSE())&lt;-2),"",#REF!),"")</f>
        <v/>
      </c>
      <c r="N449" s="0" t="str">
        <f aca="false">IFERROR(IF(OR(HLOOKUP($A449,#REF!,12,FALSE())&gt;2,HLOOKUP($A449,#REF!,12,FALSE())&lt;-2),"",#REF!),"")</f>
        <v/>
      </c>
      <c r="O449" s="0" t="str">
        <f aca="false">IFERROR(IF(OR(HLOOKUP($A449,#REF!,13,FALSE())&gt;2,HLOOKUP($A449,#REF!,13,FALSE())&lt;-2),"",#REF!),"")</f>
        <v/>
      </c>
      <c r="P449" s="0" t="str">
        <f aca="false">IFERROR(IF(OR(HLOOKUP($A449,#REF!,14,FALSE())&gt;2,HLOOKUP($A449,#REF!,14,FALSE())&lt;-2),"",#REF!),"")</f>
        <v/>
      </c>
      <c r="Q449" s="0" t="str">
        <f aca="false">IFERROR(IF(OR(HLOOKUP($A449,#REF!,15,FALSE())&gt;2,HLOOKUP($A449,#REF!,15,FALSE())&lt;-2),"",#REF!),"")</f>
        <v/>
      </c>
      <c r="R449" s="0" t="str">
        <f aca="false">IFERROR(IF(OR(HLOOKUP($A449,#REF!,16,FALSE())&gt;2,HLOOKUP($A449,#REF!,16,FALSE())&lt;-2),"",#REF!),"")</f>
        <v/>
      </c>
      <c r="S449" s="0" t="str">
        <f aca="false">IFERROR(IF(OR(HLOOKUP($A449,#REF!,17,FALSE())&gt;2,HLOOKUP($A449,#REF!,17,FALSE())&lt;-2),"",#REF!),"")</f>
        <v/>
      </c>
      <c r="T449" s="0" t="str">
        <f aca="false">IFERROR(IF(OR(HLOOKUP($A449,#REF!,18,FALSE())&gt;2,HLOOKUP($A449,#REF!,18,FALSE())&lt;-2),"",#REF!),"")</f>
        <v/>
      </c>
      <c r="U449" s="0" t="str">
        <f aca="false">IFERROR(IF(OR(HLOOKUP($A449,#REF!,19,FALSE())&gt;2,HLOOKUP($A449,#REF!,19,FALSE())&lt;-2),"",#REF!),"")</f>
        <v/>
      </c>
      <c r="V449" s="0" t="n">
        <f aca="false">IFERROR(IF(AND(X449=0,Y449=0),0,1),0)</f>
        <v>1</v>
      </c>
      <c r="W449" s="3" t="str">
        <f aca="false">IFERROR(_xlfn.T.TEST(E449:M449,N449:U449,2,2),"")</f>
        <v/>
      </c>
      <c r="X449" s="0" t="str">
        <f aca="false">IFERROR(AVERAGE(E449:M449),"")</f>
        <v/>
      </c>
      <c r="Y449" s="0" t="str">
        <f aca="false">IFERROR(AVERAGE(N449:U449),"")</f>
        <v/>
      </c>
    </row>
    <row r="450" customFormat="false" ht="14.5" hidden="false" customHeight="false" outlineLevel="0" collapsed="false">
      <c r="A450" s="0" t="n">
        <v>458</v>
      </c>
      <c r="B450" s="0" t="s">
        <v>522</v>
      </c>
      <c r="C450" s="0" t="n">
        <v>49000</v>
      </c>
      <c r="D450" s="0" t="n">
        <v>754</v>
      </c>
      <c r="E450" s="0" t="str">
        <f aca="false">IFERROR(IF(OR(HLOOKUP($A450,#REF!,3,FALSE())&gt;2,HLOOKUP(A450,#REF!,3,FALSE())&lt;-2),"",#REF!),"")</f>
        <v/>
      </c>
      <c r="F450" s="0" t="str">
        <f aca="false">IFERROR(IF(OR(HLOOKUP($A450,#REF!,4,FALSE())&gt;2,HLOOKUP($A450,#REF!,4,FALSE())&lt;-2),"",#REF!),"")</f>
        <v/>
      </c>
      <c r="G450" s="0" t="str">
        <f aca="false">IFERROR(IF(OR(HLOOKUP($A450,#REF!,5,FALSE())&gt;2,HLOOKUP($A450,#REF!,5,FALSE())&lt;-2),"",#REF!),"")</f>
        <v/>
      </c>
      <c r="H450" s="0" t="str">
        <f aca="false">IFERROR(IF(OR(HLOOKUP($A450,#REF!,6,FALSE())&gt;2,HLOOKUP($A450,#REF!,6,FALSE())&lt;-2),"",#REF!),"")</f>
        <v/>
      </c>
      <c r="I450" s="0" t="str">
        <f aca="false">IFERROR(IF(OR(HLOOKUP($A450,#REF!,7,FALSE())&gt;2,HLOOKUP($A450,#REF!,7,FALSE())&lt;-2),"",#REF!),"")</f>
        <v/>
      </c>
      <c r="J450" s="0" t="str">
        <f aca="false">IFERROR(IF(OR(HLOOKUP($A450,#REF!,8,FALSE())&gt;2,HLOOKUP($A450,#REF!,8,FALSE())&lt;-2),"",#REF!),"")</f>
        <v/>
      </c>
      <c r="K450" s="0" t="str">
        <f aca="false">IFERROR(IF(OR(HLOOKUP($A450,#REF!,9,FALSE())&gt;2,HLOOKUP($A450,#REF!,9,FALSE())&lt;-2),"",#REF!),"")</f>
        <v/>
      </c>
      <c r="L450" s="0" t="str">
        <f aca="false">IFERROR(IF(OR(HLOOKUP($A450,#REF!,10,FALSE())&gt;2,HLOOKUP($A450,#REF!,10,FALSE())&lt;-2),"",#REF!),"")</f>
        <v/>
      </c>
      <c r="M450" s="0" t="str">
        <f aca="false">IFERROR(IF(OR(HLOOKUP($A450,#REF!,11,FALSE())&gt;2,HLOOKUP($A450,#REF!,11,FALSE())&lt;-2),"",#REF!),"")</f>
        <v/>
      </c>
      <c r="N450" s="0" t="str">
        <f aca="false">IFERROR(IF(OR(HLOOKUP($A450,#REF!,12,FALSE())&gt;2,HLOOKUP($A450,#REF!,12,FALSE())&lt;-2),"",#REF!),"")</f>
        <v/>
      </c>
      <c r="O450" s="0" t="str">
        <f aca="false">IFERROR(IF(OR(HLOOKUP($A450,#REF!,13,FALSE())&gt;2,HLOOKUP($A450,#REF!,13,FALSE())&lt;-2),"",#REF!),"")</f>
        <v/>
      </c>
      <c r="P450" s="0" t="str">
        <f aca="false">IFERROR(IF(OR(HLOOKUP($A450,#REF!,14,FALSE())&gt;2,HLOOKUP($A450,#REF!,14,FALSE())&lt;-2),"",#REF!),"")</f>
        <v/>
      </c>
      <c r="Q450" s="0" t="str">
        <f aca="false">IFERROR(IF(OR(HLOOKUP($A450,#REF!,15,FALSE())&gt;2,HLOOKUP($A450,#REF!,15,FALSE())&lt;-2),"",#REF!),"")</f>
        <v/>
      </c>
      <c r="R450" s="0" t="str">
        <f aca="false">IFERROR(IF(OR(HLOOKUP($A450,#REF!,16,FALSE())&gt;2,HLOOKUP($A450,#REF!,16,FALSE())&lt;-2),"",#REF!),"")</f>
        <v/>
      </c>
      <c r="S450" s="0" t="str">
        <f aca="false">IFERROR(IF(OR(HLOOKUP($A450,#REF!,17,FALSE())&gt;2,HLOOKUP($A450,#REF!,17,FALSE())&lt;-2),"",#REF!),"")</f>
        <v/>
      </c>
      <c r="T450" s="0" t="str">
        <f aca="false">IFERROR(IF(OR(HLOOKUP($A450,#REF!,18,FALSE())&gt;2,HLOOKUP($A450,#REF!,18,FALSE())&lt;-2),"",#REF!),"")</f>
        <v/>
      </c>
      <c r="U450" s="0" t="str">
        <f aca="false">IFERROR(IF(OR(HLOOKUP($A450,#REF!,19,FALSE())&gt;2,HLOOKUP($A450,#REF!,19,FALSE())&lt;-2),"",#REF!),"")</f>
        <v/>
      </c>
      <c r="V450" s="0" t="n">
        <f aca="false">IFERROR(IF(AND(X450=0,Y450=0),0,1),0)</f>
        <v>1</v>
      </c>
      <c r="W450" s="3" t="str">
        <f aca="false">IFERROR(_xlfn.T.TEST(E450:M450,N450:U450,2,2),"")</f>
        <v/>
      </c>
      <c r="X450" s="0" t="str">
        <f aca="false">IFERROR(AVERAGE(E450:M450),"")</f>
        <v/>
      </c>
      <c r="Y450" s="0" t="str">
        <f aca="false">IFERROR(AVERAGE(N450:U450),"")</f>
        <v/>
      </c>
    </row>
    <row r="451" customFormat="false" ht="14.5" hidden="false" customHeight="false" outlineLevel="0" collapsed="false">
      <c r="A451" s="0" t="n">
        <v>459</v>
      </c>
      <c r="B451" s="0" t="s">
        <v>523</v>
      </c>
      <c r="C451" s="0" t="n">
        <v>98100</v>
      </c>
      <c r="D451" s="0" t="n">
        <v>21</v>
      </c>
      <c r="E451" s="0" t="str">
        <f aca="false">IFERROR(IF(OR(HLOOKUP($A451,#REF!,3,FALSE())&gt;2,HLOOKUP(A451,#REF!,3,FALSE())&lt;-2),"",#REF!),"")</f>
        <v/>
      </c>
      <c r="F451" s="0" t="str">
        <f aca="false">IFERROR(IF(OR(HLOOKUP($A451,#REF!,4,FALSE())&gt;2,HLOOKUP($A451,#REF!,4,FALSE())&lt;-2),"",#REF!),"")</f>
        <v/>
      </c>
      <c r="G451" s="0" t="str">
        <f aca="false">IFERROR(IF(OR(HLOOKUP($A451,#REF!,5,FALSE())&gt;2,HLOOKUP($A451,#REF!,5,FALSE())&lt;-2),"",#REF!),"")</f>
        <v/>
      </c>
      <c r="H451" s="0" t="str">
        <f aca="false">IFERROR(IF(OR(HLOOKUP($A451,#REF!,6,FALSE())&gt;2,HLOOKUP($A451,#REF!,6,FALSE())&lt;-2),"",#REF!),"")</f>
        <v/>
      </c>
      <c r="I451" s="0" t="str">
        <f aca="false">IFERROR(IF(OR(HLOOKUP($A451,#REF!,7,FALSE())&gt;2,HLOOKUP($A451,#REF!,7,FALSE())&lt;-2),"",#REF!),"")</f>
        <v/>
      </c>
      <c r="J451" s="0" t="str">
        <f aca="false">IFERROR(IF(OR(HLOOKUP($A451,#REF!,8,FALSE())&gt;2,HLOOKUP($A451,#REF!,8,FALSE())&lt;-2),"",#REF!),"")</f>
        <v/>
      </c>
      <c r="K451" s="0" t="str">
        <f aca="false">IFERROR(IF(OR(HLOOKUP($A451,#REF!,9,FALSE())&gt;2,HLOOKUP($A451,#REF!,9,FALSE())&lt;-2),"",#REF!),"")</f>
        <v/>
      </c>
      <c r="L451" s="0" t="str">
        <f aca="false">IFERROR(IF(OR(HLOOKUP($A451,#REF!,10,FALSE())&gt;2,HLOOKUP($A451,#REF!,10,FALSE())&lt;-2),"",#REF!),"")</f>
        <v/>
      </c>
      <c r="M451" s="0" t="str">
        <f aca="false">IFERROR(IF(OR(HLOOKUP($A451,#REF!,11,FALSE())&gt;2,HLOOKUP($A451,#REF!,11,FALSE())&lt;-2),"",#REF!),"")</f>
        <v/>
      </c>
      <c r="N451" s="0" t="str">
        <f aca="false">IFERROR(IF(OR(HLOOKUP($A451,#REF!,12,FALSE())&gt;2,HLOOKUP($A451,#REF!,12,FALSE())&lt;-2),"",#REF!),"")</f>
        <v/>
      </c>
      <c r="O451" s="0" t="str">
        <f aca="false">IFERROR(IF(OR(HLOOKUP($A451,#REF!,13,FALSE())&gt;2,HLOOKUP($A451,#REF!,13,FALSE())&lt;-2),"",#REF!),"")</f>
        <v/>
      </c>
      <c r="P451" s="0" t="str">
        <f aca="false">IFERROR(IF(OR(HLOOKUP($A451,#REF!,14,FALSE())&gt;2,HLOOKUP($A451,#REF!,14,FALSE())&lt;-2),"",#REF!),"")</f>
        <v/>
      </c>
      <c r="Q451" s="0" t="str">
        <f aca="false">IFERROR(IF(OR(HLOOKUP($A451,#REF!,15,FALSE())&gt;2,HLOOKUP($A451,#REF!,15,FALSE())&lt;-2),"",#REF!),"")</f>
        <v/>
      </c>
      <c r="R451" s="0" t="str">
        <f aca="false">IFERROR(IF(OR(HLOOKUP($A451,#REF!,16,FALSE())&gt;2,HLOOKUP($A451,#REF!,16,FALSE())&lt;-2),"",#REF!),"")</f>
        <v/>
      </c>
      <c r="S451" s="0" t="str">
        <f aca="false">IFERROR(IF(OR(HLOOKUP($A451,#REF!,17,FALSE())&gt;2,HLOOKUP($A451,#REF!,17,FALSE())&lt;-2),"",#REF!),"")</f>
        <v/>
      </c>
      <c r="T451" s="0" t="str">
        <f aca="false">IFERROR(IF(OR(HLOOKUP($A451,#REF!,18,FALSE())&gt;2,HLOOKUP($A451,#REF!,18,FALSE())&lt;-2),"",#REF!),"")</f>
        <v/>
      </c>
      <c r="U451" s="0" t="str">
        <f aca="false">IFERROR(IF(OR(HLOOKUP($A451,#REF!,19,FALSE())&gt;2,HLOOKUP($A451,#REF!,19,FALSE())&lt;-2),"",#REF!),"")</f>
        <v/>
      </c>
      <c r="V451" s="0" t="n">
        <f aca="false">IFERROR(IF(AND(X451=0,Y451=0),0,1),0)</f>
        <v>1</v>
      </c>
      <c r="W451" s="3" t="str">
        <f aca="false">IFERROR(_xlfn.T.TEST(E451:M451,N451:U451,2,2),"")</f>
        <v/>
      </c>
      <c r="X451" s="0" t="str">
        <f aca="false">IFERROR(AVERAGE(E451:M451),"")</f>
        <v/>
      </c>
      <c r="Y451" s="0" t="str">
        <f aca="false">IFERROR(AVERAGE(N451:U451),"")</f>
        <v/>
      </c>
    </row>
    <row r="452" customFormat="false" ht="14.5" hidden="false" customHeight="false" outlineLevel="0" collapsed="false">
      <c r="A452" s="0" t="n">
        <v>460</v>
      </c>
      <c r="B452" s="0" t="s">
        <v>524</v>
      </c>
      <c r="C452" s="0" t="n">
        <v>79800</v>
      </c>
      <c r="D452" s="0" t="n">
        <v>339</v>
      </c>
      <c r="E452" s="0" t="str">
        <f aca="false">IFERROR(IF(OR(HLOOKUP($A452,#REF!,3,FALSE())&gt;2,HLOOKUP(A452,#REF!,3,FALSE())&lt;-2),"",#REF!),"")</f>
        <v/>
      </c>
      <c r="F452" s="0" t="str">
        <f aca="false">IFERROR(IF(OR(HLOOKUP($A452,#REF!,4,FALSE())&gt;2,HLOOKUP($A452,#REF!,4,FALSE())&lt;-2),"",#REF!),"")</f>
        <v/>
      </c>
      <c r="G452" s="0" t="str">
        <f aca="false">IFERROR(IF(OR(HLOOKUP($A452,#REF!,5,FALSE())&gt;2,HLOOKUP($A452,#REF!,5,FALSE())&lt;-2),"",#REF!),"")</f>
        <v/>
      </c>
      <c r="H452" s="0" t="str">
        <f aca="false">IFERROR(IF(OR(HLOOKUP($A452,#REF!,6,FALSE())&gt;2,HLOOKUP($A452,#REF!,6,FALSE())&lt;-2),"",#REF!),"")</f>
        <v/>
      </c>
      <c r="I452" s="0" t="str">
        <f aca="false">IFERROR(IF(OR(HLOOKUP($A452,#REF!,7,FALSE())&gt;2,HLOOKUP($A452,#REF!,7,FALSE())&lt;-2),"",#REF!),"")</f>
        <v/>
      </c>
      <c r="J452" s="0" t="str">
        <f aca="false">IFERROR(IF(OR(HLOOKUP($A452,#REF!,8,FALSE())&gt;2,HLOOKUP($A452,#REF!,8,FALSE())&lt;-2),"",#REF!),"")</f>
        <v/>
      </c>
      <c r="K452" s="0" t="str">
        <f aca="false">IFERROR(IF(OR(HLOOKUP($A452,#REF!,9,FALSE())&gt;2,HLOOKUP($A452,#REF!,9,FALSE())&lt;-2),"",#REF!),"")</f>
        <v/>
      </c>
      <c r="L452" s="0" t="str">
        <f aca="false">IFERROR(IF(OR(HLOOKUP($A452,#REF!,10,FALSE())&gt;2,HLOOKUP($A452,#REF!,10,FALSE())&lt;-2),"",#REF!),"")</f>
        <v/>
      </c>
      <c r="M452" s="0" t="str">
        <f aca="false">IFERROR(IF(OR(HLOOKUP($A452,#REF!,11,FALSE())&gt;2,HLOOKUP($A452,#REF!,11,FALSE())&lt;-2),"",#REF!),"")</f>
        <v/>
      </c>
      <c r="N452" s="0" t="str">
        <f aca="false">IFERROR(IF(OR(HLOOKUP($A452,#REF!,12,FALSE())&gt;2,HLOOKUP($A452,#REF!,12,FALSE())&lt;-2),"",#REF!),"")</f>
        <v/>
      </c>
      <c r="O452" s="0" t="str">
        <f aca="false">IFERROR(IF(OR(HLOOKUP($A452,#REF!,13,FALSE())&gt;2,HLOOKUP($A452,#REF!,13,FALSE())&lt;-2),"",#REF!),"")</f>
        <v/>
      </c>
      <c r="P452" s="0" t="str">
        <f aca="false">IFERROR(IF(OR(HLOOKUP($A452,#REF!,14,FALSE())&gt;2,HLOOKUP($A452,#REF!,14,FALSE())&lt;-2),"",#REF!),"")</f>
        <v/>
      </c>
      <c r="Q452" s="0" t="str">
        <f aca="false">IFERROR(IF(OR(HLOOKUP($A452,#REF!,15,FALSE())&gt;2,HLOOKUP($A452,#REF!,15,FALSE())&lt;-2),"",#REF!),"")</f>
        <v/>
      </c>
      <c r="R452" s="0" t="str">
        <f aca="false">IFERROR(IF(OR(HLOOKUP($A452,#REF!,16,FALSE())&gt;2,HLOOKUP($A452,#REF!,16,FALSE())&lt;-2),"",#REF!),"")</f>
        <v/>
      </c>
      <c r="S452" s="0" t="str">
        <f aca="false">IFERROR(IF(OR(HLOOKUP($A452,#REF!,17,FALSE())&gt;2,HLOOKUP($A452,#REF!,17,FALSE())&lt;-2),"",#REF!),"")</f>
        <v/>
      </c>
      <c r="T452" s="0" t="str">
        <f aca="false">IFERROR(IF(OR(HLOOKUP($A452,#REF!,18,FALSE())&gt;2,HLOOKUP($A452,#REF!,18,FALSE())&lt;-2),"",#REF!),"")</f>
        <v/>
      </c>
      <c r="U452" s="0" t="str">
        <f aca="false">IFERROR(IF(OR(HLOOKUP($A452,#REF!,19,FALSE())&gt;2,HLOOKUP($A452,#REF!,19,FALSE())&lt;-2),"",#REF!),"")</f>
        <v/>
      </c>
      <c r="V452" s="0" t="n">
        <f aca="false">IFERROR(IF(AND(X452=0,Y452=0),0,1),0)</f>
        <v>1</v>
      </c>
      <c r="W452" s="3" t="str">
        <f aca="false">IFERROR(_xlfn.T.TEST(E452:M452,N452:U452,2,2),"")</f>
        <v/>
      </c>
      <c r="X452" s="0" t="str">
        <f aca="false">IFERROR(AVERAGE(E452:M452),"")</f>
        <v/>
      </c>
      <c r="Y452" s="0" t="str">
        <f aca="false">IFERROR(AVERAGE(N452:U452),"")</f>
        <v/>
      </c>
    </row>
    <row r="453" customFormat="false" ht="14.5" hidden="false" customHeight="false" outlineLevel="0" collapsed="false">
      <c r="A453" s="0" t="n">
        <v>461</v>
      </c>
      <c r="B453" s="0" t="s">
        <v>525</v>
      </c>
      <c r="C453" s="0" t="n">
        <v>7600</v>
      </c>
      <c r="D453" s="0" t="n">
        <v>361</v>
      </c>
      <c r="E453" s="0" t="str">
        <f aca="false">IFERROR(IF(OR(HLOOKUP($A453,#REF!,3,FALSE())&gt;2,HLOOKUP(A453,#REF!,3,FALSE())&lt;-2),"",#REF!),"")</f>
        <v/>
      </c>
      <c r="F453" s="0" t="str">
        <f aca="false">IFERROR(IF(OR(HLOOKUP($A453,#REF!,4,FALSE())&gt;2,HLOOKUP($A453,#REF!,4,FALSE())&lt;-2),"",#REF!),"")</f>
        <v/>
      </c>
      <c r="G453" s="0" t="str">
        <f aca="false">IFERROR(IF(OR(HLOOKUP($A453,#REF!,5,FALSE())&gt;2,HLOOKUP($A453,#REF!,5,FALSE())&lt;-2),"",#REF!),"")</f>
        <v/>
      </c>
      <c r="H453" s="0" t="str">
        <f aca="false">IFERROR(IF(OR(HLOOKUP($A453,#REF!,6,FALSE())&gt;2,HLOOKUP($A453,#REF!,6,FALSE())&lt;-2),"",#REF!),"")</f>
        <v/>
      </c>
      <c r="I453" s="0" t="str">
        <f aca="false">IFERROR(IF(OR(HLOOKUP($A453,#REF!,7,FALSE())&gt;2,HLOOKUP($A453,#REF!,7,FALSE())&lt;-2),"",#REF!),"")</f>
        <v/>
      </c>
      <c r="J453" s="0" t="str">
        <f aca="false">IFERROR(IF(OR(HLOOKUP($A453,#REF!,8,FALSE())&gt;2,HLOOKUP($A453,#REF!,8,FALSE())&lt;-2),"",#REF!),"")</f>
        <v/>
      </c>
      <c r="K453" s="0" t="str">
        <f aca="false">IFERROR(IF(OR(HLOOKUP($A453,#REF!,9,FALSE())&gt;2,HLOOKUP($A453,#REF!,9,FALSE())&lt;-2),"",#REF!),"")</f>
        <v/>
      </c>
      <c r="L453" s="0" t="str">
        <f aca="false">IFERROR(IF(OR(HLOOKUP($A453,#REF!,10,FALSE())&gt;2,HLOOKUP($A453,#REF!,10,FALSE())&lt;-2),"",#REF!),"")</f>
        <v/>
      </c>
      <c r="M453" s="0" t="str">
        <f aca="false">IFERROR(IF(OR(HLOOKUP($A453,#REF!,11,FALSE())&gt;2,HLOOKUP($A453,#REF!,11,FALSE())&lt;-2),"",#REF!),"")</f>
        <v/>
      </c>
      <c r="N453" s="0" t="str">
        <f aca="false">IFERROR(IF(OR(HLOOKUP($A453,#REF!,12,FALSE())&gt;2,HLOOKUP($A453,#REF!,12,FALSE())&lt;-2),"",#REF!),"")</f>
        <v/>
      </c>
      <c r="O453" s="0" t="str">
        <f aca="false">IFERROR(IF(OR(HLOOKUP($A453,#REF!,13,FALSE())&gt;2,HLOOKUP($A453,#REF!,13,FALSE())&lt;-2),"",#REF!),"")</f>
        <v/>
      </c>
      <c r="P453" s="0" t="str">
        <f aca="false">IFERROR(IF(OR(HLOOKUP($A453,#REF!,14,FALSE())&gt;2,HLOOKUP($A453,#REF!,14,FALSE())&lt;-2),"",#REF!),"")</f>
        <v/>
      </c>
      <c r="Q453" s="0" t="str">
        <f aca="false">IFERROR(IF(OR(HLOOKUP($A453,#REF!,15,FALSE())&gt;2,HLOOKUP($A453,#REF!,15,FALSE())&lt;-2),"",#REF!),"")</f>
        <v/>
      </c>
      <c r="R453" s="0" t="str">
        <f aca="false">IFERROR(IF(OR(HLOOKUP($A453,#REF!,16,FALSE())&gt;2,HLOOKUP($A453,#REF!,16,FALSE())&lt;-2),"",#REF!),"")</f>
        <v/>
      </c>
      <c r="S453" s="0" t="str">
        <f aca="false">IFERROR(IF(OR(HLOOKUP($A453,#REF!,17,FALSE())&gt;2,HLOOKUP($A453,#REF!,17,FALSE())&lt;-2),"",#REF!),"")</f>
        <v/>
      </c>
      <c r="T453" s="0" t="str">
        <f aca="false">IFERROR(IF(OR(HLOOKUP($A453,#REF!,18,FALSE())&gt;2,HLOOKUP($A453,#REF!,18,FALSE())&lt;-2),"",#REF!),"")</f>
        <v/>
      </c>
      <c r="U453" s="0" t="str">
        <f aca="false">IFERROR(IF(OR(HLOOKUP($A453,#REF!,19,FALSE())&gt;2,HLOOKUP($A453,#REF!,19,FALSE())&lt;-2),"",#REF!),"")</f>
        <v/>
      </c>
      <c r="V453" s="0" t="n">
        <f aca="false">IFERROR(IF(AND(X453=0,Y453=0),0,1),0)</f>
        <v>1</v>
      </c>
      <c r="W453" s="3" t="str">
        <f aca="false">IFERROR(_xlfn.T.TEST(E453:M453,N453:U453,2,2),"")</f>
        <v/>
      </c>
      <c r="X453" s="0" t="str">
        <f aca="false">IFERROR(AVERAGE(E453:M453),"")</f>
        <v/>
      </c>
      <c r="Y453" s="0" t="str">
        <f aca="false">IFERROR(AVERAGE(N453:U453),"")</f>
        <v/>
      </c>
    </row>
    <row r="454" customFormat="false" ht="14.5" hidden="false" customHeight="false" outlineLevel="0" collapsed="false">
      <c r="A454" s="0" t="n">
        <v>462</v>
      </c>
      <c r="B454" s="0" t="s">
        <v>526</v>
      </c>
      <c r="C454" s="0" t="n">
        <v>87900</v>
      </c>
      <c r="D454" s="0" t="n">
        <v>987</v>
      </c>
      <c r="E454" s="0" t="str">
        <f aca="false">IFERROR(IF(OR(HLOOKUP($A454,#REF!,3,FALSE())&gt;2,HLOOKUP(A454,#REF!,3,FALSE())&lt;-2),"",#REF!),"")</f>
        <v/>
      </c>
      <c r="F454" s="0" t="str">
        <f aca="false">IFERROR(IF(OR(HLOOKUP($A454,#REF!,4,FALSE())&gt;2,HLOOKUP($A454,#REF!,4,FALSE())&lt;-2),"",#REF!),"")</f>
        <v/>
      </c>
      <c r="G454" s="0" t="str">
        <f aca="false">IFERROR(IF(OR(HLOOKUP($A454,#REF!,5,FALSE())&gt;2,HLOOKUP($A454,#REF!,5,FALSE())&lt;-2),"",#REF!),"")</f>
        <v/>
      </c>
      <c r="H454" s="0" t="str">
        <f aca="false">IFERROR(IF(OR(HLOOKUP($A454,#REF!,6,FALSE())&gt;2,HLOOKUP($A454,#REF!,6,FALSE())&lt;-2),"",#REF!),"")</f>
        <v/>
      </c>
      <c r="I454" s="0" t="str">
        <f aca="false">IFERROR(IF(OR(HLOOKUP($A454,#REF!,7,FALSE())&gt;2,HLOOKUP($A454,#REF!,7,FALSE())&lt;-2),"",#REF!),"")</f>
        <v/>
      </c>
      <c r="J454" s="0" t="str">
        <f aca="false">IFERROR(IF(OR(HLOOKUP($A454,#REF!,8,FALSE())&gt;2,HLOOKUP($A454,#REF!,8,FALSE())&lt;-2),"",#REF!),"")</f>
        <v/>
      </c>
      <c r="K454" s="0" t="str">
        <f aca="false">IFERROR(IF(OR(HLOOKUP($A454,#REF!,9,FALSE())&gt;2,HLOOKUP($A454,#REF!,9,FALSE())&lt;-2),"",#REF!),"")</f>
        <v/>
      </c>
      <c r="L454" s="0" t="str">
        <f aca="false">IFERROR(IF(OR(HLOOKUP($A454,#REF!,10,FALSE())&gt;2,HLOOKUP($A454,#REF!,10,FALSE())&lt;-2),"",#REF!),"")</f>
        <v/>
      </c>
      <c r="M454" s="0" t="str">
        <f aca="false">IFERROR(IF(OR(HLOOKUP($A454,#REF!,11,FALSE())&gt;2,HLOOKUP($A454,#REF!,11,FALSE())&lt;-2),"",#REF!),"")</f>
        <v/>
      </c>
      <c r="N454" s="0" t="str">
        <f aca="false">IFERROR(IF(OR(HLOOKUP($A454,#REF!,12,FALSE())&gt;2,HLOOKUP($A454,#REF!,12,FALSE())&lt;-2),"",#REF!),"")</f>
        <v/>
      </c>
      <c r="O454" s="0" t="str">
        <f aca="false">IFERROR(IF(OR(HLOOKUP($A454,#REF!,13,FALSE())&gt;2,HLOOKUP($A454,#REF!,13,FALSE())&lt;-2),"",#REF!),"")</f>
        <v/>
      </c>
      <c r="P454" s="0" t="str">
        <f aca="false">IFERROR(IF(OR(HLOOKUP($A454,#REF!,14,FALSE())&gt;2,HLOOKUP($A454,#REF!,14,FALSE())&lt;-2),"",#REF!),"")</f>
        <v/>
      </c>
      <c r="Q454" s="0" t="str">
        <f aca="false">IFERROR(IF(OR(HLOOKUP($A454,#REF!,15,FALSE())&gt;2,HLOOKUP($A454,#REF!,15,FALSE())&lt;-2),"",#REF!),"")</f>
        <v/>
      </c>
      <c r="R454" s="0" t="str">
        <f aca="false">IFERROR(IF(OR(HLOOKUP($A454,#REF!,16,FALSE())&gt;2,HLOOKUP($A454,#REF!,16,FALSE())&lt;-2),"",#REF!),"")</f>
        <v/>
      </c>
      <c r="S454" s="0" t="str">
        <f aca="false">IFERROR(IF(OR(HLOOKUP($A454,#REF!,17,FALSE())&gt;2,HLOOKUP($A454,#REF!,17,FALSE())&lt;-2),"",#REF!),"")</f>
        <v/>
      </c>
      <c r="T454" s="0" t="str">
        <f aca="false">IFERROR(IF(OR(HLOOKUP($A454,#REF!,18,FALSE())&gt;2,HLOOKUP($A454,#REF!,18,FALSE())&lt;-2),"",#REF!),"")</f>
        <v/>
      </c>
      <c r="U454" s="0" t="str">
        <f aca="false">IFERROR(IF(OR(HLOOKUP($A454,#REF!,19,FALSE())&gt;2,HLOOKUP($A454,#REF!,19,FALSE())&lt;-2),"",#REF!),"")</f>
        <v/>
      </c>
      <c r="V454" s="0" t="n">
        <f aca="false">IFERROR(IF(AND(X454=0,Y454=0),0,1),0)</f>
        <v>1</v>
      </c>
      <c r="W454" s="3" t="str">
        <f aca="false">IFERROR(_xlfn.T.TEST(E454:M454,N454:U454,2,2),"")</f>
        <v/>
      </c>
      <c r="X454" s="0" t="str">
        <f aca="false">IFERROR(AVERAGE(E454:M454),"")</f>
        <v/>
      </c>
      <c r="Y454" s="0" t="str">
        <f aca="false">IFERROR(AVERAGE(N454:U454),"")</f>
        <v/>
      </c>
    </row>
    <row r="455" customFormat="false" ht="14.5" hidden="false" customHeight="false" outlineLevel="0" collapsed="false">
      <c r="A455" s="0" t="n">
        <v>463</v>
      </c>
      <c r="B455" s="0" t="s">
        <v>29</v>
      </c>
      <c r="C455" s="0" t="n">
        <v>38700</v>
      </c>
      <c r="D455" s="0" t="n">
        <v>375</v>
      </c>
      <c r="E455" s="0" t="str">
        <f aca="false">IFERROR(IF(OR(HLOOKUP($A455,#REF!,3,FALSE())&gt;2,HLOOKUP(A455,#REF!,3,FALSE())&lt;-2),"",#REF!),"")</f>
        <v/>
      </c>
      <c r="F455" s="0" t="str">
        <f aca="false">IFERROR(IF(OR(HLOOKUP($A455,#REF!,4,FALSE())&gt;2,HLOOKUP($A455,#REF!,4,FALSE())&lt;-2),"",#REF!),"")</f>
        <v/>
      </c>
      <c r="G455" s="0" t="str">
        <f aca="false">IFERROR(IF(OR(HLOOKUP($A455,#REF!,5,FALSE())&gt;2,HLOOKUP($A455,#REF!,5,FALSE())&lt;-2),"",#REF!),"")</f>
        <v/>
      </c>
      <c r="H455" s="0" t="str">
        <f aca="false">IFERROR(IF(OR(HLOOKUP($A455,#REF!,6,FALSE())&gt;2,HLOOKUP($A455,#REF!,6,FALSE())&lt;-2),"",#REF!),"")</f>
        <v/>
      </c>
      <c r="I455" s="0" t="str">
        <f aca="false">IFERROR(IF(OR(HLOOKUP($A455,#REF!,7,FALSE())&gt;2,HLOOKUP($A455,#REF!,7,FALSE())&lt;-2),"",#REF!),"")</f>
        <v/>
      </c>
      <c r="J455" s="0" t="str">
        <f aca="false">IFERROR(IF(OR(HLOOKUP($A455,#REF!,8,FALSE())&gt;2,HLOOKUP($A455,#REF!,8,FALSE())&lt;-2),"",#REF!),"")</f>
        <v/>
      </c>
      <c r="K455" s="0" t="str">
        <f aca="false">IFERROR(IF(OR(HLOOKUP($A455,#REF!,9,FALSE())&gt;2,HLOOKUP($A455,#REF!,9,FALSE())&lt;-2),"",#REF!),"")</f>
        <v/>
      </c>
      <c r="L455" s="0" t="str">
        <f aca="false">IFERROR(IF(OR(HLOOKUP($A455,#REF!,10,FALSE())&gt;2,HLOOKUP($A455,#REF!,10,FALSE())&lt;-2),"",#REF!),"")</f>
        <v/>
      </c>
      <c r="M455" s="0" t="str">
        <f aca="false">IFERROR(IF(OR(HLOOKUP($A455,#REF!,11,FALSE())&gt;2,HLOOKUP($A455,#REF!,11,FALSE())&lt;-2),"",#REF!),"")</f>
        <v/>
      </c>
      <c r="N455" s="0" t="str">
        <f aca="false">IFERROR(IF(OR(HLOOKUP($A455,#REF!,12,FALSE())&gt;2,HLOOKUP($A455,#REF!,12,FALSE())&lt;-2),"",#REF!),"")</f>
        <v/>
      </c>
      <c r="O455" s="0" t="str">
        <f aca="false">IFERROR(IF(OR(HLOOKUP($A455,#REF!,13,FALSE())&gt;2,HLOOKUP($A455,#REF!,13,FALSE())&lt;-2),"",#REF!),"")</f>
        <v/>
      </c>
      <c r="P455" s="0" t="str">
        <f aca="false">IFERROR(IF(OR(HLOOKUP($A455,#REF!,14,FALSE())&gt;2,HLOOKUP($A455,#REF!,14,FALSE())&lt;-2),"",#REF!),"")</f>
        <v/>
      </c>
      <c r="Q455" s="0" t="str">
        <f aca="false">IFERROR(IF(OR(HLOOKUP($A455,#REF!,15,FALSE())&gt;2,HLOOKUP($A455,#REF!,15,FALSE())&lt;-2),"",#REF!),"")</f>
        <v/>
      </c>
      <c r="R455" s="0" t="str">
        <f aca="false">IFERROR(IF(OR(HLOOKUP($A455,#REF!,16,FALSE())&gt;2,HLOOKUP($A455,#REF!,16,FALSE())&lt;-2),"",#REF!),"")</f>
        <v/>
      </c>
      <c r="S455" s="0" t="str">
        <f aca="false">IFERROR(IF(OR(HLOOKUP($A455,#REF!,17,FALSE())&gt;2,HLOOKUP($A455,#REF!,17,FALSE())&lt;-2),"",#REF!),"")</f>
        <v/>
      </c>
      <c r="T455" s="0" t="str">
        <f aca="false">IFERROR(IF(OR(HLOOKUP($A455,#REF!,18,FALSE())&gt;2,HLOOKUP($A455,#REF!,18,FALSE())&lt;-2),"",#REF!),"")</f>
        <v/>
      </c>
      <c r="U455" s="0" t="str">
        <f aca="false">IFERROR(IF(OR(HLOOKUP($A455,#REF!,19,FALSE())&gt;2,HLOOKUP($A455,#REF!,19,FALSE())&lt;-2),"",#REF!),"")</f>
        <v/>
      </c>
      <c r="V455" s="0" t="n">
        <f aca="false">IFERROR(IF(AND(X455=0,Y455=0),0,1),0)</f>
        <v>1</v>
      </c>
      <c r="W455" s="3" t="str">
        <f aca="false">IFERROR(_xlfn.T.TEST(E455:M455,N455:U455,2,2),"")</f>
        <v/>
      </c>
      <c r="X455" s="0" t="str">
        <f aca="false">IFERROR(AVERAGE(E455:M455),"")</f>
        <v/>
      </c>
      <c r="Y455" s="0" t="str">
        <f aca="false">IFERROR(AVERAGE(N455:U455),"")</f>
        <v/>
      </c>
    </row>
    <row r="456" customFormat="false" ht="14.5" hidden="false" customHeight="false" outlineLevel="0" collapsed="false">
      <c r="A456" s="0" t="n">
        <v>464</v>
      </c>
      <c r="B456" s="0" t="s">
        <v>527</v>
      </c>
      <c r="C456" s="0" t="n">
        <v>76600</v>
      </c>
      <c r="D456" s="0" t="n">
        <v>63</v>
      </c>
      <c r="E456" s="0" t="str">
        <f aca="false">IFERROR(IF(OR(HLOOKUP($A456,#REF!,3,FALSE())&gt;2,HLOOKUP(A456,#REF!,3,FALSE())&lt;-2),"",#REF!),"")</f>
        <v/>
      </c>
      <c r="F456" s="0" t="str">
        <f aca="false">IFERROR(IF(OR(HLOOKUP($A456,#REF!,4,FALSE())&gt;2,HLOOKUP($A456,#REF!,4,FALSE())&lt;-2),"",#REF!),"")</f>
        <v/>
      </c>
      <c r="G456" s="0" t="str">
        <f aca="false">IFERROR(IF(OR(HLOOKUP($A456,#REF!,5,FALSE())&gt;2,HLOOKUP($A456,#REF!,5,FALSE())&lt;-2),"",#REF!),"")</f>
        <v/>
      </c>
      <c r="H456" s="0" t="str">
        <f aca="false">IFERROR(IF(OR(HLOOKUP($A456,#REF!,6,FALSE())&gt;2,HLOOKUP($A456,#REF!,6,FALSE())&lt;-2),"",#REF!),"")</f>
        <v/>
      </c>
      <c r="I456" s="0" t="str">
        <f aca="false">IFERROR(IF(OR(HLOOKUP($A456,#REF!,7,FALSE())&gt;2,HLOOKUP($A456,#REF!,7,FALSE())&lt;-2),"",#REF!),"")</f>
        <v/>
      </c>
      <c r="J456" s="0" t="str">
        <f aca="false">IFERROR(IF(OR(HLOOKUP($A456,#REF!,8,FALSE())&gt;2,HLOOKUP($A456,#REF!,8,FALSE())&lt;-2),"",#REF!),"")</f>
        <v/>
      </c>
      <c r="K456" s="0" t="str">
        <f aca="false">IFERROR(IF(OR(HLOOKUP($A456,#REF!,9,FALSE())&gt;2,HLOOKUP($A456,#REF!,9,FALSE())&lt;-2),"",#REF!),"")</f>
        <v/>
      </c>
      <c r="L456" s="0" t="str">
        <f aca="false">IFERROR(IF(OR(HLOOKUP($A456,#REF!,10,FALSE())&gt;2,HLOOKUP($A456,#REF!,10,FALSE())&lt;-2),"",#REF!),"")</f>
        <v/>
      </c>
      <c r="M456" s="0" t="str">
        <f aca="false">IFERROR(IF(OR(HLOOKUP($A456,#REF!,11,FALSE())&gt;2,HLOOKUP($A456,#REF!,11,FALSE())&lt;-2),"",#REF!),"")</f>
        <v/>
      </c>
      <c r="N456" s="0" t="str">
        <f aca="false">IFERROR(IF(OR(HLOOKUP($A456,#REF!,12,FALSE())&gt;2,HLOOKUP($A456,#REF!,12,FALSE())&lt;-2),"",#REF!),"")</f>
        <v/>
      </c>
      <c r="O456" s="0" t="str">
        <f aca="false">IFERROR(IF(OR(HLOOKUP($A456,#REF!,13,FALSE())&gt;2,HLOOKUP($A456,#REF!,13,FALSE())&lt;-2),"",#REF!),"")</f>
        <v/>
      </c>
      <c r="P456" s="0" t="str">
        <f aca="false">IFERROR(IF(OR(HLOOKUP($A456,#REF!,14,FALSE())&gt;2,HLOOKUP($A456,#REF!,14,FALSE())&lt;-2),"",#REF!),"")</f>
        <v/>
      </c>
      <c r="Q456" s="0" t="str">
        <f aca="false">IFERROR(IF(OR(HLOOKUP($A456,#REF!,15,FALSE())&gt;2,HLOOKUP($A456,#REF!,15,FALSE())&lt;-2),"",#REF!),"")</f>
        <v/>
      </c>
      <c r="R456" s="0" t="str">
        <f aca="false">IFERROR(IF(OR(HLOOKUP($A456,#REF!,16,FALSE())&gt;2,HLOOKUP($A456,#REF!,16,FALSE())&lt;-2),"",#REF!),"")</f>
        <v/>
      </c>
      <c r="S456" s="0" t="str">
        <f aca="false">IFERROR(IF(OR(HLOOKUP($A456,#REF!,17,FALSE())&gt;2,HLOOKUP($A456,#REF!,17,FALSE())&lt;-2),"",#REF!),"")</f>
        <v/>
      </c>
      <c r="T456" s="0" t="str">
        <f aca="false">IFERROR(IF(OR(HLOOKUP($A456,#REF!,18,FALSE())&gt;2,HLOOKUP($A456,#REF!,18,FALSE())&lt;-2),"",#REF!),"")</f>
        <v/>
      </c>
      <c r="U456" s="0" t="str">
        <f aca="false">IFERROR(IF(OR(HLOOKUP($A456,#REF!,19,FALSE())&gt;2,HLOOKUP($A456,#REF!,19,FALSE())&lt;-2),"",#REF!),"")</f>
        <v/>
      </c>
      <c r="V456" s="0" t="n">
        <f aca="false">IFERROR(IF(AND(X456=0,Y456=0),0,1),0)</f>
        <v>1</v>
      </c>
      <c r="W456" s="3" t="str">
        <f aca="false">IFERROR(_xlfn.T.TEST(E456:M456,N456:U456,2,2),"")</f>
        <v/>
      </c>
      <c r="X456" s="0" t="str">
        <f aca="false">IFERROR(AVERAGE(E456:M456),"")</f>
        <v/>
      </c>
      <c r="Y456" s="0" t="str">
        <f aca="false">IFERROR(AVERAGE(N456:U456),"")</f>
        <v/>
      </c>
    </row>
    <row r="457" customFormat="false" ht="14.5" hidden="false" customHeight="false" outlineLevel="0" collapsed="false">
      <c r="A457" s="0" t="n">
        <v>465</v>
      </c>
      <c r="B457" s="0" t="s">
        <v>528</v>
      </c>
      <c r="C457" s="0" t="n">
        <v>49100</v>
      </c>
      <c r="D457" s="0" t="n">
        <v>754</v>
      </c>
      <c r="E457" s="0" t="str">
        <f aca="false">IFERROR(IF(OR(HLOOKUP($A457,#REF!,3,FALSE())&gt;2,HLOOKUP(A457,#REF!,3,FALSE())&lt;-2),"",#REF!),"")</f>
        <v/>
      </c>
      <c r="F457" s="0" t="str">
        <f aca="false">IFERROR(IF(OR(HLOOKUP($A457,#REF!,4,FALSE())&gt;2,HLOOKUP($A457,#REF!,4,FALSE())&lt;-2),"",#REF!),"")</f>
        <v/>
      </c>
      <c r="G457" s="0" t="str">
        <f aca="false">IFERROR(IF(OR(HLOOKUP($A457,#REF!,5,FALSE())&gt;2,HLOOKUP($A457,#REF!,5,FALSE())&lt;-2),"",#REF!),"")</f>
        <v/>
      </c>
      <c r="H457" s="0" t="str">
        <f aca="false">IFERROR(IF(OR(HLOOKUP($A457,#REF!,6,FALSE())&gt;2,HLOOKUP($A457,#REF!,6,FALSE())&lt;-2),"",#REF!),"")</f>
        <v/>
      </c>
      <c r="I457" s="0" t="str">
        <f aca="false">IFERROR(IF(OR(HLOOKUP($A457,#REF!,7,FALSE())&gt;2,HLOOKUP($A457,#REF!,7,FALSE())&lt;-2),"",#REF!),"")</f>
        <v/>
      </c>
      <c r="J457" s="0" t="str">
        <f aca="false">IFERROR(IF(OR(HLOOKUP($A457,#REF!,8,FALSE())&gt;2,HLOOKUP($A457,#REF!,8,FALSE())&lt;-2),"",#REF!),"")</f>
        <v/>
      </c>
      <c r="K457" s="0" t="str">
        <f aca="false">IFERROR(IF(OR(HLOOKUP($A457,#REF!,9,FALSE())&gt;2,HLOOKUP($A457,#REF!,9,FALSE())&lt;-2),"",#REF!),"")</f>
        <v/>
      </c>
      <c r="L457" s="0" t="str">
        <f aca="false">IFERROR(IF(OR(HLOOKUP($A457,#REF!,10,FALSE())&gt;2,HLOOKUP($A457,#REF!,10,FALSE())&lt;-2),"",#REF!),"")</f>
        <v/>
      </c>
      <c r="M457" s="0" t="str">
        <f aca="false">IFERROR(IF(OR(HLOOKUP($A457,#REF!,11,FALSE())&gt;2,HLOOKUP($A457,#REF!,11,FALSE())&lt;-2),"",#REF!),"")</f>
        <v/>
      </c>
      <c r="N457" s="0" t="str">
        <f aca="false">IFERROR(IF(OR(HLOOKUP($A457,#REF!,12,FALSE())&gt;2,HLOOKUP($A457,#REF!,12,FALSE())&lt;-2),"",#REF!),"")</f>
        <v/>
      </c>
      <c r="O457" s="0" t="str">
        <f aca="false">IFERROR(IF(OR(HLOOKUP($A457,#REF!,13,FALSE())&gt;2,HLOOKUP($A457,#REF!,13,FALSE())&lt;-2),"",#REF!),"")</f>
        <v/>
      </c>
      <c r="P457" s="0" t="str">
        <f aca="false">IFERROR(IF(OR(HLOOKUP($A457,#REF!,14,FALSE())&gt;2,HLOOKUP($A457,#REF!,14,FALSE())&lt;-2),"",#REF!),"")</f>
        <v/>
      </c>
      <c r="Q457" s="0" t="str">
        <f aca="false">IFERROR(IF(OR(HLOOKUP($A457,#REF!,15,FALSE())&gt;2,HLOOKUP($A457,#REF!,15,FALSE())&lt;-2),"",#REF!),"")</f>
        <v/>
      </c>
      <c r="R457" s="0" t="str">
        <f aca="false">IFERROR(IF(OR(HLOOKUP($A457,#REF!,16,FALSE())&gt;2,HLOOKUP($A457,#REF!,16,FALSE())&lt;-2),"",#REF!),"")</f>
        <v/>
      </c>
      <c r="S457" s="0" t="str">
        <f aca="false">IFERROR(IF(OR(HLOOKUP($A457,#REF!,17,FALSE())&gt;2,HLOOKUP($A457,#REF!,17,FALSE())&lt;-2),"",#REF!),"")</f>
        <v/>
      </c>
      <c r="T457" s="0" t="str">
        <f aca="false">IFERROR(IF(OR(HLOOKUP($A457,#REF!,18,FALSE())&gt;2,HLOOKUP($A457,#REF!,18,FALSE())&lt;-2),"",#REF!),"")</f>
        <v/>
      </c>
      <c r="U457" s="0" t="str">
        <f aca="false">IFERROR(IF(OR(HLOOKUP($A457,#REF!,19,FALSE())&gt;2,HLOOKUP($A457,#REF!,19,FALSE())&lt;-2),"",#REF!),"")</f>
        <v/>
      </c>
      <c r="V457" s="0" t="n">
        <f aca="false">IFERROR(IF(AND(X457=0,Y457=0),0,1),0)</f>
        <v>1</v>
      </c>
      <c r="W457" s="3" t="str">
        <f aca="false">IFERROR(_xlfn.T.TEST(E457:M457,N457:U457,2,2),"")</f>
        <v/>
      </c>
      <c r="X457" s="0" t="str">
        <f aca="false">IFERROR(AVERAGE(E457:M457),"")</f>
        <v/>
      </c>
      <c r="Y457" s="0" t="str">
        <f aca="false">IFERROR(AVERAGE(N457:U457),"")</f>
        <v/>
      </c>
    </row>
    <row r="458" customFormat="false" ht="14.5" hidden="false" customHeight="false" outlineLevel="0" collapsed="false">
      <c r="A458" s="0" t="n">
        <v>466</v>
      </c>
      <c r="B458" s="0" t="s">
        <v>529</v>
      </c>
      <c r="C458" s="0" t="n">
        <v>111200</v>
      </c>
      <c r="D458" s="0" t="n">
        <v>1099</v>
      </c>
      <c r="E458" s="0" t="str">
        <f aca="false">IFERROR(IF(OR(HLOOKUP($A458,#REF!,3,FALSE())&gt;2,HLOOKUP(A458,#REF!,3,FALSE())&lt;-2),"",#REF!),"")</f>
        <v/>
      </c>
      <c r="F458" s="0" t="str">
        <f aca="false">IFERROR(IF(OR(HLOOKUP($A458,#REF!,4,FALSE())&gt;2,HLOOKUP($A458,#REF!,4,FALSE())&lt;-2),"",#REF!),"")</f>
        <v/>
      </c>
      <c r="G458" s="0" t="str">
        <f aca="false">IFERROR(IF(OR(HLOOKUP($A458,#REF!,5,FALSE())&gt;2,HLOOKUP($A458,#REF!,5,FALSE())&lt;-2),"",#REF!),"")</f>
        <v/>
      </c>
      <c r="H458" s="0" t="str">
        <f aca="false">IFERROR(IF(OR(HLOOKUP($A458,#REF!,6,FALSE())&gt;2,HLOOKUP($A458,#REF!,6,FALSE())&lt;-2),"",#REF!),"")</f>
        <v/>
      </c>
      <c r="I458" s="0" t="str">
        <f aca="false">IFERROR(IF(OR(HLOOKUP($A458,#REF!,7,FALSE())&gt;2,HLOOKUP($A458,#REF!,7,FALSE())&lt;-2),"",#REF!),"")</f>
        <v/>
      </c>
      <c r="J458" s="0" t="str">
        <f aca="false">IFERROR(IF(OR(HLOOKUP($A458,#REF!,8,FALSE())&gt;2,HLOOKUP($A458,#REF!,8,FALSE())&lt;-2),"",#REF!),"")</f>
        <v/>
      </c>
      <c r="K458" s="0" t="str">
        <f aca="false">IFERROR(IF(OR(HLOOKUP($A458,#REF!,9,FALSE())&gt;2,HLOOKUP($A458,#REF!,9,FALSE())&lt;-2),"",#REF!),"")</f>
        <v/>
      </c>
      <c r="L458" s="0" t="str">
        <f aca="false">IFERROR(IF(OR(HLOOKUP($A458,#REF!,10,FALSE())&gt;2,HLOOKUP($A458,#REF!,10,FALSE())&lt;-2),"",#REF!),"")</f>
        <v/>
      </c>
      <c r="M458" s="0" t="str">
        <f aca="false">IFERROR(IF(OR(HLOOKUP($A458,#REF!,11,FALSE())&gt;2,HLOOKUP($A458,#REF!,11,FALSE())&lt;-2),"",#REF!),"")</f>
        <v/>
      </c>
      <c r="N458" s="0" t="str">
        <f aca="false">IFERROR(IF(OR(HLOOKUP($A458,#REF!,12,FALSE())&gt;2,HLOOKUP($A458,#REF!,12,FALSE())&lt;-2),"",#REF!),"")</f>
        <v/>
      </c>
      <c r="O458" s="0" t="str">
        <f aca="false">IFERROR(IF(OR(HLOOKUP($A458,#REF!,13,FALSE())&gt;2,HLOOKUP($A458,#REF!,13,FALSE())&lt;-2),"",#REF!),"")</f>
        <v/>
      </c>
      <c r="P458" s="0" t="str">
        <f aca="false">IFERROR(IF(OR(HLOOKUP($A458,#REF!,14,FALSE())&gt;2,HLOOKUP($A458,#REF!,14,FALSE())&lt;-2),"",#REF!),"")</f>
        <v/>
      </c>
      <c r="Q458" s="0" t="str">
        <f aca="false">IFERROR(IF(OR(HLOOKUP($A458,#REF!,15,FALSE())&gt;2,HLOOKUP($A458,#REF!,15,FALSE())&lt;-2),"",#REF!),"")</f>
        <v/>
      </c>
      <c r="R458" s="0" t="str">
        <f aca="false">IFERROR(IF(OR(HLOOKUP($A458,#REF!,16,FALSE())&gt;2,HLOOKUP($A458,#REF!,16,FALSE())&lt;-2),"",#REF!),"")</f>
        <v/>
      </c>
      <c r="S458" s="0" t="str">
        <f aca="false">IFERROR(IF(OR(HLOOKUP($A458,#REF!,17,FALSE())&gt;2,HLOOKUP($A458,#REF!,17,FALSE())&lt;-2),"",#REF!),"")</f>
        <v/>
      </c>
      <c r="T458" s="0" t="str">
        <f aca="false">IFERROR(IF(OR(HLOOKUP($A458,#REF!,18,FALSE())&gt;2,HLOOKUP($A458,#REF!,18,FALSE())&lt;-2),"",#REF!),"")</f>
        <v/>
      </c>
      <c r="U458" s="0" t="str">
        <f aca="false">IFERROR(IF(OR(HLOOKUP($A458,#REF!,19,FALSE())&gt;2,HLOOKUP($A458,#REF!,19,FALSE())&lt;-2),"",#REF!),"")</f>
        <v/>
      </c>
      <c r="V458" s="0" t="n">
        <f aca="false">IFERROR(IF(AND(X458=0,Y458=0),0,1),0)</f>
        <v>1</v>
      </c>
      <c r="W458" s="3" t="str">
        <f aca="false">IFERROR(_xlfn.T.TEST(E458:M458,N458:U458,2,2),"")</f>
        <v/>
      </c>
      <c r="X458" s="0" t="str">
        <f aca="false">IFERROR(AVERAGE(E458:M458),"")</f>
        <v/>
      </c>
      <c r="Y458" s="0" t="str">
        <f aca="false">IFERROR(AVERAGE(N458:U458),"")</f>
        <v/>
      </c>
    </row>
    <row r="459" customFormat="false" ht="14.5" hidden="false" customHeight="false" outlineLevel="0" collapsed="false">
      <c r="A459" s="0" t="n">
        <v>467</v>
      </c>
      <c r="B459" s="0" t="s">
        <v>530</v>
      </c>
      <c r="C459" s="0" t="n">
        <v>74000</v>
      </c>
      <c r="D459" s="0" t="n">
        <v>1097</v>
      </c>
      <c r="E459" s="0" t="str">
        <f aca="false">IFERROR(IF(OR(HLOOKUP($A459,#REF!,3,FALSE())&gt;2,HLOOKUP(A459,#REF!,3,FALSE())&lt;-2),"",#REF!),"")</f>
        <v/>
      </c>
      <c r="F459" s="0" t="str">
        <f aca="false">IFERROR(IF(OR(HLOOKUP($A459,#REF!,4,FALSE())&gt;2,HLOOKUP($A459,#REF!,4,FALSE())&lt;-2),"",#REF!),"")</f>
        <v/>
      </c>
      <c r="G459" s="0" t="str">
        <f aca="false">IFERROR(IF(OR(HLOOKUP($A459,#REF!,5,FALSE())&gt;2,HLOOKUP($A459,#REF!,5,FALSE())&lt;-2),"",#REF!),"")</f>
        <v/>
      </c>
      <c r="H459" s="0" t="str">
        <f aca="false">IFERROR(IF(OR(HLOOKUP($A459,#REF!,6,FALSE())&gt;2,HLOOKUP($A459,#REF!,6,FALSE())&lt;-2),"",#REF!),"")</f>
        <v/>
      </c>
      <c r="I459" s="0" t="str">
        <f aca="false">IFERROR(IF(OR(HLOOKUP($A459,#REF!,7,FALSE())&gt;2,HLOOKUP($A459,#REF!,7,FALSE())&lt;-2),"",#REF!),"")</f>
        <v/>
      </c>
      <c r="J459" s="0" t="str">
        <f aca="false">IFERROR(IF(OR(HLOOKUP($A459,#REF!,8,FALSE())&gt;2,HLOOKUP($A459,#REF!,8,FALSE())&lt;-2),"",#REF!),"")</f>
        <v/>
      </c>
      <c r="K459" s="0" t="str">
        <f aca="false">IFERROR(IF(OR(HLOOKUP($A459,#REF!,9,FALSE())&gt;2,HLOOKUP($A459,#REF!,9,FALSE())&lt;-2),"",#REF!),"")</f>
        <v/>
      </c>
      <c r="L459" s="0" t="str">
        <f aca="false">IFERROR(IF(OR(HLOOKUP($A459,#REF!,10,FALSE())&gt;2,HLOOKUP($A459,#REF!,10,FALSE())&lt;-2),"",#REF!),"")</f>
        <v/>
      </c>
      <c r="M459" s="0" t="str">
        <f aca="false">IFERROR(IF(OR(HLOOKUP($A459,#REF!,11,FALSE())&gt;2,HLOOKUP($A459,#REF!,11,FALSE())&lt;-2),"",#REF!),"")</f>
        <v/>
      </c>
      <c r="N459" s="0" t="str">
        <f aca="false">IFERROR(IF(OR(HLOOKUP($A459,#REF!,12,FALSE())&gt;2,HLOOKUP($A459,#REF!,12,FALSE())&lt;-2),"",#REF!),"")</f>
        <v/>
      </c>
      <c r="O459" s="0" t="str">
        <f aca="false">IFERROR(IF(OR(HLOOKUP($A459,#REF!,13,FALSE())&gt;2,HLOOKUP($A459,#REF!,13,FALSE())&lt;-2),"",#REF!),"")</f>
        <v/>
      </c>
      <c r="P459" s="0" t="str">
        <f aca="false">IFERROR(IF(OR(HLOOKUP($A459,#REF!,14,FALSE())&gt;2,HLOOKUP($A459,#REF!,14,FALSE())&lt;-2),"",#REF!),"")</f>
        <v/>
      </c>
      <c r="Q459" s="0" t="str">
        <f aca="false">IFERROR(IF(OR(HLOOKUP($A459,#REF!,15,FALSE())&gt;2,HLOOKUP($A459,#REF!,15,FALSE())&lt;-2),"",#REF!),"")</f>
        <v/>
      </c>
      <c r="R459" s="0" t="str">
        <f aca="false">IFERROR(IF(OR(HLOOKUP($A459,#REF!,16,FALSE())&gt;2,HLOOKUP($A459,#REF!,16,FALSE())&lt;-2),"",#REF!),"")</f>
        <v/>
      </c>
      <c r="S459" s="0" t="str">
        <f aca="false">IFERROR(IF(OR(HLOOKUP($A459,#REF!,17,FALSE())&gt;2,HLOOKUP($A459,#REF!,17,FALSE())&lt;-2),"",#REF!),"")</f>
        <v/>
      </c>
      <c r="T459" s="0" t="str">
        <f aca="false">IFERROR(IF(OR(HLOOKUP($A459,#REF!,18,FALSE())&gt;2,HLOOKUP($A459,#REF!,18,FALSE())&lt;-2),"",#REF!),"")</f>
        <v/>
      </c>
      <c r="U459" s="0" t="str">
        <f aca="false">IFERROR(IF(OR(HLOOKUP($A459,#REF!,19,FALSE())&gt;2,HLOOKUP($A459,#REF!,19,FALSE())&lt;-2),"",#REF!),"")</f>
        <v/>
      </c>
      <c r="V459" s="0" t="n">
        <f aca="false">IFERROR(IF(AND(X459=0,Y459=0),0,1),0)</f>
        <v>1</v>
      </c>
      <c r="W459" s="3" t="str">
        <f aca="false">IFERROR(_xlfn.T.TEST(E459:M459,N459:U459,2,2),"")</f>
        <v/>
      </c>
      <c r="X459" s="0" t="str">
        <f aca="false">IFERROR(AVERAGE(E459:M459),"")</f>
        <v/>
      </c>
      <c r="Y459" s="0" t="str">
        <f aca="false">IFERROR(AVERAGE(N459:U459),"")</f>
        <v/>
      </c>
    </row>
    <row r="460" customFormat="false" ht="14.5" hidden="false" customHeight="false" outlineLevel="0" collapsed="false">
      <c r="A460" s="0" t="n">
        <v>468</v>
      </c>
      <c r="B460" s="0" t="s">
        <v>531</v>
      </c>
      <c r="C460" s="0" t="n">
        <v>43000</v>
      </c>
      <c r="D460" s="0" t="n">
        <v>926</v>
      </c>
      <c r="E460" s="0" t="str">
        <f aca="false">IFERROR(IF(OR(HLOOKUP($A460,#REF!,3,FALSE())&gt;2,HLOOKUP(A460,#REF!,3,FALSE())&lt;-2),"",#REF!),"")</f>
        <v/>
      </c>
      <c r="F460" s="0" t="str">
        <f aca="false">IFERROR(IF(OR(HLOOKUP($A460,#REF!,4,FALSE())&gt;2,HLOOKUP($A460,#REF!,4,FALSE())&lt;-2),"",#REF!),"")</f>
        <v/>
      </c>
      <c r="G460" s="0" t="str">
        <f aca="false">IFERROR(IF(OR(HLOOKUP($A460,#REF!,5,FALSE())&gt;2,HLOOKUP($A460,#REF!,5,FALSE())&lt;-2),"",#REF!),"")</f>
        <v/>
      </c>
      <c r="H460" s="0" t="str">
        <f aca="false">IFERROR(IF(OR(HLOOKUP($A460,#REF!,6,FALSE())&gt;2,HLOOKUP($A460,#REF!,6,FALSE())&lt;-2),"",#REF!),"")</f>
        <v/>
      </c>
      <c r="I460" s="0" t="str">
        <f aca="false">IFERROR(IF(OR(HLOOKUP($A460,#REF!,7,FALSE())&gt;2,HLOOKUP($A460,#REF!,7,FALSE())&lt;-2),"",#REF!),"")</f>
        <v/>
      </c>
      <c r="J460" s="0" t="str">
        <f aca="false">IFERROR(IF(OR(HLOOKUP($A460,#REF!,8,FALSE())&gt;2,HLOOKUP($A460,#REF!,8,FALSE())&lt;-2),"",#REF!),"")</f>
        <v/>
      </c>
      <c r="K460" s="0" t="str">
        <f aca="false">IFERROR(IF(OR(HLOOKUP($A460,#REF!,9,FALSE())&gt;2,HLOOKUP($A460,#REF!,9,FALSE())&lt;-2),"",#REF!),"")</f>
        <v/>
      </c>
      <c r="L460" s="0" t="str">
        <f aca="false">IFERROR(IF(OR(HLOOKUP($A460,#REF!,10,FALSE())&gt;2,HLOOKUP($A460,#REF!,10,FALSE())&lt;-2),"",#REF!),"")</f>
        <v/>
      </c>
      <c r="M460" s="0" t="str">
        <f aca="false">IFERROR(IF(OR(HLOOKUP($A460,#REF!,11,FALSE())&gt;2,HLOOKUP($A460,#REF!,11,FALSE())&lt;-2),"",#REF!),"")</f>
        <v/>
      </c>
      <c r="N460" s="0" t="str">
        <f aca="false">IFERROR(IF(OR(HLOOKUP($A460,#REF!,12,FALSE())&gt;2,HLOOKUP($A460,#REF!,12,FALSE())&lt;-2),"",#REF!),"")</f>
        <v/>
      </c>
      <c r="O460" s="0" t="str">
        <f aca="false">IFERROR(IF(OR(HLOOKUP($A460,#REF!,13,FALSE())&gt;2,HLOOKUP($A460,#REF!,13,FALSE())&lt;-2),"",#REF!),"")</f>
        <v/>
      </c>
      <c r="P460" s="0" t="str">
        <f aca="false">IFERROR(IF(OR(HLOOKUP($A460,#REF!,14,FALSE())&gt;2,HLOOKUP($A460,#REF!,14,FALSE())&lt;-2),"",#REF!),"")</f>
        <v/>
      </c>
      <c r="Q460" s="0" t="str">
        <f aca="false">IFERROR(IF(OR(HLOOKUP($A460,#REF!,15,FALSE())&gt;2,HLOOKUP($A460,#REF!,15,FALSE())&lt;-2),"",#REF!),"")</f>
        <v/>
      </c>
      <c r="R460" s="0" t="str">
        <f aca="false">IFERROR(IF(OR(HLOOKUP($A460,#REF!,16,FALSE())&gt;2,HLOOKUP($A460,#REF!,16,FALSE())&lt;-2),"",#REF!),"")</f>
        <v/>
      </c>
      <c r="S460" s="0" t="str">
        <f aca="false">IFERROR(IF(OR(HLOOKUP($A460,#REF!,17,FALSE())&gt;2,HLOOKUP($A460,#REF!,17,FALSE())&lt;-2),"",#REF!),"")</f>
        <v/>
      </c>
      <c r="T460" s="0" t="str">
        <f aca="false">IFERROR(IF(OR(HLOOKUP($A460,#REF!,18,FALSE())&gt;2,HLOOKUP($A460,#REF!,18,FALSE())&lt;-2),"",#REF!),"")</f>
        <v/>
      </c>
      <c r="U460" s="0" t="str">
        <f aca="false">IFERROR(IF(OR(HLOOKUP($A460,#REF!,19,FALSE())&gt;2,HLOOKUP($A460,#REF!,19,FALSE())&lt;-2),"",#REF!),"")</f>
        <v/>
      </c>
      <c r="V460" s="0" t="n">
        <f aca="false">IFERROR(IF(AND(X460=0,Y460=0),0,1),0)</f>
        <v>1</v>
      </c>
      <c r="W460" s="3" t="str">
        <f aca="false">IFERROR(_xlfn.T.TEST(E460:M460,N460:U460,2,2),"")</f>
        <v/>
      </c>
      <c r="X460" s="0" t="str">
        <f aca="false">IFERROR(AVERAGE(E460:M460),"")</f>
        <v/>
      </c>
      <c r="Y460" s="0" t="str">
        <f aca="false">IFERROR(AVERAGE(N460:U460),"")</f>
        <v/>
      </c>
    </row>
    <row r="461" customFormat="false" ht="14.5" hidden="false" customHeight="false" outlineLevel="0" collapsed="false">
      <c r="A461" s="0" t="n">
        <v>469</v>
      </c>
      <c r="B461" s="0" t="s">
        <v>532</v>
      </c>
      <c r="C461" s="0" t="n">
        <v>18200</v>
      </c>
      <c r="D461" s="0" t="n">
        <v>533</v>
      </c>
      <c r="E461" s="0" t="str">
        <f aca="false">IFERROR(IF(OR(HLOOKUP($A461,#REF!,3,FALSE())&gt;2,HLOOKUP(A461,#REF!,3,FALSE())&lt;-2),"",#REF!),"")</f>
        <v/>
      </c>
      <c r="F461" s="0" t="str">
        <f aca="false">IFERROR(IF(OR(HLOOKUP($A461,#REF!,4,FALSE())&gt;2,HLOOKUP($A461,#REF!,4,FALSE())&lt;-2),"",#REF!),"")</f>
        <v/>
      </c>
      <c r="G461" s="0" t="str">
        <f aca="false">IFERROR(IF(OR(HLOOKUP($A461,#REF!,5,FALSE())&gt;2,HLOOKUP($A461,#REF!,5,FALSE())&lt;-2),"",#REF!),"")</f>
        <v/>
      </c>
      <c r="H461" s="0" t="str">
        <f aca="false">IFERROR(IF(OR(HLOOKUP($A461,#REF!,6,FALSE())&gt;2,HLOOKUP($A461,#REF!,6,FALSE())&lt;-2),"",#REF!),"")</f>
        <v/>
      </c>
      <c r="I461" s="0" t="str">
        <f aca="false">IFERROR(IF(OR(HLOOKUP($A461,#REF!,7,FALSE())&gt;2,HLOOKUP($A461,#REF!,7,FALSE())&lt;-2),"",#REF!),"")</f>
        <v/>
      </c>
      <c r="J461" s="0" t="str">
        <f aca="false">IFERROR(IF(OR(HLOOKUP($A461,#REF!,8,FALSE())&gt;2,HLOOKUP($A461,#REF!,8,FALSE())&lt;-2),"",#REF!),"")</f>
        <v/>
      </c>
      <c r="K461" s="0" t="str">
        <f aca="false">IFERROR(IF(OR(HLOOKUP($A461,#REF!,9,FALSE())&gt;2,HLOOKUP($A461,#REF!,9,FALSE())&lt;-2),"",#REF!),"")</f>
        <v/>
      </c>
      <c r="L461" s="0" t="str">
        <f aca="false">IFERROR(IF(OR(HLOOKUP($A461,#REF!,10,FALSE())&gt;2,HLOOKUP($A461,#REF!,10,FALSE())&lt;-2),"",#REF!),"")</f>
        <v/>
      </c>
      <c r="M461" s="0" t="str">
        <f aca="false">IFERROR(IF(OR(HLOOKUP($A461,#REF!,11,FALSE())&gt;2,HLOOKUP($A461,#REF!,11,FALSE())&lt;-2),"",#REF!),"")</f>
        <v/>
      </c>
      <c r="N461" s="0" t="str">
        <f aca="false">IFERROR(IF(OR(HLOOKUP($A461,#REF!,12,FALSE())&gt;2,HLOOKUP($A461,#REF!,12,FALSE())&lt;-2),"",#REF!),"")</f>
        <v/>
      </c>
      <c r="O461" s="0" t="str">
        <f aca="false">IFERROR(IF(OR(HLOOKUP($A461,#REF!,13,FALSE())&gt;2,HLOOKUP($A461,#REF!,13,FALSE())&lt;-2),"",#REF!),"")</f>
        <v/>
      </c>
      <c r="P461" s="0" t="str">
        <f aca="false">IFERROR(IF(OR(HLOOKUP($A461,#REF!,14,FALSE())&gt;2,HLOOKUP($A461,#REF!,14,FALSE())&lt;-2),"",#REF!),"")</f>
        <v/>
      </c>
      <c r="Q461" s="0" t="str">
        <f aca="false">IFERROR(IF(OR(HLOOKUP($A461,#REF!,15,FALSE())&gt;2,HLOOKUP($A461,#REF!,15,FALSE())&lt;-2),"",#REF!),"")</f>
        <v/>
      </c>
      <c r="R461" s="0" t="str">
        <f aca="false">IFERROR(IF(OR(HLOOKUP($A461,#REF!,16,FALSE())&gt;2,HLOOKUP($A461,#REF!,16,FALSE())&lt;-2),"",#REF!),"")</f>
        <v/>
      </c>
      <c r="S461" s="0" t="str">
        <f aca="false">IFERROR(IF(OR(HLOOKUP($A461,#REF!,17,FALSE())&gt;2,HLOOKUP($A461,#REF!,17,FALSE())&lt;-2),"",#REF!),"")</f>
        <v/>
      </c>
      <c r="T461" s="0" t="str">
        <f aca="false">IFERROR(IF(OR(HLOOKUP($A461,#REF!,18,FALSE())&gt;2,HLOOKUP($A461,#REF!,18,FALSE())&lt;-2),"",#REF!),"")</f>
        <v/>
      </c>
      <c r="U461" s="0" t="str">
        <f aca="false">IFERROR(IF(OR(HLOOKUP($A461,#REF!,19,FALSE())&gt;2,HLOOKUP($A461,#REF!,19,FALSE())&lt;-2),"",#REF!),"")</f>
        <v/>
      </c>
      <c r="V461" s="0" t="n">
        <f aca="false">IFERROR(IF(AND(X461=0,Y461=0),0,1),0)</f>
        <v>1</v>
      </c>
      <c r="W461" s="3" t="str">
        <f aca="false">IFERROR(_xlfn.T.TEST(E461:M461,N461:U461,2,2),"")</f>
        <v/>
      </c>
      <c r="X461" s="0" t="str">
        <f aca="false">IFERROR(AVERAGE(E461:M461),"")</f>
        <v/>
      </c>
      <c r="Y461" s="0" t="str">
        <f aca="false">IFERROR(AVERAGE(N461:U461),"")</f>
        <v/>
      </c>
    </row>
    <row r="462" customFormat="false" ht="14.5" hidden="false" customHeight="false" outlineLevel="0" collapsed="false">
      <c r="A462" s="0" t="n">
        <v>470</v>
      </c>
      <c r="B462" s="0" t="s">
        <v>533</v>
      </c>
      <c r="C462" s="0" t="n">
        <v>77900</v>
      </c>
      <c r="D462" s="0" t="n">
        <v>290</v>
      </c>
      <c r="E462" s="0" t="str">
        <f aca="false">IFERROR(IF(OR(HLOOKUP($A462,#REF!,3,FALSE())&gt;2,HLOOKUP(A462,#REF!,3,FALSE())&lt;-2),"",#REF!),"")</f>
        <v/>
      </c>
      <c r="F462" s="0" t="str">
        <f aca="false">IFERROR(IF(OR(HLOOKUP($A462,#REF!,4,FALSE())&gt;2,HLOOKUP($A462,#REF!,4,FALSE())&lt;-2),"",#REF!),"")</f>
        <v/>
      </c>
      <c r="G462" s="0" t="str">
        <f aca="false">IFERROR(IF(OR(HLOOKUP($A462,#REF!,5,FALSE())&gt;2,HLOOKUP($A462,#REF!,5,FALSE())&lt;-2),"",#REF!),"")</f>
        <v/>
      </c>
      <c r="H462" s="0" t="str">
        <f aca="false">IFERROR(IF(OR(HLOOKUP($A462,#REF!,6,FALSE())&gt;2,HLOOKUP($A462,#REF!,6,FALSE())&lt;-2),"",#REF!),"")</f>
        <v/>
      </c>
      <c r="I462" s="0" t="str">
        <f aca="false">IFERROR(IF(OR(HLOOKUP($A462,#REF!,7,FALSE())&gt;2,HLOOKUP($A462,#REF!,7,FALSE())&lt;-2),"",#REF!),"")</f>
        <v/>
      </c>
      <c r="J462" s="0" t="str">
        <f aca="false">IFERROR(IF(OR(HLOOKUP($A462,#REF!,8,FALSE())&gt;2,HLOOKUP($A462,#REF!,8,FALSE())&lt;-2),"",#REF!),"")</f>
        <v/>
      </c>
      <c r="K462" s="0" t="str">
        <f aca="false">IFERROR(IF(OR(HLOOKUP($A462,#REF!,9,FALSE())&gt;2,HLOOKUP($A462,#REF!,9,FALSE())&lt;-2),"",#REF!),"")</f>
        <v/>
      </c>
      <c r="L462" s="0" t="str">
        <f aca="false">IFERROR(IF(OR(HLOOKUP($A462,#REF!,10,FALSE())&gt;2,HLOOKUP($A462,#REF!,10,FALSE())&lt;-2),"",#REF!),"")</f>
        <v/>
      </c>
      <c r="M462" s="0" t="str">
        <f aca="false">IFERROR(IF(OR(HLOOKUP($A462,#REF!,11,FALSE())&gt;2,HLOOKUP($A462,#REF!,11,FALSE())&lt;-2),"",#REF!),"")</f>
        <v/>
      </c>
      <c r="N462" s="0" t="str">
        <f aca="false">IFERROR(IF(OR(HLOOKUP($A462,#REF!,12,FALSE())&gt;2,HLOOKUP($A462,#REF!,12,FALSE())&lt;-2),"",#REF!),"")</f>
        <v/>
      </c>
      <c r="O462" s="0" t="str">
        <f aca="false">IFERROR(IF(OR(HLOOKUP($A462,#REF!,13,FALSE())&gt;2,HLOOKUP($A462,#REF!,13,FALSE())&lt;-2),"",#REF!),"")</f>
        <v/>
      </c>
      <c r="P462" s="0" t="str">
        <f aca="false">IFERROR(IF(OR(HLOOKUP($A462,#REF!,14,FALSE())&gt;2,HLOOKUP($A462,#REF!,14,FALSE())&lt;-2),"",#REF!),"")</f>
        <v/>
      </c>
      <c r="Q462" s="0" t="str">
        <f aca="false">IFERROR(IF(OR(HLOOKUP($A462,#REF!,15,FALSE())&gt;2,HLOOKUP($A462,#REF!,15,FALSE())&lt;-2),"",#REF!),"")</f>
        <v/>
      </c>
      <c r="R462" s="0" t="str">
        <f aca="false">IFERROR(IF(OR(HLOOKUP($A462,#REF!,16,FALSE())&gt;2,HLOOKUP($A462,#REF!,16,FALSE())&lt;-2),"",#REF!),"")</f>
        <v/>
      </c>
      <c r="S462" s="0" t="str">
        <f aca="false">IFERROR(IF(OR(HLOOKUP($A462,#REF!,17,FALSE())&gt;2,HLOOKUP($A462,#REF!,17,FALSE())&lt;-2),"",#REF!),"")</f>
        <v/>
      </c>
      <c r="T462" s="0" t="str">
        <f aca="false">IFERROR(IF(OR(HLOOKUP($A462,#REF!,18,FALSE())&gt;2,HLOOKUP($A462,#REF!,18,FALSE())&lt;-2),"",#REF!),"")</f>
        <v/>
      </c>
      <c r="U462" s="0" t="str">
        <f aca="false">IFERROR(IF(OR(HLOOKUP($A462,#REF!,19,FALSE())&gt;2,HLOOKUP($A462,#REF!,19,FALSE())&lt;-2),"",#REF!),"")</f>
        <v/>
      </c>
      <c r="V462" s="0" t="n">
        <f aca="false">IFERROR(IF(AND(X462=0,Y462=0),0,1),0)</f>
        <v>1</v>
      </c>
      <c r="W462" s="3" t="str">
        <f aca="false">IFERROR(_xlfn.T.TEST(E462:M462,N462:U462,2,2),"")</f>
        <v/>
      </c>
      <c r="X462" s="0" t="str">
        <f aca="false">IFERROR(AVERAGE(E462:M462),"")</f>
        <v/>
      </c>
      <c r="Y462" s="0" t="str">
        <f aca="false">IFERROR(AVERAGE(N462:U462),"")</f>
        <v/>
      </c>
    </row>
    <row r="463" customFormat="false" ht="14.5" hidden="false" customHeight="false" outlineLevel="0" collapsed="false">
      <c r="A463" s="0" t="n">
        <v>471</v>
      </c>
      <c r="B463" s="0" t="s">
        <v>534</v>
      </c>
      <c r="C463" s="0" t="n">
        <v>38800</v>
      </c>
      <c r="D463" s="0" t="n">
        <v>463</v>
      </c>
      <c r="E463" s="0" t="str">
        <f aca="false">IFERROR(IF(OR(HLOOKUP($A463,#REF!,3,FALSE())&gt;2,HLOOKUP(A463,#REF!,3,FALSE())&lt;-2),"",#REF!),"")</f>
        <v/>
      </c>
      <c r="F463" s="0" t="str">
        <f aca="false">IFERROR(IF(OR(HLOOKUP($A463,#REF!,4,FALSE())&gt;2,HLOOKUP($A463,#REF!,4,FALSE())&lt;-2),"",#REF!),"")</f>
        <v/>
      </c>
      <c r="G463" s="0" t="str">
        <f aca="false">IFERROR(IF(OR(HLOOKUP($A463,#REF!,5,FALSE())&gt;2,HLOOKUP($A463,#REF!,5,FALSE())&lt;-2),"",#REF!),"")</f>
        <v/>
      </c>
      <c r="H463" s="0" t="str">
        <f aca="false">IFERROR(IF(OR(HLOOKUP($A463,#REF!,6,FALSE())&gt;2,HLOOKUP($A463,#REF!,6,FALSE())&lt;-2),"",#REF!),"")</f>
        <v/>
      </c>
      <c r="I463" s="0" t="str">
        <f aca="false">IFERROR(IF(OR(HLOOKUP($A463,#REF!,7,FALSE())&gt;2,HLOOKUP($A463,#REF!,7,FALSE())&lt;-2),"",#REF!),"")</f>
        <v/>
      </c>
      <c r="J463" s="0" t="str">
        <f aca="false">IFERROR(IF(OR(HLOOKUP($A463,#REF!,8,FALSE())&gt;2,HLOOKUP($A463,#REF!,8,FALSE())&lt;-2),"",#REF!),"")</f>
        <v/>
      </c>
      <c r="K463" s="0" t="str">
        <f aca="false">IFERROR(IF(OR(HLOOKUP($A463,#REF!,9,FALSE())&gt;2,HLOOKUP($A463,#REF!,9,FALSE())&lt;-2),"",#REF!),"")</f>
        <v/>
      </c>
      <c r="L463" s="0" t="str">
        <f aca="false">IFERROR(IF(OR(HLOOKUP($A463,#REF!,10,FALSE())&gt;2,HLOOKUP($A463,#REF!,10,FALSE())&lt;-2),"",#REF!),"")</f>
        <v/>
      </c>
      <c r="M463" s="0" t="str">
        <f aca="false">IFERROR(IF(OR(HLOOKUP($A463,#REF!,11,FALSE())&gt;2,HLOOKUP($A463,#REF!,11,FALSE())&lt;-2),"",#REF!),"")</f>
        <v/>
      </c>
      <c r="N463" s="0" t="str">
        <f aca="false">IFERROR(IF(OR(HLOOKUP($A463,#REF!,12,FALSE())&gt;2,HLOOKUP($A463,#REF!,12,FALSE())&lt;-2),"",#REF!),"")</f>
        <v/>
      </c>
      <c r="O463" s="0" t="str">
        <f aca="false">IFERROR(IF(OR(HLOOKUP($A463,#REF!,13,FALSE())&gt;2,HLOOKUP($A463,#REF!,13,FALSE())&lt;-2),"",#REF!),"")</f>
        <v/>
      </c>
      <c r="P463" s="0" t="str">
        <f aca="false">IFERROR(IF(OR(HLOOKUP($A463,#REF!,14,FALSE())&gt;2,HLOOKUP($A463,#REF!,14,FALSE())&lt;-2),"",#REF!),"")</f>
        <v/>
      </c>
      <c r="Q463" s="0" t="str">
        <f aca="false">IFERROR(IF(OR(HLOOKUP($A463,#REF!,15,FALSE())&gt;2,HLOOKUP($A463,#REF!,15,FALSE())&lt;-2),"",#REF!),"")</f>
        <v/>
      </c>
      <c r="R463" s="0" t="str">
        <f aca="false">IFERROR(IF(OR(HLOOKUP($A463,#REF!,16,FALSE())&gt;2,HLOOKUP($A463,#REF!,16,FALSE())&lt;-2),"",#REF!),"")</f>
        <v/>
      </c>
      <c r="S463" s="0" t="str">
        <f aca="false">IFERROR(IF(OR(HLOOKUP($A463,#REF!,17,FALSE())&gt;2,HLOOKUP($A463,#REF!,17,FALSE())&lt;-2),"",#REF!),"")</f>
        <v/>
      </c>
      <c r="T463" s="0" t="str">
        <f aca="false">IFERROR(IF(OR(HLOOKUP($A463,#REF!,18,FALSE())&gt;2,HLOOKUP($A463,#REF!,18,FALSE())&lt;-2),"",#REF!),"")</f>
        <v/>
      </c>
      <c r="U463" s="0" t="str">
        <f aca="false">IFERROR(IF(OR(HLOOKUP($A463,#REF!,19,FALSE())&gt;2,HLOOKUP($A463,#REF!,19,FALSE())&lt;-2),"",#REF!),"")</f>
        <v/>
      </c>
      <c r="V463" s="0" t="n">
        <f aca="false">IFERROR(IF(AND(X463=0,Y463=0),0,1),0)</f>
        <v>1</v>
      </c>
      <c r="W463" s="3" t="str">
        <f aca="false">IFERROR(_xlfn.T.TEST(E463:M463,N463:U463,2,2),"")</f>
        <v/>
      </c>
      <c r="X463" s="0" t="str">
        <f aca="false">IFERROR(AVERAGE(E463:M463),"")</f>
        <v/>
      </c>
      <c r="Y463" s="0" t="str">
        <f aca="false">IFERROR(AVERAGE(N463:U463),"")</f>
        <v/>
      </c>
    </row>
    <row r="464" customFormat="false" ht="14.5" hidden="false" customHeight="false" outlineLevel="0" collapsed="false">
      <c r="A464" s="0" t="n">
        <v>472</v>
      </c>
      <c r="B464" s="0" t="s">
        <v>535</v>
      </c>
      <c r="C464" s="0" t="n">
        <v>51200</v>
      </c>
      <c r="D464" s="0" t="n">
        <v>426</v>
      </c>
      <c r="E464" s="0" t="str">
        <f aca="false">IFERROR(IF(OR(HLOOKUP($A464,#REF!,3,FALSE())&gt;2,HLOOKUP(A464,#REF!,3,FALSE())&lt;-2),"",#REF!),"")</f>
        <v/>
      </c>
      <c r="F464" s="0" t="str">
        <f aca="false">IFERROR(IF(OR(HLOOKUP($A464,#REF!,4,FALSE())&gt;2,HLOOKUP($A464,#REF!,4,FALSE())&lt;-2),"",#REF!),"")</f>
        <v/>
      </c>
      <c r="G464" s="0" t="str">
        <f aca="false">IFERROR(IF(OR(HLOOKUP($A464,#REF!,5,FALSE())&gt;2,HLOOKUP($A464,#REF!,5,FALSE())&lt;-2),"",#REF!),"")</f>
        <v/>
      </c>
      <c r="H464" s="0" t="str">
        <f aca="false">IFERROR(IF(OR(HLOOKUP($A464,#REF!,6,FALSE())&gt;2,HLOOKUP($A464,#REF!,6,FALSE())&lt;-2),"",#REF!),"")</f>
        <v/>
      </c>
      <c r="I464" s="0" t="str">
        <f aca="false">IFERROR(IF(OR(HLOOKUP($A464,#REF!,7,FALSE())&gt;2,HLOOKUP($A464,#REF!,7,FALSE())&lt;-2),"",#REF!),"")</f>
        <v/>
      </c>
      <c r="J464" s="0" t="str">
        <f aca="false">IFERROR(IF(OR(HLOOKUP($A464,#REF!,8,FALSE())&gt;2,HLOOKUP($A464,#REF!,8,FALSE())&lt;-2),"",#REF!),"")</f>
        <v/>
      </c>
      <c r="K464" s="0" t="str">
        <f aca="false">IFERROR(IF(OR(HLOOKUP($A464,#REF!,9,FALSE())&gt;2,HLOOKUP($A464,#REF!,9,FALSE())&lt;-2),"",#REF!),"")</f>
        <v/>
      </c>
      <c r="L464" s="0" t="str">
        <f aca="false">IFERROR(IF(OR(HLOOKUP($A464,#REF!,10,FALSE())&gt;2,HLOOKUP($A464,#REF!,10,FALSE())&lt;-2),"",#REF!),"")</f>
        <v/>
      </c>
      <c r="M464" s="0" t="str">
        <f aca="false">IFERROR(IF(OR(HLOOKUP($A464,#REF!,11,FALSE())&gt;2,HLOOKUP($A464,#REF!,11,FALSE())&lt;-2),"",#REF!),"")</f>
        <v/>
      </c>
      <c r="N464" s="0" t="str">
        <f aca="false">IFERROR(IF(OR(HLOOKUP($A464,#REF!,12,FALSE())&gt;2,HLOOKUP($A464,#REF!,12,FALSE())&lt;-2),"",#REF!),"")</f>
        <v/>
      </c>
      <c r="O464" s="0" t="str">
        <f aca="false">IFERROR(IF(OR(HLOOKUP($A464,#REF!,13,FALSE())&gt;2,HLOOKUP($A464,#REF!,13,FALSE())&lt;-2),"",#REF!),"")</f>
        <v/>
      </c>
      <c r="P464" s="0" t="str">
        <f aca="false">IFERROR(IF(OR(HLOOKUP($A464,#REF!,14,FALSE())&gt;2,HLOOKUP($A464,#REF!,14,FALSE())&lt;-2),"",#REF!),"")</f>
        <v/>
      </c>
      <c r="Q464" s="0" t="str">
        <f aca="false">IFERROR(IF(OR(HLOOKUP($A464,#REF!,15,FALSE())&gt;2,HLOOKUP($A464,#REF!,15,FALSE())&lt;-2),"",#REF!),"")</f>
        <v/>
      </c>
      <c r="R464" s="0" t="str">
        <f aca="false">IFERROR(IF(OR(HLOOKUP($A464,#REF!,16,FALSE())&gt;2,HLOOKUP($A464,#REF!,16,FALSE())&lt;-2),"",#REF!),"")</f>
        <v/>
      </c>
      <c r="S464" s="0" t="str">
        <f aca="false">IFERROR(IF(OR(HLOOKUP($A464,#REF!,17,FALSE())&gt;2,HLOOKUP($A464,#REF!,17,FALSE())&lt;-2),"",#REF!),"")</f>
        <v/>
      </c>
      <c r="T464" s="0" t="str">
        <f aca="false">IFERROR(IF(OR(HLOOKUP($A464,#REF!,18,FALSE())&gt;2,HLOOKUP($A464,#REF!,18,FALSE())&lt;-2),"",#REF!),"")</f>
        <v/>
      </c>
      <c r="U464" s="0" t="str">
        <f aca="false">IFERROR(IF(OR(HLOOKUP($A464,#REF!,19,FALSE())&gt;2,HLOOKUP($A464,#REF!,19,FALSE())&lt;-2),"",#REF!),"")</f>
        <v/>
      </c>
      <c r="V464" s="0" t="n">
        <f aca="false">IFERROR(IF(AND(X464=0,Y464=0),0,1),0)</f>
        <v>1</v>
      </c>
      <c r="W464" s="3" t="str">
        <f aca="false">IFERROR(_xlfn.T.TEST(E464:M464,N464:U464,2,2),"")</f>
        <v/>
      </c>
      <c r="X464" s="0" t="str">
        <f aca="false">IFERROR(AVERAGE(E464:M464),"")</f>
        <v/>
      </c>
      <c r="Y464" s="0" t="str">
        <f aca="false">IFERROR(AVERAGE(N464:U464),"")</f>
        <v/>
      </c>
    </row>
    <row r="465" customFormat="false" ht="14.5" hidden="false" customHeight="false" outlineLevel="0" collapsed="false">
      <c r="A465" s="0" t="n">
        <v>473</v>
      </c>
      <c r="B465" s="0" t="s">
        <v>536</v>
      </c>
      <c r="C465" s="0" t="n">
        <v>49200</v>
      </c>
      <c r="D465" s="0" t="n">
        <v>754</v>
      </c>
      <c r="E465" s="0" t="str">
        <f aca="false">IFERROR(IF(OR(HLOOKUP($A465,#REF!,3,FALSE())&gt;2,HLOOKUP(A465,#REF!,3,FALSE())&lt;-2),"",#REF!),"")</f>
        <v/>
      </c>
      <c r="F465" s="0" t="str">
        <f aca="false">IFERROR(IF(OR(HLOOKUP($A465,#REF!,4,FALSE())&gt;2,HLOOKUP($A465,#REF!,4,FALSE())&lt;-2),"",#REF!),"")</f>
        <v/>
      </c>
      <c r="G465" s="0" t="str">
        <f aca="false">IFERROR(IF(OR(HLOOKUP($A465,#REF!,5,FALSE())&gt;2,HLOOKUP($A465,#REF!,5,FALSE())&lt;-2),"",#REF!),"")</f>
        <v/>
      </c>
      <c r="H465" s="0" t="str">
        <f aca="false">IFERROR(IF(OR(HLOOKUP($A465,#REF!,6,FALSE())&gt;2,HLOOKUP($A465,#REF!,6,FALSE())&lt;-2),"",#REF!),"")</f>
        <v/>
      </c>
      <c r="I465" s="0" t="str">
        <f aca="false">IFERROR(IF(OR(HLOOKUP($A465,#REF!,7,FALSE())&gt;2,HLOOKUP($A465,#REF!,7,FALSE())&lt;-2),"",#REF!),"")</f>
        <v/>
      </c>
      <c r="J465" s="0" t="str">
        <f aca="false">IFERROR(IF(OR(HLOOKUP($A465,#REF!,8,FALSE())&gt;2,HLOOKUP($A465,#REF!,8,FALSE())&lt;-2),"",#REF!),"")</f>
        <v/>
      </c>
      <c r="K465" s="0" t="str">
        <f aca="false">IFERROR(IF(OR(HLOOKUP($A465,#REF!,9,FALSE())&gt;2,HLOOKUP($A465,#REF!,9,FALSE())&lt;-2),"",#REF!),"")</f>
        <v/>
      </c>
      <c r="L465" s="0" t="str">
        <f aca="false">IFERROR(IF(OR(HLOOKUP($A465,#REF!,10,FALSE())&gt;2,HLOOKUP($A465,#REF!,10,FALSE())&lt;-2),"",#REF!),"")</f>
        <v/>
      </c>
      <c r="M465" s="0" t="str">
        <f aca="false">IFERROR(IF(OR(HLOOKUP($A465,#REF!,11,FALSE())&gt;2,HLOOKUP($A465,#REF!,11,FALSE())&lt;-2),"",#REF!),"")</f>
        <v/>
      </c>
      <c r="N465" s="0" t="str">
        <f aca="false">IFERROR(IF(OR(HLOOKUP($A465,#REF!,12,FALSE())&gt;2,HLOOKUP($A465,#REF!,12,FALSE())&lt;-2),"",#REF!),"")</f>
        <v/>
      </c>
      <c r="O465" s="0" t="str">
        <f aca="false">IFERROR(IF(OR(HLOOKUP($A465,#REF!,13,FALSE())&gt;2,HLOOKUP($A465,#REF!,13,FALSE())&lt;-2),"",#REF!),"")</f>
        <v/>
      </c>
      <c r="P465" s="0" t="str">
        <f aca="false">IFERROR(IF(OR(HLOOKUP($A465,#REF!,14,FALSE())&gt;2,HLOOKUP($A465,#REF!,14,FALSE())&lt;-2),"",#REF!),"")</f>
        <v/>
      </c>
      <c r="Q465" s="0" t="str">
        <f aca="false">IFERROR(IF(OR(HLOOKUP($A465,#REF!,15,FALSE())&gt;2,HLOOKUP($A465,#REF!,15,FALSE())&lt;-2),"",#REF!),"")</f>
        <v/>
      </c>
      <c r="R465" s="0" t="str">
        <f aca="false">IFERROR(IF(OR(HLOOKUP($A465,#REF!,16,FALSE())&gt;2,HLOOKUP($A465,#REF!,16,FALSE())&lt;-2),"",#REF!),"")</f>
        <v/>
      </c>
      <c r="S465" s="0" t="str">
        <f aca="false">IFERROR(IF(OR(HLOOKUP($A465,#REF!,17,FALSE())&gt;2,HLOOKUP($A465,#REF!,17,FALSE())&lt;-2),"",#REF!),"")</f>
        <v/>
      </c>
      <c r="T465" s="0" t="str">
        <f aca="false">IFERROR(IF(OR(HLOOKUP($A465,#REF!,18,FALSE())&gt;2,HLOOKUP($A465,#REF!,18,FALSE())&lt;-2),"",#REF!),"")</f>
        <v/>
      </c>
      <c r="U465" s="0" t="str">
        <f aca="false">IFERROR(IF(OR(HLOOKUP($A465,#REF!,19,FALSE())&gt;2,HLOOKUP($A465,#REF!,19,FALSE())&lt;-2),"",#REF!),"")</f>
        <v/>
      </c>
      <c r="V465" s="0" t="n">
        <f aca="false">IFERROR(IF(AND(X465=0,Y465=0),0,1),0)</f>
        <v>1</v>
      </c>
      <c r="W465" s="3" t="str">
        <f aca="false">IFERROR(_xlfn.T.TEST(E465:M465,N465:U465,2,2),"")</f>
        <v/>
      </c>
      <c r="X465" s="0" t="str">
        <f aca="false">IFERROR(AVERAGE(E465:M465),"")</f>
        <v/>
      </c>
      <c r="Y465" s="0" t="str">
        <f aca="false">IFERROR(AVERAGE(N465:U465),"")</f>
        <v/>
      </c>
    </row>
    <row r="466" customFormat="false" ht="14.5" hidden="false" customHeight="false" outlineLevel="0" collapsed="false">
      <c r="A466" s="0" t="n">
        <v>474</v>
      </c>
      <c r="B466" s="0" t="s">
        <v>537</v>
      </c>
      <c r="C466" s="0" t="n">
        <v>112400</v>
      </c>
      <c r="D466" s="0" t="n">
        <v>1099</v>
      </c>
      <c r="E466" s="0" t="str">
        <f aca="false">IFERROR(IF(OR(HLOOKUP($A466,#REF!,3,FALSE())&gt;2,HLOOKUP(A466,#REF!,3,FALSE())&lt;-2),"",#REF!),"")</f>
        <v/>
      </c>
      <c r="F466" s="0" t="str">
        <f aca="false">IFERROR(IF(OR(HLOOKUP($A466,#REF!,4,FALSE())&gt;2,HLOOKUP($A466,#REF!,4,FALSE())&lt;-2),"",#REF!),"")</f>
        <v/>
      </c>
      <c r="G466" s="0" t="str">
        <f aca="false">IFERROR(IF(OR(HLOOKUP($A466,#REF!,5,FALSE())&gt;2,HLOOKUP($A466,#REF!,5,FALSE())&lt;-2),"",#REF!),"")</f>
        <v/>
      </c>
      <c r="H466" s="0" t="str">
        <f aca="false">IFERROR(IF(OR(HLOOKUP($A466,#REF!,6,FALSE())&gt;2,HLOOKUP($A466,#REF!,6,FALSE())&lt;-2),"",#REF!),"")</f>
        <v/>
      </c>
      <c r="I466" s="0" t="str">
        <f aca="false">IFERROR(IF(OR(HLOOKUP($A466,#REF!,7,FALSE())&gt;2,HLOOKUP($A466,#REF!,7,FALSE())&lt;-2),"",#REF!),"")</f>
        <v/>
      </c>
      <c r="J466" s="0" t="str">
        <f aca="false">IFERROR(IF(OR(HLOOKUP($A466,#REF!,8,FALSE())&gt;2,HLOOKUP($A466,#REF!,8,FALSE())&lt;-2),"",#REF!),"")</f>
        <v/>
      </c>
      <c r="K466" s="0" t="str">
        <f aca="false">IFERROR(IF(OR(HLOOKUP($A466,#REF!,9,FALSE())&gt;2,HLOOKUP($A466,#REF!,9,FALSE())&lt;-2),"",#REF!),"")</f>
        <v/>
      </c>
      <c r="L466" s="0" t="str">
        <f aca="false">IFERROR(IF(OR(HLOOKUP($A466,#REF!,10,FALSE())&gt;2,HLOOKUP($A466,#REF!,10,FALSE())&lt;-2),"",#REF!),"")</f>
        <v/>
      </c>
      <c r="M466" s="0" t="str">
        <f aca="false">IFERROR(IF(OR(HLOOKUP($A466,#REF!,11,FALSE())&gt;2,HLOOKUP($A466,#REF!,11,FALSE())&lt;-2),"",#REF!),"")</f>
        <v/>
      </c>
      <c r="N466" s="0" t="str">
        <f aca="false">IFERROR(IF(OR(HLOOKUP($A466,#REF!,12,FALSE())&gt;2,HLOOKUP($A466,#REF!,12,FALSE())&lt;-2),"",#REF!),"")</f>
        <v/>
      </c>
      <c r="O466" s="0" t="str">
        <f aca="false">IFERROR(IF(OR(HLOOKUP($A466,#REF!,13,FALSE())&gt;2,HLOOKUP($A466,#REF!,13,FALSE())&lt;-2),"",#REF!),"")</f>
        <v/>
      </c>
      <c r="P466" s="0" t="str">
        <f aca="false">IFERROR(IF(OR(HLOOKUP($A466,#REF!,14,FALSE())&gt;2,HLOOKUP($A466,#REF!,14,FALSE())&lt;-2),"",#REF!),"")</f>
        <v/>
      </c>
      <c r="Q466" s="0" t="str">
        <f aca="false">IFERROR(IF(OR(HLOOKUP($A466,#REF!,15,FALSE())&gt;2,HLOOKUP($A466,#REF!,15,FALSE())&lt;-2),"",#REF!),"")</f>
        <v/>
      </c>
      <c r="R466" s="0" t="str">
        <f aca="false">IFERROR(IF(OR(HLOOKUP($A466,#REF!,16,FALSE())&gt;2,HLOOKUP($A466,#REF!,16,FALSE())&lt;-2),"",#REF!),"")</f>
        <v/>
      </c>
      <c r="S466" s="0" t="str">
        <f aca="false">IFERROR(IF(OR(HLOOKUP($A466,#REF!,17,FALSE())&gt;2,HLOOKUP($A466,#REF!,17,FALSE())&lt;-2),"",#REF!),"")</f>
        <v/>
      </c>
      <c r="T466" s="0" t="str">
        <f aca="false">IFERROR(IF(OR(HLOOKUP($A466,#REF!,18,FALSE())&gt;2,HLOOKUP($A466,#REF!,18,FALSE())&lt;-2),"",#REF!),"")</f>
        <v/>
      </c>
      <c r="U466" s="0" t="str">
        <f aca="false">IFERROR(IF(OR(HLOOKUP($A466,#REF!,19,FALSE())&gt;2,HLOOKUP($A466,#REF!,19,FALSE())&lt;-2),"",#REF!),"")</f>
        <v/>
      </c>
      <c r="V466" s="0" t="n">
        <f aca="false">IFERROR(IF(AND(X466=0,Y466=0),0,1),0)</f>
        <v>1</v>
      </c>
      <c r="W466" s="3" t="str">
        <f aca="false">IFERROR(_xlfn.T.TEST(E466:M466,N466:U466,2,2),"")</f>
        <v/>
      </c>
      <c r="X466" s="0" t="str">
        <f aca="false">IFERROR(AVERAGE(E466:M466),"")</f>
        <v/>
      </c>
      <c r="Y466" s="0" t="str">
        <f aca="false">IFERROR(AVERAGE(N466:U466),"")</f>
        <v/>
      </c>
    </row>
    <row r="467" customFormat="false" ht="14.5" hidden="false" customHeight="false" outlineLevel="0" collapsed="false">
      <c r="A467" s="0" t="n">
        <v>475</v>
      </c>
      <c r="B467" s="0" t="s">
        <v>538</v>
      </c>
      <c r="C467" s="0" t="n">
        <v>65100</v>
      </c>
      <c r="D467" s="0" t="n">
        <v>1008</v>
      </c>
      <c r="E467" s="0" t="str">
        <f aca="false">IFERROR(IF(OR(HLOOKUP($A467,#REF!,3,FALSE())&gt;2,HLOOKUP(A467,#REF!,3,FALSE())&lt;-2),"",#REF!),"")</f>
        <v/>
      </c>
      <c r="F467" s="0" t="str">
        <f aca="false">IFERROR(IF(OR(HLOOKUP($A467,#REF!,4,FALSE())&gt;2,HLOOKUP($A467,#REF!,4,FALSE())&lt;-2),"",#REF!),"")</f>
        <v/>
      </c>
      <c r="G467" s="0" t="str">
        <f aca="false">IFERROR(IF(OR(HLOOKUP($A467,#REF!,5,FALSE())&gt;2,HLOOKUP($A467,#REF!,5,FALSE())&lt;-2),"",#REF!),"")</f>
        <v/>
      </c>
      <c r="H467" s="0" t="str">
        <f aca="false">IFERROR(IF(OR(HLOOKUP($A467,#REF!,6,FALSE())&gt;2,HLOOKUP($A467,#REF!,6,FALSE())&lt;-2),"",#REF!),"")</f>
        <v/>
      </c>
      <c r="I467" s="0" t="str">
        <f aca="false">IFERROR(IF(OR(HLOOKUP($A467,#REF!,7,FALSE())&gt;2,HLOOKUP($A467,#REF!,7,FALSE())&lt;-2),"",#REF!),"")</f>
        <v/>
      </c>
      <c r="J467" s="0" t="str">
        <f aca="false">IFERROR(IF(OR(HLOOKUP($A467,#REF!,8,FALSE())&gt;2,HLOOKUP($A467,#REF!,8,FALSE())&lt;-2),"",#REF!),"")</f>
        <v/>
      </c>
      <c r="K467" s="0" t="str">
        <f aca="false">IFERROR(IF(OR(HLOOKUP($A467,#REF!,9,FALSE())&gt;2,HLOOKUP($A467,#REF!,9,FALSE())&lt;-2),"",#REF!),"")</f>
        <v/>
      </c>
      <c r="L467" s="0" t="str">
        <f aca="false">IFERROR(IF(OR(HLOOKUP($A467,#REF!,10,FALSE())&gt;2,HLOOKUP($A467,#REF!,10,FALSE())&lt;-2),"",#REF!),"")</f>
        <v/>
      </c>
      <c r="M467" s="0" t="str">
        <f aca="false">IFERROR(IF(OR(HLOOKUP($A467,#REF!,11,FALSE())&gt;2,HLOOKUP($A467,#REF!,11,FALSE())&lt;-2),"",#REF!),"")</f>
        <v/>
      </c>
      <c r="N467" s="0" t="str">
        <f aca="false">IFERROR(IF(OR(HLOOKUP($A467,#REF!,12,FALSE())&gt;2,HLOOKUP($A467,#REF!,12,FALSE())&lt;-2),"",#REF!),"")</f>
        <v/>
      </c>
      <c r="O467" s="0" t="str">
        <f aca="false">IFERROR(IF(OR(HLOOKUP($A467,#REF!,13,FALSE())&gt;2,HLOOKUP($A467,#REF!,13,FALSE())&lt;-2),"",#REF!),"")</f>
        <v/>
      </c>
      <c r="P467" s="0" t="str">
        <f aca="false">IFERROR(IF(OR(HLOOKUP($A467,#REF!,14,FALSE())&gt;2,HLOOKUP($A467,#REF!,14,FALSE())&lt;-2),"",#REF!),"")</f>
        <v/>
      </c>
      <c r="Q467" s="0" t="str">
        <f aca="false">IFERROR(IF(OR(HLOOKUP($A467,#REF!,15,FALSE())&gt;2,HLOOKUP($A467,#REF!,15,FALSE())&lt;-2),"",#REF!),"")</f>
        <v/>
      </c>
      <c r="R467" s="0" t="str">
        <f aca="false">IFERROR(IF(OR(HLOOKUP($A467,#REF!,16,FALSE())&gt;2,HLOOKUP($A467,#REF!,16,FALSE())&lt;-2),"",#REF!),"")</f>
        <v/>
      </c>
      <c r="S467" s="0" t="str">
        <f aca="false">IFERROR(IF(OR(HLOOKUP($A467,#REF!,17,FALSE())&gt;2,HLOOKUP($A467,#REF!,17,FALSE())&lt;-2),"",#REF!),"")</f>
        <v/>
      </c>
      <c r="T467" s="0" t="str">
        <f aca="false">IFERROR(IF(OR(HLOOKUP($A467,#REF!,18,FALSE())&gt;2,HLOOKUP($A467,#REF!,18,FALSE())&lt;-2),"",#REF!),"")</f>
        <v/>
      </c>
      <c r="U467" s="0" t="str">
        <f aca="false">IFERROR(IF(OR(HLOOKUP($A467,#REF!,19,FALSE())&gt;2,HLOOKUP($A467,#REF!,19,FALSE())&lt;-2),"",#REF!),"")</f>
        <v/>
      </c>
      <c r="V467" s="0" t="n">
        <f aca="false">IFERROR(IF(AND(X467=0,Y467=0),0,1),0)</f>
        <v>1</v>
      </c>
      <c r="W467" s="3" t="str">
        <f aca="false">IFERROR(_xlfn.T.TEST(E467:M467,N467:U467,2,2),"")</f>
        <v/>
      </c>
      <c r="X467" s="0" t="str">
        <f aca="false">IFERROR(AVERAGE(E467:M467),"")</f>
        <v/>
      </c>
      <c r="Y467" s="0" t="str">
        <f aca="false">IFERROR(AVERAGE(N467:U467),"")</f>
        <v/>
      </c>
    </row>
    <row r="468" customFormat="false" ht="14.5" hidden="false" customHeight="false" outlineLevel="0" collapsed="false">
      <c r="A468" s="0" t="n">
        <v>476</v>
      </c>
      <c r="B468" s="0" t="s">
        <v>539</v>
      </c>
      <c r="C468" s="0" t="n">
        <v>21200</v>
      </c>
      <c r="D468" s="0" t="n">
        <v>714</v>
      </c>
      <c r="E468" s="0" t="str">
        <f aca="false">IFERROR(IF(OR(HLOOKUP($A468,#REF!,3,FALSE())&gt;2,HLOOKUP(A468,#REF!,3,FALSE())&lt;-2),"",#REF!),"")</f>
        <v/>
      </c>
      <c r="F468" s="0" t="str">
        <f aca="false">IFERROR(IF(OR(HLOOKUP($A468,#REF!,4,FALSE())&gt;2,HLOOKUP($A468,#REF!,4,FALSE())&lt;-2),"",#REF!),"")</f>
        <v/>
      </c>
      <c r="G468" s="0" t="str">
        <f aca="false">IFERROR(IF(OR(HLOOKUP($A468,#REF!,5,FALSE())&gt;2,HLOOKUP($A468,#REF!,5,FALSE())&lt;-2),"",#REF!),"")</f>
        <v/>
      </c>
      <c r="H468" s="0" t="str">
        <f aca="false">IFERROR(IF(OR(HLOOKUP($A468,#REF!,6,FALSE())&gt;2,HLOOKUP($A468,#REF!,6,FALSE())&lt;-2),"",#REF!),"")</f>
        <v/>
      </c>
      <c r="I468" s="0" t="str">
        <f aca="false">IFERROR(IF(OR(HLOOKUP($A468,#REF!,7,FALSE())&gt;2,HLOOKUP($A468,#REF!,7,FALSE())&lt;-2),"",#REF!),"")</f>
        <v/>
      </c>
      <c r="J468" s="0" t="str">
        <f aca="false">IFERROR(IF(OR(HLOOKUP($A468,#REF!,8,FALSE())&gt;2,HLOOKUP($A468,#REF!,8,FALSE())&lt;-2),"",#REF!),"")</f>
        <v/>
      </c>
      <c r="K468" s="0" t="str">
        <f aca="false">IFERROR(IF(OR(HLOOKUP($A468,#REF!,9,FALSE())&gt;2,HLOOKUP($A468,#REF!,9,FALSE())&lt;-2),"",#REF!),"")</f>
        <v/>
      </c>
      <c r="L468" s="0" t="str">
        <f aca="false">IFERROR(IF(OR(HLOOKUP($A468,#REF!,10,FALSE())&gt;2,HLOOKUP($A468,#REF!,10,FALSE())&lt;-2),"",#REF!),"")</f>
        <v/>
      </c>
      <c r="M468" s="0" t="str">
        <f aca="false">IFERROR(IF(OR(HLOOKUP($A468,#REF!,11,FALSE())&gt;2,HLOOKUP($A468,#REF!,11,FALSE())&lt;-2),"",#REF!),"")</f>
        <v/>
      </c>
      <c r="N468" s="0" t="str">
        <f aca="false">IFERROR(IF(OR(HLOOKUP($A468,#REF!,12,FALSE())&gt;2,HLOOKUP($A468,#REF!,12,FALSE())&lt;-2),"",#REF!),"")</f>
        <v/>
      </c>
      <c r="O468" s="0" t="str">
        <f aca="false">IFERROR(IF(OR(HLOOKUP($A468,#REF!,13,FALSE())&gt;2,HLOOKUP($A468,#REF!,13,FALSE())&lt;-2),"",#REF!),"")</f>
        <v/>
      </c>
      <c r="P468" s="0" t="str">
        <f aca="false">IFERROR(IF(OR(HLOOKUP($A468,#REF!,14,FALSE())&gt;2,HLOOKUP($A468,#REF!,14,FALSE())&lt;-2),"",#REF!),"")</f>
        <v/>
      </c>
      <c r="Q468" s="0" t="str">
        <f aca="false">IFERROR(IF(OR(HLOOKUP($A468,#REF!,15,FALSE())&gt;2,HLOOKUP($A468,#REF!,15,FALSE())&lt;-2),"",#REF!),"")</f>
        <v/>
      </c>
      <c r="R468" s="0" t="str">
        <f aca="false">IFERROR(IF(OR(HLOOKUP($A468,#REF!,16,FALSE())&gt;2,HLOOKUP($A468,#REF!,16,FALSE())&lt;-2),"",#REF!),"")</f>
        <v/>
      </c>
      <c r="S468" s="0" t="str">
        <f aca="false">IFERROR(IF(OR(HLOOKUP($A468,#REF!,17,FALSE())&gt;2,HLOOKUP($A468,#REF!,17,FALSE())&lt;-2),"",#REF!),"")</f>
        <v/>
      </c>
      <c r="T468" s="0" t="str">
        <f aca="false">IFERROR(IF(OR(HLOOKUP($A468,#REF!,18,FALSE())&gt;2,HLOOKUP($A468,#REF!,18,FALSE())&lt;-2),"",#REF!),"")</f>
        <v/>
      </c>
      <c r="U468" s="0" t="str">
        <f aca="false">IFERROR(IF(OR(HLOOKUP($A468,#REF!,19,FALSE())&gt;2,HLOOKUP($A468,#REF!,19,FALSE())&lt;-2),"",#REF!),"")</f>
        <v/>
      </c>
      <c r="V468" s="0" t="n">
        <f aca="false">IFERROR(IF(AND(X468=0,Y468=0),0,1),0)</f>
        <v>1</v>
      </c>
      <c r="W468" s="3" t="str">
        <f aca="false">IFERROR(_xlfn.T.TEST(E468:M468,N468:U468,2,2),"")</f>
        <v/>
      </c>
      <c r="X468" s="0" t="str">
        <f aca="false">IFERROR(AVERAGE(E468:M468),"")</f>
        <v/>
      </c>
      <c r="Y468" s="0" t="str">
        <f aca="false">IFERROR(AVERAGE(N468:U468),"")</f>
        <v/>
      </c>
    </row>
    <row r="469" customFormat="false" ht="14.5" hidden="false" customHeight="false" outlineLevel="0" collapsed="false">
      <c r="A469" s="0" t="n">
        <v>477</v>
      </c>
      <c r="B469" s="0" t="s">
        <v>540</v>
      </c>
      <c r="C469" s="0" t="n">
        <v>48000</v>
      </c>
      <c r="D469" s="0" t="n">
        <v>623</v>
      </c>
      <c r="E469" s="0" t="str">
        <f aca="false">IFERROR(IF(OR(HLOOKUP($A469,#REF!,3,FALSE())&gt;2,HLOOKUP(A469,#REF!,3,FALSE())&lt;-2),"",#REF!),"")</f>
        <v/>
      </c>
      <c r="F469" s="0" t="str">
        <f aca="false">IFERROR(IF(OR(HLOOKUP($A469,#REF!,4,FALSE())&gt;2,HLOOKUP($A469,#REF!,4,FALSE())&lt;-2),"",#REF!),"")</f>
        <v/>
      </c>
      <c r="G469" s="0" t="str">
        <f aca="false">IFERROR(IF(OR(HLOOKUP($A469,#REF!,5,FALSE())&gt;2,HLOOKUP($A469,#REF!,5,FALSE())&lt;-2),"",#REF!),"")</f>
        <v/>
      </c>
      <c r="H469" s="0" t="str">
        <f aca="false">IFERROR(IF(OR(HLOOKUP($A469,#REF!,6,FALSE())&gt;2,HLOOKUP($A469,#REF!,6,FALSE())&lt;-2),"",#REF!),"")</f>
        <v/>
      </c>
      <c r="I469" s="0" t="str">
        <f aca="false">IFERROR(IF(OR(HLOOKUP($A469,#REF!,7,FALSE())&gt;2,HLOOKUP($A469,#REF!,7,FALSE())&lt;-2),"",#REF!),"")</f>
        <v/>
      </c>
      <c r="J469" s="0" t="str">
        <f aca="false">IFERROR(IF(OR(HLOOKUP($A469,#REF!,8,FALSE())&gt;2,HLOOKUP($A469,#REF!,8,FALSE())&lt;-2),"",#REF!),"")</f>
        <v/>
      </c>
      <c r="K469" s="0" t="str">
        <f aca="false">IFERROR(IF(OR(HLOOKUP($A469,#REF!,9,FALSE())&gt;2,HLOOKUP($A469,#REF!,9,FALSE())&lt;-2),"",#REF!),"")</f>
        <v/>
      </c>
      <c r="L469" s="0" t="str">
        <f aca="false">IFERROR(IF(OR(HLOOKUP($A469,#REF!,10,FALSE())&gt;2,HLOOKUP($A469,#REF!,10,FALSE())&lt;-2),"",#REF!),"")</f>
        <v/>
      </c>
      <c r="M469" s="0" t="str">
        <f aca="false">IFERROR(IF(OR(HLOOKUP($A469,#REF!,11,FALSE())&gt;2,HLOOKUP($A469,#REF!,11,FALSE())&lt;-2),"",#REF!),"")</f>
        <v/>
      </c>
      <c r="N469" s="0" t="str">
        <f aca="false">IFERROR(IF(OR(HLOOKUP($A469,#REF!,12,FALSE())&gt;2,HLOOKUP($A469,#REF!,12,FALSE())&lt;-2),"",#REF!),"")</f>
        <v/>
      </c>
      <c r="O469" s="0" t="str">
        <f aca="false">IFERROR(IF(OR(HLOOKUP($A469,#REF!,13,FALSE())&gt;2,HLOOKUP($A469,#REF!,13,FALSE())&lt;-2),"",#REF!),"")</f>
        <v/>
      </c>
      <c r="P469" s="0" t="str">
        <f aca="false">IFERROR(IF(OR(HLOOKUP($A469,#REF!,14,FALSE())&gt;2,HLOOKUP($A469,#REF!,14,FALSE())&lt;-2),"",#REF!),"")</f>
        <v/>
      </c>
      <c r="Q469" s="0" t="str">
        <f aca="false">IFERROR(IF(OR(HLOOKUP($A469,#REF!,15,FALSE())&gt;2,HLOOKUP($A469,#REF!,15,FALSE())&lt;-2),"",#REF!),"")</f>
        <v/>
      </c>
      <c r="R469" s="0" t="str">
        <f aca="false">IFERROR(IF(OR(HLOOKUP($A469,#REF!,16,FALSE())&gt;2,HLOOKUP($A469,#REF!,16,FALSE())&lt;-2),"",#REF!),"")</f>
        <v/>
      </c>
      <c r="S469" s="0" t="str">
        <f aca="false">IFERROR(IF(OR(HLOOKUP($A469,#REF!,17,FALSE())&gt;2,HLOOKUP($A469,#REF!,17,FALSE())&lt;-2),"",#REF!),"")</f>
        <v/>
      </c>
      <c r="T469" s="0" t="str">
        <f aca="false">IFERROR(IF(OR(HLOOKUP($A469,#REF!,18,FALSE())&gt;2,HLOOKUP($A469,#REF!,18,FALSE())&lt;-2),"",#REF!),"")</f>
        <v/>
      </c>
      <c r="U469" s="0" t="str">
        <f aca="false">IFERROR(IF(OR(HLOOKUP($A469,#REF!,19,FALSE())&gt;2,HLOOKUP($A469,#REF!,19,FALSE())&lt;-2),"",#REF!),"")</f>
        <v/>
      </c>
      <c r="V469" s="0" t="n">
        <f aca="false">IFERROR(IF(AND(X469=0,Y469=0),0,1),0)</f>
        <v>1</v>
      </c>
      <c r="W469" s="3" t="str">
        <f aca="false">IFERROR(_xlfn.T.TEST(E469:M469,N469:U469,2,2),"")</f>
        <v/>
      </c>
      <c r="X469" s="0" t="str">
        <f aca="false">IFERROR(AVERAGE(E469:M469),"")</f>
        <v/>
      </c>
      <c r="Y469" s="0" t="str">
        <f aca="false">IFERROR(AVERAGE(N469:U469),"")</f>
        <v/>
      </c>
    </row>
    <row r="470" customFormat="false" ht="14.5" hidden="false" customHeight="false" outlineLevel="0" collapsed="false">
      <c r="A470" s="0" t="n">
        <v>478</v>
      </c>
      <c r="B470" s="0" t="s">
        <v>541</v>
      </c>
      <c r="C470" s="0" t="n">
        <v>5400</v>
      </c>
      <c r="D470" s="0" t="n">
        <v>337</v>
      </c>
      <c r="E470" s="0" t="str">
        <f aca="false">IFERROR(IF(OR(HLOOKUP($A470,#REF!,3,FALSE())&gt;2,HLOOKUP(A470,#REF!,3,FALSE())&lt;-2),"",#REF!),"")</f>
        <v/>
      </c>
      <c r="F470" s="0" t="str">
        <f aca="false">IFERROR(IF(OR(HLOOKUP($A470,#REF!,4,FALSE())&gt;2,HLOOKUP($A470,#REF!,4,FALSE())&lt;-2),"",#REF!),"")</f>
        <v/>
      </c>
      <c r="G470" s="0" t="str">
        <f aca="false">IFERROR(IF(OR(HLOOKUP($A470,#REF!,5,FALSE())&gt;2,HLOOKUP($A470,#REF!,5,FALSE())&lt;-2),"",#REF!),"")</f>
        <v/>
      </c>
      <c r="H470" s="0" t="str">
        <f aca="false">IFERROR(IF(OR(HLOOKUP($A470,#REF!,6,FALSE())&gt;2,HLOOKUP($A470,#REF!,6,FALSE())&lt;-2),"",#REF!),"")</f>
        <v/>
      </c>
      <c r="I470" s="0" t="str">
        <f aca="false">IFERROR(IF(OR(HLOOKUP($A470,#REF!,7,FALSE())&gt;2,HLOOKUP($A470,#REF!,7,FALSE())&lt;-2),"",#REF!),"")</f>
        <v/>
      </c>
      <c r="J470" s="0" t="str">
        <f aca="false">IFERROR(IF(OR(HLOOKUP($A470,#REF!,8,FALSE())&gt;2,HLOOKUP($A470,#REF!,8,FALSE())&lt;-2),"",#REF!),"")</f>
        <v/>
      </c>
      <c r="K470" s="0" t="str">
        <f aca="false">IFERROR(IF(OR(HLOOKUP($A470,#REF!,9,FALSE())&gt;2,HLOOKUP($A470,#REF!,9,FALSE())&lt;-2),"",#REF!),"")</f>
        <v/>
      </c>
      <c r="L470" s="0" t="str">
        <f aca="false">IFERROR(IF(OR(HLOOKUP($A470,#REF!,10,FALSE())&gt;2,HLOOKUP($A470,#REF!,10,FALSE())&lt;-2),"",#REF!),"")</f>
        <v/>
      </c>
      <c r="M470" s="0" t="str">
        <f aca="false">IFERROR(IF(OR(HLOOKUP($A470,#REF!,11,FALSE())&gt;2,HLOOKUP($A470,#REF!,11,FALSE())&lt;-2),"",#REF!),"")</f>
        <v/>
      </c>
      <c r="N470" s="0" t="str">
        <f aca="false">IFERROR(IF(OR(HLOOKUP($A470,#REF!,12,FALSE())&gt;2,HLOOKUP($A470,#REF!,12,FALSE())&lt;-2),"",#REF!),"")</f>
        <v/>
      </c>
      <c r="O470" s="0" t="str">
        <f aca="false">IFERROR(IF(OR(HLOOKUP($A470,#REF!,13,FALSE())&gt;2,HLOOKUP($A470,#REF!,13,FALSE())&lt;-2),"",#REF!),"")</f>
        <v/>
      </c>
      <c r="P470" s="0" t="str">
        <f aca="false">IFERROR(IF(OR(HLOOKUP($A470,#REF!,14,FALSE())&gt;2,HLOOKUP($A470,#REF!,14,FALSE())&lt;-2),"",#REF!),"")</f>
        <v/>
      </c>
      <c r="Q470" s="0" t="str">
        <f aca="false">IFERROR(IF(OR(HLOOKUP($A470,#REF!,15,FALSE())&gt;2,HLOOKUP($A470,#REF!,15,FALSE())&lt;-2),"",#REF!),"")</f>
        <v/>
      </c>
      <c r="R470" s="0" t="str">
        <f aca="false">IFERROR(IF(OR(HLOOKUP($A470,#REF!,16,FALSE())&gt;2,HLOOKUP($A470,#REF!,16,FALSE())&lt;-2),"",#REF!),"")</f>
        <v/>
      </c>
      <c r="S470" s="0" t="str">
        <f aca="false">IFERROR(IF(OR(HLOOKUP($A470,#REF!,17,FALSE())&gt;2,HLOOKUP($A470,#REF!,17,FALSE())&lt;-2),"",#REF!),"")</f>
        <v/>
      </c>
      <c r="T470" s="0" t="str">
        <f aca="false">IFERROR(IF(OR(HLOOKUP($A470,#REF!,18,FALSE())&gt;2,HLOOKUP($A470,#REF!,18,FALSE())&lt;-2),"",#REF!),"")</f>
        <v/>
      </c>
      <c r="U470" s="0" t="str">
        <f aca="false">IFERROR(IF(OR(HLOOKUP($A470,#REF!,19,FALSE())&gt;2,HLOOKUP($A470,#REF!,19,FALSE())&lt;-2),"",#REF!),"")</f>
        <v/>
      </c>
      <c r="V470" s="0" t="n">
        <f aca="false">IFERROR(IF(AND(X470=0,Y470=0),0,1),0)</f>
        <v>1</v>
      </c>
      <c r="W470" s="3" t="str">
        <f aca="false">IFERROR(_xlfn.T.TEST(E470:M470,N470:U470,2,2),"")</f>
        <v/>
      </c>
      <c r="X470" s="0" t="str">
        <f aca="false">IFERROR(AVERAGE(E470:M470),"")</f>
        <v/>
      </c>
      <c r="Y470" s="0" t="str">
        <f aca="false">IFERROR(AVERAGE(N470:U470),"")</f>
        <v/>
      </c>
    </row>
    <row r="471" customFormat="false" ht="14.5" hidden="false" customHeight="false" outlineLevel="0" collapsed="false">
      <c r="A471" s="0" t="n">
        <v>479</v>
      </c>
      <c r="B471" s="0" t="s">
        <v>542</v>
      </c>
      <c r="C471" s="0" t="n">
        <v>38900</v>
      </c>
      <c r="D471" s="0" t="n">
        <v>463</v>
      </c>
      <c r="E471" s="0" t="str">
        <f aca="false">IFERROR(IF(OR(HLOOKUP($A471,#REF!,3,FALSE())&gt;2,HLOOKUP(A471,#REF!,3,FALSE())&lt;-2),"",#REF!),"")</f>
        <v/>
      </c>
      <c r="F471" s="0" t="str">
        <f aca="false">IFERROR(IF(OR(HLOOKUP($A471,#REF!,4,FALSE())&gt;2,HLOOKUP($A471,#REF!,4,FALSE())&lt;-2),"",#REF!),"")</f>
        <v/>
      </c>
      <c r="G471" s="0" t="str">
        <f aca="false">IFERROR(IF(OR(HLOOKUP($A471,#REF!,5,FALSE())&gt;2,HLOOKUP($A471,#REF!,5,FALSE())&lt;-2),"",#REF!),"")</f>
        <v/>
      </c>
      <c r="H471" s="0" t="str">
        <f aca="false">IFERROR(IF(OR(HLOOKUP($A471,#REF!,6,FALSE())&gt;2,HLOOKUP($A471,#REF!,6,FALSE())&lt;-2),"",#REF!),"")</f>
        <v/>
      </c>
      <c r="I471" s="0" t="str">
        <f aca="false">IFERROR(IF(OR(HLOOKUP($A471,#REF!,7,FALSE())&gt;2,HLOOKUP($A471,#REF!,7,FALSE())&lt;-2),"",#REF!),"")</f>
        <v/>
      </c>
      <c r="J471" s="0" t="str">
        <f aca="false">IFERROR(IF(OR(HLOOKUP($A471,#REF!,8,FALSE())&gt;2,HLOOKUP($A471,#REF!,8,FALSE())&lt;-2),"",#REF!),"")</f>
        <v/>
      </c>
      <c r="K471" s="0" t="str">
        <f aca="false">IFERROR(IF(OR(HLOOKUP($A471,#REF!,9,FALSE())&gt;2,HLOOKUP($A471,#REF!,9,FALSE())&lt;-2),"",#REF!),"")</f>
        <v/>
      </c>
      <c r="L471" s="0" t="str">
        <f aca="false">IFERROR(IF(OR(HLOOKUP($A471,#REF!,10,FALSE())&gt;2,HLOOKUP($A471,#REF!,10,FALSE())&lt;-2),"",#REF!),"")</f>
        <v/>
      </c>
      <c r="M471" s="0" t="str">
        <f aca="false">IFERROR(IF(OR(HLOOKUP($A471,#REF!,11,FALSE())&gt;2,HLOOKUP($A471,#REF!,11,FALSE())&lt;-2),"",#REF!),"")</f>
        <v/>
      </c>
      <c r="N471" s="0" t="str">
        <f aca="false">IFERROR(IF(OR(HLOOKUP($A471,#REF!,12,FALSE())&gt;2,HLOOKUP($A471,#REF!,12,FALSE())&lt;-2),"",#REF!),"")</f>
        <v/>
      </c>
      <c r="O471" s="0" t="str">
        <f aca="false">IFERROR(IF(OR(HLOOKUP($A471,#REF!,13,FALSE())&gt;2,HLOOKUP($A471,#REF!,13,FALSE())&lt;-2),"",#REF!),"")</f>
        <v/>
      </c>
      <c r="P471" s="0" t="str">
        <f aca="false">IFERROR(IF(OR(HLOOKUP($A471,#REF!,14,FALSE())&gt;2,HLOOKUP($A471,#REF!,14,FALSE())&lt;-2),"",#REF!),"")</f>
        <v/>
      </c>
      <c r="Q471" s="0" t="str">
        <f aca="false">IFERROR(IF(OR(HLOOKUP($A471,#REF!,15,FALSE())&gt;2,HLOOKUP($A471,#REF!,15,FALSE())&lt;-2),"",#REF!),"")</f>
        <v/>
      </c>
      <c r="R471" s="0" t="str">
        <f aca="false">IFERROR(IF(OR(HLOOKUP($A471,#REF!,16,FALSE())&gt;2,HLOOKUP($A471,#REF!,16,FALSE())&lt;-2),"",#REF!),"")</f>
        <v/>
      </c>
      <c r="S471" s="0" t="str">
        <f aca="false">IFERROR(IF(OR(HLOOKUP($A471,#REF!,17,FALSE())&gt;2,HLOOKUP($A471,#REF!,17,FALSE())&lt;-2),"",#REF!),"")</f>
        <v/>
      </c>
      <c r="T471" s="0" t="str">
        <f aca="false">IFERROR(IF(OR(HLOOKUP($A471,#REF!,18,FALSE())&gt;2,HLOOKUP($A471,#REF!,18,FALSE())&lt;-2),"",#REF!),"")</f>
        <v/>
      </c>
      <c r="U471" s="0" t="str">
        <f aca="false">IFERROR(IF(OR(HLOOKUP($A471,#REF!,19,FALSE())&gt;2,HLOOKUP($A471,#REF!,19,FALSE())&lt;-2),"",#REF!),"")</f>
        <v/>
      </c>
      <c r="V471" s="0" t="n">
        <f aca="false">IFERROR(IF(AND(X471=0,Y471=0),0,1),0)</f>
        <v>1</v>
      </c>
      <c r="W471" s="3" t="str">
        <f aca="false">IFERROR(_xlfn.T.TEST(E471:M471,N471:U471,2,2),"")</f>
        <v/>
      </c>
      <c r="X471" s="0" t="str">
        <f aca="false">IFERROR(AVERAGE(E471:M471),"")</f>
        <v/>
      </c>
      <c r="Y471" s="0" t="str">
        <f aca="false">IFERROR(AVERAGE(N471:U471),"")</f>
        <v/>
      </c>
    </row>
    <row r="472" customFormat="false" ht="14.5" hidden="false" customHeight="false" outlineLevel="0" collapsed="false">
      <c r="A472" s="0" t="n">
        <v>480</v>
      </c>
      <c r="B472" s="0" t="s">
        <v>543</v>
      </c>
      <c r="C472" s="0" t="n">
        <v>51300</v>
      </c>
      <c r="D472" s="0" t="n">
        <v>426</v>
      </c>
      <c r="E472" s="0" t="str">
        <f aca="false">IFERROR(IF(OR(HLOOKUP($A472,#REF!,3,FALSE())&gt;2,HLOOKUP(A472,#REF!,3,FALSE())&lt;-2),"",#REF!),"")</f>
        <v/>
      </c>
      <c r="F472" s="0" t="str">
        <f aca="false">IFERROR(IF(OR(HLOOKUP($A472,#REF!,4,FALSE())&gt;2,HLOOKUP($A472,#REF!,4,FALSE())&lt;-2),"",#REF!),"")</f>
        <v/>
      </c>
      <c r="G472" s="0" t="str">
        <f aca="false">IFERROR(IF(OR(HLOOKUP($A472,#REF!,5,FALSE())&gt;2,HLOOKUP($A472,#REF!,5,FALSE())&lt;-2),"",#REF!),"")</f>
        <v/>
      </c>
      <c r="H472" s="0" t="str">
        <f aca="false">IFERROR(IF(OR(HLOOKUP($A472,#REF!,6,FALSE())&gt;2,HLOOKUP($A472,#REF!,6,FALSE())&lt;-2),"",#REF!),"")</f>
        <v/>
      </c>
      <c r="I472" s="0" t="str">
        <f aca="false">IFERROR(IF(OR(HLOOKUP($A472,#REF!,7,FALSE())&gt;2,HLOOKUP($A472,#REF!,7,FALSE())&lt;-2),"",#REF!),"")</f>
        <v/>
      </c>
      <c r="J472" s="0" t="str">
        <f aca="false">IFERROR(IF(OR(HLOOKUP($A472,#REF!,8,FALSE())&gt;2,HLOOKUP($A472,#REF!,8,FALSE())&lt;-2),"",#REF!),"")</f>
        <v/>
      </c>
      <c r="K472" s="0" t="str">
        <f aca="false">IFERROR(IF(OR(HLOOKUP($A472,#REF!,9,FALSE())&gt;2,HLOOKUP($A472,#REF!,9,FALSE())&lt;-2),"",#REF!),"")</f>
        <v/>
      </c>
      <c r="L472" s="0" t="str">
        <f aca="false">IFERROR(IF(OR(HLOOKUP($A472,#REF!,10,FALSE())&gt;2,HLOOKUP($A472,#REF!,10,FALSE())&lt;-2),"",#REF!),"")</f>
        <v/>
      </c>
      <c r="M472" s="0" t="str">
        <f aca="false">IFERROR(IF(OR(HLOOKUP($A472,#REF!,11,FALSE())&gt;2,HLOOKUP($A472,#REF!,11,FALSE())&lt;-2),"",#REF!),"")</f>
        <v/>
      </c>
      <c r="N472" s="0" t="str">
        <f aca="false">IFERROR(IF(OR(HLOOKUP($A472,#REF!,12,FALSE())&gt;2,HLOOKUP($A472,#REF!,12,FALSE())&lt;-2),"",#REF!),"")</f>
        <v/>
      </c>
      <c r="O472" s="0" t="str">
        <f aca="false">IFERROR(IF(OR(HLOOKUP($A472,#REF!,13,FALSE())&gt;2,HLOOKUP($A472,#REF!,13,FALSE())&lt;-2),"",#REF!),"")</f>
        <v/>
      </c>
      <c r="P472" s="0" t="str">
        <f aca="false">IFERROR(IF(OR(HLOOKUP($A472,#REF!,14,FALSE())&gt;2,HLOOKUP($A472,#REF!,14,FALSE())&lt;-2),"",#REF!),"")</f>
        <v/>
      </c>
      <c r="Q472" s="0" t="str">
        <f aca="false">IFERROR(IF(OR(HLOOKUP($A472,#REF!,15,FALSE())&gt;2,HLOOKUP($A472,#REF!,15,FALSE())&lt;-2),"",#REF!),"")</f>
        <v/>
      </c>
      <c r="R472" s="0" t="str">
        <f aca="false">IFERROR(IF(OR(HLOOKUP($A472,#REF!,16,FALSE())&gt;2,HLOOKUP($A472,#REF!,16,FALSE())&lt;-2),"",#REF!),"")</f>
        <v/>
      </c>
      <c r="S472" s="0" t="str">
        <f aca="false">IFERROR(IF(OR(HLOOKUP($A472,#REF!,17,FALSE())&gt;2,HLOOKUP($A472,#REF!,17,FALSE())&lt;-2),"",#REF!),"")</f>
        <v/>
      </c>
      <c r="T472" s="0" t="str">
        <f aca="false">IFERROR(IF(OR(HLOOKUP($A472,#REF!,18,FALSE())&gt;2,HLOOKUP($A472,#REF!,18,FALSE())&lt;-2),"",#REF!),"")</f>
        <v/>
      </c>
      <c r="U472" s="0" t="str">
        <f aca="false">IFERROR(IF(OR(HLOOKUP($A472,#REF!,19,FALSE())&gt;2,HLOOKUP($A472,#REF!,19,FALSE())&lt;-2),"",#REF!),"")</f>
        <v/>
      </c>
      <c r="V472" s="0" t="n">
        <f aca="false">IFERROR(IF(AND(X472=0,Y472=0),0,1),0)</f>
        <v>1</v>
      </c>
      <c r="W472" s="3" t="str">
        <f aca="false">IFERROR(_xlfn.T.TEST(E472:M472,N472:U472,2,2),"")</f>
        <v/>
      </c>
      <c r="X472" s="0" t="str">
        <f aca="false">IFERROR(AVERAGE(E472:M472),"")</f>
        <v/>
      </c>
      <c r="Y472" s="0" t="str">
        <f aca="false">IFERROR(AVERAGE(N472:U472),"")</f>
        <v/>
      </c>
    </row>
    <row r="473" customFormat="false" ht="14.5" hidden="false" customHeight="false" outlineLevel="0" collapsed="false">
      <c r="A473" s="0" t="n">
        <v>481</v>
      </c>
      <c r="B473" s="0" t="s">
        <v>544</v>
      </c>
      <c r="C473" s="0" t="n">
        <v>48700</v>
      </c>
      <c r="D473" s="0" t="n">
        <v>754</v>
      </c>
      <c r="E473" s="0" t="str">
        <f aca="false">IFERROR(IF(OR(HLOOKUP($A473,#REF!,3,FALSE())&gt;2,HLOOKUP(A473,#REF!,3,FALSE())&lt;-2),"",#REF!),"")</f>
        <v/>
      </c>
      <c r="F473" s="0" t="str">
        <f aca="false">IFERROR(IF(OR(HLOOKUP($A473,#REF!,4,FALSE())&gt;2,HLOOKUP($A473,#REF!,4,FALSE())&lt;-2),"",#REF!),"")</f>
        <v/>
      </c>
      <c r="G473" s="0" t="str">
        <f aca="false">IFERROR(IF(OR(HLOOKUP($A473,#REF!,5,FALSE())&gt;2,HLOOKUP($A473,#REF!,5,FALSE())&lt;-2),"",#REF!),"")</f>
        <v/>
      </c>
      <c r="H473" s="0" t="str">
        <f aca="false">IFERROR(IF(OR(HLOOKUP($A473,#REF!,6,FALSE())&gt;2,HLOOKUP($A473,#REF!,6,FALSE())&lt;-2),"",#REF!),"")</f>
        <v/>
      </c>
      <c r="I473" s="0" t="str">
        <f aca="false">IFERROR(IF(OR(HLOOKUP($A473,#REF!,7,FALSE())&gt;2,HLOOKUP($A473,#REF!,7,FALSE())&lt;-2),"",#REF!),"")</f>
        <v/>
      </c>
      <c r="J473" s="0" t="str">
        <f aca="false">IFERROR(IF(OR(HLOOKUP($A473,#REF!,8,FALSE())&gt;2,HLOOKUP($A473,#REF!,8,FALSE())&lt;-2),"",#REF!),"")</f>
        <v/>
      </c>
      <c r="K473" s="0" t="str">
        <f aca="false">IFERROR(IF(OR(HLOOKUP($A473,#REF!,9,FALSE())&gt;2,HLOOKUP($A473,#REF!,9,FALSE())&lt;-2),"",#REF!),"")</f>
        <v/>
      </c>
      <c r="L473" s="0" t="str">
        <f aca="false">IFERROR(IF(OR(HLOOKUP($A473,#REF!,10,FALSE())&gt;2,HLOOKUP($A473,#REF!,10,FALSE())&lt;-2),"",#REF!),"")</f>
        <v/>
      </c>
      <c r="M473" s="0" t="str">
        <f aca="false">IFERROR(IF(OR(HLOOKUP($A473,#REF!,11,FALSE())&gt;2,HLOOKUP($A473,#REF!,11,FALSE())&lt;-2),"",#REF!),"")</f>
        <v/>
      </c>
      <c r="N473" s="0" t="str">
        <f aca="false">IFERROR(IF(OR(HLOOKUP($A473,#REF!,12,FALSE())&gt;2,HLOOKUP($A473,#REF!,12,FALSE())&lt;-2),"",#REF!),"")</f>
        <v/>
      </c>
      <c r="O473" s="0" t="str">
        <f aca="false">IFERROR(IF(OR(HLOOKUP($A473,#REF!,13,FALSE())&gt;2,HLOOKUP($A473,#REF!,13,FALSE())&lt;-2),"",#REF!),"")</f>
        <v/>
      </c>
      <c r="P473" s="0" t="str">
        <f aca="false">IFERROR(IF(OR(HLOOKUP($A473,#REF!,14,FALSE())&gt;2,HLOOKUP($A473,#REF!,14,FALSE())&lt;-2),"",#REF!),"")</f>
        <v/>
      </c>
      <c r="Q473" s="0" t="str">
        <f aca="false">IFERROR(IF(OR(HLOOKUP($A473,#REF!,15,FALSE())&gt;2,HLOOKUP($A473,#REF!,15,FALSE())&lt;-2),"",#REF!),"")</f>
        <v/>
      </c>
      <c r="R473" s="0" t="str">
        <f aca="false">IFERROR(IF(OR(HLOOKUP($A473,#REF!,16,FALSE())&gt;2,HLOOKUP($A473,#REF!,16,FALSE())&lt;-2),"",#REF!),"")</f>
        <v/>
      </c>
      <c r="S473" s="0" t="str">
        <f aca="false">IFERROR(IF(OR(HLOOKUP($A473,#REF!,17,FALSE())&gt;2,HLOOKUP($A473,#REF!,17,FALSE())&lt;-2),"",#REF!),"")</f>
        <v/>
      </c>
      <c r="T473" s="0" t="str">
        <f aca="false">IFERROR(IF(OR(HLOOKUP($A473,#REF!,18,FALSE())&gt;2,HLOOKUP($A473,#REF!,18,FALSE())&lt;-2),"",#REF!),"")</f>
        <v/>
      </c>
      <c r="U473" s="0" t="str">
        <f aca="false">IFERROR(IF(OR(HLOOKUP($A473,#REF!,19,FALSE())&gt;2,HLOOKUP($A473,#REF!,19,FALSE())&lt;-2),"",#REF!),"")</f>
        <v/>
      </c>
      <c r="V473" s="0" t="n">
        <f aca="false">IFERROR(IF(AND(X473=0,Y473=0),0,1),0)</f>
        <v>1</v>
      </c>
      <c r="W473" s="3" t="str">
        <f aca="false">IFERROR(_xlfn.T.TEST(E473:M473,N473:U473,2,2),"")</f>
        <v/>
      </c>
      <c r="X473" s="0" t="str">
        <f aca="false">IFERROR(AVERAGE(E473:M473),"")</f>
        <v/>
      </c>
      <c r="Y473" s="0" t="str">
        <f aca="false">IFERROR(AVERAGE(N473:U473),"")</f>
        <v/>
      </c>
    </row>
    <row r="474" customFormat="false" ht="14.5" hidden="false" customHeight="false" outlineLevel="0" collapsed="false">
      <c r="A474" s="0" t="n">
        <v>482</v>
      </c>
      <c r="B474" s="0" t="s">
        <v>545</v>
      </c>
      <c r="C474" s="0" t="n">
        <v>101300</v>
      </c>
      <c r="D474" s="0" t="n">
        <v>948</v>
      </c>
      <c r="E474" s="0" t="str">
        <f aca="false">IFERROR(IF(OR(HLOOKUP($A474,#REF!,3,FALSE())&gt;2,HLOOKUP(A474,#REF!,3,FALSE())&lt;-2),"",#REF!),"")</f>
        <v/>
      </c>
      <c r="F474" s="0" t="str">
        <f aca="false">IFERROR(IF(OR(HLOOKUP($A474,#REF!,4,FALSE())&gt;2,HLOOKUP($A474,#REF!,4,FALSE())&lt;-2),"",#REF!),"")</f>
        <v/>
      </c>
      <c r="G474" s="0" t="str">
        <f aca="false">IFERROR(IF(OR(HLOOKUP($A474,#REF!,5,FALSE())&gt;2,HLOOKUP($A474,#REF!,5,FALSE())&lt;-2),"",#REF!),"")</f>
        <v/>
      </c>
      <c r="H474" s="0" t="str">
        <f aca="false">IFERROR(IF(OR(HLOOKUP($A474,#REF!,6,FALSE())&gt;2,HLOOKUP($A474,#REF!,6,FALSE())&lt;-2),"",#REF!),"")</f>
        <v/>
      </c>
      <c r="I474" s="0" t="str">
        <f aca="false">IFERROR(IF(OR(HLOOKUP($A474,#REF!,7,FALSE())&gt;2,HLOOKUP($A474,#REF!,7,FALSE())&lt;-2),"",#REF!),"")</f>
        <v/>
      </c>
      <c r="J474" s="0" t="str">
        <f aca="false">IFERROR(IF(OR(HLOOKUP($A474,#REF!,8,FALSE())&gt;2,HLOOKUP($A474,#REF!,8,FALSE())&lt;-2),"",#REF!),"")</f>
        <v/>
      </c>
      <c r="K474" s="0" t="str">
        <f aca="false">IFERROR(IF(OR(HLOOKUP($A474,#REF!,9,FALSE())&gt;2,HLOOKUP($A474,#REF!,9,FALSE())&lt;-2),"",#REF!),"")</f>
        <v/>
      </c>
      <c r="L474" s="0" t="str">
        <f aca="false">IFERROR(IF(OR(HLOOKUP($A474,#REF!,10,FALSE())&gt;2,HLOOKUP($A474,#REF!,10,FALSE())&lt;-2),"",#REF!),"")</f>
        <v/>
      </c>
      <c r="M474" s="0" t="str">
        <f aca="false">IFERROR(IF(OR(HLOOKUP($A474,#REF!,11,FALSE())&gt;2,HLOOKUP($A474,#REF!,11,FALSE())&lt;-2),"",#REF!),"")</f>
        <v/>
      </c>
      <c r="N474" s="0" t="str">
        <f aca="false">IFERROR(IF(OR(HLOOKUP($A474,#REF!,12,FALSE())&gt;2,HLOOKUP($A474,#REF!,12,FALSE())&lt;-2),"",#REF!),"")</f>
        <v/>
      </c>
      <c r="O474" s="0" t="str">
        <f aca="false">IFERROR(IF(OR(HLOOKUP($A474,#REF!,13,FALSE())&gt;2,HLOOKUP($A474,#REF!,13,FALSE())&lt;-2),"",#REF!),"")</f>
        <v/>
      </c>
      <c r="P474" s="0" t="str">
        <f aca="false">IFERROR(IF(OR(HLOOKUP($A474,#REF!,14,FALSE())&gt;2,HLOOKUP($A474,#REF!,14,FALSE())&lt;-2),"",#REF!),"")</f>
        <v/>
      </c>
      <c r="Q474" s="0" t="str">
        <f aca="false">IFERROR(IF(OR(HLOOKUP($A474,#REF!,15,FALSE())&gt;2,HLOOKUP($A474,#REF!,15,FALSE())&lt;-2),"",#REF!),"")</f>
        <v/>
      </c>
      <c r="R474" s="0" t="str">
        <f aca="false">IFERROR(IF(OR(HLOOKUP($A474,#REF!,16,FALSE())&gt;2,HLOOKUP($A474,#REF!,16,FALSE())&lt;-2),"",#REF!),"")</f>
        <v/>
      </c>
      <c r="S474" s="0" t="str">
        <f aca="false">IFERROR(IF(OR(HLOOKUP($A474,#REF!,17,FALSE())&gt;2,HLOOKUP($A474,#REF!,17,FALSE())&lt;-2),"",#REF!),"")</f>
        <v/>
      </c>
      <c r="T474" s="0" t="str">
        <f aca="false">IFERROR(IF(OR(HLOOKUP($A474,#REF!,18,FALSE())&gt;2,HLOOKUP($A474,#REF!,18,FALSE())&lt;-2),"",#REF!),"")</f>
        <v/>
      </c>
      <c r="U474" s="0" t="str">
        <f aca="false">IFERROR(IF(OR(HLOOKUP($A474,#REF!,19,FALSE())&gt;2,HLOOKUP($A474,#REF!,19,FALSE())&lt;-2),"",#REF!),"")</f>
        <v/>
      </c>
      <c r="V474" s="0" t="n">
        <f aca="false">IFERROR(IF(AND(X474=0,Y474=0),0,1),0)</f>
        <v>1</v>
      </c>
      <c r="W474" s="3" t="str">
        <f aca="false">IFERROR(_xlfn.T.TEST(E474:M474,N474:U474,2,2),"")</f>
        <v/>
      </c>
      <c r="X474" s="0" t="str">
        <f aca="false">IFERROR(AVERAGE(E474:M474),"")</f>
        <v/>
      </c>
      <c r="Y474" s="0" t="str">
        <f aca="false">IFERROR(AVERAGE(N474:U474),"")</f>
        <v/>
      </c>
    </row>
    <row r="475" customFormat="false" ht="14.5" hidden="false" customHeight="false" outlineLevel="0" collapsed="false">
      <c r="A475" s="0" t="n">
        <v>483</v>
      </c>
      <c r="B475" s="0" t="s">
        <v>546</v>
      </c>
      <c r="C475" s="0" t="n">
        <v>69700</v>
      </c>
      <c r="D475" s="0" t="n">
        <v>958</v>
      </c>
      <c r="E475" s="0" t="str">
        <f aca="false">IFERROR(IF(OR(HLOOKUP($A475,#REF!,3,FALSE())&gt;2,HLOOKUP(A475,#REF!,3,FALSE())&lt;-2),"",#REF!),"")</f>
        <v/>
      </c>
      <c r="F475" s="0" t="str">
        <f aca="false">IFERROR(IF(OR(HLOOKUP($A475,#REF!,4,FALSE())&gt;2,HLOOKUP($A475,#REF!,4,FALSE())&lt;-2),"",#REF!),"")</f>
        <v/>
      </c>
      <c r="G475" s="0" t="str">
        <f aca="false">IFERROR(IF(OR(HLOOKUP($A475,#REF!,5,FALSE())&gt;2,HLOOKUP($A475,#REF!,5,FALSE())&lt;-2),"",#REF!),"")</f>
        <v/>
      </c>
      <c r="H475" s="0" t="str">
        <f aca="false">IFERROR(IF(OR(HLOOKUP($A475,#REF!,6,FALSE())&gt;2,HLOOKUP($A475,#REF!,6,FALSE())&lt;-2),"",#REF!),"")</f>
        <v/>
      </c>
      <c r="I475" s="0" t="str">
        <f aca="false">IFERROR(IF(OR(HLOOKUP($A475,#REF!,7,FALSE())&gt;2,HLOOKUP($A475,#REF!,7,FALSE())&lt;-2),"",#REF!),"")</f>
        <v/>
      </c>
      <c r="J475" s="0" t="str">
        <f aca="false">IFERROR(IF(OR(HLOOKUP($A475,#REF!,8,FALSE())&gt;2,HLOOKUP($A475,#REF!,8,FALSE())&lt;-2),"",#REF!),"")</f>
        <v/>
      </c>
      <c r="K475" s="0" t="str">
        <f aca="false">IFERROR(IF(OR(HLOOKUP($A475,#REF!,9,FALSE())&gt;2,HLOOKUP($A475,#REF!,9,FALSE())&lt;-2),"",#REF!),"")</f>
        <v/>
      </c>
      <c r="L475" s="0" t="str">
        <f aca="false">IFERROR(IF(OR(HLOOKUP($A475,#REF!,10,FALSE())&gt;2,HLOOKUP($A475,#REF!,10,FALSE())&lt;-2),"",#REF!),"")</f>
        <v/>
      </c>
      <c r="M475" s="0" t="str">
        <f aca="false">IFERROR(IF(OR(HLOOKUP($A475,#REF!,11,FALSE())&gt;2,HLOOKUP($A475,#REF!,11,FALSE())&lt;-2),"",#REF!),"")</f>
        <v/>
      </c>
      <c r="N475" s="0" t="str">
        <f aca="false">IFERROR(IF(OR(HLOOKUP($A475,#REF!,12,FALSE())&gt;2,HLOOKUP($A475,#REF!,12,FALSE())&lt;-2),"",#REF!),"")</f>
        <v/>
      </c>
      <c r="O475" s="0" t="str">
        <f aca="false">IFERROR(IF(OR(HLOOKUP($A475,#REF!,13,FALSE())&gt;2,HLOOKUP($A475,#REF!,13,FALSE())&lt;-2),"",#REF!),"")</f>
        <v/>
      </c>
      <c r="P475" s="0" t="str">
        <f aca="false">IFERROR(IF(OR(HLOOKUP($A475,#REF!,14,FALSE())&gt;2,HLOOKUP($A475,#REF!,14,FALSE())&lt;-2),"",#REF!),"")</f>
        <v/>
      </c>
      <c r="Q475" s="0" t="str">
        <f aca="false">IFERROR(IF(OR(HLOOKUP($A475,#REF!,15,FALSE())&gt;2,HLOOKUP($A475,#REF!,15,FALSE())&lt;-2),"",#REF!),"")</f>
        <v/>
      </c>
      <c r="R475" s="0" t="str">
        <f aca="false">IFERROR(IF(OR(HLOOKUP($A475,#REF!,16,FALSE())&gt;2,HLOOKUP($A475,#REF!,16,FALSE())&lt;-2),"",#REF!),"")</f>
        <v/>
      </c>
      <c r="S475" s="0" t="str">
        <f aca="false">IFERROR(IF(OR(HLOOKUP($A475,#REF!,17,FALSE())&gt;2,HLOOKUP($A475,#REF!,17,FALSE())&lt;-2),"",#REF!),"")</f>
        <v/>
      </c>
      <c r="T475" s="0" t="str">
        <f aca="false">IFERROR(IF(OR(HLOOKUP($A475,#REF!,18,FALSE())&gt;2,HLOOKUP($A475,#REF!,18,FALSE())&lt;-2),"",#REF!),"")</f>
        <v/>
      </c>
      <c r="U475" s="0" t="str">
        <f aca="false">IFERROR(IF(OR(HLOOKUP($A475,#REF!,19,FALSE())&gt;2,HLOOKUP($A475,#REF!,19,FALSE())&lt;-2),"",#REF!),"")</f>
        <v/>
      </c>
      <c r="V475" s="0" t="n">
        <f aca="false">IFERROR(IF(AND(X475=0,Y475=0),0,1),0)</f>
        <v>1</v>
      </c>
      <c r="W475" s="3" t="str">
        <f aca="false">IFERROR(_xlfn.T.TEST(E475:M475,N475:U475,2,2),"")</f>
        <v/>
      </c>
      <c r="X475" s="0" t="str">
        <f aca="false">IFERROR(AVERAGE(E475:M475),"")</f>
        <v/>
      </c>
      <c r="Y475" s="0" t="str">
        <f aca="false">IFERROR(AVERAGE(N475:U475),"")</f>
        <v/>
      </c>
    </row>
    <row r="476" customFormat="false" ht="14.5" hidden="false" customHeight="false" outlineLevel="0" collapsed="false">
      <c r="A476" s="0" t="n">
        <v>484</v>
      </c>
      <c r="B476" s="0" t="s">
        <v>547</v>
      </c>
      <c r="C476" s="0" t="n">
        <v>22100</v>
      </c>
      <c r="D476" s="0" t="n">
        <v>731</v>
      </c>
      <c r="E476" s="0" t="str">
        <f aca="false">IFERROR(IF(OR(HLOOKUP($A476,#REF!,3,FALSE())&gt;2,HLOOKUP(A476,#REF!,3,FALSE())&lt;-2),"",#REF!),"")</f>
        <v/>
      </c>
      <c r="F476" s="0" t="str">
        <f aca="false">IFERROR(IF(OR(HLOOKUP($A476,#REF!,4,FALSE())&gt;2,HLOOKUP($A476,#REF!,4,FALSE())&lt;-2),"",#REF!),"")</f>
        <v/>
      </c>
      <c r="G476" s="0" t="str">
        <f aca="false">IFERROR(IF(OR(HLOOKUP($A476,#REF!,5,FALSE())&gt;2,HLOOKUP($A476,#REF!,5,FALSE())&lt;-2),"",#REF!),"")</f>
        <v/>
      </c>
      <c r="H476" s="0" t="str">
        <f aca="false">IFERROR(IF(OR(HLOOKUP($A476,#REF!,6,FALSE())&gt;2,HLOOKUP($A476,#REF!,6,FALSE())&lt;-2),"",#REF!),"")</f>
        <v/>
      </c>
      <c r="I476" s="0" t="str">
        <f aca="false">IFERROR(IF(OR(HLOOKUP($A476,#REF!,7,FALSE())&gt;2,HLOOKUP($A476,#REF!,7,FALSE())&lt;-2),"",#REF!),"")</f>
        <v/>
      </c>
      <c r="J476" s="0" t="str">
        <f aca="false">IFERROR(IF(OR(HLOOKUP($A476,#REF!,8,FALSE())&gt;2,HLOOKUP($A476,#REF!,8,FALSE())&lt;-2),"",#REF!),"")</f>
        <v/>
      </c>
      <c r="K476" s="0" t="str">
        <f aca="false">IFERROR(IF(OR(HLOOKUP($A476,#REF!,9,FALSE())&gt;2,HLOOKUP($A476,#REF!,9,FALSE())&lt;-2),"",#REF!),"")</f>
        <v/>
      </c>
      <c r="L476" s="0" t="str">
        <f aca="false">IFERROR(IF(OR(HLOOKUP($A476,#REF!,10,FALSE())&gt;2,HLOOKUP($A476,#REF!,10,FALSE())&lt;-2),"",#REF!),"")</f>
        <v/>
      </c>
      <c r="M476" s="0" t="str">
        <f aca="false">IFERROR(IF(OR(HLOOKUP($A476,#REF!,11,FALSE())&gt;2,HLOOKUP($A476,#REF!,11,FALSE())&lt;-2),"",#REF!),"")</f>
        <v/>
      </c>
      <c r="N476" s="0" t="str">
        <f aca="false">IFERROR(IF(OR(HLOOKUP($A476,#REF!,12,FALSE())&gt;2,HLOOKUP($A476,#REF!,12,FALSE())&lt;-2),"",#REF!),"")</f>
        <v/>
      </c>
      <c r="O476" s="0" t="str">
        <f aca="false">IFERROR(IF(OR(HLOOKUP($A476,#REF!,13,FALSE())&gt;2,HLOOKUP($A476,#REF!,13,FALSE())&lt;-2),"",#REF!),"")</f>
        <v/>
      </c>
      <c r="P476" s="0" t="str">
        <f aca="false">IFERROR(IF(OR(HLOOKUP($A476,#REF!,14,FALSE())&gt;2,HLOOKUP($A476,#REF!,14,FALSE())&lt;-2),"",#REF!),"")</f>
        <v/>
      </c>
      <c r="Q476" s="0" t="str">
        <f aca="false">IFERROR(IF(OR(HLOOKUP($A476,#REF!,15,FALSE())&gt;2,HLOOKUP($A476,#REF!,15,FALSE())&lt;-2),"",#REF!),"")</f>
        <v/>
      </c>
      <c r="R476" s="0" t="str">
        <f aca="false">IFERROR(IF(OR(HLOOKUP($A476,#REF!,16,FALSE())&gt;2,HLOOKUP($A476,#REF!,16,FALSE())&lt;-2),"",#REF!),"")</f>
        <v/>
      </c>
      <c r="S476" s="0" t="str">
        <f aca="false">IFERROR(IF(OR(HLOOKUP($A476,#REF!,17,FALSE())&gt;2,HLOOKUP($A476,#REF!,17,FALSE())&lt;-2),"",#REF!),"")</f>
        <v/>
      </c>
      <c r="T476" s="0" t="str">
        <f aca="false">IFERROR(IF(OR(HLOOKUP($A476,#REF!,18,FALSE())&gt;2,HLOOKUP($A476,#REF!,18,FALSE())&lt;-2),"",#REF!),"")</f>
        <v/>
      </c>
      <c r="U476" s="0" t="str">
        <f aca="false">IFERROR(IF(OR(HLOOKUP($A476,#REF!,19,FALSE())&gt;2,HLOOKUP($A476,#REF!,19,FALSE())&lt;-2),"",#REF!),"")</f>
        <v/>
      </c>
      <c r="V476" s="0" t="n">
        <f aca="false">IFERROR(IF(AND(X476=0,Y476=0),0,1),0)</f>
        <v>1</v>
      </c>
      <c r="W476" s="3" t="str">
        <f aca="false">IFERROR(_xlfn.T.TEST(E476:M476,N476:U476,2,2),"")</f>
        <v/>
      </c>
      <c r="X476" s="0" t="str">
        <f aca="false">IFERROR(AVERAGE(E476:M476),"")</f>
        <v/>
      </c>
      <c r="Y476" s="0" t="str">
        <f aca="false">IFERROR(AVERAGE(N476:U476),"")</f>
        <v/>
      </c>
    </row>
    <row r="477" customFormat="false" ht="14.5" hidden="false" customHeight="false" outlineLevel="0" collapsed="false">
      <c r="A477" s="0" t="n">
        <v>485</v>
      </c>
      <c r="B477" s="0" t="s">
        <v>548</v>
      </c>
      <c r="C477" s="0" t="n">
        <v>48100</v>
      </c>
      <c r="D477" s="0" t="n">
        <v>477</v>
      </c>
      <c r="E477" s="0" t="str">
        <f aca="false">IFERROR(IF(OR(HLOOKUP($A477,#REF!,3,FALSE())&gt;2,HLOOKUP(A477,#REF!,3,FALSE())&lt;-2),"",#REF!),"")</f>
        <v/>
      </c>
      <c r="F477" s="0" t="str">
        <f aca="false">IFERROR(IF(OR(HLOOKUP($A477,#REF!,4,FALSE())&gt;2,HLOOKUP($A477,#REF!,4,FALSE())&lt;-2),"",#REF!),"")</f>
        <v/>
      </c>
      <c r="G477" s="0" t="str">
        <f aca="false">IFERROR(IF(OR(HLOOKUP($A477,#REF!,5,FALSE())&gt;2,HLOOKUP($A477,#REF!,5,FALSE())&lt;-2),"",#REF!),"")</f>
        <v/>
      </c>
      <c r="H477" s="0" t="str">
        <f aca="false">IFERROR(IF(OR(HLOOKUP($A477,#REF!,6,FALSE())&gt;2,HLOOKUP($A477,#REF!,6,FALSE())&lt;-2),"",#REF!),"")</f>
        <v/>
      </c>
      <c r="I477" s="0" t="str">
        <f aca="false">IFERROR(IF(OR(HLOOKUP($A477,#REF!,7,FALSE())&gt;2,HLOOKUP($A477,#REF!,7,FALSE())&lt;-2),"",#REF!),"")</f>
        <v/>
      </c>
      <c r="J477" s="0" t="str">
        <f aca="false">IFERROR(IF(OR(HLOOKUP($A477,#REF!,8,FALSE())&gt;2,HLOOKUP($A477,#REF!,8,FALSE())&lt;-2),"",#REF!),"")</f>
        <v/>
      </c>
      <c r="K477" s="0" t="str">
        <f aca="false">IFERROR(IF(OR(HLOOKUP($A477,#REF!,9,FALSE())&gt;2,HLOOKUP($A477,#REF!,9,FALSE())&lt;-2),"",#REF!),"")</f>
        <v/>
      </c>
      <c r="L477" s="0" t="str">
        <f aca="false">IFERROR(IF(OR(HLOOKUP($A477,#REF!,10,FALSE())&gt;2,HLOOKUP($A477,#REF!,10,FALSE())&lt;-2),"",#REF!),"")</f>
        <v/>
      </c>
      <c r="M477" s="0" t="str">
        <f aca="false">IFERROR(IF(OR(HLOOKUP($A477,#REF!,11,FALSE())&gt;2,HLOOKUP($A477,#REF!,11,FALSE())&lt;-2),"",#REF!),"")</f>
        <v/>
      </c>
      <c r="N477" s="0" t="str">
        <f aca="false">IFERROR(IF(OR(HLOOKUP($A477,#REF!,12,FALSE())&gt;2,HLOOKUP($A477,#REF!,12,FALSE())&lt;-2),"",#REF!),"")</f>
        <v/>
      </c>
      <c r="O477" s="0" t="str">
        <f aca="false">IFERROR(IF(OR(HLOOKUP($A477,#REF!,13,FALSE())&gt;2,HLOOKUP($A477,#REF!,13,FALSE())&lt;-2),"",#REF!),"")</f>
        <v/>
      </c>
      <c r="P477" s="0" t="str">
        <f aca="false">IFERROR(IF(OR(HLOOKUP($A477,#REF!,14,FALSE())&gt;2,HLOOKUP($A477,#REF!,14,FALSE())&lt;-2),"",#REF!),"")</f>
        <v/>
      </c>
      <c r="Q477" s="0" t="str">
        <f aca="false">IFERROR(IF(OR(HLOOKUP($A477,#REF!,15,FALSE())&gt;2,HLOOKUP($A477,#REF!,15,FALSE())&lt;-2),"",#REF!),"")</f>
        <v/>
      </c>
      <c r="R477" s="0" t="str">
        <f aca="false">IFERROR(IF(OR(HLOOKUP($A477,#REF!,16,FALSE())&gt;2,HLOOKUP($A477,#REF!,16,FALSE())&lt;-2),"",#REF!),"")</f>
        <v/>
      </c>
      <c r="S477" s="0" t="str">
        <f aca="false">IFERROR(IF(OR(HLOOKUP($A477,#REF!,17,FALSE())&gt;2,HLOOKUP($A477,#REF!,17,FALSE())&lt;-2),"",#REF!),"")</f>
        <v/>
      </c>
      <c r="T477" s="0" t="str">
        <f aca="false">IFERROR(IF(OR(HLOOKUP($A477,#REF!,18,FALSE())&gt;2,HLOOKUP($A477,#REF!,18,FALSE())&lt;-2),"",#REF!),"")</f>
        <v/>
      </c>
      <c r="U477" s="0" t="str">
        <f aca="false">IFERROR(IF(OR(HLOOKUP($A477,#REF!,19,FALSE())&gt;2,HLOOKUP($A477,#REF!,19,FALSE())&lt;-2),"",#REF!),"")</f>
        <v/>
      </c>
      <c r="V477" s="0" t="n">
        <f aca="false">IFERROR(IF(AND(X477=0,Y477=0),0,1),0)</f>
        <v>1</v>
      </c>
      <c r="W477" s="3" t="str">
        <f aca="false">IFERROR(_xlfn.T.TEST(E477:M477,N477:U477,2,2),"")</f>
        <v/>
      </c>
      <c r="X477" s="0" t="str">
        <f aca="false">IFERROR(AVERAGE(E477:M477),"")</f>
        <v/>
      </c>
      <c r="Y477" s="0" t="str">
        <f aca="false">IFERROR(AVERAGE(N477:U477),"")</f>
        <v/>
      </c>
    </row>
    <row r="478" customFormat="false" ht="14.5" hidden="false" customHeight="false" outlineLevel="0" collapsed="false">
      <c r="A478" s="0" t="n">
        <v>486</v>
      </c>
      <c r="B478" s="0" t="s">
        <v>549</v>
      </c>
      <c r="C478" s="0" t="n">
        <v>39000</v>
      </c>
      <c r="D478" s="0" t="n">
        <v>463</v>
      </c>
      <c r="E478" s="0" t="str">
        <f aca="false">IFERROR(IF(OR(HLOOKUP($A478,#REF!,3,FALSE())&gt;2,HLOOKUP(A478,#REF!,3,FALSE())&lt;-2),"",#REF!),"")</f>
        <v/>
      </c>
      <c r="F478" s="0" t="str">
        <f aca="false">IFERROR(IF(OR(HLOOKUP($A478,#REF!,4,FALSE())&gt;2,HLOOKUP($A478,#REF!,4,FALSE())&lt;-2),"",#REF!),"")</f>
        <v/>
      </c>
      <c r="G478" s="0" t="str">
        <f aca="false">IFERROR(IF(OR(HLOOKUP($A478,#REF!,5,FALSE())&gt;2,HLOOKUP($A478,#REF!,5,FALSE())&lt;-2),"",#REF!),"")</f>
        <v/>
      </c>
      <c r="H478" s="0" t="str">
        <f aca="false">IFERROR(IF(OR(HLOOKUP($A478,#REF!,6,FALSE())&gt;2,HLOOKUP($A478,#REF!,6,FALSE())&lt;-2),"",#REF!),"")</f>
        <v/>
      </c>
      <c r="I478" s="0" t="str">
        <f aca="false">IFERROR(IF(OR(HLOOKUP($A478,#REF!,7,FALSE())&gt;2,HLOOKUP($A478,#REF!,7,FALSE())&lt;-2),"",#REF!),"")</f>
        <v/>
      </c>
      <c r="J478" s="0" t="str">
        <f aca="false">IFERROR(IF(OR(HLOOKUP($A478,#REF!,8,FALSE())&gt;2,HLOOKUP($A478,#REF!,8,FALSE())&lt;-2),"",#REF!),"")</f>
        <v/>
      </c>
      <c r="K478" s="0" t="str">
        <f aca="false">IFERROR(IF(OR(HLOOKUP($A478,#REF!,9,FALSE())&gt;2,HLOOKUP($A478,#REF!,9,FALSE())&lt;-2),"",#REF!),"")</f>
        <v/>
      </c>
      <c r="L478" s="0" t="str">
        <f aca="false">IFERROR(IF(OR(HLOOKUP($A478,#REF!,10,FALSE())&gt;2,HLOOKUP($A478,#REF!,10,FALSE())&lt;-2),"",#REF!),"")</f>
        <v/>
      </c>
      <c r="M478" s="0" t="str">
        <f aca="false">IFERROR(IF(OR(HLOOKUP($A478,#REF!,11,FALSE())&gt;2,HLOOKUP($A478,#REF!,11,FALSE())&lt;-2),"",#REF!),"")</f>
        <v/>
      </c>
      <c r="N478" s="0" t="str">
        <f aca="false">IFERROR(IF(OR(HLOOKUP($A478,#REF!,12,FALSE())&gt;2,HLOOKUP($A478,#REF!,12,FALSE())&lt;-2),"",#REF!),"")</f>
        <v/>
      </c>
      <c r="O478" s="0" t="str">
        <f aca="false">IFERROR(IF(OR(HLOOKUP($A478,#REF!,13,FALSE())&gt;2,HLOOKUP($A478,#REF!,13,FALSE())&lt;-2),"",#REF!),"")</f>
        <v/>
      </c>
      <c r="P478" s="0" t="str">
        <f aca="false">IFERROR(IF(OR(HLOOKUP($A478,#REF!,14,FALSE())&gt;2,HLOOKUP($A478,#REF!,14,FALSE())&lt;-2),"",#REF!),"")</f>
        <v/>
      </c>
      <c r="Q478" s="0" t="str">
        <f aca="false">IFERROR(IF(OR(HLOOKUP($A478,#REF!,15,FALSE())&gt;2,HLOOKUP($A478,#REF!,15,FALSE())&lt;-2),"",#REF!),"")</f>
        <v/>
      </c>
      <c r="R478" s="0" t="str">
        <f aca="false">IFERROR(IF(OR(HLOOKUP($A478,#REF!,16,FALSE())&gt;2,HLOOKUP($A478,#REF!,16,FALSE())&lt;-2),"",#REF!),"")</f>
        <v/>
      </c>
      <c r="S478" s="0" t="str">
        <f aca="false">IFERROR(IF(OR(HLOOKUP($A478,#REF!,17,FALSE())&gt;2,HLOOKUP($A478,#REF!,17,FALSE())&lt;-2),"",#REF!),"")</f>
        <v/>
      </c>
      <c r="T478" s="0" t="str">
        <f aca="false">IFERROR(IF(OR(HLOOKUP($A478,#REF!,18,FALSE())&gt;2,HLOOKUP($A478,#REF!,18,FALSE())&lt;-2),"",#REF!),"")</f>
        <v/>
      </c>
      <c r="U478" s="0" t="str">
        <f aca="false">IFERROR(IF(OR(HLOOKUP($A478,#REF!,19,FALSE())&gt;2,HLOOKUP($A478,#REF!,19,FALSE())&lt;-2),"",#REF!),"")</f>
        <v/>
      </c>
      <c r="V478" s="0" t="n">
        <f aca="false">IFERROR(IF(AND(X478=0,Y478=0),0,1),0)</f>
        <v>1</v>
      </c>
      <c r="W478" s="3" t="str">
        <f aca="false">IFERROR(_xlfn.T.TEST(E478:M478,N478:U478,2,2),"")</f>
        <v/>
      </c>
      <c r="X478" s="0" t="str">
        <f aca="false">IFERROR(AVERAGE(E478:M478),"")</f>
        <v/>
      </c>
      <c r="Y478" s="0" t="str">
        <f aca="false">IFERROR(AVERAGE(N478:U478),"")</f>
        <v/>
      </c>
    </row>
    <row r="479" customFormat="false" ht="14.5" hidden="false" customHeight="false" outlineLevel="0" collapsed="false">
      <c r="A479" s="0" t="n">
        <v>487</v>
      </c>
      <c r="B479" s="0" t="s">
        <v>550</v>
      </c>
      <c r="C479" s="0" t="n">
        <v>51400</v>
      </c>
      <c r="D479" s="0" t="n">
        <v>426</v>
      </c>
      <c r="E479" s="0" t="str">
        <f aca="false">IFERROR(IF(OR(HLOOKUP($A479,#REF!,3,FALSE())&gt;2,HLOOKUP(A479,#REF!,3,FALSE())&lt;-2),"",#REF!),"")</f>
        <v/>
      </c>
      <c r="F479" s="0" t="str">
        <f aca="false">IFERROR(IF(OR(HLOOKUP($A479,#REF!,4,FALSE())&gt;2,HLOOKUP($A479,#REF!,4,FALSE())&lt;-2),"",#REF!),"")</f>
        <v/>
      </c>
      <c r="G479" s="0" t="str">
        <f aca="false">IFERROR(IF(OR(HLOOKUP($A479,#REF!,5,FALSE())&gt;2,HLOOKUP($A479,#REF!,5,FALSE())&lt;-2),"",#REF!),"")</f>
        <v/>
      </c>
      <c r="H479" s="0" t="str">
        <f aca="false">IFERROR(IF(OR(HLOOKUP($A479,#REF!,6,FALSE())&gt;2,HLOOKUP($A479,#REF!,6,FALSE())&lt;-2),"",#REF!),"")</f>
        <v/>
      </c>
      <c r="I479" s="0" t="str">
        <f aca="false">IFERROR(IF(OR(HLOOKUP($A479,#REF!,7,FALSE())&gt;2,HLOOKUP($A479,#REF!,7,FALSE())&lt;-2),"",#REF!),"")</f>
        <v/>
      </c>
      <c r="J479" s="0" t="str">
        <f aca="false">IFERROR(IF(OR(HLOOKUP($A479,#REF!,8,FALSE())&gt;2,HLOOKUP($A479,#REF!,8,FALSE())&lt;-2),"",#REF!),"")</f>
        <v/>
      </c>
      <c r="K479" s="0" t="str">
        <f aca="false">IFERROR(IF(OR(HLOOKUP($A479,#REF!,9,FALSE())&gt;2,HLOOKUP($A479,#REF!,9,FALSE())&lt;-2),"",#REF!),"")</f>
        <v/>
      </c>
      <c r="L479" s="0" t="str">
        <f aca="false">IFERROR(IF(OR(HLOOKUP($A479,#REF!,10,FALSE())&gt;2,HLOOKUP($A479,#REF!,10,FALSE())&lt;-2),"",#REF!),"")</f>
        <v/>
      </c>
      <c r="M479" s="0" t="str">
        <f aca="false">IFERROR(IF(OR(HLOOKUP($A479,#REF!,11,FALSE())&gt;2,HLOOKUP($A479,#REF!,11,FALSE())&lt;-2),"",#REF!),"")</f>
        <v/>
      </c>
      <c r="N479" s="0" t="str">
        <f aca="false">IFERROR(IF(OR(HLOOKUP($A479,#REF!,12,FALSE())&gt;2,HLOOKUP($A479,#REF!,12,FALSE())&lt;-2),"",#REF!),"")</f>
        <v/>
      </c>
      <c r="O479" s="0" t="str">
        <f aca="false">IFERROR(IF(OR(HLOOKUP($A479,#REF!,13,FALSE())&gt;2,HLOOKUP($A479,#REF!,13,FALSE())&lt;-2),"",#REF!),"")</f>
        <v/>
      </c>
      <c r="P479" s="0" t="str">
        <f aca="false">IFERROR(IF(OR(HLOOKUP($A479,#REF!,14,FALSE())&gt;2,HLOOKUP($A479,#REF!,14,FALSE())&lt;-2),"",#REF!),"")</f>
        <v/>
      </c>
      <c r="Q479" s="0" t="str">
        <f aca="false">IFERROR(IF(OR(HLOOKUP($A479,#REF!,15,FALSE())&gt;2,HLOOKUP($A479,#REF!,15,FALSE())&lt;-2),"",#REF!),"")</f>
        <v/>
      </c>
      <c r="R479" s="0" t="str">
        <f aca="false">IFERROR(IF(OR(HLOOKUP($A479,#REF!,16,FALSE())&gt;2,HLOOKUP($A479,#REF!,16,FALSE())&lt;-2),"",#REF!),"")</f>
        <v/>
      </c>
      <c r="S479" s="0" t="str">
        <f aca="false">IFERROR(IF(OR(HLOOKUP($A479,#REF!,17,FALSE())&gt;2,HLOOKUP($A479,#REF!,17,FALSE())&lt;-2),"",#REF!),"")</f>
        <v/>
      </c>
      <c r="T479" s="0" t="str">
        <f aca="false">IFERROR(IF(OR(HLOOKUP($A479,#REF!,18,FALSE())&gt;2,HLOOKUP($A479,#REF!,18,FALSE())&lt;-2),"",#REF!),"")</f>
        <v/>
      </c>
      <c r="U479" s="0" t="str">
        <f aca="false">IFERROR(IF(OR(HLOOKUP($A479,#REF!,19,FALSE())&gt;2,HLOOKUP($A479,#REF!,19,FALSE())&lt;-2),"",#REF!),"")</f>
        <v/>
      </c>
      <c r="V479" s="0" t="n">
        <f aca="false">IFERROR(IF(AND(X479=0,Y479=0),0,1),0)</f>
        <v>1</v>
      </c>
      <c r="W479" s="3" t="str">
        <f aca="false">IFERROR(_xlfn.T.TEST(E479:M479,N479:U479,2,2),"")</f>
        <v/>
      </c>
      <c r="X479" s="0" t="str">
        <f aca="false">IFERROR(AVERAGE(E479:M479),"")</f>
        <v/>
      </c>
      <c r="Y479" s="0" t="str">
        <f aca="false">IFERROR(AVERAGE(N479:U479),"")</f>
        <v/>
      </c>
    </row>
    <row r="480" customFormat="false" ht="14.5" hidden="false" customHeight="false" outlineLevel="0" collapsed="false">
      <c r="A480" s="0" t="n">
        <v>488</v>
      </c>
      <c r="B480" s="0" t="s">
        <v>551</v>
      </c>
      <c r="C480" s="0" t="n">
        <v>21900</v>
      </c>
      <c r="D480" s="0" t="n">
        <v>723</v>
      </c>
      <c r="E480" s="0" t="str">
        <f aca="false">IFERROR(IF(OR(HLOOKUP($A480,#REF!,3,FALSE())&gt;2,HLOOKUP(A480,#REF!,3,FALSE())&lt;-2),"",#REF!),"")</f>
        <v/>
      </c>
      <c r="F480" s="0" t="str">
        <f aca="false">IFERROR(IF(OR(HLOOKUP($A480,#REF!,4,FALSE())&gt;2,HLOOKUP($A480,#REF!,4,FALSE())&lt;-2),"",#REF!),"")</f>
        <v/>
      </c>
      <c r="G480" s="0" t="str">
        <f aca="false">IFERROR(IF(OR(HLOOKUP($A480,#REF!,5,FALSE())&gt;2,HLOOKUP($A480,#REF!,5,FALSE())&lt;-2),"",#REF!),"")</f>
        <v/>
      </c>
      <c r="H480" s="0" t="str">
        <f aca="false">IFERROR(IF(OR(HLOOKUP($A480,#REF!,6,FALSE())&gt;2,HLOOKUP($A480,#REF!,6,FALSE())&lt;-2),"",#REF!),"")</f>
        <v/>
      </c>
      <c r="I480" s="0" t="str">
        <f aca="false">IFERROR(IF(OR(HLOOKUP($A480,#REF!,7,FALSE())&gt;2,HLOOKUP($A480,#REF!,7,FALSE())&lt;-2),"",#REF!),"")</f>
        <v/>
      </c>
      <c r="J480" s="0" t="str">
        <f aca="false">IFERROR(IF(OR(HLOOKUP($A480,#REF!,8,FALSE())&gt;2,HLOOKUP($A480,#REF!,8,FALSE())&lt;-2),"",#REF!),"")</f>
        <v/>
      </c>
      <c r="K480" s="0" t="str">
        <f aca="false">IFERROR(IF(OR(HLOOKUP($A480,#REF!,9,FALSE())&gt;2,HLOOKUP($A480,#REF!,9,FALSE())&lt;-2),"",#REF!),"")</f>
        <v/>
      </c>
      <c r="L480" s="0" t="str">
        <f aca="false">IFERROR(IF(OR(HLOOKUP($A480,#REF!,10,FALSE())&gt;2,HLOOKUP($A480,#REF!,10,FALSE())&lt;-2),"",#REF!),"")</f>
        <v/>
      </c>
      <c r="M480" s="0" t="str">
        <f aca="false">IFERROR(IF(OR(HLOOKUP($A480,#REF!,11,FALSE())&gt;2,HLOOKUP($A480,#REF!,11,FALSE())&lt;-2),"",#REF!),"")</f>
        <v/>
      </c>
      <c r="N480" s="0" t="str">
        <f aca="false">IFERROR(IF(OR(HLOOKUP($A480,#REF!,12,FALSE())&gt;2,HLOOKUP($A480,#REF!,12,FALSE())&lt;-2),"",#REF!),"")</f>
        <v/>
      </c>
      <c r="O480" s="0" t="str">
        <f aca="false">IFERROR(IF(OR(HLOOKUP($A480,#REF!,13,FALSE())&gt;2,HLOOKUP($A480,#REF!,13,FALSE())&lt;-2),"",#REF!),"")</f>
        <v/>
      </c>
      <c r="P480" s="0" t="str">
        <f aca="false">IFERROR(IF(OR(HLOOKUP($A480,#REF!,14,FALSE())&gt;2,HLOOKUP($A480,#REF!,14,FALSE())&lt;-2),"",#REF!),"")</f>
        <v/>
      </c>
      <c r="Q480" s="0" t="str">
        <f aca="false">IFERROR(IF(OR(HLOOKUP($A480,#REF!,15,FALSE())&gt;2,HLOOKUP($A480,#REF!,15,FALSE())&lt;-2),"",#REF!),"")</f>
        <v/>
      </c>
      <c r="R480" s="0" t="str">
        <f aca="false">IFERROR(IF(OR(HLOOKUP($A480,#REF!,16,FALSE())&gt;2,HLOOKUP($A480,#REF!,16,FALSE())&lt;-2),"",#REF!),"")</f>
        <v/>
      </c>
      <c r="S480" s="0" t="str">
        <f aca="false">IFERROR(IF(OR(HLOOKUP($A480,#REF!,17,FALSE())&gt;2,HLOOKUP($A480,#REF!,17,FALSE())&lt;-2),"",#REF!),"")</f>
        <v/>
      </c>
      <c r="T480" s="0" t="str">
        <f aca="false">IFERROR(IF(OR(HLOOKUP($A480,#REF!,18,FALSE())&gt;2,HLOOKUP($A480,#REF!,18,FALSE())&lt;-2),"",#REF!),"")</f>
        <v/>
      </c>
      <c r="U480" s="0" t="str">
        <f aca="false">IFERROR(IF(OR(HLOOKUP($A480,#REF!,19,FALSE())&gt;2,HLOOKUP($A480,#REF!,19,FALSE())&lt;-2),"",#REF!),"")</f>
        <v/>
      </c>
      <c r="V480" s="0" t="n">
        <f aca="false">IFERROR(IF(AND(X480=0,Y480=0),0,1),0)</f>
        <v>1</v>
      </c>
      <c r="W480" s="3" t="str">
        <f aca="false">IFERROR(_xlfn.T.TEST(E480:M480,N480:U480,2,2),"")</f>
        <v/>
      </c>
      <c r="X480" s="0" t="str">
        <f aca="false">IFERROR(AVERAGE(E480:M480),"")</f>
        <v/>
      </c>
      <c r="Y480" s="0" t="str">
        <f aca="false">IFERROR(AVERAGE(N480:U480),"")</f>
        <v/>
      </c>
    </row>
    <row r="481" customFormat="false" ht="14.5" hidden="false" customHeight="false" outlineLevel="0" collapsed="false">
      <c r="A481" s="0" t="n">
        <v>489</v>
      </c>
      <c r="B481" s="0" t="s">
        <v>552</v>
      </c>
      <c r="C481" s="0" t="n">
        <v>48800</v>
      </c>
      <c r="D481" s="0" t="n">
        <v>754</v>
      </c>
      <c r="E481" s="0" t="str">
        <f aca="false">IFERROR(IF(OR(HLOOKUP($A481,#REF!,3,FALSE())&gt;2,HLOOKUP(A481,#REF!,3,FALSE())&lt;-2),"",#REF!),"")</f>
        <v/>
      </c>
      <c r="F481" s="0" t="str">
        <f aca="false">IFERROR(IF(OR(HLOOKUP($A481,#REF!,4,FALSE())&gt;2,HLOOKUP($A481,#REF!,4,FALSE())&lt;-2),"",#REF!),"")</f>
        <v/>
      </c>
      <c r="G481" s="0" t="str">
        <f aca="false">IFERROR(IF(OR(HLOOKUP($A481,#REF!,5,FALSE())&gt;2,HLOOKUP($A481,#REF!,5,FALSE())&lt;-2),"",#REF!),"")</f>
        <v/>
      </c>
      <c r="H481" s="0" t="str">
        <f aca="false">IFERROR(IF(OR(HLOOKUP($A481,#REF!,6,FALSE())&gt;2,HLOOKUP($A481,#REF!,6,FALSE())&lt;-2),"",#REF!),"")</f>
        <v/>
      </c>
      <c r="I481" s="0" t="str">
        <f aca="false">IFERROR(IF(OR(HLOOKUP($A481,#REF!,7,FALSE())&gt;2,HLOOKUP($A481,#REF!,7,FALSE())&lt;-2),"",#REF!),"")</f>
        <v/>
      </c>
      <c r="J481" s="0" t="str">
        <f aca="false">IFERROR(IF(OR(HLOOKUP($A481,#REF!,8,FALSE())&gt;2,HLOOKUP($A481,#REF!,8,FALSE())&lt;-2),"",#REF!),"")</f>
        <v/>
      </c>
      <c r="K481" s="0" t="str">
        <f aca="false">IFERROR(IF(OR(HLOOKUP($A481,#REF!,9,FALSE())&gt;2,HLOOKUP($A481,#REF!,9,FALSE())&lt;-2),"",#REF!),"")</f>
        <v/>
      </c>
      <c r="L481" s="0" t="str">
        <f aca="false">IFERROR(IF(OR(HLOOKUP($A481,#REF!,10,FALSE())&gt;2,HLOOKUP($A481,#REF!,10,FALSE())&lt;-2),"",#REF!),"")</f>
        <v/>
      </c>
      <c r="M481" s="0" t="str">
        <f aca="false">IFERROR(IF(OR(HLOOKUP($A481,#REF!,11,FALSE())&gt;2,HLOOKUP($A481,#REF!,11,FALSE())&lt;-2),"",#REF!),"")</f>
        <v/>
      </c>
      <c r="N481" s="0" t="str">
        <f aca="false">IFERROR(IF(OR(HLOOKUP($A481,#REF!,12,FALSE())&gt;2,HLOOKUP($A481,#REF!,12,FALSE())&lt;-2),"",#REF!),"")</f>
        <v/>
      </c>
      <c r="O481" s="0" t="str">
        <f aca="false">IFERROR(IF(OR(HLOOKUP($A481,#REF!,13,FALSE())&gt;2,HLOOKUP($A481,#REF!,13,FALSE())&lt;-2),"",#REF!),"")</f>
        <v/>
      </c>
      <c r="P481" s="0" t="str">
        <f aca="false">IFERROR(IF(OR(HLOOKUP($A481,#REF!,14,FALSE())&gt;2,HLOOKUP($A481,#REF!,14,FALSE())&lt;-2),"",#REF!),"")</f>
        <v/>
      </c>
      <c r="Q481" s="0" t="str">
        <f aca="false">IFERROR(IF(OR(HLOOKUP($A481,#REF!,15,FALSE())&gt;2,HLOOKUP($A481,#REF!,15,FALSE())&lt;-2),"",#REF!),"")</f>
        <v/>
      </c>
      <c r="R481" s="0" t="str">
        <f aca="false">IFERROR(IF(OR(HLOOKUP($A481,#REF!,16,FALSE())&gt;2,HLOOKUP($A481,#REF!,16,FALSE())&lt;-2),"",#REF!),"")</f>
        <v/>
      </c>
      <c r="S481" s="0" t="str">
        <f aca="false">IFERROR(IF(OR(HLOOKUP($A481,#REF!,17,FALSE())&gt;2,HLOOKUP($A481,#REF!,17,FALSE())&lt;-2),"",#REF!),"")</f>
        <v/>
      </c>
      <c r="T481" s="0" t="str">
        <f aca="false">IFERROR(IF(OR(HLOOKUP($A481,#REF!,18,FALSE())&gt;2,HLOOKUP($A481,#REF!,18,FALSE())&lt;-2),"",#REF!),"")</f>
        <v/>
      </c>
      <c r="U481" s="0" t="str">
        <f aca="false">IFERROR(IF(OR(HLOOKUP($A481,#REF!,19,FALSE())&gt;2,HLOOKUP($A481,#REF!,19,FALSE())&lt;-2),"",#REF!),"")</f>
        <v/>
      </c>
      <c r="V481" s="0" t="n">
        <f aca="false">IFERROR(IF(AND(X481=0,Y481=0),0,1),0)</f>
        <v>1</v>
      </c>
      <c r="W481" s="3" t="str">
        <f aca="false">IFERROR(_xlfn.T.TEST(E481:M481,N481:U481,2,2),"")</f>
        <v/>
      </c>
      <c r="X481" s="0" t="str">
        <f aca="false">IFERROR(AVERAGE(E481:M481),"")</f>
        <v/>
      </c>
      <c r="Y481" s="0" t="str">
        <f aca="false">IFERROR(AVERAGE(N481:U481),"")</f>
        <v/>
      </c>
    </row>
    <row r="482" customFormat="false" ht="14.5" hidden="false" customHeight="false" outlineLevel="0" collapsed="false">
      <c r="A482" s="0" t="n">
        <v>490</v>
      </c>
      <c r="B482" s="0" t="s">
        <v>553</v>
      </c>
      <c r="C482" s="0" t="n">
        <v>105500</v>
      </c>
      <c r="D482" s="0" t="n">
        <v>1123</v>
      </c>
      <c r="E482" s="0" t="str">
        <f aca="false">IFERROR(IF(OR(HLOOKUP($A482,#REF!,3,FALSE())&gt;2,HLOOKUP(A482,#REF!,3,FALSE())&lt;-2),"",#REF!),"")</f>
        <v/>
      </c>
      <c r="F482" s="0" t="str">
        <f aca="false">IFERROR(IF(OR(HLOOKUP($A482,#REF!,4,FALSE())&gt;2,HLOOKUP($A482,#REF!,4,FALSE())&lt;-2),"",#REF!),"")</f>
        <v/>
      </c>
      <c r="G482" s="0" t="str">
        <f aca="false">IFERROR(IF(OR(HLOOKUP($A482,#REF!,5,FALSE())&gt;2,HLOOKUP($A482,#REF!,5,FALSE())&lt;-2),"",#REF!),"")</f>
        <v/>
      </c>
      <c r="H482" s="0" t="str">
        <f aca="false">IFERROR(IF(OR(HLOOKUP($A482,#REF!,6,FALSE())&gt;2,HLOOKUP($A482,#REF!,6,FALSE())&lt;-2),"",#REF!),"")</f>
        <v/>
      </c>
      <c r="I482" s="0" t="str">
        <f aca="false">IFERROR(IF(OR(HLOOKUP($A482,#REF!,7,FALSE())&gt;2,HLOOKUP($A482,#REF!,7,FALSE())&lt;-2),"",#REF!),"")</f>
        <v/>
      </c>
      <c r="J482" s="0" t="str">
        <f aca="false">IFERROR(IF(OR(HLOOKUP($A482,#REF!,8,FALSE())&gt;2,HLOOKUP($A482,#REF!,8,FALSE())&lt;-2),"",#REF!),"")</f>
        <v/>
      </c>
      <c r="K482" s="0" t="str">
        <f aca="false">IFERROR(IF(OR(HLOOKUP($A482,#REF!,9,FALSE())&gt;2,HLOOKUP($A482,#REF!,9,FALSE())&lt;-2),"",#REF!),"")</f>
        <v/>
      </c>
      <c r="L482" s="0" t="str">
        <f aca="false">IFERROR(IF(OR(HLOOKUP($A482,#REF!,10,FALSE())&gt;2,HLOOKUP($A482,#REF!,10,FALSE())&lt;-2),"",#REF!),"")</f>
        <v/>
      </c>
      <c r="M482" s="0" t="str">
        <f aca="false">IFERROR(IF(OR(HLOOKUP($A482,#REF!,11,FALSE())&gt;2,HLOOKUP($A482,#REF!,11,FALSE())&lt;-2),"",#REF!),"")</f>
        <v/>
      </c>
      <c r="N482" s="0" t="str">
        <f aca="false">IFERROR(IF(OR(HLOOKUP($A482,#REF!,12,FALSE())&gt;2,HLOOKUP($A482,#REF!,12,FALSE())&lt;-2),"",#REF!),"")</f>
        <v/>
      </c>
      <c r="O482" s="0" t="str">
        <f aca="false">IFERROR(IF(OR(HLOOKUP($A482,#REF!,13,FALSE())&gt;2,HLOOKUP($A482,#REF!,13,FALSE())&lt;-2),"",#REF!),"")</f>
        <v/>
      </c>
      <c r="P482" s="0" t="str">
        <f aca="false">IFERROR(IF(OR(HLOOKUP($A482,#REF!,14,FALSE())&gt;2,HLOOKUP($A482,#REF!,14,FALSE())&lt;-2),"",#REF!),"")</f>
        <v/>
      </c>
      <c r="Q482" s="0" t="str">
        <f aca="false">IFERROR(IF(OR(HLOOKUP($A482,#REF!,15,FALSE())&gt;2,HLOOKUP($A482,#REF!,15,FALSE())&lt;-2),"",#REF!),"")</f>
        <v/>
      </c>
      <c r="R482" s="0" t="str">
        <f aca="false">IFERROR(IF(OR(HLOOKUP($A482,#REF!,16,FALSE())&gt;2,HLOOKUP($A482,#REF!,16,FALSE())&lt;-2),"",#REF!),"")</f>
        <v/>
      </c>
      <c r="S482" s="0" t="str">
        <f aca="false">IFERROR(IF(OR(HLOOKUP($A482,#REF!,17,FALSE())&gt;2,HLOOKUP($A482,#REF!,17,FALSE())&lt;-2),"",#REF!),"")</f>
        <v/>
      </c>
      <c r="T482" s="0" t="str">
        <f aca="false">IFERROR(IF(OR(HLOOKUP($A482,#REF!,18,FALSE())&gt;2,HLOOKUP($A482,#REF!,18,FALSE())&lt;-2),"",#REF!),"")</f>
        <v/>
      </c>
      <c r="U482" s="0" t="str">
        <f aca="false">IFERROR(IF(OR(HLOOKUP($A482,#REF!,19,FALSE())&gt;2,HLOOKUP($A482,#REF!,19,FALSE())&lt;-2),"",#REF!),"")</f>
        <v/>
      </c>
      <c r="V482" s="0" t="n">
        <f aca="false">IFERROR(IF(AND(X482=0,Y482=0),0,1),0)</f>
        <v>1</v>
      </c>
      <c r="W482" s="3" t="str">
        <f aca="false">IFERROR(_xlfn.T.TEST(E482:M482,N482:U482,2,2),"")</f>
        <v/>
      </c>
      <c r="X482" s="0" t="str">
        <f aca="false">IFERROR(AVERAGE(E482:M482),"")</f>
        <v/>
      </c>
      <c r="Y482" s="0" t="str">
        <f aca="false">IFERROR(AVERAGE(N482:U482),"")</f>
        <v/>
      </c>
    </row>
    <row r="483" customFormat="false" ht="14.5" hidden="false" customHeight="false" outlineLevel="0" collapsed="false">
      <c r="A483" s="0" t="n">
        <v>491</v>
      </c>
      <c r="B483" s="0" t="s">
        <v>554</v>
      </c>
      <c r="C483" s="0" t="n">
        <v>74800</v>
      </c>
      <c r="D483" s="0" t="n">
        <v>331</v>
      </c>
      <c r="E483" s="0" t="str">
        <f aca="false">IFERROR(IF(OR(HLOOKUP($A483,#REF!,3,FALSE())&gt;2,HLOOKUP(A483,#REF!,3,FALSE())&lt;-2),"",#REF!),"")</f>
        <v/>
      </c>
      <c r="F483" s="0" t="str">
        <f aca="false">IFERROR(IF(OR(HLOOKUP($A483,#REF!,4,FALSE())&gt;2,HLOOKUP($A483,#REF!,4,FALSE())&lt;-2),"",#REF!),"")</f>
        <v/>
      </c>
      <c r="G483" s="0" t="str">
        <f aca="false">IFERROR(IF(OR(HLOOKUP($A483,#REF!,5,FALSE())&gt;2,HLOOKUP($A483,#REF!,5,FALSE())&lt;-2),"",#REF!),"")</f>
        <v/>
      </c>
      <c r="H483" s="0" t="str">
        <f aca="false">IFERROR(IF(OR(HLOOKUP($A483,#REF!,6,FALSE())&gt;2,HLOOKUP($A483,#REF!,6,FALSE())&lt;-2),"",#REF!),"")</f>
        <v/>
      </c>
      <c r="I483" s="0" t="str">
        <f aca="false">IFERROR(IF(OR(HLOOKUP($A483,#REF!,7,FALSE())&gt;2,HLOOKUP($A483,#REF!,7,FALSE())&lt;-2),"",#REF!),"")</f>
        <v/>
      </c>
      <c r="J483" s="0" t="str">
        <f aca="false">IFERROR(IF(OR(HLOOKUP($A483,#REF!,8,FALSE())&gt;2,HLOOKUP($A483,#REF!,8,FALSE())&lt;-2),"",#REF!),"")</f>
        <v/>
      </c>
      <c r="K483" s="0" t="str">
        <f aca="false">IFERROR(IF(OR(HLOOKUP($A483,#REF!,9,FALSE())&gt;2,HLOOKUP($A483,#REF!,9,FALSE())&lt;-2),"",#REF!),"")</f>
        <v/>
      </c>
      <c r="L483" s="0" t="str">
        <f aca="false">IFERROR(IF(OR(HLOOKUP($A483,#REF!,10,FALSE())&gt;2,HLOOKUP($A483,#REF!,10,FALSE())&lt;-2),"",#REF!),"")</f>
        <v/>
      </c>
      <c r="M483" s="0" t="str">
        <f aca="false">IFERROR(IF(OR(HLOOKUP($A483,#REF!,11,FALSE())&gt;2,HLOOKUP($A483,#REF!,11,FALSE())&lt;-2),"",#REF!),"")</f>
        <v/>
      </c>
      <c r="N483" s="0" t="str">
        <f aca="false">IFERROR(IF(OR(HLOOKUP($A483,#REF!,12,FALSE())&gt;2,HLOOKUP($A483,#REF!,12,FALSE())&lt;-2),"",#REF!),"")</f>
        <v/>
      </c>
      <c r="O483" s="0" t="str">
        <f aca="false">IFERROR(IF(OR(HLOOKUP($A483,#REF!,13,FALSE())&gt;2,HLOOKUP($A483,#REF!,13,FALSE())&lt;-2),"",#REF!),"")</f>
        <v/>
      </c>
      <c r="P483" s="0" t="str">
        <f aca="false">IFERROR(IF(OR(HLOOKUP($A483,#REF!,14,FALSE())&gt;2,HLOOKUP($A483,#REF!,14,FALSE())&lt;-2),"",#REF!),"")</f>
        <v/>
      </c>
      <c r="Q483" s="0" t="str">
        <f aca="false">IFERROR(IF(OR(HLOOKUP($A483,#REF!,15,FALSE())&gt;2,HLOOKUP($A483,#REF!,15,FALSE())&lt;-2),"",#REF!),"")</f>
        <v/>
      </c>
      <c r="R483" s="0" t="str">
        <f aca="false">IFERROR(IF(OR(HLOOKUP($A483,#REF!,16,FALSE())&gt;2,HLOOKUP($A483,#REF!,16,FALSE())&lt;-2),"",#REF!),"")</f>
        <v/>
      </c>
      <c r="S483" s="0" t="str">
        <f aca="false">IFERROR(IF(OR(HLOOKUP($A483,#REF!,17,FALSE())&gt;2,HLOOKUP($A483,#REF!,17,FALSE())&lt;-2),"",#REF!),"")</f>
        <v/>
      </c>
      <c r="T483" s="0" t="str">
        <f aca="false">IFERROR(IF(OR(HLOOKUP($A483,#REF!,18,FALSE())&gt;2,HLOOKUP($A483,#REF!,18,FALSE())&lt;-2),"",#REF!),"")</f>
        <v/>
      </c>
      <c r="U483" s="0" t="str">
        <f aca="false">IFERROR(IF(OR(HLOOKUP($A483,#REF!,19,FALSE())&gt;2,HLOOKUP($A483,#REF!,19,FALSE())&lt;-2),"",#REF!),"")</f>
        <v/>
      </c>
      <c r="V483" s="0" t="n">
        <f aca="false">IFERROR(IF(AND(X483=0,Y483=0),0,1),0)</f>
        <v>1</v>
      </c>
      <c r="W483" s="3" t="str">
        <f aca="false">IFERROR(_xlfn.T.TEST(E483:M483,N483:U483,2,2),"")</f>
        <v/>
      </c>
      <c r="X483" s="0" t="str">
        <f aca="false">IFERROR(AVERAGE(E483:M483),"")</f>
        <v/>
      </c>
      <c r="Y483" s="0" t="str">
        <f aca="false">IFERROR(AVERAGE(N483:U483),"")</f>
        <v/>
      </c>
    </row>
    <row r="484" customFormat="false" ht="14.5" hidden="false" customHeight="false" outlineLevel="0" collapsed="false">
      <c r="A484" s="0" t="n">
        <v>492</v>
      </c>
      <c r="B484" s="0" t="s">
        <v>555</v>
      </c>
      <c r="C484" s="0" t="n">
        <v>21000</v>
      </c>
      <c r="D484" s="0" t="n">
        <v>714</v>
      </c>
      <c r="E484" s="0" t="str">
        <f aca="false">IFERROR(IF(OR(HLOOKUP($A484,#REF!,3,FALSE())&gt;2,HLOOKUP(A484,#REF!,3,FALSE())&lt;-2),"",#REF!),"")</f>
        <v/>
      </c>
      <c r="F484" s="0" t="str">
        <f aca="false">IFERROR(IF(OR(HLOOKUP($A484,#REF!,4,FALSE())&gt;2,HLOOKUP($A484,#REF!,4,FALSE())&lt;-2),"",#REF!),"")</f>
        <v/>
      </c>
      <c r="G484" s="0" t="str">
        <f aca="false">IFERROR(IF(OR(HLOOKUP($A484,#REF!,5,FALSE())&gt;2,HLOOKUP($A484,#REF!,5,FALSE())&lt;-2),"",#REF!),"")</f>
        <v/>
      </c>
      <c r="H484" s="0" t="str">
        <f aca="false">IFERROR(IF(OR(HLOOKUP($A484,#REF!,6,FALSE())&gt;2,HLOOKUP($A484,#REF!,6,FALSE())&lt;-2),"",#REF!),"")</f>
        <v/>
      </c>
      <c r="I484" s="0" t="str">
        <f aca="false">IFERROR(IF(OR(HLOOKUP($A484,#REF!,7,FALSE())&gt;2,HLOOKUP($A484,#REF!,7,FALSE())&lt;-2),"",#REF!),"")</f>
        <v/>
      </c>
      <c r="J484" s="0" t="str">
        <f aca="false">IFERROR(IF(OR(HLOOKUP($A484,#REF!,8,FALSE())&gt;2,HLOOKUP($A484,#REF!,8,FALSE())&lt;-2),"",#REF!),"")</f>
        <v/>
      </c>
      <c r="K484" s="0" t="str">
        <f aca="false">IFERROR(IF(OR(HLOOKUP($A484,#REF!,9,FALSE())&gt;2,HLOOKUP($A484,#REF!,9,FALSE())&lt;-2),"",#REF!),"")</f>
        <v/>
      </c>
      <c r="L484" s="0" t="str">
        <f aca="false">IFERROR(IF(OR(HLOOKUP($A484,#REF!,10,FALSE())&gt;2,HLOOKUP($A484,#REF!,10,FALSE())&lt;-2),"",#REF!),"")</f>
        <v/>
      </c>
      <c r="M484" s="0" t="str">
        <f aca="false">IFERROR(IF(OR(HLOOKUP($A484,#REF!,11,FALSE())&gt;2,HLOOKUP($A484,#REF!,11,FALSE())&lt;-2),"",#REF!),"")</f>
        <v/>
      </c>
      <c r="N484" s="0" t="str">
        <f aca="false">IFERROR(IF(OR(HLOOKUP($A484,#REF!,12,FALSE())&gt;2,HLOOKUP($A484,#REF!,12,FALSE())&lt;-2),"",#REF!),"")</f>
        <v/>
      </c>
      <c r="O484" s="0" t="str">
        <f aca="false">IFERROR(IF(OR(HLOOKUP($A484,#REF!,13,FALSE())&gt;2,HLOOKUP($A484,#REF!,13,FALSE())&lt;-2),"",#REF!),"")</f>
        <v/>
      </c>
      <c r="P484" s="0" t="str">
        <f aca="false">IFERROR(IF(OR(HLOOKUP($A484,#REF!,14,FALSE())&gt;2,HLOOKUP($A484,#REF!,14,FALSE())&lt;-2),"",#REF!),"")</f>
        <v/>
      </c>
      <c r="Q484" s="0" t="str">
        <f aca="false">IFERROR(IF(OR(HLOOKUP($A484,#REF!,15,FALSE())&gt;2,HLOOKUP($A484,#REF!,15,FALSE())&lt;-2),"",#REF!),"")</f>
        <v/>
      </c>
      <c r="R484" s="0" t="str">
        <f aca="false">IFERROR(IF(OR(HLOOKUP($A484,#REF!,16,FALSE())&gt;2,HLOOKUP($A484,#REF!,16,FALSE())&lt;-2),"",#REF!),"")</f>
        <v/>
      </c>
      <c r="S484" s="0" t="str">
        <f aca="false">IFERROR(IF(OR(HLOOKUP($A484,#REF!,17,FALSE())&gt;2,HLOOKUP($A484,#REF!,17,FALSE())&lt;-2),"",#REF!),"")</f>
        <v/>
      </c>
      <c r="T484" s="0" t="str">
        <f aca="false">IFERROR(IF(OR(HLOOKUP($A484,#REF!,18,FALSE())&gt;2,HLOOKUP($A484,#REF!,18,FALSE())&lt;-2),"",#REF!),"")</f>
        <v/>
      </c>
      <c r="U484" s="0" t="str">
        <f aca="false">IFERROR(IF(OR(HLOOKUP($A484,#REF!,19,FALSE())&gt;2,HLOOKUP($A484,#REF!,19,FALSE())&lt;-2),"",#REF!),"")</f>
        <v/>
      </c>
      <c r="V484" s="0" t="n">
        <f aca="false">IFERROR(IF(AND(X484=0,Y484=0),0,1),0)</f>
        <v>1</v>
      </c>
      <c r="W484" s="3" t="str">
        <f aca="false">IFERROR(_xlfn.T.TEST(E484:M484,N484:U484,2,2),"")</f>
        <v/>
      </c>
      <c r="X484" s="0" t="str">
        <f aca="false">IFERROR(AVERAGE(E484:M484),"")</f>
        <v/>
      </c>
      <c r="Y484" s="0" t="str">
        <f aca="false">IFERROR(AVERAGE(N484:U484),"")</f>
        <v/>
      </c>
    </row>
    <row r="485" customFormat="false" ht="14.5" hidden="false" customHeight="false" outlineLevel="0" collapsed="false">
      <c r="A485" s="0" t="n">
        <v>493</v>
      </c>
      <c r="B485" s="0" t="s">
        <v>556</v>
      </c>
      <c r="C485" s="0" t="n">
        <v>48300</v>
      </c>
      <c r="D485" s="0" t="n">
        <v>477</v>
      </c>
      <c r="E485" s="0" t="str">
        <f aca="false">IFERROR(IF(OR(HLOOKUP($A485,#REF!,3,FALSE())&gt;2,HLOOKUP(A485,#REF!,3,FALSE())&lt;-2),"",#REF!),"")</f>
        <v/>
      </c>
      <c r="F485" s="0" t="str">
        <f aca="false">IFERROR(IF(OR(HLOOKUP($A485,#REF!,4,FALSE())&gt;2,HLOOKUP($A485,#REF!,4,FALSE())&lt;-2),"",#REF!),"")</f>
        <v/>
      </c>
      <c r="G485" s="0" t="str">
        <f aca="false">IFERROR(IF(OR(HLOOKUP($A485,#REF!,5,FALSE())&gt;2,HLOOKUP($A485,#REF!,5,FALSE())&lt;-2),"",#REF!),"")</f>
        <v/>
      </c>
      <c r="H485" s="0" t="str">
        <f aca="false">IFERROR(IF(OR(HLOOKUP($A485,#REF!,6,FALSE())&gt;2,HLOOKUP($A485,#REF!,6,FALSE())&lt;-2),"",#REF!),"")</f>
        <v/>
      </c>
      <c r="I485" s="0" t="str">
        <f aca="false">IFERROR(IF(OR(HLOOKUP($A485,#REF!,7,FALSE())&gt;2,HLOOKUP($A485,#REF!,7,FALSE())&lt;-2),"",#REF!),"")</f>
        <v/>
      </c>
      <c r="J485" s="0" t="str">
        <f aca="false">IFERROR(IF(OR(HLOOKUP($A485,#REF!,8,FALSE())&gt;2,HLOOKUP($A485,#REF!,8,FALSE())&lt;-2),"",#REF!),"")</f>
        <v/>
      </c>
      <c r="K485" s="0" t="str">
        <f aca="false">IFERROR(IF(OR(HLOOKUP($A485,#REF!,9,FALSE())&gt;2,HLOOKUP($A485,#REF!,9,FALSE())&lt;-2),"",#REF!),"")</f>
        <v/>
      </c>
      <c r="L485" s="0" t="str">
        <f aca="false">IFERROR(IF(OR(HLOOKUP($A485,#REF!,10,FALSE())&gt;2,HLOOKUP($A485,#REF!,10,FALSE())&lt;-2),"",#REF!),"")</f>
        <v/>
      </c>
      <c r="M485" s="0" t="str">
        <f aca="false">IFERROR(IF(OR(HLOOKUP($A485,#REF!,11,FALSE())&gt;2,HLOOKUP($A485,#REF!,11,FALSE())&lt;-2),"",#REF!),"")</f>
        <v/>
      </c>
      <c r="N485" s="0" t="str">
        <f aca="false">IFERROR(IF(OR(HLOOKUP($A485,#REF!,12,FALSE())&gt;2,HLOOKUP($A485,#REF!,12,FALSE())&lt;-2),"",#REF!),"")</f>
        <v/>
      </c>
      <c r="O485" s="0" t="str">
        <f aca="false">IFERROR(IF(OR(HLOOKUP($A485,#REF!,13,FALSE())&gt;2,HLOOKUP($A485,#REF!,13,FALSE())&lt;-2),"",#REF!),"")</f>
        <v/>
      </c>
      <c r="P485" s="0" t="str">
        <f aca="false">IFERROR(IF(OR(HLOOKUP($A485,#REF!,14,FALSE())&gt;2,HLOOKUP($A485,#REF!,14,FALSE())&lt;-2),"",#REF!),"")</f>
        <v/>
      </c>
      <c r="Q485" s="0" t="str">
        <f aca="false">IFERROR(IF(OR(HLOOKUP($A485,#REF!,15,FALSE())&gt;2,HLOOKUP($A485,#REF!,15,FALSE())&lt;-2),"",#REF!),"")</f>
        <v/>
      </c>
      <c r="R485" s="0" t="str">
        <f aca="false">IFERROR(IF(OR(HLOOKUP($A485,#REF!,16,FALSE())&gt;2,HLOOKUP($A485,#REF!,16,FALSE())&lt;-2),"",#REF!),"")</f>
        <v/>
      </c>
      <c r="S485" s="0" t="str">
        <f aca="false">IFERROR(IF(OR(HLOOKUP($A485,#REF!,17,FALSE())&gt;2,HLOOKUP($A485,#REF!,17,FALSE())&lt;-2),"",#REF!),"")</f>
        <v/>
      </c>
      <c r="T485" s="0" t="str">
        <f aca="false">IFERROR(IF(OR(HLOOKUP($A485,#REF!,18,FALSE())&gt;2,HLOOKUP($A485,#REF!,18,FALSE())&lt;-2),"",#REF!),"")</f>
        <v/>
      </c>
      <c r="U485" s="0" t="str">
        <f aca="false">IFERROR(IF(OR(HLOOKUP($A485,#REF!,19,FALSE())&gt;2,HLOOKUP($A485,#REF!,19,FALSE())&lt;-2),"",#REF!),"")</f>
        <v/>
      </c>
      <c r="V485" s="0" t="n">
        <f aca="false">IFERROR(IF(AND(X485=0,Y485=0),0,1),0)</f>
        <v>1</v>
      </c>
      <c r="W485" s="3" t="str">
        <f aca="false">IFERROR(_xlfn.T.TEST(E485:M485,N485:U485,2,2),"")</f>
        <v/>
      </c>
      <c r="X485" s="0" t="str">
        <f aca="false">IFERROR(AVERAGE(E485:M485),"")</f>
        <v/>
      </c>
      <c r="Y485" s="0" t="str">
        <f aca="false">IFERROR(AVERAGE(N485:U485),"")</f>
        <v/>
      </c>
    </row>
    <row r="486" customFormat="false" ht="14.5" hidden="false" customHeight="false" outlineLevel="0" collapsed="false">
      <c r="A486" s="0" t="n">
        <v>494</v>
      </c>
      <c r="B486" s="0" t="s">
        <v>557</v>
      </c>
      <c r="C486" s="0" t="n">
        <v>81200</v>
      </c>
      <c r="D486" s="0" t="n">
        <v>10</v>
      </c>
      <c r="E486" s="0" t="str">
        <f aca="false">IFERROR(IF(OR(HLOOKUP($A486,#REF!,3,FALSE())&gt;2,HLOOKUP(A486,#REF!,3,FALSE())&lt;-2),"",#REF!),"")</f>
        <v/>
      </c>
      <c r="F486" s="0" t="str">
        <f aca="false">IFERROR(IF(OR(HLOOKUP($A486,#REF!,4,FALSE())&gt;2,HLOOKUP($A486,#REF!,4,FALSE())&lt;-2),"",#REF!),"")</f>
        <v/>
      </c>
      <c r="G486" s="0" t="str">
        <f aca="false">IFERROR(IF(OR(HLOOKUP($A486,#REF!,5,FALSE())&gt;2,HLOOKUP($A486,#REF!,5,FALSE())&lt;-2),"",#REF!),"")</f>
        <v/>
      </c>
      <c r="H486" s="0" t="str">
        <f aca="false">IFERROR(IF(OR(HLOOKUP($A486,#REF!,6,FALSE())&gt;2,HLOOKUP($A486,#REF!,6,FALSE())&lt;-2),"",#REF!),"")</f>
        <v/>
      </c>
      <c r="I486" s="0" t="str">
        <f aca="false">IFERROR(IF(OR(HLOOKUP($A486,#REF!,7,FALSE())&gt;2,HLOOKUP($A486,#REF!,7,FALSE())&lt;-2),"",#REF!),"")</f>
        <v/>
      </c>
      <c r="J486" s="0" t="str">
        <f aca="false">IFERROR(IF(OR(HLOOKUP($A486,#REF!,8,FALSE())&gt;2,HLOOKUP($A486,#REF!,8,FALSE())&lt;-2),"",#REF!),"")</f>
        <v/>
      </c>
      <c r="K486" s="0" t="str">
        <f aca="false">IFERROR(IF(OR(HLOOKUP($A486,#REF!,9,FALSE())&gt;2,HLOOKUP($A486,#REF!,9,FALSE())&lt;-2),"",#REF!),"")</f>
        <v/>
      </c>
      <c r="L486" s="0" t="str">
        <f aca="false">IFERROR(IF(OR(HLOOKUP($A486,#REF!,10,FALSE())&gt;2,HLOOKUP($A486,#REF!,10,FALSE())&lt;-2),"",#REF!),"")</f>
        <v/>
      </c>
      <c r="M486" s="0" t="str">
        <f aca="false">IFERROR(IF(OR(HLOOKUP($A486,#REF!,11,FALSE())&gt;2,HLOOKUP($A486,#REF!,11,FALSE())&lt;-2),"",#REF!),"")</f>
        <v/>
      </c>
      <c r="N486" s="0" t="str">
        <f aca="false">IFERROR(IF(OR(HLOOKUP($A486,#REF!,12,FALSE())&gt;2,HLOOKUP($A486,#REF!,12,FALSE())&lt;-2),"",#REF!),"")</f>
        <v/>
      </c>
      <c r="O486" s="0" t="str">
        <f aca="false">IFERROR(IF(OR(HLOOKUP($A486,#REF!,13,FALSE())&gt;2,HLOOKUP($A486,#REF!,13,FALSE())&lt;-2),"",#REF!),"")</f>
        <v/>
      </c>
      <c r="P486" s="0" t="str">
        <f aca="false">IFERROR(IF(OR(HLOOKUP($A486,#REF!,14,FALSE())&gt;2,HLOOKUP($A486,#REF!,14,FALSE())&lt;-2),"",#REF!),"")</f>
        <v/>
      </c>
      <c r="Q486" s="0" t="str">
        <f aca="false">IFERROR(IF(OR(HLOOKUP($A486,#REF!,15,FALSE())&gt;2,HLOOKUP($A486,#REF!,15,FALSE())&lt;-2),"",#REF!),"")</f>
        <v/>
      </c>
      <c r="R486" s="0" t="str">
        <f aca="false">IFERROR(IF(OR(HLOOKUP($A486,#REF!,16,FALSE())&gt;2,HLOOKUP($A486,#REF!,16,FALSE())&lt;-2),"",#REF!),"")</f>
        <v/>
      </c>
      <c r="S486" s="0" t="str">
        <f aca="false">IFERROR(IF(OR(HLOOKUP($A486,#REF!,17,FALSE())&gt;2,HLOOKUP($A486,#REF!,17,FALSE())&lt;-2),"",#REF!),"")</f>
        <v/>
      </c>
      <c r="T486" s="0" t="str">
        <f aca="false">IFERROR(IF(OR(HLOOKUP($A486,#REF!,18,FALSE())&gt;2,HLOOKUP($A486,#REF!,18,FALSE())&lt;-2),"",#REF!),"")</f>
        <v/>
      </c>
      <c r="U486" s="0" t="str">
        <f aca="false">IFERROR(IF(OR(HLOOKUP($A486,#REF!,19,FALSE())&gt;2,HLOOKUP($A486,#REF!,19,FALSE())&lt;-2),"",#REF!),"")</f>
        <v/>
      </c>
      <c r="V486" s="0" t="n">
        <f aca="false">IFERROR(IF(AND(X486=0,Y486=0),0,1),0)</f>
        <v>1</v>
      </c>
      <c r="W486" s="3" t="str">
        <f aca="false">IFERROR(_xlfn.T.TEST(E486:M486,N486:U486,2,2),"")</f>
        <v/>
      </c>
      <c r="X486" s="0" t="str">
        <f aca="false">IFERROR(AVERAGE(E486:M486),"")</f>
        <v/>
      </c>
      <c r="Y486" s="0" t="str">
        <f aca="false">IFERROR(AVERAGE(N486:U486),"")</f>
        <v/>
      </c>
    </row>
    <row r="487" customFormat="false" ht="14.5" hidden="false" customHeight="false" outlineLevel="0" collapsed="false">
      <c r="A487" s="0" t="n">
        <v>495</v>
      </c>
      <c r="B487" s="0" t="s">
        <v>558</v>
      </c>
      <c r="C487" s="0" t="n">
        <v>39100</v>
      </c>
      <c r="D487" s="0" t="n">
        <v>463</v>
      </c>
      <c r="E487" s="0" t="str">
        <f aca="false">IFERROR(IF(OR(HLOOKUP($A487,#REF!,3,FALSE())&gt;2,HLOOKUP(A487,#REF!,3,FALSE())&lt;-2),"",#REF!),"")</f>
        <v/>
      </c>
      <c r="F487" s="0" t="str">
        <f aca="false">IFERROR(IF(OR(HLOOKUP($A487,#REF!,4,FALSE())&gt;2,HLOOKUP($A487,#REF!,4,FALSE())&lt;-2),"",#REF!),"")</f>
        <v/>
      </c>
      <c r="G487" s="0" t="str">
        <f aca="false">IFERROR(IF(OR(HLOOKUP($A487,#REF!,5,FALSE())&gt;2,HLOOKUP($A487,#REF!,5,FALSE())&lt;-2),"",#REF!),"")</f>
        <v/>
      </c>
      <c r="H487" s="0" t="str">
        <f aca="false">IFERROR(IF(OR(HLOOKUP($A487,#REF!,6,FALSE())&gt;2,HLOOKUP($A487,#REF!,6,FALSE())&lt;-2),"",#REF!),"")</f>
        <v/>
      </c>
      <c r="I487" s="0" t="str">
        <f aca="false">IFERROR(IF(OR(HLOOKUP($A487,#REF!,7,FALSE())&gt;2,HLOOKUP($A487,#REF!,7,FALSE())&lt;-2),"",#REF!),"")</f>
        <v/>
      </c>
      <c r="J487" s="0" t="str">
        <f aca="false">IFERROR(IF(OR(HLOOKUP($A487,#REF!,8,FALSE())&gt;2,HLOOKUP($A487,#REF!,8,FALSE())&lt;-2),"",#REF!),"")</f>
        <v/>
      </c>
      <c r="K487" s="0" t="str">
        <f aca="false">IFERROR(IF(OR(HLOOKUP($A487,#REF!,9,FALSE())&gt;2,HLOOKUP($A487,#REF!,9,FALSE())&lt;-2),"",#REF!),"")</f>
        <v/>
      </c>
      <c r="L487" s="0" t="str">
        <f aca="false">IFERROR(IF(OR(HLOOKUP($A487,#REF!,10,FALSE())&gt;2,HLOOKUP($A487,#REF!,10,FALSE())&lt;-2),"",#REF!),"")</f>
        <v/>
      </c>
      <c r="M487" s="0" t="str">
        <f aca="false">IFERROR(IF(OR(HLOOKUP($A487,#REF!,11,FALSE())&gt;2,HLOOKUP($A487,#REF!,11,FALSE())&lt;-2),"",#REF!),"")</f>
        <v/>
      </c>
      <c r="N487" s="0" t="str">
        <f aca="false">IFERROR(IF(OR(HLOOKUP($A487,#REF!,12,FALSE())&gt;2,HLOOKUP($A487,#REF!,12,FALSE())&lt;-2),"",#REF!),"")</f>
        <v/>
      </c>
      <c r="O487" s="0" t="str">
        <f aca="false">IFERROR(IF(OR(HLOOKUP($A487,#REF!,13,FALSE())&gt;2,HLOOKUP($A487,#REF!,13,FALSE())&lt;-2),"",#REF!),"")</f>
        <v/>
      </c>
      <c r="P487" s="0" t="str">
        <f aca="false">IFERROR(IF(OR(HLOOKUP($A487,#REF!,14,FALSE())&gt;2,HLOOKUP($A487,#REF!,14,FALSE())&lt;-2),"",#REF!),"")</f>
        <v/>
      </c>
      <c r="Q487" s="0" t="str">
        <f aca="false">IFERROR(IF(OR(HLOOKUP($A487,#REF!,15,FALSE())&gt;2,HLOOKUP($A487,#REF!,15,FALSE())&lt;-2),"",#REF!),"")</f>
        <v/>
      </c>
      <c r="R487" s="0" t="str">
        <f aca="false">IFERROR(IF(OR(HLOOKUP($A487,#REF!,16,FALSE())&gt;2,HLOOKUP($A487,#REF!,16,FALSE())&lt;-2),"",#REF!),"")</f>
        <v/>
      </c>
      <c r="S487" s="0" t="str">
        <f aca="false">IFERROR(IF(OR(HLOOKUP($A487,#REF!,17,FALSE())&gt;2,HLOOKUP($A487,#REF!,17,FALSE())&lt;-2),"",#REF!),"")</f>
        <v/>
      </c>
      <c r="T487" s="0" t="str">
        <f aca="false">IFERROR(IF(OR(HLOOKUP($A487,#REF!,18,FALSE())&gt;2,HLOOKUP($A487,#REF!,18,FALSE())&lt;-2),"",#REF!),"")</f>
        <v/>
      </c>
      <c r="U487" s="0" t="str">
        <f aca="false">IFERROR(IF(OR(HLOOKUP($A487,#REF!,19,FALSE())&gt;2,HLOOKUP($A487,#REF!,19,FALSE())&lt;-2),"",#REF!),"")</f>
        <v/>
      </c>
      <c r="V487" s="0" t="n">
        <f aca="false">IFERROR(IF(AND(X487=0,Y487=0),0,1),0)</f>
        <v>1</v>
      </c>
      <c r="W487" s="3" t="str">
        <f aca="false">IFERROR(_xlfn.T.TEST(E487:M487,N487:U487,2,2),"")</f>
        <v/>
      </c>
      <c r="X487" s="0" t="str">
        <f aca="false">IFERROR(AVERAGE(E487:M487),"")</f>
        <v/>
      </c>
      <c r="Y487" s="0" t="str">
        <f aca="false">IFERROR(AVERAGE(N487:U487),"")</f>
        <v/>
      </c>
    </row>
    <row r="488" customFormat="false" ht="14.5" hidden="false" customHeight="false" outlineLevel="0" collapsed="false">
      <c r="A488" s="0" t="n">
        <v>496</v>
      </c>
      <c r="B488" s="0" t="s">
        <v>559</v>
      </c>
      <c r="C488" s="0" t="n">
        <v>33100</v>
      </c>
      <c r="D488" s="0" t="n">
        <v>814</v>
      </c>
      <c r="E488" s="0" t="str">
        <f aca="false">IFERROR(IF(OR(HLOOKUP($A488,#REF!,3,FALSE())&gt;2,HLOOKUP(A488,#REF!,3,FALSE())&lt;-2),"",#REF!),"")</f>
        <v/>
      </c>
      <c r="F488" s="0" t="str">
        <f aca="false">IFERROR(IF(OR(HLOOKUP($A488,#REF!,4,FALSE())&gt;2,HLOOKUP($A488,#REF!,4,FALSE())&lt;-2),"",#REF!),"")</f>
        <v/>
      </c>
      <c r="G488" s="0" t="str">
        <f aca="false">IFERROR(IF(OR(HLOOKUP($A488,#REF!,5,FALSE())&gt;2,HLOOKUP($A488,#REF!,5,FALSE())&lt;-2),"",#REF!),"")</f>
        <v/>
      </c>
      <c r="H488" s="0" t="str">
        <f aca="false">IFERROR(IF(OR(HLOOKUP($A488,#REF!,6,FALSE())&gt;2,HLOOKUP($A488,#REF!,6,FALSE())&lt;-2),"",#REF!),"")</f>
        <v/>
      </c>
      <c r="I488" s="0" t="str">
        <f aca="false">IFERROR(IF(OR(HLOOKUP($A488,#REF!,7,FALSE())&gt;2,HLOOKUP($A488,#REF!,7,FALSE())&lt;-2),"",#REF!),"")</f>
        <v/>
      </c>
      <c r="J488" s="0" t="str">
        <f aca="false">IFERROR(IF(OR(HLOOKUP($A488,#REF!,8,FALSE())&gt;2,HLOOKUP($A488,#REF!,8,FALSE())&lt;-2),"",#REF!),"")</f>
        <v/>
      </c>
      <c r="K488" s="0" t="str">
        <f aca="false">IFERROR(IF(OR(HLOOKUP($A488,#REF!,9,FALSE())&gt;2,HLOOKUP($A488,#REF!,9,FALSE())&lt;-2),"",#REF!),"")</f>
        <v/>
      </c>
      <c r="L488" s="0" t="str">
        <f aca="false">IFERROR(IF(OR(HLOOKUP($A488,#REF!,10,FALSE())&gt;2,HLOOKUP($A488,#REF!,10,FALSE())&lt;-2),"",#REF!),"")</f>
        <v/>
      </c>
      <c r="M488" s="0" t="str">
        <f aca="false">IFERROR(IF(OR(HLOOKUP($A488,#REF!,11,FALSE())&gt;2,HLOOKUP($A488,#REF!,11,FALSE())&lt;-2),"",#REF!),"")</f>
        <v/>
      </c>
      <c r="N488" s="0" t="str">
        <f aca="false">IFERROR(IF(OR(HLOOKUP($A488,#REF!,12,FALSE())&gt;2,HLOOKUP($A488,#REF!,12,FALSE())&lt;-2),"",#REF!),"")</f>
        <v/>
      </c>
      <c r="O488" s="0" t="str">
        <f aca="false">IFERROR(IF(OR(HLOOKUP($A488,#REF!,13,FALSE())&gt;2,HLOOKUP($A488,#REF!,13,FALSE())&lt;-2),"",#REF!),"")</f>
        <v/>
      </c>
      <c r="P488" s="0" t="str">
        <f aca="false">IFERROR(IF(OR(HLOOKUP($A488,#REF!,14,FALSE())&gt;2,HLOOKUP($A488,#REF!,14,FALSE())&lt;-2),"",#REF!),"")</f>
        <v/>
      </c>
      <c r="Q488" s="0" t="str">
        <f aca="false">IFERROR(IF(OR(HLOOKUP($A488,#REF!,15,FALSE())&gt;2,HLOOKUP($A488,#REF!,15,FALSE())&lt;-2),"",#REF!),"")</f>
        <v/>
      </c>
      <c r="R488" s="0" t="str">
        <f aca="false">IFERROR(IF(OR(HLOOKUP($A488,#REF!,16,FALSE())&gt;2,HLOOKUP($A488,#REF!,16,FALSE())&lt;-2),"",#REF!),"")</f>
        <v/>
      </c>
      <c r="S488" s="0" t="str">
        <f aca="false">IFERROR(IF(OR(HLOOKUP($A488,#REF!,17,FALSE())&gt;2,HLOOKUP($A488,#REF!,17,FALSE())&lt;-2),"",#REF!),"")</f>
        <v/>
      </c>
      <c r="T488" s="0" t="str">
        <f aca="false">IFERROR(IF(OR(HLOOKUP($A488,#REF!,18,FALSE())&gt;2,HLOOKUP($A488,#REF!,18,FALSE())&lt;-2),"",#REF!),"")</f>
        <v/>
      </c>
      <c r="U488" s="0" t="str">
        <f aca="false">IFERROR(IF(OR(HLOOKUP($A488,#REF!,19,FALSE())&gt;2,HLOOKUP($A488,#REF!,19,FALSE())&lt;-2),"",#REF!),"")</f>
        <v/>
      </c>
      <c r="V488" s="0" t="n">
        <f aca="false">IFERROR(IF(AND(X488=0,Y488=0),0,1),0)</f>
        <v>1</v>
      </c>
      <c r="W488" s="3" t="str">
        <f aca="false">IFERROR(_xlfn.T.TEST(E488:M488,N488:U488,2,2),"")</f>
        <v/>
      </c>
      <c r="X488" s="0" t="str">
        <f aca="false">IFERROR(AVERAGE(E488:M488),"")</f>
        <v/>
      </c>
      <c r="Y488" s="0" t="str">
        <f aca="false">IFERROR(AVERAGE(N488:U488),"")</f>
        <v/>
      </c>
    </row>
    <row r="489" customFormat="false" ht="14.5" hidden="false" customHeight="false" outlineLevel="0" collapsed="false">
      <c r="A489" s="0" t="n">
        <v>497</v>
      </c>
      <c r="B489" s="0" t="s">
        <v>560</v>
      </c>
      <c r="C489" s="0" t="n">
        <v>14000</v>
      </c>
      <c r="D489" s="0" t="n">
        <v>669</v>
      </c>
      <c r="E489" s="0" t="str">
        <f aca="false">IFERROR(IF(OR(HLOOKUP($A489,#REF!,3,FALSE())&gt;2,HLOOKUP(A489,#REF!,3,FALSE())&lt;-2),"",#REF!),"")</f>
        <v/>
      </c>
      <c r="F489" s="0" t="str">
        <f aca="false">IFERROR(IF(OR(HLOOKUP($A489,#REF!,4,FALSE())&gt;2,HLOOKUP($A489,#REF!,4,FALSE())&lt;-2),"",#REF!),"")</f>
        <v/>
      </c>
      <c r="G489" s="0" t="str">
        <f aca="false">IFERROR(IF(OR(HLOOKUP($A489,#REF!,5,FALSE())&gt;2,HLOOKUP($A489,#REF!,5,FALSE())&lt;-2),"",#REF!),"")</f>
        <v/>
      </c>
      <c r="H489" s="0" t="str">
        <f aca="false">IFERROR(IF(OR(HLOOKUP($A489,#REF!,6,FALSE())&gt;2,HLOOKUP($A489,#REF!,6,FALSE())&lt;-2),"",#REF!),"")</f>
        <v/>
      </c>
      <c r="I489" s="0" t="str">
        <f aca="false">IFERROR(IF(OR(HLOOKUP($A489,#REF!,7,FALSE())&gt;2,HLOOKUP($A489,#REF!,7,FALSE())&lt;-2),"",#REF!),"")</f>
        <v/>
      </c>
      <c r="J489" s="0" t="str">
        <f aca="false">IFERROR(IF(OR(HLOOKUP($A489,#REF!,8,FALSE())&gt;2,HLOOKUP($A489,#REF!,8,FALSE())&lt;-2),"",#REF!),"")</f>
        <v/>
      </c>
      <c r="K489" s="0" t="str">
        <f aca="false">IFERROR(IF(OR(HLOOKUP($A489,#REF!,9,FALSE())&gt;2,HLOOKUP($A489,#REF!,9,FALSE())&lt;-2),"",#REF!),"")</f>
        <v/>
      </c>
      <c r="L489" s="0" t="str">
        <f aca="false">IFERROR(IF(OR(HLOOKUP($A489,#REF!,10,FALSE())&gt;2,HLOOKUP($A489,#REF!,10,FALSE())&lt;-2),"",#REF!),"")</f>
        <v/>
      </c>
      <c r="M489" s="0" t="str">
        <f aca="false">IFERROR(IF(OR(HLOOKUP($A489,#REF!,11,FALSE())&gt;2,HLOOKUP($A489,#REF!,11,FALSE())&lt;-2),"",#REF!),"")</f>
        <v/>
      </c>
      <c r="N489" s="0" t="str">
        <f aca="false">IFERROR(IF(OR(HLOOKUP($A489,#REF!,12,FALSE())&gt;2,HLOOKUP($A489,#REF!,12,FALSE())&lt;-2),"",#REF!),"")</f>
        <v/>
      </c>
      <c r="O489" s="0" t="str">
        <f aca="false">IFERROR(IF(OR(HLOOKUP($A489,#REF!,13,FALSE())&gt;2,HLOOKUP($A489,#REF!,13,FALSE())&lt;-2),"",#REF!),"")</f>
        <v/>
      </c>
      <c r="P489" s="0" t="str">
        <f aca="false">IFERROR(IF(OR(HLOOKUP($A489,#REF!,14,FALSE())&gt;2,HLOOKUP($A489,#REF!,14,FALSE())&lt;-2),"",#REF!),"")</f>
        <v/>
      </c>
      <c r="Q489" s="0" t="str">
        <f aca="false">IFERROR(IF(OR(HLOOKUP($A489,#REF!,15,FALSE())&gt;2,HLOOKUP($A489,#REF!,15,FALSE())&lt;-2),"",#REF!),"")</f>
        <v/>
      </c>
      <c r="R489" s="0" t="str">
        <f aca="false">IFERROR(IF(OR(HLOOKUP($A489,#REF!,16,FALSE())&gt;2,HLOOKUP($A489,#REF!,16,FALSE())&lt;-2),"",#REF!),"")</f>
        <v/>
      </c>
      <c r="S489" s="0" t="str">
        <f aca="false">IFERROR(IF(OR(HLOOKUP($A489,#REF!,17,FALSE())&gt;2,HLOOKUP($A489,#REF!,17,FALSE())&lt;-2),"",#REF!),"")</f>
        <v/>
      </c>
      <c r="T489" s="0" t="str">
        <f aca="false">IFERROR(IF(OR(HLOOKUP($A489,#REF!,18,FALSE())&gt;2,HLOOKUP($A489,#REF!,18,FALSE())&lt;-2),"",#REF!),"")</f>
        <v/>
      </c>
      <c r="U489" s="0" t="str">
        <f aca="false">IFERROR(IF(OR(HLOOKUP($A489,#REF!,19,FALSE())&gt;2,HLOOKUP($A489,#REF!,19,FALSE())&lt;-2),"",#REF!),"")</f>
        <v/>
      </c>
      <c r="V489" s="0" t="n">
        <f aca="false">IFERROR(IF(AND(X489=0,Y489=0),0,1),0)</f>
        <v>1</v>
      </c>
      <c r="W489" s="3" t="str">
        <f aca="false">IFERROR(_xlfn.T.TEST(E489:M489,N489:U489,2,2),"")</f>
        <v/>
      </c>
      <c r="X489" s="0" t="str">
        <f aca="false">IFERROR(AVERAGE(E489:M489),"")</f>
        <v/>
      </c>
      <c r="Y489" s="0" t="str">
        <f aca="false">IFERROR(AVERAGE(N489:U489),"")</f>
        <v/>
      </c>
    </row>
    <row r="490" customFormat="false" ht="14.5" hidden="false" customHeight="false" outlineLevel="0" collapsed="false">
      <c r="A490" s="0" t="n">
        <v>498</v>
      </c>
      <c r="B490" s="0" t="s">
        <v>561</v>
      </c>
      <c r="C490" s="0" t="n">
        <v>53200</v>
      </c>
      <c r="D490" s="0" t="n">
        <v>359</v>
      </c>
      <c r="E490" s="0" t="str">
        <f aca="false">IFERROR(IF(OR(HLOOKUP($A490,#REF!,3,FALSE())&gt;2,HLOOKUP(A490,#REF!,3,FALSE())&lt;-2),"",#REF!),"")</f>
        <v/>
      </c>
      <c r="F490" s="0" t="str">
        <f aca="false">IFERROR(IF(OR(HLOOKUP($A490,#REF!,4,FALSE())&gt;2,HLOOKUP($A490,#REF!,4,FALSE())&lt;-2),"",#REF!),"")</f>
        <v/>
      </c>
      <c r="G490" s="0" t="str">
        <f aca="false">IFERROR(IF(OR(HLOOKUP($A490,#REF!,5,FALSE())&gt;2,HLOOKUP($A490,#REF!,5,FALSE())&lt;-2),"",#REF!),"")</f>
        <v/>
      </c>
      <c r="H490" s="0" t="str">
        <f aca="false">IFERROR(IF(OR(HLOOKUP($A490,#REF!,6,FALSE())&gt;2,HLOOKUP($A490,#REF!,6,FALSE())&lt;-2),"",#REF!),"")</f>
        <v/>
      </c>
      <c r="I490" s="0" t="str">
        <f aca="false">IFERROR(IF(OR(HLOOKUP($A490,#REF!,7,FALSE())&gt;2,HLOOKUP($A490,#REF!,7,FALSE())&lt;-2),"",#REF!),"")</f>
        <v/>
      </c>
      <c r="J490" s="0" t="str">
        <f aca="false">IFERROR(IF(OR(HLOOKUP($A490,#REF!,8,FALSE())&gt;2,HLOOKUP($A490,#REF!,8,FALSE())&lt;-2),"",#REF!),"")</f>
        <v/>
      </c>
      <c r="K490" s="0" t="str">
        <f aca="false">IFERROR(IF(OR(HLOOKUP($A490,#REF!,9,FALSE())&gt;2,HLOOKUP($A490,#REF!,9,FALSE())&lt;-2),"",#REF!),"")</f>
        <v/>
      </c>
      <c r="L490" s="0" t="str">
        <f aca="false">IFERROR(IF(OR(HLOOKUP($A490,#REF!,10,FALSE())&gt;2,HLOOKUP($A490,#REF!,10,FALSE())&lt;-2),"",#REF!),"")</f>
        <v/>
      </c>
      <c r="M490" s="0" t="str">
        <f aca="false">IFERROR(IF(OR(HLOOKUP($A490,#REF!,11,FALSE())&gt;2,HLOOKUP($A490,#REF!,11,FALSE())&lt;-2),"",#REF!),"")</f>
        <v/>
      </c>
      <c r="N490" s="0" t="str">
        <f aca="false">IFERROR(IF(OR(HLOOKUP($A490,#REF!,12,FALSE())&gt;2,HLOOKUP($A490,#REF!,12,FALSE())&lt;-2),"",#REF!),"")</f>
        <v/>
      </c>
      <c r="O490" s="0" t="str">
        <f aca="false">IFERROR(IF(OR(HLOOKUP($A490,#REF!,13,FALSE())&gt;2,HLOOKUP($A490,#REF!,13,FALSE())&lt;-2),"",#REF!),"")</f>
        <v/>
      </c>
      <c r="P490" s="0" t="str">
        <f aca="false">IFERROR(IF(OR(HLOOKUP($A490,#REF!,14,FALSE())&gt;2,HLOOKUP($A490,#REF!,14,FALSE())&lt;-2),"",#REF!),"")</f>
        <v/>
      </c>
      <c r="Q490" s="0" t="str">
        <f aca="false">IFERROR(IF(OR(HLOOKUP($A490,#REF!,15,FALSE())&gt;2,HLOOKUP($A490,#REF!,15,FALSE())&lt;-2),"",#REF!),"")</f>
        <v/>
      </c>
      <c r="R490" s="0" t="str">
        <f aca="false">IFERROR(IF(OR(HLOOKUP($A490,#REF!,16,FALSE())&gt;2,HLOOKUP($A490,#REF!,16,FALSE())&lt;-2),"",#REF!),"")</f>
        <v/>
      </c>
      <c r="S490" s="0" t="str">
        <f aca="false">IFERROR(IF(OR(HLOOKUP($A490,#REF!,17,FALSE())&gt;2,HLOOKUP($A490,#REF!,17,FALSE())&lt;-2),"",#REF!),"")</f>
        <v/>
      </c>
      <c r="T490" s="0" t="str">
        <f aca="false">IFERROR(IF(OR(HLOOKUP($A490,#REF!,18,FALSE())&gt;2,HLOOKUP($A490,#REF!,18,FALSE())&lt;-2),"",#REF!),"")</f>
        <v/>
      </c>
      <c r="U490" s="0" t="str">
        <f aca="false">IFERROR(IF(OR(HLOOKUP($A490,#REF!,19,FALSE())&gt;2,HLOOKUP($A490,#REF!,19,FALSE())&lt;-2),"",#REF!),"")</f>
        <v/>
      </c>
      <c r="V490" s="0" t="n">
        <f aca="false">IFERROR(IF(AND(X490=0,Y490=0),0,1),0)</f>
        <v>1</v>
      </c>
      <c r="W490" s="3" t="str">
        <f aca="false">IFERROR(_xlfn.T.TEST(E490:M490,N490:U490,2,2),"")</f>
        <v/>
      </c>
      <c r="X490" s="0" t="str">
        <f aca="false">IFERROR(AVERAGE(E490:M490),"")</f>
        <v/>
      </c>
      <c r="Y490" s="0" t="str">
        <f aca="false">IFERROR(AVERAGE(N490:U490),"")</f>
        <v/>
      </c>
    </row>
    <row r="491" customFormat="false" ht="14.5" hidden="false" customHeight="false" outlineLevel="0" collapsed="false">
      <c r="A491" s="0" t="n">
        <v>499</v>
      </c>
      <c r="B491" s="0" t="s">
        <v>562</v>
      </c>
      <c r="C491" s="0" t="n">
        <v>105300</v>
      </c>
      <c r="D491" s="0" t="n">
        <v>1123</v>
      </c>
      <c r="E491" s="0" t="str">
        <f aca="false">IFERROR(IF(OR(HLOOKUP($A491,#REF!,3,FALSE())&gt;2,HLOOKUP(A491,#REF!,3,FALSE())&lt;-2),"",#REF!),"")</f>
        <v/>
      </c>
      <c r="F491" s="0" t="str">
        <f aca="false">IFERROR(IF(OR(HLOOKUP($A491,#REF!,4,FALSE())&gt;2,HLOOKUP($A491,#REF!,4,FALSE())&lt;-2),"",#REF!),"")</f>
        <v/>
      </c>
      <c r="G491" s="0" t="str">
        <f aca="false">IFERROR(IF(OR(HLOOKUP($A491,#REF!,5,FALSE())&gt;2,HLOOKUP($A491,#REF!,5,FALSE())&lt;-2),"",#REF!),"")</f>
        <v/>
      </c>
      <c r="H491" s="0" t="str">
        <f aca="false">IFERROR(IF(OR(HLOOKUP($A491,#REF!,6,FALSE())&gt;2,HLOOKUP($A491,#REF!,6,FALSE())&lt;-2),"",#REF!),"")</f>
        <v/>
      </c>
      <c r="I491" s="0" t="str">
        <f aca="false">IFERROR(IF(OR(HLOOKUP($A491,#REF!,7,FALSE())&gt;2,HLOOKUP($A491,#REF!,7,FALSE())&lt;-2),"",#REF!),"")</f>
        <v/>
      </c>
      <c r="J491" s="0" t="str">
        <f aca="false">IFERROR(IF(OR(HLOOKUP($A491,#REF!,8,FALSE())&gt;2,HLOOKUP($A491,#REF!,8,FALSE())&lt;-2),"",#REF!),"")</f>
        <v/>
      </c>
      <c r="K491" s="0" t="str">
        <f aca="false">IFERROR(IF(OR(HLOOKUP($A491,#REF!,9,FALSE())&gt;2,HLOOKUP($A491,#REF!,9,FALSE())&lt;-2),"",#REF!),"")</f>
        <v/>
      </c>
      <c r="L491" s="0" t="str">
        <f aca="false">IFERROR(IF(OR(HLOOKUP($A491,#REF!,10,FALSE())&gt;2,HLOOKUP($A491,#REF!,10,FALSE())&lt;-2),"",#REF!),"")</f>
        <v/>
      </c>
      <c r="M491" s="0" t="str">
        <f aca="false">IFERROR(IF(OR(HLOOKUP($A491,#REF!,11,FALSE())&gt;2,HLOOKUP($A491,#REF!,11,FALSE())&lt;-2),"",#REF!),"")</f>
        <v/>
      </c>
      <c r="N491" s="0" t="str">
        <f aca="false">IFERROR(IF(OR(HLOOKUP($A491,#REF!,12,FALSE())&gt;2,HLOOKUP($A491,#REF!,12,FALSE())&lt;-2),"",#REF!),"")</f>
        <v/>
      </c>
      <c r="O491" s="0" t="str">
        <f aca="false">IFERROR(IF(OR(HLOOKUP($A491,#REF!,13,FALSE())&gt;2,HLOOKUP($A491,#REF!,13,FALSE())&lt;-2),"",#REF!),"")</f>
        <v/>
      </c>
      <c r="P491" s="0" t="str">
        <f aca="false">IFERROR(IF(OR(HLOOKUP($A491,#REF!,14,FALSE())&gt;2,HLOOKUP($A491,#REF!,14,FALSE())&lt;-2),"",#REF!),"")</f>
        <v/>
      </c>
      <c r="Q491" s="0" t="str">
        <f aca="false">IFERROR(IF(OR(HLOOKUP($A491,#REF!,15,FALSE())&gt;2,HLOOKUP($A491,#REF!,15,FALSE())&lt;-2),"",#REF!),"")</f>
        <v/>
      </c>
      <c r="R491" s="0" t="str">
        <f aca="false">IFERROR(IF(OR(HLOOKUP($A491,#REF!,16,FALSE())&gt;2,HLOOKUP($A491,#REF!,16,FALSE())&lt;-2),"",#REF!),"")</f>
        <v/>
      </c>
      <c r="S491" s="0" t="str">
        <f aca="false">IFERROR(IF(OR(HLOOKUP($A491,#REF!,17,FALSE())&gt;2,HLOOKUP($A491,#REF!,17,FALSE())&lt;-2),"",#REF!),"")</f>
        <v/>
      </c>
      <c r="T491" s="0" t="str">
        <f aca="false">IFERROR(IF(OR(HLOOKUP($A491,#REF!,18,FALSE())&gt;2,HLOOKUP($A491,#REF!,18,FALSE())&lt;-2),"",#REF!),"")</f>
        <v/>
      </c>
      <c r="U491" s="0" t="str">
        <f aca="false">IFERROR(IF(OR(HLOOKUP($A491,#REF!,19,FALSE())&gt;2,HLOOKUP($A491,#REF!,19,FALSE())&lt;-2),"",#REF!),"")</f>
        <v/>
      </c>
      <c r="V491" s="0" t="n">
        <f aca="false">IFERROR(IF(AND(X491=0,Y491=0),0,1),0)</f>
        <v>1</v>
      </c>
      <c r="W491" s="3" t="str">
        <f aca="false">IFERROR(_xlfn.T.TEST(E491:M491,N491:U491,2,2),"")</f>
        <v/>
      </c>
      <c r="X491" s="0" t="str">
        <f aca="false">IFERROR(AVERAGE(E491:M491),"")</f>
        <v/>
      </c>
      <c r="Y491" s="0" t="str">
        <f aca="false">IFERROR(AVERAGE(N491:U491),"")</f>
        <v/>
      </c>
    </row>
    <row r="492" customFormat="false" ht="14.5" hidden="false" customHeight="false" outlineLevel="0" collapsed="false">
      <c r="A492" s="0" t="n">
        <v>500</v>
      </c>
      <c r="B492" s="0" t="s">
        <v>563</v>
      </c>
      <c r="C492" s="0" t="n">
        <v>900</v>
      </c>
      <c r="D492" s="0" t="n">
        <v>315</v>
      </c>
      <c r="E492" s="0" t="str">
        <f aca="false">IFERROR(IF(OR(HLOOKUP($A492,#REF!,3,FALSE())&gt;2,HLOOKUP(A492,#REF!,3,FALSE())&lt;-2),"",#REF!),"")</f>
        <v/>
      </c>
      <c r="F492" s="0" t="str">
        <f aca="false">IFERROR(IF(OR(HLOOKUP($A492,#REF!,4,FALSE())&gt;2,HLOOKUP($A492,#REF!,4,FALSE())&lt;-2),"",#REF!),"")</f>
        <v/>
      </c>
      <c r="G492" s="0" t="str">
        <f aca="false">IFERROR(IF(OR(HLOOKUP($A492,#REF!,5,FALSE())&gt;2,HLOOKUP($A492,#REF!,5,FALSE())&lt;-2),"",#REF!),"")</f>
        <v/>
      </c>
      <c r="H492" s="0" t="str">
        <f aca="false">IFERROR(IF(OR(HLOOKUP($A492,#REF!,6,FALSE())&gt;2,HLOOKUP($A492,#REF!,6,FALSE())&lt;-2),"",#REF!),"")</f>
        <v/>
      </c>
      <c r="I492" s="0" t="str">
        <f aca="false">IFERROR(IF(OR(HLOOKUP($A492,#REF!,7,FALSE())&gt;2,HLOOKUP($A492,#REF!,7,FALSE())&lt;-2),"",#REF!),"")</f>
        <v/>
      </c>
      <c r="J492" s="0" t="str">
        <f aca="false">IFERROR(IF(OR(HLOOKUP($A492,#REF!,8,FALSE())&gt;2,HLOOKUP($A492,#REF!,8,FALSE())&lt;-2),"",#REF!),"")</f>
        <v/>
      </c>
      <c r="K492" s="0" t="str">
        <f aca="false">IFERROR(IF(OR(HLOOKUP($A492,#REF!,9,FALSE())&gt;2,HLOOKUP($A492,#REF!,9,FALSE())&lt;-2),"",#REF!),"")</f>
        <v/>
      </c>
      <c r="L492" s="0" t="str">
        <f aca="false">IFERROR(IF(OR(HLOOKUP($A492,#REF!,10,FALSE())&gt;2,HLOOKUP($A492,#REF!,10,FALSE())&lt;-2),"",#REF!),"")</f>
        <v/>
      </c>
      <c r="M492" s="0" t="str">
        <f aca="false">IFERROR(IF(OR(HLOOKUP($A492,#REF!,11,FALSE())&gt;2,HLOOKUP($A492,#REF!,11,FALSE())&lt;-2),"",#REF!),"")</f>
        <v/>
      </c>
      <c r="N492" s="0" t="str">
        <f aca="false">IFERROR(IF(OR(HLOOKUP($A492,#REF!,12,FALSE())&gt;2,HLOOKUP($A492,#REF!,12,FALSE())&lt;-2),"",#REF!),"")</f>
        <v/>
      </c>
      <c r="O492" s="0" t="str">
        <f aca="false">IFERROR(IF(OR(HLOOKUP($A492,#REF!,13,FALSE())&gt;2,HLOOKUP($A492,#REF!,13,FALSE())&lt;-2),"",#REF!),"")</f>
        <v/>
      </c>
      <c r="P492" s="0" t="str">
        <f aca="false">IFERROR(IF(OR(HLOOKUP($A492,#REF!,14,FALSE())&gt;2,HLOOKUP($A492,#REF!,14,FALSE())&lt;-2),"",#REF!),"")</f>
        <v/>
      </c>
      <c r="Q492" s="0" t="str">
        <f aca="false">IFERROR(IF(OR(HLOOKUP($A492,#REF!,15,FALSE())&gt;2,HLOOKUP($A492,#REF!,15,FALSE())&lt;-2),"",#REF!),"")</f>
        <v/>
      </c>
      <c r="R492" s="0" t="str">
        <f aca="false">IFERROR(IF(OR(HLOOKUP($A492,#REF!,16,FALSE())&gt;2,HLOOKUP($A492,#REF!,16,FALSE())&lt;-2),"",#REF!),"")</f>
        <v/>
      </c>
      <c r="S492" s="0" t="str">
        <f aca="false">IFERROR(IF(OR(HLOOKUP($A492,#REF!,17,FALSE())&gt;2,HLOOKUP($A492,#REF!,17,FALSE())&lt;-2),"",#REF!),"")</f>
        <v/>
      </c>
      <c r="T492" s="0" t="str">
        <f aca="false">IFERROR(IF(OR(HLOOKUP($A492,#REF!,18,FALSE())&gt;2,HLOOKUP($A492,#REF!,18,FALSE())&lt;-2),"",#REF!),"")</f>
        <v/>
      </c>
      <c r="U492" s="0" t="str">
        <f aca="false">IFERROR(IF(OR(HLOOKUP($A492,#REF!,19,FALSE())&gt;2,HLOOKUP($A492,#REF!,19,FALSE())&lt;-2),"",#REF!),"")</f>
        <v/>
      </c>
      <c r="V492" s="0" t="n">
        <f aca="false">IFERROR(IF(AND(X492=0,Y492=0),0,1),0)</f>
        <v>1</v>
      </c>
      <c r="W492" s="3" t="str">
        <f aca="false">IFERROR(_xlfn.T.TEST(E492:M492,N492:U492,2,2),"")</f>
        <v/>
      </c>
      <c r="X492" s="0" t="str">
        <f aca="false">IFERROR(AVERAGE(E492:M492),"")</f>
        <v/>
      </c>
      <c r="Y492" s="0" t="str">
        <f aca="false">IFERROR(AVERAGE(N492:U492),"")</f>
        <v/>
      </c>
    </row>
    <row r="493" customFormat="false" ht="14.5" hidden="false" customHeight="false" outlineLevel="0" collapsed="false">
      <c r="A493" s="0" t="n">
        <v>501</v>
      </c>
      <c r="B493" s="0" t="s">
        <v>564</v>
      </c>
      <c r="C493" s="0" t="n">
        <v>17900</v>
      </c>
      <c r="D493" s="0" t="n">
        <v>533</v>
      </c>
      <c r="E493" s="0" t="str">
        <f aca="false">IFERROR(IF(OR(HLOOKUP($A493,#REF!,3,FALSE())&gt;2,HLOOKUP(A493,#REF!,3,FALSE())&lt;-2),"",#REF!),"")</f>
        <v/>
      </c>
      <c r="F493" s="0" t="str">
        <f aca="false">IFERROR(IF(OR(HLOOKUP($A493,#REF!,4,FALSE())&gt;2,HLOOKUP($A493,#REF!,4,FALSE())&lt;-2),"",#REF!),"")</f>
        <v/>
      </c>
      <c r="G493" s="0" t="str">
        <f aca="false">IFERROR(IF(OR(HLOOKUP($A493,#REF!,5,FALSE())&gt;2,HLOOKUP($A493,#REF!,5,FALSE())&lt;-2),"",#REF!),"")</f>
        <v/>
      </c>
      <c r="H493" s="0" t="str">
        <f aca="false">IFERROR(IF(OR(HLOOKUP($A493,#REF!,6,FALSE())&gt;2,HLOOKUP($A493,#REF!,6,FALSE())&lt;-2),"",#REF!),"")</f>
        <v/>
      </c>
      <c r="I493" s="0" t="str">
        <f aca="false">IFERROR(IF(OR(HLOOKUP($A493,#REF!,7,FALSE())&gt;2,HLOOKUP($A493,#REF!,7,FALSE())&lt;-2),"",#REF!),"")</f>
        <v/>
      </c>
      <c r="J493" s="0" t="str">
        <f aca="false">IFERROR(IF(OR(HLOOKUP($A493,#REF!,8,FALSE())&gt;2,HLOOKUP($A493,#REF!,8,FALSE())&lt;-2),"",#REF!),"")</f>
        <v/>
      </c>
      <c r="K493" s="0" t="str">
        <f aca="false">IFERROR(IF(OR(HLOOKUP($A493,#REF!,9,FALSE())&gt;2,HLOOKUP($A493,#REF!,9,FALSE())&lt;-2),"",#REF!),"")</f>
        <v/>
      </c>
      <c r="L493" s="0" t="str">
        <f aca="false">IFERROR(IF(OR(HLOOKUP($A493,#REF!,10,FALSE())&gt;2,HLOOKUP($A493,#REF!,10,FALSE())&lt;-2),"",#REF!),"")</f>
        <v/>
      </c>
      <c r="M493" s="0" t="str">
        <f aca="false">IFERROR(IF(OR(HLOOKUP($A493,#REF!,11,FALSE())&gt;2,HLOOKUP($A493,#REF!,11,FALSE())&lt;-2),"",#REF!),"")</f>
        <v/>
      </c>
      <c r="N493" s="0" t="str">
        <f aca="false">IFERROR(IF(OR(HLOOKUP($A493,#REF!,12,FALSE())&gt;2,HLOOKUP($A493,#REF!,12,FALSE())&lt;-2),"",#REF!),"")</f>
        <v/>
      </c>
      <c r="O493" s="0" t="str">
        <f aca="false">IFERROR(IF(OR(HLOOKUP($A493,#REF!,13,FALSE())&gt;2,HLOOKUP($A493,#REF!,13,FALSE())&lt;-2),"",#REF!),"")</f>
        <v/>
      </c>
      <c r="P493" s="0" t="str">
        <f aca="false">IFERROR(IF(OR(HLOOKUP($A493,#REF!,14,FALSE())&gt;2,HLOOKUP($A493,#REF!,14,FALSE())&lt;-2),"",#REF!),"")</f>
        <v/>
      </c>
      <c r="Q493" s="0" t="str">
        <f aca="false">IFERROR(IF(OR(HLOOKUP($A493,#REF!,15,FALSE())&gt;2,HLOOKUP($A493,#REF!,15,FALSE())&lt;-2),"",#REF!),"")</f>
        <v/>
      </c>
      <c r="R493" s="0" t="str">
        <f aca="false">IFERROR(IF(OR(HLOOKUP($A493,#REF!,16,FALSE())&gt;2,HLOOKUP($A493,#REF!,16,FALSE())&lt;-2),"",#REF!),"")</f>
        <v/>
      </c>
      <c r="S493" s="0" t="str">
        <f aca="false">IFERROR(IF(OR(HLOOKUP($A493,#REF!,17,FALSE())&gt;2,HLOOKUP($A493,#REF!,17,FALSE())&lt;-2),"",#REF!),"")</f>
        <v/>
      </c>
      <c r="T493" s="0" t="str">
        <f aca="false">IFERROR(IF(OR(HLOOKUP($A493,#REF!,18,FALSE())&gt;2,HLOOKUP($A493,#REF!,18,FALSE())&lt;-2),"",#REF!),"")</f>
        <v/>
      </c>
      <c r="U493" s="0" t="str">
        <f aca="false">IFERROR(IF(OR(HLOOKUP($A493,#REF!,19,FALSE())&gt;2,HLOOKUP($A493,#REF!,19,FALSE())&lt;-2),"",#REF!),"")</f>
        <v/>
      </c>
      <c r="V493" s="0" t="n">
        <f aca="false">IFERROR(IF(AND(X493=0,Y493=0),0,1),0)</f>
        <v>1</v>
      </c>
      <c r="W493" s="3" t="str">
        <f aca="false">IFERROR(_xlfn.T.TEST(E493:M493,N493:U493,2,2),"")</f>
        <v/>
      </c>
      <c r="X493" s="0" t="str">
        <f aca="false">IFERROR(AVERAGE(E493:M493),"")</f>
        <v/>
      </c>
      <c r="Y493" s="0" t="str">
        <f aca="false">IFERROR(AVERAGE(N493:U493),"")</f>
        <v/>
      </c>
    </row>
    <row r="494" customFormat="false" ht="14.5" hidden="false" customHeight="false" outlineLevel="0" collapsed="false">
      <c r="A494" s="0" t="n">
        <v>502</v>
      </c>
      <c r="B494" s="0" t="s">
        <v>565</v>
      </c>
      <c r="C494" s="0" t="n">
        <v>45500</v>
      </c>
      <c r="D494" s="0" t="n">
        <v>822</v>
      </c>
      <c r="E494" s="0" t="str">
        <f aca="false">IFERROR(IF(OR(HLOOKUP($A494,#REF!,3,FALSE())&gt;2,HLOOKUP(A494,#REF!,3,FALSE())&lt;-2),"",#REF!),"")</f>
        <v/>
      </c>
      <c r="F494" s="0" t="str">
        <f aca="false">IFERROR(IF(OR(HLOOKUP($A494,#REF!,4,FALSE())&gt;2,HLOOKUP($A494,#REF!,4,FALSE())&lt;-2),"",#REF!),"")</f>
        <v/>
      </c>
      <c r="G494" s="0" t="str">
        <f aca="false">IFERROR(IF(OR(HLOOKUP($A494,#REF!,5,FALSE())&gt;2,HLOOKUP($A494,#REF!,5,FALSE())&lt;-2),"",#REF!),"")</f>
        <v/>
      </c>
      <c r="H494" s="0" t="str">
        <f aca="false">IFERROR(IF(OR(HLOOKUP($A494,#REF!,6,FALSE())&gt;2,HLOOKUP($A494,#REF!,6,FALSE())&lt;-2),"",#REF!),"")</f>
        <v/>
      </c>
      <c r="I494" s="0" t="str">
        <f aca="false">IFERROR(IF(OR(HLOOKUP($A494,#REF!,7,FALSE())&gt;2,HLOOKUP($A494,#REF!,7,FALSE())&lt;-2),"",#REF!),"")</f>
        <v/>
      </c>
      <c r="J494" s="0" t="str">
        <f aca="false">IFERROR(IF(OR(HLOOKUP($A494,#REF!,8,FALSE())&gt;2,HLOOKUP($A494,#REF!,8,FALSE())&lt;-2),"",#REF!),"")</f>
        <v/>
      </c>
      <c r="K494" s="0" t="str">
        <f aca="false">IFERROR(IF(OR(HLOOKUP($A494,#REF!,9,FALSE())&gt;2,HLOOKUP($A494,#REF!,9,FALSE())&lt;-2),"",#REF!),"")</f>
        <v/>
      </c>
      <c r="L494" s="0" t="str">
        <f aca="false">IFERROR(IF(OR(HLOOKUP($A494,#REF!,10,FALSE())&gt;2,HLOOKUP($A494,#REF!,10,FALSE())&lt;-2),"",#REF!),"")</f>
        <v/>
      </c>
      <c r="M494" s="0" t="str">
        <f aca="false">IFERROR(IF(OR(HLOOKUP($A494,#REF!,11,FALSE())&gt;2,HLOOKUP($A494,#REF!,11,FALSE())&lt;-2),"",#REF!),"")</f>
        <v/>
      </c>
      <c r="N494" s="0" t="str">
        <f aca="false">IFERROR(IF(OR(HLOOKUP($A494,#REF!,12,FALSE())&gt;2,HLOOKUP($A494,#REF!,12,FALSE())&lt;-2),"",#REF!),"")</f>
        <v/>
      </c>
      <c r="O494" s="0" t="str">
        <f aca="false">IFERROR(IF(OR(HLOOKUP($A494,#REF!,13,FALSE())&gt;2,HLOOKUP($A494,#REF!,13,FALSE())&lt;-2),"",#REF!),"")</f>
        <v/>
      </c>
      <c r="P494" s="0" t="str">
        <f aca="false">IFERROR(IF(OR(HLOOKUP($A494,#REF!,14,FALSE())&gt;2,HLOOKUP($A494,#REF!,14,FALSE())&lt;-2),"",#REF!),"")</f>
        <v/>
      </c>
      <c r="Q494" s="0" t="str">
        <f aca="false">IFERROR(IF(OR(HLOOKUP($A494,#REF!,15,FALSE())&gt;2,HLOOKUP($A494,#REF!,15,FALSE())&lt;-2),"",#REF!),"")</f>
        <v/>
      </c>
      <c r="R494" s="0" t="str">
        <f aca="false">IFERROR(IF(OR(HLOOKUP($A494,#REF!,16,FALSE())&gt;2,HLOOKUP($A494,#REF!,16,FALSE())&lt;-2),"",#REF!),"")</f>
        <v/>
      </c>
      <c r="S494" s="0" t="str">
        <f aca="false">IFERROR(IF(OR(HLOOKUP($A494,#REF!,17,FALSE())&gt;2,HLOOKUP($A494,#REF!,17,FALSE())&lt;-2),"",#REF!),"")</f>
        <v/>
      </c>
      <c r="T494" s="0" t="str">
        <f aca="false">IFERROR(IF(OR(HLOOKUP($A494,#REF!,18,FALSE())&gt;2,HLOOKUP($A494,#REF!,18,FALSE())&lt;-2),"",#REF!),"")</f>
        <v/>
      </c>
      <c r="U494" s="0" t="str">
        <f aca="false">IFERROR(IF(OR(HLOOKUP($A494,#REF!,19,FALSE())&gt;2,HLOOKUP($A494,#REF!,19,FALSE())&lt;-2),"",#REF!),"")</f>
        <v/>
      </c>
      <c r="V494" s="0" t="n">
        <f aca="false">IFERROR(IF(AND(X494=0,Y494=0),0,1),0)</f>
        <v>1</v>
      </c>
      <c r="W494" s="3" t="str">
        <f aca="false">IFERROR(_xlfn.T.TEST(E494:M494,N494:U494,2,2),"")</f>
        <v/>
      </c>
      <c r="X494" s="0" t="str">
        <f aca="false">IFERROR(AVERAGE(E494:M494),"")</f>
        <v/>
      </c>
      <c r="Y494" s="0" t="str">
        <f aca="false">IFERROR(AVERAGE(N494:U494),"")</f>
        <v/>
      </c>
    </row>
    <row r="495" customFormat="false" ht="14.5" hidden="false" customHeight="false" outlineLevel="0" collapsed="false">
      <c r="A495" s="0" t="n">
        <v>503</v>
      </c>
      <c r="B495" s="0" t="s">
        <v>566</v>
      </c>
      <c r="C495" s="0" t="n">
        <v>81300</v>
      </c>
      <c r="D495" s="0" t="n">
        <v>10</v>
      </c>
      <c r="E495" s="0" t="str">
        <f aca="false">IFERROR(IF(OR(HLOOKUP($A495,#REF!,3,FALSE())&gt;2,HLOOKUP(A495,#REF!,3,FALSE())&lt;-2),"",#REF!),"")</f>
        <v/>
      </c>
      <c r="F495" s="0" t="str">
        <f aca="false">IFERROR(IF(OR(HLOOKUP($A495,#REF!,4,FALSE())&gt;2,HLOOKUP($A495,#REF!,4,FALSE())&lt;-2),"",#REF!),"")</f>
        <v/>
      </c>
      <c r="G495" s="0" t="str">
        <f aca="false">IFERROR(IF(OR(HLOOKUP($A495,#REF!,5,FALSE())&gt;2,HLOOKUP($A495,#REF!,5,FALSE())&lt;-2),"",#REF!),"")</f>
        <v/>
      </c>
      <c r="H495" s="0" t="str">
        <f aca="false">IFERROR(IF(OR(HLOOKUP($A495,#REF!,6,FALSE())&gt;2,HLOOKUP($A495,#REF!,6,FALSE())&lt;-2),"",#REF!),"")</f>
        <v/>
      </c>
      <c r="I495" s="0" t="str">
        <f aca="false">IFERROR(IF(OR(HLOOKUP($A495,#REF!,7,FALSE())&gt;2,HLOOKUP($A495,#REF!,7,FALSE())&lt;-2),"",#REF!),"")</f>
        <v/>
      </c>
      <c r="J495" s="0" t="str">
        <f aca="false">IFERROR(IF(OR(HLOOKUP($A495,#REF!,8,FALSE())&gt;2,HLOOKUP($A495,#REF!,8,FALSE())&lt;-2),"",#REF!),"")</f>
        <v/>
      </c>
      <c r="K495" s="0" t="str">
        <f aca="false">IFERROR(IF(OR(HLOOKUP($A495,#REF!,9,FALSE())&gt;2,HLOOKUP($A495,#REF!,9,FALSE())&lt;-2),"",#REF!),"")</f>
        <v/>
      </c>
      <c r="L495" s="0" t="str">
        <f aca="false">IFERROR(IF(OR(HLOOKUP($A495,#REF!,10,FALSE())&gt;2,HLOOKUP($A495,#REF!,10,FALSE())&lt;-2),"",#REF!),"")</f>
        <v/>
      </c>
      <c r="M495" s="0" t="str">
        <f aca="false">IFERROR(IF(OR(HLOOKUP($A495,#REF!,11,FALSE())&gt;2,HLOOKUP($A495,#REF!,11,FALSE())&lt;-2),"",#REF!),"")</f>
        <v/>
      </c>
      <c r="N495" s="0" t="str">
        <f aca="false">IFERROR(IF(OR(HLOOKUP($A495,#REF!,12,FALSE())&gt;2,HLOOKUP($A495,#REF!,12,FALSE())&lt;-2),"",#REF!),"")</f>
        <v/>
      </c>
      <c r="O495" s="0" t="str">
        <f aca="false">IFERROR(IF(OR(HLOOKUP($A495,#REF!,13,FALSE())&gt;2,HLOOKUP($A495,#REF!,13,FALSE())&lt;-2),"",#REF!),"")</f>
        <v/>
      </c>
      <c r="P495" s="0" t="str">
        <f aca="false">IFERROR(IF(OR(HLOOKUP($A495,#REF!,14,FALSE())&gt;2,HLOOKUP($A495,#REF!,14,FALSE())&lt;-2),"",#REF!),"")</f>
        <v/>
      </c>
      <c r="Q495" s="0" t="str">
        <f aca="false">IFERROR(IF(OR(HLOOKUP($A495,#REF!,15,FALSE())&gt;2,HLOOKUP($A495,#REF!,15,FALSE())&lt;-2),"",#REF!),"")</f>
        <v/>
      </c>
      <c r="R495" s="0" t="str">
        <f aca="false">IFERROR(IF(OR(HLOOKUP($A495,#REF!,16,FALSE())&gt;2,HLOOKUP($A495,#REF!,16,FALSE())&lt;-2),"",#REF!),"")</f>
        <v/>
      </c>
      <c r="S495" s="0" t="str">
        <f aca="false">IFERROR(IF(OR(HLOOKUP($A495,#REF!,17,FALSE())&gt;2,HLOOKUP($A495,#REF!,17,FALSE())&lt;-2),"",#REF!),"")</f>
        <v/>
      </c>
      <c r="T495" s="0" t="str">
        <f aca="false">IFERROR(IF(OR(HLOOKUP($A495,#REF!,18,FALSE())&gt;2,HLOOKUP($A495,#REF!,18,FALSE())&lt;-2),"",#REF!),"")</f>
        <v/>
      </c>
      <c r="U495" s="0" t="str">
        <f aca="false">IFERROR(IF(OR(HLOOKUP($A495,#REF!,19,FALSE())&gt;2,HLOOKUP($A495,#REF!,19,FALSE())&lt;-2),"",#REF!),"")</f>
        <v/>
      </c>
      <c r="V495" s="0" t="n">
        <f aca="false">IFERROR(IF(AND(X495=0,Y495=0),0,1),0)</f>
        <v>1</v>
      </c>
      <c r="W495" s="3" t="str">
        <f aca="false">IFERROR(_xlfn.T.TEST(E495:M495,N495:U495,2,2),"")</f>
        <v/>
      </c>
      <c r="X495" s="0" t="str">
        <f aca="false">IFERROR(AVERAGE(E495:M495),"")</f>
        <v/>
      </c>
      <c r="Y495" s="0" t="str">
        <f aca="false">IFERROR(AVERAGE(N495:U495),"")</f>
        <v/>
      </c>
    </row>
    <row r="496" customFormat="false" ht="14.5" hidden="false" customHeight="false" outlineLevel="0" collapsed="false">
      <c r="A496" s="0" t="n">
        <v>504</v>
      </c>
      <c r="B496" s="0" t="s">
        <v>567</v>
      </c>
      <c r="C496" s="0" t="n">
        <v>39200</v>
      </c>
      <c r="D496" s="0" t="n">
        <v>463</v>
      </c>
      <c r="E496" s="0" t="str">
        <f aca="false">IFERROR(IF(OR(HLOOKUP($A496,#REF!,3,FALSE())&gt;2,HLOOKUP(A496,#REF!,3,FALSE())&lt;-2),"",#REF!),"")</f>
        <v/>
      </c>
      <c r="F496" s="0" t="str">
        <f aca="false">IFERROR(IF(OR(HLOOKUP($A496,#REF!,4,FALSE())&gt;2,HLOOKUP($A496,#REF!,4,FALSE())&lt;-2),"",#REF!),"")</f>
        <v/>
      </c>
      <c r="G496" s="0" t="str">
        <f aca="false">IFERROR(IF(OR(HLOOKUP($A496,#REF!,5,FALSE())&gt;2,HLOOKUP($A496,#REF!,5,FALSE())&lt;-2),"",#REF!),"")</f>
        <v/>
      </c>
      <c r="H496" s="0" t="str">
        <f aca="false">IFERROR(IF(OR(HLOOKUP($A496,#REF!,6,FALSE())&gt;2,HLOOKUP($A496,#REF!,6,FALSE())&lt;-2),"",#REF!),"")</f>
        <v/>
      </c>
      <c r="I496" s="0" t="str">
        <f aca="false">IFERROR(IF(OR(HLOOKUP($A496,#REF!,7,FALSE())&gt;2,HLOOKUP($A496,#REF!,7,FALSE())&lt;-2),"",#REF!),"")</f>
        <v/>
      </c>
      <c r="J496" s="0" t="str">
        <f aca="false">IFERROR(IF(OR(HLOOKUP($A496,#REF!,8,FALSE())&gt;2,HLOOKUP($A496,#REF!,8,FALSE())&lt;-2),"",#REF!),"")</f>
        <v/>
      </c>
      <c r="K496" s="0" t="str">
        <f aca="false">IFERROR(IF(OR(HLOOKUP($A496,#REF!,9,FALSE())&gt;2,HLOOKUP($A496,#REF!,9,FALSE())&lt;-2),"",#REF!),"")</f>
        <v/>
      </c>
      <c r="L496" s="0" t="str">
        <f aca="false">IFERROR(IF(OR(HLOOKUP($A496,#REF!,10,FALSE())&gt;2,HLOOKUP($A496,#REF!,10,FALSE())&lt;-2),"",#REF!),"")</f>
        <v/>
      </c>
      <c r="M496" s="0" t="str">
        <f aca="false">IFERROR(IF(OR(HLOOKUP($A496,#REF!,11,FALSE())&gt;2,HLOOKUP($A496,#REF!,11,FALSE())&lt;-2),"",#REF!),"")</f>
        <v/>
      </c>
      <c r="N496" s="0" t="str">
        <f aca="false">IFERROR(IF(OR(HLOOKUP($A496,#REF!,12,FALSE())&gt;2,HLOOKUP($A496,#REF!,12,FALSE())&lt;-2),"",#REF!),"")</f>
        <v/>
      </c>
      <c r="O496" s="0" t="str">
        <f aca="false">IFERROR(IF(OR(HLOOKUP($A496,#REF!,13,FALSE())&gt;2,HLOOKUP($A496,#REF!,13,FALSE())&lt;-2),"",#REF!),"")</f>
        <v/>
      </c>
      <c r="P496" s="0" t="str">
        <f aca="false">IFERROR(IF(OR(HLOOKUP($A496,#REF!,14,FALSE())&gt;2,HLOOKUP($A496,#REF!,14,FALSE())&lt;-2),"",#REF!),"")</f>
        <v/>
      </c>
      <c r="Q496" s="0" t="str">
        <f aca="false">IFERROR(IF(OR(HLOOKUP($A496,#REF!,15,FALSE())&gt;2,HLOOKUP($A496,#REF!,15,FALSE())&lt;-2),"",#REF!),"")</f>
        <v/>
      </c>
      <c r="R496" s="0" t="str">
        <f aca="false">IFERROR(IF(OR(HLOOKUP($A496,#REF!,16,FALSE())&gt;2,HLOOKUP($A496,#REF!,16,FALSE())&lt;-2),"",#REF!),"")</f>
        <v/>
      </c>
      <c r="S496" s="0" t="str">
        <f aca="false">IFERROR(IF(OR(HLOOKUP($A496,#REF!,17,FALSE())&gt;2,HLOOKUP($A496,#REF!,17,FALSE())&lt;-2),"",#REF!),"")</f>
        <v/>
      </c>
      <c r="T496" s="0" t="str">
        <f aca="false">IFERROR(IF(OR(HLOOKUP($A496,#REF!,18,FALSE())&gt;2,HLOOKUP($A496,#REF!,18,FALSE())&lt;-2),"",#REF!),"")</f>
        <v/>
      </c>
      <c r="U496" s="0" t="str">
        <f aca="false">IFERROR(IF(OR(HLOOKUP($A496,#REF!,19,FALSE())&gt;2,HLOOKUP($A496,#REF!,19,FALSE())&lt;-2),"",#REF!),"")</f>
        <v/>
      </c>
      <c r="V496" s="0" t="n">
        <f aca="false">IFERROR(IF(AND(X496=0,Y496=0),0,1),0)</f>
        <v>1</v>
      </c>
      <c r="W496" s="3" t="str">
        <f aca="false">IFERROR(_xlfn.T.TEST(E496:M496,N496:U496,2,2),"")</f>
        <v/>
      </c>
      <c r="X496" s="0" t="str">
        <f aca="false">IFERROR(AVERAGE(E496:M496),"")</f>
        <v/>
      </c>
      <c r="Y496" s="0" t="str">
        <f aca="false">IFERROR(AVERAGE(N496:U496),"")</f>
        <v/>
      </c>
    </row>
    <row r="497" customFormat="false" ht="14.5" hidden="false" customHeight="false" outlineLevel="0" collapsed="false">
      <c r="A497" s="0" t="n">
        <v>505</v>
      </c>
      <c r="B497" s="0" t="s">
        <v>568</v>
      </c>
      <c r="C497" s="0" t="n">
        <v>53300</v>
      </c>
      <c r="D497" s="0" t="n">
        <v>359</v>
      </c>
      <c r="E497" s="0" t="str">
        <f aca="false">IFERROR(IF(OR(HLOOKUP($A497,#REF!,3,FALSE())&gt;2,HLOOKUP(A497,#REF!,3,FALSE())&lt;-2),"",#REF!),"")</f>
        <v/>
      </c>
      <c r="F497" s="0" t="str">
        <f aca="false">IFERROR(IF(OR(HLOOKUP($A497,#REF!,4,FALSE())&gt;2,HLOOKUP($A497,#REF!,4,FALSE())&lt;-2),"",#REF!),"")</f>
        <v/>
      </c>
      <c r="G497" s="0" t="str">
        <f aca="false">IFERROR(IF(OR(HLOOKUP($A497,#REF!,5,FALSE())&gt;2,HLOOKUP($A497,#REF!,5,FALSE())&lt;-2),"",#REF!),"")</f>
        <v/>
      </c>
      <c r="H497" s="0" t="str">
        <f aca="false">IFERROR(IF(OR(HLOOKUP($A497,#REF!,6,FALSE())&gt;2,HLOOKUP($A497,#REF!,6,FALSE())&lt;-2),"",#REF!),"")</f>
        <v/>
      </c>
      <c r="I497" s="0" t="str">
        <f aca="false">IFERROR(IF(OR(HLOOKUP($A497,#REF!,7,FALSE())&gt;2,HLOOKUP($A497,#REF!,7,FALSE())&lt;-2),"",#REF!),"")</f>
        <v/>
      </c>
      <c r="J497" s="0" t="str">
        <f aca="false">IFERROR(IF(OR(HLOOKUP($A497,#REF!,8,FALSE())&gt;2,HLOOKUP($A497,#REF!,8,FALSE())&lt;-2),"",#REF!),"")</f>
        <v/>
      </c>
      <c r="K497" s="0" t="str">
        <f aca="false">IFERROR(IF(OR(HLOOKUP($A497,#REF!,9,FALSE())&gt;2,HLOOKUP($A497,#REF!,9,FALSE())&lt;-2),"",#REF!),"")</f>
        <v/>
      </c>
      <c r="L497" s="0" t="str">
        <f aca="false">IFERROR(IF(OR(HLOOKUP($A497,#REF!,10,FALSE())&gt;2,HLOOKUP($A497,#REF!,10,FALSE())&lt;-2),"",#REF!),"")</f>
        <v/>
      </c>
      <c r="M497" s="0" t="str">
        <f aca="false">IFERROR(IF(OR(HLOOKUP($A497,#REF!,11,FALSE())&gt;2,HLOOKUP($A497,#REF!,11,FALSE())&lt;-2),"",#REF!),"")</f>
        <v/>
      </c>
      <c r="N497" s="0" t="str">
        <f aca="false">IFERROR(IF(OR(HLOOKUP($A497,#REF!,12,FALSE())&gt;2,HLOOKUP($A497,#REF!,12,FALSE())&lt;-2),"",#REF!),"")</f>
        <v/>
      </c>
      <c r="O497" s="0" t="str">
        <f aca="false">IFERROR(IF(OR(HLOOKUP($A497,#REF!,13,FALSE())&gt;2,HLOOKUP($A497,#REF!,13,FALSE())&lt;-2),"",#REF!),"")</f>
        <v/>
      </c>
      <c r="P497" s="0" t="str">
        <f aca="false">IFERROR(IF(OR(HLOOKUP($A497,#REF!,14,FALSE())&gt;2,HLOOKUP($A497,#REF!,14,FALSE())&lt;-2),"",#REF!),"")</f>
        <v/>
      </c>
      <c r="Q497" s="0" t="str">
        <f aca="false">IFERROR(IF(OR(HLOOKUP($A497,#REF!,15,FALSE())&gt;2,HLOOKUP($A497,#REF!,15,FALSE())&lt;-2),"",#REF!),"")</f>
        <v/>
      </c>
      <c r="R497" s="0" t="str">
        <f aca="false">IFERROR(IF(OR(HLOOKUP($A497,#REF!,16,FALSE())&gt;2,HLOOKUP($A497,#REF!,16,FALSE())&lt;-2),"",#REF!),"")</f>
        <v/>
      </c>
      <c r="S497" s="0" t="str">
        <f aca="false">IFERROR(IF(OR(HLOOKUP($A497,#REF!,17,FALSE())&gt;2,HLOOKUP($A497,#REF!,17,FALSE())&lt;-2),"",#REF!),"")</f>
        <v/>
      </c>
      <c r="T497" s="0" t="str">
        <f aca="false">IFERROR(IF(OR(HLOOKUP($A497,#REF!,18,FALSE())&gt;2,HLOOKUP($A497,#REF!,18,FALSE())&lt;-2),"",#REF!),"")</f>
        <v/>
      </c>
      <c r="U497" s="0" t="str">
        <f aca="false">IFERROR(IF(OR(HLOOKUP($A497,#REF!,19,FALSE())&gt;2,HLOOKUP($A497,#REF!,19,FALSE())&lt;-2),"",#REF!),"")</f>
        <v/>
      </c>
      <c r="V497" s="0" t="n">
        <f aca="false">IFERROR(IF(AND(X497=0,Y497=0),0,1),0)</f>
        <v>1</v>
      </c>
      <c r="W497" s="3" t="str">
        <f aca="false">IFERROR(_xlfn.T.TEST(E497:M497,N497:U497,2,2),"")</f>
        <v/>
      </c>
      <c r="X497" s="0" t="str">
        <f aca="false">IFERROR(AVERAGE(E497:M497),"")</f>
        <v/>
      </c>
      <c r="Y497" s="0" t="str">
        <f aca="false">IFERROR(AVERAGE(N497:U497),"")</f>
        <v/>
      </c>
    </row>
    <row r="498" customFormat="false" ht="14.5" hidden="false" customHeight="false" outlineLevel="0" collapsed="false">
      <c r="A498" s="0" t="n">
        <v>506</v>
      </c>
      <c r="B498" s="0" t="s">
        <v>569</v>
      </c>
      <c r="C498" s="0" t="n">
        <v>101000</v>
      </c>
      <c r="D498" s="0" t="n">
        <v>948</v>
      </c>
      <c r="E498" s="0" t="str">
        <f aca="false">IFERROR(IF(OR(HLOOKUP($A498,#REF!,3,FALSE())&gt;2,HLOOKUP(A498,#REF!,3,FALSE())&lt;-2),"",#REF!),"")</f>
        <v/>
      </c>
      <c r="F498" s="0" t="str">
        <f aca="false">IFERROR(IF(OR(HLOOKUP($A498,#REF!,4,FALSE())&gt;2,HLOOKUP($A498,#REF!,4,FALSE())&lt;-2),"",#REF!),"")</f>
        <v/>
      </c>
      <c r="G498" s="0" t="str">
        <f aca="false">IFERROR(IF(OR(HLOOKUP($A498,#REF!,5,FALSE())&gt;2,HLOOKUP($A498,#REF!,5,FALSE())&lt;-2),"",#REF!),"")</f>
        <v/>
      </c>
      <c r="H498" s="0" t="str">
        <f aca="false">IFERROR(IF(OR(HLOOKUP($A498,#REF!,6,FALSE())&gt;2,HLOOKUP($A498,#REF!,6,FALSE())&lt;-2),"",#REF!),"")</f>
        <v/>
      </c>
      <c r="I498" s="0" t="str">
        <f aca="false">IFERROR(IF(OR(HLOOKUP($A498,#REF!,7,FALSE())&gt;2,HLOOKUP($A498,#REF!,7,FALSE())&lt;-2),"",#REF!),"")</f>
        <v/>
      </c>
      <c r="J498" s="0" t="str">
        <f aca="false">IFERROR(IF(OR(HLOOKUP($A498,#REF!,8,FALSE())&gt;2,HLOOKUP($A498,#REF!,8,FALSE())&lt;-2),"",#REF!),"")</f>
        <v/>
      </c>
      <c r="K498" s="0" t="str">
        <f aca="false">IFERROR(IF(OR(HLOOKUP($A498,#REF!,9,FALSE())&gt;2,HLOOKUP($A498,#REF!,9,FALSE())&lt;-2),"",#REF!),"")</f>
        <v/>
      </c>
      <c r="L498" s="0" t="str">
        <f aca="false">IFERROR(IF(OR(HLOOKUP($A498,#REF!,10,FALSE())&gt;2,HLOOKUP($A498,#REF!,10,FALSE())&lt;-2),"",#REF!),"")</f>
        <v/>
      </c>
      <c r="M498" s="0" t="str">
        <f aca="false">IFERROR(IF(OR(HLOOKUP($A498,#REF!,11,FALSE())&gt;2,HLOOKUP($A498,#REF!,11,FALSE())&lt;-2),"",#REF!),"")</f>
        <v/>
      </c>
      <c r="N498" s="0" t="str">
        <f aca="false">IFERROR(IF(OR(HLOOKUP($A498,#REF!,12,FALSE())&gt;2,HLOOKUP($A498,#REF!,12,FALSE())&lt;-2),"",#REF!),"")</f>
        <v/>
      </c>
      <c r="O498" s="0" t="str">
        <f aca="false">IFERROR(IF(OR(HLOOKUP($A498,#REF!,13,FALSE())&gt;2,HLOOKUP($A498,#REF!,13,FALSE())&lt;-2),"",#REF!),"")</f>
        <v/>
      </c>
      <c r="P498" s="0" t="str">
        <f aca="false">IFERROR(IF(OR(HLOOKUP($A498,#REF!,14,FALSE())&gt;2,HLOOKUP($A498,#REF!,14,FALSE())&lt;-2),"",#REF!),"")</f>
        <v/>
      </c>
      <c r="Q498" s="0" t="str">
        <f aca="false">IFERROR(IF(OR(HLOOKUP($A498,#REF!,15,FALSE())&gt;2,HLOOKUP($A498,#REF!,15,FALSE())&lt;-2),"",#REF!),"")</f>
        <v/>
      </c>
      <c r="R498" s="0" t="str">
        <f aca="false">IFERROR(IF(OR(HLOOKUP($A498,#REF!,16,FALSE())&gt;2,HLOOKUP($A498,#REF!,16,FALSE())&lt;-2),"",#REF!),"")</f>
        <v/>
      </c>
      <c r="S498" s="0" t="str">
        <f aca="false">IFERROR(IF(OR(HLOOKUP($A498,#REF!,17,FALSE())&gt;2,HLOOKUP($A498,#REF!,17,FALSE())&lt;-2),"",#REF!),"")</f>
        <v/>
      </c>
      <c r="T498" s="0" t="str">
        <f aca="false">IFERROR(IF(OR(HLOOKUP($A498,#REF!,18,FALSE())&gt;2,HLOOKUP($A498,#REF!,18,FALSE())&lt;-2),"",#REF!),"")</f>
        <v/>
      </c>
      <c r="U498" s="0" t="str">
        <f aca="false">IFERROR(IF(OR(HLOOKUP($A498,#REF!,19,FALSE())&gt;2,HLOOKUP($A498,#REF!,19,FALSE())&lt;-2),"",#REF!),"")</f>
        <v/>
      </c>
      <c r="V498" s="0" t="n">
        <f aca="false">IFERROR(IF(AND(X498=0,Y498=0),0,1),0)</f>
        <v>1</v>
      </c>
      <c r="W498" s="3" t="str">
        <f aca="false">IFERROR(_xlfn.T.TEST(E498:M498,N498:U498,2,2),"")</f>
        <v/>
      </c>
      <c r="X498" s="0" t="str">
        <f aca="false">IFERROR(AVERAGE(E498:M498),"")</f>
        <v/>
      </c>
      <c r="Y498" s="0" t="str">
        <f aca="false">IFERROR(AVERAGE(N498:U498),"")</f>
        <v/>
      </c>
    </row>
    <row r="499" customFormat="false" ht="14.5" hidden="false" customHeight="false" outlineLevel="0" collapsed="false">
      <c r="A499" s="0" t="n">
        <v>507</v>
      </c>
      <c r="B499" s="0" t="s">
        <v>570</v>
      </c>
      <c r="C499" s="0" t="n">
        <v>30000</v>
      </c>
      <c r="D499" s="0" t="n">
        <v>698</v>
      </c>
      <c r="E499" s="0" t="str">
        <f aca="false">IFERROR(IF(OR(HLOOKUP($A499,#REF!,3,FALSE())&gt;2,HLOOKUP(A499,#REF!,3,FALSE())&lt;-2),"",#REF!),"")</f>
        <v/>
      </c>
      <c r="F499" s="0" t="str">
        <f aca="false">IFERROR(IF(OR(HLOOKUP($A499,#REF!,4,FALSE())&gt;2,HLOOKUP($A499,#REF!,4,FALSE())&lt;-2),"",#REF!),"")</f>
        <v/>
      </c>
      <c r="G499" s="0" t="str">
        <f aca="false">IFERROR(IF(OR(HLOOKUP($A499,#REF!,5,FALSE())&gt;2,HLOOKUP($A499,#REF!,5,FALSE())&lt;-2),"",#REF!),"")</f>
        <v/>
      </c>
      <c r="H499" s="0" t="str">
        <f aca="false">IFERROR(IF(OR(HLOOKUP($A499,#REF!,6,FALSE())&gt;2,HLOOKUP($A499,#REF!,6,FALSE())&lt;-2),"",#REF!),"")</f>
        <v/>
      </c>
      <c r="I499" s="0" t="str">
        <f aca="false">IFERROR(IF(OR(HLOOKUP($A499,#REF!,7,FALSE())&gt;2,HLOOKUP($A499,#REF!,7,FALSE())&lt;-2),"",#REF!),"")</f>
        <v/>
      </c>
      <c r="J499" s="0" t="str">
        <f aca="false">IFERROR(IF(OR(HLOOKUP($A499,#REF!,8,FALSE())&gt;2,HLOOKUP($A499,#REF!,8,FALSE())&lt;-2),"",#REF!),"")</f>
        <v/>
      </c>
      <c r="K499" s="0" t="str">
        <f aca="false">IFERROR(IF(OR(HLOOKUP($A499,#REF!,9,FALSE())&gt;2,HLOOKUP($A499,#REF!,9,FALSE())&lt;-2),"",#REF!),"")</f>
        <v/>
      </c>
      <c r="L499" s="0" t="str">
        <f aca="false">IFERROR(IF(OR(HLOOKUP($A499,#REF!,10,FALSE())&gt;2,HLOOKUP($A499,#REF!,10,FALSE())&lt;-2),"",#REF!),"")</f>
        <v/>
      </c>
      <c r="M499" s="0" t="str">
        <f aca="false">IFERROR(IF(OR(HLOOKUP($A499,#REF!,11,FALSE())&gt;2,HLOOKUP($A499,#REF!,11,FALSE())&lt;-2),"",#REF!),"")</f>
        <v/>
      </c>
      <c r="N499" s="0" t="str">
        <f aca="false">IFERROR(IF(OR(HLOOKUP($A499,#REF!,12,FALSE())&gt;2,HLOOKUP($A499,#REF!,12,FALSE())&lt;-2),"",#REF!),"")</f>
        <v/>
      </c>
      <c r="O499" s="0" t="str">
        <f aca="false">IFERROR(IF(OR(HLOOKUP($A499,#REF!,13,FALSE())&gt;2,HLOOKUP($A499,#REF!,13,FALSE())&lt;-2),"",#REF!),"")</f>
        <v/>
      </c>
      <c r="P499" s="0" t="str">
        <f aca="false">IFERROR(IF(OR(HLOOKUP($A499,#REF!,14,FALSE())&gt;2,HLOOKUP($A499,#REF!,14,FALSE())&lt;-2),"",#REF!),"")</f>
        <v/>
      </c>
      <c r="Q499" s="0" t="str">
        <f aca="false">IFERROR(IF(OR(HLOOKUP($A499,#REF!,15,FALSE())&gt;2,HLOOKUP($A499,#REF!,15,FALSE())&lt;-2),"",#REF!),"")</f>
        <v/>
      </c>
      <c r="R499" s="0" t="str">
        <f aca="false">IFERROR(IF(OR(HLOOKUP($A499,#REF!,16,FALSE())&gt;2,HLOOKUP($A499,#REF!,16,FALSE())&lt;-2),"",#REF!),"")</f>
        <v/>
      </c>
      <c r="S499" s="0" t="str">
        <f aca="false">IFERROR(IF(OR(HLOOKUP($A499,#REF!,17,FALSE())&gt;2,HLOOKUP($A499,#REF!,17,FALSE())&lt;-2),"",#REF!),"")</f>
        <v/>
      </c>
      <c r="T499" s="0" t="str">
        <f aca="false">IFERROR(IF(OR(HLOOKUP($A499,#REF!,18,FALSE())&gt;2,HLOOKUP($A499,#REF!,18,FALSE())&lt;-2),"",#REF!),"")</f>
        <v/>
      </c>
      <c r="U499" s="0" t="str">
        <f aca="false">IFERROR(IF(OR(HLOOKUP($A499,#REF!,19,FALSE())&gt;2,HLOOKUP($A499,#REF!,19,FALSE())&lt;-2),"",#REF!),"")</f>
        <v/>
      </c>
      <c r="V499" s="0" t="n">
        <f aca="false">IFERROR(IF(AND(X499=0,Y499=0),0,1),0)</f>
        <v>1</v>
      </c>
      <c r="W499" s="3" t="str">
        <f aca="false">IFERROR(_xlfn.T.TEST(E499:M499,N499:U499,2,2),"")</f>
        <v/>
      </c>
      <c r="X499" s="0" t="str">
        <f aca="false">IFERROR(AVERAGE(E499:M499),"")</f>
        <v/>
      </c>
      <c r="Y499" s="0" t="str">
        <f aca="false">IFERROR(AVERAGE(N499:U499),"")</f>
        <v/>
      </c>
    </row>
    <row r="500" customFormat="false" ht="14.5" hidden="false" customHeight="false" outlineLevel="0" collapsed="false">
      <c r="A500" s="0" t="n">
        <v>508</v>
      </c>
      <c r="B500" s="0" t="s">
        <v>571</v>
      </c>
      <c r="C500" s="0" t="n">
        <v>43100</v>
      </c>
      <c r="D500" s="0" t="n">
        <v>926</v>
      </c>
      <c r="E500" s="0" t="str">
        <f aca="false">IFERROR(IF(OR(HLOOKUP($A500,#REF!,3,FALSE())&gt;2,HLOOKUP(A500,#REF!,3,FALSE())&lt;-2),"",#REF!),"")</f>
        <v/>
      </c>
      <c r="F500" s="0" t="str">
        <f aca="false">IFERROR(IF(OR(HLOOKUP($A500,#REF!,4,FALSE())&gt;2,HLOOKUP($A500,#REF!,4,FALSE())&lt;-2),"",#REF!),"")</f>
        <v/>
      </c>
      <c r="G500" s="0" t="str">
        <f aca="false">IFERROR(IF(OR(HLOOKUP($A500,#REF!,5,FALSE())&gt;2,HLOOKUP($A500,#REF!,5,FALSE())&lt;-2),"",#REF!),"")</f>
        <v/>
      </c>
      <c r="H500" s="0" t="str">
        <f aca="false">IFERROR(IF(OR(HLOOKUP($A500,#REF!,6,FALSE())&gt;2,HLOOKUP($A500,#REF!,6,FALSE())&lt;-2),"",#REF!),"")</f>
        <v/>
      </c>
      <c r="I500" s="0" t="str">
        <f aca="false">IFERROR(IF(OR(HLOOKUP($A500,#REF!,7,FALSE())&gt;2,HLOOKUP($A500,#REF!,7,FALSE())&lt;-2),"",#REF!),"")</f>
        <v/>
      </c>
      <c r="J500" s="0" t="str">
        <f aca="false">IFERROR(IF(OR(HLOOKUP($A500,#REF!,8,FALSE())&gt;2,HLOOKUP($A500,#REF!,8,FALSE())&lt;-2),"",#REF!),"")</f>
        <v/>
      </c>
      <c r="K500" s="0" t="str">
        <f aca="false">IFERROR(IF(OR(HLOOKUP($A500,#REF!,9,FALSE())&gt;2,HLOOKUP($A500,#REF!,9,FALSE())&lt;-2),"",#REF!),"")</f>
        <v/>
      </c>
      <c r="L500" s="0" t="str">
        <f aca="false">IFERROR(IF(OR(HLOOKUP($A500,#REF!,10,FALSE())&gt;2,HLOOKUP($A500,#REF!,10,FALSE())&lt;-2),"",#REF!),"")</f>
        <v/>
      </c>
      <c r="M500" s="0" t="str">
        <f aca="false">IFERROR(IF(OR(HLOOKUP($A500,#REF!,11,FALSE())&gt;2,HLOOKUP($A500,#REF!,11,FALSE())&lt;-2),"",#REF!),"")</f>
        <v/>
      </c>
      <c r="N500" s="0" t="str">
        <f aca="false">IFERROR(IF(OR(HLOOKUP($A500,#REF!,12,FALSE())&gt;2,HLOOKUP($A500,#REF!,12,FALSE())&lt;-2),"",#REF!),"")</f>
        <v/>
      </c>
      <c r="O500" s="0" t="str">
        <f aca="false">IFERROR(IF(OR(HLOOKUP($A500,#REF!,13,FALSE())&gt;2,HLOOKUP($A500,#REF!,13,FALSE())&lt;-2),"",#REF!),"")</f>
        <v/>
      </c>
      <c r="P500" s="0" t="str">
        <f aca="false">IFERROR(IF(OR(HLOOKUP($A500,#REF!,14,FALSE())&gt;2,HLOOKUP($A500,#REF!,14,FALSE())&lt;-2),"",#REF!),"")</f>
        <v/>
      </c>
      <c r="Q500" s="0" t="str">
        <f aca="false">IFERROR(IF(OR(HLOOKUP($A500,#REF!,15,FALSE())&gt;2,HLOOKUP($A500,#REF!,15,FALSE())&lt;-2),"",#REF!),"")</f>
        <v/>
      </c>
      <c r="R500" s="0" t="str">
        <f aca="false">IFERROR(IF(OR(HLOOKUP($A500,#REF!,16,FALSE())&gt;2,HLOOKUP($A500,#REF!,16,FALSE())&lt;-2),"",#REF!),"")</f>
        <v/>
      </c>
      <c r="S500" s="0" t="str">
        <f aca="false">IFERROR(IF(OR(HLOOKUP($A500,#REF!,17,FALSE())&gt;2,HLOOKUP($A500,#REF!,17,FALSE())&lt;-2),"",#REF!),"")</f>
        <v/>
      </c>
      <c r="T500" s="0" t="str">
        <f aca="false">IFERROR(IF(OR(HLOOKUP($A500,#REF!,18,FALSE())&gt;2,HLOOKUP($A500,#REF!,18,FALSE())&lt;-2),"",#REF!),"")</f>
        <v/>
      </c>
      <c r="U500" s="0" t="str">
        <f aca="false">IFERROR(IF(OR(HLOOKUP($A500,#REF!,19,FALSE())&gt;2,HLOOKUP($A500,#REF!,19,FALSE())&lt;-2),"",#REF!),"")</f>
        <v/>
      </c>
      <c r="V500" s="0" t="n">
        <f aca="false">IFERROR(IF(AND(X500=0,Y500=0),0,1),0)</f>
        <v>1</v>
      </c>
      <c r="W500" s="3" t="str">
        <f aca="false">IFERROR(_xlfn.T.TEST(E500:M500,N500:U500,2,2),"")</f>
        <v/>
      </c>
      <c r="X500" s="0" t="str">
        <f aca="false">IFERROR(AVERAGE(E500:M500),"")</f>
        <v/>
      </c>
      <c r="Y500" s="0" t="str">
        <f aca="false">IFERROR(AVERAGE(N500:U500),"")</f>
        <v/>
      </c>
    </row>
    <row r="501" customFormat="false" ht="14.5" hidden="false" customHeight="false" outlineLevel="0" collapsed="false">
      <c r="A501" s="0" t="n">
        <v>509</v>
      </c>
      <c r="B501" s="0" t="s">
        <v>572</v>
      </c>
      <c r="C501" s="0" t="n">
        <v>45600</v>
      </c>
      <c r="D501" s="0" t="n">
        <v>502</v>
      </c>
      <c r="E501" s="0" t="str">
        <f aca="false">IFERROR(IF(OR(HLOOKUP($A501,#REF!,3,FALSE())&gt;2,HLOOKUP(A501,#REF!,3,FALSE())&lt;-2),"",#REF!),"")</f>
        <v/>
      </c>
      <c r="F501" s="0" t="str">
        <f aca="false">IFERROR(IF(OR(HLOOKUP($A501,#REF!,4,FALSE())&gt;2,HLOOKUP($A501,#REF!,4,FALSE())&lt;-2),"",#REF!),"")</f>
        <v/>
      </c>
      <c r="G501" s="0" t="str">
        <f aca="false">IFERROR(IF(OR(HLOOKUP($A501,#REF!,5,FALSE())&gt;2,HLOOKUP($A501,#REF!,5,FALSE())&lt;-2),"",#REF!),"")</f>
        <v/>
      </c>
      <c r="H501" s="0" t="str">
        <f aca="false">IFERROR(IF(OR(HLOOKUP($A501,#REF!,6,FALSE())&gt;2,HLOOKUP($A501,#REF!,6,FALSE())&lt;-2),"",#REF!),"")</f>
        <v/>
      </c>
      <c r="I501" s="0" t="str">
        <f aca="false">IFERROR(IF(OR(HLOOKUP($A501,#REF!,7,FALSE())&gt;2,HLOOKUP($A501,#REF!,7,FALSE())&lt;-2),"",#REF!),"")</f>
        <v/>
      </c>
      <c r="J501" s="0" t="str">
        <f aca="false">IFERROR(IF(OR(HLOOKUP($A501,#REF!,8,FALSE())&gt;2,HLOOKUP($A501,#REF!,8,FALSE())&lt;-2),"",#REF!),"")</f>
        <v/>
      </c>
      <c r="K501" s="0" t="str">
        <f aca="false">IFERROR(IF(OR(HLOOKUP($A501,#REF!,9,FALSE())&gt;2,HLOOKUP($A501,#REF!,9,FALSE())&lt;-2),"",#REF!),"")</f>
        <v/>
      </c>
      <c r="L501" s="0" t="str">
        <f aca="false">IFERROR(IF(OR(HLOOKUP($A501,#REF!,10,FALSE())&gt;2,HLOOKUP($A501,#REF!,10,FALSE())&lt;-2),"",#REF!),"")</f>
        <v/>
      </c>
      <c r="M501" s="0" t="str">
        <f aca="false">IFERROR(IF(OR(HLOOKUP($A501,#REF!,11,FALSE())&gt;2,HLOOKUP($A501,#REF!,11,FALSE())&lt;-2),"",#REF!),"")</f>
        <v/>
      </c>
      <c r="N501" s="0" t="str">
        <f aca="false">IFERROR(IF(OR(HLOOKUP($A501,#REF!,12,FALSE())&gt;2,HLOOKUP($A501,#REF!,12,FALSE())&lt;-2),"",#REF!),"")</f>
        <v/>
      </c>
      <c r="O501" s="0" t="str">
        <f aca="false">IFERROR(IF(OR(HLOOKUP($A501,#REF!,13,FALSE())&gt;2,HLOOKUP($A501,#REF!,13,FALSE())&lt;-2),"",#REF!),"")</f>
        <v/>
      </c>
      <c r="P501" s="0" t="str">
        <f aca="false">IFERROR(IF(OR(HLOOKUP($A501,#REF!,14,FALSE())&gt;2,HLOOKUP($A501,#REF!,14,FALSE())&lt;-2),"",#REF!),"")</f>
        <v/>
      </c>
      <c r="Q501" s="0" t="str">
        <f aca="false">IFERROR(IF(OR(HLOOKUP($A501,#REF!,15,FALSE())&gt;2,HLOOKUP($A501,#REF!,15,FALSE())&lt;-2),"",#REF!),"")</f>
        <v/>
      </c>
      <c r="R501" s="0" t="str">
        <f aca="false">IFERROR(IF(OR(HLOOKUP($A501,#REF!,16,FALSE())&gt;2,HLOOKUP($A501,#REF!,16,FALSE())&lt;-2),"",#REF!),"")</f>
        <v/>
      </c>
      <c r="S501" s="0" t="str">
        <f aca="false">IFERROR(IF(OR(HLOOKUP($A501,#REF!,17,FALSE())&gt;2,HLOOKUP($A501,#REF!,17,FALSE())&lt;-2),"",#REF!),"")</f>
        <v/>
      </c>
      <c r="T501" s="0" t="str">
        <f aca="false">IFERROR(IF(OR(HLOOKUP($A501,#REF!,18,FALSE())&gt;2,HLOOKUP($A501,#REF!,18,FALSE())&lt;-2),"",#REF!),"")</f>
        <v/>
      </c>
      <c r="U501" s="0" t="str">
        <f aca="false">IFERROR(IF(OR(HLOOKUP($A501,#REF!,19,FALSE())&gt;2,HLOOKUP($A501,#REF!,19,FALSE())&lt;-2),"",#REF!),"")</f>
        <v/>
      </c>
      <c r="V501" s="0" t="n">
        <f aca="false">IFERROR(IF(AND(X501=0,Y501=0),0,1),0)</f>
        <v>1</v>
      </c>
      <c r="W501" s="3" t="str">
        <f aca="false">IFERROR(_xlfn.T.TEST(E501:M501,N501:U501,2,2),"")</f>
        <v/>
      </c>
      <c r="X501" s="0" t="str">
        <f aca="false">IFERROR(AVERAGE(E501:M501),"")</f>
        <v/>
      </c>
      <c r="Y501" s="0" t="str">
        <f aca="false">IFERROR(AVERAGE(N501:U501),"")</f>
        <v/>
      </c>
    </row>
    <row r="502" customFormat="false" ht="14.5" hidden="false" customHeight="false" outlineLevel="0" collapsed="false">
      <c r="A502" s="0" t="n">
        <v>510</v>
      </c>
      <c r="B502" s="0" t="s">
        <v>573</v>
      </c>
      <c r="C502" s="0" t="n">
        <v>5500</v>
      </c>
      <c r="D502" s="0" t="n">
        <v>337</v>
      </c>
      <c r="E502" s="0" t="str">
        <f aca="false">IFERROR(IF(OR(HLOOKUP($A502,#REF!,3,FALSE())&gt;2,HLOOKUP(A502,#REF!,3,FALSE())&lt;-2),"",#REF!),"")</f>
        <v/>
      </c>
      <c r="F502" s="0" t="str">
        <f aca="false">IFERROR(IF(OR(HLOOKUP($A502,#REF!,4,FALSE())&gt;2,HLOOKUP($A502,#REF!,4,FALSE())&lt;-2),"",#REF!),"")</f>
        <v/>
      </c>
      <c r="G502" s="0" t="str">
        <f aca="false">IFERROR(IF(OR(HLOOKUP($A502,#REF!,5,FALSE())&gt;2,HLOOKUP($A502,#REF!,5,FALSE())&lt;-2),"",#REF!),"")</f>
        <v/>
      </c>
      <c r="H502" s="0" t="str">
        <f aca="false">IFERROR(IF(OR(HLOOKUP($A502,#REF!,6,FALSE())&gt;2,HLOOKUP($A502,#REF!,6,FALSE())&lt;-2),"",#REF!),"")</f>
        <v/>
      </c>
      <c r="I502" s="0" t="str">
        <f aca="false">IFERROR(IF(OR(HLOOKUP($A502,#REF!,7,FALSE())&gt;2,HLOOKUP($A502,#REF!,7,FALSE())&lt;-2),"",#REF!),"")</f>
        <v/>
      </c>
      <c r="J502" s="0" t="str">
        <f aca="false">IFERROR(IF(OR(HLOOKUP($A502,#REF!,8,FALSE())&gt;2,HLOOKUP($A502,#REF!,8,FALSE())&lt;-2),"",#REF!),"")</f>
        <v/>
      </c>
      <c r="K502" s="0" t="str">
        <f aca="false">IFERROR(IF(OR(HLOOKUP($A502,#REF!,9,FALSE())&gt;2,HLOOKUP($A502,#REF!,9,FALSE())&lt;-2),"",#REF!),"")</f>
        <v/>
      </c>
      <c r="L502" s="0" t="str">
        <f aca="false">IFERROR(IF(OR(HLOOKUP($A502,#REF!,10,FALSE())&gt;2,HLOOKUP($A502,#REF!,10,FALSE())&lt;-2),"",#REF!),"")</f>
        <v/>
      </c>
      <c r="M502" s="0" t="str">
        <f aca="false">IFERROR(IF(OR(HLOOKUP($A502,#REF!,11,FALSE())&gt;2,HLOOKUP($A502,#REF!,11,FALSE())&lt;-2),"",#REF!),"")</f>
        <v/>
      </c>
      <c r="N502" s="0" t="str">
        <f aca="false">IFERROR(IF(OR(HLOOKUP($A502,#REF!,12,FALSE())&gt;2,HLOOKUP($A502,#REF!,12,FALSE())&lt;-2),"",#REF!),"")</f>
        <v/>
      </c>
      <c r="O502" s="0" t="str">
        <f aca="false">IFERROR(IF(OR(HLOOKUP($A502,#REF!,13,FALSE())&gt;2,HLOOKUP($A502,#REF!,13,FALSE())&lt;-2),"",#REF!),"")</f>
        <v/>
      </c>
      <c r="P502" s="0" t="str">
        <f aca="false">IFERROR(IF(OR(HLOOKUP($A502,#REF!,14,FALSE())&gt;2,HLOOKUP($A502,#REF!,14,FALSE())&lt;-2),"",#REF!),"")</f>
        <v/>
      </c>
      <c r="Q502" s="0" t="str">
        <f aca="false">IFERROR(IF(OR(HLOOKUP($A502,#REF!,15,FALSE())&gt;2,HLOOKUP($A502,#REF!,15,FALSE())&lt;-2),"",#REF!),"")</f>
        <v/>
      </c>
      <c r="R502" s="0" t="str">
        <f aca="false">IFERROR(IF(OR(HLOOKUP($A502,#REF!,16,FALSE())&gt;2,HLOOKUP($A502,#REF!,16,FALSE())&lt;-2),"",#REF!),"")</f>
        <v/>
      </c>
      <c r="S502" s="0" t="str">
        <f aca="false">IFERROR(IF(OR(HLOOKUP($A502,#REF!,17,FALSE())&gt;2,HLOOKUP($A502,#REF!,17,FALSE())&lt;-2),"",#REF!),"")</f>
        <v/>
      </c>
      <c r="T502" s="0" t="str">
        <f aca="false">IFERROR(IF(OR(HLOOKUP($A502,#REF!,18,FALSE())&gt;2,HLOOKUP($A502,#REF!,18,FALSE())&lt;-2),"",#REF!),"")</f>
        <v/>
      </c>
      <c r="U502" s="0" t="str">
        <f aca="false">IFERROR(IF(OR(HLOOKUP($A502,#REF!,19,FALSE())&gt;2,HLOOKUP($A502,#REF!,19,FALSE())&lt;-2),"",#REF!),"")</f>
        <v/>
      </c>
      <c r="V502" s="0" t="n">
        <f aca="false">IFERROR(IF(AND(X502=0,Y502=0),0,1),0)</f>
        <v>1</v>
      </c>
      <c r="W502" s="3" t="str">
        <f aca="false">IFERROR(_xlfn.T.TEST(E502:M502,N502:U502,2,2),"")</f>
        <v/>
      </c>
      <c r="X502" s="0" t="str">
        <f aca="false">IFERROR(AVERAGE(E502:M502),"")</f>
        <v/>
      </c>
      <c r="Y502" s="0" t="str">
        <f aca="false">IFERROR(AVERAGE(N502:U502),"")</f>
        <v/>
      </c>
    </row>
    <row r="503" customFormat="false" ht="14.5" hidden="false" customHeight="false" outlineLevel="0" collapsed="false">
      <c r="A503" s="0" t="n">
        <v>511</v>
      </c>
      <c r="B503" s="0" t="s">
        <v>574</v>
      </c>
      <c r="C503" s="0" t="n">
        <v>81400</v>
      </c>
      <c r="D503" s="0" t="n">
        <v>10</v>
      </c>
      <c r="E503" s="0" t="str">
        <f aca="false">IFERROR(IF(OR(HLOOKUP($A503,#REF!,3,FALSE())&gt;2,HLOOKUP(A503,#REF!,3,FALSE())&lt;-2),"",#REF!),"")</f>
        <v/>
      </c>
      <c r="F503" s="0" t="str">
        <f aca="false">IFERROR(IF(OR(HLOOKUP($A503,#REF!,4,FALSE())&gt;2,HLOOKUP($A503,#REF!,4,FALSE())&lt;-2),"",#REF!),"")</f>
        <v/>
      </c>
      <c r="G503" s="0" t="str">
        <f aca="false">IFERROR(IF(OR(HLOOKUP($A503,#REF!,5,FALSE())&gt;2,HLOOKUP($A503,#REF!,5,FALSE())&lt;-2),"",#REF!),"")</f>
        <v/>
      </c>
      <c r="H503" s="0" t="str">
        <f aca="false">IFERROR(IF(OR(HLOOKUP($A503,#REF!,6,FALSE())&gt;2,HLOOKUP($A503,#REF!,6,FALSE())&lt;-2),"",#REF!),"")</f>
        <v/>
      </c>
      <c r="I503" s="0" t="str">
        <f aca="false">IFERROR(IF(OR(HLOOKUP($A503,#REF!,7,FALSE())&gt;2,HLOOKUP($A503,#REF!,7,FALSE())&lt;-2),"",#REF!),"")</f>
        <v/>
      </c>
      <c r="J503" s="0" t="str">
        <f aca="false">IFERROR(IF(OR(HLOOKUP($A503,#REF!,8,FALSE())&gt;2,HLOOKUP($A503,#REF!,8,FALSE())&lt;-2),"",#REF!),"")</f>
        <v/>
      </c>
      <c r="K503" s="0" t="str">
        <f aca="false">IFERROR(IF(OR(HLOOKUP($A503,#REF!,9,FALSE())&gt;2,HLOOKUP($A503,#REF!,9,FALSE())&lt;-2),"",#REF!),"")</f>
        <v/>
      </c>
      <c r="L503" s="0" t="str">
        <f aca="false">IFERROR(IF(OR(HLOOKUP($A503,#REF!,10,FALSE())&gt;2,HLOOKUP($A503,#REF!,10,FALSE())&lt;-2),"",#REF!),"")</f>
        <v/>
      </c>
      <c r="M503" s="0" t="str">
        <f aca="false">IFERROR(IF(OR(HLOOKUP($A503,#REF!,11,FALSE())&gt;2,HLOOKUP($A503,#REF!,11,FALSE())&lt;-2),"",#REF!),"")</f>
        <v/>
      </c>
      <c r="N503" s="0" t="str">
        <f aca="false">IFERROR(IF(OR(HLOOKUP($A503,#REF!,12,FALSE())&gt;2,HLOOKUP($A503,#REF!,12,FALSE())&lt;-2),"",#REF!),"")</f>
        <v/>
      </c>
      <c r="O503" s="0" t="str">
        <f aca="false">IFERROR(IF(OR(HLOOKUP($A503,#REF!,13,FALSE())&gt;2,HLOOKUP($A503,#REF!,13,FALSE())&lt;-2),"",#REF!),"")</f>
        <v/>
      </c>
      <c r="P503" s="0" t="str">
        <f aca="false">IFERROR(IF(OR(HLOOKUP($A503,#REF!,14,FALSE())&gt;2,HLOOKUP($A503,#REF!,14,FALSE())&lt;-2),"",#REF!),"")</f>
        <v/>
      </c>
      <c r="Q503" s="0" t="str">
        <f aca="false">IFERROR(IF(OR(HLOOKUP($A503,#REF!,15,FALSE())&gt;2,HLOOKUP($A503,#REF!,15,FALSE())&lt;-2),"",#REF!),"")</f>
        <v/>
      </c>
      <c r="R503" s="0" t="str">
        <f aca="false">IFERROR(IF(OR(HLOOKUP($A503,#REF!,16,FALSE())&gt;2,HLOOKUP($A503,#REF!,16,FALSE())&lt;-2),"",#REF!),"")</f>
        <v/>
      </c>
      <c r="S503" s="0" t="str">
        <f aca="false">IFERROR(IF(OR(HLOOKUP($A503,#REF!,17,FALSE())&gt;2,HLOOKUP($A503,#REF!,17,FALSE())&lt;-2),"",#REF!),"")</f>
        <v/>
      </c>
      <c r="T503" s="0" t="str">
        <f aca="false">IFERROR(IF(OR(HLOOKUP($A503,#REF!,18,FALSE())&gt;2,HLOOKUP($A503,#REF!,18,FALSE())&lt;-2),"",#REF!),"")</f>
        <v/>
      </c>
      <c r="U503" s="0" t="str">
        <f aca="false">IFERROR(IF(OR(HLOOKUP($A503,#REF!,19,FALSE())&gt;2,HLOOKUP($A503,#REF!,19,FALSE())&lt;-2),"",#REF!),"")</f>
        <v/>
      </c>
      <c r="V503" s="0" t="n">
        <f aca="false">IFERROR(IF(AND(X503=0,Y503=0),0,1),0)</f>
        <v>1</v>
      </c>
      <c r="W503" s="3" t="str">
        <f aca="false">IFERROR(_xlfn.T.TEST(E503:M503,N503:U503,2,2),"")</f>
        <v/>
      </c>
      <c r="X503" s="0" t="str">
        <f aca="false">IFERROR(AVERAGE(E503:M503),"")</f>
        <v/>
      </c>
      <c r="Y503" s="0" t="str">
        <f aca="false">IFERROR(AVERAGE(N503:U503),"")</f>
        <v/>
      </c>
    </row>
    <row r="504" customFormat="false" ht="14.5" hidden="false" customHeight="false" outlineLevel="0" collapsed="false">
      <c r="A504" s="0" t="n">
        <v>512</v>
      </c>
      <c r="B504" s="0" t="s">
        <v>575</v>
      </c>
      <c r="C504" s="0" t="n">
        <v>54700</v>
      </c>
      <c r="D504" s="0" t="n">
        <v>8</v>
      </c>
      <c r="E504" s="0" t="str">
        <f aca="false">IFERROR(IF(OR(HLOOKUP($A504,#REF!,3,FALSE())&gt;2,HLOOKUP(A504,#REF!,3,FALSE())&lt;-2),"",#REF!),"")</f>
        <v/>
      </c>
      <c r="F504" s="0" t="str">
        <f aca="false">IFERROR(IF(OR(HLOOKUP($A504,#REF!,4,FALSE())&gt;2,HLOOKUP($A504,#REF!,4,FALSE())&lt;-2),"",#REF!),"")</f>
        <v/>
      </c>
      <c r="G504" s="0" t="str">
        <f aca="false">IFERROR(IF(OR(HLOOKUP($A504,#REF!,5,FALSE())&gt;2,HLOOKUP($A504,#REF!,5,FALSE())&lt;-2),"",#REF!),"")</f>
        <v/>
      </c>
      <c r="H504" s="0" t="str">
        <f aca="false">IFERROR(IF(OR(HLOOKUP($A504,#REF!,6,FALSE())&gt;2,HLOOKUP($A504,#REF!,6,FALSE())&lt;-2),"",#REF!),"")</f>
        <v/>
      </c>
      <c r="I504" s="0" t="str">
        <f aca="false">IFERROR(IF(OR(HLOOKUP($A504,#REF!,7,FALSE())&gt;2,HLOOKUP($A504,#REF!,7,FALSE())&lt;-2),"",#REF!),"")</f>
        <v/>
      </c>
      <c r="J504" s="0" t="str">
        <f aca="false">IFERROR(IF(OR(HLOOKUP($A504,#REF!,8,FALSE())&gt;2,HLOOKUP($A504,#REF!,8,FALSE())&lt;-2),"",#REF!),"")</f>
        <v/>
      </c>
      <c r="K504" s="0" t="str">
        <f aca="false">IFERROR(IF(OR(HLOOKUP($A504,#REF!,9,FALSE())&gt;2,HLOOKUP($A504,#REF!,9,FALSE())&lt;-2),"",#REF!),"")</f>
        <v/>
      </c>
      <c r="L504" s="0" t="str">
        <f aca="false">IFERROR(IF(OR(HLOOKUP($A504,#REF!,10,FALSE())&gt;2,HLOOKUP($A504,#REF!,10,FALSE())&lt;-2),"",#REF!),"")</f>
        <v/>
      </c>
      <c r="M504" s="0" t="str">
        <f aca="false">IFERROR(IF(OR(HLOOKUP($A504,#REF!,11,FALSE())&gt;2,HLOOKUP($A504,#REF!,11,FALSE())&lt;-2),"",#REF!),"")</f>
        <v/>
      </c>
      <c r="N504" s="0" t="str">
        <f aca="false">IFERROR(IF(OR(HLOOKUP($A504,#REF!,12,FALSE())&gt;2,HLOOKUP($A504,#REF!,12,FALSE())&lt;-2),"",#REF!),"")</f>
        <v/>
      </c>
      <c r="O504" s="0" t="str">
        <f aca="false">IFERROR(IF(OR(HLOOKUP($A504,#REF!,13,FALSE())&gt;2,HLOOKUP($A504,#REF!,13,FALSE())&lt;-2),"",#REF!),"")</f>
        <v/>
      </c>
      <c r="P504" s="0" t="str">
        <f aca="false">IFERROR(IF(OR(HLOOKUP($A504,#REF!,14,FALSE())&gt;2,HLOOKUP($A504,#REF!,14,FALSE())&lt;-2),"",#REF!),"")</f>
        <v/>
      </c>
      <c r="Q504" s="0" t="str">
        <f aca="false">IFERROR(IF(OR(HLOOKUP($A504,#REF!,15,FALSE())&gt;2,HLOOKUP($A504,#REF!,15,FALSE())&lt;-2),"",#REF!),"")</f>
        <v/>
      </c>
      <c r="R504" s="0" t="str">
        <f aca="false">IFERROR(IF(OR(HLOOKUP($A504,#REF!,16,FALSE())&gt;2,HLOOKUP($A504,#REF!,16,FALSE())&lt;-2),"",#REF!),"")</f>
        <v/>
      </c>
      <c r="S504" s="0" t="str">
        <f aca="false">IFERROR(IF(OR(HLOOKUP($A504,#REF!,17,FALSE())&gt;2,HLOOKUP($A504,#REF!,17,FALSE())&lt;-2),"",#REF!),"")</f>
        <v/>
      </c>
      <c r="T504" s="0" t="str">
        <f aca="false">IFERROR(IF(OR(HLOOKUP($A504,#REF!,18,FALSE())&gt;2,HLOOKUP($A504,#REF!,18,FALSE())&lt;-2),"",#REF!),"")</f>
        <v/>
      </c>
      <c r="U504" s="0" t="str">
        <f aca="false">IFERROR(IF(OR(HLOOKUP($A504,#REF!,19,FALSE())&gt;2,HLOOKUP($A504,#REF!,19,FALSE())&lt;-2),"",#REF!),"")</f>
        <v/>
      </c>
      <c r="V504" s="0" t="n">
        <f aca="false">IFERROR(IF(AND(X504=0,Y504=0),0,1),0)</f>
        <v>1</v>
      </c>
      <c r="W504" s="3" t="str">
        <f aca="false">IFERROR(_xlfn.T.TEST(E504:M504,N504:U504,2,2),"")</f>
        <v/>
      </c>
      <c r="X504" s="0" t="str">
        <f aca="false">IFERROR(AVERAGE(E504:M504),"")</f>
        <v/>
      </c>
      <c r="Y504" s="0" t="str">
        <f aca="false">IFERROR(AVERAGE(N504:U504),"")</f>
        <v/>
      </c>
    </row>
    <row r="505" customFormat="false" ht="14.5" hidden="false" customHeight="false" outlineLevel="0" collapsed="false">
      <c r="A505" s="0" t="n">
        <v>513</v>
      </c>
      <c r="B505" s="0" t="s">
        <v>576</v>
      </c>
      <c r="C505" s="0" t="n">
        <v>53400</v>
      </c>
      <c r="D505" s="0" t="n">
        <v>359</v>
      </c>
      <c r="E505" s="0" t="str">
        <f aca="false">IFERROR(IF(OR(HLOOKUP($A505,#REF!,3,FALSE())&gt;2,HLOOKUP(A505,#REF!,3,FALSE())&lt;-2),"",#REF!),"")</f>
        <v/>
      </c>
      <c r="F505" s="0" t="str">
        <f aca="false">IFERROR(IF(OR(HLOOKUP($A505,#REF!,4,FALSE())&gt;2,HLOOKUP($A505,#REF!,4,FALSE())&lt;-2),"",#REF!),"")</f>
        <v/>
      </c>
      <c r="G505" s="0" t="str">
        <f aca="false">IFERROR(IF(OR(HLOOKUP($A505,#REF!,5,FALSE())&gt;2,HLOOKUP($A505,#REF!,5,FALSE())&lt;-2),"",#REF!),"")</f>
        <v/>
      </c>
      <c r="H505" s="0" t="str">
        <f aca="false">IFERROR(IF(OR(HLOOKUP($A505,#REF!,6,FALSE())&gt;2,HLOOKUP($A505,#REF!,6,FALSE())&lt;-2),"",#REF!),"")</f>
        <v/>
      </c>
      <c r="I505" s="0" t="str">
        <f aca="false">IFERROR(IF(OR(HLOOKUP($A505,#REF!,7,FALSE())&gt;2,HLOOKUP($A505,#REF!,7,FALSE())&lt;-2),"",#REF!),"")</f>
        <v/>
      </c>
      <c r="J505" s="0" t="str">
        <f aca="false">IFERROR(IF(OR(HLOOKUP($A505,#REF!,8,FALSE())&gt;2,HLOOKUP($A505,#REF!,8,FALSE())&lt;-2),"",#REF!),"")</f>
        <v/>
      </c>
      <c r="K505" s="0" t="str">
        <f aca="false">IFERROR(IF(OR(HLOOKUP($A505,#REF!,9,FALSE())&gt;2,HLOOKUP($A505,#REF!,9,FALSE())&lt;-2),"",#REF!),"")</f>
        <v/>
      </c>
      <c r="L505" s="0" t="str">
        <f aca="false">IFERROR(IF(OR(HLOOKUP($A505,#REF!,10,FALSE())&gt;2,HLOOKUP($A505,#REF!,10,FALSE())&lt;-2),"",#REF!),"")</f>
        <v/>
      </c>
      <c r="M505" s="0" t="str">
        <f aca="false">IFERROR(IF(OR(HLOOKUP($A505,#REF!,11,FALSE())&gt;2,HLOOKUP($A505,#REF!,11,FALSE())&lt;-2),"",#REF!),"")</f>
        <v/>
      </c>
      <c r="N505" s="0" t="str">
        <f aca="false">IFERROR(IF(OR(HLOOKUP($A505,#REF!,12,FALSE())&gt;2,HLOOKUP($A505,#REF!,12,FALSE())&lt;-2),"",#REF!),"")</f>
        <v/>
      </c>
      <c r="O505" s="0" t="str">
        <f aca="false">IFERROR(IF(OR(HLOOKUP($A505,#REF!,13,FALSE())&gt;2,HLOOKUP($A505,#REF!,13,FALSE())&lt;-2),"",#REF!),"")</f>
        <v/>
      </c>
      <c r="P505" s="0" t="str">
        <f aca="false">IFERROR(IF(OR(HLOOKUP($A505,#REF!,14,FALSE())&gt;2,HLOOKUP($A505,#REF!,14,FALSE())&lt;-2),"",#REF!),"")</f>
        <v/>
      </c>
      <c r="Q505" s="0" t="str">
        <f aca="false">IFERROR(IF(OR(HLOOKUP($A505,#REF!,15,FALSE())&gt;2,HLOOKUP($A505,#REF!,15,FALSE())&lt;-2),"",#REF!),"")</f>
        <v/>
      </c>
      <c r="R505" s="0" t="str">
        <f aca="false">IFERROR(IF(OR(HLOOKUP($A505,#REF!,16,FALSE())&gt;2,HLOOKUP($A505,#REF!,16,FALSE())&lt;-2),"",#REF!),"")</f>
        <v/>
      </c>
      <c r="S505" s="0" t="str">
        <f aca="false">IFERROR(IF(OR(HLOOKUP($A505,#REF!,17,FALSE())&gt;2,HLOOKUP($A505,#REF!,17,FALSE())&lt;-2),"",#REF!),"")</f>
        <v/>
      </c>
      <c r="T505" s="0" t="str">
        <f aca="false">IFERROR(IF(OR(HLOOKUP($A505,#REF!,18,FALSE())&gt;2,HLOOKUP($A505,#REF!,18,FALSE())&lt;-2),"",#REF!),"")</f>
        <v/>
      </c>
      <c r="U505" s="0" t="str">
        <f aca="false">IFERROR(IF(OR(HLOOKUP($A505,#REF!,19,FALSE())&gt;2,HLOOKUP($A505,#REF!,19,FALSE())&lt;-2),"",#REF!),"")</f>
        <v/>
      </c>
      <c r="V505" s="0" t="n">
        <f aca="false">IFERROR(IF(AND(X505=0,Y505=0),0,1),0)</f>
        <v>1</v>
      </c>
      <c r="W505" s="3" t="str">
        <f aca="false">IFERROR(_xlfn.T.TEST(E505:M505,N505:U505,2,2),"")</f>
        <v/>
      </c>
      <c r="X505" s="0" t="str">
        <f aca="false">IFERROR(AVERAGE(E505:M505),"")</f>
        <v/>
      </c>
      <c r="Y505" s="0" t="str">
        <f aca="false">IFERROR(AVERAGE(N505:U505),"")</f>
        <v/>
      </c>
    </row>
    <row r="506" customFormat="false" ht="14.5" hidden="false" customHeight="false" outlineLevel="0" collapsed="false">
      <c r="A506" s="0" t="n">
        <v>514</v>
      </c>
      <c r="B506" s="0" t="s">
        <v>577</v>
      </c>
      <c r="C506" s="0" t="n">
        <v>102600</v>
      </c>
      <c r="D506" s="0" t="n">
        <v>932</v>
      </c>
      <c r="E506" s="0" t="str">
        <f aca="false">IFERROR(IF(OR(HLOOKUP($A506,#REF!,3,FALSE())&gt;2,HLOOKUP(A506,#REF!,3,FALSE())&lt;-2),"",#REF!),"")</f>
        <v/>
      </c>
      <c r="F506" s="0" t="str">
        <f aca="false">IFERROR(IF(OR(HLOOKUP($A506,#REF!,4,FALSE())&gt;2,HLOOKUP($A506,#REF!,4,FALSE())&lt;-2),"",#REF!),"")</f>
        <v/>
      </c>
      <c r="G506" s="0" t="str">
        <f aca="false">IFERROR(IF(OR(HLOOKUP($A506,#REF!,5,FALSE())&gt;2,HLOOKUP($A506,#REF!,5,FALSE())&lt;-2),"",#REF!),"")</f>
        <v/>
      </c>
      <c r="H506" s="0" t="str">
        <f aca="false">IFERROR(IF(OR(HLOOKUP($A506,#REF!,6,FALSE())&gt;2,HLOOKUP($A506,#REF!,6,FALSE())&lt;-2),"",#REF!),"")</f>
        <v/>
      </c>
      <c r="I506" s="0" t="str">
        <f aca="false">IFERROR(IF(OR(HLOOKUP($A506,#REF!,7,FALSE())&gt;2,HLOOKUP($A506,#REF!,7,FALSE())&lt;-2),"",#REF!),"")</f>
        <v/>
      </c>
      <c r="J506" s="0" t="str">
        <f aca="false">IFERROR(IF(OR(HLOOKUP($A506,#REF!,8,FALSE())&gt;2,HLOOKUP($A506,#REF!,8,FALSE())&lt;-2),"",#REF!),"")</f>
        <v/>
      </c>
      <c r="K506" s="0" t="str">
        <f aca="false">IFERROR(IF(OR(HLOOKUP($A506,#REF!,9,FALSE())&gt;2,HLOOKUP($A506,#REF!,9,FALSE())&lt;-2),"",#REF!),"")</f>
        <v/>
      </c>
      <c r="L506" s="0" t="str">
        <f aca="false">IFERROR(IF(OR(HLOOKUP($A506,#REF!,10,FALSE())&gt;2,HLOOKUP($A506,#REF!,10,FALSE())&lt;-2),"",#REF!),"")</f>
        <v/>
      </c>
      <c r="M506" s="0" t="str">
        <f aca="false">IFERROR(IF(OR(HLOOKUP($A506,#REF!,11,FALSE())&gt;2,HLOOKUP($A506,#REF!,11,FALSE())&lt;-2),"",#REF!),"")</f>
        <v/>
      </c>
      <c r="N506" s="0" t="str">
        <f aca="false">IFERROR(IF(OR(HLOOKUP($A506,#REF!,12,FALSE())&gt;2,HLOOKUP($A506,#REF!,12,FALSE())&lt;-2),"",#REF!),"")</f>
        <v/>
      </c>
      <c r="O506" s="0" t="str">
        <f aca="false">IFERROR(IF(OR(HLOOKUP($A506,#REF!,13,FALSE())&gt;2,HLOOKUP($A506,#REF!,13,FALSE())&lt;-2),"",#REF!),"")</f>
        <v/>
      </c>
      <c r="P506" s="0" t="str">
        <f aca="false">IFERROR(IF(OR(HLOOKUP($A506,#REF!,14,FALSE())&gt;2,HLOOKUP($A506,#REF!,14,FALSE())&lt;-2),"",#REF!),"")</f>
        <v/>
      </c>
      <c r="Q506" s="0" t="str">
        <f aca="false">IFERROR(IF(OR(HLOOKUP($A506,#REF!,15,FALSE())&gt;2,HLOOKUP($A506,#REF!,15,FALSE())&lt;-2),"",#REF!),"")</f>
        <v/>
      </c>
      <c r="R506" s="0" t="str">
        <f aca="false">IFERROR(IF(OR(HLOOKUP($A506,#REF!,16,FALSE())&gt;2,HLOOKUP($A506,#REF!,16,FALSE())&lt;-2),"",#REF!),"")</f>
        <v/>
      </c>
      <c r="S506" s="0" t="str">
        <f aca="false">IFERROR(IF(OR(HLOOKUP($A506,#REF!,17,FALSE())&gt;2,HLOOKUP($A506,#REF!,17,FALSE())&lt;-2),"",#REF!),"")</f>
        <v/>
      </c>
      <c r="T506" s="0" t="str">
        <f aca="false">IFERROR(IF(OR(HLOOKUP($A506,#REF!,18,FALSE())&gt;2,HLOOKUP($A506,#REF!,18,FALSE())&lt;-2),"",#REF!),"")</f>
        <v/>
      </c>
      <c r="U506" s="0" t="str">
        <f aca="false">IFERROR(IF(OR(HLOOKUP($A506,#REF!,19,FALSE())&gt;2,HLOOKUP($A506,#REF!,19,FALSE())&lt;-2),"",#REF!),"")</f>
        <v/>
      </c>
      <c r="V506" s="0" t="n">
        <f aca="false">IFERROR(IF(AND(X506=0,Y506=0),0,1),0)</f>
        <v>1</v>
      </c>
      <c r="W506" s="3" t="str">
        <f aca="false">IFERROR(_xlfn.T.TEST(E506:M506,N506:U506,2,2),"")</f>
        <v/>
      </c>
      <c r="X506" s="0" t="str">
        <f aca="false">IFERROR(AVERAGE(E506:M506),"")</f>
        <v/>
      </c>
      <c r="Y506" s="0" t="str">
        <f aca="false">IFERROR(AVERAGE(N506:U506),"")</f>
        <v/>
      </c>
    </row>
    <row r="507" customFormat="false" ht="14.5" hidden="false" customHeight="false" outlineLevel="0" collapsed="false">
      <c r="A507" s="0" t="n">
        <v>515</v>
      </c>
      <c r="B507" s="0" t="s">
        <v>578</v>
      </c>
      <c r="C507" s="0" t="n">
        <v>75600</v>
      </c>
      <c r="D507" s="0" t="n">
        <v>467</v>
      </c>
      <c r="E507" s="0" t="str">
        <f aca="false">IFERROR(IF(OR(HLOOKUP($A507,#REF!,3,FALSE())&gt;2,HLOOKUP(A507,#REF!,3,FALSE())&lt;-2),"",#REF!),"")</f>
        <v/>
      </c>
      <c r="F507" s="0" t="str">
        <f aca="false">IFERROR(IF(OR(HLOOKUP($A507,#REF!,4,FALSE())&gt;2,HLOOKUP($A507,#REF!,4,FALSE())&lt;-2),"",#REF!),"")</f>
        <v/>
      </c>
      <c r="G507" s="0" t="str">
        <f aca="false">IFERROR(IF(OR(HLOOKUP($A507,#REF!,5,FALSE())&gt;2,HLOOKUP($A507,#REF!,5,FALSE())&lt;-2),"",#REF!),"")</f>
        <v/>
      </c>
      <c r="H507" s="0" t="str">
        <f aca="false">IFERROR(IF(OR(HLOOKUP($A507,#REF!,6,FALSE())&gt;2,HLOOKUP($A507,#REF!,6,FALSE())&lt;-2),"",#REF!),"")</f>
        <v/>
      </c>
      <c r="I507" s="0" t="str">
        <f aca="false">IFERROR(IF(OR(HLOOKUP($A507,#REF!,7,FALSE())&gt;2,HLOOKUP($A507,#REF!,7,FALSE())&lt;-2),"",#REF!),"")</f>
        <v/>
      </c>
      <c r="J507" s="0" t="str">
        <f aca="false">IFERROR(IF(OR(HLOOKUP($A507,#REF!,8,FALSE())&gt;2,HLOOKUP($A507,#REF!,8,FALSE())&lt;-2),"",#REF!),"")</f>
        <v/>
      </c>
      <c r="K507" s="0" t="str">
        <f aca="false">IFERROR(IF(OR(HLOOKUP($A507,#REF!,9,FALSE())&gt;2,HLOOKUP($A507,#REF!,9,FALSE())&lt;-2),"",#REF!),"")</f>
        <v/>
      </c>
      <c r="L507" s="0" t="str">
        <f aca="false">IFERROR(IF(OR(HLOOKUP($A507,#REF!,10,FALSE())&gt;2,HLOOKUP($A507,#REF!,10,FALSE())&lt;-2),"",#REF!),"")</f>
        <v/>
      </c>
      <c r="M507" s="0" t="str">
        <f aca="false">IFERROR(IF(OR(HLOOKUP($A507,#REF!,11,FALSE())&gt;2,HLOOKUP($A507,#REF!,11,FALSE())&lt;-2),"",#REF!),"")</f>
        <v/>
      </c>
      <c r="N507" s="0" t="str">
        <f aca="false">IFERROR(IF(OR(HLOOKUP($A507,#REF!,12,FALSE())&gt;2,HLOOKUP($A507,#REF!,12,FALSE())&lt;-2),"",#REF!),"")</f>
        <v/>
      </c>
      <c r="O507" s="0" t="str">
        <f aca="false">IFERROR(IF(OR(HLOOKUP($A507,#REF!,13,FALSE())&gt;2,HLOOKUP($A507,#REF!,13,FALSE())&lt;-2),"",#REF!),"")</f>
        <v/>
      </c>
      <c r="P507" s="0" t="str">
        <f aca="false">IFERROR(IF(OR(HLOOKUP($A507,#REF!,14,FALSE())&gt;2,HLOOKUP($A507,#REF!,14,FALSE())&lt;-2),"",#REF!),"")</f>
        <v/>
      </c>
      <c r="Q507" s="0" t="str">
        <f aca="false">IFERROR(IF(OR(HLOOKUP($A507,#REF!,15,FALSE())&gt;2,HLOOKUP($A507,#REF!,15,FALSE())&lt;-2),"",#REF!),"")</f>
        <v/>
      </c>
      <c r="R507" s="0" t="str">
        <f aca="false">IFERROR(IF(OR(HLOOKUP($A507,#REF!,16,FALSE())&gt;2,HLOOKUP($A507,#REF!,16,FALSE())&lt;-2),"",#REF!),"")</f>
        <v/>
      </c>
      <c r="S507" s="0" t="str">
        <f aca="false">IFERROR(IF(OR(HLOOKUP($A507,#REF!,17,FALSE())&gt;2,HLOOKUP($A507,#REF!,17,FALSE())&lt;-2),"",#REF!),"")</f>
        <v/>
      </c>
      <c r="T507" s="0" t="str">
        <f aca="false">IFERROR(IF(OR(HLOOKUP($A507,#REF!,18,FALSE())&gt;2,HLOOKUP($A507,#REF!,18,FALSE())&lt;-2),"",#REF!),"")</f>
        <v/>
      </c>
      <c r="U507" s="0" t="str">
        <f aca="false">IFERROR(IF(OR(HLOOKUP($A507,#REF!,19,FALSE())&gt;2,HLOOKUP($A507,#REF!,19,FALSE())&lt;-2),"",#REF!),"")</f>
        <v/>
      </c>
      <c r="V507" s="0" t="n">
        <f aca="false">IFERROR(IF(AND(X507=0,Y507=0),0,1),0)</f>
        <v>1</v>
      </c>
      <c r="W507" s="3" t="str">
        <f aca="false">IFERROR(_xlfn.T.TEST(E507:M507,N507:U507,2,2),"")</f>
        <v/>
      </c>
      <c r="X507" s="0" t="str">
        <f aca="false">IFERROR(AVERAGE(E507:M507),"")</f>
        <v/>
      </c>
      <c r="Y507" s="0" t="str">
        <f aca="false">IFERROR(AVERAGE(N507:U507),"")</f>
        <v/>
      </c>
    </row>
    <row r="508" customFormat="false" ht="14.5" hidden="false" customHeight="false" outlineLevel="0" collapsed="false">
      <c r="A508" s="0" t="n">
        <v>516</v>
      </c>
      <c r="B508" s="0" t="s">
        <v>579</v>
      </c>
      <c r="C508" s="0" t="n">
        <v>21300</v>
      </c>
      <c r="D508" s="0" t="n">
        <v>714</v>
      </c>
      <c r="E508" s="0" t="str">
        <f aca="false">IFERROR(IF(OR(HLOOKUP($A508,#REF!,3,FALSE())&gt;2,HLOOKUP(A508,#REF!,3,FALSE())&lt;-2),"",#REF!),"")</f>
        <v/>
      </c>
      <c r="F508" s="0" t="str">
        <f aca="false">IFERROR(IF(OR(HLOOKUP($A508,#REF!,4,FALSE())&gt;2,HLOOKUP($A508,#REF!,4,FALSE())&lt;-2),"",#REF!),"")</f>
        <v/>
      </c>
      <c r="G508" s="0" t="str">
        <f aca="false">IFERROR(IF(OR(HLOOKUP($A508,#REF!,5,FALSE())&gt;2,HLOOKUP($A508,#REF!,5,FALSE())&lt;-2),"",#REF!),"")</f>
        <v/>
      </c>
      <c r="H508" s="0" t="str">
        <f aca="false">IFERROR(IF(OR(HLOOKUP($A508,#REF!,6,FALSE())&gt;2,HLOOKUP($A508,#REF!,6,FALSE())&lt;-2),"",#REF!),"")</f>
        <v/>
      </c>
      <c r="I508" s="0" t="str">
        <f aca="false">IFERROR(IF(OR(HLOOKUP($A508,#REF!,7,FALSE())&gt;2,HLOOKUP($A508,#REF!,7,FALSE())&lt;-2),"",#REF!),"")</f>
        <v/>
      </c>
      <c r="J508" s="0" t="str">
        <f aca="false">IFERROR(IF(OR(HLOOKUP($A508,#REF!,8,FALSE())&gt;2,HLOOKUP($A508,#REF!,8,FALSE())&lt;-2),"",#REF!),"")</f>
        <v/>
      </c>
      <c r="K508" s="0" t="str">
        <f aca="false">IFERROR(IF(OR(HLOOKUP($A508,#REF!,9,FALSE())&gt;2,HLOOKUP($A508,#REF!,9,FALSE())&lt;-2),"",#REF!),"")</f>
        <v/>
      </c>
      <c r="L508" s="0" t="str">
        <f aca="false">IFERROR(IF(OR(HLOOKUP($A508,#REF!,10,FALSE())&gt;2,HLOOKUP($A508,#REF!,10,FALSE())&lt;-2),"",#REF!),"")</f>
        <v/>
      </c>
      <c r="M508" s="0" t="str">
        <f aca="false">IFERROR(IF(OR(HLOOKUP($A508,#REF!,11,FALSE())&gt;2,HLOOKUP($A508,#REF!,11,FALSE())&lt;-2),"",#REF!),"")</f>
        <v/>
      </c>
      <c r="N508" s="0" t="str">
        <f aca="false">IFERROR(IF(OR(HLOOKUP($A508,#REF!,12,FALSE())&gt;2,HLOOKUP($A508,#REF!,12,FALSE())&lt;-2),"",#REF!),"")</f>
        <v/>
      </c>
      <c r="O508" s="0" t="str">
        <f aca="false">IFERROR(IF(OR(HLOOKUP($A508,#REF!,13,FALSE())&gt;2,HLOOKUP($A508,#REF!,13,FALSE())&lt;-2),"",#REF!),"")</f>
        <v/>
      </c>
      <c r="P508" s="0" t="str">
        <f aca="false">IFERROR(IF(OR(HLOOKUP($A508,#REF!,14,FALSE())&gt;2,HLOOKUP($A508,#REF!,14,FALSE())&lt;-2),"",#REF!),"")</f>
        <v/>
      </c>
      <c r="Q508" s="0" t="str">
        <f aca="false">IFERROR(IF(OR(HLOOKUP($A508,#REF!,15,FALSE())&gt;2,HLOOKUP($A508,#REF!,15,FALSE())&lt;-2),"",#REF!),"")</f>
        <v/>
      </c>
      <c r="R508" s="0" t="str">
        <f aca="false">IFERROR(IF(OR(HLOOKUP($A508,#REF!,16,FALSE())&gt;2,HLOOKUP($A508,#REF!,16,FALSE())&lt;-2),"",#REF!),"")</f>
        <v/>
      </c>
      <c r="S508" s="0" t="str">
        <f aca="false">IFERROR(IF(OR(HLOOKUP($A508,#REF!,17,FALSE())&gt;2,HLOOKUP($A508,#REF!,17,FALSE())&lt;-2),"",#REF!),"")</f>
        <v/>
      </c>
      <c r="T508" s="0" t="str">
        <f aca="false">IFERROR(IF(OR(HLOOKUP($A508,#REF!,18,FALSE())&gt;2,HLOOKUP($A508,#REF!,18,FALSE())&lt;-2),"",#REF!),"")</f>
        <v/>
      </c>
      <c r="U508" s="0" t="str">
        <f aca="false">IFERROR(IF(OR(HLOOKUP($A508,#REF!,19,FALSE())&gt;2,HLOOKUP($A508,#REF!,19,FALSE())&lt;-2),"",#REF!),"")</f>
        <v/>
      </c>
      <c r="V508" s="0" t="n">
        <f aca="false">IFERROR(IF(AND(X508=0,Y508=0),0,1),0)</f>
        <v>1</v>
      </c>
      <c r="W508" s="3" t="str">
        <f aca="false">IFERROR(_xlfn.T.TEST(E508:M508,N508:U508,2,2),"")</f>
        <v/>
      </c>
      <c r="X508" s="0" t="str">
        <f aca="false">IFERROR(AVERAGE(E508:M508),"")</f>
        <v/>
      </c>
      <c r="Y508" s="0" t="str">
        <f aca="false">IFERROR(AVERAGE(N508:U508),"")</f>
        <v/>
      </c>
    </row>
    <row r="509" customFormat="false" ht="14.5" hidden="false" customHeight="false" outlineLevel="0" collapsed="false">
      <c r="A509" s="0" t="n">
        <v>517</v>
      </c>
      <c r="B509" s="0" t="s">
        <v>580</v>
      </c>
      <c r="C509" s="0" t="n">
        <v>37000</v>
      </c>
      <c r="D509" s="0" t="n">
        <v>566</v>
      </c>
      <c r="E509" s="0" t="str">
        <f aca="false">IFERROR(IF(OR(HLOOKUP($A509,#REF!,3,FALSE())&gt;2,HLOOKUP(A509,#REF!,3,FALSE())&lt;-2),"",#REF!),"")</f>
        <v/>
      </c>
      <c r="F509" s="0" t="str">
        <f aca="false">IFERROR(IF(OR(HLOOKUP($A509,#REF!,4,FALSE())&gt;2,HLOOKUP($A509,#REF!,4,FALSE())&lt;-2),"",#REF!),"")</f>
        <v/>
      </c>
      <c r="G509" s="0" t="str">
        <f aca="false">IFERROR(IF(OR(HLOOKUP($A509,#REF!,5,FALSE())&gt;2,HLOOKUP($A509,#REF!,5,FALSE())&lt;-2),"",#REF!),"")</f>
        <v/>
      </c>
      <c r="H509" s="0" t="str">
        <f aca="false">IFERROR(IF(OR(HLOOKUP($A509,#REF!,6,FALSE())&gt;2,HLOOKUP($A509,#REF!,6,FALSE())&lt;-2),"",#REF!),"")</f>
        <v/>
      </c>
      <c r="I509" s="0" t="str">
        <f aca="false">IFERROR(IF(OR(HLOOKUP($A509,#REF!,7,FALSE())&gt;2,HLOOKUP($A509,#REF!,7,FALSE())&lt;-2),"",#REF!),"")</f>
        <v/>
      </c>
      <c r="J509" s="0" t="str">
        <f aca="false">IFERROR(IF(OR(HLOOKUP($A509,#REF!,8,FALSE())&gt;2,HLOOKUP($A509,#REF!,8,FALSE())&lt;-2),"",#REF!),"")</f>
        <v/>
      </c>
      <c r="K509" s="0" t="str">
        <f aca="false">IFERROR(IF(OR(HLOOKUP($A509,#REF!,9,FALSE())&gt;2,HLOOKUP($A509,#REF!,9,FALSE())&lt;-2),"",#REF!),"")</f>
        <v/>
      </c>
      <c r="L509" s="0" t="str">
        <f aca="false">IFERROR(IF(OR(HLOOKUP($A509,#REF!,10,FALSE())&gt;2,HLOOKUP($A509,#REF!,10,FALSE())&lt;-2),"",#REF!),"")</f>
        <v/>
      </c>
      <c r="M509" s="0" t="str">
        <f aca="false">IFERROR(IF(OR(HLOOKUP($A509,#REF!,11,FALSE())&gt;2,HLOOKUP($A509,#REF!,11,FALSE())&lt;-2),"",#REF!),"")</f>
        <v/>
      </c>
      <c r="N509" s="0" t="str">
        <f aca="false">IFERROR(IF(OR(HLOOKUP($A509,#REF!,12,FALSE())&gt;2,HLOOKUP($A509,#REF!,12,FALSE())&lt;-2),"",#REF!),"")</f>
        <v/>
      </c>
      <c r="O509" s="0" t="str">
        <f aca="false">IFERROR(IF(OR(HLOOKUP($A509,#REF!,13,FALSE())&gt;2,HLOOKUP($A509,#REF!,13,FALSE())&lt;-2),"",#REF!),"")</f>
        <v/>
      </c>
      <c r="P509" s="0" t="str">
        <f aca="false">IFERROR(IF(OR(HLOOKUP($A509,#REF!,14,FALSE())&gt;2,HLOOKUP($A509,#REF!,14,FALSE())&lt;-2),"",#REF!),"")</f>
        <v/>
      </c>
      <c r="Q509" s="0" t="str">
        <f aca="false">IFERROR(IF(OR(HLOOKUP($A509,#REF!,15,FALSE())&gt;2,HLOOKUP($A509,#REF!,15,FALSE())&lt;-2),"",#REF!),"")</f>
        <v/>
      </c>
      <c r="R509" s="0" t="str">
        <f aca="false">IFERROR(IF(OR(HLOOKUP($A509,#REF!,16,FALSE())&gt;2,HLOOKUP($A509,#REF!,16,FALSE())&lt;-2),"",#REF!),"")</f>
        <v/>
      </c>
      <c r="S509" s="0" t="str">
        <f aca="false">IFERROR(IF(OR(HLOOKUP($A509,#REF!,17,FALSE())&gt;2,HLOOKUP($A509,#REF!,17,FALSE())&lt;-2),"",#REF!),"")</f>
        <v/>
      </c>
      <c r="T509" s="0" t="str">
        <f aca="false">IFERROR(IF(OR(HLOOKUP($A509,#REF!,18,FALSE())&gt;2,HLOOKUP($A509,#REF!,18,FALSE())&lt;-2),"",#REF!),"")</f>
        <v/>
      </c>
      <c r="U509" s="0" t="str">
        <f aca="false">IFERROR(IF(OR(HLOOKUP($A509,#REF!,19,FALSE())&gt;2,HLOOKUP($A509,#REF!,19,FALSE())&lt;-2),"",#REF!),"")</f>
        <v/>
      </c>
      <c r="V509" s="0" t="n">
        <f aca="false">IFERROR(IF(AND(X509=0,Y509=0),0,1),0)</f>
        <v>1</v>
      </c>
      <c r="W509" s="3" t="str">
        <f aca="false">IFERROR(_xlfn.T.TEST(E509:M509,N509:U509,2,2),"")</f>
        <v/>
      </c>
      <c r="X509" s="0" t="str">
        <f aca="false">IFERROR(AVERAGE(E509:M509),"")</f>
        <v/>
      </c>
      <c r="Y509" s="0" t="str">
        <f aca="false">IFERROR(AVERAGE(N509:U509),"")</f>
        <v/>
      </c>
    </row>
    <row r="510" customFormat="false" ht="14.5" hidden="false" customHeight="false" outlineLevel="0" collapsed="false">
      <c r="A510" s="0" t="n">
        <v>518</v>
      </c>
      <c r="B510" s="0" t="s">
        <v>581</v>
      </c>
      <c r="C510" s="0" t="n">
        <v>46000</v>
      </c>
      <c r="D510" s="0" t="n">
        <v>502</v>
      </c>
      <c r="E510" s="0" t="str">
        <f aca="false">IFERROR(IF(OR(HLOOKUP($A510,#REF!,3,FALSE())&gt;2,HLOOKUP(A510,#REF!,3,FALSE())&lt;-2),"",#REF!),"")</f>
        <v/>
      </c>
      <c r="F510" s="0" t="str">
        <f aca="false">IFERROR(IF(OR(HLOOKUP($A510,#REF!,4,FALSE())&gt;2,HLOOKUP($A510,#REF!,4,FALSE())&lt;-2),"",#REF!),"")</f>
        <v/>
      </c>
      <c r="G510" s="0" t="str">
        <f aca="false">IFERROR(IF(OR(HLOOKUP($A510,#REF!,5,FALSE())&gt;2,HLOOKUP($A510,#REF!,5,FALSE())&lt;-2),"",#REF!),"")</f>
        <v/>
      </c>
      <c r="H510" s="0" t="str">
        <f aca="false">IFERROR(IF(OR(HLOOKUP($A510,#REF!,6,FALSE())&gt;2,HLOOKUP($A510,#REF!,6,FALSE())&lt;-2),"",#REF!),"")</f>
        <v/>
      </c>
      <c r="I510" s="0" t="str">
        <f aca="false">IFERROR(IF(OR(HLOOKUP($A510,#REF!,7,FALSE())&gt;2,HLOOKUP($A510,#REF!,7,FALSE())&lt;-2),"",#REF!),"")</f>
        <v/>
      </c>
      <c r="J510" s="0" t="str">
        <f aca="false">IFERROR(IF(OR(HLOOKUP($A510,#REF!,8,FALSE())&gt;2,HLOOKUP($A510,#REF!,8,FALSE())&lt;-2),"",#REF!),"")</f>
        <v/>
      </c>
      <c r="K510" s="0" t="str">
        <f aca="false">IFERROR(IF(OR(HLOOKUP($A510,#REF!,9,FALSE())&gt;2,HLOOKUP($A510,#REF!,9,FALSE())&lt;-2),"",#REF!),"")</f>
        <v/>
      </c>
      <c r="L510" s="0" t="str">
        <f aca="false">IFERROR(IF(OR(HLOOKUP($A510,#REF!,10,FALSE())&gt;2,HLOOKUP($A510,#REF!,10,FALSE())&lt;-2),"",#REF!),"")</f>
        <v/>
      </c>
      <c r="M510" s="0" t="str">
        <f aca="false">IFERROR(IF(OR(HLOOKUP($A510,#REF!,11,FALSE())&gt;2,HLOOKUP($A510,#REF!,11,FALSE())&lt;-2),"",#REF!),"")</f>
        <v/>
      </c>
      <c r="N510" s="0" t="str">
        <f aca="false">IFERROR(IF(OR(HLOOKUP($A510,#REF!,12,FALSE())&gt;2,HLOOKUP($A510,#REF!,12,FALSE())&lt;-2),"",#REF!),"")</f>
        <v/>
      </c>
      <c r="O510" s="0" t="str">
        <f aca="false">IFERROR(IF(OR(HLOOKUP($A510,#REF!,13,FALSE())&gt;2,HLOOKUP($A510,#REF!,13,FALSE())&lt;-2),"",#REF!),"")</f>
        <v/>
      </c>
      <c r="P510" s="0" t="str">
        <f aca="false">IFERROR(IF(OR(HLOOKUP($A510,#REF!,14,FALSE())&gt;2,HLOOKUP($A510,#REF!,14,FALSE())&lt;-2),"",#REF!),"")</f>
        <v/>
      </c>
      <c r="Q510" s="0" t="str">
        <f aca="false">IFERROR(IF(OR(HLOOKUP($A510,#REF!,15,FALSE())&gt;2,HLOOKUP($A510,#REF!,15,FALSE())&lt;-2),"",#REF!),"")</f>
        <v/>
      </c>
      <c r="R510" s="0" t="str">
        <f aca="false">IFERROR(IF(OR(HLOOKUP($A510,#REF!,16,FALSE())&gt;2,HLOOKUP($A510,#REF!,16,FALSE())&lt;-2),"",#REF!),"")</f>
        <v/>
      </c>
      <c r="S510" s="0" t="str">
        <f aca="false">IFERROR(IF(OR(HLOOKUP($A510,#REF!,17,FALSE())&gt;2,HLOOKUP($A510,#REF!,17,FALSE())&lt;-2),"",#REF!),"")</f>
        <v/>
      </c>
      <c r="T510" s="0" t="str">
        <f aca="false">IFERROR(IF(OR(HLOOKUP($A510,#REF!,18,FALSE())&gt;2,HLOOKUP($A510,#REF!,18,FALSE())&lt;-2),"",#REF!),"")</f>
        <v/>
      </c>
      <c r="U510" s="0" t="str">
        <f aca="false">IFERROR(IF(OR(HLOOKUP($A510,#REF!,19,FALSE())&gt;2,HLOOKUP($A510,#REF!,19,FALSE())&lt;-2),"",#REF!),"")</f>
        <v/>
      </c>
      <c r="V510" s="0" t="n">
        <f aca="false">IFERROR(IF(AND(X510=0,Y510=0),0,1),0)</f>
        <v>1</v>
      </c>
      <c r="W510" s="3" t="str">
        <f aca="false">IFERROR(_xlfn.T.TEST(E510:M510,N510:U510,2,2),"")</f>
        <v/>
      </c>
      <c r="X510" s="0" t="str">
        <f aca="false">IFERROR(AVERAGE(E510:M510),"")</f>
        <v/>
      </c>
      <c r="Y510" s="0" t="str">
        <f aca="false">IFERROR(AVERAGE(N510:U510),"")</f>
        <v/>
      </c>
    </row>
    <row r="511" customFormat="false" ht="14.5" hidden="false" customHeight="false" outlineLevel="0" collapsed="false">
      <c r="A511" s="0" t="n">
        <v>519</v>
      </c>
      <c r="B511" s="0" t="s">
        <v>582</v>
      </c>
      <c r="C511" s="0" t="n">
        <v>62900</v>
      </c>
      <c r="D511" s="0" t="n">
        <v>512</v>
      </c>
      <c r="E511" s="0" t="str">
        <f aca="false">IFERROR(IF(OR(HLOOKUP($A511,#REF!,3,FALSE())&gt;2,HLOOKUP(A511,#REF!,3,FALSE())&lt;-2),"",#REF!),"")</f>
        <v/>
      </c>
      <c r="F511" s="0" t="str">
        <f aca="false">IFERROR(IF(OR(HLOOKUP($A511,#REF!,4,FALSE())&gt;2,HLOOKUP($A511,#REF!,4,FALSE())&lt;-2),"",#REF!),"")</f>
        <v/>
      </c>
      <c r="G511" s="0" t="str">
        <f aca="false">IFERROR(IF(OR(HLOOKUP($A511,#REF!,5,FALSE())&gt;2,HLOOKUP($A511,#REF!,5,FALSE())&lt;-2),"",#REF!),"")</f>
        <v/>
      </c>
      <c r="H511" s="0" t="str">
        <f aca="false">IFERROR(IF(OR(HLOOKUP($A511,#REF!,6,FALSE())&gt;2,HLOOKUP($A511,#REF!,6,FALSE())&lt;-2),"",#REF!),"")</f>
        <v/>
      </c>
      <c r="I511" s="0" t="str">
        <f aca="false">IFERROR(IF(OR(HLOOKUP($A511,#REF!,7,FALSE())&gt;2,HLOOKUP($A511,#REF!,7,FALSE())&lt;-2),"",#REF!),"")</f>
        <v/>
      </c>
      <c r="J511" s="0" t="str">
        <f aca="false">IFERROR(IF(OR(HLOOKUP($A511,#REF!,8,FALSE())&gt;2,HLOOKUP($A511,#REF!,8,FALSE())&lt;-2),"",#REF!),"")</f>
        <v/>
      </c>
      <c r="K511" s="0" t="str">
        <f aca="false">IFERROR(IF(OR(HLOOKUP($A511,#REF!,9,FALSE())&gt;2,HLOOKUP($A511,#REF!,9,FALSE())&lt;-2),"",#REF!),"")</f>
        <v/>
      </c>
      <c r="L511" s="0" t="str">
        <f aca="false">IFERROR(IF(OR(HLOOKUP($A511,#REF!,10,FALSE())&gt;2,HLOOKUP($A511,#REF!,10,FALSE())&lt;-2),"",#REF!),"")</f>
        <v/>
      </c>
      <c r="M511" s="0" t="str">
        <f aca="false">IFERROR(IF(OR(HLOOKUP($A511,#REF!,11,FALSE())&gt;2,HLOOKUP($A511,#REF!,11,FALSE())&lt;-2),"",#REF!),"")</f>
        <v/>
      </c>
      <c r="N511" s="0" t="str">
        <f aca="false">IFERROR(IF(OR(HLOOKUP($A511,#REF!,12,FALSE())&gt;2,HLOOKUP($A511,#REF!,12,FALSE())&lt;-2),"",#REF!),"")</f>
        <v/>
      </c>
      <c r="O511" s="0" t="str">
        <f aca="false">IFERROR(IF(OR(HLOOKUP($A511,#REF!,13,FALSE())&gt;2,HLOOKUP($A511,#REF!,13,FALSE())&lt;-2),"",#REF!),"")</f>
        <v/>
      </c>
      <c r="P511" s="0" t="str">
        <f aca="false">IFERROR(IF(OR(HLOOKUP($A511,#REF!,14,FALSE())&gt;2,HLOOKUP($A511,#REF!,14,FALSE())&lt;-2),"",#REF!),"")</f>
        <v/>
      </c>
      <c r="Q511" s="0" t="str">
        <f aca="false">IFERROR(IF(OR(HLOOKUP($A511,#REF!,15,FALSE())&gt;2,HLOOKUP($A511,#REF!,15,FALSE())&lt;-2),"",#REF!),"")</f>
        <v/>
      </c>
      <c r="R511" s="0" t="str">
        <f aca="false">IFERROR(IF(OR(HLOOKUP($A511,#REF!,16,FALSE())&gt;2,HLOOKUP($A511,#REF!,16,FALSE())&lt;-2),"",#REF!),"")</f>
        <v/>
      </c>
      <c r="S511" s="0" t="str">
        <f aca="false">IFERROR(IF(OR(HLOOKUP($A511,#REF!,17,FALSE())&gt;2,HLOOKUP($A511,#REF!,17,FALSE())&lt;-2),"",#REF!),"")</f>
        <v/>
      </c>
      <c r="T511" s="0" t="str">
        <f aca="false">IFERROR(IF(OR(HLOOKUP($A511,#REF!,18,FALSE())&gt;2,HLOOKUP($A511,#REF!,18,FALSE())&lt;-2),"",#REF!),"")</f>
        <v/>
      </c>
      <c r="U511" s="0" t="str">
        <f aca="false">IFERROR(IF(OR(HLOOKUP($A511,#REF!,19,FALSE())&gt;2,HLOOKUP($A511,#REF!,19,FALSE())&lt;-2),"",#REF!),"")</f>
        <v/>
      </c>
      <c r="V511" s="0" t="n">
        <f aca="false">IFERROR(IF(AND(X511=0,Y511=0),0,1),0)</f>
        <v>1</v>
      </c>
      <c r="W511" s="3" t="str">
        <f aca="false">IFERROR(_xlfn.T.TEST(E511:M511,N511:U511,2,2),"")</f>
        <v/>
      </c>
      <c r="X511" s="0" t="str">
        <f aca="false">IFERROR(AVERAGE(E511:M511),"")</f>
        <v/>
      </c>
      <c r="Y511" s="0" t="str">
        <f aca="false">IFERROR(AVERAGE(N511:U511),"")</f>
        <v/>
      </c>
    </row>
    <row r="512" customFormat="false" ht="14.5" hidden="false" customHeight="false" outlineLevel="0" collapsed="false">
      <c r="A512" s="0" t="n">
        <v>520</v>
      </c>
      <c r="B512" s="0" t="s">
        <v>583</v>
      </c>
      <c r="C512" s="0" t="n">
        <v>13200</v>
      </c>
      <c r="D512" s="0" t="n">
        <v>1018</v>
      </c>
      <c r="E512" s="0" t="str">
        <f aca="false">IFERROR(IF(OR(HLOOKUP($A512,#REF!,3,FALSE())&gt;2,HLOOKUP(A512,#REF!,3,FALSE())&lt;-2),"",#REF!),"")</f>
        <v/>
      </c>
      <c r="F512" s="0" t="str">
        <f aca="false">IFERROR(IF(OR(HLOOKUP($A512,#REF!,4,FALSE())&gt;2,HLOOKUP($A512,#REF!,4,FALSE())&lt;-2),"",#REF!),"")</f>
        <v/>
      </c>
      <c r="G512" s="0" t="str">
        <f aca="false">IFERROR(IF(OR(HLOOKUP($A512,#REF!,5,FALSE())&gt;2,HLOOKUP($A512,#REF!,5,FALSE())&lt;-2),"",#REF!),"")</f>
        <v/>
      </c>
      <c r="H512" s="0" t="str">
        <f aca="false">IFERROR(IF(OR(HLOOKUP($A512,#REF!,6,FALSE())&gt;2,HLOOKUP($A512,#REF!,6,FALSE())&lt;-2),"",#REF!),"")</f>
        <v/>
      </c>
      <c r="I512" s="0" t="str">
        <f aca="false">IFERROR(IF(OR(HLOOKUP($A512,#REF!,7,FALSE())&gt;2,HLOOKUP($A512,#REF!,7,FALSE())&lt;-2),"",#REF!),"")</f>
        <v/>
      </c>
      <c r="J512" s="0" t="str">
        <f aca="false">IFERROR(IF(OR(HLOOKUP($A512,#REF!,8,FALSE())&gt;2,HLOOKUP($A512,#REF!,8,FALSE())&lt;-2),"",#REF!),"")</f>
        <v/>
      </c>
      <c r="K512" s="0" t="str">
        <f aca="false">IFERROR(IF(OR(HLOOKUP($A512,#REF!,9,FALSE())&gt;2,HLOOKUP($A512,#REF!,9,FALSE())&lt;-2),"",#REF!),"")</f>
        <v/>
      </c>
      <c r="L512" s="0" t="str">
        <f aca="false">IFERROR(IF(OR(HLOOKUP($A512,#REF!,10,FALSE())&gt;2,HLOOKUP($A512,#REF!,10,FALSE())&lt;-2),"",#REF!),"")</f>
        <v/>
      </c>
      <c r="M512" s="0" t="str">
        <f aca="false">IFERROR(IF(OR(HLOOKUP($A512,#REF!,11,FALSE())&gt;2,HLOOKUP($A512,#REF!,11,FALSE())&lt;-2),"",#REF!),"")</f>
        <v/>
      </c>
      <c r="N512" s="0" t="str">
        <f aca="false">IFERROR(IF(OR(HLOOKUP($A512,#REF!,12,FALSE())&gt;2,HLOOKUP($A512,#REF!,12,FALSE())&lt;-2),"",#REF!),"")</f>
        <v/>
      </c>
      <c r="O512" s="0" t="str">
        <f aca="false">IFERROR(IF(OR(HLOOKUP($A512,#REF!,13,FALSE())&gt;2,HLOOKUP($A512,#REF!,13,FALSE())&lt;-2),"",#REF!),"")</f>
        <v/>
      </c>
      <c r="P512" s="0" t="str">
        <f aca="false">IFERROR(IF(OR(HLOOKUP($A512,#REF!,14,FALSE())&gt;2,HLOOKUP($A512,#REF!,14,FALSE())&lt;-2),"",#REF!),"")</f>
        <v/>
      </c>
      <c r="Q512" s="0" t="str">
        <f aca="false">IFERROR(IF(OR(HLOOKUP($A512,#REF!,15,FALSE())&gt;2,HLOOKUP($A512,#REF!,15,FALSE())&lt;-2),"",#REF!),"")</f>
        <v/>
      </c>
      <c r="R512" s="0" t="str">
        <f aca="false">IFERROR(IF(OR(HLOOKUP($A512,#REF!,16,FALSE())&gt;2,HLOOKUP($A512,#REF!,16,FALSE())&lt;-2),"",#REF!),"")</f>
        <v/>
      </c>
      <c r="S512" s="0" t="str">
        <f aca="false">IFERROR(IF(OR(HLOOKUP($A512,#REF!,17,FALSE())&gt;2,HLOOKUP($A512,#REF!,17,FALSE())&lt;-2),"",#REF!),"")</f>
        <v/>
      </c>
      <c r="T512" s="0" t="str">
        <f aca="false">IFERROR(IF(OR(HLOOKUP($A512,#REF!,18,FALSE())&gt;2,HLOOKUP($A512,#REF!,18,FALSE())&lt;-2),"",#REF!),"")</f>
        <v/>
      </c>
      <c r="U512" s="0" t="str">
        <f aca="false">IFERROR(IF(OR(HLOOKUP($A512,#REF!,19,FALSE())&gt;2,HLOOKUP($A512,#REF!,19,FALSE())&lt;-2),"",#REF!),"")</f>
        <v/>
      </c>
      <c r="V512" s="0" t="n">
        <f aca="false">IFERROR(IF(AND(X512=0,Y512=0),0,1),0)</f>
        <v>1</v>
      </c>
      <c r="W512" s="3" t="str">
        <f aca="false">IFERROR(_xlfn.T.TEST(E512:M512,N512:U512,2,2),"")</f>
        <v/>
      </c>
      <c r="X512" s="0" t="str">
        <f aca="false">IFERROR(AVERAGE(E512:M512),"")</f>
        <v/>
      </c>
      <c r="Y512" s="0" t="str">
        <f aca="false">IFERROR(AVERAGE(N512:U512),"")</f>
        <v/>
      </c>
    </row>
    <row r="513" customFormat="false" ht="14.5" hidden="false" customHeight="false" outlineLevel="0" collapsed="false">
      <c r="A513" s="0" t="n">
        <v>521</v>
      </c>
      <c r="B513" s="0" t="s">
        <v>584</v>
      </c>
      <c r="C513" s="0" t="n">
        <v>53600</v>
      </c>
      <c r="D513" s="0" t="n">
        <v>359</v>
      </c>
      <c r="E513" s="0" t="str">
        <f aca="false">IFERROR(IF(OR(HLOOKUP($A513,#REF!,3,FALSE())&gt;2,HLOOKUP(A513,#REF!,3,FALSE())&lt;-2),"",#REF!),"")</f>
        <v/>
      </c>
      <c r="F513" s="0" t="str">
        <f aca="false">IFERROR(IF(OR(HLOOKUP($A513,#REF!,4,FALSE())&gt;2,HLOOKUP($A513,#REF!,4,FALSE())&lt;-2),"",#REF!),"")</f>
        <v/>
      </c>
      <c r="G513" s="0" t="str">
        <f aca="false">IFERROR(IF(OR(HLOOKUP($A513,#REF!,5,FALSE())&gt;2,HLOOKUP($A513,#REF!,5,FALSE())&lt;-2),"",#REF!),"")</f>
        <v/>
      </c>
      <c r="H513" s="0" t="str">
        <f aca="false">IFERROR(IF(OR(HLOOKUP($A513,#REF!,6,FALSE())&gt;2,HLOOKUP($A513,#REF!,6,FALSE())&lt;-2),"",#REF!),"")</f>
        <v/>
      </c>
      <c r="I513" s="0" t="str">
        <f aca="false">IFERROR(IF(OR(HLOOKUP($A513,#REF!,7,FALSE())&gt;2,HLOOKUP($A513,#REF!,7,FALSE())&lt;-2),"",#REF!),"")</f>
        <v/>
      </c>
      <c r="J513" s="0" t="str">
        <f aca="false">IFERROR(IF(OR(HLOOKUP($A513,#REF!,8,FALSE())&gt;2,HLOOKUP($A513,#REF!,8,FALSE())&lt;-2),"",#REF!),"")</f>
        <v/>
      </c>
      <c r="K513" s="0" t="str">
        <f aca="false">IFERROR(IF(OR(HLOOKUP($A513,#REF!,9,FALSE())&gt;2,HLOOKUP($A513,#REF!,9,FALSE())&lt;-2),"",#REF!),"")</f>
        <v/>
      </c>
      <c r="L513" s="0" t="str">
        <f aca="false">IFERROR(IF(OR(HLOOKUP($A513,#REF!,10,FALSE())&gt;2,HLOOKUP($A513,#REF!,10,FALSE())&lt;-2),"",#REF!),"")</f>
        <v/>
      </c>
      <c r="M513" s="0" t="str">
        <f aca="false">IFERROR(IF(OR(HLOOKUP($A513,#REF!,11,FALSE())&gt;2,HLOOKUP($A513,#REF!,11,FALSE())&lt;-2),"",#REF!),"")</f>
        <v/>
      </c>
      <c r="N513" s="0" t="str">
        <f aca="false">IFERROR(IF(OR(HLOOKUP($A513,#REF!,12,FALSE())&gt;2,HLOOKUP($A513,#REF!,12,FALSE())&lt;-2),"",#REF!),"")</f>
        <v/>
      </c>
      <c r="O513" s="0" t="str">
        <f aca="false">IFERROR(IF(OR(HLOOKUP($A513,#REF!,13,FALSE())&gt;2,HLOOKUP($A513,#REF!,13,FALSE())&lt;-2),"",#REF!),"")</f>
        <v/>
      </c>
      <c r="P513" s="0" t="str">
        <f aca="false">IFERROR(IF(OR(HLOOKUP($A513,#REF!,14,FALSE())&gt;2,HLOOKUP($A513,#REF!,14,FALSE())&lt;-2),"",#REF!),"")</f>
        <v/>
      </c>
      <c r="Q513" s="0" t="str">
        <f aca="false">IFERROR(IF(OR(HLOOKUP($A513,#REF!,15,FALSE())&gt;2,HLOOKUP($A513,#REF!,15,FALSE())&lt;-2),"",#REF!),"")</f>
        <v/>
      </c>
      <c r="R513" s="0" t="str">
        <f aca="false">IFERROR(IF(OR(HLOOKUP($A513,#REF!,16,FALSE())&gt;2,HLOOKUP($A513,#REF!,16,FALSE())&lt;-2),"",#REF!),"")</f>
        <v/>
      </c>
      <c r="S513" s="0" t="str">
        <f aca="false">IFERROR(IF(OR(HLOOKUP($A513,#REF!,17,FALSE())&gt;2,HLOOKUP($A513,#REF!,17,FALSE())&lt;-2),"",#REF!),"")</f>
        <v/>
      </c>
      <c r="T513" s="0" t="str">
        <f aca="false">IFERROR(IF(OR(HLOOKUP($A513,#REF!,18,FALSE())&gt;2,HLOOKUP($A513,#REF!,18,FALSE())&lt;-2),"",#REF!),"")</f>
        <v/>
      </c>
      <c r="U513" s="0" t="str">
        <f aca="false">IFERROR(IF(OR(HLOOKUP($A513,#REF!,19,FALSE())&gt;2,HLOOKUP($A513,#REF!,19,FALSE())&lt;-2),"",#REF!),"")</f>
        <v/>
      </c>
      <c r="V513" s="0" t="n">
        <f aca="false">IFERROR(IF(AND(X513=0,Y513=0),0,1),0)</f>
        <v>1</v>
      </c>
      <c r="W513" s="3" t="str">
        <f aca="false">IFERROR(_xlfn.T.TEST(E513:M513,N513:U513,2,2),"")</f>
        <v/>
      </c>
      <c r="X513" s="0" t="str">
        <f aca="false">IFERROR(AVERAGE(E513:M513),"")</f>
        <v/>
      </c>
      <c r="Y513" s="0" t="str">
        <f aca="false">IFERROR(AVERAGE(N513:U513),"")</f>
        <v/>
      </c>
    </row>
    <row r="514" customFormat="false" ht="14.5" hidden="false" customHeight="false" outlineLevel="0" collapsed="false">
      <c r="A514" s="0" t="n">
        <v>522</v>
      </c>
      <c r="B514" s="0" t="s">
        <v>585</v>
      </c>
      <c r="C514" s="0" t="n">
        <v>102300</v>
      </c>
      <c r="D514" s="0" t="n">
        <v>932</v>
      </c>
      <c r="E514" s="0" t="str">
        <f aca="false">IFERROR(IF(OR(HLOOKUP($A514,#REF!,3,FALSE())&gt;2,HLOOKUP(A514,#REF!,3,FALSE())&lt;-2),"",#REF!),"")</f>
        <v/>
      </c>
      <c r="F514" s="0" t="str">
        <f aca="false">IFERROR(IF(OR(HLOOKUP($A514,#REF!,4,FALSE())&gt;2,HLOOKUP($A514,#REF!,4,FALSE())&lt;-2),"",#REF!),"")</f>
        <v/>
      </c>
      <c r="G514" s="0" t="str">
        <f aca="false">IFERROR(IF(OR(HLOOKUP($A514,#REF!,5,FALSE())&gt;2,HLOOKUP($A514,#REF!,5,FALSE())&lt;-2),"",#REF!),"")</f>
        <v/>
      </c>
      <c r="H514" s="0" t="str">
        <f aca="false">IFERROR(IF(OR(HLOOKUP($A514,#REF!,6,FALSE())&gt;2,HLOOKUP($A514,#REF!,6,FALSE())&lt;-2),"",#REF!),"")</f>
        <v/>
      </c>
      <c r="I514" s="0" t="str">
        <f aca="false">IFERROR(IF(OR(HLOOKUP($A514,#REF!,7,FALSE())&gt;2,HLOOKUP($A514,#REF!,7,FALSE())&lt;-2),"",#REF!),"")</f>
        <v/>
      </c>
      <c r="J514" s="0" t="str">
        <f aca="false">IFERROR(IF(OR(HLOOKUP($A514,#REF!,8,FALSE())&gt;2,HLOOKUP($A514,#REF!,8,FALSE())&lt;-2),"",#REF!),"")</f>
        <v/>
      </c>
      <c r="K514" s="0" t="str">
        <f aca="false">IFERROR(IF(OR(HLOOKUP($A514,#REF!,9,FALSE())&gt;2,HLOOKUP($A514,#REF!,9,FALSE())&lt;-2),"",#REF!),"")</f>
        <v/>
      </c>
      <c r="L514" s="0" t="str">
        <f aca="false">IFERROR(IF(OR(HLOOKUP($A514,#REF!,10,FALSE())&gt;2,HLOOKUP($A514,#REF!,10,FALSE())&lt;-2),"",#REF!),"")</f>
        <v/>
      </c>
      <c r="M514" s="0" t="str">
        <f aca="false">IFERROR(IF(OR(HLOOKUP($A514,#REF!,11,FALSE())&gt;2,HLOOKUP($A514,#REF!,11,FALSE())&lt;-2),"",#REF!),"")</f>
        <v/>
      </c>
      <c r="N514" s="0" t="str">
        <f aca="false">IFERROR(IF(OR(HLOOKUP($A514,#REF!,12,FALSE())&gt;2,HLOOKUP($A514,#REF!,12,FALSE())&lt;-2),"",#REF!),"")</f>
        <v/>
      </c>
      <c r="O514" s="0" t="str">
        <f aca="false">IFERROR(IF(OR(HLOOKUP($A514,#REF!,13,FALSE())&gt;2,HLOOKUP($A514,#REF!,13,FALSE())&lt;-2),"",#REF!),"")</f>
        <v/>
      </c>
      <c r="P514" s="0" t="str">
        <f aca="false">IFERROR(IF(OR(HLOOKUP($A514,#REF!,14,FALSE())&gt;2,HLOOKUP($A514,#REF!,14,FALSE())&lt;-2),"",#REF!),"")</f>
        <v/>
      </c>
      <c r="Q514" s="0" t="str">
        <f aca="false">IFERROR(IF(OR(HLOOKUP($A514,#REF!,15,FALSE())&gt;2,HLOOKUP($A514,#REF!,15,FALSE())&lt;-2),"",#REF!),"")</f>
        <v/>
      </c>
      <c r="R514" s="0" t="str">
        <f aca="false">IFERROR(IF(OR(HLOOKUP($A514,#REF!,16,FALSE())&gt;2,HLOOKUP($A514,#REF!,16,FALSE())&lt;-2),"",#REF!),"")</f>
        <v/>
      </c>
      <c r="S514" s="0" t="str">
        <f aca="false">IFERROR(IF(OR(HLOOKUP($A514,#REF!,17,FALSE())&gt;2,HLOOKUP($A514,#REF!,17,FALSE())&lt;-2),"",#REF!),"")</f>
        <v/>
      </c>
      <c r="T514" s="0" t="str">
        <f aca="false">IFERROR(IF(OR(HLOOKUP($A514,#REF!,18,FALSE())&gt;2,HLOOKUP($A514,#REF!,18,FALSE())&lt;-2),"",#REF!),"")</f>
        <v/>
      </c>
      <c r="U514" s="0" t="str">
        <f aca="false">IFERROR(IF(OR(HLOOKUP($A514,#REF!,19,FALSE())&gt;2,HLOOKUP($A514,#REF!,19,FALSE())&lt;-2),"",#REF!),"")</f>
        <v/>
      </c>
      <c r="V514" s="0" t="n">
        <f aca="false">IFERROR(IF(AND(X514=0,Y514=0),0,1),0)</f>
        <v>1</v>
      </c>
      <c r="W514" s="3" t="str">
        <f aca="false">IFERROR(_xlfn.T.TEST(E514:M514,N514:U514,2,2),"")</f>
        <v/>
      </c>
      <c r="X514" s="0" t="str">
        <f aca="false">IFERROR(AVERAGE(E514:M514),"")</f>
        <v/>
      </c>
      <c r="Y514" s="0" t="str">
        <f aca="false">IFERROR(AVERAGE(N514:U514),"")</f>
        <v/>
      </c>
    </row>
    <row r="515" customFormat="false" ht="14.5" hidden="false" customHeight="false" outlineLevel="0" collapsed="false">
      <c r="A515" s="0" t="n">
        <v>523</v>
      </c>
      <c r="B515" s="0" t="s">
        <v>586</v>
      </c>
      <c r="C515" s="0" t="n">
        <v>72900</v>
      </c>
      <c r="D515" s="0" t="n">
        <v>141</v>
      </c>
      <c r="E515" s="0" t="str">
        <f aca="false">IFERROR(IF(OR(HLOOKUP($A515,#REF!,3,FALSE())&gt;2,HLOOKUP(A515,#REF!,3,FALSE())&lt;-2),"",#REF!),"")</f>
        <v/>
      </c>
      <c r="F515" s="0" t="str">
        <f aca="false">IFERROR(IF(OR(HLOOKUP($A515,#REF!,4,FALSE())&gt;2,HLOOKUP($A515,#REF!,4,FALSE())&lt;-2),"",#REF!),"")</f>
        <v/>
      </c>
      <c r="G515" s="0" t="str">
        <f aca="false">IFERROR(IF(OR(HLOOKUP($A515,#REF!,5,FALSE())&gt;2,HLOOKUP($A515,#REF!,5,FALSE())&lt;-2),"",#REF!),"")</f>
        <v/>
      </c>
      <c r="H515" s="0" t="str">
        <f aca="false">IFERROR(IF(OR(HLOOKUP($A515,#REF!,6,FALSE())&gt;2,HLOOKUP($A515,#REF!,6,FALSE())&lt;-2),"",#REF!),"")</f>
        <v/>
      </c>
      <c r="I515" s="0" t="str">
        <f aca="false">IFERROR(IF(OR(HLOOKUP($A515,#REF!,7,FALSE())&gt;2,HLOOKUP($A515,#REF!,7,FALSE())&lt;-2),"",#REF!),"")</f>
        <v/>
      </c>
      <c r="J515" s="0" t="str">
        <f aca="false">IFERROR(IF(OR(HLOOKUP($A515,#REF!,8,FALSE())&gt;2,HLOOKUP($A515,#REF!,8,FALSE())&lt;-2),"",#REF!),"")</f>
        <v/>
      </c>
      <c r="K515" s="0" t="str">
        <f aca="false">IFERROR(IF(OR(HLOOKUP($A515,#REF!,9,FALSE())&gt;2,HLOOKUP($A515,#REF!,9,FALSE())&lt;-2),"",#REF!),"")</f>
        <v/>
      </c>
      <c r="L515" s="0" t="str">
        <f aca="false">IFERROR(IF(OR(HLOOKUP($A515,#REF!,10,FALSE())&gt;2,HLOOKUP($A515,#REF!,10,FALSE())&lt;-2),"",#REF!),"")</f>
        <v/>
      </c>
      <c r="M515" s="0" t="str">
        <f aca="false">IFERROR(IF(OR(HLOOKUP($A515,#REF!,11,FALSE())&gt;2,HLOOKUP($A515,#REF!,11,FALSE())&lt;-2),"",#REF!),"")</f>
        <v/>
      </c>
      <c r="N515" s="0" t="str">
        <f aca="false">IFERROR(IF(OR(HLOOKUP($A515,#REF!,12,FALSE())&gt;2,HLOOKUP($A515,#REF!,12,FALSE())&lt;-2),"",#REF!),"")</f>
        <v/>
      </c>
      <c r="O515" s="0" t="str">
        <f aca="false">IFERROR(IF(OR(HLOOKUP($A515,#REF!,13,FALSE())&gt;2,HLOOKUP($A515,#REF!,13,FALSE())&lt;-2),"",#REF!),"")</f>
        <v/>
      </c>
      <c r="P515" s="0" t="str">
        <f aca="false">IFERROR(IF(OR(HLOOKUP($A515,#REF!,14,FALSE())&gt;2,HLOOKUP($A515,#REF!,14,FALSE())&lt;-2),"",#REF!),"")</f>
        <v/>
      </c>
      <c r="Q515" s="0" t="str">
        <f aca="false">IFERROR(IF(OR(HLOOKUP($A515,#REF!,15,FALSE())&gt;2,HLOOKUP($A515,#REF!,15,FALSE())&lt;-2),"",#REF!),"")</f>
        <v/>
      </c>
      <c r="R515" s="0" t="str">
        <f aca="false">IFERROR(IF(OR(HLOOKUP($A515,#REF!,16,FALSE())&gt;2,HLOOKUP($A515,#REF!,16,FALSE())&lt;-2),"",#REF!),"")</f>
        <v/>
      </c>
      <c r="S515" s="0" t="str">
        <f aca="false">IFERROR(IF(OR(HLOOKUP($A515,#REF!,17,FALSE())&gt;2,HLOOKUP($A515,#REF!,17,FALSE())&lt;-2),"",#REF!),"")</f>
        <v/>
      </c>
      <c r="T515" s="0" t="str">
        <f aca="false">IFERROR(IF(OR(HLOOKUP($A515,#REF!,18,FALSE())&gt;2,HLOOKUP($A515,#REF!,18,FALSE())&lt;-2),"",#REF!),"")</f>
        <v/>
      </c>
      <c r="U515" s="0" t="str">
        <f aca="false">IFERROR(IF(OR(HLOOKUP($A515,#REF!,19,FALSE())&gt;2,HLOOKUP($A515,#REF!,19,FALSE())&lt;-2),"",#REF!),"")</f>
        <v/>
      </c>
      <c r="V515" s="0" t="n">
        <f aca="false">IFERROR(IF(AND(X515=0,Y515=0),0,1),0)</f>
        <v>1</v>
      </c>
      <c r="W515" s="3" t="str">
        <f aca="false">IFERROR(_xlfn.T.TEST(E515:M515,N515:U515,2,2),"")</f>
        <v/>
      </c>
      <c r="X515" s="0" t="str">
        <f aca="false">IFERROR(AVERAGE(E515:M515),"")</f>
        <v/>
      </c>
      <c r="Y515" s="0" t="str">
        <f aca="false">IFERROR(AVERAGE(N515:U515),"")</f>
        <v/>
      </c>
    </row>
    <row r="516" customFormat="false" ht="14.5" hidden="false" customHeight="false" outlineLevel="0" collapsed="false">
      <c r="A516" s="0" t="n">
        <v>524</v>
      </c>
      <c r="B516" s="0" t="s">
        <v>587</v>
      </c>
      <c r="C516" s="0" t="n">
        <v>22200</v>
      </c>
      <c r="D516" s="0" t="n">
        <v>731</v>
      </c>
      <c r="E516" s="0" t="str">
        <f aca="false">IFERROR(IF(OR(HLOOKUP($A516,#REF!,3,FALSE())&gt;2,HLOOKUP(A516,#REF!,3,FALSE())&lt;-2),"",#REF!),"")</f>
        <v/>
      </c>
      <c r="F516" s="0" t="str">
        <f aca="false">IFERROR(IF(OR(HLOOKUP($A516,#REF!,4,FALSE())&gt;2,HLOOKUP($A516,#REF!,4,FALSE())&lt;-2),"",#REF!),"")</f>
        <v/>
      </c>
      <c r="G516" s="0" t="str">
        <f aca="false">IFERROR(IF(OR(HLOOKUP($A516,#REF!,5,FALSE())&gt;2,HLOOKUP($A516,#REF!,5,FALSE())&lt;-2),"",#REF!),"")</f>
        <v/>
      </c>
      <c r="H516" s="0" t="str">
        <f aca="false">IFERROR(IF(OR(HLOOKUP($A516,#REF!,6,FALSE())&gt;2,HLOOKUP($A516,#REF!,6,FALSE())&lt;-2),"",#REF!),"")</f>
        <v/>
      </c>
      <c r="I516" s="0" t="str">
        <f aca="false">IFERROR(IF(OR(HLOOKUP($A516,#REF!,7,FALSE())&gt;2,HLOOKUP($A516,#REF!,7,FALSE())&lt;-2),"",#REF!),"")</f>
        <v/>
      </c>
      <c r="J516" s="0" t="str">
        <f aca="false">IFERROR(IF(OR(HLOOKUP($A516,#REF!,8,FALSE())&gt;2,HLOOKUP($A516,#REF!,8,FALSE())&lt;-2),"",#REF!),"")</f>
        <v/>
      </c>
      <c r="K516" s="0" t="str">
        <f aca="false">IFERROR(IF(OR(HLOOKUP($A516,#REF!,9,FALSE())&gt;2,HLOOKUP($A516,#REF!,9,FALSE())&lt;-2),"",#REF!),"")</f>
        <v/>
      </c>
      <c r="L516" s="0" t="str">
        <f aca="false">IFERROR(IF(OR(HLOOKUP($A516,#REF!,10,FALSE())&gt;2,HLOOKUP($A516,#REF!,10,FALSE())&lt;-2),"",#REF!),"")</f>
        <v/>
      </c>
      <c r="M516" s="0" t="str">
        <f aca="false">IFERROR(IF(OR(HLOOKUP($A516,#REF!,11,FALSE())&gt;2,HLOOKUP($A516,#REF!,11,FALSE())&lt;-2),"",#REF!),"")</f>
        <v/>
      </c>
      <c r="N516" s="0" t="str">
        <f aca="false">IFERROR(IF(OR(HLOOKUP($A516,#REF!,12,FALSE())&gt;2,HLOOKUP($A516,#REF!,12,FALSE())&lt;-2),"",#REF!),"")</f>
        <v/>
      </c>
      <c r="O516" s="0" t="str">
        <f aca="false">IFERROR(IF(OR(HLOOKUP($A516,#REF!,13,FALSE())&gt;2,HLOOKUP($A516,#REF!,13,FALSE())&lt;-2),"",#REF!),"")</f>
        <v/>
      </c>
      <c r="P516" s="0" t="str">
        <f aca="false">IFERROR(IF(OR(HLOOKUP($A516,#REF!,14,FALSE())&gt;2,HLOOKUP($A516,#REF!,14,FALSE())&lt;-2),"",#REF!),"")</f>
        <v/>
      </c>
      <c r="Q516" s="0" t="str">
        <f aca="false">IFERROR(IF(OR(HLOOKUP($A516,#REF!,15,FALSE())&gt;2,HLOOKUP($A516,#REF!,15,FALSE())&lt;-2),"",#REF!),"")</f>
        <v/>
      </c>
      <c r="R516" s="0" t="str">
        <f aca="false">IFERROR(IF(OR(HLOOKUP($A516,#REF!,16,FALSE())&gt;2,HLOOKUP($A516,#REF!,16,FALSE())&lt;-2),"",#REF!),"")</f>
        <v/>
      </c>
      <c r="S516" s="0" t="str">
        <f aca="false">IFERROR(IF(OR(HLOOKUP($A516,#REF!,17,FALSE())&gt;2,HLOOKUP($A516,#REF!,17,FALSE())&lt;-2),"",#REF!),"")</f>
        <v/>
      </c>
      <c r="T516" s="0" t="str">
        <f aca="false">IFERROR(IF(OR(HLOOKUP($A516,#REF!,18,FALSE())&gt;2,HLOOKUP($A516,#REF!,18,FALSE())&lt;-2),"",#REF!),"")</f>
        <v/>
      </c>
      <c r="U516" s="0" t="str">
        <f aca="false">IFERROR(IF(OR(HLOOKUP($A516,#REF!,19,FALSE())&gt;2,HLOOKUP($A516,#REF!,19,FALSE())&lt;-2),"",#REF!),"")</f>
        <v/>
      </c>
      <c r="V516" s="0" t="n">
        <f aca="false">IFERROR(IF(AND(X516=0,Y516=0),0,1),0)</f>
        <v>1</v>
      </c>
      <c r="W516" s="3" t="str">
        <f aca="false">IFERROR(_xlfn.T.TEST(E516:M516,N516:U516,2,2),"")</f>
        <v/>
      </c>
      <c r="X516" s="0" t="str">
        <f aca="false">IFERROR(AVERAGE(E516:M516),"")</f>
        <v/>
      </c>
      <c r="Y516" s="0" t="str">
        <f aca="false">IFERROR(AVERAGE(N516:U516),"")</f>
        <v/>
      </c>
    </row>
    <row r="517" customFormat="false" ht="14.5" hidden="false" customHeight="false" outlineLevel="0" collapsed="false">
      <c r="A517" s="0" t="n">
        <v>525</v>
      </c>
      <c r="B517" s="0" t="s">
        <v>588</v>
      </c>
      <c r="C517" s="0" t="n">
        <v>75000</v>
      </c>
      <c r="D517" s="0" t="n">
        <v>331</v>
      </c>
      <c r="E517" s="0" t="str">
        <f aca="false">IFERROR(IF(OR(HLOOKUP($A517,#REF!,3,FALSE())&gt;2,HLOOKUP(A517,#REF!,3,FALSE())&lt;-2),"",#REF!),"")</f>
        <v/>
      </c>
      <c r="F517" s="0" t="str">
        <f aca="false">IFERROR(IF(OR(HLOOKUP($A517,#REF!,4,FALSE())&gt;2,HLOOKUP($A517,#REF!,4,FALSE())&lt;-2),"",#REF!),"")</f>
        <v/>
      </c>
      <c r="G517" s="0" t="str">
        <f aca="false">IFERROR(IF(OR(HLOOKUP($A517,#REF!,5,FALSE())&gt;2,HLOOKUP($A517,#REF!,5,FALSE())&lt;-2),"",#REF!),"")</f>
        <v/>
      </c>
      <c r="H517" s="0" t="str">
        <f aca="false">IFERROR(IF(OR(HLOOKUP($A517,#REF!,6,FALSE())&gt;2,HLOOKUP($A517,#REF!,6,FALSE())&lt;-2),"",#REF!),"")</f>
        <v/>
      </c>
      <c r="I517" s="0" t="str">
        <f aca="false">IFERROR(IF(OR(HLOOKUP($A517,#REF!,7,FALSE())&gt;2,HLOOKUP($A517,#REF!,7,FALSE())&lt;-2),"",#REF!),"")</f>
        <v/>
      </c>
      <c r="J517" s="0" t="str">
        <f aca="false">IFERROR(IF(OR(HLOOKUP($A517,#REF!,8,FALSE())&gt;2,HLOOKUP($A517,#REF!,8,FALSE())&lt;-2),"",#REF!),"")</f>
        <v/>
      </c>
      <c r="K517" s="0" t="str">
        <f aca="false">IFERROR(IF(OR(HLOOKUP($A517,#REF!,9,FALSE())&gt;2,HLOOKUP($A517,#REF!,9,FALSE())&lt;-2),"",#REF!),"")</f>
        <v/>
      </c>
      <c r="L517" s="0" t="str">
        <f aca="false">IFERROR(IF(OR(HLOOKUP($A517,#REF!,10,FALSE())&gt;2,HLOOKUP($A517,#REF!,10,FALSE())&lt;-2),"",#REF!),"")</f>
        <v/>
      </c>
      <c r="M517" s="0" t="str">
        <f aca="false">IFERROR(IF(OR(HLOOKUP($A517,#REF!,11,FALSE())&gt;2,HLOOKUP($A517,#REF!,11,FALSE())&lt;-2),"",#REF!),"")</f>
        <v/>
      </c>
      <c r="N517" s="0" t="str">
        <f aca="false">IFERROR(IF(OR(HLOOKUP($A517,#REF!,12,FALSE())&gt;2,HLOOKUP($A517,#REF!,12,FALSE())&lt;-2),"",#REF!),"")</f>
        <v/>
      </c>
      <c r="O517" s="0" t="str">
        <f aca="false">IFERROR(IF(OR(HLOOKUP($A517,#REF!,13,FALSE())&gt;2,HLOOKUP($A517,#REF!,13,FALSE())&lt;-2),"",#REF!),"")</f>
        <v/>
      </c>
      <c r="P517" s="0" t="str">
        <f aca="false">IFERROR(IF(OR(HLOOKUP($A517,#REF!,14,FALSE())&gt;2,HLOOKUP($A517,#REF!,14,FALSE())&lt;-2),"",#REF!),"")</f>
        <v/>
      </c>
      <c r="Q517" s="0" t="str">
        <f aca="false">IFERROR(IF(OR(HLOOKUP($A517,#REF!,15,FALSE())&gt;2,HLOOKUP($A517,#REF!,15,FALSE())&lt;-2),"",#REF!),"")</f>
        <v/>
      </c>
      <c r="R517" s="0" t="str">
        <f aca="false">IFERROR(IF(OR(HLOOKUP($A517,#REF!,16,FALSE())&gt;2,HLOOKUP($A517,#REF!,16,FALSE())&lt;-2),"",#REF!),"")</f>
        <v/>
      </c>
      <c r="S517" s="0" t="str">
        <f aca="false">IFERROR(IF(OR(HLOOKUP($A517,#REF!,17,FALSE())&gt;2,HLOOKUP($A517,#REF!,17,FALSE())&lt;-2),"",#REF!),"")</f>
        <v/>
      </c>
      <c r="T517" s="0" t="str">
        <f aca="false">IFERROR(IF(OR(HLOOKUP($A517,#REF!,18,FALSE())&gt;2,HLOOKUP($A517,#REF!,18,FALSE())&lt;-2),"",#REF!),"")</f>
        <v/>
      </c>
      <c r="U517" s="0" t="str">
        <f aca="false">IFERROR(IF(OR(HLOOKUP($A517,#REF!,19,FALSE())&gt;2,HLOOKUP($A517,#REF!,19,FALSE())&lt;-2),"",#REF!),"")</f>
        <v/>
      </c>
      <c r="V517" s="0" t="n">
        <f aca="false">IFERROR(IF(AND(X517=0,Y517=0),0,1),0)</f>
        <v>1</v>
      </c>
      <c r="W517" s="3" t="str">
        <f aca="false">IFERROR(_xlfn.T.TEST(E517:M517,N517:U517,2,2),"")</f>
        <v/>
      </c>
      <c r="X517" s="0" t="str">
        <f aca="false">IFERROR(AVERAGE(E517:M517),"")</f>
        <v/>
      </c>
      <c r="Y517" s="0" t="str">
        <f aca="false">IFERROR(AVERAGE(N517:U517),"")</f>
        <v/>
      </c>
    </row>
    <row r="518" customFormat="false" ht="14.5" hidden="false" customHeight="false" outlineLevel="0" collapsed="false">
      <c r="A518" s="0" t="n">
        <v>526</v>
      </c>
      <c r="B518" s="0" t="s">
        <v>589</v>
      </c>
      <c r="C518" s="0" t="n">
        <v>42800</v>
      </c>
      <c r="D518" s="0" t="n">
        <v>926</v>
      </c>
      <c r="E518" s="0" t="str">
        <f aca="false">IFERROR(IF(OR(HLOOKUP($A518,#REF!,3,FALSE())&gt;2,HLOOKUP(A518,#REF!,3,FALSE())&lt;-2),"",#REF!),"")</f>
        <v/>
      </c>
      <c r="F518" s="0" t="str">
        <f aca="false">IFERROR(IF(OR(HLOOKUP($A518,#REF!,4,FALSE())&gt;2,HLOOKUP($A518,#REF!,4,FALSE())&lt;-2),"",#REF!),"")</f>
        <v/>
      </c>
      <c r="G518" s="0" t="str">
        <f aca="false">IFERROR(IF(OR(HLOOKUP($A518,#REF!,5,FALSE())&gt;2,HLOOKUP($A518,#REF!,5,FALSE())&lt;-2),"",#REF!),"")</f>
        <v/>
      </c>
      <c r="H518" s="0" t="str">
        <f aca="false">IFERROR(IF(OR(HLOOKUP($A518,#REF!,6,FALSE())&gt;2,HLOOKUP($A518,#REF!,6,FALSE())&lt;-2),"",#REF!),"")</f>
        <v/>
      </c>
      <c r="I518" s="0" t="str">
        <f aca="false">IFERROR(IF(OR(HLOOKUP($A518,#REF!,7,FALSE())&gt;2,HLOOKUP($A518,#REF!,7,FALSE())&lt;-2),"",#REF!),"")</f>
        <v/>
      </c>
      <c r="J518" s="0" t="str">
        <f aca="false">IFERROR(IF(OR(HLOOKUP($A518,#REF!,8,FALSE())&gt;2,HLOOKUP($A518,#REF!,8,FALSE())&lt;-2),"",#REF!),"")</f>
        <v/>
      </c>
      <c r="K518" s="0" t="str">
        <f aca="false">IFERROR(IF(OR(HLOOKUP($A518,#REF!,9,FALSE())&gt;2,HLOOKUP($A518,#REF!,9,FALSE())&lt;-2),"",#REF!),"")</f>
        <v/>
      </c>
      <c r="L518" s="0" t="str">
        <f aca="false">IFERROR(IF(OR(HLOOKUP($A518,#REF!,10,FALSE())&gt;2,HLOOKUP($A518,#REF!,10,FALSE())&lt;-2),"",#REF!),"")</f>
        <v/>
      </c>
      <c r="M518" s="0" t="str">
        <f aca="false">IFERROR(IF(OR(HLOOKUP($A518,#REF!,11,FALSE())&gt;2,HLOOKUP($A518,#REF!,11,FALSE())&lt;-2),"",#REF!),"")</f>
        <v/>
      </c>
      <c r="N518" s="0" t="str">
        <f aca="false">IFERROR(IF(OR(HLOOKUP($A518,#REF!,12,FALSE())&gt;2,HLOOKUP($A518,#REF!,12,FALSE())&lt;-2),"",#REF!),"")</f>
        <v/>
      </c>
      <c r="O518" s="0" t="str">
        <f aca="false">IFERROR(IF(OR(HLOOKUP($A518,#REF!,13,FALSE())&gt;2,HLOOKUP($A518,#REF!,13,FALSE())&lt;-2),"",#REF!),"")</f>
        <v/>
      </c>
      <c r="P518" s="0" t="str">
        <f aca="false">IFERROR(IF(OR(HLOOKUP($A518,#REF!,14,FALSE())&gt;2,HLOOKUP($A518,#REF!,14,FALSE())&lt;-2),"",#REF!),"")</f>
        <v/>
      </c>
      <c r="Q518" s="0" t="str">
        <f aca="false">IFERROR(IF(OR(HLOOKUP($A518,#REF!,15,FALSE())&gt;2,HLOOKUP($A518,#REF!,15,FALSE())&lt;-2),"",#REF!),"")</f>
        <v/>
      </c>
      <c r="R518" s="0" t="str">
        <f aca="false">IFERROR(IF(OR(HLOOKUP($A518,#REF!,16,FALSE())&gt;2,HLOOKUP($A518,#REF!,16,FALSE())&lt;-2),"",#REF!),"")</f>
        <v/>
      </c>
      <c r="S518" s="0" t="str">
        <f aca="false">IFERROR(IF(OR(HLOOKUP($A518,#REF!,17,FALSE())&gt;2,HLOOKUP($A518,#REF!,17,FALSE())&lt;-2),"",#REF!),"")</f>
        <v/>
      </c>
      <c r="T518" s="0" t="str">
        <f aca="false">IFERROR(IF(OR(HLOOKUP($A518,#REF!,18,FALSE())&gt;2,HLOOKUP($A518,#REF!,18,FALSE())&lt;-2),"",#REF!),"")</f>
        <v/>
      </c>
      <c r="U518" s="0" t="str">
        <f aca="false">IFERROR(IF(OR(HLOOKUP($A518,#REF!,19,FALSE())&gt;2,HLOOKUP($A518,#REF!,19,FALSE())&lt;-2),"",#REF!),"")</f>
        <v/>
      </c>
      <c r="V518" s="0" t="n">
        <f aca="false">IFERROR(IF(AND(X518=0,Y518=0),0,1),0)</f>
        <v>1</v>
      </c>
      <c r="W518" s="3" t="str">
        <f aca="false">IFERROR(_xlfn.T.TEST(E518:M518,N518:U518,2,2),"")</f>
        <v/>
      </c>
      <c r="X518" s="0" t="str">
        <f aca="false">IFERROR(AVERAGE(E518:M518),"")</f>
        <v/>
      </c>
      <c r="Y518" s="0" t="str">
        <f aca="false">IFERROR(AVERAGE(N518:U518),"")</f>
        <v/>
      </c>
    </row>
    <row r="519" customFormat="false" ht="14.5" hidden="false" customHeight="false" outlineLevel="0" collapsed="false">
      <c r="A519" s="0" t="n">
        <v>527</v>
      </c>
      <c r="B519" s="0" t="s">
        <v>590</v>
      </c>
      <c r="C519" s="0" t="n">
        <v>10700</v>
      </c>
      <c r="D519" s="0" t="n">
        <v>1011</v>
      </c>
      <c r="E519" s="0" t="str">
        <f aca="false">IFERROR(IF(OR(HLOOKUP($A519,#REF!,3,FALSE())&gt;2,HLOOKUP(A519,#REF!,3,FALSE())&lt;-2),"",#REF!),"")</f>
        <v/>
      </c>
      <c r="F519" s="0" t="str">
        <f aca="false">IFERROR(IF(OR(HLOOKUP($A519,#REF!,4,FALSE())&gt;2,HLOOKUP($A519,#REF!,4,FALSE())&lt;-2),"",#REF!),"")</f>
        <v/>
      </c>
      <c r="G519" s="0" t="str">
        <f aca="false">IFERROR(IF(OR(HLOOKUP($A519,#REF!,5,FALSE())&gt;2,HLOOKUP($A519,#REF!,5,FALSE())&lt;-2),"",#REF!),"")</f>
        <v/>
      </c>
      <c r="H519" s="0" t="str">
        <f aca="false">IFERROR(IF(OR(HLOOKUP($A519,#REF!,6,FALSE())&gt;2,HLOOKUP($A519,#REF!,6,FALSE())&lt;-2),"",#REF!),"")</f>
        <v/>
      </c>
      <c r="I519" s="0" t="str">
        <f aca="false">IFERROR(IF(OR(HLOOKUP($A519,#REF!,7,FALSE())&gt;2,HLOOKUP($A519,#REF!,7,FALSE())&lt;-2),"",#REF!),"")</f>
        <v/>
      </c>
      <c r="J519" s="0" t="str">
        <f aca="false">IFERROR(IF(OR(HLOOKUP($A519,#REF!,8,FALSE())&gt;2,HLOOKUP($A519,#REF!,8,FALSE())&lt;-2),"",#REF!),"")</f>
        <v/>
      </c>
      <c r="K519" s="0" t="str">
        <f aca="false">IFERROR(IF(OR(HLOOKUP($A519,#REF!,9,FALSE())&gt;2,HLOOKUP($A519,#REF!,9,FALSE())&lt;-2),"",#REF!),"")</f>
        <v/>
      </c>
      <c r="L519" s="0" t="str">
        <f aca="false">IFERROR(IF(OR(HLOOKUP($A519,#REF!,10,FALSE())&gt;2,HLOOKUP($A519,#REF!,10,FALSE())&lt;-2),"",#REF!),"")</f>
        <v/>
      </c>
      <c r="M519" s="0" t="str">
        <f aca="false">IFERROR(IF(OR(HLOOKUP($A519,#REF!,11,FALSE())&gt;2,HLOOKUP($A519,#REF!,11,FALSE())&lt;-2),"",#REF!),"")</f>
        <v/>
      </c>
      <c r="N519" s="0" t="str">
        <f aca="false">IFERROR(IF(OR(HLOOKUP($A519,#REF!,12,FALSE())&gt;2,HLOOKUP($A519,#REF!,12,FALSE())&lt;-2),"",#REF!),"")</f>
        <v/>
      </c>
      <c r="O519" s="0" t="str">
        <f aca="false">IFERROR(IF(OR(HLOOKUP($A519,#REF!,13,FALSE())&gt;2,HLOOKUP($A519,#REF!,13,FALSE())&lt;-2),"",#REF!),"")</f>
        <v/>
      </c>
      <c r="P519" s="0" t="str">
        <f aca="false">IFERROR(IF(OR(HLOOKUP($A519,#REF!,14,FALSE())&gt;2,HLOOKUP($A519,#REF!,14,FALSE())&lt;-2),"",#REF!),"")</f>
        <v/>
      </c>
      <c r="Q519" s="0" t="str">
        <f aca="false">IFERROR(IF(OR(HLOOKUP($A519,#REF!,15,FALSE())&gt;2,HLOOKUP($A519,#REF!,15,FALSE())&lt;-2),"",#REF!),"")</f>
        <v/>
      </c>
      <c r="R519" s="0" t="str">
        <f aca="false">IFERROR(IF(OR(HLOOKUP($A519,#REF!,16,FALSE())&gt;2,HLOOKUP($A519,#REF!,16,FALSE())&lt;-2),"",#REF!),"")</f>
        <v/>
      </c>
      <c r="S519" s="0" t="str">
        <f aca="false">IFERROR(IF(OR(HLOOKUP($A519,#REF!,17,FALSE())&gt;2,HLOOKUP($A519,#REF!,17,FALSE())&lt;-2),"",#REF!),"")</f>
        <v/>
      </c>
      <c r="T519" s="0" t="str">
        <f aca="false">IFERROR(IF(OR(HLOOKUP($A519,#REF!,18,FALSE())&gt;2,HLOOKUP($A519,#REF!,18,FALSE())&lt;-2),"",#REF!),"")</f>
        <v/>
      </c>
      <c r="U519" s="0" t="str">
        <f aca="false">IFERROR(IF(OR(HLOOKUP($A519,#REF!,19,FALSE())&gt;2,HLOOKUP($A519,#REF!,19,FALSE())&lt;-2),"",#REF!),"")</f>
        <v/>
      </c>
      <c r="V519" s="0" t="n">
        <f aca="false">IFERROR(IF(AND(X519=0,Y519=0),0,1),0)</f>
        <v>1</v>
      </c>
      <c r="W519" s="3" t="str">
        <f aca="false">IFERROR(_xlfn.T.TEST(E519:M519,N519:U519,2,2),"")</f>
        <v/>
      </c>
      <c r="X519" s="0" t="str">
        <f aca="false">IFERROR(AVERAGE(E519:M519),"")</f>
        <v/>
      </c>
      <c r="Y519" s="0" t="str">
        <f aca="false">IFERROR(AVERAGE(N519:U519),"")</f>
        <v/>
      </c>
    </row>
    <row r="520" customFormat="false" ht="14.5" hidden="false" customHeight="false" outlineLevel="0" collapsed="false">
      <c r="A520" s="0" t="n">
        <v>528</v>
      </c>
      <c r="B520" s="0" t="s">
        <v>591</v>
      </c>
      <c r="C520" s="0" t="n">
        <v>54800</v>
      </c>
      <c r="D520" s="0" t="n">
        <v>512</v>
      </c>
      <c r="E520" s="0" t="str">
        <f aca="false">IFERROR(IF(OR(HLOOKUP($A520,#REF!,3,FALSE())&gt;2,HLOOKUP(A520,#REF!,3,FALSE())&lt;-2),"",#REF!),"")</f>
        <v/>
      </c>
      <c r="F520" s="0" t="str">
        <f aca="false">IFERROR(IF(OR(HLOOKUP($A520,#REF!,4,FALSE())&gt;2,HLOOKUP($A520,#REF!,4,FALSE())&lt;-2),"",#REF!),"")</f>
        <v/>
      </c>
      <c r="G520" s="0" t="str">
        <f aca="false">IFERROR(IF(OR(HLOOKUP($A520,#REF!,5,FALSE())&gt;2,HLOOKUP($A520,#REF!,5,FALSE())&lt;-2),"",#REF!),"")</f>
        <v/>
      </c>
      <c r="H520" s="0" t="str">
        <f aca="false">IFERROR(IF(OR(HLOOKUP($A520,#REF!,6,FALSE())&gt;2,HLOOKUP($A520,#REF!,6,FALSE())&lt;-2),"",#REF!),"")</f>
        <v/>
      </c>
      <c r="I520" s="0" t="str">
        <f aca="false">IFERROR(IF(OR(HLOOKUP($A520,#REF!,7,FALSE())&gt;2,HLOOKUP($A520,#REF!,7,FALSE())&lt;-2),"",#REF!),"")</f>
        <v/>
      </c>
      <c r="J520" s="0" t="str">
        <f aca="false">IFERROR(IF(OR(HLOOKUP($A520,#REF!,8,FALSE())&gt;2,HLOOKUP($A520,#REF!,8,FALSE())&lt;-2),"",#REF!),"")</f>
        <v/>
      </c>
      <c r="K520" s="0" t="str">
        <f aca="false">IFERROR(IF(OR(HLOOKUP($A520,#REF!,9,FALSE())&gt;2,HLOOKUP($A520,#REF!,9,FALSE())&lt;-2),"",#REF!),"")</f>
        <v/>
      </c>
      <c r="L520" s="0" t="str">
        <f aca="false">IFERROR(IF(OR(HLOOKUP($A520,#REF!,10,FALSE())&gt;2,HLOOKUP($A520,#REF!,10,FALSE())&lt;-2),"",#REF!),"")</f>
        <v/>
      </c>
      <c r="M520" s="0" t="str">
        <f aca="false">IFERROR(IF(OR(HLOOKUP($A520,#REF!,11,FALSE())&gt;2,HLOOKUP($A520,#REF!,11,FALSE())&lt;-2),"",#REF!),"")</f>
        <v/>
      </c>
      <c r="N520" s="0" t="str">
        <f aca="false">IFERROR(IF(OR(HLOOKUP($A520,#REF!,12,FALSE())&gt;2,HLOOKUP($A520,#REF!,12,FALSE())&lt;-2),"",#REF!),"")</f>
        <v/>
      </c>
      <c r="O520" s="0" t="str">
        <f aca="false">IFERROR(IF(OR(HLOOKUP($A520,#REF!,13,FALSE())&gt;2,HLOOKUP($A520,#REF!,13,FALSE())&lt;-2),"",#REF!),"")</f>
        <v/>
      </c>
      <c r="P520" s="0" t="str">
        <f aca="false">IFERROR(IF(OR(HLOOKUP($A520,#REF!,14,FALSE())&gt;2,HLOOKUP($A520,#REF!,14,FALSE())&lt;-2),"",#REF!),"")</f>
        <v/>
      </c>
      <c r="Q520" s="0" t="str">
        <f aca="false">IFERROR(IF(OR(HLOOKUP($A520,#REF!,15,FALSE())&gt;2,HLOOKUP($A520,#REF!,15,FALSE())&lt;-2),"",#REF!),"")</f>
        <v/>
      </c>
      <c r="R520" s="0" t="str">
        <f aca="false">IFERROR(IF(OR(HLOOKUP($A520,#REF!,16,FALSE())&gt;2,HLOOKUP($A520,#REF!,16,FALSE())&lt;-2),"",#REF!),"")</f>
        <v/>
      </c>
      <c r="S520" s="0" t="str">
        <f aca="false">IFERROR(IF(OR(HLOOKUP($A520,#REF!,17,FALSE())&gt;2,HLOOKUP($A520,#REF!,17,FALSE())&lt;-2),"",#REF!),"")</f>
        <v/>
      </c>
      <c r="T520" s="0" t="str">
        <f aca="false">IFERROR(IF(OR(HLOOKUP($A520,#REF!,18,FALSE())&gt;2,HLOOKUP($A520,#REF!,18,FALSE())&lt;-2),"",#REF!),"")</f>
        <v/>
      </c>
      <c r="U520" s="0" t="str">
        <f aca="false">IFERROR(IF(OR(HLOOKUP($A520,#REF!,19,FALSE())&gt;2,HLOOKUP($A520,#REF!,19,FALSE())&lt;-2),"",#REF!),"")</f>
        <v/>
      </c>
      <c r="V520" s="0" t="n">
        <f aca="false">IFERROR(IF(AND(X520=0,Y520=0),0,1),0)</f>
        <v>1</v>
      </c>
      <c r="W520" s="3" t="str">
        <f aca="false">IFERROR(_xlfn.T.TEST(E520:M520,N520:U520,2,2),"")</f>
        <v/>
      </c>
      <c r="X520" s="0" t="str">
        <f aca="false">IFERROR(AVERAGE(E520:M520),"")</f>
        <v/>
      </c>
      <c r="Y520" s="0" t="str">
        <f aca="false">IFERROR(AVERAGE(N520:U520),"")</f>
        <v/>
      </c>
    </row>
    <row r="521" customFormat="false" ht="14.5" hidden="false" customHeight="false" outlineLevel="0" collapsed="false">
      <c r="A521" s="0" t="n">
        <v>529</v>
      </c>
      <c r="B521" s="0" t="s">
        <v>592</v>
      </c>
      <c r="C521" s="0" t="n">
        <v>53900</v>
      </c>
      <c r="D521" s="0" t="n">
        <v>359</v>
      </c>
      <c r="E521" s="0" t="str">
        <f aca="false">IFERROR(IF(OR(HLOOKUP($A521,#REF!,3,FALSE())&gt;2,HLOOKUP(A521,#REF!,3,FALSE())&lt;-2),"",#REF!),"")</f>
        <v/>
      </c>
      <c r="F521" s="0" t="str">
        <f aca="false">IFERROR(IF(OR(HLOOKUP($A521,#REF!,4,FALSE())&gt;2,HLOOKUP($A521,#REF!,4,FALSE())&lt;-2),"",#REF!),"")</f>
        <v/>
      </c>
      <c r="G521" s="0" t="str">
        <f aca="false">IFERROR(IF(OR(HLOOKUP($A521,#REF!,5,FALSE())&gt;2,HLOOKUP($A521,#REF!,5,FALSE())&lt;-2),"",#REF!),"")</f>
        <v/>
      </c>
      <c r="H521" s="0" t="str">
        <f aca="false">IFERROR(IF(OR(HLOOKUP($A521,#REF!,6,FALSE())&gt;2,HLOOKUP($A521,#REF!,6,FALSE())&lt;-2),"",#REF!),"")</f>
        <v/>
      </c>
      <c r="I521" s="0" t="str">
        <f aca="false">IFERROR(IF(OR(HLOOKUP($A521,#REF!,7,FALSE())&gt;2,HLOOKUP($A521,#REF!,7,FALSE())&lt;-2),"",#REF!),"")</f>
        <v/>
      </c>
      <c r="J521" s="0" t="str">
        <f aca="false">IFERROR(IF(OR(HLOOKUP($A521,#REF!,8,FALSE())&gt;2,HLOOKUP($A521,#REF!,8,FALSE())&lt;-2),"",#REF!),"")</f>
        <v/>
      </c>
      <c r="K521" s="0" t="str">
        <f aca="false">IFERROR(IF(OR(HLOOKUP($A521,#REF!,9,FALSE())&gt;2,HLOOKUP($A521,#REF!,9,FALSE())&lt;-2),"",#REF!),"")</f>
        <v/>
      </c>
      <c r="L521" s="0" t="str">
        <f aca="false">IFERROR(IF(OR(HLOOKUP($A521,#REF!,10,FALSE())&gt;2,HLOOKUP($A521,#REF!,10,FALSE())&lt;-2),"",#REF!),"")</f>
        <v/>
      </c>
      <c r="M521" s="0" t="str">
        <f aca="false">IFERROR(IF(OR(HLOOKUP($A521,#REF!,11,FALSE())&gt;2,HLOOKUP($A521,#REF!,11,FALSE())&lt;-2),"",#REF!),"")</f>
        <v/>
      </c>
      <c r="N521" s="0" t="str">
        <f aca="false">IFERROR(IF(OR(HLOOKUP($A521,#REF!,12,FALSE())&gt;2,HLOOKUP($A521,#REF!,12,FALSE())&lt;-2),"",#REF!),"")</f>
        <v/>
      </c>
      <c r="O521" s="0" t="str">
        <f aca="false">IFERROR(IF(OR(HLOOKUP($A521,#REF!,13,FALSE())&gt;2,HLOOKUP($A521,#REF!,13,FALSE())&lt;-2),"",#REF!),"")</f>
        <v/>
      </c>
      <c r="P521" s="0" t="str">
        <f aca="false">IFERROR(IF(OR(HLOOKUP($A521,#REF!,14,FALSE())&gt;2,HLOOKUP($A521,#REF!,14,FALSE())&lt;-2),"",#REF!),"")</f>
        <v/>
      </c>
      <c r="Q521" s="0" t="str">
        <f aca="false">IFERROR(IF(OR(HLOOKUP($A521,#REF!,15,FALSE())&gt;2,HLOOKUP($A521,#REF!,15,FALSE())&lt;-2),"",#REF!),"")</f>
        <v/>
      </c>
      <c r="R521" s="0" t="str">
        <f aca="false">IFERROR(IF(OR(HLOOKUP($A521,#REF!,16,FALSE())&gt;2,HLOOKUP($A521,#REF!,16,FALSE())&lt;-2),"",#REF!),"")</f>
        <v/>
      </c>
      <c r="S521" s="0" t="str">
        <f aca="false">IFERROR(IF(OR(HLOOKUP($A521,#REF!,17,FALSE())&gt;2,HLOOKUP($A521,#REF!,17,FALSE())&lt;-2),"",#REF!),"")</f>
        <v/>
      </c>
      <c r="T521" s="0" t="str">
        <f aca="false">IFERROR(IF(OR(HLOOKUP($A521,#REF!,18,FALSE())&gt;2,HLOOKUP($A521,#REF!,18,FALSE())&lt;-2),"",#REF!),"")</f>
        <v/>
      </c>
      <c r="U521" s="0" t="str">
        <f aca="false">IFERROR(IF(OR(HLOOKUP($A521,#REF!,19,FALSE())&gt;2,HLOOKUP($A521,#REF!,19,FALSE())&lt;-2),"",#REF!),"")</f>
        <v/>
      </c>
      <c r="V521" s="0" t="n">
        <f aca="false">IFERROR(IF(AND(X521=0,Y521=0),0,1),0)</f>
        <v>1</v>
      </c>
      <c r="W521" s="3" t="str">
        <f aca="false">IFERROR(_xlfn.T.TEST(E521:M521,N521:U521,2,2),"")</f>
        <v/>
      </c>
      <c r="X521" s="0" t="str">
        <f aca="false">IFERROR(AVERAGE(E521:M521),"")</f>
        <v/>
      </c>
      <c r="Y521" s="0" t="str">
        <f aca="false">IFERROR(AVERAGE(N521:U521),"")</f>
        <v/>
      </c>
    </row>
    <row r="522" customFormat="false" ht="14.5" hidden="false" customHeight="false" outlineLevel="0" collapsed="false">
      <c r="A522" s="0" t="n">
        <v>530</v>
      </c>
      <c r="B522" s="0" t="s">
        <v>593</v>
      </c>
      <c r="C522" s="0" t="n">
        <v>111300</v>
      </c>
      <c r="D522" s="0" t="n">
        <v>1099</v>
      </c>
      <c r="E522" s="0" t="str">
        <f aca="false">IFERROR(IF(OR(HLOOKUP($A522,#REF!,3,FALSE())&gt;2,HLOOKUP(A522,#REF!,3,FALSE())&lt;-2),"",#REF!),"")</f>
        <v/>
      </c>
      <c r="F522" s="0" t="str">
        <f aca="false">IFERROR(IF(OR(HLOOKUP($A522,#REF!,4,FALSE())&gt;2,HLOOKUP($A522,#REF!,4,FALSE())&lt;-2),"",#REF!),"")</f>
        <v/>
      </c>
      <c r="G522" s="0" t="str">
        <f aca="false">IFERROR(IF(OR(HLOOKUP($A522,#REF!,5,FALSE())&gt;2,HLOOKUP($A522,#REF!,5,FALSE())&lt;-2),"",#REF!),"")</f>
        <v/>
      </c>
      <c r="H522" s="0" t="str">
        <f aca="false">IFERROR(IF(OR(HLOOKUP($A522,#REF!,6,FALSE())&gt;2,HLOOKUP($A522,#REF!,6,FALSE())&lt;-2),"",#REF!),"")</f>
        <v/>
      </c>
      <c r="I522" s="0" t="str">
        <f aca="false">IFERROR(IF(OR(HLOOKUP($A522,#REF!,7,FALSE())&gt;2,HLOOKUP($A522,#REF!,7,FALSE())&lt;-2),"",#REF!),"")</f>
        <v/>
      </c>
      <c r="J522" s="0" t="str">
        <f aca="false">IFERROR(IF(OR(HLOOKUP($A522,#REF!,8,FALSE())&gt;2,HLOOKUP($A522,#REF!,8,FALSE())&lt;-2),"",#REF!),"")</f>
        <v/>
      </c>
      <c r="K522" s="0" t="str">
        <f aca="false">IFERROR(IF(OR(HLOOKUP($A522,#REF!,9,FALSE())&gt;2,HLOOKUP($A522,#REF!,9,FALSE())&lt;-2),"",#REF!),"")</f>
        <v/>
      </c>
      <c r="L522" s="0" t="str">
        <f aca="false">IFERROR(IF(OR(HLOOKUP($A522,#REF!,10,FALSE())&gt;2,HLOOKUP($A522,#REF!,10,FALSE())&lt;-2),"",#REF!),"")</f>
        <v/>
      </c>
      <c r="M522" s="0" t="str">
        <f aca="false">IFERROR(IF(OR(HLOOKUP($A522,#REF!,11,FALSE())&gt;2,HLOOKUP($A522,#REF!,11,FALSE())&lt;-2),"",#REF!),"")</f>
        <v/>
      </c>
      <c r="N522" s="0" t="str">
        <f aca="false">IFERROR(IF(OR(HLOOKUP($A522,#REF!,12,FALSE())&gt;2,HLOOKUP($A522,#REF!,12,FALSE())&lt;-2),"",#REF!),"")</f>
        <v/>
      </c>
      <c r="O522" s="0" t="str">
        <f aca="false">IFERROR(IF(OR(HLOOKUP($A522,#REF!,13,FALSE())&gt;2,HLOOKUP($A522,#REF!,13,FALSE())&lt;-2),"",#REF!),"")</f>
        <v/>
      </c>
      <c r="P522" s="0" t="str">
        <f aca="false">IFERROR(IF(OR(HLOOKUP($A522,#REF!,14,FALSE())&gt;2,HLOOKUP($A522,#REF!,14,FALSE())&lt;-2),"",#REF!),"")</f>
        <v/>
      </c>
      <c r="Q522" s="0" t="str">
        <f aca="false">IFERROR(IF(OR(HLOOKUP($A522,#REF!,15,FALSE())&gt;2,HLOOKUP($A522,#REF!,15,FALSE())&lt;-2),"",#REF!),"")</f>
        <v/>
      </c>
      <c r="R522" s="0" t="str">
        <f aca="false">IFERROR(IF(OR(HLOOKUP($A522,#REF!,16,FALSE())&gt;2,HLOOKUP($A522,#REF!,16,FALSE())&lt;-2),"",#REF!),"")</f>
        <v/>
      </c>
      <c r="S522" s="0" t="str">
        <f aca="false">IFERROR(IF(OR(HLOOKUP($A522,#REF!,17,FALSE())&gt;2,HLOOKUP($A522,#REF!,17,FALSE())&lt;-2),"",#REF!),"")</f>
        <v/>
      </c>
      <c r="T522" s="0" t="str">
        <f aca="false">IFERROR(IF(OR(HLOOKUP($A522,#REF!,18,FALSE())&gt;2,HLOOKUP($A522,#REF!,18,FALSE())&lt;-2),"",#REF!),"")</f>
        <v/>
      </c>
      <c r="U522" s="0" t="str">
        <f aca="false">IFERROR(IF(OR(HLOOKUP($A522,#REF!,19,FALSE())&gt;2,HLOOKUP($A522,#REF!,19,FALSE())&lt;-2),"",#REF!),"")</f>
        <v/>
      </c>
      <c r="V522" s="0" t="n">
        <f aca="false">IFERROR(IF(AND(X522=0,Y522=0),0,1),0)</f>
        <v>1</v>
      </c>
      <c r="W522" s="3" t="str">
        <f aca="false">IFERROR(_xlfn.T.TEST(E522:M522,N522:U522,2,2),"")</f>
        <v/>
      </c>
      <c r="X522" s="0" t="str">
        <f aca="false">IFERROR(AVERAGE(E522:M522),"")</f>
        <v/>
      </c>
      <c r="Y522" s="0" t="str">
        <f aca="false">IFERROR(AVERAGE(N522:U522),"")</f>
        <v/>
      </c>
    </row>
    <row r="523" customFormat="false" ht="14.5" hidden="false" customHeight="false" outlineLevel="0" collapsed="false">
      <c r="A523" s="0" t="n">
        <v>531</v>
      </c>
      <c r="B523" s="0" t="s">
        <v>594</v>
      </c>
      <c r="C523" s="0" t="n">
        <v>82100</v>
      </c>
      <c r="D523" s="0" t="n">
        <v>1100</v>
      </c>
      <c r="E523" s="0" t="str">
        <f aca="false">IFERROR(IF(OR(HLOOKUP($A523,#REF!,3,FALSE())&gt;2,HLOOKUP(A523,#REF!,3,FALSE())&lt;-2),"",#REF!),"")</f>
        <v/>
      </c>
      <c r="F523" s="0" t="str">
        <f aca="false">IFERROR(IF(OR(HLOOKUP($A523,#REF!,4,FALSE())&gt;2,HLOOKUP($A523,#REF!,4,FALSE())&lt;-2),"",#REF!),"")</f>
        <v/>
      </c>
      <c r="G523" s="0" t="str">
        <f aca="false">IFERROR(IF(OR(HLOOKUP($A523,#REF!,5,FALSE())&gt;2,HLOOKUP($A523,#REF!,5,FALSE())&lt;-2),"",#REF!),"")</f>
        <v/>
      </c>
      <c r="H523" s="0" t="str">
        <f aca="false">IFERROR(IF(OR(HLOOKUP($A523,#REF!,6,FALSE())&gt;2,HLOOKUP($A523,#REF!,6,FALSE())&lt;-2),"",#REF!),"")</f>
        <v/>
      </c>
      <c r="I523" s="0" t="str">
        <f aca="false">IFERROR(IF(OR(HLOOKUP($A523,#REF!,7,FALSE())&gt;2,HLOOKUP($A523,#REF!,7,FALSE())&lt;-2),"",#REF!),"")</f>
        <v/>
      </c>
      <c r="J523" s="0" t="str">
        <f aca="false">IFERROR(IF(OR(HLOOKUP($A523,#REF!,8,FALSE())&gt;2,HLOOKUP($A523,#REF!,8,FALSE())&lt;-2),"",#REF!),"")</f>
        <v/>
      </c>
      <c r="K523" s="0" t="str">
        <f aca="false">IFERROR(IF(OR(HLOOKUP($A523,#REF!,9,FALSE())&gt;2,HLOOKUP($A523,#REF!,9,FALSE())&lt;-2),"",#REF!),"")</f>
        <v/>
      </c>
      <c r="L523" s="0" t="str">
        <f aca="false">IFERROR(IF(OR(HLOOKUP($A523,#REF!,10,FALSE())&gt;2,HLOOKUP($A523,#REF!,10,FALSE())&lt;-2),"",#REF!),"")</f>
        <v/>
      </c>
      <c r="M523" s="0" t="str">
        <f aca="false">IFERROR(IF(OR(HLOOKUP($A523,#REF!,11,FALSE())&gt;2,HLOOKUP($A523,#REF!,11,FALSE())&lt;-2),"",#REF!),"")</f>
        <v/>
      </c>
      <c r="N523" s="0" t="str">
        <f aca="false">IFERROR(IF(OR(HLOOKUP($A523,#REF!,12,FALSE())&gt;2,HLOOKUP($A523,#REF!,12,FALSE())&lt;-2),"",#REF!),"")</f>
        <v/>
      </c>
      <c r="O523" s="0" t="str">
        <f aca="false">IFERROR(IF(OR(HLOOKUP($A523,#REF!,13,FALSE())&gt;2,HLOOKUP($A523,#REF!,13,FALSE())&lt;-2),"",#REF!),"")</f>
        <v/>
      </c>
      <c r="P523" s="0" t="str">
        <f aca="false">IFERROR(IF(OR(HLOOKUP($A523,#REF!,14,FALSE())&gt;2,HLOOKUP($A523,#REF!,14,FALSE())&lt;-2),"",#REF!),"")</f>
        <v/>
      </c>
      <c r="Q523" s="0" t="str">
        <f aca="false">IFERROR(IF(OR(HLOOKUP($A523,#REF!,15,FALSE())&gt;2,HLOOKUP($A523,#REF!,15,FALSE())&lt;-2),"",#REF!),"")</f>
        <v/>
      </c>
      <c r="R523" s="0" t="str">
        <f aca="false">IFERROR(IF(OR(HLOOKUP($A523,#REF!,16,FALSE())&gt;2,HLOOKUP($A523,#REF!,16,FALSE())&lt;-2),"",#REF!),"")</f>
        <v/>
      </c>
      <c r="S523" s="0" t="str">
        <f aca="false">IFERROR(IF(OR(HLOOKUP($A523,#REF!,17,FALSE())&gt;2,HLOOKUP($A523,#REF!,17,FALSE())&lt;-2),"",#REF!),"")</f>
        <v/>
      </c>
      <c r="T523" s="0" t="str">
        <f aca="false">IFERROR(IF(OR(HLOOKUP($A523,#REF!,18,FALSE())&gt;2,HLOOKUP($A523,#REF!,18,FALSE())&lt;-2),"",#REF!),"")</f>
        <v/>
      </c>
      <c r="U523" s="0" t="str">
        <f aca="false">IFERROR(IF(OR(HLOOKUP($A523,#REF!,19,FALSE())&gt;2,HLOOKUP($A523,#REF!,19,FALSE())&lt;-2),"",#REF!),"")</f>
        <v/>
      </c>
      <c r="V523" s="0" t="n">
        <f aca="false">IFERROR(IF(AND(X523=0,Y523=0),0,1),0)</f>
        <v>1</v>
      </c>
      <c r="W523" s="3" t="str">
        <f aca="false">IFERROR(_xlfn.T.TEST(E523:M523,N523:U523,2,2),"")</f>
        <v/>
      </c>
      <c r="X523" s="0" t="str">
        <f aca="false">IFERROR(AVERAGE(E523:M523),"")</f>
        <v/>
      </c>
      <c r="Y523" s="0" t="str">
        <f aca="false">IFERROR(AVERAGE(N523:U523),"")</f>
        <v/>
      </c>
    </row>
    <row r="524" customFormat="false" ht="14.5" hidden="false" customHeight="false" outlineLevel="0" collapsed="false">
      <c r="A524" s="0" t="n">
        <v>532</v>
      </c>
      <c r="B524" s="0" t="s">
        <v>595</v>
      </c>
      <c r="C524" s="0" t="n">
        <v>27400</v>
      </c>
      <c r="D524" s="0" t="n">
        <v>22</v>
      </c>
      <c r="E524" s="0" t="str">
        <f aca="false">IFERROR(IF(OR(HLOOKUP($A524,#REF!,3,FALSE())&gt;2,HLOOKUP(A524,#REF!,3,FALSE())&lt;-2),"",#REF!),"")</f>
        <v/>
      </c>
      <c r="F524" s="0" t="str">
        <f aca="false">IFERROR(IF(OR(HLOOKUP($A524,#REF!,4,FALSE())&gt;2,HLOOKUP($A524,#REF!,4,FALSE())&lt;-2),"",#REF!),"")</f>
        <v/>
      </c>
      <c r="G524" s="0" t="str">
        <f aca="false">IFERROR(IF(OR(HLOOKUP($A524,#REF!,5,FALSE())&gt;2,HLOOKUP($A524,#REF!,5,FALSE())&lt;-2),"",#REF!),"")</f>
        <v/>
      </c>
      <c r="H524" s="0" t="str">
        <f aca="false">IFERROR(IF(OR(HLOOKUP($A524,#REF!,6,FALSE())&gt;2,HLOOKUP($A524,#REF!,6,FALSE())&lt;-2),"",#REF!),"")</f>
        <v/>
      </c>
      <c r="I524" s="0" t="str">
        <f aca="false">IFERROR(IF(OR(HLOOKUP($A524,#REF!,7,FALSE())&gt;2,HLOOKUP($A524,#REF!,7,FALSE())&lt;-2),"",#REF!),"")</f>
        <v/>
      </c>
      <c r="J524" s="0" t="str">
        <f aca="false">IFERROR(IF(OR(HLOOKUP($A524,#REF!,8,FALSE())&gt;2,HLOOKUP($A524,#REF!,8,FALSE())&lt;-2),"",#REF!),"")</f>
        <v/>
      </c>
      <c r="K524" s="0" t="str">
        <f aca="false">IFERROR(IF(OR(HLOOKUP($A524,#REF!,9,FALSE())&gt;2,HLOOKUP($A524,#REF!,9,FALSE())&lt;-2),"",#REF!),"")</f>
        <v/>
      </c>
      <c r="L524" s="0" t="str">
        <f aca="false">IFERROR(IF(OR(HLOOKUP($A524,#REF!,10,FALSE())&gt;2,HLOOKUP($A524,#REF!,10,FALSE())&lt;-2),"",#REF!),"")</f>
        <v/>
      </c>
      <c r="M524" s="0" t="str">
        <f aca="false">IFERROR(IF(OR(HLOOKUP($A524,#REF!,11,FALSE())&gt;2,HLOOKUP($A524,#REF!,11,FALSE())&lt;-2),"",#REF!),"")</f>
        <v/>
      </c>
      <c r="N524" s="0" t="str">
        <f aca="false">IFERROR(IF(OR(HLOOKUP($A524,#REF!,12,FALSE())&gt;2,HLOOKUP($A524,#REF!,12,FALSE())&lt;-2),"",#REF!),"")</f>
        <v/>
      </c>
      <c r="O524" s="0" t="str">
        <f aca="false">IFERROR(IF(OR(HLOOKUP($A524,#REF!,13,FALSE())&gt;2,HLOOKUP($A524,#REF!,13,FALSE())&lt;-2),"",#REF!),"")</f>
        <v/>
      </c>
      <c r="P524" s="0" t="str">
        <f aca="false">IFERROR(IF(OR(HLOOKUP($A524,#REF!,14,FALSE())&gt;2,HLOOKUP($A524,#REF!,14,FALSE())&lt;-2),"",#REF!),"")</f>
        <v/>
      </c>
      <c r="Q524" s="0" t="str">
        <f aca="false">IFERROR(IF(OR(HLOOKUP($A524,#REF!,15,FALSE())&gt;2,HLOOKUP($A524,#REF!,15,FALSE())&lt;-2),"",#REF!),"")</f>
        <v/>
      </c>
      <c r="R524" s="0" t="str">
        <f aca="false">IFERROR(IF(OR(HLOOKUP($A524,#REF!,16,FALSE())&gt;2,HLOOKUP($A524,#REF!,16,FALSE())&lt;-2),"",#REF!),"")</f>
        <v/>
      </c>
      <c r="S524" s="0" t="str">
        <f aca="false">IFERROR(IF(OR(HLOOKUP($A524,#REF!,17,FALSE())&gt;2,HLOOKUP($A524,#REF!,17,FALSE())&lt;-2),"",#REF!),"")</f>
        <v/>
      </c>
      <c r="T524" s="0" t="str">
        <f aca="false">IFERROR(IF(OR(HLOOKUP($A524,#REF!,18,FALSE())&gt;2,HLOOKUP($A524,#REF!,18,FALSE())&lt;-2),"",#REF!),"")</f>
        <v/>
      </c>
      <c r="U524" s="0" t="str">
        <f aca="false">IFERROR(IF(OR(HLOOKUP($A524,#REF!,19,FALSE())&gt;2,HLOOKUP($A524,#REF!,19,FALSE())&lt;-2),"",#REF!),"")</f>
        <v/>
      </c>
      <c r="V524" s="0" t="n">
        <f aca="false">IFERROR(IF(AND(X524=0,Y524=0),0,1),0)</f>
        <v>1</v>
      </c>
      <c r="W524" s="3" t="str">
        <f aca="false">IFERROR(_xlfn.T.TEST(E524:M524,N524:U524,2,2),"")</f>
        <v/>
      </c>
      <c r="X524" s="0" t="str">
        <f aca="false">IFERROR(AVERAGE(E524:M524),"")</f>
        <v/>
      </c>
      <c r="Y524" s="0" t="str">
        <f aca="false">IFERROR(AVERAGE(N524:U524),"")</f>
        <v/>
      </c>
    </row>
    <row r="525" customFormat="false" ht="14.5" hidden="false" customHeight="false" outlineLevel="0" collapsed="false">
      <c r="A525" s="0" t="n">
        <v>533</v>
      </c>
      <c r="B525" s="0" t="s">
        <v>596</v>
      </c>
      <c r="C525" s="0" t="n">
        <v>17600</v>
      </c>
      <c r="D525" s="0" t="n">
        <v>669</v>
      </c>
      <c r="E525" s="0" t="str">
        <f aca="false">IFERROR(IF(OR(HLOOKUP($A525,#REF!,3,FALSE())&gt;2,HLOOKUP(A525,#REF!,3,FALSE())&lt;-2),"",#REF!),"")</f>
        <v/>
      </c>
      <c r="F525" s="0" t="str">
        <f aca="false">IFERROR(IF(OR(HLOOKUP($A525,#REF!,4,FALSE())&gt;2,HLOOKUP($A525,#REF!,4,FALSE())&lt;-2),"",#REF!),"")</f>
        <v/>
      </c>
      <c r="G525" s="0" t="str">
        <f aca="false">IFERROR(IF(OR(HLOOKUP($A525,#REF!,5,FALSE())&gt;2,HLOOKUP($A525,#REF!,5,FALSE())&lt;-2),"",#REF!),"")</f>
        <v/>
      </c>
      <c r="H525" s="0" t="str">
        <f aca="false">IFERROR(IF(OR(HLOOKUP($A525,#REF!,6,FALSE())&gt;2,HLOOKUP($A525,#REF!,6,FALSE())&lt;-2),"",#REF!),"")</f>
        <v/>
      </c>
      <c r="I525" s="0" t="str">
        <f aca="false">IFERROR(IF(OR(HLOOKUP($A525,#REF!,7,FALSE())&gt;2,HLOOKUP($A525,#REF!,7,FALSE())&lt;-2),"",#REF!),"")</f>
        <v/>
      </c>
      <c r="J525" s="0" t="str">
        <f aca="false">IFERROR(IF(OR(HLOOKUP($A525,#REF!,8,FALSE())&gt;2,HLOOKUP($A525,#REF!,8,FALSE())&lt;-2),"",#REF!),"")</f>
        <v/>
      </c>
      <c r="K525" s="0" t="str">
        <f aca="false">IFERROR(IF(OR(HLOOKUP($A525,#REF!,9,FALSE())&gt;2,HLOOKUP($A525,#REF!,9,FALSE())&lt;-2),"",#REF!),"")</f>
        <v/>
      </c>
      <c r="L525" s="0" t="str">
        <f aca="false">IFERROR(IF(OR(HLOOKUP($A525,#REF!,10,FALSE())&gt;2,HLOOKUP($A525,#REF!,10,FALSE())&lt;-2),"",#REF!),"")</f>
        <v/>
      </c>
      <c r="M525" s="0" t="str">
        <f aca="false">IFERROR(IF(OR(HLOOKUP($A525,#REF!,11,FALSE())&gt;2,HLOOKUP($A525,#REF!,11,FALSE())&lt;-2),"",#REF!),"")</f>
        <v/>
      </c>
      <c r="N525" s="0" t="str">
        <f aca="false">IFERROR(IF(OR(HLOOKUP($A525,#REF!,12,FALSE())&gt;2,HLOOKUP($A525,#REF!,12,FALSE())&lt;-2),"",#REF!),"")</f>
        <v/>
      </c>
      <c r="O525" s="0" t="str">
        <f aca="false">IFERROR(IF(OR(HLOOKUP($A525,#REF!,13,FALSE())&gt;2,HLOOKUP($A525,#REF!,13,FALSE())&lt;-2),"",#REF!),"")</f>
        <v/>
      </c>
      <c r="P525" s="0" t="str">
        <f aca="false">IFERROR(IF(OR(HLOOKUP($A525,#REF!,14,FALSE())&gt;2,HLOOKUP($A525,#REF!,14,FALSE())&lt;-2),"",#REF!),"")</f>
        <v/>
      </c>
      <c r="Q525" s="0" t="str">
        <f aca="false">IFERROR(IF(OR(HLOOKUP($A525,#REF!,15,FALSE())&gt;2,HLOOKUP($A525,#REF!,15,FALSE())&lt;-2),"",#REF!),"")</f>
        <v/>
      </c>
      <c r="R525" s="0" t="str">
        <f aca="false">IFERROR(IF(OR(HLOOKUP($A525,#REF!,16,FALSE())&gt;2,HLOOKUP($A525,#REF!,16,FALSE())&lt;-2),"",#REF!),"")</f>
        <v/>
      </c>
      <c r="S525" s="0" t="str">
        <f aca="false">IFERROR(IF(OR(HLOOKUP($A525,#REF!,17,FALSE())&gt;2,HLOOKUP($A525,#REF!,17,FALSE())&lt;-2),"",#REF!),"")</f>
        <v/>
      </c>
      <c r="T525" s="0" t="str">
        <f aca="false">IFERROR(IF(OR(HLOOKUP($A525,#REF!,18,FALSE())&gt;2,HLOOKUP($A525,#REF!,18,FALSE())&lt;-2),"",#REF!),"")</f>
        <v/>
      </c>
      <c r="U525" s="0" t="str">
        <f aca="false">IFERROR(IF(OR(HLOOKUP($A525,#REF!,19,FALSE())&gt;2,HLOOKUP($A525,#REF!,19,FALSE())&lt;-2),"",#REF!),"")</f>
        <v/>
      </c>
      <c r="V525" s="0" t="n">
        <f aca="false">IFERROR(IF(AND(X525=0,Y525=0),0,1),0)</f>
        <v>1</v>
      </c>
      <c r="W525" s="3" t="str">
        <f aca="false">IFERROR(_xlfn.T.TEST(E525:M525,N525:U525,2,2),"")</f>
        <v/>
      </c>
      <c r="X525" s="0" t="str">
        <f aca="false">IFERROR(AVERAGE(E525:M525),"")</f>
        <v/>
      </c>
      <c r="Y525" s="0" t="str">
        <f aca="false">IFERROR(AVERAGE(N525:U525),"")</f>
        <v/>
      </c>
    </row>
    <row r="526" customFormat="false" ht="14.5" hidden="false" customHeight="false" outlineLevel="0" collapsed="false">
      <c r="A526" s="0" t="n">
        <v>534</v>
      </c>
      <c r="B526" s="0" t="s">
        <v>597</v>
      </c>
      <c r="C526" s="0" t="n">
        <v>88000</v>
      </c>
      <c r="D526" s="0" t="n">
        <v>987</v>
      </c>
      <c r="E526" s="0" t="str">
        <f aca="false">IFERROR(IF(OR(HLOOKUP($A526,#REF!,3,FALSE())&gt;2,HLOOKUP(A526,#REF!,3,FALSE())&lt;-2),"",#REF!),"")</f>
        <v/>
      </c>
      <c r="F526" s="0" t="str">
        <f aca="false">IFERROR(IF(OR(HLOOKUP($A526,#REF!,4,FALSE())&gt;2,HLOOKUP($A526,#REF!,4,FALSE())&lt;-2),"",#REF!),"")</f>
        <v/>
      </c>
      <c r="G526" s="0" t="str">
        <f aca="false">IFERROR(IF(OR(HLOOKUP($A526,#REF!,5,FALSE())&gt;2,HLOOKUP($A526,#REF!,5,FALSE())&lt;-2),"",#REF!),"")</f>
        <v/>
      </c>
      <c r="H526" s="0" t="str">
        <f aca="false">IFERROR(IF(OR(HLOOKUP($A526,#REF!,6,FALSE())&gt;2,HLOOKUP($A526,#REF!,6,FALSE())&lt;-2),"",#REF!),"")</f>
        <v/>
      </c>
      <c r="I526" s="0" t="str">
        <f aca="false">IFERROR(IF(OR(HLOOKUP($A526,#REF!,7,FALSE())&gt;2,HLOOKUP($A526,#REF!,7,FALSE())&lt;-2),"",#REF!),"")</f>
        <v/>
      </c>
      <c r="J526" s="0" t="str">
        <f aca="false">IFERROR(IF(OR(HLOOKUP($A526,#REF!,8,FALSE())&gt;2,HLOOKUP($A526,#REF!,8,FALSE())&lt;-2),"",#REF!),"")</f>
        <v/>
      </c>
      <c r="K526" s="0" t="str">
        <f aca="false">IFERROR(IF(OR(HLOOKUP($A526,#REF!,9,FALSE())&gt;2,HLOOKUP($A526,#REF!,9,FALSE())&lt;-2),"",#REF!),"")</f>
        <v/>
      </c>
      <c r="L526" s="0" t="str">
        <f aca="false">IFERROR(IF(OR(HLOOKUP($A526,#REF!,10,FALSE())&gt;2,HLOOKUP($A526,#REF!,10,FALSE())&lt;-2),"",#REF!),"")</f>
        <v/>
      </c>
      <c r="M526" s="0" t="str">
        <f aca="false">IFERROR(IF(OR(HLOOKUP($A526,#REF!,11,FALSE())&gt;2,HLOOKUP($A526,#REF!,11,FALSE())&lt;-2),"",#REF!),"")</f>
        <v/>
      </c>
      <c r="N526" s="0" t="str">
        <f aca="false">IFERROR(IF(OR(HLOOKUP($A526,#REF!,12,FALSE())&gt;2,HLOOKUP($A526,#REF!,12,FALSE())&lt;-2),"",#REF!),"")</f>
        <v/>
      </c>
      <c r="O526" s="0" t="str">
        <f aca="false">IFERROR(IF(OR(HLOOKUP($A526,#REF!,13,FALSE())&gt;2,HLOOKUP($A526,#REF!,13,FALSE())&lt;-2),"",#REF!),"")</f>
        <v/>
      </c>
      <c r="P526" s="0" t="str">
        <f aca="false">IFERROR(IF(OR(HLOOKUP($A526,#REF!,14,FALSE())&gt;2,HLOOKUP($A526,#REF!,14,FALSE())&lt;-2),"",#REF!),"")</f>
        <v/>
      </c>
      <c r="Q526" s="0" t="str">
        <f aca="false">IFERROR(IF(OR(HLOOKUP($A526,#REF!,15,FALSE())&gt;2,HLOOKUP($A526,#REF!,15,FALSE())&lt;-2),"",#REF!),"")</f>
        <v/>
      </c>
      <c r="R526" s="0" t="str">
        <f aca="false">IFERROR(IF(OR(HLOOKUP($A526,#REF!,16,FALSE())&gt;2,HLOOKUP($A526,#REF!,16,FALSE())&lt;-2),"",#REF!),"")</f>
        <v/>
      </c>
      <c r="S526" s="0" t="str">
        <f aca="false">IFERROR(IF(OR(HLOOKUP($A526,#REF!,17,FALSE())&gt;2,HLOOKUP($A526,#REF!,17,FALSE())&lt;-2),"",#REF!),"")</f>
        <v/>
      </c>
      <c r="T526" s="0" t="str">
        <f aca="false">IFERROR(IF(OR(HLOOKUP($A526,#REF!,18,FALSE())&gt;2,HLOOKUP($A526,#REF!,18,FALSE())&lt;-2),"",#REF!),"")</f>
        <v/>
      </c>
      <c r="U526" s="0" t="str">
        <f aca="false">IFERROR(IF(OR(HLOOKUP($A526,#REF!,19,FALSE())&gt;2,HLOOKUP($A526,#REF!,19,FALSE())&lt;-2),"",#REF!),"")</f>
        <v/>
      </c>
      <c r="V526" s="0" t="n">
        <f aca="false">IFERROR(IF(AND(X526=0,Y526=0),0,1),0)</f>
        <v>1</v>
      </c>
      <c r="W526" s="3" t="str">
        <f aca="false">IFERROR(_xlfn.T.TEST(E526:M526,N526:U526,2,2),"")</f>
        <v/>
      </c>
      <c r="X526" s="0" t="str">
        <f aca="false">IFERROR(AVERAGE(E526:M526),"")</f>
        <v/>
      </c>
      <c r="Y526" s="0" t="str">
        <f aca="false">IFERROR(AVERAGE(N526:U526),"")</f>
        <v/>
      </c>
    </row>
    <row r="527" customFormat="false" ht="14.5" hidden="false" customHeight="false" outlineLevel="0" collapsed="false">
      <c r="A527" s="0" t="n">
        <v>535</v>
      </c>
      <c r="B527" s="0" t="s">
        <v>598</v>
      </c>
      <c r="C527" s="0" t="n">
        <v>33200</v>
      </c>
      <c r="D527" s="0" t="n">
        <v>814</v>
      </c>
      <c r="E527" s="0" t="str">
        <f aca="false">IFERROR(IF(OR(HLOOKUP($A527,#REF!,3,FALSE())&gt;2,HLOOKUP(A527,#REF!,3,FALSE())&lt;-2),"",#REF!),"")</f>
        <v/>
      </c>
      <c r="F527" s="0" t="str">
        <f aca="false">IFERROR(IF(OR(HLOOKUP($A527,#REF!,4,FALSE())&gt;2,HLOOKUP($A527,#REF!,4,FALSE())&lt;-2),"",#REF!),"")</f>
        <v/>
      </c>
      <c r="G527" s="0" t="str">
        <f aca="false">IFERROR(IF(OR(HLOOKUP($A527,#REF!,5,FALSE())&gt;2,HLOOKUP($A527,#REF!,5,FALSE())&lt;-2),"",#REF!),"")</f>
        <v/>
      </c>
      <c r="H527" s="0" t="str">
        <f aca="false">IFERROR(IF(OR(HLOOKUP($A527,#REF!,6,FALSE())&gt;2,HLOOKUP($A527,#REF!,6,FALSE())&lt;-2),"",#REF!),"")</f>
        <v/>
      </c>
      <c r="I527" s="0" t="str">
        <f aca="false">IFERROR(IF(OR(HLOOKUP($A527,#REF!,7,FALSE())&gt;2,HLOOKUP($A527,#REF!,7,FALSE())&lt;-2),"",#REF!),"")</f>
        <v/>
      </c>
      <c r="J527" s="0" t="str">
        <f aca="false">IFERROR(IF(OR(HLOOKUP($A527,#REF!,8,FALSE())&gt;2,HLOOKUP($A527,#REF!,8,FALSE())&lt;-2),"",#REF!),"")</f>
        <v/>
      </c>
      <c r="K527" s="0" t="str">
        <f aca="false">IFERROR(IF(OR(HLOOKUP($A527,#REF!,9,FALSE())&gt;2,HLOOKUP($A527,#REF!,9,FALSE())&lt;-2),"",#REF!),"")</f>
        <v/>
      </c>
      <c r="L527" s="0" t="str">
        <f aca="false">IFERROR(IF(OR(HLOOKUP($A527,#REF!,10,FALSE())&gt;2,HLOOKUP($A527,#REF!,10,FALSE())&lt;-2),"",#REF!),"")</f>
        <v/>
      </c>
      <c r="M527" s="0" t="str">
        <f aca="false">IFERROR(IF(OR(HLOOKUP($A527,#REF!,11,FALSE())&gt;2,HLOOKUP($A527,#REF!,11,FALSE())&lt;-2),"",#REF!),"")</f>
        <v/>
      </c>
      <c r="N527" s="0" t="str">
        <f aca="false">IFERROR(IF(OR(HLOOKUP($A527,#REF!,12,FALSE())&gt;2,HLOOKUP($A527,#REF!,12,FALSE())&lt;-2),"",#REF!),"")</f>
        <v/>
      </c>
      <c r="O527" s="0" t="str">
        <f aca="false">IFERROR(IF(OR(HLOOKUP($A527,#REF!,13,FALSE())&gt;2,HLOOKUP($A527,#REF!,13,FALSE())&lt;-2),"",#REF!),"")</f>
        <v/>
      </c>
      <c r="P527" s="0" t="str">
        <f aca="false">IFERROR(IF(OR(HLOOKUP($A527,#REF!,14,FALSE())&gt;2,HLOOKUP($A527,#REF!,14,FALSE())&lt;-2),"",#REF!),"")</f>
        <v/>
      </c>
      <c r="Q527" s="0" t="str">
        <f aca="false">IFERROR(IF(OR(HLOOKUP($A527,#REF!,15,FALSE())&gt;2,HLOOKUP($A527,#REF!,15,FALSE())&lt;-2),"",#REF!),"")</f>
        <v/>
      </c>
      <c r="R527" s="0" t="str">
        <f aca="false">IFERROR(IF(OR(HLOOKUP($A527,#REF!,16,FALSE())&gt;2,HLOOKUP($A527,#REF!,16,FALSE())&lt;-2),"",#REF!),"")</f>
        <v/>
      </c>
      <c r="S527" s="0" t="str">
        <f aca="false">IFERROR(IF(OR(HLOOKUP($A527,#REF!,17,FALSE())&gt;2,HLOOKUP($A527,#REF!,17,FALSE())&lt;-2),"",#REF!),"")</f>
        <v/>
      </c>
      <c r="T527" s="0" t="str">
        <f aca="false">IFERROR(IF(OR(HLOOKUP($A527,#REF!,18,FALSE())&gt;2,HLOOKUP($A527,#REF!,18,FALSE())&lt;-2),"",#REF!),"")</f>
        <v/>
      </c>
      <c r="U527" s="0" t="str">
        <f aca="false">IFERROR(IF(OR(HLOOKUP($A527,#REF!,19,FALSE())&gt;2,HLOOKUP($A527,#REF!,19,FALSE())&lt;-2),"",#REF!),"")</f>
        <v/>
      </c>
      <c r="V527" s="0" t="n">
        <f aca="false">IFERROR(IF(AND(X527=0,Y527=0),0,1),0)</f>
        <v>1</v>
      </c>
      <c r="W527" s="3" t="str">
        <f aca="false">IFERROR(_xlfn.T.TEST(E527:M527,N527:U527,2,2),"")</f>
        <v/>
      </c>
      <c r="X527" s="0" t="str">
        <f aca="false">IFERROR(AVERAGE(E527:M527),"")</f>
        <v/>
      </c>
      <c r="Y527" s="0" t="str">
        <f aca="false">IFERROR(AVERAGE(N527:U527),"")</f>
        <v/>
      </c>
    </row>
    <row r="528" customFormat="false" ht="14.5" hidden="false" customHeight="false" outlineLevel="0" collapsed="false">
      <c r="A528" s="0" t="n">
        <v>536</v>
      </c>
      <c r="B528" s="0" t="s">
        <v>47</v>
      </c>
      <c r="C528" s="0" t="n">
        <v>50300</v>
      </c>
      <c r="D528" s="0" t="n">
        <v>278</v>
      </c>
      <c r="E528" s="0" t="str">
        <f aca="false">IFERROR(IF(OR(HLOOKUP($A528,#REF!,3,FALSE())&gt;2,HLOOKUP(A528,#REF!,3,FALSE())&lt;-2),"",#REF!),"")</f>
        <v/>
      </c>
      <c r="F528" s="0" t="str">
        <f aca="false">IFERROR(IF(OR(HLOOKUP($A528,#REF!,4,FALSE())&gt;2,HLOOKUP($A528,#REF!,4,FALSE())&lt;-2),"",#REF!),"")</f>
        <v/>
      </c>
      <c r="G528" s="0" t="str">
        <f aca="false">IFERROR(IF(OR(HLOOKUP($A528,#REF!,5,FALSE())&gt;2,HLOOKUP($A528,#REF!,5,FALSE())&lt;-2),"",#REF!),"")</f>
        <v/>
      </c>
      <c r="H528" s="0" t="str">
        <f aca="false">IFERROR(IF(OR(HLOOKUP($A528,#REF!,6,FALSE())&gt;2,HLOOKUP($A528,#REF!,6,FALSE())&lt;-2),"",#REF!),"")</f>
        <v/>
      </c>
      <c r="I528" s="0" t="str">
        <f aca="false">IFERROR(IF(OR(HLOOKUP($A528,#REF!,7,FALSE())&gt;2,HLOOKUP($A528,#REF!,7,FALSE())&lt;-2),"",#REF!),"")</f>
        <v/>
      </c>
      <c r="J528" s="0" t="str">
        <f aca="false">IFERROR(IF(OR(HLOOKUP($A528,#REF!,8,FALSE())&gt;2,HLOOKUP($A528,#REF!,8,FALSE())&lt;-2),"",#REF!),"")</f>
        <v/>
      </c>
      <c r="K528" s="0" t="str">
        <f aca="false">IFERROR(IF(OR(HLOOKUP($A528,#REF!,9,FALSE())&gt;2,HLOOKUP($A528,#REF!,9,FALSE())&lt;-2),"",#REF!),"")</f>
        <v/>
      </c>
      <c r="L528" s="0" t="str">
        <f aca="false">IFERROR(IF(OR(HLOOKUP($A528,#REF!,10,FALSE())&gt;2,HLOOKUP($A528,#REF!,10,FALSE())&lt;-2),"",#REF!),"")</f>
        <v/>
      </c>
      <c r="M528" s="0" t="str">
        <f aca="false">IFERROR(IF(OR(HLOOKUP($A528,#REF!,11,FALSE())&gt;2,HLOOKUP($A528,#REF!,11,FALSE())&lt;-2),"",#REF!),"")</f>
        <v/>
      </c>
      <c r="N528" s="0" t="str">
        <f aca="false">IFERROR(IF(OR(HLOOKUP($A528,#REF!,12,FALSE())&gt;2,HLOOKUP($A528,#REF!,12,FALSE())&lt;-2),"",#REF!),"")</f>
        <v/>
      </c>
      <c r="O528" s="0" t="str">
        <f aca="false">IFERROR(IF(OR(HLOOKUP($A528,#REF!,13,FALSE())&gt;2,HLOOKUP($A528,#REF!,13,FALSE())&lt;-2),"",#REF!),"")</f>
        <v/>
      </c>
      <c r="P528" s="0" t="str">
        <f aca="false">IFERROR(IF(OR(HLOOKUP($A528,#REF!,14,FALSE())&gt;2,HLOOKUP($A528,#REF!,14,FALSE())&lt;-2),"",#REF!),"")</f>
        <v/>
      </c>
      <c r="Q528" s="0" t="str">
        <f aca="false">IFERROR(IF(OR(HLOOKUP($A528,#REF!,15,FALSE())&gt;2,HLOOKUP($A528,#REF!,15,FALSE())&lt;-2),"",#REF!),"")</f>
        <v/>
      </c>
      <c r="R528" s="0" t="str">
        <f aca="false">IFERROR(IF(OR(HLOOKUP($A528,#REF!,16,FALSE())&gt;2,HLOOKUP($A528,#REF!,16,FALSE())&lt;-2),"",#REF!),"")</f>
        <v/>
      </c>
      <c r="S528" s="0" t="str">
        <f aca="false">IFERROR(IF(OR(HLOOKUP($A528,#REF!,17,FALSE())&gt;2,HLOOKUP($A528,#REF!,17,FALSE())&lt;-2),"",#REF!),"")</f>
        <v/>
      </c>
      <c r="T528" s="0" t="str">
        <f aca="false">IFERROR(IF(OR(HLOOKUP($A528,#REF!,18,FALSE())&gt;2,HLOOKUP($A528,#REF!,18,FALSE())&lt;-2),"",#REF!),"")</f>
        <v/>
      </c>
      <c r="U528" s="0" t="str">
        <f aca="false">IFERROR(IF(OR(HLOOKUP($A528,#REF!,19,FALSE())&gt;2,HLOOKUP($A528,#REF!,19,FALSE())&lt;-2),"",#REF!),"")</f>
        <v/>
      </c>
      <c r="V528" s="0" t="n">
        <f aca="false">IFERROR(IF(AND(X528=0,Y528=0),0,1),0)</f>
        <v>1</v>
      </c>
      <c r="W528" s="3" t="str">
        <f aca="false">IFERROR(_xlfn.T.TEST(E528:M528,N528:U528,2,2),"")</f>
        <v/>
      </c>
      <c r="X528" s="0" t="str">
        <f aca="false">IFERROR(AVERAGE(E528:M528),"")</f>
        <v/>
      </c>
      <c r="Y528" s="0" t="str">
        <f aca="false">IFERROR(AVERAGE(N528:U528),"")</f>
        <v/>
      </c>
    </row>
    <row r="529" customFormat="false" ht="14.5" hidden="false" customHeight="false" outlineLevel="0" collapsed="false">
      <c r="A529" s="0" t="n">
        <v>537</v>
      </c>
      <c r="B529" s="0" t="s">
        <v>599</v>
      </c>
      <c r="C529" s="0" t="n">
        <v>53100</v>
      </c>
      <c r="D529" s="0" t="n">
        <v>359</v>
      </c>
      <c r="E529" s="0" t="str">
        <f aca="false">IFERROR(IF(OR(HLOOKUP($A529,#REF!,3,FALSE())&gt;2,HLOOKUP(A529,#REF!,3,FALSE())&lt;-2),"",#REF!),"")</f>
        <v/>
      </c>
      <c r="F529" s="0" t="str">
        <f aca="false">IFERROR(IF(OR(HLOOKUP($A529,#REF!,4,FALSE())&gt;2,HLOOKUP($A529,#REF!,4,FALSE())&lt;-2),"",#REF!),"")</f>
        <v/>
      </c>
      <c r="G529" s="0" t="str">
        <f aca="false">IFERROR(IF(OR(HLOOKUP($A529,#REF!,5,FALSE())&gt;2,HLOOKUP($A529,#REF!,5,FALSE())&lt;-2),"",#REF!),"")</f>
        <v/>
      </c>
      <c r="H529" s="0" t="str">
        <f aca="false">IFERROR(IF(OR(HLOOKUP($A529,#REF!,6,FALSE())&gt;2,HLOOKUP($A529,#REF!,6,FALSE())&lt;-2),"",#REF!),"")</f>
        <v/>
      </c>
      <c r="I529" s="0" t="str">
        <f aca="false">IFERROR(IF(OR(HLOOKUP($A529,#REF!,7,FALSE())&gt;2,HLOOKUP($A529,#REF!,7,FALSE())&lt;-2),"",#REF!),"")</f>
        <v/>
      </c>
      <c r="J529" s="0" t="str">
        <f aca="false">IFERROR(IF(OR(HLOOKUP($A529,#REF!,8,FALSE())&gt;2,HLOOKUP($A529,#REF!,8,FALSE())&lt;-2),"",#REF!),"")</f>
        <v/>
      </c>
      <c r="K529" s="0" t="str">
        <f aca="false">IFERROR(IF(OR(HLOOKUP($A529,#REF!,9,FALSE())&gt;2,HLOOKUP($A529,#REF!,9,FALSE())&lt;-2),"",#REF!),"")</f>
        <v/>
      </c>
      <c r="L529" s="0" t="str">
        <f aca="false">IFERROR(IF(OR(HLOOKUP($A529,#REF!,10,FALSE())&gt;2,HLOOKUP($A529,#REF!,10,FALSE())&lt;-2),"",#REF!),"")</f>
        <v/>
      </c>
      <c r="M529" s="0" t="str">
        <f aca="false">IFERROR(IF(OR(HLOOKUP($A529,#REF!,11,FALSE())&gt;2,HLOOKUP($A529,#REF!,11,FALSE())&lt;-2),"",#REF!),"")</f>
        <v/>
      </c>
      <c r="N529" s="0" t="str">
        <f aca="false">IFERROR(IF(OR(HLOOKUP($A529,#REF!,12,FALSE())&gt;2,HLOOKUP($A529,#REF!,12,FALSE())&lt;-2),"",#REF!),"")</f>
        <v/>
      </c>
      <c r="O529" s="0" t="str">
        <f aca="false">IFERROR(IF(OR(HLOOKUP($A529,#REF!,13,FALSE())&gt;2,HLOOKUP($A529,#REF!,13,FALSE())&lt;-2),"",#REF!),"")</f>
        <v/>
      </c>
      <c r="P529" s="0" t="str">
        <f aca="false">IFERROR(IF(OR(HLOOKUP($A529,#REF!,14,FALSE())&gt;2,HLOOKUP($A529,#REF!,14,FALSE())&lt;-2),"",#REF!),"")</f>
        <v/>
      </c>
      <c r="Q529" s="0" t="str">
        <f aca="false">IFERROR(IF(OR(HLOOKUP($A529,#REF!,15,FALSE())&gt;2,HLOOKUP($A529,#REF!,15,FALSE())&lt;-2),"",#REF!),"")</f>
        <v/>
      </c>
      <c r="R529" s="0" t="str">
        <f aca="false">IFERROR(IF(OR(HLOOKUP($A529,#REF!,16,FALSE())&gt;2,HLOOKUP($A529,#REF!,16,FALSE())&lt;-2),"",#REF!),"")</f>
        <v/>
      </c>
      <c r="S529" s="0" t="str">
        <f aca="false">IFERROR(IF(OR(HLOOKUP($A529,#REF!,17,FALSE())&gt;2,HLOOKUP($A529,#REF!,17,FALSE())&lt;-2),"",#REF!),"")</f>
        <v/>
      </c>
      <c r="T529" s="0" t="str">
        <f aca="false">IFERROR(IF(OR(HLOOKUP($A529,#REF!,18,FALSE())&gt;2,HLOOKUP($A529,#REF!,18,FALSE())&lt;-2),"",#REF!),"")</f>
        <v/>
      </c>
      <c r="U529" s="0" t="str">
        <f aca="false">IFERROR(IF(OR(HLOOKUP($A529,#REF!,19,FALSE())&gt;2,HLOOKUP($A529,#REF!,19,FALSE())&lt;-2),"",#REF!),"")</f>
        <v/>
      </c>
      <c r="V529" s="0" t="n">
        <f aca="false">IFERROR(IF(AND(X529=0,Y529=0),0,1),0)</f>
        <v>1</v>
      </c>
      <c r="W529" s="3" t="str">
        <f aca="false">IFERROR(_xlfn.T.TEST(E529:M529,N529:U529,2,2),"")</f>
        <v/>
      </c>
      <c r="X529" s="0" t="str">
        <f aca="false">IFERROR(AVERAGE(E529:M529),"")</f>
        <v/>
      </c>
      <c r="Y529" s="0" t="str">
        <f aca="false">IFERROR(AVERAGE(N529:U529),"")</f>
        <v/>
      </c>
    </row>
    <row r="530" customFormat="false" ht="14.5" hidden="false" customHeight="false" outlineLevel="0" collapsed="false">
      <c r="A530" s="0" t="n">
        <v>538</v>
      </c>
      <c r="B530" s="0" t="s">
        <v>600</v>
      </c>
      <c r="C530" s="0" t="n">
        <v>98000</v>
      </c>
      <c r="D530" s="0" t="n">
        <v>21</v>
      </c>
      <c r="E530" s="0" t="str">
        <f aca="false">IFERROR(IF(OR(HLOOKUP($A530,#REF!,3,FALSE())&gt;2,HLOOKUP(A530,#REF!,3,FALSE())&lt;-2),"",#REF!),"")</f>
        <v/>
      </c>
      <c r="F530" s="0" t="str">
        <f aca="false">IFERROR(IF(OR(HLOOKUP($A530,#REF!,4,FALSE())&gt;2,HLOOKUP($A530,#REF!,4,FALSE())&lt;-2),"",#REF!),"")</f>
        <v/>
      </c>
      <c r="G530" s="0" t="str">
        <f aca="false">IFERROR(IF(OR(HLOOKUP($A530,#REF!,5,FALSE())&gt;2,HLOOKUP($A530,#REF!,5,FALSE())&lt;-2),"",#REF!),"")</f>
        <v/>
      </c>
      <c r="H530" s="0" t="str">
        <f aca="false">IFERROR(IF(OR(HLOOKUP($A530,#REF!,6,FALSE())&gt;2,HLOOKUP($A530,#REF!,6,FALSE())&lt;-2),"",#REF!),"")</f>
        <v/>
      </c>
      <c r="I530" s="0" t="str">
        <f aca="false">IFERROR(IF(OR(HLOOKUP($A530,#REF!,7,FALSE())&gt;2,HLOOKUP($A530,#REF!,7,FALSE())&lt;-2),"",#REF!),"")</f>
        <v/>
      </c>
      <c r="J530" s="0" t="str">
        <f aca="false">IFERROR(IF(OR(HLOOKUP($A530,#REF!,8,FALSE())&gt;2,HLOOKUP($A530,#REF!,8,FALSE())&lt;-2),"",#REF!),"")</f>
        <v/>
      </c>
      <c r="K530" s="0" t="str">
        <f aca="false">IFERROR(IF(OR(HLOOKUP($A530,#REF!,9,FALSE())&gt;2,HLOOKUP($A530,#REF!,9,FALSE())&lt;-2),"",#REF!),"")</f>
        <v/>
      </c>
      <c r="L530" s="0" t="str">
        <f aca="false">IFERROR(IF(OR(HLOOKUP($A530,#REF!,10,FALSE())&gt;2,HLOOKUP($A530,#REF!,10,FALSE())&lt;-2),"",#REF!),"")</f>
        <v/>
      </c>
      <c r="M530" s="0" t="str">
        <f aca="false">IFERROR(IF(OR(HLOOKUP($A530,#REF!,11,FALSE())&gt;2,HLOOKUP($A530,#REF!,11,FALSE())&lt;-2),"",#REF!),"")</f>
        <v/>
      </c>
      <c r="N530" s="0" t="str">
        <f aca="false">IFERROR(IF(OR(HLOOKUP($A530,#REF!,12,FALSE())&gt;2,HLOOKUP($A530,#REF!,12,FALSE())&lt;-2),"",#REF!),"")</f>
        <v/>
      </c>
      <c r="O530" s="0" t="str">
        <f aca="false">IFERROR(IF(OR(HLOOKUP($A530,#REF!,13,FALSE())&gt;2,HLOOKUP($A530,#REF!,13,FALSE())&lt;-2),"",#REF!),"")</f>
        <v/>
      </c>
      <c r="P530" s="0" t="str">
        <f aca="false">IFERROR(IF(OR(HLOOKUP($A530,#REF!,14,FALSE())&gt;2,HLOOKUP($A530,#REF!,14,FALSE())&lt;-2),"",#REF!),"")</f>
        <v/>
      </c>
      <c r="Q530" s="0" t="str">
        <f aca="false">IFERROR(IF(OR(HLOOKUP($A530,#REF!,15,FALSE())&gt;2,HLOOKUP($A530,#REF!,15,FALSE())&lt;-2),"",#REF!),"")</f>
        <v/>
      </c>
      <c r="R530" s="0" t="str">
        <f aca="false">IFERROR(IF(OR(HLOOKUP($A530,#REF!,16,FALSE())&gt;2,HLOOKUP($A530,#REF!,16,FALSE())&lt;-2),"",#REF!),"")</f>
        <v/>
      </c>
      <c r="S530" s="0" t="str">
        <f aca="false">IFERROR(IF(OR(HLOOKUP($A530,#REF!,17,FALSE())&gt;2,HLOOKUP($A530,#REF!,17,FALSE())&lt;-2),"",#REF!),"")</f>
        <v/>
      </c>
      <c r="T530" s="0" t="str">
        <f aca="false">IFERROR(IF(OR(HLOOKUP($A530,#REF!,18,FALSE())&gt;2,HLOOKUP($A530,#REF!,18,FALSE())&lt;-2),"",#REF!),"")</f>
        <v/>
      </c>
      <c r="U530" s="0" t="str">
        <f aca="false">IFERROR(IF(OR(HLOOKUP($A530,#REF!,19,FALSE())&gt;2,HLOOKUP($A530,#REF!,19,FALSE())&lt;-2),"",#REF!),"")</f>
        <v/>
      </c>
      <c r="V530" s="0" t="n">
        <f aca="false">IFERROR(IF(AND(X530=0,Y530=0),0,1),0)</f>
        <v>1</v>
      </c>
      <c r="W530" s="3" t="str">
        <f aca="false">IFERROR(_xlfn.T.TEST(E530:M530,N530:U530,2,2),"")</f>
        <v/>
      </c>
      <c r="X530" s="0" t="str">
        <f aca="false">IFERROR(AVERAGE(E530:M530),"")</f>
        <v/>
      </c>
      <c r="Y530" s="0" t="str">
        <f aca="false">IFERROR(AVERAGE(N530:U530),"")</f>
        <v/>
      </c>
    </row>
    <row r="531" customFormat="false" ht="14.5" hidden="false" customHeight="false" outlineLevel="0" collapsed="false">
      <c r="A531" s="0" t="n">
        <v>539</v>
      </c>
      <c r="B531" s="0" t="s">
        <v>601</v>
      </c>
      <c r="C531" s="0" t="n">
        <v>80400</v>
      </c>
      <c r="D531" s="0" t="n">
        <v>128</v>
      </c>
      <c r="E531" s="0" t="str">
        <f aca="false">IFERROR(IF(OR(HLOOKUP($A531,#REF!,3,FALSE())&gt;2,HLOOKUP(A531,#REF!,3,FALSE())&lt;-2),"",#REF!),"")</f>
        <v/>
      </c>
      <c r="F531" s="0" t="str">
        <f aca="false">IFERROR(IF(OR(HLOOKUP($A531,#REF!,4,FALSE())&gt;2,HLOOKUP($A531,#REF!,4,FALSE())&lt;-2),"",#REF!),"")</f>
        <v/>
      </c>
      <c r="G531" s="0" t="str">
        <f aca="false">IFERROR(IF(OR(HLOOKUP($A531,#REF!,5,FALSE())&gt;2,HLOOKUP($A531,#REF!,5,FALSE())&lt;-2),"",#REF!),"")</f>
        <v/>
      </c>
      <c r="H531" s="0" t="str">
        <f aca="false">IFERROR(IF(OR(HLOOKUP($A531,#REF!,6,FALSE())&gt;2,HLOOKUP($A531,#REF!,6,FALSE())&lt;-2),"",#REF!),"")</f>
        <v/>
      </c>
      <c r="I531" s="0" t="str">
        <f aca="false">IFERROR(IF(OR(HLOOKUP($A531,#REF!,7,FALSE())&gt;2,HLOOKUP($A531,#REF!,7,FALSE())&lt;-2),"",#REF!),"")</f>
        <v/>
      </c>
      <c r="J531" s="0" t="str">
        <f aca="false">IFERROR(IF(OR(HLOOKUP($A531,#REF!,8,FALSE())&gt;2,HLOOKUP($A531,#REF!,8,FALSE())&lt;-2),"",#REF!),"")</f>
        <v/>
      </c>
      <c r="K531" s="0" t="str">
        <f aca="false">IFERROR(IF(OR(HLOOKUP($A531,#REF!,9,FALSE())&gt;2,HLOOKUP($A531,#REF!,9,FALSE())&lt;-2),"",#REF!),"")</f>
        <v/>
      </c>
      <c r="L531" s="0" t="str">
        <f aca="false">IFERROR(IF(OR(HLOOKUP($A531,#REF!,10,FALSE())&gt;2,HLOOKUP($A531,#REF!,10,FALSE())&lt;-2),"",#REF!),"")</f>
        <v/>
      </c>
      <c r="M531" s="0" t="str">
        <f aca="false">IFERROR(IF(OR(HLOOKUP($A531,#REF!,11,FALSE())&gt;2,HLOOKUP($A531,#REF!,11,FALSE())&lt;-2),"",#REF!),"")</f>
        <v/>
      </c>
      <c r="N531" s="0" t="str">
        <f aca="false">IFERROR(IF(OR(HLOOKUP($A531,#REF!,12,FALSE())&gt;2,HLOOKUP($A531,#REF!,12,FALSE())&lt;-2),"",#REF!),"")</f>
        <v/>
      </c>
      <c r="O531" s="0" t="str">
        <f aca="false">IFERROR(IF(OR(HLOOKUP($A531,#REF!,13,FALSE())&gt;2,HLOOKUP($A531,#REF!,13,FALSE())&lt;-2),"",#REF!),"")</f>
        <v/>
      </c>
      <c r="P531" s="0" t="str">
        <f aca="false">IFERROR(IF(OR(HLOOKUP($A531,#REF!,14,FALSE())&gt;2,HLOOKUP($A531,#REF!,14,FALSE())&lt;-2),"",#REF!),"")</f>
        <v/>
      </c>
      <c r="Q531" s="0" t="str">
        <f aca="false">IFERROR(IF(OR(HLOOKUP($A531,#REF!,15,FALSE())&gt;2,HLOOKUP($A531,#REF!,15,FALSE())&lt;-2),"",#REF!),"")</f>
        <v/>
      </c>
      <c r="R531" s="0" t="str">
        <f aca="false">IFERROR(IF(OR(HLOOKUP($A531,#REF!,16,FALSE())&gt;2,HLOOKUP($A531,#REF!,16,FALSE())&lt;-2),"",#REF!),"")</f>
        <v/>
      </c>
      <c r="S531" s="0" t="str">
        <f aca="false">IFERROR(IF(OR(HLOOKUP($A531,#REF!,17,FALSE())&gt;2,HLOOKUP($A531,#REF!,17,FALSE())&lt;-2),"",#REF!),"")</f>
        <v/>
      </c>
      <c r="T531" s="0" t="str">
        <f aca="false">IFERROR(IF(OR(HLOOKUP($A531,#REF!,18,FALSE())&gt;2,HLOOKUP($A531,#REF!,18,FALSE())&lt;-2),"",#REF!),"")</f>
        <v/>
      </c>
      <c r="U531" s="0" t="str">
        <f aca="false">IFERROR(IF(OR(HLOOKUP($A531,#REF!,19,FALSE())&gt;2,HLOOKUP($A531,#REF!,19,FALSE())&lt;-2),"",#REF!),"")</f>
        <v/>
      </c>
      <c r="V531" s="0" t="n">
        <f aca="false">IFERROR(IF(AND(X531=0,Y531=0),0,1),0)</f>
        <v>1</v>
      </c>
      <c r="W531" s="3" t="str">
        <f aca="false">IFERROR(_xlfn.T.TEST(E531:M531,N531:U531,2,2),"")</f>
        <v/>
      </c>
      <c r="X531" s="0" t="str">
        <f aca="false">IFERROR(AVERAGE(E531:M531),"")</f>
        <v/>
      </c>
      <c r="Y531" s="0" t="str">
        <f aca="false">IFERROR(AVERAGE(N531:U531),"")</f>
        <v/>
      </c>
    </row>
    <row r="532" customFormat="false" ht="14.5" hidden="false" customHeight="false" outlineLevel="0" collapsed="false">
      <c r="A532" s="0" t="n">
        <v>540</v>
      </c>
      <c r="B532" s="0" t="s">
        <v>602</v>
      </c>
      <c r="C532" s="0" t="n">
        <v>29000</v>
      </c>
      <c r="D532" s="0" t="n">
        <v>922</v>
      </c>
      <c r="E532" s="0" t="str">
        <f aca="false">IFERROR(IF(OR(HLOOKUP($A532,#REF!,3,FALSE())&gt;2,HLOOKUP(A532,#REF!,3,FALSE())&lt;-2),"",#REF!),"")</f>
        <v/>
      </c>
      <c r="F532" s="0" t="str">
        <f aca="false">IFERROR(IF(OR(HLOOKUP($A532,#REF!,4,FALSE())&gt;2,HLOOKUP($A532,#REF!,4,FALSE())&lt;-2),"",#REF!),"")</f>
        <v/>
      </c>
      <c r="G532" s="0" t="str">
        <f aca="false">IFERROR(IF(OR(HLOOKUP($A532,#REF!,5,FALSE())&gt;2,HLOOKUP($A532,#REF!,5,FALSE())&lt;-2),"",#REF!),"")</f>
        <v/>
      </c>
      <c r="H532" s="0" t="str">
        <f aca="false">IFERROR(IF(OR(HLOOKUP($A532,#REF!,6,FALSE())&gt;2,HLOOKUP($A532,#REF!,6,FALSE())&lt;-2),"",#REF!),"")</f>
        <v/>
      </c>
      <c r="I532" s="0" t="str">
        <f aca="false">IFERROR(IF(OR(HLOOKUP($A532,#REF!,7,FALSE())&gt;2,HLOOKUP($A532,#REF!,7,FALSE())&lt;-2),"",#REF!),"")</f>
        <v/>
      </c>
      <c r="J532" s="0" t="str">
        <f aca="false">IFERROR(IF(OR(HLOOKUP($A532,#REF!,8,FALSE())&gt;2,HLOOKUP($A532,#REF!,8,FALSE())&lt;-2),"",#REF!),"")</f>
        <v/>
      </c>
      <c r="K532" s="0" t="str">
        <f aca="false">IFERROR(IF(OR(HLOOKUP($A532,#REF!,9,FALSE())&gt;2,HLOOKUP($A532,#REF!,9,FALSE())&lt;-2),"",#REF!),"")</f>
        <v/>
      </c>
      <c r="L532" s="0" t="str">
        <f aca="false">IFERROR(IF(OR(HLOOKUP($A532,#REF!,10,FALSE())&gt;2,HLOOKUP($A532,#REF!,10,FALSE())&lt;-2),"",#REF!),"")</f>
        <v/>
      </c>
      <c r="M532" s="0" t="str">
        <f aca="false">IFERROR(IF(OR(HLOOKUP($A532,#REF!,11,FALSE())&gt;2,HLOOKUP($A532,#REF!,11,FALSE())&lt;-2),"",#REF!),"")</f>
        <v/>
      </c>
      <c r="N532" s="0" t="str">
        <f aca="false">IFERROR(IF(OR(HLOOKUP($A532,#REF!,12,FALSE())&gt;2,HLOOKUP($A532,#REF!,12,FALSE())&lt;-2),"",#REF!),"")</f>
        <v/>
      </c>
      <c r="O532" s="0" t="str">
        <f aca="false">IFERROR(IF(OR(HLOOKUP($A532,#REF!,13,FALSE())&gt;2,HLOOKUP($A532,#REF!,13,FALSE())&lt;-2),"",#REF!),"")</f>
        <v/>
      </c>
      <c r="P532" s="0" t="str">
        <f aca="false">IFERROR(IF(OR(HLOOKUP($A532,#REF!,14,FALSE())&gt;2,HLOOKUP($A532,#REF!,14,FALSE())&lt;-2),"",#REF!),"")</f>
        <v/>
      </c>
      <c r="Q532" s="0" t="str">
        <f aca="false">IFERROR(IF(OR(HLOOKUP($A532,#REF!,15,FALSE())&gt;2,HLOOKUP($A532,#REF!,15,FALSE())&lt;-2),"",#REF!),"")</f>
        <v/>
      </c>
      <c r="R532" s="0" t="str">
        <f aca="false">IFERROR(IF(OR(HLOOKUP($A532,#REF!,16,FALSE())&gt;2,HLOOKUP($A532,#REF!,16,FALSE())&lt;-2),"",#REF!),"")</f>
        <v/>
      </c>
      <c r="S532" s="0" t="str">
        <f aca="false">IFERROR(IF(OR(HLOOKUP($A532,#REF!,17,FALSE())&gt;2,HLOOKUP($A532,#REF!,17,FALSE())&lt;-2),"",#REF!),"")</f>
        <v/>
      </c>
      <c r="T532" s="0" t="str">
        <f aca="false">IFERROR(IF(OR(HLOOKUP($A532,#REF!,18,FALSE())&gt;2,HLOOKUP($A532,#REF!,18,FALSE())&lt;-2),"",#REF!),"")</f>
        <v/>
      </c>
      <c r="U532" s="0" t="str">
        <f aca="false">IFERROR(IF(OR(HLOOKUP($A532,#REF!,19,FALSE())&gt;2,HLOOKUP($A532,#REF!,19,FALSE())&lt;-2),"",#REF!),"")</f>
        <v/>
      </c>
      <c r="V532" s="0" t="n">
        <f aca="false">IFERROR(IF(AND(X532=0,Y532=0),0,1),0)</f>
        <v>1</v>
      </c>
      <c r="W532" s="3" t="str">
        <f aca="false">IFERROR(_xlfn.T.TEST(E532:M532,N532:U532,2,2),"")</f>
        <v/>
      </c>
      <c r="X532" s="0" t="str">
        <f aca="false">IFERROR(AVERAGE(E532:M532),"")</f>
        <v/>
      </c>
      <c r="Y532" s="0" t="str">
        <f aca="false">IFERROR(AVERAGE(N532:U532),"")</f>
        <v/>
      </c>
    </row>
    <row r="533" customFormat="false" ht="14.5" hidden="false" customHeight="false" outlineLevel="0" collapsed="false">
      <c r="A533" s="0" t="n">
        <v>541</v>
      </c>
      <c r="B533" s="0" t="s">
        <v>603</v>
      </c>
      <c r="C533" s="0" t="n">
        <v>28000</v>
      </c>
      <c r="D533" s="0" t="n">
        <v>315</v>
      </c>
      <c r="E533" s="0" t="str">
        <f aca="false">IFERROR(IF(OR(HLOOKUP($A533,#REF!,3,FALSE())&gt;2,HLOOKUP(A533,#REF!,3,FALSE())&lt;-2),"",#REF!),"")</f>
        <v/>
      </c>
      <c r="F533" s="0" t="str">
        <f aca="false">IFERROR(IF(OR(HLOOKUP($A533,#REF!,4,FALSE())&gt;2,HLOOKUP($A533,#REF!,4,FALSE())&lt;-2),"",#REF!),"")</f>
        <v/>
      </c>
      <c r="G533" s="0" t="str">
        <f aca="false">IFERROR(IF(OR(HLOOKUP($A533,#REF!,5,FALSE())&gt;2,HLOOKUP($A533,#REF!,5,FALSE())&lt;-2),"",#REF!),"")</f>
        <v/>
      </c>
      <c r="H533" s="0" t="str">
        <f aca="false">IFERROR(IF(OR(HLOOKUP($A533,#REF!,6,FALSE())&gt;2,HLOOKUP($A533,#REF!,6,FALSE())&lt;-2),"",#REF!),"")</f>
        <v/>
      </c>
      <c r="I533" s="0" t="str">
        <f aca="false">IFERROR(IF(OR(HLOOKUP($A533,#REF!,7,FALSE())&gt;2,HLOOKUP($A533,#REF!,7,FALSE())&lt;-2),"",#REF!),"")</f>
        <v/>
      </c>
      <c r="J533" s="0" t="str">
        <f aca="false">IFERROR(IF(OR(HLOOKUP($A533,#REF!,8,FALSE())&gt;2,HLOOKUP($A533,#REF!,8,FALSE())&lt;-2),"",#REF!),"")</f>
        <v/>
      </c>
      <c r="K533" s="0" t="str">
        <f aca="false">IFERROR(IF(OR(HLOOKUP($A533,#REF!,9,FALSE())&gt;2,HLOOKUP($A533,#REF!,9,FALSE())&lt;-2),"",#REF!),"")</f>
        <v/>
      </c>
      <c r="L533" s="0" t="str">
        <f aca="false">IFERROR(IF(OR(HLOOKUP($A533,#REF!,10,FALSE())&gt;2,HLOOKUP($A533,#REF!,10,FALSE())&lt;-2),"",#REF!),"")</f>
        <v/>
      </c>
      <c r="M533" s="0" t="str">
        <f aca="false">IFERROR(IF(OR(HLOOKUP($A533,#REF!,11,FALSE())&gt;2,HLOOKUP($A533,#REF!,11,FALSE())&lt;-2),"",#REF!),"")</f>
        <v/>
      </c>
      <c r="N533" s="0" t="str">
        <f aca="false">IFERROR(IF(OR(HLOOKUP($A533,#REF!,12,FALSE())&gt;2,HLOOKUP($A533,#REF!,12,FALSE())&lt;-2),"",#REF!),"")</f>
        <v/>
      </c>
      <c r="O533" s="0" t="str">
        <f aca="false">IFERROR(IF(OR(HLOOKUP($A533,#REF!,13,FALSE())&gt;2,HLOOKUP($A533,#REF!,13,FALSE())&lt;-2),"",#REF!),"")</f>
        <v/>
      </c>
      <c r="P533" s="0" t="str">
        <f aca="false">IFERROR(IF(OR(HLOOKUP($A533,#REF!,14,FALSE())&gt;2,HLOOKUP($A533,#REF!,14,FALSE())&lt;-2),"",#REF!),"")</f>
        <v/>
      </c>
      <c r="Q533" s="0" t="str">
        <f aca="false">IFERROR(IF(OR(HLOOKUP($A533,#REF!,15,FALSE())&gt;2,HLOOKUP($A533,#REF!,15,FALSE())&lt;-2),"",#REF!),"")</f>
        <v/>
      </c>
      <c r="R533" s="0" t="str">
        <f aca="false">IFERROR(IF(OR(HLOOKUP($A533,#REF!,16,FALSE())&gt;2,HLOOKUP($A533,#REF!,16,FALSE())&lt;-2),"",#REF!),"")</f>
        <v/>
      </c>
      <c r="S533" s="0" t="str">
        <f aca="false">IFERROR(IF(OR(HLOOKUP($A533,#REF!,17,FALSE())&gt;2,HLOOKUP($A533,#REF!,17,FALSE())&lt;-2),"",#REF!),"")</f>
        <v/>
      </c>
      <c r="T533" s="0" t="str">
        <f aca="false">IFERROR(IF(OR(HLOOKUP($A533,#REF!,18,FALSE())&gt;2,HLOOKUP($A533,#REF!,18,FALSE())&lt;-2),"",#REF!),"")</f>
        <v/>
      </c>
      <c r="U533" s="0" t="str">
        <f aca="false">IFERROR(IF(OR(HLOOKUP($A533,#REF!,19,FALSE())&gt;2,HLOOKUP($A533,#REF!,19,FALSE())&lt;-2),"",#REF!),"")</f>
        <v/>
      </c>
      <c r="V533" s="0" t="n">
        <f aca="false">IFERROR(IF(AND(X533=0,Y533=0),0,1),0)</f>
        <v>1</v>
      </c>
      <c r="W533" s="3" t="str">
        <f aca="false">IFERROR(_xlfn.T.TEST(E533:M533,N533:U533,2,2),"")</f>
        <v/>
      </c>
      <c r="X533" s="0" t="str">
        <f aca="false">IFERROR(AVERAGE(E533:M533),"")</f>
        <v/>
      </c>
      <c r="Y533" s="0" t="str">
        <f aca="false">IFERROR(AVERAGE(N533:U533),"")</f>
        <v/>
      </c>
    </row>
    <row r="534" customFormat="false" ht="14.5" hidden="false" customHeight="false" outlineLevel="0" collapsed="false">
      <c r="A534" s="0" t="n">
        <v>542</v>
      </c>
      <c r="B534" s="0" t="s">
        <v>63</v>
      </c>
      <c r="C534" s="0" t="n">
        <v>26700</v>
      </c>
      <c r="D534" s="0" t="n">
        <v>886</v>
      </c>
      <c r="E534" s="0" t="str">
        <f aca="false">IFERROR(IF(OR(HLOOKUP($A534,#REF!,3,FALSE())&gt;2,HLOOKUP(A534,#REF!,3,FALSE())&lt;-2),"",#REF!),"")</f>
        <v/>
      </c>
      <c r="F534" s="0" t="str">
        <f aca="false">IFERROR(IF(OR(HLOOKUP($A534,#REF!,4,FALSE())&gt;2,HLOOKUP($A534,#REF!,4,FALSE())&lt;-2),"",#REF!),"")</f>
        <v/>
      </c>
      <c r="G534" s="0" t="str">
        <f aca="false">IFERROR(IF(OR(HLOOKUP($A534,#REF!,5,FALSE())&gt;2,HLOOKUP($A534,#REF!,5,FALSE())&lt;-2),"",#REF!),"")</f>
        <v/>
      </c>
      <c r="H534" s="0" t="str">
        <f aca="false">IFERROR(IF(OR(HLOOKUP($A534,#REF!,6,FALSE())&gt;2,HLOOKUP($A534,#REF!,6,FALSE())&lt;-2),"",#REF!),"")</f>
        <v/>
      </c>
      <c r="I534" s="0" t="str">
        <f aca="false">IFERROR(IF(OR(HLOOKUP($A534,#REF!,7,FALSE())&gt;2,HLOOKUP($A534,#REF!,7,FALSE())&lt;-2),"",#REF!),"")</f>
        <v/>
      </c>
      <c r="J534" s="0" t="str">
        <f aca="false">IFERROR(IF(OR(HLOOKUP($A534,#REF!,8,FALSE())&gt;2,HLOOKUP($A534,#REF!,8,FALSE())&lt;-2),"",#REF!),"")</f>
        <v/>
      </c>
      <c r="K534" s="0" t="str">
        <f aca="false">IFERROR(IF(OR(HLOOKUP($A534,#REF!,9,FALSE())&gt;2,HLOOKUP($A534,#REF!,9,FALSE())&lt;-2),"",#REF!),"")</f>
        <v/>
      </c>
      <c r="L534" s="0" t="str">
        <f aca="false">IFERROR(IF(OR(HLOOKUP($A534,#REF!,10,FALSE())&gt;2,HLOOKUP($A534,#REF!,10,FALSE())&lt;-2),"",#REF!),"")</f>
        <v/>
      </c>
      <c r="M534" s="0" t="str">
        <f aca="false">IFERROR(IF(OR(HLOOKUP($A534,#REF!,11,FALSE())&gt;2,HLOOKUP($A534,#REF!,11,FALSE())&lt;-2),"",#REF!),"")</f>
        <v/>
      </c>
      <c r="N534" s="0" t="str">
        <f aca="false">IFERROR(IF(OR(HLOOKUP($A534,#REF!,12,FALSE())&gt;2,HLOOKUP($A534,#REF!,12,FALSE())&lt;-2),"",#REF!),"")</f>
        <v/>
      </c>
      <c r="O534" s="0" t="str">
        <f aca="false">IFERROR(IF(OR(HLOOKUP($A534,#REF!,13,FALSE())&gt;2,HLOOKUP($A534,#REF!,13,FALSE())&lt;-2),"",#REF!),"")</f>
        <v/>
      </c>
      <c r="P534" s="0" t="str">
        <f aca="false">IFERROR(IF(OR(HLOOKUP($A534,#REF!,14,FALSE())&gt;2,HLOOKUP($A534,#REF!,14,FALSE())&lt;-2),"",#REF!),"")</f>
        <v/>
      </c>
      <c r="Q534" s="0" t="str">
        <f aca="false">IFERROR(IF(OR(HLOOKUP($A534,#REF!,15,FALSE())&gt;2,HLOOKUP($A534,#REF!,15,FALSE())&lt;-2),"",#REF!),"")</f>
        <v/>
      </c>
      <c r="R534" s="0" t="str">
        <f aca="false">IFERROR(IF(OR(HLOOKUP($A534,#REF!,16,FALSE())&gt;2,HLOOKUP($A534,#REF!,16,FALSE())&lt;-2),"",#REF!),"")</f>
        <v/>
      </c>
      <c r="S534" s="0" t="str">
        <f aca="false">IFERROR(IF(OR(HLOOKUP($A534,#REF!,17,FALSE())&gt;2,HLOOKUP($A534,#REF!,17,FALSE())&lt;-2),"",#REF!),"")</f>
        <v/>
      </c>
      <c r="T534" s="0" t="str">
        <f aca="false">IFERROR(IF(OR(HLOOKUP($A534,#REF!,18,FALSE())&gt;2,HLOOKUP($A534,#REF!,18,FALSE())&lt;-2),"",#REF!),"")</f>
        <v/>
      </c>
      <c r="U534" s="0" t="str">
        <f aca="false">IFERROR(IF(OR(HLOOKUP($A534,#REF!,19,FALSE())&gt;2,HLOOKUP($A534,#REF!,19,FALSE())&lt;-2),"",#REF!),"")</f>
        <v/>
      </c>
      <c r="V534" s="0" t="n">
        <f aca="false">IFERROR(IF(AND(X534=0,Y534=0),0,1),0)</f>
        <v>1</v>
      </c>
      <c r="W534" s="3" t="str">
        <f aca="false">IFERROR(_xlfn.T.TEST(E534:M534,N534:U534,2,2),"")</f>
        <v/>
      </c>
      <c r="X534" s="0" t="str">
        <f aca="false">IFERROR(AVERAGE(E534:M534),"")</f>
        <v/>
      </c>
      <c r="Y534" s="0" t="str">
        <f aca="false">IFERROR(AVERAGE(N534:U534),"")</f>
        <v/>
      </c>
    </row>
    <row r="535" customFormat="false" ht="14.5" hidden="false" customHeight="false" outlineLevel="0" collapsed="false">
      <c r="A535" s="0" t="n">
        <v>543</v>
      </c>
      <c r="B535" s="0" t="s">
        <v>604</v>
      </c>
      <c r="C535" s="0" t="n">
        <v>42900</v>
      </c>
      <c r="D535" s="0" t="n">
        <v>926</v>
      </c>
      <c r="E535" s="0" t="str">
        <f aca="false">IFERROR(IF(OR(HLOOKUP($A535,#REF!,3,FALSE())&gt;2,HLOOKUP(A535,#REF!,3,FALSE())&lt;-2),"",#REF!),"")</f>
        <v/>
      </c>
      <c r="F535" s="0" t="str">
        <f aca="false">IFERROR(IF(OR(HLOOKUP($A535,#REF!,4,FALSE())&gt;2,HLOOKUP($A535,#REF!,4,FALSE())&lt;-2),"",#REF!),"")</f>
        <v/>
      </c>
      <c r="G535" s="0" t="str">
        <f aca="false">IFERROR(IF(OR(HLOOKUP($A535,#REF!,5,FALSE())&gt;2,HLOOKUP($A535,#REF!,5,FALSE())&lt;-2),"",#REF!),"")</f>
        <v/>
      </c>
      <c r="H535" s="0" t="str">
        <f aca="false">IFERROR(IF(OR(HLOOKUP($A535,#REF!,6,FALSE())&gt;2,HLOOKUP($A535,#REF!,6,FALSE())&lt;-2),"",#REF!),"")</f>
        <v/>
      </c>
      <c r="I535" s="0" t="str">
        <f aca="false">IFERROR(IF(OR(HLOOKUP($A535,#REF!,7,FALSE())&gt;2,HLOOKUP($A535,#REF!,7,FALSE())&lt;-2),"",#REF!),"")</f>
        <v/>
      </c>
      <c r="J535" s="0" t="str">
        <f aca="false">IFERROR(IF(OR(HLOOKUP($A535,#REF!,8,FALSE())&gt;2,HLOOKUP($A535,#REF!,8,FALSE())&lt;-2),"",#REF!),"")</f>
        <v/>
      </c>
      <c r="K535" s="0" t="str">
        <f aca="false">IFERROR(IF(OR(HLOOKUP($A535,#REF!,9,FALSE())&gt;2,HLOOKUP($A535,#REF!,9,FALSE())&lt;-2),"",#REF!),"")</f>
        <v/>
      </c>
      <c r="L535" s="0" t="str">
        <f aca="false">IFERROR(IF(OR(HLOOKUP($A535,#REF!,10,FALSE())&gt;2,HLOOKUP($A535,#REF!,10,FALSE())&lt;-2),"",#REF!),"")</f>
        <v/>
      </c>
      <c r="M535" s="0" t="str">
        <f aca="false">IFERROR(IF(OR(HLOOKUP($A535,#REF!,11,FALSE())&gt;2,HLOOKUP($A535,#REF!,11,FALSE())&lt;-2),"",#REF!),"")</f>
        <v/>
      </c>
      <c r="N535" s="0" t="str">
        <f aca="false">IFERROR(IF(OR(HLOOKUP($A535,#REF!,12,FALSE())&gt;2,HLOOKUP($A535,#REF!,12,FALSE())&lt;-2),"",#REF!),"")</f>
        <v/>
      </c>
      <c r="O535" s="0" t="str">
        <f aca="false">IFERROR(IF(OR(HLOOKUP($A535,#REF!,13,FALSE())&gt;2,HLOOKUP($A535,#REF!,13,FALSE())&lt;-2),"",#REF!),"")</f>
        <v/>
      </c>
      <c r="P535" s="0" t="str">
        <f aca="false">IFERROR(IF(OR(HLOOKUP($A535,#REF!,14,FALSE())&gt;2,HLOOKUP($A535,#REF!,14,FALSE())&lt;-2),"",#REF!),"")</f>
        <v/>
      </c>
      <c r="Q535" s="0" t="str">
        <f aca="false">IFERROR(IF(OR(HLOOKUP($A535,#REF!,15,FALSE())&gt;2,HLOOKUP($A535,#REF!,15,FALSE())&lt;-2),"",#REF!),"")</f>
        <v/>
      </c>
      <c r="R535" s="0" t="str">
        <f aca="false">IFERROR(IF(OR(HLOOKUP($A535,#REF!,16,FALSE())&gt;2,HLOOKUP($A535,#REF!,16,FALSE())&lt;-2),"",#REF!),"")</f>
        <v/>
      </c>
      <c r="S535" s="0" t="str">
        <f aca="false">IFERROR(IF(OR(HLOOKUP($A535,#REF!,17,FALSE())&gt;2,HLOOKUP($A535,#REF!,17,FALSE())&lt;-2),"",#REF!),"")</f>
        <v/>
      </c>
      <c r="T535" s="0" t="str">
        <f aca="false">IFERROR(IF(OR(HLOOKUP($A535,#REF!,18,FALSE())&gt;2,HLOOKUP($A535,#REF!,18,FALSE())&lt;-2),"",#REF!),"")</f>
        <v/>
      </c>
      <c r="U535" s="0" t="str">
        <f aca="false">IFERROR(IF(OR(HLOOKUP($A535,#REF!,19,FALSE())&gt;2,HLOOKUP($A535,#REF!,19,FALSE())&lt;-2),"",#REF!),"")</f>
        <v/>
      </c>
      <c r="V535" s="0" t="n">
        <f aca="false">IFERROR(IF(AND(X535=0,Y535=0),0,1),0)</f>
        <v>1</v>
      </c>
      <c r="W535" s="3" t="str">
        <f aca="false">IFERROR(_xlfn.T.TEST(E535:M535,N535:U535,2,2),"")</f>
        <v/>
      </c>
      <c r="X535" s="0" t="str">
        <f aca="false">IFERROR(AVERAGE(E535:M535),"")</f>
        <v/>
      </c>
      <c r="Y535" s="0" t="str">
        <f aca="false">IFERROR(AVERAGE(N535:U535),"")</f>
        <v/>
      </c>
    </row>
    <row r="536" customFormat="false" ht="14.5" hidden="false" customHeight="false" outlineLevel="0" collapsed="false">
      <c r="A536" s="0" t="n">
        <v>544</v>
      </c>
      <c r="B536" s="0" t="s">
        <v>605</v>
      </c>
      <c r="C536" s="0" t="n">
        <v>50400</v>
      </c>
      <c r="D536" s="0" t="n">
        <v>536</v>
      </c>
      <c r="E536" s="0" t="str">
        <f aca="false">IFERROR(IF(OR(HLOOKUP($A536,#REF!,3,FALSE())&gt;2,HLOOKUP(A536,#REF!,3,FALSE())&lt;-2),"",#REF!),"")</f>
        <v/>
      </c>
      <c r="F536" s="0" t="str">
        <f aca="false">IFERROR(IF(OR(HLOOKUP($A536,#REF!,4,FALSE())&gt;2,HLOOKUP($A536,#REF!,4,FALSE())&lt;-2),"",#REF!),"")</f>
        <v/>
      </c>
      <c r="G536" s="0" t="str">
        <f aca="false">IFERROR(IF(OR(HLOOKUP($A536,#REF!,5,FALSE())&gt;2,HLOOKUP($A536,#REF!,5,FALSE())&lt;-2),"",#REF!),"")</f>
        <v/>
      </c>
      <c r="H536" s="0" t="str">
        <f aca="false">IFERROR(IF(OR(HLOOKUP($A536,#REF!,6,FALSE())&gt;2,HLOOKUP($A536,#REF!,6,FALSE())&lt;-2),"",#REF!),"")</f>
        <v/>
      </c>
      <c r="I536" s="0" t="str">
        <f aca="false">IFERROR(IF(OR(HLOOKUP($A536,#REF!,7,FALSE())&gt;2,HLOOKUP($A536,#REF!,7,FALSE())&lt;-2),"",#REF!),"")</f>
        <v/>
      </c>
      <c r="J536" s="0" t="str">
        <f aca="false">IFERROR(IF(OR(HLOOKUP($A536,#REF!,8,FALSE())&gt;2,HLOOKUP($A536,#REF!,8,FALSE())&lt;-2),"",#REF!),"")</f>
        <v/>
      </c>
      <c r="K536" s="0" t="str">
        <f aca="false">IFERROR(IF(OR(HLOOKUP($A536,#REF!,9,FALSE())&gt;2,HLOOKUP($A536,#REF!,9,FALSE())&lt;-2),"",#REF!),"")</f>
        <v/>
      </c>
      <c r="L536" s="0" t="str">
        <f aca="false">IFERROR(IF(OR(HLOOKUP($A536,#REF!,10,FALSE())&gt;2,HLOOKUP($A536,#REF!,10,FALSE())&lt;-2),"",#REF!),"")</f>
        <v/>
      </c>
      <c r="M536" s="0" t="str">
        <f aca="false">IFERROR(IF(OR(HLOOKUP($A536,#REF!,11,FALSE())&gt;2,HLOOKUP($A536,#REF!,11,FALSE())&lt;-2),"",#REF!),"")</f>
        <v/>
      </c>
      <c r="N536" s="0" t="str">
        <f aca="false">IFERROR(IF(OR(HLOOKUP($A536,#REF!,12,FALSE())&gt;2,HLOOKUP($A536,#REF!,12,FALSE())&lt;-2),"",#REF!),"")</f>
        <v/>
      </c>
      <c r="O536" s="0" t="str">
        <f aca="false">IFERROR(IF(OR(HLOOKUP($A536,#REF!,13,FALSE())&gt;2,HLOOKUP($A536,#REF!,13,FALSE())&lt;-2),"",#REF!),"")</f>
        <v/>
      </c>
      <c r="P536" s="0" t="str">
        <f aca="false">IFERROR(IF(OR(HLOOKUP($A536,#REF!,14,FALSE())&gt;2,HLOOKUP($A536,#REF!,14,FALSE())&lt;-2),"",#REF!),"")</f>
        <v/>
      </c>
      <c r="Q536" s="0" t="str">
        <f aca="false">IFERROR(IF(OR(HLOOKUP($A536,#REF!,15,FALSE())&gt;2,HLOOKUP($A536,#REF!,15,FALSE())&lt;-2),"",#REF!),"")</f>
        <v/>
      </c>
      <c r="R536" s="0" t="str">
        <f aca="false">IFERROR(IF(OR(HLOOKUP($A536,#REF!,16,FALSE())&gt;2,HLOOKUP($A536,#REF!,16,FALSE())&lt;-2),"",#REF!),"")</f>
        <v/>
      </c>
      <c r="S536" s="0" t="str">
        <f aca="false">IFERROR(IF(OR(HLOOKUP($A536,#REF!,17,FALSE())&gt;2,HLOOKUP($A536,#REF!,17,FALSE())&lt;-2),"",#REF!),"")</f>
        <v/>
      </c>
      <c r="T536" s="0" t="str">
        <f aca="false">IFERROR(IF(OR(HLOOKUP($A536,#REF!,18,FALSE())&gt;2,HLOOKUP($A536,#REF!,18,FALSE())&lt;-2),"",#REF!),"")</f>
        <v/>
      </c>
      <c r="U536" s="0" t="str">
        <f aca="false">IFERROR(IF(OR(HLOOKUP($A536,#REF!,19,FALSE())&gt;2,HLOOKUP($A536,#REF!,19,FALSE())&lt;-2),"",#REF!),"")</f>
        <v/>
      </c>
      <c r="V536" s="0" t="n">
        <f aca="false">IFERROR(IF(AND(X536=0,Y536=0),0,1),0)</f>
        <v>1</v>
      </c>
      <c r="W536" s="3" t="str">
        <f aca="false">IFERROR(_xlfn.T.TEST(E536:M536,N536:U536,2,2),"")</f>
        <v/>
      </c>
      <c r="X536" s="0" t="str">
        <f aca="false">IFERROR(AVERAGE(E536:M536),"")</f>
        <v/>
      </c>
      <c r="Y536" s="0" t="str">
        <f aca="false">IFERROR(AVERAGE(N536:U536),"")</f>
        <v/>
      </c>
    </row>
    <row r="537" customFormat="false" ht="14.5" hidden="false" customHeight="false" outlineLevel="0" collapsed="false">
      <c r="A537" s="0" t="n">
        <v>545</v>
      </c>
      <c r="B537" s="0" t="s">
        <v>60</v>
      </c>
      <c r="C537" s="0" t="n">
        <v>26200</v>
      </c>
      <c r="D537" s="0" t="n">
        <v>879</v>
      </c>
      <c r="E537" s="0" t="str">
        <f aca="false">IFERROR(IF(OR(HLOOKUP($A537,#REF!,3,FALSE())&gt;2,HLOOKUP(A537,#REF!,3,FALSE())&lt;-2),"",#REF!),"")</f>
        <v/>
      </c>
      <c r="F537" s="0" t="str">
        <f aca="false">IFERROR(IF(OR(HLOOKUP($A537,#REF!,4,FALSE())&gt;2,HLOOKUP($A537,#REF!,4,FALSE())&lt;-2),"",#REF!),"")</f>
        <v/>
      </c>
      <c r="G537" s="0" t="str">
        <f aca="false">IFERROR(IF(OR(HLOOKUP($A537,#REF!,5,FALSE())&gt;2,HLOOKUP($A537,#REF!,5,FALSE())&lt;-2),"",#REF!),"")</f>
        <v/>
      </c>
      <c r="H537" s="0" t="str">
        <f aca="false">IFERROR(IF(OR(HLOOKUP($A537,#REF!,6,FALSE())&gt;2,HLOOKUP($A537,#REF!,6,FALSE())&lt;-2),"",#REF!),"")</f>
        <v/>
      </c>
      <c r="I537" s="0" t="str">
        <f aca="false">IFERROR(IF(OR(HLOOKUP($A537,#REF!,7,FALSE())&gt;2,HLOOKUP($A537,#REF!,7,FALSE())&lt;-2),"",#REF!),"")</f>
        <v/>
      </c>
      <c r="J537" s="0" t="str">
        <f aca="false">IFERROR(IF(OR(HLOOKUP($A537,#REF!,8,FALSE())&gt;2,HLOOKUP($A537,#REF!,8,FALSE())&lt;-2),"",#REF!),"")</f>
        <v/>
      </c>
      <c r="K537" s="0" t="str">
        <f aca="false">IFERROR(IF(OR(HLOOKUP($A537,#REF!,9,FALSE())&gt;2,HLOOKUP($A537,#REF!,9,FALSE())&lt;-2),"",#REF!),"")</f>
        <v/>
      </c>
      <c r="L537" s="0" t="str">
        <f aca="false">IFERROR(IF(OR(HLOOKUP($A537,#REF!,10,FALSE())&gt;2,HLOOKUP($A537,#REF!,10,FALSE())&lt;-2),"",#REF!),"")</f>
        <v/>
      </c>
      <c r="M537" s="0" t="str">
        <f aca="false">IFERROR(IF(OR(HLOOKUP($A537,#REF!,11,FALSE())&gt;2,HLOOKUP($A537,#REF!,11,FALSE())&lt;-2),"",#REF!),"")</f>
        <v/>
      </c>
      <c r="N537" s="0" t="str">
        <f aca="false">IFERROR(IF(OR(HLOOKUP($A537,#REF!,12,FALSE())&gt;2,HLOOKUP($A537,#REF!,12,FALSE())&lt;-2),"",#REF!),"")</f>
        <v/>
      </c>
      <c r="O537" s="0" t="str">
        <f aca="false">IFERROR(IF(OR(HLOOKUP($A537,#REF!,13,FALSE())&gt;2,HLOOKUP($A537,#REF!,13,FALSE())&lt;-2),"",#REF!),"")</f>
        <v/>
      </c>
      <c r="P537" s="0" t="str">
        <f aca="false">IFERROR(IF(OR(HLOOKUP($A537,#REF!,14,FALSE())&gt;2,HLOOKUP($A537,#REF!,14,FALSE())&lt;-2),"",#REF!),"")</f>
        <v/>
      </c>
      <c r="Q537" s="0" t="str">
        <f aca="false">IFERROR(IF(OR(HLOOKUP($A537,#REF!,15,FALSE())&gt;2,HLOOKUP($A537,#REF!,15,FALSE())&lt;-2),"",#REF!),"")</f>
        <v/>
      </c>
      <c r="R537" s="0" t="str">
        <f aca="false">IFERROR(IF(OR(HLOOKUP($A537,#REF!,16,FALSE())&gt;2,HLOOKUP($A537,#REF!,16,FALSE())&lt;-2),"",#REF!),"")</f>
        <v/>
      </c>
      <c r="S537" s="0" t="str">
        <f aca="false">IFERROR(IF(OR(HLOOKUP($A537,#REF!,17,FALSE())&gt;2,HLOOKUP($A537,#REF!,17,FALSE())&lt;-2),"",#REF!),"")</f>
        <v/>
      </c>
      <c r="T537" s="0" t="str">
        <f aca="false">IFERROR(IF(OR(HLOOKUP($A537,#REF!,18,FALSE())&gt;2,HLOOKUP($A537,#REF!,18,FALSE())&lt;-2),"",#REF!),"")</f>
        <v/>
      </c>
      <c r="U537" s="0" t="str">
        <f aca="false">IFERROR(IF(OR(HLOOKUP($A537,#REF!,19,FALSE())&gt;2,HLOOKUP($A537,#REF!,19,FALSE())&lt;-2),"",#REF!),"")</f>
        <v/>
      </c>
      <c r="V537" s="0" t="n">
        <f aca="false">IFERROR(IF(AND(X537=0,Y537=0),0,1),0)</f>
        <v>1</v>
      </c>
      <c r="W537" s="3" t="str">
        <f aca="false">IFERROR(_xlfn.T.TEST(E537:M537,N537:U537,2,2),"")</f>
        <v/>
      </c>
      <c r="X537" s="0" t="str">
        <f aca="false">IFERROR(AVERAGE(E537:M537),"")</f>
        <v/>
      </c>
      <c r="Y537" s="0" t="str">
        <f aca="false">IFERROR(AVERAGE(N537:U537),"")</f>
        <v/>
      </c>
    </row>
    <row r="538" customFormat="false" ht="14.5" hidden="false" customHeight="false" outlineLevel="0" collapsed="false">
      <c r="A538" s="0" t="n">
        <v>546</v>
      </c>
      <c r="B538" s="0" t="s">
        <v>606</v>
      </c>
      <c r="C538" s="0" t="n">
        <v>53500</v>
      </c>
      <c r="D538" s="0" t="n">
        <v>359</v>
      </c>
      <c r="E538" s="0" t="str">
        <f aca="false">IFERROR(IF(OR(HLOOKUP($A538,#REF!,3,FALSE())&gt;2,HLOOKUP(A538,#REF!,3,FALSE())&lt;-2),"",#REF!),"")</f>
        <v/>
      </c>
      <c r="F538" s="0" t="str">
        <f aca="false">IFERROR(IF(OR(HLOOKUP($A538,#REF!,4,FALSE())&gt;2,HLOOKUP($A538,#REF!,4,FALSE())&lt;-2),"",#REF!),"")</f>
        <v/>
      </c>
      <c r="G538" s="0" t="str">
        <f aca="false">IFERROR(IF(OR(HLOOKUP($A538,#REF!,5,FALSE())&gt;2,HLOOKUP($A538,#REF!,5,FALSE())&lt;-2),"",#REF!),"")</f>
        <v/>
      </c>
      <c r="H538" s="0" t="str">
        <f aca="false">IFERROR(IF(OR(HLOOKUP($A538,#REF!,6,FALSE())&gt;2,HLOOKUP($A538,#REF!,6,FALSE())&lt;-2),"",#REF!),"")</f>
        <v/>
      </c>
      <c r="I538" s="0" t="str">
        <f aca="false">IFERROR(IF(OR(HLOOKUP($A538,#REF!,7,FALSE())&gt;2,HLOOKUP($A538,#REF!,7,FALSE())&lt;-2),"",#REF!),"")</f>
        <v/>
      </c>
      <c r="J538" s="0" t="str">
        <f aca="false">IFERROR(IF(OR(HLOOKUP($A538,#REF!,8,FALSE())&gt;2,HLOOKUP($A538,#REF!,8,FALSE())&lt;-2),"",#REF!),"")</f>
        <v/>
      </c>
      <c r="K538" s="0" t="str">
        <f aca="false">IFERROR(IF(OR(HLOOKUP($A538,#REF!,9,FALSE())&gt;2,HLOOKUP($A538,#REF!,9,FALSE())&lt;-2),"",#REF!),"")</f>
        <v/>
      </c>
      <c r="L538" s="0" t="str">
        <f aca="false">IFERROR(IF(OR(HLOOKUP($A538,#REF!,10,FALSE())&gt;2,HLOOKUP($A538,#REF!,10,FALSE())&lt;-2),"",#REF!),"")</f>
        <v/>
      </c>
      <c r="M538" s="0" t="str">
        <f aca="false">IFERROR(IF(OR(HLOOKUP($A538,#REF!,11,FALSE())&gt;2,HLOOKUP($A538,#REF!,11,FALSE())&lt;-2),"",#REF!),"")</f>
        <v/>
      </c>
      <c r="N538" s="0" t="str">
        <f aca="false">IFERROR(IF(OR(HLOOKUP($A538,#REF!,12,FALSE())&gt;2,HLOOKUP($A538,#REF!,12,FALSE())&lt;-2),"",#REF!),"")</f>
        <v/>
      </c>
      <c r="O538" s="0" t="str">
        <f aca="false">IFERROR(IF(OR(HLOOKUP($A538,#REF!,13,FALSE())&gt;2,HLOOKUP($A538,#REF!,13,FALSE())&lt;-2),"",#REF!),"")</f>
        <v/>
      </c>
      <c r="P538" s="0" t="str">
        <f aca="false">IFERROR(IF(OR(HLOOKUP($A538,#REF!,14,FALSE())&gt;2,HLOOKUP($A538,#REF!,14,FALSE())&lt;-2),"",#REF!),"")</f>
        <v/>
      </c>
      <c r="Q538" s="0" t="str">
        <f aca="false">IFERROR(IF(OR(HLOOKUP($A538,#REF!,15,FALSE())&gt;2,HLOOKUP($A538,#REF!,15,FALSE())&lt;-2),"",#REF!),"")</f>
        <v/>
      </c>
      <c r="R538" s="0" t="str">
        <f aca="false">IFERROR(IF(OR(HLOOKUP($A538,#REF!,16,FALSE())&gt;2,HLOOKUP($A538,#REF!,16,FALSE())&lt;-2),"",#REF!),"")</f>
        <v/>
      </c>
      <c r="S538" s="0" t="str">
        <f aca="false">IFERROR(IF(OR(HLOOKUP($A538,#REF!,17,FALSE())&gt;2,HLOOKUP($A538,#REF!,17,FALSE())&lt;-2),"",#REF!),"")</f>
        <v/>
      </c>
      <c r="T538" s="0" t="str">
        <f aca="false">IFERROR(IF(OR(HLOOKUP($A538,#REF!,18,FALSE())&gt;2,HLOOKUP($A538,#REF!,18,FALSE())&lt;-2),"",#REF!),"")</f>
        <v/>
      </c>
      <c r="U538" s="0" t="str">
        <f aca="false">IFERROR(IF(OR(HLOOKUP($A538,#REF!,19,FALSE())&gt;2,HLOOKUP($A538,#REF!,19,FALSE())&lt;-2),"",#REF!),"")</f>
        <v/>
      </c>
      <c r="V538" s="0" t="n">
        <f aca="false">IFERROR(IF(AND(X538=0,Y538=0),0,1),0)</f>
        <v>1</v>
      </c>
      <c r="W538" s="3" t="str">
        <f aca="false">IFERROR(_xlfn.T.TEST(E538:M538,N538:U538,2,2),"")</f>
        <v/>
      </c>
      <c r="X538" s="0" t="str">
        <f aca="false">IFERROR(AVERAGE(E538:M538),"")</f>
        <v/>
      </c>
      <c r="Y538" s="0" t="str">
        <f aca="false">IFERROR(AVERAGE(N538:U538),"")</f>
        <v/>
      </c>
    </row>
    <row r="539" customFormat="false" ht="14.5" hidden="false" customHeight="false" outlineLevel="0" collapsed="false">
      <c r="A539" s="0" t="n">
        <v>547</v>
      </c>
      <c r="B539" s="0" t="s">
        <v>607</v>
      </c>
      <c r="C539" s="0" t="n">
        <v>115600</v>
      </c>
      <c r="D539" s="0" t="n">
        <v>70</v>
      </c>
      <c r="E539" s="0" t="str">
        <f aca="false">IFERROR(IF(OR(HLOOKUP($A539,#REF!,3,FALSE())&gt;2,HLOOKUP(A539,#REF!,3,FALSE())&lt;-2),"",#REF!),"")</f>
        <v/>
      </c>
      <c r="F539" s="0" t="str">
        <f aca="false">IFERROR(IF(OR(HLOOKUP($A539,#REF!,4,FALSE())&gt;2,HLOOKUP($A539,#REF!,4,FALSE())&lt;-2),"",#REF!),"")</f>
        <v/>
      </c>
      <c r="G539" s="0" t="str">
        <f aca="false">IFERROR(IF(OR(HLOOKUP($A539,#REF!,5,FALSE())&gt;2,HLOOKUP($A539,#REF!,5,FALSE())&lt;-2),"",#REF!),"")</f>
        <v/>
      </c>
      <c r="H539" s="0" t="str">
        <f aca="false">IFERROR(IF(OR(HLOOKUP($A539,#REF!,6,FALSE())&gt;2,HLOOKUP($A539,#REF!,6,FALSE())&lt;-2),"",#REF!),"")</f>
        <v/>
      </c>
      <c r="I539" s="0" t="str">
        <f aca="false">IFERROR(IF(OR(HLOOKUP($A539,#REF!,7,FALSE())&gt;2,HLOOKUP($A539,#REF!,7,FALSE())&lt;-2),"",#REF!),"")</f>
        <v/>
      </c>
      <c r="J539" s="0" t="str">
        <f aca="false">IFERROR(IF(OR(HLOOKUP($A539,#REF!,8,FALSE())&gt;2,HLOOKUP($A539,#REF!,8,FALSE())&lt;-2),"",#REF!),"")</f>
        <v/>
      </c>
      <c r="K539" s="0" t="str">
        <f aca="false">IFERROR(IF(OR(HLOOKUP($A539,#REF!,9,FALSE())&gt;2,HLOOKUP($A539,#REF!,9,FALSE())&lt;-2),"",#REF!),"")</f>
        <v/>
      </c>
      <c r="L539" s="0" t="str">
        <f aca="false">IFERROR(IF(OR(HLOOKUP($A539,#REF!,10,FALSE())&gt;2,HLOOKUP($A539,#REF!,10,FALSE())&lt;-2),"",#REF!),"")</f>
        <v/>
      </c>
      <c r="M539" s="0" t="str">
        <f aca="false">IFERROR(IF(OR(HLOOKUP($A539,#REF!,11,FALSE())&gt;2,HLOOKUP($A539,#REF!,11,FALSE())&lt;-2),"",#REF!),"")</f>
        <v/>
      </c>
      <c r="N539" s="0" t="str">
        <f aca="false">IFERROR(IF(OR(HLOOKUP($A539,#REF!,12,FALSE())&gt;2,HLOOKUP($A539,#REF!,12,FALSE())&lt;-2),"",#REF!),"")</f>
        <v/>
      </c>
      <c r="O539" s="0" t="str">
        <f aca="false">IFERROR(IF(OR(HLOOKUP($A539,#REF!,13,FALSE())&gt;2,HLOOKUP($A539,#REF!,13,FALSE())&lt;-2),"",#REF!),"")</f>
        <v/>
      </c>
      <c r="P539" s="0" t="str">
        <f aca="false">IFERROR(IF(OR(HLOOKUP($A539,#REF!,14,FALSE())&gt;2,HLOOKUP($A539,#REF!,14,FALSE())&lt;-2),"",#REF!),"")</f>
        <v/>
      </c>
      <c r="Q539" s="0" t="str">
        <f aca="false">IFERROR(IF(OR(HLOOKUP($A539,#REF!,15,FALSE())&gt;2,HLOOKUP($A539,#REF!,15,FALSE())&lt;-2),"",#REF!),"")</f>
        <v/>
      </c>
      <c r="R539" s="0" t="str">
        <f aca="false">IFERROR(IF(OR(HLOOKUP($A539,#REF!,16,FALSE())&gt;2,HLOOKUP($A539,#REF!,16,FALSE())&lt;-2),"",#REF!),"")</f>
        <v/>
      </c>
      <c r="S539" s="0" t="str">
        <f aca="false">IFERROR(IF(OR(HLOOKUP($A539,#REF!,17,FALSE())&gt;2,HLOOKUP($A539,#REF!,17,FALSE())&lt;-2),"",#REF!),"")</f>
        <v/>
      </c>
      <c r="T539" s="0" t="str">
        <f aca="false">IFERROR(IF(OR(HLOOKUP($A539,#REF!,18,FALSE())&gt;2,HLOOKUP($A539,#REF!,18,FALSE())&lt;-2),"",#REF!),"")</f>
        <v/>
      </c>
      <c r="U539" s="0" t="str">
        <f aca="false">IFERROR(IF(OR(HLOOKUP($A539,#REF!,19,FALSE())&gt;2,HLOOKUP($A539,#REF!,19,FALSE())&lt;-2),"",#REF!),"")</f>
        <v/>
      </c>
      <c r="V539" s="0" t="n">
        <f aca="false">IFERROR(IF(AND(X539=0,Y539=0),0,1),0)</f>
        <v>1</v>
      </c>
      <c r="W539" s="3" t="str">
        <f aca="false">IFERROR(_xlfn.T.TEST(E539:M539,N539:U539,2,2),"")</f>
        <v/>
      </c>
      <c r="X539" s="0" t="str">
        <f aca="false">IFERROR(AVERAGE(E539:M539),"")</f>
        <v/>
      </c>
      <c r="Y539" s="0" t="str">
        <f aca="false">IFERROR(AVERAGE(N539:U539),"")</f>
        <v/>
      </c>
    </row>
    <row r="540" customFormat="false" ht="14.5" hidden="false" customHeight="false" outlineLevel="0" collapsed="false">
      <c r="A540" s="0" t="n">
        <v>548</v>
      </c>
      <c r="B540" s="0" t="s">
        <v>608</v>
      </c>
      <c r="C540" s="0" t="n">
        <v>80500</v>
      </c>
      <c r="D540" s="0" t="n">
        <v>128</v>
      </c>
      <c r="E540" s="0" t="str">
        <f aca="false">IFERROR(IF(OR(HLOOKUP($A540,#REF!,3,FALSE())&gt;2,HLOOKUP(A540,#REF!,3,FALSE())&lt;-2),"",#REF!),"")</f>
        <v/>
      </c>
      <c r="F540" s="0" t="str">
        <f aca="false">IFERROR(IF(OR(HLOOKUP($A540,#REF!,4,FALSE())&gt;2,HLOOKUP($A540,#REF!,4,FALSE())&lt;-2),"",#REF!),"")</f>
        <v/>
      </c>
      <c r="G540" s="0" t="str">
        <f aca="false">IFERROR(IF(OR(HLOOKUP($A540,#REF!,5,FALSE())&gt;2,HLOOKUP($A540,#REF!,5,FALSE())&lt;-2),"",#REF!),"")</f>
        <v/>
      </c>
      <c r="H540" s="0" t="str">
        <f aca="false">IFERROR(IF(OR(HLOOKUP($A540,#REF!,6,FALSE())&gt;2,HLOOKUP($A540,#REF!,6,FALSE())&lt;-2),"",#REF!),"")</f>
        <v/>
      </c>
      <c r="I540" s="0" t="str">
        <f aca="false">IFERROR(IF(OR(HLOOKUP($A540,#REF!,7,FALSE())&gt;2,HLOOKUP($A540,#REF!,7,FALSE())&lt;-2),"",#REF!),"")</f>
        <v/>
      </c>
      <c r="J540" s="0" t="str">
        <f aca="false">IFERROR(IF(OR(HLOOKUP($A540,#REF!,8,FALSE())&gt;2,HLOOKUP($A540,#REF!,8,FALSE())&lt;-2),"",#REF!),"")</f>
        <v/>
      </c>
      <c r="K540" s="0" t="str">
        <f aca="false">IFERROR(IF(OR(HLOOKUP($A540,#REF!,9,FALSE())&gt;2,HLOOKUP($A540,#REF!,9,FALSE())&lt;-2),"",#REF!),"")</f>
        <v/>
      </c>
      <c r="L540" s="0" t="str">
        <f aca="false">IFERROR(IF(OR(HLOOKUP($A540,#REF!,10,FALSE())&gt;2,HLOOKUP($A540,#REF!,10,FALSE())&lt;-2),"",#REF!),"")</f>
        <v/>
      </c>
      <c r="M540" s="0" t="str">
        <f aca="false">IFERROR(IF(OR(HLOOKUP($A540,#REF!,11,FALSE())&gt;2,HLOOKUP($A540,#REF!,11,FALSE())&lt;-2),"",#REF!),"")</f>
        <v/>
      </c>
      <c r="N540" s="0" t="str">
        <f aca="false">IFERROR(IF(OR(HLOOKUP($A540,#REF!,12,FALSE())&gt;2,HLOOKUP($A540,#REF!,12,FALSE())&lt;-2),"",#REF!),"")</f>
        <v/>
      </c>
      <c r="O540" s="0" t="str">
        <f aca="false">IFERROR(IF(OR(HLOOKUP($A540,#REF!,13,FALSE())&gt;2,HLOOKUP($A540,#REF!,13,FALSE())&lt;-2),"",#REF!),"")</f>
        <v/>
      </c>
      <c r="P540" s="0" t="str">
        <f aca="false">IFERROR(IF(OR(HLOOKUP($A540,#REF!,14,FALSE())&gt;2,HLOOKUP($A540,#REF!,14,FALSE())&lt;-2),"",#REF!),"")</f>
        <v/>
      </c>
      <c r="Q540" s="0" t="str">
        <f aca="false">IFERROR(IF(OR(HLOOKUP($A540,#REF!,15,FALSE())&gt;2,HLOOKUP($A540,#REF!,15,FALSE())&lt;-2),"",#REF!),"")</f>
        <v/>
      </c>
      <c r="R540" s="0" t="str">
        <f aca="false">IFERROR(IF(OR(HLOOKUP($A540,#REF!,16,FALSE())&gt;2,HLOOKUP($A540,#REF!,16,FALSE())&lt;-2),"",#REF!),"")</f>
        <v/>
      </c>
      <c r="S540" s="0" t="str">
        <f aca="false">IFERROR(IF(OR(HLOOKUP($A540,#REF!,17,FALSE())&gt;2,HLOOKUP($A540,#REF!,17,FALSE())&lt;-2),"",#REF!),"")</f>
        <v/>
      </c>
      <c r="T540" s="0" t="str">
        <f aca="false">IFERROR(IF(OR(HLOOKUP($A540,#REF!,18,FALSE())&gt;2,HLOOKUP($A540,#REF!,18,FALSE())&lt;-2),"",#REF!),"")</f>
        <v/>
      </c>
      <c r="U540" s="0" t="str">
        <f aca="false">IFERROR(IF(OR(HLOOKUP($A540,#REF!,19,FALSE())&gt;2,HLOOKUP($A540,#REF!,19,FALSE())&lt;-2),"",#REF!),"")</f>
        <v/>
      </c>
      <c r="V540" s="0" t="n">
        <f aca="false">IFERROR(IF(AND(X540=0,Y540=0),0,1),0)</f>
        <v>1</v>
      </c>
      <c r="W540" s="3" t="str">
        <f aca="false">IFERROR(_xlfn.T.TEST(E540:M540,N540:U540,2,2),"")</f>
        <v/>
      </c>
      <c r="X540" s="0" t="str">
        <f aca="false">IFERROR(AVERAGE(E540:M540),"")</f>
        <v/>
      </c>
      <c r="Y540" s="0" t="str">
        <f aca="false">IFERROR(AVERAGE(N540:U540),"")</f>
        <v/>
      </c>
    </row>
    <row r="541" customFormat="false" ht="14.5" hidden="false" customHeight="false" outlineLevel="0" collapsed="false">
      <c r="A541" s="0" t="n">
        <v>549</v>
      </c>
      <c r="B541" s="0" t="s">
        <v>609</v>
      </c>
      <c r="C541" s="0" t="n">
        <v>63500</v>
      </c>
      <c r="D541" s="0" t="n">
        <v>1129</v>
      </c>
      <c r="E541" s="0" t="str">
        <f aca="false">IFERROR(IF(OR(HLOOKUP($A541,#REF!,3,FALSE())&gt;2,HLOOKUP(A541,#REF!,3,FALSE())&lt;-2),"",#REF!),"")</f>
        <v/>
      </c>
      <c r="F541" s="0" t="str">
        <f aca="false">IFERROR(IF(OR(HLOOKUP($A541,#REF!,4,FALSE())&gt;2,HLOOKUP($A541,#REF!,4,FALSE())&lt;-2),"",#REF!),"")</f>
        <v/>
      </c>
      <c r="G541" s="0" t="str">
        <f aca="false">IFERROR(IF(OR(HLOOKUP($A541,#REF!,5,FALSE())&gt;2,HLOOKUP($A541,#REF!,5,FALSE())&lt;-2),"",#REF!),"")</f>
        <v/>
      </c>
      <c r="H541" s="0" t="str">
        <f aca="false">IFERROR(IF(OR(HLOOKUP($A541,#REF!,6,FALSE())&gt;2,HLOOKUP($A541,#REF!,6,FALSE())&lt;-2),"",#REF!),"")</f>
        <v/>
      </c>
      <c r="I541" s="0" t="str">
        <f aca="false">IFERROR(IF(OR(HLOOKUP($A541,#REF!,7,FALSE())&gt;2,HLOOKUP($A541,#REF!,7,FALSE())&lt;-2),"",#REF!),"")</f>
        <v/>
      </c>
      <c r="J541" s="0" t="str">
        <f aca="false">IFERROR(IF(OR(HLOOKUP($A541,#REF!,8,FALSE())&gt;2,HLOOKUP($A541,#REF!,8,FALSE())&lt;-2),"",#REF!),"")</f>
        <v/>
      </c>
      <c r="K541" s="0" t="str">
        <f aca="false">IFERROR(IF(OR(HLOOKUP($A541,#REF!,9,FALSE())&gt;2,HLOOKUP($A541,#REF!,9,FALSE())&lt;-2),"",#REF!),"")</f>
        <v/>
      </c>
      <c r="L541" s="0" t="str">
        <f aca="false">IFERROR(IF(OR(HLOOKUP($A541,#REF!,10,FALSE())&gt;2,HLOOKUP($A541,#REF!,10,FALSE())&lt;-2),"",#REF!),"")</f>
        <v/>
      </c>
      <c r="M541" s="0" t="str">
        <f aca="false">IFERROR(IF(OR(HLOOKUP($A541,#REF!,11,FALSE())&gt;2,HLOOKUP($A541,#REF!,11,FALSE())&lt;-2),"",#REF!),"")</f>
        <v/>
      </c>
      <c r="N541" s="0" t="str">
        <f aca="false">IFERROR(IF(OR(HLOOKUP($A541,#REF!,12,FALSE())&gt;2,HLOOKUP($A541,#REF!,12,FALSE())&lt;-2),"",#REF!),"")</f>
        <v/>
      </c>
      <c r="O541" s="0" t="str">
        <f aca="false">IFERROR(IF(OR(HLOOKUP($A541,#REF!,13,FALSE())&gt;2,HLOOKUP($A541,#REF!,13,FALSE())&lt;-2),"",#REF!),"")</f>
        <v/>
      </c>
      <c r="P541" s="0" t="str">
        <f aca="false">IFERROR(IF(OR(HLOOKUP($A541,#REF!,14,FALSE())&gt;2,HLOOKUP($A541,#REF!,14,FALSE())&lt;-2),"",#REF!),"")</f>
        <v/>
      </c>
      <c r="Q541" s="0" t="str">
        <f aca="false">IFERROR(IF(OR(HLOOKUP($A541,#REF!,15,FALSE())&gt;2,HLOOKUP($A541,#REF!,15,FALSE())&lt;-2),"",#REF!),"")</f>
        <v/>
      </c>
      <c r="R541" s="0" t="str">
        <f aca="false">IFERROR(IF(OR(HLOOKUP($A541,#REF!,16,FALSE())&gt;2,HLOOKUP($A541,#REF!,16,FALSE())&lt;-2),"",#REF!),"")</f>
        <v/>
      </c>
      <c r="S541" s="0" t="str">
        <f aca="false">IFERROR(IF(OR(HLOOKUP($A541,#REF!,17,FALSE())&gt;2,HLOOKUP($A541,#REF!,17,FALSE())&lt;-2),"",#REF!),"")</f>
        <v/>
      </c>
      <c r="T541" s="0" t="str">
        <f aca="false">IFERROR(IF(OR(HLOOKUP($A541,#REF!,18,FALSE())&gt;2,HLOOKUP($A541,#REF!,18,FALSE())&lt;-2),"",#REF!),"")</f>
        <v/>
      </c>
      <c r="U541" s="0" t="str">
        <f aca="false">IFERROR(IF(OR(HLOOKUP($A541,#REF!,19,FALSE())&gt;2,HLOOKUP($A541,#REF!,19,FALSE())&lt;-2),"",#REF!),"")</f>
        <v/>
      </c>
      <c r="V541" s="0" t="n">
        <f aca="false">IFERROR(IF(AND(X541=0,Y541=0),0,1),0)</f>
        <v>1</v>
      </c>
      <c r="W541" s="3" t="str">
        <f aca="false">IFERROR(_xlfn.T.TEST(E541:M541,N541:U541,2,2),"")</f>
        <v/>
      </c>
      <c r="X541" s="0" t="str">
        <f aca="false">IFERROR(AVERAGE(E541:M541),"")</f>
        <v/>
      </c>
      <c r="Y541" s="0" t="str">
        <f aca="false">IFERROR(AVERAGE(N541:U541),"")</f>
        <v/>
      </c>
    </row>
    <row r="542" customFormat="false" ht="14.5" hidden="false" customHeight="false" outlineLevel="0" collapsed="false">
      <c r="A542" s="0" t="n">
        <v>550</v>
      </c>
      <c r="B542" s="0" t="s">
        <v>610</v>
      </c>
      <c r="C542" s="0" t="n">
        <v>43500</v>
      </c>
      <c r="D542" s="0" t="n">
        <v>926</v>
      </c>
      <c r="E542" s="0" t="str">
        <f aca="false">IFERROR(IF(OR(HLOOKUP($A542,#REF!,3,FALSE())&gt;2,HLOOKUP(A542,#REF!,3,FALSE())&lt;-2),"",#REF!),"")</f>
        <v/>
      </c>
      <c r="F542" s="0" t="str">
        <f aca="false">IFERROR(IF(OR(HLOOKUP($A542,#REF!,4,FALSE())&gt;2,HLOOKUP($A542,#REF!,4,FALSE())&lt;-2),"",#REF!),"")</f>
        <v/>
      </c>
      <c r="G542" s="0" t="str">
        <f aca="false">IFERROR(IF(OR(HLOOKUP($A542,#REF!,5,FALSE())&gt;2,HLOOKUP($A542,#REF!,5,FALSE())&lt;-2),"",#REF!),"")</f>
        <v/>
      </c>
      <c r="H542" s="0" t="str">
        <f aca="false">IFERROR(IF(OR(HLOOKUP($A542,#REF!,6,FALSE())&gt;2,HLOOKUP($A542,#REF!,6,FALSE())&lt;-2),"",#REF!),"")</f>
        <v/>
      </c>
      <c r="I542" s="0" t="str">
        <f aca="false">IFERROR(IF(OR(HLOOKUP($A542,#REF!,7,FALSE())&gt;2,HLOOKUP($A542,#REF!,7,FALSE())&lt;-2),"",#REF!),"")</f>
        <v/>
      </c>
      <c r="J542" s="0" t="str">
        <f aca="false">IFERROR(IF(OR(HLOOKUP($A542,#REF!,8,FALSE())&gt;2,HLOOKUP($A542,#REF!,8,FALSE())&lt;-2),"",#REF!),"")</f>
        <v/>
      </c>
      <c r="K542" s="0" t="str">
        <f aca="false">IFERROR(IF(OR(HLOOKUP($A542,#REF!,9,FALSE())&gt;2,HLOOKUP($A542,#REF!,9,FALSE())&lt;-2),"",#REF!),"")</f>
        <v/>
      </c>
      <c r="L542" s="0" t="str">
        <f aca="false">IFERROR(IF(OR(HLOOKUP($A542,#REF!,10,FALSE())&gt;2,HLOOKUP($A542,#REF!,10,FALSE())&lt;-2),"",#REF!),"")</f>
        <v/>
      </c>
      <c r="M542" s="0" t="str">
        <f aca="false">IFERROR(IF(OR(HLOOKUP($A542,#REF!,11,FALSE())&gt;2,HLOOKUP($A542,#REF!,11,FALSE())&lt;-2),"",#REF!),"")</f>
        <v/>
      </c>
      <c r="N542" s="0" t="str">
        <f aca="false">IFERROR(IF(OR(HLOOKUP($A542,#REF!,12,FALSE())&gt;2,HLOOKUP($A542,#REF!,12,FALSE())&lt;-2),"",#REF!),"")</f>
        <v/>
      </c>
      <c r="O542" s="0" t="str">
        <f aca="false">IFERROR(IF(OR(HLOOKUP($A542,#REF!,13,FALSE())&gt;2,HLOOKUP($A542,#REF!,13,FALSE())&lt;-2),"",#REF!),"")</f>
        <v/>
      </c>
      <c r="P542" s="0" t="str">
        <f aca="false">IFERROR(IF(OR(HLOOKUP($A542,#REF!,14,FALSE())&gt;2,HLOOKUP($A542,#REF!,14,FALSE())&lt;-2),"",#REF!),"")</f>
        <v/>
      </c>
      <c r="Q542" s="0" t="str">
        <f aca="false">IFERROR(IF(OR(HLOOKUP($A542,#REF!,15,FALSE())&gt;2,HLOOKUP($A542,#REF!,15,FALSE())&lt;-2),"",#REF!),"")</f>
        <v/>
      </c>
      <c r="R542" s="0" t="str">
        <f aca="false">IFERROR(IF(OR(HLOOKUP($A542,#REF!,16,FALSE())&gt;2,HLOOKUP($A542,#REF!,16,FALSE())&lt;-2),"",#REF!),"")</f>
        <v/>
      </c>
      <c r="S542" s="0" t="str">
        <f aca="false">IFERROR(IF(OR(HLOOKUP($A542,#REF!,17,FALSE())&gt;2,HLOOKUP($A542,#REF!,17,FALSE())&lt;-2),"",#REF!),"")</f>
        <v/>
      </c>
      <c r="T542" s="0" t="str">
        <f aca="false">IFERROR(IF(OR(HLOOKUP($A542,#REF!,18,FALSE())&gt;2,HLOOKUP($A542,#REF!,18,FALSE())&lt;-2),"",#REF!),"")</f>
        <v/>
      </c>
      <c r="U542" s="0" t="str">
        <f aca="false">IFERROR(IF(OR(HLOOKUP($A542,#REF!,19,FALSE())&gt;2,HLOOKUP($A542,#REF!,19,FALSE())&lt;-2),"",#REF!),"")</f>
        <v/>
      </c>
      <c r="V542" s="0" t="n">
        <f aca="false">IFERROR(IF(AND(X542=0,Y542=0),0,1),0)</f>
        <v>1</v>
      </c>
      <c r="W542" s="3" t="str">
        <f aca="false">IFERROR(_xlfn.T.TEST(E542:M542,N542:U542,2,2),"")</f>
        <v/>
      </c>
      <c r="X542" s="0" t="str">
        <f aca="false">IFERROR(AVERAGE(E542:M542),"")</f>
        <v/>
      </c>
      <c r="Y542" s="0" t="str">
        <f aca="false">IFERROR(AVERAGE(N542:U542),"")</f>
        <v/>
      </c>
    </row>
    <row r="543" customFormat="false" ht="14.5" hidden="false" customHeight="false" outlineLevel="0" collapsed="false">
      <c r="A543" s="0" t="n">
        <v>551</v>
      </c>
      <c r="B543" s="0" t="s">
        <v>611</v>
      </c>
      <c r="C543" s="0" t="n">
        <v>50500</v>
      </c>
      <c r="D543" s="0" t="n">
        <v>536</v>
      </c>
      <c r="E543" s="0" t="str">
        <f aca="false">IFERROR(IF(OR(HLOOKUP($A543,#REF!,3,FALSE())&gt;2,HLOOKUP(A543,#REF!,3,FALSE())&lt;-2),"",#REF!),"")</f>
        <v/>
      </c>
      <c r="F543" s="0" t="str">
        <f aca="false">IFERROR(IF(OR(HLOOKUP($A543,#REF!,4,FALSE())&gt;2,HLOOKUP($A543,#REF!,4,FALSE())&lt;-2),"",#REF!),"")</f>
        <v/>
      </c>
      <c r="G543" s="0" t="str">
        <f aca="false">IFERROR(IF(OR(HLOOKUP($A543,#REF!,5,FALSE())&gt;2,HLOOKUP($A543,#REF!,5,FALSE())&lt;-2),"",#REF!),"")</f>
        <v/>
      </c>
      <c r="H543" s="0" t="str">
        <f aca="false">IFERROR(IF(OR(HLOOKUP($A543,#REF!,6,FALSE())&gt;2,HLOOKUP($A543,#REF!,6,FALSE())&lt;-2),"",#REF!),"")</f>
        <v/>
      </c>
      <c r="I543" s="0" t="str">
        <f aca="false">IFERROR(IF(OR(HLOOKUP($A543,#REF!,7,FALSE())&gt;2,HLOOKUP($A543,#REF!,7,FALSE())&lt;-2),"",#REF!),"")</f>
        <v/>
      </c>
      <c r="J543" s="0" t="str">
        <f aca="false">IFERROR(IF(OR(HLOOKUP($A543,#REF!,8,FALSE())&gt;2,HLOOKUP($A543,#REF!,8,FALSE())&lt;-2),"",#REF!),"")</f>
        <v/>
      </c>
      <c r="K543" s="0" t="str">
        <f aca="false">IFERROR(IF(OR(HLOOKUP($A543,#REF!,9,FALSE())&gt;2,HLOOKUP($A543,#REF!,9,FALSE())&lt;-2),"",#REF!),"")</f>
        <v/>
      </c>
      <c r="L543" s="0" t="str">
        <f aca="false">IFERROR(IF(OR(HLOOKUP($A543,#REF!,10,FALSE())&gt;2,HLOOKUP($A543,#REF!,10,FALSE())&lt;-2),"",#REF!),"")</f>
        <v/>
      </c>
      <c r="M543" s="0" t="str">
        <f aca="false">IFERROR(IF(OR(HLOOKUP($A543,#REF!,11,FALSE())&gt;2,HLOOKUP($A543,#REF!,11,FALSE())&lt;-2),"",#REF!),"")</f>
        <v/>
      </c>
      <c r="N543" s="0" t="str">
        <f aca="false">IFERROR(IF(OR(HLOOKUP($A543,#REF!,12,FALSE())&gt;2,HLOOKUP($A543,#REF!,12,FALSE())&lt;-2),"",#REF!),"")</f>
        <v/>
      </c>
      <c r="O543" s="0" t="str">
        <f aca="false">IFERROR(IF(OR(HLOOKUP($A543,#REF!,13,FALSE())&gt;2,HLOOKUP($A543,#REF!,13,FALSE())&lt;-2),"",#REF!),"")</f>
        <v/>
      </c>
      <c r="P543" s="0" t="str">
        <f aca="false">IFERROR(IF(OR(HLOOKUP($A543,#REF!,14,FALSE())&gt;2,HLOOKUP($A543,#REF!,14,FALSE())&lt;-2),"",#REF!),"")</f>
        <v/>
      </c>
      <c r="Q543" s="0" t="str">
        <f aca="false">IFERROR(IF(OR(HLOOKUP($A543,#REF!,15,FALSE())&gt;2,HLOOKUP($A543,#REF!,15,FALSE())&lt;-2),"",#REF!),"")</f>
        <v/>
      </c>
      <c r="R543" s="0" t="str">
        <f aca="false">IFERROR(IF(OR(HLOOKUP($A543,#REF!,16,FALSE())&gt;2,HLOOKUP($A543,#REF!,16,FALSE())&lt;-2),"",#REF!),"")</f>
        <v/>
      </c>
      <c r="S543" s="0" t="str">
        <f aca="false">IFERROR(IF(OR(HLOOKUP($A543,#REF!,17,FALSE())&gt;2,HLOOKUP($A543,#REF!,17,FALSE())&lt;-2),"",#REF!),"")</f>
        <v/>
      </c>
      <c r="T543" s="0" t="str">
        <f aca="false">IFERROR(IF(OR(HLOOKUP($A543,#REF!,18,FALSE())&gt;2,HLOOKUP($A543,#REF!,18,FALSE())&lt;-2),"",#REF!),"")</f>
        <v/>
      </c>
      <c r="U543" s="0" t="str">
        <f aca="false">IFERROR(IF(OR(HLOOKUP($A543,#REF!,19,FALSE())&gt;2,HLOOKUP($A543,#REF!,19,FALSE())&lt;-2),"",#REF!),"")</f>
        <v/>
      </c>
      <c r="V543" s="0" t="n">
        <f aca="false">IFERROR(IF(AND(X543=0,Y543=0),0,1),0)</f>
        <v>1</v>
      </c>
      <c r="W543" s="3" t="str">
        <f aca="false">IFERROR(_xlfn.T.TEST(E543:M543,N543:U543,2,2),"")</f>
        <v/>
      </c>
      <c r="X543" s="0" t="str">
        <f aca="false">IFERROR(AVERAGE(E543:M543),"")</f>
        <v/>
      </c>
      <c r="Y543" s="0" t="str">
        <f aca="false">IFERROR(AVERAGE(N543:U543),"")</f>
        <v/>
      </c>
    </row>
    <row r="544" customFormat="false" ht="14.5" hidden="false" customHeight="false" outlineLevel="0" collapsed="false">
      <c r="A544" s="0" t="n">
        <v>552</v>
      </c>
      <c r="B544" s="0" t="s">
        <v>612</v>
      </c>
      <c r="C544" s="0" t="n">
        <v>87700</v>
      </c>
      <c r="D544" s="0" t="n">
        <v>987</v>
      </c>
      <c r="E544" s="0" t="str">
        <f aca="false">IFERROR(IF(OR(HLOOKUP($A544,#REF!,3,FALSE())&gt;2,HLOOKUP(A544,#REF!,3,FALSE())&lt;-2),"",#REF!),"")</f>
        <v/>
      </c>
      <c r="F544" s="0" t="str">
        <f aca="false">IFERROR(IF(OR(HLOOKUP($A544,#REF!,4,FALSE())&gt;2,HLOOKUP($A544,#REF!,4,FALSE())&lt;-2),"",#REF!),"")</f>
        <v/>
      </c>
      <c r="G544" s="0" t="str">
        <f aca="false">IFERROR(IF(OR(HLOOKUP($A544,#REF!,5,FALSE())&gt;2,HLOOKUP($A544,#REF!,5,FALSE())&lt;-2),"",#REF!),"")</f>
        <v/>
      </c>
      <c r="H544" s="0" t="str">
        <f aca="false">IFERROR(IF(OR(HLOOKUP($A544,#REF!,6,FALSE())&gt;2,HLOOKUP($A544,#REF!,6,FALSE())&lt;-2),"",#REF!),"")</f>
        <v/>
      </c>
      <c r="I544" s="0" t="str">
        <f aca="false">IFERROR(IF(OR(HLOOKUP($A544,#REF!,7,FALSE())&gt;2,HLOOKUP($A544,#REF!,7,FALSE())&lt;-2),"",#REF!),"")</f>
        <v/>
      </c>
      <c r="J544" s="0" t="str">
        <f aca="false">IFERROR(IF(OR(HLOOKUP($A544,#REF!,8,FALSE())&gt;2,HLOOKUP($A544,#REF!,8,FALSE())&lt;-2),"",#REF!),"")</f>
        <v/>
      </c>
      <c r="K544" s="0" t="str">
        <f aca="false">IFERROR(IF(OR(HLOOKUP($A544,#REF!,9,FALSE())&gt;2,HLOOKUP($A544,#REF!,9,FALSE())&lt;-2),"",#REF!),"")</f>
        <v/>
      </c>
      <c r="L544" s="0" t="str">
        <f aca="false">IFERROR(IF(OR(HLOOKUP($A544,#REF!,10,FALSE())&gt;2,HLOOKUP($A544,#REF!,10,FALSE())&lt;-2),"",#REF!),"")</f>
        <v/>
      </c>
      <c r="M544" s="0" t="str">
        <f aca="false">IFERROR(IF(OR(HLOOKUP($A544,#REF!,11,FALSE())&gt;2,HLOOKUP($A544,#REF!,11,FALSE())&lt;-2),"",#REF!),"")</f>
        <v/>
      </c>
      <c r="N544" s="0" t="str">
        <f aca="false">IFERROR(IF(OR(HLOOKUP($A544,#REF!,12,FALSE())&gt;2,HLOOKUP($A544,#REF!,12,FALSE())&lt;-2),"",#REF!),"")</f>
        <v/>
      </c>
      <c r="O544" s="0" t="str">
        <f aca="false">IFERROR(IF(OR(HLOOKUP($A544,#REF!,13,FALSE())&gt;2,HLOOKUP($A544,#REF!,13,FALSE())&lt;-2),"",#REF!),"")</f>
        <v/>
      </c>
      <c r="P544" s="0" t="str">
        <f aca="false">IFERROR(IF(OR(HLOOKUP($A544,#REF!,14,FALSE())&gt;2,HLOOKUP($A544,#REF!,14,FALSE())&lt;-2),"",#REF!),"")</f>
        <v/>
      </c>
      <c r="Q544" s="0" t="str">
        <f aca="false">IFERROR(IF(OR(HLOOKUP($A544,#REF!,15,FALSE())&gt;2,HLOOKUP($A544,#REF!,15,FALSE())&lt;-2),"",#REF!),"")</f>
        <v/>
      </c>
      <c r="R544" s="0" t="str">
        <f aca="false">IFERROR(IF(OR(HLOOKUP($A544,#REF!,16,FALSE())&gt;2,HLOOKUP($A544,#REF!,16,FALSE())&lt;-2),"",#REF!),"")</f>
        <v/>
      </c>
      <c r="S544" s="0" t="str">
        <f aca="false">IFERROR(IF(OR(HLOOKUP($A544,#REF!,17,FALSE())&gt;2,HLOOKUP($A544,#REF!,17,FALSE())&lt;-2),"",#REF!),"")</f>
        <v/>
      </c>
      <c r="T544" s="0" t="str">
        <f aca="false">IFERROR(IF(OR(HLOOKUP($A544,#REF!,18,FALSE())&gt;2,HLOOKUP($A544,#REF!,18,FALSE())&lt;-2),"",#REF!),"")</f>
        <v/>
      </c>
      <c r="U544" s="0" t="str">
        <f aca="false">IFERROR(IF(OR(HLOOKUP($A544,#REF!,19,FALSE())&gt;2,HLOOKUP($A544,#REF!,19,FALSE())&lt;-2),"",#REF!),"")</f>
        <v/>
      </c>
      <c r="V544" s="0" t="n">
        <f aca="false">IFERROR(IF(AND(X544=0,Y544=0),0,1),0)</f>
        <v>1</v>
      </c>
      <c r="W544" s="3" t="str">
        <f aca="false">IFERROR(_xlfn.T.TEST(E544:M544,N544:U544,2,2),"")</f>
        <v/>
      </c>
      <c r="X544" s="0" t="str">
        <f aca="false">IFERROR(AVERAGE(E544:M544),"")</f>
        <v/>
      </c>
      <c r="Y544" s="0" t="str">
        <f aca="false">IFERROR(AVERAGE(N544:U544),"")</f>
        <v/>
      </c>
    </row>
    <row r="545" customFormat="false" ht="14.5" hidden="false" customHeight="false" outlineLevel="0" collapsed="false">
      <c r="A545" s="0" t="n">
        <v>553</v>
      </c>
      <c r="B545" s="0" t="s">
        <v>613</v>
      </c>
      <c r="C545" s="0" t="n">
        <v>105200</v>
      </c>
      <c r="D545" s="0" t="n">
        <v>1123</v>
      </c>
      <c r="E545" s="0" t="str">
        <f aca="false">IFERROR(IF(OR(HLOOKUP($A545,#REF!,3,FALSE())&gt;2,HLOOKUP(A545,#REF!,3,FALSE())&lt;-2),"",#REF!),"")</f>
        <v/>
      </c>
      <c r="F545" s="0" t="str">
        <f aca="false">IFERROR(IF(OR(HLOOKUP($A545,#REF!,4,FALSE())&gt;2,HLOOKUP($A545,#REF!,4,FALSE())&lt;-2),"",#REF!),"")</f>
        <v/>
      </c>
      <c r="G545" s="0" t="str">
        <f aca="false">IFERROR(IF(OR(HLOOKUP($A545,#REF!,5,FALSE())&gt;2,HLOOKUP($A545,#REF!,5,FALSE())&lt;-2),"",#REF!),"")</f>
        <v/>
      </c>
      <c r="H545" s="0" t="str">
        <f aca="false">IFERROR(IF(OR(HLOOKUP($A545,#REF!,6,FALSE())&gt;2,HLOOKUP($A545,#REF!,6,FALSE())&lt;-2),"",#REF!),"")</f>
        <v/>
      </c>
      <c r="I545" s="0" t="str">
        <f aca="false">IFERROR(IF(OR(HLOOKUP($A545,#REF!,7,FALSE())&gt;2,HLOOKUP($A545,#REF!,7,FALSE())&lt;-2),"",#REF!),"")</f>
        <v/>
      </c>
      <c r="J545" s="0" t="str">
        <f aca="false">IFERROR(IF(OR(HLOOKUP($A545,#REF!,8,FALSE())&gt;2,HLOOKUP($A545,#REF!,8,FALSE())&lt;-2),"",#REF!),"")</f>
        <v/>
      </c>
      <c r="K545" s="0" t="str">
        <f aca="false">IFERROR(IF(OR(HLOOKUP($A545,#REF!,9,FALSE())&gt;2,HLOOKUP($A545,#REF!,9,FALSE())&lt;-2),"",#REF!),"")</f>
        <v/>
      </c>
      <c r="L545" s="0" t="str">
        <f aca="false">IFERROR(IF(OR(HLOOKUP($A545,#REF!,10,FALSE())&gt;2,HLOOKUP($A545,#REF!,10,FALSE())&lt;-2),"",#REF!),"")</f>
        <v/>
      </c>
      <c r="M545" s="0" t="str">
        <f aca="false">IFERROR(IF(OR(HLOOKUP($A545,#REF!,11,FALSE())&gt;2,HLOOKUP($A545,#REF!,11,FALSE())&lt;-2),"",#REF!),"")</f>
        <v/>
      </c>
      <c r="N545" s="0" t="str">
        <f aca="false">IFERROR(IF(OR(HLOOKUP($A545,#REF!,12,FALSE())&gt;2,HLOOKUP($A545,#REF!,12,FALSE())&lt;-2),"",#REF!),"")</f>
        <v/>
      </c>
      <c r="O545" s="0" t="str">
        <f aca="false">IFERROR(IF(OR(HLOOKUP($A545,#REF!,13,FALSE())&gt;2,HLOOKUP($A545,#REF!,13,FALSE())&lt;-2),"",#REF!),"")</f>
        <v/>
      </c>
      <c r="P545" s="0" t="str">
        <f aca="false">IFERROR(IF(OR(HLOOKUP($A545,#REF!,14,FALSE())&gt;2,HLOOKUP($A545,#REF!,14,FALSE())&lt;-2),"",#REF!),"")</f>
        <v/>
      </c>
      <c r="Q545" s="0" t="str">
        <f aca="false">IFERROR(IF(OR(HLOOKUP($A545,#REF!,15,FALSE())&gt;2,HLOOKUP($A545,#REF!,15,FALSE())&lt;-2),"",#REF!),"")</f>
        <v/>
      </c>
      <c r="R545" s="0" t="str">
        <f aca="false">IFERROR(IF(OR(HLOOKUP($A545,#REF!,16,FALSE())&gt;2,HLOOKUP($A545,#REF!,16,FALSE())&lt;-2),"",#REF!),"")</f>
        <v/>
      </c>
      <c r="S545" s="0" t="str">
        <f aca="false">IFERROR(IF(OR(HLOOKUP($A545,#REF!,17,FALSE())&gt;2,HLOOKUP($A545,#REF!,17,FALSE())&lt;-2),"",#REF!),"")</f>
        <v/>
      </c>
      <c r="T545" s="0" t="str">
        <f aca="false">IFERROR(IF(OR(HLOOKUP($A545,#REF!,18,FALSE())&gt;2,HLOOKUP($A545,#REF!,18,FALSE())&lt;-2),"",#REF!),"")</f>
        <v/>
      </c>
      <c r="U545" s="0" t="str">
        <f aca="false">IFERROR(IF(OR(HLOOKUP($A545,#REF!,19,FALSE())&gt;2,HLOOKUP($A545,#REF!,19,FALSE())&lt;-2),"",#REF!),"")</f>
        <v/>
      </c>
      <c r="V545" s="0" t="n">
        <f aca="false">IFERROR(IF(AND(X545=0,Y545=0),0,1),0)</f>
        <v>1</v>
      </c>
      <c r="W545" s="3" t="str">
        <f aca="false">IFERROR(_xlfn.T.TEST(E545:M545,N545:U545,2,2),"")</f>
        <v/>
      </c>
      <c r="X545" s="0" t="str">
        <f aca="false">IFERROR(AVERAGE(E545:M545),"")</f>
        <v/>
      </c>
      <c r="Y545" s="0" t="str">
        <f aca="false">IFERROR(AVERAGE(N545:U545),"")</f>
        <v/>
      </c>
    </row>
    <row r="546" customFormat="false" ht="14.5" hidden="false" customHeight="false" outlineLevel="0" collapsed="false">
      <c r="A546" s="0" t="n">
        <v>554</v>
      </c>
      <c r="B546" s="0" t="s">
        <v>614</v>
      </c>
      <c r="C546" s="0" t="n">
        <v>53700</v>
      </c>
      <c r="D546" s="0" t="n">
        <v>359</v>
      </c>
      <c r="E546" s="0" t="str">
        <f aca="false">IFERROR(IF(OR(HLOOKUP($A546,#REF!,3,FALSE())&gt;2,HLOOKUP(A546,#REF!,3,FALSE())&lt;-2),"",#REF!),"")</f>
        <v/>
      </c>
      <c r="F546" s="0" t="str">
        <f aca="false">IFERROR(IF(OR(HLOOKUP($A546,#REF!,4,FALSE())&gt;2,HLOOKUP($A546,#REF!,4,FALSE())&lt;-2),"",#REF!),"")</f>
        <v/>
      </c>
      <c r="G546" s="0" t="str">
        <f aca="false">IFERROR(IF(OR(HLOOKUP($A546,#REF!,5,FALSE())&gt;2,HLOOKUP($A546,#REF!,5,FALSE())&lt;-2),"",#REF!),"")</f>
        <v/>
      </c>
      <c r="H546" s="0" t="str">
        <f aca="false">IFERROR(IF(OR(HLOOKUP($A546,#REF!,6,FALSE())&gt;2,HLOOKUP($A546,#REF!,6,FALSE())&lt;-2),"",#REF!),"")</f>
        <v/>
      </c>
      <c r="I546" s="0" t="str">
        <f aca="false">IFERROR(IF(OR(HLOOKUP($A546,#REF!,7,FALSE())&gt;2,HLOOKUP($A546,#REF!,7,FALSE())&lt;-2),"",#REF!),"")</f>
        <v/>
      </c>
      <c r="J546" s="0" t="str">
        <f aca="false">IFERROR(IF(OR(HLOOKUP($A546,#REF!,8,FALSE())&gt;2,HLOOKUP($A546,#REF!,8,FALSE())&lt;-2),"",#REF!),"")</f>
        <v/>
      </c>
      <c r="K546" s="0" t="str">
        <f aca="false">IFERROR(IF(OR(HLOOKUP($A546,#REF!,9,FALSE())&gt;2,HLOOKUP($A546,#REF!,9,FALSE())&lt;-2),"",#REF!),"")</f>
        <v/>
      </c>
      <c r="L546" s="0" t="str">
        <f aca="false">IFERROR(IF(OR(HLOOKUP($A546,#REF!,10,FALSE())&gt;2,HLOOKUP($A546,#REF!,10,FALSE())&lt;-2),"",#REF!),"")</f>
        <v/>
      </c>
      <c r="M546" s="0" t="str">
        <f aca="false">IFERROR(IF(OR(HLOOKUP($A546,#REF!,11,FALSE())&gt;2,HLOOKUP($A546,#REF!,11,FALSE())&lt;-2),"",#REF!),"")</f>
        <v/>
      </c>
      <c r="N546" s="0" t="str">
        <f aca="false">IFERROR(IF(OR(HLOOKUP($A546,#REF!,12,FALSE())&gt;2,HLOOKUP($A546,#REF!,12,FALSE())&lt;-2),"",#REF!),"")</f>
        <v/>
      </c>
      <c r="O546" s="0" t="str">
        <f aca="false">IFERROR(IF(OR(HLOOKUP($A546,#REF!,13,FALSE())&gt;2,HLOOKUP($A546,#REF!,13,FALSE())&lt;-2),"",#REF!),"")</f>
        <v/>
      </c>
      <c r="P546" s="0" t="str">
        <f aca="false">IFERROR(IF(OR(HLOOKUP($A546,#REF!,14,FALSE())&gt;2,HLOOKUP($A546,#REF!,14,FALSE())&lt;-2),"",#REF!),"")</f>
        <v/>
      </c>
      <c r="Q546" s="0" t="str">
        <f aca="false">IFERROR(IF(OR(HLOOKUP($A546,#REF!,15,FALSE())&gt;2,HLOOKUP($A546,#REF!,15,FALSE())&lt;-2),"",#REF!),"")</f>
        <v/>
      </c>
      <c r="R546" s="0" t="str">
        <f aca="false">IFERROR(IF(OR(HLOOKUP($A546,#REF!,16,FALSE())&gt;2,HLOOKUP($A546,#REF!,16,FALSE())&lt;-2),"",#REF!),"")</f>
        <v/>
      </c>
      <c r="S546" s="0" t="str">
        <f aca="false">IFERROR(IF(OR(HLOOKUP($A546,#REF!,17,FALSE())&gt;2,HLOOKUP($A546,#REF!,17,FALSE())&lt;-2),"",#REF!),"")</f>
        <v/>
      </c>
      <c r="T546" s="0" t="str">
        <f aca="false">IFERROR(IF(OR(HLOOKUP($A546,#REF!,18,FALSE())&gt;2,HLOOKUP($A546,#REF!,18,FALSE())&lt;-2),"",#REF!),"")</f>
        <v/>
      </c>
      <c r="U546" s="0" t="str">
        <f aca="false">IFERROR(IF(OR(HLOOKUP($A546,#REF!,19,FALSE())&gt;2,HLOOKUP($A546,#REF!,19,FALSE())&lt;-2),"",#REF!),"")</f>
        <v/>
      </c>
      <c r="V546" s="0" t="n">
        <f aca="false">IFERROR(IF(AND(X546=0,Y546=0),0,1),0)</f>
        <v>1</v>
      </c>
      <c r="W546" s="3" t="str">
        <f aca="false">IFERROR(_xlfn.T.TEST(E546:M546,N546:U546,2,2),"")</f>
        <v/>
      </c>
      <c r="X546" s="0" t="str">
        <f aca="false">IFERROR(AVERAGE(E546:M546),"")</f>
        <v/>
      </c>
      <c r="Y546" s="0" t="str">
        <f aca="false">IFERROR(AVERAGE(N546:U546),"")</f>
        <v/>
      </c>
    </row>
    <row r="547" customFormat="false" ht="14.5" hidden="false" customHeight="false" outlineLevel="0" collapsed="false">
      <c r="A547" s="0" t="n">
        <v>555</v>
      </c>
      <c r="B547" s="0" t="s">
        <v>615</v>
      </c>
      <c r="C547" s="0" t="n">
        <v>80600</v>
      </c>
      <c r="D547" s="0" t="n">
        <v>128</v>
      </c>
      <c r="E547" s="0" t="str">
        <f aca="false">IFERROR(IF(OR(HLOOKUP($A547,#REF!,3,FALSE())&gt;2,HLOOKUP(A547,#REF!,3,FALSE())&lt;-2),"",#REF!),"")</f>
        <v/>
      </c>
      <c r="F547" s="0" t="str">
        <f aca="false">IFERROR(IF(OR(HLOOKUP($A547,#REF!,4,FALSE())&gt;2,HLOOKUP($A547,#REF!,4,FALSE())&lt;-2),"",#REF!),"")</f>
        <v/>
      </c>
      <c r="G547" s="0" t="str">
        <f aca="false">IFERROR(IF(OR(HLOOKUP($A547,#REF!,5,FALSE())&gt;2,HLOOKUP($A547,#REF!,5,FALSE())&lt;-2),"",#REF!),"")</f>
        <v/>
      </c>
      <c r="H547" s="0" t="str">
        <f aca="false">IFERROR(IF(OR(HLOOKUP($A547,#REF!,6,FALSE())&gt;2,HLOOKUP($A547,#REF!,6,FALSE())&lt;-2),"",#REF!),"")</f>
        <v/>
      </c>
      <c r="I547" s="0" t="str">
        <f aca="false">IFERROR(IF(OR(HLOOKUP($A547,#REF!,7,FALSE())&gt;2,HLOOKUP($A547,#REF!,7,FALSE())&lt;-2),"",#REF!),"")</f>
        <v/>
      </c>
      <c r="J547" s="0" t="str">
        <f aca="false">IFERROR(IF(OR(HLOOKUP($A547,#REF!,8,FALSE())&gt;2,HLOOKUP($A547,#REF!,8,FALSE())&lt;-2),"",#REF!),"")</f>
        <v/>
      </c>
      <c r="K547" s="0" t="str">
        <f aca="false">IFERROR(IF(OR(HLOOKUP($A547,#REF!,9,FALSE())&gt;2,HLOOKUP($A547,#REF!,9,FALSE())&lt;-2),"",#REF!),"")</f>
        <v/>
      </c>
      <c r="L547" s="0" t="str">
        <f aca="false">IFERROR(IF(OR(HLOOKUP($A547,#REF!,10,FALSE())&gt;2,HLOOKUP($A547,#REF!,10,FALSE())&lt;-2),"",#REF!),"")</f>
        <v/>
      </c>
      <c r="M547" s="0" t="str">
        <f aca="false">IFERROR(IF(OR(HLOOKUP($A547,#REF!,11,FALSE())&gt;2,HLOOKUP($A547,#REF!,11,FALSE())&lt;-2),"",#REF!),"")</f>
        <v/>
      </c>
      <c r="N547" s="0" t="str">
        <f aca="false">IFERROR(IF(OR(HLOOKUP($A547,#REF!,12,FALSE())&gt;2,HLOOKUP($A547,#REF!,12,FALSE())&lt;-2),"",#REF!),"")</f>
        <v/>
      </c>
      <c r="O547" s="0" t="str">
        <f aca="false">IFERROR(IF(OR(HLOOKUP($A547,#REF!,13,FALSE())&gt;2,HLOOKUP($A547,#REF!,13,FALSE())&lt;-2),"",#REF!),"")</f>
        <v/>
      </c>
      <c r="P547" s="0" t="str">
        <f aca="false">IFERROR(IF(OR(HLOOKUP($A547,#REF!,14,FALSE())&gt;2,HLOOKUP($A547,#REF!,14,FALSE())&lt;-2),"",#REF!),"")</f>
        <v/>
      </c>
      <c r="Q547" s="0" t="str">
        <f aca="false">IFERROR(IF(OR(HLOOKUP($A547,#REF!,15,FALSE())&gt;2,HLOOKUP($A547,#REF!,15,FALSE())&lt;-2),"",#REF!),"")</f>
        <v/>
      </c>
      <c r="R547" s="0" t="str">
        <f aca="false">IFERROR(IF(OR(HLOOKUP($A547,#REF!,16,FALSE())&gt;2,HLOOKUP($A547,#REF!,16,FALSE())&lt;-2),"",#REF!),"")</f>
        <v/>
      </c>
      <c r="S547" s="0" t="str">
        <f aca="false">IFERROR(IF(OR(HLOOKUP($A547,#REF!,17,FALSE())&gt;2,HLOOKUP($A547,#REF!,17,FALSE())&lt;-2),"",#REF!),"")</f>
        <v/>
      </c>
      <c r="T547" s="0" t="str">
        <f aca="false">IFERROR(IF(OR(HLOOKUP($A547,#REF!,18,FALSE())&gt;2,HLOOKUP($A547,#REF!,18,FALSE())&lt;-2),"",#REF!),"")</f>
        <v/>
      </c>
      <c r="U547" s="0" t="str">
        <f aca="false">IFERROR(IF(OR(HLOOKUP($A547,#REF!,19,FALSE())&gt;2,HLOOKUP($A547,#REF!,19,FALSE())&lt;-2),"",#REF!),"")</f>
        <v/>
      </c>
      <c r="V547" s="0" t="n">
        <f aca="false">IFERROR(IF(AND(X547=0,Y547=0),0,1),0)</f>
        <v>1</v>
      </c>
      <c r="W547" s="3" t="str">
        <f aca="false">IFERROR(_xlfn.T.TEST(E547:M547,N547:U547,2,2),"")</f>
        <v/>
      </c>
      <c r="X547" s="0" t="str">
        <f aca="false">IFERROR(AVERAGE(E547:M547),"")</f>
        <v/>
      </c>
      <c r="Y547" s="0" t="str">
        <f aca="false">IFERROR(AVERAGE(N547:U547),"")</f>
        <v/>
      </c>
    </row>
    <row r="548" customFormat="false" ht="14.5" hidden="false" customHeight="false" outlineLevel="0" collapsed="false">
      <c r="A548" s="0" t="n">
        <v>556</v>
      </c>
      <c r="B548" s="0" t="s">
        <v>87</v>
      </c>
      <c r="C548" s="0" t="n">
        <v>8700</v>
      </c>
      <c r="D548" s="0" t="n">
        <v>44</v>
      </c>
      <c r="E548" s="0" t="str">
        <f aca="false">IFERROR(IF(OR(HLOOKUP($A548,#REF!,3,FALSE())&gt;2,HLOOKUP(A548,#REF!,3,FALSE())&lt;-2),"",#REF!),"")</f>
        <v/>
      </c>
      <c r="F548" s="0" t="str">
        <f aca="false">IFERROR(IF(OR(HLOOKUP($A548,#REF!,4,FALSE())&gt;2,HLOOKUP($A548,#REF!,4,FALSE())&lt;-2),"",#REF!),"")</f>
        <v/>
      </c>
      <c r="G548" s="0" t="str">
        <f aca="false">IFERROR(IF(OR(HLOOKUP($A548,#REF!,5,FALSE())&gt;2,HLOOKUP($A548,#REF!,5,FALSE())&lt;-2),"",#REF!),"")</f>
        <v/>
      </c>
      <c r="H548" s="0" t="str">
        <f aca="false">IFERROR(IF(OR(HLOOKUP($A548,#REF!,6,FALSE())&gt;2,HLOOKUP($A548,#REF!,6,FALSE())&lt;-2),"",#REF!),"")</f>
        <v/>
      </c>
      <c r="I548" s="0" t="str">
        <f aca="false">IFERROR(IF(OR(HLOOKUP($A548,#REF!,7,FALSE())&gt;2,HLOOKUP($A548,#REF!,7,FALSE())&lt;-2),"",#REF!),"")</f>
        <v/>
      </c>
      <c r="J548" s="0" t="str">
        <f aca="false">IFERROR(IF(OR(HLOOKUP($A548,#REF!,8,FALSE())&gt;2,HLOOKUP($A548,#REF!,8,FALSE())&lt;-2),"",#REF!),"")</f>
        <v/>
      </c>
      <c r="K548" s="0" t="str">
        <f aca="false">IFERROR(IF(OR(HLOOKUP($A548,#REF!,9,FALSE())&gt;2,HLOOKUP($A548,#REF!,9,FALSE())&lt;-2),"",#REF!),"")</f>
        <v/>
      </c>
      <c r="L548" s="0" t="str">
        <f aca="false">IFERROR(IF(OR(HLOOKUP($A548,#REF!,10,FALSE())&gt;2,HLOOKUP($A548,#REF!,10,FALSE())&lt;-2),"",#REF!),"")</f>
        <v/>
      </c>
      <c r="M548" s="0" t="str">
        <f aca="false">IFERROR(IF(OR(HLOOKUP($A548,#REF!,11,FALSE())&gt;2,HLOOKUP($A548,#REF!,11,FALSE())&lt;-2),"",#REF!),"")</f>
        <v/>
      </c>
      <c r="N548" s="0" t="str">
        <f aca="false">IFERROR(IF(OR(HLOOKUP($A548,#REF!,12,FALSE())&gt;2,HLOOKUP($A548,#REF!,12,FALSE())&lt;-2),"",#REF!),"")</f>
        <v/>
      </c>
      <c r="O548" s="0" t="str">
        <f aca="false">IFERROR(IF(OR(HLOOKUP($A548,#REF!,13,FALSE())&gt;2,HLOOKUP($A548,#REF!,13,FALSE())&lt;-2),"",#REF!),"")</f>
        <v/>
      </c>
      <c r="P548" s="0" t="str">
        <f aca="false">IFERROR(IF(OR(HLOOKUP($A548,#REF!,14,FALSE())&gt;2,HLOOKUP($A548,#REF!,14,FALSE())&lt;-2),"",#REF!),"")</f>
        <v/>
      </c>
      <c r="Q548" s="0" t="str">
        <f aca="false">IFERROR(IF(OR(HLOOKUP($A548,#REF!,15,FALSE())&gt;2,HLOOKUP($A548,#REF!,15,FALSE())&lt;-2),"",#REF!),"")</f>
        <v/>
      </c>
      <c r="R548" s="0" t="str">
        <f aca="false">IFERROR(IF(OR(HLOOKUP($A548,#REF!,16,FALSE())&gt;2,HLOOKUP($A548,#REF!,16,FALSE())&lt;-2),"",#REF!),"")</f>
        <v/>
      </c>
      <c r="S548" s="0" t="str">
        <f aca="false">IFERROR(IF(OR(HLOOKUP($A548,#REF!,17,FALSE())&gt;2,HLOOKUP($A548,#REF!,17,FALSE())&lt;-2),"",#REF!),"")</f>
        <v/>
      </c>
      <c r="T548" s="0" t="str">
        <f aca="false">IFERROR(IF(OR(HLOOKUP($A548,#REF!,18,FALSE())&gt;2,HLOOKUP($A548,#REF!,18,FALSE())&lt;-2),"",#REF!),"")</f>
        <v/>
      </c>
      <c r="U548" s="0" t="str">
        <f aca="false">IFERROR(IF(OR(HLOOKUP($A548,#REF!,19,FALSE())&gt;2,HLOOKUP($A548,#REF!,19,FALSE())&lt;-2),"",#REF!),"")</f>
        <v/>
      </c>
      <c r="V548" s="0" t="n">
        <f aca="false">IFERROR(IF(AND(X548=0,Y548=0),0,1),0)</f>
        <v>1</v>
      </c>
      <c r="W548" s="3" t="str">
        <f aca="false">IFERROR(_xlfn.T.TEST(E548:M548,N548:U548,2,2),"")</f>
        <v/>
      </c>
      <c r="X548" s="0" t="str">
        <f aca="false">IFERROR(AVERAGE(E548:M548),"")</f>
        <v/>
      </c>
      <c r="Y548" s="0" t="str">
        <f aca="false">IFERROR(AVERAGE(N548:U548),"")</f>
        <v/>
      </c>
    </row>
    <row r="549" customFormat="false" ht="14.5" hidden="false" customHeight="false" outlineLevel="0" collapsed="false">
      <c r="A549" s="0" t="n">
        <v>557</v>
      </c>
      <c r="B549" s="0" t="s">
        <v>616</v>
      </c>
      <c r="C549" s="0" t="n">
        <v>75300</v>
      </c>
      <c r="D549" s="0" t="n">
        <v>331</v>
      </c>
      <c r="E549" s="0" t="str">
        <f aca="false">IFERROR(IF(OR(HLOOKUP($A549,#REF!,3,FALSE())&gt;2,HLOOKUP(A549,#REF!,3,FALSE())&lt;-2),"",#REF!),"")</f>
        <v/>
      </c>
      <c r="F549" s="0" t="str">
        <f aca="false">IFERROR(IF(OR(HLOOKUP($A549,#REF!,4,FALSE())&gt;2,HLOOKUP($A549,#REF!,4,FALSE())&lt;-2),"",#REF!),"")</f>
        <v/>
      </c>
      <c r="G549" s="0" t="str">
        <f aca="false">IFERROR(IF(OR(HLOOKUP($A549,#REF!,5,FALSE())&gt;2,HLOOKUP($A549,#REF!,5,FALSE())&lt;-2),"",#REF!),"")</f>
        <v/>
      </c>
      <c r="H549" s="0" t="str">
        <f aca="false">IFERROR(IF(OR(HLOOKUP($A549,#REF!,6,FALSE())&gt;2,HLOOKUP($A549,#REF!,6,FALSE())&lt;-2),"",#REF!),"")</f>
        <v/>
      </c>
      <c r="I549" s="0" t="str">
        <f aca="false">IFERROR(IF(OR(HLOOKUP($A549,#REF!,7,FALSE())&gt;2,HLOOKUP($A549,#REF!,7,FALSE())&lt;-2),"",#REF!),"")</f>
        <v/>
      </c>
      <c r="J549" s="0" t="str">
        <f aca="false">IFERROR(IF(OR(HLOOKUP($A549,#REF!,8,FALSE())&gt;2,HLOOKUP($A549,#REF!,8,FALSE())&lt;-2),"",#REF!),"")</f>
        <v/>
      </c>
      <c r="K549" s="0" t="str">
        <f aca="false">IFERROR(IF(OR(HLOOKUP($A549,#REF!,9,FALSE())&gt;2,HLOOKUP($A549,#REF!,9,FALSE())&lt;-2),"",#REF!),"")</f>
        <v/>
      </c>
      <c r="L549" s="0" t="str">
        <f aca="false">IFERROR(IF(OR(HLOOKUP($A549,#REF!,10,FALSE())&gt;2,HLOOKUP($A549,#REF!,10,FALSE())&lt;-2),"",#REF!),"")</f>
        <v/>
      </c>
      <c r="M549" s="0" t="str">
        <f aca="false">IFERROR(IF(OR(HLOOKUP($A549,#REF!,11,FALSE())&gt;2,HLOOKUP($A549,#REF!,11,FALSE())&lt;-2),"",#REF!),"")</f>
        <v/>
      </c>
      <c r="N549" s="0" t="str">
        <f aca="false">IFERROR(IF(OR(HLOOKUP($A549,#REF!,12,FALSE())&gt;2,HLOOKUP($A549,#REF!,12,FALSE())&lt;-2),"",#REF!),"")</f>
        <v/>
      </c>
      <c r="O549" s="0" t="str">
        <f aca="false">IFERROR(IF(OR(HLOOKUP($A549,#REF!,13,FALSE())&gt;2,HLOOKUP($A549,#REF!,13,FALSE())&lt;-2),"",#REF!),"")</f>
        <v/>
      </c>
      <c r="P549" s="0" t="str">
        <f aca="false">IFERROR(IF(OR(HLOOKUP($A549,#REF!,14,FALSE())&gt;2,HLOOKUP($A549,#REF!,14,FALSE())&lt;-2),"",#REF!),"")</f>
        <v/>
      </c>
      <c r="Q549" s="0" t="str">
        <f aca="false">IFERROR(IF(OR(HLOOKUP($A549,#REF!,15,FALSE())&gt;2,HLOOKUP($A549,#REF!,15,FALSE())&lt;-2),"",#REF!),"")</f>
        <v/>
      </c>
      <c r="R549" s="0" t="str">
        <f aca="false">IFERROR(IF(OR(HLOOKUP($A549,#REF!,16,FALSE())&gt;2,HLOOKUP($A549,#REF!,16,FALSE())&lt;-2),"",#REF!),"")</f>
        <v/>
      </c>
      <c r="S549" s="0" t="str">
        <f aca="false">IFERROR(IF(OR(HLOOKUP($A549,#REF!,17,FALSE())&gt;2,HLOOKUP($A549,#REF!,17,FALSE())&lt;-2),"",#REF!),"")</f>
        <v/>
      </c>
      <c r="T549" s="0" t="str">
        <f aca="false">IFERROR(IF(OR(HLOOKUP($A549,#REF!,18,FALSE())&gt;2,HLOOKUP($A549,#REF!,18,FALSE())&lt;-2),"",#REF!),"")</f>
        <v/>
      </c>
      <c r="U549" s="0" t="str">
        <f aca="false">IFERROR(IF(OR(HLOOKUP($A549,#REF!,19,FALSE())&gt;2,HLOOKUP($A549,#REF!,19,FALSE())&lt;-2),"",#REF!),"")</f>
        <v/>
      </c>
      <c r="V549" s="0" t="n">
        <f aca="false">IFERROR(IF(AND(X549=0,Y549=0),0,1),0)</f>
        <v>1</v>
      </c>
      <c r="W549" s="3" t="str">
        <f aca="false">IFERROR(_xlfn.T.TEST(E549:M549,N549:U549,2,2),"")</f>
        <v/>
      </c>
      <c r="X549" s="0" t="str">
        <f aca="false">IFERROR(AVERAGE(E549:M549),"")</f>
        <v/>
      </c>
      <c r="Y549" s="0" t="str">
        <f aca="false">IFERROR(AVERAGE(N549:U549),"")</f>
        <v/>
      </c>
    </row>
    <row r="550" customFormat="false" ht="14.5" hidden="false" customHeight="false" outlineLevel="0" collapsed="false">
      <c r="A550" s="0" t="n">
        <v>558</v>
      </c>
      <c r="B550" s="0" t="s">
        <v>617</v>
      </c>
      <c r="C550" s="0" t="n">
        <v>3600</v>
      </c>
      <c r="D550" s="0" t="n">
        <v>353</v>
      </c>
      <c r="E550" s="0" t="str">
        <f aca="false">IFERROR(IF(OR(HLOOKUP($A550,#REF!,3,FALSE())&gt;2,HLOOKUP(A550,#REF!,3,FALSE())&lt;-2),"",#REF!),"")</f>
        <v/>
      </c>
      <c r="F550" s="0" t="str">
        <f aca="false">IFERROR(IF(OR(HLOOKUP($A550,#REF!,4,FALSE())&gt;2,HLOOKUP($A550,#REF!,4,FALSE())&lt;-2),"",#REF!),"")</f>
        <v/>
      </c>
      <c r="G550" s="0" t="str">
        <f aca="false">IFERROR(IF(OR(HLOOKUP($A550,#REF!,5,FALSE())&gt;2,HLOOKUP($A550,#REF!,5,FALSE())&lt;-2),"",#REF!),"")</f>
        <v/>
      </c>
      <c r="H550" s="0" t="str">
        <f aca="false">IFERROR(IF(OR(HLOOKUP($A550,#REF!,6,FALSE())&gt;2,HLOOKUP($A550,#REF!,6,FALSE())&lt;-2),"",#REF!),"")</f>
        <v/>
      </c>
      <c r="I550" s="0" t="str">
        <f aca="false">IFERROR(IF(OR(HLOOKUP($A550,#REF!,7,FALSE())&gt;2,HLOOKUP($A550,#REF!,7,FALSE())&lt;-2),"",#REF!),"")</f>
        <v/>
      </c>
      <c r="J550" s="0" t="str">
        <f aca="false">IFERROR(IF(OR(HLOOKUP($A550,#REF!,8,FALSE())&gt;2,HLOOKUP($A550,#REF!,8,FALSE())&lt;-2),"",#REF!),"")</f>
        <v/>
      </c>
      <c r="K550" s="0" t="str">
        <f aca="false">IFERROR(IF(OR(HLOOKUP($A550,#REF!,9,FALSE())&gt;2,HLOOKUP($A550,#REF!,9,FALSE())&lt;-2),"",#REF!),"")</f>
        <v/>
      </c>
      <c r="L550" s="0" t="str">
        <f aca="false">IFERROR(IF(OR(HLOOKUP($A550,#REF!,10,FALSE())&gt;2,HLOOKUP($A550,#REF!,10,FALSE())&lt;-2),"",#REF!),"")</f>
        <v/>
      </c>
      <c r="M550" s="0" t="str">
        <f aca="false">IFERROR(IF(OR(HLOOKUP($A550,#REF!,11,FALSE())&gt;2,HLOOKUP($A550,#REF!,11,FALSE())&lt;-2),"",#REF!),"")</f>
        <v/>
      </c>
      <c r="N550" s="0" t="str">
        <f aca="false">IFERROR(IF(OR(HLOOKUP($A550,#REF!,12,FALSE())&gt;2,HLOOKUP($A550,#REF!,12,FALSE())&lt;-2),"",#REF!),"")</f>
        <v/>
      </c>
      <c r="O550" s="0" t="str">
        <f aca="false">IFERROR(IF(OR(HLOOKUP($A550,#REF!,13,FALSE())&gt;2,HLOOKUP($A550,#REF!,13,FALSE())&lt;-2),"",#REF!),"")</f>
        <v/>
      </c>
      <c r="P550" s="0" t="str">
        <f aca="false">IFERROR(IF(OR(HLOOKUP($A550,#REF!,14,FALSE())&gt;2,HLOOKUP($A550,#REF!,14,FALSE())&lt;-2),"",#REF!),"")</f>
        <v/>
      </c>
      <c r="Q550" s="0" t="str">
        <f aca="false">IFERROR(IF(OR(HLOOKUP($A550,#REF!,15,FALSE())&gt;2,HLOOKUP($A550,#REF!,15,FALSE())&lt;-2),"",#REF!),"")</f>
        <v/>
      </c>
      <c r="R550" s="0" t="str">
        <f aca="false">IFERROR(IF(OR(HLOOKUP($A550,#REF!,16,FALSE())&gt;2,HLOOKUP($A550,#REF!,16,FALSE())&lt;-2),"",#REF!),"")</f>
        <v/>
      </c>
      <c r="S550" s="0" t="str">
        <f aca="false">IFERROR(IF(OR(HLOOKUP($A550,#REF!,17,FALSE())&gt;2,HLOOKUP($A550,#REF!,17,FALSE())&lt;-2),"",#REF!),"")</f>
        <v/>
      </c>
      <c r="T550" s="0" t="str">
        <f aca="false">IFERROR(IF(OR(HLOOKUP($A550,#REF!,18,FALSE())&gt;2,HLOOKUP($A550,#REF!,18,FALSE())&lt;-2),"",#REF!),"")</f>
        <v/>
      </c>
      <c r="U550" s="0" t="str">
        <f aca="false">IFERROR(IF(OR(HLOOKUP($A550,#REF!,19,FALSE())&gt;2,HLOOKUP($A550,#REF!,19,FALSE())&lt;-2),"",#REF!),"")</f>
        <v/>
      </c>
      <c r="V550" s="0" t="n">
        <f aca="false">IFERROR(IF(AND(X550=0,Y550=0),0,1),0)</f>
        <v>1</v>
      </c>
      <c r="W550" s="3" t="str">
        <f aca="false">IFERROR(_xlfn.T.TEST(E550:M550,N550:U550,2,2),"")</f>
        <v/>
      </c>
      <c r="X550" s="0" t="str">
        <f aca="false">IFERROR(AVERAGE(E550:M550),"")</f>
        <v/>
      </c>
      <c r="Y550" s="0" t="str">
        <f aca="false">IFERROR(AVERAGE(N550:U550),"")</f>
        <v/>
      </c>
    </row>
    <row r="551" customFormat="false" ht="14.5" hidden="false" customHeight="false" outlineLevel="0" collapsed="false">
      <c r="A551" s="0" t="n">
        <v>559</v>
      </c>
      <c r="B551" s="0" t="s">
        <v>618</v>
      </c>
      <c r="C551" s="0" t="n">
        <v>50600</v>
      </c>
      <c r="D551" s="0" t="n">
        <v>536</v>
      </c>
      <c r="E551" s="0" t="str">
        <f aca="false">IFERROR(IF(OR(HLOOKUP($A551,#REF!,3,FALSE())&gt;2,HLOOKUP(A551,#REF!,3,FALSE())&lt;-2),"",#REF!),"")</f>
        <v/>
      </c>
      <c r="F551" s="0" t="str">
        <f aca="false">IFERROR(IF(OR(HLOOKUP($A551,#REF!,4,FALSE())&gt;2,HLOOKUP($A551,#REF!,4,FALSE())&lt;-2),"",#REF!),"")</f>
        <v/>
      </c>
      <c r="G551" s="0" t="str">
        <f aca="false">IFERROR(IF(OR(HLOOKUP($A551,#REF!,5,FALSE())&gt;2,HLOOKUP($A551,#REF!,5,FALSE())&lt;-2),"",#REF!),"")</f>
        <v/>
      </c>
      <c r="H551" s="0" t="str">
        <f aca="false">IFERROR(IF(OR(HLOOKUP($A551,#REF!,6,FALSE())&gt;2,HLOOKUP($A551,#REF!,6,FALSE())&lt;-2),"",#REF!),"")</f>
        <v/>
      </c>
      <c r="I551" s="0" t="str">
        <f aca="false">IFERROR(IF(OR(HLOOKUP($A551,#REF!,7,FALSE())&gt;2,HLOOKUP($A551,#REF!,7,FALSE())&lt;-2),"",#REF!),"")</f>
        <v/>
      </c>
      <c r="J551" s="0" t="str">
        <f aca="false">IFERROR(IF(OR(HLOOKUP($A551,#REF!,8,FALSE())&gt;2,HLOOKUP($A551,#REF!,8,FALSE())&lt;-2),"",#REF!),"")</f>
        <v/>
      </c>
      <c r="K551" s="0" t="str">
        <f aca="false">IFERROR(IF(OR(HLOOKUP($A551,#REF!,9,FALSE())&gt;2,HLOOKUP($A551,#REF!,9,FALSE())&lt;-2),"",#REF!),"")</f>
        <v/>
      </c>
      <c r="L551" s="0" t="str">
        <f aca="false">IFERROR(IF(OR(HLOOKUP($A551,#REF!,10,FALSE())&gt;2,HLOOKUP($A551,#REF!,10,FALSE())&lt;-2),"",#REF!),"")</f>
        <v/>
      </c>
      <c r="M551" s="0" t="str">
        <f aca="false">IFERROR(IF(OR(HLOOKUP($A551,#REF!,11,FALSE())&gt;2,HLOOKUP($A551,#REF!,11,FALSE())&lt;-2),"",#REF!),"")</f>
        <v/>
      </c>
      <c r="N551" s="0" t="str">
        <f aca="false">IFERROR(IF(OR(HLOOKUP($A551,#REF!,12,FALSE())&gt;2,HLOOKUP($A551,#REF!,12,FALSE())&lt;-2),"",#REF!),"")</f>
        <v/>
      </c>
      <c r="O551" s="0" t="str">
        <f aca="false">IFERROR(IF(OR(HLOOKUP($A551,#REF!,13,FALSE())&gt;2,HLOOKUP($A551,#REF!,13,FALSE())&lt;-2),"",#REF!),"")</f>
        <v/>
      </c>
      <c r="P551" s="0" t="str">
        <f aca="false">IFERROR(IF(OR(HLOOKUP($A551,#REF!,14,FALSE())&gt;2,HLOOKUP($A551,#REF!,14,FALSE())&lt;-2),"",#REF!),"")</f>
        <v/>
      </c>
      <c r="Q551" s="0" t="str">
        <f aca="false">IFERROR(IF(OR(HLOOKUP($A551,#REF!,15,FALSE())&gt;2,HLOOKUP($A551,#REF!,15,FALSE())&lt;-2),"",#REF!),"")</f>
        <v/>
      </c>
      <c r="R551" s="0" t="str">
        <f aca="false">IFERROR(IF(OR(HLOOKUP($A551,#REF!,16,FALSE())&gt;2,HLOOKUP($A551,#REF!,16,FALSE())&lt;-2),"",#REF!),"")</f>
        <v/>
      </c>
      <c r="S551" s="0" t="str">
        <f aca="false">IFERROR(IF(OR(HLOOKUP($A551,#REF!,17,FALSE())&gt;2,HLOOKUP($A551,#REF!,17,FALSE())&lt;-2),"",#REF!),"")</f>
        <v/>
      </c>
      <c r="T551" s="0" t="str">
        <f aca="false">IFERROR(IF(OR(HLOOKUP($A551,#REF!,18,FALSE())&gt;2,HLOOKUP($A551,#REF!,18,FALSE())&lt;-2),"",#REF!),"")</f>
        <v/>
      </c>
      <c r="U551" s="0" t="str">
        <f aca="false">IFERROR(IF(OR(HLOOKUP($A551,#REF!,19,FALSE())&gt;2,HLOOKUP($A551,#REF!,19,FALSE())&lt;-2),"",#REF!),"")</f>
        <v/>
      </c>
      <c r="V551" s="0" t="n">
        <f aca="false">IFERROR(IF(AND(X551=0,Y551=0),0,1),0)</f>
        <v>1</v>
      </c>
      <c r="W551" s="3" t="str">
        <f aca="false">IFERROR(_xlfn.T.TEST(E551:M551,N551:U551,2,2),"")</f>
        <v/>
      </c>
      <c r="X551" s="0" t="str">
        <f aca="false">IFERROR(AVERAGE(E551:M551),"")</f>
        <v/>
      </c>
      <c r="Y551" s="0" t="str">
        <f aca="false">IFERROR(AVERAGE(N551:U551),"")</f>
        <v/>
      </c>
    </row>
    <row r="552" customFormat="false" ht="14.5" hidden="false" customHeight="false" outlineLevel="0" collapsed="false">
      <c r="A552" s="0" t="n">
        <v>560</v>
      </c>
      <c r="B552" s="0" t="s">
        <v>619</v>
      </c>
      <c r="C552" s="0" t="n">
        <v>89900</v>
      </c>
      <c r="D552" s="0" t="n">
        <v>607</v>
      </c>
      <c r="E552" s="0" t="str">
        <f aca="false">IFERROR(IF(OR(HLOOKUP($A552,#REF!,3,FALSE())&gt;2,HLOOKUP(A552,#REF!,3,FALSE())&lt;-2),"",#REF!),"")</f>
        <v/>
      </c>
      <c r="F552" s="0" t="str">
        <f aca="false">IFERROR(IF(OR(HLOOKUP($A552,#REF!,4,FALSE())&gt;2,HLOOKUP($A552,#REF!,4,FALSE())&lt;-2),"",#REF!),"")</f>
        <v/>
      </c>
      <c r="G552" s="0" t="str">
        <f aca="false">IFERROR(IF(OR(HLOOKUP($A552,#REF!,5,FALSE())&gt;2,HLOOKUP($A552,#REF!,5,FALSE())&lt;-2),"",#REF!),"")</f>
        <v/>
      </c>
      <c r="H552" s="0" t="str">
        <f aca="false">IFERROR(IF(OR(HLOOKUP($A552,#REF!,6,FALSE())&gt;2,HLOOKUP($A552,#REF!,6,FALSE())&lt;-2),"",#REF!),"")</f>
        <v/>
      </c>
      <c r="I552" s="0" t="str">
        <f aca="false">IFERROR(IF(OR(HLOOKUP($A552,#REF!,7,FALSE())&gt;2,HLOOKUP($A552,#REF!,7,FALSE())&lt;-2),"",#REF!),"")</f>
        <v/>
      </c>
      <c r="J552" s="0" t="str">
        <f aca="false">IFERROR(IF(OR(HLOOKUP($A552,#REF!,8,FALSE())&gt;2,HLOOKUP($A552,#REF!,8,FALSE())&lt;-2),"",#REF!),"")</f>
        <v/>
      </c>
      <c r="K552" s="0" t="str">
        <f aca="false">IFERROR(IF(OR(HLOOKUP($A552,#REF!,9,FALSE())&gt;2,HLOOKUP($A552,#REF!,9,FALSE())&lt;-2),"",#REF!),"")</f>
        <v/>
      </c>
      <c r="L552" s="0" t="str">
        <f aca="false">IFERROR(IF(OR(HLOOKUP($A552,#REF!,10,FALSE())&gt;2,HLOOKUP($A552,#REF!,10,FALSE())&lt;-2),"",#REF!),"")</f>
        <v/>
      </c>
      <c r="M552" s="0" t="str">
        <f aca="false">IFERROR(IF(OR(HLOOKUP($A552,#REF!,11,FALSE())&gt;2,HLOOKUP($A552,#REF!,11,FALSE())&lt;-2),"",#REF!),"")</f>
        <v/>
      </c>
      <c r="N552" s="0" t="str">
        <f aca="false">IFERROR(IF(OR(HLOOKUP($A552,#REF!,12,FALSE())&gt;2,HLOOKUP($A552,#REF!,12,FALSE())&lt;-2),"",#REF!),"")</f>
        <v/>
      </c>
      <c r="O552" s="0" t="str">
        <f aca="false">IFERROR(IF(OR(HLOOKUP($A552,#REF!,13,FALSE())&gt;2,HLOOKUP($A552,#REF!,13,FALSE())&lt;-2),"",#REF!),"")</f>
        <v/>
      </c>
      <c r="P552" s="0" t="str">
        <f aca="false">IFERROR(IF(OR(HLOOKUP($A552,#REF!,14,FALSE())&gt;2,HLOOKUP($A552,#REF!,14,FALSE())&lt;-2),"",#REF!),"")</f>
        <v/>
      </c>
      <c r="Q552" s="0" t="str">
        <f aca="false">IFERROR(IF(OR(HLOOKUP($A552,#REF!,15,FALSE())&gt;2,HLOOKUP($A552,#REF!,15,FALSE())&lt;-2),"",#REF!),"")</f>
        <v/>
      </c>
      <c r="R552" s="0" t="str">
        <f aca="false">IFERROR(IF(OR(HLOOKUP($A552,#REF!,16,FALSE())&gt;2,HLOOKUP($A552,#REF!,16,FALSE())&lt;-2),"",#REF!),"")</f>
        <v/>
      </c>
      <c r="S552" s="0" t="str">
        <f aca="false">IFERROR(IF(OR(HLOOKUP($A552,#REF!,17,FALSE())&gt;2,HLOOKUP($A552,#REF!,17,FALSE())&lt;-2),"",#REF!),"")</f>
        <v/>
      </c>
      <c r="T552" s="0" t="str">
        <f aca="false">IFERROR(IF(OR(HLOOKUP($A552,#REF!,18,FALSE())&gt;2,HLOOKUP($A552,#REF!,18,FALSE())&lt;-2),"",#REF!),"")</f>
        <v/>
      </c>
      <c r="U552" s="0" t="str">
        <f aca="false">IFERROR(IF(OR(HLOOKUP($A552,#REF!,19,FALSE())&gt;2,HLOOKUP($A552,#REF!,19,FALSE())&lt;-2),"",#REF!),"")</f>
        <v/>
      </c>
      <c r="V552" s="0" t="n">
        <f aca="false">IFERROR(IF(AND(X552=0,Y552=0),0,1),0)</f>
        <v>1</v>
      </c>
      <c r="W552" s="3" t="str">
        <f aca="false">IFERROR(_xlfn.T.TEST(E552:M552,N552:U552,2,2),"")</f>
        <v/>
      </c>
      <c r="X552" s="0" t="str">
        <f aca="false">IFERROR(AVERAGE(E552:M552),"")</f>
        <v/>
      </c>
      <c r="Y552" s="0" t="str">
        <f aca="false">IFERROR(AVERAGE(N552:U552),"")</f>
        <v/>
      </c>
    </row>
    <row r="553" customFormat="false" ht="14.5" hidden="false" customHeight="false" outlineLevel="0" collapsed="false">
      <c r="A553" s="0" t="n">
        <v>561</v>
      </c>
      <c r="B553" s="0" t="s">
        <v>620</v>
      </c>
      <c r="C553" s="0" t="n">
        <v>13600</v>
      </c>
      <c r="D553" s="0" t="n">
        <v>669</v>
      </c>
      <c r="E553" s="0" t="str">
        <f aca="false">IFERROR(IF(OR(HLOOKUP($A553,#REF!,3,FALSE())&gt;2,HLOOKUP(A553,#REF!,3,FALSE())&lt;-2),"",#REF!),"")</f>
        <v/>
      </c>
      <c r="F553" s="0" t="str">
        <f aca="false">IFERROR(IF(OR(HLOOKUP($A553,#REF!,4,FALSE())&gt;2,HLOOKUP($A553,#REF!,4,FALSE())&lt;-2),"",#REF!),"")</f>
        <v/>
      </c>
      <c r="G553" s="0" t="str">
        <f aca="false">IFERROR(IF(OR(HLOOKUP($A553,#REF!,5,FALSE())&gt;2,HLOOKUP($A553,#REF!,5,FALSE())&lt;-2),"",#REF!),"")</f>
        <v/>
      </c>
      <c r="H553" s="0" t="str">
        <f aca="false">IFERROR(IF(OR(HLOOKUP($A553,#REF!,6,FALSE())&gt;2,HLOOKUP($A553,#REF!,6,FALSE())&lt;-2),"",#REF!),"")</f>
        <v/>
      </c>
      <c r="I553" s="0" t="str">
        <f aca="false">IFERROR(IF(OR(HLOOKUP($A553,#REF!,7,FALSE())&gt;2,HLOOKUP($A553,#REF!,7,FALSE())&lt;-2),"",#REF!),"")</f>
        <v/>
      </c>
      <c r="J553" s="0" t="str">
        <f aca="false">IFERROR(IF(OR(HLOOKUP($A553,#REF!,8,FALSE())&gt;2,HLOOKUP($A553,#REF!,8,FALSE())&lt;-2),"",#REF!),"")</f>
        <v/>
      </c>
      <c r="K553" s="0" t="str">
        <f aca="false">IFERROR(IF(OR(HLOOKUP($A553,#REF!,9,FALSE())&gt;2,HLOOKUP($A553,#REF!,9,FALSE())&lt;-2),"",#REF!),"")</f>
        <v/>
      </c>
      <c r="L553" s="0" t="str">
        <f aca="false">IFERROR(IF(OR(HLOOKUP($A553,#REF!,10,FALSE())&gt;2,HLOOKUP($A553,#REF!,10,FALSE())&lt;-2),"",#REF!),"")</f>
        <v/>
      </c>
      <c r="M553" s="0" t="str">
        <f aca="false">IFERROR(IF(OR(HLOOKUP($A553,#REF!,11,FALSE())&gt;2,HLOOKUP($A553,#REF!,11,FALSE())&lt;-2),"",#REF!),"")</f>
        <v/>
      </c>
      <c r="N553" s="0" t="str">
        <f aca="false">IFERROR(IF(OR(HLOOKUP($A553,#REF!,12,FALSE())&gt;2,HLOOKUP($A553,#REF!,12,FALSE())&lt;-2),"",#REF!),"")</f>
        <v/>
      </c>
      <c r="O553" s="0" t="str">
        <f aca="false">IFERROR(IF(OR(HLOOKUP($A553,#REF!,13,FALSE())&gt;2,HLOOKUP($A553,#REF!,13,FALSE())&lt;-2),"",#REF!),"")</f>
        <v/>
      </c>
      <c r="P553" s="0" t="str">
        <f aca="false">IFERROR(IF(OR(HLOOKUP($A553,#REF!,14,FALSE())&gt;2,HLOOKUP($A553,#REF!,14,FALSE())&lt;-2),"",#REF!),"")</f>
        <v/>
      </c>
      <c r="Q553" s="0" t="str">
        <f aca="false">IFERROR(IF(OR(HLOOKUP($A553,#REF!,15,FALSE())&gt;2,HLOOKUP($A553,#REF!,15,FALSE())&lt;-2),"",#REF!),"")</f>
        <v/>
      </c>
      <c r="R553" s="0" t="str">
        <f aca="false">IFERROR(IF(OR(HLOOKUP($A553,#REF!,16,FALSE())&gt;2,HLOOKUP($A553,#REF!,16,FALSE())&lt;-2),"",#REF!),"")</f>
        <v/>
      </c>
      <c r="S553" s="0" t="str">
        <f aca="false">IFERROR(IF(OR(HLOOKUP($A553,#REF!,17,FALSE())&gt;2,HLOOKUP($A553,#REF!,17,FALSE())&lt;-2),"",#REF!),"")</f>
        <v/>
      </c>
      <c r="T553" s="0" t="str">
        <f aca="false">IFERROR(IF(OR(HLOOKUP($A553,#REF!,18,FALSE())&gt;2,HLOOKUP($A553,#REF!,18,FALSE())&lt;-2),"",#REF!),"")</f>
        <v/>
      </c>
      <c r="U553" s="0" t="str">
        <f aca="false">IFERROR(IF(OR(HLOOKUP($A553,#REF!,19,FALSE())&gt;2,HLOOKUP($A553,#REF!,19,FALSE())&lt;-2),"",#REF!),"")</f>
        <v/>
      </c>
      <c r="V553" s="0" t="n">
        <f aca="false">IFERROR(IF(AND(X553=0,Y553=0),0,1),0)</f>
        <v>1</v>
      </c>
      <c r="W553" s="3" t="str">
        <f aca="false">IFERROR(_xlfn.T.TEST(E553:M553,N553:U553,2,2),"")</f>
        <v/>
      </c>
      <c r="X553" s="0" t="str">
        <f aca="false">IFERROR(AVERAGE(E553:M553),"")</f>
        <v/>
      </c>
      <c r="Y553" s="0" t="str">
        <f aca="false">IFERROR(AVERAGE(N553:U553),"")</f>
        <v/>
      </c>
    </row>
    <row r="554" customFormat="false" ht="14.5" hidden="false" customHeight="false" outlineLevel="0" collapsed="false">
      <c r="A554" s="0" t="n">
        <v>562</v>
      </c>
      <c r="B554" s="0" t="s">
        <v>621</v>
      </c>
      <c r="C554" s="0" t="n">
        <v>53800</v>
      </c>
      <c r="D554" s="0" t="n">
        <v>359</v>
      </c>
      <c r="E554" s="0" t="str">
        <f aca="false">IFERROR(IF(OR(HLOOKUP($A554,#REF!,3,FALSE())&gt;2,HLOOKUP(A554,#REF!,3,FALSE())&lt;-2),"",#REF!),"")</f>
        <v/>
      </c>
      <c r="F554" s="0" t="str">
        <f aca="false">IFERROR(IF(OR(HLOOKUP($A554,#REF!,4,FALSE())&gt;2,HLOOKUP($A554,#REF!,4,FALSE())&lt;-2),"",#REF!),"")</f>
        <v/>
      </c>
      <c r="G554" s="0" t="str">
        <f aca="false">IFERROR(IF(OR(HLOOKUP($A554,#REF!,5,FALSE())&gt;2,HLOOKUP($A554,#REF!,5,FALSE())&lt;-2),"",#REF!),"")</f>
        <v/>
      </c>
      <c r="H554" s="0" t="str">
        <f aca="false">IFERROR(IF(OR(HLOOKUP($A554,#REF!,6,FALSE())&gt;2,HLOOKUP($A554,#REF!,6,FALSE())&lt;-2),"",#REF!),"")</f>
        <v/>
      </c>
      <c r="I554" s="0" t="str">
        <f aca="false">IFERROR(IF(OR(HLOOKUP($A554,#REF!,7,FALSE())&gt;2,HLOOKUP($A554,#REF!,7,FALSE())&lt;-2),"",#REF!),"")</f>
        <v/>
      </c>
      <c r="J554" s="0" t="str">
        <f aca="false">IFERROR(IF(OR(HLOOKUP($A554,#REF!,8,FALSE())&gt;2,HLOOKUP($A554,#REF!,8,FALSE())&lt;-2),"",#REF!),"")</f>
        <v/>
      </c>
      <c r="K554" s="0" t="str">
        <f aca="false">IFERROR(IF(OR(HLOOKUP($A554,#REF!,9,FALSE())&gt;2,HLOOKUP($A554,#REF!,9,FALSE())&lt;-2),"",#REF!),"")</f>
        <v/>
      </c>
      <c r="L554" s="0" t="str">
        <f aca="false">IFERROR(IF(OR(HLOOKUP($A554,#REF!,10,FALSE())&gt;2,HLOOKUP($A554,#REF!,10,FALSE())&lt;-2),"",#REF!),"")</f>
        <v/>
      </c>
      <c r="M554" s="0" t="str">
        <f aca="false">IFERROR(IF(OR(HLOOKUP($A554,#REF!,11,FALSE())&gt;2,HLOOKUP($A554,#REF!,11,FALSE())&lt;-2),"",#REF!),"")</f>
        <v/>
      </c>
      <c r="N554" s="0" t="str">
        <f aca="false">IFERROR(IF(OR(HLOOKUP($A554,#REF!,12,FALSE())&gt;2,HLOOKUP($A554,#REF!,12,FALSE())&lt;-2),"",#REF!),"")</f>
        <v/>
      </c>
      <c r="O554" s="0" t="str">
        <f aca="false">IFERROR(IF(OR(HLOOKUP($A554,#REF!,13,FALSE())&gt;2,HLOOKUP($A554,#REF!,13,FALSE())&lt;-2),"",#REF!),"")</f>
        <v/>
      </c>
      <c r="P554" s="0" t="str">
        <f aca="false">IFERROR(IF(OR(HLOOKUP($A554,#REF!,14,FALSE())&gt;2,HLOOKUP($A554,#REF!,14,FALSE())&lt;-2),"",#REF!),"")</f>
        <v/>
      </c>
      <c r="Q554" s="0" t="str">
        <f aca="false">IFERROR(IF(OR(HLOOKUP($A554,#REF!,15,FALSE())&gt;2,HLOOKUP($A554,#REF!,15,FALSE())&lt;-2),"",#REF!),"")</f>
        <v/>
      </c>
      <c r="R554" s="0" t="str">
        <f aca="false">IFERROR(IF(OR(HLOOKUP($A554,#REF!,16,FALSE())&gt;2,HLOOKUP($A554,#REF!,16,FALSE())&lt;-2),"",#REF!),"")</f>
        <v/>
      </c>
      <c r="S554" s="0" t="str">
        <f aca="false">IFERROR(IF(OR(HLOOKUP($A554,#REF!,17,FALSE())&gt;2,HLOOKUP($A554,#REF!,17,FALSE())&lt;-2),"",#REF!),"")</f>
        <v/>
      </c>
      <c r="T554" s="0" t="str">
        <f aca="false">IFERROR(IF(OR(HLOOKUP($A554,#REF!,18,FALSE())&gt;2,HLOOKUP($A554,#REF!,18,FALSE())&lt;-2),"",#REF!),"")</f>
        <v/>
      </c>
      <c r="U554" s="0" t="str">
        <f aca="false">IFERROR(IF(OR(HLOOKUP($A554,#REF!,19,FALSE())&gt;2,HLOOKUP($A554,#REF!,19,FALSE())&lt;-2),"",#REF!),"")</f>
        <v/>
      </c>
      <c r="V554" s="0" t="n">
        <f aca="false">IFERROR(IF(AND(X554=0,Y554=0),0,1),0)</f>
        <v>1</v>
      </c>
      <c r="W554" s="3" t="str">
        <f aca="false">IFERROR(_xlfn.T.TEST(E554:M554,N554:U554,2,2),"")</f>
        <v/>
      </c>
      <c r="X554" s="0" t="str">
        <f aca="false">IFERROR(AVERAGE(E554:M554),"")</f>
        <v/>
      </c>
      <c r="Y554" s="0" t="str">
        <f aca="false">IFERROR(AVERAGE(N554:U554),"")</f>
        <v/>
      </c>
    </row>
    <row r="555" customFormat="false" ht="14.5" hidden="false" customHeight="false" outlineLevel="0" collapsed="false">
      <c r="A555" s="0" t="n">
        <v>563</v>
      </c>
      <c r="B555" s="0" t="s">
        <v>622</v>
      </c>
      <c r="C555" s="0" t="n">
        <v>115700</v>
      </c>
      <c r="D555" s="0" t="n">
        <v>70</v>
      </c>
      <c r="E555" s="0" t="str">
        <f aca="false">IFERROR(IF(OR(HLOOKUP($A555,#REF!,3,FALSE())&gt;2,HLOOKUP(A555,#REF!,3,FALSE())&lt;-2),"",#REF!),"")</f>
        <v/>
      </c>
      <c r="F555" s="0" t="str">
        <f aca="false">IFERROR(IF(OR(HLOOKUP($A555,#REF!,4,FALSE())&gt;2,HLOOKUP($A555,#REF!,4,FALSE())&lt;-2),"",#REF!),"")</f>
        <v/>
      </c>
      <c r="G555" s="0" t="str">
        <f aca="false">IFERROR(IF(OR(HLOOKUP($A555,#REF!,5,FALSE())&gt;2,HLOOKUP($A555,#REF!,5,FALSE())&lt;-2),"",#REF!),"")</f>
        <v/>
      </c>
      <c r="H555" s="0" t="str">
        <f aca="false">IFERROR(IF(OR(HLOOKUP($A555,#REF!,6,FALSE())&gt;2,HLOOKUP($A555,#REF!,6,FALSE())&lt;-2),"",#REF!),"")</f>
        <v/>
      </c>
      <c r="I555" s="0" t="str">
        <f aca="false">IFERROR(IF(OR(HLOOKUP($A555,#REF!,7,FALSE())&gt;2,HLOOKUP($A555,#REF!,7,FALSE())&lt;-2),"",#REF!),"")</f>
        <v/>
      </c>
      <c r="J555" s="0" t="str">
        <f aca="false">IFERROR(IF(OR(HLOOKUP($A555,#REF!,8,FALSE())&gt;2,HLOOKUP($A555,#REF!,8,FALSE())&lt;-2),"",#REF!),"")</f>
        <v/>
      </c>
      <c r="K555" s="0" t="str">
        <f aca="false">IFERROR(IF(OR(HLOOKUP($A555,#REF!,9,FALSE())&gt;2,HLOOKUP($A555,#REF!,9,FALSE())&lt;-2),"",#REF!),"")</f>
        <v/>
      </c>
      <c r="L555" s="0" t="str">
        <f aca="false">IFERROR(IF(OR(HLOOKUP($A555,#REF!,10,FALSE())&gt;2,HLOOKUP($A555,#REF!,10,FALSE())&lt;-2),"",#REF!),"")</f>
        <v/>
      </c>
      <c r="M555" s="0" t="str">
        <f aca="false">IFERROR(IF(OR(HLOOKUP($A555,#REF!,11,FALSE())&gt;2,HLOOKUP($A555,#REF!,11,FALSE())&lt;-2),"",#REF!),"")</f>
        <v/>
      </c>
      <c r="N555" s="0" t="str">
        <f aca="false">IFERROR(IF(OR(HLOOKUP($A555,#REF!,12,FALSE())&gt;2,HLOOKUP($A555,#REF!,12,FALSE())&lt;-2),"",#REF!),"")</f>
        <v/>
      </c>
      <c r="O555" s="0" t="str">
        <f aca="false">IFERROR(IF(OR(HLOOKUP($A555,#REF!,13,FALSE())&gt;2,HLOOKUP($A555,#REF!,13,FALSE())&lt;-2),"",#REF!),"")</f>
        <v/>
      </c>
      <c r="P555" s="0" t="str">
        <f aca="false">IFERROR(IF(OR(HLOOKUP($A555,#REF!,14,FALSE())&gt;2,HLOOKUP($A555,#REF!,14,FALSE())&lt;-2),"",#REF!),"")</f>
        <v/>
      </c>
      <c r="Q555" s="0" t="str">
        <f aca="false">IFERROR(IF(OR(HLOOKUP($A555,#REF!,15,FALSE())&gt;2,HLOOKUP($A555,#REF!,15,FALSE())&lt;-2),"",#REF!),"")</f>
        <v/>
      </c>
      <c r="R555" s="0" t="str">
        <f aca="false">IFERROR(IF(OR(HLOOKUP($A555,#REF!,16,FALSE())&gt;2,HLOOKUP($A555,#REF!,16,FALSE())&lt;-2),"",#REF!),"")</f>
        <v/>
      </c>
      <c r="S555" s="0" t="str">
        <f aca="false">IFERROR(IF(OR(HLOOKUP($A555,#REF!,17,FALSE())&gt;2,HLOOKUP($A555,#REF!,17,FALSE())&lt;-2),"",#REF!),"")</f>
        <v/>
      </c>
      <c r="T555" s="0" t="str">
        <f aca="false">IFERROR(IF(OR(HLOOKUP($A555,#REF!,18,FALSE())&gt;2,HLOOKUP($A555,#REF!,18,FALSE())&lt;-2),"",#REF!),"")</f>
        <v/>
      </c>
      <c r="U555" s="0" t="str">
        <f aca="false">IFERROR(IF(OR(HLOOKUP($A555,#REF!,19,FALSE())&gt;2,HLOOKUP($A555,#REF!,19,FALSE())&lt;-2),"",#REF!),"")</f>
        <v/>
      </c>
      <c r="V555" s="0" t="n">
        <f aca="false">IFERROR(IF(AND(X555=0,Y555=0),0,1),0)</f>
        <v>1</v>
      </c>
      <c r="W555" s="3" t="str">
        <f aca="false">IFERROR(_xlfn.T.TEST(E555:M555,N555:U555,2,2),"")</f>
        <v/>
      </c>
      <c r="X555" s="0" t="str">
        <f aca="false">IFERROR(AVERAGE(E555:M555),"")</f>
        <v/>
      </c>
      <c r="Y555" s="0" t="str">
        <f aca="false">IFERROR(AVERAGE(N555:U555),"")</f>
        <v/>
      </c>
    </row>
    <row r="556" customFormat="false" ht="14.5" hidden="false" customHeight="false" outlineLevel="0" collapsed="false">
      <c r="A556" s="0" t="n">
        <v>564</v>
      </c>
      <c r="B556" s="0" t="s">
        <v>623</v>
      </c>
      <c r="C556" s="0" t="n">
        <v>52500</v>
      </c>
      <c r="D556" s="0" t="n">
        <v>904</v>
      </c>
      <c r="E556" s="0" t="str">
        <f aca="false">IFERROR(IF(OR(HLOOKUP($A556,#REF!,3,FALSE())&gt;2,HLOOKUP(A556,#REF!,3,FALSE())&lt;-2),"",#REF!),"")</f>
        <v/>
      </c>
      <c r="F556" s="0" t="str">
        <f aca="false">IFERROR(IF(OR(HLOOKUP($A556,#REF!,4,FALSE())&gt;2,HLOOKUP($A556,#REF!,4,FALSE())&lt;-2),"",#REF!),"")</f>
        <v/>
      </c>
      <c r="G556" s="0" t="str">
        <f aca="false">IFERROR(IF(OR(HLOOKUP($A556,#REF!,5,FALSE())&gt;2,HLOOKUP($A556,#REF!,5,FALSE())&lt;-2),"",#REF!),"")</f>
        <v/>
      </c>
      <c r="H556" s="0" t="str">
        <f aca="false">IFERROR(IF(OR(HLOOKUP($A556,#REF!,6,FALSE())&gt;2,HLOOKUP($A556,#REF!,6,FALSE())&lt;-2),"",#REF!),"")</f>
        <v/>
      </c>
      <c r="I556" s="0" t="str">
        <f aca="false">IFERROR(IF(OR(HLOOKUP($A556,#REF!,7,FALSE())&gt;2,HLOOKUP($A556,#REF!,7,FALSE())&lt;-2),"",#REF!),"")</f>
        <v/>
      </c>
      <c r="J556" s="0" t="str">
        <f aca="false">IFERROR(IF(OR(HLOOKUP($A556,#REF!,8,FALSE())&gt;2,HLOOKUP($A556,#REF!,8,FALSE())&lt;-2),"",#REF!),"")</f>
        <v/>
      </c>
      <c r="K556" s="0" t="str">
        <f aca="false">IFERROR(IF(OR(HLOOKUP($A556,#REF!,9,FALSE())&gt;2,HLOOKUP($A556,#REF!,9,FALSE())&lt;-2),"",#REF!),"")</f>
        <v/>
      </c>
      <c r="L556" s="0" t="str">
        <f aca="false">IFERROR(IF(OR(HLOOKUP($A556,#REF!,10,FALSE())&gt;2,HLOOKUP($A556,#REF!,10,FALSE())&lt;-2),"",#REF!),"")</f>
        <v/>
      </c>
      <c r="M556" s="0" t="str">
        <f aca="false">IFERROR(IF(OR(HLOOKUP($A556,#REF!,11,FALSE())&gt;2,HLOOKUP($A556,#REF!,11,FALSE())&lt;-2),"",#REF!),"")</f>
        <v/>
      </c>
      <c r="N556" s="0" t="str">
        <f aca="false">IFERROR(IF(OR(HLOOKUP($A556,#REF!,12,FALSE())&gt;2,HLOOKUP($A556,#REF!,12,FALSE())&lt;-2),"",#REF!),"")</f>
        <v/>
      </c>
      <c r="O556" s="0" t="str">
        <f aca="false">IFERROR(IF(OR(HLOOKUP($A556,#REF!,13,FALSE())&gt;2,HLOOKUP($A556,#REF!,13,FALSE())&lt;-2),"",#REF!),"")</f>
        <v/>
      </c>
      <c r="P556" s="0" t="str">
        <f aca="false">IFERROR(IF(OR(HLOOKUP($A556,#REF!,14,FALSE())&gt;2,HLOOKUP($A556,#REF!,14,FALSE())&lt;-2),"",#REF!),"")</f>
        <v/>
      </c>
      <c r="Q556" s="0" t="str">
        <f aca="false">IFERROR(IF(OR(HLOOKUP($A556,#REF!,15,FALSE())&gt;2,HLOOKUP($A556,#REF!,15,FALSE())&lt;-2),"",#REF!),"")</f>
        <v/>
      </c>
      <c r="R556" s="0" t="str">
        <f aca="false">IFERROR(IF(OR(HLOOKUP($A556,#REF!,16,FALSE())&gt;2,HLOOKUP($A556,#REF!,16,FALSE())&lt;-2),"",#REF!),"")</f>
        <v/>
      </c>
      <c r="S556" s="0" t="str">
        <f aca="false">IFERROR(IF(OR(HLOOKUP($A556,#REF!,17,FALSE())&gt;2,HLOOKUP($A556,#REF!,17,FALSE())&lt;-2),"",#REF!),"")</f>
        <v/>
      </c>
      <c r="T556" s="0" t="str">
        <f aca="false">IFERROR(IF(OR(HLOOKUP($A556,#REF!,18,FALSE())&gt;2,HLOOKUP($A556,#REF!,18,FALSE())&lt;-2),"",#REF!),"")</f>
        <v/>
      </c>
      <c r="U556" s="0" t="str">
        <f aca="false">IFERROR(IF(OR(HLOOKUP($A556,#REF!,19,FALSE())&gt;2,HLOOKUP($A556,#REF!,19,FALSE())&lt;-2),"",#REF!),"")</f>
        <v/>
      </c>
      <c r="V556" s="0" t="n">
        <f aca="false">IFERROR(IF(AND(X556=0,Y556=0),0,1),0)</f>
        <v>1</v>
      </c>
      <c r="W556" s="3" t="str">
        <f aca="false">IFERROR(_xlfn.T.TEST(E556:M556,N556:U556,2,2),"")</f>
        <v/>
      </c>
      <c r="X556" s="0" t="str">
        <f aca="false">IFERROR(AVERAGE(E556:M556),"")</f>
        <v/>
      </c>
      <c r="Y556" s="0" t="str">
        <f aca="false">IFERROR(AVERAGE(N556:U556),"")</f>
        <v/>
      </c>
    </row>
    <row r="557" customFormat="false" ht="14.5" hidden="false" customHeight="false" outlineLevel="0" collapsed="false">
      <c r="A557" s="0" t="n">
        <v>565</v>
      </c>
      <c r="B557" s="0" t="s">
        <v>624</v>
      </c>
      <c r="C557" s="0" t="n">
        <v>18000</v>
      </c>
      <c r="D557" s="0" t="n">
        <v>533</v>
      </c>
      <c r="E557" s="0" t="str">
        <f aca="false">IFERROR(IF(OR(HLOOKUP($A557,#REF!,3,FALSE())&gt;2,HLOOKUP(A557,#REF!,3,FALSE())&lt;-2),"",#REF!),"")</f>
        <v/>
      </c>
      <c r="F557" s="0" t="str">
        <f aca="false">IFERROR(IF(OR(HLOOKUP($A557,#REF!,4,FALSE())&gt;2,HLOOKUP($A557,#REF!,4,FALSE())&lt;-2),"",#REF!),"")</f>
        <v/>
      </c>
      <c r="G557" s="0" t="str">
        <f aca="false">IFERROR(IF(OR(HLOOKUP($A557,#REF!,5,FALSE())&gt;2,HLOOKUP($A557,#REF!,5,FALSE())&lt;-2),"",#REF!),"")</f>
        <v/>
      </c>
      <c r="H557" s="0" t="str">
        <f aca="false">IFERROR(IF(OR(HLOOKUP($A557,#REF!,6,FALSE())&gt;2,HLOOKUP($A557,#REF!,6,FALSE())&lt;-2),"",#REF!),"")</f>
        <v/>
      </c>
      <c r="I557" s="0" t="str">
        <f aca="false">IFERROR(IF(OR(HLOOKUP($A557,#REF!,7,FALSE())&gt;2,HLOOKUP($A557,#REF!,7,FALSE())&lt;-2),"",#REF!),"")</f>
        <v/>
      </c>
      <c r="J557" s="0" t="str">
        <f aca="false">IFERROR(IF(OR(HLOOKUP($A557,#REF!,8,FALSE())&gt;2,HLOOKUP($A557,#REF!,8,FALSE())&lt;-2),"",#REF!),"")</f>
        <v/>
      </c>
      <c r="K557" s="0" t="str">
        <f aca="false">IFERROR(IF(OR(HLOOKUP($A557,#REF!,9,FALSE())&gt;2,HLOOKUP($A557,#REF!,9,FALSE())&lt;-2),"",#REF!),"")</f>
        <v/>
      </c>
      <c r="L557" s="0" t="str">
        <f aca="false">IFERROR(IF(OR(HLOOKUP($A557,#REF!,10,FALSE())&gt;2,HLOOKUP($A557,#REF!,10,FALSE())&lt;-2),"",#REF!),"")</f>
        <v/>
      </c>
      <c r="M557" s="0" t="str">
        <f aca="false">IFERROR(IF(OR(HLOOKUP($A557,#REF!,11,FALSE())&gt;2,HLOOKUP($A557,#REF!,11,FALSE())&lt;-2),"",#REF!),"")</f>
        <v/>
      </c>
      <c r="N557" s="0" t="str">
        <f aca="false">IFERROR(IF(OR(HLOOKUP($A557,#REF!,12,FALSE())&gt;2,HLOOKUP($A557,#REF!,12,FALSE())&lt;-2),"",#REF!),"")</f>
        <v/>
      </c>
      <c r="O557" s="0" t="str">
        <f aca="false">IFERROR(IF(OR(HLOOKUP($A557,#REF!,13,FALSE())&gt;2,HLOOKUP($A557,#REF!,13,FALSE())&lt;-2),"",#REF!),"")</f>
        <v/>
      </c>
      <c r="P557" s="0" t="str">
        <f aca="false">IFERROR(IF(OR(HLOOKUP($A557,#REF!,14,FALSE())&gt;2,HLOOKUP($A557,#REF!,14,FALSE())&lt;-2),"",#REF!),"")</f>
        <v/>
      </c>
      <c r="Q557" s="0" t="str">
        <f aca="false">IFERROR(IF(OR(HLOOKUP($A557,#REF!,15,FALSE())&gt;2,HLOOKUP($A557,#REF!,15,FALSE())&lt;-2),"",#REF!),"")</f>
        <v/>
      </c>
      <c r="R557" s="0" t="str">
        <f aca="false">IFERROR(IF(OR(HLOOKUP($A557,#REF!,16,FALSE())&gt;2,HLOOKUP($A557,#REF!,16,FALSE())&lt;-2),"",#REF!),"")</f>
        <v/>
      </c>
      <c r="S557" s="0" t="str">
        <f aca="false">IFERROR(IF(OR(HLOOKUP($A557,#REF!,17,FALSE())&gt;2,HLOOKUP($A557,#REF!,17,FALSE())&lt;-2),"",#REF!),"")</f>
        <v/>
      </c>
      <c r="T557" s="0" t="str">
        <f aca="false">IFERROR(IF(OR(HLOOKUP($A557,#REF!,18,FALSE())&gt;2,HLOOKUP($A557,#REF!,18,FALSE())&lt;-2),"",#REF!),"")</f>
        <v/>
      </c>
      <c r="U557" s="0" t="str">
        <f aca="false">IFERROR(IF(OR(HLOOKUP($A557,#REF!,19,FALSE())&gt;2,HLOOKUP($A557,#REF!,19,FALSE())&lt;-2),"",#REF!),"")</f>
        <v/>
      </c>
      <c r="V557" s="0" t="n">
        <f aca="false">IFERROR(IF(AND(X557=0,Y557=0),0,1),0)</f>
        <v>1</v>
      </c>
      <c r="W557" s="3" t="str">
        <f aca="false">IFERROR(_xlfn.T.TEST(E557:M557,N557:U557,2,2),"")</f>
        <v/>
      </c>
      <c r="X557" s="0" t="str">
        <f aca="false">IFERROR(AVERAGE(E557:M557),"")</f>
        <v/>
      </c>
      <c r="Y557" s="0" t="str">
        <f aca="false">IFERROR(AVERAGE(N557:U557),"")</f>
        <v/>
      </c>
    </row>
    <row r="558" customFormat="false" ht="14.5" hidden="false" customHeight="false" outlineLevel="0" collapsed="false">
      <c r="A558" s="0" t="n">
        <v>566</v>
      </c>
      <c r="B558" s="0" t="s">
        <v>625</v>
      </c>
      <c r="C558" s="0" t="n">
        <v>36900</v>
      </c>
      <c r="D558" s="0" t="n">
        <v>698</v>
      </c>
      <c r="E558" s="0" t="str">
        <f aca="false">IFERROR(IF(OR(HLOOKUP($A558,#REF!,3,FALSE())&gt;2,HLOOKUP(A558,#REF!,3,FALSE())&lt;-2),"",#REF!),"")</f>
        <v/>
      </c>
      <c r="F558" s="0" t="str">
        <f aca="false">IFERROR(IF(OR(HLOOKUP($A558,#REF!,4,FALSE())&gt;2,HLOOKUP($A558,#REF!,4,FALSE())&lt;-2),"",#REF!),"")</f>
        <v/>
      </c>
      <c r="G558" s="0" t="str">
        <f aca="false">IFERROR(IF(OR(HLOOKUP($A558,#REF!,5,FALSE())&gt;2,HLOOKUP($A558,#REF!,5,FALSE())&lt;-2),"",#REF!),"")</f>
        <v/>
      </c>
      <c r="H558" s="0" t="str">
        <f aca="false">IFERROR(IF(OR(HLOOKUP($A558,#REF!,6,FALSE())&gt;2,HLOOKUP($A558,#REF!,6,FALSE())&lt;-2),"",#REF!),"")</f>
        <v/>
      </c>
      <c r="I558" s="0" t="str">
        <f aca="false">IFERROR(IF(OR(HLOOKUP($A558,#REF!,7,FALSE())&gt;2,HLOOKUP($A558,#REF!,7,FALSE())&lt;-2),"",#REF!),"")</f>
        <v/>
      </c>
      <c r="J558" s="0" t="str">
        <f aca="false">IFERROR(IF(OR(HLOOKUP($A558,#REF!,8,FALSE())&gt;2,HLOOKUP($A558,#REF!,8,FALSE())&lt;-2),"",#REF!),"")</f>
        <v/>
      </c>
      <c r="K558" s="0" t="str">
        <f aca="false">IFERROR(IF(OR(HLOOKUP($A558,#REF!,9,FALSE())&gt;2,HLOOKUP($A558,#REF!,9,FALSE())&lt;-2),"",#REF!),"")</f>
        <v/>
      </c>
      <c r="L558" s="0" t="str">
        <f aca="false">IFERROR(IF(OR(HLOOKUP($A558,#REF!,10,FALSE())&gt;2,HLOOKUP($A558,#REF!,10,FALSE())&lt;-2),"",#REF!),"")</f>
        <v/>
      </c>
      <c r="M558" s="0" t="str">
        <f aca="false">IFERROR(IF(OR(HLOOKUP($A558,#REF!,11,FALSE())&gt;2,HLOOKUP($A558,#REF!,11,FALSE())&lt;-2),"",#REF!),"")</f>
        <v/>
      </c>
      <c r="N558" s="0" t="str">
        <f aca="false">IFERROR(IF(OR(HLOOKUP($A558,#REF!,12,FALSE())&gt;2,HLOOKUP($A558,#REF!,12,FALSE())&lt;-2),"",#REF!),"")</f>
        <v/>
      </c>
      <c r="O558" s="0" t="str">
        <f aca="false">IFERROR(IF(OR(HLOOKUP($A558,#REF!,13,FALSE())&gt;2,HLOOKUP($A558,#REF!,13,FALSE())&lt;-2),"",#REF!),"")</f>
        <v/>
      </c>
      <c r="P558" s="0" t="str">
        <f aca="false">IFERROR(IF(OR(HLOOKUP($A558,#REF!,14,FALSE())&gt;2,HLOOKUP($A558,#REF!,14,FALSE())&lt;-2),"",#REF!),"")</f>
        <v/>
      </c>
      <c r="Q558" s="0" t="str">
        <f aca="false">IFERROR(IF(OR(HLOOKUP($A558,#REF!,15,FALSE())&gt;2,HLOOKUP($A558,#REF!,15,FALSE())&lt;-2),"",#REF!),"")</f>
        <v/>
      </c>
      <c r="R558" s="0" t="str">
        <f aca="false">IFERROR(IF(OR(HLOOKUP($A558,#REF!,16,FALSE())&gt;2,HLOOKUP($A558,#REF!,16,FALSE())&lt;-2),"",#REF!),"")</f>
        <v/>
      </c>
      <c r="S558" s="0" t="str">
        <f aca="false">IFERROR(IF(OR(HLOOKUP($A558,#REF!,17,FALSE())&gt;2,HLOOKUP($A558,#REF!,17,FALSE())&lt;-2),"",#REF!),"")</f>
        <v/>
      </c>
      <c r="T558" s="0" t="str">
        <f aca="false">IFERROR(IF(OR(HLOOKUP($A558,#REF!,18,FALSE())&gt;2,HLOOKUP($A558,#REF!,18,FALSE())&lt;-2),"",#REF!),"")</f>
        <v/>
      </c>
      <c r="U558" s="0" t="str">
        <f aca="false">IFERROR(IF(OR(HLOOKUP($A558,#REF!,19,FALSE())&gt;2,HLOOKUP($A558,#REF!,19,FALSE())&lt;-2),"",#REF!),"")</f>
        <v/>
      </c>
      <c r="V558" s="0" t="n">
        <f aca="false">IFERROR(IF(AND(X558=0,Y558=0),0,1),0)</f>
        <v>1</v>
      </c>
      <c r="W558" s="3" t="str">
        <f aca="false">IFERROR(_xlfn.T.TEST(E558:M558,N558:U558,2,2),"")</f>
        <v/>
      </c>
      <c r="X558" s="0" t="str">
        <f aca="false">IFERROR(AVERAGE(E558:M558),"")</f>
        <v/>
      </c>
      <c r="Y558" s="0" t="str">
        <f aca="false">IFERROR(AVERAGE(N558:U558),"")</f>
        <v/>
      </c>
    </row>
    <row r="559" customFormat="false" ht="14.5" hidden="false" customHeight="false" outlineLevel="0" collapsed="false">
      <c r="A559" s="0" t="n">
        <v>567</v>
      </c>
      <c r="B559" s="0" t="s">
        <v>626</v>
      </c>
      <c r="C559" s="0" t="n">
        <v>200</v>
      </c>
      <c r="D559" s="0" t="n">
        <v>8</v>
      </c>
      <c r="E559" s="0" t="str">
        <f aca="false">IFERROR(IF(OR(HLOOKUP($A559,#REF!,3,FALSE())&gt;2,HLOOKUP(A559,#REF!,3,FALSE())&lt;-2),"",#REF!),"")</f>
        <v/>
      </c>
      <c r="F559" s="0" t="str">
        <f aca="false">IFERROR(IF(OR(HLOOKUP($A559,#REF!,4,FALSE())&gt;2,HLOOKUP($A559,#REF!,4,FALSE())&lt;-2),"",#REF!),"")</f>
        <v/>
      </c>
      <c r="G559" s="0" t="str">
        <f aca="false">IFERROR(IF(OR(HLOOKUP($A559,#REF!,5,FALSE())&gt;2,HLOOKUP($A559,#REF!,5,FALSE())&lt;-2),"",#REF!),"")</f>
        <v/>
      </c>
      <c r="H559" s="0" t="str">
        <f aca="false">IFERROR(IF(OR(HLOOKUP($A559,#REF!,6,FALSE())&gt;2,HLOOKUP($A559,#REF!,6,FALSE())&lt;-2),"",#REF!),"")</f>
        <v/>
      </c>
      <c r="I559" s="0" t="str">
        <f aca="false">IFERROR(IF(OR(HLOOKUP($A559,#REF!,7,FALSE())&gt;2,HLOOKUP($A559,#REF!,7,FALSE())&lt;-2),"",#REF!),"")</f>
        <v/>
      </c>
      <c r="J559" s="0" t="str">
        <f aca="false">IFERROR(IF(OR(HLOOKUP($A559,#REF!,8,FALSE())&gt;2,HLOOKUP($A559,#REF!,8,FALSE())&lt;-2),"",#REF!),"")</f>
        <v/>
      </c>
      <c r="K559" s="0" t="str">
        <f aca="false">IFERROR(IF(OR(HLOOKUP($A559,#REF!,9,FALSE())&gt;2,HLOOKUP($A559,#REF!,9,FALSE())&lt;-2),"",#REF!),"")</f>
        <v/>
      </c>
      <c r="L559" s="0" t="str">
        <f aca="false">IFERROR(IF(OR(HLOOKUP($A559,#REF!,10,FALSE())&gt;2,HLOOKUP($A559,#REF!,10,FALSE())&lt;-2),"",#REF!),"")</f>
        <v/>
      </c>
      <c r="M559" s="0" t="str">
        <f aca="false">IFERROR(IF(OR(HLOOKUP($A559,#REF!,11,FALSE())&gt;2,HLOOKUP($A559,#REF!,11,FALSE())&lt;-2),"",#REF!),"")</f>
        <v/>
      </c>
      <c r="N559" s="0" t="str">
        <f aca="false">IFERROR(IF(OR(HLOOKUP($A559,#REF!,12,FALSE())&gt;2,HLOOKUP($A559,#REF!,12,FALSE())&lt;-2),"",#REF!),"")</f>
        <v/>
      </c>
      <c r="O559" s="0" t="str">
        <f aca="false">IFERROR(IF(OR(HLOOKUP($A559,#REF!,13,FALSE())&gt;2,HLOOKUP($A559,#REF!,13,FALSE())&lt;-2),"",#REF!),"")</f>
        <v/>
      </c>
      <c r="P559" s="0" t="str">
        <f aca="false">IFERROR(IF(OR(HLOOKUP($A559,#REF!,14,FALSE())&gt;2,HLOOKUP($A559,#REF!,14,FALSE())&lt;-2),"",#REF!),"")</f>
        <v/>
      </c>
      <c r="Q559" s="0" t="str">
        <f aca="false">IFERROR(IF(OR(HLOOKUP($A559,#REF!,15,FALSE())&gt;2,HLOOKUP($A559,#REF!,15,FALSE())&lt;-2),"",#REF!),"")</f>
        <v/>
      </c>
      <c r="R559" s="0" t="str">
        <f aca="false">IFERROR(IF(OR(HLOOKUP($A559,#REF!,16,FALSE())&gt;2,HLOOKUP($A559,#REF!,16,FALSE())&lt;-2),"",#REF!),"")</f>
        <v/>
      </c>
      <c r="S559" s="0" t="str">
        <f aca="false">IFERROR(IF(OR(HLOOKUP($A559,#REF!,17,FALSE())&gt;2,HLOOKUP($A559,#REF!,17,FALSE())&lt;-2),"",#REF!),"")</f>
        <v/>
      </c>
      <c r="T559" s="0" t="str">
        <f aca="false">IFERROR(IF(OR(HLOOKUP($A559,#REF!,18,FALSE())&gt;2,HLOOKUP($A559,#REF!,18,FALSE())&lt;-2),"",#REF!),"")</f>
        <v/>
      </c>
      <c r="U559" s="0" t="str">
        <f aca="false">IFERROR(IF(OR(HLOOKUP($A559,#REF!,19,FALSE())&gt;2,HLOOKUP($A559,#REF!,19,FALSE())&lt;-2),"",#REF!),"")</f>
        <v/>
      </c>
      <c r="V559" s="0" t="n">
        <f aca="false">IFERROR(IF(AND(X559=0,Y559=0),0,1),0)</f>
        <v>1</v>
      </c>
      <c r="W559" s="3" t="str">
        <f aca="false">IFERROR(_xlfn.T.TEST(E559:M559,N559:U559,2,2),"")</f>
        <v/>
      </c>
      <c r="X559" s="0" t="str">
        <f aca="false">IFERROR(AVERAGE(E559:M559),"")</f>
        <v/>
      </c>
      <c r="Y559" s="0" t="str">
        <f aca="false">IFERROR(AVERAGE(N559:U559),"")</f>
        <v/>
      </c>
    </row>
    <row r="560" customFormat="false" ht="14.5" hidden="false" customHeight="false" outlineLevel="0" collapsed="false">
      <c r="A560" s="0" t="n">
        <v>568</v>
      </c>
      <c r="B560" s="0" t="s">
        <v>627</v>
      </c>
      <c r="C560" s="0" t="n">
        <v>92400</v>
      </c>
      <c r="D560" s="0" t="n">
        <v>370</v>
      </c>
      <c r="E560" s="0" t="str">
        <f aca="false">IFERROR(IF(OR(HLOOKUP($A560,#REF!,3,FALSE())&gt;2,HLOOKUP(A560,#REF!,3,FALSE())&lt;-2),"",#REF!),"")</f>
        <v/>
      </c>
      <c r="F560" s="0" t="str">
        <f aca="false">IFERROR(IF(OR(HLOOKUP($A560,#REF!,4,FALSE())&gt;2,HLOOKUP($A560,#REF!,4,FALSE())&lt;-2),"",#REF!),"")</f>
        <v/>
      </c>
      <c r="G560" s="0" t="str">
        <f aca="false">IFERROR(IF(OR(HLOOKUP($A560,#REF!,5,FALSE())&gt;2,HLOOKUP($A560,#REF!,5,FALSE())&lt;-2),"",#REF!),"")</f>
        <v/>
      </c>
      <c r="H560" s="0" t="str">
        <f aca="false">IFERROR(IF(OR(HLOOKUP($A560,#REF!,6,FALSE())&gt;2,HLOOKUP($A560,#REF!,6,FALSE())&lt;-2),"",#REF!),"")</f>
        <v/>
      </c>
      <c r="I560" s="0" t="str">
        <f aca="false">IFERROR(IF(OR(HLOOKUP($A560,#REF!,7,FALSE())&gt;2,HLOOKUP($A560,#REF!,7,FALSE())&lt;-2),"",#REF!),"")</f>
        <v/>
      </c>
      <c r="J560" s="0" t="str">
        <f aca="false">IFERROR(IF(OR(HLOOKUP($A560,#REF!,8,FALSE())&gt;2,HLOOKUP($A560,#REF!,8,FALSE())&lt;-2),"",#REF!),"")</f>
        <v/>
      </c>
      <c r="K560" s="0" t="str">
        <f aca="false">IFERROR(IF(OR(HLOOKUP($A560,#REF!,9,FALSE())&gt;2,HLOOKUP($A560,#REF!,9,FALSE())&lt;-2),"",#REF!),"")</f>
        <v/>
      </c>
      <c r="L560" s="0" t="str">
        <f aca="false">IFERROR(IF(OR(HLOOKUP($A560,#REF!,10,FALSE())&gt;2,HLOOKUP($A560,#REF!,10,FALSE())&lt;-2),"",#REF!),"")</f>
        <v/>
      </c>
      <c r="M560" s="0" t="str">
        <f aca="false">IFERROR(IF(OR(HLOOKUP($A560,#REF!,11,FALSE())&gt;2,HLOOKUP($A560,#REF!,11,FALSE())&lt;-2),"",#REF!),"")</f>
        <v/>
      </c>
      <c r="N560" s="0" t="str">
        <f aca="false">IFERROR(IF(OR(HLOOKUP($A560,#REF!,12,FALSE())&gt;2,HLOOKUP($A560,#REF!,12,FALSE())&lt;-2),"",#REF!),"")</f>
        <v/>
      </c>
      <c r="O560" s="0" t="str">
        <f aca="false">IFERROR(IF(OR(HLOOKUP($A560,#REF!,13,FALSE())&gt;2,HLOOKUP($A560,#REF!,13,FALSE())&lt;-2),"",#REF!),"")</f>
        <v/>
      </c>
      <c r="P560" s="0" t="str">
        <f aca="false">IFERROR(IF(OR(HLOOKUP($A560,#REF!,14,FALSE())&gt;2,HLOOKUP($A560,#REF!,14,FALSE())&lt;-2),"",#REF!),"")</f>
        <v/>
      </c>
      <c r="Q560" s="0" t="str">
        <f aca="false">IFERROR(IF(OR(HLOOKUP($A560,#REF!,15,FALSE())&gt;2,HLOOKUP($A560,#REF!,15,FALSE())&lt;-2),"",#REF!),"")</f>
        <v/>
      </c>
      <c r="R560" s="0" t="str">
        <f aca="false">IFERROR(IF(OR(HLOOKUP($A560,#REF!,16,FALSE())&gt;2,HLOOKUP($A560,#REF!,16,FALSE())&lt;-2),"",#REF!),"")</f>
        <v/>
      </c>
      <c r="S560" s="0" t="str">
        <f aca="false">IFERROR(IF(OR(HLOOKUP($A560,#REF!,17,FALSE())&gt;2,HLOOKUP($A560,#REF!,17,FALSE())&lt;-2),"",#REF!),"")</f>
        <v/>
      </c>
      <c r="T560" s="0" t="str">
        <f aca="false">IFERROR(IF(OR(HLOOKUP($A560,#REF!,18,FALSE())&gt;2,HLOOKUP($A560,#REF!,18,FALSE())&lt;-2),"",#REF!),"")</f>
        <v/>
      </c>
      <c r="U560" s="0" t="str">
        <f aca="false">IFERROR(IF(OR(HLOOKUP($A560,#REF!,19,FALSE())&gt;2,HLOOKUP($A560,#REF!,19,FALSE())&lt;-2),"",#REF!),"")</f>
        <v/>
      </c>
      <c r="V560" s="0" t="n">
        <f aca="false">IFERROR(IF(AND(X560=0,Y560=0),0,1),0)</f>
        <v>1</v>
      </c>
      <c r="W560" s="3" t="str">
        <f aca="false">IFERROR(_xlfn.T.TEST(E560:M560,N560:U560,2,2),"")</f>
        <v/>
      </c>
      <c r="X560" s="0" t="str">
        <f aca="false">IFERROR(AVERAGE(E560:M560),"")</f>
        <v/>
      </c>
      <c r="Y560" s="0" t="str">
        <f aca="false">IFERROR(AVERAGE(N560:U560),"")</f>
        <v/>
      </c>
    </row>
    <row r="561" customFormat="false" ht="14.5" hidden="false" customHeight="false" outlineLevel="0" collapsed="false">
      <c r="A561" s="0" t="n">
        <v>569</v>
      </c>
      <c r="B561" s="0" t="s">
        <v>628</v>
      </c>
      <c r="C561" s="0" t="n">
        <v>54100</v>
      </c>
      <c r="D561" s="0" t="n">
        <v>367</v>
      </c>
      <c r="E561" s="0" t="str">
        <f aca="false">IFERROR(IF(OR(HLOOKUP($A561,#REF!,3,FALSE())&gt;2,HLOOKUP(A561,#REF!,3,FALSE())&lt;-2),"",#REF!),"")</f>
        <v/>
      </c>
      <c r="F561" s="0" t="str">
        <f aca="false">IFERROR(IF(OR(HLOOKUP($A561,#REF!,4,FALSE())&gt;2,HLOOKUP($A561,#REF!,4,FALSE())&lt;-2),"",#REF!),"")</f>
        <v/>
      </c>
      <c r="G561" s="0" t="str">
        <f aca="false">IFERROR(IF(OR(HLOOKUP($A561,#REF!,5,FALSE())&gt;2,HLOOKUP($A561,#REF!,5,FALSE())&lt;-2),"",#REF!),"")</f>
        <v/>
      </c>
      <c r="H561" s="0" t="str">
        <f aca="false">IFERROR(IF(OR(HLOOKUP($A561,#REF!,6,FALSE())&gt;2,HLOOKUP($A561,#REF!,6,FALSE())&lt;-2),"",#REF!),"")</f>
        <v/>
      </c>
      <c r="I561" s="0" t="str">
        <f aca="false">IFERROR(IF(OR(HLOOKUP($A561,#REF!,7,FALSE())&gt;2,HLOOKUP($A561,#REF!,7,FALSE())&lt;-2),"",#REF!),"")</f>
        <v/>
      </c>
      <c r="J561" s="0" t="str">
        <f aca="false">IFERROR(IF(OR(HLOOKUP($A561,#REF!,8,FALSE())&gt;2,HLOOKUP($A561,#REF!,8,FALSE())&lt;-2),"",#REF!),"")</f>
        <v/>
      </c>
      <c r="K561" s="0" t="str">
        <f aca="false">IFERROR(IF(OR(HLOOKUP($A561,#REF!,9,FALSE())&gt;2,HLOOKUP($A561,#REF!,9,FALSE())&lt;-2),"",#REF!),"")</f>
        <v/>
      </c>
      <c r="L561" s="0" t="str">
        <f aca="false">IFERROR(IF(OR(HLOOKUP($A561,#REF!,10,FALSE())&gt;2,HLOOKUP($A561,#REF!,10,FALSE())&lt;-2),"",#REF!),"")</f>
        <v/>
      </c>
      <c r="M561" s="0" t="str">
        <f aca="false">IFERROR(IF(OR(HLOOKUP($A561,#REF!,11,FALSE())&gt;2,HLOOKUP($A561,#REF!,11,FALSE())&lt;-2),"",#REF!),"")</f>
        <v/>
      </c>
      <c r="N561" s="0" t="str">
        <f aca="false">IFERROR(IF(OR(HLOOKUP($A561,#REF!,12,FALSE())&gt;2,HLOOKUP($A561,#REF!,12,FALSE())&lt;-2),"",#REF!),"")</f>
        <v/>
      </c>
      <c r="O561" s="0" t="str">
        <f aca="false">IFERROR(IF(OR(HLOOKUP($A561,#REF!,13,FALSE())&gt;2,HLOOKUP($A561,#REF!,13,FALSE())&lt;-2),"",#REF!),"")</f>
        <v/>
      </c>
      <c r="P561" s="0" t="str">
        <f aca="false">IFERROR(IF(OR(HLOOKUP($A561,#REF!,14,FALSE())&gt;2,HLOOKUP($A561,#REF!,14,FALSE())&lt;-2),"",#REF!),"")</f>
        <v/>
      </c>
      <c r="Q561" s="0" t="str">
        <f aca="false">IFERROR(IF(OR(HLOOKUP($A561,#REF!,15,FALSE())&gt;2,HLOOKUP($A561,#REF!,15,FALSE())&lt;-2),"",#REF!),"")</f>
        <v/>
      </c>
      <c r="R561" s="0" t="str">
        <f aca="false">IFERROR(IF(OR(HLOOKUP($A561,#REF!,16,FALSE())&gt;2,HLOOKUP($A561,#REF!,16,FALSE())&lt;-2),"",#REF!),"")</f>
        <v/>
      </c>
      <c r="S561" s="0" t="str">
        <f aca="false">IFERROR(IF(OR(HLOOKUP($A561,#REF!,17,FALSE())&gt;2,HLOOKUP($A561,#REF!,17,FALSE())&lt;-2),"",#REF!),"")</f>
        <v/>
      </c>
      <c r="T561" s="0" t="str">
        <f aca="false">IFERROR(IF(OR(HLOOKUP($A561,#REF!,18,FALSE())&gt;2,HLOOKUP($A561,#REF!,18,FALSE())&lt;-2),"",#REF!),"")</f>
        <v/>
      </c>
      <c r="U561" s="0" t="str">
        <f aca="false">IFERROR(IF(OR(HLOOKUP($A561,#REF!,19,FALSE())&gt;2,HLOOKUP($A561,#REF!,19,FALSE())&lt;-2),"",#REF!),"")</f>
        <v/>
      </c>
      <c r="V561" s="0" t="n">
        <f aca="false">IFERROR(IF(AND(X561=0,Y561=0),0,1),0)</f>
        <v>1</v>
      </c>
      <c r="W561" s="3" t="str">
        <f aca="false">IFERROR(_xlfn.T.TEST(E561:M561,N561:U561,2,2),"")</f>
        <v/>
      </c>
      <c r="X561" s="0" t="str">
        <f aca="false">IFERROR(AVERAGE(E561:M561),"")</f>
        <v/>
      </c>
      <c r="Y561" s="0" t="str">
        <f aca="false">IFERROR(AVERAGE(N561:U561),"")</f>
        <v/>
      </c>
    </row>
    <row r="562" customFormat="false" ht="14.5" hidden="false" customHeight="false" outlineLevel="0" collapsed="false">
      <c r="A562" s="0" t="n">
        <v>570</v>
      </c>
      <c r="B562" s="0" t="s">
        <v>629</v>
      </c>
      <c r="C562" s="0" t="n">
        <v>102200</v>
      </c>
      <c r="D562" s="0" t="n">
        <v>932</v>
      </c>
      <c r="E562" s="0" t="str">
        <f aca="false">IFERROR(IF(OR(HLOOKUP($A562,#REF!,3,FALSE())&gt;2,HLOOKUP(A562,#REF!,3,FALSE())&lt;-2),"",#REF!),"")</f>
        <v/>
      </c>
      <c r="F562" s="0" t="str">
        <f aca="false">IFERROR(IF(OR(HLOOKUP($A562,#REF!,4,FALSE())&gt;2,HLOOKUP($A562,#REF!,4,FALSE())&lt;-2),"",#REF!),"")</f>
        <v/>
      </c>
      <c r="G562" s="0" t="str">
        <f aca="false">IFERROR(IF(OR(HLOOKUP($A562,#REF!,5,FALSE())&gt;2,HLOOKUP($A562,#REF!,5,FALSE())&lt;-2),"",#REF!),"")</f>
        <v/>
      </c>
      <c r="H562" s="0" t="str">
        <f aca="false">IFERROR(IF(OR(HLOOKUP($A562,#REF!,6,FALSE())&gt;2,HLOOKUP($A562,#REF!,6,FALSE())&lt;-2),"",#REF!),"")</f>
        <v/>
      </c>
      <c r="I562" s="0" t="str">
        <f aca="false">IFERROR(IF(OR(HLOOKUP($A562,#REF!,7,FALSE())&gt;2,HLOOKUP($A562,#REF!,7,FALSE())&lt;-2),"",#REF!),"")</f>
        <v/>
      </c>
      <c r="J562" s="0" t="str">
        <f aca="false">IFERROR(IF(OR(HLOOKUP($A562,#REF!,8,FALSE())&gt;2,HLOOKUP($A562,#REF!,8,FALSE())&lt;-2),"",#REF!),"")</f>
        <v/>
      </c>
      <c r="K562" s="0" t="str">
        <f aca="false">IFERROR(IF(OR(HLOOKUP($A562,#REF!,9,FALSE())&gt;2,HLOOKUP($A562,#REF!,9,FALSE())&lt;-2),"",#REF!),"")</f>
        <v/>
      </c>
      <c r="L562" s="0" t="str">
        <f aca="false">IFERROR(IF(OR(HLOOKUP($A562,#REF!,10,FALSE())&gt;2,HLOOKUP($A562,#REF!,10,FALSE())&lt;-2),"",#REF!),"")</f>
        <v/>
      </c>
      <c r="M562" s="0" t="str">
        <f aca="false">IFERROR(IF(OR(HLOOKUP($A562,#REF!,11,FALSE())&gt;2,HLOOKUP($A562,#REF!,11,FALSE())&lt;-2),"",#REF!),"")</f>
        <v/>
      </c>
      <c r="N562" s="0" t="str">
        <f aca="false">IFERROR(IF(OR(HLOOKUP($A562,#REF!,12,FALSE())&gt;2,HLOOKUP($A562,#REF!,12,FALSE())&lt;-2),"",#REF!),"")</f>
        <v/>
      </c>
      <c r="O562" s="0" t="str">
        <f aca="false">IFERROR(IF(OR(HLOOKUP($A562,#REF!,13,FALSE())&gt;2,HLOOKUP($A562,#REF!,13,FALSE())&lt;-2),"",#REF!),"")</f>
        <v/>
      </c>
      <c r="P562" s="0" t="str">
        <f aca="false">IFERROR(IF(OR(HLOOKUP($A562,#REF!,14,FALSE())&gt;2,HLOOKUP($A562,#REF!,14,FALSE())&lt;-2),"",#REF!),"")</f>
        <v/>
      </c>
      <c r="Q562" s="0" t="str">
        <f aca="false">IFERROR(IF(OR(HLOOKUP($A562,#REF!,15,FALSE())&gt;2,HLOOKUP($A562,#REF!,15,FALSE())&lt;-2),"",#REF!),"")</f>
        <v/>
      </c>
      <c r="R562" s="0" t="str">
        <f aca="false">IFERROR(IF(OR(HLOOKUP($A562,#REF!,16,FALSE())&gt;2,HLOOKUP($A562,#REF!,16,FALSE())&lt;-2),"",#REF!),"")</f>
        <v/>
      </c>
      <c r="S562" s="0" t="str">
        <f aca="false">IFERROR(IF(OR(HLOOKUP($A562,#REF!,17,FALSE())&gt;2,HLOOKUP($A562,#REF!,17,FALSE())&lt;-2),"",#REF!),"")</f>
        <v/>
      </c>
      <c r="T562" s="0" t="str">
        <f aca="false">IFERROR(IF(OR(HLOOKUP($A562,#REF!,18,FALSE())&gt;2,HLOOKUP($A562,#REF!,18,FALSE())&lt;-2),"",#REF!),"")</f>
        <v/>
      </c>
      <c r="U562" s="0" t="str">
        <f aca="false">IFERROR(IF(OR(HLOOKUP($A562,#REF!,19,FALSE())&gt;2,HLOOKUP($A562,#REF!,19,FALSE())&lt;-2),"",#REF!),"")</f>
        <v/>
      </c>
      <c r="V562" s="0" t="n">
        <f aca="false">IFERROR(IF(AND(X562=0,Y562=0),0,1),0)</f>
        <v>1</v>
      </c>
      <c r="W562" s="3" t="str">
        <f aca="false">IFERROR(_xlfn.T.TEST(E562:M562,N562:U562,2,2),"")</f>
        <v/>
      </c>
      <c r="X562" s="0" t="str">
        <f aca="false">IFERROR(AVERAGE(E562:M562),"")</f>
        <v/>
      </c>
      <c r="Y562" s="0" t="str">
        <f aca="false">IFERROR(AVERAGE(N562:U562),"")</f>
        <v/>
      </c>
    </row>
    <row r="563" customFormat="false" ht="14.5" hidden="false" customHeight="false" outlineLevel="0" collapsed="false">
      <c r="A563" s="0" t="n">
        <v>571</v>
      </c>
      <c r="B563" s="0" t="s">
        <v>630</v>
      </c>
      <c r="C563" s="0" t="n">
        <v>67900</v>
      </c>
      <c r="D563" s="0" t="n">
        <v>856</v>
      </c>
      <c r="E563" s="0" t="str">
        <f aca="false">IFERROR(IF(OR(HLOOKUP($A563,#REF!,3,FALSE())&gt;2,HLOOKUP(A563,#REF!,3,FALSE())&lt;-2),"",#REF!),"")</f>
        <v/>
      </c>
      <c r="F563" s="0" t="str">
        <f aca="false">IFERROR(IF(OR(HLOOKUP($A563,#REF!,4,FALSE())&gt;2,HLOOKUP($A563,#REF!,4,FALSE())&lt;-2),"",#REF!),"")</f>
        <v/>
      </c>
      <c r="G563" s="0" t="str">
        <f aca="false">IFERROR(IF(OR(HLOOKUP($A563,#REF!,5,FALSE())&gt;2,HLOOKUP($A563,#REF!,5,FALSE())&lt;-2),"",#REF!),"")</f>
        <v/>
      </c>
      <c r="H563" s="0" t="str">
        <f aca="false">IFERROR(IF(OR(HLOOKUP($A563,#REF!,6,FALSE())&gt;2,HLOOKUP($A563,#REF!,6,FALSE())&lt;-2),"",#REF!),"")</f>
        <v/>
      </c>
      <c r="I563" s="0" t="str">
        <f aca="false">IFERROR(IF(OR(HLOOKUP($A563,#REF!,7,FALSE())&gt;2,HLOOKUP($A563,#REF!,7,FALSE())&lt;-2),"",#REF!),"")</f>
        <v/>
      </c>
      <c r="J563" s="0" t="str">
        <f aca="false">IFERROR(IF(OR(HLOOKUP($A563,#REF!,8,FALSE())&gt;2,HLOOKUP($A563,#REF!,8,FALSE())&lt;-2),"",#REF!),"")</f>
        <v/>
      </c>
      <c r="K563" s="0" t="str">
        <f aca="false">IFERROR(IF(OR(HLOOKUP($A563,#REF!,9,FALSE())&gt;2,HLOOKUP($A563,#REF!,9,FALSE())&lt;-2),"",#REF!),"")</f>
        <v/>
      </c>
      <c r="L563" s="0" t="str">
        <f aca="false">IFERROR(IF(OR(HLOOKUP($A563,#REF!,10,FALSE())&gt;2,HLOOKUP($A563,#REF!,10,FALSE())&lt;-2),"",#REF!),"")</f>
        <v/>
      </c>
      <c r="M563" s="0" t="str">
        <f aca="false">IFERROR(IF(OR(HLOOKUP($A563,#REF!,11,FALSE())&gt;2,HLOOKUP($A563,#REF!,11,FALSE())&lt;-2),"",#REF!),"")</f>
        <v/>
      </c>
      <c r="N563" s="0" t="str">
        <f aca="false">IFERROR(IF(OR(HLOOKUP($A563,#REF!,12,FALSE())&gt;2,HLOOKUP($A563,#REF!,12,FALSE())&lt;-2),"",#REF!),"")</f>
        <v/>
      </c>
      <c r="O563" s="0" t="str">
        <f aca="false">IFERROR(IF(OR(HLOOKUP($A563,#REF!,13,FALSE())&gt;2,HLOOKUP($A563,#REF!,13,FALSE())&lt;-2),"",#REF!),"")</f>
        <v/>
      </c>
      <c r="P563" s="0" t="str">
        <f aca="false">IFERROR(IF(OR(HLOOKUP($A563,#REF!,14,FALSE())&gt;2,HLOOKUP($A563,#REF!,14,FALSE())&lt;-2),"",#REF!),"")</f>
        <v/>
      </c>
      <c r="Q563" s="0" t="str">
        <f aca="false">IFERROR(IF(OR(HLOOKUP($A563,#REF!,15,FALSE())&gt;2,HLOOKUP($A563,#REF!,15,FALSE())&lt;-2),"",#REF!),"")</f>
        <v/>
      </c>
      <c r="R563" s="0" t="str">
        <f aca="false">IFERROR(IF(OR(HLOOKUP($A563,#REF!,16,FALSE())&gt;2,HLOOKUP($A563,#REF!,16,FALSE())&lt;-2),"",#REF!),"")</f>
        <v/>
      </c>
      <c r="S563" s="0" t="str">
        <f aca="false">IFERROR(IF(OR(HLOOKUP($A563,#REF!,17,FALSE())&gt;2,HLOOKUP($A563,#REF!,17,FALSE())&lt;-2),"",#REF!),"")</f>
        <v/>
      </c>
      <c r="T563" s="0" t="str">
        <f aca="false">IFERROR(IF(OR(HLOOKUP($A563,#REF!,18,FALSE())&gt;2,HLOOKUP($A563,#REF!,18,FALSE())&lt;-2),"",#REF!),"")</f>
        <v/>
      </c>
      <c r="U563" s="0" t="str">
        <f aca="false">IFERROR(IF(OR(HLOOKUP($A563,#REF!,19,FALSE())&gt;2,HLOOKUP($A563,#REF!,19,FALSE())&lt;-2),"",#REF!),"")</f>
        <v/>
      </c>
      <c r="V563" s="0" t="n">
        <f aca="false">IFERROR(IF(AND(X563=0,Y563=0),0,1),0)</f>
        <v>1</v>
      </c>
      <c r="W563" s="3" t="str">
        <f aca="false">IFERROR(_xlfn.T.TEST(E563:M563,N563:U563,2,2),"")</f>
        <v/>
      </c>
      <c r="X563" s="0" t="str">
        <f aca="false">IFERROR(AVERAGE(E563:M563),"")</f>
        <v/>
      </c>
      <c r="Y563" s="0" t="str">
        <f aca="false">IFERROR(AVERAGE(N563:U563),"")</f>
        <v/>
      </c>
    </row>
    <row r="564" customFormat="false" ht="14.5" hidden="false" customHeight="false" outlineLevel="0" collapsed="false">
      <c r="A564" s="0" t="n">
        <v>572</v>
      </c>
      <c r="B564" s="0" t="s">
        <v>631</v>
      </c>
      <c r="C564" s="0" t="n">
        <v>18400</v>
      </c>
      <c r="D564" s="0" t="n">
        <v>31</v>
      </c>
      <c r="E564" s="0" t="str">
        <f aca="false">IFERROR(IF(OR(HLOOKUP($A564,#REF!,3,FALSE())&gt;2,HLOOKUP(A564,#REF!,3,FALSE())&lt;-2),"",#REF!),"")</f>
        <v/>
      </c>
      <c r="F564" s="0" t="str">
        <f aca="false">IFERROR(IF(OR(HLOOKUP($A564,#REF!,4,FALSE())&gt;2,HLOOKUP($A564,#REF!,4,FALSE())&lt;-2),"",#REF!),"")</f>
        <v/>
      </c>
      <c r="G564" s="0" t="str">
        <f aca="false">IFERROR(IF(OR(HLOOKUP($A564,#REF!,5,FALSE())&gt;2,HLOOKUP($A564,#REF!,5,FALSE())&lt;-2),"",#REF!),"")</f>
        <v/>
      </c>
      <c r="H564" s="0" t="str">
        <f aca="false">IFERROR(IF(OR(HLOOKUP($A564,#REF!,6,FALSE())&gt;2,HLOOKUP($A564,#REF!,6,FALSE())&lt;-2),"",#REF!),"")</f>
        <v/>
      </c>
      <c r="I564" s="0" t="str">
        <f aca="false">IFERROR(IF(OR(HLOOKUP($A564,#REF!,7,FALSE())&gt;2,HLOOKUP($A564,#REF!,7,FALSE())&lt;-2),"",#REF!),"")</f>
        <v/>
      </c>
      <c r="J564" s="0" t="str">
        <f aca="false">IFERROR(IF(OR(HLOOKUP($A564,#REF!,8,FALSE())&gt;2,HLOOKUP($A564,#REF!,8,FALSE())&lt;-2),"",#REF!),"")</f>
        <v/>
      </c>
      <c r="K564" s="0" t="str">
        <f aca="false">IFERROR(IF(OR(HLOOKUP($A564,#REF!,9,FALSE())&gt;2,HLOOKUP($A564,#REF!,9,FALSE())&lt;-2),"",#REF!),"")</f>
        <v/>
      </c>
      <c r="L564" s="0" t="str">
        <f aca="false">IFERROR(IF(OR(HLOOKUP($A564,#REF!,10,FALSE())&gt;2,HLOOKUP($A564,#REF!,10,FALSE())&lt;-2),"",#REF!),"")</f>
        <v/>
      </c>
      <c r="M564" s="0" t="str">
        <f aca="false">IFERROR(IF(OR(HLOOKUP($A564,#REF!,11,FALSE())&gt;2,HLOOKUP($A564,#REF!,11,FALSE())&lt;-2),"",#REF!),"")</f>
        <v/>
      </c>
      <c r="N564" s="0" t="str">
        <f aca="false">IFERROR(IF(OR(HLOOKUP($A564,#REF!,12,FALSE())&gt;2,HLOOKUP($A564,#REF!,12,FALSE())&lt;-2),"",#REF!),"")</f>
        <v/>
      </c>
      <c r="O564" s="0" t="str">
        <f aca="false">IFERROR(IF(OR(HLOOKUP($A564,#REF!,13,FALSE())&gt;2,HLOOKUP($A564,#REF!,13,FALSE())&lt;-2),"",#REF!),"")</f>
        <v/>
      </c>
      <c r="P564" s="0" t="str">
        <f aca="false">IFERROR(IF(OR(HLOOKUP($A564,#REF!,14,FALSE())&gt;2,HLOOKUP($A564,#REF!,14,FALSE())&lt;-2),"",#REF!),"")</f>
        <v/>
      </c>
      <c r="Q564" s="0" t="str">
        <f aca="false">IFERROR(IF(OR(HLOOKUP($A564,#REF!,15,FALSE())&gt;2,HLOOKUP($A564,#REF!,15,FALSE())&lt;-2),"",#REF!),"")</f>
        <v/>
      </c>
      <c r="R564" s="0" t="str">
        <f aca="false">IFERROR(IF(OR(HLOOKUP($A564,#REF!,16,FALSE())&gt;2,HLOOKUP($A564,#REF!,16,FALSE())&lt;-2),"",#REF!),"")</f>
        <v/>
      </c>
      <c r="S564" s="0" t="str">
        <f aca="false">IFERROR(IF(OR(HLOOKUP($A564,#REF!,17,FALSE())&gt;2,HLOOKUP($A564,#REF!,17,FALSE())&lt;-2),"",#REF!),"")</f>
        <v/>
      </c>
      <c r="T564" s="0" t="str">
        <f aca="false">IFERROR(IF(OR(HLOOKUP($A564,#REF!,18,FALSE())&gt;2,HLOOKUP($A564,#REF!,18,FALSE())&lt;-2),"",#REF!),"")</f>
        <v/>
      </c>
      <c r="U564" s="0" t="str">
        <f aca="false">IFERROR(IF(OR(HLOOKUP($A564,#REF!,19,FALSE())&gt;2,HLOOKUP($A564,#REF!,19,FALSE())&lt;-2),"",#REF!),"")</f>
        <v/>
      </c>
      <c r="V564" s="0" t="n">
        <f aca="false">IFERROR(IF(AND(X564=0,Y564=0),0,1),0)</f>
        <v>1</v>
      </c>
      <c r="W564" s="3" t="str">
        <f aca="false">IFERROR(_xlfn.T.TEST(E564:M564,N564:U564,2,2),"")</f>
        <v/>
      </c>
      <c r="X564" s="0" t="str">
        <f aca="false">IFERROR(AVERAGE(E564:M564),"")</f>
        <v/>
      </c>
      <c r="Y564" s="0" t="str">
        <f aca="false">IFERROR(AVERAGE(N564:U564),"")</f>
        <v/>
      </c>
    </row>
    <row r="565" customFormat="false" ht="14.5" hidden="false" customHeight="false" outlineLevel="0" collapsed="false">
      <c r="A565" s="0" t="n">
        <v>573</v>
      </c>
      <c r="B565" s="0" t="s">
        <v>632</v>
      </c>
      <c r="C565" s="0" t="n">
        <v>15800</v>
      </c>
      <c r="D565" s="0" t="n">
        <v>409</v>
      </c>
      <c r="E565" s="0" t="str">
        <f aca="false">IFERROR(IF(OR(HLOOKUP($A565,#REF!,3,FALSE())&gt;2,HLOOKUP(A565,#REF!,3,FALSE())&lt;-2),"",#REF!),"")</f>
        <v/>
      </c>
      <c r="F565" s="0" t="str">
        <f aca="false">IFERROR(IF(OR(HLOOKUP($A565,#REF!,4,FALSE())&gt;2,HLOOKUP($A565,#REF!,4,FALSE())&lt;-2),"",#REF!),"")</f>
        <v/>
      </c>
      <c r="G565" s="0" t="str">
        <f aca="false">IFERROR(IF(OR(HLOOKUP($A565,#REF!,5,FALSE())&gt;2,HLOOKUP($A565,#REF!,5,FALSE())&lt;-2),"",#REF!),"")</f>
        <v/>
      </c>
      <c r="H565" s="0" t="str">
        <f aca="false">IFERROR(IF(OR(HLOOKUP($A565,#REF!,6,FALSE())&gt;2,HLOOKUP($A565,#REF!,6,FALSE())&lt;-2),"",#REF!),"")</f>
        <v/>
      </c>
      <c r="I565" s="0" t="str">
        <f aca="false">IFERROR(IF(OR(HLOOKUP($A565,#REF!,7,FALSE())&gt;2,HLOOKUP($A565,#REF!,7,FALSE())&lt;-2),"",#REF!),"")</f>
        <v/>
      </c>
      <c r="J565" s="0" t="str">
        <f aca="false">IFERROR(IF(OR(HLOOKUP($A565,#REF!,8,FALSE())&gt;2,HLOOKUP($A565,#REF!,8,FALSE())&lt;-2),"",#REF!),"")</f>
        <v/>
      </c>
      <c r="K565" s="0" t="str">
        <f aca="false">IFERROR(IF(OR(HLOOKUP($A565,#REF!,9,FALSE())&gt;2,HLOOKUP($A565,#REF!,9,FALSE())&lt;-2),"",#REF!),"")</f>
        <v/>
      </c>
      <c r="L565" s="0" t="str">
        <f aca="false">IFERROR(IF(OR(HLOOKUP($A565,#REF!,10,FALSE())&gt;2,HLOOKUP($A565,#REF!,10,FALSE())&lt;-2),"",#REF!),"")</f>
        <v/>
      </c>
      <c r="M565" s="0" t="str">
        <f aca="false">IFERROR(IF(OR(HLOOKUP($A565,#REF!,11,FALSE())&gt;2,HLOOKUP($A565,#REF!,11,FALSE())&lt;-2),"",#REF!),"")</f>
        <v/>
      </c>
      <c r="N565" s="0" t="str">
        <f aca="false">IFERROR(IF(OR(HLOOKUP($A565,#REF!,12,FALSE())&gt;2,HLOOKUP($A565,#REF!,12,FALSE())&lt;-2),"",#REF!),"")</f>
        <v/>
      </c>
      <c r="O565" s="0" t="str">
        <f aca="false">IFERROR(IF(OR(HLOOKUP($A565,#REF!,13,FALSE())&gt;2,HLOOKUP($A565,#REF!,13,FALSE())&lt;-2),"",#REF!),"")</f>
        <v/>
      </c>
      <c r="P565" s="0" t="str">
        <f aca="false">IFERROR(IF(OR(HLOOKUP($A565,#REF!,14,FALSE())&gt;2,HLOOKUP($A565,#REF!,14,FALSE())&lt;-2),"",#REF!),"")</f>
        <v/>
      </c>
      <c r="Q565" s="0" t="str">
        <f aca="false">IFERROR(IF(OR(HLOOKUP($A565,#REF!,15,FALSE())&gt;2,HLOOKUP($A565,#REF!,15,FALSE())&lt;-2),"",#REF!),"")</f>
        <v/>
      </c>
      <c r="R565" s="0" t="str">
        <f aca="false">IFERROR(IF(OR(HLOOKUP($A565,#REF!,16,FALSE())&gt;2,HLOOKUP($A565,#REF!,16,FALSE())&lt;-2),"",#REF!),"")</f>
        <v/>
      </c>
      <c r="S565" s="0" t="str">
        <f aca="false">IFERROR(IF(OR(HLOOKUP($A565,#REF!,17,FALSE())&gt;2,HLOOKUP($A565,#REF!,17,FALSE())&lt;-2),"",#REF!),"")</f>
        <v/>
      </c>
      <c r="T565" s="0" t="str">
        <f aca="false">IFERROR(IF(OR(HLOOKUP($A565,#REF!,18,FALSE())&gt;2,HLOOKUP($A565,#REF!,18,FALSE())&lt;-2),"",#REF!),"")</f>
        <v/>
      </c>
      <c r="U565" s="0" t="str">
        <f aca="false">IFERROR(IF(OR(HLOOKUP($A565,#REF!,19,FALSE())&gt;2,HLOOKUP($A565,#REF!,19,FALSE())&lt;-2),"",#REF!),"")</f>
        <v/>
      </c>
      <c r="V565" s="0" t="n">
        <f aca="false">IFERROR(IF(AND(X565=0,Y565=0),0,1),0)</f>
        <v>1</v>
      </c>
      <c r="W565" s="3" t="str">
        <f aca="false">IFERROR(_xlfn.T.TEST(E565:M565,N565:U565,2,2),"")</f>
        <v/>
      </c>
      <c r="X565" s="0" t="str">
        <f aca="false">IFERROR(AVERAGE(E565:M565),"")</f>
        <v/>
      </c>
      <c r="Y565" s="0" t="str">
        <f aca="false">IFERROR(AVERAGE(N565:U565),"")</f>
        <v/>
      </c>
    </row>
    <row r="566" customFormat="false" ht="14.5" hidden="false" customHeight="false" outlineLevel="0" collapsed="false">
      <c r="A566" s="0" t="n">
        <v>574</v>
      </c>
      <c r="B566" s="0" t="s">
        <v>633</v>
      </c>
      <c r="C566" s="0" t="n">
        <v>88100</v>
      </c>
      <c r="D566" s="0" t="n">
        <v>987</v>
      </c>
      <c r="E566" s="0" t="str">
        <f aca="false">IFERROR(IF(OR(HLOOKUP($A566,#REF!,3,FALSE())&gt;2,HLOOKUP(A566,#REF!,3,FALSE())&lt;-2),"",#REF!),"")</f>
        <v/>
      </c>
      <c r="F566" s="0" t="str">
        <f aca="false">IFERROR(IF(OR(HLOOKUP($A566,#REF!,4,FALSE())&gt;2,HLOOKUP($A566,#REF!,4,FALSE())&lt;-2),"",#REF!),"")</f>
        <v/>
      </c>
      <c r="G566" s="0" t="str">
        <f aca="false">IFERROR(IF(OR(HLOOKUP($A566,#REF!,5,FALSE())&gt;2,HLOOKUP($A566,#REF!,5,FALSE())&lt;-2),"",#REF!),"")</f>
        <v/>
      </c>
      <c r="H566" s="0" t="str">
        <f aca="false">IFERROR(IF(OR(HLOOKUP($A566,#REF!,6,FALSE())&gt;2,HLOOKUP($A566,#REF!,6,FALSE())&lt;-2),"",#REF!),"")</f>
        <v/>
      </c>
      <c r="I566" s="0" t="str">
        <f aca="false">IFERROR(IF(OR(HLOOKUP($A566,#REF!,7,FALSE())&gt;2,HLOOKUP($A566,#REF!,7,FALSE())&lt;-2),"",#REF!),"")</f>
        <v/>
      </c>
      <c r="J566" s="0" t="str">
        <f aca="false">IFERROR(IF(OR(HLOOKUP($A566,#REF!,8,FALSE())&gt;2,HLOOKUP($A566,#REF!,8,FALSE())&lt;-2),"",#REF!),"")</f>
        <v/>
      </c>
      <c r="K566" s="0" t="str">
        <f aca="false">IFERROR(IF(OR(HLOOKUP($A566,#REF!,9,FALSE())&gt;2,HLOOKUP($A566,#REF!,9,FALSE())&lt;-2),"",#REF!),"")</f>
        <v/>
      </c>
      <c r="L566" s="0" t="str">
        <f aca="false">IFERROR(IF(OR(HLOOKUP($A566,#REF!,10,FALSE())&gt;2,HLOOKUP($A566,#REF!,10,FALSE())&lt;-2),"",#REF!),"")</f>
        <v/>
      </c>
      <c r="M566" s="0" t="str">
        <f aca="false">IFERROR(IF(OR(HLOOKUP($A566,#REF!,11,FALSE())&gt;2,HLOOKUP($A566,#REF!,11,FALSE())&lt;-2),"",#REF!),"")</f>
        <v/>
      </c>
      <c r="N566" s="0" t="str">
        <f aca="false">IFERROR(IF(OR(HLOOKUP($A566,#REF!,12,FALSE())&gt;2,HLOOKUP($A566,#REF!,12,FALSE())&lt;-2),"",#REF!),"")</f>
        <v/>
      </c>
      <c r="O566" s="0" t="str">
        <f aca="false">IFERROR(IF(OR(HLOOKUP($A566,#REF!,13,FALSE())&gt;2,HLOOKUP($A566,#REF!,13,FALSE())&lt;-2),"",#REF!),"")</f>
        <v/>
      </c>
      <c r="P566" s="0" t="str">
        <f aca="false">IFERROR(IF(OR(HLOOKUP($A566,#REF!,14,FALSE())&gt;2,HLOOKUP($A566,#REF!,14,FALSE())&lt;-2),"",#REF!),"")</f>
        <v/>
      </c>
      <c r="Q566" s="0" t="str">
        <f aca="false">IFERROR(IF(OR(HLOOKUP($A566,#REF!,15,FALSE())&gt;2,HLOOKUP($A566,#REF!,15,FALSE())&lt;-2),"",#REF!),"")</f>
        <v/>
      </c>
      <c r="R566" s="0" t="str">
        <f aca="false">IFERROR(IF(OR(HLOOKUP($A566,#REF!,16,FALSE())&gt;2,HLOOKUP($A566,#REF!,16,FALSE())&lt;-2),"",#REF!),"")</f>
        <v/>
      </c>
      <c r="S566" s="0" t="str">
        <f aca="false">IFERROR(IF(OR(HLOOKUP($A566,#REF!,17,FALSE())&gt;2,HLOOKUP($A566,#REF!,17,FALSE())&lt;-2),"",#REF!),"")</f>
        <v/>
      </c>
      <c r="T566" s="0" t="str">
        <f aca="false">IFERROR(IF(OR(HLOOKUP($A566,#REF!,18,FALSE())&gt;2,HLOOKUP($A566,#REF!,18,FALSE())&lt;-2),"",#REF!),"")</f>
        <v/>
      </c>
      <c r="U566" s="0" t="str">
        <f aca="false">IFERROR(IF(OR(HLOOKUP($A566,#REF!,19,FALSE())&gt;2,HLOOKUP($A566,#REF!,19,FALSE())&lt;-2),"",#REF!),"")</f>
        <v/>
      </c>
      <c r="V566" s="0" t="n">
        <f aca="false">IFERROR(IF(AND(X566=0,Y566=0),0,1),0)</f>
        <v>1</v>
      </c>
      <c r="W566" s="3" t="str">
        <f aca="false">IFERROR(_xlfn.T.TEST(E566:M566,N566:U566,2,2),"")</f>
        <v/>
      </c>
      <c r="X566" s="0" t="str">
        <f aca="false">IFERROR(AVERAGE(E566:M566),"")</f>
        <v/>
      </c>
      <c r="Y566" s="0" t="str">
        <f aca="false">IFERROR(AVERAGE(N566:U566),"")</f>
        <v/>
      </c>
    </row>
    <row r="567" customFormat="false" ht="14.5" hidden="false" customHeight="false" outlineLevel="0" collapsed="false">
      <c r="A567" s="0" t="n">
        <v>575</v>
      </c>
      <c r="B567" s="0" t="s">
        <v>634</v>
      </c>
      <c r="C567" s="0" t="n">
        <v>68700</v>
      </c>
      <c r="D567" s="0" t="n">
        <v>51</v>
      </c>
      <c r="E567" s="0" t="str">
        <f aca="false">IFERROR(IF(OR(HLOOKUP($A567,#REF!,3,FALSE())&gt;2,HLOOKUP(A567,#REF!,3,FALSE())&lt;-2),"",#REF!),"")</f>
        <v/>
      </c>
      <c r="F567" s="0" t="str">
        <f aca="false">IFERROR(IF(OR(HLOOKUP($A567,#REF!,4,FALSE())&gt;2,HLOOKUP($A567,#REF!,4,FALSE())&lt;-2),"",#REF!),"")</f>
        <v/>
      </c>
      <c r="G567" s="0" t="str">
        <f aca="false">IFERROR(IF(OR(HLOOKUP($A567,#REF!,5,FALSE())&gt;2,HLOOKUP($A567,#REF!,5,FALSE())&lt;-2),"",#REF!),"")</f>
        <v/>
      </c>
      <c r="H567" s="0" t="str">
        <f aca="false">IFERROR(IF(OR(HLOOKUP($A567,#REF!,6,FALSE())&gt;2,HLOOKUP($A567,#REF!,6,FALSE())&lt;-2),"",#REF!),"")</f>
        <v/>
      </c>
      <c r="I567" s="0" t="str">
        <f aca="false">IFERROR(IF(OR(HLOOKUP($A567,#REF!,7,FALSE())&gt;2,HLOOKUP($A567,#REF!,7,FALSE())&lt;-2),"",#REF!),"")</f>
        <v/>
      </c>
      <c r="J567" s="0" t="str">
        <f aca="false">IFERROR(IF(OR(HLOOKUP($A567,#REF!,8,FALSE())&gt;2,HLOOKUP($A567,#REF!,8,FALSE())&lt;-2),"",#REF!),"")</f>
        <v/>
      </c>
      <c r="K567" s="0" t="str">
        <f aca="false">IFERROR(IF(OR(HLOOKUP($A567,#REF!,9,FALSE())&gt;2,HLOOKUP($A567,#REF!,9,FALSE())&lt;-2),"",#REF!),"")</f>
        <v/>
      </c>
      <c r="L567" s="0" t="str">
        <f aca="false">IFERROR(IF(OR(HLOOKUP($A567,#REF!,10,FALSE())&gt;2,HLOOKUP($A567,#REF!,10,FALSE())&lt;-2),"",#REF!),"")</f>
        <v/>
      </c>
      <c r="M567" s="0" t="str">
        <f aca="false">IFERROR(IF(OR(HLOOKUP($A567,#REF!,11,FALSE())&gt;2,HLOOKUP($A567,#REF!,11,FALSE())&lt;-2),"",#REF!),"")</f>
        <v/>
      </c>
      <c r="N567" s="0" t="str">
        <f aca="false">IFERROR(IF(OR(HLOOKUP($A567,#REF!,12,FALSE())&gt;2,HLOOKUP($A567,#REF!,12,FALSE())&lt;-2),"",#REF!),"")</f>
        <v/>
      </c>
      <c r="O567" s="0" t="str">
        <f aca="false">IFERROR(IF(OR(HLOOKUP($A567,#REF!,13,FALSE())&gt;2,HLOOKUP($A567,#REF!,13,FALSE())&lt;-2),"",#REF!),"")</f>
        <v/>
      </c>
      <c r="P567" s="0" t="str">
        <f aca="false">IFERROR(IF(OR(HLOOKUP($A567,#REF!,14,FALSE())&gt;2,HLOOKUP($A567,#REF!,14,FALSE())&lt;-2),"",#REF!),"")</f>
        <v/>
      </c>
      <c r="Q567" s="0" t="str">
        <f aca="false">IFERROR(IF(OR(HLOOKUP($A567,#REF!,15,FALSE())&gt;2,HLOOKUP($A567,#REF!,15,FALSE())&lt;-2),"",#REF!),"")</f>
        <v/>
      </c>
      <c r="R567" s="0" t="str">
        <f aca="false">IFERROR(IF(OR(HLOOKUP($A567,#REF!,16,FALSE())&gt;2,HLOOKUP($A567,#REF!,16,FALSE())&lt;-2),"",#REF!),"")</f>
        <v/>
      </c>
      <c r="S567" s="0" t="str">
        <f aca="false">IFERROR(IF(OR(HLOOKUP($A567,#REF!,17,FALSE())&gt;2,HLOOKUP($A567,#REF!,17,FALSE())&lt;-2),"",#REF!),"")</f>
        <v/>
      </c>
      <c r="T567" s="0" t="str">
        <f aca="false">IFERROR(IF(OR(HLOOKUP($A567,#REF!,18,FALSE())&gt;2,HLOOKUP($A567,#REF!,18,FALSE())&lt;-2),"",#REF!),"")</f>
        <v/>
      </c>
      <c r="U567" s="0" t="str">
        <f aca="false">IFERROR(IF(OR(HLOOKUP($A567,#REF!,19,FALSE())&gt;2,HLOOKUP($A567,#REF!,19,FALSE())&lt;-2),"",#REF!),"")</f>
        <v/>
      </c>
      <c r="V567" s="0" t="n">
        <f aca="false">IFERROR(IF(AND(X567=0,Y567=0),0,1),0)</f>
        <v>1</v>
      </c>
      <c r="W567" s="3" t="str">
        <f aca="false">IFERROR(_xlfn.T.TEST(E567:M567,N567:U567,2,2),"")</f>
        <v/>
      </c>
      <c r="X567" s="0" t="str">
        <f aca="false">IFERROR(AVERAGE(E567:M567),"")</f>
        <v/>
      </c>
      <c r="Y567" s="0" t="str">
        <f aca="false">IFERROR(AVERAGE(N567:U567),"")</f>
        <v/>
      </c>
    </row>
    <row r="568" customFormat="false" ht="14.5" hidden="false" customHeight="false" outlineLevel="0" collapsed="false">
      <c r="A568" s="0" t="n">
        <v>576</v>
      </c>
      <c r="B568" s="0" t="s">
        <v>635</v>
      </c>
      <c r="C568" s="0" t="n">
        <v>92600</v>
      </c>
      <c r="D568" s="0" t="n">
        <v>370</v>
      </c>
      <c r="E568" s="0" t="str">
        <f aca="false">IFERROR(IF(OR(HLOOKUP($A568,#REF!,3,FALSE())&gt;2,HLOOKUP(A568,#REF!,3,FALSE())&lt;-2),"",#REF!),"")</f>
        <v/>
      </c>
      <c r="F568" s="0" t="str">
        <f aca="false">IFERROR(IF(OR(HLOOKUP($A568,#REF!,4,FALSE())&gt;2,HLOOKUP($A568,#REF!,4,FALSE())&lt;-2),"",#REF!),"")</f>
        <v/>
      </c>
      <c r="G568" s="0" t="str">
        <f aca="false">IFERROR(IF(OR(HLOOKUP($A568,#REF!,5,FALSE())&gt;2,HLOOKUP($A568,#REF!,5,FALSE())&lt;-2),"",#REF!),"")</f>
        <v/>
      </c>
      <c r="H568" s="0" t="str">
        <f aca="false">IFERROR(IF(OR(HLOOKUP($A568,#REF!,6,FALSE())&gt;2,HLOOKUP($A568,#REF!,6,FALSE())&lt;-2),"",#REF!),"")</f>
        <v/>
      </c>
      <c r="I568" s="0" t="str">
        <f aca="false">IFERROR(IF(OR(HLOOKUP($A568,#REF!,7,FALSE())&gt;2,HLOOKUP($A568,#REF!,7,FALSE())&lt;-2),"",#REF!),"")</f>
        <v/>
      </c>
      <c r="J568" s="0" t="str">
        <f aca="false">IFERROR(IF(OR(HLOOKUP($A568,#REF!,8,FALSE())&gt;2,HLOOKUP($A568,#REF!,8,FALSE())&lt;-2),"",#REF!),"")</f>
        <v/>
      </c>
      <c r="K568" s="0" t="str">
        <f aca="false">IFERROR(IF(OR(HLOOKUP($A568,#REF!,9,FALSE())&gt;2,HLOOKUP($A568,#REF!,9,FALSE())&lt;-2),"",#REF!),"")</f>
        <v/>
      </c>
      <c r="L568" s="0" t="str">
        <f aca="false">IFERROR(IF(OR(HLOOKUP($A568,#REF!,10,FALSE())&gt;2,HLOOKUP($A568,#REF!,10,FALSE())&lt;-2),"",#REF!),"")</f>
        <v/>
      </c>
      <c r="M568" s="0" t="str">
        <f aca="false">IFERROR(IF(OR(HLOOKUP($A568,#REF!,11,FALSE())&gt;2,HLOOKUP($A568,#REF!,11,FALSE())&lt;-2),"",#REF!),"")</f>
        <v/>
      </c>
      <c r="N568" s="0" t="str">
        <f aca="false">IFERROR(IF(OR(HLOOKUP($A568,#REF!,12,FALSE())&gt;2,HLOOKUP($A568,#REF!,12,FALSE())&lt;-2),"",#REF!),"")</f>
        <v/>
      </c>
      <c r="O568" s="0" t="str">
        <f aca="false">IFERROR(IF(OR(HLOOKUP($A568,#REF!,13,FALSE())&gt;2,HLOOKUP($A568,#REF!,13,FALSE())&lt;-2),"",#REF!),"")</f>
        <v/>
      </c>
      <c r="P568" s="0" t="str">
        <f aca="false">IFERROR(IF(OR(HLOOKUP($A568,#REF!,14,FALSE())&gt;2,HLOOKUP($A568,#REF!,14,FALSE())&lt;-2),"",#REF!),"")</f>
        <v/>
      </c>
      <c r="Q568" s="0" t="str">
        <f aca="false">IFERROR(IF(OR(HLOOKUP($A568,#REF!,15,FALSE())&gt;2,HLOOKUP($A568,#REF!,15,FALSE())&lt;-2),"",#REF!),"")</f>
        <v/>
      </c>
      <c r="R568" s="0" t="str">
        <f aca="false">IFERROR(IF(OR(HLOOKUP($A568,#REF!,16,FALSE())&gt;2,HLOOKUP($A568,#REF!,16,FALSE())&lt;-2),"",#REF!),"")</f>
        <v/>
      </c>
      <c r="S568" s="0" t="str">
        <f aca="false">IFERROR(IF(OR(HLOOKUP($A568,#REF!,17,FALSE())&gt;2,HLOOKUP($A568,#REF!,17,FALSE())&lt;-2),"",#REF!),"")</f>
        <v/>
      </c>
      <c r="T568" s="0" t="str">
        <f aca="false">IFERROR(IF(OR(HLOOKUP($A568,#REF!,18,FALSE())&gt;2,HLOOKUP($A568,#REF!,18,FALSE())&lt;-2),"",#REF!),"")</f>
        <v/>
      </c>
      <c r="U568" s="0" t="str">
        <f aca="false">IFERROR(IF(OR(HLOOKUP($A568,#REF!,19,FALSE())&gt;2,HLOOKUP($A568,#REF!,19,FALSE())&lt;-2),"",#REF!),"")</f>
        <v/>
      </c>
      <c r="V568" s="0" t="n">
        <f aca="false">IFERROR(IF(AND(X568=0,Y568=0),0,1),0)</f>
        <v>1</v>
      </c>
      <c r="W568" s="3" t="str">
        <f aca="false">IFERROR(_xlfn.T.TEST(E568:M568,N568:U568,2,2),"")</f>
        <v/>
      </c>
      <c r="X568" s="0" t="str">
        <f aca="false">IFERROR(AVERAGE(E568:M568),"")</f>
        <v/>
      </c>
      <c r="Y568" s="0" t="str">
        <f aca="false">IFERROR(AVERAGE(N568:U568),"")</f>
        <v/>
      </c>
    </row>
    <row r="569" customFormat="false" ht="14.5" hidden="false" customHeight="false" outlineLevel="0" collapsed="false">
      <c r="A569" s="0" t="n">
        <v>577</v>
      </c>
      <c r="B569" s="0" t="s">
        <v>636</v>
      </c>
      <c r="C569" s="0" t="n">
        <v>6600</v>
      </c>
      <c r="D569" s="0" t="n">
        <v>369</v>
      </c>
      <c r="E569" s="0" t="str">
        <f aca="false">IFERROR(IF(OR(HLOOKUP($A569,#REF!,3,FALSE())&gt;2,HLOOKUP(A569,#REF!,3,FALSE())&lt;-2),"",#REF!),"")</f>
        <v/>
      </c>
      <c r="F569" s="0" t="str">
        <f aca="false">IFERROR(IF(OR(HLOOKUP($A569,#REF!,4,FALSE())&gt;2,HLOOKUP($A569,#REF!,4,FALSE())&lt;-2),"",#REF!),"")</f>
        <v/>
      </c>
      <c r="G569" s="0" t="str">
        <f aca="false">IFERROR(IF(OR(HLOOKUP($A569,#REF!,5,FALSE())&gt;2,HLOOKUP($A569,#REF!,5,FALSE())&lt;-2),"",#REF!),"")</f>
        <v/>
      </c>
      <c r="H569" s="0" t="str">
        <f aca="false">IFERROR(IF(OR(HLOOKUP($A569,#REF!,6,FALSE())&gt;2,HLOOKUP($A569,#REF!,6,FALSE())&lt;-2),"",#REF!),"")</f>
        <v/>
      </c>
      <c r="I569" s="0" t="str">
        <f aca="false">IFERROR(IF(OR(HLOOKUP($A569,#REF!,7,FALSE())&gt;2,HLOOKUP($A569,#REF!,7,FALSE())&lt;-2),"",#REF!),"")</f>
        <v/>
      </c>
      <c r="J569" s="0" t="str">
        <f aca="false">IFERROR(IF(OR(HLOOKUP($A569,#REF!,8,FALSE())&gt;2,HLOOKUP($A569,#REF!,8,FALSE())&lt;-2),"",#REF!),"")</f>
        <v/>
      </c>
      <c r="K569" s="0" t="str">
        <f aca="false">IFERROR(IF(OR(HLOOKUP($A569,#REF!,9,FALSE())&gt;2,HLOOKUP($A569,#REF!,9,FALSE())&lt;-2),"",#REF!),"")</f>
        <v/>
      </c>
      <c r="L569" s="0" t="str">
        <f aca="false">IFERROR(IF(OR(HLOOKUP($A569,#REF!,10,FALSE())&gt;2,HLOOKUP($A569,#REF!,10,FALSE())&lt;-2),"",#REF!),"")</f>
        <v/>
      </c>
      <c r="M569" s="0" t="str">
        <f aca="false">IFERROR(IF(OR(HLOOKUP($A569,#REF!,11,FALSE())&gt;2,HLOOKUP($A569,#REF!,11,FALSE())&lt;-2),"",#REF!),"")</f>
        <v/>
      </c>
      <c r="N569" s="0" t="str">
        <f aca="false">IFERROR(IF(OR(HLOOKUP($A569,#REF!,12,FALSE())&gt;2,HLOOKUP($A569,#REF!,12,FALSE())&lt;-2),"",#REF!),"")</f>
        <v/>
      </c>
      <c r="O569" s="0" t="str">
        <f aca="false">IFERROR(IF(OR(HLOOKUP($A569,#REF!,13,FALSE())&gt;2,HLOOKUP($A569,#REF!,13,FALSE())&lt;-2),"",#REF!),"")</f>
        <v/>
      </c>
      <c r="P569" s="0" t="str">
        <f aca="false">IFERROR(IF(OR(HLOOKUP($A569,#REF!,14,FALSE())&gt;2,HLOOKUP($A569,#REF!,14,FALSE())&lt;-2),"",#REF!),"")</f>
        <v/>
      </c>
      <c r="Q569" s="0" t="str">
        <f aca="false">IFERROR(IF(OR(HLOOKUP($A569,#REF!,15,FALSE())&gt;2,HLOOKUP($A569,#REF!,15,FALSE())&lt;-2),"",#REF!),"")</f>
        <v/>
      </c>
      <c r="R569" s="0" t="str">
        <f aca="false">IFERROR(IF(OR(HLOOKUP($A569,#REF!,16,FALSE())&gt;2,HLOOKUP($A569,#REF!,16,FALSE())&lt;-2),"",#REF!),"")</f>
        <v/>
      </c>
      <c r="S569" s="0" t="str">
        <f aca="false">IFERROR(IF(OR(HLOOKUP($A569,#REF!,17,FALSE())&gt;2,HLOOKUP($A569,#REF!,17,FALSE())&lt;-2),"",#REF!),"")</f>
        <v/>
      </c>
      <c r="T569" s="0" t="str">
        <f aca="false">IFERROR(IF(OR(HLOOKUP($A569,#REF!,18,FALSE())&gt;2,HLOOKUP($A569,#REF!,18,FALSE())&lt;-2),"",#REF!),"")</f>
        <v/>
      </c>
      <c r="U569" s="0" t="str">
        <f aca="false">IFERROR(IF(OR(HLOOKUP($A569,#REF!,19,FALSE())&gt;2,HLOOKUP($A569,#REF!,19,FALSE())&lt;-2),"",#REF!),"")</f>
        <v/>
      </c>
      <c r="V569" s="0" t="n">
        <f aca="false">IFERROR(IF(AND(X569=0,Y569=0),0,1),0)</f>
        <v>1</v>
      </c>
      <c r="W569" s="3" t="str">
        <f aca="false">IFERROR(_xlfn.T.TEST(E569:M569,N569:U569,2,2),"")</f>
        <v/>
      </c>
      <c r="X569" s="0" t="str">
        <f aca="false">IFERROR(AVERAGE(E569:M569),"")</f>
        <v/>
      </c>
      <c r="Y569" s="0" t="str">
        <f aca="false">IFERROR(AVERAGE(N569:U569),"")</f>
        <v/>
      </c>
    </row>
    <row r="570" customFormat="false" ht="14.5" hidden="false" customHeight="false" outlineLevel="0" collapsed="false">
      <c r="A570" s="0" t="n">
        <v>578</v>
      </c>
      <c r="B570" s="0" t="s">
        <v>637</v>
      </c>
      <c r="C570" s="0" t="n">
        <v>54200</v>
      </c>
      <c r="D570" s="0" t="n">
        <v>367</v>
      </c>
      <c r="E570" s="0" t="str">
        <f aca="false">IFERROR(IF(OR(HLOOKUP($A570,#REF!,3,FALSE())&gt;2,HLOOKUP(A570,#REF!,3,FALSE())&lt;-2),"",#REF!),"")</f>
        <v/>
      </c>
      <c r="F570" s="0" t="str">
        <f aca="false">IFERROR(IF(OR(HLOOKUP($A570,#REF!,4,FALSE())&gt;2,HLOOKUP($A570,#REF!,4,FALSE())&lt;-2),"",#REF!),"")</f>
        <v/>
      </c>
      <c r="G570" s="0" t="str">
        <f aca="false">IFERROR(IF(OR(HLOOKUP($A570,#REF!,5,FALSE())&gt;2,HLOOKUP($A570,#REF!,5,FALSE())&lt;-2),"",#REF!),"")</f>
        <v/>
      </c>
      <c r="H570" s="0" t="str">
        <f aca="false">IFERROR(IF(OR(HLOOKUP($A570,#REF!,6,FALSE())&gt;2,HLOOKUP($A570,#REF!,6,FALSE())&lt;-2),"",#REF!),"")</f>
        <v/>
      </c>
      <c r="I570" s="0" t="str">
        <f aca="false">IFERROR(IF(OR(HLOOKUP($A570,#REF!,7,FALSE())&gt;2,HLOOKUP($A570,#REF!,7,FALSE())&lt;-2),"",#REF!),"")</f>
        <v/>
      </c>
      <c r="J570" s="0" t="str">
        <f aca="false">IFERROR(IF(OR(HLOOKUP($A570,#REF!,8,FALSE())&gt;2,HLOOKUP($A570,#REF!,8,FALSE())&lt;-2),"",#REF!),"")</f>
        <v/>
      </c>
      <c r="K570" s="0" t="str">
        <f aca="false">IFERROR(IF(OR(HLOOKUP($A570,#REF!,9,FALSE())&gt;2,HLOOKUP($A570,#REF!,9,FALSE())&lt;-2),"",#REF!),"")</f>
        <v/>
      </c>
      <c r="L570" s="0" t="str">
        <f aca="false">IFERROR(IF(OR(HLOOKUP($A570,#REF!,10,FALSE())&gt;2,HLOOKUP($A570,#REF!,10,FALSE())&lt;-2),"",#REF!),"")</f>
        <v/>
      </c>
      <c r="M570" s="0" t="str">
        <f aca="false">IFERROR(IF(OR(HLOOKUP($A570,#REF!,11,FALSE())&gt;2,HLOOKUP($A570,#REF!,11,FALSE())&lt;-2),"",#REF!),"")</f>
        <v/>
      </c>
      <c r="N570" s="0" t="str">
        <f aca="false">IFERROR(IF(OR(HLOOKUP($A570,#REF!,12,FALSE())&gt;2,HLOOKUP($A570,#REF!,12,FALSE())&lt;-2),"",#REF!),"")</f>
        <v/>
      </c>
      <c r="O570" s="0" t="str">
        <f aca="false">IFERROR(IF(OR(HLOOKUP($A570,#REF!,13,FALSE())&gt;2,HLOOKUP($A570,#REF!,13,FALSE())&lt;-2),"",#REF!),"")</f>
        <v/>
      </c>
      <c r="P570" s="0" t="str">
        <f aca="false">IFERROR(IF(OR(HLOOKUP($A570,#REF!,14,FALSE())&gt;2,HLOOKUP($A570,#REF!,14,FALSE())&lt;-2),"",#REF!),"")</f>
        <v/>
      </c>
      <c r="Q570" s="0" t="str">
        <f aca="false">IFERROR(IF(OR(HLOOKUP($A570,#REF!,15,FALSE())&gt;2,HLOOKUP($A570,#REF!,15,FALSE())&lt;-2),"",#REF!),"")</f>
        <v/>
      </c>
      <c r="R570" s="0" t="str">
        <f aca="false">IFERROR(IF(OR(HLOOKUP($A570,#REF!,16,FALSE())&gt;2,HLOOKUP($A570,#REF!,16,FALSE())&lt;-2),"",#REF!),"")</f>
        <v/>
      </c>
      <c r="S570" s="0" t="str">
        <f aca="false">IFERROR(IF(OR(HLOOKUP($A570,#REF!,17,FALSE())&gt;2,HLOOKUP($A570,#REF!,17,FALSE())&lt;-2),"",#REF!),"")</f>
        <v/>
      </c>
      <c r="T570" s="0" t="str">
        <f aca="false">IFERROR(IF(OR(HLOOKUP($A570,#REF!,18,FALSE())&gt;2,HLOOKUP($A570,#REF!,18,FALSE())&lt;-2),"",#REF!),"")</f>
        <v/>
      </c>
      <c r="U570" s="0" t="str">
        <f aca="false">IFERROR(IF(OR(HLOOKUP($A570,#REF!,19,FALSE())&gt;2,HLOOKUP($A570,#REF!,19,FALSE())&lt;-2),"",#REF!),"")</f>
        <v/>
      </c>
      <c r="V570" s="0" t="n">
        <f aca="false">IFERROR(IF(AND(X570=0,Y570=0),0,1),0)</f>
        <v>1</v>
      </c>
      <c r="W570" s="3" t="str">
        <f aca="false">IFERROR(_xlfn.T.TEST(E570:M570,N570:U570,2,2),"")</f>
        <v/>
      </c>
      <c r="X570" s="0" t="str">
        <f aca="false">IFERROR(AVERAGE(E570:M570),"")</f>
        <v/>
      </c>
      <c r="Y570" s="0" t="str">
        <f aca="false">IFERROR(AVERAGE(N570:U570),"")</f>
        <v/>
      </c>
    </row>
    <row r="571" customFormat="false" ht="14.5" hidden="false" customHeight="false" outlineLevel="0" collapsed="false">
      <c r="A571" s="0" t="n">
        <v>579</v>
      </c>
      <c r="B571" s="0" t="s">
        <v>638</v>
      </c>
      <c r="C571" s="0" t="n">
        <v>106300</v>
      </c>
      <c r="D571" s="0" t="n">
        <v>956</v>
      </c>
      <c r="E571" s="0" t="str">
        <f aca="false">IFERROR(IF(OR(HLOOKUP($A571,#REF!,3,FALSE())&gt;2,HLOOKUP(A571,#REF!,3,FALSE())&lt;-2),"",#REF!),"")</f>
        <v/>
      </c>
      <c r="F571" s="0" t="str">
        <f aca="false">IFERROR(IF(OR(HLOOKUP($A571,#REF!,4,FALSE())&gt;2,HLOOKUP($A571,#REF!,4,FALSE())&lt;-2),"",#REF!),"")</f>
        <v/>
      </c>
      <c r="G571" s="0" t="str">
        <f aca="false">IFERROR(IF(OR(HLOOKUP($A571,#REF!,5,FALSE())&gt;2,HLOOKUP($A571,#REF!,5,FALSE())&lt;-2),"",#REF!),"")</f>
        <v/>
      </c>
      <c r="H571" s="0" t="str">
        <f aca="false">IFERROR(IF(OR(HLOOKUP($A571,#REF!,6,FALSE())&gt;2,HLOOKUP($A571,#REF!,6,FALSE())&lt;-2),"",#REF!),"")</f>
        <v/>
      </c>
      <c r="I571" s="0" t="str">
        <f aca="false">IFERROR(IF(OR(HLOOKUP($A571,#REF!,7,FALSE())&gt;2,HLOOKUP($A571,#REF!,7,FALSE())&lt;-2),"",#REF!),"")</f>
        <v/>
      </c>
      <c r="J571" s="0" t="str">
        <f aca="false">IFERROR(IF(OR(HLOOKUP($A571,#REF!,8,FALSE())&gt;2,HLOOKUP($A571,#REF!,8,FALSE())&lt;-2),"",#REF!),"")</f>
        <v/>
      </c>
      <c r="K571" s="0" t="str">
        <f aca="false">IFERROR(IF(OR(HLOOKUP($A571,#REF!,9,FALSE())&gt;2,HLOOKUP($A571,#REF!,9,FALSE())&lt;-2),"",#REF!),"")</f>
        <v/>
      </c>
      <c r="L571" s="0" t="str">
        <f aca="false">IFERROR(IF(OR(HLOOKUP($A571,#REF!,10,FALSE())&gt;2,HLOOKUP($A571,#REF!,10,FALSE())&lt;-2),"",#REF!),"")</f>
        <v/>
      </c>
      <c r="M571" s="0" t="str">
        <f aca="false">IFERROR(IF(OR(HLOOKUP($A571,#REF!,11,FALSE())&gt;2,HLOOKUP($A571,#REF!,11,FALSE())&lt;-2),"",#REF!),"")</f>
        <v/>
      </c>
      <c r="N571" s="0" t="str">
        <f aca="false">IFERROR(IF(OR(HLOOKUP($A571,#REF!,12,FALSE())&gt;2,HLOOKUP($A571,#REF!,12,FALSE())&lt;-2),"",#REF!),"")</f>
        <v/>
      </c>
      <c r="O571" s="0" t="str">
        <f aca="false">IFERROR(IF(OR(HLOOKUP($A571,#REF!,13,FALSE())&gt;2,HLOOKUP($A571,#REF!,13,FALSE())&lt;-2),"",#REF!),"")</f>
        <v/>
      </c>
      <c r="P571" s="0" t="str">
        <f aca="false">IFERROR(IF(OR(HLOOKUP($A571,#REF!,14,FALSE())&gt;2,HLOOKUP($A571,#REF!,14,FALSE())&lt;-2),"",#REF!),"")</f>
        <v/>
      </c>
      <c r="Q571" s="0" t="str">
        <f aca="false">IFERROR(IF(OR(HLOOKUP($A571,#REF!,15,FALSE())&gt;2,HLOOKUP($A571,#REF!,15,FALSE())&lt;-2),"",#REF!),"")</f>
        <v/>
      </c>
      <c r="R571" s="0" t="str">
        <f aca="false">IFERROR(IF(OR(HLOOKUP($A571,#REF!,16,FALSE())&gt;2,HLOOKUP($A571,#REF!,16,FALSE())&lt;-2),"",#REF!),"")</f>
        <v/>
      </c>
      <c r="S571" s="0" t="str">
        <f aca="false">IFERROR(IF(OR(HLOOKUP($A571,#REF!,17,FALSE())&gt;2,HLOOKUP($A571,#REF!,17,FALSE())&lt;-2),"",#REF!),"")</f>
        <v/>
      </c>
      <c r="T571" s="0" t="str">
        <f aca="false">IFERROR(IF(OR(HLOOKUP($A571,#REF!,18,FALSE())&gt;2,HLOOKUP($A571,#REF!,18,FALSE())&lt;-2),"",#REF!),"")</f>
        <v/>
      </c>
      <c r="U571" s="0" t="str">
        <f aca="false">IFERROR(IF(OR(HLOOKUP($A571,#REF!,19,FALSE())&gt;2,HLOOKUP($A571,#REF!,19,FALSE())&lt;-2),"",#REF!),"")</f>
        <v/>
      </c>
      <c r="V571" s="0" t="n">
        <f aca="false">IFERROR(IF(AND(X571=0,Y571=0),0,1),0)</f>
        <v>1</v>
      </c>
      <c r="W571" s="3" t="str">
        <f aca="false">IFERROR(_xlfn.T.TEST(E571:M571,N571:U571,2,2),"")</f>
        <v/>
      </c>
      <c r="X571" s="0" t="str">
        <f aca="false">IFERROR(AVERAGE(E571:M571),"")</f>
        <v/>
      </c>
      <c r="Y571" s="0" t="str">
        <f aca="false">IFERROR(AVERAGE(N571:U571),"")</f>
        <v/>
      </c>
    </row>
    <row r="572" customFormat="false" ht="14.5" hidden="false" customHeight="false" outlineLevel="0" collapsed="false">
      <c r="A572" s="0" t="n">
        <v>580</v>
      </c>
      <c r="B572" s="0" t="s">
        <v>639</v>
      </c>
      <c r="C572" s="0" t="n">
        <v>79500</v>
      </c>
      <c r="D572" s="0" t="n">
        <v>339</v>
      </c>
      <c r="E572" s="0" t="str">
        <f aca="false">IFERROR(IF(OR(HLOOKUP($A572,#REF!,3,FALSE())&gt;2,HLOOKUP(A572,#REF!,3,FALSE())&lt;-2),"",#REF!),"")</f>
        <v/>
      </c>
      <c r="F572" s="0" t="str">
        <f aca="false">IFERROR(IF(OR(HLOOKUP($A572,#REF!,4,FALSE())&gt;2,HLOOKUP($A572,#REF!,4,FALSE())&lt;-2),"",#REF!),"")</f>
        <v/>
      </c>
      <c r="G572" s="0" t="str">
        <f aca="false">IFERROR(IF(OR(HLOOKUP($A572,#REF!,5,FALSE())&gt;2,HLOOKUP($A572,#REF!,5,FALSE())&lt;-2),"",#REF!),"")</f>
        <v/>
      </c>
      <c r="H572" s="0" t="str">
        <f aca="false">IFERROR(IF(OR(HLOOKUP($A572,#REF!,6,FALSE())&gt;2,HLOOKUP($A572,#REF!,6,FALSE())&lt;-2),"",#REF!),"")</f>
        <v/>
      </c>
      <c r="I572" s="0" t="str">
        <f aca="false">IFERROR(IF(OR(HLOOKUP($A572,#REF!,7,FALSE())&gt;2,HLOOKUP($A572,#REF!,7,FALSE())&lt;-2),"",#REF!),"")</f>
        <v/>
      </c>
      <c r="J572" s="0" t="str">
        <f aca="false">IFERROR(IF(OR(HLOOKUP($A572,#REF!,8,FALSE())&gt;2,HLOOKUP($A572,#REF!,8,FALSE())&lt;-2),"",#REF!),"")</f>
        <v/>
      </c>
      <c r="K572" s="0" t="str">
        <f aca="false">IFERROR(IF(OR(HLOOKUP($A572,#REF!,9,FALSE())&gt;2,HLOOKUP($A572,#REF!,9,FALSE())&lt;-2),"",#REF!),"")</f>
        <v/>
      </c>
      <c r="L572" s="0" t="str">
        <f aca="false">IFERROR(IF(OR(HLOOKUP($A572,#REF!,10,FALSE())&gt;2,HLOOKUP($A572,#REF!,10,FALSE())&lt;-2),"",#REF!),"")</f>
        <v/>
      </c>
      <c r="M572" s="0" t="str">
        <f aca="false">IFERROR(IF(OR(HLOOKUP($A572,#REF!,11,FALSE())&gt;2,HLOOKUP($A572,#REF!,11,FALSE())&lt;-2),"",#REF!),"")</f>
        <v/>
      </c>
      <c r="N572" s="0" t="str">
        <f aca="false">IFERROR(IF(OR(HLOOKUP($A572,#REF!,12,FALSE())&gt;2,HLOOKUP($A572,#REF!,12,FALSE())&lt;-2),"",#REF!),"")</f>
        <v/>
      </c>
      <c r="O572" s="0" t="str">
        <f aca="false">IFERROR(IF(OR(HLOOKUP($A572,#REF!,13,FALSE())&gt;2,HLOOKUP($A572,#REF!,13,FALSE())&lt;-2),"",#REF!),"")</f>
        <v/>
      </c>
      <c r="P572" s="0" t="str">
        <f aca="false">IFERROR(IF(OR(HLOOKUP($A572,#REF!,14,FALSE())&gt;2,HLOOKUP($A572,#REF!,14,FALSE())&lt;-2),"",#REF!),"")</f>
        <v/>
      </c>
      <c r="Q572" s="0" t="str">
        <f aca="false">IFERROR(IF(OR(HLOOKUP($A572,#REF!,15,FALSE())&gt;2,HLOOKUP($A572,#REF!,15,FALSE())&lt;-2),"",#REF!),"")</f>
        <v/>
      </c>
      <c r="R572" s="0" t="str">
        <f aca="false">IFERROR(IF(OR(HLOOKUP($A572,#REF!,16,FALSE())&gt;2,HLOOKUP($A572,#REF!,16,FALSE())&lt;-2),"",#REF!),"")</f>
        <v/>
      </c>
      <c r="S572" s="0" t="str">
        <f aca="false">IFERROR(IF(OR(HLOOKUP($A572,#REF!,17,FALSE())&gt;2,HLOOKUP($A572,#REF!,17,FALSE())&lt;-2),"",#REF!),"")</f>
        <v/>
      </c>
      <c r="T572" s="0" t="str">
        <f aca="false">IFERROR(IF(OR(HLOOKUP($A572,#REF!,18,FALSE())&gt;2,HLOOKUP($A572,#REF!,18,FALSE())&lt;-2),"",#REF!),"")</f>
        <v/>
      </c>
      <c r="U572" s="0" t="str">
        <f aca="false">IFERROR(IF(OR(HLOOKUP($A572,#REF!,19,FALSE())&gt;2,HLOOKUP($A572,#REF!,19,FALSE())&lt;-2),"",#REF!),"")</f>
        <v/>
      </c>
      <c r="V572" s="0" t="n">
        <f aca="false">IFERROR(IF(AND(X572=0,Y572=0),0,1),0)</f>
        <v>1</v>
      </c>
      <c r="W572" s="3" t="str">
        <f aca="false">IFERROR(_xlfn.T.TEST(E572:M572,N572:U572,2,2),"")</f>
        <v/>
      </c>
      <c r="X572" s="0" t="str">
        <f aca="false">IFERROR(AVERAGE(E572:M572),"")</f>
        <v/>
      </c>
      <c r="Y572" s="0" t="str">
        <f aca="false">IFERROR(AVERAGE(N572:U572),"")</f>
        <v/>
      </c>
    </row>
    <row r="573" customFormat="false" ht="14.5" hidden="false" customHeight="false" outlineLevel="0" collapsed="false">
      <c r="A573" s="0" t="n">
        <v>581</v>
      </c>
      <c r="B573" s="0" t="s">
        <v>640</v>
      </c>
      <c r="C573" s="0" t="n">
        <v>52700</v>
      </c>
      <c r="D573" s="0" t="n">
        <v>826</v>
      </c>
      <c r="E573" s="0" t="str">
        <f aca="false">IFERROR(IF(OR(HLOOKUP($A573,#REF!,3,FALSE())&gt;2,HLOOKUP(A573,#REF!,3,FALSE())&lt;-2),"",#REF!),"")</f>
        <v/>
      </c>
      <c r="F573" s="0" t="str">
        <f aca="false">IFERROR(IF(OR(HLOOKUP($A573,#REF!,4,FALSE())&gt;2,HLOOKUP($A573,#REF!,4,FALSE())&lt;-2),"",#REF!),"")</f>
        <v/>
      </c>
      <c r="G573" s="0" t="str">
        <f aca="false">IFERROR(IF(OR(HLOOKUP($A573,#REF!,5,FALSE())&gt;2,HLOOKUP($A573,#REF!,5,FALSE())&lt;-2),"",#REF!),"")</f>
        <v/>
      </c>
      <c r="H573" s="0" t="str">
        <f aca="false">IFERROR(IF(OR(HLOOKUP($A573,#REF!,6,FALSE())&gt;2,HLOOKUP($A573,#REF!,6,FALSE())&lt;-2),"",#REF!),"")</f>
        <v/>
      </c>
      <c r="I573" s="0" t="str">
        <f aca="false">IFERROR(IF(OR(HLOOKUP($A573,#REF!,7,FALSE())&gt;2,HLOOKUP($A573,#REF!,7,FALSE())&lt;-2),"",#REF!),"")</f>
        <v/>
      </c>
      <c r="J573" s="0" t="str">
        <f aca="false">IFERROR(IF(OR(HLOOKUP($A573,#REF!,8,FALSE())&gt;2,HLOOKUP($A573,#REF!,8,FALSE())&lt;-2),"",#REF!),"")</f>
        <v/>
      </c>
      <c r="K573" s="0" t="str">
        <f aca="false">IFERROR(IF(OR(HLOOKUP($A573,#REF!,9,FALSE())&gt;2,HLOOKUP($A573,#REF!,9,FALSE())&lt;-2),"",#REF!),"")</f>
        <v/>
      </c>
      <c r="L573" s="0" t="str">
        <f aca="false">IFERROR(IF(OR(HLOOKUP($A573,#REF!,10,FALSE())&gt;2,HLOOKUP($A573,#REF!,10,FALSE())&lt;-2),"",#REF!),"")</f>
        <v/>
      </c>
      <c r="M573" s="0" t="str">
        <f aca="false">IFERROR(IF(OR(HLOOKUP($A573,#REF!,11,FALSE())&gt;2,HLOOKUP($A573,#REF!,11,FALSE())&lt;-2),"",#REF!),"")</f>
        <v/>
      </c>
      <c r="N573" s="0" t="str">
        <f aca="false">IFERROR(IF(OR(HLOOKUP($A573,#REF!,12,FALSE())&gt;2,HLOOKUP($A573,#REF!,12,FALSE())&lt;-2),"",#REF!),"")</f>
        <v/>
      </c>
      <c r="O573" s="0" t="str">
        <f aca="false">IFERROR(IF(OR(HLOOKUP($A573,#REF!,13,FALSE())&gt;2,HLOOKUP($A573,#REF!,13,FALSE())&lt;-2),"",#REF!),"")</f>
        <v/>
      </c>
      <c r="P573" s="0" t="str">
        <f aca="false">IFERROR(IF(OR(HLOOKUP($A573,#REF!,14,FALSE())&gt;2,HLOOKUP($A573,#REF!,14,FALSE())&lt;-2),"",#REF!),"")</f>
        <v/>
      </c>
      <c r="Q573" s="0" t="str">
        <f aca="false">IFERROR(IF(OR(HLOOKUP($A573,#REF!,15,FALSE())&gt;2,HLOOKUP($A573,#REF!,15,FALSE())&lt;-2),"",#REF!),"")</f>
        <v/>
      </c>
      <c r="R573" s="0" t="str">
        <f aca="false">IFERROR(IF(OR(HLOOKUP($A573,#REF!,16,FALSE())&gt;2,HLOOKUP($A573,#REF!,16,FALSE())&lt;-2),"",#REF!),"")</f>
        <v/>
      </c>
      <c r="S573" s="0" t="str">
        <f aca="false">IFERROR(IF(OR(HLOOKUP($A573,#REF!,17,FALSE())&gt;2,HLOOKUP($A573,#REF!,17,FALSE())&lt;-2),"",#REF!),"")</f>
        <v/>
      </c>
      <c r="T573" s="0" t="str">
        <f aca="false">IFERROR(IF(OR(HLOOKUP($A573,#REF!,18,FALSE())&gt;2,HLOOKUP($A573,#REF!,18,FALSE())&lt;-2),"",#REF!),"")</f>
        <v/>
      </c>
      <c r="U573" s="0" t="str">
        <f aca="false">IFERROR(IF(OR(HLOOKUP($A573,#REF!,19,FALSE())&gt;2,HLOOKUP($A573,#REF!,19,FALSE())&lt;-2),"",#REF!),"")</f>
        <v/>
      </c>
      <c r="V573" s="0" t="n">
        <f aca="false">IFERROR(IF(AND(X573=0,Y573=0),0,1),0)</f>
        <v>1</v>
      </c>
      <c r="W573" s="3" t="str">
        <f aca="false">IFERROR(_xlfn.T.TEST(E573:M573,N573:U573,2,2),"")</f>
        <v/>
      </c>
      <c r="X573" s="0" t="str">
        <f aca="false">IFERROR(AVERAGE(E573:M573),"")</f>
        <v/>
      </c>
      <c r="Y573" s="0" t="str">
        <f aca="false">IFERROR(AVERAGE(N573:U573),"")</f>
        <v/>
      </c>
    </row>
    <row r="574" customFormat="false" ht="14.5" hidden="false" customHeight="false" outlineLevel="0" collapsed="false">
      <c r="A574" s="0" t="n">
        <v>582</v>
      </c>
      <c r="B574" s="0" t="s">
        <v>641</v>
      </c>
      <c r="C574" s="0" t="n">
        <v>22300</v>
      </c>
      <c r="D574" s="0" t="n">
        <v>731</v>
      </c>
      <c r="E574" s="0" t="str">
        <f aca="false">IFERROR(IF(OR(HLOOKUP($A574,#REF!,3,FALSE())&gt;2,HLOOKUP(A574,#REF!,3,FALSE())&lt;-2),"",#REF!),"")</f>
        <v/>
      </c>
      <c r="F574" s="0" t="str">
        <f aca="false">IFERROR(IF(OR(HLOOKUP($A574,#REF!,4,FALSE())&gt;2,HLOOKUP($A574,#REF!,4,FALSE())&lt;-2),"",#REF!),"")</f>
        <v/>
      </c>
      <c r="G574" s="0" t="str">
        <f aca="false">IFERROR(IF(OR(HLOOKUP($A574,#REF!,5,FALSE())&gt;2,HLOOKUP($A574,#REF!,5,FALSE())&lt;-2),"",#REF!),"")</f>
        <v/>
      </c>
      <c r="H574" s="0" t="str">
        <f aca="false">IFERROR(IF(OR(HLOOKUP($A574,#REF!,6,FALSE())&gt;2,HLOOKUP($A574,#REF!,6,FALSE())&lt;-2),"",#REF!),"")</f>
        <v/>
      </c>
      <c r="I574" s="0" t="str">
        <f aca="false">IFERROR(IF(OR(HLOOKUP($A574,#REF!,7,FALSE())&gt;2,HLOOKUP($A574,#REF!,7,FALSE())&lt;-2),"",#REF!),"")</f>
        <v/>
      </c>
      <c r="J574" s="0" t="str">
        <f aca="false">IFERROR(IF(OR(HLOOKUP($A574,#REF!,8,FALSE())&gt;2,HLOOKUP($A574,#REF!,8,FALSE())&lt;-2),"",#REF!),"")</f>
        <v/>
      </c>
      <c r="K574" s="0" t="str">
        <f aca="false">IFERROR(IF(OR(HLOOKUP($A574,#REF!,9,FALSE())&gt;2,HLOOKUP($A574,#REF!,9,FALSE())&lt;-2),"",#REF!),"")</f>
        <v/>
      </c>
      <c r="L574" s="0" t="str">
        <f aca="false">IFERROR(IF(OR(HLOOKUP($A574,#REF!,10,FALSE())&gt;2,HLOOKUP($A574,#REF!,10,FALSE())&lt;-2),"",#REF!),"")</f>
        <v/>
      </c>
      <c r="M574" s="0" t="str">
        <f aca="false">IFERROR(IF(OR(HLOOKUP($A574,#REF!,11,FALSE())&gt;2,HLOOKUP($A574,#REF!,11,FALSE())&lt;-2),"",#REF!),"")</f>
        <v/>
      </c>
      <c r="N574" s="0" t="str">
        <f aca="false">IFERROR(IF(OR(HLOOKUP($A574,#REF!,12,FALSE())&gt;2,HLOOKUP($A574,#REF!,12,FALSE())&lt;-2),"",#REF!),"")</f>
        <v/>
      </c>
      <c r="O574" s="0" t="str">
        <f aca="false">IFERROR(IF(OR(HLOOKUP($A574,#REF!,13,FALSE())&gt;2,HLOOKUP($A574,#REF!,13,FALSE())&lt;-2),"",#REF!),"")</f>
        <v/>
      </c>
      <c r="P574" s="0" t="str">
        <f aca="false">IFERROR(IF(OR(HLOOKUP($A574,#REF!,14,FALSE())&gt;2,HLOOKUP($A574,#REF!,14,FALSE())&lt;-2),"",#REF!),"")</f>
        <v/>
      </c>
      <c r="Q574" s="0" t="str">
        <f aca="false">IFERROR(IF(OR(HLOOKUP($A574,#REF!,15,FALSE())&gt;2,HLOOKUP($A574,#REF!,15,FALSE())&lt;-2),"",#REF!),"")</f>
        <v/>
      </c>
      <c r="R574" s="0" t="str">
        <f aca="false">IFERROR(IF(OR(HLOOKUP($A574,#REF!,16,FALSE())&gt;2,HLOOKUP($A574,#REF!,16,FALSE())&lt;-2),"",#REF!),"")</f>
        <v/>
      </c>
      <c r="S574" s="0" t="str">
        <f aca="false">IFERROR(IF(OR(HLOOKUP($A574,#REF!,17,FALSE())&gt;2,HLOOKUP($A574,#REF!,17,FALSE())&lt;-2),"",#REF!),"")</f>
        <v/>
      </c>
      <c r="T574" s="0" t="str">
        <f aca="false">IFERROR(IF(OR(HLOOKUP($A574,#REF!,18,FALSE())&gt;2,HLOOKUP($A574,#REF!,18,FALSE())&lt;-2),"",#REF!),"")</f>
        <v/>
      </c>
      <c r="U574" s="0" t="str">
        <f aca="false">IFERROR(IF(OR(HLOOKUP($A574,#REF!,19,FALSE())&gt;2,HLOOKUP($A574,#REF!,19,FALSE())&lt;-2),"",#REF!),"")</f>
        <v/>
      </c>
      <c r="V574" s="0" t="n">
        <f aca="false">IFERROR(IF(AND(X574=0,Y574=0),0,1),0)</f>
        <v>1</v>
      </c>
      <c r="W574" s="3" t="str">
        <f aca="false">IFERROR(_xlfn.T.TEST(E574:M574,N574:U574,2,2),"")</f>
        <v/>
      </c>
      <c r="X574" s="0" t="str">
        <f aca="false">IFERROR(AVERAGE(E574:M574),"")</f>
        <v/>
      </c>
      <c r="Y574" s="0" t="str">
        <f aca="false">IFERROR(AVERAGE(N574:U574),"")</f>
        <v/>
      </c>
    </row>
    <row r="575" customFormat="false" ht="14.5" hidden="false" customHeight="false" outlineLevel="0" collapsed="false">
      <c r="A575" s="0" t="n">
        <v>583</v>
      </c>
      <c r="B575" s="0" t="s">
        <v>642</v>
      </c>
      <c r="C575" s="0" t="n">
        <v>46600</v>
      </c>
      <c r="D575" s="0" t="n">
        <v>703</v>
      </c>
      <c r="E575" s="0" t="str">
        <f aca="false">IFERROR(IF(OR(HLOOKUP($A575,#REF!,3,FALSE())&gt;2,HLOOKUP(A575,#REF!,3,FALSE())&lt;-2),"",#REF!),"")</f>
        <v/>
      </c>
      <c r="F575" s="0" t="str">
        <f aca="false">IFERROR(IF(OR(HLOOKUP($A575,#REF!,4,FALSE())&gt;2,HLOOKUP($A575,#REF!,4,FALSE())&lt;-2),"",#REF!),"")</f>
        <v/>
      </c>
      <c r="G575" s="0" t="str">
        <f aca="false">IFERROR(IF(OR(HLOOKUP($A575,#REF!,5,FALSE())&gt;2,HLOOKUP($A575,#REF!,5,FALSE())&lt;-2),"",#REF!),"")</f>
        <v/>
      </c>
      <c r="H575" s="0" t="str">
        <f aca="false">IFERROR(IF(OR(HLOOKUP($A575,#REF!,6,FALSE())&gt;2,HLOOKUP($A575,#REF!,6,FALSE())&lt;-2),"",#REF!),"")</f>
        <v/>
      </c>
      <c r="I575" s="0" t="str">
        <f aca="false">IFERROR(IF(OR(HLOOKUP($A575,#REF!,7,FALSE())&gt;2,HLOOKUP($A575,#REF!,7,FALSE())&lt;-2),"",#REF!),"")</f>
        <v/>
      </c>
      <c r="J575" s="0" t="str">
        <f aca="false">IFERROR(IF(OR(HLOOKUP($A575,#REF!,8,FALSE())&gt;2,HLOOKUP($A575,#REF!,8,FALSE())&lt;-2),"",#REF!),"")</f>
        <v/>
      </c>
      <c r="K575" s="0" t="str">
        <f aca="false">IFERROR(IF(OR(HLOOKUP($A575,#REF!,9,FALSE())&gt;2,HLOOKUP($A575,#REF!,9,FALSE())&lt;-2),"",#REF!),"")</f>
        <v/>
      </c>
      <c r="L575" s="0" t="str">
        <f aca="false">IFERROR(IF(OR(HLOOKUP($A575,#REF!,10,FALSE())&gt;2,HLOOKUP($A575,#REF!,10,FALSE())&lt;-2),"",#REF!),"")</f>
        <v/>
      </c>
      <c r="M575" s="0" t="str">
        <f aca="false">IFERROR(IF(OR(HLOOKUP($A575,#REF!,11,FALSE())&gt;2,HLOOKUP($A575,#REF!,11,FALSE())&lt;-2),"",#REF!),"")</f>
        <v/>
      </c>
      <c r="N575" s="0" t="str">
        <f aca="false">IFERROR(IF(OR(HLOOKUP($A575,#REF!,12,FALSE())&gt;2,HLOOKUP($A575,#REF!,12,FALSE())&lt;-2),"",#REF!),"")</f>
        <v/>
      </c>
      <c r="O575" s="0" t="str">
        <f aca="false">IFERROR(IF(OR(HLOOKUP($A575,#REF!,13,FALSE())&gt;2,HLOOKUP($A575,#REF!,13,FALSE())&lt;-2),"",#REF!),"")</f>
        <v/>
      </c>
      <c r="P575" s="0" t="str">
        <f aca="false">IFERROR(IF(OR(HLOOKUP($A575,#REF!,14,FALSE())&gt;2,HLOOKUP($A575,#REF!,14,FALSE())&lt;-2),"",#REF!),"")</f>
        <v/>
      </c>
      <c r="Q575" s="0" t="str">
        <f aca="false">IFERROR(IF(OR(HLOOKUP($A575,#REF!,15,FALSE())&gt;2,HLOOKUP($A575,#REF!,15,FALSE())&lt;-2),"",#REF!),"")</f>
        <v/>
      </c>
      <c r="R575" s="0" t="str">
        <f aca="false">IFERROR(IF(OR(HLOOKUP($A575,#REF!,16,FALSE())&gt;2,HLOOKUP($A575,#REF!,16,FALSE())&lt;-2),"",#REF!),"")</f>
        <v/>
      </c>
      <c r="S575" s="0" t="str">
        <f aca="false">IFERROR(IF(OR(HLOOKUP($A575,#REF!,17,FALSE())&gt;2,HLOOKUP($A575,#REF!,17,FALSE())&lt;-2),"",#REF!),"")</f>
        <v/>
      </c>
      <c r="T575" s="0" t="str">
        <f aca="false">IFERROR(IF(OR(HLOOKUP($A575,#REF!,18,FALSE())&gt;2,HLOOKUP($A575,#REF!,18,FALSE())&lt;-2),"",#REF!),"")</f>
        <v/>
      </c>
      <c r="U575" s="0" t="str">
        <f aca="false">IFERROR(IF(OR(HLOOKUP($A575,#REF!,19,FALSE())&gt;2,HLOOKUP($A575,#REF!,19,FALSE())&lt;-2),"",#REF!),"")</f>
        <v/>
      </c>
      <c r="V575" s="0" t="n">
        <f aca="false">IFERROR(IF(AND(X575=0,Y575=0),0,1),0)</f>
        <v>1</v>
      </c>
      <c r="W575" s="3" t="str">
        <f aca="false">IFERROR(_xlfn.T.TEST(E575:M575,N575:U575,2,2),"")</f>
        <v/>
      </c>
      <c r="X575" s="0" t="str">
        <f aca="false">IFERROR(AVERAGE(E575:M575),"")</f>
        <v/>
      </c>
      <c r="Y575" s="0" t="str">
        <f aca="false">IFERROR(AVERAGE(N575:U575),"")</f>
        <v/>
      </c>
    </row>
    <row r="576" customFormat="false" ht="14.5" hidden="false" customHeight="false" outlineLevel="0" collapsed="false">
      <c r="A576" s="0" t="n">
        <v>584</v>
      </c>
      <c r="B576" s="0" t="s">
        <v>643</v>
      </c>
      <c r="C576" s="0" t="n">
        <v>35300</v>
      </c>
      <c r="D576" s="0" t="n">
        <v>655</v>
      </c>
      <c r="E576" s="0" t="str">
        <f aca="false">IFERROR(IF(OR(HLOOKUP($A576,#REF!,3,FALSE())&gt;2,HLOOKUP(A576,#REF!,3,FALSE())&lt;-2),"",#REF!),"")</f>
        <v/>
      </c>
      <c r="F576" s="0" t="str">
        <f aca="false">IFERROR(IF(OR(HLOOKUP($A576,#REF!,4,FALSE())&gt;2,HLOOKUP($A576,#REF!,4,FALSE())&lt;-2),"",#REF!),"")</f>
        <v/>
      </c>
      <c r="G576" s="0" t="str">
        <f aca="false">IFERROR(IF(OR(HLOOKUP($A576,#REF!,5,FALSE())&gt;2,HLOOKUP($A576,#REF!,5,FALSE())&lt;-2),"",#REF!),"")</f>
        <v/>
      </c>
      <c r="H576" s="0" t="str">
        <f aca="false">IFERROR(IF(OR(HLOOKUP($A576,#REF!,6,FALSE())&gt;2,HLOOKUP($A576,#REF!,6,FALSE())&lt;-2),"",#REF!),"")</f>
        <v/>
      </c>
      <c r="I576" s="0" t="str">
        <f aca="false">IFERROR(IF(OR(HLOOKUP($A576,#REF!,7,FALSE())&gt;2,HLOOKUP($A576,#REF!,7,FALSE())&lt;-2),"",#REF!),"")</f>
        <v/>
      </c>
      <c r="J576" s="0" t="str">
        <f aca="false">IFERROR(IF(OR(HLOOKUP($A576,#REF!,8,FALSE())&gt;2,HLOOKUP($A576,#REF!,8,FALSE())&lt;-2),"",#REF!),"")</f>
        <v/>
      </c>
      <c r="K576" s="0" t="str">
        <f aca="false">IFERROR(IF(OR(HLOOKUP($A576,#REF!,9,FALSE())&gt;2,HLOOKUP($A576,#REF!,9,FALSE())&lt;-2),"",#REF!),"")</f>
        <v/>
      </c>
      <c r="L576" s="0" t="str">
        <f aca="false">IFERROR(IF(OR(HLOOKUP($A576,#REF!,10,FALSE())&gt;2,HLOOKUP($A576,#REF!,10,FALSE())&lt;-2),"",#REF!),"")</f>
        <v/>
      </c>
      <c r="M576" s="0" t="str">
        <f aca="false">IFERROR(IF(OR(HLOOKUP($A576,#REF!,11,FALSE())&gt;2,HLOOKUP($A576,#REF!,11,FALSE())&lt;-2),"",#REF!),"")</f>
        <v/>
      </c>
      <c r="N576" s="0" t="str">
        <f aca="false">IFERROR(IF(OR(HLOOKUP($A576,#REF!,12,FALSE())&gt;2,HLOOKUP($A576,#REF!,12,FALSE())&lt;-2),"",#REF!),"")</f>
        <v/>
      </c>
      <c r="O576" s="0" t="str">
        <f aca="false">IFERROR(IF(OR(HLOOKUP($A576,#REF!,13,FALSE())&gt;2,HLOOKUP($A576,#REF!,13,FALSE())&lt;-2),"",#REF!),"")</f>
        <v/>
      </c>
      <c r="P576" s="0" t="str">
        <f aca="false">IFERROR(IF(OR(HLOOKUP($A576,#REF!,14,FALSE())&gt;2,HLOOKUP($A576,#REF!,14,FALSE())&lt;-2),"",#REF!),"")</f>
        <v/>
      </c>
      <c r="Q576" s="0" t="str">
        <f aca="false">IFERROR(IF(OR(HLOOKUP($A576,#REF!,15,FALSE())&gt;2,HLOOKUP($A576,#REF!,15,FALSE())&lt;-2),"",#REF!),"")</f>
        <v/>
      </c>
      <c r="R576" s="0" t="str">
        <f aca="false">IFERROR(IF(OR(HLOOKUP($A576,#REF!,16,FALSE())&gt;2,HLOOKUP($A576,#REF!,16,FALSE())&lt;-2),"",#REF!),"")</f>
        <v/>
      </c>
      <c r="S576" s="0" t="str">
        <f aca="false">IFERROR(IF(OR(HLOOKUP($A576,#REF!,17,FALSE())&gt;2,HLOOKUP($A576,#REF!,17,FALSE())&lt;-2),"",#REF!),"")</f>
        <v/>
      </c>
      <c r="T576" s="0" t="str">
        <f aca="false">IFERROR(IF(OR(HLOOKUP($A576,#REF!,18,FALSE())&gt;2,HLOOKUP($A576,#REF!,18,FALSE())&lt;-2),"",#REF!),"")</f>
        <v/>
      </c>
      <c r="U576" s="0" t="str">
        <f aca="false">IFERROR(IF(OR(HLOOKUP($A576,#REF!,19,FALSE())&gt;2,HLOOKUP($A576,#REF!,19,FALSE())&lt;-2),"",#REF!),"")</f>
        <v/>
      </c>
      <c r="V576" s="0" t="n">
        <f aca="false">IFERROR(IF(AND(X576=0,Y576=0),0,1),0)</f>
        <v>1</v>
      </c>
      <c r="W576" s="3" t="str">
        <f aca="false">IFERROR(_xlfn.T.TEST(E576:M576,N576:U576,2,2),"")</f>
        <v/>
      </c>
      <c r="X576" s="0" t="str">
        <f aca="false">IFERROR(AVERAGE(E576:M576),"")</f>
        <v/>
      </c>
      <c r="Y576" s="0" t="str">
        <f aca="false">IFERROR(AVERAGE(N576:U576),"")</f>
        <v/>
      </c>
    </row>
    <row r="577" customFormat="false" ht="14.5" hidden="false" customHeight="false" outlineLevel="0" collapsed="false">
      <c r="A577" s="0" t="n">
        <v>585</v>
      </c>
      <c r="B577" s="0" t="s">
        <v>644</v>
      </c>
      <c r="C577" s="0" t="n">
        <v>54300</v>
      </c>
      <c r="D577" s="0" t="n">
        <v>367</v>
      </c>
      <c r="E577" s="0" t="str">
        <f aca="false">IFERROR(IF(OR(HLOOKUP($A577,#REF!,3,FALSE())&gt;2,HLOOKUP(A577,#REF!,3,FALSE())&lt;-2),"",#REF!),"")</f>
        <v/>
      </c>
      <c r="F577" s="0" t="str">
        <f aca="false">IFERROR(IF(OR(HLOOKUP($A577,#REF!,4,FALSE())&gt;2,HLOOKUP($A577,#REF!,4,FALSE())&lt;-2),"",#REF!),"")</f>
        <v/>
      </c>
      <c r="G577" s="0" t="str">
        <f aca="false">IFERROR(IF(OR(HLOOKUP($A577,#REF!,5,FALSE())&gt;2,HLOOKUP($A577,#REF!,5,FALSE())&lt;-2),"",#REF!),"")</f>
        <v/>
      </c>
      <c r="H577" s="0" t="str">
        <f aca="false">IFERROR(IF(OR(HLOOKUP($A577,#REF!,6,FALSE())&gt;2,HLOOKUP($A577,#REF!,6,FALSE())&lt;-2),"",#REF!),"")</f>
        <v/>
      </c>
      <c r="I577" s="0" t="str">
        <f aca="false">IFERROR(IF(OR(HLOOKUP($A577,#REF!,7,FALSE())&gt;2,HLOOKUP($A577,#REF!,7,FALSE())&lt;-2),"",#REF!),"")</f>
        <v/>
      </c>
      <c r="J577" s="0" t="str">
        <f aca="false">IFERROR(IF(OR(HLOOKUP($A577,#REF!,8,FALSE())&gt;2,HLOOKUP($A577,#REF!,8,FALSE())&lt;-2),"",#REF!),"")</f>
        <v/>
      </c>
      <c r="K577" s="0" t="str">
        <f aca="false">IFERROR(IF(OR(HLOOKUP($A577,#REF!,9,FALSE())&gt;2,HLOOKUP($A577,#REF!,9,FALSE())&lt;-2),"",#REF!),"")</f>
        <v/>
      </c>
      <c r="L577" s="0" t="str">
        <f aca="false">IFERROR(IF(OR(HLOOKUP($A577,#REF!,10,FALSE())&gt;2,HLOOKUP($A577,#REF!,10,FALSE())&lt;-2),"",#REF!),"")</f>
        <v/>
      </c>
      <c r="M577" s="0" t="str">
        <f aca="false">IFERROR(IF(OR(HLOOKUP($A577,#REF!,11,FALSE())&gt;2,HLOOKUP($A577,#REF!,11,FALSE())&lt;-2),"",#REF!),"")</f>
        <v/>
      </c>
      <c r="N577" s="0" t="str">
        <f aca="false">IFERROR(IF(OR(HLOOKUP($A577,#REF!,12,FALSE())&gt;2,HLOOKUP($A577,#REF!,12,FALSE())&lt;-2),"",#REF!),"")</f>
        <v/>
      </c>
      <c r="O577" s="0" t="str">
        <f aca="false">IFERROR(IF(OR(HLOOKUP($A577,#REF!,13,FALSE())&gt;2,HLOOKUP($A577,#REF!,13,FALSE())&lt;-2),"",#REF!),"")</f>
        <v/>
      </c>
      <c r="P577" s="0" t="str">
        <f aca="false">IFERROR(IF(OR(HLOOKUP($A577,#REF!,14,FALSE())&gt;2,HLOOKUP($A577,#REF!,14,FALSE())&lt;-2),"",#REF!),"")</f>
        <v/>
      </c>
      <c r="Q577" s="0" t="str">
        <f aca="false">IFERROR(IF(OR(HLOOKUP($A577,#REF!,15,FALSE())&gt;2,HLOOKUP($A577,#REF!,15,FALSE())&lt;-2),"",#REF!),"")</f>
        <v/>
      </c>
      <c r="R577" s="0" t="str">
        <f aca="false">IFERROR(IF(OR(HLOOKUP($A577,#REF!,16,FALSE())&gt;2,HLOOKUP($A577,#REF!,16,FALSE())&lt;-2),"",#REF!),"")</f>
        <v/>
      </c>
      <c r="S577" s="0" t="str">
        <f aca="false">IFERROR(IF(OR(HLOOKUP($A577,#REF!,17,FALSE())&gt;2,HLOOKUP($A577,#REF!,17,FALSE())&lt;-2),"",#REF!),"")</f>
        <v/>
      </c>
      <c r="T577" s="0" t="str">
        <f aca="false">IFERROR(IF(OR(HLOOKUP($A577,#REF!,18,FALSE())&gt;2,HLOOKUP($A577,#REF!,18,FALSE())&lt;-2),"",#REF!),"")</f>
        <v/>
      </c>
      <c r="U577" s="0" t="str">
        <f aca="false">IFERROR(IF(OR(HLOOKUP($A577,#REF!,19,FALSE())&gt;2,HLOOKUP($A577,#REF!,19,FALSE())&lt;-2),"",#REF!),"")</f>
        <v/>
      </c>
      <c r="V577" s="0" t="n">
        <f aca="false">IFERROR(IF(AND(X577=0,Y577=0),0,1),0)</f>
        <v>1</v>
      </c>
      <c r="W577" s="3" t="str">
        <f aca="false">IFERROR(_xlfn.T.TEST(E577:M577,N577:U577,2,2),"")</f>
        <v/>
      </c>
      <c r="X577" s="0" t="str">
        <f aca="false">IFERROR(AVERAGE(E577:M577),"")</f>
        <v/>
      </c>
      <c r="Y577" s="0" t="str">
        <f aca="false">IFERROR(AVERAGE(N577:U577),"")</f>
        <v/>
      </c>
    </row>
    <row r="578" customFormat="false" ht="14.5" hidden="false" customHeight="false" outlineLevel="0" collapsed="false">
      <c r="A578" s="0" t="n">
        <v>586</v>
      </c>
      <c r="B578" s="0" t="s">
        <v>645</v>
      </c>
      <c r="C578" s="0" t="n">
        <v>102500</v>
      </c>
      <c r="D578" s="0" t="n">
        <v>932</v>
      </c>
      <c r="E578" s="0" t="str">
        <f aca="false">IFERROR(IF(OR(HLOOKUP($A578,#REF!,3,FALSE())&gt;2,HLOOKUP(A578,#REF!,3,FALSE())&lt;-2),"",#REF!),"")</f>
        <v/>
      </c>
      <c r="F578" s="0" t="str">
        <f aca="false">IFERROR(IF(OR(HLOOKUP($A578,#REF!,4,FALSE())&gt;2,HLOOKUP($A578,#REF!,4,FALSE())&lt;-2),"",#REF!),"")</f>
        <v/>
      </c>
      <c r="G578" s="0" t="str">
        <f aca="false">IFERROR(IF(OR(HLOOKUP($A578,#REF!,5,FALSE())&gt;2,HLOOKUP($A578,#REF!,5,FALSE())&lt;-2),"",#REF!),"")</f>
        <v/>
      </c>
      <c r="H578" s="0" t="str">
        <f aca="false">IFERROR(IF(OR(HLOOKUP($A578,#REF!,6,FALSE())&gt;2,HLOOKUP($A578,#REF!,6,FALSE())&lt;-2),"",#REF!),"")</f>
        <v/>
      </c>
      <c r="I578" s="0" t="str">
        <f aca="false">IFERROR(IF(OR(HLOOKUP($A578,#REF!,7,FALSE())&gt;2,HLOOKUP($A578,#REF!,7,FALSE())&lt;-2),"",#REF!),"")</f>
        <v/>
      </c>
      <c r="J578" s="0" t="str">
        <f aca="false">IFERROR(IF(OR(HLOOKUP($A578,#REF!,8,FALSE())&gt;2,HLOOKUP($A578,#REF!,8,FALSE())&lt;-2),"",#REF!),"")</f>
        <v/>
      </c>
      <c r="K578" s="0" t="str">
        <f aca="false">IFERROR(IF(OR(HLOOKUP($A578,#REF!,9,FALSE())&gt;2,HLOOKUP($A578,#REF!,9,FALSE())&lt;-2),"",#REF!),"")</f>
        <v/>
      </c>
      <c r="L578" s="0" t="str">
        <f aca="false">IFERROR(IF(OR(HLOOKUP($A578,#REF!,10,FALSE())&gt;2,HLOOKUP($A578,#REF!,10,FALSE())&lt;-2),"",#REF!),"")</f>
        <v/>
      </c>
      <c r="M578" s="0" t="str">
        <f aca="false">IFERROR(IF(OR(HLOOKUP($A578,#REF!,11,FALSE())&gt;2,HLOOKUP($A578,#REF!,11,FALSE())&lt;-2),"",#REF!),"")</f>
        <v/>
      </c>
      <c r="N578" s="0" t="str">
        <f aca="false">IFERROR(IF(OR(HLOOKUP($A578,#REF!,12,FALSE())&gt;2,HLOOKUP($A578,#REF!,12,FALSE())&lt;-2),"",#REF!),"")</f>
        <v/>
      </c>
      <c r="O578" s="0" t="str">
        <f aca="false">IFERROR(IF(OR(HLOOKUP($A578,#REF!,13,FALSE())&gt;2,HLOOKUP($A578,#REF!,13,FALSE())&lt;-2),"",#REF!),"")</f>
        <v/>
      </c>
      <c r="P578" s="0" t="str">
        <f aca="false">IFERROR(IF(OR(HLOOKUP($A578,#REF!,14,FALSE())&gt;2,HLOOKUP($A578,#REF!,14,FALSE())&lt;-2),"",#REF!),"")</f>
        <v/>
      </c>
      <c r="Q578" s="0" t="str">
        <f aca="false">IFERROR(IF(OR(HLOOKUP($A578,#REF!,15,FALSE())&gt;2,HLOOKUP($A578,#REF!,15,FALSE())&lt;-2),"",#REF!),"")</f>
        <v/>
      </c>
      <c r="R578" s="0" t="str">
        <f aca="false">IFERROR(IF(OR(HLOOKUP($A578,#REF!,16,FALSE())&gt;2,HLOOKUP($A578,#REF!,16,FALSE())&lt;-2),"",#REF!),"")</f>
        <v/>
      </c>
      <c r="S578" s="0" t="str">
        <f aca="false">IFERROR(IF(OR(HLOOKUP($A578,#REF!,17,FALSE())&gt;2,HLOOKUP($A578,#REF!,17,FALSE())&lt;-2),"",#REF!),"")</f>
        <v/>
      </c>
      <c r="T578" s="0" t="str">
        <f aca="false">IFERROR(IF(OR(HLOOKUP($A578,#REF!,18,FALSE())&gt;2,HLOOKUP($A578,#REF!,18,FALSE())&lt;-2),"",#REF!),"")</f>
        <v/>
      </c>
      <c r="U578" s="0" t="str">
        <f aca="false">IFERROR(IF(OR(HLOOKUP($A578,#REF!,19,FALSE())&gt;2,HLOOKUP($A578,#REF!,19,FALSE())&lt;-2),"",#REF!),"")</f>
        <v/>
      </c>
      <c r="V578" s="0" t="n">
        <f aca="false">IFERROR(IF(AND(X578=0,Y578=0),0,1),0)</f>
        <v>1</v>
      </c>
      <c r="W578" s="3" t="str">
        <f aca="false">IFERROR(_xlfn.T.TEST(E578:M578,N578:U578,2,2),"")</f>
        <v/>
      </c>
      <c r="X578" s="0" t="str">
        <f aca="false">IFERROR(AVERAGE(E578:M578),"")</f>
        <v/>
      </c>
      <c r="Y578" s="0" t="str">
        <f aca="false">IFERROR(AVERAGE(N578:U578),"")</f>
        <v/>
      </c>
    </row>
    <row r="579" customFormat="false" ht="14.5" hidden="false" customHeight="false" outlineLevel="0" collapsed="false">
      <c r="A579" s="0" t="n">
        <v>587</v>
      </c>
      <c r="B579" s="0" t="s">
        <v>646</v>
      </c>
      <c r="C579" s="0" t="n">
        <v>81800</v>
      </c>
      <c r="D579" s="0" t="n">
        <v>795</v>
      </c>
      <c r="E579" s="0" t="str">
        <f aca="false">IFERROR(IF(OR(HLOOKUP($A579,#REF!,3,FALSE())&gt;2,HLOOKUP(A579,#REF!,3,FALSE())&lt;-2),"",#REF!),"")</f>
        <v/>
      </c>
      <c r="F579" s="0" t="str">
        <f aca="false">IFERROR(IF(OR(HLOOKUP($A579,#REF!,4,FALSE())&gt;2,HLOOKUP($A579,#REF!,4,FALSE())&lt;-2),"",#REF!),"")</f>
        <v/>
      </c>
      <c r="G579" s="0" t="str">
        <f aca="false">IFERROR(IF(OR(HLOOKUP($A579,#REF!,5,FALSE())&gt;2,HLOOKUP($A579,#REF!,5,FALSE())&lt;-2),"",#REF!),"")</f>
        <v/>
      </c>
      <c r="H579" s="0" t="str">
        <f aca="false">IFERROR(IF(OR(HLOOKUP($A579,#REF!,6,FALSE())&gt;2,HLOOKUP($A579,#REF!,6,FALSE())&lt;-2),"",#REF!),"")</f>
        <v/>
      </c>
      <c r="I579" s="0" t="str">
        <f aca="false">IFERROR(IF(OR(HLOOKUP($A579,#REF!,7,FALSE())&gt;2,HLOOKUP($A579,#REF!,7,FALSE())&lt;-2),"",#REF!),"")</f>
        <v/>
      </c>
      <c r="J579" s="0" t="str">
        <f aca="false">IFERROR(IF(OR(HLOOKUP($A579,#REF!,8,FALSE())&gt;2,HLOOKUP($A579,#REF!,8,FALSE())&lt;-2),"",#REF!),"")</f>
        <v/>
      </c>
      <c r="K579" s="0" t="str">
        <f aca="false">IFERROR(IF(OR(HLOOKUP($A579,#REF!,9,FALSE())&gt;2,HLOOKUP($A579,#REF!,9,FALSE())&lt;-2),"",#REF!),"")</f>
        <v/>
      </c>
      <c r="L579" s="0" t="str">
        <f aca="false">IFERROR(IF(OR(HLOOKUP($A579,#REF!,10,FALSE())&gt;2,HLOOKUP($A579,#REF!,10,FALSE())&lt;-2),"",#REF!),"")</f>
        <v/>
      </c>
      <c r="M579" s="0" t="str">
        <f aca="false">IFERROR(IF(OR(HLOOKUP($A579,#REF!,11,FALSE())&gt;2,HLOOKUP($A579,#REF!,11,FALSE())&lt;-2),"",#REF!),"")</f>
        <v/>
      </c>
      <c r="N579" s="0" t="str">
        <f aca="false">IFERROR(IF(OR(HLOOKUP($A579,#REF!,12,FALSE())&gt;2,HLOOKUP($A579,#REF!,12,FALSE())&lt;-2),"",#REF!),"")</f>
        <v/>
      </c>
      <c r="O579" s="0" t="str">
        <f aca="false">IFERROR(IF(OR(HLOOKUP($A579,#REF!,13,FALSE())&gt;2,HLOOKUP($A579,#REF!,13,FALSE())&lt;-2),"",#REF!),"")</f>
        <v/>
      </c>
      <c r="P579" s="0" t="str">
        <f aca="false">IFERROR(IF(OR(HLOOKUP($A579,#REF!,14,FALSE())&gt;2,HLOOKUP($A579,#REF!,14,FALSE())&lt;-2),"",#REF!),"")</f>
        <v/>
      </c>
      <c r="Q579" s="0" t="str">
        <f aca="false">IFERROR(IF(OR(HLOOKUP($A579,#REF!,15,FALSE())&gt;2,HLOOKUP($A579,#REF!,15,FALSE())&lt;-2),"",#REF!),"")</f>
        <v/>
      </c>
      <c r="R579" s="0" t="str">
        <f aca="false">IFERROR(IF(OR(HLOOKUP($A579,#REF!,16,FALSE())&gt;2,HLOOKUP($A579,#REF!,16,FALSE())&lt;-2),"",#REF!),"")</f>
        <v/>
      </c>
      <c r="S579" s="0" t="str">
        <f aca="false">IFERROR(IF(OR(HLOOKUP($A579,#REF!,17,FALSE())&gt;2,HLOOKUP($A579,#REF!,17,FALSE())&lt;-2),"",#REF!),"")</f>
        <v/>
      </c>
      <c r="T579" s="0" t="str">
        <f aca="false">IFERROR(IF(OR(HLOOKUP($A579,#REF!,18,FALSE())&gt;2,HLOOKUP($A579,#REF!,18,FALSE())&lt;-2),"",#REF!),"")</f>
        <v/>
      </c>
      <c r="U579" s="0" t="str">
        <f aca="false">IFERROR(IF(OR(HLOOKUP($A579,#REF!,19,FALSE())&gt;2,HLOOKUP($A579,#REF!,19,FALSE())&lt;-2),"",#REF!),"")</f>
        <v/>
      </c>
      <c r="V579" s="0" t="n">
        <f aca="false">IFERROR(IF(AND(X579=0,Y579=0),0,1),0)</f>
        <v>1</v>
      </c>
      <c r="W579" s="3" t="str">
        <f aca="false">IFERROR(_xlfn.T.TEST(E579:M579,N579:U579,2,2),"")</f>
        <v/>
      </c>
      <c r="X579" s="0" t="str">
        <f aca="false">IFERROR(AVERAGE(E579:M579),"")</f>
        <v/>
      </c>
      <c r="Y579" s="0" t="str">
        <f aca="false">IFERROR(AVERAGE(N579:U579),"")</f>
        <v/>
      </c>
    </row>
    <row r="580" customFormat="false" ht="14.5" hidden="false" customHeight="false" outlineLevel="0" collapsed="false">
      <c r="A580" s="0" t="n">
        <v>588</v>
      </c>
      <c r="B580" s="0" t="s">
        <v>78</v>
      </c>
      <c r="C580" s="0" t="n">
        <v>19600</v>
      </c>
      <c r="D580" s="0" t="n">
        <v>48</v>
      </c>
      <c r="E580" s="0" t="str">
        <f aca="false">IFERROR(IF(OR(HLOOKUP($A580,#REF!,3,FALSE())&gt;2,HLOOKUP(A580,#REF!,3,FALSE())&lt;-2),"",#REF!),"")</f>
        <v/>
      </c>
      <c r="F580" s="0" t="str">
        <f aca="false">IFERROR(IF(OR(HLOOKUP($A580,#REF!,4,FALSE())&gt;2,HLOOKUP($A580,#REF!,4,FALSE())&lt;-2),"",#REF!),"")</f>
        <v/>
      </c>
      <c r="G580" s="0" t="str">
        <f aca="false">IFERROR(IF(OR(HLOOKUP($A580,#REF!,5,FALSE())&gt;2,HLOOKUP($A580,#REF!,5,FALSE())&lt;-2),"",#REF!),"")</f>
        <v/>
      </c>
      <c r="H580" s="0" t="str">
        <f aca="false">IFERROR(IF(OR(HLOOKUP($A580,#REF!,6,FALSE())&gt;2,HLOOKUP($A580,#REF!,6,FALSE())&lt;-2),"",#REF!),"")</f>
        <v/>
      </c>
      <c r="I580" s="0" t="str">
        <f aca="false">IFERROR(IF(OR(HLOOKUP($A580,#REF!,7,FALSE())&gt;2,HLOOKUP($A580,#REF!,7,FALSE())&lt;-2),"",#REF!),"")</f>
        <v/>
      </c>
      <c r="J580" s="0" t="str">
        <f aca="false">IFERROR(IF(OR(HLOOKUP($A580,#REF!,8,FALSE())&gt;2,HLOOKUP($A580,#REF!,8,FALSE())&lt;-2),"",#REF!),"")</f>
        <v/>
      </c>
      <c r="K580" s="0" t="str">
        <f aca="false">IFERROR(IF(OR(HLOOKUP($A580,#REF!,9,FALSE())&gt;2,HLOOKUP($A580,#REF!,9,FALSE())&lt;-2),"",#REF!),"")</f>
        <v/>
      </c>
      <c r="L580" s="0" t="str">
        <f aca="false">IFERROR(IF(OR(HLOOKUP($A580,#REF!,10,FALSE())&gt;2,HLOOKUP($A580,#REF!,10,FALSE())&lt;-2),"",#REF!),"")</f>
        <v/>
      </c>
      <c r="M580" s="0" t="str">
        <f aca="false">IFERROR(IF(OR(HLOOKUP($A580,#REF!,11,FALSE())&gt;2,HLOOKUP($A580,#REF!,11,FALSE())&lt;-2),"",#REF!),"")</f>
        <v/>
      </c>
      <c r="N580" s="0" t="str">
        <f aca="false">IFERROR(IF(OR(HLOOKUP($A580,#REF!,12,FALSE())&gt;2,HLOOKUP($A580,#REF!,12,FALSE())&lt;-2),"",#REF!),"")</f>
        <v/>
      </c>
      <c r="O580" s="0" t="str">
        <f aca="false">IFERROR(IF(OR(HLOOKUP($A580,#REF!,13,FALSE())&gt;2,HLOOKUP($A580,#REF!,13,FALSE())&lt;-2),"",#REF!),"")</f>
        <v/>
      </c>
      <c r="P580" s="0" t="str">
        <f aca="false">IFERROR(IF(OR(HLOOKUP($A580,#REF!,14,FALSE())&gt;2,HLOOKUP($A580,#REF!,14,FALSE())&lt;-2),"",#REF!),"")</f>
        <v/>
      </c>
      <c r="Q580" s="0" t="str">
        <f aca="false">IFERROR(IF(OR(HLOOKUP($A580,#REF!,15,FALSE())&gt;2,HLOOKUP($A580,#REF!,15,FALSE())&lt;-2),"",#REF!),"")</f>
        <v/>
      </c>
      <c r="R580" s="0" t="str">
        <f aca="false">IFERROR(IF(OR(HLOOKUP($A580,#REF!,16,FALSE())&gt;2,HLOOKUP($A580,#REF!,16,FALSE())&lt;-2),"",#REF!),"")</f>
        <v/>
      </c>
      <c r="S580" s="0" t="str">
        <f aca="false">IFERROR(IF(OR(HLOOKUP($A580,#REF!,17,FALSE())&gt;2,HLOOKUP($A580,#REF!,17,FALSE())&lt;-2),"",#REF!),"")</f>
        <v/>
      </c>
      <c r="T580" s="0" t="str">
        <f aca="false">IFERROR(IF(OR(HLOOKUP($A580,#REF!,18,FALSE())&gt;2,HLOOKUP($A580,#REF!,18,FALSE())&lt;-2),"",#REF!),"")</f>
        <v/>
      </c>
      <c r="U580" s="0" t="str">
        <f aca="false">IFERROR(IF(OR(HLOOKUP($A580,#REF!,19,FALSE())&gt;2,HLOOKUP($A580,#REF!,19,FALSE())&lt;-2),"",#REF!),"")</f>
        <v/>
      </c>
      <c r="V580" s="0" t="n">
        <f aca="false">IFERROR(IF(AND(X580=0,Y580=0),0,1),0)</f>
        <v>1</v>
      </c>
      <c r="W580" s="3" t="str">
        <f aca="false">IFERROR(_xlfn.T.TEST(E580:M580,N580:U580,2,2),"")</f>
        <v/>
      </c>
      <c r="X580" s="0" t="str">
        <f aca="false">IFERROR(AVERAGE(E580:M580),"")</f>
        <v/>
      </c>
      <c r="Y580" s="0" t="str">
        <f aca="false">IFERROR(AVERAGE(N580:U580),"")</f>
        <v/>
      </c>
    </row>
    <row r="581" customFormat="false" ht="14.5" hidden="false" customHeight="false" outlineLevel="0" collapsed="false">
      <c r="A581" s="0" t="n">
        <v>589</v>
      </c>
      <c r="B581" s="0" t="s">
        <v>647</v>
      </c>
      <c r="C581" s="0" t="n">
        <v>31800</v>
      </c>
      <c r="D581" s="0" t="n">
        <v>698</v>
      </c>
      <c r="E581" s="0" t="str">
        <f aca="false">IFERROR(IF(OR(HLOOKUP($A581,#REF!,3,FALSE())&gt;2,HLOOKUP(A581,#REF!,3,FALSE())&lt;-2),"",#REF!),"")</f>
        <v/>
      </c>
      <c r="F581" s="0" t="str">
        <f aca="false">IFERROR(IF(OR(HLOOKUP($A581,#REF!,4,FALSE())&gt;2,HLOOKUP($A581,#REF!,4,FALSE())&lt;-2),"",#REF!),"")</f>
        <v/>
      </c>
      <c r="G581" s="0" t="str">
        <f aca="false">IFERROR(IF(OR(HLOOKUP($A581,#REF!,5,FALSE())&gt;2,HLOOKUP($A581,#REF!,5,FALSE())&lt;-2),"",#REF!),"")</f>
        <v/>
      </c>
      <c r="H581" s="0" t="str">
        <f aca="false">IFERROR(IF(OR(HLOOKUP($A581,#REF!,6,FALSE())&gt;2,HLOOKUP($A581,#REF!,6,FALSE())&lt;-2),"",#REF!),"")</f>
        <v/>
      </c>
      <c r="I581" s="0" t="str">
        <f aca="false">IFERROR(IF(OR(HLOOKUP($A581,#REF!,7,FALSE())&gt;2,HLOOKUP($A581,#REF!,7,FALSE())&lt;-2),"",#REF!),"")</f>
        <v/>
      </c>
      <c r="J581" s="0" t="str">
        <f aca="false">IFERROR(IF(OR(HLOOKUP($A581,#REF!,8,FALSE())&gt;2,HLOOKUP($A581,#REF!,8,FALSE())&lt;-2),"",#REF!),"")</f>
        <v/>
      </c>
      <c r="K581" s="0" t="str">
        <f aca="false">IFERROR(IF(OR(HLOOKUP($A581,#REF!,9,FALSE())&gt;2,HLOOKUP($A581,#REF!,9,FALSE())&lt;-2),"",#REF!),"")</f>
        <v/>
      </c>
      <c r="L581" s="0" t="str">
        <f aca="false">IFERROR(IF(OR(HLOOKUP($A581,#REF!,10,FALSE())&gt;2,HLOOKUP($A581,#REF!,10,FALSE())&lt;-2),"",#REF!),"")</f>
        <v/>
      </c>
      <c r="M581" s="0" t="str">
        <f aca="false">IFERROR(IF(OR(HLOOKUP($A581,#REF!,11,FALSE())&gt;2,HLOOKUP($A581,#REF!,11,FALSE())&lt;-2),"",#REF!),"")</f>
        <v/>
      </c>
      <c r="N581" s="0" t="str">
        <f aca="false">IFERROR(IF(OR(HLOOKUP($A581,#REF!,12,FALSE())&gt;2,HLOOKUP($A581,#REF!,12,FALSE())&lt;-2),"",#REF!),"")</f>
        <v/>
      </c>
      <c r="O581" s="0" t="str">
        <f aca="false">IFERROR(IF(OR(HLOOKUP($A581,#REF!,13,FALSE())&gt;2,HLOOKUP($A581,#REF!,13,FALSE())&lt;-2),"",#REF!),"")</f>
        <v/>
      </c>
      <c r="P581" s="0" t="str">
        <f aca="false">IFERROR(IF(OR(HLOOKUP($A581,#REF!,14,FALSE())&gt;2,HLOOKUP($A581,#REF!,14,FALSE())&lt;-2),"",#REF!),"")</f>
        <v/>
      </c>
      <c r="Q581" s="0" t="str">
        <f aca="false">IFERROR(IF(OR(HLOOKUP($A581,#REF!,15,FALSE())&gt;2,HLOOKUP($A581,#REF!,15,FALSE())&lt;-2),"",#REF!),"")</f>
        <v/>
      </c>
      <c r="R581" s="0" t="str">
        <f aca="false">IFERROR(IF(OR(HLOOKUP($A581,#REF!,16,FALSE())&gt;2,HLOOKUP($A581,#REF!,16,FALSE())&lt;-2),"",#REF!),"")</f>
        <v/>
      </c>
      <c r="S581" s="0" t="str">
        <f aca="false">IFERROR(IF(OR(HLOOKUP($A581,#REF!,17,FALSE())&gt;2,HLOOKUP($A581,#REF!,17,FALSE())&lt;-2),"",#REF!),"")</f>
        <v/>
      </c>
      <c r="T581" s="0" t="str">
        <f aca="false">IFERROR(IF(OR(HLOOKUP($A581,#REF!,18,FALSE())&gt;2,HLOOKUP($A581,#REF!,18,FALSE())&lt;-2),"",#REF!),"")</f>
        <v/>
      </c>
      <c r="U581" s="0" t="str">
        <f aca="false">IFERROR(IF(OR(HLOOKUP($A581,#REF!,19,FALSE())&gt;2,HLOOKUP($A581,#REF!,19,FALSE())&lt;-2),"",#REF!),"")</f>
        <v/>
      </c>
      <c r="V581" s="0" t="n">
        <f aca="false">IFERROR(IF(AND(X581=0,Y581=0),0,1),0)</f>
        <v>1</v>
      </c>
      <c r="W581" s="3" t="str">
        <f aca="false">IFERROR(_xlfn.T.TEST(E581:M581,N581:U581,2,2),"")</f>
        <v/>
      </c>
      <c r="X581" s="0" t="str">
        <f aca="false">IFERROR(AVERAGE(E581:M581),"")</f>
        <v/>
      </c>
      <c r="Y581" s="0" t="str">
        <f aca="false">IFERROR(AVERAGE(N581:U581),"")</f>
        <v/>
      </c>
    </row>
    <row r="582" customFormat="false" ht="14.5" hidden="false" customHeight="false" outlineLevel="0" collapsed="false">
      <c r="A582" s="0" t="n">
        <v>590</v>
      </c>
      <c r="B582" s="0" t="s">
        <v>64</v>
      </c>
      <c r="C582" s="0" t="n">
        <v>27100</v>
      </c>
      <c r="D582" s="0" t="n">
        <v>886</v>
      </c>
      <c r="E582" s="0" t="str">
        <f aca="false">IFERROR(IF(OR(HLOOKUP($A582,#REF!,3,FALSE())&gt;2,HLOOKUP(A582,#REF!,3,FALSE())&lt;-2),"",#REF!),"")</f>
        <v/>
      </c>
      <c r="F582" s="0" t="str">
        <f aca="false">IFERROR(IF(OR(HLOOKUP($A582,#REF!,4,FALSE())&gt;2,HLOOKUP($A582,#REF!,4,FALSE())&lt;-2),"",#REF!),"")</f>
        <v/>
      </c>
      <c r="G582" s="0" t="str">
        <f aca="false">IFERROR(IF(OR(HLOOKUP($A582,#REF!,5,FALSE())&gt;2,HLOOKUP($A582,#REF!,5,FALSE())&lt;-2),"",#REF!),"")</f>
        <v/>
      </c>
      <c r="H582" s="0" t="str">
        <f aca="false">IFERROR(IF(OR(HLOOKUP($A582,#REF!,6,FALSE())&gt;2,HLOOKUP($A582,#REF!,6,FALSE())&lt;-2),"",#REF!),"")</f>
        <v/>
      </c>
      <c r="I582" s="0" t="str">
        <f aca="false">IFERROR(IF(OR(HLOOKUP($A582,#REF!,7,FALSE())&gt;2,HLOOKUP($A582,#REF!,7,FALSE())&lt;-2),"",#REF!),"")</f>
        <v/>
      </c>
      <c r="J582" s="0" t="str">
        <f aca="false">IFERROR(IF(OR(HLOOKUP($A582,#REF!,8,FALSE())&gt;2,HLOOKUP($A582,#REF!,8,FALSE())&lt;-2),"",#REF!),"")</f>
        <v/>
      </c>
      <c r="K582" s="0" t="str">
        <f aca="false">IFERROR(IF(OR(HLOOKUP($A582,#REF!,9,FALSE())&gt;2,HLOOKUP($A582,#REF!,9,FALSE())&lt;-2),"",#REF!),"")</f>
        <v/>
      </c>
      <c r="L582" s="0" t="str">
        <f aca="false">IFERROR(IF(OR(HLOOKUP($A582,#REF!,10,FALSE())&gt;2,HLOOKUP($A582,#REF!,10,FALSE())&lt;-2),"",#REF!),"")</f>
        <v/>
      </c>
      <c r="M582" s="0" t="str">
        <f aca="false">IFERROR(IF(OR(HLOOKUP($A582,#REF!,11,FALSE())&gt;2,HLOOKUP($A582,#REF!,11,FALSE())&lt;-2),"",#REF!),"")</f>
        <v/>
      </c>
      <c r="N582" s="0" t="str">
        <f aca="false">IFERROR(IF(OR(HLOOKUP($A582,#REF!,12,FALSE())&gt;2,HLOOKUP($A582,#REF!,12,FALSE())&lt;-2),"",#REF!),"")</f>
        <v/>
      </c>
      <c r="O582" s="0" t="str">
        <f aca="false">IFERROR(IF(OR(HLOOKUP($A582,#REF!,13,FALSE())&gt;2,HLOOKUP($A582,#REF!,13,FALSE())&lt;-2),"",#REF!),"")</f>
        <v/>
      </c>
      <c r="P582" s="0" t="str">
        <f aca="false">IFERROR(IF(OR(HLOOKUP($A582,#REF!,14,FALSE())&gt;2,HLOOKUP($A582,#REF!,14,FALSE())&lt;-2),"",#REF!),"")</f>
        <v/>
      </c>
      <c r="Q582" s="0" t="str">
        <f aca="false">IFERROR(IF(OR(HLOOKUP($A582,#REF!,15,FALSE())&gt;2,HLOOKUP($A582,#REF!,15,FALSE())&lt;-2),"",#REF!),"")</f>
        <v/>
      </c>
      <c r="R582" s="0" t="str">
        <f aca="false">IFERROR(IF(OR(HLOOKUP($A582,#REF!,16,FALSE())&gt;2,HLOOKUP($A582,#REF!,16,FALSE())&lt;-2),"",#REF!),"")</f>
        <v/>
      </c>
      <c r="S582" s="0" t="str">
        <f aca="false">IFERROR(IF(OR(HLOOKUP($A582,#REF!,17,FALSE())&gt;2,HLOOKUP($A582,#REF!,17,FALSE())&lt;-2),"",#REF!),"")</f>
        <v/>
      </c>
      <c r="T582" s="0" t="str">
        <f aca="false">IFERROR(IF(OR(HLOOKUP($A582,#REF!,18,FALSE())&gt;2,HLOOKUP($A582,#REF!,18,FALSE())&lt;-2),"",#REF!),"")</f>
        <v/>
      </c>
      <c r="U582" s="0" t="str">
        <f aca="false">IFERROR(IF(OR(HLOOKUP($A582,#REF!,19,FALSE())&gt;2,HLOOKUP($A582,#REF!,19,FALSE())&lt;-2),"",#REF!),"")</f>
        <v/>
      </c>
      <c r="V582" s="0" t="n">
        <f aca="false">IFERROR(IF(AND(X582=0,Y582=0),0,1),0)</f>
        <v>1</v>
      </c>
      <c r="W582" s="3" t="str">
        <f aca="false">IFERROR(_xlfn.T.TEST(E582:M582,N582:U582,2,2),"")</f>
        <v/>
      </c>
      <c r="X582" s="0" t="str">
        <f aca="false">IFERROR(AVERAGE(E582:M582),"")</f>
        <v/>
      </c>
      <c r="Y582" s="0" t="str">
        <f aca="false">IFERROR(AVERAGE(N582:U582),"")</f>
        <v/>
      </c>
    </row>
    <row r="583" customFormat="false" ht="14.5" hidden="false" customHeight="false" outlineLevel="0" collapsed="false">
      <c r="A583" s="0" t="n">
        <v>591</v>
      </c>
      <c r="B583" s="0" t="s">
        <v>648</v>
      </c>
      <c r="C583" s="0" t="n">
        <v>84400</v>
      </c>
      <c r="D583" s="0" t="n">
        <v>165</v>
      </c>
      <c r="E583" s="0" t="str">
        <f aca="false">IFERROR(IF(OR(HLOOKUP($A583,#REF!,3,FALSE())&gt;2,HLOOKUP(A583,#REF!,3,FALSE())&lt;-2),"",#REF!),"")</f>
        <v/>
      </c>
      <c r="F583" s="0" t="str">
        <f aca="false">IFERROR(IF(OR(HLOOKUP($A583,#REF!,4,FALSE())&gt;2,HLOOKUP($A583,#REF!,4,FALSE())&lt;-2),"",#REF!),"")</f>
        <v/>
      </c>
      <c r="G583" s="0" t="str">
        <f aca="false">IFERROR(IF(OR(HLOOKUP($A583,#REF!,5,FALSE())&gt;2,HLOOKUP($A583,#REF!,5,FALSE())&lt;-2),"",#REF!),"")</f>
        <v/>
      </c>
      <c r="H583" s="0" t="str">
        <f aca="false">IFERROR(IF(OR(HLOOKUP($A583,#REF!,6,FALSE())&gt;2,HLOOKUP($A583,#REF!,6,FALSE())&lt;-2),"",#REF!),"")</f>
        <v/>
      </c>
      <c r="I583" s="0" t="str">
        <f aca="false">IFERROR(IF(OR(HLOOKUP($A583,#REF!,7,FALSE())&gt;2,HLOOKUP($A583,#REF!,7,FALSE())&lt;-2),"",#REF!),"")</f>
        <v/>
      </c>
      <c r="J583" s="0" t="str">
        <f aca="false">IFERROR(IF(OR(HLOOKUP($A583,#REF!,8,FALSE())&gt;2,HLOOKUP($A583,#REF!,8,FALSE())&lt;-2),"",#REF!),"")</f>
        <v/>
      </c>
      <c r="K583" s="0" t="str">
        <f aca="false">IFERROR(IF(OR(HLOOKUP($A583,#REF!,9,FALSE())&gt;2,HLOOKUP($A583,#REF!,9,FALSE())&lt;-2),"",#REF!),"")</f>
        <v/>
      </c>
      <c r="L583" s="0" t="str">
        <f aca="false">IFERROR(IF(OR(HLOOKUP($A583,#REF!,10,FALSE())&gt;2,HLOOKUP($A583,#REF!,10,FALSE())&lt;-2),"",#REF!),"")</f>
        <v/>
      </c>
      <c r="M583" s="0" t="str">
        <f aca="false">IFERROR(IF(OR(HLOOKUP($A583,#REF!,11,FALSE())&gt;2,HLOOKUP($A583,#REF!,11,FALSE())&lt;-2),"",#REF!),"")</f>
        <v/>
      </c>
      <c r="N583" s="0" t="str">
        <f aca="false">IFERROR(IF(OR(HLOOKUP($A583,#REF!,12,FALSE())&gt;2,HLOOKUP($A583,#REF!,12,FALSE())&lt;-2),"",#REF!),"")</f>
        <v/>
      </c>
      <c r="O583" s="0" t="str">
        <f aca="false">IFERROR(IF(OR(HLOOKUP($A583,#REF!,13,FALSE())&gt;2,HLOOKUP($A583,#REF!,13,FALSE())&lt;-2),"",#REF!),"")</f>
        <v/>
      </c>
      <c r="P583" s="0" t="str">
        <f aca="false">IFERROR(IF(OR(HLOOKUP($A583,#REF!,14,FALSE())&gt;2,HLOOKUP($A583,#REF!,14,FALSE())&lt;-2),"",#REF!),"")</f>
        <v/>
      </c>
      <c r="Q583" s="0" t="str">
        <f aca="false">IFERROR(IF(OR(HLOOKUP($A583,#REF!,15,FALSE())&gt;2,HLOOKUP($A583,#REF!,15,FALSE())&lt;-2),"",#REF!),"")</f>
        <v/>
      </c>
      <c r="R583" s="0" t="str">
        <f aca="false">IFERROR(IF(OR(HLOOKUP($A583,#REF!,16,FALSE())&gt;2,HLOOKUP($A583,#REF!,16,FALSE())&lt;-2),"",#REF!),"")</f>
        <v/>
      </c>
      <c r="S583" s="0" t="str">
        <f aca="false">IFERROR(IF(OR(HLOOKUP($A583,#REF!,17,FALSE())&gt;2,HLOOKUP($A583,#REF!,17,FALSE())&lt;-2),"",#REF!),"")</f>
        <v/>
      </c>
      <c r="T583" s="0" t="str">
        <f aca="false">IFERROR(IF(OR(HLOOKUP($A583,#REF!,18,FALSE())&gt;2,HLOOKUP($A583,#REF!,18,FALSE())&lt;-2),"",#REF!),"")</f>
        <v/>
      </c>
      <c r="U583" s="0" t="str">
        <f aca="false">IFERROR(IF(OR(HLOOKUP($A583,#REF!,19,FALSE())&gt;2,HLOOKUP($A583,#REF!,19,FALSE())&lt;-2),"",#REF!),"")</f>
        <v/>
      </c>
      <c r="V583" s="0" t="n">
        <f aca="false">IFERROR(IF(AND(X583=0,Y583=0),0,1),0)</f>
        <v>1</v>
      </c>
      <c r="W583" s="3" t="str">
        <f aca="false">IFERROR(_xlfn.T.TEST(E583:M583,N583:U583,2,2),"")</f>
        <v/>
      </c>
      <c r="X583" s="0" t="str">
        <f aca="false">IFERROR(AVERAGE(E583:M583),"")</f>
        <v/>
      </c>
      <c r="Y583" s="0" t="str">
        <f aca="false">IFERROR(AVERAGE(N583:U583),"")</f>
        <v/>
      </c>
    </row>
    <row r="584" customFormat="false" ht="14.5" hidden="false" customHeight="false" outlineLevel="0" collapsed="false">
      <c r="A584" s="0" t="n">
        <v>592</v>
      </c>
      <c r="B584" s="0" t="s">
        <v>649</v>
      </c>
      <c r="C584" s="0" t="n">
        <v>35900</v>
      </c>
      <c r="D584" s="0" t="n">
        <v>663</v>
      </c>
      <c r="E584" s="0" t="str">
        <f aca="false">IFERROR(IF(OR(HLOOKUP($A584,#REF!,3,FALSE())&gt;2,HLOOKUP(A584,#REF!,3,FALSE())&lt;-2),"",#REF!),"")</f>
        <v/>
      </c>
      <c r="F584" s="0" t="str">
        <f aca="false">IFERROR(IF(OR(HLOOKUP($A584,#REF!,4,FALSE())&gt;2,HLOOKUP($A584,#REF!,4,FALSE())&lt;-2),"",#REF!),"")</f>
        <v/>
      </c>
      <c r="G584" s="0" t="str">
        <f aca="false">IFERROR(IF(OR(HLOOKUP($A584,#REF!,5,FALSE())&gt;2,HLOOKUP($A584,#REF!,5,FALSE())&lt;-2),"",#REF!),"")</f>
        <v/>
      </c>
      <c r="H584" s="0" t="str">
        <f aca="false">IFERROR(IF(OR(HLOOKUP($A584,#REF!,6,FALSE())&gt;2,HLOOKUP($A584,#REF!,6,FALSE())&lt;-2),"",#REF!),"")</f>
        <v/>
      </c>
      <c r="I584" s="0" t="str">
        <f aca="false">IFERROR(IF(OR(HLOOKUP($A584,#REF!,7,FALSE())&gt;2,HLOOKUP($A584,#REF!,7,FALSE())&lt;-2),"",#REF!),"")</f>
        <v/>
      </c>
      <c r="J584" s="0" t="str">
        <f aca="false">IFERROR(IF(OR(HLOOKUP($A584,#REF!,8,FALSE())&gt;2,HLOOKUP($A584,#REF!,8,FALSE())&lt;-2),"",#REF!),"")</f>
        <v/>
      </c>
      <c r="K584" s="0" t="str">
        <f aca="false">IFERROR(IF(OR(HLOOKUP($A584,#REF!,9,FALSE())&gt;2,HLOOKUP($A584,#REF!,9,FALSE())&lt;-2),"",#REF!),"")</f>
        <v/>
      </c>
      <c r="L584" s="0" t="str">
        <f aca="false">IFERROR(IF(OR(HLOOKUP($A584,#REF!,10,FALSE())&gt;2,HLOOKUP($A584,#REF!,10,FALSE())&lt;-2),"",#REF!),"")</f>
        <v/>
      </c>
      <c r="M584" s="0" t="str">
        <f aca="false">IFERROR(IF(OR(HLOOKUP($A584,#REF!,11,FALSE())&gt;2,HLOOKUP($A584,#REF!,11,FALSE())&lt;-2),"",#REF!),"")</f>
        <v/>
      </c>
      <c r="N584" s="0" t="str">
        <f aca="false">IFERROR(IF(OR(HLOOKUP($A584,#REF!,12,FALSE())&gt;2,HLOOKUP($A584,#REF!,12,FALSE())&lt;-2),"",#REF!),"")</f>
        <v/>
      </c>
      <c r="O584" s="0" t="str">
        <f aca="false">IFERROR(IF(OR(HLOOKUP($A584,#REF!,13,FALSE())&gt;2,HLOOKUP($A584,#REF!,13,FALSE())&lt;-2),"",#REF!),"")</f>
        <v/>
      </c>
      <c r="P584" s="0" t="str">
        <f aca="false">IFERROR(IF(OR(HLOOKUP($A584,#REF!,14,FALSE())&gt;2,HLOOKUP($A584,#REF!,14,FALSE())&lt;-2),"",#REF!),"")</f>
        <v/>
      </c>
      <c r="Q584" s="0" t="str">
        <f aca="false">IFERROR(IF(OR(HLOOKUP($A584,#REF!,15,FALSE())&gt;2,HLOOKUP($A584,#REF!,15,FALSE())&lt;-2),"",#REF!),"")</f>
        <v/>
      </c>
      <c r="R584" s="0" t="str">
        <f aca="false">IFERROR(IF(OR(HLOOKUP($A584,#REF!,16,FALSE())&gt;2,HLOOKUP($A584,#REF!,16,FALSE())&lt;-2),"",#REF!),"")</f>
        <v/>
      </c>
      <c r="S584" s="0" t="str">
        <f aca="false">IFERROR(IF(OR(HLOOKUP($A584,#REF!,17,FALSE())&gt;2,HLOOKUP($A584,#REF!,17,FALSE())&lt;-2),"",#REF!),"")</f>
        <v/>
      </c>
      <c r="T584" s="0" t="str">
        <f aca="false">IFERROR(IF(OR(HLOOKUP($A584,#REF!,18,FALSE())&gt;2,HLOOKUP($A584,#REF!,18,FALSE())&lt;-2),"",#REF!),"")</f>
        <v/>
      </c>
      <c r="U584" s="0" t="str">
        <f aca="false">IFERROR(IF(OR(HLOOKUP($A584,#REF!,19,FALSE())&gt;2,HLOOKUP($A584,#REF!,19,FALSE())&lt;-2),"",#REF!),"")</f>
        <v/>
      </c>
      <c r="V584" s="0" t="n">
        <f aca="false">IFERROR(IF(AND(X584=0,Y584=0),0,1),0)</f>
        <v>1</v>
      </c>
      <c r="W584" s="3" t="str">
        <f aca="false">IFERROR(_xlfn.T.TEST(E584:M584,N584:U584,2,2),"")</f>
        <v/>
      </c>
      <c r="X584" s="0" t="str">
        <f aca="false">IFERROR(AVERAGE(E584:M584),"")</f>
        <v/>
      </c>
      <c r="Y584" s="0" t="str">
        <f aca="false">IFERROR(AVERAGE(N584:U584),"")</f>
        <v/>
      </c>
    </row>
    <row r="585" customFormat="false" ht="14.5" hidden="false" customHeight="false" outlineLevel="0" collapsed="false">
      <c r="A585" s="0" t="n">
        <v>593</v>
      </c>
      <c r="B585" s="0" t="s">
        <v>650</v>
      </c>
      <c r="C585" s="0" t="n">
        <v>16300</v>
      </c>
      <c r="D585" s="0" t="n">
        <v>385</v>
      </c>
      <c r="E585" s="0" t="str">
        <f aca="false">IFERROR(IF(OR(HLOOKUP($A585,#REF!,3,FALSE())&gt;2,HLOOKUP(A585,#REF!,3,FALSE())&lt;-2),"",#REF!),"")</f>
        <v/>
      </c>
      <c r="F585" s="0" t="str">
        <f aca="false">IFERROR(IF(OR(HLOOKUP($A585,#REF!,4,FALSE())&gt;2,HLOOKUP($A585,#REF!,4,FALSE())&lt;-2),"",#REF!),"")</f>
        <v/>
      </c>
      <c r="G585" s="0" t="str">
        <f aca="false">IFERROR(IF(OR(HLOOKUP($A585,#REF!,5,FALSE())&gt;2,HLOOKUP($A585,#REF!,5,FALSE())&lt;-2),"",#REF!),"")</f>
        <v/>
      </c>
      <c r="H585" s="0" t="str">
        <f aca="false">IFERROR(IF(OR(HLOOKUP($A585,#REF!,6,FALSE())&gt;2,HLOOKUP($A585,#REF!,6,FALSE())&lt;-2),"",#REF!),"")</f>
        <v/>
      </c>
      <c r="I585" s="0" t="str">
        <f aca="false">IFERROR(IF(OR(HLOOKUP($A585,#REF!,7,FALSE())&gt;2,HLOOKUP($A585,#REF!,7,FALSE())&lt;-2),"",#REF!),"")</f>
        <v/>
      </c>
      <c r="J585" s="0" t="str">
        <f aca="false">IFERROR(IF(OR(HLOOKUP($A585,#REF!,8,FALSE())&gt;2,HLOOKUP($A585,#REF!,8,FALSE())&lt;-2),"",#REF!),"")</f>
        <v/>
      </c>
      <c r="K585" s="0" t="str">
        <f aca="false">IFERROR(IF(OR(HLOOKUP($A585,#REF!,9,FALSE())&gt;2,HLOOKUP($A585,#REF!,9,FALSE())&lt;-2),"",#REF!),"")</f>
        <v/>
      </c>
      <c r="L585" s="0" t="str">
        <f aca="false">IFERROR(IF(OR(HLOOKUP($A585,#REF!,10,FALSE())&gt;2,HLOOKUP($A585,#REF!,10,FALSE())&lt;-2),"",#REF!),"")</f>
        <v/>
      </c>
      <c r="M585" s="0" t="str">
        <f aca="false">IFERROR(IF(OR(HLOOKUP($A585,#REF!,11,FALSE())&gt;2,HLOOKUP($A585,#REF!,11,FALSE())&lt;-2),"",#REF!),"")</f>
        <v/>
      </c>
      <c r="N585" s="0" t="str">
        <f aca="false">IFERROR(IF(OR(HLOOKUP($A585,#REF!,12,FALSE())&gt;2,HLOOKUP($A585,#REF!,12,FALSE())&lt;-2),"",#REF!),"")</f>
        <v/>
      </c>
      <c r="O585" s="0" t="str">
        <f aca="false">IFERROR(IF(OR(HLOOKUP($A585,#REF!,13,FALSE())&gt;2,HLOOKUP($A585,#REF!,13,FALSE())&lt;-2),"",#REF!),"")</f>
        <v/>
      </c>
      <c r="P585" s="0" t="str">
        <f aca="false">IFERROR(IF(OR(HLOOKUP($A585,#REF!,14,FALSE())&gt;2,HLOOKUP($A585,#REF!,14,FALSE())&lt;-2),"",#REF!),"")</f>
        <v/>
      </c>
      <c r="Q585" s="0" t="str">
        <f aca="false">IFERROR(IF(OR(HLOOKUP($A585,#REF!,15,FALSE())&gt;2,HLOOKUP($A585,#REF!,15,FALSE())&lt;-2),"",#REF!),"")</f>
        <v/>
      </c>
      <c r="R585" s="0" t="str">
        <f aca="false">IFERROR(IF(OR(HLOOKUP($A585,#REF!,16,FALSE())&gt;2,HLOOKUP($A585,#REF!,16,FALSE())&lt;-2),"",#REF!),"")</f>
        <v/>
      </c>
      <c r="S585" s="0" t="str">
        <f aca="false">IFERROR(IF(OR(HLOOKUP($A585,#REF!,17,FALSE())&gt;2,HLOOKUP($A585,#REF!,17,FALSE())&lt;-2),"",#REF!),"")</f>
        <v/>
      </c>
      <c r="T585" s="0" t="str">
        <f aca="false">IFERROR(IF(OR(HLOOKUP($A585,#REF!,18,FALSE())&gt;2,HLOOKUP($A585,#REF!,18,FALSE())&lt;-2),"",#REF!),"")</f>
        <v/>
      </c>
      <c r="U585" s="0" t="str">
        <f aca="false">IFERROR(IF(OR(HLOOKUP($A585,#REF!,19,FALSE())&gt;2,HLOOKUP($A585,#REF!,19,FALSE())&lt;-2),"",#REF!),"")</f>
        <v/>
      </c>
      <c r="V585" s="0" t="n">
        <f aca="false">IFERROR(IF(AND(X585=0,Y585=0),0,1),0)</f>
        <v>1</v>
      </c>
      <c r="W585" s="3" t="str">
        <f aca="false">IFERROR(_xlfn.T.TEST(E585:M585,N585:U585,2,2),"")</f>
        <v/>
      </c>
      <c r="X585" s="0" t="str">
        <f aca="false">IFERROR(AVERAGE(E585:M585),"")</f>
        <v/>
      </c>
      <c r="Y585" s="0" t="str">
        <f aca="false">IFERROR(AVERAGE(N585:U585),"")</f>
        <v/>
      </c>
    </row>
    <row r="586" customFormat="false" ht="14.5" hidden="false" customHeight="false" outlineLevel="0" collapsed="false">
      <c r="A586" s="0" t="n">
        <v>594</v>
      </c>
      <c r="B586" s="0" t="s">
        <v>651</v>
      </c>
      <c r="C586" s="0" t="n">
        <v>54400</v>
      </c>
      <c r="D586" s="0" t="n">
        <v>367</v>
      </c>
      <c r="E586" s="0" t="str">
        <f aca="false">IFERROR(IF(OR(HLOOKUP($A586,#REF!,3,FALSE())&gt;2,HLOOKUP(A586,#REF!,3,FALSE())&lt;-2),"",#REF!),"")</f>
        <v/>
      </c>
      <c r="F586" s="0" t="str">
        <f aca="false">IFERROR(IF(OR(HLOOKUP($A586,#REF!,4,FALSE())&gt;2,HLOOKUP($A586,#REF!,4,FALSE())&lt;-2),"",#REF!),"")</f>
        <v/>
      </c>
      <c r="G586" s="0" t="str">
        <f aca="false">IFERROR(IF(OR(HLOOKUP($A586,#REF!,5,FALSE())&gt;2,HLOOKUP($A586,#REF!,5,FALSE())&lt;-2),"",#REF!),"")</f>
        <v/>
      </c>
      <c r="H586" s="0" t="str">
        <f aca="false">IFERROR(IF(OR(HLOOKUP($A586,#REF!,6,FALSE())&gt;2,HLOOKUP($A586,#REF!,6,FALSE())&lt;-2),"",#REF!),"")</f>
        <v/>
      </c>
      <c r="I586" s="0" t="str">
        <f aca="false">IFERROR(IF(OR(HLOOKUP($A586,#REF!,7,FALSE())&gt;2,HLOOKUP($A586,#REF!,7,FALSE())&lt;-2),"",#REF!),"")</f>
        <v/>
      </c>
      <c r="J586" s="0" t="str">
        <f aca="false">IFERROR(IF(OR(HLOOKUP($A586,#REF!,8,FALSE())&gt;2,HLOOKUP($A586,#REF!,8,FALSE())&lt;-2),"",#REF!),"")</f>
        <v/>
      </c>
      <c r="K586" s="0" t="str">
        <f aca="false">IFERROR(IF(OR(HLOOKUP($A586,#REF!,9,FALSE())&gt;2,HLOOKUP($A586,#REF!,9,FALSE())&lt;-2),"",#REF!),"")</f>
        <v/>
      </c>
      <c r="L586" s="0" t="str">
        <f aca="false">IFERROR(IF(OR(HLOOKUP($A586,#REF!,10,FALSE())&gt;2,HLOOKUP($A586,#REF!,10,FALSE())&lt;-2),"",#REF!),"")</f>
        <v/>
      </c>
      <c r="M586" s="0" t="str">
        <f aca="false">IFERROR(IF(OR(HLOOKUP($A586,#REF!,11,FALSE())&gt;2,HLOOKUP($A586,#REF!,11,FALSE())&lt;-2),"",#REF!),"")</f>
        <v/>
      </c>
      <c r="N586" s="0" t="str">
        <f aca="false">IFERROR(IF(OR(HLOOKUP($A586,#REF!,12,FALSE())&gt;2,HLOOKUP($A586,#REF!,12,FALSE())&lt;-2),"",#REF!),"")</f>
        <v/>
      </c>
      <c r="O586" s="0" t="str">
        <f aca="false">IFERROR(IF(OR(HLOOKUP($A586,#REF!,13,FALSE())&gt;2,HLOOKUP($A586,#REF!,13,FALSE())&lt;-2),"",#REF!),"")</f>
        <v/>
      </c>
      <c r="P586" s="0" t="str">
        <f aca="false">IFERROR(IF(OR(HLOOKUP($A586,#REF!,14,FALSE())&gt;2,HLOOKUP($A586,#REF!,14,FALSE())&lt;-2),"",#REF!),"")</f>
        <v/>
      </c>
      <c r="Q586" s="0" t="str">
        <f aca="false">IFERROR(IF(OR(HLOOKUP($A586,#REF!,15,FALSE())&gt;2,HLOOKUP($A586,#REF!,15,FALSE())&lt;-2),"",#REF!),"")</f>
        <v/>
      </c>
      <c r="R586" s="0" t="str">
        <f aca="false">IFERROR(IF(OR(HLOOKUP($A586,#REF!,16,FALSE())&gt;2,HLOOKUP($A586,#REF!,16,FALSE())&lt;-2),"",#REF!),"")</f>
        <v/>
      </c>
      <c r="S586" s="0" t="str">
        <f aca="false">IFERROR(IF(OR(HLOOKUP($A586,#REF!,17,FALSE())&gt;2,HLOOKUP($A586,#REF!,17,FALSE())&lt;-2),"",#REF!),"")</f>
        <v/>
      </c>
      <c r="T586" s="0" t="str">
        <f aca="false">IFERROR(IF(OR(HLOOKUP($A586,#REF!,18,FALSE())&gt;2,HLOOKUP($A586,#REF!,18,FALSE())&lt;-2),"",#REF!),"")</f>
        <v/>
      </c>
      <c r="U586" s="0" t="str">
        <f aca="false">IFERROR(IF(OR(HLOOKUP($A586,#REF!,19,FALSE())&gt;2,HLOOKUP($A586,#REF!,19,FALSE())&lt;-2),"",#REF!),"")</f>
        <v/>
      </c>
      <c r="V586" s="0" t="n">
        <f aca="false">IFERROR(IF(AND(X586=0,Y586=0),0,1),0)</f>
        <v>1</v>
      </c>
      <c r="W586" s="3" t="str">
        <f aca="false">IFERROR(_xlfn.T.TEST(E586:M586,N586:U586,2,2),"")</f>
        <v/>
      </c>
      <c r="X586" s="0" t="str">
        <f aca="false">IFERROR(AVERAGE(E586:M586),"")</f>
        <v/>
      </c>
      <c r="Y586" s="0" t="str">
        <f aca="false">IFERROR(AVERAGE(N586:U586),"")</f>
        <v/>
      </c>
    </row>
    <row r="587" customFormat="false" ht="14.5" hidden="false" customHeight="false" outlineLevel="0" collapsed="false">
      <c r="A587" s="0" t="n">
        <v>595</v>
      </c>
      <c r="B587" s="0" t="s">
        <v>652</v>
      </c>
      <c r="C587" s="0" t="n">
        <v>115200</v>
      </c>
      <c r="D587" s="0" t="n">
        <v>1083</v>
      </c>
      <c r="E587" s="0" t="str">
        <f aca="false">IFERROR(IF(OR(HLOOKUP($A587,#REF!,3,FALSE())&gt;2,HLOOKUP(A587,#REF!,3,FALSE())&lt;-2),"",#REF!),"")</f>
        <v/>
      </c>
      <c r="F587" s="0" t="str">
        <f aca="false">IFERROR(IF(OR(HLOOKUP($A587,#REF!,4,FALSE())&gt;2,HLOOKUP($A587,#REF!,4,FALSE())&lt;-2),"",#REF!),"")</f>
        <v/>
      </c>
      <c r="G587" s="0" t="str">
        <f aca="false">IFERROR(IF(OR(HLOOKUP($A587,#REF!,5,FALSE())&gt;2,HLOOKUP($A587,#REF!,5,FALSE())&lt;-2),"",#REF!),"")</f>
        <v/>
      </c>
      <c r="H587" s="0" t="str">
        <f aca="false">IFERROR(IF(OR(HLOOKUP($A587,#REF!,6,FALSE())&gt;2,HLOOKUP($A587,#REF!,6,FALSE())&lt;-2),"",#REF!),"")</f>
        <v/>
      </c>
      <c r="I587" s="0" t="str">
        <f aca="false">IFERROR(IF(OR(HLOOKUP($A587,#REF!,7,FALSE())&gt;2,HLOOKUP($A587,#REF!,7,FALSE())&lt;-2),"",#REF!),"")</f>
        <v/>
      </c>
      <c r="J587" s="0" t="str">
        <f aca="false">IFERROR(IF(OR(HLOOKUP($A587,#REF!,8,FALSE())&gt;2,HLOOKUP($A587,#REF!,8,FALSE())&lt;-2),"",#REF!),"")</f>
        <v/>
      </c>
      <c r="K587" s="0" t="str">
        <f aca="false">IFERROR(IF(OR(HLOOKUP($A587,#REF!,9,FALSE())&gt;2,HLOOKUP($A587,#REF!,9,FALSE())&lt;-2),"",#REF!),"")</f>
        <v/>
      </c>
      <c r="L587" s="0" t="str">
        <f aca="false">IFERROR(IF(OR(HLOOKUP($A587,#REF!,10,FALSE())&gt;2,HLOOKUP($A587,#REF!,10,FALSE())&lt;-2),"",#REF!),"")</f>
        <v/>
      </c>
      <c r="M587" s="0" t="str">
        <f aca="false">IFERROR(IF(OR(HLOOKUP($A587,#REF!,11,FALSE())&gt;2,HLOOKUP($A587,#REF!,11,FALSE())&lt;-2),"",#REF!),"")</f>
        <v/>
      </c>
      <c r="N587" s="0" t="str">
        <f aca="false">IFERROR(IF(OR(HLOOKUP($A587,#REF!,12,FALSE())&gt;2,HLOOKUP($A587,#REF!,12,FALSE())&lt;-2),"",#REF!),"")</f>
        <v/>
      </c>
      <c r="O587" s="0" t="str">
        <f aca="false">IFERROR(IF(OR(HLOOKUP($A587,#REF!,13,FALSE())&gt;2,HLOOKUP($A587,#REF!,13,FALSE())&lt;-2),"",#REF!),"")</f>
        <v/>
      </c>
      <c r="P587" s="0" t="str">
        <f aca="false">IFERROR(IF(OR(HLOOKUP($A587,#REF!,14,FALSE())&gt;2,HLOOKUP($A587,#REF!,14,FALSE())&lt;-2),"",#REF!),"")</f>
        <v/>
      </c>
      <c r="Q587" s="0" t="str">
        <f aca="false">IFERROR(IF(OR(HLOOKUP($A587,#REF!,15,FALSE())&gt;2,HLOOKUP($A587,#REF!,15,FALSE())&lt;-2),"",#REF!),"")</f>
        <v/>
      </c>
      <c r="R587" s="0" t="str">
        <f aca="false">IFERROR(IF(OR(HLOOKUP($A587,#REF!,16,FALSE())&gt;2,HLOOKUP($A587,#REF!,16,FALSE())&lt;-2),"",#REF!),"")</f>
        <v/>
      </c>
      <c r="S587" s="0" t="str">
        <f aca="false">IFERROR(IF(OR(HLOOKUP($A587,#REF!,17,FALSE())&gt;2,HLOOKUP($A587,#REF!,17,FALSE())&lt;-2),"",#REF!),"")</f>
        <v/>
      </c>
      <c r="T587" s="0" t="str">
        <f aca="false">IFERROR(IF(OR(HLOOKUP($A587,#REF!,18,FALSE())&gt;2,HLOOKUP($A587,#REF!,18,FALSE())&lt;-2),"",#REF!),"")</f>
        <v/>
      </c>
      <c r="U587" s="0" t="str">
        <f aca="false">IFERROR(IF(OR(HLOOKUP($A587,#REF!,19,FALSE())&gt;2,HLOOKUP($A587,#REF!,19,FALSE())&lt;-2),"",#REF!),"")</f>
        <v/>
      </c>
      <c r="V587" s="0" t="n">
        <f aca="false">IFERROR(IF(AND(X587=0,Y587=0),0,1),0)</f>
        <v>1</v>
      </c>
      <c r="W587" s="3" t="str">
        <f aca="false">IFERROR(_xlfn.T.TEST(E587:M587,N587:U587,2,2),"")</f>
        <v/>
      </c>
      <c r="X587" s="0" t="str">
        <f aca="false">IFERROR(AVERAGE(E587:M587),"")</f>
        <v/>
      </c>
      <c r="Y587" s="0" t="str">
        <f aca="false">IFERROR(AVERAGE(N587:U587),"")</f>
        <v/>
      </c>
    </row>
    <row r="588" customFormat="false" ht="14.5" hidden="false" customHeight="false" outlineLevel="0" collapsed="false">
      <c r="A588" s="0" t="n">
        <v>596</v>
      </c>
      <c r="B588" s="0" t="s">
        <v>653</v>
      </c>
      <c r="C588" s="0" t="n">
        <v>52600</v>
      </c>
      <c r="D588" s="0" t="n">
        <v>904</v>
      </c>
      <c r="E588" s="0" t="str">
        <f aca="false">IFERROR(IF(OR(HLOOKUP($A588,#REF!,3,FALSE())&gt;2,HLOOKUP(A588,#REF!,3,FALSE())&lt;-2),"",#REF!),"")</f>
        <v/>
      </c>
      <c r="F588" s="0" t="str">
        <f aca="false">IFERROR(IF(OR(HLOOKUP($A588,#REF!,4,FALSE())&gt;2,HLOOKUP($A588,#REF!,4,FALSE())&lt;-2),"",#REF!),"")</f>
        <v/>
      </c>
      <c r="G588" s="0" t="str">
        <f aca="false">IFERROR(IF(OR(HLOOKUP($A588,#REF!,5,FALSE())&gt;2,HLOOKUP($A588,#REF!,5,FALSE())&lt;-2),"",#REF!),"")</f>
        <v/>
      </c>
      <c r="H588" s="0" t="str">
        <f aca="false">IFERROR(IF(OR(HLOOKUP($A588,#REF!,6,FALSE())&gt;2,HLOOKUP($A588,#REF!,6,FALSE())&lt;-2),"",#REF!),"")</f>
        <v/>
      </c>
      <c r="I588" s="0" t="str">
        <f aca="false">IFERROR(IF(OR(HLOOKUP($A588,#REF!,7,FALSE())&gt;2,HLOOKUP($A588,#REF!,7,FALSE())&lt;-2),"",#REF!),"")</f>
        <v/>
      </c>
      <c r="J588" s="0" t="str">
        <f aca="false">IFERROR(IF(OR(HLOOKUP($A588,#REF!,8,FALSE())&gt;2,HLOOKUP($A588,#REF!,8,FALSE())&lt;-2),"",#REF!),"")</f>
        <v/>
      </c>
      <c r="K588" s="0" t="str">
        <f aca="false">IFERROR(IF(OR(HLOOKUP($A588,#REF!,9,FALSE())&gt;2,HLOOKUP($A588,#REF!,9,FALSE())&lt;-2),"",#REF!),"")</f>
        <v/>
      </c>
      <c r="L588" s="0" t="str">
        <f aca="false">IFERROR(IF(OR(HLOOKUP($A588,#REF!,10,FALSE())&gt;2,HLOOKUP($A588,#REF!,10,FALSE())&lt;-2),"",#REF!),"")</f>
        <v/>
      </c>
      <c r="M588" s="0" t="str">
        <f aca="false">IFERROR(IF(OR(HLOOKUP($A588,#REF!,11,FALSE())&gt;2,HLOOKUP($A588,#REF!,11,FALSE())&lt;-2),"",#REF!),"")</f>
        <v/>
      </c>
      <c r="N588" s="0" t="str">
        <f aca="false">IFERROR(IF(OR(HLOOKUP($A588,#REF!,12,FALSE())&gt;2,HLOOKUP($A588,#REF!,12,FALSE())&lt;-2),"",#REF!),"")</f>
        <v/>
      </c>
      <c r="O588" s="0" t="str">
        <f aca="false">IFERROR(IF(OR(HLOOKUP($A588,#REF!,13,FALSE())&gt;2,HLOOKUP($A588,#REF!,13,FALSE())&lt;-2),"",#REF!),"")</f>
        <v/>
      </c>
      <c r="P588" s="0" t="str">
        <f aca="false">IFERROR(IF(OR(HLOOKUP($A588,#REF!,14,FALSE())&gt;2,HLOOKUP($A588,#REF!,14,FALSE())&lt;-2),"",#REF!),"")</f>
        <v/>
      </c>
      <c r="Q588" s="0" t="str">
        <f aca="false">IFERROR(IF(OR(HLOOKUP($A588,#REF!,15,FALSE())&gt;2,HLOOKUP($A588,#REF!,15,FALSE())&lt;-2),"",#REF!),"")</f>
        <v/>
      </c>
      <c r="R588" s="0" t="str">
        <f aca="false">IFERROR(IF(OR(HLOOKUP($A588,#REF!,16,FALSE())&gt;2,HLOOKUP($A588,#REF!,16,FALSE())&lt;-2),"",#REF!),"")</f>
        <v/>
      </c>
      <c r="S588" s="0" t="str">
        <f aca="false">IFERROR(IF(OR(HLOOKUP($A588,#REF!,17,FALSE())&gt;2,HLOOKUP($A588,#REF!,17,FALSE())&lt;-2),"",#REF!),"")</f>
        <v/>
      </c>
      <c r="T588" s="0" t="str">
        <f aca="false">IFERROR(IF(OR(HLOOKUP($A588,#REF!,18,FALSE())&gt;2,HLOOKUP($A588,#REF!,18,FALSE())&lt;-2),"",#REF!),"")</f>
        <v/>
      </c>
      <c r="U588" s="0" t="str">
        <f aca="false">IFERROR(IF(OR(HLOOKUP($A588,#REF!,19,FALSE())&gt;2,HLOOKUP($A588,#REF!,19,FALSE())&lt;-2),"",#REF!),"")</f>
        <v/>
      </c>
      <c r="V588" s="0" t="n">
        <f aca="false">IFERROR(IF(AND(X588=0,Y588=0),0,1),0)</f>
        <v>1</v>
      </c>
      <c r="W588" s="3" t="str">
        <f aca="false">IFERROR(_xlfn.T.TEST(E588:M588,N588:U588,2,2),"")</f>
        <v/>
      </c>
      <c r="X588" s="0" t="str">
        <f aca="false">IFERROR(AVERAGE(E588:M588),"")</f>
        <v/>
      </c>
      <c r="Y588" s="0" t="str">
        <f aca="false">IFERROR(AVERAGE(N588:U588),"")</f>
        <v/>
      </c>
    </row>
    <row r="589" customFormat="false" ht="14.5" hidden="false" customHeight="false" outlineLevel="0" collapsed="false">
      <c r="A589" s="0" t="n">
        <v>597</v>
      </c>
      <c r="B589" s="0" t="s">
        <v>654</v>
      </c>
      <c r="C589" s="0" t="n">
        <v>31900</v>
      </c>
      <c r="D589" s="0" t="n">
        <v>589</v>
      </c>
      <c r="E589" s="0" t="str">
        <f aca="false">IFERROR(IF(OR(HLOOKUP($A589,#REF!,3,FALSE())&gt;2,HLOOKUP(A589,#REF!,3,FALSE())&lt;-2),"",#REF!),"")</f>
        <v/>
      </c>
      <c r="F589" s="0" t="str">
        <f aca="false">IFERROR(IF(OR(HLOOKUP($A589,#REF!,4,FALSE())&gt;2,HLOOKUP($A589,#REF!,4,FALSE())&lt;-2),"",#REF!),"")</f>
        <v/>
      </c>
      <c r="G589" s="0" t="str">
        <f aca="false">IFERROR(IF(OR(HLOOKUP($A589,#REF!,5,FALSE())&gt;2,HLOOKUP($A589,#REF!,5,FALSE())&lt;-2),"",#REF!),"")</f>
        <v/>
      </c>
      <c r="H589" s="0" t="str">
        <f aca="false">IFERROR(IF(OR(HLOOKUP($A589,#REF!,6,FALSE())&gt;2,HLOOKUP($A589,#REF!,6,FALSE())&lt;-2),"",#REF!),"")</f>
        <v/>
      </c>
      <c r="I589" s="0" t="str">
        <f aca="false">IFERROR(IF(OR(HLOOKUP($A589,#REF!,7,FALSE())&gt;2,HLOOKUP($A589,#REF!,7,FALSE())&lt;-2),"",#REF!),"")</f>
        <v/>
      </c>
      <c r="J589" s="0" t="str">
        <f aca="false">IFERROR(IF(OR(HLOOKUP($A589,#REF!,8,FALSE())&gt;2,HLOOKUP($A589,#REF!,8,FALSE())&lt;-2),"",#REF!),"")</f>
        <v/>
      </c>
      <c r="K589" s="0" t="str">
        <f aca="false">IFERROR(IF(OR(HLOOKUP($A589,#REF!,9,FALSE())&gt;2,HLOOKUP($A589,#REF!,9,FALSE())&lt;-2),"",#REF!),"")</f>
        <v/>
      </c>
      <c r="L589" s="0" t="str">
        <f aca="false">IFERROR(IF(OR(HLOOKUP($A589,#REF!,10,FALSE())&gt;2,HLOOKUP($A589,#REF!,10,FALSE())&lt;-2),"",#REF!),"")</f>
        <v/>
      </c>
      <c r="M589" s="0" t="str">
        <f aca="false">IFERROR(IF(OR(HLOOKUP($A589,#REF!,11,FALSE())&gt;2,HLOOKUP($A589,#REF!,11,FALSE())&lt;-2),"",#REF!),"")</f>
        <v/>
      </c>
      <c r="N589" s="0" t="str">
        <f aca="false">IFERROR(IF(OR(HLOOKUP($A589,#REF!,12,FALSE())&gt;2,HLOOKUP($A589,#REF!,12,FALSE())&lt;-2),"",#REF!),"")</f>
        <v/>
      </c>
      <c r="O589" s="0" t="str">
        <f aca="false">IFERROR(IF(OR(HLOOKUP($A589,#REF!,13,FALSE())&gt;2,HLOOKUP($A589,#REF!,13,FALSE())&lt;-2),"",#REF!),"")</f>
        <v/>
      </c>
      <c r="P589" s="0" t="str">
        <f aca="false">IFERROR(IF(OR(HLOOKUP($A589,#REF!,14,FALSE())&gt;2,HLOOKUP($A589,#REF!,14,FALSE())&lt;-2),"",#REF!),"")</f>
        <v/>
      </c>
      <c r="Q589" s="0" t="str">
        <f aca="false">IFERROR(IF(OR(HLOOKUP($A589,#REF!,15,FALSE())&gt;2,HLOOKUP($A589,#REF!,15,FALSE())&lt;-2),"",#REF!),"")</f>
        <v/>
      </c>
      <c r="R589" s="0" t="str">
        <f aca="false">IFERROR(IF(OR(HLOOKUP($A589,#REF!,16,FALSE())&gt;2,HLOOKUP($A589,#REF!,16,FALSE())&lt;-2),"",#REF!),"")</f>
        <v/>
      </c>
      <c r="S589" s="0" t="str">
        <f aca="false">IFERROR(IF(OR(HLOOKUP($A589,#REF!,17,FALSE())&gt;2,HLOOKUP($A589,#REF!,17,FALSE())&lt;-2),"",#REF!),"")</f>
        <v/>
      </c>
      <c r="T589" s="0" t="str">
        <f aca="false">IFERROR(IF(OR(HLOOKUP($A589,#REF!,18,FALSE())&gt;2,HLOOKUP($A589,#REF!,18,FALSE())&lt;-2),"",#REF!),"")</f>
        <v/>
      </c>
      <c r="U589" s="0" t="str">
        <f aca="false">IFERROR(IF(OR(HLOOKUP($A589,#REF!,19,FALSE())&gt;2,HLOOKUP($A589,#REF!,19,FALSE())&lt;-2),"",#REF!),"")</f>
        <v/>
      </c>
      <c r="V589" s="0" t="n">
        <f aca="false">IFERROR(IF(AND(X589=0,Y589=0),0,1),0)</f>
        <v>1</v>
      </c>
      <c r="W589" s="3" t="str">
        <f aca="false">IFERROR(_xlfn.T.TEST(E589:M589,N589:U589,2,2),"")</f>
        <v/>
      </c>
      <c r="X589" s="0" t="str">
        <f aca="false">IFERROR(AVERAGE(E589:M589),"")</f>
        <v/>
      </c>
      <c r="Y589" s="0" t="str">
        <f aca="false">IFERROR(AVERAGE(N589:U589),"")</f>
        <v/>
      </c>
    </row>
    <row r="590" customFormat="false" ht="14.5" hidden="false" customHeight="false" outlineLevel="0" collapsed="false">
      <c r="A590" s="0" t="n">
        <v>598</v>
      </c>
      <c r="B590" s="0" t="s">
        <v>655</v>
      </c>
      <c r="C590" s="0" t="n">
        <v>13300</v>
      </c>
      <c r="D590" s="0" t="n">
        <v>1018</v>
      </c>
      <c r="E590" s="0" t="str">
        <f aca="false">IFERROR(IF(OR(HLOOKUP($A590,#REF!,3,FALSE())&gt;2,HLOOKUP(A590,#REF!,3,FALSE())&lt;-2),"",#REF!),"")</f>
        <v/>
      </c>
      <c r="F590" s="0" t="str">
        <f aca="false">IFERROR(IF(OR(HLOOKUP($A590,#REF!,4,FALSE())&gt;2,HLOOKUP($A590,#REF!,4,FALSE())&lt;-2),"",#REF!),"")</f>
        <v/>
      </c>
      <c r="G590" s="0" t="str">
        <f aca="false">IFERROR(IF(OR(HLOOKUP($A590,#REF!,5,FALSE())&gt;2,HLOOKUP($A590,#REF!,5,FALSE())&lt;-2),"",#REF!),"")</f>
        <v/>
      </c>
      <c r="H590" s="0" t="str">
        <f aca="false">IFERROR(IF(OR(HLOOKUP($A590,#REF!,6,FALSE())&gt;2,HLOOKUP($A590,#REF!,6,FALSE())&lt;-2),"",#REF!),"")</f>
        <v/>
      </c>
      <c r="I590" s="0" t="str">
        <f aca="false">IFERROR(IF(OR(HLOOKUP($A590,#REF!,7,FALSE())&gt;2,HLOOKUP($A590,#REF!,7,FALSE())&lt;-2),"",#REF!),"")</f>
        <v/>
      </c>
      <c r="J590" s="0" t="str">
        <f aca="false">IFERROR(IF(OR(HLOOKUP($A590,#REF!,8,FALSE())&gt;2,HLOOKUP($A590,#REF!,8,FALSE())&lt;-2),"",#REF!),"")</f>
        <v/>
      </c>
      <c r="K590" s="0" t="str">
        <f aca="false">IFERROR(IF(OR(HLOOKUP($A590,#REF!,9,FALSE())&gt;2,HLOOKUP($A590,#REF!,9,FALSE())&lt;-2),"",#REF!),"")</f>
        <v/>
      </c>
      <c r="L590" s="0" t="str">
        <f aca="false">IFERROR(IF(OR(HLOOKUP($A590,#REF!,10,FALSE())&gt;2,HLOOKUP($A590,#REF!,10,FALSE())&lt;-2),"",#REF!),"")</f>
        <v/>
      </c>
      <c r="M590" s="0" t="str">
        <f aca="false">IFERROR(IF(OR(HLOOKUP($A590,#REF!,11,FALSE())&gt;2,HLOOKUP($A590,#REF!,11,FALSE())&lt;-2),"",#REF!),"")</f>
        <v/>
      </c>
      <c r="N590" s="0" t="str">
        <f aca="false">IFERROR(IF(OR(HLOOKUP($A590,#REF!,12,FALSE())&gt;2,HLOOKUP($A590,#REF!,12,FALSE())&lt;-2),"",#REF!),"")</f>
        <v/>
      </c>
      <c r="O590" s="0" t="str">
        <f aca="false">IFERROR(IF(OR(HLOOKUP($A590,#REF!,13,FALSE())&gt;2,HLOOKUP($A590,#REF!,13,FALSE())&lt;-2),"",#REF!),"")</f>
        <v/>
      </c>
      <c r="P590" s="0" t="str">
        <f aca="false">IFERROR(IF(OR(HLOOKUP($A590,#REF!,14,FALSE())&gt;2,HLOOKUP($A590,#REF!,14,FALSE())&lt;-2),"",#REF!),"")</f>
        <v/>
      </c>
      <c r="Q590" s="0" t="str">
        <f aca="false">IFERROR(IF(OR(HLOOKUP($A590,#REF!,15,FALSE())&gt;2,HLOOKUP($A590,#REF!,15,FALSE())&lt;-2),"",#REF!),"")</f>
        <v/>
      </c>
      <c r="R590" s="0" t="str">
        <f aca="false">IFERROR(IF(OR(HLOOKUP($A590,#REF!,16,FALSE())&gt;2,HLOOKUP($A590,#REF!,16,FALSE())&lt;-2),"",#REF!),"")</f>
        <v/>
      </c>
      <c r="S590" s="0" t="str">
        <f aca="false">IFERROR(IF(OR(HLOOKUP($A590,#REF!,17,FALSE())&gt;2,HLOOKUP($A590,#REF!,17,FALSE())&lt;-2),"",#REF!),"")</f>
        <v/>
      </c>
      <c r="T590" s="0" t="str">
        <f aca="false">IFERROR(IF(OR(HLOOKUP($A590,#REF!,18,FALSE())&gt;2,HLOOKUP($A590,#REF!,18,FALSE())&lt;-2),"",#REF!),"")</f>
        <v/>
      </c>
      <c r="U590" s="0" t="str">
        <f aca="false">IFERROR(IF(OR(HLOOKUP($A590,#REF!,19,FALSE())&gt;2,HLOOKUP($A590,#REF!,19,FALSE())&lt;-2),"",#REF!),"")</f>
        <v/>
      </c>
      <c r="V590" s="0" t="n">
        <f aca="false">IFERROR(IF(AND(X590=0,Y590=0),0,1),0)</f>
        <v>1</v>
      </c>
      <c r="W590" s="3" t="str">
        <f aca="false">IFERROR(_xlfn.T.TEST(E590:M590,N590:U590,2,2),"")</f>
        <v/>
      </c>
      <c r="X590" s="0" t="str">
        <f aca="false">IFERROR(AVERAGE(E590:M590),"")</f>
        <v/>
      </c>
      <c r="Y590" s="0" t="str">
        <f aca="false">IFERROR(AVERAGE(N590:U590),"")</f>
        <v/>
      </c>
    </row>
    <row r="591" customFormat="false" ht="14.5" hidden="false" customHeight="false" outlineLevel="0" collapsed="false">
      <c r="A591" s="0" t="n">
        <v>599</v>
      </c>
      <c r="B591" s="0" t="s">
        <v>656</v>
      </c>
      <c r="C591" s="0" t="n">
        <v>68500</v>
      </c>
      <c r="D591" s="0" t="n">
        <v>51</v>
      </c>
      <c r="E591" s="0" t="str">
        <f aca="false">IFERROR(IF(OR(HLOOKUP($A591,#REF!,3,FALSE())&gt;2,HLOOKUP(A591,#REF!,3,FALSE())&lt;-2),"",#REF!),"")</f>
        <v/>
      </c>
      <c r="F591" s="0" t="str">
        <f aca="false">IFERROR(IF(OR(HLOOKUP($A591,#REF!,4,FALSE())&gt;2,HLOOKUP($A591,#REF!,4,FALSE())&lt;-2),"",#REF!),"")</f>
        <v/>
      </c>
      <c r="G591" s="0" t="str">
        <f aca="false">IFERROR(IF(OR(HLOOKUP($A591,#REF!,5,FALSE())&gt;2,HLOOKUP($A591,#REF!,5,FALSE())&lt;-2),"",#REF!),"")</f>
        <v/>
      </c>
      <c r="H591" s="0" t="str">
        <f aca="false">IFERROR(IF(OR(HLOOKUP($A591,#REF!,6,FALSE())&gt;2,HLOOKUP($A591,#REF!,6,FALSE())&lt;-2),"",#REF!),"")</f>
        <v/>
      </c>
      <c r="I591" s="0" t="str">
        <f aca="false">IFERROR(IF(OR(HLOOKUP($A591,#REF!,7,FALSE())&gt;2,HLOOKUP($A591,#REF!,7,FALSE())&lt;-2),"",#REF!),"")</f>
        <v/>
      </c>
      <c r="J591" s="0" t="str">
        <f aca="false">IFERROR(IF(OR(HLOOKUP($A591,#REF!,8,FALSE())&gt;2,HLOOKUP($A591,#REF!,8,FALSE())&lt;-2),"",#REF!),"")</f>
        <v/>
      </c>
      <c r="K591" s="0" t="str">
        <f aca="false">IFERROR(IF(OR(HLOOKUP($A591,#REF!,9,FALSE())&gt;2,HLOOKUP($A591,#REF!,9,FALSE())&lt;-2),"",#REF!),"")</f>
        <v/>
      </c>
      <c r="L591" s="0" t="str">
        <f aca="false">IFERROR(IF(OR(HLOOKUP($A591,#REF!,10,FALSE())&gt;2,HLOOKUP($A591,#REF!,10,FALSE())&lt;-2),"",#REF!),"")</f>
        <v/>
      </c>
      <c r="M591" s="0" t="str">
        <f aca="false">IFERROR(IF(OR(HLOOKUP($A591,#REF!,11,FALSE())&gt;2,HLOOKUP($A591,#REF!,11,FALSE())&lt;-2),"",#REF!),"")</f>
        <v/>
      </c>
      <c r="N591" s="0" t="str">
        <f aca="false">IFERROR(IF(OR(HLOOKUP($A591,#REF!,12,FALSE())&gt;2,HLOOKUP($A591,#REF!,12,FALSE())&lt;-2),"",#REF!),"")</f>
        <v/>
      </c>
      <c r="O591" s="0" t="str">
        <f aca="false">IFERROR(IF(OR(HLOOKUP($A591,#REF!,13,FALSE())&gt;2,HLOOKUP($A591,#REF!,13,FALSE())&lt;-2),"",#REF!),"")</f>
        <v/>
      </c>
      <c r="P591" s="0" t="str">
        <f aca="false">IFERROR(IF(OR(HLOOKUP($A591,#REF!,14,FALSE())&gt;2,HLOOKUP($A591,#REF!,14,FALSE())&lt;-2),"",#REF!),"")</f>
        <v/>
      </c>
      <c r="Q591" s="0" t="str">
        <f aca="false">IFERROR(IF(OR(HLOOKUP($A591,#REF!,15,FALSE())&gt;2,HLOOKUP($A591,#REF!,15,FALSE())&lt;-2),"",#REF!),"")</f>
        <v/>
      </c>
      <c r="R591" s="0" t="str">
        <f aca="false">IFERROR(IF(OR(HLOOKUP($A591,#REF!,16,FALSE())&gt;2,HLOOKUP($A591,#REF!,16,FALSE())&lt;-2),"",#REF!),"")</f>
        <v/>
      </c>
      <c r="S591" s="0" t="str">
        <f aca="false">IFERROR(IF(OR(HLOOKUP($A591,#REF!,17,FALSE())&gt;2,HLOOKUP($A591,#REF!,17,FALSE())&lt;-2),"",#REF!),"")</f>
        <v/>
      </c>
      <c r="T591" s="0" t="str">
        <f aca="false">IFERROR(IF(OR(HLOOKUP($A591,#REF!,18,FALSE())&gt;2,HLOOKUP($A591,#REF!,18,FALSE())&lt;-2),"",#REF!),"")</f>
        <v/>
      </c>
      <c r="U591" s="0" t="str">
        <f aca="false">IFERROR(IF(OR(HLOOKUP($A591,#REF!,19,FALSE())&gt;2,HLOOKUP($A591,#REF!,19,FALSE())&lt;-2),"",#REF!),"")</f>
        <v/>
      </c>
      <c r="V591" s="0" t="n">
        <f aca="false">IFERROR(IF(AND(X591=0,Y591=0),0,1),0)</f>
        <v>1</v>
      </c>
      <c r="W591" s="3" t="str">
        <f aca="false">IFERROR(_xlfn.T.TEST(E591:M591,N591:U591,2,2),"")</f>
        <v/>
      </c>
      <c r="X591" s="0" t="str">
        <f aca="false">IFERROR(AVERAGE(E591:M591),"")</f>
        <v/>
      </c>
      <c r="Y591" s="0" t="str">
        <f aca="false">IFERROR(AVERAGE(N591:U591),"")</f>
        <v/>
      </c>
    </row>
    <row r="592" customFormat="false" ht="14.5" hidden="false" customHeight="false" outlineLevel="0" collapsed="false">
      <c r="A592" s="0" t="n">
        <v>600</v>
      </c>
      <c r="B592" s="0" t="s">
        <v>657</v>
      </c>
      <c r="C592" s="0" t="n">
        <v>10800</v>
      </c>
      <c r="D592" s="0" t="n">
        <v>1011</v>
      </c>
      <c r="E592" s="0" t="str">
        <f aca="false">IFERROR(IF(OR(HLOOKUP($A592,#REF!,3,FALSE())&gt;2,HLOOKUP(A592,#REF!,3,FALSE())&lt;-2),"",#REF!),"")</f>
        <v/>
      </c>
      <c r="F592" s="0" t="str">
        <f aca="false">IFERROR(IF(OR(HLOOKUP($A592,#REF!,4,FALSE())&gt;2,HLOOKUP($A592,#REF!,4,FALSE())&lt;-2),"",#REF!),"")</f>
        <v/>
      </c>
      <c r="G592" s="0" t="str">
        <f aca="false">IFERROR(IF(OR(HLOOKUP($A592,#REF!,5,FALSE())&gt;2,HLOOKUP($A592,#REF!,5,FALSE())&lt;-2),"",#REF!),"")</f>
        <v/>
      </c>
      <c r="H592" s="0" t="str">
        <f aca="false">IFERROR(IF(OR(HLOOKUP($A592,#REF!,6,FALSE())&gt;2,HLOOKUP($A592,#REF!,6,FALSE())&lt;-2),"",#REF!),"")</f>
        <v/>
      </c>
      <c r="I592" s="0" t="str">
        <f aca="false">IFERROR(IF(OR(HLOOKUP($A592,#REF!,7,FALSE())&gt;2,HLOOKUP($A592,#REF!,7,FALSE())&lt;-2),"",#REF!),"")</f>
        <v/>
      </c>
      <c r="J592" s="0" t="str">
        <f aca="false">IFERROR(IF(OR(HLOOKUP($A592,#REF!,8,FALSE())&gt;2,HLOOKUP($A592,#REF!,8,FALSE())&lt;-2),"",#REF!),"")</f>
        <v/>
      </c>
      <c r="K592" s="0" t="str">
        <f aca="false">IFERROR(IF(OR(HLOOKUP($A592,#REF!,9,FALSE())&gt;2,HLOOKUP($A592,#REF!,9,FALSE())&lt;-2),"",#REF!),"")</f>
        <v/>
      </c>
      <c r="L592" s="0" t="str">
        <f aca="false">IFERROR(IF(OR(HLOOKUP($A592,#REF!,10,FALSE())&gt;2,HLOOKUP($A592,#REF!,10,FALSE())&lt;-2),"",#REF!),"")</f>
        <v/>
      </c>
      <c r="M592" s="0" t="str">
        <f aca="false">IFERROR(IF(OR(HLOOKUP($A592,#REF!,11,FALSE())&gt;2,HLOOKUP($A592,#REF!,11,FALSE())&lt;-2),"",#REF!),"")</f>
        <v/>
      </c>
      <c r="N592" s="0" t="str">
        <f aca="false">IFERROR(IF(OR(HLOOKUP($A592,#REF!,12,FALSE())&gt;2,HLOOKUP($A592,#REF!,12,FALSE())&lt;-2),"",#REF!),"")</f>
        <v/>
      </c>
      <c r="O592" s="0" t="str">
        <f aca="false">IFERROR(IF(OR(HLOOKUP($A592,#REF!,13,FALSE())&gt;2,HLOOKUP($A592,#REF!,13,FALSE())&lt;-2),"",#REF!),"")</f>
        <v/>
      </c>
      <c r="P592" s="0" t="str">
        <f aca="false">IFERROR(IF(OR(HLOOKUP($A592,#REF!,14,FALSE())&gt;2,HLOOKUP($A592,#REF!,14,FALSE())&lt;-2),"",#REF!),"")</f>
        <v/>
      </c>
      <c r="Q592" s="0" t="str">
        <f aca="false">IFERROR(IF(OR(HLOOKUP($A592,#REF!,15,FALSE())&gt;2,HLOOKUP($A592,#REF!,15,FALSE())&lt;-2),"",#REF!),"")</f>
        <v/>
      </c>
      <c r="R592" s="0" t="str">
        <f aca="false">IFERROR(IF(OR(HLOOKUP($A592,#REF!,16,FALSE())&gt;2,HLOOKUP($A592,#REF!,16,FALSE())&lt;-2),"",#REF!),"")</f>
        <v/>
      </c>
      <c r="S592" s="0" t="str">
        <f aca="false">IFERROR(IF(OR(HLOOKUP($A592,#REF!,17,FALSE())&gt;2,HLOOKUP($A592,#REF!,17,FALSE())&lt;-2),"",#REF!),"")</f>
        <v/>
      </c>
      <c r="T592" s="0" t="str">
        <f aca="false">IFERROR(IF(OR(HLOOKUP($A592,#REF!,18,FALSE())&gt;2,HLOOKUP($A592,#REF!,18,FALSE())&lt;-2),"",#REF!),"")</f>
        <v/>
      </c>
      <c r="U592" s="0" t="str">
        <f aca="false">IFERROR(IF(OR(HLOOKUP($A592,#REF!,19,FALSE())&gt;2,HLOOKUP($A592,#REF!,19,FALSE())&lt;-2),"",#REF!),"")</f>
        <v/>
      </c>
      <c r="V592" s="0" t="n">
        <f aca="false">IFERROR(IF(AND(X592=0,Y592=0),0,1),0)</f>
        <v>1</v>
      </c>
      <c r="W592" s="3" t="str">
        <f aca="false">IFERROR(_xlfn.T.TEST(E592:M592,N592:U592,2,2),"")</f>
        <v/>
      </c>
      <c r="X592" s="0" t="str">
        <f aca="false">IFERROR(AVERAGE(E592:M592),"")</f>
        <v/>
      </c>
      <c r="Y592" s="0" t="str">
        <f aca="false">IFERROR(AVERAGE(N592:U592),"")</f>
        <v/>
      </c>
    </row>
    <row r="593" customFormat="false" ht="14.5" hidden="false" customHeight="false" outlineLevel="0" collapsed="false">
      <c r="A593" s="0" t="n">
        <v>601</v>
      </c>
      <c r="B593" s="0" t="s">
        <v>658</v>
      </c>
      <c r="C593" s="0" t="n">
        <v>14600</v>
      </c>
      <c r="D593" s="0" t="n">
        <v>402</v>
      </c>
      <c r="E593" s="0" t="str">
        <f aca="false">IFERROR(IF(OR(HLOOKUP($A593,#REF!,3,FALSE())&gt;2,HLOOKUP(A593,#REF!,3,FALSE())&lt;-2),"",#REF!),"")</f>
        <v/>
      </c>
      <c r="F593" s="0" t="str">
        <f aca="false">IFERROR(IF(OR(HLOOKUP($A593,#REF!,4,FALSE())&gt;2,HLOOKUP($A593,#REF!,4,FALSE())&lt;-2),"",#REF!),"")</f>
        <v/>
      </c>
      <c r="G593" s="0" t="str">
        <f aca="false">IFERROR(IF(OR(HLOOKUP($A593,#REF!,5,FALSE())&gt;2,HLOOKUP($A593,#REF!,5,FALSE())&lt;-2),"",#REF!),"")</f>
        <v/>
      </c>
      <c r="H593" s="0" t="str">
        <f aca="false">IFERROR(IF(OR(HLOOKUP($A593,#REF!,6,FALSE())&gt;2,HLOOKUP($A593,#REF!,6,FALSE())&lt;-2),"",#REF!),"")</f>
        <v/>
      </c>
      <c r="I593" s="0" t="str">
        <f aca="false">IFERROR(IF(OR(HLOOKUP($A593,#REF!,7,FALSE())&gt;2,HLOOKUP($A593,#REF!,7,FALSE())&lt;-2),"",#REF!),"")</f>
        <v/>
      </c>
      <c r="J593" s="0" t="str">
        <f aca="false">IFERROR(IF(OR(HLOOKUP($A593,#REF!,8,FALSE())&gt;2,HLOOKUP($A593,#REF!,8,FALSE())&lt;-2),"",#REF!),"")</f>
        <v/>
      </c>
      <c r="K593" s="0" t="str">
        <f aca="false">IFERROR(IF(OR(HLOOKUP($A593,#REF!,9,FALSE())&gt;2,HLOOKUP($A593,#REF!,9,FALSE())&lt;-2),"",#REF!),"")</f>
        <v/>
      </c>
      <c r="L593" s="0" t="str">
        <f aca="false">IFERROR(IF(OR(HLOOKUP($A593,#REF!,10,FALSE())&gt;2,HLOOKUP($A593,#REF!,10,FALSE())&lt;-2),"",#REF!),"")</f>
        <v/>
      </c>
      <c r="M593" s="0" t="str">
        <f aca="false">IFERROR(IF(OR(HLOOKUP($A593,#REF!,11,FALSE())&gt;2,HLOOKUP($A593,#REF!,11,FALSE())&lt;-2),"",#REF!),"")</f>
        <v/>
      </c>
      <c r="N593" s="0" t="str">
        <f aca="false">IFERROR(IF(OR(HLOOKUP($A593,#REF!,12,FALSE())&gt;2,HLOOKUP($A593,#REF!,12,FALSE())&lt;-2),"",#REF!),"")</f>
        <v/>
      </c>
      <c r="O593" s="0" t="str">
        <f aca="false">IFERROR(IF(OR(HLOOKUP($A593,#REF!,13,FALSE())&gt;2,HLOOKUP($A593,#REF!,13,FALSE())&lt;-2),"",#REF!),"")</f>
        <v/>
      </c>
      <c r="P593" s="0" t="str">
        <f aca="false">IFERROR(IF(OR(HLOOKUP($A593,#REF!,14,FALSE())&gt;2,HLOOKUP($A593,#REF!,14,FALSE())&lt;-2),"",#REF!),"")</f>
        <v/>
      </c>
      <c r="Q593" s="0" t="str">
        <f aca="false">IFERROR(IF(OR(HLOOKUP($A593,#REF!,15,FALSE())&gt;2,HLOOKUP($A593,#REF!,15,FALSE())&lt;-2),"",#REF!),"")</f>
        <v/>
      </c>
      <c r="R593" s="0" t="str">
        <f aca="false">IFERROR(IF(OR(HLOOKUP($A593,#REF!,16,FALSE())&gt;2,HLOOKUP($A593,#REF!,16,FALSE())&lt;-2),"",#REF!),"")</f>
        <v/>
      </c>
      <c r="S593" s="0" t="str">
        <f aca="false">IFERROR(IF(OR(HLOOKUP($A593,#REF!,17,FALSE())&gt;2,HLOOKUP($A593,#REF!,17,FALSE())&lt;-2),"",#REF!),"")</f>
        <v/>
      </c>
      <c r="T593" s="0" t="str">
        <f aca="false">IFERROR(IF(OR(HLOOKUP($A593,#REF!,18,FALSE())&gt;2,HLOOKUP($A593,#REF!,18,FALSE())&lt;-2),"",#REF!),"")</f>
        <v/>
      </c>
      <c r="U593" s="0" t="str">
        <f aca="false">IFERROR(IF(OR(HLOOKUP($A593,#REF!,19,FALSE())&gt;2,HLOOKUP($A593,#REF!,19,FALSE())&lt;-2),"",#REF!),"")</f>
        <v/>
      </c>
      <c r="V593" s="0" t="n">
        <f aca="false">IFERROR(IF(AND(X593=0,Y593=0),0,1),0)</f>
        <v>1</v>
      </c>
      <c r="W593" s="3" t="str">
        <f aca="false">IFERROR(_xlfn.T.TEST(E593:M593,N593:U593,2,2),"")</f>
        <v/>
      </c>
      <c r="X593" s="0" t="str">
        <f aca="false">IFERROR(AVERAGE(E593:M593),"")</f>
        <v/>
      </c>
      <c r="Y593" s="0" t="str">
        <f aca="false">IFERROR(AVERAGE(N593:U593),"")</f>
        <v/>
      </c>
    </row>
    <row r="594" customFormat="false" ht="14.5" hidden="false" customHeight="false" outlineLevel="0" collapsed="false">
      <c r="A594" s="0" t="n">
        <v>602</v>
      </c>
      <c r="B594" s="0" t="s">
        <v>659</v>
      </c>
      <c r="C594" s="0" t="n">
        <v>54500</v>
      </c>
      <c r="D594" s="0" t="n">
        <v>367</v>
      </c>
      <c r="E594" s="0" t="str">
        <f aca="false">IFERROR(IF(OR(HLOOKUP($A594,#REF!,3,FALSE())&gt;2,HLOOKUP(A594,#REF!,3,FALSE())&lt;-2),"",#REF!),"")</f>
        <v/>
      </c>
      <c r="F594" s="0" t="str">
        <f aca="false">IFERROR(IF(OR(HLOOKUP($A594,#REF!,4,FALSE())&gt;2,HLOOKUP($A594,#REF!,4,FALSE())&lt;-2),"",#REF!),"")</f>
        <v/>
      </c>
      <c r="G594" s="0" t="str">
        <f aca="false">IFERROR(IF(OR(HLOOKUP($A594,#REF!,5,FALSE())&gt;2,HLOOKUP($A594,#REF!,5,FALSE())&lt;-2),"",#REF!),"")</f>
        <v/>
      </c>
      <c r="H594" s="0" t="str">
        <f aca="false">IFERROR(IF(OR(HLOOKUP($A594,#REF!,6,FALSE())&gt;2,HLOOKUP($A594,#REF!,6,FALSE())&lt;-2),"",#REF!),"")</f>
        <v/>
      </c>
      <c r="I594" s="0" t="str">
        <f aca="false">IFERROR(IF(OR(HLOOKUP($A594,#REF!,7,FALSE())&gt;2,HLOOKUP($A594,#REF!,7,FALSE())&lt;-2),"",#REF!),"")</f>
        <v/>
      </c>
      <c r="J594" s="0" t="str">
        <f aca="false">IFERROR(IF(OR(HLOOKUP($A594,#REF!,8,FALSE())&gt;2,HLOOKUP($A594,#REF!,8,FALSE())&lt;-2),"",#REF!),"")</f>
        <v/>
      </c>
      <c r="K594" s="0" t="str">
        <f aca="false">IFERROR(IF(OR(HLOOKUP($A594,#REF!,9,FALSE())&gt;2,HLOOKUP($A594,#REF!,9,FALSE())&lt;-2),"",#REF!),"")</f>
        <v/>
      </c>
      <c r="L594" s="0" t="str">
        <f aca="false">IFERROR(IF(OR(HLOOKUP($A594,#REF!,10,FALSE())&gt;2,HLOOKUP($A594,#REF!,10,FALSE())&lt;-2),"",#REF!),"")</f>
        <v/>
      </c>
      <c r="M594" s="0" t="str">
        <f aca="false">IFERROR(IF(OR(HLOOKUP($A594,#REF!,11,FALSE())&gt;2,HLOOKUP($A594,#REF!,11,FALSE())&lt;-2),"",#REF!),"")</f>
        <v/>
      </c>
      <c r="N594" s="0" t="str">
        <f aca="false">IFERROR(IF(OR(HLOOKUP($A594,#REF!,12,FALSE())&gt;2,HLOOKUP($A594,#REF!,12,FALSE())&lt;-2),"",#REF!),"")</f>
        <v/>
      </c>
      <c r="O594" s="0" t="str">
        <f aca="false">IFERROR(IF(OR(HLOOKUP($A594,#REF!,13,FALSE())&gt;2,HLOOKUP($A594,#REF!,13,FALSE())&lt;-2),"",#REF!),"")</f>
        <v/>
      </c>
      <c r="P594" s="0" t="str">
        <f aca="false">IFERROR(IF(OR(HLOOKUP($A594,#REF!,14,FALSE())&gt;2,HLOOKUP($A594,#REF!,14,FALSE())&lt;-2),"",#REF!),"")</f>
        <v/>
      </c>
      <c r="Q594" s="0" t="str">
        <f aca="false">IFERROR(IF(OR(HLOOKUP($A594,#REF!,15,FALSE())&gt;2,HLOOKUP($A594,#REF!,15,FALSE())&lt;-2),"",#REF!),"")</f>
        <v/>
      </c>
      <c r="R594" s="0" t="str">
        <f aca="false">IFERROR(IF(OR(HLOOKUP($A594,#REF!,16,FALSE())&gt;2,HLOOKUP($A594,#REF!,16,FALSE())&lt;-2),"",#REF!),"")</f>
        <v/>
      </c>
      <c r="S594" s="0" t="str">
        <f aca="false">IFERROR(IF(OR(HLOOKUP($A594,#REF!,17,FALSE())&gt;2,HLOOKUP($A594,#REF!,17,FALSE())&lt;-2),"",#REF!),"")</f>
        <v/>
      </c>
      <c r="T594" s="0" t="str">
        <f aca="false">IFERROR(IF(OR(HLOOKUP($A594,#REF!,18,FALSE())&gt;2,HLOOKUP($A594,#REF!,18,FALSE())&lt;-2),"",#REF!),"")</f>
        <v/>
      </c>
      <c r="U594" s="0" t="str">
        <f aca="false">IFERROR(IF(OR(HLOOKUP($A594,#REF!,19,FALSE())&gt;2,HLOOKUP($A594,#REF!,19,FALSE())&lt;-2),"",#REF!),"")</f>
        <v/>
      </c>
      <c r="V594" s="0" t="n">
        <f aca="false">IFERROR(IF(AND(X594=0,Y594=0),0,1),0)</f>
        <v>1</v>
      </c>
      <c r="W594" s="3" t="str">
        <f aca="false">IFERROR(_xlfn.T.TEST(E594:M594,N594:U594,2,2),"")</f>
        <v/>
      </c>
      <c r="X594" s="0" t="str">
        <f aca="false">IFERROR(AVERAGE(E594:M594),"")</f>
        <v/>
      </c>
      <c r="Y594" s="0" t="str">
        <f aca="false">IFERROR(AVERAGE(N594:U594),"")</f>
        <v/>
      </c>
    </row>
    <row r="595" customFormat="false" ht="14.5" hidden="false" customHeight="false" outlineLevel="0" collapsed="false">
      <c r="A595" s="0" t="n">
        <v>603</v>
      </c>
      <c r="B595" s="0" t="s">
        <v>660</v>
      </c>
      <c r="C595" s="0" t="n">
        <v>111400</v>
      </c>
      <c r="D595" s="0" t="n">
        <v>1099</v>
      </c>
      <c r="E595" s="0" t="str">
        <f aca="false">IFERROR(IF(OR(HLOOKUP($A595,#REF!,3,FALSE())&gt;2,HLOOKUP(A595,#REF!,3,FALSE())&lt;-2),"",#REF!),"")</f>
        <v/>
      </c>
      <c r="F595" s="0" t="str">
        <f aca="false">IFERROR(IF(OR(HLOOKUP($A595,#REF!,4,FALSE())&gt;2,HLOOKUP($A595,#REF!,4,FALSE())&lt;-2),"",#REF!),"")</f>
        <v/>
      </c>
      <c r="G595" s="0" t="str">
        <f aca="false">IFERROR(IF(OR(HLOOKUP($A595,#REF!,5,FALSE())&gt;2,HLOOKUP($A595,#REF!,5,FALSE())&lt;-2),"",#REF!),"")</f>
        <v/>
      </c>
      <c r="H595" s="0" t="str">
        <f aca="false">IFERROR(IF(OR(HLOOKUP($A595,#REF!,6,FALSE())&gt;2,HLOOKUP($A595,#REF!,6,FALSE())&lt;-2),"",#REF!),"")</f>
        <v/>
      </c>
      <c r="I595" s="0" t="str">
        <f aca="false">IFERROR(IF(OR(HLOOKUP($A595,#REF!,7,FALSE())&gt;2,HLOOKUP($A595,#REF!,7,FALSE())&lt;-2),"",#REF!),"")</f>
        <v/>
      </c>
      <c r="J595" s="0" t="str">
        <f aca="false">IFERROR(IF(OR(HLOOKUP($A595,#REF!,8,FALSE())&gt;2,HLOOKUP($A595,#REF!,8,FALSE())&lt;-2),"",#REF!),"")</f>
        <v/>
      </c>
      <c r="K595" s="0" t="str">
        <f aca="false">IFERROR(IF(OR(HLOOKUP($A595,#REF!,9,FALSE())&gt;2,HLOOKUP($A595,#REF!,9,FALSE())&lt;-2),"",#REF!),"")</f>
        <v/>
      </c>
      <c r="L595" s="0" t="str">
        <f aca="false">IFERROR(IF(OR(HLOOKUP($A595,#REF!,10,FALSE())&gt;2,HLOOKUP($A595,#REF!,10,FALSE())&lt;-2),"",#REF!),"")</f>
        <v/>
      </c>
      <c r="M595" s="0" t="str">
        <f aca="false">IFERROR(IF(OR(HLOOKUP($A595,#REF!,11,FALSE())&gt;2,HLOOKUP($A595,#REF!,11,FALSE())&lt;-2),"",#REF!),"")</f>
        <v/>
      </c>
      <c r="N595" s="0" t="str">
        <f aca="false">IFERROR(IF(OR(HLOOKUP($A595,#REF!,12,FALSE())&gt;2,HLOOKUP($A595,#REF!,12,FALSE())&lt;-2),"",#REF!),"")</f>
        <v/>
      </c>
      <c r="O595" s="0" t="str">
        <f aca="false">IFERROR(IF(OR(HLOOKUP($A595,#REF!,13,FALSE())&gt;2,HLOOKUP($A595,#REF!,13,FALSE())&lt;-2),"",#REF!),"")</f>
        <v/>
      </c>
      <c r="P595" s="0" t="str">
        <f aca="false">IFERROR(IF(OR(HLOOKUP($A595,#REF!,14,FALSE())&gt;2,HLOOKUP($A595,#REF!,14,FALSE())&lt;-2),"",#REF!),"")</f>
        <v/>
      </c>
      <c r="Q595" s="0" t="str">
        <f aca="false">IFERROR(IF(OR(HLOOKUP($A595,#REF!,15,FALSE())&gt;2,HLOOKUP($A595,#REF!,15,FALSE())&lt;-2),"",#REF!),"")</f>
        <v/>
      </c>
      <c r="R595" s="0" t="str">
        <f aca="false">IFERROR(IF(OR(HLOOKUP($A595,#REF!,16,FALSE())&gt;2,HLOOKUP($A595,#REF!,16,FALSE())&lt;-2),"",#REF!),"")</f>
        <v/>
      </c>
      <c r="S595" s="0" t="str">
        <f aca="false">IFERROR(IF(OR(HLOOKUP($A595,#REF!,17,FALSE())&gt;2,HLOOKUP($A595,#REF!,17,FALSE())&lt;-2),"",#REF!),"")</f>
        <v/>
      </c>
      <c r="T595" s="0" t="str">
        <f aca="false">IFERROR(IF(OR(HLOOKUP($A595,#REF!,18,FALSE())&gt;2,HLOOKUP($A595,#REF!,18,FALSE())&lt;-2),"",#REF!),"")</f>
        <v/>
      </c>
      <c r="U595" s="0" t="str">
        <f aca="false">IFERROR(IF(OR(HLOOKUP($A595,#REF!,19,FALSE())&gt;2,HLOOKUP($A595,#REF!,19,FALSE())&lt;-2),"",#REF!),"")</f>
        <v/>
      </c>
      <c r="V595" s="0" t="n">
        <f aca="false">IFERROR(IF(AND(X595=0,Y595=0),0,1),0)</f>
        <v>1</v>
      </c>
      <c r="W595" s="3" t="str">
        <f aca="false">IFERROR(_xlfn.T.TEST(E595:M595,N595:U595,2,2),"")</f>
        <v/>
      </c>
      <c r="X595" s="0" t="str">
        <f aca="false">IFERROR(AVERAGE(E595:M595),"")</f>
        <v/>
      </c>
      <c r="Y595" s="0" t="str">
        <f aca="false">IFERROR(AVERAGE(N595:U595),"")</f>
        <v/>
      </c>
    </row>
    <row r="596" customFormat="false" ht="14.5" hidden="false" customHeight="false" outlineLevel="0" collapsed="false">
      <c r="A596" s="0" t="n">
        <v>604</v>
      </c>
      <c r="B596" s="0" t="s">
        <v>661</v>
      </c>
      <c r="C596" s="0" t="n">
        <v>88900</v>
      </c>
      <c r="D596" s="0" t="n">
        <v>1117</v>
      </c>
      <c r="E596" s="0" t="str">
        <f aca="false">IFERROR(IF(OR(HLOOKUP($A596,#REF!,3,FALSE())&gt;2,HLOOKUP(A596,#REF!,3,FALSE())&lt;-2),"",#REF!),"")</f>
        <v/>
      </c>
      <c r="F596" s="0" t="str">
        <f aca="false">IFERROR(IF(OR(HLOOKUP($A596,#REF!,4,FALSE())&gt;2,HLOOKUP($A596,#REF!,4,FALSE())&lt;-2),"",#REF!),"")</f>
        <v/>
      </c>
      <c r="G596" s="0" t="str">
        <f aca="false">IFERROR(IF(OR(HLOOKUP($A596,#REF!,5,FALSE())&gt;2,HLOOKUP($A596,#REF!,5,FALSE())&lt;-2),"",#REF!),"")</f>
        <v/>
      </c>
      <c r="H596" s="0" t="str">
        <f aca="false">IFERROR(IF(OR(HLOOKUP($A596,#REF!,6,FALSE())&gt;2,HLOOKUP($A596,#REF!,6,FALSE())&lt;-2),"",#REF!),"")</f>
        <v/>
      </c>
      <c r="I596" s="0" t="str">
        <f aca="false">IFERROR(IF(OR(HLOOKUP($A596,#REF!,7,FALSE())&gt;2,HLOOKUP($A596,#REF!,7,FALSE())&lt;-2),"",#REF!),"")</f>
        <v/>
      </c>
      <c r="J596" s="0" t="str">
        <f aca="false">IFERROR(IF(OR(HLOOKUP($A596,#REF!,8,FALSE())&gt;2,HLOOKUP($A596,#REF!,8,FALSE())&lt;-2),"",#REF!),"")</f>
        <v/>
      </c>
      <c r="K596" s="0" t="str">
        <f aca="false">IFERROR(IF(OR(HLOOKUP($A596,#REF!,9,FALSE())&gt;2,HLOOKUP($A596,#REF!,9,FALSE())&lt;-2),"",#REF!),"")</f>
        <v/>
      </c>
      <c r="L596" s="0" t="str">
        <f aca="false">IFERROR(IF(OR(HLOOKUP($A596,#REF!,10,FALSE())&gt;2,HLOOKUP($A596,#REF!,10,FALSE())&lt;-2),"",#REF!),"")</f>
        <v/>
      </c>
      <c r="M596" s="0" t="str">
        <f aca="false">IFERROR(IF(OR(HLOOKUP($A596,#REF!,11,FALSE())&gt;2,HLOOKUP($A596,#REF!,11,FALSE())&lt;-2),"",#REF!),"")</f>
        <v/>
      </c>
      <c r="N596" s="0" t="str">
        <f aca="false">IFERROR(IF(OR(HLOOKUP($A596,#REF!,12,FALSE())&gt;2,HLOOKUP($A596,#REF!,12,FALSE())&lt;-2),"",#REF!),"")</f>
        <v/>
      </c>
      <c r="O596" s="0" t="str">
        <f aca="false">IFERROR(IF(OR(HLOOKUP($A596,#REF!,13,FALSE())&gt;2,HLOOKUP($A596,#REF!,13,FALSE())&lt;-2),"",#REF!),"")</f>
        <v/>
      </c>
      <c r="P596" s="0" t="str">
        <f aca="false">IFERROR(IF(OR(HLOOKUP($A596,#REF!,14,FALSE())&gt;2,HLOOKUP($A596,#REF!,14,FALSE())&lt;-2),"",#REF!),"")</f>
        <v/>
      </c>
      <c r="Q596" s="0" t="str">
        <f aca="false">IFERROR(IF(OR(HLOOKUP($A596,#REF!,15,FALSE())&gt;2,HLOOKUP($A596,#REF!,15,FALSE())&lt;-2),"",#REF!),"")</f>
        <v/>
      </c>
      <c r="R596" s="0" t="str">
        <f aca="false">IFERROR(IF(OR(HLOOKUP($A596,#REF!,16,FALSE())&gt;2,HLOOKUP($A596,#REF!,16,FALSE())&lt;-2),"",#REF!),"")</f>
        <v/>
      </c>
      <c r="S596" s="0" t="str">
        <f aca="false">IFERROR(IF(OR(HLOOKUP($A596,#REF!,17,FALSE())&gt;2,HLOOKUP($A596,#REF!,17,FALSE())&lt;-2),"",#REF!),"")</f>
        <v/>
      </c>
      <c r="T596" s="0" t="str">
        <f aca="false">IFERROR(IF(OR(HLOOKUP($A596,#REF!,18,FALSE())&gt;2,HLOOKUP($A596,#REF!,18,FALSE())&lt;-2),"",#REF!),"")</f>
        <v/>
      </c>
      <c r="U596" s="0" t="str">
        <f aca="false">IFERROR(IF(OR(HLOOKUP($A596,#REF!,19,FALSE())&gt;2,HLOOKUP($A596,#REF!,19,FALSE())&lt;-2),"",#REF!),"")</f>
        <v/>
      </c>
      <c r="V596" s="0" t="n">
        <f aca="false">IFERROR(IF(AND(X596=0,Y596=0),0,1),0)</f>
        <v>1</v>
      </c>
      <c r="W596" s="3" t="str">
        <f aca="false">IFERROR(_xlfn.T.TEST(E596:M596,N596:U596,2,2),"")</f>
        <v/>
      </c>
      <c r="X596" s="0" t="str">
        <f aca="false">IFERROR(AVERAGE(E596:M596),"")</f>
        <v/>
      </c>
      <c r="Y596" s="0" t="str">
        <f aca="false">IFERROR(AVERAGE(N596:U596),"")</f>
        <v/>
      </c>
    </row>
    <row r="597" customFormat="false" ht="14.5" hidden="false" customHeight="false" outlineLevel="0" collapsed="false">
      <c r="A597" s="0" t="n">
        <v>605</v>
      </c>
      <c r="B597" s="0" t="s">
        <v>662</v>
      </c>
      <c r="C597" s="0" t="n">
        <v>32500</v>
      </c>
      <c r="D597" s="0" t="n">
        <v>589</v>
      </c>
      <c r="E597" s="0" t="str">
        <f aca="false">IFERROR(IF(OR(HLOOKUP($A597,#REF!,3,FALSE())&gt;2,HLOOKUP(A597,#REF!,3,FALSE())&lt;-2),"",#REF!),"")</f>
        <v/>
      </c>
      <c r="F597" s="0" t="str">
        <f aca="false">IFERROR(IF(OR(HLOOKUP($A597,#REF!,4,FALSE())&gt;2,HLOOKUP($A597,#REF!,4,FALSE())&lt;-2),"",#REF!),"")</f>
        <v/>
      </c>
      <c r="G597" s="0" t="str">
        <f aca="false">IFERROR(IF(OR(HLOOKUP($A597,#REF!,5,FALSE())&gt;2,HLOOKUP($A597,#REF!,5,FALSE())&lt;-2),"",#REF!),"")</f>
        <v/>
      </c>
      <c r="H597" s="0" t="str">
        <f aca="false">IFERROR(IF(OR(HLOOKUP($A597,#REF!,6,FALSE())&gt;2,HLOOKUP($A597,#REF!,6,FALSE())&lt;-2),"",#REF!),"")</f>
        <v/>
      </c>
      <c r="I597" s="0" t="str">
        <f aca="false">IFERROR(IF(OR(HLOOKUP($A597,#REF!,7,FALSE())&gt;2,HLOOKUP($A597,#REF!,7,FALSE())&lt;-2),"",#REF!),"")</f>
        <v/>
      </c>
      <c r="J597" s="0" t="str">
        <f aca="false">IFERROR(IF(OR(HLOOKUP($A597,#REF!,8,FALSE())&gt;2,HLOOKUP($A597,#REF!,8,FALSE())&lt;-2),"",#REF!),"")</f>
        <v/>
      </c>
      <c r="K597" s="0" t="str">
        <f aca="false">IFERROR(IF(OR(HLOOKUP($A597,#REF!,9,FALSE())&gt;2,HLOOKUP($A597,#REF!,9,FALSE())&lt;-2),"",#REF!),"")</f>
        <v/>
      </c>
      <c r="L597" s="0" t="str">
        <f aca="false">IFERROR(IF(OR(HLOOKUP($A597,#REF!,10,FALSE())&gt;2,HLOOKUP($A597,#REF!,10,FALSE())&lt;-2),"",#REF!),"")</f>
        <v/>
      </c>
      <c r="M597" s="0" t="str">
        <f aca="false">IFERROR(IF(OR(HLOOKUP($A597,#REF!,11,FALSE())&gt;2,HLOOKUP($A597,#REF!,11,FALSE())&lt;-2),"",#REF!),"")</f>
        <v/>
      </c>
      <c r="N597" s="0" t="str">
        <f aca="false">IFERROR(IF(OR(HLOOKUP($A597,#REF!,12,FALSE())&gt;2,HLOOKUP($A597,#REF!,12,FALSE())&lt;-2),"",#REF!),"")</f>
        <v/>
      </c>
      <c r="O597" s="0" t="str">
        <f aca="false">IFERROR(IF(OR(HLOOKUP($A597,#REF!,13,FALSE())&gt;2,HLOOKUP($A597,#REF!,13,FALSE())&lt;-2),"",#REF!),"")</f>
        <v/>
      </c>
      <c r="P597" s="0" t="str">
        <f aca="false">IFERROR(IF(OR(HLOOKUP($A597,#REF!,14,FALSE())&gt;2,HLOOKUP($A597,#REF!,14,FALSE())&lt;-2),"",#REF!),"")</f>
        <v/>
      </c>
      <c r="Q597" s="0" t="str">
        <f aca="false">IFERROR(IF(OR(HLOOKUP($A597,#REF!,15,FALSE())&gt;2,HLOOKUP($A597,#REF!,15,FALSE())&lt;-2),"",#REF!),"")</f>
        <v/>
      </c>
      <c r="R597" s="0" t="str">
        <f aca="false">IFERROR(IF(OR(HLOOKUP($A597,#REF!,16,FALSE())&gt;2,HLOOKUP($A597,#REF!,16,FALSE())&lt;-2),"",#REF!),"")</f>
        <v/>
      </c>
      <c r="S597" s="0" t="str">
        <f aca="false">IFERROR(IF(OR(HLOOKUP($A597,#REF!,17,FALSE())&gt;2,HLOOKUP($A597,#REF!,17,FALSE())&lt;-2),"",#REF!),"")</f>
        <v/>
      </c>
      <c r="T597" s="0" t="str">
        <f aca="false">IFERROR(IF(OR(HLOOKUP($A597,#REF!,18,FALSE())&gt;2,HLOOKUP($A597,#REF!,18,FALSE())&lt;-2),"",#REF!),"")</f>
        <v/>
      </c>
      <c r="U597" s="0" t="str">
        <f aca="false">IFERROR(IF(OR(HLOOKUP($A597,#REF!,19,FALSE())&gt;2,HLOOKUP($A597,#REF!,19,FALSE())&lt;-2),"",#REF!),"")</f>
        <v/>
      </c>
      <c r="V597" s="0" t="n">
        <f aca="false">IFERROR(IF(AND(X597=0,Y597=0),0,1),0)</f>
        <v>1</v>
      </c>
      <c r="W597" s="3" t="str">
        <f aca="false">IFERROR(_xlfn.T.TEST(E597:M597,N597:U597,2,2),"")</f>
        <v/>
      </c>
      <c r="X597" s="0" t="str">
        <f aca="false">IFERROR(AVERAGE(E597:M597),"")</f>
        <v/>
      </c>
      <c r="Y597" s="0" t="str">
        <f aca="false">IFERROR(AVERAGE(N597:U597),"")</f>
        <v/>
      </c>
    </row>
    <row r="598" customFormat="false" ht="14.5" hidden="false" customHeight="false" outlineLevel="0" collapsed="false">
      <c r="A598" s="0" t="n">
        <v>606</v>
      </c>
      <c r="B598" s="0" t="s">
        <v>663</v>
      </c>
      <c r="C598" s="0" t="n">
        <v>26800</v>
      </c>
      <c r="D598" s="0" t="n">
        <v>886</v>
      </c>
      <c r="E598" s="0" t="str">
        <f aca="false">IFERROR(IF(OR(HLOOKUP($A598,#REF!,3,FALSE())&gt;2,HLOOKUP(A598,#REF!,3,FALSE())&lt;-2),"",#REF!),"")</f>
        <v/>
      </c>
      <c r="F598" s="0" t="str">
        <f aca="false">IFERROR(IF(OR(HLOOKUP($A598,#REF!,4,FALSE())&gt;2,HLOOKUP($A598,#REF!,4,FALSE())&lt;-2),"",#REF!),"")</f>
        <v/>
      </c>
      <c r="G598" s="0" t="str">
        <f aca="false">IFERROR(IF(OR(HLOOKUP($A598,#REF!,5,FALSE())&gt;2,HLOOKUP($A598,#REF!,5,FALSE())&lt;-2),"",#REF!),"")</f>
        <v/>
      </c>
      <c r="H598" s="0" t="str">
        <f aca="false">IFERROR(IF(OR(HLOOKUP($A598,#REF!,6,FALSE())&gt;2,HLOOKUP($A598,#REF!,6,FALSE())&lt;-2),"",#REF!),"")</f>
        <v/>
      </c>
      <c r="I598" s="0" t="str">
        <f aca="false">IFERROR(IF(OR(HLOOKUP($A598,#REF!,7,FALSE())&gt;2,HLOOKUP($A598,#REF!,7,FALSE())&lt;-2),"",#REF!),"")</f>
        <v/>
      </c>
      <c r="J598" s="0" t="str">
        <f aca="false">IFERROR(IF(OR(HLOOKUP($A598,#REF!,8,FALSE())&gt;2,HLOOKUP($A598,#REF!,8,FALSE())&lt;-2),"",#REF!),"")</f>
        <v/>
      </c>
      <c r="K598" s="0" t="str">
        <f aca="false">IFERROR(IF(OR(HLOOKUP($A598,#REF!,9,FALSE())&gt;2,HLOOKUP($A598,#REF!,9,FALSE())&lt;-2),"",#REF!),"")</f>
        <v/>
      </c>
      <c r="L598" s="0" t="str">
        <f aca="false">IFERROR(IF(OR(HLOOKUP($A598,#REF!,10,FALSE())&gt;2,HLOOKUP($A598,#REF!,10,FALSE())&lt;-2),"",#REF!),"")</f>
        <v/>
      </c>
      <c r="M598" s="0" t="str">
        <f aca="false">IFERROR(IF(OR(HLOOKUP($A598,#REF!,11,FALSE())&gt;2,HLOOKUP($A598,#REF!,11,FALSE())&lt;-2),"",#REF!),"")</f>
        <v/>
      </c>
      <c r="N598" s="0" t="str">
        <f aca="false">IFERROR(IF(OR(HLOOKUP($A598,#REF!,12,FALSE())&gt;2,HLOOKUP($A598,#REF!,12,FALSE())&lt;-2),"",#REF!),"")</f>
        <v/>
      </c>
      <c r="O598" s="0" t="str">
        <f aca="false">IFERROR(IF(OR(HLOOKUP($A598,#REF!,13,FALSE())&gt;2,HLOOKUP($A598,#REF!,13,FALSE())&lt;-2),"",#REF!),"")</f>
        <v/>
      </c>
      <c r="P598" s="0" t="str">
        <f aca="false">IFERROR(IF(OR(HLOOKUP($A598,#REF!,14,FALSE())&gt;2,HLOOKUP($A598,#REF!,14,FALSE())&lt;-2),"",#REF!),"")</f>
        <v/>
      </c>
      <c r="Q598" s="0" t="str">
        <f aca="false">IFERROR(IF(OR(HLOOKUP($A598,#REF!,15,FALSE())&gt;2,HLOOKUP($A598,#REF!,15,FALSE())&lt;-2),"",#REF!),"")</f>
        <v/>
      </c>
      <c r="R598" s="0" t="str">
        <f aca="false">IFERROR(IF(OR(HLOOKUP($A598,#REF!,16,FALSE())&gt;2,HLOOKUP($A598,#REF!,16,FALSE())&lt;-2),"",#REF!),"")</f>
        <v/>
      </c>
      <c r="S598" s="0" t="str">
        <f aca="false">IFERROR(IF(OR(HLOOKUP($A598,#REF!,17,FALSE())&gt;2,HLOOKUP($A598,#REF!,17,FALSE())&lt;-2),"",#REF!),"")</f>
        <v/>
      </c>
      <c r="T598" s="0" t="str">
        <f aca="false">IFERROR(IF(OR(HLOOKUP($A598,#REF!,18,FALSE())&gt;2,HLOOKUP($A598,#REF!,18,FALSE())&lt;-2),"",#REF!),"")</f>
        <v/>
      </c>
      <c r="U598" s="0" t="str">
        <f aca="false">IFERROR(IF(OR(HLOOKUP($A598,#REF!,19,FALSE())&gt;2,HLOOKUP($A598,#REF!,19,FALSE())&lt;-2),"",#REF!),"")</f>
        <v/>
      </c>
      <c r="V598" s="0" t="n">
        <f aca="false">IFERROR(IF(AND(X598=0,Y598=0),0,1),0)</f>
        <v>1</v>
      </c>
      <c r="W598" s="3" t="str">
        <f aca="false">IFERROR(_xlfn.T.TEST(E598:M598,N598:U598,2,2),"")</f>
        <v/>
      </c>
      <c r="X598" s="0" t="str">
        <f aca="false">IFERROR(AVERAGE(E598:M598),"")</f>
        <v/>
      </c>
      <c r="Y598" s="0" t="str">
        <f aca="false">IFERROR(AVERAGE(N598:U598),"")</f>
        <v/>
      </c>
    </row>
    <row r="599" customFormat="false" ht="14.5" hidden="false" customHeight="false" outlineLevel="0" collapsed="false">
      <c r="A599" s="0" t="n">
        <v>607</v>
      </c>
      <c r="B599" s="0" t="s">
        <v>664</v>
      </c>
      <c r="C599" s="0" t="n">
        <v>89700</v>
      </c>
      <c r="D599" s="0" t="n">
        <v>386</v>
      </c>
      <c r="E599" s="0" t="str">
        <f aca="false">IFERROR(IF(OR(HLOOKUP($A599,#REF!,3,FALSE())&gt;2,HLOOKUP(A599,#REF!,3,FALSE())&lt;-2),"",#REF!),"")</f>
        <v/>
      </c>
      <c r="F599" s="0" t="str">
        <f aca="false">IFERROR(IF(OR(HLOOKUP($A599,#REF!,4,FALSE())&gt;2,HLOOKUP($A599,#REF!,4,FALSE())&lt;-2),"",#REF!),"")</f>
        <v/>
      </c>
      <c r="G599" s="0" t="str">
        <f aca="false">IFERROR(IF(OR(HLOOKUP($A599,#REF!,5,FALSE())&gt;2,HLOOKUP($A599,#REF!,5,FALSE())&lt;-2),"",#REF!),"")</f>
        <v/>
      </c>
      <c r="H599" s="0" t="str">
        <f aca="false">IFERROR(IF(OR(HLOOKUP($A599,#REF!,6,FALSE())&gt;2,HLOOKUP($A599,#REF!,6,FALSE())&lt;-2),"",#REF!),"")</f>
        <v/>
      </c>
      <c r="I599" s="0" t="str">
        <f aca="false">IFERROR(IF(OR(HLOOKUP($A599,#REF!,7,FALSE())&gt;2,HLOOKUP($A599,#REF!,7,FALSE())&lt;-2),"",#REF!),"")</f>
        <v/>
      </c>
      <c r="J599" s="0" t="str">
        <f aca="false">IFERROR(IF(OR(HLOOKUP($A599,#REF!,8,FALSE())&gt;2,HLOOKUP($A599,#REF!,8,FALSE())&lt;-2),"",#REF!),"")</f>
        <v/>
      </c>
      <c r="K599" s="0" t="str">
        <f aca="false">IFERROR(IF(OR(HLOOKUP($A599,#REF!,9,FALSE())&gt;2,HLOOKUP($A599,#REF!,9,FALSE())&lt;-2),"",#REF!),"")</f>
        <v/>
      </c>
      <c r="L599" s="0" t="str">
        <f aca="false">IFERROR(IF(OR(HLOOKUP($A599,#REF!,10,FALSE())&gt;2,HLOOKUP($A599,#REF!,10,FALSE())&lt;-2),"",#REF!),"")</f>
        <v/>
      </c>
      <c r="M599" s="0" t="str">
        <f aca="false">IFERROR(IF(OR(HLOOKUP($A599,#REF!,11,FALSE())&gt;2,HLOOKUP($A599,#REF!,11,FALSE())&lt;-2),"",#REF!),"")</f>
        <v/>
      </c>
      <c r="N599" s="0" t="str">
        <f aca="false">IFERROR(IF(OR(HLOOKUP($A599,#REF!,12,FALSE())&gt;2,HLOOKUP($A599,#REF!,12,FALSE())&lt;-2),"",#REF!),"")</f>
        <v/>
      </c>
      <c r="O599" s="0" t="str">
        <f aca="false">IFERROR(IF(OR(HLOOKUP($A599,#REF!,13,FALSE())&gt;2,HLOOKUP($A599,#REF!,13,FALSE())&lt;-2),"",#REF!),"")</f>
        <v/>
      </c>
      <c r="P599" s="0" t="str">
        <f aca="false">IFERROR(IF(OR(HLOOKUP($A599,#REF!,14,FALSE())&gt;2,HLOOKUP($A599,#REF!,14,FALSE())&lt;-2),"",#REF!),"")</f>
        <v/>
      </c>
      <c r="Q599" s="0" t="str">
        <f aca="false">IFERROR(IF(OR(HLOOKUP($A599,#REF!,15,FALSE())&gt;2,HLOOKUP($A599,#REF!,15,FALSE())&lt;-2),"",#REF!),"")</f>
        <v/>
      </c>
      <c r="R599" s="0" t="str">
        <f aca="false">IFERROR(IF(OR(HLOOKUP($A599,#REF!,16,FALSE())&gt;2,HLOOKUP($A599,#REF!,16,FALSE())&lt;-2),"",#REF!),"")</f>
        <v/>
      </c>
      <c r="S599" s="0" t="str">
        <f aca="false">IFERROR(IF(OR(HLOOKUP($A599,#REF!,17,FALSE())&gt;2,HLOOKUP($A599,#REF!,17,FALSE())&lt;-2),"",#REF!),"")</f>
        <v/>
      </c>
      <c r="T599" s="0" t="str">
        <f aca="false">IFERROR(IF(OR(HLOOKUP($A599,#REF!,18,FALSE())&gt;2,HLOOKUP($A599,#REF!,18,FALSE())&lt;-2),"",#REF!),"")</f>
        <v/>
      </c>
      <c r="U599" s="0" t="str">
        <f aca="false">IFERROR(IF(OR(HLOOKUP($A599,#REF!,19,FALSE())&gt;2,HLOOKUP($A599,#REF!,19,FALSE())&lt;-2),"",#REF!),"")</f>
        <v/>
      </c>
      <c r="V599" s="0" t="n">
        <f aca="false">IFERROR(IF(AND(X599=0,Y599=0),0,1),0)</f>
        <v>1</v>
      </c>
      <c r="W599" s="3" t="str">
        <f aca="false">IFERROR(_xlfn.T.TEST(E599:M599,N599:U599,2,2),"")</f>
        <v/>
      </c>
      <c r="X599" s="0" t="str">
        <f aca="false">IFERROR(AVERAGE(E599:M599),"")</f>
        <v/>
      </c>
      <c r="Y599" s="0" t="str">
        <f aca="false">IFERROR(AVERAGE(N599:U599),"")</f>
        <v/>
      </c>
    </row>
    <row r="600" customFormat="false" ht="14.5" hidden="false" customHeight="false" outlineLevel="0" collapsed="false">
      <c r="A600" s="0" t="n">
        <v>608</v>
      </c>
      <c r="B600" s="0" t="s">
        <v>665</v>
      </c>
      <c r="C600" s="0" t="n">
        <v>23100</v>
      </c>
      <c r="D600" s="0" t="n">
        <v>746</v>
      </c>
      <c r="E600" s="0" t="str">
        <f aca="false">IFERROR(IF(OR(HLOOKUP($A600,#REF!,3,FALSE())&gt;2,HLOOKUP(A600,#REF!,3,FALSE())&lt;-2),"",#REF!),"")</f>
        <v/>
      </c>
      <c r="F600" s="0" t="str">
        <f aca="false">IFERROR(IF(OR(HLOOKUP($A600,#REF!,4,FALSE())&gt;2,HLOOKUP($A600,#REF!,4,FALSE())&lt;-2),"",#REF!),"")</f>
        <v/>
      </c>
      <c r="G600" s="0" t="str">
        <f aca="false">IFERROR(IF(OR(HLOOKUP($A600,#REF!,5,FALSE())&gt;2,HLOOKUP($A600,#REF!,5,FALSE())&lt;-2),"",#REF!),"")</f>
        <v/>
      </c>
      <c r="H600" s="0" t="str">
        <f aca="false">IFERROR(IF(OR(HLOOKUP($A600,#REF!,6,FALSE())&gt;2,HLOOKUP($A600,#REF!,6,FALSE())&lt;-2),"",#REF!),"")</f>
        <v/>
      </c>
      <c r="I600" s="0" t="str">
        <f aca="false">IFERROR(IF(OR(HLOOKUP($A600,#REF!,7,FALSE())&gt;2,HLOOKUP($A600,#REF!,7,FALSE())&lt;-2),"",#REF!),"")</f>
        <v/>
      </c>
      <c r="J600" s="0" t="str">
        <f aca="false">IFERROR(IF(OR(HLOOKUP($A600,#REF!,8,FALSE())&gt;2,HLOOKUP($A600,#REF!,8,FALSE())&lt;-2),"",#REF!),"")</f>
        <v/>
      </c>
      <c r="K600" s="0" t="str">
        <f aca="false">IFERROR(IF(OR(HLOOKUP($A600,#REF!,9,FALSE())&gt;2,HLOOKUP($A600,#REF!,9,FALSE())&lt;-2),"",#REF!),"")</f>
        <v/>
      </c>
      <c r="L600" s="0" t="str">
        <f aca="false">IFERROR(IF(OR(HLOOKUP($A600,#REF!,10,FALSE())&gt;2,HLOOKUP($A600,#REF!,10,FALSE())&lt;-2),"",#REF!),"")</f>
        <v/>
      </c>
      <c r="M600" s="0" t="str">
        <f aca="false">IFERROR(IF(OR(HLOOKUP($A600,#REF!,11,FALSE())&gt;2,HLOOKUP($A600,#REF!,11,FALSE())&lt;-2),"",#REF!),"")</f>
        <v/>
      </c>
      <c r="N600" s="0" t="str">
        <f aca="false">IFERROR(IF(OR(HLOOKUP($A600,#REF!,12,FALSE())&gt;2,HLOOKUP($A600,#REF!,12,FALSE())&lt;-2),"",#REF!),"")</f>
        <v/>
      </c>
      <c r="O600" s="0" t="str">
        <f aca="false">IFERROR(IF(OR(HLOOKUP($A600,#REF!,13,FALSE())&gt;2,HLOOKUP($A600,#REF!,13,FALSE())&lt;-2),"",#REF!),"")</f>
        <v/>
      </c>
      <c r="P600" s="0" t="str">
        <f aca="false">IFERROR(IF(OR(HLOOKUP($A600,#REF!,14,FALSE())&gt;2,HLOOKUP($A600,#REF!,14,FALSE())&lt;-2),"",#REF!),"")</f>
        <v/>
      </c>
      <c r="Q600" s="0" t="str">
        <f aca="false">IFERROR(IF(OR(HLOOKUP($A600,#REF!,15,FALSE())&gt;2,HLOOKUP($A600,#REF!,15,FALSE())&lt;-2),"",#REF!),"")</f>
        <v/>
      </c>
      <c r="R600" s="0" t="str">
        <f aca="false">IFERROR(IF(OR(HLOOKUP($A600,#REF!,16,FALSE())&gt;2,HLOOKUP($A600,#REF!,16,FALSE())&lt;-2),"",#REF!),"")</f>
        <v/>
      </c>
      <c r="S600" s="0" t="str">
        <f aca="false">IFERROR(IF(OR(HLOOKUP($A600,#REF!,17,FALSE())&gt;2,HLOOKUP($A600,#REF!,17,FALSE())&lt;-2),"",#REF!),"")</f>
        <v/>
      </c>
      <c r="T600" s="0" t="str">
        <f aca="false">IFERROR(IF(OR(HLOOKUP($A600,#REF!,18,FALSE())&gt;2,HLOOKUP($A600,#REF!,18,FALSE())&lt;-2),"",#REF!),"")</f>
        <v/>
      </c>
      <c r="U600" s="0" t="str">
        <f aca="false">IFERROR(IF(OR(HLOOKUP($A600,#REF!,19,FALSE())&gt;2,HLOOKUP($A600,#REF!,19,FALSE())&lt;-2),"",#REF!),"")</f>
        <v/>
      </c>
      <c r="V600" s="0" t="n">
        <f aca="false">IFERROR(IF(AND(X600=0,Y600=0),0,1),0)</f>
        <v>1</v>
      </c>
      <c r="W600" s="3" t="str">
        <f aca="false">IFERROR(_xlfn.T.TEST(E600:M600,N600:U600,2,2),"")</f>
        <v/>
      </c>
      <c r="X600" s="0" t="str">
        <f aca="false">IFERROR(AVERAGE(E600:M600),"")</f>
        <v/>
      </c>
      <c r="Y600" s="0" t="str">
        <f aca="false">IFERROR(AVERAGE(N600:U600),"")</f>
        <v/>
      </c>
    </row>
    <row r="601" customFormat="false" ht="14.5" hidden="false" customHeight="false" outlineLevel="0" collapsed="false">
      <c r="A601" s="0" t="n">
        <v>609</v>
      </c>
      <c r="B601" s="0" t="s">
        <v>666</v>
      </c>
      <c r="C601" s="0" t="n">
        <v>64800</v>
      </c>
      <c r="D601" s="0" t="n">
        <v>864</v>
      </c>
      <c r="E601" s="0" t="str">
        <f aca="false">IFERROR(IF(OR(HLOOKUP($A601,#REF!,3,FALSE())&gt;2,HLOOKUP(A601,#REF!,3,FALSE())&lt;-2),"",#REF!),"")</f>
        <v/>
      </c>
      <c r="F601" s="0" t="str">
        <f aca="false">IFERROR(IF(OR(HLOOKUP($A601,#REF!,4,FALSE())&gt;2,HLOOKUP($A601,#REF!,4,FALSE())&lt;-2),"",#REF!),"")</f>
        <v/>
      </c>
      <c r="G601" s="0" t="str">
        <f aca="false">IFERROR(IF(OR(HLOOKUP($A601,#REF!,5,FALSE())&gt;2,HLOOKUP($A601,#REF!,5,FALSE())&lt;-2),"",#REF!),"")</f>
        <v/>
      </c>
      <c r="H601" s="0" t="str">
        <f aca="false">IFERROR(IF(OR(HLOOKUP($A601,#REF!,6,FALSE())&gt;2,HLOOKUP($A601,#REF!,6,FALSE())&lt;-2),"",#REF!),"")</f>
        <v/>
      </c>
      <c r="I601" s="0" t="str">
        <f aca="false">IFERROR(IF(OR(HLOOKUP($A601,#REF!,7,FALSE())&gt;2,HLOOKUP($A601,#REF!,7,FALSE())&lt;-2),"",#REF!),"")</f>
        <v/>
      </c>
      <c r="J601" s="0" t="str">
        <f aca="false">IFERROR(IF(OR(HLOOKUP($A601,#REF!,8,FALSE())&gt;2,HLOOKUP($A601,#REF!,8,FALSE())&lt;-2),"",#REF!),"")</f>
        <v/>
      </c>
      <c r="K601" s="0" t="str">
        <f aca="false">IFERROR(IF(OR(HLOOKUP($A601,#REF!,9,FALSE())&gt;2,HLOOKUP($A601,#REF!,9,FALSE())&lt;-2),"",#REF!),"")</f>
        <v/>
      </c>
      <c r="L601" s="0" t="str">
        <f aca="false">IFERROR(IF(OR(HLOOKUP($A601,#REF!,10,FALSE())&gt;2,HLOOKUP($A601,#REF!,10,FALSE())&lt;-2),"",#REF!),"")</f>
        <v/>
      </c>
      <c r="M601" s="0" t="str">
        <f aca="false">IFERROR(IF(OR(HLOOKUP($A601,#REF!,11,FALSE())&gt;2,HLOOKUP($A601,#REF!,11,FALSE())&lt;-2),"",#REF!),"")</f>
        <v/>
      </c>
      <c r="N601" s="0" t="str">
        <f aca="false">IFERROR(IF(OR(HLOOKUP($A601,#REF!,12,FALSE())&gt;2,HLOOKUP($A601,#REF!,12,FALSE())&lt;-2),"",#REF!),"")</f>
        <v/>
      </c>
      <c r="O601" s="0" t="str">
        <f aca="false">IFERROR(IF(OR(HLOOKUP($A601,#REF!,13,FALSE())&gt;2,HLOOKUP($A601,#REF!,13,FALSE())&lt;-2),"",#REF!),"")</f>
        <v/>
      </c>
      <c r="P601" s="0" t="str">
        <f aca="false">IFERROR(IF(OR(HLOOKUP($A601,#REF!,14,FALSE())&gt;2,HLOOKUP($A601,#REF!,14,FALSE())&lt;-2),"",#REF!),"")</f>
        <v/>
      </c>
      <c r="Q601" s="0" t="str">
        <f aca="false">IFERROR(IF(OR(HLOOKUP($A601,#REF!,15,FALSE())&gt;2,HLOOKUP($A601,#REF!,15,FALSE())&lt;-2),"",#REF!),"")</f>
        <v/>
      </c>
      <c r="R601" s="0" t="str">
        <f aca="false">IFERROR(IF(OR(HLOOKUP($A601,#REF!,16,FALSE())&gt;2,HLOOKUP($A601,#REF!,16,FALSE())&lt;-2),"",#REF!),"")</f>
        <v/>
      </c>
      <c r="S601" s="0" t="str">
        <f aca="false">IFERROR(IF(OR(HLOOKUP($A601,#REF!,17,FALSE())&gt;2,HLOOKUP($A601,#REF!,17,FALSE())&lt;-2),"",#REF!),"")</f>
        <v/>
      </c>
      <c r="T601" s="0" t="str">
        <f aca="false">IFERROR(IF(OR(HLOOKUP($A601,#REF!,18,FALSE())&gt;2,HLOOKUP($A601,#REF!,18,FALSE())&lt;-2),"",#REF!),"")</f>
        <v/>
      </c>
      <c r="U601" s="0" t="str">
        <f aca="false">IFERROR(IF(OR(HLOOKUP($A601,#REF!,19,FALSE())&gt;2,HLOOKUP($A601,#REF!,19,FALSE())&lt;-2),"",#REF!),"")</f>
        <v/>
      </c>
      <c r="V601" s="0" t="n">
        <f aca="false">IFERROR(IF(AND(X601=0,Y601=0),0,1),0)</f>
        <v>1</v>
      </c>
      <c r="W601" s="3" t="str">
        <f aca="false">IFERROR(_xlfn.T.TEST(E601:M601,N601:U601,2,2),"")</f>
        <v/>
      </c>
      <c r="X601" s="0" t="str">
        <f aca="false">IFERROR(AVERAGE(E601:M601),"")</f>
        <v/>
      </c>
      <c r="Y601" s="0" t="str">
        <f aca="false">IFERROR(AVERAGE(N601:U601),"")</f>
        <v/>
      </c>
    </row>
    <row r="602" customFormat="false" ht="14.5" hidden="false" customHeight="false" outlineLevel="0" collapsed="false">
      <c r="A602" s="0" t="n">
        <v>610</v>
      </c>
      <c r="B602" s="0" t="s">
        <v>61</v>
      </c>
      <c r="C602" s="0" t="n">
        <v>26300</v>
      </c>
      <c r="D602" s="0" t="n">
        <v>879</v>
      </c>
      <c r="E602" s="0" t="str">
        <f aca="false">IFERROR(IF(OR(HLOOKUP($A602,#REF!,3,FALSE())&gt;2,HLOOKUP(A602,#REF!,3,FALSE())&lt;-2),"",#REF!),"")</f>
        <v/>
      </c>
      <c r="F602" s="0" t="str">
        <f aca="false">IFERROR(IF(OR(HLOOKUP($A602,#REF!,4,FALSE())&gt;2,HLOOKUP($A602,#REF!,4,FALSE())&lt;-2),"",#REF!),"")</f>
        <v/>
      </c>
      <c r="G602" s="0" t="str">
        <f aca="false">IFERROR(IF(OR(HLOOKUP($A602,#REF!,5,FALSE())&gt;2,HLOOKUP($A602,#REF!,5,FALSE())&lt;-2),"",#REF!),"")</f>
        <v/>
      </c>
      <c r="H602" s="0" t="str">
        <f aca="false">IFERROR(IF(OR(HLOOKUP($A602,#REF!,6,FALSE())&gt;2,HLOOKUP($A602,#REF!,6,FALSE())&lt;-2),"",#REF!),"")</f>
        <v/>
      </c>
      <c r="I602" s="0" t="str">
        <f aca="false">IFERROR(IF(OR(HLOOKUP($A602,#REF!,7,FALSE())&gt;2,HLOOKUP($A602,#REF!,7,FALSE())&lt;-2),"",#REF!),"")</f>
        <v/>
      </c>
      <c r="J602" s="0" t="str">
        <f aca="false">IFERROR(IF(OR(HLOOKUP($A602,#REF!,8,FALSE())&gt;2,HLOOKUP($A602,#REF!,8,FALSE())&lt;-2),"",#REF!),"")</f>
        <v/>
      </c>
      <c r="K602" s="0" t="str">
        <f aca="false">IFERROR(IF(OR(HLOOKUP($A602,#REF!,9,FALSE())&gt;2,HLOOKUP($A602,#REF!,9,FALSE())&lt;-2),"",#REF!),"")</f>
        <v/>
      </c>
      <c r="L602" s="0" t="str">
        <f aca="false">IFERROR(IF(OR(HLOOKUP($A602,#REF!,10,FALSE())&gt;2,HLOOKUP($A602,#REF!,10,FALSE())&lt;-2),"",#REF!),"")</f>
        <v/>
      </c>
      <c r="M602" s="0" t="str">
        <f aca="false">IFERROR(IF(OR(HLOOKUP($A602,#REF!,11,FALSE())&gt;2,HLOOKUP($A602,#REF!,11,FALSE())&lt;-2),"",#REF!),"")</f>
        <v/>
      </c>
      <c r="N602" s="0" t="str">
        <f aca="false">IFERROR(IF(OR(HLOOKUP($A602,#REF!,12,FALSE())&gt;2,HLOOKUP($A602,#REF!,12,FALSE())&lt;-2),"",#REF!),"")</f>
        <v/>
      </c>
      <c r="O602" s="0" t="str">
        <f aca="false">IFERROR(IF(OR(HLOOKUP($A602,#REF!,13,FALSE())&gt;2,HLOOKUP($A602,#REF!,13,FALSE())&lt;-2),"",#REF!),"")</f>
        <v/>
      </c>
      <c r="P602" s="0" t="str">
        <f aca="false">IFERROR(IF(OR(HLOOKUP($A602,#REF!,14,FALSE())&gt;2,HLOOKUP($A602,#REF!,14,FALSE())&lt;-2),"",#REF!),"")</f>
        <v/>
      </c>
      <c r="Q602" s="0" t="str">
        <f aca="false">IFERROR(IF(OR(HLOOKUP($A602,#REF!,15,FALSE())&gt;2,HLOOKUP($A602,#REF!,15,FALSE())&lt;-2),"",#REF!),"")</f>
        <v/>
      </c>
      <c r="R602" s="0" t="str">
        <f aca="false">IFERROR(IF(OR(HLOOKUP($A602,#REF!,16,FALSE())&gt;2,HLOOKUP($A602,#REF!,16,FALSE())&lt;-2),"",#REF!),"")</f>
        <v/>
      </c>
      <c r="S602" s="0" t="str">
        <f aca="false">IFERROR(IF(OR(HLOOKUP($A602,#REF!,17,FALSE())&gt;2,HLOOKUP($A602,#REF!,17,FALSE())&lt;-2),"",#REF!),"")</f>
        <v/>
      </c>
      <c r="T602" s="0" t="str">
        <f aca="false">IFERROR(IF(OR(HLOOKUP($A602,#REF!,18,FALSE())&gt;2,HLOOKUP($A602,#REF!,18,FALSE())&lt;-2),"",#REF!),"")</f>
        <v/>
      </c>
      <c r="U602" s="0" t="str">
        <f aca="false">IFERROR(IF(OR(HLOOKUP($A602,#REF!,19,FALSE())&gt;2,HLOOKUP($A602,#REF!,19,FALSE())&lt;-2),"",#REF!),"")</f>
        <v/>
      </c>
      <c r="V602" s="0" t="n">
        <f aca="false">IFERROR(IF(AND(X602=0,Y602=0),0,1),0)</f>
        <v>1</v>
      </c>
      <c r="W602" s="3" t="str">
        <f aca="false">IFERROR(_xlfn.T.TEST(E602:M602,N602:U602,2,2),"")</f>
        <v/>
      </c>
      <c r="X602" s="0" t="str">
        <f aca="false">IFERROR(AVERAGE(E602:M602),"")</f>
        <v/>
      </c>
      <c r="Y602" s="0" t="str">
        <f aca="false">IFERROR(AVERAGE(N602:U602),"")</f>
        <v/>
      </c>
    </row>
    <row r="603" customFormat="false" ht="14.5" hidden="false" customHeight="false" outlineLevel="0" collapsed="false">
      <c r="A603" s="0" t="n">
        <v>611</v>
      </c>
      <c r="B603" s="0" t="s">
        <v>667</v>
      </c>
      <c r="C603" s="0" t="n">
        <v>115300</v>
      </c>
      <c r="D603" s="0" t="n">
        <v>1083</v>
      </c>
      <c r="E603" s="0" t="str">
        <f aca="false">IFERROR(IF(OR(HLOOKUP($A603,#REF!,3,FALSE())&gt;2,HLOOKUP(A603,#REF!,3,FALSE())&lt;-2),"",#REF!),"")</f>
        <v/>
      </c>
      <c r="F603" s="0" t="str">
        <f aca="false">IFERROR(IF(OR(HLOOKUP($A603,#REF!,4,FALSE())&gt;2,HLOOKUP($A603,#REF!,4,FALSE())&lt;-2),"",#REF!),"")</f>
        <v/>
      </c>
      <c r="G603" s="0" t="str">
        <f aca="false">IFERROR(IF(OR(HLOOKUP($A603,#REF!,5,FALSE())&gt;2,HLOOKUP($A603,#REF!,5,FALSE())&lt;-2),"",#REF!),"")</f>
        <v/>
      </c>
      <c r="H603" s="0" t="str">
        <f aca="false">IFERROR(IF(OR(HLOOKUP($A603,#REF!,6,FALSE())&gt;2,HLOOKUP($A603,#REF!,6,FALSE())&lt;-2),"",#REF!),"")</f>
        <v/>
      </c>
      <c r="I603" s="0" t="str">
        <f aca="false">IFERROR(IF(OR(HLOOKUP($A603,#REF!,7,FALSE())&gt;2,HLOOKUP($A603,#REF!,7,FALSE())&lt;-2),"",#REF!),"")</f>
        <v/>
      </c>
      <c r="J603" s="0" t="str">
        <f aca="false">IFERROR(IF(OR(HLOOKUP($A603,#REF!,8,FALSE())&gt;2,HLOOKUP($A603,#REF!,8,FALSE())&lt;-2),"",#REF!),"")</f>
        <v/>
      </c>
      <c r="K603" s="0" t="str">
        <f aca="false">IFERROR(IF(OR(HLOOKUP($A603,#REF!,9,FALSE())&gt;2,HLOOKUP($A603,#REF!,9,FALSE())&lt;-2),"",#REF!),"")</f>
        <v/>
      </c>
      <c r="L603" s="0" t="str">
        <f aca="false">IFERROR(IF(OR(HLOOKUP($A603,#REF!,10,FALSE())&gt;2,HLOOKUP($A603,#REF!,10,FALSE())&lt;-2),"",#REF!),"")</f>
        <v/>
      </c>
      <c r="M603" s="0" t="str">
        <f aca="false">IFERROR(IF(OR(HLOOKUP($A603,#REF!,11,FALSE())&gt;2,HLOOKUP($A603,#REF!,11,FALSE())&lt;-2),"",#REF!),"")</f>
        <v/>
      </c>
      <c r="N603" s="0" t="str">
        <f aca="false">IFERROR(IF(OR(HLOOKUP($A603,#REF!,12,FALSE())&gt;2,HLOOKUP($A603,#REF!,12,FALSE())&lt;-2),"",#REF!),"")</f>
        <v/>
      </c>
      <c r="O603" s="0" t="str">
        <f aca="false">IFERROR(IF(OR(HLOOKUP($A603,#REF!,13,FALSE())&gt;2,HLOOKUP($A603,#REF!,13,FALSE())&lt;-2),"",#REF!),"")</f>
        <v/>
      </c>
      <c r="P603" s="0" t="str">
        <f aca="false">IFERROR(IF(OR(HLOOKUP($A603,#REF!,14,FALSE())&gt;2,HLOOKUP($A603,#REF!,14,FALSE())&lt;-2),"",#REF!),"")</f>
        <v/>
      </c>
      <c r="Q603" s="0" t="str">
        <f aca="false">IFERROR(IF(OR(HLOOKUP($A603,#REF!,15,FALSE())&gt;2,HLOOKUP($A603,#REF!,15,FALSE())&lt;-2),"",#REF!),"")</f>
        <v/>
      </c>
      <c r="R603" s="0" t="str">
        <f aca="false">IFERROR(IF(OR(HLOOKUP($A603,#REF!,16,FALSE())&gt;2,HLOOKUP($A603,#REF!,16,FALSE())&lt;-2),"",#REF!),"")</f>
        <v/>
      </c>
      <c r="S603" s="0" t="str">
        <f aca="false">IFERROR(IF(OR(HLOOKUP($A603,#REF!,17,FALSE())&gt;2,HLOOKUP($A603,#REF!,17,FALSE())&lt;-2),"",#REF!),"")</f>
        <v/>
      </c>
      <c r="T603" s="0" t="str">
        <f aca="false">IFERROR(IF(OR(HLOOKUP($A603,#REF!,18,FALSE())&gt;2,HLOOKUP($A603,#REF!,18,FALSE())&lt;-2),"",#REF!),"")</f>
        <v/>
      </c>
      <c r="U603" s="0" t="str">
        <f aca="false">IFERROR(IF(OR(HLOOKUP($A603,#REF!,19,FALSE())&gt;2,HLOOKUP($A603,#REF!,19,FALSE())&lt;-2),"",#REF!),"")</f>
        <v/>
      </c>
      <c r="V603" s="0" t="n">
        <f aca="false">IFERROR(IF(AND(X603=0,Y603=0),0,1),0)</f>
        <v>1</v>
      </c>
      <c r="W603" s="3" t="str">
        <f aca="false">IFERROR(_xlfn.T.TEST(E603:M603,N603:U603,2,2),"")</f>
        <v/>
      </c>
      <c r="X603" s="0" t="str">
        <f aca="false">IFERROR(AVERAGE(E603:M603),"")</f>
        <v/>
      </c>
      <c r="Y603" s="0" t="str">
        <f aca="false">IFERROR(AVERAGE(N603:U603),"")</f>
        <v/>
      </c>
    </row>
    <row r="604" customFormat="false" ht="14.5" hidden="false" customHeight="false" outlineLevel="0" collapsed="false">
      <c r="A604" s="0" t="n">
        <v>612</v>
      </c>
      <c r="B604" s="0" t="s">
        <v>668</v>
      </c>
      <c r="C604" s="0" t="n">
        <v>84900</v>
      </c>
      <c r="D604" s="0" t="n">
        <v>1132</v>
      </c>
      <c r="E604" s="0" t="str">
        <f aca="false">IFERROR(IF(OR(HLOOKUP($A604,#REF!,3,FALSE())&gt;2,HLOOKUP(A604,#REF!,3,FALSE())&lt;-2),"",#REF!),"")</f>
        <v/>
      </c>
      <c r="F604" s="0" t="str">
        <f aca="false">IFERROR(IF(OR(HLOOKUP($A604,#REF!,4,FALSE())&gt;2,HLOOKUP($A604,#REF!,4,FALSE())&lt;-2),"",#REF!),"")</f>
        <v/>
      </c>
      <c r="G604" s="0" t="str">
        <f aca="false">IFERROR(IF(OR(HLOOKUP($A604,#REF!,5,FALSE())&gt;2,HLOOKUP($A604,#REF!,5,FALSE())&lt;-2),"",#REF!),"")</f>
        <v/>
      </c>
      <c r="H604" s="0" t="str">
        <f aca="false">IFERROR(IF(OR(HLOOKUP($A604,#REF!,6,FALSE())&gt;2,HLOOKUP($A604,#REF!,6,FALSE())&lt;-2),"",#REF!),"")</f>
        <v/>
      </c>
      <c r="I604" s="0" t="str">
        <f aca="false">IFERROR(IF(OR(HLOOKUP($A604,#REF!,7,FALSE())&gt;2,HLOOKUP($A604,#REF!,7,FALSE())&lt;-2),"",#REF!),"")</f>
        <v/>
      </c>
      <c r="J604" s="0" t="str">
        <f aca="false">IFERROR(IF(OR(HLOOKUP($A604,#REF!,8,FALSE())&gt;2,HLOOKUP($A604,#REF!,8,FALSE())&lt;-2),"",#REF!),"")</f>
        <v/>
      </c>
      <c r="K604" s="0" t="str">
        <f aca="false">IFERROR(IF(OR(HLOOKUP($A604,#REF!,9,FALSE())&gt;2,HLOOKUP($A604,#REF!,9,FALSE())&lt;-2),"",#REF!),"")</f>
        <v/>
      </c>
      <c r="L604" s="0" t="str">
        <f aca="false">IFERROR(IF(OR(HLOOKUP($A604,#REF!,10,FALSE())&gt;2,HLOOKUP($A604,#REF!,10,FALSE())&lt;-2),"",#REF!),"")</f>
        <v/>
      </c>
      <c r="M604" s="0" t="str">
        <f aca="false">IFERROR(IF(OR(HLOOKUP($A604,#REF!,11,FALSE())&gt;2,HLOOKUP($A604,#REF!,11,FALSE())&lt;-2),"",#REF!),"")</f>
        <v/>
      </c>
      <c r="N604" s="0" t="str">
        <f aca="false">IFERROR(IF(OR(HLOOKUP($A604,#REF!,12,FALSE())&gt;2,HLOOKUP($A604,#REF!,12,FALSE())&lt;-2),"",#REF!),"")</f>
        <v/>
      </c>
      <c r="O604" s="0" t="str">
        <f aca="false">IFERROR(IF(OR(HLOOKUP($A604,#REF!,13,FALSE())&gt;2,HLOOKUP($A604,#REF!,13,FALSE())&lt;-2),"",#REF!),"")</f>
        <v/>
      </c>
      <c r="P604" s="0" t="str">
        <f aca="false">IFERROR(IF(OR(HLOOKUP($A604,#REF!,14,FALSE())&gt;2,HLOOKUP($A604,#REF!,14,FALSE())&lt;-2),"",#REF!),"")</f>
        <v/>
      </c>
      <c r="Q604" s="0" t="str">
        <f aca="false">IFERROR(IF(OR(HLOOKUP($A604,#REF!,15,FALSE())&gt;2,HLOOKUP($A604,#REF!,15,FALSE())&lt;-2),"",#REF!),"")</f>
        <v/>
      </c>
      <c r="R604" s="0" t="str">
        <f aca="false">IFERROR(IF(OR(HLOOKUP($A604,#REF!,16,FALSE())&gt;2,HLOOKUP($A604,#REF!,16,FALSE())&lt;-2),"",#REF!),"")</f>
        <v/>
      </c>
      <c r="S604" s="0" t="str">
        <f aca="false">IFERROR(IF(OR(HLOOKUP($A604,#REF!,17,FALSE())&gt;2,HLOOKUP($A604,#REF!,17,FALSE())&lt;-2),"",#REF!),"")</f>
        <v/>
      </c>
      <c r="T604" s="0" t="str">
        <f aca="false">IFERROR(IF(OR(HLOOKUP($A604,#REF!,18,FALSE())&gt;2,HLOOKUP($A604,#REF!,18,FALSE())&lt;-2),"",#REF!),"")</f>
        <v/>
      </c>
      <c r="U604" s="0" t="str">
        <f aca="false">IFERROR(IF(OR(HLOOKUP($A604,#REF!,19,FALSE())&gt;2,HLOOKUP($A604,#REF!,19,FALSE())&lt;-2),"",#REF!),"")</f>
        <v/>
      </c>
      <c r="V604" s="0" t="n">
        <f aca="false">IFERROR(IF(AND(X604=0,Y604=0),0,1),0)</f>
        <v>1</v>
      </c>
      <c r="W604" s="3" t="str">
        <f aca="false">IFERROR(_xlfn.T.TEST(E604:M604,N604:U604,2,2),"")</f>
        <v/>
      </c>
      <c r="X604" s="0" t="str">
        <f aca="false">IFERROR(AVERAGE(E604:M604),"")</f>
        <v/>
      </c>
      <c r="Y604" s="0" t="str">
        <f aca="false">IFERROR(AVERAGE(N604:U604),"")</f>
        <v/>
      </c>
    </row>
    <row r="605" customFormat="false" ht="14.5" hidden="false" customHeight="false" outlineLevel="0" collapsed="false">
      <c r="A605" s="0" t="n">
        <v>613</v>
      </c>
      <c r="B605" s="0" t="s">
        <v>669</v>
      </c>
      <c r="C605" s="0" t="n">
        <v>15900</v>
      </c>
      <c r="D605" s="0" t="n">
        <v>409</v>
      </c>
      <c r="E605" s="0" t="str">
        <f aca="false">IFERROR(IF(OR(HLOOKUP($A605,#REF!,3,FALSE())&gt;2,HLOOKUP(A605,#REF!,3,FALSE())&lt;-2),"",#REF!),"")</f>
        <v/>
      </c>
      <c r="F605" s="0" t="str">
        <f aca="false">IFERROR(IF(OR(HLOOKUP($A605,#REF!,4,FALSE())&gt;2,HLOOKUP($A605,#REF!,4,FALSE())&lt;-2),"",#REF!),"")</f>
        <v/>
      </c>
      <c r="G605" s="0" t="str">
        <f aca="false">IFERROR(IF(OR(HLOOKUP($A605,#REF!,5,FALSE())&gt;2,HLOOKUP($A605,#REF!,5,FALSE())&lt;-2),"",#REF!),"")</f>
        <v/>
      </c>
      <c r="H605" s="0" t="str">
        <f aca="false">IFERROR(IF(OR(HLOOKUP($A605,#REF!,6,FALSE())&gt;2,HLOOKUP($A605,#REF!,6,FALSE())&lt;-2),"",#REF!),"")</f>
        <v/>
      </c>
      <c r="I605" s="0" t="str">
        <f aca="false">IFERROR(IF(OR(HLOOKUP($A605,#REF!,7,FALSE())&gt;2,HLOOKUP($A605,#REF!,7,FALSE())&lt;-2),"",#REF!),"")</f>
        <v/>
      </c>
      <c r="J605" s="0" t="str">
        <f aca="false">IFERROR(IF(OR(HLOOKUP($A605,#REF!,8,FALSE())&gt;2,HLOOKUP($A605,#REF!,8,FALSE())&lt;-2),"",#REF!),"")</f>
        <v/>
      </c>
      <c r="K605" s="0" t="str">
        <f aca="false">IFERROR(IF(OR(HLOOKUP($A605,#REF!,9,FALSE())&gt;2,HLOOKUP($A605,#REF!,9,FALSE())&lt;-2),"",#REF!),"")</f>
        <v/>
      </c>
      <c r="L605" s="0" t="str">
        <f aca="false">IFERROR(IF(OR(HLOOKUP($A605,#REF!,10,FALSE())&gt;2,HLOOKUP($A605,#REF!,10,FALSE())&lt;-2),"",#REF!),"")</f>
        <v/>
      </c>
      <c r="M605" s="0" t="str">
        <f aca="false">IFERROR(IF(OR(HLOOKUP($A605,#REF!,11,FALSE())&gt;2,HLOOKUP($A605,#REF!,11,FALSE())&lt;-2),"",#REF!),"")</f>
        <v/>
      </c>
      <c r="N605" s="0" t="str">
        <f aca="false">IFERROR(IF(OR(HLOOKUP($A605,#REF!,12,FALSE())&gt;2,HLOOKUP($A605,#REF!,12,FALSE())&lt;-2),"",#REF!),"")</f>
        <v/>
      </c>
      <c r="O605" s="0" t="str">
        <f aca="false">IFERROR(IF(OR(HLOOKUP($A605,#REF!,13,FALSE())&gt;2,HLOOKUP($A605,#REF!,13,FALSE())&lt;-2),"",#REF!),"")</f>
        <v/>
      </c>
      <c r="P605" s="0" t="str">
        <f aca="false">IFERROR(IF(OR(HLOOKUP($A605,#REF!,14,FALSE())&gt;2,HLOOKUP($A605,#REF!,14,FALSE())&lt;-2),"",#REF!),"")</f>
        <v/>
      </c>
      <c r="Q605" s="0" t="str">
        <f aca="false">IFERROR(IF(OR(HLOOKUP($A605,#REF!,15,FALSE())&gt;2,HLOOKUP($A605,#REF!,15,FALSE())&lt;-2),"",#REF!),"")</f>
        <v/>
      </c>
      <c r="R605" s="0" t="str">
        <f aca="false">IFERROR(IF(OR(HLOOKUP($A605,#REF!,16,FALSE())&gt;2,HLOOKUP($A605,#REF!,16,FALSE())&lt;-2),"",#REF!),"")</f>
        <v/>
      </c>
      <c r="S605" s="0" t="str">
        <f aca="false">IFERROR(IF(OR(HLOOKUP($A605,#REF!,17,FALSE())&gt;2,HLOOKUP($A605,#REF!,17,FALSE())&lt;-2),"",#REF!),"")</f>
        <v/>
      </c>
      <c r="T605" s="0" t="str">
        <f aca="false">IFERROR(IF(OR(HLOOKUP($A605,#REF!,18,FALSE())&gt;2,HLOOKUP($A605,#REF!,18,FALSE())&lt;-2),"",#REF!),"")</f>
        <v/>
      </c>
      <c r="U605" s="0" t="str">
        <f aca="false">IFERROR(IF(OR(HLOOKUP($A605,#REF!,19,FALSE())&gt;2,HLOOKUP($A605,#REF!,19,FALSE())&lt;-2),"",#REF!),"")</f>
        <v/>
      </c>
      <c r="V605" s="0" t="n">
        <f aca="false">IFERROR(IF(AND(X605=0,Y605=0),0,1),0)</f>
        <v>1</v>
      </c>
      <c r="W605" s="3" t="str">
        <f aca="false">IFERROR(_xlfn.T.TEST(E605:M605,N605:U605,2,2),"")</f>
        <v/>
      </c>
      <c r="X605" s="0" t="str">
        <f aca="false">IFERROR(AVERAGE(E605:M605),"")</f>
        <v/>
      </c>
      <c r="Y605" s="0" t="str">
        <f aca="false">IFERROR(AVERAGE(N605:U605),"")</f>
        <v/>
      </c>
    </row>
    <row r="606" customFormat="false" ht="14.5" hidden="false" customHeight="false" outlineLevel="0" collapsed="false">
      <c r="A606" s="0" t="n">
        <v>614</v>
      </c>
      <c r="B606" s="0" t="s">
        <v>670</v>
      </c>
      <c r="C606" s="0" t="n">
        <v>78000</v>
      </c>
      <c r="D606" s="0" t="n">
        <v>290</v>
      </c>
      <c r="E606" s="0" t="str">
        <f aca="false">IFERROR(IF(OR(HLOOKUP($A606,#REF!,3,FALSE())&gt;2,HLOOKUP(A606,#REF!,3,FALSE())&lt;-2),"",#REF!),"")</f>
        <v/>
      </c>
      <c r="F606" s="0" t="str">
        <f aca="false">IFERROR(IF(OR(HLOOKUP($A606,#REF!,4,FALSE())&gt;2,HLOOKUP($A606,#REF!,4,FALSE())&lt;-2),"",#REF!),"")</f>
        <v/>
      </c>
      <c r="G606" s="0" t="str">
        <f aca="false">IFERROR(IF(OR(HLOOKUP($A606,#REF!,5,FALSE())&gt;2,HLOOKUP($A606,#REF!,5,FALSE())&lt;-2),"",#REF!),"")</f>
        <v/>
      </c>
      <c r="H606" s="0" t="str">
        <f aca="false">IFERROR(IF(OR(HLOOKUP($A606,#REF!,6,FALSE())&gt;2,HLOOKUP($A606,#REF!,6,FALSE())&lt;-2),"",#REF!),"")</f>
        <v/>
      </c>
      <c r="I606" s="0" t="str">
        <f aca="false">IFERROR(IF(OR(HLOOKUP($A606,#REF!,7,FALSE())&gt;2,HLOOKUP($A606,#REF!,7,FALSE())&lt;-2),"",#REF!),"")</f>
        <v/>
      </c>
      <c r="J606" s="0" t="str">
        <f aca="false">IFERROR(IF(OR(HLOOKUP($A606,#REF!,8,FALSE())&gt;2,HLOOKUP($A606,#REF!,8,FALSE())&lt;-2),"",#REF!),"")</f>
        <v/>
      </c>
      <c r="K606" s="0" t="str">
        <f aca="false">IFERROR(IF(OR(HLOOKUP($A606,#REF!,9,FALSE())&gt;2,HLOOKUP($A606,#REF!,9,FALSE())&lt;-2),"",#REF!),"")</f>
        <v/>
      </c>
      <c r="L606" s="0" t="str">
        <f aca="false">IFERROR(IF(OR(HLOOKUP($A606,#REF!,10,FALSE())&gt;2,HLOOKUP($A606,#REF!,10,FALSE())&lt;-2),"",#REF!),"")</f>
        <v/>
      </c>
      <c r="M606" s="0" t="str">
        <f aca="false">IFERROR(IF(OR(HLOOKUP($A606,#REF!,11,FALSE())&gt;2,HLOOKUP($A606,#REF!,11,FALSE())&lt;-2),"",#REF!),"")</f>
        <v/>
      </c>
      <c r="N606" s="0" t="str">
        <f aca="false">IFERROR(IF(OR(HLOOKUP($A606,#REF!,12,FALSE())&gt;2,HLOOKUP($A606,#REF!,12,FALSE())&lt;-2),"",#REF!),"")</f>
        <v/>
      </c>
      <c r="O606" s="0" t="str">
        <f aca="false">IFERROR(IF(OR(HLOOKUP($A606,#REF!,13,FALSE())&gt;2,HLOOKUP($A606,#REF!,13,FALSE())&lt;-2),"",#REF!),"")</f>
        <v/>
      </c>
      <c r="P606" s="0" t="str">
        <f aca="false">IFERROR(IF(OR(HLOOKUP($A606,#REF!,14,FALSE())&gt;2,HLOOKUP($A606,#REF!,14,FALSE())&lt;-2),"",#REF!),"")</f>
        <v/>
      </c>
      <c r="Q606" s="0" t="str">
        <f aca="false">IFERROR(IF(OR(HLOOKUP($A606,#REF!,15,FALSE())&gt;2,HLOOKUP($A606,#REF!,15,FALSE())&lt;-2),"",#REF!),"")</f>
        <v/>
      </c>
      <c r="R606" s="0" t="str">
        <f aca="false">IFERROR(IF(OR(HLOOKUP($A606,#REF!,16,FALSE())&gt;2,HLOOKUP($A606,#REF!,16,FALSE())&lt;-2),"",#REF!),"")</f>
        <v/>
      </c>
      <c r="S606" s="0" t="str">
        <f aca="false">IFERROR(IF(OR(HLOOKUP($A606,#REF!,17,FALSE())&gt;2,HLOOKUP($A606,#REF!,17,FALSE())&lt;-2),"",#REF!),"")</f>
        <v/>
      </c>
      <c r="T606" s="0" t="str">
        <f aca="false">IFERROR(IF(OR(HLOOKUP($A606,#REF!,18,FALSE())&gt;2,HLOOKUP($A606,#REF!,18,FALSE())&lt;-2),"",#REF!),"")</f>
        <v/>
      </c>
      <c r="U606" s="0" t="str">
        <f aca="false">IFERROR(IF(OR(HLOOKUP($A606,#REF!,19,FALSE())&gt;2,HLOOKUP($A606,#REF!,19,FALSE())&lt;-2),"",#REF!),"")</f>
        <v/>
      </c>
      <c r="V606" s="0" t="n">
        <f aca="false">IFERROR(IF(AND(X606=0,Y606=0),0,1),0)</f>
        <v>1</v>
      </c>
      <c r="W606" s="3" t="str">
        <f aca="false">IFERROR(_xlfn.T.TEST(E606:M606,N606:U606,2,2),"")</f>
        <v/>
      </c>
      <c r="X606" s="0" t="str">
        <f aca="false">IFERROR(AVERAGE(E606:M606),"")</f>
        <v/>
      </c>
      <c r="Y606" s="0" t="str">
        <f aca="false">IFERROR(AVERAGE(N606:U606),"")</f>
        <v/>
      </c>
    </row>
    <row r="607" customFormat="false" ht="14.5" hidden="false" customHeight="false" outlineLevel="0" collapsed="false">
      <c r="A607" s="0" t="n">
        <v>615</v>
      </c>
      <c r="B607" s="0" t="s">
        <v>671</v>
      </c>
      <c r="C607" s="0" t="n">
        <v>83600</v>
      </c>
      <c r="D607" s="0" t="n">
        <v>323</v>
      </c>
      <c r="E607" s="0" t="str">
        <f aca="false">IFERROR(IF(OR(HLOOKUP($A607,#REF!,3,FALSE())&gt;2,HLOOKUP(A607,#REF!,3,FALSE())&lt;-2),"",#REF!),"")</f>
        <v/>
      </c>
      <c r="F607" s="0" t="str">
        <f aca="false">IFERROR(IF(OR(HLOOKUP($A607,#REF!,4,FALSE())&gt;2,HLOOKUP($A607,#REF!,4,FALSE())&lt;-2),"",#REF!),"")</f>
        <v/>
      </c>
      <c r="G607" s="0" t="str">
        <f aca="false">IFERROR(IF(OR(HLOOKUP($A607,#REF!,5,FALSE())&gt;2,HLOOKUP($A607,#REF!,5,FALSE())&lt;-2),"",#REF!),"")</f>
        <v/>
      </c>
      <c r="H607" s="0" t="str">
        <f aca="false">IFERROR(IF(OR(HLOOKUP($A607,#REF!,6,FALSE())&gt;2,HLOOKUP($A607,#REF!,6,FALSE())&lt;-2),"",#REF!),"")</f>
        <v/>
      </c>
      <c r="I607" s="0" t="str">
        <f aca="false">IFERROR(IF(OR(HLOOKUP($A607,#REF!,7,FALSE())&gt;2,HLOOKUP($A607,#REF!,7,FALSE())&lt;-2),"",#REF!),"")</f>
        <v/>
      </c>
      <c r="J607" s="0" t="str">
        <f aca="false">IFERROR(IF(OR(HLOOKUP($A607,#REF!,8,FALSE())&gt;2,HLOOKUP($A607,#REF!,8,FALSE())&lt;-2),"",#REF!),"")</f>
        <v/>
      </c>
      <c r="K607" s="0" t="str">
        <f aca="false">IFERROR(IF(OR(HLOOKUP($A607,#REF!,9,FALSE())&gt;2,HLOOKUP($A607,#REF!,9,FALSE())&lt;-2),"",#REF!),"")</f>
        <v/>
      </c>
      <c r="L607" s="0" t="str">
        <f aca="false">IFERROR(IF(OR(HLOOKUP($A607,#REF!,10,FALSE())&gt;2,HLOOKUP($A607,#REF!,10,FALSE())&lt;-2),"",#REF!),"")</f>
        <v/>
      </c>
      <c r="M607" s="0" t="str">
        <f aca="false">IFERROR(IF(OR(HLOOKUP($A607,#REF!,11,FALSE())&gt;2,HLOOKUP($A607,#REF!,11,FALSE())&lt;-2),"",#REF!),"")</f>
        <v/>
      </c>
      <c r="N607" s="0" t="str">
        <f aca="false">IFERROR(IF(OR(HLOOKUP($A607,#REF!,12,FALSE())&gt;2,HLOOKUP($A607,#REF!,12,FALSE())&lt;-2),"",#REF!),"")</f>
        <v/>
      </c>
      <c r="O607" s="0" t="str">
        <f aca="false">IFERROR(IF(OR(HLOOKUP($A607,#REF!,13,FALSE())&gt;2,HLOOKUP($A607,#REF!,13,FALSE())&lt;-2),"",#REF!),"")</f>
        <v/>
      </c>
      <c r="P607" s="0" t="str">
        <f aca="false">IFERROR(IF(OR(HLOOKUP($A607,#REF!,14,FALSE())&gt;2,HLOOKUP($A607,#REF!,14,FALSE())&lt;-2),"",#REF!),"")</f>
        <v/>
      </c>
      <c r="Q607" s="0" t="str">
        <f aca="false">IFERROR(IF(OR(HLOOKUP($A607,#REF!,15,FALSE())&gt;2,HLOOKUP($A607,#REF!,15,FALSE())&lt;-2),"",#REF!),"")</f>
        <v/>
      </c>
      <c r="R607" s="0" t="str">
        <f aca="false">IFERROR(IF(OR(HLOOKUP($A607,#REF!,16,FALSE())&gt;2,HLOOKUP($A607,#REF!,16,FALSE())&lt;-2),"",#REF!),"")</f>
        <v/>
      </c>
      <c r="S607" s="0" t="str">
        <f aca="false">IFERROR(IF(OR(HLOOKUP($A607,#REF!,17,FALSE())&gt;2,HLOOKUP($A607,#REF!,17,FALSE())&lt;-2),"",#REF!),"")</f>
        <v/>
      </c>
      <c r="T607" s="0" t="str">
        <f aca="false">IFERROR(IF(OR(HLOOKUP($A607,#REF!,18,FALSE())&gt;2,HLOOKUP($A607,#REF!,18,FALSE())&lt;-2),"",#REF!),"")</f>
        <v/>
      </c>
      <c r="U607" s="0" t="str">
        <f aca="false">IFERROR(IF(OR(HLOOKUP($A607,#REF!,19,FALSE())&gt;2,HLOOKUP($A607,#REF!,19,FALSE())&lt;-2),"",#REF!),"")</f>
        <v/>
      </c>
      <c r="V607" s="0" t="n">
        <f aca="false">IFERROR(IF(AND(X607=0,Y607=0),0,1),0)</f>
        <v>1</v>
      </c>
      <c r="W607" s="3" t="str">
        <f aca="false">IFERROR(_xlfn.T.TEST(E607:M607,N607:U607,2,2),"")</f>
        <v/>
      </c>
      <c r="X607" s="0" t="str">
        <f aca="false">IFERROR(AVERAGE(E607:M607),"")</f>
        <v/>
      </c>
      <c r="Y607" s="0" t="str">
        <f aca="false">IFERROR(AVERAGE(N607:U607),"")</f>
        <v/>
      </c>
    </row>
    <row r="608" customFormat="false" ht="14.5" hidden="false" customHeight="false" outlineLevel="0" collapsed="false">
      <c r="A608" s="0" t="n">
        <v>616</v>
      </c>
      <c r="B608" s="0" t="s">
        <v>672</v>
      </c>
      <c r="C608" s="0" t="n">
        <v>82600</v>
      </c>
      <c r="D608" s="0" t="n">
        <v>323</v>
      </c>
      <c r="E608" s="0" t="str">
        <f aca="false">IFERROR(IF(OR(HLOOKUP($A608,#REF!,3,FALSE())&gt;2,HLOOKUP(A608,#REF!,3,FALSE())&lt;-2),"",#REF!),"")</f>
        <v/>
      </c>
      <c r="F608" s="0" t="str">
        <f aca="false">IFERROR(IF(OR(HLOOKUP($A608,#REF!,4,FALSE())&gt;2,HLOOKUP($A608,#REF!,4,FALSE())&lt;-2),"",#REF!),"")</f>
        <v/>
      </c>
      <c r="G608" s="0" t="str">
        <f aca="false">IFERROR(IF(OR(HLOOKUP($A608,#REF!,5,FALSE())&gt;2,HLOOKUP($A608,#REF!,5,FALSE())&lt;-2),"",#REF!),"")</f>
        <v/>
      </c>
      <c r="H608" s="0" t="str">
        <f aca="false">IFERROR(IF(OR(HLOOKUP($A608,#REF!,6,FALSE())&gt;2,HLOOKUP($A608,#REF!,6,FALSE())&lt;-2),"",#REF!),"")</f>
        <v/>
      </c>
      <c r="I608" s="0" t="str">
        <f aca="false">IFERROR(IF(OR(HLOOKUP($A608,#REF!,7,FALSE())&gt;2,HLOOKUP($A608,#REF!,7,FALSE())&lt;-2),"",#REF!),"")</f>
        <v/>
      </c>
      <c r="J608" s="0" t="str">
        <f aca="false">IFERROR(IF(OR(HLOOKUP($A608,#REF!,8,FALSE())&gt;2,HLOOKUP($A608,#REF!,8,FALSE())&lt;-2),"",#REF!),"")</f>
        <v/>
      </c>
      <c r="K608" s="0" t="str">
        <f aca="false">IFERROR(IF(OR(HLOOKUP($A608,#REF!,9,FALSE())&gt;2,HLOOKUP($A608,#REF!,9,FALSE())&lt;-2),"",#REF!),"")</f>
        <v/>
      </c>
      <c r="L608" s="0" t="str">
        <f aca="false">IFERROR(IF(OR(HLOOKUP($A608,#REF!,10,FALSE())&gt;2,HLOOKUP($A608,#REF!,10,FALSE())&lt;-2),"",#REF!),"")</f>
        <v/>
      </c>
      <c r="M608" s="0" t="str">
        <f aca="false">IFERROR(IF(OR(HLOOKUP($A608,#REF!,11,FALSE())&gt;2,HLOOKUP($A608,#REF!,11,FALSE())&lt;-2),"",#REF!),"")</f>
        <v/>
      </c>
      <c r="N608" s="0" t="str">
        <f aca="false">IFERROR(IF(OR(HLOOKUP($A608,#REF!,12,FALSE())&gt;2,HLOOKUP($A608,#REF!,12,FALSE())&lt;-2),"",#REF!),"")</f>
        <v/>
      </c>
      <c r="O608" s="0" t="str">
        <f aca="false">IFERROR(IF(OR(HLOOKUP($A608,#REF!,13,FALSE())&gt;2,HLOOKUP($A608,#REF!,13,FALSE())&lt;-2),"",#REF!),"")</f>
        <v/>
      </c>
      <c r="P608" s="0" t="str">
        <f aca="false">IFERROR(IF(OR(HLOOKUP($A608,#REF!,14,FALSE())&gt;2,HLOOKUP($A608,#REF!,14,FALSE())&lt;-2),"",#REF!),"")</f>
        <v/>
      </c>
      <c r="Q608" s="0" t="str">
        <f aca="false">IFERROR(IF(OR(HLOOKUP($A608,#REF!,15,FALSE())&gt;2,HLOOKUP($A608,#REF!,15,FALSE())&lt;-2),"",#REF!),"")</f>
        <v/>
      </c>
      <c r="R608" s="0" t="str">
        <f aca="false">IFERROR(IF(OR(HLOOKUP($A608,#REF!,16,FALSE())&gt;2,HLOOKUP($A608,#REF!,16,FALSE())&lt;-2),"",#REF!),"")</f>
        <v/>
      </c>
      <c r="S608" s="0" t="str">
        <f aca="false">IFERROR(IF(OR(HLOOKUP($A608,#REF!,17,FALSE())&gt;2,HLOOKUP($A608,#REF!,17,FALSE())&lt;-2),"",#REF!),"")</f>
        <v/>
      </c>
      <c r="T608" s="0" t="str">
        <f aca="false">IFERROR(IF(OR(HLOOKUP($A608,#REF!,18,FALSE())&gt;2,HLOOKUP($A608,#REF!,18,FALSE())&lt;-2),"",#REF!),"")</f>
        <v/>
      </c>
      <c r="U608" s="0" t="str">
        <f aca="false">IFERROR(IF(OR(HLOOKUP($A608,#REF!,19,FALSE())&gt;2,HLOOKUP($A608,#REF!,19,FALSE())&lt;-2),"",#REF!),"")</f>
        <v/>
      </c>
      <c r="V608" s="0" t="n">
        <f aca="false">IFERROR(IF(AND(X608=0,Y608=0),0,1),0)</f>
        <v>1</v>
      </c>
      <c r="W608" s="3" t="str">
        <f aca="false">IFERROR(_xlfn.T.TEST(E608:M608,N608:U608,2,2),"")</f>
        <v/>
      </c>
      <c r="X608" s="0" t="str">
        <f aca="false">IFERROR(AVERAGE(E608:M608),"")</f>
        <v/>
      </c>
      <c r="Y608" s="0" t="str">
        <f aca="false">IFERROR(AVERAGE(N608:U608),"")</f>
        <v/>
      </c>
    </row>
    <row r="609" customFormat="false" ht="14.5" hidden="false" customHeight="false" outlineLevel="0" collapsed="false">
      <c r="A609" s="0" t="n">
        <v>617</v>
      </c>
      <c r="B609" s="0" t="s">
        <v>673</v>
      </c>
      <c r="C609" s="0" t="n">
        <v>67400</v>
      </c>
      <c r="D609" s="0" t="n">
        <v>362</v>
      </c>
      <c r="E609" s="0" t="str">
        <f aca="false">IFERROR(IF(OR(HLOOKUP($A609,#REF!,3,FALSE())&gt;2,HLOOKUP(A609,#REF!,3,FALSE())&lt;-2),"",#REF!),"")</f>
        <v/>
      </c>
      <c r="F609" s="0" t="str">
        <f aca="false">IFERROR(IF(OR(HLOOKUP($A609,#REF!,4,FALSE())&gt;2,HLOOKUP($A609,#REF!,4,FALSE())&lt;-2),"",#REF!),"")</f>
        <v/>
      </c>
      <c r="G609" s="0" t="str">
        <f aca="false">IFERROR(IF(OR(HLOOKUP($A609,#REF!,5,FALSE())&gt;2,HLOOKUP($A609,#REF!,5,FALSE())&lt;-2),"",#REF!),"")</f>
        <v/>
      </c>
      <c r="H609" s="0" t="str">
        <f aca="false">IFERROR(IF(OR(HLOOKUP($A609,#REF!,6,FALSE())&gt;2,HLOOKUP($A609,#REF!,6,FALSE())&lt;-2),"",#REF!),"")</f>
        <v/>
      </c>
      <c r="I609" s="0" t="str">
        <f aca="false">IFERROR(IF(OR(HLOOKUP($A609,#REF!,7,FALSE())&gt;2,HLOOKUP($A609,#REF!,7,FALSE())&lt;-2),"",#REF!),"")</f>
        <v/>
      </c>
      <c r="J609" s="0" t="str">
        <f aca="false">IFERROR(IF(OR(HLOOKUP($A609,#REF!,8,FALSE())&gt;2,HLOOKUP($A609,#REF!,8,FALSE())&lt;-2),"",#REF!),"")</f>
        <v/>
      </c>
      <c r="K609" s="0" t="str">
        <f aca="false">IFERROR(IF(OR(HLOOKUP($A609,#REF!,9,FALSE())&gt;2,HLOOKUP($A609,#REF!,9,FALSE())&lt;-2),"",#REF!),"")</f>
        <v/>
      </c>
      <c r="L609" s="0" t="str">
        <f aca="false">IFERROR(IF(OR(HLOOKUP($A609,#REF!,10,FALSE())&gt;2,HLOOKUP($A609,#REF!,10,FALSE())&lt;-2),"",#REF!),"")</f>
        <v/>
      </c>
      <c r="M609" s="0" t="str">
        <f aca="false">IFERROR(IF(OR(HLOOKUP($A609,#REF!,11,FALSE())&gt;2,HLOOKUP($A609,#REF!,11,FALSE())&lt;-2),"",#REF!),"")</f>
        <v/>
      </c>
      <c r="N609" s="0" t="str">
        <f aca="false">IFERROR(IF(OR(HLOOKUP($A609,#REF!,12,FALSE())&gt;2,HLOOKUP($A609,#REF!,12,FALSE())&lt;-2),"",#REF!),"")</f>
        <v/>
      </c>
      <c r="O609" s="0" t="str">
        <f aca="false">IFERROR(IF(OR(HLOOKUP($A609,#REF!,13,FALSE())&gt;2,HLOOKUP($A609,#REF!,13,FALSE())&lt;-2),"",#REF!),"")</f>
        <v/>
      </c>
      <c r="P609" s="0" t="str">
        <f aca="false">IFERROR(IF(OR(HLOOKUP($A609,#REF!,14,FALSE())&gt;2,HLOOKUP($A609,#REF!,14,FALSE())&lt;-2),"",#REF!),"")</f>
        <v/>
      </c>
      <c r="Q609" s="0" t="str">
        <f aca="false">IFERROR(IF(OR(HLOOKUP($A609,#REF!,15,FALSE())&gt;2,HLOOKUP($A609,#REF!,15,FALSE())&lt;-2),"",#REF!),"")</f>
        <v/>
      </c>
      <c r="R609" s="0" t="str">
        <f aca="false">IFERROR(IF(OR(HLOOKUP($A609,#REF!,16,FALSE())&gt;2,HLOOKUP($A609,#REF!,16,FALSE())&lt;-2),"",#REF!),"")</f>
        <v/>
      </c>
      <c r="S609" s="0" t="str">
        <f aca="false">IFERROR(IF(OR(HLOOKUP($A609,#REF!,17,FALSE())&gt;2,HLOOKUP($A609,#REF!,17,FALSE())&lt;-2),"",#REF!),"")</f>
        <v/>
      </c>
      <c r="T609" s="0" t="str">
        <f aca="false">IFERROR(IF(OR(HLOOKUP($A609,#REF!,18,FALSE())&gt;2,HLOOKUP($A609,#REF!,18,FALSE())&lt;-2),"",#REF!),"")</f>
        <v/>
      </c>
      <c r="U609" s="0" t="str">
        <f aca="false">IFERROR(IF(OR(HLOOKUP($A609,#REF!,19,FALSE())&gt;2,HLOOKUP($A609,#REF!,19,FALSE())&lt;-2),"",#REF!),"")</f>
        <v/>
      </c>
      <c r="V609" s="0" t="n">
        <f aca="false">IFERROR(IF(AND(X609=0,Y609=0),0,1),0)</f>
        <v>1</v>
      </c>
      <c r="W609" s="3" t="str">
        <f aca="false">IFERROR(_xlfn.T.TEST(E609:M609,N609:U609,2,2),"")</f>
        <v/>
      </c>
      <c r="X609" s="0" t="str">
        <f aca="false">IFERROR(AVERAGE(E609:M609),"")</f>
        <v/>
      </c>
      <c r="Y609" s="0" t="str">
        <f aca="false">IFERROR(AVERAGE(N609:U609),"")</f>
        <v/>
      </c>
    </row>
    <row r="610" customFormat="false" ht="14.5" hidden="false" customHeight="false" outlineLevel="0" collapsed="false">
      <c r="A610" s="0" t="n">
        <v>618</v>
      </c>
      <c r="B610" s="0" t="s">
        <v>674</v>
      </c>
      <c r="C610" s="0" t="n">
        <v>112000</v>
      </c>
      <c r="D610" s="0" t="n">
        <v>1099</v>
      </c>
      <c r="E610" s="0" t="str">
        <f aca="false">IFERROR(IF(OR(HLOOKUP($A610,#REF!,3,FALSE())&gt;2,HLOOKUP(A610,#REF!,3,FALSE())&lt;-2),"",#REF!),"")</f>
        <v/>
      </c>
      <c r="F610" s="0" t="str">
        <f aca="false">IFERROR(IF(OR(HLOOKUP($A610,#REF!,4,FALSE())&gt;2,HLOOKUP($A610,#REF!,4,FALSE())&lt;-2),"",#REF!),"")</f>
        <v/>
      </c>
      <c r="G610" s="0" t="str">
        <f aca="false">IFERROR(IF(OR(HLOOKUP($A610,#REF!,5,FALSE())&gt;2,HLOOKUP($A610,#REF!,5,FALSE())&lt;-2),"",#REF!),"")</f>
        <v/>
      </c>
      <c r="H610" s="0" t="str">
        <f aca="false">IFERROR(IF(OR(HLOOKUP($A610,#REF!,6,FALSE())&gt;2,HLOOKUP($A610,#REF!,6,FALSE())&lt;-2),"",#REF!),"")</f>
        <v/>
      </c>
      <c r="I610" s="0" t="str">
        <f aca="false">IFERROR(IF(OR(HLOOKUP($A610,#REF!,7,FALSE())&gt;2,HLOOKUP($A610,#REF!,7,FALSE())&lt;-2),"",#REF!),"")</f>
        <v/>
      </c>
      <c r="J610" s="0" t="str">
        <f aca="false">IFERROR(IF(OR(HLOOKUP($A610,#REF!,8,FALSE())&gt;2,HLOOKUP($A610,#REF!,8,FALSE())&lt;-2),"",#REF!),"")</f>
        <v/>
      </c>
      <c r="K610" s="0" t="str">
        <f aca="false">IFERROR(IF(OR(HLOOKUP($A610,#REF!,9,FALSE())&gt;2,HLOOKUP($A610,#REF!,9,FALSE())&lt;-2),"",#REF!),"")</f>
        <v/>
      </c>
      <c r="L610" s="0" t="str">
        <f aca="false">IFERROR(IF(OR(HLOOKUP($A610,#REF!,10,FALSE())&gt;2,HLOOKUP($A610,#REF!,10,FALSE())&lt;-2),"",#REF!),"")</f>
        <v/>
      </c>
      <c r="M610" s="0" t="str">
        <f aca="false">IFERROR(IF(OR(HLOOKUP($A610,#REF!,11,FALSE())&gt;2,HLOOKUP($A610,#REF!,11,FALSE())&lt;-2),"",#REF!),"")</f>
        <v/>
      </c>
      <c r="N610" s="0" t="str">
        <f aca="false">IFERROR(IF(OR(HLOOKUP($A610,#REF!,12,FALSE())&gt;2,HLOOKUP($A610,#REF!,12,FALSE())&lt;-2),"",#REF!),"")</f>
        <v/>
      </c>
      <c r="O610" s="0" t="str">
        <f aca="false">IFERROR(IF(OR(HLOOKUP($A610,#REF!,13,FALSE())&gt;2,HLOOKUP($A610,#REF!,13,FALSE())&lt;-2),"",#REF!),"")</f>
        <v/>
      </c>
      <c r="P610" s="0" t="str">
        <f aca="false">IFERROR(IF(OR(HLOOKUP($A610,#REF!,14,FALSE())&gt;2,HLOOKUP($A610,#REF!,14,FALSE())&lt;-2),"",#REF!),"")</f>
        <v/>
      </c>
      <c r="Q610" s="0" t="str">
        <f aca="false">IFERROR(IF(OR(HLOOKUP($A610,#REF!,15,FALSE())&gt;2,HLOOKUP($A610,#REF!,15,FALSE())&lt;-2),"",#REF!),"")</f>
        <v/>
      </c>
      <c r="R610" s="0" t="str">
        <f aca="false">IFERROR(IF(OR(HLOOKUP($A610,#REF!,16,FALSE())&gt;2,HLOOKUP($A610,#REF!,16,FALSE())&lt;-2),"",#REF!),"")</f>
        <v/>
      </c>
      <c r="S610" s="0" t="str">
        <f aca="false">IFERROR(IF(OR(HLOOKUP($A610,#REF!,17,FALSE())&gt;2,HLOOKUP($A610,#REF!,17,FALSE())&lt;-2),"",#REF!),"")</f>
        <v/>
      </c>
      <c r="T610" s="0" t="str">
        <f aca="false">IFERROR(IF(OR(HLOOKUP($A610,#REF!,18,FALSE())&gt;2,HLOOKUP($A610,#REF!,18,FALSE())&lt;-2),"",#REF!),"")</f>
        <v/>
      </c>
      <c r="U610" s="0" t="str">
        <f aca="false">IFERROR(IF(OR(HLOOKUP($A610,#REF!,19,FALSE())&gt;2,HLOOKUP($A610,#REF!,19,FALSE())&lt;-2),"",#REF!),"")</f>
        <v/>
      </c>
      <c r="V610" s="0" t="n">
        <f aca="false">IFERROR(IF(AND(X610=0,Y610=0),0,1),0)</f>
        <v>1</v>
      </c>
      <c r="W610" s="3" t="str">
        <f aca="false">IFERROR(_xlfn.T.TEST(E610:M610,N610:U610,2,2),"")</f>
        <v/>
      </c>
      <c r="X610" s="0" t="str">
        <f aca="false">IFERROR(AVERAGE(E610:M610),"")</f>
        <v/>
      </c>
      <c r="Y610" s="0" t="str">
        <f aca="false">IFERROR(AVERAGE(N610:U610),"")</f>
        <v/>
      </c>
    </row>
    <row r="611" customFormat="false" ht="14.5" hidden="false" customHeight="false" outlineLevel="0" collapsed="false">
      <c r="A611" s="0" t="n">
        <v>619</v>
      </c>
      <c r="B611" s="0" t="s">
        <v>675</v>
      </c>
      <c r="C611" s="0" t="n">
        <v>34100</v>
      </c>
      <c r="D611" s="0" t="n">
        <v>698</v>
      </c>
      <c r="E611" s="0" t="str">
        <f aca="false">IFERROR(IF(OR(HLOOKUP($A611,#REF!,3,FALSE())&gt;2,HLOOKUP(A611,#REF!,3,FALSE())&lt;-2),"",#REF!),"")</f>
        <v/>
      </c>
      <c r="F611" s="0" t="str">
        <f aca="false">IFERROR(IF(OR(HLOOKUP($A611,#REF!,4,FALSE())&gt;2,HLOOKUP($A611,#REF!,4,FALSE())&lt;-2),"",#REF!),"")</f>
        <v/>
      </c>
      <c r="G611" s="0" t="str">
        <f aca="false">IFERROR(IF(OR(HLOOKUP($A611,#REF!,5,FALSE())&gt;2,HLOOKUP($A611,#REF!,5,FALSE())&lt;-2),"",#REF!),"")</f>
        <v/>
      </c>
      <c r="H611" s="0" t="str">
        <f aca="false">IFERROR(IF(OR(HLOOKUP($A611,#REF!,6,FALSE())&gt;2,HLOOKUP($A611,#REF!,6,FALSE())&lt;-2),"",#REF!),"")</f>
        <v/>
      </c>
      <c r="I611" s="0" t="str">
        <f aca="false">IFERROR(IF(OR(HLOOKUP($A611,#REF!,7,FALSE())&gt;2,HLOOKUP($A611,#REF!,7,FALSE())&lt;-2),"",#REF!),"")</f>
        <v/>
      </c>
      <c r="J611" s="0" t="str">
        <f aca="false">IFERROR(IF(OR(HLOOKUP($A611,#REF!,8,FALSE())&gt;2,HLOOKUP($A611,#REF!,8,FALSE())&lt;-2),"",#REF!),"")</f>
        <v/>
      </c>
      <c r="K611" s="0" t="str">
        <f aca="false">IFERROR(IF(OR(HLOOKUP($A611,#REF!,9,FALSE())&gt;2,HLOOKUP($A611,#REF!,9,FALSE())&lt;-2),"",#REF!),"")</f>
        <v/>
      </c>
      <c r="L611" s="0" t="str">
        <f aca="false">IFERROR(IF(OR(HLOOKUP($A611,#REF!,10,FALSE())&gt;2,HLOOKUP($A611,#REF!,10,FALSE())&lt;-2),"",#REF!),"")</f>
        <v/>
      </c>
      <c r="M611" s="0" t="str">
        <f aca="false">IFERROR(IF(OR(HLOOKUP($A611,#REF!,11,FALSE())&gt;2,HLOOKUP($A611,#REF!,11,FALSE())&lt;-2),"",#REF!),"")</f>
        <v/>
      </c>
      <c r="N611" s="0" t="str">
        <f aca="false">IFERROR(IF(OR(HLOOKUP($A611,#REF!,12,FALSE())&gt;2,HLOOKUP($A611,#REF!,12,FALSE())&lt;-2),"",#REF!),"")</f>
        <v/>
      </c>
      <c r="O611" s="0" t="str">
        <f aca="false">IFERROR(IF(OR(HLOOKUP($A611,#REF!,13,FALSE())&gt;2,HLOOKUP($A611,#REF!,13,FALSE())&lt;-2),"",#REF!),"")</f>
        <v/>
      </c>
      <c r="P611" s="0" t="str">
        <f aca="false">IFERROR(IF(OR(HLOOKUP($A611,#REF!,14,FALSE())&gt;2,HLOOKUP($A611,#REF!,14,FALSE())&lt;-2),"",#REF!),"")</f>
        <v/>
      </c>
      <c r="Q611" s="0" t="str">
        <f aca="false">IFERROR(IF(OR(HLOOKUP($A611,#REF!,15,FALSE())&gt;2,HLOOKUP($A611,#REF!,15,FALSE())&lt;-2),"",#REF!),"")</f>
        <v/>
      </c>
      <c r="R611" s="0" t="str">
        <f aca="false">IFERROR(IF(OR(HLOOKUP($A611,#REF!,16,FALSE())&gt;2,HLOOKUP($A611,#REF!,16,FALSE())&lt;-2),"",#REF!),"")</f>
        <v/>
      </c>
      <c r="S611" s="0" t="str">
        <f aca="false">IFERROR(IF(OR(HLOOKUP($A611,#REF!,17,FALSE())&gt;2,HLOOKUP($A611,#REF!,17,FALSE())&lt;-2),"",#REF!),"")</f>
        <v/>
      </c>
      <c r="T611" s="0" t="str">
        <f aca="false">IFERROR(IF(OR(HLOOKUP($A611,#REF!,18,FALSE())&gt;2,HLOOKUP($A611,#REF!,18,FALSE())&lt;-2),"",#REF!),"")</f>
        <v/>
      </c>
      <c r="U611" s="0" t="str">
        <f aca="false">IFERROR(IF(OR(HLOOKUP($A611,#REF!,19,FALSE())&gt;2,HLOOKUP($A611,#REF!,19,FALSE())&lt;-2),"",#REF!),"")</f>
        <v/>
      </c>
      <c r="V611" s="0" t="n">
        <f aca="false">IFERROR(IF(AND(X611=0,Y611=0),0,1),0)</f>
        <v>1</v>
      </c>
      <c r="W611" s="3" t="str">
        <f aca="false">IFERROR(_xlfn.T.TEST(E611:M611,N611:U611,2,2),"")</f>
        <v/>
      </c>
      <c r="X611" s="0" t="str">
        <f aca="false">IFERROR(AVERAGE(E611:M611),"")</f>
        <v/>
      </c>
      <c r="Y611" s="0" t="str">
        <f aca="false">IFERROR(AVERAGE(N611:U611),"")</f>
        <v/>
      </c>
    </row>
    <row r="612" customFormat="false" ht="14.5" hidden="false" customHeight="false" outlineLevel="0" collapsed="false">
      <c r="A612" s="0" t="n">
        <v>620</v>
      </c>
      <c r="B612" s="0" t="s">
        <v>676</v>
      </c>
      <c r="C612" s="0" t="n">
        <v>22400</v>
      </c>
      <c r="D612" s="0" t="n">
        <v>731</v>
      </c>
      <c r="E612" s="0" t="str">
        <f aca="false">IFERROR(IF(OR(HLOOKUP($A612,#REF!,3,FALSE())&gt;2,HLOOKUP(A612,#REF!,3,FALSE())&lt;-2),"",#REF!),"")</f>
        <v/>
      </c>
      <c r="F612" s="0" t="str">
        <f aca="false">IFERROR(IF(OR(HLOOKUP($A612,#REF!,4,FALSE())&gt;2,HLOOKUP($A612,#REF!,4,FALSE())&lt;-2),"",#REF!),"")</f>
        <v/>
      </c>
      <c r="G612" s="0" t="str">
        <f aca="false">IFERROR(IF(OR(HLOOKUP($A612,#REF!,5,FALSE())&gt;2,HLOOKUP($A612,#REF!,5,FALSE())&lt;-2),"",#REF!),"")</f>
        <v/>
      </c>
      <c r="H612" s="0" t="str">
        <f aca="false">IFERROR(IF(OR(HLOOKUP($A612,#REF!,6,FALSE())&gt;2,HLOOKUP($A612,#REF!,6,FALSE())&lt;-2),"",#REF!),"")</f>
        <v/>
      </c>
      <c r="I612" s="0" t="str">
        <f aca="false">IFERROR(IF(OR(HLOOKUP($A612,#REF!,7,FALSE())&gt;2,HLOOKUP($A612,#REF!,7,FALSE())&lt;-2),"",#REF!),"")</f>
        <v/>
      </c>
      <c r="J612" s="0" t="str">
        <f aca="false">IFERROR(IF(OR(HLOOKUP($A612,#REF!,8,FALSE())&gt;2,HLOOKUP($A612,#REF!,8,FALSE())&lt;-2),"",#REF!),"")</f>
        <v/>
      </c>
      <c r="K612" s="0" t="str">
        <f aca="false">IFERROR(IF(OR(HLOOKUP($A612,#REF!,9,FALSE())&gt;2,HLOOKUP($A612,#REF!,9,FALSE())&lt;-2),"",#REF!),"")</f>
        <v/>
      </c>
      <c r="L612" s="0" t="str">
        <f aca="false">IFERROR(IF(OR(HLOOKUP($A612,#REF!,10,FALSE())&gt;2,HLOOKUP($A612,#REF!,10,FALSE())&lt;-2),"",#REF!),"")</f>
        <v/>
      </c>
      <c r="M612" s="0" t="str">
        <f aca="false">IFERROR(IF(OR(HLOOKUP($A612,#REF!,11,FALSE())&gt;2,HLOOKUP($A612,#REF!,11,FALSE())&lt;-2),"",#REF!),"")</f>
        <v/>
      </c>
      <c r="N612" s="0" t="str">
        <f aca="false">IFERROR(IF(OR(HLOOKUP($A612,#REF!,12,FALSE())&gt;2,HLOOKUP($A612,#REF!,12,FALSE())&lt;-2),"",#REF!),"")</f>
        <v/>
      </c>
      <c r="O612" s="0" t="str">
        <f aca="false">IFERROR(IF(OR(HLOOKUP($A612,#REF!,13,FALSE())&gt;2,HLOOKUP($A612,#REF!,13,FALSE())&lt;-2),"",#REF!),"")</f>
        <v/>
      </c>
      <c r="P612" s="0" t="str">
        <f aca="false">IFERROR(IF(OR(HLOOKUP($A612,#REF!,14,FALSE())&gt;2,HLOOKUP($A612,#REF!,14,FALSE())&lt;-2),"",#REF!),"")</f>
        <v/>
      </c>
      <c r="Q612" s="0" t="str">
        <f aca="false">IFERROR(IF(OR(HLOOKUP($A612,#REF!,15,FALSE())&gt;2,HLOOKUP($A612,#REF!,15,FALSE())&lt;-2),"",#REF!),"")</f>
        <v/>
      </c>
      <c r="R612" s="0" t="str">
        <f aca="false">IFERROR(IF(OR(HLOOKUP($A612,#REF!,16,FALSE())&gt;2,HLOOKUP($A612,#REF!,16,FALSE())&lt;-2),"",#REF!),"")</f>
        <v/>
      </c>
      <c r="S612" s="0" t="str">
        <f aca="false">IFERROR(IF(OR(HLOOKUP($A612,#REF!,17,FALSE())&gt;2,HLOOKUP($A612,#REF!,17,FALSE())&lt;-2),"",#REF!),"")</f>
        <v/>
      </c>
      <c r="T612" s="0" t="str">
        <f aca="false">IFERROR(IF(OR(HLOOKUP($A612,#REF!,18,FALSE())&gt;2,HLOOKUP($A612,#REF!,18,FALSE())&lt;-2),"",#REF!),"")</f>
        <v/>
      </c>
      <c r="U612" s="0" t="str">
        <f aca="false">IFERROR(IF(OR(HLOOKUP($A612,#REF!,19,FALSE())&gt;2,HLOOKUP($A612,#REF!,19,FALSE())&lt;-2),"",#REF!),"")</f>
        <v/>
      </c>
      <c r="V612" s="0" t="n">
        <f aca="false">IFERROR(IF(AND(X612=0,Y612=0),0,1),0)</f>
        <v>1</v>
      </c>
      <c r="W612" s="3" t="str">
        <f aca="false">IFERROR(_xlfn.T.TEST(E612:M612,N612:U612,2,2),"")</f>
        <v/>
      </c>
      <c r="X612" s="0" t="str">
        <f aca="false">IFERROR(AVERAGE(E612:M612),"")</f>
        <v/>
      </c>
      <c r="Y612" s="0" t="str">
        <f aca="false">IFERROR(AVERAGE(N612:U612),"")</f>
        <v/>
      </c>
    </row>
    <row r="613" customFormat="false" ht="14.5" hidden="false" customHeight="false" outlineLevel="0" collapsed="false">
      <c r="A613" s="0" t="n">
        <v>621</v>
      </c>
      <c r="B613" s="0" t="s">
        <v>677</v>
      </c>
      <c r="C613" s="0" t="n">
        <v>88200</v>
      </c>
      <c r="D613" s="0" t="n">
        <v>987</v>
      </c>
      <c r="E613" s="0" t="str">
        <f aca="false">IFERROR(IF(OR(HLOOKUP($A613,#REF!,3,FALSE())&gt;2,HLOOKUP(A613,#REF!,3,FALSE())&lt;-2),"",#REF!),"")</f>
        <v/>
      </c>
      <c r="F613" s="0" t="str">
        <f aca="false">IFERROR(IF(OR(HLOOKUP($A613,#REF!,4,FALSE())&gt;2,HLOOKUP($A613,#REF!,4,FALSE())&lt;-2),"",#REF!),"")</f>
        <v/>
      </c>
      <c r="G613" s="0" t="str">
        <f aca="false">IFERROR(IF(OR(HLOOKUP($A613,#REF!,5,FALSE())&gt;2,HLOOKUP($A613,#REF!,5,FALSE())&lt;-2),"",#REF!),"")</f>
        <v/>
      </c>
      <c r="H613" s="0" t="str">
        <f aca="false">IFERROR(IF(OR(HLOOKUP($A613,#REF!,6,FALSE())&gt;2,HLOOKUP($A613,#REF!,6,FALSE())&lt;-2),"",#REF!),"")</f>
        <v/>
      </c>
      <c r="I613" s="0" t="str">
        <f aca="false">IFERROR(IF(OR(HLOOKUP($A613,#REF!,7,FALSE())&gt;2,HLOOKUP($A613,#REF!,7,FALSE())&lt;-2),"",#REF!),"")</f>
        <v/>
      </c>
      <c r="J613" s="0" t="str">
        <f aca="false">IFERROR(IF(OR(HLOOKUP($A613,#REF!,8,FALSE())&gt;2,HLOOKUP($A613,#REF!,8,FALSE())&lt;-2),"",#REF!),"")</f>
        <v/>
      </c>
      <c r="K613" s="0" t="str">
        <f aca="false">IFERROR(IF(OR(HLOOKUP($A613,#REF!,9,FALSE())&gt;2,HLOOKUP($A613,#REF!,9,FALSE())&lt;-2),"",#REF!),"")</f>
        <v/>
      </c>
      <c r="L613" s="0" t="str">
        <f aca="false">IFERROR(IF(OR(HLOOKUP($A613,#REF!,10,FALSE())&gt;2,HLOOKUP($A613,#REF!,10,FALSE())&lt;-2),"",#REF!),"")</f>
        <v/>
      </c>
      <c r="M613" s="0" t="str">
        <f aca="false">IFERROR(IF(OR(HLOOKUP($A613,#REF!,11,FALSE())&gt;2,HLOOKUP($A613,#REF!,11,FALSE())&lt;-2),"",#REF!),"")</f>
        <v/>
      </c>
      <c r="N613" s="0" t="str">
        <f aca="false">IFERROR(IF(OR(HLOOKUP($A613,#REF!,12,FALSE())&gt;2,HLOOKUP($A613,#REF!,12,FALSE())&lt;-2),"",#REF!),"")</f>
        <v/>
      </c>
      <c r="O613" s="0" t="str">
        <f aca="false">IFERROR(IF(OR(HLOOKUP($A613,#REF!,13,FALSE())&gt;2,HLOOKUP($A613,#REF!,13,FALSE())&lt;-2),"",#REF!),"")</f>
        <v/>
      </c>
      <c r="P613" s="0" t="str">
        <f aca="false">IFERROR(IF(OR(HLOOKUP($A613,#REF!,14,FALSE())&gt;2,HLOOKUP($A613,#REF!,14,FALSE())&lt;-2),"",#REF!),"")</f>
        <v/>
      </c>
      <c r="Q613" s="0" t="str">
        <f aca="false">IFERROR(IF(OR(HLOOKUP($A613,#REF!,15,FALSE())&gt;2,HLOOKUP($A613,#REF!,15,FALSE())&lt;-2),"",#REF!),"")</f>
        <v/>
      </c>
      <c r="R613" s="0" t="str">
        <f aca="false">IFERROR(IF(OR(HLOOKUP($A613,#REF!,16,FALSE())&gt;2,HLOOKUP($A613,#REF!,16,FALSE())&lt;-2),"",#REF!),"")</f>
        <v/>
      </c>
      <c r="S613" s="0" t="str">
        <f aca="false">IFERROR(IF(OR(HLOOKUP($A613,#REF!,17,FALSE())&gt;2,HLOOKUP($A613,#REF!,17,FALSE())&lt;-2),"",#REF!),"")</f>
        <v/>
      </c>
      <c r="T613" s="0" t="str">
        <f aca="false">IFERROR(IF(OR(HLOOKUP($A613,#REF!,18,FALSE())&gt;2,HLOOKUP($A613,#REF!,18,FALSE())&lt;-2),"",#REF!),"")</f>
        <v/>
      </c>
      <c r="U613" s="0" t="str">
        <f aca="false">IFERROR(IF(OR(HLOOKUP($A613,#REF!,19,FALSE())&gt;2,HLOOKUP($A613,#REF!,19,FALSE())&lt;-2),"",#REF!),"")</f>
        <v/>
      </c>
      <c r="V613" s="0" t="n">
        <f aca="false">IFERROR(IF(AND(X613=0,Y613=0),0,1),0)</f>
        <v>1</v>
      </c>
      <c r="W613" s="3" t="str">
        <f aca="false">IFERROR(_xlfn.T.TEST(E613:M613,N613:U613,2,2),"")</f>
        <v/>
      </c>
      <c r="X613" s="0" t="str">
        <f aca="false">IFERROR(AVERAGE(E613:M613),"")</f>
        <v/>
      </c>
      <c r="Y613" s="0" t="str">
        <f aca="false">IFERROR(AVERAGE(N613:U613),"")</f>
        <v/>
      </c>
    </row>
    <row r="614" customFormat="false" ht="14.5" hidden="false" customHeight="false" outlineLevel="0" collapsed="false">
      <c r="A614" s="0" t="n">
        <v>622</v>
      </c>
      <c r="B614" s="0" t="s">
        <v>65</v>
      </c>
      <c r="C614" s="0" t="n">
        <v>27200</v>
      </c>
      <c r="D614" s="0" t="n">
        <v>886</v>
      </c>
      <c r="E614" s="0" t="str">
        <f aca="false">IFERROR(IF(OR(HLOOKUP($A614,#REF!,3,FALSE())&gt;2,HLOOKUP(A614,#REF!,3,FALSE())&lt;-2),"",#REF!),"")</f>
        <v/>
      </c>
      <c r="F614" s="0" t="str">
        <f aca="false">IFERROR(IF(OR(HLOOKUP($A614,#REF!,4,FALSE())&gt;2,HLOOKUP($A614,#REF!,4,FALSE())&lt;-2),"",#REF!),"")</f>
        <v/>
      </c>
      <c r="G614" s="0" t="str">
        <f aca="false">IFERROR(IF(OR(HLOOKUP($A614,#REF!,5,FALSE())&gt;2,HLOOKUP($A614,#REF!,5,FALSE())&lt;-2),"",#REF!),"")</f>
        <v/>
      </c>
      <c r="H614" s="0" t="str">
        <f aca="false">IFERROR(IF(OR(HLOOKUP($A614,#REF!,6,FALSE())&gt;2,HLOOKUP($A614,#REF!,6,FALSE())&lt;-2),"",#REF!),"")</f>
        <v/>
      </c>
      <c r="I614" s="0" t="str">
        <f aca="false">IFERROR(IF(OR(HLOOKUP($A614,#REF!,7,FALSE())&gt;2,HLOOKUP($A614,#REF!,7,FALSE())&lt;-2),"",#REF!),"")</f>
        <v/>
      </c>
      <c r="J614" s="0" t="str">
        <f aca="false">IFERROR(IF(OR(HLOOKUP($A614,#REF!,8,FALSE())&gt;2,HLOOKUP($A614,#REF!,8,FALSE())&lt;-2),"",#REF!),"")</f>
        <v/>
      </c>
      <c r="K614" s="0" t="str">
        <f aca="false">IFERROR(IF(OR(HLOOKUP($A614,#REF!,9,FALSE())&gt;2,HLOOKUP($A614,#REF!,9,FALSE())&lt;-2),"",#REF!),"")</f>
        <v/>
      </c>
      <c r="L614" s="0" t="str">
        <f aca="false">IFERROR(IF(OR(HLOOKUP($A614,#REF!,10,FALSE())&gt;2,HLOOKUP($A614,#REF!,10,FALSE())&lt;-2),"",#REF!),"")</f>
        <v/>
      </c>
      <c r="M614" s="0" t="str">
        <f aca="false">IFERROR(IF(OR(HLOOKUP($A614,#REF!,11,FALSE())&gt;2,HLOOKUP($A614,#REF!,11,FALSE())&lt;-2),"",#REF!),"")</f>
        <v/>
      </c>
      <c r="N614" s="0" t="str">
        <f aca="false">IFERROR(IF(OR(HLOOKUP($A614,#REF!,12,FALSE())&gt;2,HLOOKUP($A614,#REF!,12,FALSE())&lt;-2),"",#REF!),"")</f>
        <v/>
      </c>
      <c r="O614" s="0" t="str">
        <f aca="false">IFERROR(IF(OR(HLOOKUP($A614,#REF!,13,FALSE())&gt;2,HLOOKUP($A614,#REF!,13,FALSE())&lt;-2),"",#REF!),"")</f>
        <v/>
      </c>
      <c r="P614" s="0" t="str">
        <f aca="false">IFERROR(IF(OR(HLOOKUP($A614,#REF!,14,FALSE())&gt;2,HLOOKUP($A614,#REF!,14,FALSE())&lt;-2),"",#REF!),"")</f>
        <v/>
      </c>
      <c r="Q614" s="0" t="str">
        <f aca="false">IFERROR(IF(OR(HLOOKUP($A614,#REF!,15,FALSE())&gt;2,HLOOKUP($A614,#REF!,15,FALSE())&lt;-2),"",#REF!),"")</f>
        <v/>
      </c>
      <c r="R614" s="0" t="str">
        <f aca="false">IFERROR(IF(OR(HLOOKUP($A614,#REF!,16,FALSE())&gt;2,HLOOKUP($A614,#REF!,16,FALSE())&lt;-2),"",#REF!),"")</f>
        <v/>
      </c>
      <c r="S614" s="0" t="str">
        <f aca="false">IFERROR(IF(OR(HLOOKUP($A614,#REF!,17,FALSE())&gt;2,HLOOKUP($A614,#REF!,17,FALSE())&lt;-2),"",#REF!),"")</f>
        <v/>
      </c>
      <c r="T614" s="0" t="str">
        <f aca="false">IFERROR(IF(OR(HLOOKUP($A614,#REF!,18,FALSE())&gt;2,HLOOKUP($A614,#REF!,18,FALSE())&lt;-2),"",#REF!),"")</f>
        <v/>
      </c>
      <c r="U614" s="0" t="str">
        <f aca="false">IFERROR(IF(OR(HLOOKUP($A614,#REF!,19,FALSE())&gt;2,HLOOKUP($A614,#REF!,19,FALSE())&lt;-2),"",#REF!),"")</f>
        <v/>
      </c>
      <c r="V614" s="0" t="n">
        <f aca="false">IFERROR(IF(AND(X614=0,Y614=0),0,1),0)</f>
        <v>1</v>
      </c>
      <c r="W614" s="3" t="str">
        <f aca="false">IFERROR(_xlfn.T.TEST(E614:M614,N614:U614,2,2),"")</f>
        <v/>
      </c>
      <c r="X614" s="0" t="str">
        <f aca="false">IFERROR(AVERAGE(E614:M614),"")</f>
        <v/>
      </c>
      <c r="Y614" s="0" t="str">
        <f aca="false">IFERROR(AVERAGE(N614:U614),"")</f>
        <v/>
      </c>
    </row>
    <row r="615" customFormat="false" ht="14.5" hidden="false" customHeight="false" outlineLevel="0" collapsed="false">
      <c r="A615" s="0" t="n">
        <v>623</v>
      </c>
      <c r="B615" s="0" t="s">
        <v>678</v>
      </c>
      <c r="C615" s="0" t="n">
        <v>47900</v>
      </c>
      <c r="D615" s="0" t="n">
        <v>567</v>
      </c>
      <c r="E615" s="0" t="str">
        <f aca="false">IFERROR(IF(OR(HLOOKUP($A615,#REF!,3,FALSE())&gt;2,HLOOKUP(A615,#REF!,3,FALSE())&lt;-2),"",#REF!),"")</f>
        <v/>
      </c>
      <c r="F615" s="0" t="str">
        <f aca="false">IFERROR(IF(OR(HLOOKUP($A615,#REF!,4,FALSE())&gt;2,HLOOKUP($A615,#REF!,4,FALSE())&lt;-2),"",#REF!),"")</f>
        <v/>
      </c>
      <c r="G615" s="0" t="str">
        <f aca="false">IFERROR(IF(OR(HLOOKUP($A615,#REF!,5,FALSE())&gt;2,HLOOKUP($A615,#REF!,5,FALSE())&lt;-2),"",#REF!),"")</f>
        <v/>
      </c>
      <c r="H615" s="0" t="str">
        <f aca="false">IFERROR(IF(OR(HLOOKUP($A615,#REF!,6,FALSE())&gt;2,HLOOKUP($A615,#REF!,6,FALSE())&lt;-2),"",#REF!),"")</f>
        <v/>
      </c>
      <c r="I615" s="0" t="str">
        <f aca="false">IFERROR(IF(OR(HLOOKUP($A615,#REF!,7,FALSE())&gt;2,HLOOKUP($A615,#REF!,7,FALSE())&lt;-2),"",#REF!),"")</f>
        <v/>
      </c>
      <c r="J615" s="0" t="str">
        <f aca="false">IFERROR(IF(OR(HLOOKUP($A615,#REF!,8,FALSE())&gt;2,HLOOKUP($A615,#REF!,8,FALSE())&lt;-2),"",#REF!),"")</f>
        <v/>
      </c>
      <c r="K615" s="0" t="str">
        <f aca="false">IFERROR(IF(OR(HLOOKUP($A615,#REF!,9,FALSE())&gt;2,HLOOKUP($A615,#REF!,9,FALSE())&lt;-2),"",#REF!),"")</f>
        <v/>
      </c>
      <c r="L615" s="0" t="str">
        <f aca="false">IFERROR(IF(OR(HLOOKUP($A615,#REF!,10,FALSE())&gt;2,HLOOKUP($A615,#REF!,10,FALSE())&lt;-2),"",#REF!),"")</f>
        <v/>
      </c>
      <c r="M615" s="0" t="str">
        <f aca="false">IFERROR(IF(OR(HLOOKUP($A615,#REF!,11,FALSE())&gt;2,HLOOKUP($A615,#REF!,11,FALSE())&lt;-2),"",#REF!),"")</f>
        <v/>
      </c>
      <c r="N615" s="0" t="str">
        <f aca="false">IFERROR(IF(OR(HLOOKUP($A615,#REF!,12,FALSE())&gt;2,HLOOKUP($A615,#REF!,12,FALSE())&lt;-2),"",#REF!),"")</f>
        <v/>
      </c>
      <c r="O615" s="0" t="str">
        <f aca="false">IFERROR(IF(OR(HLOOKUP($A615,#REF!,13,FALSE())&gt;2,HLOOKUP($A615,#REF!,13,FALSE())&lt;-2),"",#REF!),"")</f>
        <v/>
      </c>
      <c r="P615" s="0" t="str">
        <f aca="false">IFERROR(IF(OR(HLOOKUP($A615,#REF!,14,FALSE())&gt;2,HLOOKUP($A615,#REF!,14,FALSE())&lt;-2),"",#REF!),"")</f>
        <v/>
      </c>
      <c r="Q615" s="0" t="str">
        <f aca="false">IFERROR(IF(OR(HLOOKUP($A615,#REF!,15,FALSE())&gt;2,HLOOKUP($A615,#REF!,15,FALSE())&lt;-2),"",#REF!),"")</f>
        <v/>
      </c>
      <c r="R615" s="0" t="str">
        <f aca="false">IFERROR(IF(OR(HLOOKUP($A615,#REF!,16,FALSE())&gt;2,HLOOKUP($A615,#REF!,16,FALSE())&lt;-2),"",#REF!),"")</f>
        <v/>
      </c>
      <c r="S615" s="0" t="str">
        <f aca="false">IFERROR(IF(OR(HLOOKUP($A615,#REF!,17,FALSE())&gt;2,HLOOKUP($A615,#REF!,17,FALSE())&lt;-2),"",#REF!),"")</f>
        <v/>
      </c>
      <c r="T615" s="0" t="str">
        <f aca="false">IFERROR(IF(OR(HLOOKUP($A615,#REF!,18,FALSE())&gt;2,HLOOKUP($A615,#REF!,18,FALSE())&lt;-2),"",#REF!),"")</f>
        <v/>
      </c>
      <c r="U615" s="0" t="str">
        <f aca="false">IFERROR(IF(OR(HLOOKUP($A615,#REF!,19,FALSE())&gt;2,HLOOKUP($A615,#REF!,19,FALSE())&lt;-2),"",#REF!),"")</f>
        <v/>
      </c>
      <c r="V615" s="0" t="n">
        <f aca="false">IFERROR(IF(AND(X615=0,Y615=0),0,1),0)</f>
        <v>1</v>
      </c>
      <c r="W615" s="3" t="str">
        <f aca="false">IFERROR(_xlfn.T.TEST(E615:M615,N615:U615,2,2),"")</f>
        <v/>
      </c>
      <c r="X615" s="0" t="str">
        <f aca="false">IFERROR(AVERAGE(E615:M615),"")</f>
        <v/>
      </c>
      <c r="Y615" s="0" t="str">
        <f aca="false">IFERROR(AVERAGE(N615:U615),"")</f>
        <v/>
      </c>
    </row>
    <row r="616" customFormat="false" ht="14.5" hidden="false" customHeight="false" outlineLevel="0" collapsed="false">
      <c r="A616" s="0" t="n">
        <v>624</v>
      </c>
      <c r="B616" s="0" t="s">
        <v>679</v>
      </c>
      <c r="C616" s="0" t="n">
        <v>119100</v>
      </c>
      <c r="D616" s="0" t="n">
        <v>1024</v>
      </c>
      <c r="E616" s="0" t="str">
        <f aca="false">IFERROR(IF(OR(HLOOKUP($A616,#REF!,3,FALSE())&gt;2,HLOOKUP(A616,#REF!,3,FALSE())&lt;-2),"",#REF!),"")</f>
        <v/>
      </c>
      <c r="F616" s="0" t="str">
        <f aca="false">IFERROR(IF(OR(HLOOKUP($A616,#REF!,4,FALSE())&gt;2,HLOOKUP($A616,#REF!,4,FALSE())&lt;-2),"",#REF!),"")</f>
        <v/>
      </c>
      <c r="G616" s="0" t="str">
        <f aca="false">IFERROR(IF(OR(HLOOKUP($A616,#REF!,5,FALSE())&gt;2,HLOOKUP($A616,#REF!,5,FALSE())&lt;-2),"",#REF!),"")</f>
        <v/>
      </c>
      <c r="H616" s="0" t="str">
        <f aca="false">IFERROR(IF(OR(HLOOKUP($A616,#REF!,6,FALSE())&gt;2,HLOOKUP($A616,#REF!,6,FALSE())&lt;-2),"",#REF!),"")</f>
        <v/>
      </c>
      <c r="I616" s="0" t="str">
        <f aca="false">IFERROR(IF(OR(HLOOKUP($A616,#REF!,7,FALSE())&gt;2,HLOOKUP($A616,#REF!,7,FALSE())&lt;-2),"",#REF!),"")</f>
        <v/>
      </c>
      <c r="J616" s="0" t="str">
        <f aca="false">IFERROR(IF(OR(HLOOKUP($A616,#REF!,8,FALSE())&gt;2,HLOOKUP($A616,#REF!,8,FALSE())&lt;-2),"",#REF!),"")</f>
        <v/>
      </c>
      <c r="K616" s="0" t="str">
        <f aca="false">IFERROR(IF(OR(HLOOKUP($A616,#REF!,9,FALSE())&gt;2,HLOOKUP($A616,#REF!,9,FALSE())&lt;-2),"",#REF!),"")</f>
        <v/>
      </c>
      <c r="L616" s="0" t="str">
        <f aca="false">IFERROR(IF(OR(HLOOKUP($A616,#REF!,10,FALSE())&gt;2,HLOOKUP($A616,#REF!,10,FALSE())&lt;-2),"",#REF!),"")</f>
        <v/>
      </c>
      <c r="M616" s="0" t="str">
        <f aca="false">IFERROR(IF(OR(HLOOKUP($A616,#REF!,11,FALSE())&gt;2,HLOOKUP($A616,#REF!,11,FALSE())&lt;-2),"",#REF!),"")</f>
        <v/>
      </c>
      <c r="N616" s="0" t="str">
        <f aca="false">IFERROR(IF(OR(HLOOKUP($A616,#REF!,12,FALSE())&gt;2,HLOOKUP($A616,#REF!,12,FALSE())&lt;-2),"",#REF!),"")</f>
        <v/>
      </c>
      <c r="O616" s="0" t="str">
        <f aca="false">IFERROR(IF(OR(HLOOKUP($A616,#REF!,13,FALSE())&gt;2,HLOOKUP($A616,#REF!,13,FALSE())&lt;-2),"",#REF!),"")</f>
        <v/>
      </c>
      <c r="P616" s="0" t="str">
        <f aca="false">IFERROR(IF(OR(HLOOKUP($A616,#REF!,14,FALSE())&gt;2,HLOOKUP($A616,#REF!,14,FALSE())&lt;-2),"",#REF!),"")</f>
        <v/>
      </c>
      <c r="Q616" s="0" t="str">
        <f aca="false">IFERROR(IF(OR(HLOOKUP($A616,#REF!,15,FALSE())&gt;2,HLOOKUP($A616,#REF!,15,FALSE())&lt;-2),"",#REF!),"")</f>
        <v/>
      </c>
      <c r="R616" s="0" t="str">
        <f aca="false">IFERROR(IF(OR(HLOOKUP($A616,#REF!,16,FALSE())&gt;2,HLOOKUP($A616,#REF!,16,FALSE())&lt;-2),"",#REF!),"")</f>
        <v/>
      </c>
      <c r="S616" s="0" t="str">
        <f aca="false">IFERROR(IF(OR(HLOOKUP($A616,#REF!,17,FALSE())&gt;2,HLOOKUP($A616,#REF!,17,FALSE())&lt;-2),"",#REF!),"")</f>
        <v/>
      </c>
      <c r="T616" s="0" t="str">
        <f aca="false">IFERROR(IF(OR(HLOOKUP($A616,#REF!,18,FALSE())&gt;2,HLOOKUP($A616,#REF!,18,FALSE())&lt;-2),"",#REF!),"")</f>
        <v/>
      </c>
      <c r="U616" s="0" t="str">
        <f aca="false">IFERROR(IF(OR(HLOOKUP($A616,#REF!,19,FALSE())&gt;2,HLOOKUP($A616,#REF!,19,FALSE())&lt;-2),"",#REF!),"")</f>
        <v/>
      </c>
      <c r="V616" s="0" t="n">
        <f aca="false">IFERROR(IF(AND(X616=0,Y616=0),0,1),0)</f>
        <v>1</v>
      </c>
      <c r="W616" s="3" t="str">
        <f aca="false">IFERROR(_xlfn.T.TEST(E616:M616,N616:U616,2,2),"")</f>
        <v/>
      </c>
      <c r="X616" s="0" t="str">
        <f aca="false">IFERROR(AVERAGE(E616:M616),"")</f>
        <v/>
      </c>
      <c r="Y616" s="0" t="str">
        <f aca="false">IFERROR(AVERAGE(N616:U616),"")</f>
        <v/>
      </c>
    </row>
    <row r="617" customFormat="false" ht="14.5" hidden="false" customHeight="false" outlineLevel="0" collapsed="false">
      <c r="A617" s="0" t="n">
        <v>625</v>
      </c>
      <c r="B617" s="0" t="s">
        <v>680</v>
      </c>
      <c r="C617" s="0" t="n">
        <v>6700</v>
      </c>
      <c r="D617" s="0" t="n">
        <v>369</v>
      </c>
      <c r="E617" s="0" t="str">
        <f aca="false">IFERROR(IF(OR(HLOOKUP($A617,#REF!,3,FALSE())&gt;2,HLOOKUP(A617,#REF!,3,FALSE())&lt;-2),"",#REF!),"")</f>
        <v/>
      </c>
      <c r="F617" s="0" t="str">
        <f aca="false">IFERROR(IF(OR(HLOOKUP($A617,#REF!,4,FALSE())&gt;2,HLOOKUP($A617,#REF!,4,FALSE())&lt;-2),"",#REF!),"")</f>
        <v/>
      </c>
      <c r="G617" s="0" t="str">
        <f aca="false">IFERROR(IF(OR(HLOOKUP($A617,#REF!,5,FALSE())&gt;2,HLOOKUP($A617,#REF!,5,FALSE())&lt;-2),"",#REF!),"")</f>
        <v/>
      </c>
      <c r="H617" s="0" t="str">
        <f aca="false">IFERROR(IF(OR(HLOOKUP($A617,#REF!,6,FALSE())&gt;2,HLOOKUP($A617,#REF!,6,FALSE())&lt;-2),"",#REF!),"")</f>
        <v/>
      </c>
      <c r="I617" s="0" t="str">
        <f aca="false">IFERROR(IF(OR(HLOOKUP($A617,#REF!,7,FALSE())&gt;2,HLOOKUP($A617,#REF!,7,FALSE())&lt;-2),"",#REF!),"")</f>
        <v/>
      </c>
      <c r="J617" s="0" t="str">
        <f aca="false">IFERROR(IF(OR(HLOOKUP($A617,#REF!,8,FALSE())&gt;2,HLOOKUP($A617,#REF!,8,FALSE())&lt;-2),"",#REF!),"")</f>
        <v/>
      </c>
      <c r="K617" s="0" t="str">
        <f aca="false">IFERROR(IF(OR(HLOOKUP($A617,#REF!,9,FALSE())&gt;2,HLOOKUP($A617,#REF!,9,FALSE())&lt;-2),"",#REF!),"")</f>
        <v/>
      </c>
      <c r="L617" s="0" t="str">
        <f aca="false">IFERROR(IF(OR(HLOOKUP($A617,#REF!,10,FALSE())&gt;2,HLOOKUP($A617,#REF!,10,FALSE())&lt;-2),"",#REF!),"")</f>
        <v/>
      </c>
      <c r="M617" s="0" t="str">
        <f aca="false">IFERROR(IF(OR(HLOOKUP($A617,#REF!,11,FALSE())&gt;2,HLOOKUP($A617,#REF!,11,FALSE())&lt;-2),"",#REF!),"")</f>
        <v/>
      </c>
      <c r="N617" s="0" t="str">
        <f aca="false">IFERROR(IF(OR(HLOOKUP($A617,#REF!,12,FALSE())&gt;2,HLOOKUP($A617,#REF!,12,FALSE())&lt;-2),"",#REF!),"")</f>
        <v/>
      </c>
      <c r="O617" s="0" t="str">
        <f aca="false">IFERROR(IF(OR(HLOOKUP($A617,#REF!,13,FALSE())&gt;2,HLOOKUP($A617,#REF!,13,FALSE())&lt;-2),"",#REF!),"")</f>
        <v/>
      </c>
      <c r="P617" s="0" t="str">
        <f aca="false">IFERROR(IF(OR(HLOOKUP($A617,#REF!,14,FALSE())&gt;2,HLOOKUP($A617,#REF!,14,FALSE())&lt;-2),"",#REF!),"")</f>
        <v/>
      </c>
      <c r="Q617" s="0" t="str">
        <f aca="false">IFERROR(IF(OR(HLOOKUP($A617,#REF!,15,FALSE())&gt;2,HLOOKUP($A617,#REF!,15,FALSE())&lt;-2),"",#REF!),"")</f>
        <v/>
      </c>
      <c r="R617" s="0" t="str">
        <f aca="false">IFERROR(IF(OR(HLOOKUP($A617,#REF!,16,FALSE())&gt;2,HLOOKUP($A617,#REF!,16,FALSE())&lt;-2),"",#REF!),"")</f>
        <v/>
      </c>
      <c r="S617" s="0" t="str">
        <f aca="false">IFERROR(IF(OR(HLOOKUP($A617,#REF!,17,FALSE())&gt;2,HLOOKUP($A617,#REF!,17,FALSE())&lt;-2),"",#REF!),"")</f>
        <v/>
      </c>
      <c r="T617" s="0" t="str">
        <f aca="false">IFERROR(IF(OR(HLOOKUP($A617,#REF!,18,FALSE())&gt;2,HLOOKUP($A617,#REF!,18,FALSE())&lt;-2),"",#REF!),"")</f>
        <v/>
      </c>
      <c r="U617" s="0" t="str">
        <f aca="false">IFERROR(IF(OR(HLOOKUP($A617,#REF!,19,FALSE())&gt;2,HLOOKUP($A617,#REF!,19,FALSE())&lt;-2),"",#REF!),"")</f>
        <v/>
      </c>
      <c r="V617" s="0" t="n">
        <f aca="false">IFERROR(IF(AND(X617=0,Y617=0),0,1),0)</f>
        <v>1</v>
      </c>
      <c r="W617" s="3" t="str">
        <f aca="false">IFERROR(_xlfn.T.TEST(E617:M617,N617:U617,2,2),"")</f>
        <v/>
      </c>
      <c r="X617" s="0" t="str">
        <f aca="false">IFERROR(AVERAGE(E617:M617),"")</f>
        <v/>
      </c>
      <c r="Y617" s="0" t="str">
        <f aca="false">IFERROR(AVERAGE(N617:U617),"")</f>
        <v/>
      </c>
    </row>
    <row r="618" customFormat="false" ht="14.5" hidden="false" customHeight="false" outlineLevel="0" collapsed="false">
      <c r="A618" s="0" t="n">
        <v>626</v>
      </c>
      <c r="B618" s="0" t="s">
        <v>681</v>
      </c>
      <c r="C618" s="0" t="n">
        <v>67500</v>
      </c>
      <c r="D618" s="0" t="n">
        <v>362</v>
      </c>
      <c r="E618" s="0" t="str">
        <f aca="false">IFERROR(IF(OR(HLOOKUP($A618,#REF!,3,FALSE())&gt;2,HLOOKUP(A618,#REF!,3,FALSE())&lt;-2),"",#REF!),"")</f>
        <v/>
      </c>
      <c r="F618" s="0" t="str">
        <f aca="false">IFERROR(IF(OR(HLOOKUP($A618,#REF!,4,FALSE())&gt;2,HLOOKUP($A618,#REF!,4,FALSE())&lt;-2),"",#REF!),"")</f>
        <v/>
      </c>
      <c r="G618" s="0" t="str">
        <f aca="false">IFERROR(IF(OR(HLOOKUP($A618,#REF!,5,FALSE())&gt;2,HLOOKUP($A618,#REF!,5,FALSE())&lt;-2),"",#REF!),"")</f>
        <v/>
      </c>
      <c r="H618" s="0" t="str">
        <f aca="false">IFERROR(IF(OR(HLOOKUP($A618,#REF!,6,FALSE())&gt;2,HLOOKUP($A618,#REF!,6,FALSE())&lt;-2),"",#REF!),"")</f>
        <v/>
      </c>
      <c r="I618" s="0" t="str">
        <f aca="false">IFERROR(IF(OR(HLOOKUP($A618,#REF!,7,FALSE())&gt;2,HLOOKUP($A618,#REF!,7,FALSE())&lt;-2),"",#REF!),"")</f>
        <v/>
      </c>
      <c r="J618" s="0" t="str">
        <f aca="false">IFERROR(IF(OR(HLOOKUP($A618,#REF!,8,FALSE())&gt;2,HLOOKUP($A618,#REF!,8,FALSE())&lt;-2),"",#REF!),"")</f>
        <v/>
      </c>
      <c r="K618" s="0" t="str">
        <f aca="false">IFERROR(IF(OR(HLOOKUP($A618,#REF!,9,FALSE())&gt;2,HLOOKUP($A618,#REF!,9,FALSE())&lt;-2),"",#REF!),"")</f>
        <v/>
      </c>
      <c r="L618" s="0" t="str">
        <f aca="false">IFERROR(IF(OR(HLOOKUP($A618,#REF!,10,FALSE())&gt;2,HLOOKUP($A618,#REF!,10,FALSE())&lt;-2),"",#REF!),"")</f>
        <v/>
      </c>
      <c r="M618" s="0" t="str">
        <f aca="false">IFERROR(IF(OR(HLOOKUP($A618,#REF!,11,FALSE())&gt;2,HLOOKUP($A618,#REF!,11,FALSE())&lt;-2),"",#REF!),"")</f>
        <v/>
      </c>
      <c r="N618" s="0" t="str">
        <f aca="false">IFERROR(IF(OR(HLOOKUP($A618,#REF!,12,FALSE())&gt;2,HLOOKUP($A618,#REF!,12,FALSE())&lt;-2),"",#REF!),"")</f>
        <v/>
      </c>
      <c r="O618" s="0" t="str">
        <f aca="false">IFERROR(IF(OR(HLOOKUP($A618,#REF!,13,FALSE())&gt;2,HLOOKUP($A618,#REF!,13,FALSE())&lt;-2),"",#REF!),"")</f>
        <v/>
      </c>
      <c r="P618" s="0" t="str">
        <f aca="false">IFERROR(IF(OR(HLOOKUP($A618,#REF!,14,FALSE())&gt;2,HLOOKUP($A618,#REF!,14,FALSE())&lt;-2),"",#REF!),"")</f>
        <v/>
      </c>
      <c r="Q618" s="0" t="str">
        <f aca="false">IFERROR(IF(OR(HLOOKUP($A618,#REF!,15,FALSE())&gt;2,HLOOKUP($A618,#REF!,15,FALSE())&lt;-2),"",#REF!),"")</f>
        <v/>
      </c>
      <c r="R618" s="0" t="str">
        <f aca="false">IFERROR(IF(OR(HLOOKUP($A618,#REF!,16,FALSE())&gt;2,HLOOKUP($A618,#REF!,16,FALSE())&lt;-2),"",#REF!),"")</f>
        <v/>
      </c>
      <c r="S618" s="0" t="str">
        <f aca="false">IFERROR(IF(OR(HLOOKUP($A618,#REF!,17,FALSE())&gt;2,HLOOKUP($A618,#REF!,17,FALSE())&lt;-2),"",#REF!),"")</f>
        <v/>
      </c>
      <c r="T618" s="0" t="str">
        <f aca="false">IFERROR(IF(OR(HLOOKUP($A618,#REF!,18,FALSE())&gt;2,HLOOKUP($A618,#REF!,18,FALSE())&lt;-2),"",#REF!),"")</f>
        <v/>
      </c>
      <c r="U618" s="0" t="str">
        <f aca="false">IFERROR(IF(OR(HLOOKUP($A618,#REF!,19,FALSE())&gt;2,HLOOKUP($A618,#REF!,19,FALSE())&lt;-2),"",#REF!),"")</f>
        <v/>
      </c>
      <c r="V618" s="0" t="n">
        <f aca="false">IFERROR(IF(AND(X618=0,Y618=0),0,1),0)</f>
        <v>1</v>
      </c>
      <c r="W618" s="3" t="str">
        <f aca="false">IFERROR(_xlfn.T.TEST(E618:M618,N618:U618,2,2),"")</f>
        <v/>
      </c>
      <c r="X618" s="0" t="str">
        <f aca="false">IFERROR(AVERAGE(E618:M618),"")</f>
        <v/>
      </c>
      <c r="Y618" s="0" t="str">
        <f aca="false">IFERROR(AVERAGE(N618:U618),"")</f>
        <v/>
      </c>
    </row>
    <row r="619" customFormat="false" ht="14.5" hidden="false" customHeight="false" outlineLevel="0" collapsed="false">
      <c r="A619" s="0" t="n">
        <v>627</v>
      </c>
      <c r="B619" s="0" t="s">
        <v>682</v>
      </c>
      <c r="C619" s="0" t="n">
        <v>104100</v>
      </c>
      <c r="D619" s="0" t="n">
        <v>285</v>
      </c>
      <c r="E619" s="0" t="str">
        <f aca="false">IFERROR(IF(OR(HLOOKUP($A619,#REF!,3,FALSE())&gt;2,HLOOKUP(A619,#REF!,3,FALSE())&lt;-2),"",#REF!),"")</f>
        <v/>
      </c>
      <c r="F619" s="0" t="str">
        <f aca="false">IFERROR(IF(OR(HLOOKUP($A619,#REF!,4,FALSE())&gt;2,HLOOKUP($A619,#REF!,4,FALSE())&lt;-2),"",#REF!),"")</f>
        <v/>
      </c>
      <c r="G619" s="0" t="str">
        <f aca="false">IFERROR(IF(OR(HLOOKUP($A619,#REF!,5,FALSE())&gt;2,HLOOKUP($A619,#REF!,5,FALSE())&lt;-2),"",#REF!),"")</f>
        <v/>
      </c>
      <c r="H619" s="0" t="str">
        <f aca="false">IFERROR(IF(OR(HLOOKUP($A619,#REF!,6,FALSE())&gt;2,HLOOKUP($A619,#REF!,6,FALSE())&lt;-2),"",#REF!),"")</f>
        <v/>
      </c>
      <c r="I619" s="0" t="str">
        <f aca="false">IFERROR(IF(OR(HLOOKUP($A619,#REF!,7,FALSE())&gt;2,HLOOKUP($A619,#REF!,7,FALSE())&lt;-2),"",#REF!),"")</f>
        <v/>
      </c>
      <c r="J619" s="0" t="str">
        <f aca="false">IFERROR(IF(OR(HLOOKUP($A619,#REF!,8,FALSE())&gt;2,HLOOKUP($A619,#REF!,8,FALSE())&lt;-2),"",#REF!),"")</f>
        <v/>
      </c>
      <c r="K619" s="0" t="str">
        <f aca="false">IFERROR(IF(OR(HLOOKUP($A619,#REF!,9,FALSE())&gt;2,HLOOKUP($A619,#REF!,9,FALSE())&lt;-2),"",#REF!),"")</f>
        <v/>
      </c>
      <c r="L619" s="0" t="str">
        <f aca="false">IFERROR(IF(OR(HLOOKUP($A619,#REF!,10,FALSE())&gt;2,HLOOKUP($A619,#REF!,10,FALSE())&lt;-2),"",#REF!),"")</f>
        <v/>
      </c>
      <c r="M619" s="0" t="str">
        <f aca="false">IFERROR(IF(OR(HLOOKUP($A619,#REF!,11,FALSE())&gt;2,HLOOKUP($A619,#REF!,11,FALSE())&lt;-2),"",#REF!),"")</f>
        <v/>
      </c>
      <c r="N619" s="0" t="str">
        <f aca="false">IFERROR(IF(OR(HLOOKUP($A619,#REF!,12,FALSE())&gt;2,HLOOKUP($A619,#REF!,12,FALSE())&lt;-2),"",#REF!),"")</f>
        <v/>
      </c>
      <c r="O619" s="0" t="str">
        <f aca="false">IFERROR(IF(OR(HLOOKUP($A619,#REF!,13,FALSE())&gt;2,HLOOKUP($A619,#REF!,13,FALSE())&lt;-2),"",#REF!),"")</f>
        <v/>
      </c>
      <c r="P619" s="0" t="str">
        <f aca="false">IFERROR(IF(OR(HLOOKUP($A619,#REF!,14,FALSE())&gt;2,HLOOKUP($A619,#REF!,14,FALSE())&lt;-2),"",#REF!),"")</f>
        <v/>
      </c>
      <c r="Q619" s="0" t="str">
        <f aca="false">IFERROR(IF(OR(HLOOKUP($A619,#REF!,15,FALSE())&gt;2,HLOOKUP($A619,#REF!,15,FALSE())&lt;-2),"",#REF!),"")</f>
        <v/>
      </c>
      <c r="R619" s="0" t="str">
        <f aca="false">IFERROR(IF(OR(HLOOKUP($A619,#REF!,16,FALSE())&gt;2,HLOOKUP($A619,#REF!,16,FALSE())&lt;-2),"",#REF!),"")</f>
        <v/>
      </c>
      <c r="S619" s="0" t="str">
        <f aca="false">IFERROR(IF(OR(HLOOKUP($A619,#REF!,17,FALSE())&gt;2,HLOOKUP($A619,#REF!,17,FALSE())&lt;-2),"",#REF!),"")</f>
        <v/>
      </c>
      <c r="T619" s="0" t="str">
        <f aca="false">IFERROR(IF(OR(HLOOKUP($A619,#REF!,18,FALSE())&gt;2,HLOOKUP($A619,#REF!,18,FALSE())&lt;-2),"",#REF!),"")</f>
        <v/>
      </c>
      <c r="U619" s="0" t="str">
        <f aca="false">IFERROR(IF(OR(HLOOKUP($A619,#REF!,19,FALSE())&gt;2,HLOOKUP($A619,#REF!,19,FALSE())&lt;-2),"",#REF!),"")</f>
        <v/>
      </c>
      <c r="V619" s="0" t="n">
        <f aca="false">IFERROR(IF(AND(X619=0,Y619=0),0,1),0)</f>
        <v>1</v>
      </c>
      <c r="W619" s="3" t="str">
        <f aca="false">IFERROR(_xlfn.T.TEST(E619:M619,N619:U619,2,2),"")</f>
        <v/>
      </c>
      <c r="X619" s="0" t="str">
        <f aca="false">IFERROR(AVERAGE(E619:M619),"")</f>
        <v/>
      </c>
      <c r="Y619" s="0" t="str">
        <f aca="false">IFERROR(AVERAGE(N619:U619),"")</f>
        <v/>
      </c>
    </row>
    <row r="620" customFormat="false" ht="14.5" hidden="false" customHeight="false" outlineLevel="0" collapsed="false">
      <c r="A620" s="0" t="n">
        <v>628</v>
      </c>
      <c r="B620" s="0" t="s">
        <v>683</v>
      </c>
      <c r="C620" s="0" t="n">
        <v>82200</v>
      </c>
      <c r="D620" s="0" t="n">
        <v>1100</v>
      </c>
      <c r="E620" s="0" t="str">
        <f aca="false">IFERROR(IF(OR(HLOOKUP($A620,#REF!,3,FALSE())&gt;2,HLOOKUP(A620,#REF!,3,FALSE())&lt;-2),"",#REF!),"")</f>
        <v/>
      </c>
      <c r="F620" s="0" t="str">
        <f aca="false">IFERROR(IF(OR(HLOOKUP($A620,#REF!,4,FALSE())&gt;2,HLOOKUP($A620,#REF!,4,FALSE())&lt;-2),"",#REF!),"")</f>
        <v/>
      </c>
      <c r="G620" s="0" t="str">
        <f aca="false">IFERROR(IF(OR(HLOOKUP($A620,#REF!,5,FALSE())&gt;2,HLOOKUP($A620,#REF!,5,FALSE())&lt;-2),"",#REF!),"")</f>
        <v/>
      </c>
      <c r="H620" s="0" t="str">
        <f aca="false">IFERROR(IF(OR(HLOOKUP($A620,#REF!,6,FALSE())&gt;2,HLOOKUP($A620,#REF!,6,FALSE())&lt;-2),"",#REF!),"")</f>
        <v/>
      </c>
      <c r="I620" s="0" t="str">
        <f aca="false">IFERROR(IF(OR(HLOOKUP($A620,#REF!,7,FALSE())&gt;2,HLOOKUP($A620,#REF!,7,FALSE())&lt;-2),"",#REF!),"")</f>
        <v/>
      </c>
      <c r="J620" s="0" t="str">
        <f aca="false">IFERROR(IF(OR(HLOOKUP($A620,#REF!,8,FALSE())&gt;2,HLOOKUP($A620,#REF!,8,FALSE())&lt;-2),"",#REF!),"")</f>
        <v/>
      </c>
      <c r="K620" s="0" t="str">
        <f aca="false">IFERROR(IF(OR(HLOOKUP($A620,#REF!,9,FALSE())&gt;2,HLOOKUP($A620,#REF!,9,FALSE())&lt;-2),"",#REF!),"")</f>
        <v/>
      </c>
      <c r="L620" s="0" t="str">
        <f aca="false">IFERROR(IF(OR(HLOOKUP($A620,#REF!,10,FALSE())&gt;2,HLOOKUP($A620,#REF!,10,FALSE())&lt;-2),"",#REF!),"")</f>
        <v/>
      </c>
      <c r="M620" s="0" t="str">
        <f aca="false">IFERROR(IF(OR(HLOOKUP($A620,#REF!,11,FALSE())&gt;2,HLOOKUP($A620,#REF!,11,FALSE())&lt;-2),"",#REF!),"")</f>
        <v/>
      </c>
      <c r="N620" s="0" t="str">
        <f aca="false">IFERROR(IF(OR(HLOOKUP($A620,#REF!,12,FALSE())&gt;2,HLOOKUP($A620,#REF!,12,FALSE())&lt;-2),"",#REF!),"")</f>
        <v/>
      </c>
      <c r="O620" s="0" t="str">
        <f aca="false">IFERROR(IF(OR(HLOOKUP($A620,#REF!,13,FALSE())&gt;2,HLOOKUP($A620,#REF!,13,FALSE())&lt;-2),"",#REF!),"")</f>
        <v/>
      </c>
      <c r="P620" s="0" t="str">
        <f aca="false">IFERROR(IF(OR(HLOOKUP($A620,#REF!,14,FALSE())&gt;2,HLOOKUP($A620,#REF!,14,FALSE())&lt;-2),"",#REF!),"")</f>
        <v/>
      </c>
      <c r="Q620" s="0" t="str">
        <f aca="false">IFERROR(IF(OR(HLOOKUP($A620,#REF!,15,FALSE())&gt;2,HLOOKUP($A620,#REF!,15,FALSE())&lt;-2),"",#REF!),"")</f>
        <v/>
      </c>
      <c r="R620" s="0" t="str">
        <f aca="false">IFERROR(IF(OR(HLOOKUP($A620,#REF!,16,FALSE())&gt;2,HLOOKUP($A620,#REF!,16,FALSE())&lt;-2),"",#REF!),"")</f>
        <v/>
      </c>
      <c r="S620" s="0" t="str">
        <f aca="false">IFERROR(IF(OR(HLOOKUP($A620,#REF!,17,FALSE())&gt;2,HLOOKUP($A620,#REF!,17,FALSE())&lt;-2),"",#REF!),"")</f>
        <v/>
      </c>
      <c r="T620" s="0" t="str">
        <f aca="false">IFERROR(IF(OR(HLOOKUP($A620,#REF!,18,FALSE())&gt;2,HLOOKUP($A620,#REF!,18,FALSE())&lt;-2),"",#REF!),"")</f>
        <v/>
      </c>
      <c r="U620" s="0" t="str">
        <f aca="false">IFERROR(IF(OR(HLOOKUP($A620,#REF!,19,FALSE())&gt;2,HLOOKUP($A620,#REF!,19,FALSE())&lt;-2),"",#REF!),"")</f>
        <v/>
      </c>
      <c r="V620" s="0" t="n">
        <f aca="false">IFERROR(IF(AND(X620=0,Y620=0),0,1),0)</f>
        <v>1</v>
      </c>
      <c r="W620" s="3" t="str">
        <f aca="false">IFERROR(_xlfn.T.TEST(E620:M620,N620:U620,2,2),"")</f>
        <v/>
      </c>
      <c r="X620" s="0" t="str">
        <f aca="false">IFERROR(AVERAGE(E620:M620),"")</f>
        <v/>
      </c>
      <c r="Y620" s="0" t="str">
        <f aca="false">IFERROR(AVERAGE(N620:U620),"")</f>
        <v/>
      </c>
    </row>
    <row r="621" customFormat="false" ht="14.5" hidden="false" customHeight="false" outlineLevel="0" collapsed="false">
      <c r="A621" s="0" t="n">
        <v>629</v>
      </c>
      <c r="B621" s="0" t="s">
        <v>684</v>
      </c>
      <c r="C621" s="0" t="n">
        <v>63800</v>
      </c>
      <c r="D621" s="0" t="n">
        <v>637</v>
      </c>
      <c r="E621" s="0" t="str">
        <f aca="false">IFERROR(IF(OR(HLOOKUP($A621,#REF!,3,FALSE())&gt;2,HLOOKUP(A621,#REF!,3,FALSE())&lt;-2),"",#REF!),"")</f>
        <v/>
      </c>
      <c r="F621" s="0" t="str">
        <f aca="false">IFERROR(IF(OR(HLOOKUP($A621,#REF!,4,FALSE())&gt;2,HLOOKUP($A621,#REF!,4,FALSE())&lt;-2),"",#REF!),"")</f>
        <v/>
      </c>
      <c r="G621" s="0" t="str">
        <f aca="false">IFERROR(IF(OR(HLOOKUP($A621,#REF!,5,FALSE())&gt;2,HLOOKUP($A621,#REF!,5,FALSE())&lt;-2),"",#REF!),"")</f>
        <v/>
      </c>
      <c r="H621" s="0" t="str">
        <f aca="false">IFERROR(IF(OR(HLOOKUP($A621,#REF!,6,FALSE())&gt;2,HLOOKUP($A621,#REF!,6,FALSE())&lt;-2),"",#REF!),"")</f>
        <v/>
      </c>
      <c r="I621" s="0" t="str">
        <f aca="false">IFERROR(IF(OR(HLOOKUP($A621,#REF!,7,FALSE())&gt;2,HLOOKUP($A621,#REF!,7,FALSE())&lt;-2),"",#REF!),"")</f>
        <v/>
      </c>
      <c r="J621" s="0" t="str">
        <f aca="false">IFERROR(IF(OR(HLOOKUP($A621,#REF!,8,FALSE())&gt;2,HLOOKUP($A621,#REF!,8,FALSE())&lt;-2),"",#REF!),"")</f>
        <v/>
      </c>
      <c r="K621" s="0" t="str">
        <f aca="false">IFERROR(IF(OR(HLOOKUP($A621,#REF!,9,FALSE())&gt;2,HLOOKUP($A621,#REF!,9,FALSE())&lt;-2),"",#REF!),"")</f>
        <v/>
      </c>
      <c r="L621" s="0" t="str">
        <f aca="false">IFERROR(IF(OR(HLOOKUP($A621,#REF!,10,FALSE())&gt;2,HLOOKUP($A621,#REF!,10,FALSE())&lt;-2),"",#REF!),"")</f>
        <v/>
      </c>
      <c r="M621" s="0" t="str">
        <f aca="false">IFERROR(IF(OR(HLOOKUP($A621,#REF!,11,FALSE())&gt;2,HLOOKUP($A621,#REF!,11,FALSE())&lt;-2),"",#REF!),"")</f>
        <v/>
      </c>
      <c r="N621" s="0" t="str">
        <f aca="false">IFERROR(IF(OR(HLOOKUP($A621,#REF!,12,FALSE())&gt;2,HLOOKUP($A621,#REF!,12,FALSE())&lt;-2),"",#REF!),"")</f>
        <v/>
      </c>
      <c r="O621" s="0" t="str">
        <f aca="false">IFERROR(IF(OR(HLOOKUP($A621,#REF!,13,FALSE())&gt;2,HLOOKUP($A621,#REF!,13,FALSE())&lt;-2),"",#REF!),"")</f>
        <v/>
      </c>
      <c r="P621" s="0" t="str">
        <f aca="false">IFERROR(IF(OR(HLOOKUP($A621,#REF!,14,FALSE())&gt;2,HLOOKUP($A621,#REF!,14,FALSE())&lt;-2),"",#REF!),"")</f>
        <v/>
      </c>
      <c r="Q621" s="0" t="str">
        <f aca="false">IFERROR(IF(OR(HLOOKUP($A621,#REF!,15,FALSE())&gt;2,HLOOKUP($A621,#REF!,15,FALSE())&lt;-2),"",#REF!),"")</f>
        <v/>
      </c>
      <c r="R621" s="0" t="str">
        <f aca="false">IFERROR(IF(OR(HLOOKUP($A621,#REF!,16,FALSE())&gt;2,HLOOKUP($A621,#REF!,16,FALSE())&lt;-2),"",#REF!),"")</f>
        <v/>
      </c>
      <c r="S621" s="0" t="str">
        <f aca="false">IFERROR(IF(OR(HLOOKUP($A621,#REF!,17,FALSE())&gt;2,HLOOKUP($A621,#REF!,17,FALSE())&lt;-2),"",#REF!),"")</f>
        <v/>
      </c>
      <c r="T621" s="0" t="str">
        <f aca="false">IFERROR(IF(OR(HLOOKUP($A621,#REF!,18,FALSE())&gt;2,HLOOKUP($A621,#REF!,18,FALSE())&lt;-2),"",#REF!),"")</f>
        <v/>
      </c>
      <c r="U621" s="0" t="str">
        <f aca="false">IFERROR(IF(OR(HLOOKUP($A621,#REF!,19,FALSE())&gt;2,HLOOKUP($A621,#REF!,19,FALSE())&lt;-2),"",#REF!),"")</f>
        <v/>
      </c>
      <c r="V621" s="0" t="n">
        <f aca="false">IFERROR(IF(AND(X621=0,Y621=0),0,1),0)</f>
        <v>1</v>
      </c>
      <c r="W621" s="3" t="str">
        <f aca="false">IFERROR(_xlfn.T.TEST(E621:M621,N621:U621,2,2),"")</f>
        <v/>
      </c>
      <c r="X621" s="0" t="str">
        <f aca="false">IFERROR(AVERAGE(E621:M621),"")</f>
        <v/>
      </c>
      <c r="Y621" s="0" t="str">
        <f aca="false">IFERROR(AVERAGE(N621:U621),"")</f>
        <v/>
      </c>
    </row>
    <row r="622" customFormat="false" ht="14.5" hidden="false" customHeight="false" outlineLevel="0" collapsed="false">
      <c r="A622" s="0" t="n">
        <v>630</v>
      </c>
      <c r="B622" s="0" t="s">
        <v>685</v>
      </c>
      <c r="C622" s="0" t="n">
        <v>21700</v>
      </c>
      <c r="D622" s="0" t="n">
        <v>723</v>
      </c>
      <c r="E622" s="0" t="str">
        <f aca="false">IFERROR(IF(OR(HLOOKUP($A622,#REF!,3,FALSE())&gt;2,HLOOKUP(A622,#REF!,3,FALSE())&lt;-2),"",#REF!),"")</f>
        <v/>
      </c>
      <c r="F622" s="0" t="str">
        <f aca="false">IFERROR(IF(OR(HLOOKUP($A622,#REF!,4,FALSE())&gt;2,HLOOKUP($A622,#REF!,4,FALSE())&lt;-2),"",#REF!),"")</f>
        <v/>
      </c>
      <c r="G622" s="0" t="str">
        <f aca="false">IFERROR(IF(OR(HLOOKUP($A622,#REF!,5,FALSE())&gt;2,HLOOKUP($A622,#REF!,5,FALSE())&lt;-2),"",#REF!),"")</f>
        <v/>
      </c>
      <c r="H622" s="0" t="str">
        <f aca="false">IFERROR(IF(OR(HLOOKUP($A622,#REF!,6,FALSE())&gt;2,HLOOKUP($A622,#REF!,6,FALSE())&lt;-2),"",#REF!),"")</f>
        <v/>
      </c>
      <c r="I622" s="0" t="str">
        <f aca="false">IFERROR(IF(OR(HLOOKUP($A622,#REF!,7,FALSE())&gt;2,HLOOKUP($A622,#REF!,7,FALSE())&lt;-2),"",#REF!),"")</f>
        <v/>
      </c>
      <c r="J622" s="0" t="str">
        <f aca="false">IFERROR(IF(OR(HLOOKUP($A622,#REF!,8,FALSE())&gt;2,HLOOKUP($A622,#REF!,8,FALSE())&lt;-2),"",#REF!),"")</f>
        <v/>
      </c>
      <c r="K622" s="0" t="str">
        <f aca="false">IFERROR(IF(OR(HLOOKUP($A622,#REF!,9,FALSE())&gt;2,HLOOKUP($A622,#REF!,9,FALSE())&lt;-2),"",#REF!),"")</f>
        <v/>
      </c>
      <c r="L622" s="0" t="str">
        <f aca="false">IFERROR(IF(OR(HLOOKUP($A622,#REF!,10,FALSE())&gt;2,HLOOKUP($A622,#REF!,10,FALSE())&lt;-2),"",#REF!),"")</f>
        <v/>
      </c>
      <c r="M622" s="0" t="str">
        <f aca="false">IFERROR(IF(OR(HLOOKUP($A622,#REF!,11,FALSE())&gt;2,HLOOKUP($A622,#REF!,11,FALSE())&lt;-2),"",#REF!),"")</f>
        <v/>
      </c>
      <c r="N622" s="0" t="str">
        <f aca="false">IFERROR(IF(OR(HLOOKUP($A622,#REF!,12,FALSE())&gt;2,HLOOKUP($A622,#REF!,12,FALSE())&lt;-2),"",#REF!),"")</f>
        <v/>
      </c>
      <c r="O622" s="0" t="str">
        <f aca="false">IFERROR(IF(OR(HLOOKUP($A622,#REF!,13,FALSE())&gt;2,HLOOKUP($A622,#REF!,13,FALSE())&lt;-2),"",#REF!),"")</f>
        <v/>
      </c>
      <c r="P622" s="0" t="str">
        <f aca="false">IFERROR(IF(OR(HLOOKUP($A622,#REF!,14,FALSE())&gt;2,HLOOKUP($A622,#REF!,14,FALSE())&lt;-2),"",#REF!),"")</f>
        <v/>
      </c>
      <c r="Q622" s="0" t="str">
        <f aca="false">IFERROR(IF(OR(HLOOKUP($A622,#REF!,15,FALSE())&gt;2,HLOOKUP($A622,#REF!,15,FALSE())&lt;-2),"",#REF!),"")</f>
        <v/>
      </c>
      <c r="R622" s="0" t="str">
        <f aca="false">IFERROR(IF(OR(HLOOKUP($A622,#REF!,16,FALSE())&gt;2,HLOOKUP($A622,#REF!,16,FALSE())&lt;-2),"",#REF!),"")</f>
        <v/>
      </c>
      <c r="S622" s="0" t="str">
        <f aca="false">IFERROR(IF(OR(HLOOKUP($A622,#REF!,17,FALSE())&gt;2,HLOOKUP($A622,#REF!,17,FALSE())&lt;-2),"",#REF!),"")</f>
        <v/>
      </c>
      <c r="T622" s="0" t="str">
        <f aca="false">IFERROR(IF(OR(HLOOKUP($A622,#REF!,18,FALSE())&gt;2,HLOOKUP($A622,#REF!,18,FALSE())&lt;-2),"",#REF!),"")</f>
        <v/>
      </c>
      <c r="U622" s="0" t="str">
        <f aca="false">IFERROR(IF(OR(HLOOKUP($A622,#REF!,19,FALSE())&gt;2,HLOOKUP($A622,#REF!,19,FALSE())&lt;-2),"",#REF!),"")</f>
        <v/>
      </c>
      <c r="V622" s="0" t="n">
        <f aca="false">IFERROR(IF(AND(X622=0,Y622=0),0,1),0)</f>
        <v>1</v>
      </c>
      <c r="W622" s="3" t="str">
        <f aca="false">IFERROR(_xlfn.T.TEST(E622:M622,N622:U622,2,2),"")</f>
        <v/>
      </c>
      <c r="X622" s="0" t="str">
        <f aca="false">IFERROR(AVERAGE(E622:M622),"")</f>
        <v/>
      </c>
      <c r="Y622" s="0" t="str">
        <f aca="false">IFERROR(AVERAGE(N622:U622),"")</f>
        <v/>
      </c>
    </row>
    <row r="623" customFormat="false" ht="14.5" hidden="false" customHeight="false" outlineLevel="0" collapsed="false">
      <c r="A623" s="0" t="n">
        <v>631</v>
      </c>
      <c r="B623" s="0" t="s">
        <v>686</v>
      </c>
      <c r="C623" s="0" t="n">
        <v>34600</v>
      </c>
      <c r="D623" s="0" t="n">
        <v>698</v>
      </c>
      <c r="E623" s="0" t="str">
        <f aca="false">IFERROR(IF(OR(HLOOKUP($A623,#REF!,3,FALSE())&gt;2,HLOOKUP(A623,#REF!,3,FALSE())&lt;-2),"",#REF!),"")</f>
        <v/>
      </c>
      <c r="F623" s="0" t="str">
        <f aca="false">IFERROR(IF(OR(HLOOKUP($A623,#REF!,4,FALSE())&gt;2,HLOOKUP($A623,#REF!,4,FALSE())&lt;-2),"",#REF!),"")</f>
        <v/>
      </c>
      <c r="G623" s="0" t="str">
        <f aca="false">IFERROR(IF(OR(HLOOKUP($A623,#REF!,5,FALSE())&gt;2,HLOOKUP($A623,#REF!,5,FALSE())&lt;-2),"",#REF!),"")</f>
        <v/>
      </c>
      <c r="H623" s="0" t="str">
        <f aca="false">IFERROR(IF(OR(HLOOKUP($A623,#REF!,6,FALSE())&gt;2,HLOOKUP($A623,#REF!,6,FALSE())&lt;-2),"",#REF!),"")</f>
        <v/>
      </c>
      <c r="I623" s="0" t="str">
        <f aca="false">IFERROR(IF(OR(HLOOKUP($A623,#REF!,7,FALSE())&gt;2,HLOOKUP($A623,#REF!,7,FALSE())&lt;-2),"",#REF!),"")</f>
        <v/>
      </c>
      <c r="J623" s="0" t="str">
        <f aca="false">IFERROR(IF(OR(HLOOKUP($A623,#REF!,8,FALSE())&gt;2,HLOOKUP($A623,#REF!,8,FALSE())&lt;-2),"",#REF!),"")</f>
        <v/>
      </c>
      <c r="K623" s="0" t="str">
        <f aca="false">IFERROR(IF(OR(HLOOKUP($A623,#REF!,9,FALSE())&gt;2,HLOOKUP($A623,#REF!,9,FALSE())&lt;-2),"",#REF!),"")</f>
        <v/>
      </c>
      <c r="L623" s="0" t="str">
        <f aca="false">IFERROR(IF(OR(HLOOKUP($A623,#REF!,10,FALSE())&gt;2,HLOOKUP($A623,#REF!,10,FALSE())&lt;-2),"",#REF!),"")</f>
        <v/>
      </c>
      <c r="M623" s="0" t="str">
        <f aca="false">IFERROR(IF(OR(HLOOKUP($A623,#REF!,11,FALSE())&gt;2,HLOOKUP($A623,#REF!,11,FALSE())&lt;-2),"",#REF!),"")</f>
        <v/>
      </c>
      <c r="N623" s="0" t="str">
        <f aca="false">IFERROR(IF(OR(HLOOKUP($A623,#REF!,12,FALSE())&gt;2,HLOOKUP($A623,#REF!,12,FALSE())&lt;-2),"",#REF!),"")</f>
        <v/>
      </c>
      <c r="O623" s="0" t="str">
        <f aca="false">IFERROR(IF(OR(HLOOKUP($A623,#REF!,13,FALSE())&gt;2,HLOOKUP($A623,#REF!,13,FALSE())&lt;-2),"",#REF!),"")</f>
        <v/>
      </c>
      <c r="P623" s="0" t="str">
        <f aca="false">IFERROR(IF(OR(HLOOKUP($A623,#REF!,14,FALSE())&gt;2,HLOOKUP($A623,#REF!,14,FALSE())&lt;-2),"",#REF!),"")</f>
        <v/>
      </c>
      <c r="Q623" s="0" t="str">
        <f aca="false">IFERROR(IF(OR(HLOOKUP($A623,#REF!,15,FALSE())&gt;2,HLOOKUP($A623,#REF!,15,FALSE())&lt;-2),"",#REF!),"")</f>
        <v/>
      </c>
      <c r="R623" s="0" t="str">
        <f aca="false">IFERROR(IF(OR(HLOOKUP($A623,#REF!,16,FALSE())&gt;2,HLOOKUP($A623,#REF!,16,FALSE())&lt;-2),"",#REF!),"")</f>
        <v/>
      </c>
      <c r="S623" s="0" t="str">
        <f aca="false">IFERROR(IF(OR(HLOOKUP($A623,#REF!,17,FALSE())&gt;2,HLOOKUP($A623,#REF!,17,FALSE())&lt;-2),"",#REF!),"")</f>
        <v/>
      </c>
      <c r="T623" s="0" t="str">
        <f aca="false">IFERROR(IF(OR(HLOOKUP($A623,#REF!,18,FALSE())&gt;2,HLOOKUP($A623,#REF!,18,FALSE())&lt;-2),"",#REF!),"")</f>
        <v/>
      </c>
      <c r="U623" s="0" t="str">
        <f aca="false">IFERROR(IF(OR(HLOOKUP($A623,#REF!,19,FALSE())&gt;2,HLOOKUP($A623,#REF!,19,FALSE())&lt;-2),"",#REF!),"")</f>
        <v/>
      </c>
      <c r="V623" s="0" t="n">
        <f aca="false">IFERROR(IF(AND(X623=0,Y623=0),0,1),0)</f>
        <v>1</v>
      </c>
      <c r="W623" s="3" t="str">
        <f aca="false">IFERROR(_xlfn.T.TEST(E623:M623,N623:U623,2,2),"")</f>
        <v/>
      </c>
      <c r="X623" s="0" t="str">
        <f aca="false">IFERROR(AVERAGE(E623:M623),"")</f>
        <v/>
      </c>
      <c r="Y623" s="0" t="str">
        <f aca="false">IFERROR(AVERAGE(N623:U623),"")</f>
        <v/>
      </c>
    </row>
    <row r="624" customFormat="false" ht="14.5" hidden="false" customHeight="false" outlineLevel="0" collapsed="false">
      <c r="A624" s="0" t="n">
        <v>632</v>
      </c>
      <c r="B624" s="0" t="s">
        <v>50</v>
      </c>
      <c r="C624" s="0" t="n">
        <v>39600</v>
      </c>
      <c r="D624" s="0" t="n">
        <v>726</v>
      </c>
      <c r="E624" s="0" t="str">
        <f aca="false">IFERROR(IF(OR(HLOOKUP($A624,#REF!,3,FALSE())&gt;2,HLOOKUP(A624,#REF!,3,FALSE())&lt;-2),"",#REF!),"")</f>
        <v/>
      </c>
      <c r="F624" s="0" t="str">
        <f aca="false">IFERROR(IF(OR(HLOOKUP($A624,#REF!,4,FALSE())&gt;2,HLOOKUP($A624,#REF!,4,FALSE())&lt;-2),"",#REF!),"")</f>
        <v/>
      </c>
      <c r="G624" s="0" t="str">
        <f aca="false">IFERROR(IF(OR(HLOOKUP($A624,#REF!,5,FALSE())&gt;2,HLOOKUP($A624,#REF!,5,FALSE())&lt;-2),"",#REF!),"")</f>
        <v/>
      </c>
      <c r="H624" s="0" t="str">
        <f aca="false">IFERROR(IF(OR(HLOOKUP($A624,#REF!,6,FALSE())&gt;2,HLOOKUP($A624,#REF!,6,FALSE())&lt;-2),"",#REF!),"")</f>
        <v/>
      </c>
      <c r="I624" s="0" t="str">
        <f aca="false">IFERROR(IF(OR(HLOOKUP($A624,#REF!,7,FALSE())&gt;2,HLOOKUP($A624,#REF!,7,FALSE())&lt;-2),"",#REF!),"")</f>
        <v/>
      </c>
      <c r="J624" s="0" t="str">
        <f aca="false">IFERROR(IF(OR(HLOOKUP($A624,#REF!,8,FALSE())&gt;2,HLOOKUP($A624,#REF!,8,FALSE())&lt;-2),"",#REF!),"")</f>
        <v/>
      </c>
      <c r="K624" s="0" t="str">
        <f aca="false">IFERROR(IF(OR(HLOOKUP($A624,#REF!,9,FALSE())&gt;2,HLOOKUP($A624,#REF!,9,FALSE())&lt;-2),"",#REF!),"")</f>
        <v/>
      </c>
      <c r="L624" s="0" t="str">
        <f aca="false">IFERROR(IF(OR(HLOOKUP($A624,#REF!,10,FALSE())&gt;2,HLOOKUP($A624,#REF!,10,FALSE())&lt;-2),"",#REF!),"")</f>
        <v/>
      </c>
      <c r="M624" s="0" t="str">
        <f aca="false">IFERROR(IF(OR(HLOOKUP($A624,#REF!,11,FALSE())&gt;2,HLOOKUP($A624,#REF!,11,FALSE())&lt;-2),"",#REF!),"")</f>
        <v/>
      </c>
      <c r="N624" s="0" t="str">
        <f aca="false">IFERROR(IF(OR(HLOOKUP($A624,#REF!,12,FALSE())&gt;2,HLOOKUP($A624,#REF!,12,FALSE())&lt;-2),"",#REF!),"")</f>
        <v/>
      </c>
      <c r="O624" s="0" t="str">
        <f aca="false">IFERROR(IF(OR(HLOOKUP($A624,#REF!,13,FALSE())&gt;2,HLOOKUP($A624,#REF!,13,FALSE())&lt;-2),"",#REF!),"")</f>
        <v/>
      </c>
      <c r="P624" s="0" t="str">
        <f aca="false">IFERROR(IF(OR(HLOOKUP($A624,#REF!,14,FALSE())&gt;2,HLOOKUP($A624,#REF!,14,FALSE())&lt;-2),"",#REF!),"")</f>
        <v/>
      </c>
      <c r="Q624" s="0" t="str">
        <f aca="false">IFERROR(IF(OR(HLOOKUP($A624,#REF!,15,FALSE())&gt;2,HLOOKUP($A624,#REF!,15,FALSE())&lt;-2),"",#REF!),"")</f>
        <v/>
      </c>
      <c r="R624" s="0" t="str">
        <f aca="false">IFERROR(IF(OR(HLOOKUP($A624,#REF!,16,FALSE())&gt;2,HLOOKUP($A624,#REF!,16,FALSE())&lt;-2),"",#REF!),"")</f>
        <v/>
      </c>
      <c r="S624" s="0" t="str">
        <f aca="false">IFERROR(IF(OR(HLOOKUP($A624,#REF!,17,FALSE())&gt;2,HLOOKUP($A624,#REF!,17,FALSE())&lt;-2),"",#REF!),"")</f>
        <v/>
      </c>
      <c r="T624" s="0" t="str">
        <f aca="false">IFERROR(IF(OR(HLOOKUP($A624,#REF!,18,FALSE())&gt;2,HLOOKUP($A624,#REF!,18,FALSE())&lt;-2),"",#REF!),"")</f>
        <v/>
      </c>
      <c r="U624" s="0" t="str">
        <f aca="false">IFERROR(IF(OR(HLOOKUP($A624,#REF!,19,FALSE())&gt;2,HLOOKUP($A624,#REF!,19,FALSE())&lt;-2),"",#REF!),"")</f>
        <v/>
      </c>
      <c r="V624" s="0" t="n">
        <f aca="false">IFERROR(IF(AND(X624=0,Y624=0),0,1),0)</f>
        <v>1</v>
      </c>
      <c r="W624" s="3" t="str">
        <f aca="false">IFERROR(_xlfn.T.TEST(E624:M624,N624:U624,2,2),"")</f>
        <v/>
      </c>
      <c r="X624" s="0" t="str">
        <f aca="false">IFERROR(AVERAGE(E624:M624),"")</f>
        <v/>
      </c>
      <c r="Y624" s="0" t="str">
        <f aca="false">IFERROR(AVERAGE(N624:U624),"")</f>
        <v/>
      </c>
    </row>
    <row r="625" customFormat="false" ht="14.5" hidden="false" customHeight="false" outlineLevel="0" collapsed="false">
      <c r="A625" s="0" t="n">
        <v>633</v>
      </c>
      <c r="B625" s="0" t="s">
        <v>687</v>
      </c>
      <c r="C625" s="0" t="n">
        <v>101200</v>
      </c>
      <c r="D625" s="0" t="n">
        <v>948</v>
      </c>
      <c r="E625" s="0" t="str">
        <f aca="false">IFERROR(IF(OR(HLOOKUP($A625,#REF!,3,FALSE())&gt;2,HLOOKUP(A625,#REF!,3,FALSE())&lt;-2),"",#REF!),"")</f>
        <v/>
      </c>
      <c r="F625" s="0" t="str">
        <f aca="false">IFERROR(IF(OR(HLOOKUP($A625,#REF!,4,FALSE())&gt;2,HLOOKUP($A625,#REF!,4,FALSE())&lt;-2),"",#REF!),"")</f>
        <v/>
      </c>
      <c r="G625" s="0" t="str">
        <f aca="false">IFERROR(IF(OR(HLOOKUP($A625,#REF!,5,FALSE())&gt;2,HLOOKUP($A625,#REF!,5,FALSE())&lt;-2),"",#REF!),"")</f>
        <v/>
      </c>
      <c r="H625" s="0" t="str">
        <f aca="false">IFERROR(IF(OR(HLOOKUP($A625,#REF!,6,FALSE())&gt;2,HLOOKUP($A625,#REF!,6,FALSE())&lt;-2),"",#REF!),"")</f>
        <v/>
      </c>
      <c r="I625" s="0" t="str">
        <f aca="false">IFERROR(IF(OR(HLOOKUP($A625,#REF!,7,FALSE())&gt;2,HLOOKUP($A625,#REF!,7,FALSE())&lt;-2),"",#REF!),"")</f>
        <v/>
      </c>
      <c r="J625" s="0" t="str">
        <f aca="false">IFERROR(IF(OR(HLOOKUP($A625,#REF!,8,FALSE())&gt;2,HLOOKUP($A625,#REF!,8,FALSE())&lt;-2),"",#REF!),"")</f>
        <v/>
      </c>
      <c r="K625" s="0" t="str">
        <f aca="false">IFERROR(IF(OR(HLOOKUP($A625,#REF!,9,FALSE())&gt;2,HLOOKUP($A625,#REF!,9,FALSE())&lt;-2),"",#REF!),"")</f>
        <v/>
      </c>
      <c r="L625" s="0" t="str">
        <f aca="false">IFERROR(IF(OR(HLOOKUP($A625,#REF!,10,FALSE())&gt;2,HLOOKUP($A625,#REF!,10,FALSE())&lt;-2),"",#REF!),"")</f>
        <v/>
      </c>
      <c r="M625" s="0" t="str">
        <f aca="false">IFERROR(IF(OR(HLOOKUP($A625,#REF!,11,FALSE())&gt;2,HLOOKUP($A625,#REF!,11,FALSE())&lt;-2),"",#REF!),"")</f>
        <v/>
      </c>
      <c r="N625" s="0" t="str">
        <f aca="false">IFERROR(IF(OR(HLOOKUP($A625,#REF!,12,FALSE())&gt;2,HLOOKUP($A625,#REF!,12,FALSE())&lt;-2),"",#REF!),"")</f>
        <v/>
      </c>
      <c r="O625" s="0" t="str">
        <f aca="false">IFERROR(IF(OR(HLOOKUP($A625,#REF!,13,FALSE())&gt;2,HLOOKUP($A625,#REF!,13,FALSE())&lt;-2),"",#REF!),"")</f>
        <v/>
      </c>
      <c r="P625" s="0" t="str">
        <f aca="false">IFERROR(IF(OR(HLOOKUP($A625,#REF!,14,FALSE())&gt;2,HLOOKUP($A625,#REF!,14,FALSE())&lt;-2),"",#REF!),"")</f>
        <v/>
      </c>
      <c r="Q625" s="0" t="str">
        <f aca="false">IFERROR(IF(OR(HLOOKUP($A625,#REF!,15,FALSE())&gt;2,HLOOKUP($A625,#REF!,15,FALSE())&lt;-2),"",#REF!),"")</f>
        <v/>
      </c>
      <c r="R625" s="0" t="str">
        <f aca="false">IFERROR(IF(OR(HLOOKUP($A625,#REF!,16,FALSE())&gt;2,HLOOKUP($A625,#REF!,16,FALSE())&lt;-2),"",#REF!),"")</f>
        <v/>
      </c>
      <c r="S625" s="0" t="str">
        <f aca="false">IFERROR(IF(OR(HLOOKUP($A625,#REF!,17,FALSE())&gt;2,HLOOKUP($A625,#REF!,17,FALSE())&lt;-2),"",#REF!),"")</f>
        <v/>
      </c>
      <c r="T625" s="0" t="str">
        <f aca="false">IFERROR(IF(OR(HLOOKUP($A625,#REF!,18,FALSE())&gt;2,HLOOKUP($A625,#REF!,18,FALSE())&lt;-2),"",#REF!),"")</f>
        <v/>
      </c>
      <c r="U625" s="0" t="str">
        <f aca="false">IFERROR(IF(OR(HLOOKUP($A625,#REF!,19,FALSE())&gt;2,HLOOKUP($A625,#REF!,19,FALSE())&lt;-2),"",#REF!),"")</f>
        <v/>
      </c>
      <c r="V625" s="0" t="n">
        <f aca="false">IFERROR(IF(AND(X625=0,Y625=0),0,1),0)</f>
        <v>1</v>
      </c>
      <c r="W625" s="3" t="str">
        <f aca="false">IFERROR(_xlfn.T.TEST(E625:M625,N625:U625,2,2),"")</f>
        <v/>
      </c>
      <c r="X625" s="0" t="str">
        <f aca="false">IFERROR(AVERAGE(E625:M625),"")</f>
        <v/>
      </c>
      <c r="Y625" s="0" t="str">
        <f aca="false">IFERROR(AVERAGE(N625:U625),"")</f>
        <v/>
      </c>
    </row>
    <row r="626" customFormat="false" ht="14.5" hidden="false" customHeight="false" outlineLevel="0" collapsed="false">
      <c r="A626" s="0" t="n">
        <v>634</v>
      </c>
      <c r="B626" s="0" t="s">
        <v>688</v>
      </c>
      <c r="C626" s="0" t="n">
        <v>82300</v>
      </c>
      <c r="D626" s="0" t="n">
        <v>1100</v>
      </c>
      <c r="E626" s="0" t="str">
        <f aca="false">IFERROR(IF(OR(HLOOKUP($A626,#REF!,3,FALSE())&gt;2,HLOOKUP(A626,#REF!,3,FALSE())&lt;-2),"",#REF!),"")</f>
        <v/>
      </c>
      <c r="F626" s="0" t="str">
        <f aca="false">IFERROR(IF(OR(HLOOKUP($A626,#REF!,4,FALSE())&gt;2,HLOOKUP($A626,#REF!,4,FALSE())&lt;-2),"",#REF!),"")</f>
        <v/>
      </c>
      <c r="G626" s="0" t="str">
        <f aca="false">IFERROR(IF(OR(HLOOKUP($A626,#REF!,5,FALSE())&gt;2,HLOOKUP($A626,#REF!,5,FALSE())&lt;-2),"",#REF!),"")</f>
        <v/>
      </c>
      <c r="H626" s="0" t="str">
        <f aca="false">IFERROR(IF(OR(HLOOKUP($A626,#REF!,6,FALSE())&gt;2,HLOOKUP($A626,#REF!,6,FALSE())&lt;-2),"",#REF!),"")</f>
        <v/>
      </c>
      <c r="I626" s="0" t="str">
        <f aca="false">IFERROR(IF(OR(HLOOKUP($A626,#REF!,7,FALSE())&gt;2,HLOOKUP($A626,#REF!,7,FALSE())&lt;-2),"",#REF!),"")</f>
        <v/>
      </c>
      <c r="J626" s="0" t="str">
        <f aca="false">IFERROR(IF(OR(HLOOKUP($A626,#REF!,8,FALSE())&gt;2,HLOOKUP($A626,#REF!,8,FALSE())&lt;-2),"",#REF!),"")</f>
        <v/>
      </c>
      <c r="K626" s="0" t="str">
        <f aca="false">IFERROR(IF(OR(HLOOKUP($A626,#REF!,9,FALSE())&gt;2,HLOOKUP($A626,#REF!,9,FALSE())&lt;-2),"",#REF!),"")</f>
        <v/>
      </c>
      <c r="L626" s="0" t="str">
        <f aca="false">IFERROR(IF(OR(HLOOKUP($A626,#REF!,10,FALSE())&gt;2,HLOOKUP($A626,#REF!,10,FALSE())&lt;-2),"",#REF!),"")</f>
        <v/>
      </c>
      <c r="M626" s="0" t="str">
        <f aca="false">IFERROR(IF(OR(HLOOKUP($A626,#REF!,11,FALSE())&gt;2,HLOOKUP($A626,#REF!,11,FALSE())&lt;-2),"",#REF!),"")</f>
        <v/>
      </c>
      <c r="N626" s="0" t="str">
        <f aca="false">IFERROR(IF(OR(HLOOKUP($A626,#REF!,12,FALSE())&gt;2,HLOOKUP($A626,#REF!,12,FALSE())&lt;-2),"",#REF!),"")</f>
        <v/>
      </c>
      <c r="O626" s="0" t="str">
        <f aca="false">IFERROR(IF(OR(HLOOKUP($A626,#REF!,13,FALSE())&gt;2,HLOOKUP($A626,#REF!,13,FALSE())&lt;-2),"",#REF!),"")</f>
        <v/>
      </c>
      <c r="P626" s="0" t="str">
        <f aca="false">IFERROR(IF(OR(HLOOKUP($A626,#REF!,14,FALSE())&gt;2,HLOOKUP($A626,#REF!,14,FALSE())&lt;-2),"",#REF!),"")</f>
        <v/>
      </c>
      <c r="Q626" s="0" t="str">
        <f aca="false">IFERROR(IF(OR(HLOOKUP($A626,#REF!,15,FALSE())&gt;2,HLOOKUP($A626,#REF!,15,FALSE())&lt;-2),"",#REF!),"")</f>
        <v/>
      </c>
      <c r="R626" s="0" t="str">
        <f aca="false">IFERROR(IF(OR(HLOOKUP($A626,#REF!,16,FALSE())&gt;2,HLOOKUP($A626,#REF!,16,FALSE())&lt;-2),"",#REF!),"")</f>
        <v/>
      </c>
      <c r="S626" s="0" t="str">
        <f aca="false">IFERROR(IF(OR(HLOOKUP($A626,#REF!,17,FALSE())&gt;2,HLOOKUP($A626,#REF!,17,FALSE())&lt;-2),"",#REF!),"")</f>
        <v/>
      </c>
      <c r="T626" s="0" t="str">
        <f aca="false">IFERROR(IF(OR(HLOOKUP($A626,#REF!,18,FALSE())&gt;2,HLOOKUP($A626,#REF!,18,FALSE())&lt;-2),"",#REF!),"")</f>
        <v/>
      </c>
      <c r="U626" s="0" t="str">
        <f aca="false">IFERROR(IF(OR(HLOOKUP($A626,#REF!,19,FALSE())&gt;2,HLOOKUP($A626,#REF!,19,FALSE())&lt;-2),"",#REF!),"")</f>
        <v/>
      </c>
      <c r="V626" s="0" t="n">
        <f aca="false">IFERROR(IF(AND(X626=0,Y626=0),0,1),0)</f>
        <v>1</v>
      </c>
      <c r="W626" s="3" t="str">
        <f aca="false">IFERROR(_xlfn.T.TEST(E626:M626,N626:U626,2,2),"")</f>
        <v/>
      </c>
      <c r="X626" s="0" t="str">
        <f aca="false">IFERROR(AVERAGE(E626:M626),"")</f>
        <v/>
      </c>
      <c r="Y626" s="0" t="str">
        <f aca="false">IFERROR(AVERAGE(N626:U626),"")</f>
        <v/>
      </c>
    </row>
    <row r="627" customFormat="false" ht="14.5" hidden="false" customHeight="false" outlineLevel="0" collapsed="false">
      <c r="A627" s="0" t="n">
        <v>635</v>
      </c>
      <c r="B627" s="0" t="s">
        <v>689</v>
      </c>
      <c r="C627" s="0" t="n">
        <v>27600</v>
      </c>
      <c r="D627" s="0" t="n">
        <v>22</v>
      </c>
      <c r="E627" s="0" t="str">
        <f aca="false">IFERROR(IF(OR(HLOOKUP($A627,#REF!,3,FALSE())&gt;2,HLOOKUP(A627,#REF!,3,FALSE())&lt;-2),"",#REF!),"")</f>
        <v/>
      </c>
      <c r="F627" s="0" t="str">
        <f aca="false">IFERROR(IF(OR(HLOOKUP($A627,#REF!,4,FALSE())&gt;2,HLOOKUP($A627,#REF!,4,FALSE())&lt;-2),"",#REF!),"")</f>
        <v/>
      </c>
      <c r="G627" s="0" t="str">
        <f aca="false">IFERROR(IF(OR(HLOOKUP($A627,#REF!,5,FALSE())&gt;2,HLOOKUP($A627,#REF!,5,FALSE())&lt;-2),"",#REF!),"")</f>
        <v/>
      </c>
      <c r="H627" s="0" t="str">
        <f aca="false">IFERROR(IF(OR(HLOOKUP($A627,#REF!,6,FALSE())&gt;2,HLOOKUP($A627,#REF!,6,FALSE())&lt;-2),"",#REF!),"")</f>
        <v/>
      </c>
      <c r="I627" s="0" t="str">
        <f aca="false">IFERROR(IF(OR(HLOOKUP($A627,#REF!,7,FALSE())&gt;2,HLOOKUP($A627,#REF!,7,FALSE())&lt;-2),"",#REF!),"")</f>
        <v/>
      </c>
      <c r="J627" s="0" t="str">
        <f aca="false">IFERROR(IF(OR(HLOOKUP($A627,#REF!,8,FALSE())&gt;2,HLOOKUP($A627,#REF!,8,FALSE())&lt;-2),"",#REF!),"")</f>
        <v/>
      </c>
      <c r="K627" s="0" t="str">
        <f aca="false">IFERROR(IF(OR(HLOOKUP($A627,#REF!,9,FALSE())&gt;2,HLOOKUP($A627,#REF!,9,FALSE())&lt;-2),"",#REF!),"")</f>
        <v/>
      </c>
      <c r="L627" s="0" t="str">
        <f aca="false">IFERROR(IF(OR(HLOOKUP($A627,#REF!,10,FALSE())&gt;2,HLOOKUP($A627,#REF!,10,FALSE())&lt;-2),"",#REF!),"")</f>
        <v/>
      </c>
      <c r="M627" s="0" t="str">
        <f aca="false">IFERROR(IF(OR(HLOOKUP($A627,#REF!,11,FALSE())&gt;2,HLOOKUP($A627,#REF!,11,FALSE())&lt;-2),"",#REF!),"")</f>
        <v/>
      </c>
      <c r="N627" s="0" t="str">
        <f aca="false">IFERROR(IF(OR(HLOOKUP($A627,#REF!,12,FALSE())&gt;2,HLOOKUP($A627,#REF!,12,FALSE())&lt;-2),"",#REF!),"")</f>
        <v/>
      </c>
      <c r="O627" s="0" t="str">
        <f aca="false">IFERROR(IF(OR(HLOOKUP($A627,#REF!,13,FALSE())&gt;2,HLOOKUP($A627,#REF!,13,FALSE())&lt;-2),"",#REF!),"")</f>
        <v/>
      </c>
      <c r="P627" s="0" t="str">
        <f aca="false">IFERROR(IF(OR(HLOOKUP($A627,#REF!,14,FALSE())&gt;2,HLOOKUP($A627,#REF!,14,FALSE())&lt;-2),"",#REF!),"")</f>
        <v/>
      </c>
      <c r="Q627" s="0" t="str">
        <f aca="false">IFERROR(IF(OR(HLOOKUP($A627,#REF!,15,FALSE())&gt;2,HLOOKUP($A627,#REF!,15,FALSE())&lt;-2),"",#REF!),"")</f>
        <v/>
      </c>
      <c r="R627" s="0" t="str">
        <f aca="false">IFERROR(IF(OR(HLOOKUP($A627,#REF!,16,FALSE())&gt;2,HLOOKUP($A627,#REF!,16,FALSE())&lt;-2),"",#REF!),"")</f>
        <v/>
      </c>
      <c r="S627" s="0" t="str">
        <f aca="false">IFERROR(IF(OR(HLOOKUP($A627,#REF!,17,FALSE())&gt;2,HLOOKUP($A627,#REF!,17,FALSE())&lt;-2),"",#REF!),"")</f>
        <v/>
      </c>
      <c r="T627" s="0" t="str">
        <f aca="false">IFERROR(IF(OR(HLOOKUP($A627,#REF!,18,FALSE())&gt;2,HLOOKUP($A627,#REF!,18,FALSE())&lt;-2),"",#REF!),"")</f>
        <v/>
      </c>
      <c r="U627" s="0" t="str">
        <f aca="false">IFERROR(IF(OR(HLOOKUP($A627,#REF!,19,FALSE())&gt;2,HLOOKUP($A627,#REF!,19,FALSE())&lt;-2),"",#REF!),"")</f>
        <v/>
      </c>
      <c r="V627" s="0" t="n">
        <f aca="false">IFERROR(IF(AND(X627=0,Y627=0),0,1),0)</f>
        <v>1</v>
      </c>
      <c r="W627" s="3" t="str">
        <f aca="false">IFERROR(_xlfn.T.TEST(E627:M627,N627:U627,2,2),"")</f>
        <v/>
      </c>
      <c r="X627" s="0" t="str">
        <f aca="false">IFERROR(AVERAGE(E627:M627),"")</f>
        <v/>
      </c>
      <c r="Y627" s="0" t="str">
        <f aca="false">IFERROR(AVERAGE(N627:U627),"")</f>
        <v/>
      </c>
    </row>
    <row r="628" customFormat="false" ht="14.5" hidden="false" customHeight="false" outlineLevel="0" collapsed="false">
      <c r="A628" s="0" t="n">
        <v>636</v>
      </c>
      <c r="B628" s="0" t="s">
        <v>690</v>
      </c>
      <c r="C628" s="0" t="n">
        <v>67600</v>
      </c>
      <c r="D628" s="0" t="n">
        <v>362</v>
      </c>
      <c r="E628" s="0" t="str">
        <f aca="false">IFERROR(IF(OR(HLOOKUP($A628,#REF!,3,FALSE())&gt;2,HLOOKUP(A628,#REF!,3,FALSE())&lt;-2),"",#REF!),"")</f>
        <v/>
      </c>
      <c r="F628" s="0" t="str">
        <f aca="false">IFERROR(IF(OR(HLOOKUP($A628,#REF!,4,FALSE())&gt;2,HLOOKUP($A628,#REF!,4,FALSE())&lt;-2),"",#REF!),"")</f>
        <v/>
      </c>
      <c r="G628" s="0" t="str">
        <f aca="false">IFERROR(IF(OR(HLOOKUP($A628,#REF!,5,FALSE())&gt;2,HLOOKUP($A628,#REF!,5,FALSE())&lt;-2),"",#REF!),"")</f>
        <v/>
      </c>
      <c r="H628" s="0" t="str">
        <f aca="false">IFERROR(IF(OR(HLOOKUP($A628,#REF!,6,FALSE())&gt;2,HLOOKUP($A628,#REF!,6,FALSE())&lt;-2),"",#REF!),"")</f>
        <v/>
      </c>
      <c r="I628" s="0" t="str">
        <f aca="false">IFERROR(IF(OR(HLOOKUP($A628,#REF!,7,FALSE())&gt;2,HLOOKUP($A628,#REF!,7,FALSE())&lt;-2),"",#REF!),"")</f>
        <v/>
      </c>
      <c r="J628" s="0" t="str">
        <f aca="false">IFERROR(IF(OR(HLOOKUP($A628,#REF!,8,FALSE())&gt;2,HLOOKUP($A628,#REF!,8,FALSE())&lt;-2),"",#REF!),"")</f>
        <v/>
      </c>
      <c r="K628" s="0" t="str">
        <f aca="false">IFERROR(IF(OR(HLOOKUP($A628,#REF!,9,FALSE())&gt;2,HLOOKUP($A628,#REF!,9,FALSE())&lt;-2),"",#REF!),"")</f>
        <v/>
      </c>
      <c r="L628" s="0" t="str">
        <f aca="false">IFERROR(IF(OR(HLOOKUP($A628,#REF!,10,FALSE())&gt;2,HLOOKUP($A628,#REF!,10,FALSE())&lt;-2),"",#REF!),"")</f>
        <v/>
      </c>
      <c r="M628" s="0" t="str">
        <f aca="false">IFERROR(IF(OR(HLOOKUP($A628,#REF!,11,FALSE())&gt;2,HLOOKUP($A628,#REF!,11,FALSE())&lt;-2),"",#REF!),"")</f>
        <v/>
      </c>
      <c r="N628" s="0" t="str">
        <f aca="false">IFERROR(IF(OR(HLOOKUP($A628,#REF!,12,FALSE())&gt;2,HLOOKUP($A628,#REF!,12,FALSE())&lt;-2),"",#REF!),"")</f>
        <v/>
      </c>
      <c r="O628" s="0" t="str">
        <f aca="false">IFERROR(IF(OR(HLOOKUP($A628,#REF!,13,FALSE())&gt;2,HLOOKUP($A628,#REF!,13,FALSE())&lt;-2),"",#REF!),"")</f>
        <v/>
      </c>
      <c r="P628" s="0" t="str">
        <f aca="false">IFERROR(IF(OR(HLOOKUP($A628,#REF!,14,FALSE())&gt;2,HLOOKUP($A628,#REF!,14,FALSE())&lt;-2),"",#REF!),"")</f>
        <v/>
      </c>
      <c r="Q628" s="0" t="str">
        <f aca="false">IFERROR(IF(OR(HLOOKUP($A628,#REF!,15,FALSE())&gt;2,HLOOKUP($A628,#REF!,15,FALSE())&lt;-2),"",#REF!),"")</f>
        <v/>
      </c>
      <c r="R628" s="0" t="str">
        <f aca="false">IFERROR(IF(OR(HLOOKUP($A628,#REF!,16,FALSE())&gt;2,HLOOKUP($A628,#REF!,16,FALSE())&lt;-2),"",#REF!),"")</f>
        <v/>
      </c>
      <c r="S628" s="0" t="str">
        <f aca="false">IFERROR(IF(OR(HLOOKUP($A628,#REF!,17,FALSE())&gt;2,HLOOKUP($A628,#REF!,17,FALSE())&lt;-2),"",#REF!),"")</f>
        <v/>
      </c>
      <c r="T628" s="0" t="str">
        <f aca="false">IFERROR(IF(OR(HLOOKUP($A628,#REF!,18,FALSE())&gt;2,HLOOKUP($A628,#REF!,18,FALSE())&lt;-2),"",#REF!),"")</f>
        <v/>
      </c>
      <c r="U628" s="0" t="str">
        <f aca="false">IFERROR(IF(OR(HLOOKUP($A628,#REF!,19,FALSE())&gt;2,HLOOKUP($A628,#REF!,19,FALSE())&lt;-2),"",#REF!),"")</f>
        <v/>
      </c>
      <c r="V628" s="0" t="n">
        <f aca="false">IFERROR(IF(AND(X628=0,Y628=0),0,1),0)</f>
        <v>1</v>
      </c>
      <c r="W628" s="3" t="str">
        <f aca="false">IFERROR(_xlfn.T.TEST(E628:M628,N628:U628,2,2),"")</f>
        <v/>
      </c>
      <c r="X628" s="0" t="str">
        <f aca="false">IFERROR(AVERAGE(E628:M628),"")</f>
        <v/>
      </c>
      <c r="Y628" s="0" t="str">
        <f aca="false">IFERROR(AVERAGE(N628:U628),"")</f>
        <v/>
      </c>
    </row>
    <row r="629" customFormat="false" ht="14.5" hidden="false" customHeight="false" outlineLevel="0" collapsed="false">
      <c r="A629" s="0" t="n">
        <v>637</v>
      </c>
      <c r="B629" s="0" t="s">
        <v>691</v>
      </c>
      <c r="C629" s="0" t="n">
        <v>63700</v>
      </c>
      <c r="D629" s="0" t="n">
        <v>864</v>
      </c>
      <c r="E629" s="0" t="str">
        <f aca="false">IFERROR(IF(OR(HLOOKUP($A629,#REF!,3,FALSE())&gt;2,HLOOKUP(A629,#REF!,3,FALSE())&lt;-2),"",#REF!),"")</f>
        <v/>
      </c>
      <c r="F629" s="0" t="str">
        <f aca="false">IFERROR(IF(OR(HLOOKUP($A629,#REF!,4,FALSE())&gt;2,HLOOKUP($A629,#REF!,4,FALSE())&lt;-2),"",#REF!),"")</f>
        <v/>
      </c>
      <c r="G629" s="0" t="str">
        <f aca="false">IFERROR(IF(OR(HLOOKUP($A629,#REF!,5,FALSE())&gt;2,HLOOKUP($A629,#REF!,5,FALSE())&lt;-2),"",#REF!),"")</f>
        <v/>
      </c>
      <c r="H629" s="0" t="str">
        <f aca="false">IFERROR(IF(OR(HLOOKUP($A629,#REF!,6,FALSE())&gt;2,HLOOKUP($A629,#REF!,6,FALSE())&lt;-2),"",#REF!),"")</f>
        <v/>
      </c>
      <c r="I629" s="0" t="str">
        <f aca="false">IFERROR(IF(OR(HLOOKUP($A629,#REF!,7,FALSE())&gt;2,HLOOKUP($A629,#REF!,7,FALSE())&lt;-2),"",#REF!),"")</f>
        <v/>
      </c>
      <c r="J629" s="0" t="str">
        <f aca="false">IFERROR(IF(OR(HLOOKUP($A629,#REF!,8,FALSE())&gt;2,HLOOKUP($A629,#REF!,8,FALSE())&lt;-2),"",#REF!),"")</f>
        <v/>
      </c>
      <c r="K629" s="0" t="str">
        <f aca="false">IFERROR(IF(OR(HLOOKUP($A629,#REF!,9,FALSE())&gt;2,HLOOKUP($A629,#REF!,9,FALSE())&lt;-2),"",#REF!),"")</f>
        <v/>
      </c>
      <c r="L629" s="0" t="str">
        <f aca="false">IFERROR(IF(OR(HLOOKUP($A629,#REF!,10,FALSE())&gt;2,HLOOKUP($A629,#REF!,10,FALSE())&lt;-2),"",#REF!),"")</f>
        <v/>
      </c>
      <c r="M629" s="0" t="str">
        <f aca="false">IFERROR(IF(OR(HLOOKUP($A629,#REF!,11,FALSE())&gt;2,HLOOKUP($A629,#REF!,11,FALSE())&lt;-2),"",#REF!),"")</f>
        <v/>
      </c>
      <c r="N629" s="0" t="str">
        <f aca="false">IFERROR(IF(OR(HLOOKUP($A629,#REF!,12,FALSE())&gt;2,HLOOKUP($A629,#REF!,12,FALSE())&lt;-2),"",#REF!),"")</f>
        <v/>
      </c>
      <c r="O629" s="0" t="str">
        <f aca="false">IFERROR(IF(OR(HLOOKUP($A629,#REF!,13,FALSE())&gt;2,HLOOKUP($A629,#REF!,13,FALSE())&lt;-2),"",#REF!),"")</f>
        <v/>
      </c>
      <c r="P629" s="0" t="str">
        <f aca="false">IFERROR(IF(OR(HLOOKUP($A629,#REF!,14,FALSE())&gt;2,HLOOKUP($A629,#REF!,14,FALSE())&lt;-2),"",#REF!),"")</f>
        <v/>
      </c>
      <c r="Q629" s="0" t="str">
        <f aca="false">IFERROR(IF(OR(HLOOKUP($A629,#REF!,15,FALSE())&gt;2,HLOOKUP($A629,#REF!,15,FALSE())&lt;-2),"",#REF!),"")</f>
        <v/>
      </c>
      <c r="R629" s="0" t="str">
        <f aca="false">IFERROR(IF(OR(HLOOKUP($A629,#REF!,16,FALSE())&gt;2,HLOOKUP($A629,#REF!,16,FALSE())&lt;-2),"",#REF!),"")</f>
        <v/>
      </c>
      <c r="S629" s="0" t="str">
        <f aca="false">IFERROR(IF(OR(HLOOKUP($A629,#REF!,17,FALSE())&gt;2,HLOOKUP($A629,#REF!,17,FALSE())&lt;-2),"",#REF!),"")</f>
        <v/>
      </c>
      <c r="T629" s="0" t="str">
        <f aca="false">IFERROR(IF(OR(HLOOKUP($A629,#REF!,18,FALSE())&gt;2,HLOOKUP($A629,#REF!,18,FALSE())&lt;-2),"",#REF!),"")</f>
        <v/>
      </c>
      <c r="U629" s="0" t="str">
        <f aca="false">IFERROR(IF(OR(HLOOKUP($A629,#REF!,19,FALSE())&gt;2,HLOOKUP($A629,#REF!,19,FALSE())&lt;-2),"",#REF!),"")</f>
        <v/>
      </c>
      <c r="V629" s="0" t="n">
        <f aca="false">IFERROR(IF(AND(X629=0,Y629=0),0,1),0)</f>
        <v>1</v>
      </c>
      <c r="W629" s="3" t="str">
        <f aca="false">IFERROR(_xlfn.T.TEST(E629:M629,N629:U629,2,2),"")</f>
        <v/>
      </c>
      <c r="X629" s="0" t="str">
        <f aca="false">IFERROR(AVERAGE(E629:M629),"")</f>
        <v/>
      </c>
      <c r="Y629" s="0" t="str">
        <f aca="false">IFERROR(AVERAGE(N629:U629),"")</f>
        <v/>
      </c>
    </row>
    <row r="630" customFormat="false" ht="14.5" hidden="false" customHeight="false" outlineLevel="0" collapsed="false">
      <c r="A630" s="0" t="n">
        <v>638</v>
      </c>
      <c r="B630" s="0" t="s">
        <v>692</v>
      </c>
      <c r="C630" s="0" t="n">
        <v>9600</v>
      </c>
      <c r="D630" s="0" t="n">
        <v>1057</v>
      </c>
      <c r="E630" s="0" t="str">
        <f aca="false">IFERROR(IF(OR(HLOOKUP($A630,#REF!,3,FALSE())&gt;2,HLOOKUP(A630,#REF!,3,FALSE())&lt;-2),"",#REF!),"")</f>
        <v/>
      </c>
      <c r="F630" s="0" t="str">
        <f aca="false">IFERROR(IF(OR(HLOOKUP($A630,#REF!,4,FALSE())&gt;2,HLOOKUP($A630,#REF!,4,FALSE())&lt;-2),"",#REF!),"")</f>
        <v/>
      </c>
      <c r="G630" s="0" t="str">
        <f aca="false">IFERROR(IF(OR(HLOOKUP($A630,#REF!,5,FALSE())&gt;2,HLOOKUP($A630,#REF!,5,FALSE())&lt;-2),"",#REF!),"")</f>
        <v/>
      </c>
      <c r="H630" s="0" t="str">
        <f aca="false">IFERROR(IF(OR(HLOOKUP($A630,#REF!,6,FALSE())&gt;2,HLOOKUP($A630,#REF!,6,FALSE())&lt;-2),"",#REF!),"")</f>
        <v/>
      </c>
      <c r="I630" s="0" t="str">
        <f aca="false">IFERROR(IF(OR(HLOOKUP($A630,#REF!,7,FALSE())&gt;2,HLOOKUP($A630,#REF!,7,FALSE())&lt;-2),"",#REF!),"")</f>
        <v/>
      </c>
      <c r="J630" s="0" t="str">
        <f aca="false">IFERROR(IF(OR(HLOOKUP($A630,#REF!,8,FALSE())&gt;2,HLOOKUP($A630,#REF!,8,FALSE())&lt;-2),"",#REF!),"")</f>
        <v/>
      </c>
      <c r="K630" s="0" t="str">
        <f aca="false">IFERROR(IF(OR(HLOOKUP($A630,#REF!,9,FALSE())&gt;2,HLOOKUP($A630,#REF!,9,FALSE())&lt;-2),"",#REF!),"")</f>
        <v/>
      </c>
      <c r="L630" s="0" t="str">
        <f aca="false">IFERROR(IF(OR(HLOOKUP($A630,#REF!,10,FALSE())&gt;2,HLOOKUP($A630,#REF!,10,FALSE())&lt;-2),"",#REF!),"")</f>
        <v/>
      </c>
      <c r="M630" s="0" t="str">
        <f aca="false">IFERROR(IF(OR(HLOOKUP($A630,#REF!,11,FALSE())&gt;2,HLOOKUP($A630,#REF!,11,FALSE())&lt;-2),"",#REF!),"")</f>
        <v/>
      </c>
      <c r="N630" s="0" t="str">
        <f aca="false">IFERROR(IF(OR(HLOOKUP($A630,#REF!,12,FALSE())&gt;2,HLOOKUP($A630,#REF!,12,FALSE())&lt;-2),"",#REF!),"")</f>
        <v/>
      </c>
      <c r="O630" s="0" t="str">
        <f aca="false">IFERROR(IF(OR(HLOOKUP($A630,#REF!,13,FALSE())&gt;2,HLOOKUP($A630,#REF!,13,FALSE())&lt;-2),"",#REF!),"")</f>
        <v/>
      </c>
      <c r="P630" s="0" t="str">
        <f aca="false">IFERROR(IF(OR(HLOOKUP($A630,#REF!,14,FALSE())&gt;2,HLOOKUP($A630,#REF!,14,FALSE())&lt;-2),"",#REF!),"")</f>
        <v/>
      </c>
      <c r="Q630" s="0" t="str">
        <f aca="false">IFERROR(IF(OR(HLOOKUP($A630,#REF!,15,FALSE())&gt;2,HLOOKUP($A630,#REF!,15,FALSE())&lt;-2),"",#REF!),"")</f>
        <v/>
      </c>
      <c r="R630" s="0" t="str">
        <f aca="false">IFERROR(IF(OR(HLOOKUP($A630,#REF!,16,FALSE())&gt;2,HLOOKUP($A630,#REF!,16,FALSE())&lt;-2),"",#REF!),"")</f>
        <v/>
      </c>
      <c r="S630" s="0" t="str">
        <f aca="false">IFERROR(IF(OR(HLOOKUP($A630,#REF!,17,FALSE())&gt;2,HLOOKUP($A630,#REF!,17,FALSE())&lt;-2),"",#REF!),"")</f>
        <v/>
      </c>
      <c r="T630" s="0" t="str">
        <f aca="false">IFERROR(IF(OR(HLOOKUP($A630,#REF!,18,FALSE())&gt;2,HLOOKUP($A630,#REF!,18,FALSE())&lt;-2),"",#REF!),"")</f>
        <v/>
      </c>
      <c r="U630" s="0" t="str">
        <f aca="false">IFERROR(IF(OR(HLOOKUP($A630,#REF!,19,FALSE())&gt;2,HLOOKUP($A630,#REF!,19,FALSE())&lt;-2),"",#REF!),"")</f>
        <v/>
      </c>
      <c r="V630" s="0" t="n">
        <f aca="false">IFERROR(IF(AND(X630=0,Y630=0),0,1),0)</f>
        <v>1</v>
      </c>
      <c r="W630" s="3" t="str">
        <f aca="false">IFERROR(_xlfn.T.TEST(E630:M630,N630:U630,2,2),"")</f>
        <v/>
      </c>
      <c r="X630" s="0" t="str">
        <f aca="false">IFERROR(AVERAGE(E630:M630),"")</f>
        <v/>
      </c>
      <c r="Y630" s="0" t="str">
        <f aca="false">IFERROR(AVERAGE(N630:U630),"")</f>
        <v/>
      </c>
    </row>
    <row r="631" customFormat="false" ht="14.5" hidden="false" customHeight="false" outlineLevel="0" collapsed="false">
      <c r="A631" s="0" t="n">
        <v>639</v>
      </c>
      <c r="B631" s="0" t="s">
        <v>693</v>
      </c>
      <c r="C631" s="0" t="n">
        <v>34700</v>
      </c>
      <c r="D631" s="0" t="n">
        <v>631</v>
      </c>
      <c r="E631" s="0" t="str">
        <f aca="false">IFERROR(IF(OR(HLOOKUP($A631,#REF!,3,FALSE())&gt;2,HLOOKUP(A631,#REF!,3,FALSE())&lt;-2),"",#REF!),"")</f>
        <v/>
      </c>
      <c r="F631" s="0" t="str">
        <f aca="false">IFERROR(IF(OR(HLOOKUP($A631,#REF!,4,FALSE())&gt;2,HLOOKUP($A631,#REF!,4,FALSE())&lt;-2),"",#REF!),"")</f>
        <v/>
      </c>
      <c r="G631" s="0" t="str">
        <f aca="false">IFERROR(IF(OR(HLOOKUP($A631,#REF!,5,FALSE())&gt;2,HLOOKUP($A631,#REF!,5,FALSE())&lt;-2),"",#REF!),"")</f>
        <v/>
      </c>
      <c r="H631" s="0" t="str">
        <f aca="false">IFERROR(IF(OR(HLOOKUP($A631,#REF!,6,FALSE())&gt;2,HLOOKUP($A631,#REF!,6,FALSE())&lt;-2),"",#REF!),"")</f>
        <v/>
      </c>
      <c r="I631" s="0" t="str">
        <f aca="false">IFERROR(IF(OR(HLOOKUP($A631,#REF!,7,FALSE())&gt;2,HLOOKUP($A631,#REF!,7,FALSE())&lt;-2),"",#REF!),"")</f>
        <v/>
      </c>
      <c r="J631" s="0" t="str">
        <f aca="false">IFERROR(IF(OR(HLOOKUP($A631,#REF!,8,FALSE())&gt;2,HLOOKUP($A631,#REF!,8,FALSE())&lt;-2),"",#REF!),"")</f>
        <v/>
      </c>
      <c r="K631" s="0" t="str">
        <f aca="false">IFERROR(IF(OR(HLOOKUP($A631,#REF!,9,FALSE())&gt;2,HLOOKUP($A631,#REF!,9,FALSE())&lt;-2),"",#REF!),"")</f>
        <v/>
      </c>
      <c r="L631" s="0" t="str">
        <f aca="false">IFERROR(IF(OR(HLOOKUP($A631,#REF!,10,FALSE())&gt;2,HLOOKUP($A631,#REF!,10,FALSE())&lt;-2),"",#REF!),"")</f>
        <v/>
      </c>
      <c r="M631" s="0" t="str">
        <f aca="false">IFERROR(IF(OR(HLOOKUP($A631,#REF!,11,FALSE())&gt;2,HLOOKUP($A631,#REF!,11,FALSE())&lt;-2),"",#REF!),"")</f>
        <v/>
      </c>
      <c r="N631" s="0" t="str">
        <f aca="false">IFERROR(IF(OR(HLOOKUP($A631,#REF!,12,FALSE())&gt;2,HLOOKUP($A631,#REF!,12,FALSE())&lt;-2),"",#REF!),"")</f>
        <v/>
      </c>
      <c r="O631" s="0" t="str">
        <f aca="false">IFERROR(IF(OR(HLOOKUP($A631,#REF!,13,FALSE())&gt;2,HLOOKUP($A631,#REF!,13,FALSE())&lt;-2),"",#REF!),"")</f>
        <v/>
      </c>
      <c r="P631" s="0" t="str">
        <f aca="false">IFERROR(IF(OR(HLOOKUP($A631,#REF!,14,FALSE())&gt;2,HLOOKUP($A631,#REF!,14,FALSE())&lt;-2),"",#REF!),"")</f>
        <v/>
      </c>
      <c r="Q631" s="0" t="str">
        <f aca="false">IFERROR(IF(OR(HLOOKUP($A631,#REF!,15,FALSE())&gt;2,HLOOKUP($A631,#REF!,15,FALSE())&lt;-2),"",#REF!),"")</f>
        <v/>
      </c>
      <c r="R631" s="0" t="str">
        <f aca="false">IFERROR(IF(OR(HLOOKUP($A631,#REF!,16,FALSE())&gt;2,HLOOKUP($A631,#REF!,16,FALSE())&lt;-2),"",#REF!),"")</f>
        <v/>
      </c>
      <c r="S631" s="0" t="str">
        <f aca="false">IFERROR(IF(OR(HLOOKUP($A631,#REF!,17,FALSE())&gt;2,HLOOKUP($A631,#REF!,17,FALSE())&lt;-2),"",#REF!),"")</f>
        <v/>
      </c>
      <c r="T631" s="0" t="str">
        <f aca="false">IFERROR(IF(OR(HLOOKUP($A631,#REF!,18,FALSE())&gt;2,HLOOKUP($A631,#REF!,18,FALSE())&lt;-2),"",#REF!),"")</f>
        <v/>
      </c>
      <c r="U631" s="0" t="str">
        <f aca="false">IFERROR(IF(OR(HLOOKUP($A631,#REF!,19,FALSE())&gt;2,HLOOKUP($A631,#REF!,19,FALSE())&lt;-2),"",#REF!),"")</f>
        <v/>
      </c>
      <c r="V631" s="0" t="n">
        <f aca="false">IFERROR(IF(AND(X631=0,Y631=0),0,1),0)</f>
        <v>1</v>
      </c>
      <c r="W631" s="3" t="str">
        <f aca="false">IFERROR(_xlfn.T.TEST(E631:M631,N631:U631,2,2),"")</f>
        <v/>
      </c>
      <c r="X631" s="0" t="str">
        <f aca="false">IFERROR(AVERAGE(E631:M631),"")</f>
        <v/>
      </c>
      <c r="Y631" s="0" t="str">
        <f aca="false">IFERROR(AVERAGE(N631:U631),"")</f>
        <v/>
      </c>
    </row>
    <row r="632" customFormat="false" ht="14.5" hidden="false" customHeight="false" outlineLevel="0" collapsed="false">
      <c r="A632" s="0" t="n">
        <v>640</v>
      </c>
      <c r="B632" s="0" t="s">
        <v>694</v>
      </c>
      <c r="C632" s="0" t="n">
        <v>92700</v>
      </c>
      <c r="D632" s="0" t="n">
        <v>370</v>
      </c>
      <c r="E632" s="0" t="str">
        <f aca="false">IFERROR(IF(OR(HLOOKUP($A632,#REF!,3,FALSE())&gt;2,HLOOKUP(A632,#REF!,3,FALSE())&lt;-2),"",#REF!),"")</f>
        <v/>
      </c>
      <c r="F632" s="0" t="str">
        <f aca="false">IFERROR(IF(OR(HLOOKUP($A632,#REF!,4,FALSE())&gt;2,HLOOKUP($A632,#REF!,4,FALSE())&lt;-2),"",#REF!),"")</f>
        <v/>
      </c>
      <c r="G632" s="0" t="str">
        <f aca="false">IFERROR(IF(OR(HLOOKUP($A632,#REF!,5,FALSE())&gt;2,HLOOKUP($A632,#REF!,5,FALSE())&lt;-2),"",#REF!),"")</f>
        <v/>
      </c>
      <c r="H632" s="0" t="str">
        <f aca="false">IFERROR(IF(OR(HLOOKUP($A632,#REF!,6,FALSE())&gt;2,HLOOKUP($A632,#REF!,6,FALSE())&lt;-2),"",#REF!),"")</f>
        <v/>
      </c>
      <c r="I632" s="0" t="str">
        <f aca="false">IFERROR(IF(OR(HLOOKUP($A632,#REF!,7,FALSE())&gt;2,HLOOKUP($A632,#REF!,7,FALSE())&lt;-2),"",#REF!),"")</f>
        <v/>
      </c>
      <c r="J632" s="0" t="str">
        <f aca="false">IFERROR(IF(OR(HLOOKUP($A632,#REF!,8,FALSE())&gt;2,HLOOKUP($A632,#REF!,8,FALSE())&lt;-2),"",#REF!),"")</f>
        <v/>
      </c>
      <c r="K632" s="0" t="str">
        <f aca="false">IFERROR(IF(OR(HLOOKUP($A632,#REF!,9,FALSE())&gt;2,HLOOKUP($A632,#REF!,9,FALSE())&lt;-2),"",#REF!),"")</f>
        <v/>
      </c>
      <c r="L632" s="0" t="str">
        <f aca="false">IFERROR(IF(OR(HLOOKUP($A632,#REF!,10,FALSE())&gt;2,HLOOKUP($A632,#REF!,10,FALSE())&lt;-2),"",#REF!),"")</f>
        <v/>
      </c>
      <c r="M632" s="0" t="str">
        <f aca="false">IFERROR(IF(OR(HLOOKUP($A632,#REF!,11,FALSE())&gt;2,HLOOKUP($A632,#REF!,11,FALSE())&lt;-2),"",#REF!),"")</f>
        <v/>
      </c>
      <c r="N632" s="0" t="str">
        <f aca="false">IFERROR(IF(OR(HLOOKUP($A632,#REF!,12,FALSE())&gt;2,HLOOKUP($A632,#REF!,12,FALSE())&lt;-2),"",#REF!),"")</f>
        <v/>
      </c>
      <c r="O632" s="0" t="str">
        <f aca="false">IFERROR(IF(OR(HLOOKUP($A632,#REF!,13,FALSE())&gt;2,HLOOKUP($A632,#REF!,13,FALSE())&lt;-2),"",#REF!),"")</f>
        <v/>
      </c>
      <c r="P632" s="0" t="str">
        <f aca="false">IFERROR(IF(OR(HLOOKUP($A632,#REF!,14,FALSE())&gt;2,HLOOKUP($A632,#REF!,14,FALSE())&lt;-2),"",#REF!),"")</f>
        <v/>
      </c>
      <c r="Q632" s="0" t="str">
        <f aca="false">IFERROR(IF(OR(HLOOKUP($A632,#REF!,15,FALSE())&gt;2,HLOOKUP($A632,#REF!,15,FALSE())&lt;-2),"",#REF!),"")</f>
        <v/>
      </c>
      <c r="R632" s="0" t="str">
        <f aca="false">IFERROR(IF(OR(HLOOKUP($A632,#REF!,16,FALSE())&gt;2,HLOOKUP($A632,#REF!,16,FALSE())&lt;-2),"",#REF!),"")</f>
        <v/>
      </c>
      <c r="S632" s="0" t="str">
        <f aca="false">IFERROR(IF(OR(HLOOKUP($A632,#REF!,17,FALSE())&gt;2,HLOOKUP($A632,#REF!,17,FALSE())&lt;-2),"",#REF!),"")</f>
        <v/>
      </c>
      <c r="T632" s="0" t="str">
        <f aca="false">IFERROR(IF(OR(HLOOKUP($A632,#REF!,18,FALSE())&gt;2,HLOOKUP($A632,#REF!,18,FALSE())&lt;-2),"",#REF!),"")</f>
        <v/>
      </c>
      <c r="U632" s="0" t="str">
        <f aca="false">IFERROR(IF(OR(HLOOKUP($A632,#REF!,19,FALSE())&gt;2,HLOOKUP($A632,#REF!,19,FALSE())&lt;-2),"",#REF!),"")</f>
        <v/>
      </c>
      <c r="V632" s="0" t="n">
        <f aca="false">IFERROR(IF(AND(X632=0,Y632=0),0,1),0)</f>
        <v>1</v>
      </c>
      <c r="W632" s="3" t="str">
        <f aca="false">IFERROR(_xlfn.T.TEST(E632:M632,N632:U632,2,2),"")</f>
        <v/>
      </c>
      <c r="X632" s="0" t="str">
        <f aca="false">IFERROR(AVERAGE(E632:M632),"")</f>
        <v/>
      </c>
      <c r="Y632" s="0" t="str">
        <f aca="false">IFERROR(AVERAGE(N632:U632),"")</f>
        <v/>
      </c>
    </row>
    <row r="633" customFormat="false" ht="14.5" hidden="false" customHeight="false" outlineLevel="0" collapsed="false">
      <c r="A633" s="0" t="n">
        <v>641</v>
      </c>
      <c r="B633" s="0" t="s">
        <v>695</v>
      </c>
      <c r="C633" s="0" t="n">
        <v>100900</v>
      </c>
      <c r="D633" s="0" t="n">
        <v>948</v>
      </c>
      <c r="E633" s="0" t="str">
        <f aca="false">IFERROR(IF(OR(HLOOKUP($A633,#REF!,3,FALSE())&gt;2,HLOOKUP(A633,#REF!,3,FALSE())&lt;-2),"",#REF!),"")</f>
        <v/>
      </c>
      <c r="F633" s="0" t="str">
        <f aca="false">IFERROR(IF(OR(HLOOKUP($A633,#REF!,4,FALSE())&gt;2,HLOOKUP($A633,#REF!,4,FALSE())&lt;-2),"",#REF!),"")</f>
        <v/>
      </c>
      <c r="G633" s="0" t="str">
        <f aca="false">IFERROR(IF(OR(HLOOKUP($A633,#REF!,5,FALSE())&gt;2,HLOOKUP($A633,#REF!,5,FALSE())&lt;-2),"",#REF!),"")</f>
        <v/>
      </c>
      <c r="H633" s="0" t="str">
        <f aca="false">IFERROR(IF(OR(HLOOKUP($A633,#REF!,6,FALSE())&gt;2,HLOOKUP($A633,#REF!,6,FALSE())&lt;-2),"",#REF!),"")</f>
        <v/>
      </c>
      <c r="I633" s="0" t="str">
        <f aca="false">IFERROR(IF(OR(HLOOKUP($A633,#REF!,7,FALSE())&gt;2,HLOOKUP($A633,#REF!,7,FALSE())&lt;-2),"",#REF!),"")</f>
        <v/>
      </c>
      <c r="J633" s="0" t="str">
        <f aca="false">IFERROR(IF(OR(HLOOKUP($A633,#REF!,8,FALSE())&gt;2,HLOOKUP($A633,#REF!,8,FALSE())&lt;-2),"",#REF!),"")</f>
        <v/>
      </c>
      <c r="K633" s="0" t="str">
        <f aca="false">IFERROR(IF(OR(HLOOKUP($A633,#REF!,9,FALSE())&gt;2,HLOOKUP($A633,#REF!,9,FALSE())&lt;-2),"",#REF!),"")</f>
        <v/>
      </c>
      <c r="L633" s="0" t="str">
        <f aca="false">IFERROR(IF(OR(HLOOKUP($A633,#REF!,10,FALSE())&gt;2,HLOOKUP($A633,#REF!,10,FALSE())&lt;-2),"",#REF!),"")</f>
        <v/>
      </c>
      <c r="M633" s="0" t="str">
        <f aca="false">IFERROR(IF(OR(HLOOKUP($A633,#REF!,11,FALSE())&gt;2,HLOOKUP($A633,#REF!,11,FALSE())&lt;-2),"",#REF!),"")</f>
        <v/>
      </c>
      <c r="N633" s="0" t="str">
        <f aca="false">IFERROR(IF(OR(HLOOKUP($A633,#REF!,12,FALSE())&gt;2,HLOOKUP($A633,#REF!,12,FALSE())&lt;-2),"",#REF!),"")</f>
        <v/>
      </c>
      <c r="O633" s="0" t="str">
        <f aca="false">IFERROR(IF(OR(HLOOKUP($A633,#REF!,13,FALSE())&gt;2,HLOOKUP($A633,#REF!,13,FALSE())&lt;-2),"",#REF!),"")</f>
        <v/>
      </c>
      <c r="P633" s="0" t="str">
        <f aca="false">IFERROR(IF(OR(HLOOKUP($A633,#REF!,14,FALSE())&gt;2,HLOOKUP($A633,#REF!,14,FALSE())&lt;-2),"",#REF!),"")</f>
        <v/>
      </c>
      <c r="Q633" s="0" t="str">
        <f aca="false">IFERROR(IF(OR(HLOOKUP($A633,#REF!,15,FALSE())&gt;2,HLOOKUP($A633,#REF!,15,FALSE())&lt;-2),"",#REF!),"")</f>
        <v/>
      </c>
      <c r="R633" s="0" t="str">
        <f aca="false">IFERROR(IF(OR(HLOOKUP($A633,#REF!,16,FALSE())&gt;2,HLOOKUP($A633,#REF!,16,FALSE())&lt;-2),"",#REF!),"")</f>
        <v/>
      </c>
      <c r="S633" s="0" t="str">
        <f aca="false">IFERROR(IF(OR(HLOOKUP($A633,#REF!,17,FALSE())&gt;2,HLOOKUP($A633,#REF!,17,FALSE())&lt;-2),"",#REF!),"")</f>
        <v/>
      </c>
      <c r="T633" s="0" t="str">
        <f aca="false">IFERROR(IF(OR(HLOOKUP($A633,#REF!,18,FALSE())&gt;2,HLOOKUP($A633,#REF!,18,FALSE())&lt;-2),"",#REF!),"")</f>
        <v/>
      </c>
      <c r="U633" s="0" t="str">
        <f aca="false">IFERROR(IF(OR(HLOOKUP($A633,#REF!,19,FALSE())&gt;2,HLOOKUP($A633,#REF!,19,FALSE())&lt;-2),"",#REF!),"")</f>
        <v/>
      </c>
      <c r="V633" s="0" t="n">
        <f aca="false">IFERROR(IF(AND(X633=0,Y633=0),0,1),0)</f>
        <v>1</v>
      </c>
      <c r="W633" s="3" t="str">
        <f aca="false">IFERROR(_xlfn.T.TEST(E633:M633,N633:U633,2,2),"")</f>
        <v/>
      </c>
      <c r="X633" s="0" t="str">
        <f aca="false">IFERROR(AVERAGE(E633:M633),"")</f>
        <v/>
      </c>
      <c r="Y633" s="0" t="str">
        <f aca="false">IFERROR(AVERAGE(N633:U633),"")</f>
        <v/>
      </c>
    </row>
    <row r="634" customFormat="false" ht="14.5" hidden="false" customHeight="false" outlineLevel="0" collapsed="false">
      <c r="A634" s="0" t="n">
        <v>642</v>
      </c>
      <c r="B634" s="0" t="s">
        <v>696</v>
      </c>
      <c r="C634" s="0" t="n">
        <v>90600</v>
      </c>
      <c r="D634" s="0" t="n">
        <v>386</v>
      </c>
      <c r="E634" s="0" t="str">
        <f aca="false">IFERROR(IF(OR(HLOOKUP($A634,#REF!,3,FALSE())&gt;2,HLOOKUP(A634,#REF!,3,FALSE())&lt;-2),"",#REF!),"")</f>
        <v/>
      </c>
      <c r="F634" s="0" t="str">
        <f aca="false">IFERROR(IF(OR(HLOOKUP($A634,#REF!,4,FALSE())&gt;2,HLOOKUP($A634,#REF!,4,FALSE())&lt;-2),"",#REF!),"")</f>
        <v/>
      </c>
      <c r="G634" s="0" t="str">
        <f aca="false">IFERROR(IF(OR(HLOOKUP($A634,#REF!,5,FALSE())&gt;2,HLOOKUP($A634,#REF!,5,FALSE())&lt;-2),"",#REF!),"")</f>
        <v/>
      </c>
      <c r="H634" s="0" t="str">
        <f aca="false">IFERROR(IF(OR(HLOOKUP($A634,#REF!,6,FALSE())&gt;2,HLOOKUP($A634,#REF!,6,FALSE())&lt;-2),"",#REF!),"")</f>
        <v/>
      </c>
      <c r="I634" s="0" t="str">
        <f aca="false">IFERROR(IF(OR(HLOOKUP($A634,#REF!,7,FALSE())&gt;2,HLOOKUP($A634,#REF!,7,FALSE())&lt;-2),"",#REF!),"")</f>
        <v/>
      </c>
      <c r="J634" s="0" t="str">
        <f aca="false">IFERROR(IF(OR(HLOOKUP($A634,#REF!,8,FALSE())&gt;2,HLOOKUP($A634,#REF!,8,FALSE())&lt;-2),"",#REF!),"")</f>
        <v/>
      </c>
      <c r="K634" s="0" t="str">
        <f aca="false">IFERROR(IF(OR(HLOOKUP($A634,#REF!,9,FALSE())&gt;2,HLOOKUP($A634,#REF!,9,FALSE())&lt;-2),"",#REF!),"")</f>
        <v/>
      </c>
      <c r="L634" s="0" t="str">
        <f aca="false">IFERROR(IF(OR(HLOOKUP($A634,#REF!,10,FALSE())&gt;2,HLOOKUP($A634,#REF!,10,FALSE())&lt;-2),"",#REF!),"")</f>
        <v/>
      </c>
      <c r="M634" s="0" t="str">
        <f aca="false">IFERROR(IF(OR(HLOOKUP($A634,#REF!,11,FALSE())&gt;2,HLOOKUP($A634,#REF!,11,FALSE())&lt;-2),"",#REF!),"")</f>
        <v/>
      </c>
      <c r="N634" s="0" t="str">
        <f aca="false">IFERROR(IF(OR(HLOOKUP($A634,#REF!,12,FALSE())&gt;2,HLOOKUP($A634,#REF!,12,FALSE())&lt;-2),"",#REF!),"")</f>
        <v/>
      </c>
      <c r="O634" s="0" t="str">
        <f aca="false">IFERROR(IF(OR(HLOOKUP($A634,#REF!,13,FALSE())&gt;2,HLOOKUP($A634,#REF!,13,FALSE())&lt;-2),"",#REF!),"")</f>
        <v/>
      </c>
      <c r="P634" s="0" t="str">
        <f aca="false">IFERROR(IF(OR(HLOOKUP($A634,#REF!,14,FALSE())&gt;2,HLOOKUP($A634,#REF!,14,FALSE())&lt;-2),"",#REF!),"")</f>
        <v/>
      </c>
      <c r="Q634" s="0" t="str">
        <f aca="false">IFERROR(IF(OR(HLOOKUP($A634,#REF!,15,FALSE())&gt;2,HLOOKUP($A634,#REF!,15,FALSE())&lt;-2),"",#REF!),"")</f>
        <v/>
      </c>
      <c r="R634" s="0" t="str">
        <f aca="false">IFERROR(IF(OR(HLOOKUP($A634,#REF!,16,FALSE())&gt;2,HLOOKUP($A634,#REF!,16,FALSE())&lt;-2),"",#REF!),"")</f>
        <v/>
      </c>
      <c r="S634" s="0" t="str">
        <f aca="false">IFERROR(IF(OR(HLOOKUP($A634,#REF!,17,FALSE())&gt;2,HLOOKUP($A634,#REF!,17,FALSE())&lt;-2),"",#REF!),"")</f>
        <v/>
      </c>
      <c r="T634" s="0" t="str">
        <f aca="false">IFERROR(IF(OR(HLOOKUP($A634,#REF!,18,FALSE())&gt;2,HLOOKUP($A634,#REF!,18,FALSE())&lt;-2),"",#REF!),"")</f>
        <v/>
      </c>
      <c r="U634" s="0" t="str">
        <f aca="false">IFERROR(IF(OR(HLOOKUP($A634,#REF!,19,FALSE())&gt;2,HLOOKUP($A634,#REF!,19,FALSE())&lt;-2),"",#REF!),"")</f>
        <v/>
      </c>
      <c r="V634" s="0" t="n">
        <f aca="false">IFERROR(IF(AND(X634=0,Y634=0),0,1),0)</f>
        <v>1</v>
      </c>
      <c r="W634" s="3" t="str">
        <f aca="false">IFERROR(_xlfn.T.TEST(E634:M634,N634:U634,2,2),"")</f>
        <v/>
      </c>
      <c r="X634" s="0" t="str">
        <f aca="false">IFERROR(AVERAGE(E634:M634),"")</f>
        <v/>
      </c>
      <c r="Y634" s="0" t="str">
        <f aca="false">IFERROR(AVERAGE(N634:U634),"")</f>
        <v/>
      </c>
    </row>
    <row r="635" customFormat="false" ht="14.5" hidden="false" customHeight="false" outlineLevel="0" collapsed="false">
      <c r="A635" s="0" t="n">
        <v>643</v>
      </c>
      <c r="B635" s="0" t="s">
        <v>697</v>
      </c>
      <c r="C635" s="0" t="n">
        <v>12200</v>
      </c>
      <c r="D635" s="0" t="n">
        <v>1027</v>
      </c>
      <c r="E635" s="0" t="str">
        <f aca="false">IFERROR(IF(OR(HLOOKUP($A635,#REF!,3,FALSE())&gt;2,HLOOKUP(A635,#REF!,3,FALSE())&lt;-2),"",#REF!),"")</f>
        <v/>
      </c>
      <c r="F635" s="0" t="str">
        <f aca="false">IFERROR(IF(OR(HLOOKUP($A635,#REF!,4,FALSE())&gt;2,HLOOKUP($A635,#REF!,4,FALSE())&lt;-2),"",#REF!),"")</f>
        <v/>
      </c>
      <c r="G635" s="0" t="str">
        <f aca="false">IFERROR(IF(OR(HLOOKUP($A635,#REF!,5,FALSE())&gt;2,HLOOKUP($A635,#REF!,5,FALSE())&lt;-2),"",#REF!),"")</f>
        <v/>
      </c>
      <c r="H635" s="0" t="str">
        <f aca="false">IFERROR(IF(OR(HLOOKUP($A635,#REF!,6,FALSE())&gt;2,HLOOKUP($A635,#REF!,6,FALSE())&lt;-2),"",#REF!),"")</f>
        <v/>
      </c>
      <c r="I635" s="0" t="str">
        <f aca="false">IFERROR(IF(OR(HLOOKUP($A635,#REF!,7,FALSE())&gt;2,HLOOKUP($A635,#REF!,7,FALSE())&lt;-2),"",#REF!),"")</f>
        <v/>
      </c>
      <c r="J635" s="0" t="str">
        <f aca="false">IFERROR(IF(OR(HLOOKUP($A635,#REF!,8,FALSE())&gt;2,HLOOKUP($A635,#REF!,8,FALSE())&lt;-2),"",#REF!),"")</f>
        <v/>
      </c>
      <c r="K635" s="0" t="str">
        <f aca="false">IFERROR(IF(OR(HLOOKUP($A635,#REF!,9,FALSE())&gt;2,HLOOKUP($A635,#REF!,9,FALSE())&lt;-2),"",#REF!),"")</f>
        <v/>
      </c>
      <c r="L635" s="0" t="str">
        <f aca="false">IFERROR(IF(OR(HLOOKUP($A635,#REF!,10,FALSE())&gt;2,HLOOKUP($A635,#REF!,10,FALSE())&lt;-2),"",#REF!),"")</f>
        <v/>
      </c>
      <c r="M635" s="0" t="str">
        <f aca="false">IFERROR(IF(OR(HLOOKUP($A635,#REF!,11,FALSE())&gt;2,HLOOKUP($A635,#REF!,11,FALSE())&lt;-2),"",#REF!),"")</f>
        <v/>
      </c>
      <c r="N635" s="0" t="str">
        <f aca="false">IFERROR(IF(OR(HLOOKUP($A635,#REF!,12,FALSE())&gt;2,HLOOKUP($A635,#REF!,12,FALSE())&lt;-2),"",#REF!),"")</f>
        <v/>
      </c>
      <c r="O635" s="0" t="str">
        <f aca="false">IFERROR(IF(OR(HLOOKUP($A635,#REF!,13,FALSE())&gt;2,HLOOKUP($A635,#REF!,13,FALSE())&lt;-2),"",#REF!),"")</f>
        <v/>
      </c>
      <c r="P635" s="0" t="str">
        <f aca="false">IFERROR(IF(OR(HLOOKUP($A635,#REF!,14,FALSE())&gt;2,HLOOKUP($A635,#REF!,14,FALSE())&lt;-2),"",#REF!),"")</f>
        <v/>
      </c>
      <c r="Q635" s="0" t="str">
        <f aca="false">IFERROR(IF(OR(HLOOKUP($A635,#REF!,15,FALSE())&gt;2,HLOOKUP($A635,#REF!,15,FALSE())&lt;-2),"",#REF!),"")</f>
        <v/>
      </c>
      <c r="R635" s="0" t="str">
        <f aca="false">IFERROR(IF(OR(HLOOKUP($A635,#REF!,16,FALSE())&gt;2,HLOOKUP($A635,#REF!,16,FALSE())&lt;-2),"",#REF!),"")</f>
        <v/>
      </c>
      <c r="S635" s="0" t="str">
        <f aca="false">IFERROR(IF(OR(HLOOKUP($A635,#REF!,17,FALSE())&gt;2,HLOOKUP($A635,#REF!,17,FALSE())&lt;-2),"",#REF!),"")</f>
        <v/>
      </c>
      <c r="T635" s="0" t="str">
        <f aca="false">IFERROR(IF(OR(HLOOKUP($A635,#REF!,18,FALSE())&gt;2,HLOOKUP($A635,#REF!,18,FALSE())&lt;-2),"",#REF!),"")</f>
        <v/>
      </c>
      <c r="U635" s="0" t="str">
        <f aca="false">IFERROR(IF(OR(HLOOKUP($A635,#REF!,19,FALSE())&gt;2,HLOOKUP($A635,#REF!,19,FALSE())&lt;-2),"",#REF!),"")</f>
        <v/>
      </c>
      <c r="V635" s="0" t="n">
        <f aca="false">IFERROR(IF(AND(X635=0,Y635=0),0,1),0)</f>
        <v>1</v>
      </c>
      <c r="W635" s="3" t="str">
        <f aca="false">IFERROR(_xlfn.T.TEST(E635:M635,N635:U635,2,2),"")</f>
        <v/>
      </c>
      <c r="X635" s="0" t="str">
        <f aca="false">IFERROR(AVERAGE(E635:M635),"")</f>
        <v/>
      </c>
      <c r="Y635" s="0" t="str">
        <f aca="false">IFERROR(AVERAGE(N635:U635),"")</f>
        <v/>
      </c>
    </row>
    <row r="636" customFormat="false" ht="14.5" hidden="false" customHeight="false" outlineLevel="0" collapsed="false">
      <c r="A636" s="0" t="n">
        <v>644</v>
      </c>
      <c r="B636" s="0" t="s">
        <v>698</v>
      </c>
      <c r="C636" s="0" t="n">
        <v>1300</v>
      </c>
      <c r="D636" s="0" t="n">
        <v>500</v>
      </c>
      <c r="E636" s="0" t="str">
        <f aca="false">IFERROR(IF(OR(HLOOKUP($A636,#REF!,3,FALSE())&gt;2,HLOOKUP(A636,#REF!,3,FALSE())&lt;-2),"",#REF!),"")</f>
        <v/>
      </c>
      <c r="F636" s="0" t="str">
        <f aca="false">IFERROR(IF(OR(HLOOKUP($A636,#REF!,4,FALSE())&gt;2,HLOOKUP($A636,#REF!,4,FALSE())&lt;-2),"",#REF!),"")</f>
        <v/>
      </c>
      <c r="G636" s="0" t="str">
        <f aca="false">IFERROR(IF(OR(HLOOKUP($A636,#REF!,5,FALSE())&gt;2,HLOOKUP($A636,#REF!,5,FALSE())&lt;-2),"",#REF!),"")</f>
        <v/>
      </c>
      <c r="H636" s="0" t="str">
        <f aca="false">IFERROR(IF(OR(HLOOKUP($A636,#REF!,6,FALSE())&gt;2,HLOOKUP($A636,#REF!,6,FALSE())&lt;-2),"",#REF!),"")</f>
        <v/>
      </c>
      <c r="I636" s="0" t="str">
        <f aca="false">IFERROR(IF(OR(HLOOKUP($A636,#REF!,7,FALSE())&gt;2,HLOOKUP($A636,#REF!,7,FALSE())&lt;-2),"",#REF!),"")</f>
        <v/>
      </c>
      <c r="J636" s="0" t="str">
        <f aca="false">IFERROR(IF(OR(HLOOKUP($A636,#REF!,8,FALSE())&gt;2,HLOOKUP($A636,#REF!,8,FALSE())&lt;-2),"",#REF!),"")</f>
        <v/>
      </c>
      <c r="K636" s="0" t="str">
        <f aca="false">IFERROR(IF(OR(HLOOKUP($A636,#REF!,9,FALSE())&gt;2,HLOOKUP($A636,#REF!,9,FALSE())&lt;-2),"",#REF!),"")</f>
        <v/>
      </c>
      <c r="L636" s="0" t="str">
        <f aca="false">IFERROR(IF(OR(HLOOKUP($A636,#REF!,10,FALSE())&gt;2,HLOOKUP($A636,#REF!,10,FALSE())&lt;-2),"",#REF!),"")</f>
        <v/>
      </c>
      <c r="M636" s="0" t="str">
        <f aca="false">IFERROR(IF(OR(HLOOKUP($A636,#REF!,11,FALSE())&gt;2,HLOOKUP($A636,#REF!,11,FALSE())&lt;-2),"",#REF!),"")</f>
        <v/>
      </c>
      <c r="N636" s="0" t="str">
        <f aca="false">IFERROR(IF(OR(HLOOKUP($A636,#REF!,12,FALSE())&gt;2,HLOOKUP($A636,#REF!,12,FALSE())&lt;-2),"",#REF!),"")</f>
        <v/>
      </c>
      <c r="O636" s="0" t="str">
        <f aca="false">IFERROR(IF(OR(HLOOKUP($A636,#REF!,13,FALSE())&gt;2,HLOOKUP($A636,#REF!,13,FALSE())&lt;-2),"",#REF!),"")</f>
        <v/>
      </c>
      <c r="P636" s="0" t="str">
        <f aca="false">IFERROR(IF(OR(HLOOKUP($A636,#REF!,14,FALSE())&gt;2,HLOOKUP($A636,#REF!,14,FALSE())&lt;-2),"",#REF!),"")</f>
        <v/>
      </c>
      <c r="Q636" s="0" t="str">
        <f aca="false">IFERROR(IF(OR(HLOOKUP($A636,#REF!,15,FALSE())&gt;2,HLOOKUP($A636,#REF!,15,FALSE())&lt;-2),"",#REF!),"")</f>
        <v/>
      </c>
      <c r="R636" s="0" t="str">
        <f aca="false">IFERROR(IF(OR(HLOOKUP($A636,#REF!,16,FALSE())&gt;2,HLOOKUP($A636,#REF!,16,FALSE())&lt;-2),"",#REF!),"")</f>
        <v/>
      </c>
      <c r="S636" s="0" t="str">
        <f aca="false">IFERROR(IF(OR(HLOOKUP($A636,#REF!,17,FALSE())&gt;2,HLOOKUP($A636,#REF!,17,FALSE())&lt;-2),"",#REF!),"")</f>
        <v/>
      </c>
      <c r="T636" s="0" t="str">
        <f aca="false">IFERROR(IF(OR(HLOOKUP($A636,#REF!,18,FALSE())&gt;2,HLOOKUP($A636,#REF!,18,FALSE())&lt;-2),"",#REF!),"")</f>
        <v/>
      </c>
      <c r="U636" s="0" t="str">
        <f aca="false">IFERROR(IF(OR(HLOOKUP($A636,#REF!,19,FALSE())&gt;2,HLOOKUP($A636,#REF!,19,FALSE())&lt;-2),"",#REF!),"")</f>
        <v/>
      </c>
      <c r="V636" s="0" t="n">
        <f aca="false">IFERROR(IF(AND(X636=0,Y636=0),0,1),0)</f>
        <v>1</v>
      </c>
      <c r="W636" s="3" t="str">
        <f aca="false">IFERROR(_xlfn.T.TEST(E636:M636,N636:U636,2,2),"")</f>
        <v/>
      </c>
      <c r="X636" s="0" t="str">
        <f aca="false">IFERROR(AVERAGE(E636:M636),"")</f>
        <v/>
      </c>
      <c r="Y636" s="0" t="str">
        <f aca="false">IFERROR(AVERAGE(N636:U636),"")</f>
        <v/>
      </c>
    </row>
    <row r="637" customFormat="false" ht="14.5" hidden="false" customHeight="false" outlineLevel="0" collapsed="false">
      <c r="A637" s="0" t="n">
        <v>645</v>
      </c>
      <c r="B637" s="0" t="s">
        <v>699</v>
      </c>
      <c r="C637" s="0" t="n">
        <v>54900</v>
      </c>
      <c r="D637" s="0" t="n">
        <v>528</v>
      </c>
      <c r="E637" s="0" t="str">
        <f aca="false">IFERROR(IF(OR(HLOOKUP($A637,#REF!,3,FALSE())&gt;2,HLOOKUP(A637,#REF!,3,FALSE())&lt;-2),"",#REF!),"")</f>
        <v/>
      </c>
      <c r="F637" s="0" t="str">
        <f aca="false">IFERROR(IF(OR(HLOOKUP($A637,#REF!,4,FALSE())&gt;2,HLOOKUP($A637,#REF!,4,FALSE())&lt;-2),"",#REF!),"")</f>
        <v/>
      </c>
      <c r="G637" s="0" t="str">
        <f aca="false">IFERROR(IF(OR(HLOOKUP($A637,#REF!,5,FALSE())&gt;2,HLOOKUP($A637,#REF!,5,FALSE())&lt;-2),"",#REF!),"")</f>
        <v/>
      </c>
      <c r="H637" s="0" t="str">
        <f aca="false">IFERROR(IF(OR(HLOOKUP($A637,#REF!,6,FALSE())&gt;2,HLOOKUP($A637,#REF!,6,FALSE())&lt;-2),"",#REF!),"")</f>
        <v/>
      </c>
      <c r="I637" s="0" t="str">
        <f aca="false">IFERROR(IF(OR(HLOOKUP($A637,#REF!,7,FALSE())&gt;2,HLOOKUP($A637,#REF!,7,FALSE())&lt;-2),"",#REF!),"")</f>
        <v/>
      </c>
      <c r="J637" s="0" t="str">
        <f aca="false">IFERROR(IF(OR(HLOOKUP($A637,#REF!,8,FALSE())&gt;2,HLOOKUP($A637,#REF!,8,FALSE())&lt;-2),"",#REF!),"")</f>
        <v/>
      </c>
      <c r="K637" s="0" t="str">
        <f aca="false">IFERROR(IF(OR(HLOOKUP($A637,#REF!,9,FALSE())&gt;2,HLOOKUP($A637,#REF!,9,FALSE())&lt;-2),"",#REF!),"")</f>
        <v/>
      </c>
      <c r="L637" s="0" t="str">
        <f aca="false">IFERROR(IF(OR(HLOOKUP($A637,#REF!,10,FALSE())&gt;2,HLOOKUP($A637,#REF!,10,FALSE())&lt;-2),"",#REF!),"")</f>
        <v/>
      </c>
      <c r="M637" s="0" t="str">
        <f aca="false">IFERROR(IF(OR(HLOOKUP($A637,#REF!,11,FALSE())&gt;2,HLOOKUP($A637,#REF!,11,FALSE())&lt;-2),"",#REF!),"")</f>
        <v/>
      </c>
      <c r="N637" s="0" t="str">
        <f aca="false">IFERROR(IF(OR(HLOOKUP($A637,#REF!,12,FALSE())&gt;2,HLOOKUP($A637,#REF!,12,FALSE())&lt;-2),"",#REF!),"")</f>
        <v/>
      </c>
      <c r="O637" s="0" t="str">
        <f aca="false">IFERROR(IF(OR(HLOOKUP($A637,#REF!,13,FALSE())&gt;2,HLOOKUP($A637,#REF!,13,FALSE())&lt;-2),"",#REF!),"")</f>
        <v/>
      </c>
      <c r="P637" s="0" t="str">
        <f aca="false">IFERROR(IF(OR(HLOOKUP($A637,#REF!,14,FALSE())&gt;2,HLOOKUP($A637,#REF!,14,FALSE())&lt;-2),"",#REF!),"")</f>
        <v/>
      </c>
      <c r="Q637" s="0" t="str">
        <f aca="false">IFERROR(IF(OR(HLOOKUP($A637,#REF!,15,FALSE())&gt;2,HLOOKUP($A637,#REF!,15,FALSE())&lt;-2),"",#REF!),"")</f>
        <v/>
      </c>
      <c r="R637" s="0" t="str">
        <f aca="false">IFERROR(IF(OR(HLOOKUP($A637,#REF!,16,FALSE())&gt;2,HLOOKUP($A637,#REF!,16,FALSE())&lt;-2),"",#REF!),"")</f>
        <v/>
      </c>
      <c r="S637" s="0" t="str">
        <f aca="false">IFERROR(IF(OR(HLOOKUP($A637,#REF!,17,FALSE())&gt;2,HLOOKUP($A637,#REF!,17,FALSE())&lt;-2),"",#REF!),"")</f>
        <v/>
      </c>
      <c r="T637" s="0" t="str">
        <f aca="false">IFERROR(IF(OR(HLOOKUP($A637,#REF!,18,FALSE())&gt;2,HLOOKUP($A637,#REF!,18,FALSE())&lt;-2),"",#REF!),"")</f>
        <v/>
      </c>
      <c r="U637" s="0" t="str">
        <f aca="false">IFERROR(IF(OR(HLOOKUP($A637,#REF!,19,FALSE())&gt;2,HLOOKUP($A637,#REF!,19,FALSE())&lt;-2),"",#REF!),"")</f>
        <v/>
      </c>
      <c r="V637" s="0" t="n">
        <f aca="false">IFERROR(IF(AND(X637=0,Y637=0),0,1),0)</f>
        <v>1</v>
      </c>
      <c r="W637" s="3" t="str">
        <f aca="false">IFERROR(_xlfn.T.TEST(E637:M637,N637:U637,2,2),"")</f>
        <v/>
      </c>
      <c r="X637" s="0" t="str">
        <f aca="false">IFERROR(AVERAGE(E637:M637),"")</f>
        <v/>
      </c>
      <c r="Y637" s="0" t="str">
        <f aca="false">IFERROR(AVERAGE(N637:U637),"")</f>
        <v/>
      </c>
    </row>
    <row r="638" customFormat="false" ht="14.5" hidden="false" customHeight="false" outlineLevel="0" collapsed="false">
      <c r="A638" s="0" t="n">
        <v>646</v>
      </c>
      <c r="B638" s="0" t="s">
        <v>700</v>
      </c>
      <c r="C638" s="0" t="n">
        <v>33400</v>
      </c>
      <c r="D638" s="0" t="n">
        <v>814</v>
      </c>
      <c r="E638" s="0" t="str">
        <f aca="false">IFERROR(IF(OR(HLOOKUP($A638,#REF!,3,FALSE())&gt;2,HLOOKUP(A638,#REF!,3,FALSE())&lt;-2),"",#REF!),"")</f>
        <v/>
      </c>
      <c r="F638" s="0" t="str">
        <f aca="false">IFERROR(IF(OR(HLOOKUP($A638,#REF!,4,FALSE())&gt;2,HLOOKUP($A638,#REF!,4,FALSE())&lt;-2),"",#REF!),"")</f>
        <v/>
      </c>
      <c r="G638" s="0" t="str">
        <f aca="false">IFERROR(IF(OR(HLOOKUP($A638,#REF!,5,FALSE())&gt;2,HLOOKUP($A638,#REF!,5,FALSE())&lt;-2),"",#REF!),"")</f>
        <v/>
      </c>
      <c r="H638" s="0" t="str">
        <f aca="false">IFERROR(IF(OR(HLOOKUP($A638,#REF!,6,FALSE())&gt;2,HLOOKUP($A638,#REF!,6,FALSE())&lt;-2),"",#REF!),"")</f>
        <v/>
      </c>
      <c r="I638" s="0" t="str">
        <f aca="false">IFERROR(IF(OR(HLOOKUP($A638,#REF!,7,FALSE())&gt;2,HLOOKUP($A638,#REF!,7,FALSE())&lt;-2),"",#REF!),"")</f>
        <v/>
      </c>
      <c r="J638" s="0" t="str">
        <f aca="false">IFERROR(IF(OR(HLOOKUP($A638,#REF!,8,FALSE())&gt;2,HLOOKUP($A638,#REF!,8,FALSE())&lt;-2),"",#REF!),"")</f>
        <v/>
      </c>
      <c r="K638" s="0" t="str">
        <f aca="false">IFERROR(IF(OR(HLOOKUP($A638,#REF!,9,FALSE())&gt;2,HLOOKUP($A638,#REF!,9,FALSE())&lt;-2),"",#REF!),"")</f>
        <v/>
      </c>
      <c r="L638" s="0" t="str">
        <f aca="false">IFERROR(IF(OR(HLOOKUP($A638,#REF!,10,FALSE())&gt;2,HLOOKUP($A638,#REF!,10,FALSE())&lt;-2),"",#REF!),"")</f>
        <v/>
      </c>
      <c r="M638" s="0" t="str">
        <f aca="false">IFERROR(IF(OR(HLOOKUP($A638,#REF!,11,FALSE())&gt;2,HLOOKUP($A638,#REF!,11,FALSE())&lt;-2),"",#REF!),"")</f>
        <v/>
      </c>
      <c r="N638" s="0" t="str">
        <f aca="false">IFERROR(IF(OR(HLOOKUP($A638,#REF!,12,FALSE())&gt;2,HLOOKUP($A638,#REF!,12,FALSE())&lt;-2),"",#REF!),"")</f>
        <v/>
      </c>
      <c r="O638" s="0" t="str">
        <f aca="false">IFERROR(IF(OR(HLOOKUP($A638,#REF!,13,FALSE())&gt;2,HLOOKUP($A638,#REF!,13,FALSE())&lt;-2),"",#REF!),"")</f>
        <v/>
      </c>
      <c r="P638" s="0" t="str">
        <f aca="false">IFERROR(IF(OR(HLOOKUP($A638,#REF!,14,FALSE())&gt;2,HLOOKUP($A638,#REF!,14,FALSE())&lt;-2),"",#REF!),"")</f>
        <v/>
      </c>
      <c r="Q638" s="0" t="str">
        <f aca="false">IFERROR(IF(OR(HLOOKUP($A638,#REF!,15,FALSE())&gt;2,HLOOKUP($A638,#REF!,15,FALSE())&lt;-2),"",#REF!),"")</f>
        <v/>
      </c>
      <c r="R638" s="0" t="str">
        <f aca="false">IFERROR(IF(OR(HLOOKUP($A638,#REF!,16,FALSE())&gt;2,HLOOKUP($A638,#REF!,16,FALSE())&lt;-2),"",#REF!),"")</f>
        <v/>
      </c>
      <c r="S638" s="0" t="str">
        <f aca="false">IFERROR(IF(OR(HLOOKUP($A638,#REF!,17,FALSE())&gt;2,HLOOKUP($A638,#REF!,17,FALSE())&lt;-2),"",#REF!),"")</f>
        <v/>
      </c>
      <c r="T638" s="0" t="str">
        <f aca="false">IFERROR(IF(OR(HLOOKUP($A638,#REF!,18,FALSE())&gt;2,HLOOKUP($A638,#REF!,18,FALSE())&lt;-2),"",#REF!),"")</f>
        <v/>
      </c>
      <c r="U638" s="0" t="str">
        <f aca="false">IFERROR(IF(OR(HLOOKUP($A638,#REF!,19,FALSE())&gt;2,HLOOKUP($A638,#REF!,19,FALSE())&lt;-2),"",#REF!),"")</f>
        <v/>
      </c>
      <c r="V638" s="0" t="n">
        <f aca="false">IFERROR(IF(AND(X638=0,Y638=0),0,1),0)</f>
        <v>1</v>
      </c>
      <c r="W638" s="3" t="str">
        <f aca="false">IFERROR(_xlfn.T.TEST(E638:M638,N638:U638,2,2),"")</f>
        <v/>
      </c>
      <c r="X638" s="0" t="str">
        <f aca="false">IFERROR(AVERAGE(E638:M638),"")</f>
        <v/>
      </c>
      <c r="Y638" s="0" t="str">
        <f aca="false">IFERROR(AVERAGE(N638:U638),"")</f>
        <v/>
      </c>
    </row>
    <row r="639" customFormat="false" ht="14.5" hidden="false" customHeight="false" outlineLevel="0" collapsed="false">
      <c r="A639" s="0" t="n">
        <v>647</v>
      </c>
      <c r="B639" s="0" t="s">
        <v>701</v>
      </c>
      <c r="C639" s="0" t="n">
        <v>35100</v>
      </c>
      <c r="D639" s="0" t="n">
        <v>631</v>
      </c>
      <c r="E639" s="0" t="str">
        <f aca="false">IFERROR(IF(OR(HLOOKUP($A639,#REF!,3,FALSE())&gt;2,HLOOKUP(A639,#REF!,3,FALSE())&lt;-2),"",#REF!),"")</f>
        <v/>
      </c>
      <c r="F639" s="0" t="str">
        <f aca="false">IFERROR(IF(OR(HLOOKUP($A639,#REF!,4,FALSE())&gt;2,HLOOKUP($A639,#REF!,4,FALSE())&lt;-2),"",#REF!),"")</f>
        <v/>
      </c>
      <c r="G639" s="0" t="str">
        <f aca="false">IFERROR(IF(OR(HLOOKUP($A639,#REF!,5,FALSE())&gt;2,HLOOKUP($A639,#REF!,5,FALSE())&lt;-2),"",#REF!),"")</f>
        <v/>
      </c>
      <c r="H639" s="0" t="str">
        <f aca="false">IFERROR(IF(OR(HLOOKUP($A639,#REF!,6,FALSE())&gt;2,HLOOKUP($A639,#REF!,6,FALSE())&lt;-2),"",#REF!),"")</f>
        <v/>
      </c>
      <c r="I639" s="0" t="str">
        <f aca="false">IFERROR(IF(OR(HLOOKUP($A639,#REF!,7,FALSE())&gt;2,HLOOKUP($A639,#REF!,7,FALSE())&lt;-2),"",#REF!),"")</f>
        <v/>
      </c>
      <c r="J639" s="0" t="str">
        <f aca="false">IFERROR(IF(OR(HLOOKUP($A639,#REF!,8,FALSE())&gt;2,HLOOKUP($A639,#REF!,8,FALSE())&lt;-2),"",#REF!),"")</f>
        <v/>
      </c>
      <c r="K639" s="0" t="str">
        <f aca="false">IFERROR(IF(OR(HLOOKUP($A639,#REF!,9,FALSE())&gt;2,HLOOKUP($A639,#REF!,9,FALSE())&lt;-2),"",#REF!),"")</f>
        <v/>
      </c>
      <c r="L639" s="0" t="str">
        <f aca="false">IFERROR(IF(OR(HLOOKUP($A639,#REF!,10,FALSE())&gt;2,HLOOKUP($A639,#REF!,10,FALSE())&lt;-2),"",#REF!),"")</f>
        <v/>
      </c>
      <c r="M639" s="0" t="str">
        <f aca="false">IFERROR(IF(OR(HLOOKUP($A639,#REF!,11,FALSE())&gt;2,HLOOKUP($A639,#REF!,11,FALSE())&lt;-2),"",#REF!),"")</f>
        <v/>
      </c>
      <c r="N639" s="0" t="str">
        <f aca="false">IFERROR(IF(OR(HLOOKUP($A639,#REF!,12,FALSE())&gt;2,HLOOKUP($A639,#REF!,12,FALSE())&lt;-2),"",#REF!),"")</f>
        <v/>
      </c>
      <c r="O639" s="0" t="str">
        <f aca="false">IFERROR(IF(OR(HLOOKUP($A639,#REF!,13,FALSE())&gt;2,HLOOKUP($A639,#REF!,13,FALSE())&lt;-2),"",#REF!),"")</f>
        <v/>
      </c>
      <c r="P639" s="0" t="str">
        <f aca="false">IFERROR(IF(OR(HLOOKUP($A639,#REF!,14,FALSE())&gt;2,HLOOKUP($A639,#REF!,14,FALSE())&lt;-2),"",#REF!),"")</f>
        <v/>
      </c>
      <c r="Q639" s="0" t="str">
        <f aca="false">IFERROR(IF(OR(HLOOKUP($A639,#REF!,15,FALSE())&gt;2,HLOOKUP($A639,#REF!,15,FALSE())&lt;-2),"",#REF!),"")</f>
        <v/>
      </c>
      <c r="R639" s="0" t="str">
        <f aca="false">IFERROR(IF(OR(HLOOKUP($A639,#REF!,16,FALSE())&gt;2,HLOOKUP($A639,#REF!,16,FALSE())&lt;-2),"",#REF!),"")</f>
        <v/>
      </c>
      <c r="S639" s="0" t="str">
        <f aca="false">IFERROR(IF(OR(HLOOKUP($A639,#REF!,17,FALSE())&gt;2,HLOOKUP($A639,#REF!,17,FALSE())&lt;-2),"",#REF!),"")</f>
        <v/>
      </c>
      <c r="T639" s="0" t="str">
        <f aca="false">IFERROR(IF(OR(HLOOKUP($A639,#REF!,18,FALSE())&gt;2,HLOOKUP($A639,#REF!,18,FALSE())&lt;-2),"",#REF!),"")</f>
        <v/>
      </c>
      <c r="U639" s="0" t="str">
        <f aca="false">IFERROR(IF(OR(HLOOKUP($A639,#REF!,19,FALSE())&gt;2,HLOOKUP($A639,#REF!,19,FALSE())&lt;-2),"",#REF!),"")</f>
        <v/>
      </c>
      <c r="V639" s="0" t="n">
        <f aca="false">IFERROR(IF(AND(X639=0,Y639=0),0,1),0)</f>
        <v>1</v>
      </c>
      <c r="W639" s="3" t="str">
        <f aca="false">IFERROR(_xlfn.T.TEST(E639:M639,N639:U639,2,2),"")</f>
        <v/>
      </c>
      <c r="X639" s="0" t="str">
        <f aca="false">IFERROR(AVERAGE(E639:M639),"")</f>
        <v/>
      </c>
      <c r="Y639" s="0" t="str">
        <f aca="false">IFERROR(AVERAGE(N639:U639),"")</f>
        <v/>
      </c>
    </row>
    <row r="640" customFormat="false" ht="14.5" hidden="false" customHeight="false" outlineLevel="0" collapsed="false">
      <c r="A640" s="0" t="n">
        <v>648</v>
      </c>
      <c r="B640" s="0" t="s">
        <v>702</v>
      </c>
      <c r="C640" s="0" t="n">
        <v>1800</v>
      </c>
      <c r="D640" s="0" t="n">
        <v>985</v>
      </c>
      <c r="E640" s="0" t="str">
        <f aca="false">IFERROR(IF(OR(HLOOKUP($A640,#REF!,3,FALSE())&gt;2,HLOOKUP(A640,#REF!,3,FALSE())&lt;-2),"",#REF!),"")</f>
        <v/>
      </c>
      <c r="F640" s="0" t="str">
        <f aca="false">IFERROR(IF(OR(HLOOKUP($A640,#REF!,4,FALSE())&gt;2,HLOOKUP($A640,#REF!,4,FALSE())&lt;-2),"",#REF!),"")</f>
        <v/>
      </c>
      <c r="G640" s="0" t="str">
        <f aca="false">IFERROR(IF(OR(HLOOKUP($A640,#REF!,5,FALSE())&gt;2,HLOOKUP($A640,#REF!,5,FALSE())&lt;-2),"",#REF!),"")</f>
        <v/>
      </c>
      <c r="H640" s="0" t="str">
        <f aca="false">IFERROR(IF(OR(HLOOKUP($A640,#REF!,6,FALSE())&gt;2,HLOOKUP($A640,#REF!,6,FALSE())&lt;-2),"",#REF!),"")</f>
        <v/>
      </c>
      <c r="I640" s="0" t="str">
        <f aca="false">IFERROR(IF(OR(HLOOKUP($A640,#REF!,7,FALSE())&gt;2,HLOOKUP($A640,#REF!,7,FALSE())&lt;-2),"",#REF!),"")</f>
        <v/>
      </c>
      <c r="J640" s="0" t="str">
        <f aca="false">IFERROR(IF(OR(HLOOKUP($A640,#REF!,8,FALSE())&gt;2,HLOOKUP($A640,#REF!,8,FALSE())&lt;-2),"",#REF!),"")</f>
        <v/>
      </c>
      <c r="K640" s="0" t="str">
        <f aca="false">IFERROR(IF(OR(HLOOKUP($A640,#REF!,9,FALSE())&gt;2,HLOOKUP($A640,#REF!,9,FALSE())&lt;-2),"",#REF!),"")</f>
        <v/>
      </c>
      <c r="L640" s="0" t="str">
        <f aca="false">IFERROR(IF(OR(HLOOKUP($A640,#REF!,10,FALSE())&gt;2,HLOOKUP($A640,#REF!,10,FALSE())&lt;-2),"",#REF!),"")</f>
        <v/>
      </c>
      <c r="M640" s="0" t="str">
        <f aca="false">IFERROR(IF(OR(HLOOKUP($A640,#REF!,11,FALSE())&gt;2,HLOOKUP($A640,#REF!,11,FALSE())&lt;-2),"",#REF!),"")</f>
        <v/>
      </c>
      <c r="N640" s="0" t="str">
        <f aca="false">IFERROR(IF(OR(HLOOKUP($A640,#REF!,12,FALSE())&gt;2,HLOOKUP($A640,#REF!,12,FALSE())&lt;-2),"",#REF!),"")</f>
        <v/>
      </c>
      <c r="O640" s="0" t="str">
        <f aca="false">IFERROR(IF(OR(HLOOKUP($A640,#REF!,13,FALSE())&gt;2,HLOOKUP($A640,#REF!,13,FALSE())&lt;-2),"",#REF!),"")</f>
        <v/>
      </c>
      <c r="P640" s="0" t="str">
        <f aca="false">IFERROR(IF(OR(HLOOKUP($A640,#REF!,14,FALSE())&gt;2,HLOOKUP($A640,#REF!,14,FALSE())&lt;-2),"",#REF!),"")</f>
        <v/>
      </c>
      <c r="Q640" s="0" t="str">
        <f aca="false">IFERROR(IF(OR(HLOOKUP($A640,#REF!,15,FALSE())&gt;2,HLOOKUP($A640,#REF!,15,FALSE())&lt;-2),"",#REF!),"")</f>
        <v/>
      </c>
      <c r="R640" s="0" t="str">
        <f aca="false">IFERROR(IF(OR(HLOOKUP($A640,#REF!,16,FALSE())&gt;2,HLOOKUP($A640,#REF!,16,FALSE())&lt;-2),"",#REF!),"")</f>
        <v/>
      </c>
      <c r="S640" s="0" t="str">
        <f aca="false">IFERROR(IF(OR(HLOOKUP($A640,#REF!,17,FALSE())&gt;2,HLOOKUP($A640,#REF!,17,FALSE())&lt;-2),"",#REF!),"")</f>
        <v/>
      </c>
      <c r="T640" s="0" t="str">
        <f aca="false">IFERROR(IF(OR(HLOOKUP($A640,#REF!,18,FALSE())&gt;2,HLOOKUP($A640,#REF!,18,FALSE())&lt;-2),"",#REF!),"")</f>
        <v/>
      </c>
      <c r="U640" s="0" t="str">
        <f aca="false">IFERROR(IF(OR(HLOOKUP($A640,#REF!,19,FALSE())&gt;2,HLOOKUP($A640,#REF!,19,FALSE())&lt;-2),"",#REF!),"")</f>
        <v/>
      </c>
      <c r="V640" s="0" t="n">
        <f aca="false">IFERROR(IF(AND(X640=0,Y640=0),0,1),0)</f>
        <v>1</v>
      </c>
      <c r="W640" s="3" t="str">
        <f aca="false">IFERROR(_xlfn.T.TEST(E640:M640,N640:U640,2,2),"")</f>
        <v/>
      </c>
      <c r="X640" s="0" t="str">
        <f aca="false">IFERROR(AVERAGE(E640:M640),"")</f>
        <v/>
      </c>
      <c r="Y640" s="0" t="str">
        <f aca="false">IFERROR(AVERAGE(N640:U640),"")</f>
        <v/>
      </c>
    </row>
    <row r="641" customFormat="false" ht="14.5" hidden="false" customHeight="false" outlineLevel="0" collapsed="false">
      <c r="A641" s="0" t="n">
        <v>649</v>
      </c>
      <c r="B641" s="0" t="s">
        <v>703</v>
      </c>
      <c r="C641" s="0" t="n">
        <v>14700</v>
      </c>
      <c r="D641" s="0" t="n">
        <v>402</v>
      </c>
      <c r="E641" s="0" t="str">
        <f aca="false">IFERROR(IF(OR(HLOOKUP($A641,#REF!,3,FALSE())&gt;2,HLOOKUP(A641,#REF!,3,FALSE())&lt;-2),"",#REF!),"")</f>
        <v/>
      </c>
      <c r="F641" s="0" t="str">
        <f aca="false">IFERROR(IF(OR(HLOOKUP($A641,#REF!,4,FALSE())&gt;2,HLOOKUP($A641,#REF!,4,FALSE())&lt;-2),"",#REF!),"")</f>
        <v/>
      </c>
      <c r="G641" s="0" t="str">
        <f aca="false">IFERROR(IF(OR(HLOOKUP($A641,#REF!,5,FALSE())&gt;2,HLOOKUP($A641,#REF!,5,FALSE())&lt;-2),"",#REF!),"")</f>
        <v/>
      </c>
      <c r="H641" s="0" t="str">
        <f aca="false">IFERROR(IF(OR(HLOOKUP($A641,#REF!,6,FALSE())&gt;2,HLOOKUP($A641,#REF!,6,FALSE())&lt;-2),"",#REF!),"")</f>
        <v/>
      </c>
      <c r="I641" s="0" t="str">
        <f aca="false">IFERROR(IF(OR(HLOOKUP($A641,#REF!,7,FALSE())&gt;2,HLOOKUP($A641,#REF!,7,FALSE())&lt;-2),"",#REF!),"")</f>
        <v/>
      </c>
      <c r="J641" s="0" t="str">
        <f aca="false">IFERROR(IF(OR(HLOOKUP($A641,#REF!,8,FALSE())&gt;2,HLOOKUP($A641,#REF!,8,FALSE())&lt;-2),"",#REF!),"")</f>
        <v/>
      </c>
      <c r="K641" s="0" t="str">
        <f aca="false">IFERROR(IF(OR(HLOOKUP($A641,#REF!,9,FALSE())&gt;2,HLOOKUP($A641,#REF!,9,FALSE())&lt;-2),"",#REF!),"")</f>
        <v/>
      </c>
      <c r="L641" s="0" t="str">
        <f aca="false">IFERROR(IF(OR(HLOOKUP($A641,#REF!,10,FALSE())&gt;2,HLOOKUP($A641,#REF!,10,FALSE())&lt;-2),"",#REF!),"")</f>
        <v/>
      </c>
      <c r="M641" s="0" t="str">
        <f aca="false">IFERROR(IF(OR(HLOOKUP($A641,#REF!,11,FALSE())&gt;2,HLOOKUP($A641,#REF!,11,FALSE())&lt;-2),"",#REF!),"")</f>
        <v/>
      </c>
      <c r="N641" s="0" t="str">
        <f aca="false">IFERROR(IF(OR(HLOOKUP($A641,#REF!,12,FALSE())&gt;2,HLOOKUP($A641,#REF!,12,FALSE())&lt;-2),"",#REF!),"")</f>
        <v/>
      </c>
      <c r="O641" s="0" t="str">
        <f aca="false">IFERROR(IF(OR(HLOOKUP($A641,#REF!,13,FALSE())&gt;2,HLOOKUP($A641,#REF!,13,FALSE())&lt;-2),"",#REF!),"")</f>
        <v/>
      </c>
      <c r="P641" s="0" t="str">
        <f aca="false">IFERROR(IF(OR(HLOOKUP($A641,#REF!,14,FALSE())&gt;2,HLOOKUP($A641,#REF!,14,FALSE())&lt;-2),"",#REF!),"")</f>
        <v/>
      </c>
      <c r="Q641" s="0" t="str">
        <f aca="false">IFERROR(IF(OR(HLOOKUP($A641,#REF!,15,FALSE())&gt;2,HLOOKUP($A641,#REF!,15,FALSE())&lt;-2),"",#REF!),"")</f>
        <v/>
      </c>
      <c r="R641" s="0" t="str">
        <f aca="false">IFERROR(IF(OR(HLOOKUP($A641,#REF!,16,FALSE())&gt;2,HLOOKUP($A641,#REF!,16,FALSE())&lt;-2),"",#REF!),"")</f>
        <v/>
      </c>
      <c r="S641" s="0" t="str">
        <f aca="false">IFERROR(IF(OR(HLOOKUP($A641,#REF!,17,FALSE())&gt;2,HLOOKUP($A641,#REF!,17,FALSE())&lt;-2),"",#REF!),"")</f>
        <v/>
      </c>
      <c r="T641" s="0" t="str">
        <f aca="false">IFERROR(IF(OR(HLOOKUP($A641,#REF!,18,FALSE())&gt;2,HLOOKUP($A641,#REF!,18,FALSE())&lt;-2),"",#REF!),"")</f>
        <v/>
      </c>
      <c r="U641" s="0" t="str">
        <f aca="false">IFERROR(IF(OR(HLOOKUP($A641,#REF!,19,FALSE())&gt;2,HLOOKUP($A641,#REF!,19,FALSE())&lt;-2),"",#REF!),"")</f>
        <v/>
      </c>
      <c r="V641" s="0" t="n">
        <f aca="false">IFERROR(IF(AND(X641=0,Y641=0),0,1),0)</f>
        <v>1</v>
      </c>
      <c r="W641" s="3" t="str">
        <f aca="false">IFERROR(_xlfn.T.TEST(E641:M641,N641:U641,2,2),"")</f>
        <v/>
      </c>
      <c r="X641" s="0" t="str">
        <f aca="false">IFERROR(AVERAGE(E641:M641),"")</f>
        <v/>
      </c>
      <c r="Y641" s="0" t="str">
        <f aca="false">IFERROR(AVERAGE(N641:U641),"")</f>
        <v/>
      </c>
    </row>
    <row r="642" customFormat="false" ht="14.5" hidden="false" customHeight="false" outlineLevel="0" collapsed="false">
      <c r="A642" s="0" t="n">
        <v>650</v>
      </c>
      <c r="B642" s="0" t="s">
        <v>704</v>
      </c>
      <c r="C642" s="0" t="n">
        <v>105400</v>
      </c>
      <c r="D642" s="0" t="n">
        <v>1123</v>
      </c>
      <c r="E642" s="0" t="str">
        <f aca="false">IFERROR(IF(OR(HLOOKUP($A642,#REF!,3,FALSE())&gt;2,HLOOKUP(A642,#REF!,3,FALSE())&lt;-2),"",#REF!),"")</f>
        <v/>
      </c>
      <c r="F642" s="0" t="str">
        <f aca="false">IFERROR(IF(OR(HLOOKUP($A642,#REF!,4,FALSE())&gt;2,HLOOKUP($A642,#REF!,4,FALSE())&lt;-2),"",#REF!),"")</f>
        <v/>
      </c>
      <c r="G642" s="0" t="str">
        <f aca="false">IFERROR(IF(OR(HLOOKUP($A642,#REF!,5,FALSE())&gt;2,HLOOKUP($A642,#REF!,5,FALSE())&lt;-2),"",#REF!),"")</f>
        <v/>
      </c>
      <c r="H642" s="0" t="str">
        <f aca="false">IFERROR(IF(OR(HLOOKUP($A642,#REF!,6,FALSE())&gt;2,HLOOKUP($A642,#REF!,6,FALSE())&lt;-2),"",#REF!),"")</f>
        <v/>
      </c>
      <c r="I642" s="0" t="str">
        <f aca="false">IFERROR(IF(OR(HLOOKUP($A642,#REF!,7,FALSE())&gt;2,HLOOKUP($A642,#REF!,7,FALSE())&lt;-2),"",#REF!),"")</f>
        <v/>
      </c>
      <c r="J642" s="0" t="str">
        <f aca="false">IFERROR(IF(OR(HLOOKUP($A642,#REF!,8,FALSE())&gt;2,HLOOKUP($A642,#REF!,8,FALSE())&lt;-2),"",#REF!),"")</f>
        <v/>
      </c>
      <c r="K642" s="0" t="str">
        <f aca="false">IFERROR(IF(OR(HLOOKUP($A642,#REF!,9,FALSE())&gt;2,HLOOKUP($A642,#REF!,9,FALSE())&lt;-2),"",#REF!),"")</f>
        <v/>
      </c>
      <c r="L642" s="0" t="str">
        <f aca="false">IFERROR(IF(OR(HLOOKUP($A642,#REF!,10,FALSE())&gt;2,HLOOKUP($A642,#REF!,10,FALSE())&lt;-2),"",#REF!),"")</f>
        <v/>
      </c>
      <c r="M642" s="0" t="str">
        <f aca="false">IFERROR(IF(OR(HLOOKUP($A642,#REF!,11,FALSE())&gt;2,HLOOKUP($A642,#REF!,11,FALSE())&lt;-2),"",#REF!),"")</f>
        <v/>
      </c>
      <c r="N642" s="0" t="str">
        <f aca="false">IFERROR(IF(OR(HLOOKUP($A642,#REF!,12,FALSE())&gt;2,HLOOKUP($A642,#REF!,12,FALSE())&lt;-2),"",#REF!),"")</f>
        <v/>
      </c>
      <c r="O642" s="0" t="str">
        <f aca="false">IFERROR(IF(OR(HLOOKUP($A642,#REF!,13,FALSE())&gt;2,HLOOKUP($A642,#REF!,13,FALSE())&lt;-2),"",#REF!),"")</f>
        <v/>
      </c>
      <c r="P642" s="0" t="str">
        <f aca="false">IFERROR(IF(OR(HLOOKUP($A642,#REF!,14,FALSE())&gt;2,HLOOKUP($A642,#REF!,14,FALSE())&lt;-2),"",#REF!),"")</f>
        <v/>
      </c>
      <c r="Q642" s="0" t="str">
        <f aca="false">IFERROR(IF(OR(HLOOKUP($A642,#REF!,15,FALSE())&gt;2,HLOOKUP($A642,#REF!,15,FALSE())&lt;-2),"",#REF!),"")</f>
        <v/>
      </c>
      <c r="R642" s="0" t="str">
        <f aca="false">IFERROR(IF(OR(HLOOKUP($A642,#REF!,16,FALSE())&gt;2,HLOOKUP($A642,#REF!,16,FALSE())&lt;-2),"",#REF!),"")</f>
        <v/>
      </c>
      <c r="S642" s="0" t="str">
        <f aca="false">IFERROR(IF(OR(HLOOKUP($A642,#REF!,17,FALSE())&gt;2,HLOOKUP($A642,#REF!,17,FALSE())&lt;-2),"",#REF!),"")</f>
        <v/>
      </c>
      <c r="T642" s="0" t="str">
        <f aca="false">IFERROR(IF(OR(HLOOKUP($A642,#REF!,18,FALSE())&gt;2,HLOOKUP($A642,#REF!,18,FALSE())&lt;-2),"",#REF!),"")</f>
        <v/>
      </c>
      <c r="U642" s="0" t="str">
        <f aca="false">IFERROR(IF(OR(HLOOKUP($A642,#REF!,19,FALSE())&gt;2,HLOOKUP($A642,#REF!,19,FALSE())&lt;-2),"",#REF!),"")</f>
        <v/>
      </c>
      <c r="V642" s="0" t="n">
        <f aca="false">IFERROR(IF(AND(X642=0,Y642=0),0,1),0)</f>
        <v>1</v>
      </c>
      <c r="W642" s="3" t="str">
        <f aca="false">IFERROR(_xlfn.T.TEST(E642:M642,N642:U642,2,2),"")</f>
        <v/>
      </c>
      <c r="X642" s="0" t="str">
        <f aca="false">IFERROR(AVERAGE(E642:M642),"")</f>
        <v/>
      </c>
      <c r="Y642" s="0" t="str">
        <f aca="false">IFERROR(AVERAGE(N642:U642),"")</f>
        <v/>
      </c>
    </row>
    <row r="643" customFormat="false" ht="14.5" hidden="false" customHeight="false" outlineLevel="0" collapsed="false">
      <c r="A643" s="0" t="n">
        <v>651</v>
      </c>
      <c r="B643" s="0" t="s">
        <v>705</v>
      </c>
      <c r="C643" s="0" t="n">
        <v>90700</v>
      </c>
      <c r="D643" s="0" t="n">
        <v>386</v>
      </c>
      <c r="E643" s="0" t="str">
        <f aca="false">IFERROR(IF(OR(HLOOKUP($A643,#REF!,3,FALSE())&gt;2,HLOOKUP(A643,#REF!,3,FALSE())&lt;-2),"",#REF!),"")</f>
        <v/>
      </c>
      <c r="F643" s="0" t="str">
        <f aca="false">IFERROR(IF(OR(HLOOKUP($A643,#REF!,4,FALSE())&gt;2,HLOOKUP($A643,#REF!,4,FALSE())&lt;-2),"",#REF!),"")</f>
        <v/>
      </c>
      <c r="G643" s="0" t="str">
        <f aca="false">IFERROR(IF(OR(HLOOKUP($A643,#REF!,5,FALSE())&gt;2,HLOOKUP($A643,#REF!,5,FALSE())&lt;-2),"",#REF!),"")</f>
        <v/>
      </c>
      <c r="H643" s="0" t="str">
        <f aca="false">IFERROR(IF(OR(HLOOKUP($A643,#REF!,6,FALSE())&gt;2,HLOOKUP($A643,#REF!,6,FALSE())&lt;-2),"",#REF!),"")</f>
        <v/>
      </c>
      <c r="I643" s="0" t="str">
        <f aca="false">IFERROR(IF(OR(HLOOKUP($A643,#REF!,7,FALSE())&gt;2,HLOOKUP($A643,#REF!,7,FALSE())&lt;-2),"",#REF!),"")</f>
        <v/>
      </c>
      <c r="J643" s="0" t="str">
        <f aca="false">IFERROR(IF(OR(HLOOKUP($A643,#REF!,8,FALSE())&gt;2,HLOOKUP($A643,#REF!,8,FALSE())&lt;-2),"",#REF!),"")</f>
        <v/>
      </c>
      <c r="K643" s="0" t="str">
        <f aca="false">IFERROR(IF(OR(HLOOKUP($A643,#REF!,9,FALSE())&gt;2,HLOOKUP($A643,#REF!,9,FALSE())&lt;-2),"",#REF!),"")</f>
        <v/>
      </c>
      <c r="L643" s="0" t="str">
        <f aca="false">IFERROR(IF(OR(HLOOKUP($A643,#REF!,10,FALSE())&gt;2,HLOOKUP($A643,#REF!,10,FALSE())&lt;-2),"",#REF!),"")</f>
        <v/>
      </c>
      <c r="M643" s="0" t="str">
        <f aca="false">IFERROR(IF(OR(HLOOKUP($A643,#REF!,11,FALSE())&gt;2,HLOOKUP($A643,#REF!,11,FALSE())&lt;-2),"",#REF!),"")</f>
        <v/>
      </c>
      <c r="N643" s="0" t="str">
        <f aca="false">IFERROR(IF(OR(HLOOKUP($A643,#REF!,12,FALSE())&gt;2,HLOOKUP($A643,#REF!,12,FALSE())&lt;-2),"",#REF!),"")</f>
        <v/>
      </c>
      <c r="O643" s="0" t="str">
        <f aca="false">IFERROR(IF(OR(HLOOKUP($A643,#REF!,13,FALSE())&gt;2,HLOOKUP($A643,#REF!,13,FALSE())&lt;-2),"",#REF!),"")</f>
        <v/>
      </c>
      <c r="P643" s="0" t="str">
        <f aca="false">IFERROR(IF(OR(HLOOKUP($A643,#REF!,14,FALSE())&gt;2,HLOOKUP($A643,#REF!,14,FALSE())&lt;-2),"",#REF!),"")</f>
        <v/>
      </c>
      <c r="Q643" s="0" t="str">
        <f aca="false">IFERROR(IF(OR(HLOOKUP($A643,#REF!,15,FALSE())&gt;2,HLOOKUP($A643,#REF!,15,FALSE())&lt;-2),"",#REF!),"")</f>
        <v/>
      </c>
      <c r="R643" s="0" t="str">
        <f aca="false">IFERROR(IF(OR(HLOOKUP($A643,#REF!,16,FALSE())&gt;2,HLOOKUP($A643,#REF!,16,FALSE())&lt;-2),"",#REF!),"")</f>
        <v/>
      </c>
      <c r="S643" s="0" t="str">
        <f aca="false">IFERROR(IF(OR(HLOOKUP($A643,#REF!,17,FALSE())&gt;2,HLOOKUP($A643,#REF!,17,FALSE())&lt;-2),"",#REF!),"")</f>
        <v/>
      </c>
      <c r="T643" s="0" t="str">
        <f aca="false">IFERROR(IF(OR(HLOOKUP($A643,#REF!,18,FALSE())&gt;2,HLOOKUP($A643,#REF!,18,FALSE())&lt;-2),"",#REF!),"")</f>
        <v/>
      </c>
      <c r="U643" s="0" t="str">
        <f aca="false">IFERROR(IF(OR(HLOOKUP($A643,#REF!,19,FALSE())&gt;2,HLOOKUP($A643,#REF!,19,FALSE())&lt;-2),"",#REF!),"")</f>
        <v/>
      </c>
      <c r="V643" s="0" t="n">
        <f aca="false">IFERROR(IF(AND(X643=0,Y643=0),0,1),0)</f>
        <v>1</v>
      </c>
      <c r="W643" s="3" t="str">
        <f aca="false">IFERROR(_xlfn.T.TEST(E643:M643,N643:U643,2,2),"")</f>
        <v/>
      </c>
      <c r="X643" s="0" t="str">
        <f aca="false">IFERROR(AVERAGE(E643:M643),"")</f>
        <v/>
      </c>
      <c r="Y643" s="0" t="str">
        <f aca="false">IFERROR(AVERAGE(N643:U643),"")</f>
        <v/>
      </c>
    </row>
    <row r="644" customFormat="false" ht="14.5" hidden="false" customHeight="false" outlineLevel="0" collapsed="false">
      <c r="A644" s="0" t="n">
        <v>652</v>
      </c>
      <c r="B644" s="0" t="s">
        <v>706</v>
      </c>
      <c r="C644" s="0" t="n">
        <v>71000</v>
      </c>
      <c r="D644" s="0" t="n">
        <v>103</v>
      </c>
      <c r="E644" s="0" t="str">
        <f aca="false">IFERROR(IF(OR(HLOOKUP($A644,#REF!,3,FALSE())&gt;2,HLOOKUP(A644,#REF!,3,FALSE())&lt;-2),"",#REF!),"")</f>
        <v/>
      </c>
      <c r="F644" s="0" t="str">
        <f aca="false">IFERROR(IF(OR(HLOOKUP($A644,#REF!,4,FALSE())&gt;2,HLOOKUP($A644,#REF!,4,FALSE())&lt;-2),"",#REF!),"")</f>
        <v/>
      </c>
      <c r="G644" s="0" t="str">
        <f aca="false">IFERROR(IF(OR(HLOOKUP($A644,#REF!,5,FALSE())&gt;2,HLOOKUP($A644,#REF!,5,FALSE())&lt;-2),"",#REF!),"")</f>
        <v/>
      </c>
      <c r="H644" s="0" t="str">
        <f aca="false">IFERROR(IF(OR(HLOOKUP($A644,#REF!,6,FALSE())&gt;2,HLOOKUP($A644,#REF!,6,FALSE())&lt;-2),"",#REF!),"")</f>
        <v/>
      </c>
      <c r="I644" s="0" t="str">
        <f aca="false">IFERROR(IF(OR(HLOOKUP($A644,#REF!,7,FALSE())&gt;2,HLOOKUP($A644,#REF!,7,FALSE())&lt;-2),"",#REF!),"")</f>
        <v/>
      </c>
      <c r="J644" s="0" t="str">
        <f aca="false">IFERROR(IF(OR(HLOOKUP($A644,#REF!,8,FALSE())&gt;2,HLOOKUP($A644,#REF!,8,FALSE())&lt;-2),"",#REF!),"")</f>
        <v/>
      </c>
      <c r="K644" s="0" t="str">
        <f aca="false">IFERROR(IF(OR(HLOOKUP($A644,#REF!,9,FALSE())&gt;2,HLOOKUP($A644,#REF!,9,FALSE())&lt;-2),"",#REF!),"")</f>
        <v/>
      </c>
      <c r="L644" s="0" t="str">
        <f aca="false">IFERROR(IF(OR(HLOOKUP($A644,#REF!,10,FALSE())&gt;2,HLOOKUP($A644,#REF!,10,FALSE())&lt;-2),"",#REF!),"")</f>
        <v/>
      </c>
      <c r="M644" s="0" t="str">
        <f aca="false">IFERROR(IF(OR(HLOOKUP($A644,#REF!,11,FALSE())&gt;2,HLOOKUP($A644,#REF!,11,FALSE())&lt;-2),"",#REF!),"")</f>
        <v/>
      </c>
      <c r="N644" s="0" t="str">
        <f aca="false">IFERROR(IF(OR(HLOOKUP($A644,#REF!,12,FALSE())&gt;2,HLOOKUP($A644,#REF!,12,FALSE())&lt;-2),"",#REF!),"")</f>
        <v/>
      </c>
      <c r="O644" s="0" t="str">
        <f aca="false">IFERROR(IF(OR(HLOOKUP($A644,#REF!,13,FALSE())&gt;2,HLOOKUP($A644,#REF!,13,FALSE())&lt;-2),"",#REF!),"")</f>
        <v/>
      </c>
      <c r="P644" s="0" t="str">
        <f aca="false">IFERROR(IF(OR(HLOOKUP($A644,#REF!,14,FALSE())&gt;2,HLOOKUP($A644,#REF!,14,FALSE())&lt;-2),"",#REF!),"")</f>
        <v/>
      </c>
      <c r="Q644" s="0" t="str">
        <f aca="false">IFERROR(IF(OR(HLOOKUP($A644,#REF!,15,FALSE())&gt;2,HLOOKUP($A644,#REF!,15,FALSE())&lt;-2),"",#REF!),"")</f>
        <v/>
      </c>
      <c r="R644" s="0" t="str">
        <f aca="false">IFERROR(IF(OR(HLOOKUP($A644,#REF!,16,FALSE())&gt;2,HLOOKUP($A644,#REF!,16,FALSE())&lt;-2),"",#REF!),"")</f>
        <v/>
      </c>
      <c r="S644" s="0" t="str">
        <f aca="false">IFERROR(IF(OR(HLOOKUP($A644,#REF!,17,FALSE())&gt;2,HLOOKUP($A644,#REF!,17,FALSE())&lt;-2),"",#REF!),"")</f>
        <v/>
      </c>
      <c r="T644" s="0" t="str">
        <f aca="false">IFERROR(IF(OR(HLOOKUP($A644,#REF!,18,FALSE())&gt;2,HLOOKUP($A644,#REF!,18,FALSE())&lt;-2),"",#REF!),"")</f>
        <v/>
      </c>
      <c r="U644" s="0" t="str">
        <f aca="false">IFERROR(IF(OR(HLOOKUP($A644,#REF!,19,FALSE())&gt;2,HLOOKUP($A644,#REF!,19,FALSE())&lt;-2),"",#REF!),"")</f>
        <v/>
      </c>
      <c r="V644" s="0" t="n">
        <f aca="false">IFERROR(IF(AND(X644=0,Y644=0),0,1),0)</f>
        <v>1</v>
      </c>
      <c r="W644" s="3" t="str">
        <f aca="false">IFERROR(_xlfn.T.TEST(E644:M644,N644:U644,2,2),"")</f>
        <v/>
      </c>
      <c r="X644" s="0" t="str">
        <f aca="false">IFERROR(AVERAGE(E644:M644),"")</f>
        <v/>
      </c>
      <c r="Y644" s="0" t="str">
        <f aca="false">IFERROR(AVERAGE(N644:U644),"")</f>
        <v/>
      </c>
    </row>
    <row r="645" customFormat="false" ht="14.5" hidden="false" customHeight="false" outlineLevel="0" collapsed="false">
      <c r="A645" s="0" t="n">
        <v>653</v>
      </c>
      <c r="B645" s="0" t="s">
        <v>707</v>
      </c>
      <c r="C645" s="0" t="n">
        <v>92300</v>
      </c>
      <c r="D645" s="0" t="n">
        <v>370</v>
      </c>
      <c r="E645" s="0" t="str">
        <f aca="false">IFERROR(IF(OR(HLOOKUP($A645,#REF!,3,FALSE())&gt;2,HLOOKUP(A645,#REF!,3,FALSE())&lt;-2),"",#REF!),"")</f>
        <v/>
      </c>
      <c r="F645" s="0" t="str">
        <f aca="false">IFERROR(IF(OR(HLOOKUP($A645,#REF!,4,FALSE())&gt;2,HLOOKUP($A645,#REF!,4,FALSE())&lt;-2),"",#REF!),"")</f>
        <v/>
      </c>
      <c r="G645" s="0" t="str">
        <f aca="false">IFERROR(IF(OR(HLOOKUP($A645,#REF!,5,FALSE())&gt;2,HLOOKUP($A645,#REF!,5,FALSE())&lt;-2),"",#REF!),"")</f>
        <v/>
      </c>
      <c r="H645" s="0" t="str">
        <f aca="false">IFERROR(IF(OR(HLOOKUP($A645,#REF!,6,FALSE())&gt;2,HLOOKUP($A645,#REF!,6,FALSE())&lt;-2),"",#REF!),"")</f>
        <v/>
      </c>
      <c r="I645" s="0" t="str">
        <f aca="false">IFERROR(IF(OR(HLOOKUP($A645,#REF!,7,FALSE())&gt;2,HLOOKUP($A645,#REF!,7,FALSE())&lt;-2),"",#REF!),"")</f>
        <v/>
      </c>
      <c r="J645" s="0" t="str">
        <f aca="false">IFERROR(IF(OR(HLOOKUP($A645,#REF!,8,FALSE())&gt;2,HLOOKUP($A645,#REF!,8,FALSE())&lt;-2),"",#REF!),"")</f>
        <v/>
      </c>
      <c r="K645" s="0" t="str">
        <f aca="false">IFERROR(IF(OR(HLOOKUP($A645,#REF!,9,FALSE())&gt;2,HLOOKUP($A645,#REF!,9,FALSE())&lt;-2),"",#REF!),"")</f>
        <v/>
      </c>
      <c r="L645" s="0" t="str">
        <f aca="false">IFERROR(IF(OR(HLOOKUP($A645,#REF!,10,FALSE())&gt;2,HLOOKUP($A645,#REF!,10,FALSE())&lt;-2),"",#REF!),"")</f>
        <v/>
      </c>
      <c r="M645" s="0" t="str">
        <f aca="false">IFERROR(IF(OR(HLOOKUP($A645,#REF!,11,FALSE())&gt;2,HLOOKUP($A645,#REF!,11,FALSE())&lt;-2),"",#REF!),"")</f>
        <v/>
      </c>
      <c r="N645" s="0" t="str">
        <f aca="false">IFERROR(IF(OR(HLOOKUP($A645,#REF!,12,FALSE())&gt;2,HLOOKUP($A645,#REF!,12,FALSE())&lt;-2),"",#REF!),"")</f>
        <v/>
      </c>
      <c r="O645" s="0" t="str">
        <f aca="false">IFERROR(IF(OR(HLOOKUP($A645,#REF!,13,FALSE())&gt;2,HLOOKUP($A645,#REF!,13,FALSE())&lt;-2),"",#REF!),"")</f>
        <v/>
      </c>
      <c r="P645" s="0" t="str">
        <f aca="false">IFERROR(IF(OR(HLOOKUP($A645,#REF!,14,FALSE())&gt;2,HLOOKUP($A645,#REF!,14,FALSE())&lt;-2),"",#REF!),"")</f>
        <v/>
      </c>
      <c r="Q645" s="0" t="str">
        <f aca="false">IFERROR(IF(OR(HLOOKUP($A645,#REF!,15,FALSE())&gt;2,HLOOKUP($A645,#REF!,15,FALSE())&lt;-2),"",#REF!),"")</f>
        <v/>
      </c>
      <c r="R645" s="0" t="str">
        <f aca="false">IFERROR(IF(OR(HLOOKUP($A645,#REF!,16,FALSE())&gt;2,HLOOKUP($A645,#REF!,16,FALSE())&lt;-2),"",#REF!),"")</f>
        <v/>
      </c>
      <c r="S645" s="0" t="str">
        <f aca="false">IFERROR(IF(OR(HLOOKUP($A645,#REF!,17,FALSE())&gt;2,HLOOKUP($A645,#REF!,17,FALSE())&lt;-2),"",#REF!),"")</f>
        <v/>
      </c>
      <c r="T645" s="0" t="str">
        <f aca="false">IFERROR(IF(OR(HLOOKUP($A645,#REF!,18,FALSE())&gt;2,HLOOKUP($A645,#REF!,18,FALSE())&lt;-2),"",#REF!),"")</f>
        <v/>
      </c>
      <c r="U645" s="0" t="str">
        <f aca="false">IFERROR(IF(OR(HLOOKUP($A645,#REF!,19,FALSE())&gt;2,HLOOKUP($A645,#REF!,19,FALSE())&lt;-2),"",#REF!),"")</f>
        <v/>
      </c>
      <c r="V645" s="0" t="n">
        <f aca="false">IFERROR(IF(AND(X645=0,Y645=0),0,1),0)</f>
        <v>1</v>
      </c>
      <c r="W645" s="3" t="str">
        <f aca="false">IFERROR(_xlfn.T.TEST(E645:M645,N645:U645,2,2),"")</f>
        <v/>
      </c>
      <c r="X645" s="0" t="str">
        <f aca="false">IFERROR(AVERAGE(E645:M645),"")</f>
        <v/>
      </c>
      <c r="Y645" s="0" t="str">
        <f aca="false">IFERROR(AVERAGE(N645:U645),"")</f>
        <v/>
      </c>
    </row>
    <row r="646" customFormat="false" ht="14.5" hidden="false" customHeight="false" outlineLevel="0" collapsed="false">
      <c r="A646" s="0" t="n">
        <v>654</v>
      </c>
      <c r="B646" s="0" t="s">
        <v>708</v>
      </c>
      <c r="C646" s="0" t="n">
        <v>3800</v>
      </c>
      <c r="D646" s="0" t="n">
        <v>353</v>
      </c>
      <c r="E646" s="0" t="str">
        <f aca="false">IFERROR(IF(OR(HLOOKUP($A646,#REF!,3,FALSE())&gt;2,HLOOKUP(A646,#REF!,3,FALSE())&lt;-2),"",#REF!),"")</f>
        <v/>
      </c>
      <c r="F646" s="0" t="str">
        <f aca="false">IFERROR(IF(OR(HLOOKUP($A646,#REF!,4,FALSE())&gt;2,HLOOKUP($A646,#REF!,4,FALSE())&lt;-2),"",#REF!),"")</f>
        <v/>
      </c>
      <c r="G646" s="0" t="str">
        <f aca="false">IFERROR(IF(OR(HLOOKUP($A646,#REF!,5,FALSE())&gt;2,HLOOKUP($A646,#REF!,5,FALSE())&lt;-2),"",#REF!),"")</f>
        <v/>
      </c>
      <c r="H646" s="0" t="str">
        <f aca="false">IFERROR(IF(OR(HLOOKUP($A646,#REF!,6,FALSE())&gt;2,HLOOKUP($A646,#REF!,6,FALSE())&lt;-2),"",#REF!),"")</f>
        <v/>
      </c>
      <c r="I646" s="0" t="str">
        <f aca="false">IFERROR(IF(OR(HLOOKUP($A646,#REF!,7,FALSE())&gt;2,HLOOKUP($A646,#REF!,7,FALSE())&lt;-2),"",#REF!),"")</f>
        <v/>
      </c>
      <c r="J646" s="0" t="str">
        <f aca="false">IFERROR(IF(OR(HLOOKUP($A646,#REF!,8,FALSE())&gt;2,HLOOKUP($A646,#REF!,8,FALSE())&lt;-2),"",#REF!),"")</f>
        <v/>
      </c>
      <c r="K646" s="0" t="str">
        <f aca="false">IFERROR(IF(OR(HLOOKUP($A646,#REF!,9,FALSE())&gt;2,HLOOKUP($A646,#REF!,9,FALSE())&lt;-2),"",#REF!),"")</f>
        <v/>
      </c>
      <c r="L646" s="0" t="str">
        <f aca="false">IFERROR(IF(OR(HLOOKUP($A646,#REF!,10,FALSE())&gt;2,HLOOKUP($A646,#REF!,10,FALSE())&lt;-2),"",#REF!),"")</f>
        <v/>
      </c>
      <c r="M646" s="0" t="str">
        <f aca="false">IFERROR(IF(OR(HLOOKUP($A646,#REF!,11,FALSE())&gt;2,HLOOKUP($A646,#REF!,11,FALSE())&lt;-2),"",#REF!),"")</f>
        <v/>
      </c>
      <c r="N646" s="0" t="str">
        <f aca="false">IFERROR(IF(OR(HLOOKUP($A646,#REF!,12,FALSE())&gt;2,HLOOKUP($A646,#REF!,12,FALSE())&lt;-2),"",#REF!),"")</f>
        <v/>
      </c>
      <c r="O646" s="0" t="str">
        <f aca="false">IFERROR(IF(OR(HLOOKUP($A646,#REF!,13,FALSE())&gt;2,HLOOKUP($A646,#REF!,13,FALSE())&lt;-2),"",#REF!),"")</f>
        <v/>
      </c>
      <c r="P646" s="0" t="str">
        <f aca="false">IFERROR(IF(OR(HLOOKUP($A646,#REF!,14,FALSE())&gt;2,HLOOKUP($A646,#REF!,14,FALSE())&lt;-2),"",#REF!),"")</f>
        <v/>
      </c>
      <c r="Q646" s="0" t="str">
        <f aca="false">IFERROR(IF(OR(HLOOKUP($A646,#REF!,15,FALSE())&gt;2,HLOOKUP($A646,#REF!,15,FALSE())&lt;-2),"",#REF!),"")</f>
        <v/>
      </c>
      <c r="R646" s="0" t="str">
        <f aca="false">IFERROR(IF(OR(HLOOKUP($A646,#REF!,16,FALSE())&gt;2,HLOOKUP($A646,#REF!,16,FALSE())&lt;-2),"",#REF!),"")</f>
        <v/>
      </c>
      <c r="S646" s="0" t="str">
        <f aca="false">IFERROR(IF(OR(HLOOKUP($A646,#REF!,17,FALSE())&gt;2,HLOOKUP($A646,#REF!,17,FALSE())&lt;-2),"",#REF!),"")</f>
        <v/>
      </c>
      <c r="T646" s="0" t="str">
        <f aca="false">IFERROR(IF(OR(HLOOKUP($A646,#REF!,18,FALSE())&gt;2,HLOOKUP($A646,#REF!,18,FALSE())&lt;-2),"",#REF!),"")</f>
        <v/>
      </c>
      <c r="U646" s="0" t="str">
        <f aca="false">IFERROR(IF(OR(HLOOKUP($A646,#REF!,19,FALSE())&gt;2,HLOOKUP($A646,#REF!,19,FALSE())&lt;-2),"",#REF!),"")</f>
        <v/>
      </c>
      <c r="V646" s="0" t="n">
        <f aca="false">IFERROR(IF(AND(X646=0,Y646=0),0,1),0)</f>
        <v>1</v>
      </c>
      <c r="W646" s="3" t="str">
        <f aca="false">IFERROR(_xlfn.T.TEST(E646:M646,N646:U646,2,2),"")</f>
        <v/>
      </c>
      <c r="X646" s="0" t="str">
        <f aca="false">IFERROR(AVERAGE(E646:M646),"")</f>
        <v/>
      </c>
      <c r="Y646" s="0" t="str">
        <f aca="false">IFERROR(AVERAGE(N646:U646),"")</f>
        <v/>
      </c>
    </row>
    <row r="647" customFormat="false" ht="14.5" hidden="false" customHeight="false" outlineLevel="0" collapsed="false">
      <c r="A647" s="0" t="n">
        <v>655</v>
      </c>
      <c r="B647" s="0" t="s">
        <v>709</v>
      </c>
      <c r="C647" s="0" t="n">
        <v>35200</v>
      </c>
      <c r="D647" s="0" t="n">
        <v>647</v>
      </c>
      <c r="E647" s="0" t="str">
        <f aca="false">IFERROR(IF(OR(HLOOKUP($A647,#REF!,3,FALSE())&gt;2,HLOOKUP(A647,#REF!,3,FALSE())&lt;-2),"",#REF!),"")</f>
        <v/>
      </c>
      <c r="F647" s="0" t="str">
        <f aca="false">IFERROR(IF(OR(HLOOKUP($A647,#REF!,4,FALSE())&gt;2,HLOOKUP($A647,#REF!,4,FALSE())&lt;-2),"",#REF!),"")</f>
        <v/>
      </c>
      <c r="G647" s="0" t="str">
        <f aca="false">IFERROR(IF(OR(HLOOKUP($A647,#REF!,5,FALSE())&gt;2,HLOOKUP($A647,#REF!,5,FALSE())&lt;-2),"",#REF!),"")</f>
        <v/>
      </c>
      <c r="H647" s="0" t="str">
        <f aca="false">IFERROR(IF(OR(HLOOKUP($A647,#REF!,6,FALSE())&gt;2,HLOOKUP($A647,#REF!,6,FALSE())&lt;-2),"",#REF!),"")</f>
        <v/>
      </c>
      <c r="I647" s="0" t="str">
        <f aca="false">IFERROR(IF(OR(HLOOKUP($A647,#REF!,7,FALSE())&gt;2,HLOOKUP($A647,#REF!,7,FALSE())&lt;-2),"",#REF!),"")</f>
        <v/>
      </c>
      <c r="J647" s="0" t="str">
        <f aca="false">IFERROR(IF(OR(HLOOKUP($A647,#REF!,8,FALSE())&gt;2,HLOOKUP($A647,#REF!,8,FALSE())&lt;-2),"",#REF!),"")</f>
        <v/>
      </c>
      <c r="K647" s="0" t="str">
        <f aca="false">IFERROR(IF(OR(HLOOKUP($A647,#REF!,9,FALSE())&gt;2,HLOOKUP($A647,#REF!,9,FALSE())&lt;-2),"",#REF!),"")</f>
        <v/>
      </c>
      <c r="L647" s="0" t="str">
        <f aca="false">IFERROR(IF(OR(HLOOKUP($A647,#REF!,10,FALSE())&gt;2,HLOOKUP($A647,#REF!,10,FALSE())&lt;-2),"",#REF!),"")</f>
        <v/>
      </c>
      <c r="M647" s="0" t="str">
        <f aca="false">IFERROR(IF(OR(HLOOKUP($A647,#REF!,11,FALSE())&gt;2,HLOOKUP($A647,#REF!,11,FALSE())&lt;-2),"",#REF!),"")</f>
        <v/>
      </c>
      <c r="N647" s="0" t="str">
        <f aca="false">IFERROR(IF(OR(HLOOKUP($A647,#REF!,12,FALSE())&gt;2,HLOOKUP($A647,#REF!,12,FALSE())&lt;-2),"",#REF!),"")</f>
        <v/>
      </c>
      <c r="O647" s="0" t="str">
        <f aca="false">IFERROR(IF(OR(HLOOKUP($A647,#REF!,13,FALSE())&gt;2,HLOOKUP($A647,#REF!,13,FALSE())&lt;-2),"",#REF!),"")</f>
        <v/>
      </c>
      <c r="P647" s="0" t="str">
        <f aca="false">IFERROR(IF(OR(HLOOKUP($A647,#REF!,14,FALSE())&gt;2,HLOOKUP($A647,#REF!,14,FALSE())&lt;-2),"",#REF!),"")</f>
        <v/>
      </c>
      <c r="Q647" s="0" t="str">
        <f aca="false">IFERROR(IF(OR(HLOOKUP($A647,#REF!,15,FALSE())&gt;2,HLOOKUP($A647,#REF!,15,FALSE())&lt;-2),"",#REF!),"")</f>
        <v/>
      </c>
      <c r="R647" s="0" t="str">
        <f aca="false">IFERROR(IF(OR(HLOOKUP($A647,#REF!,16,FALSE())&gt;2,HLOOKUP($A647,#REF!,16,FALSE())&lt;-2),"",#REF!),"")</f>
        <v/>
      </c>
      <c r="S647" s="0" t="str">
        <f aca="false">IFERROR(IF(OR(HLOOKUP($A647,#REF!,17,FALSE())&gt;2,HLOOKUP($A647,#REF!,17,FALSE())&lt;-2),"",#REF!),"")</f>
        <v/>
      </c>
      <c r="T647" s="0" t="str">
        <f aca="false">IFERROR(IF(OR(HLOOKUP($A647,#REF!,18,FALSE())&gt;2,HLOOKUP($A647,#REF!,18,FALSE())&lt;-2),"",#REF!),"")</f>
        <v/>
      </c>
      <c r="U647" s="0" t="str">
        <f aca="false">IFERROR(IF(OR(HLOOKUP($A647,#REF!,19,FALSE())&gt;2,HLOOKUP($A647,#REF!,19,FALSE())&lt;-2),"",#REF!),"")</f>
        <v/>
      </c>
      <c r="V647" s="0" t="n">
        <f aca="false">IFERROR(IF(AND(X647=0,Y647=0),0,1),0)</f>
        <v>1</v>
      </c>
      <c r="W647" s="3" t="str">
        <f aca="false">IFERROR(_xlfn.T.TEST(E647:M647,N647:U647,2,2),"")</f>
        <v/>
      </c>
      <c r="X647" s="0" t="str">
        <f aca="false">IFERROR(AVERAGE(E647:M647),"")</f>
        <v/>
      </c>
      <c r="Y647" s="0" t="str">
        <f aca="false">IFERROR(AVERAGE(N647:U647),"")</f>
        <v/>
      </c>
    </row>
    <row r="648" customFormat="false" ht="14.5" hidden="false" customHeight="false" outlineLevel="0" collapsed="false">
      <c r="A648" s="0" t="n">
        <v>656</v>
      </c>
      <c r="B648" s="0" t="s">
        <v>710</v>
      </c>
      <c r="C648" s="0" t="n">
        <v>2200</v>
      </c>
      <c r="D648" s="0" t="n">
        <v>993</v>
      </c>
      <c r="E648" s="0" t="str">
        <f aca="false">IFERROR(IF(OR(HLOOKUP($A648,#REF!,3,FALSE())&gt;2,HLOOKUP(A648,#REF!,3,FALSE())&lt;-2),"",#REF!),"")</f>
        <v/>
      </c>
      <c r="F648" s="0" t="str">
        <f aca="false">IFERROR(IF(OR(HLOOKUP($A648,#REF!,4,FALSE())&gt;2,HLOOKUP($A648,#REF!,4,FALSE())&lt;-2),"",#REF!),"")</f>
        <v/>
      </c>
      <c r="G648" s="0" t="str">
        <f aca="false">IFERROR(IF(OR(HLOOKUP($A648,#REF!,5,FALSE())&gt;2,HLOOKUP($A648,#REF!,5,FALSE())&lt;-2),"",#REF!),"")</f>
        <v/>
      </c>
      <c r="H648" s="0" t="str">
        <f aca="false">IFERROR(IF(OR(HLOOKUP($A648,#REF!,6,FALSE())&gt;2,HLOOKUP($A648,#REF!,6,FALSE())&lt;-2),"",#REF!),"")</f>
        <v/>
      </c>
      <c r="I648" s="0" t="str">
        <f aca="false">IFERROR(IF(OR(HLOOKUP($A648,#REF!,7,FALSE())&gt;2,HLOOKUP($A648,#REF!,7,FALSE())&lt;-2),"",#REF!),"")</f>
        <v/>
      </c>
      <c r="J648" s="0" t="str">
        <f aca="false">IFERROR(IF(OR(HLOOKUP($A648,#REF!,8,FALSE())&gt;2,HLOOKUP($A648,#REF!,8,FALSE())&lt;-2),"",#REF!),"")</f>
        <v/>
      </c>
      <c r="K648" s="0" t="str">
        <f aca="false">IFERROR(IF(OR(HLOOKUP($A648,#REF!,9,FALSE())&gt;2,HLOOKUP($A648,#REF!,9,FALSE())&lt;-2),"",#REF!),"")</f>
        <v/>
      </c>
      <c r="L648" s="0" t="str">
        <f aca="false">IFERROR(IF(OR(HLOOKUP($A648,#REF!,10,FALSE())&gt;2,HLOOKUP($A648,#REF!,10,FALSE())&lt;-2),"",#REF!),"")</f>
        <v/>
      </c>
      <c r="M648" s="0" t="str">
        <f aca="false">IFERROR(IF(OR(HLOOKUP($A648,#REF!,11,FALSE())&gt;2,HLOOKUP($A648,#REF!,11,FALSE())&lt;-2),"",#REF!),"")</f>
        <v/>
      </c>
      <c r="N648" s="0" t="str">
        <f aca="false">IFERROR(IF(OR(HLOOKUP($A648,#REF!,12,FALSE())&gt;2,HLOOKUP($A648,#REF!,12,FALSE())&lt;-2),"",#REF!),"")</f>
        <v/>
      </c>
      <c r="O648" s="0" t="str">
        <f aca="false">IFERROR(IF(OR(HLOOKUP($A648,#REF!,13,FALSE())&gt;2,HLOOKUP($A648,#REF!,13,FALSE())&lt;-2),"",#REF!),"")</f>
        <v/>
      </c>
      <c r="P648" s="0" t="str">
        <f aca="false">IFERROR(IF(OR(HLOOKUP($A648,#REF!,14,FALSE())&gt;2,HLOOKUP($A648,#REF!,14,FALSE())&lt;-2),"",#REF!),"")</f>
        <v/>
      </c>
      <c r="Q648" s="0" t="str">
        <f aca="false">IFERROR(IF(OR(HLOOKUP($A648,#REF!,15,FALSE())&gt;2,HLOOKUP($A648,#REF!,15,FALSE())&lt;-2),"",#REF!),"")</f>
        <v/>
      </c>
      <c r="R648" s="0" t="str">
        <f aca="false">IFERROR(IF(OR(HLOOKUP($A648,#REF!,16,FALSE())&gt;2,HLOOKUP($A648,#REF!,16,FALSE())&lt;-2),"",#REF!),"")</f>
        <v/>
      </c>
      <c r="S648" s="0" t="str">
        <f aca="false">IFERROR(IF(OR(HLOOKUP($A648,#REF!,17,FALSE())&gt;2,HLOOKUP($A648,#REF!,17,FALSE())&lt;-2),"",#REF!),"")</f>
        <v/>
      </c>
      <c r="T648" s="0" t="str">
        <f aca="false">IFERROR(IF(OR(HLOOKUP($A648,#REF!,18,FALSE())&gt;2,HLOOKUP($A648,#REF!,18,FALSE())&lt;-2),"",#REF!),"")</f>
        <v/>
      </c>
      <c r="U648" s="0" t="str">
        <f aca="false">IFERROR(IF(OR(HLOOKUP($A648,#REF!,19,FALSE())&gt;2,HLOOKUP($A648,#REF!,19,FALSE())&lt;-2),"",#REF!),"")</f>
        <v/>
      </c>
      <c r="V648" s="0" t="n">
        <f aca="false">IFERROR(IF(AND(X648=0,Y648=0),0,1),0)</f>
        <v>1</v>
      </c>
      <c r="W648" s="3" t="str">
        <f aca="false">IFERROR(_xlfn.T.TEST(E648:M648,N648:U648,2,2),"")</f>
        <v/>
      </c>
      <c r="X648" s="0" t="str">
        <f aca="false">IFERROR(AVERAGE(E648:M648),"")</f>
        <v/>
      </c>
      <c r="Y648" s="0" t="str">
        <f aca="false">IFERROR(AVERAGE(N648:U648),"")</f>
        <v/>
      </c>
    </row>
    <row r="649" customFormat="false" ht="14.5" hidden="false" customHeight="false" outlineLevel="0" collapsed="false">
      <c r="A649" s="0" t="n">
        <v>657</v>
      </c>
      <c r="B649" s="0" t="s">
        <v>711</v>
      </c>
      <c r="C649" s="0" t="n">
        <v>5800</v>
      </c>
      <c r="D649" s="0" t="n">
        <v>345</v>
      </c>
      <c r="E649" s="0" t="str">
        <f aca="false">IFERROR(IF(OR(HLOOKUP($A649,#REF!,3,FALSE())&gt;2,HLOOKUP(A649,#REF!,3,FALSE())&lt;-2),"",#REF!),"")</f>
        <v/>
      </c>
      <c r="F649" s="0" t="str">
        <f aca="false">IFERROR(IF(OR(HLOOKUP($A649,#REF!,4,FALSE())&gt;2,HLOOKUP($A649,#REF!,4,FALSE())&lt;-2),"",#REF!),"")</f>
        <v/>
      </c>
      <c r="G649" s="0" t="str">
        <f aca="false">IFERROR(IF(OR(HLOOKUP($A649,#REF!,5,FALSE())&gt;2,HLOOKUP($A649,#REF!,5,FALSE())&lt;-2),"",#REF!),"")</f>
        <v/>
      </c>
      <c r="H649" s="0" t="str">
        <f aca="false">IFERROR(IF(OR(HLOOKUP($A649,#REF!,6,FALSE())&gt;2,HLOOKUP($A649,#REF!,6,FALSE())&lt;-2),"",#REF!),"")</f>
        <v/>
      </c>
      <c r="I649" s="0" t="str">
        <f aca="false">IFERROR(IF(OR(HLOOKUP($A649,#REF!,7,FALSE())&gt;2,HLOOKUP($A649,#REF!,7,FALSE())&lt;-2),"",#REF!),"")</f>
        <v/>
      </c>
      <c r="J649" s="0" t="str">
        <f aca="false">IFERROR(IF(OR(HLOOKUP($A649,#REF!,8,FALSE())&gt;2,HLOOKUP($A649,#REF!,8,FALSE())&lt;-2),"",#REF!),"")</f>
        <v/>
      </c>
      <c r="K649" s="0" t="str">
        <f aca="false">IFERROR(IF(OR(HLOOKUP($A649,#REF!,9,FALSE())&gt;2,HLOOKUP($A649,#REF!,9,FALSE())&lt;-2),"",#REF!),"")</f>
        <v/>
      </c>
      <c r="L649" s="0" t="str">
        <f aca="false">IFERROR(IF(OR(HLOOKUP($A649,#REF!,10,FALSE())&gt;2,HLOOKUP($A649,#REF!,10,FALSE())&lt;-2),"",#REF!),"")</f>
        <v/>
      </c>
      <c r="M649" s="0" t="str">
        <f aca="false">IFERROR(IF(OR(HLOOKUP($A649,#REF!,11,FALSE())&gt;2,HLOOKUP($A649,#REF!,11,FALSE())&lt;-2),"",#REF!),"")</f>
        <v/>
      </c>
      <c r="N649" s="0" t="str">
        <f aca="false">IFERROR(IF(OR(HLOOKUP($A649,#REF!,12,FALSE())&gt;2,HLOOKUP($A649,#REF!,12,FALSE())&lt;-2),"",#REF!),"")</f>
        <v/>
      </c>
      <c r="O649" s="0" t="str">
        <f aca="false">IFERROR(IF(OR(HLOOKUP($A649,#REF!,13,FALSE())&gt;2,HLOOKUP($A649,#REF!,13,FALSE())&lt;-2),"",#REF!),"")</f>
        <v/>
      </c>
      <c r="P649" s="0" t="str">
        <f aca="false">IFERROR(IF(OR(HLOOKUP($A649,#REF!,14,FALSE())&gt;2,HLOOKUP($A649,#REF!,14,FALSE())&lt;-2),"",#REF!),"")</f>
        <v/>
      </c>
      <c r="Q649" s="0" t="str">
        <f aca="false">IFERROR(IF(OR(HLOOKUP($A649,#REF!,15,FALSE())&gt;2,HLOOKUP($A649,#REF!,15,FALSE())&lt;-2),"",#REF!),"")</f>
        <v/>
      </c>
      <c r="R649" s="0" t="str">
        <f aca="false">IFERROR(IF(OR(HLOOKUP($A649,#REF!,16,FALSE())&gt;2,HLOOKUP($A649,#REF!,16,FALSE())&lt;-2),"",#REF!),"")</f>
        <v/>
      </c>
      <c r="S649" s="0" t="str">
        <f aca="false">IFERROR(IF(OR(HLOOKUP($A649,#REF!,17,FALSE())&gt;2,HLOOKUP($A649,#REF!,17,FALSE())&lt;-2),"",#REF!),"")</f>
        <v/>
      </c>
      <c r="T649" s="0" t="str">
        <f aca="false">IFERROR(IF(OR(HLOOKUP($A649,#REF!,18,FALSE())&gt;2,HLOOKUP($A649,#REF!,18,FALSE())&lt;-2),"",#REF!),"")</f>
        <v/>
      </c>
      <c r="U649" s="0" t="str">
        <f aca="false">IFERROR(IF(OR(HLOOKUP($A649,#REF!,19,FALSE())&gt;2,HLOOKUP($A649,#REF!,19,FALSE())&lt;-2),"",#REF!),"")</f>
        <v/>
      </c>
      <c r="V649" s="0" t="n">
        <f aca="false">IFERROR(IF(AND(X649=0,Y649=0),0,1),0)</f>
        <v>1</v>
      </c>
      <c r="W649" s="3" t="str">
        <f aca="false">IFERROR(_xlfn.T.TEST(E649:M649,N649:U649,2,2),"")</f>
        <v/>
      </c>
      <c r="X649" s="0" t="str">
        <f aca="false">IFERROR(AVERAGE(E649:M649),"")</f>
        <v/>
      </c>
      <c r="Y649" s="0" t="str">
        <f aca="false">IFERROR(AVERAGE(N649:U649),"")</f>
        <v/>
      </c>
    </row>
    <row r="650" customFormat="false" ht="14.5" hidden="false" customHeight="false" outlineLevel="0" collapsed="false">
      <c r="A650" s="0" t="n">
        <v>658</v>
      </c>
      <c r="B650" s="0" t="s">
        <v>712</v>
      </c>
      <c r="C650" s="0" t="n">
        <v>101100</v>
      </c>
      <c r="D650" s="0" t="n">
        <v>948</v>
      </c>
      <c r="E650" s="0" t="str">
        <f aca="false">IFERROR(IF(OR(HLOOKUP($A650,#REF!,3,FALSE())&gt;2,HLOOKUP(A650,#REF!,3,FALSE())&lt;-2),"",#REF!),"")</f>
        <v/>
      </c>
      <c r="F650" s="0" t="str">
        <f aca="false">IFERROR(IF(OR(HLOOKUP($A650,#REF!,4,FALSE())&gt;2,HLOOKUP($A650,#REF!,4,FALSE())&lt;-2),"",#REF!),"")</f>
        <v/>
      </c>
      <c r="G650" s="0" t="str">
        <f aca="false">IFERROR(IF(OR(HLOOKUP($A650,#REF!,5,FALSE())&gt;2,HLOOKUP($A650,#REF!,5,FALSE())&lt;-2),"",#REF!),"")</f>
        <v/>
      </c>
      <c r="H650" s="0" t="str">
        <f aca="false">IFERROR(IF(OR(HLOOKUP($A650,#REF!,6,FALSE())&gt;2,HLOOKUP($A650,#REF!,6,FALSE())&lt;-2),"",#REF!),"")</f>
        <v/>
      </c>
      <c r="I650" s="0" t="str">
        <f aca="false">IFERROR(IF(OR(HLOOKUP($A650,#REF!,7,FALSE())&gt;2,HLOOKUP($A650,#REF!,7,FALSE())&lt;-2),"",#REF!),"")</f>
        <v/>
      </c>
      <c r="J650" s="0" t="str">
        <f aca="false">IFERROR(IF(OR(HLOOKUP($A650,#REF!,8,FALSE())&gt;2,HLOOKUP($A650,#REF!,8,FALSE())&lt;-2),"",#REF!),"")</f>
        <v/>
      </c>
      <c r="K650" s="0" t="str">
        <f aca="false">IFERROR(IF(OR(HLOOKUP($A650,#REF!,9,FALSE())&gt;2,HLOOKUP($A650,#REF!,9,FALSE())&lt;-2),"",#REF!),"")</f>
        <v/>
      </c>
      <c r="L650" s="0" t="str">
        <f aca="false">IFERROR(IF(OR(HLOOKUP($A650,#REF!,10,FALSE())&gt;2,HLOOKUP($A650,#REF!,10,FALSE())&lt;-2),"",#REF!),"")</f>
        <v/>
      </c>
      <c r="M650" s="0" t="str">
        <f aca="false">IFERROR(IF(OR(HLOOKUP($A650,#REF!,11,FALSE())&gt;2,HLOOKUP($A650,#REF!,11,FALSE())&lt;-2),"",#REF!),"")</f>
        <v/>
      </c>
      <c r="N650" s="0" t="str">
        <f aca="false">IFERROR(IF(OR(HLOOKUP($A650,#REF!,12,FALSE())&gt;2,HLOOKUP($A650,#REF!,12,FALSE())&lt;-2),"",#REF!),"")</f>
        <v/>
      </c>
      <c r="O650" s="0" t="str">
        <f aca="false">IFERROR(IF(OR(HLOOKUP($A650,#REF!,13,FALSE())&gt;2,HLOOKUP($A650,#REF!,13,FALSE())&lt;-2),"",#REF!),"")</f>
        <v/>
      </c>
      <c r="P650" s="0" t="str">
        <f aca="false">IFERROR(IF(OR(HLOOKUP($A650,#REF!,14,FALSE())&gt;2,HLOOKUP($A650,#REF!,14,FALSE())&lt;-2),"",#REF!),"")</f>
        <v/>
      </c>
      <c r="Q650" s="0" t="str">
        <f aca="false">IFERROR(IF(OR(HLOOKUP($A650,#REF!,15,FALSE())&gt;2,HLOOKUP($A650,#REF!,15,FALSE())&lt;-2),"",#REF!),"")</f>
        <v/>
      </c>
      <c r="R650" s="0" t="str">
        <f aca="false">IFERROR(IF(OR(HLOOKUP($A650,#REF!,16,FALSE())&gt;2,HLOOKUP($A650,#REF!,16,FALSE())&lt;-2),"",#REF!),"")</f>
        <v/>
      </c>
      <c r="S650" s="0" t="str">
        <f aca="false">IFERROR(IF(OR(HLOOKUP($A650,#REF!,17,FALSE())&gt;2,HLOOKUP($A650,#REF!,17,FALSE())&lt;-2),"",#REF!),"")</f>
        <v/>
      </c>
      <c r="T650" s="0" t="str">
        <f aca="false">IFERROR(IF(OR(HLOOKUP($A650,#REF!,18,FALSE())&gt;2,HLOOKUP($A650,#REF!,18,FALSE())&lt;-2),"",#REF!),"")</f>
        <v/>
      </c>
      <c r="U650" s="0" t="str">
        <f aca="false">IFERROR(IF(OR(HLOOKUP($A650,#REF!,19,FALSE())&gt;2,HLOOKUP($A650,#REF!,19,FALSE())&lt;-2),"",#REF!),"")</f>
        <v/>
      </c>
      <c r="V650" s="0" t="n">
        <f aca="false">IFERROR(IF(AND(X650=0,Y650=0),0,1),0)</f>
        <v>1</v>
      </c>
      <c r="W650" s="3" t="str">
        <f aca="false">IFERROR(_xlfn.T.TEST(E650:M650,N650:U650,2,2),"")</f>
        <v/>
      </c>
      <c r="X650" s="0" t="str">
        <f aca="false">IFERROR(AVERAGE(E650:M650),"")</f>
        <v/>
      </c>
      <c r="Y650" s="0" t="str">
        <f aca="false">IFERROR(AVERAGE(N650:U650),"")</f>
        <v/>
      </c>
    </row>
    <row r="651" customFormat="false" ht="14.5" hidden="false" customHeight="false" outlineLevel="0" collapsed="false">
      <c r="A651" s="0" t="n">
        <v>659</v>
      </c>
      <c r="B651" s="0" t="s">
        <v>713</v>
      </c>
      <c r="C651" s="0" t="n">
        <v>90800</v>
      </c>
      <c r="D651" s="0" t="n">
        <v>651</v>
      </c>
      <c r="E651" s="0" t="str">
        <f aca="false">IFERROR(IF(OR(HLOOKUP($A651,#REF!,3,FALSE())&gt;2,HLOOKUP(A651,#REF!,3,FALSE())&lt;-2),"",#REF!),"")</f>
        <v/>
      </c>
      <c r="F651" s="0" t="str">
        <f aca="false">IFERROR(IF(OR(HLOOKUP($A651,#REF!,4,FALSE())&gt;2,HLOOKUP($A651,#REF!,4,FALSE())&lt;-2),"",#REF!),"")</f>
        <v/>
      </c>
      <c r="G651" s="0" t="str">
        <f aca="false">IFERROR(IF(OR(HLOOKUP($A651,#REF!,5,FALSE())&gt;2,HLOOKUP($A651,#REF!,5,FALSE())&lt;-2),"",#REF!),"")</f>
        <v/>
      </c>
      <c r="H651" s="0" t="str">
        <f aca="false">IFERROR(IF(OR(HLOOKUP($A651,#REF!,6,FALSE())&gt;2,HLOOKUP($A651,#REF!,6,FALSE())&lt;-2),"",#REF!),"")</f>
        <v/>
      </c>
      <c r="I651" s="0" t="str">
        <f aca="false">IFERROR(IF(OR(HLOOKUP($A651,#REF!,7,FALSE())&gt;2,HLOOKUP($A651,#REF!,7,FALSE())&lt;-2),"",#REF!),"")</f>
        <v/>
      </c>
      <c r="J651" s="0" t="str">
        <f aca="false">IFERROR(IF(OR(HLOOKUP($A651,#REF!,8,FALSE())&gt;2,HLOOKUP($A651,#REF!,8,FALSE())&lt;-2),"",#REF!),"")</f>
        <v/>
      </c>
      <c r="K651" s="0" t="str">
        <f aca="false">IFERROR(IF(OR(HLOOKUP($A651,#REF!,9,FALSE())&gt;2,HLOOKUP($A651,#REF!,9,FALSE())&lt;-2),"",#REF!),"")</f>
        <v/>
      </c>
      <c r="L651" s="0" t="str">
        <f aca="false">IFERROR(IF(OR(HLOOKUP($A651,#REF!,10,FALSE())&gt;2,HLOOKUP($A651,#REF!,10,FALSE())&lt;-2),"",#REF!),"")</f>
        <v/>
      </c>
      <c r="M651" s="0" t="str">
        <f aca="false">IFERROR(IF(OR(HLOOKUP($A651,#REF!,11,FALSE())&gt;2,HLOOKUP($A651,#REF!,11,FALSE())&lt;-2),"",#REF!),"")</f>
        <v/>
      </c>
      <c r="N651" s="0" t="str">
        <f aca="false">IFERROR(IF(OR(HLOOKUP($A651,#REF!,12,FALSE())&gt;2,HLOOKUP($A651,#REF!,12,FALSE())&lt;-2),"",#REF!),"")</f>
        <v/>
      </c>
      <c r="O651" s="0" t="str">
        <f aca="false">IFERROR(IF(OR(HLOOKUP($A651,#REF!,13,FALSE())&gt;2,HLOOKUP($A651,#REF!,13,FALSE())&lt;-2),"",#REF!),"")</f>
        <v/>
      </c>
      <c r="P651" s="0" t="str">
        <f aca="false">IFERROR(IF(OR(HLOOKUP($A651,#REF!,14,FALSE())&gt;2,HLOOKUP($A651,#REF!,14,FALSE())&lt;-2),"",#REF!),"")</f>
        <v/>
      </c>
      <c r="Q651" s="0" t="str">
        <f aca="false">IFERROR(IF(OR(HLOOKUP($A651,#REF!,15,FALSE())&gt;2,HLOOKUP($A651,#REF!,15,FALSE())&lt;-2),"",#REF!),"")</f>
        <v/>
      </c>
      <c r="R651" s="0" t="str">
        <f aca="false">IFERROR(IF(OR(HLOOKUP($A651,#REF!,16,FALSE())&gt;2,HLOOKUP($A651,#REF!,16,FALSE())&lt;-2),"",#REF!),"")</f>
        <v/>
      </c>
      <c r="S651" s="0" t="str">
        <f aca="false">IFERROR(IF(OR(HLOOKUP($A651,#REF!,17,FALSE())&gt;2,HLOOKUP($A651,#REF!,17,FALSE())&lt;-2),"",#REF!),"")</f>
        <v/>
      </c>
      <c r="T651" s="0" t="str">
        <f aca="false">IFERROR(IF(OR(HLOOKUP($A651,#REF!,18,FALSE())&gt;2,HLOOKUP($A651,#REF!,18,FALSE())&lt;-2),"",#REF!),"")</f>
        <v/>
      </c>
      <c r="U651" s="0" t="str">
        <f aca="false">IFERROR(IF(OR(HLOOKUP($A651,#REF!,19,FALSE())&gt;2,HLOOKUP($A651,#REF!,19,FALSE())&lt;-2),"",#REF!),"")</f>
        <v/>
      </c>
      <c r="V651" s="0" t="n">
        <f aca="false">IFERROR(IF(AND(X651=0,Y651=0),0,1),0)</f>
        <v>1</v>
      </c>
      <c r="W651" s="3" t="str">
        <f aca="false">IFERROR(_xlfn.T.TEST(E651:M651,N651:U651,2,2),"")</f>
        <v/>
      </c>
      <c r="X651" s="0" t="str">
        <f aca="false">IFERROR(AVERAGE(E651:M651),"")</f>
        <v/>
      </c>
      <c r="Y651" s="0" t="str">
        <f aca="false">IFERROR(AVERAGE(N651:U651),"")</f>
        <v/>
      </c>
    </row>
    <row r="652" customFormat="false" ht="14.5" hidden="false" customHeight="false" outlineLevel="0" collapsed="false">
      <c r="A652" s="0" t="n">
        <v>660</v>
      </c>
      <c r="B652" s="0" t="s">
        <v>714</v>
      </c>
      <c r="C652" s="0" t="n">
        <v>71100</v>
      </c>
      <c r="D652" s="0" t="n">
        <v>103</v>
      </c>
      <c r="E652" s="0" t="str">
        <f aca="false">IFERROR(IF(OR(HLOOKUP($A652,#REF!,3,FALSE())&gt;2,HLOOKUP(A652,#REF!,3,FALSE())&lt;-2),"",#REF!),"")</f>
        <v/>
      </c>
      <c r="F652" s="0" t="str">
        <f aca="false">IFERROR(IF(OR(HLOOKUP($A652,#REF!,4,FALSE())&gt;2,HLOOKUP($A652,#REF!,4,FALSE())&lt;-2),"",#REF!),"")</f>
        <v/>
      </c>
      <c r="G652" s="0" t="str">
        <f aca="false">IFERROR(IF(OR(HLOOKUP($A652,#REF!,5,FALSE())&gt;2,HLOOKUP($A652,#REF!,5,FALSE())&lt;-2),"",#REF!),"")</f>
        <v/>
      </c>
      <c r="H652" s="0" t="str">
        <f aca="false">IFERROR(IF(OR(HLOOKUP($A652,#REF!,6,FALSE())&gt;2,HLOOKUP($A652,#REF!,6,FALSE())&lt;-2),"",#REF!),"")</f>
        <v/>
      </c>
      <c r="I652" s="0" t="str">
        <f aca="false">IFERROR(IF(OR(HLOOKUP($A652,#REF!,7,FALSE())&gt;2,HLOOKUP($A652,#REF!,7,FALSE())&lt;-2),"",#REF!),"")</f>
        <v/>
      </c>
      <c r="J652" s="0" t="str">
        <f aca="false">IFERROR(IF(OR(HLOOKUP($A652,#REF!,8,FALSE())&gt;2,HLOOKUP($A652,#REF!,8,FALSE())&lt;-2),"",#REF!),"")</f>
        <v/>
      </c>
      <c r="K652" s="0" t="str">
        <f aca="false">IFERROR(IF(OR(HLOOKUP($A652,#REF!,9,FALSE())&gt;2,HLOOKUP($A652,#REF!,9,FALSE())&lt;-2),"",#REF!),"")</f>
        <v/>
      </c>
      <c r="L652" s="0" t="str">
        <f aca="false">IFERROR(IF(OR(HLOOKUP($A652,#REF!,10,FALSE())&gt;2,HLOOKUP($A652,#REF!,10,FALSE())&lt;-2),"",#REF!),"")</f>
        <v/>
      </c>
      <c r="M652" s="0" t="str">
        <f aca="false">IFERROR(IF(OR(HLOOKUP($A652,#REF!,11,FALSE())&gt;2,HLOOKUP($A652,#REF!,11,FALSE())&lt;-2),"",#REF!),"")</f>
        <v/>
      </c>
      <c r="N652" s="0" t="str">
        <f aca="false">IFERROR(IF(OR(HLOOKUP($A652,#REF!,12,FALSE())&gt;2,HLOOKUP($A652,#REF!,12,FALSE())&lt;-2),"",#REF!),"")</f>
        <v/>
      </c>
      <c r="O652" s="0" t="str">
        <f aca="false">IFERROR(IF(OR(HLOOKUP($A652,#REF!,13,FALSE())&gt;2,HLOOKUP($A652,#REF!,13,FALSE())&lt;-2),"",#REF!),"")</f>
        <v/>
      </c>
      <c r="P652" s="0" t="str">
        <f aca="false">IFERROR(IF(OR(HLOOKUP($A652,#REF!,14,FALSE())&gt;2,HLOOKUP($A652,#REF!,14,FALSE())&lt;-2),"",#REF!),"")</f>
        <v/>
      </c>
      <c r="Q652" s="0" t="str">
        <f aca="false">IFERROR(IF(OR(HLOOKUP($A652,#REF!,15,FALSE())&gt;2,HLOOKUP($A652,#REF!,15,FALSE())&lt;-2),"",#REF!),"")</f>
        <v/>
      </c>
      <c r="R652" s="0" t="str">
        <f aca="false">IFERROR(IF(OR(HLOOKUP($A652,#REF!,16,FALSE())&gt;2,HLOOKUP($A652,#REF!,16,FALSE())&lt;-2),"",#REF!),"")</f>
        <v/>
      </c>
      <c r="S652" s="0" t="str">
        <f aca="false">IFERROR(IF(OR(HLOOKUP($A652,#REF!,17,FALSE())&gt;2,HLOOKUP($A652,#REF!,17,FALSE())&lt;-2),"",#REF!),"")</f>
        <v/>
      </c>
      <c r="T652" s="0" t="str">
        <f aca="false">IFERROR(IF(OR(HLOOKUP($A652,#REF!,18,FALSE())&gt;2,HLOOKUP($A652,#REF!,18,FALSE())&lt;-2),"",#REF!),"")</f>
        <v/>
      </c>
      <c r="U652" s="0" t="str">
        <f aca="false">IFERROR(IF(OR(HLOOKUP($A652,#REF!,19,FALSE())&gt;2,HLOOKUP($A652,#REF!,19,FALSE())&lt;-2),"",#REF!),"")</f>
        <v/>
      </c>
      <c r="V652" s="0" t="n">
        <f aca="false">IFERROR(IF(AND(X652=0,Y652=0),0,1),0)</f>
        <v>1</v>
      </c>
      <c r="W652" s="3" t="str">
        <f aca="false">IFERROR(_xlfn.T.TEST(E652:M652,N652:U652,2,2),"")</f>
        <v/>
      </c>
      <c r="X652" s="0" t="str">
        <f aca="false">IFERROR(AVERAGE(E652:M652),"")</f>
        <v/>
      </c>
      <c r="Y652" s="0" t="str">
        <f aca="false">IFERROR(AVERAGE(N652:U652),"")</f>
        <v/>
      </c>
    </row>
    <row r="653" customFormat="false" ht="14.5" hidden="false" customHeight="false" outlineLevel="0" collapsed="false">
      <c r="A653" s="0" t="n">
        <v>661</v>
      </c>
      <c r="B653" s="0" t="s">
        <v>715</v>
      </c>
      <c r="C653" s="0" t="n">
        <v>92500</v>
      </c>
      <c r="D653" s="0" t="n">
        <v>370</v>
      </c>
      <c r="E653" s="0" t="str">
        <f aca="false">IFERROR(IF(OR(HLOOKUP($A653,#REF!,3,FALSE())&gt;2,HLOOKUP(A653,#REF!,3,FALSE())&lt;-2),"",#REF!),"")</f>
        <v/>
      </c>
      <c r="F653" s="0" t="str">
        <f aca="false">IFERROR(IF(OR(HLOOKUP($A653,#REF!,4,FALSE())&gt;2,HLOOKUP($A653,#REF!,4,FALSE())&lt;-2),"",#REF!),"")</f>
        <v/>
      </c>
      <c r="G653" s="0" t="str">
        <f aca="false">IFERROR(IF(OR(HLOOKUP($A653,#REF!,5,FALSE())&gt;2,HLOOKUP($A653,#REF!,5,FALSE())&lt;-2),"",#REF!),"")</f>
        <v/>
      </c>
      <c r="H653" s="0" t="str">
        <f aca="false">IFERROR(IF(OR(HLOOKUP($A653,#REF!,6,FALSE())&gt;2,HLOOKUP($A653,#REF!,6,FALSE())&lt;-2),"",#REF!),"")</f>
        <v/>
      </c>
      <c r="I653" s="0" t="str">
        <f aca="false">IFERROR(IF(OR(HLOOKUP($A653,#REF!,7,FALSE())&gt;2,HLOOKUP($A653,#REF!,7,FALSE())&lt;-2),"",#REF!),"")</f>
        <v/>
      </c>
      <c r="J653" s="0" t="str">
        <f aca="false">IFERROR(IF(OR(HLOOKUP($A653,#REF!,8,FALSE())&gt;2,HLOOKUP($A653,#REF!,8,FALSE())&lt;-2),"",#REF!),"")</f>
        <v/>
      </c>
      <c r="K653" s="0" t="str">
        <f aca="false">IFERROR(IF(OR(HLOOKUP($A653,#REF!,9,FALSE())&gt;2,HLOOKUP($A653,#REF!,9,FALSE())&lt;-2),"",#REF!),"")</f>
        <v/>
      </c>
      <c r="L653" s="0" t="str">
        <f aca="false">IFERROR(IF(OR(HLOOKUP($A653,#REF!,10,FALSE())&gt;2,HLOOKUP($A653,#REF!,10,FALSE())&lt;-2),"",#REF!),"")</f>
        <v/>
      </c>
      <c r="M653" s="0" t="str">
        <f aca="false">IFERROR(IF(OR(HLOOKUP($A653,#REF!,11,FALSE())&gt;2,HLOOKUP($A653,#REF!,11,FALSE())&lt;-2),"",#REF!),"")</f>
        <v/>
      </c>
      <c r="N653" s="0" t="str">
        <f aca="false">IFERROR(IF(OR(HLOOKUP($A653,#REF!,12,FALSE())&gt;2,HLOOKUP($A653,#REF!,12,FALSE())&lt;-2),"",#REF!),"")</f>
        <v/>
      </c>
      <c r="O653" s="0" t="str">
        <f aca="false">IFERROR(IF(OR(HLOOKUP($A653,#REF!,13,FALSE())&gt;2,HLOOKUP($A653,#REF!,13,FALSE())&lt;-2),"",#REF!),"")</f>
        <v/>
      </c>
      <c r="P653" s="0" t="str">
        <f aca="false">IFERROR(IF(OR(HLOOKUP($A653,#REF!,14,FALSE())&gt;2,HLOOKUP($A653,#REF!,14,FALSE())&lt;-2),"",#REF!),"")</f>
        <v/>
      </c>
      <c r="Q653" s="0" t="str">
        <f aca="false">IFERROR(IF(OR(HLOOKUP($A653,#REF!,15,FALSE())&gt;2,HLOOKUP($A653,#REF!,15,FALSE())&lt;-2),"",#REF!),"")</f>
        <v/>
      </c>
      <c r="R653" s="0" t="str">
        <f aca="false">IFERROR(IF(OR(HLOOKUP($A653,#REF!,16,FALSE())&gt;2,HLOOKUP($A653,#REF!,16,FALSE())&lt;-2),"",#REF!),"")</f>
        <v/>
      </c>
      <c r="S653" s="0" t="str">
        <f aca="false">IFERROR(IF(OR(HLOOKUP($A653,#REF!,17,FALSE())&gt;2,HLOOKUP($A653,#REF!,17,FALSE())&lt;-2),"",#REF!),"")</f>
        <v/>
      </c>
      <c r="T653" s="0" t="str">
        <f aca="false">IFERROR(IF(OR(HLOOKUP($A653,#REF!,18,FALSE())&gt;2,HLOOKUP($A653,#REF!,18,FALSE())&lt;-2),"",#REF!),"")</f>
        <v/>
      </c>
      <c r="U653" s="0" t="str">
        <f aca="false">IFERROR(IF(OR(HLOOKUP($A653,#REF!,19,FALSE())&gt;2,HLOOKUP($A653,#REF!,19,FALSE())&lt;-2),"",#REF!),"")</f>
        <v/>
      </c>
      <c r="V653" s="0" t="n">
        <f aca="false">IFERROR(IF(AND(X653=0,Y653=0),0,1),0)</f>
        <v>1</v>
      </c>
      <c r="W653" s="3" t="str">
        <f aca="false">IFERROR(_xlfn.T.TEST(E653:M653,N653:U653,2,2),"")</f>
        <v/>
      </c>
      <c r="X653" s="0" t="str">
        <f aca="false">IFERROR(AVERAGE(E653:M653),"")</f>
        <v/>
      </c>
      <c r="Y653" s="0" t="str">
        <f aca="false">IFERROR(AVERAGE(N653:U653),"")</f>
        <v/>
      </c>
    </row>
    <row r="654" customFormat="false" ht="14.5" hidden="false" customHeight="false" outlineLevel="0" collapsed="false">
      <c r="A654" s="0" t="n">
        <v>662</v>
      </c>
      <c r="B654" s="0" t="s">
        <v>716</v>
      </c>
      <c r="C654" s="0" t="n">
        <v>9700</v>
      </c>
      <c r="D654" s="0" t="n">
        <v>1057</v>
      </c>
      <c r="E654" s="0" t="str">
        <f aca="false">IFERROR(IF(OR(HLOOKUP($A654,#REF!,3,FALSE())&gt;2,HLOOKUP(A654,#REF!,3,FALSE())&lt;-2),"",#REF!),"")</f>
        <v/>
      </c>
      <c r="F654" s="0" t="str">
        <f aca="false">IFERROR(IF(OR(HLOOKUP($A654,#REF!,4,FALSE())&gt;2,HLOOKUP($A654,#REF!,4,FALSE())&lt;-2),"",#REF!),"")</f>
        <v/>
      </c>
      <c r="G654" s="0" t="str">
        <f aca="false">IFERROR(IF(OR(HLOOKUP($A654,#REF!,5,FALSE())&gt;2,HLOOKUP($A654,#REF!,5,FALSE())&lt;-2),"",#REF!),"")</f>
        <v/>
      </c>
      <c r="H654" s="0" t="str">
        <f aca="false">IFERROR(IF(OR(HLOOKUP($A654,#REF!,6,FALSE())&gt;2,HLOOKUP($A654,#REF!,6,FALSE())&lt;-2),"",#REF!),"")</f>
        <v/>
      </c>
      <c r="I654" s="0" t="str">
        <f aca="false">IFERROR(IF(OR(HLOOKUP($A654,#REF!,7,FALSE())&gt;2,HLOOKUP($A654,#REF!,7,FALSE())&lt;-2),"",#REF!),"")</f>
        <v/>
      </c>
      <c r="J654" s="0" t="str">
        <f aca="false">IFERROR(IF(OR(HLOOKUP($A654,#REF!,8,FALSE())&gt;2,HLOOKUP($A654,#REF!,8,FALSE())&lt;-2),"",#REF!),"")</f>
        <v/>
      </c>
      <c r="K654" s="0" t="str">
        <f aca="false">IFERROR(IF(OR(HLOOKUP($A654,#REF!,9,FALSE())&gt;2,HLOOKUP($A654,#REF!,9,FALSE())&lt;-2),"",#REF!),"")</f>
        <v/>
      </c>
      <c r="L654" s="0" t="str">
        <f aca="false">IFERROR(IF(OR(HLOOKUP($A654,#REF!,10,FALSE())&gt;2,HLOOKUP($A654,#REF!,10,FALSE())&lt;-2),"",#REF!),"")</f>
        <v/>
      </c>
      <c r="M654" s="0" t="str">
        <f aca="false">IFERROR(IF(OR(HLOOKUP($A654,#REF!,11,FALSE())&gt;2,HLOOKUP($A654,#REF!,11,FALSE())&lt;-2),"",#REF!),"")</f>
        <v/>
      </c>
      <c r="N654" s="0" t="str">
        <f aca="false">IFERROR(IF(OR(HLOOKUP($A654,#REF!,12,FALSE())&gt;2,HLOOKUP($A654,#REF!,12,FALSE())&lt;-2),"",#REF!),"")</f>
        <v/>
      </c>
      <c r="O654" s="0" t="str">
        <f aca="false">IFERROR(IF(OR(HLOOKUP($A654,#REF!,13,FALSE())&gt;2,HLOOKUP($A654,#REF!,13,FALSE())&lt;-2),"",#REF!),"")</f>
        <v/>
      </c>
      <c r="P654" s="0" t="str">
        <f aca="false">IFERROR(IF(OR(HLOOKUP($A654,#REF!,14,FALSE())&gt;2,HLOOKUP($A654,#REF!,14,FALSE())&lt;-2),"",#REF!),"")</f>
        <v/>
      </c>
      <c r="Q654" s="0" t="str">
        <f aca="false">IFERROR(IF(OR(HLOOKUP($A654,#REF!,15,FALSE())&gt;2,HLOOKUP($A654,#REF!,15,FALSE())&lt;-2),"",#REF!),"")</f>
        <v/>
      </c>
      <c r="R654" s="0" t="str">
        <f aca="false">IFERROR(IF(OR(HLOOKUP($A654,#REF!,16,FALSE())&gt;2,HLOOKUP($A654,#REF!,16,FALSE())&lt;-2),"",#REF!),"")</f>
        <v/>
      </c>
      <c r="S654" s="0" t="str">
        <f aca="false">IFERROR(IF(OR(HLOOKUP($A654,#REF!,17,FALSE())&gt;2,HLOOKUP($A654,#REF!,17,FALSE())&lt;-2),"",#REF!),"")</f>
        <v/>
      </c>
      <c r="T654" s="0" t="str">
        <f aca="false">IFERROR(IF(OR(HLOOKUP($A654,#REF!,18,FALSE())&gt;2,HLOOKUP($A654,#REF!,18,FALSE())&lt;-2),"",#REF!),"")</f>
        <v/>
      </c>
      <c r="U654" s="0" t="str">
        <f aca="false">IFERROR(IF(OR(HLOOKUP($A654,#REF!,19,FALSE())&gt;2,HLOOKUP($A654,#REF!,19,FALSE())&lt;-2),"",#REF!),"")</f>
        <v/>
      </c>
      <c r="V654" s="0" t="n">
        <f aca="false">IFERROR(IF(AND(X654=0,Y654=0),0,1),0)</f>
        <v>1</v>
      </c>
      <c r="W654" s="3" t="str">
        <f aca="false">IFERROR(_xlfn.T.TEST(E654:M654,N654:U654,2,2),"")</f>
        <v/>
      </c>
      <c r="X654" s="0" t="str">
        <f aca="false">IFERROR(AVERAGE(E654:M654),"")</f>
        <v/>
      </c>
      <c r="Y654" s="0" t="str">
        <f aca="false">IFERROR(AVERAGE(N654:U654),"")</f>
        <v/>
      </c>
    </row>
    <row r="655" customFormat="false" ht="14.5" hidden="false" customHeight="false" outlineLevel="0" collapsed="false">
      <c r="A655" s="0" t="n">
        <v>663</v>
      </c>
      <c r="B655" s="0" t="s">
        <v>717</v>
      </c>
      <c r="C655" s="0" t="n">
        <v>35800</v>
      </c>
      <c r="D655" s="0" t="n">
        <v>647</v>
      </c>
      <c r="E655" s="0" t="str">
        <f aca="false">IFERROR(IF(OR(HLOOKUP($A655,#REF!,3,FALSE())&gt;2,HLOOKUP(A655,#REF!,3,FALSE())&lt;-2),"",#REF!),"")</f>
        <v/>
      </c>
      <c r="F655" s="0" t="str">
        <f aca="false">IFERROR(IF(OR(HLOOKUP($A655,#REF!,4,FALSE())&gt;2,HLOOKUP($A655,#REF!,4,FALSE())&lt;-2),"",#REF!),"")</f>
        <v/>
      </c>
      <c r="G655" s="0" t="str">
        <f aca="false">IFERROR(IF(OR(HLOOKUP($A655,#REF!,5,FALSE())&gt;2,HLOOKUP($A655,#REF!,5,FALSE())&lt;-2),"",#REF!),"")</f>
        <v/>
      </c>
      <c r="H655" s="0" t="str">
        <f aca="false">IFERROR(IF(OR(HLOOKUP($A655,#REF!,6,FALSE())&gt;2,HLOOKUP($A655,#REF!,6,FALSE())&lt;-2),"",#REF!),"")</f>
        <v/>
      </c>
      <c r="I655" s="0" t="str">
        <f aca="false">IFERROR(IF(OR(HLOOKUP($A655,#REF!,7,FALSE())&gt;2,HLOOKUP($A655,#REF!,7,FALSE())&lt;-2),"",#REF!),"")</f>
        <v/>
      </c>
      <c r="J655" s="0" t="str">
        <f aca="false">IFERROR(IF(OR(HLOOKUP($A655,#REF!,8,FALSE())&gt;2,HLOOKUP($A655,#REF!,8,FALSE())&lt;-2),"",#REF!),"")</f>
        <v/>
      </c>
      <c r="K655" s="0" t="str">
        <f aca="false">IFERROR(IF(OR(HLOOKUP($A655,#REF!,9,FALSE())&gt;2,HLOOKUP($A655,#REF!,9,FALSE())&lt;-2),"",#REF!),"")</f>
        <v/>
      </c>
      <c r="L655" s="0" t="str">
        <f aca="false">IFERROR(IF(OR(HLOOKUP($A655,#REF!,10,FALSE())&gt;2,HLOOKUP($A655,#REF!,10,FALSE())&lt;-2),"",#REF!),"")</f>
        <v/>
      </c>
      <c r="M655" s="0" t="str">
        <f aca="false">IFERROR(IF(OR(HLOOKUP($A655,#REF!,11,FALSE())&gt;2,HLOOKUP($A655,#REF!,11,FALSE())&lt;-2),"",#REF!),"")</f>
        <v/>
      </c>
      <c r="N655" s="0" t="str">
        <f aca="false">IFERROR(IF(OR(HLOOKUP($A655,#REF!,12,FALSE())&gt;2,HLOOKUP($A655,#REF!,12,FALSE())&lt;-2),"",#REF!),"")</f>
        <v/>
      </c>
      <c r="O655" s="0" t="str">
        <f aca="false">IFERROR(IF(OR(HLOOKUP($A655,#REF!,13,FALSE())&gt;2,HLOOKUP($A655,#REF!,13,FALSE())&lt;-2),"",#REF!),"")</f>
        <v/>
      </c>
      <c r="P655" s="0" t="str">
        <f aca="false">IFERROR(IF(OR(HLOOKUP($A655,#REF!,14,FALSE())&gt;2,HLOOKUP($A655,#REF!,14,FALSE())&lt;-2),"",#REF!),"")</f>
        <v/>
      </c>
      <c r="Q655" s="0" t="str">
        <f aca="false">IFERROR(IF(OR(HLOOKUP($A655,#REF!,15,FALSE())&gt;2,HLOOKUP($A655,#REF!,15,FALSE())&lt;-2),"",#REF!),"")</f>
        <v/>
      </c>
      <c r="R655" s="0" t="str">
        <f aca="false">IFERROR(IF(OR(HLOOKUP($A655,#REF!,16,FALSE())&gt;2,HLOOKUP($A655,#REF!,16,FALSE())&lt;-2),"",#REF!),"")</f>
        <v/>
      </c>
      <c r="S655" s="0" t="str">
        <f aca="false">IFERROR(IF(OR(HLOOKUP($A655,#REF!,17,FALSE())&gt;2,HLOOKUP($A655,#REF!,17,FALSE())&lt;-2),"",#REF!),"")</f>
        <v/>
      </c>
      <c r="T655" s="0" t="str">
        <f aca="false">IFERROR(IF(OR(HLOOKUP($A655,#REF!,18,FALSE())&gt;2,HLOOKUP($A655,#REF!,18,FALSE())&lt;-2),"",#REF!),"")</f>
        <v/>
      </c>
      <c r="U655" s="0" t="str">
        <f aca="false">IFERROR(IF(OR(HLOOKUP($A655,#REF!,19,FALSE())&gt;2,HLOOKUP($A655,#REF!,19,FALSE())&lt;-2),"",#REF!),"")</f>
        <v/>
      </c>
      <c r="V655" s="0" t="n">
        <f aca="false">IFERROR(IF(AND(X655=0,Y655=0),0,1),0)</f>
        <v>1</v>
      </c>
      <c r="W655" s="3" t="str">
        <f aca="false">IFERROR(_xlfn.T.TEST(E655:M655,N655:U655,2,2),"")</f>
        <v/>
      </c>
      <c r="X655" s="0" t="str">
        <f aca="false">IFERROR(AVERAGE(E655:M655),"")</f>
        <v/>
      </c>
      <c r="Y655" s="0" t="str">
        <f aca="false">IFERROR(AVERAGE(N655:U655),"")</f>
        <v/>
      </c>
    </row>
    <row r="656" customFormat="false" ht="14.5" hidden="false" customHeight="false" outlineLevel="0" collapsed="false">
      <c r="A656" s="0" t="n">
        <v>664</v>
      </c>
      <c r="B656" s="0" t="s">
        <v>718</v>
      </c>
      <c r="C656" s="0" t="n">
        <v>43200</v>
      </c>
      <c r="D656" s="0" t="n">
        <v>926</v>
      </c>
      <c r="E656" s="0" t="str">
        <f aca="false">IFERROR(IF(OR(HLOOKUP($A656,#REF!,3,FALSE())&gt;2,HLOOKUP(A656,#REF!,3,FALSE())&lt;-2),"",#REF!),"")</f>
        <v/>
      </c>
      <c r="F656" s="0" t="str">
        <f aca="false">IFERROR(IF(OR(HLOOKUP($A656,#REF!,4,FALSE())&gt;2,HLOOKUP($A656,#REF!,4,FALSE())&lt;-2),"",#REF!),"")</f>
        <v/>
      </c>
      <c r="G656" s="0" t="str">
        <f aca="false">IFERROR(IF(OR(HLOOKUP($A656,#REF!,5,FALSE())&gt;2,HLOOKUP($A656,#REF!,5,FALSE())&lt;-2),"",#REF!),"")</f>
        <v/>
      </c>
      <c r="H656" s="0" t="str">
        <f aca="false">IFERROR(IF(OR(HLOOKUP($A656,#REF!,6,FALSE())&gt;2,HLOOKUP($A656,#REF!,6,FALSE())&lt;-2),"",#REF!),"")</f>
        <v/>
      </c>
      <c r="I656" s="0" t="str">
        <f aca="false">IFERROR(IF(OR(HLOOKUP($A656,#REF!,7,FALSE())&gt;2,HLOOKUP($A656,#REF!,7,FALSE())&lt;-2),"",#REF!),"")</f>
        <v/>
      </c>
      <c r="J656" s="0" t="str">
        <f aca="false">IFERROR(IF(OR(HLOOKUP($A656,#REF!,8,FALSE())&gt;2,HLOOKUP($A656,#REF!,8,FALSE())&lt;-2),"",#REF!),"")</f>
        <v/>
      </c>
      <c r="K656" s="0" t="str">
        <f aca="false">IFERROR(IF(OR(HLOOKUP($A656,#REF!,9,FALSE())&gt;2,HLOOKUP($A656,#REF!,9,FALSE())&lt;-2),"",#REF!),"")</f>
        <v/>
      </c>
      <c r="L656" s="0" t="str">
        <f aca="false">IFERROR(IF(OR(HLOOKUP($A656,#REF!,10,FALSE())&gt;2,HLOOKUP($A656,#REF!,10,FALSE())&lt;-2),"",#REF!),"")</f>
        <v/>
      </c>
      <c r="M656" s="0" t="str">
        <f aca="false">IFERROR(IF(OR(HLOOKUP($A656,#REF!,11,FALSE())&gt;2,HLOOKUP($A656,#REF!,11,FALSE())&lt;-2),"",#REF!),"")</f>
        <v/>
      </c>
      <c r="N656" s="0" t="str">
        <f aca="false">IFERROR(IF(OR(HLOOKUP($A656,#REF!,12,FALSE())&gt;2,HLOOKUP($A656,#REF!,12,FALSE())&lt;-2),"",#REF!),"")</f>
        <v/>
      </c>
      <c r="O656" s="0" t="str">
        <f aca="false">IFERROR(IF(OR(HLOOKUP($A656,#REF!,13,FALSE())&gt;2,HLOOKUP($A656,#REF!,13,FALSE())&lt;-2),"",#REF!),"")</f>
        <v/>
      </c>
      <c r="P656" s="0" t="str">
        <f aca="false">IFERROR(IF(OR(HLOOKUP($A656,#REF!,14,FALSE())&gt;2,HLOOKUP($A656,#REF!,14,FALSE())&lt;-2),"",#REF!),"")</f>
        <v/>
      </c>
      <c r="Q656" s="0" t="str">
        <f aca="false">IFERROR(IF(OR(HLOOKUP($A656,#REF!,15,FALSE())&gt;2,HLOOKUP($A656,#REF!,15,FALSE())&lt;-2),"",#REF!),"")</f>
        <v/>
      </c>
      <c r="R656" s="0" t="str">
        <f aca="false">IFERROR(IF(OR(HLOOKUP($A656,#REF!,16,FALSE())&gt;2,HLOOKUP($A656,#REF!,16,FALSE())&lt;-2),"",#REF!),"")</f>
        <v/>
      </c>
      <c r="S656" s="0" t="str">
        <f aca="false">IFERROR(IF(OR(HLOOKUP($A656,#REF!,17,FALSE())&gt;2,HLOOKUP($A656,#REF!,17,FALSE())&lt;-2),"",#REF!),"")</f>
        <v/>
      </c>
      <c r="T656" s="0" t="str">
        <f aca="false">IFERROR(IF(OR(HLOOKUP($A656,#REF!,18,FALSE())&gt;2,HLOOKUP($A656,#REF!,18,FALSE())&lt;-2),"",#REF!),"")</f>
        <v/>
      </c>
      <c r="U656" s="0" t="str">
        <f aca="false">IFERROR(IF(OR(HLOOKUP($A656,#REF!,19,FALSE())&gt;2,HLOOKUP($A656,#REF!,19,FALSE())&lt;-2),"",#REF!),"")</f>
        <v/>
      </c>
      <c r="V656" s="0" t="n">
        <f aca="false">IFERROR(IF(AND(X656=0,Y656=0),0,1),0)</f>
        <v>1</v>
      </c>
      <c r="W656" s="3" t="str">
        <f aca="false">IFERROR(_xlfn.T.TEST(E656:M656,N656:U656,2,2),"")</f>
        <v/>
      </c>
      <c r="X656" s="0" t="str">
        <f aca="false">IFERROR(AVERAGE(E656:M656),"")</f>
        <v/>
      </c>
      <c r="Y656" s="0" t="str">
        <f aca="false">IFERROR(AVERAGE(N656:U656),"")</f>
        <v/>
      </c>
    </row>
    <row r="657" customFormat="false" ht="14.5" hidden="false" customHeight="false" outlineLevel="0" collapsed="false">
      <c r="A657" s="0" t="n">
        <v>665</v>
      </c>
      <c r="B657" s="0" t="s">
        <v>719</v>
      </c>
      <c r="C657" s="0" t="n">
        <v>97900</v>
      </c>
      <c r="D657" s="0" t="n">
        <v>21</v>
      </c>
      <c r="E657" s="0" t="str">
        <f aca="false">IFERROR(IF(OR(HLOOKUP($A657,#REF!,3,FALSE())&gt;2,HLOOKUP(A657,#REF!,3,FALSE())&lt;-2),"",#REF!),"")</f>
        <v/>
      </c>
      <c r="F657" s="0" t="str">
        <f aca="false">IFERROR(IF(OR(HLOOKUP($A657,#REF!,4,FALSE())&gt;2,HLOOKUP($A657,#REF!,4,FALSE())&lt;-2),"",#REF!),"")</f>
        <v/>
      </c>
      <c r="G657" s="0" t="str">
        <f aca="false">IFERROR(IF(OR(HLOOKUP($A657,#REF!,5,FALSE())&gt;2,HLOOKUP($A657,#REF!,5,FALSE())&lt;-2),"",#REF!),"")</f>
        <v/>
      </c>
      <c r="H657" s="0" t="str">
        <f aca="false">IFERROR(IF(OR(HLOOKUP($A657,#REF!,6,FALSE())&gt;2,HLOOKUP($A657,#REF!,6,FALSE())&lt;-2),"",#REF!),"")</f>
        <v/>
      </c>
      <c r="I657" s="0" t="str">
        <f aca="false">IFERROR(IF(OR(HLOOKUP($A657,#REF!,7,FALSE())&gt;2,HLOOKUP($A657,#REF!,7,FALSE())&lt;-2),"",#REF!),"")</f>
        <v/>
      </c>
      <c r="J657" s="0" t="str">
        <f aca="false">IFERROR(IF(OR(HLOOKUP($A657,#REF!,8,FALSE())&gt;2,HLOOKUP($A657,#REF!,8,FALSE())&lt;-2),"",#REF!),"")</f>
        <v/>
      </c>
      <c r="K657" s="0" t="str">
        <f aca="false">IFERROR(IF(OR(HLOOKUP($A657,#REF!,9,FALSE())&gt;2,HLOOKUP($A657,#REF!,9,FALSE())&lt;-2),"",#REF!),"")</f>
        <v/>
      </c>
      <c r="L657" s="0" t="str">
        <f aca="false">IFERROR(IF(OR(HLOOKUP($A657,#REF!,10,FALSE())&gt;2,HLOOKUP($A657,#REF!,10,FALSE())&lt;-2),"",#REF!),"")</f>
        <v/>
      </c>
      <c r="M657" s="0" t="str">
        <f aca="false">IFERROR(IF(OR(HLOOKUP($A657,#REF!,11,FALSE())&gt;2,HLOOKUP($A657,#REF!,11,FALSE())&lt;-2),"",#REF!),"")</f>
        <v/>
      </c>
      <c r="N657" s="0" t="str">
        <f aca="false">IFERROR(IF(OR(HLOOKUP($A657,#REF!,12,FALSE())&gt;2,HLOOKUP($A657,#REF!,12,FALSE())&lt;-2),"",#REF!),"")</f>
        <v/>
      </c>
      <c r="O657" s="0" t="str">
        <f aca="false">IFERROR(IF(OR(HLOOKUP($A657,#REF!,13,FALSE())&gt;2,HLOOKUP($A657,#REF!,13,FALSE())&lt;-2),"",#REF!),"")</f>
        <v/>
      </c>
      <c r="P657" s="0" t="str">
        <f aca="false">IFERROR(IF(OR(HLOOKUP($A657,#REF!,14,FALSE())&gt;2,HLOOKUP($A657,#REF!,14,FALSE())&lt;-2),"",#REF!),"")</f>
        <v/>
      </c>
      <c r="Q657" s="0" t="str">
        <f aca="false">IFERROR(IF(OR(HLOOKUP($A657,#REF!,15,FALSE())&gt;2,HLOOKUP($A657,#REF!,15,FALSE())&lt;-2),"",#REF!),"")</f>
        <v/>
      </c>
      <c r="R657" s="0" t="str">
        <f aca="false">IFERROR(IF(OR(HLOOKUP($A657,#REF!,16,FALSE())&gt;2,HLOOKUP($A657,#REF!,16,FALSE())&lt;-2),"",#REF!),"")</f>
        <v/>
      </c>
      <c r="S657" s="0" t="str">
        <f aca="false">IFERROR(IF(OR(HLOOKUP($A657,#REF!,17,FALSE())&gt;2,HLOOKUP($A657,#REF!,17,FALSE())&lt;-2),"",#REF!),"")</f>
        <v/>
      </c>
      <c r="T657" s="0" t="str">
        <f aca="false">IFERROR(IF(OR(HLOOKUP($A657,#REF!,18,FALSE())&gt;2,HLOOKUP($A657,#REF!,18,FALSE())&lt;-2),"",#REF!),"")</f>
        <v/>
      </c>
      <c r="U657" s="0" t="str">
        <f aca="false">IFERROR(IF(OR(HLOOKUP($A657,#REF!,19,FALSE())&gt;2,HLOOKUP($A657,#REF!,19,FALSE())&lt;-2),"",#REF!),"")</f>
        <v/>
      </c>
      <c r="V657" s="0" t="n">
        <f aca="false">IFERROR(IF(AND(X657=0,Y657=0),0,1),0)</f>
        <v>1</v>
      </c>
      <c r="W657" s="3" t="str">
        <f aca="false">IFERROR(_xlfn.T.TEST(E657:M657,N657:U657,2,2),"")</f>
        <v/>
      </c>
      <c r="X657" s="0" t="str">
        <f aca="false">IFERROR(AVERAGE(E657:M657),"")</f>
        <v/>
      </c>
      <c r="Y657" s="0" t="str">
        <f aca="false">IFERROR(AVERAGE(N657:U657),"")</f>
        <v/>
      </c>
    </row>
    <row r="658" customFormat="false" ht="14.5" hidden="false" customHeight="false" outlineLevel="0" collapsed="false">
      <c r="A658" s="0" t="n">
        <v>666</v>
      </c>
      <c r="B658" s="0" t="s">
        <v>720</v>
      </c>
      <c r="C658" s="0" t="n">
        <v>90900</v>
      </c>
      <c r="D658" s="0" t="n">
        <v>651</v>
      </c>
      <c r="E658" s="0" t="str">
        <f aca="false">IFERROR(IF(OR(HLOOKUP($A658,#REF!,3,FALSE())&gt;2,HLOOKUP(A658,#REF!,3,FALSE())&lt;-2),"",#REF!),"")</f>
        <v/>
      </c>
      <c r="F658" s="0" t="str">
        <f aca="false">IFERROR(IF(OR(HLOOKUP($A658,#REF!,4,FALSE())&gt;2,HLOOKUP($A658,#REF!,4,FALSE())&lt;-2),"",#REF!),"")</f>
        <v/>
      </c>
      <c r="G658" s="0" t="str">
        <f aca="false">IFERROR(IF(OR(HLOOKUP($A658,#REF!,5,FALSE())&gt;2,HLOOKUP($A658,#REF!,5,FALSE())&lt;-2),"",#REF!),"")</f>
        <v/>
      </c>
      <c r="H658" s="0" t="str">
        <f aca="false">IFERROR(IF(OR(HLOOKUP($A658,#REF!,6,FALSE())&gt;2,HLOOKUP($A658,#REF!,6,FALSE())&lt;-2),"",#REF!),"")</f>
        <v/>
      </c>
      <c r="I658" s="0" t="str">
        <f aca="false">IFERROR(IF(OR(HLOOKUP($A658,#REF!,7,FALSE())&gt;2,HLOOKUP($A658,#REF!,7,FALSE())&lt;-2),"",#REF!),"")</f>
        <v/>
      </c>
      <c r="J658" s="0" t="str">
        <f aca="false">IFERROR(IF(OR(HLOOKUP($A658,#REF!,8,FALSE())&gt;2,HLOOKUP($A658,#REF!,8,FALSE())&lt;-2),"",#REF!),"")</f>
        <v/>
      </c>
      <c r="K658" s="0" t="str">
        <f aca="false">IFERROR(IF(OR(HLOOKUP($A658,#REF!,9,FALSE())&gt;2,HLOOKUP($A658,#REF!,9,FALSE())&lt;-2),"",#REF!),"")</f>
        <v/>
      </c>
      <c r="L658" s="0" t="str">
        <f aca="false">IFERROR(IF(OR(HLOOKUP($A658,#REF!,10,FALSE())&gt;2,HLOOKUP($A658,#REF!,10,FALSE())&lt;-2),"",#REF!),"")</f>
        <v/>
      </c>
      <c r="M658" s="0" t="str">
        <f aca="false">IFERROR(IF(OR(HLOOKUP($A658,#REF!,11,FALSE())&gt;2,HLOOKUP($A658,#REF!,11,FALSE())&lt;-2),"",#REF!),"")</f>
        <v/>
      </c>
      <c r="N658" s="0" t="str">
        <f aca="false">IFERROR(IF(OR(HLOOKUP($A658,#REF!,12,FALSE())&gt;2,HLOOKUP($A658,#REF!,12,FALSE())&lt;-2),"",#REF!),"")</f>
        <v/>
      </c>
      <c r="O658" s="0" t="str">
        <f aca="false">IFERROR(IF(OR(HLOOKUP($A658,#REF!,13,FALSE())&gt;2,HLOOKUP($A658,#REF!,13,FALSE())&lt;-2),"",#REF!),"")</f>
        <v/>
      </c>
      <c r="P658" s="0" t="str">
        <f aca="false">IFERROR(IF(OR(HLOOKUP($A658,#REF!,14,FALSE())&gt;2,HLOOKUP($A658,#REF!,14,FALSE())&lt;-2),"",#REF!),"")</f>
        <v/>
      </c>
      <c r="Q658" s="0" t="str">
        <f aca="false">IFERROR(IF(OR(HLOOKUP($A658,#REF!,15,FALSE())&gt;2,HLOOKUP($A658,#REF!,15,FALSE())&lt;-2),"",#REF!),"")</f>
        <v/>
      </c>
      <c r="R658" s="0" t="str">
        <f aca="false">IFERROR(IF(OR(HLOOKUP($A658,#REF!,16,FALSE())&gt;2,HLOOKUP($A658,#REF!,16,FALSE())&lt;-2),"",#REF!),"")</f>
        <v/>
      </c>
      <c r="S658" s="0" t="str">
        <f aca="false">IFERROR(IF(OR(HLOOKUP($A658,#REF!,17,FALSE())&gt;2,HLOOKUP($A658,#REF!,17,FALSE())&lt;-2),"",#REF!),"")</f>
        <v/>
      </c>
      <c r="T658" s="0" t="str">
        <f aca="false">IFERROR(IF(OR(HLOOKUP($A658,#REF!,18,FALSE())&gt;2,HLOOKUP($A658,#REF!,18,FALSE())&lt;-2),"",#REF!),"")</f>
        <v/>
      </c>
      <c r="U658" s="0" t="str">
        <f aca="false">IFERROR(IF(OR(HLOOKUP($A658,#REF!,19,FALSE())&gt;2,HLOOKUP($A658,#REF!,19,FALSE())&lt;-2),"",#REF!),"")</f>
        <v/>
      </c>
      <c r="V658" s="0" t="n">
        <f aca="false">IFERROR(IF(AND(X658=0,Y658=0),0,1),0)</f>
        <v>1</v>
      </c>
      <c r="W658" s="3" t="str">
        <f aca="false">IFERROR(_xlfn.T.TEST(E658:M658,N658:U658,2,2),"")</f>
        <v/>
      </c>
      <c r="X658" s="0" t="str">
        <f aca="false">IFERROR(AVERAGE(E658:M658),"")</f>
        <v/>
      </c>
      <c r="Y658" s="0" t="str">
        <f aca="false">IFERROR(AVERAGE(N658:U658),"")</f>
        <v/>
      </c>
    </row>
    <row r="659" customFormat="false" ht="14.5" hidden="false" customHeight="false" outlineLevel="0" collapsed="false">
      <c r="A659" s="0" t="n">
        <v>667</v>
      </c>
      <c r="B659" s="0" t="s">
        <v>721</v>
      </c>
      <c r="C659" s="0" t="n">
        <v>800</v>
      </c>
      <c r="D659" s="0" t="n">
        <v>184</v>
      </c>
      <c r="E659" s="0" t="str">
        <f aca="false">IFERROR(IF(OR(HLOOKUP($A659,#REF!,3,FALSE())&gt;2,HLOOKUP(A659,#REF!,3,FALSE())&lt;-2),"",#REF!),"")</f>
        <v/>
      </c>
      <c r="F659" s="0" t="str">
        <f aca="false">IFERROR(IF(OR(HLOOKUP($A659,#REF!,4,FALSE())&gt;2,HLOOKUP($A659,#REF!,4,FALSE())&lt;-2),"",#REF!),"")</f>
        <v/>
      </c>
      <c r="G659" s="0" t="str">
        <f aca="false">IFERROR(IF(OR(HLOOKUP($A659,#REF!,5,FALSE())&gt;2,HLOOKUP($A659,#REF!,5,FALSE())&lt;-2),"",#REF!),"")</f>
        <v/>
      </c>
      <c r="H659" s="0" t="str">
        <f aca="false">IFERROR(IF(OR(HLOOKUP($A659,#REF!,6,FALSE())&gt;2,HLOOKUP($A659,#REF!,6,FALSE())&lt;-2),"",#REF!),"")</f>
        <v/>
      </c>
      <c r="I659" s="0" t="str">
        <f aca="false">IFERROR(IF(OR(HLOOKUP($A659,#REF!,7,FALSE())&gt;2,HLOOKUP($A659,#REF!,7,FALSE())&lt;-2),"",#REF!),"")</f>
        <v/>
      </c>
      <c r="J659" s="0" t="str">
        <f aca="false">IFERROR(IF(OR(HLOOKUP($A659,#REF!,8,FALSE())&gt;2,HLOOKUP($A659,#REF!,8,FALSE())&lt;-2),"",#REF!),"")</f>
        <v/>
      </c>
      <c r="K659" s="0" t="str">
        <f aca="false">IFERROR(IF(OR(HLOOKUP($A659,#REF!,9,FALSE())&gt;2,HLOOKUP($A659,#REF!,9,FALSE())&lt;-2),"",#REF!),"")</f>
        <v/>
      </c>
      <c r="L659" s="0" t="str">
        <f aca="false">IFERROR(IF(OR(HLOOKUP($A659,#REF!,10,FALSE())&gt;2,HLOOKUP($A659,#REF!,10,FALSE())&lt;-2),"",#REF!),"")</f>
        <v/>
      </c>
      <c r="M659" s="0" t="str">
        <f aca="false">IFERROR(IF(OR(HLOOKUP($A659,#REF!,11,FALSE())&gt;2,HLOOKUP($A659,#REF!,11,FALSE())&lt;-2),"",#REF!),"")</f>
        <v/>
      </c>
      <c r="N659" s="0" t="str">
        <f aca="false">IFERROR(IF(OR(HLOOKUP($A659,#REF!,12,FALSE())&gt;2,HLOOKUP($A659,#REF!,12,FALSE())&lt;-2),"",#REF!),"")</f>
        <v/>
      </c>
      <c r="O659" s="0" t="str">
        <f aca="false">IFERROR(IF(OR(HLOOKUP($A659,#REF!,13,FALSE())&gt;2,HLOOKUP($A659,#REF!,13,FALSE())&lt;-2),"",#REF!),"")</f>
        <v/>
      </c>
      <c r="P659" s="0" t="str">
        <f aca="false">IFERROR(IF(OR(HLOOKUP($A659,#REF!,14,FALSE())&gt;2,HLOOKUP($A659,#REF!,14,FALSE())&lt;-2),"",#REF!),"")</f>
        <v/>
      </c>
      <c r="Q659" s="0" t="str">
        <f aca="false">IFERROR(IF(OR(HLOOKUP($A659,#REF!,15,FALSE())&gt;2,HLOOKUP($A659,#REF!,15,FALSE())&lt;-2),"",#REF!),"")</f>
        <v/>
      </c>
      <c r="R659" s="0" t="str">
        <f aca="false">IFERROR(IF(OR(HLOOKUP($A659,#REF!,16,FALSE())&gt;2,HLOOKUP($A659,#REF!,16,FALSE())&lt;-2),"",#REF!),"")</f>
        <v/>
      </c>
      <c r="S659" s="0" t="str">
        <f aca="false">IFERROR(IF(OR(HLOOKUP($A659,#REF!,17,FALSE())&gt;2,HLOOKUP($A659,#REF!,17,FALSE())&lt;-2),"",#REF!),"")</f>
        <v/>
      </c>
      <c r="T659" s="0" t="str">
        <f aca="false">IFERROR(IF(OR(HLOOKUP($A659,#REF!,18,FALSE())&gt;2,HLOOKUP($A659,#REF!,18,FALSE())&lt;-2),"",#REF!),"")</f>
        <v/>
      </c>
      <c r="U659" s="0" t="str">
        <f aca="false">IFERROR(IF(OR(HLOOKUP($A659,#REF!,19,FALSE())&gt;2,HLOOKUP($A659,#REF!,19,FALSE())&lt;-2),"",#REF!),"")</f>
        <v/>
      </c>
      <c r="V659" s="0" t="n">
        <f aca="false">IFERROR(IF(AND(X659=0,Y659=0),0,1),0)</f>
        <v>1</v>
      </c>
      <c r="W659" s="3" t="str">
        <f aca="false">IFERROR(_xlfn.T.TEST(E659:M659,N659:U659,2,2),"")</f>
        <v/>
      </c>
      <c r="X659" s="0" t="str">
        <f aca="false">IFERROR(AVERAGE(E659:M659),"")</f>
        <v/>
      </c>
      <c r="Y659" s="0" t="str">
        <f aca="false">IFERROR(AVERAGE(N659:U659),"")</f>
        <v/>
      </c>
    </row>
    <row r="660" customFormat="false" ht="14.5" hidden="false" customHeight="false" outlineLevel="0" collapsed="false">
      <c r="A660" s="0" t="n">
        <v>668</v>
      </c>
      <c r="B660" s="0" t="s">
        <v>722</v>
      </c>
      <c r="C660" s="0" t="n">
        <v>72500</v>
      </c>
      <c r="D660" s="0" t="n">
        <v>830</v>
      </c>
      <c r="E660" s="0" t="str">
        <f aca="false">IFERROR(IF(OR(HLOOKUP($A660,#REF!,3,FALSE())&gt;2,HLOOKUP(A660,#REF!,3,FALSE())&lt;-2),"",#REF!),"")</f>
        <v/>
      </c>
      <c r="F660" s="0" t="str">
        <f aca="false">IFERROR(IF(OR(HLOOKUP($A660,#REF!,4,FALSE())&gt;2,HLOOKUP($A660,#REF!,4,FALSE())&lt;-2),"",#REF!),"")</f>
        <v/>
      </c>
      <c r="G660" s="0" t="str">
        <f aca="false">IFERROR(IF(OR(HLOOKUP($A660,#REF!,5,FALSE())&gt;2,HLOOKUP($A660,#REF!,5,FALSE())&lt;-2),"",#REF!),"")</f>
        <v/>
      </c>
      <c r="H660" s="0" t="str">
        <f aca="false">IFERROR(IF(OR(HLOOKUP($A660,#REF!,6,FALSE())&gt;2,HLOOKUP($A660,#REF!,6,FALSE())&lt;-2),"",#REF!),"")</f>
        <v/>
      </c>
      <c r="I660" s="0" t="str">
        <f aca="false">IFERROR(IF(OR(HLOOKUP($A660,#REF!,7,FALSE())&gt;2,HLOOKUP($A660,#REF!,7,FALSE())&lt;-2),"",#REF!),"")</f>
        <v/>
      </c>
      <c r="J660" s="0" t="str">
        <f aca="false">IFERROR(IF(OR(HLOOKUP($A660,#REF!,8,FALSE())&gt;2,HLOOKUP($A660,#REF!,8,FALSE())&lt;-2),"",#REF!),"")</f>
        <v/>
      </c>
      <c r="K660" s="0" t="str">
        <f aca="false">IFERROR(IF(OR(HLOOKUP($A660,#REF!,9,FALSE())&gt;2,HLOOKUP($A660,#REF!,9,FALSE())&lt;-2),"",#REF!),"")</f>
        <v/>
      </c>
      <c r="L660" s="0" t="str">
        <f aca="false">IFERROR(IF(OR(HLOOKUP($A660,#REF!,10,FALSE())&gt;2,HLOOKUP($A660,#REF!,10,FALSE())&lt;-2),"",#REF!),"")</f>
        <v/>
      </c>
      <c r="M660" s="0" t="str">
        <f aca="false">IFERROR(IF(OR(HLOOKUP($A660,#REF!,11,FALSE())&gt;2,HLOOKUP($A660,#REF!,11,FALSE())&lt;-2),"",#REF!),"")</f>
        <v/>
      </c>
      <c r="N660" s="0" t="str">
        <f aca="false">IFERROR(IF(OR(HLOOKUP($A660,#REF!,12,FALSE())&gt;2,HLOOKUP($A660,#REF!,12,FALSE())&lt;-2),"",#REF!),"")</f>
        <v/>
      </c>
      <c r="O660" s="0" t="str">
        <f aca="false">IFERROR(IF(OR(HLOOKUP($A660,#REF!,13,FALSE())&gt;2,HLOOKUP($A660,#REF!,13,FALSE())&lt;-2),"",#REF!),"")</f>
        <v/>
      </c>
      <c r="P660" s="0" t="str">
        <f aca="false">IFERROR(IF(OR(HLOOKUP($A660,#REF!,14,FALSE())&gt;2,HLOOKUP($A660,#REF!,14,FALSE())&lt;-2),"",#REF!),"")</f>
        <v/>
      </c>
      <c r="Q660" s="0" t="str">
        <f aca="false">IFERROR(IF(OR(HLOOKUP($A660,#REF!,15,FALSE())&gt;2,HLOOKUP($A660,#REF!,15,FALSE())&lt;-2),"",#REF!),"")</f>
        <v/>
      </c>
      <c r="R660" s="0" t="str">
        <f aca="false">IFERROR(IF(OR(HLOOKUP($A660,#REF!,16,FALSE())&gt;2,HLOOKUP($A660,#REF!,16,FALSE())&lt;-2),"",#REF!),"")</f>
        <v/>
      </c>
      <c r="S660" s="0" t="str">
        <f aca="false">IFERROR(IF(OR(HLOOKUP($A660,#REF!,17,FALSE())&gt;2,HLOOKUP($A660,#REF!,17,FALSE())&lt;-2),"",#REF!),"")</f>
        <v/>
      </c>
      <c r="T660" s="0" t="str">
        <f aca="false">IFERROR(IF(OR(HLOOKUP($A660,#REF!,18,FALSE())&gt;2,HLOOKUP($A660,#REF!,18,FALSE())&lt;-2),"",#REF!),"")</f>
        <v/>
      </c>
      <c r="U660" s="0" t="str">
        <f aca="false">IFERROR(IF(OR(HLOOKUP($A660,#REF!,19,FALSE())&gt;2,HLOOKUP($A660,#REF!,19,FALSE())&lt;-2),"",#REF!),"")</f>
        <v/>
      </c>
      <c r="V660" s="0" t="n">
        <f aca="false">IFERROR(IF(AND(X660=0,Y660=0),0,1),0)</f>
        <v>1</v>
      </c>
      <c r="W660" s="3" t="str">
        <f aca="false">IFERROR(_xlfn.T.TEST(E660:M660,N660:U660,2,2),"")</f>
        <v/>
      </c>
      <c r="X660" s="0" t="str">
        <f aca="false">IFERROR(AVERAGE(E660:M660),"")</f>
        <v/>
      </c>
      <c r="Y660" s="0" t="str">
        <f aca="false">IFERROR(AVERAGE(N660:U660),"")</f>
        <v/>
      </c>
    </row>
    <row r="661" customFormat="false" ht="14.5" hidden="false" customHeight="false" outlineLevel="0" collapsed="false">
      <c r="A661" s="0" t="n">
        <v>669</v>
      </c>
      <c r="B661" s="0" t="s">
        <v>723</v>
      </c>
      <c r="C661" s="0" t="n">
        <v>13400</v>
      </c>
      <c r="D661" s="0" t="n">
        <v>315</v>
      </c>
      <c r="E661" s="0" t="str">
        <f aca="false">IFERROR(IF(OR(HLOOKUP($A661,#REF!,3,FALSE())&gt;2,HLOOKUP(A661,#REF!,3,FALSE())&lt;-2),"",#REF!),"")</f>
        <v/>
      </c>
      <c r="F661" s="0" t="str">
        <f aca="false">IFERROR(IF(OR(HLOOKUP($A661,#REF!,4,FALSE())&gt;2,HLOOKUP($A661,#REF!,4,FALSE())&lt;-2),"",#REF!),"")</f>
        <v/>
      </c>
      <c r="G661" s="0" t="str">
        <f aca="false">IFERROR(IF(OR(HLOOKUP($A661,#REF!,5,FALSE())&gt;2,HLOOKUP($A661,#REF!,5,FALSE())&lt;-2),"",#REF!),"")</f>
        <v/>
      </c>
      <c r="H661" s="0" t="str">
        <f aca="false">IFERROR(IF(OR(HLOOKUP($A661,#REF!,6,FALSE())&gt;2,HLOOKUP($A661,#REF!,6,FALSE())&lt;-2),"",#REF!),"")</f>
        <v/>
      </c>
      <c r="I661" s="0" t="str">
        <f aca="false">IFERROR(IF(OR(HLOOKUP($A661,#REF!,7,FALSE())&gt;2,HLOOKUP($A661,#REF!,7,FALSE())&lt;-2),"",#REF!),"")</f>
        <v/>
      </c>
      <c r="J661" s="0" t="str">
        <f aca="false">IFERROR(IF(OR(HLOOKUP($A661,#REF!,8,FALSE())&gt;2,HLOOKUP($A661,#REF!,8,FALSE())&lt;-2),"",#REF!),"")</f>
        <v/>
      </c>
      <c r="K661" s="0" t="str">
        <f aca="false">IFERROR(IF(OR(HLOOKUP($A661,#REF!,9,FALSE())&gt;2,HLOOKUP($A661,#REF!,9,FALSE())&lt;-2),"",#REF!),"")</f>
        <v/>
      </c>
      <c r="L661" s="0" t="str">
        <f aca="false">IFERROR(IF(OR(HLOOKUP($A661,#REF!,10,FALSE())&gt;2,HLOOKUP($A661,#REF!,10,FALSE())&lt;-2),"",#REF!),"")</f>
        <v/>
      </c>
      <c r="M661" s="0" t="str">
        <f aca="false">IFERROR(IF(OR(HLOOKUP($A661,#REF!,11,FALSE())&gt;2,HLOOKUP($A661,#REF!,11,FALSE())&lt;-2),"",#REF!),"")</f>
        <v/>
      </c>
      <c r="N661" s="0" t="str">
        <f aca="false">IFERROR(IF(OR(HLOOKUP($A661,#REF!,12,FALSE())&gt;2,HLOOKUP($A661,#REF!,12,FALSE())&lt;-2),"",#REF!),"")</f>
        <v/>
      </c>
      <c r="O661" s="0" t="str">
        <f aca="false">IFERROR(IF(OR(HLOOKUP($A661,#REF!,13,FALSE())&gt;2,HLOOKUP($A661,#REF!,13,FALSE())&lt;-2),"",#REF!),"")</f>
        <v/>
      </c>
      <c r="P661" s="0" t="str">
        <f aca="false">IFERROR(IF(OR(HLOOKUP($A661,#REF!,14,FALSE())&gt;2,HLOOKUP($A661,#REF!,14,FALSE())&lt;-2),"",#REF!),"")</f>
        <v/>
      </c>
      <c r="Q661" s="0" t="str">
        <f aca="false">IFERROR(IF(OR(HLOOKUP($A661,#REF!,15,FALSE())&gt;2,HLOOKUP($A661,#REF!,15,FALSE())&lt;-2),"",#REF!),"")</f>
        <v/>
      </c>
      <c r="R661" s="0" t="str">
        <f aca="false">IFERROR(IF(OR(HLOOKUP($A661,#REF!,16,FALSE())&gt;2,HLOOKUP($A661,#REF!,16,FALSE())&lt;-2),"",#REF!),"")</f>
        <v/>
      </c>
      <c r="S661" s="0" t="str">
        <f aca="false">IFERROR(IF(OR(HLOOKUP($A661,#REF!,17,FALSE())&gt;2,HLOOKUP($A661,#REF!,17,FALSE())&lt;-2),"",#REF!),"")</f>
        <v/>
      </c>
      <c r="T661" s="0" t="str">
        <f aca="false">IFERROR(IF(OR(HLOOKUP($A661,#REF!,18,FALSE())&gt;2,HLOOKUP($A661,#REF!,18,FALSE())&lt;-2),"",#REF!),"")</f>
        <v/>
      </c>
      <c r="U661" s="0" t="str">
        <f aca="false">IFERROR(IF(OR(HLOOKUP($A661,#REF!,19,FALSE())&gt;2,HLOOKUP($A661,#REF!,19,FALSE())&lt;-2),"",#REF!),"")</f>
        <v/>
      </c>
      <c r="V661" s="0" t="n">
        <f aca="false">IFERROR(IF(AND(X661=0,Y661=0),0,1),0)</f>
        <v>1</v>
      </c>
      <c r="W661" s="3" t="str">
        <f aca="false">IFERROR(_xlfn.T.TEST(E661:M661,N661:U661,2,2),"")</f>
        <v/>
      </c>
      <c r="X661" s="0" t="str">
        <f aca="false">IFERROR(AVERAGE(E661:M661),"")</f>
        <v/>
      </c>
      <c r="Y661" s="0" t="str">
        <f aca="false">IFERROR(AVERAGE(N661:U661),"")</f>
        <v/>
      </c>
    </row>
    <row r="662" customFormat="false" ht="14.5" hidden="false" customHeight="false" outlineLevel="0" collapsed="false">
      <c r="A662" s="0" t="n">
        <v>670</v>
      </c>
      <c r="B662" s="0" t="s">
        <v>724</v>
      </c>
      <c r="C662" s="0" t="n">
        <v>7200</v>
      </c>
      <c r="D662" s="0" t="n">
        <v>361</v>
      </c>
      <c r="E662" s="0" t="str">
        <f aca="false">IFERROR(IF(OR(HLOOKUP($A662,#REF!,3,FALSE())&gt;2,HLOOKUP(A662,#REF!,3,FALSE())&lt;-2),"",#REF!),"")</f>
        <v/>
      </c>
      <c r="F662" s="0" t="str">
        <f aca="false">IFERROR(IF(OR(HLOOKUP($A662,#REF!,4,FALSE())&gt;2,HLOOKUP($A662,#REF!,4,FALSE())&lt;-2),"",#REF!),"")</f>
        <v/>
      </c>
      <c r="G662" s="0" t="str">
        <f aca="false">IFERROR(IF(OR(HLOOKUP($A662,#REF!,5,FALSE())&gt;2,HLOOKUP($A662,#REF!,5,FALSE())&lt;-2),"",#REF!),"")</f>
        <v/>
      </c>
      <c r="H662" s="0" t="str">
        <f aca="false">IFERROR(IF(OR(HLOOKUP($A662,#REF!,6,FALSE())&gt;2,HLOOKUP($A662,#REF!,6,FALSE())&lt;-2),"",#REF!),"")</f>
        <v/>
      </c>
      <c r="I662" s="0" t="str">
        <f aca="false">IFERROR(IF(OR(HLOOKUP($A662,#REF!,7,FALSE())&gt;2,HLOOKUP($A662,#REF!,7,FALSE())&lt;-2),"",#REF!),"")</f>
        <v/>
      </c>
      <c r="J662" s="0" t="str">
        <f aca="false">IFERROR(IF(OR(HLOOKUP($A662,#REF!,8,FALSE())&gt;2,HLOOKUP($A662,#REF!,8,FALSE())&lt;-2),"",#REF!),"")</f>
        <v/>
      </c>
      <c r="K662" s="0" t="str">
        <f aca="false">IFERROR(IF(OR(HLOOKUP($A662,#REF!,9,FALSE())&gt;2,HLOOKUP($A662,#REF!,9,FALSE())&lt;-2),"",#REF!),"")</f>
        <v/>
      </c>
      <c r="L662" s="0" t="str">
        <f aca="false">IFERROR(IF(OR(HLOOKUP($A662,#REF!,10,FALSE())&gt;2,HLOOKUP($A662,#REF!,10,FALSE())&lt;-2),"",#REF!),"")</f>
        <v/>
      </c>
      <c r="M662" s="0" t="str">
        <f aca="false">IFERROR(IF(OR(HLOOKUP($A662,#REF!,11,FALSE())&gt;2,HLOOKUP($A662,#REF!,11,FALSE())&lt;-2),"",#REF!),"")</f>
        <v/>
      </c>
      <c r="N662" s="0" t="str">
        <f aca="false">IFERROR(IF(OR(HLOOKUP($A662,#REF!,12,FALSE())&gt;2,HLOOKUP($A662,#REF!,12,FALSE())&lt;-2),"",#REF!),"")</f>
        <v/>
      </c>
      <c r="O662" s="0" t="str">
        <f aca="false">IFERROR(IF(OR(HLOOKUP($A662,#REF!,13,FALSE())&gt;2,HLOOKUP($A662,#REF!,13,FALSE())&lt;-2),"",#REF!),"")</f>
        <v/>
      </c>
      <c r="P662" s="0" t="str">
        <f aca="false">IFERROR(IF(OR(HLOOKUP($A662,#REF!,14,FALSE())&gt;2,HLOOKUP($A662,#REF!,14,FALSE())&lt;-2),"",#REF!),"")</f>
        <v/>
      </c>
      <c r="Q662" s="0" t="str">
        <f aca="false">IFERROR(IF(OR(HLOOKUP($A662,#REF!,15,FALSE())&gt;2,HLOOKUP($A662,#REF!,15,FALSE())&lt;-2),"",#REF!),"")</f>
        <v/>
      </c>
      <c r="R662" s="0" t="str">
        <f aca="false">IFERROR(IF(OR(HLOOKUP($A662,#REF!,16,FALSE())&gt;2,HLOOKUP($A662,#REF!,16,FALSE())&lt;-2),"",#REF!),"")</f>
        <v/>
      </c>
      <c r="S662" s="0" t="str">
        <f aca="false">IFERROR(IF(OR(HLOOKUP($A662,#REF!,17,FALSE())&gt;2,HLOOKUP($A662,#REF!,17,FALSE())&lt;-2),"",#REF!),"")</f>
        <v/>
      </c>
      <c r="T662" s="0" t="str">
        <f aca="false">IFERROR(IF(OR(HLOOKUP($A662,#REF!,18,FALSE())&gt;2,HLOOKUP($A662,#REF!,18,FALSE())&lt;-2),"",#REF!),"")</f>
        <v/>
      </c>
      <c r="U662" s="0" t="str">
        <f aca="false">IFERROR(IF(OR(HLOOKUP($A662,#REF!,19,FALSE())&gt;2,HLOOKUP($A662,#REF!,19,FALSE())&lt;-2),"",#REF!),"")</f>
        <v/>
      </c>
      <c r="V662" s="0" t="n">
        <f aca="false">IFERROR(IF(AND(X662=0,Y662=0),0,1),0)</f>
        <v>1</v>
      </c>
      <c r="W662" s="3" t="str">
        <f aca="false">IFERROR(_xlfn.T.TEST(E662:M662,N662:U662,2,2),"")</f>
        <v/>
      </c>
      <c r="X662" s="0" t="str">
        <f aca="false">IFERROR(AVERAGE(E662:M662),"")</f>
        <v/>
      </c>
      <c r="Y662" s="0" t="str">
        <f aca="false">IFERROR(AVERAGE(N662:U662),"")</f>
        <v/>
      </c>
    </row>
    <row r="663" customFormat="false" ht="14.5" hidden="false" customHeight="false" outlineLevel="0" collapsed="false">
      <c r="A663" s="0" t="n">
        <v>671</v>
      </c>
      <c r="B663" s="0" t="s">
        <v>68</v>
      </c>
      <c r="C663" s="0" t="n">
        <v>25400</v>
      </c>
      <c r="D663" s="0" t="n">
        <v>894</v>
      </c>
      <c r="E663" s="0" t="str">
        <f aca="false">IFERROR(IF(OR(HLOOKUP($A663,#REF!,3,FALSE())&gt;2,HLOOKUP(A663,#REF!,3,FALSE())&lt;-2),"",#REF!),"")</f>
        <v/>
      </c>
      <c r="F663" s="0" t="str">
        <f aca="false">IFERROR(IF(OR(HLOOKUP($A663,#REF!,4,FALSE())&gt;2,HLOOKUP($A663,#REF!,4,FALSE())&lt;-2),"",#REF!),"")</f>
        <v/>
      </c>
      <c r="G663" s="0" t="str">
        <f aca="false">IFERROR(IF(OR(HLOOKUP($A663,#REF!,5,FALSE())&gt;2,HLOOKUP($A663,#REF!,5,FALSE())&lt;-2),"",#REF!),"")</f>
        <v/>
      </c>
      <c r="H663" s="0" t="str">
        <f aca="false">IFERROR(IF(OR(HLOOKUP($A663,#REF!,6,FALSE())&gt;2,HLOOKUP($A663,#REF!,6,FALSE())&lt;-2),"",#REF!),"")</f>
        <v/>
      </c>
      <c r="I663" s="0" t="str">
        <f aca="false">IFERROR(IF(OR(HLOOKUP($A663,#REF!,7,FALSE())&gt;2,HLOOKUP($A663,#REF!,7,FALSE())&lt;-2),"",#REF!),"")</f>
        <v/>
      </c>
      <c r="J663" s="0" t="str">
        <f aca="false">IFERROR(IF(OR(HLOOKUP($A663,#REF!,8,FALSE())&gt;2,HLOOKUP($A663,#REF!,8,FALSE())&lt;-2),"",#REF!),"")</f>
        <v/>
      </c>
      <c r="K663" s="0" t="str">
        <f aca="false">IFERROR(IF(OR(HLOOKUP($A663,#REF!,9,FALSE())&gt;2,HLOOKUP($A663,#REF!,9,FALSE())&lt;-2),"",#REF!),"")</f>
        <v/>
      </c>
      <c r="L663" s="0" t="str">
        <f aca="false">IFERROR(IF(OR(HLOOKUP($A663,#REF!,10,FALSE())&gt;2,HLOOKUP($A663,#REF!,10,FALSE())&lt;-2),"",#REF!),"")</f>
        <v/>
      </c>
      <c r="M663" s="0" t="str">
        <f aca="false">IFERROR(IF(OR(HLOOKUP($A663,#REF!,11,FALSE())&gt;2,HLOOKUP($A663,#REF!,11,FALSE())&lt;-2),"",#REF!),"")</f>
        <v/>
      </c>
      <c r="N663" s="0" t="str">
        <f aca="false">IFERROR(IF(OR(HLOOKUP($A663,#REF!,12,FALSE())&gt;2,HLOOKUP($A663,#REF!,12,FALSE())&lt;-2),"",#REF!),"")</f>
        <v/>
      </c>
      <c r="O663" s="0" t="str">
        <f aca="false">IFERROR(IF(OR(HLOOKUP($A663,#REF!,13,FALSE())&gt;2,HLOOKUP($A663,#REF!,13,FALSE())&lt;-2),"",#REF!),"")</f>
        <v/>
      </c>
      <c r="P663" s="0" t="str">
        <f aca="false">IFERROR(IF(OR(HLOOKUP($A663,#REF!,14,FALSE())&gt;2,HLOOKUP($A663,#REF!,14,FALSE())&lt;-2),"",#REF!),"")</f>
        <v/>
      </c>
      <c r="Q663" s="0" t="str">
        <f aca="false">IFERROR(IF(OR(HLOOKUP($A663,#REF!,15,FALSE())&gt;2,HLOOKUP($A663,#REF!,15,FALSE())&lt;-2),"",#REF!),"")</f>
        <v/>
      </c>
      <c r="R663" s="0" t="str">
        <f aca="false">IFERROR(IF(OR(HLOOKUP($A663,#REF!,16,FALSE())&gt;2,HLOOKUP($A663,#REF!,16,FALSE())&lt;-2),"",#REF!),"")</f>
        <v/>
      </c>
      <c r="S663" s="0" t="str">
        <f aca="false">IFERROR(IF(OR(HLOOKUP($A663,#REF!,17,FALSE())&gt;2,HLOOKUP($A663,#REF!,17,FALSE())&lt;-2),"",#REF!),"")</f>
        <v/>
      </c>
      <c r="T663" s="0" t="str">
        <f aca="false">IFERROR(IF(OR(HLOOKUP($A663,#REF!,18,FALSE())&gt;2,HLOOKUP($A663,#REF!,18,FALSE())&lt;-2),"",#REF!),"")</f>
        <v/>
      </c>
      <c r="U663" s="0" t="str">
        <f aca="false">IFERROR(IF(OR(HLOOKUP($A663,#REF!,19,FALSE())&gt;2,HLOOKUP($A663,#REF!,19,FALSE())&lt;-2),"",#REF!),"")</f>
        <v/>
      </c>
      <c r="V663" s="0" t="n">
        <f aca="false">IFERROR(IF(AND(X663=0,Y663=0),0,1),0)</f>
        <v>1</v>
      </c>
      <c r="W663" s="3" t="str">
        <f aca="false">IFERROR(_xlfn.T.TEST(E663:M663,N663:U663,2,2),"")</f>
        <v/>
      </c>
      <c r="X663" s="0" t="str">
        <f aca="false">IFERROR(AVERAGE(E663:M663),"")</f>
        <v/>
      </c>
      <c r="Y663" s="0" t="str">
        <f aca="false">IFERROR(AVERAGE(N663:U663),"")</f>
        <v/>
      </c>
    </row>
    <row r="664" customFormat="false" ht="14.5" hidden="false" customHeight="false" outlineLevel="0" collapsed="false">
      <c r="A664" s="0" t="n">
        <v>672</v>
      </c>
      <c r="B664" s="0" t="s">
        <v>725</v>
      </c>
      <c r="C664" s="0" t="n">
        <v>48200</v>
      </c>
      <c r="D664" s="0" t="n">
        <v>485</v>
      </c>
      <c r="E664" s="0" t="str">
        <f aca="false">IFERROR(IF(OR(HLOOKUP($A664,#REF!,3,FALSE())&gt;2,HLOOKUP(A664,#REF!,3,FALSE())&lt;-2),"",#REF!),"")</f>
        <v/>
      </c>
      <c r="F664" s="0" t="str">
        <f aca="false">IFERROR(IF(OR(HLOOKUP($A664,#REF!,4,FALSE())&gt;2,HLOOKUP($A664,#REF!,4,FALSE())&lt;-2),"",#REF!),"")</f>
        <v/>
      </c>
      <c r="G664" s="0" t="str">
        <f aca="false">IFERROR(IF(OR(HLOOKUP($A664,#REF!,5,FALSE())&gt;2,HLOOKUP($A664,#REF!,5,FALSE())&lt;-2),"",#REF!),"")</f>
        <v/>
      </c>
      <c r="H664" s="0" t="str">
        <f aca="false">IFERROR(IF(OR(HLOOKUP($A664,#REF!,6,FALSE())&gt;2,HLOOKUP($A664,#REF!,6,FALSE())&lt;-2),"",#REF!),"")</f>
        <v/>
      </c>
      <c r="I664" s="0" t="str">
        <f aca="false">IFERROR(IF(OR(HLOOKUP($A664,#REF!,7,FALSE())&gt;2,HLOOKUP($A664,#REF!,7,FALSE())&lt;-2),"",#REF!),"")</f>
        <v/>
      </c>
      <c r="J664" s="0" t="str">
        <f aca="false">IFERROR(IF(OR(HLOOKUP($A664,#REF!,8,FALSE())&gt;2,HLOOKUP($A664,#REF!,8,FALSE())&lt;-2),"",#REF!),"")</f>
        <v/>
      </c>
      <c r="K664" s="0" t="str">
        <f aca="false">IFERROR(IF(OR(HLOOKUP($A664,#REF!,9,FALSE())&gt;2,HLOOKUP($A664,#REF!,9,FALSE())&lt;-2),"",#REF!),"")</f>
        <v/>
      </c>
      <c r="L664" s="0" t="str">
        <f aca="false">IFERROR(IF(OR(HLOOKUP($A664,#REF!,10,FALSE())&gt;2,HLOOKUP($A664,#REF!,10,FALSE())&lt;-2),"",#REF!),"")</f>
        <v/>
      </c>
      <c r="M664" s="0" t="str">
        <f aca="false">IFERROR(IF(OR(HLOOKUP($A664,#REF!,11,FALSE())&gt;2,HLOOKUP($A664,#REF!,11,FALSE())&lt;-2),"",#REF!),"")</f>
        <v/>
      </c>
      <c r="N664" s="0" t="str">
        <f aca="false">IFERROR(IF(OR(HLOOKUP($A664,#REF!,12,FALSE())&gt;2,HLOOKUP($A664,#REF!,12,FALSE())&lt;-2),"",#REF!),"")</f>
        <v/>
      </c>
      <c r="O664" s="0" t="str">
        <f aca="false">IFERROR(IF(OR(HLOOKUP($A664,#REF!,13,FALSE())&gt;2,HLOOKUP($A664,#REF!,13,FALSE())&lt;-2),"",#REF!),"")</f>
        <v/>
      </c>
      <c r="P664" s="0" t="str">
        <f aca="false">IFERROR(IF(OR(HLOOKUP($A664,#REF!,14,FALSE())&gt;2,HLOOKUP($A664,#REF!,14,FALSE())&lt;-2),"",#REF!),"")</f>
        <v/>
      </c>
      <c r="Q664" s="0" t="str">
        <f aca="false">IFERROR(IF(OR(HLOOKUP($A664,#REF!,15,FALSE())&gt;2,HLOOKUP($A664,#REF!,15,FALSE())&lt;-2),"",#REF!),"")</f>
        <v/>
      </c>
      <c r="R664" s="0" t="str">
        <f aca="false">IFERROR(IF(OR(HLOOKUP($A664,#REF!,16,FALSE())&gt;2,HLOOKUP($A664,#REF!,16,FALSE())&lt;-2),"",#REF!),"")</f>
        <v/>
      </c>
      <c r="S664" s="0" t="str">
        <f aca="false">IFERROR(IF(OR(HLOOKUP($A664,#REF!,17,FALSE())&gt;2,HLOOKUP($A664,#REF!,17,FALSE())&lt;-2),"",#REF!),"")</f>
        <v/>
      </c>
      <c r="T664" s="0" t="str">
        <f aca="false">IFERROR(IF(OR(HLOOKUP($A664,#REF!,18,FALSE())&gt;2,HLOOKUP($A664,#REF!,18,FALSE())&lt;-2),"",#REF!),"")</f>
        <v/>
      </c>
      <c r="U664" s="0" t="str">
        <f aca="false">IFERROR(IF(OR(HLOOKUP($A664,#REF!,19,FALSE())&gt;2,HLOOKUP($A664,#REF!,19,FALSE())&lt;-2),"",#REF!),"")</f>
        <v/>
      </c>
      <c r="V664" s="0" t="n">
        <f aca="false">IFERROR(IF(AND(X664=0,Y664=0),0,1),0)</f>
        <v>1</v>
      </c>
      <c r="W664" s="3" t="str">
        <f aca="false">IFERROR(_xlfn.T.TEST(E664:M664,N664:U664,2,2),"")</f>
        <v/>
      </c>
      <c r="X664" s="0" t="str">
        <f aca="false">IFERROR(AVERAGE(E664:M664),"")</f>
        <v/>
      </c>
      <c r="Y664" s="0" t="str">
        <f aca="false">IFERROR(AVERAGE(N664:U664),"")</f>
        <v/>
      </c>
    </row>
    <row r="665" customFormat="false" ht="14.5" hidden="false" customHeight="false" outlineLevel="0" collapsed="false">
      <c r="A665" s="0" t="n">
        <v>673</v>
      </c>
      <c r="B665" s="0" t="s">
        <v>726</v>
      </c>
      <c r="C665" s="0" t="n">
        <v>114700</v>
      </c>
      <c r="D665" s="0" t="n">
        <v>46</v>
      </c>
      <c r="E665" s="0" t="str">
        <f aca="false">IFERROR(IF(OR(HLOOKUP($A665,#REF!,3,FALSE())&gt;2,HLOOKUP(A665,#REF!,3,FALSE())&lt;-2),"",#REF!),"")</f>
        <v/>
      </c>
      <c r="F665" s="0" t="str">
        <f aca="false">IFERROR(IF(OR(HLOOKUP($A665,#REF!,4,FALSE())&gt;2,HLOOKUP($A665,#REF!,4,FALSE())&lt;-2),"",#REF!),"")</f>
        <v/>
      </c>
      <c r="G665" s="0" t="str">
        <f aca="false">IFERROR(IF(OR(HLOOKUP($A665,#REF!,5,FALSE())&gt;2,HLOOKUP($A665,#REF!,5,FALSE())&lt;-2),"",#REF!),"")</f>
        <v/>
      </c>
      <c r="H665" s="0" t="str">
        <f aca="false">IFERROR(IF(OR(HLOOKUP($A665,#REF!,6,FALSE())&gt;2,HLOOKUP($A665,#REF!,6,FALSE())&lt;-2),"",#REF!),"")</f>
        <v/>
      </c>
      <c r="I665" s="0" t="str">
        <f aca="false">IFERROR(IF(OR(HLOOKUP($A665,#REF!,7,FALSE())&gt;2,HLOOKUP($A665,#REF!,7,FALSE())&lt;-2),"",#REF!),"")</f>
        <v/>
      </c>
      <c r="J665" s="0" t="str">
        <f aca="false">IFERROR(IF(OR(HLOOKUP($A665,#REF!,8,FALSE())&gt;2,HLOOKUP($A665,#REF!,8,FALSE())&lt;-2),"",#REF!),"")</f>
        <v/>
      </c>
      <c r="K665" s="0" t="str">
        <f aca="false">IFERROR(IF(OR(HLOOKUP($A665,#REF!,9,FALSE())&gt;2,HLOOKUP($A665,#REF!,9,FALSE())&lt;-2),"",#REF!),"")</f>
        <v/>
      </c>
      <c r="L665" s="0" t="str">
        <f aca="false">IFERROR(IF(OR(HLOOKUP($A665,#REF!,10,FALSE())&gt;2,HLOOKUP($A665,#REF!,10,FALSE())&lt;-2),"",#REF!),"")</f>
        <v/>
      </c>
      <c r="M665" s="0" t="str">
        <f aca="false">IFERROR(IF(OR(HLOOKUP($A665,#REF!,11,FALSE())&gt;2,HLOOKUP($A665,#REF!,11,FALSE())&lt;-2),"",#REF!),"")</f>
        <v/>
      </c>
      <c r="N665" s="0" t="str">
        <f aca="false">IFERROR(IF(OR(HLOOKUP($A665,#REF!,12,FALSE())&gt;2,HLOOKUP($A665,#REF!,12,FALSE())&lt;-2),"",#REF!),"")</f>
        <v/>
      </c>
      <c r="O665" s="0" t="str">
        <f aca="false">IFERROR(IF(OR(HLOOKUP($A665,#REF!,13,FALSE())&gt;2,HLOOKUP($A665,#REF!,13,FALSE())&lt;-2),"",#REF!),"")</f>
        <v/>
      </c>
      <c r="P665" s="0" t="str">
        <f aca="false">IFERROR(IF(OR(HLOOKUP($A665,#REF!,14,FALSE())&gt;2,HLOOKUP($A665,#REF!,14,FALSE())&lt;-2),"",#REF!),"")</f>
        <v/>
      </c>
      <c r="Q665" s="0" t="str">
        <f aca="false">IFERROR(IF(OR(HLOOKUP($A665,#REF!,15,FALSE())&gt;2,HLOOKUP($A665,#REF!,15,FALSE())&lt;-2),"",#REF!),"")</f>
        <v/>
      </c>
      <c r="R665" s="0" t="str">
        <f aca="false">IFERROR(IF(OR(HLOOKUP($A665,#REF!,16,FALSE())&gt;2,HLOOKUP($A665,#REF!,16,FALSE())&lt;-2),"",#REF!),"")</f>
        <v/>
      </c>
      <c r="S665" s="0" t="str">
        <f aca="false">IFERROR(IF(OR(HLOOKUP($A665,#REF!,17,FALSE())&gt;2,HLOOKUP($A665,#REF!,17,FALSE())&lt;-2),"",#REF!),"")</f>
        <v/>
      </c>
      <c r="T665" s="0" t="str">
        <f aca="false">IFERROR(IF(OR(HLOOKUP($A665,#REF!,18,FALSE())&gt;2,HLOOKUP($A665,#REF!,18,FALSE())&lt;-2),"",#REF!),"")</f>
        <v/>
      </c>
      <c r="U665" s="0" t="str">
        <f aca="false">IFERROR(IF(OR(HLOOKUP($A665,#REF!,19,FALSE())&gt;2,HLOOKUP($A665,#REF!,19,FALSE())&lt;-2),"",#REF!),"")</f>
        <v/>
      </c>
      <c r="V665" s="0" t="n">
        <f aca="false">IFERROR(IF(AND(X665=0,Y665=0),0,1),0)</f>
        <v>1</v>
      </c>
      <c r="W665" s="3" t="str">
        <f aca="false">IFERROR(_xlfn.T.TEST(E665:M665,N665:U665,2,2),"")</f>
        <v/>
      </c>
      <c r="X665" s="0" t="str">
        <f aca="false">IFERROR(AVERAGE(E665:M665),"")</f>
        <v/>
      </c>
      <c r="Y665" s="0" t="str">
        <f aca="false">IFERROR(AVERAGE(N665:U665),"")</f>
        <v/>
      </c>
    </row>
    <row r="666" customFormat="false" ht="14.5" hidden="false" customHeight="false" outlineLevel="0" collapsed="false">
      <c r="A666" s="0" t="n">
        <v>674</v>
      </c>
      <c r="B666" s="0" t="s">
        <v>727</v>
      </c>
      <c r="C666" s="0" t="n">
        <v>91000</v>
      </c>
      <c r="D666" s="0" t="n">
        <v>651</v>
      </c>
      <c r="E666" s="0" t="str">
        <f aca="false">IFERROR(IF(OR(HLOOKUP($A666,#REF!,3,FALSE())&gt;2,HLOOKUP(A666,#REF!,3,FALSE())&lt;-2),"",#REF!),"")</f>
        <v/>
      </c>
      <c r="F666" s="0" t="str">
        <f aca="false">IFERROR(IF(OR(HLOOKUP($A666,#REF!,4,FALSE())&gt;2,HLOOKUP($A666,#REF!,4,FALSE())&lt;-2),"",#REF!),"")</f>
        <v/>
      </c>
      <c r="G666" s="0" t="str">
        <f aca="false">IFERROR(IF(OR(HLOOKUP($A666,#REF!,5,FALSE())&gt;2,HLOOKUP($A666,#REF!,5,FALSE())&lt;-2),"",#REF!),"")</f>
        <v/>
      </c>
      <c r="H666" s="0" t="str">
        <f aca="false">IFERROR(IF(OR(HLOOKUP($A666,#REF!,6,FALSE())&gt;2,HLOOKUP($A666,#REF!,6,FALSE())&lt;-2),"",#REF!),"")</f>
        <v/>
      </c>
      <c r="I666" s="0" t="str">
        <f aca="false">IFERROR(IF(OR(HLOOKUP($A666,#REF!,7,FALSE())&gt;2,HLOOKUP($A666,#REF!,7,FALSE())&lt;-2),"",#REF!),"")</f>
        <v/>
      </c>
      <c r="J666" s="0" t="str">
        <f aca="false">IFERROR(IF(OR(HLOOKUP($A666,#REF!,8,FALSE())&gt;2,HLOOKUP($A666,#REF!,8,FALSE())&lt;-2),"",#REF!),"")</f>
        <v/>
      </c>
      <c r="K666" s="0" t="str">
        <f aca="false">IFERROR(IF(OR(HLOOKUP($A666,#REF!,9,FALSE())&gt;2,HLOOKUP($A666,#REF!,9,FALSE())&lt;-2),"",#REF!),"")</f>
        <v/>
      </c>
      <c r="L666" s="0" t="str">
        <f aca="false">IFERROR(IF(OR(HLOOKUP($A666,#REF!,10,FALSE())&gt;2,HLOOKUP($A666,#REF!,10,FALSE())&lt;-2),"",#REF!),"")</f>
        <v/>
      </c>
      <c r="M666" s="0" t="str">
        <f aca="false">IFERROR(IF(OR(HLOOKUP($A666,#REF!,11,FALSE())&gt;2,HLOOKUP($A666,#REF!,11,FALSE())&lt;-2),"",#REF!),"")</f>
        <v/>
      </c>
      <c r="N666" s="0" t="str">
        <f aca="false">IFERROR(IF(OR(HLOOKUP($A666,#REF!,12,FALSE())&gt;2,HLOOKUP($A666,#REF!,12,FALSE())&lt;-2),"",#REF!),"")</f>
        <v/>
      </c>
      <c r="O666" s="0" t="str">
        <f aca="false">IFERROR(IF(OR(HLOOKUP($A666,#REF!,13,FALSE())&gt;2,HLOOKUP($A666,#REF!,13,FALSE())&lt;-2),"",#REF!),"")</f>
        <v/>
      </c>
      <c r="P666" s="0" t="str">
        <f aca="false">IFERROR(IF(OR(HLOOKUP($A666,#REF!,14,FALSE())&gt;2,HLOOKUP($A666,#REF!,14,FALSE())&lt;-2),"",#REF!),"")</f>
        <v/>
      </c>
      <c r="Q666" s="0" t="str">
        <f aca="false">IFERROR(IF(OR(HLOOKUP($A666,#REF!,15,FALSE())&gt;2,HLOOKUP($A666,#REF!,15,FALSE())&lt;-2),"",#REF!),"")</f>
        <v/>
      </c>
      <c r="R666" s="0" t="str">
        <f aca="false">IFERROR(IF(OR(HLOOKUP($A666,#REF!,16,FALSE())&gt;2,HLOOKUP($A666,#REF!,16,FALSE())&lt;-2),"",#REF!),"")</f>
        <v/>
      </c>
      <c r="S666" s="0" t="str">
        <f aca="false">IFERROR(IF(OR(HLOOKUP($A666,#REF!,17,FALSE())&gt;2,HLOOKUP($A666,#REF!,17,FALSE())&lt;-2),"",#REF!),"")</f>
        <v/>
      </c>
      <c r="T666" s="0" t="str">
        <f aca="false">IFERROR(IF(OR(HLOOKUP($A666,#REF!,18,FALSE())&gt;2,HLOOKUP($A666,#REF!,18,FALSE())&lt;-2),"",#REF!),"")</f>
        <v/>
      </c>
      <c r="U666" s="0" t="str">
        <f aca="false">IFERROR(IF(OR(HLOOKUP($A666,#REF!,19,FALSE())&gt;2,HLOOKUP($A666,#REF!,19,FALSE())&lt;-2),"",#REF!),"")</f>
        <v/>
      </c>
      <c r="V666" s="0" t="n">
        <f aca="false">IFERROR(IF(AND(X666=0,Y666=0),0,1),0)</f>
        <v>1</v>
      </c>
      <c r="W666" s="3" t="str">
        <f aca="false">IFERROR(_xlfn.T.TEST(E666:M666,N666:U666,2,2),"")</f>
        <v/>
      </c>
      <c r="X666" s="0" t="str">
        <f aca="false">IFERROR(AVERAGE(E666:M666),"")</f>
        <v/>
      </c>
      <c r="Y666" s="0" t="str">
        <f aca="false">IFERROR(AVERAGE(N666:U666),"")</f>
        <v/>
      </c>
    </row>
    <row r="667" customFormat="false" ht="14.5" hidden="false" customHeight="false" outlineLevel="0" collapsed="false">
      <c r="A667" s="0" t="n">
        <v>675</v>
      </c>
      <c r="B667" s="0" t="s">
        <v>728</v>
      </c>
      <c r="C667" s="0" t="n">
        <v>25000</v>
      </c>
      <c r="D667" s="0" t="n">
        <v>119</v>
      </c>
      <c r="E667" s="0" t="str">
        <f aca="false">IFERROR(IF(OR(HLOOKUP($A667,#REF!,3,FALSE())&gt;2,HLOOKUP(A667,#REF!,3,FALSE())&lt;-2),"",#REF!),"")</f>
        <v/>
      </c>
      <c r="F667" s="0" t="str">
        <f aca="false">IFERROR(IF(OR(HLOOKUP($A667,#REF!,4,FALSE())&gt;2,HLOOKUP($A667,#REF!,4,FALSE())&lt;-2),"",#REF!),"")</f>
        <v/>
      </c>
      <c r="G667" s="0" t="str">
        <f aca="false">IFERROR(IF(OR(HLOOKUP($A667,#REF!,5,FALSE())&gt;2,HLOOKUP($A667,#REF!,5,FALSE())&lt;-2),"",#REF!),"")</f>
        <v/>
      </c>
      <c r="H667" s="0" t="str">
        <f aca="false">IFERROR(IF(OR(HLOOKUP($A667,#REF!,6,FALSE())&gt;2,HLOOKUP($A667,#REF!,6,FALSE())&lt;-2),"",#REF!),"")</f>
        <v/>
      </c>
      <c r="I667" s="0" t="str">
        <f aca="false">IFERROR(IF(OR(HLOOKUP($A667,#REF!,7,FALSE())&gt;2,HLOOKUP($A667,#REF!,7,FALSE())&lt;-2),"",#REF!),"")</f>
        <v/>
      </c>
      <c r="J667" s="0" t="str">
        <f aca="false">IFERROR(IF(OR(HLOOKUP($A667,#REF!,8,FALSE())&gt;2,HLOOKUP($A667,#REF!,8,FALSE())&lt;-2),"",#REF!),"")</f>
        <v/>
      </c>
      <c r="K667" s="0" t="str">
        <f aca="false">IFERROR(IF(OR(HLOOKUP($A667,#REF!,9,FALSE())&gt;2,HLOOKUP($A667,#REF!,9,FALSE())&lt;-2),"",#REF!),"")</f>
        <v/>
      </c>
      <c r="L667" s="0" t="str">
        <f aca="false">IFERROR(IF(OR(HLOOKUP($A667,#REF!,10,FALSE())&gt;2,HLOOKUP($A667,#REF!,10,FALSE())&lt;-2),"",#REF!),"")</f>
        <v/>
      </c>
      <c r="M667" s="0" t="str">
        <f aca="false">IFERROR(IF(OR(HLOOKUP($A667,#REF!,11,FALSE())&gt;2,HLOOKUP($A667,#REF!,11,FALSE())&lt;-2),"",#REF!),"")</f>
        <v/>
      </c>
      <c r="N667" s="0" t="str">
        <f aca="false">IFERROR(IF(OR(HLOOKUP($A667,#REF!,12,FALSE())&gt;2,HLOOKUP($A667,#REF!,12,FALSE())&lt;-2),"",#REF!),"")</f>
        <v/>
      </c>
      <c r="O667" s="0" t="str">
        <f aca="false">IFERROR(IF(OR(HLOOKUP($A667,#REF!,13,FALSE())&gt;2,HLOOKUP($A667,#REF!,13,FALSE())&lt;-2),"",#REF!),"")</f>
        <v/>
      </c>
      <c r="P667" s="0" t="str">
        <f aca="false">IFERROR(IF(OR(HLOOKUP($A667,#REF!,14,FALSE())&gt;2,HLOOKUP($A667,#REF!,14,FALSE())&lt;-2),"",#REF!),"")</f>
        <v/>
      </c>
      <c r="Q667" s="0" t="str">
        <f aca="false">IFERROR(IF(OR(HLOOKUP($A667,#REF!,15,FALSE())&gt;2,HLOOKUP($A667,#REF!,15,FALSE())&lt;-2),"",#REF!),"")</f>
        <v/>
      </c>
      <c r="R667" s="0" t="str">
        <f aca="false">IFERROR(IF(OR(HLOOKUP($A667,#REF!,16,FALSE())&gt;2,HLOOKUP($A667,#REF!,16,FALSE())&lt;-2),"",#REF!),"")</f>
        <v/>
      </c>
      <c r="S667" s="0" t="str">
        <f aca="false">IFERROR(IF(OR(HLOOKUP($A667,#REF!,17,FALSE())&gt;2,HLOOKUP($A667,#REF!,17,FALSE())&lt;-2),"",#REF!),"")</f>
        <v/>
      </c>
      <c r="T667" s="0" t="str">
        <f aca="false">IFERROR(IF(OR(HLOOKUP($A667,#REF!,18,FALSE())&gt;2,HLOOKUP($A667,#REF!,18,FALSE())&lt;-2),"",#REF!),"")</f>
        <v/>
      </c>
      <c r="U667" s="0" t="str">
        <f aca="false">IFERROR(IF(OR(HLOOKUP($A667,#REF!,19,FALSE())&gt;2,HLOOKUP($A667,#REF!,19,FALSE())&lt;-2),"",#REF!),"")</f>
        <v/>
      </c>
      <c r="V667" s="0" t="n">
        <f aca="false">IFERROR(IF(AND(X667=0,Y667=0),0,1),0)</f>
        <v>1</v>
      </c>
      <c r="W667" s="3" t="str">
        <f aca="false">IFERROR(_xlfn.T.TEST(E667:M667,N667:U667,2,2),"")</f>
        <v/>
      </c>
      <c r="X667" s="0" t="str">
        <f aca="false">IFERROR(AVERAGE(E667:M667),"")</f>
        <v/>
      </c>
      <c r="Y667" s="0" t="str">
        <f aca="false">IFERROR(AVERAGE(N667:U667),"")</f>
        <v/>
      </c>
    </row>
    <row r="668" customFormat="false" ht="14.5" hidden="false" customHeight="false" outlineLevel="0" collapsed="false">
      <c r="A668" s="0" t="n">
        <v>676</v>
      </c>
      <c r="B668" s="0" t="s">
        <v>729</v>
      </c>
      <c r="C668" s="0" t="n">
        <v>72600</v>
      </c>
      <c r="D668" s="0" t="n">
        <v>830</v>
      </c>
      <c r="E668" s="0" t="str">
        <f aca="false">IFERROR(IF(OR(HLOOKUP($A668,#REF!,3,FALSE())&gt;2,HLOOKUP(A668,#REF!,3,FALSE())&lt;-2),"",#REF!),"")</f>
        <v/>
      </c>
      <c r="F668" s="0" t="str">
        <f aca="false">IFERROR(IF(OR(HLOOKUP($A668,#REF!,4,FALSE())&gt;2,HLOOKUP($A668,#REF!,4,FALSE())&lt;-2),"",#REF!),"")</f>
        <v/>
      </c>
      <c r="G668" s="0" t="str">
        <f aca="false">IFERROR(IF(OR(HLOOKUP($A668,#REF!,5,FALSE())&gt;2,HLOOKUP($A668,#REF!,5,FALSE())&lt;-2),"",#REF!),"")</f>
        <v/>
      </c>
      <c r="H668" s="0" t="str">
        <f aca="false">IFERROR(IF(OR(HLOOKUP($A668,#REF!,6,FALSE())&gt;2,HLOOKUP($A668,#REF!,6,FALSE())&lt;-2),"",#REF!),"")</f>
        <v/>
      </c>
      <c r="I668" s="0" t="str">
        <f aca="false">IFERROR(IF(OR(HLOOKUP($A668,#REF!,7,FALSE())&gt;2,HLOOKUP($A668,#REF!,7,FALSE())&lt;-2),"",#REF!),"")</f>
        <v/>
      </c>
      <c r="J668" s="0" t="str">
        <f aca="false">IFERROR(IF(OR(HLOOKUP($A668,#REF!,8,FALSE())&gt;2,HLOOKUP($A668,#REF!,8,FALSE())&lt;-2),"",#REF!),"")</f>
        <v/>
      </c>
      <c r="K668" s="0" t="str">
        <f aca="false">IFERROR(IF(OR(HLOOKUP($A668,#REF!,9,FALSE())&gt;2,HLOOKUP($A668,#REF!,9,FALSE())&lt;-2),"",#REF!),"")</f>
        <v/>
      </c>
      <c r="L668" s="0" t="str">
        <f aca="false">IFERROR(IF(OR(HLOOKUP($A668,#REF!,10,FALSE())&gt;2,HLOOKUP($A668,#REF!,10,FALSE())&lt;-2),"",#REF!),"")</f>
        <v/>
      </c>
      <c r="M668" s="0" t="str">
        <f aca="false">IFERROR(IF(OR(HLOOKUP($A668,#REF!,11,FALSE())&gt;2,HLOOKUP($A668,#REF!,11,FALSE())&lt;-2),"",#REF!),"")</f>
        <v/>
      </c>
      <c r="N668" s="0" t="str">
        <f aca="false">IFERROR(IF(OR(HLOOKUP($A668,#REF!,12,FALSE())&gt;2,HLOOKUP($A668,#REF!,12,FALSE())&lt;-2),"",#REF!),"")</f>
        <v/>
      </c>
      <c r="O668" s="0" t="str">
        <f aca="false">IFERROR(IF(OR(HLOOKUP($A668,#REF!,13,FALSE())&gt;2,HLOOKUP($A668,#REF!,13,FALSE())&lt;-2),"",#REF!),"")</f>
        <v/>
      </c>
      <c r="P668" s="0" t="str">
        <f aca="false">IFERROR(IF(OR(HLOOKUP($A668,#REF!,14,FALSE())&gt;2,HLOOKUP($A668,#REF!,14,FALSE())&lt;-2),"",#REF!),"")</f>
        <v/>
      </c>
      <c r="Q668" s="0" t="str">
        <f aca="false">IFERROR(IF(OR(HLOOKUP($A668,#REF!,15,FALSE())&gt;2,HLOOKUP($A668,#REF!,15,FALSE())&lt;-2),"",#REF!),"")</f>
        <v/>
      </c>
      <c r="R668" s="0" t="str">
        <f aca="false">IFERROR(IF(OR(HLOOKUP($A668,#REF!,16,FALSE())&gt;2,HLOOKUP($A668,#REF!,16,FALSE())&lt;-2),"",#REF!),"")</f>
        <v/>
      </c>
      <c r="S668" s="0" t="str">
        <f aca="false">IFERROR(IF(OR(HLOOKUP($A668,#REF!,17,FALSE())&gt;2,HLOOKUP($A668,#REF!,17,FALSE())&lt;-2),"",#REF!),"")</f>
        <v/>
      </c>
      <c r="T668" s="0" t="str">
        <f aca="false">IFERROR(IF(OR(HLOOKUP($A668,#REF!,18,FALSE())&gt;2,HLOOKUP($A668,#REF!,18,FALSE())&lt;-2),"",#REF!),"")</f>
        <v/>
      </c>
      <c r="U668" s="0" t="str">
        <f aca="false">IFERROR(IF(OR(HLOOKUP($A668,#REF!,19,FALSE())&gt;2,HLOOKUP($A668,#REF!,19,FALSE())&lt;-2),"",#REF!),"")</f>
        <v/>
      </c>
      <c r="V668" s="0" t="n">
        <f aca="false">IFERROR(IF(AND(X668=0,Y668=0),0,1),0)</f>
        <v>1</v>
      </c>
      <c r="W668" s="3" t="str">
        <f aca="false">IFERROR(_xlfn.T.TEST(E668:M668,N668:U668,2,2),"")</f>
        <v/>
      </c>
      <c r="X668" s="0" t="str">
        <f aca="false">IFERROR(AVERAGE(E668:M668),"")</f>
        <v/>
      </c>
      <c r="Y668" s="0" t="str">
        <f aca="false">IFERROR(AVERAGE(N668:U668),"")</f>
        <v/>
      </c>
    </row>
    <row r="669" customFormat="false" ht="14.5" hidden="false" customHeight="false" outlineLevel="0" collapsed="false">
      <c r="A669" s="0" t="n">
        <v>677</v>
      </c>
      <c r="B669" s="0" t="s">
        <v>730</v>
      </c>
      <c r="C669" s="0" t="n">
        <v>9800</v>
      </c>
      <c r="D669" s="0" t="n">
        <v>315</v>
      </c>
      <c r="E669" s="0" t="str">
        <f aca="false">IFERROR(IF(OR(HLOOKUP($A669,#REF!,3,FALSE())&gt;2,HLOOKUP(A669,#REF!,3,FALSE())&lt;-2),"",#REF!),"")</f>
        <v/>
      </c>
      <c r="F669" s="0" t="str">
        <f aca="false">IFERROR(IF(OR(HLOOKUP($A669,#REF!,4,FALSE())&gt;2,HLOOKUP($A669,#REF!,4,FALSE())&lt;-2),"",#REF!),"")</f>
        <v/>
      </c>
      <c r="G669" s="0" t="str">
        <f aca="false">IFERROR(IF(OR(HLOOKUP($A669,#REF!,5,FALSE())&gt;2,HLOOKUP($A669,#REF!,5,FALSE())&lt;-2),"",#REF!),"")</f>
        <v/>
      </c>
      <c r="H669" s="0" t="str">
        <f aca="false">IFERROR(IF(OR(HLOOKUP($A669,#REF!,6,FALSE())&gt;2,HLOOKUP($A669,#REF!,6,FALSE())&lt;-2),"",#REF!),"")</f>
        <v/>
      </c>
      <c r="I669" s="0" t="str">
        <f aca="false">IFERROR(IF(OR(HLOOKUP($A669,#REF!,7,FALSE())&gt;2,HLOOKUP($A669,#REF!,7,FALSE())&lt;-2),"",#REF!),"")</f>
        <v/>
      </c>
      <c r="J669" s="0" t="str">
        <f aca="false">IFERROR(IF(OR(HLOOKUP($A669,#REF!,8,FALSE())&gt;2,HLOOKUP($A669,#REF!,8,FALSE())&lt;-2),"",#REF!),"")</f>
        <v/>
      </c>
      <c r="K669" s="0" t="str">
        <f aca="false">IFERROR(IF(OR(HLOOKUP($A669,#REF!,9,FALSE())&gt;2,HLOOKUP($A669,#REF!,9,FALSE())&lt;-2),"",#REF!),"")</f>
        <v/>
      </c>
      <c r="L669" s="0" t="str">
        <f aca="false">IFERROR(IF(OR(HLOOKUP($A669,#REF!,10,FALSE())&gt;2,HLOOKUP($A669,#REF!,10,FALSE())&lt;-2),"",#REF!),"")</f>
        <v/>
      </c>
      <c r="M669" s="0" t="str">
        <f aca="false">IFERROR(IF(OR(HLOOKUP($A669,#REF!,11,FALSE())&gt;2,HLOOKUP($A669,#REF!,11,FALSE())&lt;-2),"",#REF!),"")</f>
        <v/>
      </c>
      <c r="N669" s="0" t="str">
        <f aca="false">IFERROR(IF(OR(HLOOKUP($A669,#REF!,12,FALSE())&gt;2,HLOOKUP($A669,#REF!,12,FALSE())&lt;-2),"",#REF!),"")</f>
        <v/>
      </c>
      <c r="O669" s="0" t="str">
        <f aca="false">IFERROR(IF(OR(HLOOKUP($A669,#REF!,13,FALSE())&gt;2,HLOOKUP($A669,#REF!,13,FALSE())&lt;-2),"",#REF!),"")</f>
        <v/>
      </c>
      <c r="P669" s="0" t="str">
        <f aca="false">IFERROR(IF(OR(HLOOKUP($A669,#REF!,14,FALSE())&gt;2,HLOOKUP($A669,#REF!,14,FALSE())&lt;-2),"",#REF!),"")</f>
        <v/>
      </c>
      <c r="Q669" s="0" t="str">
        <f aca="false">IFERROR(IF(OR(HLOOKUP($A669,#REF!,15,FALSE())&gt;2,HLOOKUP($A669,#REF!,15,FALSE())&lt;-2),"",#REF!),"")</f>
        <v/>
      </c>
      <c r="R669" s="0" t="str">
        <f aca="false">IFERROR(IF(OR(HLOOKUP($A669,#REF!,16,FALSE())&gt;2,HLOOKUP($A669,#REF!,16,FALSE())&lt;-2),"",#REF!),"")</f>
        <v/>
      </c>
      <c r="S669" s="0" t="str">
        <f aca="false">IFERROR(IF(OR(HLOOKUP($A669,#REF!,17,FALSE())&gt;2,HLOOKUP($A669,#REF!,17,FALSE())&lt;-2),"",#REF!),"")</f>
        <v/>
      </c>
      <c r="T669" s="0" t="str">
        <f aca="false">IFERROR(IF(OR(HLOOKUP($A669,#REF!,18,FALSE())&gt;2,HLOOKUP($A669,#REF!,18,FALSE())&lt;-2),"",#REF!),"")</f>
        <v/>
      </c>
      <c r="U669" s="0" t="str">
        <f aca="false">IFERROR(IF(OR(HLOOKUP($A669,#REF!,19,FALSE())&gt;2,HLOOKUP($A669,#REF!,19,FALSE())&lt;-2),"",#REF!),"")</f>
        <v/>
      </c>
      <c r="V669" s="0" t="n">
        <f aca="false">IFERROR(IF(AND(X669=0,Y669=0),0,1),0)</f>
        <v>1</v>
      </c>
      <c r="W669" s="3" t="str">
        <f aca="false">IFERROR(_xlfn.T.TEST(E669:M669,N669:U669,2,2),"")</f>
        <v/>
      </c>
      <c r="X669" s="0" t="str">
        <f aca="false">IFERROR(AVERAGE(E669:M669),"")</f>
        <v/>
      </c>
      <c r="Y669" s="0" t="str">
        <f aca="false">IFERROR(AVERAGE(N669:U669),"")</f>
        <v/>
      </c>
    </row>
    <row r="670" customFormat="false" ht="14.5" hidden="false" customHeight="false" outlineLevel="0" collapsed="false">
      <c r="A670" s="0" t="n">
        <v>678</v>
      </c>
      <c r="B670" s="0" t="s">
        <v>731</v>
      </c>
      <c r="C670" s="0" t="n">
        <v>10900</v>
      </c>
      <c r="D670" s="0" t="n">
        <v>1011</v>
      </c>
      <c r="E670" s="0" t="str">
        <f aca="false">IFERROR(IF(OR(HLOOKUP($A670,#REF!,3,FALSE())&gt;2,HLOOKUP(A670,#REF!,3,FALSE())&lt;-2),"",#REF!),"")</f>
        <v/>
      </c>
      <c r="F670" s="0" t="str">
        <f aca="false">IFERROR(IF(OR(HLOOKUP($A670,#REF!,4,FALSE())&gt;2,HLOOKUP($A670,#REF!,4,FALSE())&lt;-2),"",#REF!),"")</f>
        <v/>
      </c>
      <c r="G670" s="0" t="str">
        <f aca="false">IFERROR(IF(OR(HLOOKUP($A670,#REF!,5,FALSE())&gt;2,HLOOKUP($A670,#REF!,5,FALSE())&lt;-2),"",#REF!),"")</f>
        <v/>
      </c>
      <c r="H670" s="0" t="str">
        <f aca="false">IFERROR(IF(OR(HLOOKUP($A670,#REF!,6,FALSE())&gt;2,HLOOKUP($A670,#REF!,6,FALSE())&lt;-2),"",#REF!),"")</f>
        <v/>
      </c>
      <c r="I670" s="0" t="str">
        <f aca="false">IFERROR(IF(OR(HLOOKUP($A670,#REF!,7,FALSE())&gt;2,HLOOKUP($A670,#REF!,7,FALSE())&lt;-2),"",#REF!),"")</f>
        <v/>
      </c>
      <c r="J670" s="0" t="str">
        <f aca="false">IFERROR(IF(OR(HLOOKUP($A670,#REF!,8,FALSE())&gt;2,HLOOKUP($A670,#REF!,8,FALSE())&lt;-2),"",#REF!),"")</f>
        <v/>
      </c>
      <c r="K670" s="0" t="str">
        <f aca="false">IFERROR(IF(OR(HLOOKUP($A670,#REF!,9,FALSE())&gt;2,HLOOKUP($A670,#REF!,9,FALSE())&lt;-2),"",#REF!),"")</f>
        <v/>
      </c>
      <c r="L670" s="0" t="str">
        <f aca="false">IFERROR(IF(OR(HLOOKUP($A670,#REF!,10,FALSE())&gt;2,HLOOKUP($A670,#REF!,10,FALSE())&lt;-2),"",#REF!),"")</f>
        <v/>
      </c>
      <c r="M670" s="0" t="str">
        <f aca="false">IFERROR(IF(OR(HLOOKUP($A670,#REF!,11,FALSE())&gt;2,HLOOKUP($A670,#REF!,11,FALSE())&lt;-2),"",#REF!),"")</f>
        <v/>
      </c>
      <c r="N670" s="0" t="str">
        <f aca="false">IFERROR(IF(OR(HLOOKUP($A670,#REF!,12,FALSE())&gt;2,HLOOKUP($A670,#REF!,12,FALSE())&lt;-2),"",#REF!),"")</f>
        <v/>
      </c>
      <c r="O670" s="0" t="str">
        <f aca="false">IFERROR(IF(OR(HLOOKUP($A670,#REF!,13,FALSE())&gt;2,HLOOKUP($A670,#REF!,13,FALSE())&lt;-2),"",#REF!),"")</f>
        <v/>
      </c>
      <c r="P670" s="0" t="str">
        <f aca="false">IFERROR(IF(OR(HLOOKUP($A670,#REF!,14,FALSE())&gt;2,HLOOKUP($A670,#REF!,14,FALSE())&lt;-2),"",#REF!),"")</f>
        <v/>
      </c>
      <c r="Q670" s="0" t="str">
        <f aca="false">IFERROR(IF(OR(HLOOKUP($A670,#REF!,15,FALSE())&gt;2,HLOOKUP($A670,#REF!,15,FALSE())&lt;-2),"",#REF!),"")</f>
        <v/>
      </c>
      <c r="R670" s="0" t="str">
        <f aca="false">IFERROR(IF(OR(HLOOKUP($A670,#REF!,16,FALSE())&gt;2,HLOOKUP($A670,#REF!,16,FALSE())&lt;-2),"",#REF!),"")</f>
        <v/>
      </c>
      <c r="S670" s="0" t="str">
        <f aca="false">IFERROR(IF(OR(HLOOKUP($A670,#REF!,17,FALSE())&gt;2,HLOOKUP($A670,#REF!,17,FALSE())&lt;-2),"",#REF!),"")</f>
        <v/>
      </c>
      <c r="T670" s="0" t="str">
        <f aca="false">IFERROR(IF(OR(HLOOKUP($A670,#REF!,18,FALSE())&gt;2,HLOOKUP($A670,#REF!,18,FALSE())&lt;-2),"",#REF!),"")</f>
        <v/>
      </c>
      <c r="U670" s="0" t="str">
        <f aca="false">IFERROR(IF(OR(HLOOKUP($A670,#REF!,19,FALSE())&gt;2,HLOOKUP($A670,#REF!,19,FALSE())&lt;-2),"",#REF!),"")</f>
        <v/>
      </c>
      <c r="V670" s="0" t="n">
        <f aca="false">IFERROR(IF(AND(X670=0,Y670=0),0,1),0)</f>
        <v>1</v>
      </c>
      <c r="W670" s="3" t="str">
        <f aca="false">IFERROR(_xlfn.T.TEST(E670:M670,N670:U670,2,2),"")</f>
        <v/>
      </c>
      <c r="X670" s="0" t="str">
        <f aca="false">IFERROR(AVERAGE(E670:M670),"")</f>
        <v/>
      </c>
      <c r="Y670" s="0" t="str">
        <f aca="false">IFERROR(AVERAGE(N670:U670),"")</f>
        <v/>
      </c>
    </row>
    <row r="671" customFormat="false" ht="14.5" hidden="false" customHeight="false" outlineLevel="0" collapsed="false">
      <c r="A671" s="0" t="n">
        <v>679</v>
      </c>
      <c r="B671" s="0" t="s">
        <v>732</v>
      </c>
      <c r="C671" s="0" t="n">
        <v>88400</v>
      </c>
      <c r="D671" s="0" t="n">
        <v>1117</v>
      </c>
      <c r="E671" s="0" t="str">
        <f aca="false">IFERROR(IF(OR(HLOOKUP($A671,#REF!,3,FALSE())&gt;2,HLOOKUP(A671,#REF!,3,FALSE())&lt;-2),"",#REF!),"")</f>
        <v/>
      </c>
      <c r="F671" s="0" t="str">
        <f aca="false">IFERROR(IF(OR(HLOOKUP($A671,#REF!,4,FALSE())&gt;2,HLOOKUP($A671,#REF!,4,FALSE())&lt;-2),"",#REF!),"")</f>
        <v/>
      </c>
      <c r="G671" s="0" t="str">
        <f aca="false">IFERROR(IF(OR(HLOOKUP($A671,#REF!,5,FALSE())&gt;2,HLOOKUP($A671,#REF!,5,FALSE())&lt;-2),"",#REF!),"")</f>
        <v/>
      </c>
      <c r="H671" s="0" t="str">
        <f aca="false">IFERROR(IF(OR(HLOOKUP($A671,#REF!,6,FALSE())&gt;2,HLOOKUP($A671,#REF!,6,FALSE())&lt;-2),"",#REF!),"")</f>
        <v/>
      </c>
      <c r="I671" s="0" t="str">
        <f aca="false">IFERROR(IF(OR(HLOOKUP($A671,#REF!,7,FALSE())&gt;2,HLOOKUP($A671,#REF!,7,FALSE())&lt;-2),"",#REF!),"")</f>
        <v/>
      </c>
      <c r="J671" s="0" t="str">
        <f aca="false">IFERROR(IF(OR(HLOOKUP($A671,#REF!,8,FALSE())&gt;2,HLOOKUP($A671,#REF!,8,FALSE())&lt;-2),"",#REF!),"")</f>
        <v/>
      </c>
      <c r="K671" s="0" t="str">
        <f aca="false">IFERROR(IF(OR(HLOOKUP($A671,#REF!,9,FALSE())&gt;2,HLOOKUP($A671,#REF!,9,FALSE())&lt;-2),"",#REF!),"")</f>
        <v/>
      </c>
      <c r="L671" s="0" t="str">
        <f aca="false">IFERROR(IF(OR(HLOOKUP($A671,#REF!,10,FALSE())&gt;2,HLOOKUP($A671,#REF!,10,FALSE())&lt;-2),"",#REF!),"")</f>
        <v/>
      </c>
      <c r="M671" s="0" t="str">
        <f aca="false">IFERROR(IF(OR(HLOOKUP($A671,#REF!,11,FALSE())&gt;2,HLOOKUP($A671,#REF!,11,FALSE())&lt;-2),"",#REF!),"")</f>
        <v/>
      </c>
      <c r="N671" s="0" t="str">
        <f aca="false">IFERROR(IF(OR(HLOOKUP($A671,#REF!,12,FALSE())&gt;2,HLOOKUP($A671,#REF!,12,FALSE())&lt;-2),"",#REF!),"")</f>
        <v/>
      </c>
      <c r="O671" s="0" t="str">
        <f aca="false">IFERROR(IF(OR(HLOOKUP($A671,#REF!,13,FALSE())&gt;2,HLOOKUP($A671,#REF!,13,FALSE())&lt;-2),"",#REF!),"")</f>
        <v/>
      </c>
      <c r="P671" s="0" t="str">
        <f aca="false">IFERROR(IF(OR(HLOOKUP($A671,#REF!,14,FALSE())&gt;2,HLOOKUP($A671,#REF!,14,FALSE())&lt;-2),"",#REF!),"")</f>
        <v/>
      </c>
      <c r="Q671" s="0" t="str">
        <f aca="false">IFERROR(IF(OR(HLOOKUP($A671,#REF!,15,FALSE())&gt;2,HLOOKUP($A671,#REF!,15,FALSE())&lt;-2),"",#REF!),"")</f>
        <v/>
      </c>
      <c r="R671" s="0" t="str">
        <f aca="false">IFERROR(IF(OR(HLOOKUP($A671,#REF!,16,FALSE())&gt;2,HLOOKUP($A671,#REF!,16,FALSE())&lt;-2),"",#REF!),"")</f>
        <v/>
      </c>
      <c r="S671" s="0" t="str">
        <f aca="false">IFERROR(IF(OR(HLOOKUP($A671,#REF!,17,FALSE())&gt;2,HLOOKUP($A671,#REF!,17,FALSE())&lt;-2),"",#REF!),"")</f>
        <v/>
      </c>
      <c r="T671" s="0" t="str">
        <f aca="false">IFERROR(IF(OR(HLOOKUP($A671,#REF!,18,FALSE())&gt;2,HLOOKUP($A671,#REF!,18,FALSE())&lt;-2),"",#REF!),"")</f>
        <v/>
      </c>
      <c r="U671" s="0" t="str">
        <f aca="false">IFERROR(IF(OR(HLOOKUP($A671,#REF!,19,FALSE())&gt;2,HLOOKUP($A671,#REF!,19,FALSE())&lt;-2),"",#REF!),"")</f>
        <v/>
      </c>
      <c r="V671" s="0" t="n">
        <f aca="false">IFERROR(IF(AND(X671=0,Y671=0),0,1),0)</f>
        <v>1</v>
      </c>
      <c r="W671" s="3" t="str">
        <f aca="false">IFERROR(_xlfn.T.TEST(E671:M671,N671:U671,2,2),"")</f>
        <v/>
      </c>
      <c r="X671" s="0" t="str">
        <f aca="false">IFERROR(AVERAGE(E671:M671),"")</f>
        <v/>
      </c>
      <c r="Y671" s="0" t="str">
        <f aca="false">IFERROR(AVERAGE(N671:U671),"")</f>
        <v/>
      </c>
    </row>
    <row r="672" customFormat="false" ht="14.5" hidden="false" customHeight="false" outlineLevel="0" collapsed="false">
      <c r="A672" s="0" t="n">
        <v>680</v>
      </c>
      <c r="B672" s="0" t="s">
        <v>733</v>
      </c>
      <c r="C672" s="0" t="n">
        <v>23200</v>
      </c>
      <c r="D672" s="0" t="n">
        <v>746</v>
      </c>
      <c r="E672" s="0" t="str">
        <f aca="false">IFERROR(IF(OR(HLOOKUP($A672,#REF!,3,FALSE())&gt;2,HLOOKUP(A672,#REF!,3,FALSE())&lt;-2),"",#REF!),"")</f>
        <v/>
      </c>
      <c r="F672" s="0" t="str">
        <f aca="false">IFERROR(IF(OR(HLOOKUP($A672,#REF!,4,FALSE())&gt;2,HLOOKUP($A672,#REF!,4,FALSE())&lt;-2),"",#REF!),"")</f>
        <v/>
      </c>
      <c r="G672" s="0" t="str">
        <f aca="false">IFERROR(IF(OR(HLOOKUP($A672,#REF!,5,FALSE())&gt;2,HLOOKUP($A672,#REF!,5,FALSE())&lt;-2),"",#REF!),"")</f>
        <v/>
      </c>
      <c r="H672" s="0" t="str">
        <f aca="false">IFERROR(IF(OR(HLOOKUP($A672,#REF!,6,FALSE())&gt;2,HLOOKUP($A672,#REF!,6,FALSE())&lt;-2),"",#REF!),"")</f>
        <v/>
      </c>
      <c r="I672" s="0" t="str">
        <f aca="false">IFERROR(IF(OR(HLOOKUP($A672,#REF!,7,FALSE())&gt;2,HLOOKUP($A672,#REF!,7,FALSE())&lt;-2),"",#REF!),"")</f>
        <v/>
      </c>
      <c r="J672" s="0" t="str">
        <f aca="false">IFERROR(IF(OR(HLOOKUP($A672,#REF!,8,FALSE())&gt;2,HLOOKUP($A672,#REF!,8,FALSE())&lt;-2),"",#REF!),"")</f>
        <v/>
      </c>
      <c r="K672" s="0" t="str">
        <f aca="false">IFERROR(IF(OR(HLOOKUP($A672,#REF!,9,FALSE())&gt;2,HLOOKUP($A672,#REF!,9,FALSE())&lt;-2),"",#REF!),"")</f>
        <v/>
      </c>
      <c r="L672" s="0" t="str">
        <f aca="false">IFERROR(IF(OR(HLOOKUP($A672,#REF!,10,FALSE())&gt;2,HLOOKUP($A672,#REF!,10,FALSE())&lt;-2),"",#REF!),"")</f>
        <v/>
      </c>
      <c r="M672" s="0" t="str">
        <f aca="false">IFERROR(IF(OR(HLOOKUP($A672,#REF!,11,FALSE())&gt;2,HLOOKUP($A672,#REF!,11,FALSE())&lt;-2),"",#REF!),"")</f>
        <v/>
      </c>
      <c r="N672" s="0" t="str">
        <f aca="false">IFERROR(IF(OR(HLOOKUP($A672,#REF!,12,FALSE())&gt;2,HLOOKUP($A672,#REF!,12,FALSE())&lt;-2),"",#REF!),"")</f>
        <v/>
      </c>
      <c r="O672" s="0" t="str">
        <f aca="false">IFERROR(IF(OR(HLOOKUP($A672,#REF!,13,FALSE())&gt;2,HLOOKUP($A672,#REF!,13,FALSE())&lt;-2),"",#REF!),"")</f>
        <v/>
      </c>
      <c r="P672" s="0" t="str">
        <f aca="false">IFERROR(IF(OR(HLOOKUP($A672,#REF!,14,FALSE())&gt;2,HLOOKUP($A672,#REF!,14,FALSE())&lt;-2),"",#REF!),"")</f>
        <v/>
      </c>
      <c r="Q672" s="0" t="str">
        <f aca="false">IFERROR(IF(OR(HLOOKUP($A672,#REF!,15,FALSE())&gt;2,HLOOKUP($A672,#REF!,15,FALSE())&lt;-2),"",#REF!),"")</f>
        <v/>
      </c>
      <c r="R672" s="0" t="str">
        <f aca="false">IFERROR(IF(OR(HLOOKUP($A672,#REF!,16,FALSE())&gt;2,HLOOKUP($A672,#REF!,16,FALSE())&lt;-2),"",#REF!),"")</f>
        <v/>
      </c>
      <c r="S672" s="0" t="str">
        <f aca="false">IFERROR(IF(OR(HLOOKUP($A672,#REF!,17,FALSE())&gt;2,HLOOKUP($A672,#REF!,17,FALSE())&lt;-2),"",#REF!),"")</f>
        <v/>
      </c>
      <c r="T672" s="0" t="str">
        <f aca="false">IFERROR(IF(OR(HLOOKUP($A672,#REF!,18,FALSE())&gt;2,HLOOKUP($A672,#REF!,18,FALSE())&lt;-2),"",#REF!),"")</f>
        <v/>
      </c>
      <c r="U672" s="0" t="str">
        <f aca="false">IFERROR(IF(OR(HLOOKUP($A672,#REF!,19,FALSE())&gt;2,HLOOKUP($A672,#REF!,19,FALSE())&lt;-2),"",#REF!),"")</f>
        <v/>
      </c>
      <c r="V672" s="0" t="n">
        <f aca="false">IFERROR(IF(AND(X672=0,Y672=0),0,1),0)</f>
        <v>1</v>
      </c>
      <c r="W672" s="3" t="str">
        <f aca="false">IFERROR(_xlfn.T.TEST(E672:M672,N672:U672,2,2),"")</f>
        <v/>
      </c>
      <c r="X672" s="0" t="str">
        <f aca="false">IFERROR(AVERAGE(E672:M672),"")</f>
        <v/>
      </c>
      <c r="Y672" s="0" t="str">
        <f aca="false">IFERROR(AVERAGE(N672:U672),"")</f>
        <v/>
      </c>
    </row>
    <row r="673" customFormat="false" ht="14.5" hidden="false" customHeight="false" outlineLevel="0" collapsed="false">
      <c r="A673" s="0" t="n">
        <v>681</v>
      </c>
      <c r="B673" s="0" t="s">
        <v>734</v>
      </c>
      <c r="C673" s="0" t="n">
        <v>114600</v>
      </c>
      <c r="D673" s="0" t="n">
        <v>46</v>
      </c>
      <c r="E673" s="0" t="str">
        <f aca="false">IFERROR(IF(OR(HLOOKUP($A673,#REF!,3,FALSE())&gt;2,HLOOKUP(A673,#REF!,3,FALSE())&lt;-2),"",#REF!),"")</f>
        <v/>
      </c>
      <c r="F673" s="0" t="str">
        <f aca="false">IFERROR(IF(OR(HLOOKUP($A673,#REF!,4,FALSE())&gt;2,HLOOKUP($A673,#REF!,4,FALSE())&lt;-2),"",#REF!),"")</f>
        <v/>
      </c>
      <c r="G673" s="0" t="str">
        <f aca="false">IFERROR(IF(OR(HLOOKUP($A673,#REF!,5,FALSE())&gt;2,HLOOKUP($A673,#REF!,5,FALSE())&lt;-2),"",#REF!),"")</f>
        <v/>
      </c>
      <c r="H673" s="0" t="str">
        <f aca="false">IFERROR(IF(OR(HLOOKUP($A673,#REF!,6,FALSE())&gt;2,HLOOKUP($A673,#REF!,6,FALSE())&lt;-2),"",#REF!),"")</f>
        <v/>
      </c>
      <c r="I673" s="0" t="str">
        <f aca="false">IFERROR(IF(OR(HLOOKUP($A673,#REF!,7,FALSE())&gt;2,HLOOKUP($A673,#REF!,7,FALSE())&lt;-2),"",#REF!),"")</f>
        <v/>
      </c>
      <c r="J673" s="0" t="str">
        <f aca="false">IFERROR(IF(OR(HLOOKUP($A673,#REF!,8,FALSE())&gt;2,HLOOKUP($A673,#REF!,8,FALSE())&lt;-2),"",#REF!),"")</f>
        <v/>
      </c>
      <c r="K673" s="0" t="str">
        <f aca="false">IFERROR(IF(OR(HLOOKUP($A673,#REF!,9,FALSE())&gt;2,HLOOKUP($A673,#REF!,9,FALSE())&lt;-2),"",#REF!),"")</f>
        <v/>
      </c>
      <c r="L673" s="0" t="str">
        <f aca="false">IFERROR(IF(OR(HLOOKUP($A673,#REF!,10,FALSE())&gt;2,HLOOKUP($A673,#REF!,10,FALSE())&lt;-2),"",#REF!),"")</f>
        <v/>
      </c>
      <c r="M673" s="0" t="str">
        <f aca="false">IFERROR(IF(OR(HLOOKUP($A673,#REF!,11,FALSE())&gt;2,HLOOKUP($A673,#REF!,11,FALSE())&lt;-2),"",#REF!),"")</f>
        <v/>
      </c>
      <c r="N673" s="0" t="str">
        <f aca="false">IFERROR(IF(OR(HLOOKUP($A673,#REF!,12,FALSE())&gt;2,HLOOKUP($A673,#REF!,12,FALSE())&lt;-2),"",#REF!),"")</f>
        <v/>
      </c>
      <c r="O673" s="0" t="str">
        <f aca="false">IFERROR(IF(OR(HLOOKUP($A673,#REF!,13,FALSE())&gt;2,HLOOKUP($A673,#REF!,13,FALSE())&lt;-2),"",#REF!),"")</f>
        <v/>
      </c>
      <c r="P673" s="0" t="str">
        <f aca="false">IFERROR(IF(OR(HLOOKUP($A673,#REF!,14,FALSE())&gt;2,HLOOKUP($A673,#REF!,14,FALSE())&lt;-2),"",#REF!),"")</f>
        <v/>
      </c>
      <c r="Q673" s="0" t="str">
        <f aca="false">IFERROR(IF(OR(HLOOKUP($A673,#REF!,15,FALSE())&gt;2,HLOOKUP($A673,#REF!,15,FALSE())&lt;-2),"",#REF!),"")</f>
        <v/>
      </c>
      <c r="R673" s="0" t="str">
        <f aca="false">IFERROR(IF(OR(HLOOKUP($A673,#REF!,16,FALSE())&gt;2,HLOOKUP($A673,#REF!,16,FALSE())&lt;-2),"",#REF!),"")</f>
        <v/>
      </c>
      <c r="S673" s="0" t="str">
        <f aca="false">IFERROR(IF(OR(HLOOKUP($A673,#REF!,17,FALSE())&gt;2,HLOOKUP($A673,#REF!,17,FALSE())&lt;-2),"",#REF!),"")</f>
        <v/>
      </c>
      <c r="T673" s="0" t="str">
        <f aca="false">IFERROR(IF(OR(HLOOKUP($A673,#REF!,18,FALSE())&gt;2,HLOOKUP($A673,#REF!,18,FALSE())&lt;-2),"",#REF!),"")</f>
        <v/>
      </c>
      <c r="U673" s="0" t="str">
        <f aca="false">IFERROR(IF(OR(HLOOKUP($A673,#REF!,19,FALSE())&gt;2,HLOOKUP($A673,#REF!,19,FALSE())&lt;-2),"",#REF!),"")</f>
        <v/>
      </c>
      <c r="V673" s="0" t="n">
        <f aca="false">IFERROR(IF(AND(X673=0,Y673=0),0,1),0)</f>
        <v>1</v>
      </c>
      <c r="W673" s="3" t="str">
        <f aca="false">IFERROR(_xlfn.T.TEST(E673:M673,N673:U673,2,2),"")</f>
        <v/>
      </c>
      <c r="X673" s="0" t="str">
        <f aca="false">IFERROR(AVERAGE(E673:M673),"")</f>
        <v/>
      </c>
      <c r="Y673" s="0" t="str">
        <f aca="false">IFERROR(AVERAGE(N673:U673),"")</f>
        <v/>
      </c>
    </row>
    <row r="674" customFormat="false" ht="14.5" hidden="false" customHeight="false" outlineLevel="0" collapsed="false">
      <c r="A674" s="0" t="n">
        <v>682</v>
      </c>
      <c r="B674" s="0" t="s">
        <v>735</v>
      </c>
      <c r="C674" s="0" t="n">
        <v>91100</v>
      </c>
      <c r="D674" s="0" t="n">
        <v>651</v>
      </c>
      <c r="E674" s="0" t="str">
        <f aca="false">IFERROR(IF(OR(HLOOKUP($A674,#REF!,3,FALSE())&gt;2,HLOOKUP(A674,#REF!,3,FALSE())&lt;-2),"",#REF!),"")</f>
        <v/>
      </c>
      <c r="F674" s="0" t="str">
        <f aca="false">IFERROR(IF(OR(HLOOKUP($A674,#REF!,4,FALSE())&gt;2,HLOOKUP($A674,#REF!,4,FALSE())&lt;-2),"",#REF!),"")</f>
        <v/>
      </c>
      <c r="G674" s="0" t="str">
        <f aca="false">IFERROR(IF(OR(HLOOKUP($A674,#REF!,5,FALSE())&gt;2,HLOOKUP($A674,#REF!,5,FALSE())&lt;-2),"",#REF!),"")</f>
        <v/>
      </c>
      <c r="H674" s="0" t="str">
        <f aca="false">IFERROR(IF(OR(HLOOKUP($A674,#REF!,6,FALSE())&gt;2,HLOOKUP($A674,#REF!,6,FALSE())&lt;-2),"",#REF!),"")</f>
        <v/>
      </c>
      <c r="I674" s="0" t="str">
        <f aca="false">IFERROR(IF(OR(HLOOKUP($A674,#REF!,7,FALSE())&gt;2,HLOOKUP($A674,#REF!,7,FALSE())&lt;-2),"",#REF!),"")</f>
        <v/>
      </c>
      <c r="J674" s="0" t="str">
        <f aca="false">IFERROR(IF(OR(HLOOKUP($A674,#REF!,8,FALSE())&gt;2,HLOOKUP($A674,#REF!,8,FALSE())&lt;-2),"",#REF!),"")</f>
        <v/>
      </c>
      <c r="K674" s="0" t="str">
        <f aca="false">IFERROR(IF(OR(HLOOKUP($A674,#REF!,9,FALSE())&gt;2,HLOOKUP($A674,#REF!,9,FALSE())&lt;-2),"",#REF!),"")</f>
        <v/>
      </c>
      <c r="L674" s="0" t="str">
        <f aca="false">IFERROR(IF(OR(HLOOKUP($A674,#REF!,10,FALSE())&gt;2,HLOOKUP($A674,#REF!,10,FALSE())&lt;-2),"",#REF!),"")</f>
        <v/>
      </c>
      <c r="M674" s="0" t="str">
        <f aca="false">IFERROR(IF(OR(HLOOKUP($A674,#REF!,11,FALSE())&gt;2,HLOOKUP($A674,#REF!,11,FALSE())&lt;-2),"",#REF!),"")</f>
        <v/>
      </c>
      <c r="N674" s="0" t="str">
        <f aca="false">IFERROR(IF(OR(HLOOKUP($A674,#REF!,12,FALSE())&gt;2,HLOOKUP($A674,#REF!,12,FALSE())&lt;-2),"",#REF!),"")</f>
        <v/>
      </c>
      <c r="O674" s="0" t="str">
        <f aca="false">IFERROR(IF(OR(HLOOKUP($A674,#REF!,13,FALSE())&gt;2,HLOOKUP($A674,#REF!,13,FALSE())&lt;-2),"",#REF!),"")</f>
        <v/>
      </c>
      <c r="P674" s="0" t="str">
        <f aca="false">IFERROR(IF(OR(HLOOKUP($A674,#REF!,14,FALSE())&gt;2,HLOOKUP($A674,#REF!,14,FALSE())&lt;-2),"",#REF!),"")</f>
        <v/>
      </c>
      <c r="Q674" s="0" t="str">
        <f aca="false">IFERROR(IF(OR(HLOOKUP($A674,#REF!,15,FALSE())&gt;2,HLOOKUP($A674,#REF!,15,FALSE())&lt;-2),"",#REF!),"")</f>
        <v/>
      </c>
      <c r="R674" s="0" t="str">
        <f aca="false">IFERROR(IF(OR(HLOOKUP($A674,#REF!,16,FALSE())&gt;2,HLOOKUP($A674,#REF!,16,FALSE())&lt;-2),"",#REF!),"")</f>
        <v/>
      </c>
      <c r="S674" s="0" t="str">
        <f aca="false">IFERROR(IF(OR(HLOOKUP($A674,#REF!,17,FALSE())&gt;2,HLOOKUP($A674,#REF!,17,FALSE())&lt;-2),"",#REF!),"")</f>
        <v/>
      </c>
      <c r="T674" s="0" t="str">
        <f aca="false">IFERROR(IF(OR(HLOOKUP($A674,#REF!,18,FALSE())&gt;2,HLOOKUP($A674,#REF!,18,FALSE())&lt;-2),"",#REF!),"")</f>
        <v/>
      </c>
      <c r="U674" s="0" t="str">
        <f aca="false">IFERROR(IF(OR(HLOOKUP($A674,#REF!,19,FALSE())&gt;2,HLOOKUP($A674,#REF!,19,FALSE())&lt;-2),"",#REF!),"")</f>
        <v/>
      </c>
      <c r="V674" s="0" t="n">
        <f aca="false">IFERROR(IF(AND(X674=0,Y674=0),0,1),0)</f>
        <v>1</v>
      </c>
      <c r="W674" s="3" t="str">
        <f aca="false">IFERROR(_xlfn.T.TEST(E674:M674,N674:U674,2,2),"")</f>
        <v/>
      </c>
      <c r="X674" s="0" t="str">
        <f aca="false">IFERROR(AVERAGE(E674:M674),"")</f>
        <v/>
      </c>
      <c r="Y674" s="0" t="str">
        <f aca="false">IFERROR(AVERAGE(N674:U674),"")</f>
        <v/>
      </c>
    </row>
    <row r="675" customFormat="false" ht="14.5" hidden="false" customHeight="false" outlineLevel="0" collapsed="false">
      <c r="A675" s="0" t="n">
        <v>683</v>
      </c>
      <c r="B675" s="0" t="s">
        <v>736</v>
      </c>
      <c r="C675" s="0" t="n">
        <v>27700</v>
      </c>
      <c r="D675" s="0" t="n">
        <v>22</v>
      </c>
      <c r="E675" s="0" t="str">
        <f aca="false">IFERROR(IF(OR(HLOOKUP($A675,#REF!,3,FALSE())&gt;2,HLOOKUP(A675,#REF!,3,FALSE())&lt;-2),"",#REF!),"")</f>
        <v/>
      </c>
      <c r="F675" s="0" t="str">
        <f aca="false">IFERROR(IF(OR(HLOOKUP($A675,#REF!,4,FALSE())&gt;2,HLOOKUP($A675,#REF!,4,FALSE())&lt;-2),"",#REF!),"")</f>
        <v/>
      </c>
      <c r="G675" s="0" t="str">
        <f aca="false">IFERROR(IF(OR(HLOOKUP($A675,#REF!,5,FALSE())&gt;2,HLOOKUP($A675,#REF!,5,FALSE())&lt;-2),"",#REF!),"")</f>
        <v/>
      </c>
      <c r="H675" s="0" t="str">
        <f aca="false">IFERROR(IF(OR(HLOOKUP($A675,#REF!,6,FALSE())&gt;2,HLOOKUP($A675,#REF!,6,FALSE())&lt;-2),"",#REF!),"")</f>
        <v/>
      </c>
      <c r="I675" s="0" t="str">
        <f aca="false">IFERROR(IF(OR(HLOOKUP($A675,#REF!,7,FALSE())&gt;2,HLOOKUP($A675,#REF!,7,FALSE())&lt;-2),"",#REF!),"")</f>
        <v/>
      </c>
      <c r="J675" s="0" t="str">
        <f aca="false">IFERROR(IF(OR(HLOOKUP($A675,#REF!,8,FALSE())&gt;2,HLOOKUP($A675,#REF!,8,FALSE())&lt;-2),"",#REF!),"")</f>
        <v/>
      </c>
      <c r="K675" s="0" t="str">
        <f aca="false">IFERROR(IF(OR(HLOOKUP($A675,#REF!,9,FALSE())&gt;2,HLOOKUP($A675,#REF!,9,FALSE())&lt;-2),"",#REF!),"")</f>
        <v/>
      </c>
      <c r="L675" s="0" t="str">
        <f aca="false">IFERROR(IF(OR(HLOOKUP($A675,#REF!,10,FALSE())&gt;2,HLOOKUP($A675,#REF!,10,FALSE())&lt;-2),"",#REF!),"")</f>
        <v/>
      </c>
      <c r="M675" s="0" t="str">
        <f aca="false">IFERROR(IF(OR(HLOOKUP($A675,#REF!,11,FALSE())&gt;2,HLOOKUP($A675,#REF!,11,FALSE())&lt;-2),"",#REF!),"")</f>
        <v/>
      </c>
      <c r="N675" s="0" t="str">
        <f aca="false">IFERROR(IF(OR(HLOOKUP($A675,#REF!,12,FALSE())&gt;2,HLOOKUP($A675,#REF!,12,FALSE())&lt;-2),"",#REF!),"")</f>
        <v/>
      </c>
      <c r="O675" s="0" t="str">
        <f aca="false">IFERROR(IF(OR(HLOOKUP($A675,#REF!,13,FALSE())&gt;2,HLOOKUP($A675,#REF!,13,FALSE())&lt;-2),"",#REF!),"")</f>
        <v/>
      </c>
      <c r="P675" s="0" t="str">
        <f aca="false">IFERROR(IF(OR(HLOOKUP($A675,#REF!,14,FALSE())&gt;2,HLOOKUP($A675,#REF!,14,FALSE())&lt;-2),"",#REF!),"")</f>
        <v/>
      </c>
      <c r="Q675" s="0" t="str">
        <f aca="false">IFERROR(IF(OR(HLOOKUP($A675,#REF!,15,FALSE())&gt;2,HLOOKUP($A675,#REF!,15,FALSE())&lt;-2),"",#REF!),"")</f>
        <v/>
      </c>
      <c r="R675" s="0" t="str">
        <f aca="false">IFERROR(IF(OR(HLOOKUP($A675,#REF!,16,FALSE())&gt;2,HLOOKUP($A675,#REF!,16,FALSE())&lt;-2),"",#REF!),"")</f>
        <v/>
      </c>
      <c r="S675" s="0" t="str">
        <f aca="false">IFERROR(IF(OR(HLOOKUP($A675,#REF!,17,FALSE())&gt;2,HLOOKUP($A675,#REF!,17,FALSE())&lt;-2),"",#REF!),"")</f>
        <v/>
      </c>
      <c r="T675" s="0" t="str">
        <f aca="false">IFERROR(IF(OR(HLOOKUP($A675,#REF!,18,FALSE())&gt;2,HLOOKUP($A675,#REF!,18,FALSE())&lt;-2),"",#REF!),"")</f>
        <v/>
      </c>
      <c r="U675" s="0" t="str">
        <f aca="false">IFERROR(IF(OR(HLOOKUP($A675,#REF!,19,FALSE())&gt;2,HLOOKUP($A675,#REF!,19,FALSE())&lt;-2),"",#REF!),"")</f>
        <v/>
      </c>
      <c r="V675" s="0" t="n">
        <f aca="false">IFERROR(IF(AND(X675=0,Y675=0),0,1),0)</f>
        <v>1</v>
      </c>
      <c r="W675" s="3" t="str">
        <f aca="false">IFERROR(_xlfn.T.TEST(E675:M675,N675:U675,2,2),"")</f>
        <v/>
      </c>
      <c r="X675" s="0" t="str">
        <f aca="false">IFERROR(AVERAGE(E675:M675),"")</f>
        <v/>
      </c>
      <c r="Y675" s="0" t="str">
        <f aca="false">IFERROR(AVERAGE(N675:U675),"")</f>
        <v/>
      </c>
    </row>
    <row r="676" customFormat="false" ht="14.5" hidden="false" customHeight="false" outlineLevel="0" collapsed="false">
      <c r="A676" s="0" t="n">
        <v>684</v>
      </c>
      <c r="B676" s="0" t="s">
        <v>737</v>
      </c>
      <c r="C676" s="0" t="n">
        <v>72700</v>
      </c>
      <c r="D676" s="0" t="n">
        <v>830</v>
      </c>
      <c r="E676" s="0" t="str">
        <f aca="false">IFERROR(IF(OR(HLOOKUP($A676,#REF!,3,FALSE())&gt;2,HLOOKUP(A676,#REF!,3,FALSE())&lt;-2),"",#REF!),"")</f>
        <v/>
      </c>
      <c r="F676" s="0" t="str">
        <f aca="false">IFERROR(IF(OR(HLOOKUP($A676,#REF!,4,FALSE())&gt;2,HLOOKUP($A676,#REF!,4,FALSE())&lt;-2),"",#REF!),"")</f>
        <v/>
      </c>
      <c r="G676" s="0" t="str">
        <f aca="false">IFERROR(IF(OR(HLOOKUP($A676,#REF!,5,FALSE())&gt;2,HLOOKUP($A676,#REF!,5,FALSE())&lt;-2),"",#REF!),"")</f>
        <v/>
      </c>
      <c r="H676" s="0" t="str">
        <f aca="false">IFERROR(IF(OR(HLOOKUP($A676,#REF!,6,FALSE())&gt;2,HLOOKUP($A676,#REF!,6,FALSE())&lt;-2),"",#REF!),"")</f>
        <v/>
      </c>
      <c r="I676" s="0" t="str">
        <f aca="false">IFERROR(IF(OR(HLOOKUP($A676,#REF!,7,FALSE())&gt;2,HLOOKUP($A676,#REF!,7,FALSE())&lt;-2),"",#REF!),"")</f>
        <v/>
      </c>
      <c r="J676" s="0" t="str">
        <f aca="false">IFERROR(IF(OR(HLOOKUP($A676,#REF!,8,FALSE())&gt;2,HLOOKUP($A676,#REF!,8,FALSE())&lt;-2),"",#REF!),"")</f>
        <v/>
      </c>
      <c r="K676" s="0" t="str">
        <f aca="false">IFERROR(IF(OR(HLOOKUP($A676,#REF!,9,FALSE())&gt;2,HLOOKUP($A676,#REF!,9,FALSE())&lt;-2),"",#REF!),"")</f>
        <v/>
      </c>
      <c r="L676" s="0" t="str">
        <f aca="false">IFERROR(IF(OR(HLOOKUP($A676,#REF!,10,FALSE())&gt;2,HLOOKUP($A676,#REF!,10,FALSE())&lt;-2),"",#REF!),"")</f>
        <v/>
      </c>
      <c r="M676" s="0" t="str">
        <f aca="false">IFERROR(IF(OR(HLOOKUP($A676,#REF!,11,FALSE())&gt;2,HLOOKUP($A676,#REF!,11,FALSE())&lt;-2),"",#REF!),"")</f>
        <v/>
      </c>
      <c r="N676" s="0" t="str">
        <f aca="false">IFERROR(IF(OR(HLOOKUP($A676,#REF!,12,FALSE())&gt;2,HLOOKUP($A676,#REF!,12,FALSE())&lt;-2),"",#REF!),"")</f>
        <v/>
      </c>
      <c r="O676" s="0" t="str">
        <f aca="false">IFERROR(IF(OR(HLOOKUP($A676,#REF!,13,FALSE())&gt;2,HLOOKUP($A676,#REF!,13,FALSE())&lt;-2),"",#REF!),"")</f>
        <v/>
      </c>
      <c r="P676" s="0" t="str">
        <f aca="false">IFERROR(IF(OR(HLOOKUP($A676,#REF!,14,FALSE())&gt;2,HLOOKUP($A676,#REF!,14,FALSE())&lt;-2),"",#REF!),"")</f>
        <v/>
      </c>
      <c r="Q676" s="0" t="str">
        <f aca="false">IFERROR(IF(OR(HLOOKUP($A676,#REF!,15,FALSE())&gt;2,HLOOKUP($A676,#REF!,15,FALSE())&lt;-2),"",#REF!),"")</f>
        <v/>
      </c>
      <c r="R676" s="0" t="str">
        <f aca="false">IFERROR(IF(OR(HLOOKUP($A676,#REF!,16,FALSE())&gt;2,HLOOKUP($A676,#REF!,16,FALSE())&lt;-2),"",#REF!),"")</f>
        <v/>
      </c>
      <c r="S676" s="0" t="str">
        <f aca="false">IFERROR(IF(OR(HLOOKUP($A676,#REF!,17,FALSE())&gt;2,HLOOKUP($A676,#REF!,17,FALSE())&lt;-2),"",#REF!),"")</f>
        <v/>
      </c>
      <c r="T676" s="0" t="str">
        <f aca="false">IFERROR(IF(OR(HLOOKUP($A676,#REF!,18,FALSE())&gt;2,HLOOKUP($A676,#REF!,18,FALSE())&lt;-2),"",#REF!),"")</f>
        <v/>
      </c>
      <c r="U676" s="0" t="str">
        <f aca="false">IFERROR(IF(OR(HLOOKUP($A676,#REF!,19,FALSE())&gt;2,HLOOKUP($A676,#REF!,19,FALSE())&lt;-2),"",#REF!),"")</f>
        <v/>
      </c>
      <c r="V676" s="0" t="n">
        <f aca="false">IFERROR(IF(AND(X676=0,Y676=0),0,1),0)</f>
        <v>1</v>
      </c>
      <c r="W676" s="3" t="str">
        <f aca="false">IFERROR(_xlfn.T.TEST(E676:M676,N676:U676,2,2),"")</f>
        <v/>
      </c>
      <c r="X676" s="0" t="str">
        <f aca="false">IFERROR(AVERAGE(E676:M676),"")</f>
        <v/>
      </c>
      <c r="Y676" s="0" t="str">
        <f aca="false">IFERROR(AVERAGE(N676:U676),"")</f>
        <v/>
      </c>
    </row>
    <row r="677" customFormat="false" ht="14.5" hidden="false" customHeight="false" outlineLevel="0" collapsed="false">
      <c r="A677" s="0" t="n">
        <v>685</v>
      </c>
      <c r="B677" s="0" t="s">
        <v>738</v>
      </c>
      <c r="C677" s="0" t="n">
        <v>63900</v>
      </c>
      <c r="D677" s="0" t="n">
        <v>637</v>
      </c>
      <c r="E677" s="0" t="str">
        <f aca="false">IFERROR(IF(OR(HLOOKUP($A677,#REF!,3,FALSE())&gt;2,HLOOKUP(A677,#REF!,3,FALSE())&lt;-2),"",#REF!),"")</f>
        <v/>
      </c>
      <c r="F677" s="0" t="str">
        <f aca="false">IFERROR(IF(OR(HLOOKUP($A677,#REF!,4,FALSE())&gt;2,HLOOKUP($A677,#REF!,4,FALSE())&lt;-2),"",#REF!),"")</f>
        <v/>
      </c>
      <c r="G677" s="0" t="str">
        <f aca="false">IFERROR(IF(OR(HLOOKUP($A677,#REF!,5,FALSE())&gt;2,HLOOKUP($A677,#REF!,5,FALSE())&lt;-2),"",#REF!),"")</f>
        <v/>
      </c>
      <c r="H677" s="0" t="str">
        <f aca="false">IFERROR(IF(OR(HLOOKUP($A677,#REF!,6,FALSE())&gt;2,HLOOKUP($A677,#REF!,6,FALSE())&lt;-2),"",#REF!),"")</f>
        <v/>
      </c>
      <c r="I677" s="0" t="str">
        <f aca="false">IFERROR(IF(OR(HLOOKUP($A677,#REF!,7,FALSE())&gt;2,HLOOKUP($A677,#REF!,7,FALSE())&lt;-2),"",#REF!),"")</f>
        <v/>
      </c>
      <c r="J677" s="0" t="str">
        <f aca="false">IFERROR(IF(OR(HLOOKUP($A677,#REF!,8,FALSE())&gt;2,HLOOKUP($A677,#REF!,8,FALSE())&lt;-2),"",#REF!),"")</f>
        <v/>
      </c>
      <c r="K677" s="0" t="str">
        <f aca="false">IFERROR(IF(OR(HLOOKUP($A677,#REF!,9,FALSE())&gt;2,HLOOKUP($A677,#REF!,9,FALSE())&lt;-2),"",#REF!),"")</f>
        <v/>
      </c>
      <c r="L677" s="0" t="str">
        <f aca="false">IFERROR(IF(OR(HLOOKUP($A677,#REF!,10,FALSE())&gt;2,HLOOKUP($A677,#REF!,10,FALSE())&lt;-2),"",#REF!),"")</f>
        <v/>
      </c>
      <c r="M677" s="0" t="str">
        <f aca="false">IFERROR(IF(OR(HLOOKUP($A677,#REF!,11,FALSE())&gt;2,HLOOKUP($A677,#REF!,11,FALSE())&lt;-2),"",#REF!),"")</f>
        <v/>
      </c>
      <c r="N677" s="0" t="str">
        <f aca="false">IFERROR(IF(OR(HLOOKUP($A677,#REF!,12,FALSE())&gt;2,HLOOKUP($A677,#REF!,12,FALSE())&lt;-2),"",#REF!),"")</f>
        <v/>
      </c>
      <c r="O677" s="0" t="str">
        <f aca="false">IFERROR(IF(OR(HLOOKUP($A677,#REF!,13,FALSE())&gt;2,HLOOKUP($A677,#REF!,13,FALSE())&lt;-2),"",#REF!),"")</f>
        <v/>
      </c>
      <c r="P677" s="0" t="str">
        <f aca="false">IFERROR(IF(OR(HLOOKUP($A677,#REF!,14,FALSE())&gt;2,HLOOKUP($A677,#REF!,14,FALSE())&lt;-2),"",#REF!),"")</f>
        <v/>
      </c>
      <c r="Q677" s="0" t="str">
        <f aca="false">IFERROR(IF(OR(HLOOKUP($A677,#REF!,15,FALSE())&gt;2,HLOOKUP($A677,#REF!,15,FALSE())&lt;-2),"",#REF!),"")</f>
        <v/>
      </c>
      <c r="R677" s="0" t="str">
        <f aca="false">IFERROR(IF(OR(HLOOKUP($A677,#REF!,16,FALSE())&gt;2,HLOOKUP($A677,#REF!,16,FALSE())&lt;-2),"",#REF!),"")</f>
        <v/>
      </c>
      <c r="S677" s="0" t="str">
        <f aca="false">IFERROR(IF(OR(HLOOKUP($A677,#REF!,17,FALSE())&gt;2,HLOOKUP($A677,#REF!,17,FALSE())&lt;-2),"",#REF!),"")</f>
        <v/>
      </c>
      <c r="T677" s="0" t="str">
        <f aca="false">IFERROR(IF(OR(HLOOKUP($A677,#REF!,18,FALSE())&gt;2,HLOOKUP($A677,#REF!,18,FALSE())&lt;-2),"",#REF!),"")</f>
        <v/>
      </c>
      <c r="U677" s="0" t="str">
        <f aca="false">IFERROR(IF(OR(HLOOKUP($A677,#REF!,19,FALSE())&gt;2,HLOOKUP($A677,#REF!,19,FALSE())&lt;-2),"",#REF!),"")</f>
        <v/>
      </c>
      <c r="V677" s="0" t="n">
        <f aca="false">IFERROR(IF(AND(X677=0,Y677=0),0,1),0)</f>
        <v>1</v>
      </c>
      <c r="W677" s="3" t="str">
        <f aca="false">IFERROR(_xlfn.T.TEST(E677:M677,N677:U677,2,2),"")</f>
        <v/>
      </c>
      <c r="X677" s="0" t="str">
        <f aca="false">IFERROR(AVERAGE(E677:M677),"")</f>
        <v/>
      </c>
      <c r="Y677" s="0" t="str">
        <f aca="false">IFERROR(AVERAGE(N677:U677),"")</f>
        <v/>
      </c>
    </row>
    <row r="678" customFormat="false" ht="14.5" hidden="false" customHeight="false" outlineLevel="0" collapsed="false">
      <c r="A678" s="0" t="n">
        <v>686</v>
      </c>
      <c r="B678" s="0" t="s">
        <v>739</v>
      </c>
      <c r="C678" s="0" t="n">
        <v>3300</v>
      </c>
      <c r="D678" s="0" t="n">
        <v>322</v>
      </c>
      <c r="E678" s="0" t="str">
        <f aca="false">IFERROR(IF(OR(HLOOKUP($A678,#REF!,3,FALSE())&gt;2,HLOOKUP(A678,#REF!,3,FALSE())&lt;-2),"",#REF!),"")</f>
        <v/>
      </c>
      <c r="F678" s="0" t="str">
        <f aca="false">IFERROR(IF(OR(HLOOKUP($A678,#REF!,4,FALSE())&gt;2,HLOOKUP($A678,#REF!,4,FALSE())&lt;-2),"",#REF!),"")</f>
        <v/>
      </c>
      <c r="G678" s="0" t="str">
        <f aca="false">IFERROR(IF(OR(HLOOKUP($A678,#REF!,5,FALSE())&gt;2,HLOOKUP($A678,#REF!,5,FALSE())&lt;-2),"",#REF!),"")</f>
        <v/>
      </c>
      <c r="H678" s="0" t="str">
        <f aca="false">IFERROR(IF(OR(HLOOKUP($A678,#REF!,6,FALSE())&gt;2,HLOOKUP($A678,#REF!,6,FALSE())&lt;-2),"",#REF!),"")</f>
        <v/>
      </c>
      <c r="I678" s="0" t="str">
        <f aca="false">IFERROR(IF(OR(HLOOKUP($A678,#REF!,7,FALSE())&gt;2,HLOOKUP($A678,#REF!,7,FALSE())&lt;-2),"",#REF!),"")</f>
        <v/>
      </c>
      <c r="J678" s="0" t="str">
        <f aca="false">IFERROR(IF(OR(HLOOKUP($A678,#REF!,8,FALSE())&gt;2,HLOOKUP($A678,#REF!,8,FALSE())&lt;-2),"",#REF!),"")</f>
        <v/>
      </c>
      <c r="K678" s="0" t="str">
        <f aca="false">IFERROR(IF(OR(HLOOKUP($A678,#REF!,9,FALSE())&gt;2,HLOOKUP($A678,#REF!,9,FALSE())&lt;-2),"",#REF!),"")</f>
        <v/>
      </c>
      <c r="L678" s="0" t="str">
        <f aca="false">IFERROR(IF(OR(HLOOKUP($A678,#REF!,10,FALSE())&gt;2,HLOOKUP($A678,#REF!,10,FALSE())&lt;-2),"",#REF!),"")</f>
        <v/>
      </c>
      <c r="M678" s="0" t="str">
        <f aca="false">IFERROR(IF(OR(HLOOKUP($A678,#REF!,11,FALSE())&gt;2,HLOOKUP($A678,#REF!,11,FALSE())&lt;-2),"",#REF!),"")</f>
        <v/>
      </c>
      <c r="N678" s="0" t="str">
        <f aca="false">IFERROR(IF(OR(HLOOKUP($A678,#REF!,12,FALSE())&gt;2,HLOOKUP($A678,#REF!,12,FALSE())&lt;-2),"",#REF!),"")</f>
        <v/>
      </c>
      <c r="O678" s="0" t="str">
        <f aca="false">IFERROR(IF(OR(HLOOKUP($A678,#REF!,13,FALSE())&gt;2,HLOOKUP($A678,#REF!,13,FALSE())&lt;-2),"",#REF!),"")</f>
        <v/>
      </c>
      <c r="P678" s="0" t="str">
        <f aca="false">IFERROR(IF(OR(HLOOKUP($A678,#REF!,14,FALSE())&gt;2,HLOOKUP($A678,#REF!,14,FALSE())&lt;-2),"",#REF!),"")</f>
        <v/>
      </c>
      <c r="Q678" s="0" t="str">
        <f aca="false">IFERROR(IF(OR(HLOOKUP($A678,#REF!,15,FALSE())&gt;2,HLOOKUP($A678,#REF!,15,FALSE())&lt;-2),"",#REF!),"")</f>
        <v/>
      </c>
      <c r="R678" s="0" t="str">
        <f aca="false">IFERROR(IF(OR(HLOOKUP($A678,#REF!,16,FALSE())&gt;2,HLOOKUP($A678,#REF!,16,FALSE())&lt;-2),"",#REF!),"")</f>
        <v/>
      </c>
      <c r="S678" s="0" t="str">
        <f aca="false">IFERROR(IF(OR(HLOOKUP($A678,#REF!,17,FALSE())&gt;2,HLOOKUP($A678,#REF!,17,FALSE())&lt;-2),"",#REF!),"")</f>
        <v/>
      </c>
      <c r="T678" s="0" t="str">
        <f aca="false">IFERROR(IF(OR(HLOOKUP($A678,#REF!,18,FALSE())&gt;2,HLOOKUP($A678,#REF!,18,FALSE())&lt;-2),"",#REF!),"")</f>
        <v/>
      </c>
      <c r="U678" s="0" t="str">
        <f aca="false">IFERROR(IF(OR(HLOOKUP($A678,#REF!,19,FALSE())&gt;2,HLOOKUP($A678,#REF!,19,FALSE())&lt;-2),"",#REF!),"")</f>
        <v/>
      </c>
      <c r="V678" s="0" t="n">
        <f aca="false">IFERROR(IF(AND(X678=0,Y678=0),0,1),0)</f>
        <v>1</v>
      </c>
      <c r="W678" s="3" t="str">
        <f aca="false">IFERROR(_xlfn.T.TEST(E678:M678,N678:U678,2,2),"")</f>
        <v/>
      </c>
      <c r="X678" s="0" t="str">
        <f aca="false">IFERROR(AVERAGE(E678:M678),"")</f>
        <v/>
      </c>
      <c r="Y678" s="0" t="str">
        <f aca="false">IFERROR(AVERAGE(N678:U678),"")</f>
        <v/>
      </c>
    </row>
    <row r="679" customFormat="false" ht="14.5" hidden="false" customHeight="false" outlineLevel="0" collapsed="false">
      <c r="A679" s="0" t="n">
        <v>687</v>
      </c>
      <c r="B679" s="0" t="s">
        <v>66</v>
      </c>
      <c r="C679" s="0" t="n">
        <v>27000</v>
      </c>
      <c r="D679" s="0" t="n">
        <v>886</v>
      </c>
      <c r="E679" s="0" t="str">
        <f aca="false">IFERROR(IF(OR(HLOOKUP($A679,#REF!,3,FALSE())&gt;2,HLOOKUP(A679,#REF!,3,FALSE())&lt;-2),"",#REF!),"")</f>
        <v/>
      </c>
      <c r="F679" s="0" t="str">
        <f aca="false">IFERROR(IF(OR(HLOOKUP($A679,#REF!,4,FALSE())&gt;2,HLOOKUP($A679,#REF!,4,FALSE())&lt;-2),"",#REF!),"")</f>
        <v/>
      </c>
      <c r="G679" s="0" t="str">
        <f aca="false">IFERROR(IF(OR(HLOOKUP($A679,#REF!,5,FALSE())&gt;2,HLOOKUP($A679,#REF!,5,FALSE())&lt;-2),"",#REF!),"")</f>
        <v/>
      </c>
      <c r="H679" s="0" t="str">
        <f aca="false">IFERROR(IF(OR(HLOOKUP($A679,#REF!,6,FALSE())&gt;2,HLOOKUP($A679,#REF!,6,FALSE())&lt;-2),"",#REF!),"")</f>
        <v/>
      </c>
      <c r="I679" s="0" t="str">
        <f aca="false">IFERROR(IF(OR(HLOOKUP($A679,#REF!,7,FALSE())&gt;2,HLOOKUP($A679,#REF!,7,FALSE())&lt;-2),"",#REF!),"")</f>
        <v/>
      </c>
      <c r="J679" s="0" t="str">
        <f aca="false">IFERROR(IF(OR(HLOOKUP($A679,#REF!,8,FALSE())&gt;2,HLOOKUP($A679,#REF!,8,FALSE())&lt;-2),"",#REF!),"")</f>
        <v/>
      </c>
      <c r="K679" s="0" t="str">
        <f aca="false">IFERROR(IF(OR(HLOOKUP($A679,#REF!,9,FALSE())&gt;2,HLOOKUP($A679,#REF!,9,FALSE())&lt;-2),"",#REF!),"")</f>
        <v/>
      </c>
      <c r="L679" s="0" t="str">
        <f aca="false">IFERROR(IF(OR(HLOOKUP($A679,#REF!,10,FALSE())&gt;2,HLOOKUP($A679,#REF!,10,FALSE())&lt;-2),"",#REF!),"")</f>
        <v/>
      </c>
      <c r="M679" s="0" t="str">
        <f aca="false">IFERROR(IF(OR(HLOOKUP($A679,#REF!,11,FALSE())&gt;2,HLOOKUP($A679,#REF!,11,FALSE())&lt;-2),"",#REF!),"")</f>
        <v/>
      </c>
      <c r="N679" s="0" t="str">
        <f aca="false">IFERROR(IF(OR(HLOOKUP($A679,#REF!,12,FALSE())&gt;2,HLOOKUP($A679,#REF!,12,FALSE())&lt;-2),"",#REF!),"")</f>
        <v/>
      </c>
      <c r="O679" s="0" t="str">
        <f aca="false">IFERROR(IF(OR(HLOOKUP($A679,#REF!,13,FALSE())&gt;2,HLOOKUP($A679,#REF!,13,FALSE())&lt;-2),"",#REF!),"")</f>
        <v/>
      </c>
      <c r="P679" s="0" t="str">
        <f aca="false">IFERROR(IF(OR(HLOOKUP($A679,#REF!,14,FALSE())&gt;2,HLOOKUP($A679,#REF!,14,FALSE())&lt;-2),"",#REF!),"")</f>
        <v/>
      </c>
      <c r="Q679" s="0" t="str">
        <f aca="false">IFERROR(IF(OR(HLOOKUP($A679,#REF!,15,FALSE())&gt;2,HLOOKUP($A679,#REF!,15,FALSE())&lt;-2),"",#REF!),"")</f>
        <v/>
      </c>
      <c r="R679" s="0" t="str">
        <f aca="false">IFERROR(IF(OR(HLOOKUP($A679,#REF!,16,FALSE())&gt;2,HLOOKUP($A679,#REF!,16,FALSE())&lt;-2),"",#REF!),"")</f>
        <v/>
      </c>
      <c r="S679" s="0" t="str">
        <f aca="false">IFERROR(IF(OR(HLOOKUP($A679,#REF!,17,FALSE())&gt;2,HLOOKUP($A679,#REF!,17,FALSE())&lt;-2),"",#REF!),"")</f>
        <v/>
      </c>
      <c r="T679" s="0" t="str">
        <f aca="false">IFERROR(IF(OR(HLOOKUP($A679,#REF!,18,FALSE())&gt;2,HLOOKUP($A679,#REF!,18,FALSE())&lt;-2),"",#REF!),"")</f>
        <v/>
      </c>
      <c r="U679" s="0" t="str">
        <f aca="false">IFERROR(IF(OR(HLOOKUP($A679,#REF!,19,FALSE())&gt;2,HLOOKUP($A679,#REF!,19,FALSE())&lt;-2),"",#REF!),"")</f>
        <v/>
      </c>
      <c r="V679" s="0" t="n">
        <f aca="false">IFERROR(IF(AND(X679=0,Y679=0),0,1),0)</f>
        <v>1</v>
      </c>
      <c r="W679" s="3" t="str">
        <f aca="false">IFERROR(_xlfn.T.TEST(E679:M679,N679:U679,2,2),"")</f>
        <v/>
      </c>
      <c r="X679" s="0" t="str">
        <f aca="false">IFERROR(AVERAGE(E679:M679),"")</f>
        <v/>
      </c>
      <c r="Y679" s="0" t="str">
        <f aca="false">IFERROR(AVERAGE(N679:U679),"")</f>
        <v/>
      </c>
    </row>
    <row r="680" customFormat="false" ht="14.5" hidden="false" customHeight="false" outlineLevel="0" collapsed="false">
      <c r="A680" s="0" t="n">
        <v>688</v>
      </c>
      <c r="B680" s="0" t="s">
        <v>740</v>
      </c>
      <c r="C680" s="0" t="n">
        <v>300</v>
      </c>
      <c r="D680" s="0" t="n">
        <v>567</v>
      </c>
      <c r="E680" s="0" t="str">
        <f aca="false">IFERROR(IF(OR(HLOOKUP($A680,#REF!,3,FALSE())&gt;2,HLOOKUP(A680,#REF!,3,FALSE())&lt;-2),"",#REF!),"")</f>
        <v/>
      </c>
      <c r="F680" s="0" t="str">
        <f aca="false">IFERROR(IF(OR(HLOOKUP($A680,#REF!,4,FALSE())&gt;2,HLOOKUP($A680,#REF!,4,FALSE())&lt;-2),"",#REF!),"")</f>
        <v/>
      </c>
      <c r="G680" s="0" t="str">
        <f aca="false">IFERROR(IF(OR(HLOOKUP($A680,#REF!,5,FALSE())&gt;2,HLOOKUP($A680,#REF!,5,FALSE())&lt;-2),"",#REF!),"")</f>
        <v/>
      </c>
      <c r="H680" s="0" t="str">
        <f aca="false">IFERROR(IF(OR(HLOOKUP($A680,#REF!,6,FALSE())&gt;2,HLOOKUP($A680,#REF!,6,FALSE())&lt;-2),"",#REF!),"")</f>
        <v/>
      </c>
      <c r="I680" s="0" t="str">
        <f aca="false">IFERROR(IF(OR(HLOOKUP($A680,#REF!,7,FALSE())&gt;2,HLOOKUP($A680,#REF!,7,FALSE())&lt;-2),"",#REF!),"")</f>
        <v/>
      </c>
      <c r="J680" s="0" t="str">
        <f aca="false">IFERROR(IF(OR(HLOOKUP($A680,#REF!,8,FALSE())&gt;2,HLOOKUP($A680,#REF!,8,FALSE())&lt;-2),"",#REF!),"")</f>
        <v/>
      </c>
      <c r="K680" s="0" t="str">
        <f aca="false">IFERROR(IF(OR(HLOOKUP($A680,#REF!,9,FALSE())&gt;2,HLOOKUP($A680,#REF!,9,FALSE())&lt;-2),"",#REF!),"")</f>
        <v/>
      </c>
      <c r="L680" s="0" t="str">
        <f aca="false">IFERROR(IF(OR(HLOOKUP($A680,#REF!,10,FALSE())&gt;2,HLOOKUP($A680,#REF!,10,FALSE())&lt;-2),"",#REF!),"")</f>
        <v/>
      </c>
      <c r="M680" s="0" t="str">
        <f aca="false">IFERROR(IF(OR(HLOOKUP($A680,#REF!,11,FALSE())&gt;2,HLOOKUP($A680,#REF!,11,FALSE())&lt;-2),"",#REF!),"")</f>
        <v/>
      </c>
      <c r="N680" s="0" t="str">
        <f aca="false">IFERROR(IF(OR(HLOOKUP($A680,#REF!,12,FALSE())&gt;2,HLOOKUP($A680,#REF!,12,FALSE())&lt;-2),"",#REF!),"")</f>
        <v/>
      </c>
      <c r="O680" s="0" t="str">
        <f aca="false">IFERROR(IF(OR(HLOOKUP($A680,#REF!,13,FALSE())&gt;2,HLOOKUP($A680,#REF!,13,FALSE())&lt;-2),"",#REF!),"")</f>
        <v/>
      </c>
      <c r="P680" s="0" t="str">
        <f aca="false">IFERROR(IF(OR(HLOOKUP($A680,#REF!,14,FALSE())&gt;2,HLOOKUP($A680,#REF!,14,FALSE())&lt;-2),"",#REF!),"")</f>
        <v/>
      </c>
      <c r="Q680" s="0" t="str">
        <f aca="false">IFERROR(IF(OR(HLOOKUP($A680,#REF!,15,FALSE())&gt;2,HLOOKUP($A680,#REF!,15,FALSE())&lt;-2),"",#REF!),"")</f>
        <v/>
      </c>
      <c r="R680" s="0" t="str">
        <f aca="false">IFERROR(IF(OR(HLOOKUP($A680,#REF!,16,FALSE())&gt;2,HLOOKUP($A680,#REF!,16,FALSE())&lt;-2),"",#REF!),"")</f>
        <v/>
      </c>
      <c r="S680" s="0" t="str">
        <f aca="false">IFERROR(IF(OR(HLOOKUP($A680,#REF!,17,FALSE())&gt;2,HLOOKUP($A680,#REF!,17,FALSE())&lt;-2),"",#REF!),"")</f>
        <v/>
      </c>
      <c r="T680" s="0" t="str">
        <f aca="false">IFERROR(IF(OR(HLOOKUP($A680,#REF!,18,FALSE())&gt;2,HLOOKUP($A680,#REF!,18,FALSE())&lt;-2),"",#REF!),"")</f>
        <v/>
      </c>
      <c r="U680" s="0" t="str">
        <f aca="false">IFERROR(IF(OR(HLOOKUP($A680,#REF!,19,FALSE())&gt;2,HLOOKUP($A680,#REF!,19,FALSE())&lt;-2),"",#REF!),"")</f>
        <v/>
      </c>
      <c r="V680" s="0" t="n">
        <f aca="false">IFERROR(IF(AND(X680=0,Y680=0),0,1),0)</f>
        <v>1</v>
      </c>
      <c r="W680" s="3" t="str">
        <f aca="false">IFERROR(_xlfn.T.TEST(E680:M680,N680:U680,2,2),"")</f>
        <v/>
      </c>
      <c r="X680" s="0" t="str">
        <f aca="false">IFERROR(AVERAGE(E680:M680),"")</f>
        <v/>
      </c>
      <c r="Y680" s="0" t="str">
        <f aca="false">IFERROR(AVERAGE(N680:U680),"")</f>
        <v/>
      </c>
    </row>
    <row r="681" customFormat="false" ht="14.5" hidden="false" customHeight="false" outlineLevel="0" collapsed="false">
      <c r="A681" s="0" t="n">
        <v>689</v>
      </c>
      <c r="B681" s="0" t="s">
        <v>741</v>
      </c>
      <c r="C681" s="0" t="n">
        <v>73900</v>
      </c>
      <c r="D681" s="0" t="n">
        <v>141</v>
      </c>
      <c r="E681" s="0" t="str">
        <f aca="false">IFERROR(IF(OR(HLOOKUP($A681,#REF!,3,FALSE())&gt;2,HLOOKUP(A681,#REF!,3,FALSE())&lt;-2),"",#REF!),"")</f>
        <v/>
      </c>
      <c r="F681" s="0" t="str">
        <f aca="false">IFERROR(IF(OR(HLOOKUP($A681,#REF!,4,FALSE())&gt;2,HLOOKUP($A681,#REF!,4,FALSE())&lt;-2),"",#REF!),"")</f>
        <v/>
      </c>
      <c r="G681" s="0" t="str">
        <f aca="false">IFERROR(IF(OR(HLOOKUP($A681,#REF!,5,FALSE())&gt;2,HLOOKUP($A681,#REF!,5,FALSE())&lt;-2),"",#REF!),"")</f>
        <v/>
      </c>
      <c r="H681" s="0" t="str">
        <f aca="false">IFERROR(IF(OR(HLOOKUP($A681,#REF!,6,FALSE())&gt;2,HLOOKUP($A681,#REF!,6,FALSE())&lt;-2),"",#REF!),"")</f>
        <v/>
      </c>
      <c r="I681" s="0" t="str">
        <f aca="false">IFERROR(IF(OR(HLOOKUP($A681,#REF!,7,FALSE())&gt;2,HLOOKUP($A681,#REF!,7,FALSE())&lt;-2),"",#REF!),"")</f>
        <v/>
      </c>
      <c r="J681" s="0" t="str">
        <f aca="false">IFERROR(IF(OR(HLOOKUP($A681,#REF!,8,FALSE())&gt;2,HLOOKUP($A681,#REF!,8,FALSE())&lt;-2),"",#REF!),"")</f>
        <v/>
      </c>
      <c r="K681" s="0" t="str">
        <f aca="false">IFERROR(IF(OR(HLOOKUP($A681,#REF!,9,FALSE())&gt;2,HLOOKUP($A681,#REF!,9,FALSE())&lt;-2),"",#REF!),"")</f>
        <v/>
      </c>
      <c r="L681" s="0" t="str">
        <f aca="false">IFERROR(IF(OR(HLOOKUP($A681,#REF!,10,FALSE())&gt;2,HLOOKUP($A681,#REF!,10,FALSE())&lt;-2),"",#REF!),"")</f>
        <v/>
      </c>
      <c r="M681" s="0" t="str">
        <f aca="false">IFERROR(IF(OR(HLOOKUP($A681,#REF!,11,FALSE())&gt;2,HLOOKUP($A681,#REF!,11,FALSE())&lt;-2),"",#REF!),"")</f>
        <v/>
      </c>
      <c r="N681" s="0" t="str">
        <f aca="false">IFERROR(IF(OR(HLOOKUP($A681,#REF!,12,FALSE())&gt;2,HLOOKUP($A681,#REF!,12,FALSE())&lt;-2),"",#REF!),"")</f>
        <v/>
      </c>
      <c r="O681" s="0" t="str">
        <f aca="false">IFERROR(IF(OR(HLOOKUP($A681,#REF!,13,FALSE())&gt;2,HLOOKUP($A681,#REF!,13,FALSE())&lt;-2),"",#REF!),"")</f>
        <v/>
      </c>
      <c r="P681" s="0" t="str">
        <f aca="false">IFERROR(IF(OR(HLOOKUP($A681,#REF!,14,FALSE())&gt;2,HLOOKUP($A681,#REF!,14,FALSE())&lt;-2),"",#REF!),"")</f>
        <v/>
      </c>
      <c r="Q681" s="0" t="str">
        <f aca="false">IFERROR(IF(OR(HLOOKUP($A681,#REF!,15,FALSE())&gt;2,HLOOKUP($A681,#REF!,15,FALSE())&lt;-2),"",#REF!),"")</f>
        <v/>
      </c>
      <c r="R681" s="0" t="str">
        <f aca="false">IFERROR(IF(OR(HLOOKUP($A681,#REF!,16,FALSE())&gt;2,HLOOKUP($A681,#REF!,16,FALSE())&lt;-2),"",#REF!),"")</f>
        <v/>
      </c>
      <c r="S681" s="0" t="str">
        <f aca="false">IFERROR(IF(OR(HLOOKUP($A681,#REF!,17,FALSE())&gt;2,HLOOKUP($A681,#REF!,17,FALSE())&lt;-2),"",#REF!),"")</f>
        <v/>
      </c>
      <c r="T681" s="0" t="str">
        <f aca="false">IFERROR(IF(OR(HLOOKUP($A681,#REF!,18,FALSE())&gt;2,HLOOKUP($A681,#REF!,18,FALSE())&lt;-2),"",#REF!),"")</f>
        <v/>
      </c>
      <c r="U681" s="0" t="str">
        <f aca="false">IFERROR(IF(OR(HLOOKUP($A681,#REF!,19,FALSE())&gt;2,HLOOKUP($A681,#REF!,19,FALSE())&lt;-2),"",#REF!),"")</f>
        <v/>
      </c>
      <c r="V681" s="0" t="n">
        <f aca="false">IFERROR(IF(AND(X681=0,Y681=0),0,1),0)</f>
        <v>1</v>
      </c>
      <c r="W681" s="3" t="str">
        <f aca="false">IFERROR(_xlfn.T.TEST(E681:M681,N681:U681,2,2),"")</f>
        <v/>
      </c>
      <c r="X681" s="0" t="str">
        <f aca="false">IFERROR(AVERAGE(E681:M681),"")</f>
        <v/>
      </c>
      <c r="Y681" s="0" t="str">
        <f aca="false">IFERROR(AVERAGE(N681:U681),"")</f>
        <v/>
      </c>
    </row>
    <row r="682" customFormat="false" ht="14.5" hidden="false" customHeight="false" outlineLevel="0" collapsed="false">
      <c r="A682" s="0" t="n">
        <v>690</v>
      </c>
      <c r="B682" s="0" t="s">
        <v>742</v>
      </c>
      <c r="C682" s="0" t="n">
        <v>114500</v>
      </c>
      <c r="D682" s="0" t="n">
        <v>46</v>
      </c>
      <c r="E682" s="0" t="str">
        <f aca="false">IFERROR(IF(OR(HLOOKUP($A682,#REF!,3,FALSE())&gt;2,HLOOKUP(A682,#REF!,3,FALSE())&lt;-2),"",#REF!),"")</f>
        <v/>
      </c>
      <c r="F682" s="0" t="str">
        <f aca="false">IFERROR(IF(OR(HLOOKUP($A682,#REF!,4,FALSE())&gt;2,HLOOKUP($A682,#REF!,4,FALSE())&lt;-2),"",#REF!),"")</f>
        <v/>
      </c>
      <c r="G682" s="0" t="str">
        <f aca="false">IFERROR(IF(OR(HLOOKUP($A682,#REF!,5,FALSE())&gt;2,HLOOKUP($A682,#REF!,5,FALSE())&lt;-2),"",#REF!),"")</f>
        <v/>
      </c>
      <c r="H682" s="0" t="str">
        <f aca="false">IFERROR(IF(OR(HLOOKUP($A682,#REF!,6,FALSE())&gt;2,HLOOKUP($A682,#REF!,6,FALSE())&lt;-2),"",#REF!),"")</f>
        <v/>
      </c>
      <c r="I682" s="0" t="str">
        <f aca="false">IFERROR(IF(OR(HLOOKUP($A682,#REF!,7,FALSE())&gt;2,HLOOKUP($A682,#REF!,7,FALSE())&lt;-2),"",#REF!),"")</f>
        <v/>
      </c>
      <c r="J682" s="0" t="str">
        <f aca="false">IFERROR(IF(OR(HLOOKUP($A682,#REF!,8,FALSE())&gt;2,HLOOKUP($A682,#REF!,8,FALSE())&lt;-2),"",#REF!),"")</f>
        <v/>
      </c>
      <c r="K682" s="0" t="str">
        <f aca="false">IFERROR(IF(OR(HLOOKUP($A682,#REF!,9,FALSE())&gt;2,HLOOKUP($A682,#REF!,9,FALSE())&lt;-2),"",#REF!),"")</f>
        <v/>
      </c>
      <c r="L682" s="0" t="str">
        <f aca="false">IFERROR(IF(OR(HLOOKUP($A682,#REF!,10,FALSE())&gt;2,HLOOKUP($A682,#REF!,10,FALSE())&lt;-2),"",#REF!),"")</f>
        <v/>
      </c>
      <c r="M682" s="0" t="str">
        <f aca="false">IFERROR(IF(OR(HLOOKUP($A682,#REF!,11,FALSE())&gt;2,HLOOKUP($A682,#REF!,11,FALSE())&lt;-2),"",#REF!),"")</f>
        <v/>
      </c>
      <c r="N682" s="0" t="str">
        <f aca="false">IFERROR(IF(OR(HLOOKUP($A682,#REF!,12,FALSE())&gt;2,HLOOKUP($A682,#REF!,12,FALSE())&lt;-2),"",#REF!),"")</f>
        <v/>
      </c>
      <c r="O682" s="0" t="str">
        <f aca="false">IFERROR(IF(OR(HLOOKUP($A682,#REF!,13,FALSE())&gt;2,HLOOKUP($A682,#REF!,13,FALSE())&lt;-2),"",#REF!),"")</f>
        <v/>
      </c>
      <c r="P682" s="0" t="str">
        <f aca="false">IFERROR(IF(OR(HLOOKUP($A682,#REF!,14,FALSE())&gt;2,HLOOKUP($A682,#REF!,14,FALSE())&lt;-2),"",#REF!),"")</f>
        <v/>
      </c>
      <c r="Q682" s="0" t="str">
        <f aca="false">IFERROR(IF(OR(HLOOKUP($A682,#REF!,15,FALSE())&gt;2,HLOOKUP($A682,#REF!,15,FALSE())&lt;-2),"",#REF!),"")</f>
        <v/>
      </c>
      <c r="R682" s="0" t="str">
        <f aca="false">IFERROR(IF(OR(HLOOKUP($A682,#REF!,16,FALSE())&gt;2,HLOOKUP($A682,#REF!,16,FALSE())&lt;-2),"",#REF!),"")</f>
        <v/>
      </c>
      <c r="S682" s="0" t="str">
        <f aca="false">IFERROR(IF(OR(HLOOKUP($A682,#REF!,17,FALSE())&gt;2,HLOOKUP($A682,#REF!,17,FALSE())&lt;-2),"",#REF!),"")</f>
        <v/>
      </c>
      <c r="T682" s="0" t="str">
        <f aca="false">IFERROR(IF(OR(HLOOKUP($A682,#REF!,18,FALSE())&gt;2,HLOOKUP($A682,#REF!,18,FALSE())&lt;-2),"",#REF!),"")</f>
        <v/>
      </c>
      <c r="U682" s="0" t="str">
        <f aca="false">IFERROR(IF(OR(HLOOKUP($A682,#REF!,19,FALSE())&gt;2,HLOOKUP($A682,#REF!,19,FALSE())&lt;-2),"",#REF!),"")</f>
        <v/>
      </c>
      <c r="V682" s="0" t="n">
        <f aca="false">IFERROR(IF(AND(X682=0,Y682=0),0,1),0)</f>
        <v>1</v>
      </c>
      <c r="W682" s="3" t="str">
        <f aca="false">IFERROR(_xlfn.T.TEST(E682:M682,N682:U682,2,2),"")</f>
        <v/>
      </c>
      <c r="X682" s="0" t="str">
        <f aca="false">IFERROR(AVERAGE(E682:M682),"")</f>
        <v/>
      </c>
      <c r="Y682" s="0" t="str">
        <f aca="false">IFERROR(AVERAGE(N682:U682),"")</f>
        <v/>
      </c>
    </row>
    <row r="683" customFormat="false" ht="14.5" hidden="false" customHeight="false" outlineLevel="0" collapsed="false">
      <c r="A683" s="0" t="n">
        <v>691</v>
      </c>
      <c r="B683" s="0" t="s">
        <v>743</v>
      </c>
      <c r="C683" s="0" t="n">
        <v>91200</v>
      </c>
      <c r="D683" s="0" t="n">
        <v>651</v>
      </c>
      <c r="E683" s="0" t="str">
        <f aca="false">IFERROR(IF(OR(HLOOKUP($A683,#REF!,3,FALSE())&gt;2,HLOOKUP(A683,#REF!,3,FALSE())&lt;-2),"",#REF!),"")</f>
        <v/>
      </c>
      <c r="F683" s="0" t="str">
        <f aca="false">IFERROR(IF(OR(HLOOKUP($A683,#REF!,4,FALSE())&gt;2,HLOOKUP($A683,#REF!,4,FALSE())&lt;-2),"",#REF!),"")</f>
        <v/>
      </c>
      <c r="G683" s="0" t="str">
        <f aca="false">IFERROR(IF(OR(HLOOKUP($A683,#REF!,5,FALSE())&gt;2,HLOOKUP($A683,#REF!,5,FALSE())&lt;-2),"",#REF!),"")</f>
        <v/>
      </c>
      <c r="H683" s="0" t="str">
        <f aca="false">IFERROR(IF(OR(HLOOKUP($A683,#REF!,6,FALSE())&gt;2,HLOOKUP($A683,#REF!,6,FALSE())&lt;-2),"",#REF!),"")</f>
        <v/>
      </c>
      <c r="I683" s="0" t="str">
        <f aca="false">IFERROR(IF(OR(HLOOKUP($A683,#REF!,7,FALSE())&gt;2,HLOOKUP($A683,#REF!,7,FALSE())&lt;-2),"",#REF!),"")</f>
        <v/>
      </c>
      <c r="J683" s="0" t="str">
        <f aca="false">IFERROR(IF(OR(HLOOKUP($A683,#REF!,8,FALSE())&gt;2,HLOOKUP($A683,#REF!,8,FALSE())&lt;-2),"",#REF!),"")</f>
        <v/>
      </c>
      <c r="K683" s="0" t="str">
        <f aca="false">IFERROR(IF(OR(HLOOKUP($A683,#REF!,9,FALSE())&gt;2,HLOOKUP($A683,#REF!,9,FALSE())&lt;-2),"",#REF!),"")</f>
        <v/>
      </c>
      <c r="L683" s="0" t="str">
        <f aca="false">IFERROR(IF(OR(HLOOKUP($A683,#REF!,10,FALSE())&gt;2,HLOOKUP($A683,#REF!,10,FALSE())&lt;-2),"",#REF!),"")</f>
        <v/>
      </c>
      <c r="M683" s="0" t="str">
        <f aca="false">IFERROR(IF(OR(HLOOKUP($A683,#REF!,11,FALSE())&gt;2,HLOOKUP($A683,#REF!,11,FALSE())&lt;-2),"",#REF!),"")</f>
        <v/>
      </c>
      <c r="N683" s="0" t="str">
        <f aca="false">IFERROR(IF(OR(HLOOKUP($A683,#REF!,12,FALSE())&gt;2,HLOOKUP($A683,#REF!,12,FALSE())&lt;-2),"",#REF!),"")</f>
        <v/>
      </c>
      <c r="O683" s="0" t="str">
        <f aca="false">IFERROR(IF(OR(HLOOKUP($A683,#REF!,13,FALSE())&gt;2,HLOOKUP($A683,#REF!,13,FALSE())&lt;-2),"",#REF!),"")</f>
        <v/>
      </c>
      <c r="P683" s="0" t="str">
        <f aca="false">IFERROR(IF(OR(HLOOKUP($A683,#REF!,14,FALSE())&gt;2,HLOOKUP($A683,#REF!,14,FALSE())&lt;-2),"",#REF!),"")</f>
        <v/>
      </c>
      <c r="Q683" s="0" t="str">
        <f aca="false">IFERROR(IF(OR(HLOOKUP($A683,#REF!,15,FALSE())&gt;2,HLOOKUP($A683,#REF!,15,FALSE())&lt;-2),"",#REF!),"")</f>
        <v/>
      </c>
      <c r="R683" s="0" t="str">
        <f aca="false">IFERROR(IF(OR(HLOOKUP($A683,#REF!,16,FALSE())&gt;2,HLOOKUP($A683,#REF!,16,FALSE())&lt;-2),"",#REF!),"")</f>
        <v/>
      </c>
      <c r="S683" s="0" t="str">
        <f aca="false">IFERROR(IF(OR(HLOOKUP($A683,#REF!,17,FALSE())&gt;2,HLOOKUP($A683,#REF!,17,FALSE())&lt;-2),"",#REF!),"")</f>
        <v/>
      </c>
      <c r="T683" s="0" t="str">
        <f aca="false">IFERROR(IF(OR(HLOOKUP($A683,#REF!,18,FALSE())&gt;2,HLOOKUP($A683,#REF!,18,FALSE())&lt;-2),"",#REF!),"")</f>
        <v/>
      </c>
      <c r="U683" s="0" t="str">
        <f aca="false">IFERROR(IF(OR(HLOOKUP($A683,#REF!,19,FALSE())&gt;2,HLOOKUP($A683,#REF!,19,FALSE())&lt;-2),"",#REF!),"")</f>
        <v/>
      </c>
      <c r="V683" s="0" t="n">
        <f aca="false">IFERROR(IF(AND(X683=0,Y683=0),0,1),0)</f>
        <v>1</v>
      </c>
      <c r="W683" s="3" t="str">
        <f aca="false">IFERROR(_xlfn.T.TEST(E683:M683,N683:U683,2,2),"")</f>
        <v/>
      </c>
      <c r="X683" s="0" t="str">
        <f aca="false">IFERROR(AVERAGE(E683:M683),"")</f>
        <v/>
      </c>
      <c r="Y683" s="0" t="str">
        <f aca="false">IFERROR(AVERAGE(N683:U683),"")</f>
        <v/>
      </c>
    </row>
    <row r="684" customFormat="false" ht="14.5" hidden="false" customHeight="false" outlineLevel="0" collapsed="false">
      <c r="A684" s="0" t="n">
        <v>692</v>
      </c>
      <c r="B684" s="0" t="s">
        <v>744</v>
      </c>
      <c r="C684" s="0" t="n">
        <v>29100</v>
      </c>
      <c r="D684" s="0" t="n">
        <v>922</v>
      </c>
      <c r="E684" s="0" t="str">
        <f aca="false">IFERROR(IF(OR(HLOOKUP($A684,#REF!,3,FALSE())&gt;2,HLOOKUP(A684,#REF!,3,FALSE())&lt;-2),"",#REF!),"")</f>
        <v/>
      </c>
      <c r="F684" s="0" t="str">
        <f aca="false">IFERROR(IF(OR(HLOOKUP($A684,#REF!,4,FALSE())&gt;2,HLOOKUP($A684,#REF!,4,FALSE())&lt;-2),"",#REF!),"")</f>
        <v/>
      </c>
      <c r="G684" s="0" t="str">
        <f aca="false">IFERROR(IF(OR(HLOOKUP($A684,#REF!,5,FALSE())&gt;2,HLOOKUP($A684,#REF!,5,FALSE())&lt;-2),"",#REF!),"")</f>
        <v/>
      </c>
      <c r="H684" s="0" t="str">
        <f aca="false">IFERROR(IF(OR(HLOOKUP($A684,#REF!,6,FALSE())&gt;2,HLOOKUP($A684,#REF!,6,FALSE())&lt;-2),"",#REF!),"")</f>
        <v/>
      </c>
      <c r="I684" s="0" t="str">
        <f aca="false">IFERROR(IF(OR(HLOOKUP($A684,#REF!,7,FALSE())&gt;2,HLOOKUP($A684,#REF!,7,FALSE())&lt;-2),"",#REF!),"")</f>
        <v/>
      </c>
      <c r="J684" s="0" t="str">
        <f aca="false">IFERROR(IF(OR(HLOOKUP($A684,#REF!,8,FALSE())&gt;2,HLOOKUP($A684,#REF!,8,FALSE())&lt;-2),"",#REF!),"")</f>
        <v/>
      </c>
      <c r="K684" s="0" t="str">
        <f aca="false">IFERROR(IF(OR(HLOOKUP($A684,#REF!,9,FALSE())&gt;2,HLOOKUP($A684,#REF!,9,FALSE())&lt;-2),"",#REF!),"")</f>
        <v/>
      </c>
      <c r="L684" s="0" t="str">
        <f aca="false">IFERROR(IF(OR(HLOOKUP($A684,#REF!,10,FALSE())&gt;2,HLOOKUP($A684,#REF!,10,FALSE())&lt;-2),"",#REF!),"")</f>
        <v/>
      </c>
      <c r="M684" s="0" t="str">
        <f aca="false">IFERROR(IF(OR(HLOOKUP($A684,#REF!,11,FALSE())&gt;2,HLOOKUP($A684,#REF!,11,FALSE())&lt;-2),"",#REF!),"")</f>
        <v/>
      </c>
      <c r="N684" s="0" t="str">
        <f aca="false">IFERROR(IF(OR(HLOOKUP($A684,#REF!,12,FALSE())&gt;2,HLOOKUP($A684,#REF!,12,FALSE())&lt;-2),"",#REF!),"")</f>
        <v/>
      </c>
      <c r="O684" s="0" t="str">
        <f aca="false">IFERROR(IF(OR(HLOOKUP($A684,#REF!,13,FALSE())&gt;2,HLOOKUP($A684,#REF!,13,FALSE())&lt;-2),"",#REF!),"")</f>
        <v/>
      </c>
      <c r="P684" s="0" t="str">
        <f aca="false">IFERROR(IF(OR(HLOOKUP($A684,#REF!,14,FALSE())&gt;2,HLOOKUP($A684,#REF!,14,FALSE())&lt;-2),"",#REF!),"")</f>
        <v/>
      </c>
      <c r="Q684" s="0" t="str">
        <f aca="false">IFERROR(IF(OR(HLOOKUP($A684,#REF!,15,FALSE())&gt;2,HLOOKUP($A684,#REF!,15,FALSE())&lt;-2),"",#REF!),"")</f>
        <v/>
      </c>
      <c r="R684" s="0" t="str">
        <f aca="false">IFERROR(IF(OR(HLOOKUP($A684,#REF!,16,FALSE())&gt;2,HLOOKUP($A684,#REF!,16,FALSE())&lt;-2),"",#REF!),"")</f>
        <v/>
      </c>
      <c r="S684" s="0" t="str">
        <f aca="false">IFERROR(IF(OR(HLOOKUP($A684,#REF!,17,FALSE())&gt;2,HLOOKUP($A684,#REF!,17,FALSE())&lt;-2),"",#REF!),"")</f>
        <v/>
      </c>
      <c r="T684" s="0" t="str">
        <f aca="false">IFERROR(IF(OR(HLOOKUP($A684,#REF!,18,FALSE())&gt;2,HLOOKUP($A684,#REF!,18,FALSE())&lt;-2),"",#REF!),"")</f>
        <v/>
      </c>
      <c r="U684" s="0" t="str">
        <f aca="false">IFERROR(IF(OR(HLOOKUP($A684,#REF!,19,FALSE())&gt;2,HLOOKUP($A684,#REF!,19,FALSE())&lt;-2),"",#REF!),"")</f>
        <v/>
      </c>
      <c r="V684" s="0" t="n">
        <f aca="false">IFERROR(IF(AND(X684=0,Y684=0),0,1),0)</f>
        <v>1</v>
      </c>
      <c r="W684" s="3" t="str">
        <f aca="false">IFERROR(_xlfn.T.TEST(E684:M684,N684:U684,2,2),"")</f>
        <v/>
      </c>
      <c r="X684" s="0" t="str">
        <f aca="false">IFERROR(AVERAGE(E684:M684),"")</f>
        <v/>
      </c>
      <c r="Y684" s="0" t="str">
        <f aca="false">IFERROR(AVERAGE(N684:U684),"")</f>
        <v/>
      </c>
    </row>
    <row r="685" customFormat="false" ht="14.5" hidden="false" customHeight="false" outlineLevel="0" collapsed="false">
      <c r="A685" s="0" t="n">
        <v>693</v>
      </c>
      <c r="B685" s="0" t="s">
        <v>745</v>
      </c>
      <c r="C685" s="0" t="n">
        <v>76700</v>
      </c>
      <c r="D685" s="0" t="n">
        <v>467</v>
      </c>
      <c r="E685" s="0" t="str">
        <f aca="false">IFERROR(IF(OR(HLOOKUP($A685,#REF!,3,FALSE())&gt;2,HLOOKUP(A685,#REF!,3,FALSE())&lt;-2),"",#REF!),"")</f>
        <v/>
      </c>
      <c r="F685" s="0" t="str">
        <f aca="false">IFERROR(IF(OR(HLOOKUP($A685,#REF!,4,FALSE())&gt;2,HLOOKUP($A685,#REF!,4,FALSE())&lt;-2),"",#REF!),"")</f>
        <v/>
      </c>
      <c r="G685" s="0" t="str">
        <f aca="false">IFERROR(IF(OR(HLOOKUP($A685,#REF!,5,FALSE())&gt;2,HLOOKUP($A685,#REF!,5,FALSE())&lt;-2),"",#REF!),"")</f>
        <v/>
      </c>
      <c r="H685" s="0" t="str">
        <f aca="false">IFERROR(IF(OR(HLOOKUP($A685,#REF!,6,FALSE())&gt;2,HLOOKUP($A685,#REF!,6,FALSE())&lt;-2),"",#REF!),"")</f>
        <v/>
      </c>
      <c r="I685" s="0" t="str">
        <f aca="false">IFERROR(IF(OR(HLOOKUP($A685,#REF!,7,FALSE())&gt;2,HLOOKUP($A685,#REF!,7,FALSE())&lt;-2),"",#REF!),"")</f>
        <v/>
      </c>
      <c r="J685" s="0" t="str">
        <f aca="false">IFERROR(IF(OR(HLOOKUP($A685,#REF!,8,FALSE())&gt;2,HLOOKUP($A685,#REF!,8,FALSE())&lt;-2),"",#REF!),"")</f>
        <v/>
      </c>
      <c r="K685" s="0" t="str">
        <f aca="false">IFERROR(IF(OR(HLOOKUP($A685,#REF!,9,FALSE())&gt;2,HLOOKUP($A685,#REF!,9,FALSE())&lt;-2),"",#REF!),"")</f>
        <v/>
      </c>
      <c r="L685" s="0" t="str">
        <f aca="false">IFERROR(IF(OR(HLOOKUP($A685,#REF!,10,FALSE())&gt;2,HLOOKUP($A685,#REF!,10,FALSE())&lt;-2),"",#REF!),"")</f>
        <v/>
      </c>
      <c r="M685" s="0" t="str">
        <f aca="false">IFERROR(IF(OR(HLOOKUP($A685,#REF!,11,FALSE())&gt;2,HLOOKUP($A685,#REF!,11,FALSE())&lt;-2),"",#REF!),"")</f>
        <v/>
      </c>
      <c r="N685" s="0" t="str">
        <f aca="false">IFERROR(IF(OR(HLOOKUP($A685,#REF!,12,FALSE())&gt;2,HLOOKUP($A685,#REF!,12,FALSE())&lt;-2),"",#REF!),"")</f>
        <v/>
      </c>
      <c r="O685" s="0" t="str">
        <f aca="false">IFERROR(IF(OR(HLOOKUP($A685,#REF!,13,FALSE())&gt;2,HLOOKUP($A685,#REF!,13,FALSE())&lt;-2),"",#REF!),"")</f>
        <v/>
      </c>
      <c r="P685" s="0" t="str">
        <f aca="false">IFERROR(IF(OR(HLOOKUP($A685,#REF!,14,FALSE())&gt;2,HLOOKUP($A685,#REF!,14,FALSE())&lt;-2),"",#REF!),"")</f>
        <v/>
      </c>
      <c r="Q685" s="0" t="str">
        <f aca="false">IFERROR(IF(OR(HLOOKUP($A685,#REF!,15,FALSE())&gt;2,HLOOKUP($A685,#REF!,15,FALSE())&lt;-2),"",#REF!),"")</f>
        <v/>
      </c>
      <c r="R685" s="0" t="str">
        <f aca="false">IFERROR(IF(OR(HLOOKUP($A685,#REF!,16,FALSE())&gt;2,HLOOKUP($A685,#REF!,16,FALSE())&lt;-2),"",#REF!),"")</f>
        <v/>
      </c>
      <c r="S685" s="0" t="str">
        <f aca="false">IFERROR(IF(OR(HLOOKUP($A685,#REF!,17,FALSE())&gt;2,HLOOKUP($A685,#REF!,17,FALSE())&lt;-2),"",#REF!),"")</f>
        <v/>
      </c>
      <c r="T685" s="0" t="str">
        <f aca="false">IFERROR(IF(OR(HLOOKUP($A685,#REF!,18,FALSE())&gt;2,HLOOKUP($A685,#REF!,18,FALSE())&lt;-2),"",#REF!),"")</f>
        <v/>
      </c>
      <c r="U685" s="0" t="str">
        <f aca="false">IFERROR(IF(OR(HLOOKUP($A685,#REF!,19,FALSE())&gt;2,HLOOKUP($A685,#REF!,19,FALSE())&lt;-2),"",#REF!),"")</f>
        <v/>
      </c>
      <c r="V685" s="0" t="n">
        <f aca="false">IFERROR(IF(AND(X685=0,Y685=0),0,1),0)</f>
        <v>1</v>
      </c>
      <c r="W685" s="3" t="str">
        <f aca="false">IFERROR(_xlfn.T.TEST(E685:M685,N685:U685,2,2),"")</f>
        <v/>
      </c>
      <c r="X685" s="0" t="str">
        <f aca="false">IFERROR(AVERAGE(E685:M685),"")</f>
        <v/>
      </c>
      <c r="Y685" s="0" t="str">
        <f aca="false">IFERROR(AVERAGE(N685:U685),"")</f>
        <v/>
      </c>
    </row>
    <row r="686" customFormat="false" ht="14.5" hidden="false" customHeight="false" outlineLevel="0" collapsed="false">
      <c r="A686" s="0" t="n">
        <v>694</v>
      </c>
      <c r="B686" s="0" t="s">
        <v>746</v>
      </c>
      <c r="C686" s="0" t="n">
        <v>24800</v>
      </c>
      <c r="D686" s="0" t="n">
        <v>119</v>
      </c>
      <c r="E686" s="0" t="str">
        <f aca="false">IFERROR(IF(OR(HLOOKUP($A686,#REF!,3,FALSE())&gt;2,HLOOKUP(A686,#REF!,3,FALSE())&lt;-2),"",#REF!),"")</f>
        <v/>
      </c>
      <c r="F686" s="0" t="str">
        <f aca="false">IFERROR(IF(OR(HLOOKUP($A686,#REF!,4,FALSE())&gt;2,HLOOKUP($A686,#REF!,4,FALSE())&lt;-2),"",#REF!),"")</f>
        <v/>
      </c>
      <c r="G686" s="0" t="str">
        <f aca="false">IFERROR(IF(OR(HLOOKUP($A686,#REF!,5,FALSE())&gt;2,HLOOKUP($A686,#REF!,5,FALSE())&lt;-2),"",#REF!),"")</f>
        <v/>
      </c>
      <c r="H686" s="0" t="str">
        <f aca="false">IFERROR(IF(OR(HLOOKUP($A686,#REF!,6,FALSE())&gt;2,HLOOKUP($A686,#REF!,6,FALSE())&lt;-2),"",#REF!),"")</f>
        <v/>
      </c>
      <c r="I686" s="0" t="str">
        <f aca="false">IFERROR(IF(OR(HLOOKUP($A686,#REF!,7,FALSE())&gt;2,HLOOKUP($A686,#REF!,7,FALSE())&lt;-2),"",#REF!),"")</f>
        <v/>
      </c>
      <c r="J686" s="0" t="str">
        <f aca="false">IFERROR(IF(OR(HLOOKUP($A686,#REF!,8,FALSE())&gt;2,HLOOKUP($A686,#REF!,8,FALSE())&lt;-2),"",#REF!),"")</f>
        <v/>
      </c>
      <c r="K686" s="0" t="str">
        <f aca="false">IFERROR(IF(OR(HLOOKUP($A686,#REF!,9,FALSE())&gt;2,HLOOKUP($A686,#REF!,9,FALSE())&lt;-2),"",#REF!),"")</f>
        <v/>
      </c>
      <c r="L686" s="0" t="str">
        <f aca="false">IFERROR(IF(OR(HLOOKUP($A686,#REF!,10,FALSE())&gt;2,HLOOKUP($A686,#REF!,10,FALSE())&lt;-2),"",#REF!),"")</f>
        <v/>
      </c>
      <c r="M686" s="0" t="str">
        <f aca="false">IFERROR(IF(OR(HLOOKUP($A686,#REF!,11,FALSE())&gt;2,HLOOKUP($A686,#REF!,11,FALSE())&lt;-2),"",#REF!),"")</f>
        <v/>
      </c>
      <c r="N686" s="0" t="str">
        <f aca="false">IFERROR(IF(OR(HLOOKUP($A686,#REF!,12,FALSE())&gt;2,HLOOKUP($A686,#REF!,12,FALSE())&lt;-2),"",#REF!),"")</f>
        <v/>
      </c>
      <c r="O686" s="0" t="str">
        <f aca="false">IFERROR(IF(OR(HLOOKUP($A686,#REF!,13,FALSE())&gt;2,HLOOKUP($A686,#REF!,13,FALSE())&lt;-2),"",#REF!),"")</f>
        <v/>
      </c>
      <c r="P686" s="0" t="str">
        <f aca="false">IFERROR(IF(OR(HLOOKUP($A686,#REF!,14,FALSE())&gt;2,HLOOKUP($A686,#REF!,14,FALSE())&lt;-2),"",#REF!),"")</f>
        <v/>
      </c>
      <c r="Q686" s="0" t="str">
        <f aca="false">IFERROR(IF(OR(HLOOKUP($A686,#REF!,15,FALSE())&gt;2,HLOOKUP($A686,#REF!,15,FALSE())&lt;-2),"",#REF!),"")</f>
        <v/>
      </c>
      <c r="R686" s="0" t="str">
        <f aca="false">IFERROR(IF(OR(HLOOKUP($A686,#REF!,16,FALSE())&gt;2,HLOOKUP($A686,#REF!,16,FALSE())&lt;-2),"",#REF!),"")</f>
        <v/>
      </c>
      <c r="S686" s="0" t="str">
        <f aca="false">IFERROR(IF(OR(HLOOKUP($A686,#REF!,17,FALSE())&gt;2,HLOOKUP($A686,#REF!,17,FALSE())&lt;-2),"",#REF!),"")</f>
        <v/>
      </c>
      <c r="T686" s="0" t="str">
        <f aca="false">IFERROR(IF(OR(HLOOKUP($A686,#REF!,18,FALSE())&gt;2,HLOOKUP($A686,#REF!,18,FALSE())&lt;-2),"",#REF!),"")</f>
        <v/>
      </c>
      <c r="U686" s="0" t="str">
        <f aca="false">IFERROR(IF(OR(HLOOKUP($A686,#REF!,19,FALSE())&gt;2,HLOOKUP($A686,#REF!,19,FALSE())&lt;-2),"",#REF!),"")</f>
        <v/>
      </c>
      <c r="V686" s="0" t="n">
        <f aca="false">IFERROR(IF(AND(X686=0,Y686=0),0,1),0)</f>
        <v>1</v>
      </c>
      <c r="W686" s="3" t="str">
        <f aca="false">IFERROR(_xlfn.T.TEST(E686:M686,N686:U686,2,2),"")</f>
        <v/>
      </c>
      <c r="X686" s="0" t="str">
        <f aca="false">IFERROR(AVERAGE(E686:M686),"")</f>
        <v/>
      </c>
      <c r="Y686" s="0" t="str">
        <f aca="false">IFERROR(AVERAGE(N686:U686),"")</f>
        <v/>
      </c>
    </row>
    <row r="687" customFormat="false" ht="14.5" hidden="false" customHeight="false" outlineLevel="0" collapsed="false">
      <c r="A687" s="0" t="n">
        <v>695</v>
      </c>
      <c r="B687" s="0" t="s">
        <v>747</v>
      </c>
      <c r="C687" s="0" t="n">
        <v>400</v>
      </c>
      <c r="D687" s="0" t="n">
        <v>688</v>
      </c>
      <c r="E687" s="0" t="str">
        <f aca="false">IFERROR(IF(OR(HLOOKUP($A687,#REF!,3,FALSE())&gt;2,HLOOKUP(A687,#REF!,3,FALSE())&lt;-2),"",#REF!),"")</f>
        <v/>
      </c>
      <c r="F687" s="0" t="str">
        <f aca="false">IFERROR(IF(OR(HLOOKUP($A687,#REF!,4,FALSE())&gt;2,HLOOKUP($A687,#REF!,4,FALSE())&lt;-2),"",#REF!),"")</f>
        <v/>
      </c>
      <c r="G687" s="0" t="str">
        <f aca="false">IFERROR(IF(OR(HLOOKUP($A687,#REF!,5,FALSE())&gt;2,HLOOKUP($A687,#REF!,5,FALSE())&lt;-2),"",#REF!),"")</f>
        <v/>
      </c>
      <c r="H687" s="0" t="str">
        <f aca="false">IFERROR(IF(OR(HLOOKUP($A687,#REF!,6,FALSE())&gt;2,HLOOKUP($A687,#REF!,6,FALSE())&lt;-2),"",#REF!),"")</f>
        <v/>
      </c>
      <c r="I687" s="0" t="str">
        <f aca="false">IFERROR(IF(OR(HLOOKUP($A687,#REF!,7,FALSE())&gt;2,HLOOKUP($A687,#REF!,7,FALSE())&lt;-2),"",#REF!),"")</f>
        <v/>
      </c>
      <c r="J687" s="0" t="str">
        <f aca="false">IFERROR(IF(OR(HLOOKUP($A687,#REF!,8,FALSE())&gt;2,HLOOKUP($A687,#REF!,8,FALSE())&lt;-2),"",#REF!),"")</f>
        <v/>
      </c>
      <c r="K687" s="0" t="str">
        <f aca="false">IFERROR(IF(OR(HLOOKUP($A687,#REF!,9,FALSE())&gt;2,HLOOKUP($A687,#REF!,9,FALSE())&lt;-2),"",#REF!),"")</f>
        <v/>
      </c>
      <c r="L687" s="0" t="str">
        <f aca="false">IFERROR(IF(OR(HLOOKUP($A687,#REF!,10,FALSE())&gt;2,HLOOKUP($A687,#REF!,10,FALSE())&lt;-2),"",#REF!),"")</f>
        <v/>
      </c>
      <c r="M687" s="0" t="str">
        <f aca="false">IFERROR(IF(OR(HLOOKUP($A687,#REF!,11,FALSE())&gt;2,HLOOKUP($A687,#REF!,11,FALSE())&lt;-2),"",#REF!),"")</f>
        <v/>
      </c>
      <c r="N687" s="0" t="str">
        <f aca="false">IFERROR(IF(OR(HLOOKUP($A687,#REF!,12,FALSE())&gt;2,HLOOKUP($A687,#REF!,12,FALSE())&lt;-2),"",#REF!),"")</f>
        <v/>
      </c>
      <c r="O687" s="0" t="str">
        <f aca="false">IFERROR(IF(OR(HLOOKUP($A687,#REF!,13,FALSE())&gt;2,HLOOKUP($A687,#REF!,13,FALSE())&lt;-2),"",#REF!),"")</f>
        <v/>
      </c>
      <c r="P687" s="0" t="str">
        <f aca="false">IFERROR(IF(OR(HLOOKUP($A687,#REF!,14,FALSE())&gt;2,HLOOKUP($A687,#REF!,14,FALSE())&lt;-2),"",#REF!),"")</f>
        <v/>
      </c>
      <c r="Q687" s="0" t="str">
        <f aca="false">IFERROR(IF(OR(HLOOKUP($A687,#REF!,15,FALSE())&gt;2,HLOOKUP($A687,#REF!,15,FALSE())&lt;-2),"",#REF!),"")</f>
        <v/>
      </c>
      <c r="R687" s="0" t="str">
        <f aca="false">IFERROR(IF(OR(HLOOKUP($A687,#REF!,16,FALSE())&gt;2,HLOOKUP($A687,#REF!,16,FALSE())&lt;-2),"",#REF!),"")</f>
        <v/>
      </c>
      <c r="S687" s="0" t="str">
        <f aca="false">IFERROR(IF(OR(HLOOKUP($A687,#REF!,17,FALSE())&gt;2,HLOOKUP($A687,#REF!,17,FALSE())&lt;-2),"",#REF!),"")</f>
        <v/>
      </c>
      <c r="T687" s="0" t="str">
        <f aca="false">IFERROR(IF(OR(HLOOKUP($A687,#REF!,18,FALSE())&gt;2,HLOOKUP($A687,#REF!,18,FALSE())&lt;-2),"",#REF!),"")</f>
        <v/>
      </c>
      <c r="U687" s="0" t="str">
        <f aca="false">IFERROR(IF(OR(HLOOKUP($A687,#REF!,19,FALSE())&gt;2,HLOOKUP($A687,#REF!,19,FALSE())&lt;-2),"",#REF!),"")</f>
        <v/>
      </c>
      <c r="V687" s="0" t="n">
        <f aca="false">IFERROR(IF(AND(X687=0,Y687=0),0,1),0)</f>
        <v>1</v>
      </c>
      <c r="W687" s="3" t="str">
        <f aca="false">IFERROR(_xlfn.T.TEST(E687:M687,N687:U687,2,2),"")</f>
        <v/>
      </c>
      <c r="X687" s="0" t="str">
        <f aca="false">IFERROR(AVERAGE(E687:M687),"")</f>
        <v/>
      </c>
      <c r="Y687" s="0" t="str">
        <f aca="false">IFERROR(AVERAGE(N687:U687),"")</f>
        <v/>
      </c>
    </row>
    <row r="688" customFormat="false" ht="14.5" hidden="false" customHeight="false" outlineLevel="0" collapsed="false">
      <c r="A688" s="0" t="n">
        <v>696</v>
      </c>
      <c r="B688" s="0" t="s">
        <v>748</v>
      </c>
      <c r="C688" s="0" t="n">
        <v>12100</v>
      </c>
      <c r="D688" s="0" t="n">
        <v>1027</v>
      </c>
      <c r="E688" s="0" t="str">
        <f aca="false">IFERROR(IF(OR(HLOOKUP($A688,#REF!,3,FALSE())&gt;2,HLOOKUP(A688,#REF!,3,FALSE())&lt;-2),"",#REF!),"")</f>
        <v/>
      </c>
      <c r="F688" s="0" t="str">
        <f aca="false">IFERROR(IF(OR(HLOOKUP($A688,#REF!,4,FALSE())&gt;2,HLOOKUP($A688,#REF!,4,FALSE())&lt;-2),"",#REF!),"")</f>
        <v/>
      </c>
      <c r="G688" s="0" t="str">
        <f aca="false">IFERROR(IF(OR(HLOOKUP($A688,#REF!,5,FALSE())&gt;2,HLOOKUP($A688,#REF!,5,FALSE())&lt;-2),"",#REF!),"")</f>
        <v/>
      </c>
      <c r="H688" s="0" t="str">
        <f aca="false">IFERROR(IF(OR(HLOOKUP($A688,#REF!,6,FALSE())&gt;2,HLOOKUP($A688,#REF!,6,FALSE())&lt;-2),"",#REF!),"")</f>
        <v/>
      </c>
      <c r="I688" s="0" t="str">
        <f aca="false">IFERROR(IF(OR(HLOOKUP($A688,#REF!,7,FALSE())&gt;2,HLOOKUP($A688,#REF!,7,FALSE())&lt;-2),"",#REF!),"")</f>
        <v/>
      </c>
      <c r="J688" s="0" t="str">
        <f aca="false">IFERROR(IF(OR(HLOOKUP($A688,#REF!,8,FALSE())&gt;2,HLOOKUP($A688,#REF!,8,FALSE())&lt;-2),"",#REF!),"")</f>
        <v/>
      </c>
      <c r="K688" s="0" t="str">
        <f aca="false">IFERROR(IF(OR(HLOOKUP($A688,#REF!,9,FALSE())&gt;2,HLOOKUP($A688,#REF!,9,FALSE())&lt;-2),"",#REF!),"")</f>
        <v/>
      </c>
      <c r="L688" s="0" t="str">
        <f aca="false">IFERROR(IF(OR(HLOOKUP($A688,#REF!,10,FALSE())&gt;2,HLOOKUP($A688,#REF!,10,FALSE())&lt;-2),"",#REF!),"")</f>
        <v/>
      </c>
      <c r="M688" s="0" t="str">
        <f aca="false">IFERROR(IF(OR(HLOOKUP($A688,#REF!,11,FALSE())&gt;2,HLOOKUP($A688,#REF!,11,FALSE())&lt;-2),"",#REF!),"")</f>
        <v/>
      </c>
      <c r="N688" s="0" t="str">
        <f aca="false">IFERROR(IF(OR(HLOOKUP($A688,#REF!,12,FALSE())&gt;2,HLOOKUP($A688,#REF!,12,FALSE())&lt;-2),"",#REF!),"")</f>
        <v/>
      </c>
      <c r="O688" s="0" t="str">
        <f aca="false">IFERROR(IF(OR(HLOOKUP($A688,#REF!,13,FALSE())&gt;2,HLOOKUP($A688,#REF!,13,FALSE())&lt;-2),"",#REF!),"")</f>
        <v/>
      </c>
      <c r="P688" s="0" t="str">
        <f aca="false">IFERROR(IF(OR(HLOOKUP($A688,#REF!,14,FALSE())&gt;2,HLOOKUP($A688,#REF!,14,FALSE())&lt;-2),"",#REF!),"")</f>
        <v/>
      </c>
      <c r="Q688" s="0" t="str">
        <f aca="false">IFERROR(IF(OR(HLOOKUP($A688,#REF!,15,FALSE())&gt;2,HLOOKUP($A688,#REF!,15,FALSE())&lt;-2),"",#REF!),"")</f>
        <v/>
      </c>
      <c r="R688" s="0" t="str">
        <f aca="false">IFERROR(IF(OR(HLOOKUP($A688,#REF!,16,FALSE())&gt;2,HLOOKUP($A688,#REF!,16,FALSE())&lt;-2),"",#REF!),"")</f>
        <v/>
      </c>
      <c r="S688" s="0" t="str">
        <f aca="false">IFERROR(IF(OR(HLOOKUP($A688,#REF!,17,FALSE())&gt;2,HLOOKUP($A688,#REF!,17,FALSE())&lt;-2),"",#REF!),"")</f>
        <v/>
      </c>
      <c r="T688" s="0" t="str">
        <f aca="false">IFERROR(IF(OR(HLOOKUP($A688,#REF!,18,FALSE())&gt;2,HLOOKUP($A688,#REF!,18,FALSE())&lt;-2),"",#REF!),"")</f>
        <v/>
      </c>
      <c r="U688" s="0" t="str">
        <f aca="false">IFERROR(IF(OR(HLOOKUP($A688,#REF!,19,FALSE())&gt;2,HLOOKUP($A688,#REF!,19,FALSE())&lt;-2),"",#REF!),"")</f>
        <v/>
      </c>
      <c r="V688" s="0" t="n">
        <f aca="false">IFERROR(IF(AND(X688=0,Y688=0),0,1),0)</f>
        <v>1</v>
      </c>
      <c r="W688" s="3" t="str">
        <f aca="false">IFERROR(_xlfn.T.TEST(E688:M688,N688:U688,2,2),"")</f>
        <v/>
      </c>
      <c r="X688" s="0" t="str">
        <f aca="false">IFERROR(AVERAGE(E688:M688),"")</f>
        <v/>
      </c>
      <c r="Y688" s="0" t="str">
        <f aca="false">IFERROR(AVERAGE(N688:U688),"")</f>
        <v/>
      </c>
    </row>
    <row r="689" customFormat="false" ht="14.5" hidden="false" customHeight="false" outlineLevel="0" collapsed="false">
      <c r="A689" s="0" t="n">
        <v>697</v>
      </c>
      <c r="B689" s="0" t="s">
        <v>749</v>
      </c>
      <c r="C689" s="0" t="n">
        <v>103000</v>
      </c>
      <c r="D689" s="0" t="n">
        <v>932</v>
      </c>
      <c r="E689" s="0" t="str">
        <f aca="false">IFERROR(IF(OR(HLOOKUP($A689,#REF!,3,FALSE())&gt;2,HLOOKUP(A689,#REF!,3,FALSE())&lt;-2),"",#REF!),"")</f>
        <v/>
      </c>
      <c r="F689" s="0" t="str">
        <f aca="false">IFERROR(IF(OR(HLOOKUP($A689,#REF!,4,FALSE())&gt;2,HLOOKUP($A689,#REF!,4,FALSE())&lt;-2),"",#REF!),"")</f>
        <v/>
      </c>
      <c r="G689" s="0" t="str">
        <f aca="false">IFERROR(IF(OR(HLOOKUP($A689,#REF!,5,FALSE())&gt;2,HLOOKUP($A689,#REF!,5,FALSE())&lt;-2),"",#REF!),"")</f>
        <v/>
      </c>
      <c r="H689" s="0" t="str">
        <f aca="false">IFERROR(IF(OR(HLOOKUP($A689,#REF!,6,FALSE())&gt;2,HLOOKUP($A689,#REF!,6,FALSE())&lt;-2),"",#REF!),"")</f>
        <v/>
      </c>
      <c r="I689" s="0" t="str">
        <f aca="false">IFERROR(IF(OR(HLOOKUP($A689,#REF!,7,FALSE())&gt;2,HLOOKUP($A689,#REF!,7,FALSE())&lt;-2),"",#REF!),"")</f>
        <v/>
      </c>
      <c r="J689" s="0" t="str">
        <f aca="false">IFERROR(IF(OR(HLOOKUP($A689,#REF!,8,FALSE())&gt;2,HLOOKUP($A689,#REF!,8,FALSE())&lt;-2),"",#REF!),"")</f>
        <v/>
      </c>
      <c r="K689" s="0" t="str">
        <f aca="false">IFERROR(IF(OR(HLOOKUP($A689,#REF!,9,FALSE())&gt;2,HLOOKUP($A689,#REF!,9,FALSE())&lt;-2),"",#REF!),"")</f>
        <v/>
      </c>
      <c r="L689" s="0" t="str">
        <f aca="false">IFERROR(IF(OR(HLOOKUP($A689,#REF!,10,FALSE())&gt;2,HLOOKUP($A689,#REF!,10,FALSE())&lt;-2),"",#REF!),"")</f>
        <v/>
      </c>
      <c r="M689" s="0" t="str">
        <f aca="false">IFERROR(IF(OR(HLOOKUP($A689,#REF!,11,FALSE())&gt;2,HLOOKUP($A689,#REF!,11,FALSE())&lt;-2),"",#REF!),"")</f>
        <v/>
      </c>
      <c r="N689" s="0" t="str">
        <f aca="false">IFERROR(IF(OR(HLOOKUP($A689,#REF!,12,FALSE())&gt;2,HLOOKUP($A689,#REF!,12,FALSE())&lt;-2),"",#REF!),"")</f>
        <v/>
      </c>
      <c r="O689" s="0" t="str">
        <f aca="false">IFERROR(IF(OR(HLOOKUP($A689,#REF!,13,FALSE())&gt;2,HLOOKUP($A689,#REF!,13,FALSE())&lt;-2),"",#REF!),"")</f>
        <v/>
      </c>
      <c r="P689" s="0" t="str">
        <f aca="false">IFERROR(IF(OR(HLOOKUP($A689,#REF!,14,FALSE())&gt;2,HLOOKUP($A689,#REF!,14,FALSE())&lt;-2),"",#REF!),"")</f>
        <v/>
      </c>
      <c r="Q689" s="0" t="str">
        <f aca="false">IFERROR(IF(OR(HLOOKUP($A689,#REF!,15,FALSE())&gt;2,HLOOKUP($A689,#REF!,15,FALSE())&lt;-2),"",#REF!),"")</f>
        <v/>
      </c>
      <c r="R689" s="0" t="str">
        <f aca="false">IFERROR(IF(OR(HLOOKUP($A689,#REF!,16,FALSE())&gt;2,HLOOKUP($A689,#REF!,16,FALSE())&lt;-2),"",#REF!),"")</f>
        <v/>
      </c>
      <c r="S689" s="0" t="str">
        <f aca="false">IFERROR(IF(OR(HLOOKUP($A689,#REF!,17,FALSE())&gt;2,HLOOKUP($A689,#REF!,17,FALSE())&lt;-2),"",#REF!),"")</f>
        <v/>
      </c>
      <c r="T689" s="0" t="str">
        <f aca="false">IFERROR(IF(OR(HLOOKUP($A689,#REF!,18,FALSE())&gt;2,HLOOKUP($A689,#REF!,18,FALSE())&lt;-2),"",#REF!),"")</f>
        <v/>
      </c>
      <c r="U689" s="0" t="str">
        <f aca="false">IFERROR(IF(OR(HLOOKUP($A689,#REF!,19,FALSE())&gt;2,HLOOKUP($A689,#REF!,19,FALSE())&lt;-2),"",#REF!),"")</f>
        <v/>
      </c>
      <c r="V689" s="0" t="n">
        <f aca="false">IFERROR(IF(AND(X689=0,Y689=0),0,1),0)</f>
        <v>1</v>
      </c>
      <c r="W689" s="3" t="str">
        <f aca="false">IFERROR(_xlfn.T.TEST(E689:M689,N689:U689,2,2),"")</f>
        <v/>
      </c>
      <c r="X689" s="0" t="str">
        <f aca="false">IFERROR(AVERAGE(E689:M689),"")</f>
        <v/>
      </c>
      <c r="Y689" s="0" t="str">
        <f aca="false">IFERROR(AVERAGE(N689:U689),"")</f>
        <v/>
      </c>
    </row>
    <row r="690" customFormat="false" ht="14.5" hidden="false" customHeight="false" outlineLevel="0" collapsed="false">
      <c r="A690" s="0" t="n">
        <v>698</v>
      </c>
      <c r="B690" s="0" t="s">
        <v>750</v>
      </c>
      <c r="C690" s="0" t="n">
        <v>29900</v>
      </c>
      <c r="D690" s="0" t="n">
        <v>695</v>
      </c>
      <c r="E690" s="0" t="str">
        <f aca="false">IFERROR(IF(OR(HLOOKUP($A690,#REF!,3,FALSE())&gt;2,HLOOKUP(A690,#REF!,3,FALSE())&lt;-2),"",#REF!),"")</f>
        <v/>
      </c>
      <c r="F690" s="0" t="str">
        <f aca="false">IFERROR(IF(OR(HLOOKUP($A690,#REF!,4,FALSE())&gt;2,HLOOKUP($A690,#REF!,4,FALSE())&lt;-2),"",#REF!),"")</f>
        <v/>
      </c>
      <c r="G690" s="0" t="str">
        <f aca="false">IFERROR(IF(OR(HLOOKUP($A690,#REF!,5,FALSE())&gt;2,HLOOKUP($A690,#REF!,5,FALSE())&lt;-2),"",#REF!),"")</f>
        <v/>
      </c>
      <c r="H690" s="0" t="str">
        <f aca="false">IFERROR(IF(OR(HLOOKUP($A690,#REF!,6,FALSE())&gt;2,HLOOKUP($A690,#REF!,6,FALSE())&lt;-2),"",#REF!),"")</f>
        <v/>
      </c>
      <c r="I690" s="0" t="str">
        <f aca="false">IFERROR(IF(OR(HLOOKUP($A690,#REF!,7,FALSE())&gt;2,HLOOKUP($A690,#REF!,7,FALSE())&lt;-2),"",#REF!),"")</f>
        <v/>
      </c>
      <c r="J690" s="0" t="str">
        <f aca="false">IFERROR(IF(OR(HLOOKUP($A690,#REF!,8,FALSE())&gt;2,HLOOKUP($A690,#REF!,8,FALSE())&lt;-2),"",#REF!),"")</f>
        <v/>
      </c>
      <c r="K690" s="0" t="str">
        <f aca="false">IFERROR(IF(OR(HLOOKUP($A690,#REF!,9,FALSE())&gt;2,HLOOKUP($A690,#REF!,9,FALSE())&lt;-2),"",#REF!),"")</f>
        <v/>
      </c>
      <c r="L690" s="0" t="str">
        <f aca="false">IFERROR(IF(OR(HLOOKUP($A690,#REF!,10,FALSE())&gt;2,HLOOKUP($A690,#REF!,10,FALSE())&lt;-2),"",#REF!),"")</f>
        <v/>
      </c>
      <c r="M690" s="0" t="str">
        <f aca="false">IFERROR(IF(OR(HLOOKUP($A690,#REF!,11,FALSE())&gt;2,HLOOKUP($A690,#REF!,11,FALSE())&lt;-2),"",#REF!),"")</f>
        <v/>
      </c>
      <c r="N690" s="0" t="str">
        <f aca="false">IFERROR(IF(OR(HLOOKUP($A690,#REF!,12,FALSE())&gt;2,HLOOKUP($A690,#REF!,12,FALSE())&lt;-2),"",#REF!),"")</f>
        <v/>
      </c>
      <c r="O690" s="0" t="str">
        <f aca="false">IFERROR(IF(OR(HLOOKUP($A690,#REF!,13,FALSE())&gt;2,HLOOKUP($A690,#REF!,13,FALSE())&lt;-2),"",#REF!),"")</f>
        <v/>
      </c>
      <c r="P690" s="0" t="str">
        <f aca="false">IFERROR(IF(OR(HLOOKUP($A690,#REF!,14,FALSE())&gt;2,HLOOKUP($A690,#REF!,14,FALSE())&lt;-2),"",#REF!),"")</f>
        <v/>
      </c>
      <c r="Q690" s="0" t="str">
        <f aca="false">IFERROR(IF(OR(HLOOKUP($A690,#REF!,15,FALSE())&gt;2,HLOOKUP($A690,#REF!,15,FALSE())&lt;-2),"",#REF!),"")</f>
        <v/>
      </c>
      <c r="R690" s="0" t="str">
        <f aca="false">IFERROR(IF(OR(HLOOKUP($A690,#REF!,16,FALSE())&gt;2,HLOOKUP($A690,#REF!,16,FALSE())&lt;-2),"",#REF!),"")</f>
        <v/>
      </c>
      <c r="S690" s="0" t="str">
        <f aca="false">IFERROR(IF(OR(HLOOKUP($A690,#REF!,17,FALSE())&gt;2,HLOOKUP($A690,#REF!,17,FALSE())&lt;-2),"",#REF!),"")</f>
        <v/>
      </c>
      <c r="T690" s="0" t="str">
        <f aca="false">IFERROR(IF(OR(HLOOKUP($A690,#REF!,18,FALSE())&gt;2,HLOOKUP($A690,#REF!,18,FALSE())&lt;-2),"",#REF!),"")</f>
        <v/>
      </c>
      <c r="U690" s="0" t="str">
        <f aca="false">IFERROR(IF(OR(HLOOKUP($A690,#REF!,19,FALSE())&gt;2,HLOOKUP($A690,#REF!,19,FALSE())&lt;-2),"",#REF!),"")</f>
        <v/>
      </c>
      <c r="V690" s="0" t="n">
        <f aca="false">IFERROR(IF(AND(X690=0,Y690=0),0,1),0)</f>
        <v>1</v>
      </c>
      <c r="W690" s="3" t="str">
        <f aca="false">IFERROR(_xlfn.T.TEST(E690:M690,N690:U690,2,2),"")</f>
        <v/>
      </c>
      <c r="X690" s="0" t="str">
        <f aca="false">IFERROR(AVERAGE(E690:M690),"")</f>
        <v/>
      </c>
      <c r="Y690" s="0" t="str">
        <f aca="false">IFERROR(AVERAGE(N690:U690),"")</f>
        <v/>
      </c>
    </row>
    <row r="691" customFormat="false" ht="14.5" hidden="false" customHeight="false" outlineLevel="0" collapsed="false">
      <c r="A691" s="0" t="n">
        <v>699</v>
      </c>
      <c r="B691" s="0" t="s">
        <v>751</v>
      </c>
      <c r="C691" s="0" t="n">
        <v>25100</v>
      </c>
      <c r="D691" s="0" t="n">
        <v>119</v>
      </c>
      <c r="E691" s="0" t="str">
        <f aca="false">IFERROR(IF(OR(HLOOKUP($A691,#REF!,3,FALSE())&gt;2,HLOOKUP(A691,#REF!,3,FALSE())&lt;-2),"",#REF!),"")</f>
        <v/>
      </c>
      <c r="F691" s="0" t="str">
        <f aca="false">IFERROR(IF(OR(HLOOKUP($A691,#REF!,4,FALSE())&gt;2,HLOOKUP($A691,#REF!,4,FALSE())&lt;-2),"",#REF!),"")</f>
        <v/>
      </c>
      <c r="G691" s="0" t="str">
        <f aca="false">IFERROR(IF(OR(HLOOKUP($A691,#REF!,5,FALSE())&gt;2,HLOOKUP($A691,#REF!,5,FALSE())&lt;-2),"",#REF!),"")</f>
        <v/>
      </c>
      <c r="H691" s="0" t="str">
        <f aca="false">IFERROR(IF(OR(HLOOKUP($A691,#REF!,6,FALSE())&gt;2,HLOOKUP($A691,#REF!,6,FALSE())&lt;-2),"",#REF!),"")</f>
        <v/>
      </c>
      <c r="I691" s="0" t="str">
        <f aca="false">IFERROR(IF(OR(HLOOKUP($A691,#REF!,7,FALSE())&gt;2,HLOOKUP($A691,#REF!,7,FALSE())&lt;-2),"",#REF!),"")</f>
        <v/>
      </c>
      <c r="J691" s="0" t="str">
        <f aca="false">IFERROR(IF(OR(HLOOKUP($A691,#REF!,8,FALSE())&gt;2,HLOOKUP($A691,#REF!,8,FALSE())&lt;-2),"",#REF!),"")</f>
        <v/>
      </c>
      <c r="K691" s="0" t="str">
        <f aca="false">IFERROR(IF(OR(HLOOKUP($A691,#REF!,9,FALSE())&gt;2,HLOOKUP($A691,#REF!,9,FALSE())&lt;-2),"",#REF!),"")</f>
        <v/>
      </c>
      <c r="L691" s="0" t="str">
        <f aca="false">IFERROR(IF(OR(HLOOKUP($A691,#REF!,10,FALSE())&gt;2,HLOOKUP($A691,#REF!,10,FALSE())&lt;-2),"",#REF!),"")</f>
        <v/>
      </c>
      <c r="M691" s="0" t="str">
        <f aca="false">IFERROR(IF(OR(HLOOKUP($A691,#REF!,11,FALSE())&gt;2,HLOOKUP($A691,#REF!,11,FALSE())&lt;-2),"",#REF!),"")</f>
        <v/>
      </c>
      <c r="N691" s="0" t="str">
        <f aca="false">IFERROR(IF(OR(HLOOKUP($A691,#REF!,12,FALSE())&gt;2,HLOOKUP($A691,#REF!,12,FALSE())&lt;-2),"",#REF!),"")</f>
        <v/>
      </c>
      <c r="O691" s="0" t="str">
        <f aca="false">IFERROR(IF(OR(HLOOKUP($A691,#REF!,13,FALSE())&gt;2,HLOOKUP($A691,#REF!,13,FALSE())&lt;-2),"",#REF!),"")</f>
        <v/>
      </c>
      <c r="P691" s="0" t="str">
        <f aca="false">IFERROR(IF(OR(HLOOKUP($A691,#REF!,14,FALSE())&gt;2,HLOOKUP($A691,#REF!,14,FALSE())&lt;-2),"",#REF!),"")</f>
        <v/>
      </c>
      <c r="Q691" s="0" t="str">
        <f aca="false">IFERROR(IF(OR(HLOOKUP($A691,#REF!,15,FALSE())&gt;2,HLOOKUP($A691,#REF!,15,FALSE())&lt;-2),"",#REF!),"")</f>
        <v/>
      </c>
      <c r="R691" s="0" t="str">
        <f aca="false">IFERROR(IF(OR(HLOOKUP($A691,#REF!,16,FALSE())&gt;2,HLOOKUP($A691,#REF!,16,FALSE())&lt;-2),"",#REF!),"")</f>
        <v/>
      </c>
      <c r="S691" s="0" t="str">
        <f aca="false">IFERROR(IF(OR(HLOOKUP($A691,#REF!,17,FALSE())&gt;2,HLOOKUP($A691,#REF!,17,FALSE())&lt;-2),"",#REF!),"")</f>
        <v/>
      </c>
      <c r="T691" s="0" t="str">
        <f aca="false">IFERROR(IF(OR(HLOOKUP($A691,#REF!,18,FALSE())&gt;2,HLOOKUP($A691,#REF!,18,FALSE())&lt;-2),"",#REF!),"")</f>
        <v/>
      </c>
      <c r="U691" s="0" t="str">
        <f aca="false">IFERROR(IF(OR(HLOOKUP($A691,#REF!,19,FALSE())&gt;2,HLOOKUP($A691,#REF!,19,FALSE())&lt;-2),"",#REF!),"")</f>
        <v/>
      </c>
      <c r="V691" s="0" t="n">
        <f aca="false">IFERROR(IF(AND(X691=0,Y691=0),0,1),0)</f>
        <v>1</v>
      </c>
      <c r="W691" s="3" t="str">
        <f aca="false">IFERROR(_xlfn.T.TEST(E691:M691,N691:U691,2,2),"")</f>
        <v/>
      </c>
      <c r="X691" s="0" t="str">
        <f aca="false">IFERROR(AVERAGE(E691:M691),"")</f>
        <v/>
      </c>
      <c r="Y691" s="0" t="str">
        <f aca="false">IFERROR(AVERAGE(N691:U691),"")</f>
        <v/>
      </c>
    </row>
    <row r="692" customFormat="false" ht="14.5" hidden="false" customHeight="false" outlineLevel="0" collapsed="false">
      <c r="A692" s="0" t="n">
        <v>700</v>
      </c>
      <c r="B692" s="0" t="s">
        <v>752</v>
      </c>
      <c r="C692" s="0" t="n">
        <v>74200</v>
      </c>
      <c r="D692" s="0" t="n">
        <v>88</v>
      </c>
      <c r="E692" s="0" t="str">
        <f aca="false">IFERROR(IF(OR(HLOOKUP($A692,#REF!,3,FALSE())&gt;2,HLOOKUP(A692,#REF!,3,FALSE())&lt;-2),"",#REF!),"")</f>
        <v/>
      </c>
      <c r="F692" s="0" t="str">
        <f aca="false">IFERROR(IF(OR(HLOOKUP($A692,#REF!,4,FALSE())&gt;2,HLOOKUP($A692,#REF!,4,FALSE())&lt;-2),"",#REF!),"")</f>
        <v/>
      </c>
      <c r="G692" s="0" t="str">
        <f aca="false">IFERROR(IF(OR(HLOOKUP($A692,#REF!,5,FALSE())&gt;2,HLOOKUP($A692,#REF!,5,FALSE())&lt;-2),"",#REF!),"")</f>
        <v/>
      </c>
      <c r="H692" s="0" t="str">
        <f aca="false">IFERROR(IF(OR(HLOOKUP($A692,#REF!,6,FALSE())&gt;2,HLOOKUP($A692,#REF!,6,FALSE())&lt;-2),"",#REF!),"")</f>
        <v/>
      </c>
      <c r="I692" s="0" t="str">
        <f aca="false">IFERROR(IF(OR(HLOOKUP($A692,#REF!,7,FALSE())&gt;2,HLOOKUP($A692,#REF!,7,FALSE())&lt;-2),"",#REF!),"")</f>
        <v/>
      </c>
      <c r="J692" s="0" t="str">
        <f aca="false">IFERROR(IF(OR(HLOOKUP($A692,#REF!,8,FALSE())&gt;2,HLOOKUP($A692,#REF!,8,FALSE())&lt;-2),"",#REF!),"")</f>
        <v/>
      </c>
      <c r="K692" s="0" t="str">
        <f aca="false">IFERROR(IF(OR(HLOOKUP($A692,#REF!,9,FALSE())&gt;2,HLOOKUP($A692,#REF!,9,FALSE())&lt;-2),"",#REF!),"")</f>
        <v/>
      </c>
      <c r="L692" s="0" t="str">
        <f aca="false">IFERROR(IF(OR(HLOOKUP($A692,#REF!,10,FALSE())&gt;2,HLOOKUP($A692,#REF!,10,FALSE())&lt;-2),"",#REF!),"")</f>
        <v/>
      </c>
      <c r="M692" s="0" t="str">
        <f aca="false">IFERROR(IF(OR(HLOOKUP($A692,#REF!,11,FALSE())&gt;2,HLOOKUP($A692,#REF!,11,FALSE())&lt;-2),"",#REF!),"")</f>
        <v/>
      </c>
      <c r="N692" s="0" t="str">
        <f aca="false">IFERROR(IF(OR(HLOOKUP($A692,#REF!,12,FALSE())&gt;2,HLOOKUP($A692,#REF!,12,FALSE())&lt;-2),"",#REF!),"")</f>
        <v/>
      </c>
      <c r="O692" s="0" t="str">
        <f aca="false">IFERROR(IF(OR(HLOOKUP($A692,#REF!,13,FALSE())&gt;2,HLOOKUP($A692,#REF!,13,FALSE())&lt;-2),"",#REF!),"")</f>
        <v/>
      </c>
      <c r="P692" s="0" t="str">
        <f aca="false">IFERROR(IF(OR(HLOOKUP($A692,#REF!,14,FALSE())&gt;2,HLOOKUP($A692,#REF!,14,FALSE())&lt;-2),"",#REF!),"")</f>
        <v/>
      </c>
      <c r="Q692" s="0" t="str">
        <f aca="false">IFERROR(IF(OR(HLOOKUP($A692,#REF!,15,FALSE())&gt;2,HLOOKUP($A692,#REF!,15,FALSE())&lt;-2),"",#REF!),"")</f>
        <v/>
      </c>
      <c r="R692" s="0" t="str">
        <f aca="false">IFERROR(IF(OR(HLOOKUP($A692,#REF!,16,FALSE())&gt;2,HLOOKUP($A692,#REF!,16,FALSE())&lt;-2),"",#REF!),"")</f>
        <v/>
      </c>
      <c r="S692" s="0" t="str">
        <f aca="false">IFERROR(IF(OR(HLOOKUP($A692,#REF!,17,FALSE())&gt;2,HLOOKUP($A692,#REF!,17,FALSE())&lt;-2),"",#REF!),"")</f>
        <v/>
      </c>
      <c r="T692" s="0" t="str">
        <f aca="false">IFERROR(IF(OR(HLOOKUP($A692,#REF!,18,FALSE())&gt;2,HLOOKUP($A692,#REF!,18,FALSE())&lt;-2),"",#REF!),"")</f>
        <v/>
      </c>
      <c r="U692" s="0" t="str">
        <f aca="false">IFERROR(IF(OR(HLOOKUP($A692,#REF!,19,FALSE())&gt;2,HLOOKUP($A692,#REF!,19,FALSE())&lt;-2),"",#REF!),"")</f>
        <v/>
      </c>
      <c r="V692" s="0" t="n">
        <f aca="false">IFERROR(IF(AND(X692=0,Y692=0),0,1),0)</f>
        <v>1</v>
      </c>
      <c r="W692" s="3" t="str">
        <f aca="false">IFERROR(_xlfn.T.TEST(E692:M692,N692:U692,2,2),"")</f>
        <v/>
      </c>
      <c r="X692" s="0" t="str">
        <f aca="false">IFERROR(AVERAGE(E692:M692),"")</f>
        <v/>
      </c>
      <c r="Y692" s="0" t="str">
        <f aca="false">IFERROR(AVERAGE(N692:U692),"")</f>
        <v/>
      </c>
    </row>
    <row r="693" customFormat="false" ht="14.5" hidden="false" customHeight="false" outlineLevel="0" collapsed="false">
      <c r="A693" s="0" t="n">
        <v>701</v>
      </c>
      <c r="B693" s="0" t="s">
        <v>753</v>
      </c>
      <c r="C693" s="0" t="n">
        <v>95900</v>
      </c>
      <c r="D693" s="0" t="n">
        <v>370</v>
      </c>
      <c r="E693" s="0" t="str">
        <f aca="false">IFERROR(IF(OR(HLOOKUP($A693,#REF!,3,FALSE())&gt;2,HLOOKUP(A693,#REF!,3,FALSE())&lt;-2),"",#REF!),"")</f>
        <v/>
      </c>
      <c r="F693" s="0" t="str">
        <f aca="false">IFERROR(IF(OR(HLOOKUP($A693,#REF!,4,FALSE())&gt;2,HLOOKUP($A693,#REF!,4,FALSE())&lt;-2),"",#REF!),"")</f>
        <v/>
      </c>
      <c r="G693" s="0" t="str">
        <f aca="false">IFERROR(IF(OR(HLOOKUP($A693,#REF!,5,FALSE())&gt;2,HLOOKUP($A693,#REF!,5,FALSE())&lt;-2),"",#REF!),"")</f>
        <v/>
      </c>
      <c r="H693" s="0" t="str">
        <f aca="false">IFERROR(IF(OR(HLOOKUP($A693,#REF!,6,FALSE())&gt;2,HLOOKUP($A693,#REF!,6,FALSE())&lt;-2),"",#REF!),"")</f>
        <v/>
      </c>
      <c r="I693" s="0" t="str">
        <f aca="false">IFERROR(IF(OR(HLOOKUP($A693,#REF!,7,FALSE())&gt;2,HLOOKUP($A693,#REF!,7,FALSE())&lt;-2),"",#REF!),"")</f>
        <v/>
      </c>
      <c r="J693" s="0" t="str">
        <f aca="false">IFERROR(IF(OR(HLOOKUP($A693,#REF!,8,FALSE())&gt;2,HLOOKUP($A693,#REF!,8,FALSE())&lt;-2),"",#REF!),"")</f>
        <v/>
      </c>
      <c r="K693" s="0" t="str">
        <f aca="false">IFERROR(IF(OR(HLOOKUP($A693,#REF!,9,FALSE())&gt;2,HLOOKUP($A693,#REF!,9,FALSE())&lt;-2),"",#REF!),"")</f>
        <v/>
      </c>
      <c r="L693" s="0" t="str">
        <f aca="false">IFERROR(IF(OR(HLOOKUP($A693,#REF!,10,FALSE())&gt;2,HLOOKUP($A693,#REF!,10,FALSE())&lt;-2),"",#REF!),"")</f>
        <v/>
      </c>
      <c r="M693" s="0" t="str">
        <f aca="false">IFERROR(IF(OR(HLOOKUP($A693,#REF!,11,FALSE())&gt;2,HLOOKUP($A693,#REF!,11,FALSE())&lt;-2),"",#REF!),"")</f>
        <v/>
      </c>
      <c r="N693" s="0" t="str">
        <f aca="false">IFERROR(IF(OR(HLOOKUP($A693,#REF!,12,FALSE())&gt;2,HLOOKUP($A693,#REF!,12,FALSE())&lt;-2),"",#REF!),"")</f>
        <v/>
      </c>
      <c r="O693" s="0" t="str">
        <f aca="false">IFERROR(IF(OR(HLOOKUP($A693,#REF!,13,FALSE())&gt;2,HLOOKUP($A693,#REF!,13,FALSE())&lt;-2),"",#REF!),"")</f>
        <v/>
      </c>
      <c r="P693" s="0" t="str">
        <f aca="false">IFERROR(IF(OR(HLOOKUP($A693,#REF!,14,FALSE())&gt;2,HLOOKUP($A693,#REF!,14,FALSE())&lt;-2),"",#REF!),"")</f>
        <v/>
      </c>
      <c r="Q693" s="0" t="str">
        <f aca="false">IFERROR(IF(OR(HLOOKUP($A693,#REF!,15,FALSE())&gt;2,HLOOKUP($A693,#REF!,15,FALSE())&lt;-2),"",#REF!),"")</f>
        <v/>
      </c>
      <c r="R693" s="0" t="str">
        <f aca="false">IFERROR(IF(OR(HLOOKUP($A693,#REF!,16,FALSE())&gt;2,HLOOKUP($A693,#REF!,16,FALSE())&lt;-2),"",#REF!),"")</f>
        <v/>
      </c>
      <c r="S693" s="0" t="str">
        <f aca="false">IFERROR(IF(OR(HLOOKUP($A693,#REF!,17,FALSE())&gt;2,HLOOKUP($A693,#REF!,17,FALSE())&lt;-2),"",#REF!),"")</f>
        <v/>
      </c>
      <c r="T693" s="0" t="str">
        <f aca="false">IFERROR(IF(OR(HLOOKUP($A693,#REF!,18,FALSE())&gt;2,HLOOKUP($A693,#REF!,18,FALSE())&lt;-2),"",#REF!),"")</f>
        <v/>
      </c>
      <c r="U693" s="0" t="str">
        <f aca="false">IFERROR(IF(OR(HLOOKUP($A693,#REF!,19,FALSE())&gt;2,HLOOKUP($A693,#REF!,19,FALSE())&lt;-2),"",#REF!),"")</f>
        <v/>
      </c>
      <c r="V693" s="0" t="n">
        <f aca="false">IFERROR(IF(AND(X693=0,Y693=0),0,1),0)</f>
        <v>1</v>
      </c>
      <c r="W693" s="3" t="str">
        <f aca="false">IFERROR(_xlfn.T.TEST(E693:M693,N693:U693,2,2),"")</f>
        <v/>
      </c>
      <c r="X693" s="0" t="str">
        <f aca="false">IFERROR(AVERAGE(E693:M693),"")</f>
        <v/>
      </c>
      <c r="Y693" s="0" t="str">
        <f aca="false">IFERROR(AVERAGE(N693:U693),"")</f>
        <v/>
      </c>
    </row>
    <row r="694" customFormat="false" ht="14.5" hidden="false" customHeight="false" outlineLevel="0" collapsed="false">
      <c r="A694" s="0" t="n">
        <v>702</v>
      </c>
      <c r="B694" s="0" t="s">
        <v>754</v>
      </c>
      <c r="C694" s="0" t="n">
        <v>3900</v>
      </c>
      <c r="D694" s="0" t="n">
        <v>353</v>
      </c>
      <c r="E694" s="0" t="str">
        <f aca="false">IFERROR(IF(OR(HLOOKUP($A694,#REF!,3,FALSE())&gt;2,HLOOKUP(A694,#REF!,3,FALSE())&lt;-2),"",#REF!),"")</f>
        <v/>
      </c>
      <c r="F694" s="0" t="str">
        <f aca="false">IFERROR(IF(OR(HLOOKUP($A694,#REF!,4,FALSE())&gt;2,HLOOKUP($A694,#REF!,4,FALSE())&lt;-2),"",#REF!),"")</f>
        <v/>
      </c>
      <c r="G694" s="0" t="str">
        <f aca="false">IFERROR(IF(OR(HLOOKUP($A694,#REF!,5,FALSE())&gt;2,HLOOKUP($A694,#REF!,5,FALSE())&lt;-2),"",#REF!),"")</f>
        <v/>
      </c>
      <c r="H694" s="0" t="str">
        <f aca="false">IFERROR(IF(OR(HLOOKUP($A694,#REF!,6,FALSE())&gt;2,HLOOKUP($A694,#REF!,6,FALSE())&lt;-2),"",#REF!),"")</f>
        <v/>
      </c>
      <c r="I694" s="0" t="str">
        <f aca="false">IFERROR(IF(OR(HLOOKUP($A694,#REF!,7,FALSE())&gt;2,HLOOKUP($A694,#REF!,7,FALSE())&lt;-2),"",#REF!),"")</f>
        <v/>
      </c>
      <c r="J694" s="0" t="str">
        <f aca="false">IFERROR(IF(OR(HLOOKUP($A694,#REF!,8,FALSE())&gt;2,HLOOKUP($A694,#REF!,8,FALSE())&lt;-2),"",#REF!),"")</f>
        <v/>
      </c>
      <c r="K694" s="0" t="str">
        <f aca="false">IFERROR(IF(OR(HLOOKUP($A694,#REF!,9,FALSE())&gt;2,HLOOKUP($A694,#REF!,9,FALSE())&lt;-2),"",#REF!),"")</f>
        <v/>
      </c>
      <c r="L694" s="0" t="str">
        <f aca="false">IFERROR(IF(OR(HLOOKUP($A694,#REF!,10,FALSE())&gt;2,HLOOKUP($A694,#REF!,10,FALSE())&lt;-2),"",#REF!),"")</f>
        <v/>
      </c>
      <c r="M694" s="0" t="str">
        <f aca="false">IFERROR(IF(OR(HLOOKUP($A694,#REF!,11,FALSE())&gt;2,HLOOKUP($A694,#REF!,11,FALSE())&lt;-2),"",#REF!),"")</f>
        <v/>
      </c>
      <c r="N694" s="0" t="str">
        <f aca="false">IFERROR(IF(OR(HLOOKUP($A694,#REF!,12,FALSE())&gt;2,HLOOKUP($A694,#REF!,12,FALSE())&lt;-2),"",#REF!),"")</f>
        <v/>
      </c>
      <c r="O694" s="0" t="str">
        <f aca="false">IFERROR(IF(OR(HLOOKUP($A694,#REF!,13,FALSE())&gt;2,HLOOKUP($A694,#REF!,13,FALSE())&lt;-2),"",#REF!),"")</f>
        <v/>
      </c>
      <c r="P694" s="0" t="str">
        <f aca="false">IFERROR(IF(OR(HLOOKUP($A694,#REF!,14,FALSE())&gt;2,HLOOKUP($A694,#REF!,14,FALSE())&lt;-2),"",#REF!),"")</f>
        <v/>
      </c>
      <c r="Q694" s="0" t="str">
        <f aca="false">IFERROR(IF(OR(HLOOKUP($A694,#REF!,15,FALSE())&gt;2,HLOOKUP($A694,#REF!,15,FALSE())&lt;-2),"",#REF!),"")</f>
        <v/>
      </c>
      <c r="R694" s="0" t="str">
        <f aca="false">IFERROR(IF(OR(HLOOKUP($A694,#REF!,16,FALSE())&gt;2,HLOOKUP($A694,#REF!,16,FALSE())&lt;-2),"",#REF!),"")</f>
        <v/>
      </c>
      <c r="S694" s="0" t="str">
        <f aca="false">IFERROR(IF(OR(HLOOKUP($A694,#REF!,17,FALSE())&gt;2,HLOOKUP($A694,#REF!,17,FALSE())&lt;-2),"",#REF!),"")</f>
        <v/>
      </c>
      <c r="T694" s="0" t="str">
        <f aca="false">IFERROR(IF(OR(HLOOKUP($A694,#REF!,18,FALSE())&gt;2,HLOOKUP($A694,#REF!,18,FALSE())&lt;-2),"",#REF!),"")</f>
        <v/>
      </c>
      <c r="U694" s="0" t="str">
        <f aca="false">IFERROR(IF(OR(HLOOKUP($A694,#REF!,19,FALSE())&gt;2,HLOOKUP($A694,#REF!,19,FALSE())&lt;-2),"",#REF!),"")</f>
        <v/>
      </c>
      <c r="V694" s="0" t="n">
        <f aca="false">IFERROR(IF(AND(X694=0,Y694=0),0,1),0)</f>
        <v>1</v>
      </c>
      <c r="W694" s="3" t="str">
        <f aca="false">IFERROR(_xlfn.T.TEST(E694:M694,N694:U694,2,2),"")</f>
        <v/>
      </c>
      <c r="X694" s="0" t="str">
        <f aca="false">IFERROR(AVERAGE(E694:M694),"")</f>
        <v/>
      </c>
      <c r="Y694" s="0" t="str">
        <f aca="false">IFERROR(AVERAGE(N694:U694),"")</f>
        <v/>
      </c>
    </row>
    <row r="695" customFormat="false" ht="14.5" hidden="false" customHeight="false" outlineLevel="0" collapsed="false">
      <c r="A695" s="0" t="n">
        <v>703</v>
      </c>
      <c r="B695" s="0" t="s">
        <v>755</v>
      </c>
      <c r="C695" s="0" t="n">
        <v>46400</v>
      </c>
      <c r="D695" s="0" t="n">
        <v>688</v>
      </c>
      <c r="E695" s="0" t="str">
        <f aca="false">IFERROR(IF(OR(HLOOKUP($A695,#REF!,3,FALSE())&gt;2,HLOOKUP(A695,#REF!,3,FALSE())&lt;-2),"",#REF!),"")</f>
        <v/>
      </c>
      <c r="F695" s="0" t="str">
        <f aca="false">IFERROR(IF(OR(HLOOKUP($A695,#REF!,4,FALSE())&gt;2,HLOOKUP($A695,#REF!,4,FALSE())&lt;-2),"",#REF!),"")</f>
        <v/>
      </c>
      <c r="G695" s="0" t="str">
        <f aca="false">IFERROR(IF(OR(HLOOKUP($A695,#REF!,5,FALSE())&gt;2,HLOOKUP($A695,#REF!,5,FALSE())&lt;-2),"",#REF!),"")</f>
        <v/>
      </c>
      <c r="H695" s="0" t="str">
        <f aca="false">IFERROR(IF(OR(HLOOKUP($A695,#REF!,6,FALSE())&gt;2,HLOOKUP($A695,#REF!,6,FALSE())&lt;-2),"",#REF!),"")</f>
        <v/>
      </c>
      <c r="I695" s="0" t="str">
        <f aca="false">IFERROR(IF(OR(HLOOKUP($A695,#REF!,7,FALSE())&gt;2,HLOOKUP($A695,#REF!,7,FALSE())&lt;-2),"",#REF!),"")</f>
        <v/>
      </c>
      <c r="J695" s="0" t="str">
        <f aca="false">IFERROR(IF(OR(HLOOKUP($A695,#REF!,8,FALSE())&gt;2,HLOOKUP($A695,#REF!,8,FALSE())&lt;-2),"",#REF!),"")</f>
        <v/>
      </c>
      <c r="K695" s="0" t="str">
        <f aca="false">IFERROR(IF(OR(HLOOKUP($A695,#REF!,9,FALSE())&gt;2,HLOOKUP($A695,#REF!,9,FALSE())&lt;-2),"",#REF!),"")</f>
        <v/>
      </c>
      <c r="L695" s="0" t="str">
        <f aca="false">IFERROR(IF(OR(HLOOKUP($A695,#REF!,10,FALSE())&gt;2,HLOOKUP($A695,#REF!,10,FALSE())&lt;-2),"",#REF!),"")</f>
        <v/>
      </c>
      <c r="M695" s="0" t="str">
        <f aca="false">IFERROR(IF(OR(HLOOKUP($A695,#REF!,11,FALSE())&gt;2,HLOOKUP($A695,#REF!,11,FALSE())&lt;-2),"",#REF!),"")</f>
        <v/>
      </c>
      <c r="N695" s="0" t="str">
        <f aca="false">IFERROR(IF(OR(HLOOKUP($A695,#REF!,12,FALSE())&gt;2,HLOOKUP($A695,#REF!,12,FALSE())&lt;-2),"",#REF!),"")</f>
        <v/>
      </c>
      <c r="O695" s="0" t="str">
        <f aca="false">IFERROR(IF(OR(HLOOKUP($A695,#REF!,13,FALSE())&gt;2,HLOOKUP($A695,#REF!,13,FALSE())&lt;-2),"",#REF!),"")</f>
        <v/>
      </c>
      <c r="P695" s="0" t="str">
        <f aca="false">IFERROR(IF(OR(HLOOKUP($A695,#REF!,14,FALSE())&gt;2,HLOOKUP($A695,#REF!,14,FALSE())&lt;-2),"",#REF!),"")</f>
        <v/>
      </c>
      <c r="Q695" s="0" t="str">
        <f aca="false">IFERROR(IF(OR(HLOOKUP($A695,#REF!,15,FALSE())&gt;2,HLOOKUP($A695,#REF!,15,FALSE())&lt;-2),"",#REF!),"")</f>
        <v/>
      </c>
      <c r="R695" s="0" t="str">
        <f aca="false">IFERROR(IF(OR(HLOOKUP($A695,#REF!,16,FALSE())&gt;2,HLOOKUP($A695,#REF!,16,FALSE())&lt;-2),"",#REF!),"")</f>
        <v/>
      </c>
      <c r="S695" s="0" t="str">
        <f aca="false">IFERROR(IF(OR(HLOOKUP($A695,#REF!,17,FALSE())&gt;2,HLOOKUP($A695,#REF!,17,FALSE())&lt;-2),"",#REF!),"")</f>
        <v/>
      </c>
      <c r="T695" s="0" t="str">
        <f aca="false">IFERROR(IF(OR(HLOOKUP($A695,#REF!,18,FALSE())&gt;2,HLOOKUP($A695,#REF!,18,FALSE())&lt;-2),"",#REF!),"")</f>
        <v/>
      </c>
      <c r="U695" s="0" t="str">
        <f aca="false">IFERROR(IF(OR(HLOOKUP($A695,#REF!,19,FALSE())&gt;2,HLOOKUP($A695,#REF!,19,FALSE())&lt;-2),"",#REF!),"")</f>
        <v/>
      </c>
      <c r="V695" s="0" t="n">
        <f aca="false">IFERROR(IF(AND(X695=0,Y695=0),0,1),0)</f>
        <v>1</v>
      </c>
      <c r="W695" s="3" t="str">
        <f aca="false">IFERROR(_xlfn.T.TEST(E695:M695,N695:U695,2,2),"")</f>
        <v/>
      </c>
      <c r="X695" s="0" t="str">
        <f aca="false">IFERROR(AVERAGE(E695:M695),"")</f>
        <v/>
      </c>
      <c r="Y695" s="0" t="str">
        <f aca="false">IFERROR(AVERAGE(N695:U695),"")</f>
        <v/>
      </c>
    </row>
    <row r="696" customFormat="false" ht="14.5" hidden="false" customHeight="false" outlineLevel="0" collapsed="false">
      <c r="A696" s="0" t="n">
        <v>704</v>
      </c>
      <c r="B696" s="0" t="s">
        <v>756</v>
      </c>
      <c r="C696" s="0" t="n">
        <v>24700</v>
      </c>
      <c r="D696" s="0" t="n">
        <v>119</v>
      </c>
      <c r="E696" s="0" t="str">
        <f aca="false">IFERROR(IF(OR(HLOOKUP($A696,#REF!,3,FALSE())&gt;2,HLOOKUP(A696,#REF!,3,FALSE())&lt;-2),"",#REF!),"")</f>
        <v/>
      </c>
      <c r="F696" s="0" t="str">
        <f aca="false">IFERROR(IF(OR(HLOOKUP($A696,#REF!,4,FALSE())&gt;2,HLOOKUP($A696,#REF!,4,FALSE())&lt;-2),"",#REF!),"")</f>
        <v/>
      </c>
      <c r="G696" s="0" t="str">
        <f aca="false">IFERROR(IF(OR(HLOOKUP($A696,#REF!,5,FALSE())&gt;2,HLOOKUP($A696,#REF!,5,FALSE())&lt;-2),"",#REF!),"")</f>
        <v/>
      </c>
      <c r="H696" s="0" t="str">
        <f aca="false">IFERROR(IF(OR(HLOOKUP($A696,#REF!,6,FALSE())&gt;2,HLOOKUP($A696,#REF!,6,FALSE())&lt;-2),"",#REF!),"")</f>
        <v/>
      </c>
      <c r="I696" s="0" t="str">
        <f aca="false">IFERROR(IF(OR(HLOOKUP($A696,#REF!,7,FALSE())&gt;2,HLOOKUP($A696,#REF!,7,FALSE())&lt;-2),"",#REF!),"")</f>
        <v/>
      </c>
      <c r="J696" s="0" t="str">
        <f aca="false">IFERROR(IF(OR(HLOOKUP($A696,#REF!,8,FALSE())&gt;2,HLOOKUP($A696,#REF!,8,FALSE())&lt;-2),"",#REF!),"")</f>
        <v/>
      </c>
      <c r="K696" s="0" t="str">
        <f aca="false">IFERROR(IF(OR(HLOOKUP($A696,#REF!,9,FALSE())&gt;2,HLOOKUP($A696,#REF!,9,FALSE())&lt;-2),"",#REF!),"")</f>
        <v/>
      </c>
      <c r="L696" s="0" t="str">
        <f aca="false">IFERROR(IF(OR(HLOOKUP($A696,#REF!,10,FALSE())&gt;2,HLOOKUP($A696,#REF!,10,FALSE())&lt;-2),"",#REF!),"")</f>
        <v/>
      </c>
      <c r="M696" s="0" t="str">
        <f aca="false">IFERROR(IF(OR(HLOOKUP($A696,#REF!,11,FALSE())&gt;2,HLOOKUP($A696,#REF!,11,FALSE())&lt;-2),"",#REF!),"")</f>
        <v/>
      </c>
      <c r="N696" s="0" t="str">
        <f aca="false">IFERROR(IF(OR(HLOOKUP($A696,#REF!,12,FALSE())&gt;2,HLOOKUP($A696,#REF!,12,FALSE())&lt;-2),"",#REF!),"")</f>
        <v/>
      </c>
      <c r="O696" s="0" t="str">
        <f aca="false">IFERROR(IF(OR(HLOOKUP($A696,#REF!,13,FALSE())&gt;2,HLOOKUP($A696,#REF!,13,FALSE())&lt;-2),"",#REF!),"")</f>
        <v/>
      </c>
      <c r="P696" s="0" t="str">
        <f aca="false">IFERROR(IF(OR(HLOOKUP($A696,#REF!,14,FALSE())&gt;2,HLOOKUP($A696,#REF!,14,FALSE())&lt;-2),"",#REF!),"")</f>
        <v/>
      </c>
      <c r="Q696" s="0" t="str">
        <f aca="false">IFERROR(IF(OR(HLOOKUP($A696,#REF!,15,FALSE())&gt;2,HLOOKUP($A696,#REF!,15,FALSE())&lt;-2),"",#REF!),"")</f>
        <v/>
      </c>
      <c r="R696" s="0" t="str">
        <f aca="false">IFERROR(IF(OR(HLOOKUP($A696,#REF!,16,FALSE())&gt;2,HLOOKUP($A696,#REF!,16,FALSE())&lt;-2),"",#REF!),"")</f>
        <v/>
      </c>
      <c r="S696" s="0" t="str">
        <f aca="false">IFERROR(IF(OR(HLOOKUP($A696,#REF!,17,FALSE())&gt;2,HLOOKUP($A696,#REF!,17,FALSE())&lt;-2),"",#REF!),"")</f>
        <v/>
      </c>
      <c r="T696" s="0" t="str">
        <f aca="false">IFERROR(IF(OR(HLOOKUP($A696,#REF!,18,FALSE())&gt;2,HLOOKUP($A696,#REF!,18,FALSE())&lt;-2),"",#REF!),"")</f>
        <v/>
      </c>
      <c r="U696" s="0" t="str">
        <f aca="false">IFERROR(IF(OR(HLOOKUP($A696,#REF!,19,FALSE())&gt;2,HLOOKUP($A696,#REF!,19,FALSE())&lt;-2),"",#REF!),"")</f>
        <v/>
      </c>
      <c r="V696" s="0" t="n">
        <f aca="false">IFERROR(IF(AND(X696=0,Y696=0),0,1),0)</f>
        <v>1</v>
      </c>
      <c r="W696" s="3" t="str">
        <f aca="false">IFERROR(_xlfn.T.TEST(E696:M696,N696:U696,2,2),"")</f>
        <v/>
      </c>
      <c r="X696" s="0" t="str">
        <f aca="false">IFERROR(AVERAGE(E696:M696),"")</f>
        <v/>
      </c>
      <c r="Y696" s="0" t="str">
        <f aca="false">IFERROR(AVERAGE(N696:U696),"")</f>
        <v/>
      </c>
    </row>
    <row r="697" customFormat="false" ht="14.5" hidden="false" customHeight="false" outlineLevel="0" collapsed="false">
      <c r="A697" s="0" t="n">
        <v>705</v>
      </c>
      <c r="B697" s="0" t="s">
        <v>757</v>
      </c>
      <c r="C697" s="0" t="n">
        <v>99900</v>
      </c>
      <c r="D697" s="0" t="n">
        <v>229</v>
      </c>
      <c r="E697" s="0" t="str">
        <f aca="false">IFERROR(IF(OR(HLOOKUP($A697,#REF!,3,FALSE())&gt;2,HLOOKUP(A697,#REF!,3,FALSE())&lt;-2),"",#REF!),"")</f>
        <v/>
      </c>
      <c r="F697" s="0" t="str">
        <f aca="false">IFERROR(IF(OR(HLOOKUP($A697,#REF!,4,FALSE())&gt;2,HLOOKUP($A697,#REF!,4,FALSE())&lt;-2),"",#REF!),"")</f>
        <v/>
      </c>
      <c r="G697" s="0" t="str">
        <f aca="false">IFERROR(IF(OR(HLOOKUP($A697,#REF!,5,FALSE())&gt;2,HLOOKUP($A697,#REF!,5,FALSE())&lt;-2),"",#REF!),"")</f>
        <v/>
      </c>
      <c r="H697" s="0" t="str">
        <f aca="false">IFERROR(IF(OR(HLOOKUP($A697,#REF!,6,FALSE())&gt;2,HLOOKUP($A697,#REF!,6,FALSE())&lt;-2),"",#REF!),"")</f>
        <v/>
      </c>
      <c r="I697" s="0" t="str">
        <f aca="false">IFERROR(IF(OR(HLOOKUP($A697,#REF!,7,FALSE())&gt;2,HLOOKUP($A697,#REF!,7,FALSE())&lt;-2),"",#REF!),"")</f>
        <v/>
      </c>
      <c r="J697" s="0" t="str">
        <f aca="false">IFERROR(IF(OR(HLOOKUP($A697,#REF!,8,FALSE())&gt;2,HLOOKUP($A697,#REF!,8,FALSE())&lt;-2),"",#REF!),"")</f>
        <v/>
      </c>
      <c r="K697" s="0" t="str">
        <f aca="false">IFERROR(IF(OR(HLOOKUP($A697,#REF!,9,FALSE())&gt;2,HLOOKUP($A697,#REF!,9,FALSE())&lt;-2),"",#REF!),"")</f>
        <v/>
      </c>
      <c r="L697" s="0" t="str">
        <f aca="false">IFERROR(IF(OR(HLOOKUP($A697,#REF!,10,FALSE())&gt;2,HLOOKUP($A697,#REF!,10,FALSE())&lt;-2),"",#REF!),"")</f>
        <v/>
      </c>
      <c r="M697" s="0" t="str">
        <f aca="false">IFERROR(IF(OR(HLOOKUP($A697,#REF!,11,FALSE())&gt;2,HLOOKUP($A697,#REF!,11,FALSE())&lt;-2),"",#REF!),"")</f>
        <v/>
      </c>
      <c r="N697" s="0" t="str">
        <f aca="false">IFERROR(IF(OR(HLOOKUP($A697,#REF!,12,FALSE())&gt;2,HLOOKUP($A697,#REF!,12,FALSE())&lt;-2),"",#REF!),"")</f>
        <v/>
      </c>
      <c r="O697" s="0" t="str">
        <f aca="false">IFERROR(IF(OR(HLOOKUP($A697,#REF!,13,FALSE())&gt;2,HLOOKUP($A697,#REF!,13,FALSE())&lt;-2),"",#REF!),"")</f>
        <v/>
      </c>
      <c r="P697" s="0" t="str">
        <f aca="false">IFERROR(IF(OR(HLOOKUP($A697,#REF!,14,FALSE())&gt;2,HLOOKUP($A697,#REF!,14,FALSE())&lt;-2),"",#REF!),"")</f>
        <v/>
      </c>
      <c r="Q697" s="0" t="str">
        <f aca="false">IFERROR(IF(OR(HLOOKUP($A697,#REF!,15,FALSE())&gt;2,HLOOKUP($A697,#REF!,15,FALSE())&lt;-2),"",#REF!),"")</f>
        <v/>
      </c>
      <c r="R697" s="0" t="str">
        <f aca="false">IFERROR(IF(OR(HLOOKUP($A697,#REF!,16,FALSE())&gt;2,HLOOKUP($A697,#REF!,16,FALSE())&lt;-2),"",#REF!),"")</f>
        <v/>
      </c>
      <c r="S697" s="0" t="str">
        <f aca="false">IFERROR(IF(OR(HLOOKUP($A697,#REF!,17,FALSE())&gt;2,HLOOKUP($A697,#REF!,17,FALSE())&lt;-2),"",#REF!),"")</f>
        <v/>
      </c>
      <c r="T697" s="0" t="str">
        <f aca="false">IFERROR(IF(OR(HLOOKUP($A697,#REF!,18,FALSE())&gt;2,HLOOKUP($A697,#REF!,18,FALSE())&lt;-2),"",#REF!),"")</f>
        <v/>
      </c>
      <c r="U697" s="0" t="str">
        <f aca="false">IFERROR(IF(OR(HLOOKUP($A697,#REF!,19,FALSE())&gt;2,HLOOKUP($A697,#REF!,19,FALSE())&lt;-2),"",#REF!),"")</f>
        <v/>
      </c>
      <c r="V697" s="0" t="n">
        <f aca="false">IFERROR(IF(AND(X697=0,Y697=0),0,1),0)</f>
        <v>1</v>
      </c>
      <c r="W697" s="3" t="str">
        <f aca="false">IFERROR(_xlfn.T.TEST(E697:M697,N697:U697,2,2),"")</f>
        <v/>
      </c>
      <c r="X697" s="0" t="str">
        <f aca="false">IFERROR(AVERAGE(E697:M697),"")</f>
        <v/>
      </c>
      <c r="Y697" s="0" t="str">
        <f aca="false">IFERROR(AVERAGE(N697:U697),"")</f>
        <v/>
      </c>
    </row>
    <row r="698" customFormat="false" ht="14.5" hidden="false" customHeight="false" outlineLevel="0" collapsed="false">
      <c r="A698" s="0" t="n">
        <v>706</v>
      </c>
      <c r="B698" s="0" t="s">
        <v>758</v>
      </c>
      <c r="C698" s="0" t="n">
        <v>82400</v>
      </c>
      <c r="D698" s="0" t="n">
        <v>1100</v>
      </c>
      <c r="E698" s="0" t="str">
        <f aca="false">IFERROR(IF(OR(HLOOKUP($A698,#REF!,3,FALSE())&gt;2,HLOOKUP(A698,#REF!,3,FALSE())&lt;-2),"",#REF!),"")</f>
        <v/>
      </c>
      <c r="F698" s="0" t="str">
        <f aca="false">IFERROR(IF(OR(HLOOKUP($A698,#REF!,4,FALSE())&gt;2,HLOOKUP($A698,#REF!,4,FALSE())&lt;-2),"",#REF!),"")</f>
        <v/>
      </c>
      <c r="G698" s="0" t="str">
        <f aca="false">IFERROR(IF(OR(HLOOKUP($A698,#REF!,5,FALSE())&gt;2,HLOOKUP($A698,#REF!,5,FALSE())&lt;-2),"",#REF!),"")</f>
        <v/>
      </c>
      <c r="H698" s="0" t="str">
        <f aca="false">IFERROR(IF(OR(HLOOKUP($A698,#REF!,6,FALSE())&gt;2,HLOOKUP($A698,#REF!,6,FALSE())&lt;-2),"",#REF!),"")</f>
        <v/>
      </c>
      <c r="I698" s="0" t="str">
        <f aca="false">IFERROR(IF(OR(HLOOKUP($A698,#REF!,7,FALSE())&gt;2,HLOOKUP($A698,#REF!,7,FALSE())&lt;-2),"",#REF!),"")</f>
        <v/>
      </c>
      <c r="J698" s="0" t="str">
        <f aca="false">IFERROR(IF(OR(HLOOKUP($A698,#REF!,8,FALSE())&gt;2,HLOOKUP($A698,#REF!,8,FALSE())&lt;-2),"",#REF!),"")</f>
        <v/>
      </c>
      <c r="K698" s="0" t="str">
        <f aca="false">IFERROR(IF(OR(HLOOKUP($A698,#REF!,9,FALSE())&gt;2,HLOOKUP($A698,#REF!,9,FALSE())&lt;-2),"",#REF!),"")</f>
        <v/>
      </c>
      <c r="L698" s="0" t="str">
        <f aca="false">IFERROR(IF(OR(HLOOKUP($A698,#REF!,10,FALSE())&gt;2,HLOOKUP($A698,#REF!,10,FALSE())&lt;-2),"",#REF!),"")</f>
        <v/>
      </c>
      <c r="M698" s="0" t="str">
        <f aca="false">IFERROR(IF(OR(HLOOKUP($A698,#REF!,11,FALSE())&gt;2,HLOOKUP($A698,#REF!,11,FALSE())&lt;-2),"",#REF!),"")</f>
        <v/>
      </c>
      <c r="N698" s="0" t="str">
        <f aca="false">IFERROR(IF(OR(HLOOKUP($A698,#REF!,12,FALSE())&gt;2,HLOOKUP($A698,#REF!,12,FALSE())&lt;-2),"",#REF!),"")</f>
        <v/>
      </c>
      <c r="O698" s="0" t="str">
        <f aca="false">IFERROR(IF(OR(HLOOKUP($A698,#REF!,13,FALSE())&gt;2,HLOOKUP($A698,#REF!,13,FALSE())&lt;-2),"",#REF!),"")</f>
        <v/>
      </c>
      <c r="P698" s="0" t="str">
        <f aca="false">IFERROR(IF(OR(HLOOKUP($A698,#REF!,14,FALSE())&gt;2,HLOOKUP($A698,#REF!,14,FALSE())&lt;-2),"",#REF!),"")</f>
        <v/>
      </c>
      <c r="Q698" s="0" t="str">
        <f aca="false">IFERROR(IF(OR(HLOOKUP($A698,#REF!,15,FALSE())&gt;2,HLOOKUP($A698,#REF!,15,FALSE())&lt;-2),"",#REF!),"")</f>
        <v/>
      </c>
      <c r="R698" s="0" t="str">
        <f aca="false">IFERROR(IF(OR(HLOOKUP($A698,#REF!,16,FALSE())&gt;2,HLOOKUP($A698,#REF!,16,FALSE())&lt;-2),"",#REF!),"")</f>
        <v/>
      </c>
      <c r="S698" s="0" t="str">
        <f aca="false">IFERROR(IF(OR(HLOOKUP($A698,#REF!,17,FALSE())&gt;2,HLOOKUP($A698,#REF!,17,FALSE())&lt;-2),"",#REF!),"")</f>
        <v/>
      </c>
      <c r="T698" s="0" t="str">
        <f aca="false">IFERROR(IF(OR(HLOOKUP($A698,#REF!,18,FALSE())&gt;2,HLOOKUP($A698,#REF!,18,FALSE())&lt;-2),"",#REF!),"")</f>
        <v/>
      </c>
      <c r="U698" s="0" t="str">
        <f aca="false">IFERROR(IF(OR(HLOOKUP($A698,#REF!,19,FALSE())&gt;2,HLOOKUP($A698,#REF!,19,FALSE())&lt;-2),"",#REF!),"")</f>
        <v/>
      </c>
      <c r="V698" s="0" t="n">
        <f aca="false">IFERROR(IF(AND(X698=0,Y698=0),0,1),0)</f>
        <v>1</v>
      </c>
      <c r="W698" s="3" t="str">
        <f aca="false">IFERROR(_xlfn.T.TEST(E698:M698,N698:U698,2,2),"")</f>
        <v/>
      </c>
      <c r="X698" s="0" t="str">
        <f aca="false">IFERROR(AVERAGE(E698:M698),"")</f>
        <v/>
      </c>
      <c r="Y698" s="0" t="str">
        <f aca="false">IFERROR(AVERAGE(N698:U698),"")</f>
        <v/>
      </c>
    </row>
    <row r="699" customFormat="false" ht="14.5" hidden="false" customHeight="false" outlineLevel="0" collapsed="false">
      <c r="A699" s="0" t="n">
        <v>707</v>
      </c>
      <c r="B699" s="0" t="s">
        <v>88</v>
      </c>
      <c r="C699" s="0" t="n">
        <v>8500</v>
      </c>
      <c r="D699" s="0" t="n">
        <v>44</v>
      </c>
      <c r="E699" s="0" t="str">
        <f aca="false">IFERROR(IF(OR(HLOOKUP($A699,#REF!,3,FALSE())&gt;2,HLOOKUP(A699,#REF!,3,FALSE())&lt;-2),"",#REF!),"")</f>
        <v/>
      </c>
      <c r="F699" s="0" t="str">
        <f aca="false">IFERROR(IF(OR(HLOOKUP($A699,#REF!,4,FALSE())&gt;2,HLOOKUP($A699,#REF!,4,FALSE())&lt;-2),"",#REF!),"")</f>
        <v/>
      </c>
      <c r="G699" s="0" t="str">
        <f aca="false">IFERROR(IF(OR(HLOOKUP($A699,#REF!,5,FALSE())&gt;2,HLOOKUP($A699,#REF!,5,FALSE())&lt;-2),"",#REF!),"")</f>
        <v/>
      </c>
      <c r="H699" s="0" t="str">
        <f aca="false">IFERROR(IF(OR(HLOOKUP($A699,#REF!,6,FALSE())&gt;2,HLOOKUP($A699,#REF!,6,FALSE())&lt;-2),"",#REF!),"")</f>
        <v/>
      </c>
      <c r="I699" s="0" t="str">
        <f aca="false">IFERROR(IF(OR(HLOOKUP($A699,#REF!,7,FALSE())&gt;2,HLOOKUP($A699,#REF!,7,FALSE())&lt;-2),"",#REF!),"")</f>
        <v/>
      </c>
      <c r="J699" s="0" t="str">
        <f aca="false">IFERROR(IF(OR(HLOOKUP($A699,#REF!,8,FALSE())&gt;2,HLOOKUP($A699,#REF!,8,FALSE())&lt;-2),"",#REF!),"")</f>
        <v/>
      </c>
      <c r="K699" s="0" t="str">
        <f aca="false">IFERROR(IF(OR(HLOOKUP($A699,#REF!,9,FALSE())&gt;2,HLOOKUP($A699,#REF!,9,FALSE())&lt;-2),"",#REF!),"")</f>
        <v/>
      </c>
      <c r="L699" s="0" t="str">
        <f aca="false">IFERROR(IF(OR(HLOOKUP($A699,#REF!,10,FALSE())&gt;2,HLOOKUP($A699,#REF!,10,FALSE())&lt;-2),"",#REF!),"")</f>
        <v/>
      </c>
      <c r="M699" s="0" t="str">
        <f aca="false">IFERROR(IF(OR(HLOOKUP($A699,#REF!,11,FALSE())&gt;2,HLOOKUP($A699,#REF!,11,FALSE())&lt;-2),"",#REF!),"")</f>
        <v/>
      </c>
      <c r="N699" s="0" t="str">
        <f aca="false">IFERROR(IF(OR(HLOOKUP($A699,#REF!,12,FALSE())&gt;2,HLOOKUP($A699,#REF!,12,FALSE())&lt;-2),"",#REF!),"")</f>
        <v/>
      </c>
      <c r="O699" s="0" t="str">
        <f aca="false">IFERROR(IF(OR(HLOOKUP($A699,#REF!,13,FALSE())&gt;2,HLOOKUP($A699,#REF!,13,FALSE())&lt;-2),"",#REF!),"")</f>
        <v/>
      </c>
      <c r="P699" s="0" t="str">
        <f aca="false">IFERROR(IF(OR(HLOOKUP($A699,#REF!,14,FALSE())&gt;2,HLOOKUP($A699,#REF!,14,FALSE())&lt;-2),"",#REF!),"")</f>
        <v/>
      </c>
      <c r="Q699" s="0" t="str">
        <f aca="false">IFERROR(IF(OR(HLOOKUP($A699,#REF!,15,FALSE())&gt;2,HLOOKUP($A699,#REF!,15,FALSE())&lt;-2),"",#REF!),"")</f>
        <v/>
      </c>
      <c r="R699" s="0" t="str">
        <f aca="false">IFERROR(IF(OR(HLOOKUP($A699,#REF!,16,FALSE())&gt;2,HLOOKUP($A699,#REF!,16,FALSE())&lt;-2),"",#REF!),"")</f>
        <v/>
      </c>
      <c r="S699" s="0" t="str">
        <f aca="false">IFERROR(IF(OR(HLOOKUP($A699,#REF!,17,FALSE())&gt;2,HLOOKUP($A699,#REF!,17,FALSE())&lt;-2),"",#REF!),"")</f>
        <v/>
      </c>
      <c r="T699" s="0" t="str">
        <f aca="false">IFERROR(IF(OR(HLOOKUP($A699,#REF!,18,FALSE())&gt;2,HLOOKUP($A699,#REF!,18,FALSE())&lt;-2),"",#REF!),"")</f>
        <v/>
      </c>
      <c r="U699" s="0" t="str">
        <f aca="false">IFERROR(IF(OR(HLOOKUP($A699,#REF!,19,FALSE())&gt;2,HLOOKUP($A699,#REF!,19,FALSE())&lt;-2),"",#REF!),"")</f>
        <v/>
      </c>
      <c r="V699" s="0" t="n">
        <f aca="false">IFERROR(IF(AND(X699=0,Y699=0),0,1),0)</f>
        <v>1</v>
      </c>
      <c r="W699" s="3" t="str">
        <f aca="false">IFERROR(_xlfn.T.TEST(E699:M699,N699:U699,2,2),"")</f>
        <v/>
      </c>
      <c r="X699" s="0" t="str">
        <f aca="false">IFERROR(AVERAGE(E699:M699),"")</f>
        <v/>
      </c>
      <c r="Y699" s="0" t="str">
        <f aca="false">IFERROR(AVERAGE(N699:U699),"")</f>
        <v/>
      </c>
    </row>
    <row r="700" customFormat="false" ht="14.5" hidden="false" customHeight="false" outlineLevel="0" collapsed="false">
      <c r="A700" s="0" t="n">
        <v>708</v>
      </c>
      <c r="B700" s="0" t="s">
        <v>759</v>
      </c>
      <c r="C700" s="0" t="n">
        <v>74300</v>
      </c>
      <c r="D700" s="0" t="n">
        <v>88</v>
      </c>
      <c r="E700" s="0" t="str">
        <f aca="false">IFERROR(IF(OR(HLOOKUP($A700,#REF!,3,FALSE())&gt;2,HLOOKUP(A700,#REF!,3,FALSE())&lt;-2),"",#REF!),"")</f>
        <v/>
      </c>
      <c r="F700" s="0" t="str">
        <f aca="false">IFERROR(IF(OR(HLOOKUP($A700,#REF!,4,FALSE())&gt;2,HLOOKUP($A700,#REF!,4,FALSE())&lt;-2),"",#REF!),"")</f>
        <v/>
      </c>
      <c r="G700" s="0" t="str">
        <f aca="false">IFERROR(IF(OR(HLOOKUP($A700,#REF!,5,FALSE())&gt;2,HLOOKUP($A700,#REF!,5,FALSE())&lt;-2),"",#REF!),"")</f>
        <v/>
      </c>
      <c r="H700" s="0" t="str">
        <f aca="false">IFERROR(IF(OR(HLOOKUP($A700,#REF!,6,FALSE())&gt;2,HLOOKUP($A700,#REF!,6,FALSE())&lt;-2),"",#REF!),"")</f>
        <v/>
      </c>
      <c r="I700" s="0" t="str">
        <f aca="false">IFERROR(IF(OR(HLOOKUP($A700,#REF!,7,FALSE())&gt;2,HLOOKUP($A700,#REF!,7,FALSE())&lt;-2),"",#REF!),"")</f>
        <v/>
      </c>
      <c r="J700" s="0" t="str">
        <f aca="false">IFERROR(IF(OR(HLOOKUP($A700,#REF!,8,FALSE())&gt;2,HLOOKUP($A700,#REF!,8,FALSE())&lt;-2),"",#REF!),"")</f>
        <v/>
      </c>
      <c r="K700" s="0" t="str">
        <f aca="false">IFERROR(IF(OR(HLOOKUP($A700,#REF!,9,FALSE())&gt;2,HLOOKUP($A700,#REF!,9,FALSE())&lt;-2),"",#REF!),"")</f>
        <v/>
      </c>
      <c r="L700" s="0" t="str">
        <f aca="false">IFERROR(IF(OR(HLOOKUP($A700,#REF!,10,FALSE())&gt;2,HLOOKUP($A700,#REF!,10,FALSE())&lt;-2),"",#REF!),"")</f>
        <v/>
      </c>
      <c r="M700" s="0" t="str">
        <f aca="false">IFERROR(IF(OR(HLOOKUP($A700,#REF!,11,FALSE())&gt;2,HLOOKUP($A700,#REF!,11,FALSE())&lt;-2),"",#REF!),"")</f>
        <v/>
      </c>
      <c r="N700" s="0" t="str">
        <f aca="false">IFERROR(IF(OR(HLOOKUP($A700,#REF!,12,FALSE())&gt;2,HLOOKUP($A700,#REF!,12,FALSE())&lt;-2),"",#REF!),"")</f>
        <v/>
      </c>
      <c r="O700" s="0" t="str">
        <f aca="false">IFERROR(IF(OR(HLOOKUP($A700,#REF!,13,FALSE())&gt;2,HLOOKUP($A700,#REF!,13,FALSE())&lt;-2),"",#REF!),"")</f>
        <v/>
      </c>
      <c r="P700" s="0" t="str">
        <f aca="false">IFERROR(IF(OR(HLOOKUP($A700,#REF!,14,FALSE())&gt;2,HLOOKUP($A700,#REF!,14,FALSE())&lt;-2),"",#REF!),"")</f>
        <v/>
      </c>
      <c r="Q700" s="0" t="str">
        <f aca="false">IFERROR(IF(OR(HLOOKUP($A700,#REF!,15,FALSE())&gt;2,HLOOKUP($A700,#REF!,15,FALSE())&lt;-2),"",#REF!),"")</f>
        <v/>
      </c>
      <c r="R700" s="0" t="str">
        <f aca="false">IFERROR(IF(OR(HLOOKUP($A700,#REF!,16,FALSE())&gt;2,HLOOKUP($A700,#REF!,16,FALSE())&lt;-2),"",#REF!),"")</f>
        <v/>
      </c>
      <c r="S700" s="0" t="str">
        <f aca="false">IFERROR(IF(OR(HLOOKUP($A700,#REF!,17,FALSE())&gt;2,HLOOKUP($A700,#REF!,17,FALSE())&lt;-2),"",#REF!),"")</f>
        <v/>
      </c>
      <c r="T700" s="0" t="str">
        <f aca="false">IFERROR(IF(OR(HLOOKUP($A700,#REF!,18,FALSE())&gt;2,HLOOKUP($A700,#REF!,18,FALSE())&lt;-2),"",#REF!),"")</f>
        <v/>
      </c>
      <c r="U700" s="0" t="str">
        <f aca="false">IFERROR(IF(OR(HLOOKUP($A700,#REF!,19,FALSE())&gt;2,HLOOKUP($A700,#REF!,19,FALSE())&lt;-2),"",#REF!),"")</f>
        <v/>
      </c>
      <c r="V700" s="0" t="n">
        <f aca="false">IFERROR(IF(AND(X700=0,Y700=0),0,1),0)</f>
        <v>1</v>
      </c>
      <c r="W700" s="3" t="str">
        <f aca="false">IFERROR(_xlfn.T.TEST(E700:M700,N700:U700,2,2),"")</f>
        <v/>
      </c>
      <c r="X700" s="0" t="str">
        <f aca="false">IFERROR(AVERAGE(E700:M700),"")</f>
        <v/>
      </c>
      <c r="Y700" s="0" t="str">
        <f aca="false">IFERROR(AVERAGE(N700:U700),"")</f>
        <v/>
      </c>
    </row>
    <row r="701" customFormat="false" ht="14.5" hidden="false" customHeight="false" outlineLevel="0" collapsed="false">
      <c r="A701" s="0" t="n">
        <v>709</v>
      </c>
      <c r="B701" s="0" t="s">
        <v>760</v>
      </c>
      <c r="C701" s="0" t="n">
        <v>64000</v>
      </c>
      <c r="D701" s="0" t="n">
        <v>637</v>
      </c>
      <c r="E701" s="0" t="str">
        <f aca="false">IFERROR(IF(OR(HLOOKUP($A701,#REF!,3,FALSE())&gt;2,HLOOKUP(A701,#REF!,3,FALSE())&lt;-2),"",#REF!),"")</f>
        <v/>
      </c>
      <c r="F701" s="0" t="str">
        <f aca="false">IFERROR(IF(OR(HLOOKUP($A701,#REF!,4,FALSE())&gt;2,HLOOKUP($A701,#REF!,4,FALSE())&lt;-2),"",#REF!),"")</f>
        <v/>
      </c>
      <c r="G701" s="0" t="str">
        <f aca="false">IFERROR(IF(OR(HLOOKUP($A701,#REF!,5,FALSE())&gt;2,HLOOKUP($A701,#REF!,5,FALSE())&lt;-2),"",#REF!),"")</f>
        <v/>
      </c>
      <c r="H701" s="0" t="str">
        <f aca="false">IFERROR(IF(OR(HLOOKUP($A701,#REF!,6,FALSE())&gt;2,HLOOKUP($A701,#REF!,6,FALSE())&lt;-2),"",#REF!),"")</f>
        <v/>
      </c>
      <c r="I701" s="0" t="str">
        <f aca="false">IFERROR(IF(OR(HLOOKUP($A701,#REF!,7,FALSE())&gt;2,HLOOKUP($A701,#REF!,7,FALSE())&lt;-2),"",#REF!),"")</f>
        <v/>
      </c>
      <c r="J701" s="0" t="str">
        <f aca="false">IFERROR(IF(OR(HLOOKUP($A701,#REF!,8,FALSE())&gt;2,HLOOKUP($A701,#REF!,8,FALSE())&lt;-2),"",#REF!),"")</f>
        <v/>
      </c>
      <c r="K701" s="0" t="str">
        <f aca="false">IFERROR(IF(OR(HLOOKUP($A701,#REF!,9,FALSE())&gt;2,HLOOKUP($A701,#REF!,9,FALSE())&lt;-2),"",#REF!),"")</f>
        <v/>
      </c>
      <c r="L701" s="0" t="str">
        <f aca="false">IFERROR(IF(OR(HLOOKUP($A701,#REF!,10,FALSE())&gt;2,HLOOKUP($A701,#REF!,10,FALSE())&lt;-2),"",#REF!),"")</f>
        <v/>
      </c>
      <c r="M701" s="0" t="str">
        <f aca="false">IFERROR(IF(OR(HLOOKUP($A701,#REF!,11,FALSE())&gt;2,HLOOKUP($A701,#REF!,11,FALSE())&lt;-2),"",#REF!),"")</f>
        <v/>
      </c>
      <c r="N701" s="0" t="str">
        <f aca="false">IFERROR(IF(OR(HLOOKUP($A701,#REF!,12,FALSE())&gt;2,HLOOKUP($A701,#REF!,12,FALSE())&lt;-2),"",#REF!),"")</f>
        <v/>
      </c>
      <c r="O701" s="0" t="str">
        <f aca="false">IFERROR(IF(OR(HLOOKUP($A701,#REF!,13,FALSE())&gt;2,HLOOKUP($A701,#REF!,13,FALSE())&lt;-2),"",#REF!),"")</f>
        <v/>
      </c>
      <c r="P701" s="0" t="str">
        <f aca="false">IFERROR(IF(OR(HLOOKUP($A701,#REF!,14,FALSE())&gt;2,HLOOKUP($A701,#REF!,14,FALSE())&lt;-2),"",#REF!),"")</f>
        <v/>
      </c>
      <c r="Q701" s="0" t="str">
        <f aca="false">IFERROR(IF(OR(HLOOKUP($A701,#REF!,15,FALSE())&gt;2,HLOOKUP($A701,#REF!,15,FALSE())&lt;-2),"",#REF!),"")</f>
        <v/>
      </c>
      <c r="R701" s="0" t="str">
        <f aca="false">IFERROR(IF(OR(HLOOKUP($A701,#REF!,16,FALSE())&gt;2,HLOOKUP($A701,#REF!,16,FALSE())&lt;-2),"",#REF!),"")</f>
        <v/>
      </c>
      <c r="S701" s="0" t="str">
        <f aca="false">IFERROR(IF(OR(HLOOKUP($A701,#REF!,17,FALSE())&gt;2,HLOOKUP($A701,#REF!,17,FALSE())&lt;-2),"",#REF!),"")</f>
        <v/>
      </c>
      <c r="T701" s="0" t="str">
        <f aca="false">IFERROR(IF(OR(HLOOKUP($A701,#REF!,18,FALSE())&gt;2,HLOOKUP($A701,#REF!,18,FALSE())&lt;-2),"",#REF!),"")</f>
        <v/>
      </c>
      <c r="U701" s="0" t="str">
        <f aca="false">IFERROR(IF(OR(HLOOKUP($A701,#REF!,19,FALSE())&gt;2,HLOOKUP($A701,#REF!,19,FALSE())&lt;-2),"",#REF!),"")</f>
        <v/>
      </c>
      <c r="V701" s="0" t="n">
        <f aca="false">IFERROR(IF(AND(X701=0,Y701=0),0,1),0)</f>
        <v>1</v>
      </c>
      <c r="W701" s="3" t="str">
        <f aca="false">IFERROR(_xlfn.T.TEST(E701:M701,N701:U701,2,2),"")</f>
        <v/>
      </c>
      <c r="X701" s="0" t="str">
        <f aca="false">IFERROR(AVERAGE(E701:M701),"")</f>
        <v/>
      </c>
      <c r="Y701" s="0" t="str">
        <f aca="false">IFERROR(AVERAGE(N701:U701),"")</f>
        <v/>
      </c>
    </row>
    <row r="702" customFormat="false" ht="14.5" hidden="false" customHeight="false" outlineLevel="0" collapsed="false">
      <c r="A702" s="0" t="n">
        <v>710</v>
      </c>
      <c r="B702" s="0" t="s">
        <v>761</v>
      </c>
      <c r="C702" s="0" t="n">
        <v>99500</v>
      </c>
      <c r="D702" s="0" t="n">
        <v>967</v>
      </c>
      <c r="E702" s="0" t="str">
        <f aca="false">IFERROR(IF(OR(HLOOKUP($A702,#REF!,3,FALSE())&gt;2,HLOOKUP(A702,#REF!,3,FALSE())&lt;-2),"",#REF!),"")</f>
        <v/>
      </c>
      <c r="F702" s="0" t="str">
        <f aca="false">IFERROR(IF(OR(HLOOKUP($A702,#REF!,4,FALSE())&gt;2,HLOOKUP($A702,#REF!,4,FALSE())&lt;-2),"",#REF!),"")</f>
        <v/>
      </c>
      <c r="G702" s="0" t="str">
        <f aca="false">IFERROR(IF(OR(HLOOKUP($A702,#REF!,5,FALSE())&gt;2,HLOOKUP($A702,#REF!,5,FALSE())&lt;-2),"",#REF!),"")</f>
        <v/>
      </c>
      <c r="H702" s="0" t="str">
        <f aca="false">IFERROR(IF(OR(HLOOKUP($A702,#REF!,6,FALSE())&gt;2,HLOOKUP($A702,#REF!,6,FALSE())&lt;-2),"",#REF!),"")</f>
        <v/>
      </c>
      <c r="I702" s="0" t="str">
        <f aca="false">IFERROR(IF(OR(HLOOKUP($A702,#REF!,7,FALSE())&gt;2,HLOOKUP($A702,#REF!,7,FALSE())&lt;-2),"",#REF!),"")</f>
        <v/>
      </c>
      <c r="J702" s="0" t="str">
        <f aca="false">IFERROR(IF(OR(HLOOKUP($A702,#REF!,8,FALSE())&gt;2,HLOOKUP($A702,#REF!,8,FALSE())&lt;-2),"",#REF!),"")</f>
        <v/>
      </c>
      <c r="K702" s="0" t="str">
        <f aca="false">IFERROR(IF(OR(HLOOKUP($A702,#REF!,9,FALSE())&gt;2,HLOOKUP($A702,#REF!,9,FALSE())&lt;-2),"",#REF!),"")</f>
        <v/>
      </c>
      <c r="L702" s="0" t="str">
        <f aca="false">IFERROR(IF(OR(HLOOKUP($A702,#REF!,10,FALSE())&gt;2,HLOOKUP($A702,#REF!,10,FALSE())&lt;-2),"",#REF!),"")</f>
        <v/>
      </c>
      <c r="M702" s="0" t="str">
        <f aca="false">IFERROR(IF(OR(HLOOKUP($A702,#REF!,11,FALSE())&gt;2,HLOOKUP($A702,#REF!,11,FALSE())&lt;-2),"",#REF!),"")</f>
        <v/>
      </c>
      <c r="N702" s="0" t="str">
        <f aca="false">IFERROR(IF(OR(HLOOKUP($A702,#REF!,12,FALSE())&gt;2,HLOOKUP($A702,#REF!,12,FALSE())&lt;-2),"",#REF!),"")</f>
        <v/>
      </c>
      <c r="O702" s="0" t="str">
        <f aca="false">IFERROR(IF(OR(HLOOKUP($A702,#REF!,13,FALSE())&gt;2,HLOOKUP($A702,#REF!,13,FALSE())&lt;-2),"",#REF!),"")</f>
        <v/>
      </c>
      <c r="P702" s="0" t="str">
        <f aca="false">IFERROR(IF(OR(HLOOKUP($A702,#REF!,14,FALSE())&gt;2,HLOOKUP($A702,#REF!,14,FALSE())&lt;-2),"",#REF!),"")</f>
        <v/>
      </c>
      <c r="Q702" s="0" t="str">
        <f aca="false">IFERROR(IF(OR(HLOOKUP($A702,#REF!,15,FALSE())&gt;2,HLOOKUP($A702,#REF!,15,FALSE())&lt;-2),"",#REF!),"")</f>
        <v/>
      </c>
      <c r="R702" s="0" t="str">
        <f aca="false">IFERROR(IF(OR(HLOOKUP($A702,#REF!,16,FALSE())&gt;2,HLOOKUP($A702,#REF!,16,FALSE())&lt;-2),"",#REF!),"")</f>
        <v/>
      </c>
      <c r="S702" s="0" t="str">
        <f aca="false">IFERROR(IF(OR(HLOOKUP($A702,#REF!,17,FALSE())&gt;2,HLOOKUP($A702,#REF!,17,FALSE())&lt;-2),"",#REF!),"")</f>
        <v/>
      </c>
      <c r="T702" s="0" t="str">
        <f aca="false">IFERROR(IF(OR(HLOOKUP($A702,#REF!,18,FALSE())&gt;2,HLOOKUP($A702,#REF!,18,FALSE())&lt;-2),"",#REF!),"")</f>
        <v/>
      </c>
      <c r="U702" s="0" t="str">
        <f aca="false">IFERROR(IF(OR(HLOOKUP($A702,#REF!,19,FALSE())&gt;2,HLOOKUP($A702,#REF!,19,FALSE())&lt;-2),"",#REF!),"")</f>
        <v/>
      </c>
      <c r="V702" s="0" t="n">
        <f aca="false">IFERROR(IF(AND(X702=0,Y702=0),0,1),0)</f>
        <v>1</v>
      </c>
      <c r="W702" s="3" t="str">
        <f aca="false">IFERROR(_xlfn.T.TEST(E702:M702,N702:U702,2,2),"")</f>
        <v/>
      </c>
      <c r="X702" s="0" t="str">
        <f aca="false">IFERROR(AVERAGE(E702:M702),"")</f>
        <v/>
      </c>
      <c r="Y702" s="0" t="str">
        <f aca="false">IFERROR(AVERAGE(N702:U702),"")</f>
        <v/>
      </c>
    </row>
    <row r="703" customFormat="false" ht="14.5" hidden="false" customHeight="false" outlineLevel="0" collapsed="false">
      <c r="A703" s="0" t="n">
        <v>711</v>
      </c>
      <c r="B703" s="0" t="s">
        <v>762</v>
      </c>
      <c r="C703" s="0" t="n">
        <v>90300</v>
      </c>
      <c r="D703" s="0" t="n">
        <v>720</v>
      </c>
      <c r="E703" s="0" t="str">
        <f aca="false">IFERROR(IF(OR(HLOOKUP($A703,#REF!,3,FALSE())&gt;2,HLOOKUP(A703,#REF!,3,FALSE())&lt;-2),"",#REF!),"")</f>
        <v/>
      </c>
      <c r="F703" s="0" t="str">
        <f aca="false">IFERROR(IF(OR(HLOOKUP($A703,#REF!,4,FALSE())&gt;2,HLOOKUP($A703,#REF!,4,FALSE())&lt;-2),"",#REF!),"")</f>
        <v/>
      </c>
      <c r="G703" s="0" t="str">
        <f aca="false">IFERROR(IF(OR(HLOOKUP($A703,#REF!,5,FALSE())&gt;2,HLOOKUP($A703,#REF!,5,FALSE())&lt;-2),"",#REF!),"")</f>
        <v/>
      </c>
      <c r="H703" s="0" t="str">
        <f aca="false">IFERROR(IF(OR(HLOOKUP($A703,#REF!,6,FALSE())&gt;2,HLOOKUP($A703,#REF!,6,FALSE())&lt;-2),"",#REF!),"")</f>
        <v/>
      </c>
      <c r="I703" s="0" t="str">
        <f aca="false">IFERROR(IF(OR(HLOOKUP($A703,#REF!,7,FALSE())&gt;2,HLOOKUP($A703,#REF!,7,FALSE())&lt;-2),"",#REF!),"")</f>
        <v/>
      </c>
      <c r="J703" s="0" t="str">
        <f aca="false">IFERROR(IF(OR(HLOOKUP($A703,#REF!,8,FALSE())&gt;2,HLOOKUP($A703,#REF!,8,FALSE())&lt;-2),"",#REF!),"")</f>
        <v/>
      </c>
      <c r="K703" s="0" t="str">
        <f aca="false">IFERROR(IF(OR(HLOOKUP($A703,#REF!,9,FALSE())&gt;2,HLOOKUP($A703,#REF!,9,FALSE())&lt;-2),"",#REF!),"")</f>
        <v/>
      </c>
      <c r="L703" s="0" t="str">
        <f aca="false">IFERROR(IF(OR(HLOOKUP($A703,#REF!,10,FALSE())&gt;2,HLOOKUP($A703,#REF!,10,FALSE())&lt;-2),"",#REF!),"")</f>
        <v/>
      </c>
      <c r="M703" s="0" t="str">
        <f aca="false">IFERROR(IF(OR(HLOOKUP($A703,#REF!,11,FALSE())&gt;2,HLOOKUP($A703,#REF!,11,FALSE())&lt;-2),"",#REF!),"")</f>
        <v/>
      </c>
      <c r="N703" s="0" t="str">
        <f aca="false">IFERROR(IF(OR(HLOOKUP($A703,#REF!,12,FALSE())&gt;2,HLOOKUP($A703,#REF!,12,FALSE())&lt;-2),"",#REF!),"")</f>
        <v/>
      </c>
      <c r="O703" s="0" t="str">
        <f aca="false">IFERROR(IF(OR(HLOOKUP($A703,#REF!,13,FALSE())&gt;2,HLOOKUP($A703,#REF!,13,FALSE())&lt;-2),"",#REF!),"")</f>
        <v/>
      </c>
      <c r="P703" s="0" t="str">
        <f aca="false">IFERROR(IF(OR(HLOOKUP($A703,#REF!,14,FALSE())&gt;2,HLOOKUP($A703,#REF!,14,FALSE())&lt;-2),"",#REF!),"")</f>
        <v/>
      </c>
      <c r="Q703" s="0" t="str">
        <f aca="false">IFERROR(IF(OR(HLOOKUP($A703,#REF!,15,FALSE())&gt;2,HLOOKUP($A703,#REF!,15,FALSE())&lt;-2),"",#REF!),"")</f>
        <v/>
      </c>
      <c r="R703" s="0" t="str">
        <f aca="false">IFERROR(IF(OR(HLOOKUP($A703,#REF!,16,FALSE())&gt;2,HLOOKUP($A703,#REF!,16,FALSE())&lt;-2),"",#REF!),"")</f>
        <v/>
      </c>
      <c r="S703" s="0" t="str">
        <f aca="false">IFERROR(IF(OR(HLOOKUP($A703,#REF!,17,FALSE())&gt;2,HLOOKUP($A703,#REF!,17,FALSE())&lt;-2),"",#REF!),"")</f>
        <v/>
      </c>
      <c r="T703" s="0" t="str">
        <f aca="false">IFERROR(IF(OR(HLOOKUP($A703,#REF!,18,FALSE())&gt;2,HLOOKUP($A703,#REF!,18,FALSE())&lt;-2),"",#REF!),"")</f>
        <v/>
      </c>
      <c r="U703" s="0" t="str">
        <f aca="false">IFERROR(IF(OR(HLOOKUP($A703,#REF!,19,FALSE())&gt;2,HLOOKUP($A703,#REF!,19,FALSE())&lt;-2),"",#REF!),"")</f>
        <v/>
      </c>
      <c r="V703" s="0" t="n">
        <f aca="false">IFERROR(IF(AND(X703=0,Y703=0),0,1),0)</f>
        <v>1</v>
      </c>
      <c r="W703" s="3" t="str">
        <f aca="false">IFERROR(_xlfn.T.TEST(E703:M703,N703:U703,2,2),"")</f>
        <v/>
      </c>
      <c r="X703" s="0" t="str">
        <f aca="false">IFERROR(AVERAGE(E703:M703),"")</f>
        <v/>
      </c>
      <c r="Y703" s="0" t="str">
        <f aca="false">IFERROR(AVERAGE(N703:U703),"")</f>
        <v/>
      </c>
    </row>
    <row r="704" customFormat="false" ht="14.5" hidden="false" customHeight="false" outlineLevel="0" collapsed="false">
      <c r="A704" s="0" t="n">
        <v>712</v>
      </c>
      <c r="B704" s="0" t="s">
        <v>763</v>
      </c>
      <c r="C704" s="0" t="n">
        <v>43300</v>
      </c>
      <c r="D704" s="0" t="n">
        <v>926</v>
      </c>
      <c r="E704" s="0" t="str">
        <f aca="false">IFERROR(IF(OR(HLOOKUP($A704,#REF!,3,FALSE())&gt;2,HLOOKUP(A704,#REF!,3,FALSE())&lt;-2),"",#REF!),"")</f>
        <v/>
      </c>
      <c r="F704" s="0" t="str">
        <f aca="false">IFERROR(IF(OR(HLOOKUP($A704,#REF!,4,FALSE())&gt;2,HLOOKUP($A704,#REF!,4,FALSE())&lt;-2),"",#REF!),"")</f>
        <v/>
      </c>
      <c r="G704" s="0" t="str">
        <f aca="false">IFERROR(IF(OR(HLOOKUP($A704,#REF!,5,FALSE())&gt;2,HLOOKUP($A704,#REF!,5,FALSE())&lt;-2),"",#REF!),"")</f>
        <v/>
      </c>
      <c r="H704" s="0" t="str">
        <f aca="false">IFERROR(IF(OR(HLOOKUP($A704,#REF!,6,FALSE())&gt;2,HLOOKUP($A704,#REF!,6,FALSE())&lt;-2),"",#REF!),"")</f>
        <v/>
      </c>
      <c r="I704" s="0" t="str">
        <f aca="false">IFERROR(IF(OR(HLOOKUP($A704,#REF!,7,FALSE())&gt;2,HLOOKUP($A704,#REF!,7,FALSE())&lt;-2),"",#REF!),"")</f>
        <v/>
      </c>
      <c r="J704" s="0" t="str">
        <f aca="false">IFERROR(IF(OR(HLOOKUP($A704,#REF!,8,FALSE())&gt;2,HLOOKUP($A704,#REF!,8,FALSE())&lt;-2),"",#REF!),"")</f>
        <v/>
      </c>
      <c r="K704" s="0" t="str">
        <f aca="false">IFERROR(IF(OR(HLOOKUP($A704,#REF!,9,FALSE())&gt;2,HLOOKUP($A704,#REF!,9,FALSE())&lt;-2),"",#REF!),"")</f>
        <v/>
      </c>
      <c r="L704" s="0" t="str">
        <f aca="false">IFERROR(IF(OR(HLOOKUP($A704,#REF!,10,FALSE())&gt;2,HLOOKUP($A704,#REF!,10,FALSE())&lt;-2),"",#REF!),"")</f>
        <v/>
      </c>
      <c r="M704" s="0" t="str">
        <f aca="false">IFERROR(IF(OR(HLOOKUP($A704,#REF!,11,FALSE())&gt;2,HLOOKUP($A704,#REF!,11,FALSE())&lt;-2),"",#REF!),"")</f>
        <v/>
      </c>
      <c r="N704" s="0" t="str">
        <f aca="false">IFERROR(IF(OR(HLOOKUP($A704,#REF!,12,FALSE())&gt;2,HLOOKUP($A704,#REF!,12,FALSE())&lt;-2),"",#REF!),"")</f>
        <v/>
      </c>
      <c r="O704" s="0" t="str">
        <f aca="false">IFERROR(IF(OR(HLOOKUP($A704,#REF!,13,FALSE())&gt;2,HLOOKUP($A704,#REF!,13,FALSE())&lt;-2),"",#REF!),"")</f>
        <v/>
      </c>
      <c r="P704" s="0" t="str">
        <f aca="false">IFERROR(IF(OR(HLOOKUP($A704,#REF!,14,FALSE())&gt;2,HLOOKUP($A704,#REF!,14,FALSE())&lt;-2),"",#REF!),"")</f>
        <v/>
      </c>
      <c r="Q704" s="0" t="str">
        <f aca="false">IFERROR(IF(OR(HLOOKUP($A704,#REF!,15,FALSE())&gt;2,HLOOKUP($A704,#REF!,15,FALSE())&lt;-2),"",#REF!),"")</f>
        <v/>
      </c>
      <c r="R704" s="0" t="str">
        <f aca="false">IFERROR(IF(OR(HLOOKUP($A704,#REF!,16,FALSE())&gt;2,HLOOKUP($A704,#REF!,16,FALSE())&lt;-2),"",#REF!),"")</f>
        <v/>
      </c>
      <c r="S704" s="0" t="str">
        <f aca="false">IFERROR(IF(OR(HLOOKUP($A704,#REF!,17,FALSE())&gt;2,HLOOKUP($A704,#REF!,17,FALSE())&lt;-2),"",#REF!),"")</f>
        <v/>
      </c>
      <c r="T704" s="0" t="str">
        <f aca="false">IFERROR(IF(OR(HLOOKUP($A704,#REF!,18,FALSE())&gt;2,HLOOKUP($A704,#REF!,18,FALSE())&lt;-2),"",#REF!),"")</f>
        <v/>
      </c>
      <c r="U704" s="0" t="str">
        <f aca="false">IFERROR(IF(OR(HLOOKUP($A704,#REF!,19,FALSE())&gt;2,HLOOKUP($A704,#REF!,19,FALSE())&lt;-2),"",#REF!),"")</f>
        <v/>
      </c>
      <c r="V704" s="0" t="n">
        <f aca="false">IFERROR(IF(AND(X704=0,Y704=0),0,1),0)</f>
        <v>1</v>
      </c>
      <c r="W704" s="3" t="str">
        <f aca="false">IFERROR(_xlfn.T.TEST(E704:M704,N704:U704,2,2),"")</f>
        <v/>
      </c>
      <c r="X704" s="0" t="str">
        <f aca="false">IFERROR(AVERAGE(E704:M704),"")</f>
        <v/>
      </c>
      <c r="Y704" s="0" t="str">
        <f aca="false">IFERROR(AVERAGE(N704:U704),"")</f>
        <v/>
      </c>
    </row>
    <row r="705" customFormat="false" ht="14.5" hidden="false" customHeight="false" outlineLevel="0" collapsed="false">
      <c r="A705" s="0" t="n">
        <v>713</v>
      </c>
      <c r="B705" s="0" t="s">
        <v>764</v>
      </c>
      <c r="C705" s="0" t="n">
        <v>112300</v>
      </c>
      <c r="D705" s="0" t="n">
        <v>1099</v>
      </c>
      <c r="E705" s="0" t="str">
        <f aca="false">IFERROR(IF(OR(HLOOKUP($A705,#REF!,3,FALSE())&gt;2,HLOOKUP(A705,#REF!,3,FALSE())&lt;-2),"",#REF!),"")</f>
        <v/>
      </c>
      <c r="F705" s="0" t="str">
        <f aca="false">IFERROR(IF(OR(HLOOKUP($A705,#REF!,4,FALSE())&gt;2,HLOOKUP($A705,#REF!,4,FALSE())&lt;-2),"",#REF!),"")</f>
        <v/>
      </c>
      <c r="G705" s="0" t="str">
        <f aca="false">IFERROR(IF(OR(HLOOKUP($A705,#REF!,5,FALSE())&gt;2,HLOOKUP($A705,#REF!,5,FALSE())&lt;-2),"",#REF!),"")</f>
        <v/>
      </c>
      <c r="H705" s="0" t="str">
        <f aca="false">IFERROR(IF(OR(HLOOKUP($A705,#REF!,6,FALSE())&gt;2,HLOOKUP($A705,#REF!,6,FALSE())&lt;-2),"",#REF!),"")</f>
        <v/>
      </c>
      <c r="I705" s="0" t="str">
        <f aca="false">IFERROR(IF(OR(HLOOKUP($A705,#REF!,7,FALSE())&gt;2,HLOOKUP($A705,#REF!,7,FALSE())&lt;-2),"",#REF!),"")</f>
        <v/>
      </c>
      <c r="J705" s="0" t="str">
        <f aca="false">IFERROR(IF(OR(HLOOKUP($A705,#REF!,8,FALSE())&gt;2,HLOOKUP($A705,#REF!,8,FALSE())&lt;-2),"",#REF!),"")</f>
        <v/>
      </c>
      <c r="K705" s="0" t="str">
        <f aca="false">IFERROR(IF(OR(HLOOKUP($A705,#REF!,9,FALSE())&gt;2,HLOOKUP($A705,#REF!,9,FALSE())&lt;-2),"",#REF!),"")</f>
        <v/>
      </c>
      <c r="L705" s="0" t="str">
        <f aca="false">IFERROR(IF(OR(HLOOKUP($A705,#REF!,10,FALSE())&gt;2,HLOOKUP($A705,#REF!,10,FALSE())&lt;-2),"",#REF!),"")</f>
        <v/>
      </c>
      <c r="M705" s="0" t="str">
        <f aca="false">IFERROR(IF(OR(HLOOKUP($A705,#REF!,11,FALSE())&gt;2,HLOOKUP($A705,#REF!,11,FALSE())&lt;-2),"",#REF!),"")</f>
        <v/>
      </c>
      <c r="N705" s="0" t="str">
        <f aca="false">IFERROR(IF(OR(HLOOKUP($A705,#REF!,12,FALSE())&gt;2,HLOOKUP($A705,#REF!,12,FALSE())&lt;-2),"",#REF!),"")</f>
        <v/>
      </c>
      <c r="O705" s="0" t="str">
        <f aca="false">IFERROR(IF(OR(HLOOKUP($A705,#REF!,13,FALSE())&gt;2,HLOOKUP($A705,#REF!,13,FALSE())&lt;-2),"",#REF!),"")</f>
        <v/>
      </c>
      <c r="P705" s="0" t="str">
        <f aca="false">IFERROR(IF(OR(HLOOKUP($A705,#REF!,14,FALSE())&gt;2,HLOOKUP($A705,#REF!,14,FALSE())&lt;-2),"",#REF!),"")</f>
        <v/>
      </c>
      <c r="Q705" s="0" t="str">
        <f aca="false">IFERROR(IF(OR(HLOOKUP($A705,#REF!,15,FALSE())&gt;2,HLOOKUP($A705,#REF!,15,FALSE())&lt;-2),"",#REF!),"")</f>
        <v/>
      </c>
      <c r="R705" s="0" t="str">
        <f aca="false">IFERROR(IF(OR(HLOOKUP($A705,#REF!,16,FALSE())&gt;2,HLOOKUP($A705,#REF!,16,FALSE())&lt;-2),"",#REF!),"")</f>
        <v/>
      </c>
      <c r="S705" s="0" t="str">
        <f aca="false">IFERROR(IF(OR(HLOOKUP($A705,#REF!,17,FALSE())&gt;2,HLOOKUP($A705,#REF!,17,FALSE())&lt;-2),"",#REF!),"")</f>
        <v/>
      </c>
      <c r="T705" s="0" t="str">
        <f aca="false">IFERROR(IF(OR(HLOOKUP($A705,#REF!,18,FALSE())&gt;2,HLOOKUP($A705,#REF!,18,FALSE())&lt;-2),"",#REF!),"")</f>
        <v/>
      </c>
      <c r="U705" s="0" t="str">
        <f aca="false">IFERROR(IF(OR(HLOOKUP($A705,#REF!,19,FALSE())&gt;2,HLOOKUP($A705,#REF!,19,FALSE())&lt;-2),"",#REF!),"")</f>
        <v/>
      </c>
      <c r="V705" s="0" t="n">
        <f aca="false">IFERROR(IF(AND(X705=0,Y705=0),0,1),0)</f>
        <v>1</v>
      </c>
      <c r="W705" s="3" t="str">
        <f aca="false">IFERROR(_xlfn.T.TEST(E705:M705,N705:U705,2,2),"")</f>
        <v/>
      </c>
      <c r="X705" s="0" t="str">
        <f aca="false">IFERROR(AVERAGE(E705:M705),"")</f>
        <v/>
      </c>
      <c r="Y705" s="0" t="str">
        <f aca="false">IFERROR(AVERAGE(N705:U705),"")</f>
        <v/>
      </c>
    </row>
    <row r="706" customFormat="false" ht="14.5" hidden="false" customHeight="false" outlineLevel="0" collapsed="false">
      <c r="A706" s="0" t="n">
        <v>714</v>
      </c>
      <c r="B706" s="0" t="s">
        <v>765</v>
      </c>
      <c r="C706" s="0" t="n">
        <v>20800</v>
      </c>
      <c r="D706" s="0" t="n">
        <v>315</v>
      </c>
      <c r="E706" s="0" t="str">
        <f aca="false">IFERROR(IF(OR(HLOOKUP($A706,#REF!,3,FALSE())&gt;2,HLOOKUP(A706,#REF!,3,FALSE())&lt;-2),"",#REF!),"")</f>
        <v/>
      </c>
      <c r="F706" s="0" t="str">
        <f aca="false">IFERROR(IF(OR(HLOOKUP($A706,#REF!,4,FALSE())&gt;2,HLOOKUP($A706,#REF!,4,FALSE())&lt;-2),"",#REF!),"")</f>
        <v/>
      </c>
      <c r="G706" s="0" t="str">
        <f aca="false">IFERROR(IF(OR(HLOOKUP($A706,#REF!,5,FALSE())&gt;2,HLOOKUP($A706,#REF!,5,FALSE())&lt;-2),"",#REF!),"")</f>
        <v/>
      </c>
      <c r="H706" s="0" t="str">
        <f aca="false">IFERROR(IF(OR(HLOOKUP($A706,#REF!,6,FALSE())&gt;2,HLOOKUP($A706,#REF!,6,FALSE())&lt;-2),"",#REF!),"")</f>
        <v/>
      </c>
      <c r="I706" s="0" t="str">
        <f aca="false">IFERROR(IF(OR(HLOOKUP($A706,#REF!,7,FALSE())&gt;2,HLOOKUP($A706,#REF!,7,FALSE())&lt;-2),"",#REF!),"")</f>
        <v/>
      </c>
      <c r="J706" s="0" t="str">
        <f aca="false">IFERROR(IF(OR(HLOOKUP($A706,#REF!,8,FALSE())&gt;2,HLOOKUP($A706,#REF!,8,FALSE())&lt;-2),"",#REF!),"")</f>
        <v/>
      </c>
      <c r="K706" s="0" t="str">
        <f aca="false">IFERROR(IF(OR(HLOOKUP($A706,#REF!,9,FALSE())&gt;2,HLOOKUP($A706,#REF!,9,FALSE())&lt;-2),"",#REF!),"")</f>
        <v/>
      </c>
      <c r="L706" s="0" t="str">
        <f aca="false">IFERROR(IF(OR(HLOOKUP($A706,#REF!,10,FALSE())&gt;2,HLOOKUP($A706,#REF!,10,FALSE())&lt;-2),"",#REF!),"")</f>
        <v/>
      </c>
      <c r="M706" s="0" t="str">
        <f aca="false">IFERROR(IF(OR(HLOOKUP($A706,#REF!,11,FALSE())&gt;2,HLOOKUP($A706,#REF!,11,FALSE())&lt;-2),"",#REF!),"")</f>
        <v/>
      </c>
      <c r="N706" s="0" t="str">
        <f aca="false">IFERROR(IF(OR(HLOOKUP($A706,#REF!,12,FALSE())&gt;2,HLOOKUP($A706,#REF!,12,FALSE())&lt;-2),"",#REF!),"")</f>
        <v/>
      </c>
      <c r="O706" s="0" t="str">
        <f aca="false">IFERROR(IF(OR(HLOOKUP($A706,#REF!,13,FALSE())&gt;2,HLOOKUP($A706,#REF!,13,FALSE())&lt;-2),"",#REF!),"")</f>
        <v/>
      </c>
      <c r="P706" s="0" t="str">
        <f aca="false">IFERROR(IF(OR(HLOOKUP($A706,#REF!,14,FALSE())&gt;2,HLOOKUP($A706,#REF!,14,FALSE())&lt;-2),"",#REF!),"")</f>
        <v/>
      </c>
      <c r="Q706" s="0" t="str">
        <f aca="false">IFERROR(IF(OR(HLOOKUP($A706,#REF!,15,FALSE())&gt;2,HLOOKUP($A706,#REF!,15,FALSE())&lt;-2),"",#REF!),"")</f>
        <v/>
      </c>
      <c r="R706" s="0" t="str">
        <f aca="false">IFERROR(IF(OR(HLOOKUP($A706,#REF!,16,FALSE())&gt;2,HLOOKUP($A706,#REF!,16,FALSE())&lt;-2),"",#REF!),"")</f>
        <v/>
      </c>
      <c r="S706" s="0" t="str">
        <f aca="false">IFERROR(IF(OR(HLOOKUP($A706,#REF!,17,FALSE())&gt;2,HLOOKUP($A706,#REF!,17,FALSE())&lt;-2),"",#REF!),"")</f>
        <v/>
      </c>
      <c r="T706" s="0" t="str">
        <f aca="false">IFERROR(IF(OR(HLOOKUP($A706,#REF!,18,FALSE())&gt;2,HLOOKUP($A706,#REF!,18,FALSE())&lt;-2),"",#REF!),"")</f>
        <v/>
      </c>
      <c r="U706" s="0" t="str">
        <f aca="false">IFERROR(IF(OR(HLOOKUP($A706,#REF!,19,FALSE())&gt;2,HLOOKUP($A706,#REF!,19,FALSE())&lt;-2),"",#REF!),"")</f>
        <v/>
      </c>
      <c r="V706" s="0" t="n">
        <f aca="false">IFERROR(IF(AND(X706=0,Y706=0),0,1),0)</f>
        <v>1</v>
      </c>
      <c r="W706" s="3" t="str">
        <f aca="false">IFERROR(_xlfn.T.TEST(E706:M706,N706:U706,2,2),"")</f>
        <v/>
      </c>
      <c r="X706" s="0" t="str">
        <f aca="false">IFERROR(AVERAGE(E706:M706),"")</f>
        <v/>
      </c>
      <c r="Y706" s="0" t="str">
        <f aca="false">IFERROR(AVERAGE(N706:U706),"")</f>
        <v/>
      </c>
    </row>
    <row r="707" customFormat="false" ht="14.5" hidden="false" customHeight="false" outlineLevel="0" collapsed="false">
      <c r="A707" s="0" t="n">
        <v>715</v>
      </c>
      <c r="B707" s="0" t="s">
        <v>766</v>
      </c>
      <c r="C707" s="0" t="n">
        <v>41700</v>
      </c>
      <c r="D707" s="0" t="n">
        <v>918</v>
      </c>
      <c r="E707" s="0" t="str">
        <f aca="false">IFERROR(IF(OR(HLOOKUP($A707,#REF!,3,FALSE())&gt;2,HLOOKUP(A707,#REF!,3,FALSE())&lt;-2),"",#REF!),"")</f>
        <v/>
      </c>
      <c r="F707" s="0" t="str">
        <f aca="false">IFERROR(IF(OR(HLOOKUP($A707,#REF!,4,FALSE())&gt;2,HLOOKUP($A707,#REF!,4,FALSE())&lt;-2),"",#REF!),"")</f>
        <v/>
      </c>
      <c r="G707" s="0" t="str">
        <f aca="false">IFERROR(IF(OR(HLOOKUP($A707,#REF!,5,FALSE())&gt;2,HLOOKUP($A707,#REF!,5,FALSE())&lt;-2),"",#REF!),"")</f>
        <v/>
      </c>
      <c r="H707" s="0" t="str">
        <f aca="false">IFERROR(IF(OR(HLOOKUP($A707,#REF!,6,FALSE())&gt;2,HLOOKUP($A707,#REF!,6,FALSE())&lt;-2),"",#REF!),"")</f>
        <v/>
      </c>
      <c r="I707" s="0" t="str">
        <f aca="false">IFERROR(IF(OR(HLOOKUP($A707,#REF!,7,FALSE())&gt;2,HLOOKUP($A707,#REF!,7,FALSE())&lt;-2),"",#REF!),"")</f>
        <v/>
      </c>
      <c r="J707" s="0" t="str">
        <f aca="false">IFERROR(IF(OR(HLOOKUP($A707,#REF!,8,FALSE())&gt;2,HLOOKUP($A707,#REF!,8,FALSE())&lt;-2),"",#REF!),"")</f>
        <v/>
      </c>
      <c r="K707" s="0" t="str">
        <f aca="false">IFERROR(IF(OR(HLOOKUP($A707,#REF!,9,FALSE())&gt;2,HLOOKUP($A707,#REF!,9,FALSE())&lt;-2),"",#REF!),"")</f>
        <v/>
      </c>
      <c r="L707" s="0" t="str">
        <f aca="false">IFERROR(IF(OR(HLOOKUP($A707,#REF!,10,FALSE())&gt;2,HLOOKUP($A707,#REF!,10,FALSE())&lt;-2),"",#REF!),"")</f>
        <v/>
      </c>
      <c r="M707" s="0" t="str">
        <f aca="false">IFERROR(IF(OR(HLOOKUP($A707,#REF!,11,FALSE())&gt;2,HLOOKUP($A707,#REF!,11,FALSE())&lt;-2),"",#REF!),"")</f>
        <v/>
      </c>
      <c r="N707" s="0" t="str">
        <f aca="false">IFERROR(IF(OR(HLOOKUP($A707,#REF!,12,FALSE())&gt;2,HLOOKUP($A707,#REF!,12,FALSE())&lt;-2),"",#REF!),"")</f>
        <v/>
      </c>
      <c r="O707" s="0" t="str">
        <f aca="false">IFERROR(IF(OR(HLOOKUP($A707,#REF!,13,FALSE())&gt;2,HLOOKUP($A707,#REF!,13,FALSE())&lt;-2),"",#REF!),"")</f>
        <v/>
      </c>
      <c r="P707" s="0" t="str">
        <f aca="false">IFERROR(IF(OR(HLOOKUP($A707,#REF!,14,FALSE())&gt;2,HLOOKUP($A707,#REF!,14,FALSE())&lt;-2),"",#REF!),"")</f>
        <v/>
      </c>
      <c r="Q707" s="0" t="str">
        <f aca="false">IFERROR(IF(OR(HLOOKUP($A707,#REF!,15,FALSE())&gt;2,HLOOKUP($A707,#REF!,15,FALSE())&lt;-2),"",#REF!),"")</f>
        <v/>
      </c>
      <c r="R707" s="0" t="str">
        <f aca="false">IFERROR(IF(OR(HLOOKUP($A707,#REF!,16,FALSE())&gt;2,HLOOKUP($A707,#REF!,16,FALSE())&lt;-2),"",#REF!),"")</f>
        <v/>
      </c>
      <c r="S707" s="0" t="str">
        <f aca="false">IFERROR(IF(OR(HLOOKUP($A707,#REF!,17,FALSE())&gt;2,HLOOKUP($A707,#REF!,17,FALSE())&lt;-2),"",#REF!),"")</f>
        <v/>
      </c>
      <c r="T707" s="0" t="str">
        <f aca="false">IFERROR(IF(OR(HLOOKUP($A707,#REF!,18,FALSE())&gt;2,HLOOKUP($A707,#REF!,18,FALSE())&lt;-2),"",#REF!),"")</f>
        <v/>
      </c>
      <c r="U707" s="0" t="str">
        <f aca="false">IFERROR(IF(OR(HLOOKUP($A707,#REF!,19,FALSE())&gt;2,HLOOKUP($A707,#REF!,19,FALSE())&lt;-2),"",#REF!),"")</f>
        <v/>
      </c>
      <c r="V707" s="0" t="n">
        <f aca="false">IFERROR(IF(AND(X707=0,Y707=0),0,1),0)</f>
        <v>1</v>
      </c>
      <c r="W707" s="3" t="str">
        <f aca="false">IFERROR(_xlfn.T.TEST(E707:M707,N707:U707,2,2),"")</f>
        <v/>
      </c>
      <c r="X707" s="0" t="str">
        <f aca="false">IFERROR(AVERAGE(E707:M707),"")</f>
        <v/>
      </c>
      <c r="Y707" s="0" t="str">
        <f aca="false">IFERROR(AVERAGE(N707:U707),"")</f>
        <v/>
      </c>
    </row>
    <row r="708" customFormat="false" ht="14.5" hidden="false" customHeight="false" outlineLevel="0" collapsed="false">
      <c r="A708" s="0" t="n">
        <v>716</v>
      </c>
      <c r="B708" s="0" t="s">
        <v>767</v>
      </c>
      <c r="C708" s="0" t="n">
        <v>74400</v>
      </c>
      <c r="D708" s="0" t="n">
        <v>88</v>
      </c>
      <c r="E708" s="0" t="str">
        <f aca="false">IFERROR(IF(OR(HLOOKUP($A708,#REF!,3,FALSE())&gt;2,HLOOKUP(A708,#REF!,3,FALSE())&lt;-2),"",#REF!),"")</f>
        <v/>
      </c>
      <c r="F708" s="0" t="str">
        <f aca="false">IFERROR(IF(OR(HLOOKUP($A708,#REF!,4,FALSE())&gt;2,HLOOKUP($A708,#REF!,4,FALSE())&lt;-2),"",#REF!),"")</f>
        <v/>
      </c>
      <c r="G708" s="0" t="str">
        <f aca="false">IFERROR(IF(OR(HLOOKUP($A708,#REF!,5,FALSE())&gt;2,HLOOKUP($A708,#REF!,5,FALSE())&lt;-2),"",#REF!),"")</f>
        <v/>
      </c>
      <c r="H708" s="0" t="str">
        <f aca="false">IFERROR(IF(OR(HLOOKUP($A708,#REF!,6,FALSE())&gt;2,HLOOKUP($A708,#REF!,6,FALSE())&lt;-2),"",#REF!),"")</f>
        <v/>
      </c>
      <c r="I708" s="0" t="str">
        <f aca="false">IFERROR(IF(OR(HLOOKUP($A708,#REF!,7,FALSE())&gt;2,HLOOKUP($A708,#REF!,7,FALSE())&lt;-2),"",#REF!),"")</f>
        <v/>
      </c>
      <c r="J708" s="0" t="str">
        <f aca="false">IFERROR(IF(OR(HLOOKUP($A708,#REF!,8,FALSE())&gt;2,HLOOKUP($A708,#REF!,8,FALSE())&lt;-2),"",#REF!),"")</f>
        <v/>
      </c>
      <c r="K708" s="0" t="str">
        <f aca="false">IFERROR(IF(OR(HLOOKUP($A708,#REF!,9,FALSE())&gt;2,HLOOKUP($A708,#REF!,9,FALSE())&lt;-2),"",#REF!),"")</f>
        <v/>
      </c>
      <c r="L708" s="0" t="str">
        <f aca="false">IFERROR(IF(OR(HLOOKUP($A708,#REF!,10,FALSE())&gt;2,HLOOKUP($A708,#REF!,10,FALSE())&lt;-2),"",#REF!),"")</f>
        <v/>
      </c>
      <c r="M708" s="0" t="str">
        <f aca="false">IFERROR(IF(OR(HLOOKUP($A708,#REF!,11,FALSE())&gt;2,HLOOKUP($A708,#REF!,11,FALSE())&lt;-2),"",#REF!),"")</f>
        <v/>
      </c>
      <c r="N708" s="0" t="str">
        <f aca="false">IFERROR(IF(OR(HLOOKUP($A708,#REF!,12,FALSE())&gt;2,HLOOKUP($A708,#REF!,12,FALSE())&lt;-2),"",#REF!),"")</f>
        <v/>
      </c>
      <c r="O708" s="0" t="str">
        <f aca="false">IFERROR(IF(OR(HLOOKUP($A708,#REF!,13,FALSE())&gt;2,HLOOKUP($A708,#REF!,13,FALSE())&lt;-2),"",#REF!),"")</f>
        <v/>
      </c>
      <c r="P708" s="0" t="str">
        <f aca="false">IFERROR(IF(OR(HLOOKUP($A708,#REF!,14,FALSE())&gt;2,HLOOKUP($A708,#REF!,14,FALSE())&lt;-2),"",#REF!),"")</f>
        <v/>
      </c>
      <c r="Q708" s="0" t="str">
        <f aca="false">IFERROR(IF(OR(HLOOKUP($A708,#REF!,15,FALSE())&gt;2,HLOOKUP($A708,#REF!,15,FALSE())&lt;-2),"",#REF!),"")</f>
        <v/>
      </c>
      <c r="R708" s="0" t="str">
        <f aca="false">IFERROR(IF(OR(HLOOKUP($A708,#REF!,16,FALSE())&gt;2,HLOOKUP($A708,#REF!,16,FALSE())&lt;-2),"",#REF!),"")</f>
        <v/>
      </c>
      <c r="S708" s="0" t="str">
        <f aca="false">IFERROR(IF(OR(HLOOKUP($A708,#REF!,17,FALSE())&gt;2,HLOOKUP($A708,#REF!,17,FALSE())&lt;-2),"",#REF!),"")</f>
        <v/>
      </c>
      <c r="T708" s="0" t="str">
        <f aca="false">IFERROR(IF(OR(HLOOKUP($A708,#REF!,18,FALSE())&gt;2,HLOOKUP($A708,#REF!,18,FALSE())&lt;-2),"",#REF!),"")</f>
        <v/>
      </c>
      <c r="U708" s="0" t="str">
        <f aca="false">IFERROR(IF(OR(HLOOKUP($A708,#REF!,19,FALSE())&gt;2,HLOOKUP($A708,#REF!,19,FALSE())&lt;-2),"",#REF!),"")</f>
        <v/>
      </c>
      <c r="V708" s="0" t="n">
        <f aca="false">IFERROR(IF(AND(X708=0,Y708=0),0,1),0)</f>
        <v>1</v>
      </c>
      <c r="W708" s="3" t="str">
        <f aca="false">IFERROR(_xlfn.T.TEST(E708:M708,N708:U708,2,2),"")</f>
        <v/>
      </c>
      <c r="X708" s="0" t="str">
        <f aca="false">IFERROR(AVERAGE(E708:M708),"")</f>
        <v/>
      </c>
      <c r="Y708" s="0" t="str">
        <f aca="false">IFERROR(AVERAGE(N708:U708),"")</f>
        <v/>
      </c>
    </row>
    <row r="709" customFormat="false" ht="14.5" hidden="false" customHeight="false" outlineLevel="0" collapsed="false">
      <c r="A709" s="0" t="n">
        <v>717</v>
      </c>
      <c r="B709" s="0" t="s">
        <v>768</v>
      </c>
      <c r="C709" s="0" t="n">
        <v>101700</v>
      </c>
      <c r="D709" s="0" t="n">
        <v>967</v>
      </c>
      <c r="E709" s="0" t="str">
        <f aca="false">IFERROR(IF(OR(HLOOKUP($A709,#REF!,3,FALSE())&gt;2,HLOOKUP(A709,#REF!,3,FALSE())&lt;-2),"",#REF!),"")</f>
        <v/>
      </c>
      <c r="F709" s="0" t="str">
        <f aca="false">IFERROR(IF(OR(HLOOKUP($A709,#REF!,4,FALSE())&gt;2,HLOOKUP($A709,#REF!,4,FALSE())&lt;-2),"",#REF!),"")</f>
        <v/>
      </c>
      <c r="G709" s="0" t="str">
        <f aca="false">IFERROR(IF(OR(HLOOKUP($A709,#REF!,5,FALSE())&gt;2,HLOOKUP($A709,#REF!,5,FALSE())&lt;-2),"",#REF!),"")</f>
        <v/>
      </c>
      <c r="H709" s="0" t="str">
        <f aca="false">IFERROR(IF(OR(HLOOKUP($A709,#REF!,6,FALSE())&gt;2,HLOOKUP($A709,#REF!,6,FALSE())&lt;-2),"",#REF!),"")</f>
        <v/>
      </c>
      <c r="I709" s="0" t="str">
        <f aca="false">IFERROR(IF(OR(HLOOKUP($A709,#REF!,7,FALSE())&gt;2,HLOOKUP($A709,#REF!,7,FALSE())&lt;-2),"",#REF!),"")</f>
        <v/>
      </c>
      <c r="J709" s="0" t="str">
        <f aca="false">IFERROR(IF(OR(HLOOKUP($A709,#REF!,8,FALSE())&gt;2,HLOOKUP($A709,#REF!,8,FALSE())&lt;-2),"",#REF!),"")</f>
        <v/>
      </c>
      <c r="K709" s="0" t="str">
        <f aca="false">IFERROR(IF(OR(HLOOKUP($A709,#REF!,9,FALSE())&gt;2,HLOOKUP($A709,#REF!,9,FALSE())&lt;-2),"",#REF!),"")</f>
        <v/>
      </c>
      <c r="L709" s="0" t="str">
        <f aca="false">IFERROR(IF(OR(HLOOKUP($A709,#REF!,10,FALSE())&gt;2,HLOOKUP($A709,#REF!,10,FALSE())&lt;-2),"",#REF!),"")</f>
        <v/>
      </c>
      <c r="M709" s="0" t="str">
        <f aca="false">IFERROR(IF(OR(HLOOKUP($A709,#REF!,11,FALSE())&gt;2,HLOOKUP($A709,#REF!,11,FALSE())&lt;-2),"",#REF!),"")</f>
        <v/>
      </c>
      <c r="N709" s="0" t="str">
        <f aca="false">IFERROR(IF(OR(HLOOKUP($A709,#REF!,12,FALSE())&gt;2,HLOOKUP($A709,#REF!,12,FALSE())&lt;-2),"",#REF!),"")</f>
        <v/>
      </c>
      <c r="O709" s="0" t="str">
        <f aca="false">IFERROR(IF(OR(HLOOKUP($A709,#REF!,13,FALSE())&gt;2,HLOOKUP($A709,#REF!,13,FALSE())&lt;-2),"",#REF!),"")</f>
        <v/>
      </c>
      <c r="P709" s="0" t="str">
        <f aca="false">IFERROR(IF(OR(HLOOKUP($A709,#REF!,14,FALSE())&gt;2,HLOOKUP($A709,#REF!,14,FALSE())&lt;-2),"",#REF!),"")</f>
        <v/>
      </c>
      <c r="Q709" s="0" t="str">
        <f aca="false">IFERROR(IF(OR(HLOOKUP($A709,#REF!,15,FALSE())&gt;2,HLOOKUP($A709,#REF!,15,FALSE())&lt;-2),"",#REF!),"")</f>
        <v/>
      </c>
      <c r="R709" s="0" t="str">
        <f aca="false">IFERROR(IF(OR(HLOOKUP($A709,#REF!,16,FALSE())&gt;2,HLOOKUP($A709,#REF!,16,FALSE())&lt;-2),"",#REF!),"")</f>
        <v/>
      </c>
      <c r="S709" s="0" t="str">
        <f aca="false">IFERROR(IF(OR(HLOOKUP($A709,#REF!,17,FALSE())&gt;2,HLOOKUP($A709,#REF!,17,FALSE())&lt;-2),"",#REF!),"")</f>
        <v/>
      </c>
      <c r="T709" s="0" t="str">
        <f aca="false">IFERROR(IF(OR(HLOOKUP($A709,#REF!,18,FALSE())&gt;2,HLOOKUP($A709,#REF!,18,FALSE())&lt;-2),"",#REF!),"")</f>
        <v/>
      </c>
      <c r="U709" s="0" t="str">
        <f aca="false">IFERROR(IF(OR(HLOOKUP($A709,#REF!,19,FALSE())&gt;2,HLOOKUP($A709,#REF!,19,FALSE())&lt;-2),"",#REF!),"")</f>
        <v/>
      </c>
      <c r="V709" s="0" t="n">
        <f aca="false">IFERROR(IF(AND(X709=0,Y709=0),0,1),0)</f>
        <v>1</v>
      </c>
      <c r="W709" s="3" t="str">
        <f aca="false">IFERROR(_xlfn.T.TEST(E709:M709,N709:U709,2,2),"")</f>
        <v/>
      </c>
      <c r="X709" s="0" t="str">
        <f aca="false">IFERROR(AVERAGE(E709:M709),"")</f>
        <v/>
      </c>
      <c r="Y709" s="0" t="str">
        <f aca="false">IFERROR(AVERAGE(N709:U709),"")</f>
        <v/>
      </c>
    </row>
    <row r="710" customFormat="false" ht="14.5" hidden="false" customHeight="false" outlineLevel="0" collapsed="false">
      <c r="A710" s="0" t="n">
        <v>718</v>
      </c>
      <c r="B710" s="0" t="s">
        <v>769</v>
      </c>
      <c r="C710" s="0" t="n">
        <v>64100</v>
      </c>
      <c r="D710" s="0" t="n">
        <v>709</v>
      </c>
      <c r="E710" s="0" t="str">
        <f aca="false">IFERROR(IF(OR(HLOOKUP($A710,#REF!,3,FALSE())&gt;2,HLOOKUP(A710,#REF!,3,FALSE())&lt;-2),"",#REF!),"")</f>
        <v/>
      </c>
      <c r="F710" s="0" t="str">
        <f aca="false">IFERROR(IF(OR(HLOOKUP($A710,#REF!,4,FALSE())&gt;2,HLOOKUP($A710,#REF!,4,FALSE())&lt;-2),"",#REF!),"")</f>
        <v/>
      </c>
      <c r="G710" s="0" t="str">
        <f aca="false">IFERROR(IF(OR(HLOOKUP($A710,#REF!,5,FALSE())&gt;2,HLOOKUP($A710,#REF!,5,FALSE())&lt;-2),"",#REF!),"")</f>
        <v/>
      </c>
      <c r="H710" s="0" t="str">
        <f aca="false">IFERROR(IF(OR(HLOOKUP($A710,#REF!,6,FALSE())&gt;2,HLOOKUP($A710,#REF!,6,FALSE())&lt;-2),"",#REF!),"")</f>
        <v/>
      </c>
      <c r="I710" s="0" t="str">
        <f aca="false">IFERROR(IF(OR(HLOOKUP($A710,#REF!,7,FALSE())&gt;2,HLOOKUP($A710,#REF!,7,FALSE())&lt;-2),"",#REF!),"")</f>
        <v/>
      </c>
      <c r="J710" s="0" t="str">
        <f aca="false">IFERROR(IF(OR(HLOOKUP($A710,#REF!,8,FALSE())&gt;2,HLOOKUP($A710,#REF!,8,FALSE())&lt;-2),"",#REF!),"")</f>
        <v/>
      </c>
      <c r="K710" s="0" t="str">
        <f aca="false">IFERROR(IF(OR(HLOOKUP($A710,#REF!,9,FALSE())&gt;2,HLOOKUP($A710,#REF!,9,FALSE())&lt;-2),"",#REF!),"")</f>
        <v/>
      </c>
      <c r="L710" s="0" t="str">
        <f aca="false">IFERROR(IF(OR(HLOOKUP($A710,#REF!,10,FALSE())&gt;2,HLOOKUP($A710,#REF!,10,FALSE())&lt;-2),"",#REF!),"")</f>
        <v/>
      </c>
      <c r="M710" s="0" t="str">
        <f aca="false">IFERROR(IF(OR(HLOOKUP($A710,#REF!,11,FALSE())&gt;2,HLOOKUP($A710,#REF!,11,FALSE())&lt;-2),"",#REF!),"")</f>
        <v/>
      </c>
      <c r="N710" s="0" t="str">
        <f aca="false">IFERROR(IF(OR(HLOOKUP($A710,#REF!,12,FALSE())&gt;2,HLOOKUP($A710,#REF!,12,FALSE())&lt;-2),"",#REF!),"")</f>
        <v/>
      </c>
      <c r="O710" s="0" t="str">
        <f aca="false">IFERROR(IF(OR(HLOOKUP($A710,#REF!,13,FALSE())&gt;2,HLOOKUP($A710,#REF!,13,FALSE())&lt;-2),"",#REF!),"")</f>
        <v/>
      </c>
      <c r="P710" s="0" t="str">
        <f aca="false">IFERROR(IF(OR(HLOOKUP($A710,#REF!,14,FALSE())&gt;2,HLOOKUP($A710,#REF!,14,FALSE())&lt;-2),"",#REF!),"")</f>
        <v/>
      </c>
      <c r="Q710" s="0" t="str">
        <f aca="false">IFERROR(IF(OR(HLOOKUP($A710,#REF!,15,FALSE())&gt;2,HLOOKUP($A710,#REF!,15,FALSE())&lt;-2),"",#REF!),"")</f>
        <v/>
      </c>
      <c r="R710" s="0" t="str">
        <f aca="false">IFERROR(IF(OR(HLOOKUP($A710,#REF!,16,FALSE())&gt;2,HLOOKUP($A710,#REF!,16,FALSE())&lt;-2),"",#REF!),"")</f>
        <v/>
      </c>
      <c r="S710" s="0" t="str">
        <f aca="false">IFERROR(IF(OR(HLOOKUP($A710,#REF!,17,FALSE())&gt;2,HLOOKUP($A710,#REF!,17,FALSE())&lt;-2),"",#REF!),"")</f>
        <v/>
      </c>
      <c r="T710" s="0" t="str">
        <f aca="false">IFERROR(IF(OR(HLOOKUP($A710,#REF!,18,FALSE())&gt;2,HLOOKUP($A710,#REF!,18,FALSE())&lt;-2),"",#REF!),"")</f>
        <v/>
      </c>
      <c r="U710" s="0" t="str">
        <f aca="false">IFERROR(IF(OR(HLOOKUP($A710,#REF!,19,FALSE())&gt;2,HLOOKUP($A710,#REF!,19,FALSE())&lt;-2),"",#REF!),"")</f>
        <v/>
      </c>
      <c r="V710" s="0" t="n">
        <f aca="false">IFERROR(IF(AND(X710=0,Y710=0),0,1),0)</f>
        <v>1</v>
      </c>
      <c r="W710" s="3" t="str">
        <f aca="false">IFERROR(_xlfn.T.TEST(E710:M710,N710:U710,2,2),"")</f>
        <v/>
      </c>
      <c r="X710" s="0" t="str">
        <f aca="false">IFERROR(AVERAGE(E710:M710),"")</f>
        <v/>
      </c>
      <c r="Y710" s="0" t="str">
        <f aca="false">IFERROR(AVERAGE(N710:U710),"")</f>
        <v/>
      </c>
    </row>
    <row r="711" customFormat="false" ht="14.5" hidden="false" customHeight="false" outlineLevel="0" collapsed="false">
      <c r="A711" s="0" t="n">
        <v>719</v>
      </c>
      <c r="B711" s="0" t="s">
        <v>770</v>
      </c>
      <c r="C711" s="0" t="n">
        <v>3400</v>
      </c>
      <c r="D711" s="0" t="n">
        <v>322</v>
      </c>
      <c r="E711" s="0" t="str">
        <f aca="false">IFERROR(IF(OR(HLOOKUP($A711,#REF!,3,FALSE())&gt;2,HLOOKUP(A711,#REF!,3,FALSE())&lt;-2),"",#REF!),"")</f>
        <v/>
      </c>
      <c r="F711" s="0" t="str">
        <f aca="false">IFERROR(IF(OR(HLOOKUP($A711,#REF!,4,FALSE())&gt;2,HLOOKUP($A711,#REF!,4,FALSE())&lt;-2),"",#REF!),"")</f>
        <v/>
      </c>
      <c r="G711" s="0" t="str">
        <f aca="false">IFERROR(IF(OR(HLOOKUP($A711,#REF!,5,FALSE())&gt;2,HLOOKUP($A711,#REF!,5,FALSE())&lt;-2),"",#REF!),"")</f>
        <v/>
      </c>
      <c r="H711" s="0" t="str">
        <f aca="false">IFERROR(IF(OR(HLOOKUP($A711,#REF!,6,FALSE())&gt;2,HLOOKUP($A711,#REF!,6,FALSE())&lt;-2),"",#REF!),"")</f>
        <v/>
      </c>
      <c r="I711" s="0" t="str">
        <f aca="false">IFERROR(IF(OR(HLOOKUP($A711,#REF!,7,FALSE())&gt;2,HLOOKUP($A711,#REF!,7,FALSE())&lt;-2),"",#REF!),"")</f>
        <v/>
      </c>
      <c r="J711" s="0" t="str">
        <f aca="false">IFERROR(IF(OR(HLOOKUP($A711,#REF!,8,FALSE())&gt;2,HLOOKUP($A711,#REF!,8,FALSE())&lt;-2),"",#REF!),"")</f>
        <v/>
      </c>
      <c r="K711" s="0" t="str">
        <f aca="false">IFERROR(IF(OR(HLOOKUP($A711,#REF!,9,FALSE())&gt;2,HLOOKUP($A711,#REF!,9,FALSE())&lt;-2),"",#REF!),"")</f>
        <v/>
      </c>
      <c r="L711" s="0" t="str">
        <f aca="false">IFERROR(IF(OR(HLOOKUP($A711,#REF!,10,FALSE())&gt;2,HLOOKUP($A711,#REF!,10,FALSE())&lt;-2),"",#REF!),"")</f>
        <v/>
      </c>
      <c r="M711" s="0" t="str">
        <f aca="false">IFERROR(IF(OR(HLOOKUP($A711,#REF!,11,FALSE())&gt;2,HLOOKUP($A711,#REF!,11,FALSE())&lt;-2),"",#REF!),"")</f>
        <v/>
      </c>
      <c r="N711" s="0" t="str">
        <f aca="false">IFERROR(IF(OR(HLOOKUP($A711,#REF!,12,FALSE())&gt;2,HLOOKUP($A711,#REF!,12,FALSE())&lt;-2),"",#REF!),"")</f>
        <v/>
      </c>
      <c r="O711" s="0" t="str">
        <f aca="false">IFERROR(IF(OR(HLOOKUP($A711,#REF!,13,FALSE())&gt;2,HLOOKUP($A711,#REF!,13,FALSE())&lt;-2),"",#REF!),"")</f>
        <v/>
      </c>
      <c r="P711" s="0" t="str">
        <f aca="false">IFERROR(IF(OR(HLOOKUP($A711,#REF!,14,FALSE())&gt;2,HLOOKUP($A711,#REF!,14,FALSE())&lt;-2),"",#REF!),"")</f>
        <v/>
      </c>
      <c r="Q711" s="0" t="str">
        <f aca="false">IFERROR(IF(OR(HLOOKUP($A711,#REF!,15,FALSE())&gt;2,HLOOKUP($A711,#REF!,15,FALSE())&lt;-2),"",#REF!),"")</f>
        <v/>
      </c>
      <c r="R711" s="0" t="str">
        <f aca="false">IFERROR(IF(OR(HLOOKUP($A711,#REF!,16,FALSE())&gt;2,HLOOKUP($A711,#REF!,16,FALSE())&lt;-2),"",#REF!),"")</f>
        <v/>
      </c>
      <c r="S711" s="0" t="str">
        <f aca="false">IFERROR(IF(OR(HLOOKUP($A711,#REF!,17,FALSE())&gt;2,HLOOKUP($A711,#REF!,17,FALSE())&lt;-2),"",#REF!),"")</f>
        <v/>
      </c>
      <c r="T711" s="0" t="str">
        <f aca="false">IFERROR(IF(OR(HLOOKUP($A711,#REF!,18,FALSE())&gt;2,HLOOKUP($A711,#REF!,18,FALSE())&lt;-2),"",#REF!),"")</f>
        <v/>
      </c>
      <c r="U711" s="0" t="str">
        <f aca="false">IFERROR(IF(OR(HLOOKUP($A711,#REF!,19,FALSE())&gt;2,HLOOKUP($A711,#REF!,19,FALSE())&lt;-2),"",#REF!),"")</f>
        <v/>
      </c>
      <c r="V711" s="0" t="n">
        <f aca="false">IFERROR(IF(AND(X711=0,Y711=0),0,1),0)</f>
        <v>1</v>
      </c>
      <c r="W711" s="3" t="str">
        <f aca="false">IFERROR(_xlfn.T.TEST(E711:M711,N711:U711,2,2),"")</f>
        <v/>
      </c>
      <c r="X711" s="0" t="str">
        <f aca="false">IFERROR(AVERAGE(E711:M711),"")</f>
        <v/>
      </c>
      <c r="Y711" s="0" t="str">
        <f aca="false">IFERROR(AVERAGE(N711:U711),"")</f>
        <v/>
      </c>
    </row>
    <row r="712" customFormat="false" ht="14.5" hidden="false" customHeight="false" outlineLevel="0" collapsed="false">
      <c r="A712" s="0" t="n">
        <v>720</v>
      </c>
      <c r="B712" s="0" t="s">
        <v>771</v>
      </c>
      <c r="C712" s="0" t="n">
        <v>90200</v>
      </c>
      <c r="D712" s="0" t="n">
        <v>386</v>
      </c>
      <c r="E712" s="0" t="str">
        <f aca="false">IFERROR(IF(OR(HLOOKUP($A712,#REF!,3,FALSE())&gt;2,HLOOKUP(A712,#REF!,3,FALSE())&lt;-2),"",#REF!),"")</f>
        <v/>
      </c>
      <c r="F712" s="0" t="str">
        <f aca="false">IFERROR(IF(OR(HLOOKUP($A712,#REF!,4,FALSE())&gt;2,HLOOKUP($A712,#REF!,4,FALSE())&lt;-2),"",#REF!),"")</f>
        <v/>
      </c>
      <c r="G712" s="0" t="str">
        <f aca="false">IFERROR(IF(OR(HLOOKUP($A712,#REF!,5,FALSE())&gt;2,HLOOKUP($A712,#REF!,5,FALSE())&lt;-2),"",#REF!),"")</f>
        <v/>
      </c>
      <c r="H712" s="0" t="str">
        <f aca="false">IFERROR(IF(OR(HLOOKUP($A712,#REF!,6,FALSE())&gt;2,HLOOKUP($A712,#REF!,6,FALSE())&lt;-2),"",#REF!),"")</f>
        <v/>
      </c>
      <c r="I712" s="0" t="str">
        <f aca="false">IFERROR(IF(OR(HLOOKUP($A712,#REF!,7,FALSE())&gt;2,HLOOKUP($A712,#REF!,7,FALSE())&lt;-2),"",#REF!),"")</f>
        <v/>
      </c>
      <c r="J712" s="0" t="str">
        <f aca="false">IFERROR(IF(OR(HLOOKUP($A712,#REF!,8,FALSE())&gt;2,HLOOKUP($A712,#REF!,8,FALSE())&lt;-2),"",#REF!),"")</f>
        <v/>
      </c>
      <c r="K712" s="0" t="str">
        <f aca="false">IFERROR(IF(OR(HLOOKUP($A712,#REF!,9,FALSE())&gt;2,HLOOKUP($A712,#REF!,9,FALSE())&lt;-2),"",#REF!),"")</f>
        <v/>
      </c>
      <c r="L712" s="0" t="str">
        <f aca="false">IFERROR(IF(OR(HLOOKUP($A712,#REF!,10,FALSE())&gt;2,HLOOKUP($A712,#REF!,10,FALSE())&lt;-2),"",#REF!),"")</f>
        <v/>
      </c>
      <c r="M712" s="0" t="str">
        <f aca="false">IFERROR(IF(OR(HLOOKUP($A712,#REF!,11,FALSE())&gt;2,HLOOKUP($A712,#REF!,11,FALSE())&lt;-2),"",#REF!),"")</f>
        <v/>
      </c>
      <c r="N712" s="0" t="str">
        <f aca="false">IFERROR(IF(OR(HLOOKUP($A712,#REF!,12,FALSE())&gt;2,HLOOKUP($A712,#REF!,12,FALSE())&lt;-2),"",#REF!),"")</f>
        <v/>
      </c>
      <c r="O712" s="0" t="str">
        <f aca="false">IFERROR(IF(OR(HLOOKUP($A712,#REF!,13,FALSE())&gt;2,HLOOKUP($A712,#REF!,13,FALSE())&lt;-2),"",#REF!),"")</f>
        <v/>
      </c>
      <c r="P712" s="0" t="str">
        <f aca="false">IFERROR(IF(OR(HLOOKUP($A712,#REF!,14,FALSE())&gt;2,HLOOKUP($A712,#REF!,14,FALSE())&lt;-2),"",#REF!),"")</f>
        <v/>
      </c>
      <c r="Q712" s="0" t="str">
        <f aca="false">IFERROR(IF(OR(HLOOKUP($A712,#REF!,15,FALSE())&gt;2,HLOOKUP($A712,#REF!,15,FALSE())&lt;-2),"",#REF!),"")</f>
        <v/>
      </c>
      <c r="R712" s="0" t="str">
        <f aca="false">IFERROR(IF(OR(HLOOKUP($A712,#REF!,16,FALSE())&gt;2,HLOOKUP($A712,#REF!,16,FALSE())&lt;-2),"",#REF!),"")</f>
        <v/>
      </c>
      <c r="S712" s="0" t="str">
        <f aca="false">IFERROR(IF(OR(HLOOKUP($A712,#REF!,17,FALSE())&gt;2,HLOOKUP($A712,#REF!,17,FALSE())&lt;-2),"",#REF!),"")</f>
        <v/>
      </c>
      <c r="T712" s="0" t="str">
        <f aca="false">IFERROR(IF(OR(HLOOKUP($A712,#REF!,18,FALSE())&gt;2,HLOOKUP($A712,#REF!,18,FALSE())&lt;-2),"",#REF!),"")</f>
        <v/>
      </c>
      <c r="U712" s="0" t="str">
        <f aca="false">IFERROR(IF(OR(HLOOKUP($A712,#REF!,19,FALSE())&gt;2,HLOOKUP($A712,#REF!,19,FALSE())&lt;-2),"",#REF!),"")</f>
        <v/>
      </c>
      <c r="V712" s="0" t="n">
        <f aca="false">IFERROR(IF(AND(X712=0,Y712=0),0,1),0)</f>
        <v>1</v>
      </c>
      <c r="W712" s="3" t="str">
        <f aca="false">IFERROR(_xlfn.T.TEST(E712:M712,N712:U712,2,2),"")</f>
        <v/>
      </c>
      <c r="X712" s="0" t="str">
        <f aca="false">IFERROR(AVERAGE(E712:M712),"")</f>
        <v/>
      </c>
      <c r="Y712" s="0" t="str">
        <f aca="false">IFERROR(AVERAGE(N712:U712),"")</f>
        <v/>
      </c>
    </row>
    <row r="713" customFormat="false" ht="14.5" hidden="false" customHeight="false" outlineLevel="0" collapsed="false">
      <c r="A713" s="0" t="n">
        <v>721</v>
      </c>
      <c r="B713" s="0" t="s">
        <v>772</v>
      </c>
      <c r="C713" s="0" t="n">
        <v>16500</v>
      </c>
      <c r="D713" s="0" t="n">
        <v>385</v>
      </c>
      <c r="E713" s="0" t="str">
        <f aca="false">IFERROR(IF(OR(HLOOKUP($A713,#REF!,3,FALSE())&gt;2,HLOOKUP(A713,#REF!,3,FALSE())&lt;-2),"",#REF!),"")</f>
        <v/>
      </c>
      <c r="F713" s="0" t="str">
        <f aca="false">IFERROR(IF(OR(HLOOKUP($A713,#REF!,4,FALSE())&gt;2,HLOOKUP($A713,#REF!,4,FALSE())&lt;-2),"",#REF!),"")</f>
        <v/>
      </c>
      <c r="G713" s="0" t="str">
        <f aca="false">IFERROR(IF(OR(HLOOKUP($A713,#REF!,5,FALSE())&gt;2,HLOOKUP($A713,#REF!,5,FALSE())&lt;-2),"",#REF!),"")</f>
        <v/>
      </c>
      <c r="H713" s="0" t="str">
        <f aca="false">IFERROR(IF(OR(HLOOKUP($A713,#REF!,6,FALSE())&gt;2,HLOOKUP($A713,#REF!,6,FALSE())&lt;-2),"",#REF!),"")</f>
        <v/>
      </c>
      <c r="I713" s="0" t="str">
        <f aca="false">IFERROR(IF(OR(HLOOKUP($A713,#REF!,7,FALSE())&gt;2,HLOOKUP($A713,#REF!,7,FALSE())&lt;-2),"",#REF!),"")</f>
        <v/>
      </c>
      <c r="J713" s="0" t="str">
        <f aca="false">IFERROR(IF(OR(HLOOKUP($A713,#REF!,8,FALSE())&gt;2,HLOOKUP($A713,#REF!,8,FALSE())&lt;-2),"",#REF!),"")</f>
        <v/>
      </c>
      <c r="K713" s="0" t="str">
        <f aca="false">IFERROR(IF(OR(HLOOKUP($A713,#REF!,9,FALSE())&gt;2,HLOOKUP($A713,#REF!,9,FALSE())&lt;-2),"",#REF!),"")</f>
        <v/>
      </c>
      <c r="L713" s="0" t="str">
        <f aca="false">IFERROR(IF(OR(HLOOKUP($A713,#REF!,10,FALSE())&gt;2,HLOOKUP($A713,#REF!,10,FALSE())&lt;-2),"",#REF!),"")</f>
        <v/>
      </c>
      <c r="M713" s="0" t="str">
        <f aca="false">IFERROR(IF(OR(HLOOKUP($A713,#REF!,11,FALSE())&gt;2,HLOOKUP($A713,#REF!,11,FALSE())&lt;-2),"",#REF!),"")</f>
        <v/>
      </c>
      <c r="N713" s="0" t="str">
        <f aca="false">IFERROR(IF(OR(HLOOKUP($A713,#REF!,12,FALSE())&gt;2,HLOOKUP($A713,#REF!,12,FALSE())&lt;-2),"",#REF!),"")</f>
        <v/>
      </c>
      <c r="O713" s="0" t="str">
        <f aca="false">IFERROR(IF(OR(HLOOKUP($A713,#REF!,13,FALSE())&gt;2,HLOOKUP($A713,#REF!,13,FALSE())&lt;-2),"",#REF!),"")</f>
        <v/>
      </c>
      <c r="P713" s="0" t="str">
        <f aca="false">IFERROR(IF(OR(HLOOKUP($A713,#REF!,14,FALSE())&gt;2,HLOOKUP($A713,#REF!,14,FALSE())&lt;-2),"",#REF!),"")</f>
        <v/>
      </c>
      <c r="Q713" s="0" t="str">
        <f aca="false">IFERROR(IF(OR(HLOOKUP($A713,#REF!,15,FALSE())&gt;2,HLOOKUP($A713,#REF!,15,FALSE())&lt;-2),"",#REF!),"")</f>
        <v/>
      </c>
      <c r="R713" s="0" t="str">
        <f aca="false">IFERROR(IF(OR(HLOOKUP($A713,#REF!,16,FALSE())&gt;2,HLOOKUP($A713,#REF!,16,FALSE())&lt;-2),"",#REF!),"")</f>
        <v/>
      </c>
      <c r="S713" s="0" t="str">
        <f aca="false">IFERROR(IF(OR(HLOOKUP($A713,#REF!,17,FALSE())&gt;2,HLOOKUP($A713,#REF!,17,FALSE())&lt;-2),"",#REF!),"")</f>
        <v/>
      </c>
      <c r="T713" s="0" t="str">
        <f aca="false">IFERROR(IF(OR(HLOOKUP($A713,#REF!,18,FALSE())&gt;2,HLOOKUP($A713,#REF!,18,FALSE())&lt;-2),"",#REF!),"")</f>
        <v/>
      </c>
      <c r="U713" s="0" t="str">
        <f aca="false">IFERROR(IF(OR(HLOOKUP($A713,#REF!,19,FALSE())&gt;2,HLOOKUP($A713,#REF!,19,FALSE())&lt;-2),"",#REF!),"")</f>
        <v/>
      </c>
      <c r="V713" s="0" t="n">
        <f aca="false">IFERROR(IF(AND(X713=0,Y713=0),0,1),0)</f>
        <v>1</v>
      </c>
      <c r="W713" s="3" t="str">
        <f aca="false">IFERROR(_xlfn.T.TEST(E713:M713,N713:U713,2,2),"")</f>
        <v/>
      </c>
      <c r="X713" s="0" t="str">
        <f aca="false">IFERROR(AVERAGE(E713:M713),"")</f>
        <v/>
      </c>
      <c r="Y713" s="0" t="str">
        <f aca="false">IFERROR(AVERAGE(N713:U713),"")</f>
        <v/>
      </c>
    </row>
    <row r="714" customFormat="false" ht="14.5" hidden="false" customHeight="false" outlineLevel="0" collapsed="false">
      <c r="A714" s="0" t="n">
        <v>722</v>
      </c>
      <c r="B714" s="0" t="s">
        <v>773</v>
      </c>
      <c r="C714" s="0" t="n">
        <v>114900</v>
      </c>
      <c r="D714" s="0" t="n">
        <v>1068</v>
      </c>
      <c r="E714" s="0" t="str">
        <f aca="false">IFERROR(IF(OR(HLOOKUP($A714,#REF!,3,FALSE())&gt;2,HLOOKUP(A714,#REF!,3,FALSE())&lt;-2),"",#REF!),"")</f>
        <v/>
      </c>
      <c r="F714" s="0" t="str">
        <f aca="false">IFERROR(IF(OR(HLOOKUP($A714,#REF!,4,FALSE())&gt;2,HLOOKUP($A714,#REF!,4,FALSE())&lt;-2),"",#REF!),"")</f>
        <v/>
      </c>
      <c r="G714" s="0" t="str">
        <f aca="false">IFERROR(IF(OR(HLOOKUP($A714,#REF!,5,FALSE())&gt;2,HLOOKUP($A714,#REF!,5,FALSE())&lt;-2),"",#REF!),"")</f>
        <v/>
      </c>
      <c r="H714" s="0" t="str">
        <f aca="false">IFERROR(IF(OR(HLOOKUP($A714,#REF!,6,FALSE())&gt;2,HLOOKUP($A714,#REF!,6,FALSE())&lt;-2),"",#REF!),"")</f>
        <v/>
      </c>
      <c r="I714" s="0" t="str">
        <f aca="false">IFERROR(IF(OR(HLOOKUP($A714,#REF!,7,FALSE())&gt;2,HLOOKUP($A714,#REF!,7,FALSE())&lt;-2),"",#REF!),"")</f>
        <v/>
      </c>
      <c r="J714" s="0" t="str">
        <f aca="false">IFERROR(IF(OR(HLOOKUP($A714,#REF!,8,FALSE())&gt;2,HLOOKUP($A714,#REF!,8,FALSE())&lt;-2),"",#REF!),"")</f>
        <v/>
      </c>
      <c r="K714" s="0" t="str">
        <f aca="false">IFERROR(IF(OR(HLOOKUP($A714,#REF!,9,FALSE())&gt;2,HLOOKUP($A714,#REF!,9,FALSE())&lt;-2),"",#REF!),"")</f>
        <v/>
      </c>
      <c r="L714" s="0" t="str">
        <f aca="false">IFERROR(IF(OR(HLOOKUP($A714,#REF!,10,FALSE())&gt;2,HLOOKUP($A714,#REF!,10,FALSE())&lt;-2),"",#REF!),"")</f>
        <v/>
      </c>
      <c r="M714" s="0" t="str">
        <f aca="false">IFERROR(IF(OR(HLOOKUP($A714,#REF!,11,FALSE())&gt;2,HLOOKUP($A714,#REF!,11,FALSE())&lt;-2),"",#REF!),"")</f>
        <v/>
      </c>
      <c r="N714" s="0" t="str">
        <f aca="false">IFERROR(IF(OR(HLOOKUP($A714,#REF!,12,FALSE())&gt;2,HLOOKUP($A714,#REF!,12,FALSE())&lt;-2),"",#REF!),"")</f>
        <v/>
      </c>
      <c r="O714" s="0" t="str">
        <f aca="false">IFERROR(IF(OR(HLOOKUP($A714,#REF!,13,FALSE())&gt;2,HLOOKUP($A714,#REF!,13,FALSE())&lt;-2),"",#REF!),"")</f>
        <v/>
      </c>
      <c r="P714" s="0" t="str">
        <f aca="false">IFERROR(IF(OR(HLOOKUP($A714,#REF!,14,FALSE())&gt;2,HLOOKUP($A714,#REF!,14,FALSE())&lt;-2),"",#REF!),"")</f>
        <v/>
      </c>
      <c r="Q714" s="0" t="str">
        <f aca="false">IFERROR(IF(OR(HLOOKUP($A714,#REF!,15,FALSE())&gt;2,HLOOKUP($A714,#REF!,15,FALSE())&lt;-2),"",#REF!),"")</f>
        <v/>
      </c>
      <c r="R714" s="0" t="str">
        <f aca="false">IFERROR(IF(OR(HLOOKUP($A714,#REF!,16,FALSE())&gt;2,HLOOKUP($A714,#REF!,16,FALSE())&lt;-2),"",#REF!),"")</f>
        <v/>
      </c>
      <c r="S714" s="0" t="str">
        <f aca="false">IFERROR(IF(OR(HLOOKUP($A714,#REF!,17,FALSE())&gt;2,HLOOKUP($A714,#REF!,17,FALSE())&lt;-2),"",#REF!),"")</f>
        <v/>
      </c>
      <c r="T714" s="0" t="str">
        <f aca="false">IFERROR(IF(OR(HLOOKUP($A714,#REF!,18,FALSE())&gt;2,HLOOKUP($A714,#REF!,18,FALSE())&lt;-2),"",#REF!),"")</f>
        <v/>
      </c>
      <c r="U714" s="0" t="str">
        <f aca="false">IFERROR(IF(OR(HLOOKUP($A714,#REF!,19,FALSE())&gt;2,HLOOKUP($A714,#REF!,19,FALSE())&lt;-2),"",#REF!),"")</f>
        <v/>
      </c>
      <c r="V714" s="0" t="n">
        <f aca="false">IFERROR(IF(AND(X714=0,Y714=0),0,1),0)</f>
        <v>1</v>
      </c>
      <c r="W714" s="3" t="str">
        <f aca="false">IFERROR(_xlfn.T.TEST(E714:M714,N714:U714,2,2),"")</f>
        <v/>
      </c>
      <c r="X714" s="0" t="str">
        <f aca="false">IFERROR(AVERAGE(E714:M714),"")</f>
        <v/>
      </c>
      <c r="Y714" s="0" t="str">
        <f aca="false">IFERROR(AVERAGE(N714:U714),"")</f>
        <v/>
      </c>
    </row>
    <row r="715" customFormat="false" ht="14.5" hidden="false" customHeight="false" outlineLevel="0" collapsed="false">
      <c r="A715" s="0" t="n">
        <v>723</v>
      </c>
      <c r="B715" s="0" t="s">
        <v>774</v>
      </c>
      <c r="C715" s="0" t="n">
        <v>21400</v>
      </c>
      <c r="D715" s="0" t="n">
        <v>714</v>
      </c>
      <c r="E715" s="0" t="str">
        <f aca="false">IFERROR(IF(OR(HLOOKUP($A715,#REF!,3,FALSE())&gt;2,HLOOKUP(A715,#REF!,3,FALSE())&lt;-2),"",#REF!),"")</f>
        <v/>
      </c>
      <c r="F715" s="0" t="str">
        <f aca="false">IFERROR(IF(OR(HLOOKUP($A715,#REF!,4,FALSE())&gt;2,HLOOKUP($A715,#REF!,4,FALSE())&lt;-2),"",#REF!),"")</f>
        <v/>
      </c>
      <c r="G715" s="0" t="str">
        <f aca="false">IFERROR(IF(OR(HLOOKUP($A715,#REF!,5,FALSE())&gt;2,HLOOKUP($A715,#REF!,5,FALSE())&lt;-2),"",#REF!),"")</f>
        <v/>
      </c>
      <c r="H715" s="0" t="str">
        <f aca="false">IFERROR(IF(OR(HLOOKUP($A715,#REF!,6,FALSE())&gt;2,HLOOKUP($A715,#REF!,6,FALSE())&lt;-2),"",#REF!),"")</f>
        <v/>
      </c>
      <c r="I715" s="0" t="str">
        <f aca="false">IFERROR(IF(OR(HLOOKUP($A715,#REF!,7,FALSE())&gt;2,HLOOKUP($A715,#REF!,7,FALSE())&lt;-2),"",#REF!),"")</f>
        <v/>
      </c>
      <c r="J715" s="0" t="str">
        <f aca="false">IFERROR(IF(OR(HLOOKUP($A715,#REF!,8,FALSE())&gt;2,HLOOKUP($A715,#REF!,8,FALSE())&lt;-2),"",#REF!),"")</f>
        <v/>
      </c>
      <c r="K715" s="0" t="str">
        <f aca="false">IFERROR(IF(OR(HLOOKUP($A715,#REF!,9,FALSE())&gt;2,HLOOKUP($A715,#REF!,9,FALSE())&lt;-2),"",#REF!),"")</f>
        <v/>
      </c>
      <c r="L715" s="0" t="str">
        <f aca="false">IFERROR(IF(OR(HLOOKUP($A715,#REF!,10,FALSE())&gt;2,HLOOKUP($A715,#REF!,10,FALSE())&lt;-2),"",#REF!),"")</f>
        <v/>
      </c>
      <c r="M715" s="0" t="str">
        <f aca="false">IFERROR(IF(OR(HLOOKUP($A715,#REF!,11,FALSE())&gt;2,HLOOKUP($A715,#REF!,11,FALSE())&lt;-2),"",#REF!),"")</f>
        <v/>
      </c>
      <c r="N715" s="0" t="str">
        <f aca="false">IFERROR(IF(OR(HLOOKUP($A715,#REF!,12,FALSE())&gt;2,HLOOKUP($A715,#REF!,12,FALSE())&lt;-2),"",#REF!),"")</f>
        <v/>
      </c>
      <c r="O715" s="0" t="str">
        <f aca="false">IFERROR(IF(OR(HLOOKUP($A715,#REF!,13,FALSE())&gt;2,HLOOKUP($A715,#REF!,13,FALSE())&lt;-2),"",#REF!),"")</f>
        <v/>
      </c>
      <c r="P715" s="0" t="str">
        <f aca="false">IFERROR(IF(OR(HLOOKUP($A715,#REF!,14,FALSE())&gt;2,HLOOKUP($A715,#REF!,14,FALSE())&lt;-2),"",#REF!),"")</f>
        <v/>
      </c>
      <c r="Q715" s="0" t="str">
        <f aca="false">IFERROR(IF(OR(HLOOKUP($A715,#REF!,15,FALSE())&gt;2,HLOOKUP($A715,#REF!,15,FALSE())&lt;-2),"",#REF!),"")</f>
        <v/>
      </c>
      <c r="R715" s="0" t="str">
        <f aca="false">IFERROR(IF(OR(HLOOKUP($A715,#REF!,16,FALSE())&gt;2,HLOOKUP($A715,#REF!,16,FALSE())&lt;-2),"",#REF!),"")</f>
        <v/>
      </c>
      <c r="S715" s="0" t="str">
        <f aca="false">IFERROR(IF(OR(HLOOKUP($A715,#REF!,17,FALSE())&gt;2,HLOOKUP($A715,#REF!,17,FALSE())&lt;-2),"",#REF!),"")</f>
        <v/>
      </c>
      <c r="T715" s="0" t="str">
        <f aca="false">IFERROR(IF(OR(HLOOKUP($A715,#REF!,18,FALSE())&gt;2,HLOOKUP($A715,#REF!,18,FALSE())&lt;-2),"",#REF!),"")</f>
        <v/>
      </c>
      <c r="U715" s="0" t="str">
        <f aca="false">IFERROR(IF(OR(HLOOKUP($A715,#REF!,19,FALSE())&gt;2,HLOOKUP($A715,#REF!,19,FALSE())&lt;-2),"",#REF!),"")</f>
        <v/>
      </c>
      <c r="V715" s="0" t="n">
        <f aca="false">IFERROR(IF(AND(X715=0,Y715=0),0,1),0)</f>
        <v>1</v>
      </c>
      <c r="W715" s="3" t="str">
        <f aca="false">IFERROR(_xlfn.T.TEST(E715:M715,N715:U715,2,2),"")</f>
        <v/>
      </c>
      <c r="X715" s="0" t="str">
        <f aca="false">IFERROR(AVERAGE(E715:M715),"")</f>
        <v/>
      </c>
      <c r="Y715" s="0" t="str">
        <f aca="false">IFERROR(AVERAGE(N715:U715),"")</f>
        <v/>
      </c>
    </row>
    <row r="716" customFormat="false" ht="14.5" hidden="false" customHeight="false" outlineLevel="0" collapsed="false">
      <c r="A716" s="0" t="n">
        <v>724</v>
      </c>
      <c r="B716" s="0" t="s">
        <v>775</v>
      </c>
      <c r="C716" s="0" t="n">
        <v>74500</v>
      </c>
      <c r="D716" s="0" t="n">
        <v>88</v>
      </c>
      <c r="E716" s="0" t="str">
        <f aca="false">IFERROR(IF(OR(HLOOKUP($A716,#REF!,3,FALSE())&gt;2,HLOOKUP(A716,#REF!,3,FALSE())&lt;-2),"",#REF!),"")</f>
        <v/>
      </c>
      <c r="F716" s="0" t="str">
        <f aca="false">IFERROR(IF(OR(HLOOKUP($A716,#REF!,4,FALSE())&gt;2,HLOOKUP($A716,#REF!,4,FALSE())&lt;-2),"",#REF!),"")</f>
        <v/>
      </c>
      <c r="G716" s="0" t="str">
        <f aca="false">IFERROR(IF(OR(HLOOKUP($A716,#REF!,5,FALSE())&gt;2,HLOOKUP($A716,#REF!,5,FALSE())&lt;-2),"",#REF!),"")</f>
        <v/>
      </c>
      <c r="H716" s="0" t="str">
        <f aca="false">IFERROR(IF(OR(HLOOKUP($A716,#REF!,6,FALSE())&gt;2,HLOOKUP($A716,#REF!,6,FALSE())&lt;-2),"",#REF!),"")</f>
        <v/>
      </c>
      <c r="I716" s="0" t="str">
        <f aca="false">IFERROR(IF(OR(HLOOKUP($A716,#REF!,7,FALSE())&gt;2,HLOOKUP($A716,#REF!,7,FALSE())&lt;-2),"",#REF!),"")</f>
        <v/>
      </c>
      <c r="J716" s="0" t="str">
        <f aca="false">IFERROR(IF(OR(HLOOKUP($A716,#REF!,8,FALSE())&gt;2,HLOOKUP($A716,#REF!,8,FALSE())&lt;-2),"",#REF!),"")</f>
        <v/>
      </c>
      <c r="K716" s="0" t="str">
        <f aca="false">IFERROR(IF(OR(HLOOKUP($A716,#REF!,9,FALSE())&gt;2,HLOOKUP($A716,#REF!,9,FALSE())&lt;-2),"",#REF!),"")</f>
        <v/>
      </c>
      <c r="L716" s="0" t="str">
        <f aca="false">IFERROR(IF(OR(HLOOKUP($A716,#REF!,10,FALSE())&gt;2,HLOOKUP($A716,#REF!,10,FALSE())&lt;-2),"",#REF!),"")</f>
        <v/>
      </c>
      <c r="M716" s="0" t="str">
        <f aca="false">IFERROR(IF(OR(HLOOKUP($A716,#REF!,11,FALSE())&gt;2,HLOOKUP($A716,#REF!,11,FALSE())&lt;-2),"",#REF!),"")</f>
        <v/>
      </c>
      <c r="N716" s="0" t="str">
        <f aca="false">IFERROR(IF(OR(HLOOKUP($A716,#REF!,12,FALSE())&gt;2,HLOOKUP($A716,#REF!,12,FALSE())&lt;-2),"",#REF!),"")</f>
        <v/>
      </c>
      <c r="O716" s="0" t="str">
        <f aca="false">IFERROR(IF(OR(HLOOKUP($A716,#REF!,13,FALSE())&gt;2,HLOOKUP($A716,#REF!,13,FALSE())&lt;-2),"",#REF!),"")</f>
        <v/>
      </c>
      <c r="P716" s="0" t="str">
        <f aca="false">IFERROR(IF(OR(HLOOKUP($A716,#REF!,14,FALSE())&gt;2,HLOOKUP($A716,#REF!,14,FALSE())&lt;-2),"",#REF!),"")</f>
        <v/>
      </c>
      <c r="Q716" s="0" t="str">
        <f aca="false">IFERROR(IF(OR(HLOOKUP($A716,#REF!,15,FALSE())&gt;2,HLOOKUP($A716,#REF!,15,FALSE())&lt;-2),"",#REF!),"")</f>
        <v/>
      </c>
      <c r="R716" s="0" t="str">
        <f aca="false">IFERROR(IF(OR(HLOOKUP($A716,#REF!,16,FALSE())&gt;2,HLOOKUP($A716,#REF!,16,FALSE())&lt;-2),"",#REF!),"")</f>
        <v/>
      </c>
      <c r="S716" s="0" t="str">
        <f aca="false">IFERROR(IF(OR(HLOOKUP($A716,#REF!,17,FALSE())&gt;2,HLOOKUP($A716,#REF!,17,FALSE())&lt;-2),"",#REF!),"")</f>
        <v/>
      </c>
      <c r="T716" s="0" t="str">
        <f aca="false">IFERROR(IF(OR(HLOOKUP($A716,#REF!,18,FALSE())&gt;2,HLOOKUP($A716,#REF!,18,FALSE())&lt;-2),"",#REF!),"")</f>
        <v/>
      </c>
      <c r="U716" s="0" t="str">
        <f aca="false">IFERROR(IF(OR(HLOOKUP($A716,#REF!,19,FALSE())&gt;2,HLOOKUP($A716,#REF!,19,FALSE())&lt;-2),"",#REF!),"")</f>
        <v/>
      </c>
      <c r="V716" s="0" t="n">
        <f aca="false">IFERROR(IF(AND(X716=0,Y716=0),0,1),0)</f>
        <v>1</v>
      </c>
      <c r="W716" s="3" t="str">
        <f aca="false">IFERROR(_xlfn.T.TEST(E716:M716,N716:U716,2,2),"")</f>
        <v/>
      </c>
      <c r="X716" s="0" t="str">
        <f aca="false">IFERROR(AVERAGE(E716:M716),"")</f>
        <v/>
      </c>
      <c r="Y716" s="0" t="str">
        <f aca="false">IFERROR(AVERAGE(N716:U716),"")</f>
        <v/>
      </c>
    </row>
    <row r="717" customFormat="false" ht="14.5" hidden="false" customHeight="false" outlineLevel="0" collapsed="false">
      <c r="A717" s="0" t="n">
        <v>725</v>
      </c>
      <c r="B717" s="0" t="s">
        <v>776</v>
      </c>
      <c r="C717" s="0" t="n">
        <v>64200</v>
      </c>
      <c r="D717" s="0" t="n">
        <v>709</v>
      </c>
      <c r="E717" s="0" t="str">
        <f aca="false">IFERROR(IF(OR(HLOOKUP($A717,#REF!,3,FALSE())&gt;2,HLOOKUP(A717,#REF!,3,FALSE())&lt;-2),"",#REF!),"")</f>
        <v/>
      </c>
      <c r="F717" s="0" t="str">
        <f aca="false">IFERROR(IF(OR(HLOOKUP($A717,#REF!,4,FALSE())&gt;2,HLOOKUP($A717,#REF!,4,FALSE())&lt;-2),"",#REF!),"")</f>
        <v/>
      </c>
      <c r="G717" s="0" t="str">
        <f aca="false">IFERROR(IF(OR(HLOOKUP($A717,#REF!,5,FALSE())&gt;2,HLOOKUP($A717,#REF!,5,FALSE())&lt;-2),"",#REF!),"")</f>
        <v/>
      </c>
      <c r="H717" s="0" t="str">
        <f aca="false">IFERROR(IF(OR(HLOOKUP($A717,#REF!,6,FALSE())&gt;2,HLOOKUP($A717,#REF!,6,FALSE())&lt;-2),"",#REF!),"")</f>
        <v/>
      </c>
      <c r="I717" s="0" t="str">
        <f aca="false">IFERROR(IF(OR(HLOOKUP($A717,#REF!,7,FALSE())&gt;2,HLOOKUP($A717,#REF!,7,FALSE())&lt;-2),"",#REF!),"")</f>
        <v/>
      </c>
      <c r="J717" s="0" t="str">
        <f aca="false">IFERROR(IF(OR(HLOOKUP($A717,#REF!,8,FALSE())&gt;2,HLOOKUP($A717,#REF!,8,FALSE())&lt;-2),"",#REF!),"")</f>
        <v/>
      </c>
      <c r="K717" s="0" t="str">
        <f aca="false">IFERROR(IF(OR(HLOOKUP($A717,#REF!,9,FALSE())&gt;2,HLOOKUP($A717,#REF!,9,FALSE())&lt;-2),"",#REF!),"")</f>
        <v/>
      </c>
      <c r="L717" s="0" t="str">
        <f aca="false">IFERROR(IF(OR(HLOOKUP($A717,#REF!,10,FALSE())&gt;2,HLOOKUP($A717,#REF!,10,FALSE())&lt;-2),"",#REF!),"")</f>
        <v/>
      </c>
      <c r="M717" s="0" t="str">
        <f aca="false">IFERROR(IF(OR(HLOOKUP($A717,#REF!,11,FALSE())&gt;2,HLOOKUP($A717,#REF!,11,FALSE())&lt;-2),"",#REF!),"")</f>
        <v/>
      </c>
      <c r="N717" s="0" t="str">
        <f aca="false">IFERROR(IF(OR(HLOOKUP($A717,#REF!,12,FALSE())&gt;2,HLOOKUP($A717,#REF!,12,FALSE())&lt;-2),"",#REF!),"")</f>
        <v/>
      </c>
      <c r="O717" s="0" t="str">
        <f aca="false">IFERROR(IF(OR(HLOOKUP($A717,#REF!,13,FALSE())&gt;2,HLOOKUP($A717,#REF!,13,FALSE())&lt;-2),"",#REF!),"")</f>
        <v/>
      </c>
      <c r="P717" s="0" t="str">
        <f aca="false">IFERROR(IF(OR(HLOOKUP($A717,#REF!,14,FALSE())&gt;2,HLOOKUP($A717,#REF!,14,FALSE())&lt;-2),"",#REF!),"")</f>
        <v/>
      </c>
      <c r="Q717" s="0" t="str">
        <f aca="false">IFERROR(IF(OR(HLOOKUP($A717,#REF!,15,FALSE())&gt;2,HLOOKUP($A717,#REF!,15,FALSE())&lt;-2),"",#REF!),"")</f>
        <v/>
      </c>
      <c r="R717" s="0" t="str">
        <f aca="false">IFERROR(IF(OR(HLOOKUP($A717,#REF!,16,FALSE())&gt;2,HLOOKUP($A717,#REF!,16,FALSE())&lt;-2),"",#REF!),"")</f>
        <v/>
      </c>
      <c r="S717" s="0" t="str">
        <f aca="false">IFERROR(IF(OR(HLOOKUP($A717,#REF!,17,FALSE())&gt;2,HLOOKUP($A717,#REF!,17,FALSE())&lt;-2),"",#REF!),"")</f>
        <v/>
      </c>
      <c r="T717" s="0" t="str">
        <f aca="false">IFERROR(IF(OR(HLOOKUP($A717,#REF!,18,FALSE())&gt;2,HLOOKUP($A717,#REF!,18,FALSE())&lt;-2),"",#REF!),"")</f>
        <v/>
      </c>
      <c r="U717" s="0" t="str">
        <f aca="false">IFERROR(IF(OR(HLOOKUP($A717,#REF!,19,FALSE())&gt;2,HLOOKUP($A717,#REF!,19,FALSE())&lt;-2),"",#REF!),"")</f>
        <v/>
      </c>
      <c r="V717" s="0" t="n">
        <f aca="false">IFERROR(IF(AND(X717=0,Y717=0),0,1),0)</f>
        <v>1</v>
      </c>
      <c r="W717" s="3" t="str">
        <f aca="false">IFERROR(_xlfn.T.TEST(E717:M717,N717:U717,2,2),"")</f>
        <v/>
      </c>
      <c r="X717" s="0" t="str">
        <f aca="false">IFERROR(AVERAGE(E717:M717),"")</f>
        <v/>
      </c>
      <c r="Y717" s="0" t="str">
        <f aca="false">IFERROR(AVERAGE(N717:U717),"")</f>
        <v/>
      </c>
    </row>
    <row r="718" customFormat="false" ht="14.5" hidden="false" customHeight="false" outlineLevel="0" collapsed="false">
      <c r="A718" s="0" t="n">
        <v>726</v>
      </c>
      <c r="B718" s="0" t="s">
        <v>31</v>
      </c>
      <c r="C718" s="0" t="n">
        <v>39300</v>
      </c>
      <c r="D718" s="0" t="n">
        <v>1080</v>
      </c>
      <c r="E718" s="0" t="str">
        <f aca="false">IFERROR(IF(OR(HLOOKUP($A718,#REF!,3,FALSE())&gt;2,HLOOKUP(A718,#REF!,3,FALSE())&lt;-2),"",#REF!),"")</f>
        <v/>
      </c>
      <c r="F718" s="0" t="str">
        <f aca="false">IFERROR(IF(OR(HLOOKUP($A718,#REF!,4,FALSE())&gt;2,HLOOKUP($A718,#REF!,4,FALSE())&lt;-2),"",#REF!),"")</f>
        <v/>
      </c>
      <c r="G718" s="0" t="str">
        <f aca="false">IFERROR(IF(OR(HLOOKUP($A718,#REF!,5,FALSE())&gt;2,HLOOKUP($A718,#REF!,5,FALSE())&lt;-2),"",#REF!),"")</f>
        <v/>
      </c>
      <c r="H718" s="0" t="str">
        <f aca="false">IFERROR(IF(OR(HLOOKUP($A718,#REF!,6,FALSE())&gt;2,HLOOKUP($A718,#REF!,6,FALSE())&lt;-2),"",#REF!),"")</f>
        <v/>
      </c>
      <c r="I718" s="0" t="str">
        <f aca="false">IFERROR(IF(OR(HLOOKUP($A718,#REF!,7,FALSE())&gt;2,HLOOKUP($A718,#REF!,7,FALSE())&lt;-2),"",#REF!),"")</f>
        <v/>
      </c>
      <c r="J718" s="0" t="str">
        <f aca="false">IFERROR(IF(OR(HLOOKUP($A718,#REF!,8,FALSE())&gt;2,HLOOKUP($A718,#REF!,8,FALSE())&lt;-2),"",#REF!),"")</f>
        <v/>
      </c>
      <c r="K718" s="0" t="str">
        <f aca="false">IFERROR(IF(OR(HLOOKUP($A718,#REF!,9,FALSE())&gt;2,HLOOKUP($A718,#REF!,9,FALSE())&lt;-2),"",#REF!),"")</f>
        <v/>
      </c>
      <c r="L718" s="0" t="str">
        <f aca="false">IFERROR(IF(OR(HLOOKUP($A718,#REF!,10,FALSE())&gt;2,HLOOKUP($A718,#REF!,10,FALSE())&lt;-2),"",#REF!),"")</f>
        <v/>
      </c>
      <c r="M718" s="0" t="str">
        <f aca="false">IFERROR(IF(OR(HLOOKUP($A718,#REF!,11,FALSE())&gt;2,HLOOKUP($A718,#REF!,11,FALSE())&lt;-2),"",#REF!),"")</f>
        <v/>
      </c>
      <c r="N718" s="0" t="str">
        <f aca="false">IFERROR(IF(OR(HLOOKUP($A718,#REF!,12,FALSE())&gt;2,HLOOKUP($A718,#REF!,12,FALSE())&lt;-2),"",#REF!),"")</f>
        <v/>
      </c>
      <c r="O718" s="0" t="str">
        <f aca="false">IFERROR(IF(OR(HLOOKUP($A718,#REF!,13,FALSE())&gt;2,HLOOKUP($A718,#REF!,13,FALSE())&lt;-2),"",#REF!),"")</f>
        <v/>
      </c>
      <c r="P718" s="0" t="str">
        <f aca="false">IFERROR(IF(OR(HLOOKUP($A718,#REF!,14,FALSE())&gt;2,HLOOKUP($A718,#REF!,14,FALSE())&lt;-2),"",#REF!),"")</f>
        <v/>
      </c>
      <c r="Q718" s="0" t="str">
        <f aca="false">IFERROR(IF(OR(HLOOKUP($A718,#REF!,15,FALSE())&gt;2,HLOOKUP($A718,#REF!,15,FALSE())&lt;-2),"",#REF!),"")</f>
        <v/>
      </c>
      <c r="R718" s="0" t="str">
        <f aca="false">IFERROR(IF(OR(HLOOKUP($A718,#REF!,16,FALSE())&gt;2,HLOOKUP($A718,#REF!,16,FALSE())&lt;-2),"",#REF!),"")</f>
        <v/>
      </c>
      <c r="S718" s="0" t="str">
        <f aca="false">IFERROR(IF(OR(HLOOKUP($A718,#REF!,17,FALSE())&gt;2,HLOOKUP($A718,#REF!,17,FALSE())&lt;-2),"",#REF!),"")</f>
        <v/>
      </c>
      <c r="T718" s="0" t="str">
        <f aca="false">IFERROR(IF(OR(HLOOKUP($A718,#REF!,18,FALSE())&gt;2,HLOOKUP($A718,#REF!,18,FALSE())&lt;-2),"",#REF!),"")</f>
        <v/>
      </c>
      <c r="U718" s="0" t="str">
        <f aca="false">IFERROR(IF(OR(HLOOKUP($A718,#REF!,19,FALSE())&gt;2,HLOOKUP($A718,#REF!,19,FALSE())&lt;-2),"",#REF!),"")</f>
        <v/>
      </c>
      <c r="V718" s="0" t="n">
        <f aca="false">IFERROR(IF(AND(X718=0,Y718=0),0,1),0)</f>
        <v>1</v>
      </c>
      <c r="W718" s="3" t="str">
        <f aca="false">IFERROR(_xlfn.T.TEST(E718:M718,N718:U718,2,2),"")</f>
        <v/>
      </c>
      <c r="X718" s="0" t="str">
        <f aca="false">IFERROR(AVERAGE(E718:M718),"")</f>
        <v/>
      </c>
      <c r="Y718" s="0" t="str">
        <f aca="false">IFERROR(AVERAGE(N718:U718),"")</f>
        <v/>
      </c>
    </row>
    <row r="719" customFormat="false" ht="14.5" hidden="false" customHeight="false" outlineLevel="0" collapsed="false">
      <c r="A719" s="0" t="n">
        <v>727</v>
      </c>
      <c r="B719" s="0" t="s">
        <v>777</v>
      </c>
      <c r="C719" s="0" t="n">
        <v>43400</v>
      </c>
      <c r="D719" s="0" t="n">
        <v>926</v>
      </c>
      <c r="E719" s="0" t="str">
        <f aca="false">IFERROR(IF(OR(HLOOKUP($A719,#REF!,3,FALSE())&gt;2,HLOOKUP(A719,#REF!,3,FALSE())&lt;-2),"",#REF!),"")</f>
        <v/>
      </c>
      <c r="F719" s="0" t="str">
        <f aca="false">IFERROR(IF(OR(HLOOKUP($A719,#REF!,4,FALSE())&gt;2,HLOOKUP($A719,#REF!,4,FALSE())&lt;-2),"",#REF!),"")</f>
        <v/>
      </c>
      <c r="G719" s="0" t="str">
        <f aca="false">IFERROR(IF(OR(HLOOKUP($A719,#REF!,5,FALSE())&gt;2,HLOOKUP($A719,#REF!,5,FALSE())&lt;-2),"",#REF!),"")</f>
        <v/>
      </c>
      <c r="H719" s="0" t="str">
        <f aca="false">IFERROR(IF(OR(HLOOKUP($A719,#REF!,6,FALSE())&gt;2,HLOOKUP($A719,#REF!,6,FALSE())&lt;-2),"",#REF!),"")</f>
        <v/>
      </c>
      <c r="I719" s="0" t="str">
        <f aca="false">IFERROR(IF(OR(HLOOKUP($A719,#REF!,7,FALSE())&gt;2,HLOOKUP($A719,#REF!,7,FALSE())&lt;-2),"",#REF!),"")</f>
        <v/>
      </c>
      <c r="J719" s="0" t="str">
        <f aca="false">IFERROR(IF(OR(HLOOKUP($A719,#REF!,8,FALSE())&gt;2,HLOOKUP($A719,#REF!,8,FALSE())&lt;-2),"",#REF!),"")</f>
        <v/>
      </c>
      <c r="K719" s="0" t="str">
        <f aca="false">IFERROR(IF(OR(HLOOKUP($A719,#REF!,9,FALSE())&gt;2,HLOOKUP($A719,#REF!,9,FALSE())&lt;-2),"",#REF!),"")</f>
        <v/>
      </c>
      <c r="L719" s="0" t="str">
        <f aca="false">IFERROR(IF(OR(HLOOKUP($A719,#REF!,10,FALSE())&gt;2,HLOOKUP($A719,#REF!,10,FALSE())&lt;-2),"",#REF!),"")</f>
        <v/>
      </c>
      <c r="M719" s="0" t="str">
        <f aca="false">IFERROR(IF(OR(HLOOKUP($A719,#REF!,11,FALSE())&gt;2,HLOOKUP($A719,#REF!,11,FALSE())&lt;-2),"",#REF!),"")</f>
        <v/>
      </c>
      <c r="N719" s="0" t="str">
        <f aca="false">IFERROR(IF(OR(HLOOKUP($A719,#REF!,12,FALSE())&gt;2,HLOOKUP($A719,#REF!,12,FALSE())&lt;-2),"",#REF!),"")</f>
        <v/>
      </c>
      <c r="O719" s="0" t="str">
        <f aca="false">IFERROR(IF(OR(HLOOKUP($A719,#REF!,13,FALSE())&gt;2,HLOOKUP($A719,#REF!,13,FALSE())&lt;-2),"",#REF!),"")</f>
        <v/>
      </c>
      <c r="P719" s="0" t="str">
        <f aca="false">IFERROR(IF(OR(HLOOKUP($A719,#REF!,14,FALSE())&gt;2,HLOOKUP($A719,#REF!,14,FALSE())&lt;-2),"",#REF!),"")</f>
        <v/>
      </c>
      <c r="Q719" s="0" t="str">
        <f aca="false">IFERROR(IF(OR(HLOOKUP($A719,#REF!,15,FALSE())&gt;2,HLOOKUP($A719,#REF!,15,FALSE())&lt;-2),"",#REF!),"")</f>
        <v/>
      </c>
      <c r="R719" s="0" t="str">
        <f aca="false">IFERROR(IF(OR(HLOOKUP($A719,#REF!,16,FALSE())&gt;2,HLOOKUP($A719,#REF!,16,FALSE())&lt;-2),"",#REF!),"")</f>
        <v/>
      </c>
      <c r="S719" s="0" t="str">
        <f aca="false">IFERROR(IF(OR(HLOOKUP($A719,#REF!,17,FALSE())&gt;2,HLOOKUP($A719,#REF!,17,FALSE())&lt;-2),"",#REF!),"")</f>
        <v/>
      </c>
      <c r="T719" s="0" t="str">
        <f aca="false">IFERROR(IF(OR(HLOOKUP($A719,#REF!,18,FALSE())&gt;2,HLOOKUP($A719,#REF!,18,FALSE())&lt;-2),"",#REF!),"")</f>
        <v/>
      </c>
      <c r="U719" s="0" t="str">
        <f aca="false">IFERROR(IF(OR(HLOOKUP($A719,#REF!,19,FALSE())&gt;2,HLOOKUP($A719,#REF!,19,FALSE())&lt;-2),"",#REF!),"")</f>
        <v/>
      </c>
      <c r="V719" s="0" t="n">
        <f aca="false">IFERROR(IF(AND(X719=0,Y719=0),0,1),0)</f>
        <v>1</v>
      </c>
      <c r="W719" s="3" t="str">
        <f aca="false">IFERROR(_xlfn.T.TEST(E719:M719,N719:U719,2,2),"")</f>
        <v/>
      </c>
      <c r="X719" s="0" t="str">
        <f aca="false">IFERROR(AVERAGE(E719:M719),"")</f>
        <v/>
      </c>
      <c r="Y719" s="0" t="str">
        <f aca="false">IFERROR(AVERAGE(N719:U719),"")</f>
        <v/>
      </c>
    </row>
    <row r="720" customFormat="false" ht="14.5" hidden="false" customHeight="false" outlineLevel="0" collapsed="false">
      <c r="A720" s="0" t="n">
        <v>728</v>
      </c>
      <c r="B720" s="0" t="s">
        <v>778</v>
      </c>
      <c r="C720" s="0" t="n">
        <v>105900</v>
      </c>
      <c r="D720" s="0" t="n">
        <v>960</v>
      </c>
      <c r="E720" s="0" t="str">
        <f aca="false">IFERROR(IF(OR(HLOOKUP($A720,#REF!,3,FALSE())&gt;2,HLOOKUP(A720,#REF!,3,FALSE())&lt;-2),"",#REF!),"")</f>
        <v/>
      </c>
      <c r="F720" s="0" t="str">
        <f aca="false">IFERROR(IF(OR(HLOOKUP($A720,#REF!,4,FALSE())&gt;2,HLOOKUP($A720,#REF!,4,FALSE())&lt;-2),"",#REF!),"")</f>
        <v/>
      </c>
      <c r="G720" s="0" t="str">
        <f aca="false">IFERROR(IF(OR(HLOOKUP($A720,#REF!,5,FALSE())&gt;2,HLOOKUP($A720,#REF!,5,FALSE())&lt;-2),"",#REF!),"")</f>
        <v/>
      </c>
      <c r="H720" s="0" t="str">
        <f aca="false">IFERROR(IF(OR(HLOOKUP($A720,#REF!,6,FALSE())&gt;2,HLOOKUP($A720,#REF!,6,FALSE())&lt;-2),"",#REF!),"")</f>
        <v/>
      </c>
      <c r="I720" s="0" t="str">
        <f aca="false">IFERROR(IF(OR(HLOOKUP($A720,#REF!,7,FALSE())&gt;2,HLOOKUP($A720,#REF!,7,FALSE())&lt;-2),"",#REF!),"")</f>
        <v/>
      </c>
      <c r="J720" s="0" t="str">
        <f aca="false">IFERROR(IF(OR(HLOOKUP($A720,#REF!,8,FALSE())&gt;2,HLOOKUP($A720,#REF!,8,FALSE())&lt;-2),"",#REF!),"")</f>
        <v/>
      </c>
      <c r="K720" s="0" t="str">
        <f aca="false">IFERROR(IF(OR(HLOOKUP($A720,#REF!,9,FALSE())&gt;2,HLOOKUP($A720,#REF!,9,FALSE())&lt;-2),"",#REF!),"")</f>
        <v/>
      </c>
      <c r="L720" s="0" t="str">
        <f aca="false">IFERROR(IF(OR(HLOOKUP($A720,#REF!,10,FALSE())&gt;2,HLOOKUP($A720,#REF!,10,FALSE())&lt;-2),"",#REF!),"")</f>
        <v/>
      </c>
      <c r="M720" s="0" t="str">
        <f aca="false">IFERROR(IF(OR(HLOOKUP($A720,#REF!,11,FALSE())&gt;2,HLOOKUP($A720,#REF!,11,FALSE())&lt;-2),"",#REF!),"")</f>
        <v/>
      </c>
      <c r="N720" s="0" t="str">
        <f aca="false">IFERROR(IF(OR(HLOOKUP($A720,#REF!,12,FALSE())&gt;2,HLOOKUP($A720,#REF!,12,FALSE())&lt;-2),"",#REF!),"")</f>
        <v/>
      </c>
      <c r="O720" s="0" t="str">
        <f aca="false">IFERROR(IF(OR(HLOOKUP($A720,#REF!,13,FALSE())&gt;2,HLOOKUP($A720,#REF!,13,FALSE())&lt;-2),"",#REF!),"")</f>
        <v/>
      </c>
      <c r="P720" s="0" t="str">
        <f aca="false">IFERROR(IF(OR(HLOOKUP($A720,#REF!,14,FALSE())&gt;2,HLOOKUP($A720,#REF!,14,FALSE())&lt;-2),"",#REF!),"")</f>
        <v/>
      </c>
      <c r="Q720" s="0" t="str">
        <f aca="false">IFERROR(IF(OR(HLOOKUP($A720,#REF!,15,FALSE())&gt;2,HLOOKUP($A720,#REF!,15,FALSE())&lt;-2),"",#REF!),"")</f>
        <v/>
      </c>
      <c r="R720" s="0" t="str">
        <f aca="false">IFERROR(IF(OR(HLOOKUP($A720,#REF!,16,FALSE())&gt;2,HLOOKUP($A720,#REF!,16,FALSE())&lt;-2),"",#REF!),"")</f>
        <v/>
      </c>
      <c r="S720" s="0" t="str">
        <f aca="false">IFERROR(IF(OR(HLOOKUP($A720,#REF!,17,FALSE())&gt;2,HLOOKUP($A720,#REF!,17,FALSE())&lt;-2),"",#REF!),"")</f>
        <v/>
      </c>
      <c r="T720" s="0" t="str">
        <f aca="false">IFERROR(IF(OR(HLOOKUP($A720,#REF!,18,FALSE())&gt;2,HLOOKUP($A720,#REF!,18,FALSE())&lt;-2),"",#REF!),"")</f>
        <v/>
      </c>
      <c r="U720" s="0" t="str">
        <f aca="false">IFERROR(IF(OR(HLOOKUP($A720,#REF!,19,FALSE())&gt;2,HLOOKUP($A720,#REF!,19,FALSE())&lt;-2),"",#REF!),"")</f>
        <v/>
      </c>
      <c r="V720" s="0" t="n">
        <f aca="false">IFERROR(IF(AND(X720=0,Y720=0),0,1),0)</f>
        <v>1</v>
      </c>
      <c r="W720" s="3" t="str">
        <f aca="false">IFERROR(_xlfn.T.TEST(E720:M720,N720:U720,2,2),"")</f>
        <v/>
      </c>
      <c r="X720" s="0" t="str">
        <f aca="false">IFERROR(AVERAGE(E720:M720),"")</f>
        <v/>
      </c>
      <c r="Y720" s="0" t="str">
        <f aca="false">IFERROR(AVERAGE(N720:U720),"")</f>
        <v/>
      </c>
    </row>
    <row r="721" customFormat="false" ht="14.5" hidden="false" customHeight="false" outlineLevel="0" collapsed="false">
      <c r="A721" s="0" t="n">
        <v>729</v>
      </c>
      <c r="B721" s="0" t="s">
        <v>779</v>
      </c>
      <c r="C721" s="0" t="n">
        <v>28500</v>
      </c>
      <c r="D721" s="0" t="n">
        <v>541</v>
      </c>
      <c r="E721" s="0" t="str">
        <f aca="false">IFERROR(IF(OR(HLOOKUP($A721,#REF!,3,FALSE())&gt;2,HLOOKUP(A721,#REF!,3,FALSE())&lt;-2),"",#REF!),"")</f>
        <v/>
      </c>
      <c r="F721" s="0" t="str">
        <f aca="false">IFERROR(IF(OR(HLOOKUP($A721,#REF!,4,FALSE())&gt;2,HLOOKUP($A721,#REF!,4,FALSE())&lt;-2),"",#REF!),"")</f>
        <v/>
      </c>
      <c r="G721" s="0" t="str">
        <f aca="false">IFERROR(IF(OR(HLOOKUP($A721,#REF!,5,FALSE())&gt;2,HLOOKUP($A721,#REF!,5,FALSE())&lt;-2),"",#REF!),"")</f>
        <v/>
      </c>
      <c r="H721" s="0" t="str">
        <f aca="false">IFERROR(IF(OR(HLOOKUP($A721,#REF!,6,FALSE())&gt;2,HLOOKUP($A721,#REF!,6,FALSE())&lt;-2),"",#REF!),"")</f>
        <v/>
      </c>
      <c r="I721" s="0" t="str">
        <f aca="false">IFERROR(IF(OR(HLOOKUP($A721,#REF!,7,FALSE())&gt;2,HLOOKUP($A721,#REF!,7,FALSE())&lt;-2),"",#REF!),"")</f>
        <v/>
      </c>
      <c r="J721" s="0" t="str">
        <f aca="false">IFERROR(IF(OR(HLOOKUP($A721,#REF!,8,FALSE())&gt;2,HLOOKUP($A721,#REF!,8,FALSE())&lt;-2),"",#REF!),"")</f>
        <v/>
      </c>
      <c r="K721" s="0" t="str">
        <f aca="false">IFERROR(IF(OR(HLOOKUP($A721,#REF!,9,FALSE())&gt;2,HLOOKUP($A721,#REF!,9,FALSE())&lt;-2),"",#REF!),"")</f>
        <v/>
      </c>
      <c r="L721" s="0" t="str">
        <f aca="false">IFERROR(IF(OR(HLOOKUP($A721,#REF!,10,FALSE())&gt;2,HLOOKUP($A721,#REF!,10,FALSE())&lt;-2),"",#REF!),"")</f>
        <v/>
      </c>
      <c r="M721" s="0" t="str">
        <f aca="false">IFERROR(IF(OR(HLOOKUP($A721,#REF!,11,FALSE())&gt;2,HLOOKUP($A721,#REF!,11,FALSE())&lt;-2),"",#REF!),"")</f>
        <v/>
      </c>
      <c r="N721" s="0" t="str">
        <f aca="false">IFERROR(IF(OR(HLOOKUP($A721,#REF!,12,FALSE())&gt;2,HLOOKUP($A721,#REF!,12,FALSE())&lt;-2),"",#REF!),"")</f>
        <v/>
      </c>
      <c r="O721" s="0" t="str">
        <f aca="false">IFERROR(IF(OR(HLOOKUP($A721,#REF!,13,FALSE())&gt;2,HLOOKUP($A721,#REF!,13,FALSE())&lt;-2),"",#REF!),"")</f>
        <v/>
      </c>
      <c r="P721" s="0" t="str">
        <f aca="false">IFERROR(IF(OR(HLOOKUP($A721,#REF!,14,FALSE())&gt;2,HLOOKUP($A721,#REF!,14,FALSE())&lt;-2),"",#REF!),"")</f>
        <v/>
      </c>
      <c r="Q721" s="0" t="str">
        <f aca="false">IFERROR(IF(OR(HLOOKUP($A721,#REF!,15,FALSE())&gt;2,HLOOKUP($A721,#REF!,15,FALSE())&lt;-2),"",#REF!),"")</f>
        <v/>
      </c>
      <c r="R721" s="0" t="str">
        <f aca="false">IFERROR(IF(OR(HLOOKUP($A721,#REF!,16,FALSE())&gt;2,HLOOKUP($A721,#REF!,16,FALSE())&lt;-2),"",#REF!),"")</f>
        <v/>
      </c>
      <c r="S721" s="0" t="str">
        <f aca="false">IFERROR(IF(OR(HLOOKUP($A721,#REF!,17,FALSE())&gt;2,HLOOKUP($A721,#REF!,17,FALSE())&lt;-2),"",#REF!),"")</f>
        <v/>
      </c>
      <c r="T721" s="0" t="str">
        <f aca="false">IFERROR(IF(OR(HLOOKUP($A721,#REF!,18,FALSE())&gt;2,HLOOKUP($A721,#REF!,18,FALSE())&lt;-2),"",#REF!),"")</f>
        <v/>
      </c>
      <c r="U721" s="0" t="str">
        <f aca="false">IFERROR(IF(OR(HLOOKUP($A721,#REF!,19,FALSE())&gt;2,HLOOKUP($A721,#REF!,19,FALSE())&lt;-2),"",#REF!),"")</f>
        <v/>
      </c>
      <c r="V721" s="0" t="n">
        <f aca="false">IFERROR(IF(AND(X721=0,Y721=0),0,1),0)</f>
        <v>1</v>
      </c>
      <c r="W721" s="3" t="str">
        <f aca="false">IFERROR(_xlfn.T.TEST(E721:M721,N721:U721,2,2),"")</f>
        <v/>
      </c>
      <c r="X721" s="0" t="str">
        <f aca="false">IFERROR(AVERAGE(E721:M721),"")</f>
        <v/>
      </c>
      <c r="Y721" s="0" t="str">
        <f aca="false">IFERROR(AVERAGE(N721:U721),"")</f>
        <v/>
      </c>
    </row>
    <row r="722" customFormat="false" ht="14.5" hidden="false" customHeight="false" outlineLevel="0" collapsed="false">
      <c r="A722" s="0" t="n">
        <v>730</v>
      </c>
      <c r="B722" s="0" t="s">
        <v>780</v>
      </c>
      <c r="C722" s="0" t="n">
        <v>115400</v>
      </c>
      <c r="D722" s="0" t="n">
        <v>1083</v>
      </c>
      <c r="E722" s="0" t="str">
        <f aca="false">IFERROR(IF(OR(HLOOKUP($A722,#REF!,3,FALSE())&gt;2,HLOOKUP(A722,#REF!,3,FALSE())&lt;-2),"",#REF!),"")</f>
        <v/>
      </c>
      <c r="F722" s="0" t="str">
        <f aca="false">IFERROR(IF(OR(HLOOKUP($A722,#REF!,4,FALSE())&gt;2,HLOOKUP($A722,#REF!,4,FALSE())&lt;-2),"",#REF!),"")</f>
        <v/>
      </c>
      <c r="G722" s="0" t="str">
        <f aca="false">IFERROR(IF(OR(HLOOKUP($A722,#REF!,5,FALSE())&gt;2,HLOOKUP($A722,#REF!,5,FALSE())&lt;-2),"",#REF!),"")</f>
        <v/>
      </c>
      <c r="H722" s="0" t="str">
        <f aca="false">IFERROR(IF(OR(HLOOKUP($A722,#REF!,6,FALSE())&gt;2,HLOOKUP($A722,#REF!,6,FALSE())&lt;-2),"",#REF!),"")</f>
        <v/>
      </c>
      <c r="I722" s="0" t="str">
        <f aca="false">IFERROR(IF(OR(HLOOKUP($A722,#REF!,7,FALSE())&gt;2,HLOOKUP($A722,#REF!,7,FALSE())&lt;-2),"",#REF!),"")</f>
        <v/>
      </c>
      <c r="J722" s="0" t="str">
        <f aca="false">IFERROR(IF(OR(HLOOKUP($A722,#REF!,8,FALSE())&gt;2,HLOOKUP($A722,#REF!,8,FALSE())&lt;-2),"",#REF!),"")</f>
        <v/>
      </c>
      <c r="K722" s="0" t="str">
        <f aca="false">IFERROR(IF(OR(HLOOKUP($A722,#REF!,9,FALSE())&gt;2,HLOOKUP($A722,#REF!,9,FALSE())&lt;-2),"",#REF!),"")</f>
        <v/>
      </c>
      <c r="L722" s="0" t="str">
        <f aca="false">IFERROR(IF(OR(HLOOKUP($A722,#REF!,10,FALSE())&gt;2,HLOOKUP($A722,#REF!,10,FALSE())&lt;-2),"",#REF!),"")</f>
        <v/>
      </c>
      <c r="M722" s="0" t="str">
        <f aca="false">IFERROR(IF(OR(HLOOKUP($A722,#REF!,11,FALSE())&gt;2,HLOOKUP($A722,#REF!,11,FALSE())&lt;-2),"",#REF!),"")</f>
        <v/>
      </c>
      <c r="N722" s="0" t="str">
        <f aca="false">IFERROR(IF(OR(HLOOKUP($A722,#REF!,12,FALSE())&gt;2,HLOOKUP($A722,#REF!,12,FALSE())&lt;-2),"",#REF!),"")</f>
        <v/>
      </c>
      <c r="O722" s="0" t="str">
        <f aca="false">IFERROR(IF(OR(HLOOKUP($A722,#REF!,13,FALSE())&gt;2,HLOOKUP($A722,#REF!,13,FALSE())&lt;-2),"",#REF!),"")</f>
        <v/>
      </c>
      <c r="P722" s="0" t="str">
        <f aca="false">IFERROR(IF(OR(HLOOKUP($A722,#REF!,14,FALSE())&gt;2,HLOOKUP($A722,#REF!,14,FALSE())&lt;-2),"",#REF!),"")</f>
        <v/>
      </c>
      <c r="Q722" s="0" t="str">
        <f aca="false">IFERROR(IF(OR(HLOOKUP($A722,#REF!,15,FALSE())&gt;2,HLOOKUP($A722,#REF!,15,FALSE())&lt;-2),"",#REF!),"")</f>
        <v/>
      </c>
      <c r="R722" s="0" t="str">
        <f aca="false">IFERROR(IF(OR(HLOOKUP($A722,#REF!,16,FALSE())&gt;2,HLOOKUP($A722,#REF!,16,FALSE())&lt;-2),"",#REF!),"")</f>
        <v/>
      </c>
      <c r="S722" s="0" t="str">
        <f aca="false">IFERROR(IF(OR(HLOOKUP($A722,#REF!,17,FALSE())&gt;2,HLOOKUP($A722,#REF!,17,FALSE())&lt;-2),"",#REF!),"")</f>
        <v/>
      </c>
      <c r="T722" s="0" t="str">
        <f aca="false">IFERROR(IF(OR(HLOOKUP($A722,#REF!,18,FALSE())&gt;2,HLOOKUP($A722,#REF!,18,FALSE())&lt;-2),"",#REF!),"")</f>
        <v/>
      </c>
      <c r="U722" s="0" t="str">
        <f aca="false">IFERROR(IF(OR(HLOOKUP($A722,#REF!,19,FALSE())&gt;2,HLOOKUP($A722,#REF!,19,FALSE())&lt;-2),"",#REF!),"")</f>
        <v/>
      </c>
      <c r="V722" s="0" t="n">
        <f aca="false">IFERROR(IF(AND(X722=0,Y722=0),0,1),0)</f>
        <v>1</v>
      </c>
      <c r="W722" s="3" t="str">
        <f aca="false">IFERROR(_xlfn.T.TEST(E722:M722,N722:U722,2,2),"")</f>
        <v/>
      </c>
      <c r="X722" s="0" t="str">
        <f aca="false">IFERROR(AVERAGE(E722:M722),"")</f>
        <v/>
      </c>
      <c r="Y722" s="0" t="str">
        <f aca="false">IFERROR(AVERAGE(N722:U722),"")</f>
        <v/>
      </c>
    </row>
    <row r="723" customFormat="false" ht="14.5" hidden="false" customHeight="false" outlineLevel="0" collapsed="false">
      <c r="A723" s="0" t="n">
        <v>731</v>
      </c>
      <c r="B723" s="0" t="s">
        <v>781</v>
      </c>
      <c r="C723" s="0" t="n">
        <v>22000</v>
      </c>
      <c r="D723" s="0" t="n">
        <v>714</v>
      </c>
      <c r="E723" s="0" t="str">
        <f aca="false">IFERROR(IF(OR(HLOOKUP($A723,#REF!,3,FALSE())&gt;2,HLOOKUP(A723,#REF!,3,FALSE())&lt;-2),"",#REF!),"")</f>
        <v/>
      </c>
      <c r="F723" s="0" t="str">
        <f aca="false">IFERROR(IF(OR(HLOOKUP($A723,#REF!,4,FALSE())&gt;2,HLOOKUP($A723,#REF!,4,FALSE())&lt;-2),"",#REF!),"")</f>
        <v/>
      </c>
      <c r="G723" s="0" t="str">
        <f aca="false">IFERROR(IF(OR(HLOOKUP($A723,#REF!,5,FALSE())&gt;2,HLOOKUP($A723,#REF!,5,FALSE())&lt;-2),"",#REF!),"")</f>
        <v/>
      </c>
      <c r="H723" s="0" t="str">
        <f aca="false">IFERROR(IF(OR(HLOOKUP($A723,#REF!,6,FALSE())&gt;2,HLOOKUP($A723,#REF!,6,FALSE())&lt;-2),"",#REF!),"")</f>
        <v/>
      </c>
      <c r="I723" s="0" t="str">
        <f aca="false">IFERROR(IF(OR(HLOOKUP($A723,#REF!,7,FALSE())&gt;2,HLOOKUP($A723,#REF!,7,FALSE())&lt;-2),"",#REF!),"")</f>
        <v/>
      </c>
      <c r="J723" s="0" t="str">
        <f aca="false">IFERROR(IF(OR(HLOOKUP($A723,#REF!,8,FALSE())&gt;2,HLOOKUP($A723,#REF!,8,FALSE())&lt;-2),"",#REF!),"")</f>
        <v/>
      </c>
      <c r="K723" s="0" t="str">
        <f aca="false">IFERROR(IF(OR(HLOOKUP($A723,#REF!,9,FALSE())&gt;2,HLOOKUP($A723,#REF!,9,FALSE())&lt;-2),"",#REF!),"")</f>
        <v/>
      </c>
      <c r="L723" s="0" t="str">
        <f aca="false">IFERROR(IF(OR(HLOOKUP($A723,#REF!,10,FALSE())&gt;2,HLOOKUP($A723,#REF!,10,FALSE())&lt;-2),"",#REF!),"")</f>
        <v/>
      </c>
      <c r="M723" s="0" t="str">
        <f aca="false">IFERROR(IF(OR(HLOOKUP($A723,#REF!,11,FALSE())&gt;2,HLOOKUP($A723,#REF!,11,FALSE())&lt;-2),"",#REF!),"")</f>
        <v/>
      </c>
      <c r="N723" s="0" t="str">
        <f aca="false">IFERROR(IF(OR(HLOOKUP($A723,#REF!,12,FALSE())&gt;2,HLOOKUP($A723,#REF!,12,FALSE())&lt;-2),"",#REF!),"")</f>
        <v/>
      </c>
      <c r="O723" s="0" t="str">
        <f aca="false">IFERROR(IF(OR(HLOOKUP($A723,#REF!,13,FALSE())&gt;2,HLOOKUP($A723,#REF!,13,FALSE())&lt;-2),"",#REF!),"")</f>
        <v/>
      </c>
      <c r="P723" s="0" t="str">
        <f aca="false">IFERROR(IF(OR(HLOOKUP($A723,#REF!,14,FALSE())&gt;2,HLOOKUP($A723,#REF!,14,FALSE())&lt;-2),"",#REF!),"")</f>
        <v/>
      </c>
      <c r="Q723" s="0" t="str">
        <f aca="false">IFERROR(IF(OR(HLOOKUP($A723,#REF!,15,FALSE())&gt;2,HLOOKUP($A723,#REF!,15,FALSE())&lt;-2),"",#REF!),"")</f>
        <v/>
      </c>
      <c r="R723" s="0" t="str">
        <f aca="false">IFERROR(IF(OR(HLOOKUP($A723,#REF!,16,FALSE())&gt;2,HLOOKUP($A723,#REF!,16,FALSE())&lt;-2),"",#REF!),"")</f>
        <v/>
      </c>
      <c r="S723" s="0" t="str">
        <f aca="false">IFERROR(IF(OR(HLOOKUP($A723,#REF!,17,FALSE())&gt;2,HLOOKUP($A723,#REF!,17,FALSE())&lt;-2),"",#REF!),"")</f>
        <v/>
      </c>
      <c r="T723" s="0" t="str">
        <f aca="false">IFERROR(IF(OR(HLOOKUP($A723,#REF!,18,FALSE())&gt;2,HLOOKUP($A723,#REF!,18,FALSE())&lt;-2),"",#REF!),"")</f>
        <v/>
      </c>
      <c r="U723" s="0" t="str">
        <f aca="false">IFERROR(IF(OR(HLOOKUP($A723,#REF!,19,FALSE())&gt;2,HLOOKUP($A723,#REF!,19,FALSE())&lt;-2),"",#REF!),"")</f>
        <v/>
      </c>
      <c r="V723" s="0" t="n">
        <f aca="false">IFERROR(IF(AND(X723=0,Y723=0),0,1),0)</f>
        <v>1</v>
      </c>
      <c r="W723" s="3" t="str">
        <f aca="false">IFERROR(_xlfn.T.TEST(E723:M723,N723:U723,2,2),"")</f>
        <v/>
      </c>
      <c r="X723" s="0" t="str">
        <f aca="false">IFERROR(AVERAGE(E723:M723),"")</f>
        <v/>
      </c>
      <c r="Y723" s="0" t="str">
        <f aca="false">IFERROR(AVERAGE(N723:U723),"")</f>
        <v/>
      </c>
    </row>
    <row r="724" customFormat="false" ht="14.5" hidden="false" customHeight="false" outlineLevel="0" collapsed="false">
      <c r="A724" s="0" t="n">
        <v>732</v>
      </c>
      <c r="B724" s="0" t="s">
        <v>782</v>
      </c>
      <c r="C724" s="0" t="n">
        <v>74900</v>
      </c>
      <c r="D724" s="0" t="n">
        <v>491</v>
      </c>
      <c r="E724" s="0" t="str">
        <f aca="false">IFERROR(IF(OR(HLOOKUP($A724,#REF!,3,FALSE())&gt;2,HLOOKUP(A724,#REF!,3,FALSE())&lt;-2),"",#REF!),"")</f>
        <v/>
      </c>
      <c r="F724" s="0" t="str">
        <f aca="false">IFERROR(IF(OR(HLOOKUP($A724,#REF!,4,FALSE())&gt;2,HLOOKUP($A724,#REF!,4,FALSE())&lt;-2),"",#REF!),"")</f>
        <v/>
      </c>
      <c r="G724" s="0" t="str">
        <f aca="false">IFERROR(IF(OR(HLOOKUP($A724,#REF!,5,FALSE())&gt;2,HLOOKUP($A724,#REF!,5,FALSE())&lt;-2),"",#REF!),"")</f>
        <v/>
      </c>
      <c r="H724" s="0" t="str">
        <f aca="false">IFERROR(IF(OR(HLOOKUP($A724,#REF!,6,FALSE())&gt;2,HLOOKUP($A724,#REF!,6,FALSE())&lt;-2),"",#REF!),"")</f>
        <v/>
      </c>
      <c r="I724" s="0" t="str">
        <f aca="false">IFERROR(IF(OR(HLOOKUP($A724,#REF!,7,FALSE())&gt;2,HLOOKUP($A724,#REF!,7,FALSE())&lt;-2),"",#REF!),"")</f>
        <v/>
      </c>
      <c r="J724" s="0" t="str">
        <f aca="false">IFERROR(IF(OR(HLOOKUP($A724,#REF!,8,FALSE())&gt;2,HLOOKUP($A724,#REF!,8,FALSE())&lt;-2),"",#REF!),"")</f>
        <v/>
      </c>
      <c r="K724" s="0" t="str">
        <f aca="false">IFERROR(IF(OR(HLOOKUP($A724,#REF!,9,FALSE())&gt;2,HLOOKUP($A724,#REF!,9,FALSE())&lt;-2),"",#REF!),"")</f>
        <v/>
      </c>
      <c r="L724" s="0" t="str">
        <f aca="false">IFERROR(IF(OR(HLOOKUP($A724,#REF!,10,FALSE())&gt;2,HLOOKUP($A724,#REF!,10,FALSE())&lt;-2),"",#REF!),"")</f>
        <v/>
      </c>
      <c r="M724" s="0" t="str">
        <f aca="false">IFERROR(IF(OR(HLOOKUP($A724,#REF!,11,FALSE())&gt;2,HLOOKUP($A724,#REF!,11,FALSE())&lt;-2),"",#REF!),"")</f>
        <v/>
      </c>
      <c r="N724" s="0" t="str">
        <f aca="false">IFERROR(IF(OR(HLOOKUP($A724,#REF!,12,FALSE())&gt;2,HLOOKUP($A724,#REF!,12,FALSE())&lt;-2),"",#REF!),"")</f>
        <v/>
      </c>
      <c r="O724" s="0" t="str">
        <f aca="false">IFERROR(IF(OR(HLOOKUP($A724,#REF!,13,FALSE())&gt;2,HLOOKUP($A724,#REF!,13,FALSE())&lt;-2),"",#REF!),"")</f>
        <v/>
      </c>
      <c r="P724" s="0" t="str">
        <f aca="false">IFERROR(IF(OR(HLOOKUP($A724,#REF!,14,FALSE())&gt;2,HLOOKUP($A724,#REF!,14,FALSE())&lt;-2),"",#REF!),"")</f>
        <v/>
      </c>
      <c r="Q724" s="0" t="str">
        <f aca="false">IFERROR(IF(OR(HLOOKUP($A724,#REF!,15,FALSE())&gt;2,HLOOKUP($A724,#REF!,15,FALSE())&lt;-2),"",#REF!),"")</f>
        <v/>
      </c>
      <c r="R724" s="0" t="str">
        <f aca="false">IFERROR(IF(OR(HLOOKUP($A724,#REF!,16,FALSE())&gt;2,HLOOKUP($A724,#REF!,16,FALSE())&lt;-2),"",#REF!),"")</f>
        <v/>
      </c>
      <c r="S724" s="0" t="str">
        <f aca="false">IFERROR(IF(OR(HLOOKUP($A724,#REF!,17,FALSE())&gt;2,HLOOKUP($A724,#REF!,17,FALSE())&lt;-2),"",#REF!),"")</f>
        <v/>
      </c>
      <c r="T724" s="0" t="str">
        <f aca="false">IFERROR(IF(OR(HLOOKUP($A724,#REF!,18,FALSE())&gt;2,HLOOKUP($A724,#REF!,18,FALSE())&lt;-2),"",#REF!),"")</f>
        <v/>
      </c>
      <c r="U724" s="0" t="str">
        <f aca="false">IFERROR(IF(OR(HLOOKUP($A724,#REF!,19,FALSE())&gt;2,HLOOKUP($A724,#REF!,19,FALSE())&lt;-2),"",#REF!),"")</f>
        <v/>
      </c>
      <c r="V724" s="0" t="n">
        <f aca="false">IFERROR(IF(AND(X724=0,Y724=0),0,1),0)</f>
        <v>1</v>
      </c>
      <c r="W724" s="3" t="str">
        <f aca="false">IFERROR(_xlfn.T.TEST(E724:M724,N724:U724,2,2),"")</f>
        <v/>
      </c>
      <c r="X724" s="0" t="str">
        <f aca="false">IFERROR(AVERAGE(E724:M724),"")</f>
        <v/>
      </c>
      <c r="Y724" s="0" t="str">
        <f aca="false">IFERROR(AVERAGE(N724:U724),"")</f>
        <v/>
      </c>
    </row>
    <row r="725" customFormat="false" ht="14.5" hidden="false" customHeight="false" outlineLevel="0" collapsed="false">
      <c r="A725" s="0" t="n">
        <v>733</v>
      </c>
      <c r="B725" s="0" t="s">
        <v>783</v>
      </c>
      <c r="C725" s="0" t="n">
        <v>64300</v>
      </c>
      <c r="D725" s="0" t="n">
        <v>709</v>
      </c>
      <c r="E725" s="0" t="str">
        <f aca="false">IFERROR(IF(OR(HLOOKUP($A725,#REF!,3,FALSE())&gt;2,HLOOKUP(A725,#REF!,3,FALSE())&lt;-2),"",#REF!),"")</f>
        <v/>
      </c>
      <c r="F725" s="0" t="str">
        <f aca="false">IFERROR(IF(OR(HLOOKUP($A725,#REF!,4,FALSE())&gt;2,HLOOKUP($A725,#REF!,4,FALSE())&lt;-2),"",#REF!),"")</f>
        <v/>
      </c>
      <c r="G725" s="0" t="str">
        <f aca="false">IFERROR(IF(OR(HLOOKUP($A725,#REF!,5,FALSE())&gt;2,HLOOKUP($A725,#REF!,5,FALSE())&lt;-2),"",#REF!),"")</f>
        <v/>
      </c>
      <c r="H725" s="0" t="str">
        <f aca="false">IFERROR(IF(OR(HLOOKUP($A725,#REF!,6,FALSE())&gt;2,HLOOKUP($A725,#REF!,6,FALSE())&lt;-2),"",#REF!),"")</f>
        <v/>
      </c>
      <c r="I725" s="0" t="str">
        <f aca="false">IFERROR(IF(OR(HLOOKUP($A725,#REF!,7,FALSE())&gt;2,HLOOKUP($A725,#REF!,7,FALSE())&lt;-2),"",#REF!),"")</f>
        <v/>
      </c>
      <c r="J725" s="0" t="str">
        <f aca="false">IFERROR(IF(OR(HLOOKUP($A725,#REF!,8,FALSE())&gt;2,HLOOKUP($A725,#REF!,8,FALSE())&lt;-2),"",#REF!),"")</f>
        <v/>
      </c>
      <c r="K725" s="0" t="str">
        <f aca="false">IFERROR(IF(OR(HLOOKUP($A725,#REF!,9,FALSE())&gt;2,HLOOKUP($A725,#REF!,9,FALSE())&lt;-2),"",#REF!),"")</f>
        <v/>
      </c>
      <c r="L725" s="0" t="str">
        <f aca="false">IFERROR(IF(OR(HLOOKUP($A725,#REF!,10,FALSE())&gt;2,HLOOKUP($A725,#REF!,10,FALSE())&lt;-2),"",#REF!),"")</f>
        <v/>
      </c>
      <c r="M725" s="0" t="str">
        <f aca="false">IFERROR(IF(OR(HLOOKUP($A725,#REF!,11,FALSE())&gt;2,HLOOKUP($A725,#REF!,11,FALSE())&lt;-2),"",#REF!),"")</f>
        <v/>
      </c>
      <c r="N725" s="0" t="str">
        <f aca="false">IFERROR(IF(OR(HLOOKUP($A725,#REF!,12,FALSE())&gt;2,HLOOKUP($A725,#REF!,12,FALSE())&lt;-2),"",#REF!),"")</f>
        <v/>
      </c>
      <c r="O725" s="0" t="str">
        <f aca="false">IFERROR(IF(OR(HLOOKUP($A725,#REF!,13,FALSE())&gt;2,HLOOKUP($A725,#REF!,13,FALSE())&lt;-2),"",#REF!),"")</f>
        <v/>
      </c>
      <c r="P725" s="0" t="str">
        <f aca="false">IFERROR(IF(OR(HLOOKUP($A725,#REF!,14,FALSE())&gt;2,HLOOKUP($A725,#REF!,14,FALSE())&lt;-2),"",#REF!),"")</f>
        <v/>
      </c>
      <c r="Q725" s="0" t="str">
        <f aca="false">IFERROR(IF(OR(HLOOKUP($A725,#REF!,15,FALSE())&gt;2,HLOOKUP($A725,#REF!,15,FALSE())&lt;-2),"",#REF!),"")</f>
        <v/>
      </c>
      <c r="R725" s="0" t="str">
        <f aca="false">IFERROR(IF(OR(HLOOKUP($A725,#REF!,16,FALSE())&gt;2,HLOOKUP($A725,#REF!,16,FALSE())&lt;-2),"",#REF!),"")</f>
        <v/>
      </c>
      <c r="S725" s="0" t="str">
        <f aca="false">IFERROR(IF(OR(HLOOKUP($A725,#REF!,17,FALSE())&gt;2,HLOOKUP($A725,#REF!,17,FALSE())&lt;-2),"",#REF!),"")</f>
        <v/>
      </c>
      <c r="T725" s="0" t="str">
        <f aca="false">IFERROR(IF(OR(HLOOKUP($A725,#REF!,18,FALSE())&gt;2,HLOOKUP($A725,#REF!,18,FALSE())&lt;-2),"",#REF!),"")</f>
        <v/>
      </c>
      <c r="U725" s="0" t="str">
        <f aca="false">IFERROR(IF(OR(HLOOKUP($A725,#REF!,19,FALSE())&gt;2,HLOOKUP($A725,#REF!,19,FALSE())&lt;-2),"",#REF!),"")</f>
        <v/>
      </c>
      <c r="V725" s="0" t="n">
        <f aca="false">IFERROR(IF(AND(X725=0,Y725=0),0,1),0)</f>
        <v>1</v>
      </c>
      <c r="W725" s="3" t="str">
        <f aca="false">IFERROR(_xlfn.T.TEST(E725:M725,N725:U725,2,2),"")</f>
        <v/>
      </c>
      <c r="X725" s="0" t="str">
        <f aca="false">IFERROR(AVERAGE(E725:M725),"")</f>
        <v/>
      </c>
      <c r="Y725" s="0" t="str">
        <f aca="false">IFERROR(AVERAGE(N725:U725),"")</f>
        <v/>
      </c>
    </row>
    <row r="726" customFormat="false" ht="14.5" hidden="false" customHeight="false" outlineLevel="0" collapsed="false">
      <c r="A726" s="0" t="n">
        <v>734</v>
      </c>
      <c r="B726" s="0" t="s">
        <v>784</v>
      </c>
      <c r="C726" s="0" t="n">
        <v>39800</v>
      </c>
      <c r="D726" s="0" t="n">
        <v>726</v>
      </c>
      <c r="E726" s="0" t="str">
        <f aca="false">IFERROR(IF(OR(HLOOKUP($A726,#REF!,3,FALSE())&gt;2,HLOOKUP(A726,#REF!,3,FALSE())&lt;-2),"",#REF!),"")</f>
        <v/>
      </c>
      <c r="F726" s="0" t="str">
        <f aca="false">IFERROR(IF(OR(HLOOKUP($A726,#REF!,4,FALSE())&gt;2,HLOOKUP($A726,#REF!,4,FALSE())&lt;-2),"",#REF!),"")</f>
        <v/>
      </c>
      <c r="G726" s="0" t="str">
        <f aca="false">IFERROR(IF(OR(HLOOKUP($A726,#REF!,5,FALSE())&gt;2,HLOOKUP($A726,#REF!,5,FALSE())&lt;-2),"",#REF!),"")</f>
        <v/>
      </c>
      <c r="H726" s="0" t="str">
        <f aca="false">IFERROR(IF(OR(HLOOKUP($A726,#REF!,6,FALSE())&gt;2,HLOOKUP($A726,#REF!,6,FALSE())&lt;-2),"",#REF!),"")</f>
        <v/>
      </c>
      <c r="I726" s="0" t="str">
        <f aca="false">IFERROR(IF(OR(HLOOKUP($A726,#REF!,7,FALSE())&gt;2,HLOOKUP($A726,#REF!,7,FALSE())&lt;-2),"",#REF!),"")</f>
        <v/>
      </c>
      <c r="J726" s="0" t="str">
        <f aca="false">IFERROR(IF(OR(HLOOKUP($A726,#REF!,8,FALSE())&gt;2,HLOOKUP($A726,#REF!,8,FALSE())&lt;-2),"",#REF!),"")</f>
        <v/>
      </c>
      <c r="K726" s="0" t="str">
        <f aca="false">IFERROR(IF(OR(HLOOKUP($A726,#REF!,9,FALSE())&gt;2,HLOOKUP($A726,#REF!,9,FALSE())&lt;-2),"",#REF!),"")</f>
        <v/>
      </c>
      <c r="L726" s="0" t="str">
        <f aca="false">IFERROR(IF(OR(HLOOKUP($A726,#REF!,10,FALSE())&gt;2,HLOOKUP($A726,#REF!,10,FALSE())&lt;-2),"",#REF!),"")</f>
        <v/>
      </c>
      <c r="M726" s="0" t="str">
        <f aca="false">IFERROR(IF(OR(HLOOKUP($A726,#REF!,11,FALSE())&gt;2,HLOOKUP($A726,#REF!,11,FALSE())&lt;-2),"",#REF!),"")</f>
        <v/>
      </c>
      <c r="N726" s="0" t="str">
        <f aca="false">IFERROR(IF(OR(HLOOKUP($A726,#REF!,12,FALSE())&gt;2,HLOOKUP($A726,#REF!,12,FALSE())&lt;-2),"",#REF!),"")</f>
        <v/>
      </c>
      <c r="O726" s="0" t="str">
        <f aca="false">IFERROR(IF(OR(HLOOKUP($A726,#REF!,13,FALSE())&gt;2,HLOOKUP($A726,#REF!,13,FALSE())&lt;-2),"",#REF!),"")</f>
        <v/>
      </c>
      <c r="P726" s="0" t="str">
        <f aca="false">IFERROR(IF(OR(HLOOKUP($A726,#REF!,14,FALSE())&gt;2,HLOOKUP($A726,#REF!,14,FALSE())&lt;-2),"",#REF!),"")</f>
        <v/>
      </c>
      <c r="Q726" s="0" t="str">
        <f aca="false">IFERROR(IF(OR(HLOOKUP($A726,#REF!,15,FALSE())&gt;2,HLOOKUP($A726,#REF!,15,FALSE())&lt;-2),"",#REF!),"")</f>
        <v/>
      </c>
      <c r="R726" s="0" t="str">
        <f aca="false">IFERROR(IF(OR(HLOOKUP($A726,#REF!,16,FALSE())&gt;2,HLOOKUP($A726,#REF!,16,FALSE())&lt;-2),"",#REF!),"")</f>
        <v/>
      </c>
      <c r="S726" s="0" t="str">
        <f aca="false">IFERROR(IF(OR(HLOOKUP($A726,#REF!,17,FALSE())&gt;2,HLOOKUP($A726,#REF!,17,FALSE())&lt;-2),"",#REF!),"")</f>
        <v/>
      </c>
      <c r="T726" s="0" t="str">
        <f aca="false">IFERROR(IF(OR(HLOOKUP($A726,#REF!,18,FALSE())&gt;2,HLOOKUP($A726,#REF!,18,FALSE())&lt;-2),"",#REF!),"")</f>
        <v/>
      </c>
      <c r="U726" s="0" t="str">
        <f aca="false">IFERROR(IF(OR(HLOOKUP($A726,#REF!,19,FALSE())&gt;2,HLOOKUP($A726,#REF!,19,FALSE())&lt;-2),"",#REF!),"")</f>
        <v/>
      </c>
      <c r="V726" s="0" t="n">
        <f aca="false">IFERROR(IF(AND(X726=0,Y726=0),0,1),0)</f>
        <v>1</v>
      </c>
      <c r="W726" s="3" t="str">
        <f aca="false">IFERROR(_xlfn.T.TEST(E726:M726,N726:U726,2,2),"")</f>
        <v/>
      </c>
      <c r="X726" s="0" t="str">
        <f aca="false">IFERROR(AVERAGE(E726:M726),"")</f>
        <v/>
      </c>
      <c r="Y726" s="0" t="str">
        <f aca="false">IFERROR(AVERAGE(N726:U726),"")</f>
        <v/>
      </c>
    </row>
    <row r="727" customFormat="false" ht="14.5" hidden="false" customHeight="false" outlineLevel="0" collapsed="false">
      <c r="A727" s="0" t="n">
        <v>735</v>
      </c>
      <c r="B727" s="0" t="s">
        <v>785</v>
      </c>
      <c r="C727" s="0" t="n">
        <v>11400</v>
      </c>
      <c r="D727" s="0" t="n">
        <v>1002</v>
      </c>
      <c r="E727" s="0" t="str">
        <f aca="false">IFERROR(IF(OR(HLOOKUP($A727,#REF!,3,FALSE())&gt;2,HLOOKUP(A727,#REF!,3,FALSE())&lt;-2),"",#REF!),"")</f>
        <v/>
      </c>
      <c r="F727" s="0" t="str">
        <f aca="false">IFERROR(IF(OR(HLOOKUP($A727,#REF!,4,FALSE())&gt;2,HLOOKUP($A727,#REF!,4,FALSE())&lt;-2),"",#REF!),"")</f>
        <v/>
      </c>
      <c r="G727" s="0" t="str">
        <f aca="false">IFERROR(IF(OR(HLOOKUP($A727,#REF!,5,FALSE())&gt;2,HLOOKUP($A727,#REF!,5,FALSE())&lt;-2),"",#REF!),"")</f>
        <v/>
      </c>
      <c r="H727" s="0" t="str">
        <f aca="false">IFERROR(IF(OR(HLOOKUP($A727,#REF!,6,FALSE())&gt;2,HLOOKUP($A727,#REF!,6,FALSE())&lt;-2),"",#REF!),"")</f>
        <v/>
      </c>
      <c r="I727" s="0" t="str">
        <f aca="false">IFERROR(IF(OR(HLOOKUP($A727,#REF!,7,FALSE())&gt;2,HLOOKUP($A727,#REF!,7,FALSE())&lt;-2),"",#REF!),"")</f>
        <v/>
      </c>
      <c r="J727" s="0" t="str">
        <f aca="false">IFERROR(IF(OR(HLOOKUP($A727,#REF!,8,FALSE())&gt;2,HLOOKUP($A727,#REF!,8,FALSE())&lt;-2),"",#REF!),"")</f>
        <v/>
      </c>
      <c r="K727" s="0" t="str">
        <f aca="false">IFERROR(IF(OR(HLOOKUP($A727,#REF!,9,FALSE())&gt;2,HLOOKUP($A727,#REF!,9,FALSE())&lt;-2),"",#REF!),"")</f>
        <v/>
      </c>
      <c r="L727" s="0" t="str">
        <f aca="false">IFERROR(IF(OR(HLOOKUP($A727,#REF!,10,FALSE())&gt;2,HLOOKUP($A727,#REF!,10,FALSE())&lt;-2),"",#REF!),"")</f>
        <v/>
      </c>
      <c r="M727" s="0" t="str">
        <f aca="false">IFERROR(IF(OR(HLOOKUP($A727,#REF!,11,FALSE())&gt;2,HLOOKUP($A727,#REF!,11,FALSE())&lt;-2),"",#REF!),"")</f>
        <v/>
      </c>
      <c r="N727" s="0" t="str">
        <f aca="false">IFERROR(IF(OR(HLOOKUP($A727,#REF!,12,FALSE())&gt;2,HLOOKUP($A727,#REF!,12,FALSE())&lt;-2),"",#REF!),"")</f>
        <v/>
      </c>
      <c r="O727" s="0" t="str">
        <f aca="false">IFERROR(IF(OR(HLOOKUP($A727,#REF!,13,FALSE())&gt;2,HLOOKUP($A727,#REF!,13,FALSE())&lt;-2),"",#REF!),"")</f>
        <v/>
      </c>
      <c r="P727" s="0" t="str">
        <f aca="false">IFERROR(IF(OR(HLOOKUP($A727,#REF!,14,FALSE())&gt;2,HLOOKUP($A727,#REF!,14,FALSE())&lt;-2),"",#REF!),"")</f>
        <v/>
      </c>
      <c r="Q727" s="0" t="str">
        <f aca="false">IFERROR(IF(OR(HLOOKUP($A727,#REF!,15,FALSE())&gt;2,HLOOKUP($A727,#REF!,15,FALSE())&lt;-2),"",#REF!),"")</f>
        <v/>
      </c>
      <c r="R727" s="0" t="str">
        <f aca="false">IFERROR(IF(OR(HLOOKUP($A727,#REF!,16,FALSE())&gt;2,HLOOKUP($A727,#REF!,16,FALSE())&lt;-2),"",#REF!),"")</f>
        <v/>
      </c>
      <c r="S727" s="0" t="str">
        <f aca="false">IFERROR(IF(OR(HLOOKUP($A727,#REF!,17,FALSE())&gt;2,HLOOKUP($A727,#REF!,17,FALSE())&lt;-2),"",#REF!),"")</f>
        <v/>
      </c>
      <c r="T727" s="0" t="str">
        <f aca="false">IFERROR(IF(OR(HLOOKUP($A727,#REF!,18,FALSE())&gt;2,HLOOKUP($A727,#REF!,18,FALSE())&lt;-2),"",#REF!),"")</f>
        <v/>
      </c>
      <c r="U727" s="0" t="str">
        <f aca="false">IFERROR(IF(OR(HLOOKUP($A727,#REF!,19,FALSE())&gt;2,HLOOKUP($A727,#REF!,19,FALSE())&lt;-2),"",#REF!),"")</f>
        <v/>
      </c>
      <c r="V727" s="0" t="n">
        <f aca="false">IFERROR(IF(AND(X727=0,Y727=0),0,1),0)</f>
        <v>1</v>
      </c>
      <c r="W727" s="3" t="str">
        <f aca="false">IFERROR(_xlfn.T.TEST(E727:M727,N727:U727,2,2),"")</f>
        <v/>
      </c>
      <c r="X727" s="0" t="str">
        <f aca="false">IFERROR(AVERAGE(E727:M727),"")</f>
        <v/>
      </c>
      <c r="Y727" s="0" t="str">
        <f aca="false">IFERROR(AVERAGE(N727:U727),"")</f>
        <v/>
      </c>
    </row>
    <row r="728" customFormat="false" ht="14.5" hidden="false" customHeight="false" outlineLevel="0" collapsed="false">
      <c r="A728" s="0" t="n">
        <v>736</v>
      </c>
      <c r="B728" s="0" t="s">
        <v>786</v>
      </c>
      <c r="C728" s="0" t="n">
        <v>110000</v>
      </c>
      <c r="D728" s="0" t="n">
        <v>1000</v>
      </c>
      <c r="E728" s="0" t="str">
        <f aca="false">IFERROR(IF(OR(HLOOKUP($A728,#REF!,3,FALSE())&gt;2,HLOOKUP(A728,#REF!,3,FALSE())&lt;-2),"",#REF!),"")</f>
        <v/>
      </c>
      <c r="F728" s="0" t="str">
        <f aca="false">IFERROR(IF(OR(HLOOKUP($A728,#REF!,4,FALSE())&gt;2,HLOOKUP($A728,#REF!,4,FALSE())&lt;-2),"",#REF!),"")</f>
        <v/>
      </c>
      <c r="G728" s="0" t="str">
        <f aca="false">IFERROR(IF(OR(HLOOKUP($A728,#REF!,5,FALSE())&gt;2,HLOOKUP($A728,#REF!,5,FALSE())&lt;-2),"",#REF!),"")</f>
        <v/>
      </c>
      <c r="H728" s="0" t="str">
        <f aca="false">IFERROR(IF(OR(HLOOKUP($A728,#REF!,6,FALSE())&gt;2,HLOOKUP($A728,#REF!,6,FALSE())&lt;-2),"",#REF!),"")</f>
        <v/>
      </c>
      <c r="I728" s="0" t="str">
        <f aca="false">IFERROR(IF(OR(HLOOKUP($A728,#REF!,7,FALSE())&gt;2,HLOOKUP($A728,#REF!,7,FALSE())&lt;-2),"",#REF!),"")</f>
        <v/>
      </c>
      <c r="J728" s="0" t="str">
        <f aca="false">IFERROR(IF(OR(HLOOKUP($A728,#REF!,8,FALSE())&gt;2,HLOOKUP($A728,#REF!,8,FALSE())&lt;-2),"",#REF!),"")</f>
        <v/>
      </c>
      <c r="K728" s="0" t="str">
        <f aca="false">IFERROR(IF(OR(HLOOKUP($A728,#REF!,9,FALSE())&gt;2,HLOOKUP($A728,#REF!,9,FALSE())&lt;-2),"",#REF!),"")</f>
        <v/>
      </c>
      <c r="L728" s="0" t="str">
        <f aca="false">IFERROR(IF(OR(HLOOKUP($A728,#REF!,10,FALSE())&gt;2,HLOOKUP($A728,#REF!,10,FALSE())&lt;-2),"",#REF!),"")</f>
        <v/>
      </c>
      <c r="M728" s="0" t="str">
        <f aca="false">IFERROR(IF(OR(HLOOKUP($A728,#REF!,11,FALSE())&gt;2,HLOOKUP($A728,#REF!,11,FALSE())&lt;-2),"",#REF!),"")</f>
        <v/>
      </c>
      <c r="N728" s="0" t="str">
        <f aca="false">IFERROR(IF(OR(HLOOKUP($A728,#REF!,12,FALSE())&gt;2,HLOOKUP($A728,#REF!,12,FALSE())&lt;-2),"",#REF!),"")</f>
        <v/>
      </c>
      <c r="O728" s="0" t="str">
        <f aca="false">IFERROR(IF(OR(HLOOKUP($A728,#REF!,13,FALSE())&gt;2,HLOOKUP($A728,#REF!,13,FALSE())&lt;-2),"",#REF!),"")</f>
        <v/>
      </c>
      <c r="P728" s="0" t="str">
        <f aca="false">IFERROR(IF(OR(HLOOKUP($A728,#REF!,14,FALSE())&gt;2,HLOOKUP($A728,#REF!,14,FALSE())&lt;-2),"",#REF!),"")</f>
        <v/>
      </c>
      <c r="Q728" s="0" t="str">
        <f aca="false">IFERROR(IF(OR(HLOOKUP($A728,#REF!,15,FALSE())&gt;2,HLOOKUP($A728,#REF!,15,FALSE())&lt;-2),"",#REF!),"")</f>
        <v/>
      </c>
      <c r="R728" s="0" t="str">
        <f aca="false">IFERROR(IF(OR(HLOOKUP($A728,#REF!,16,FALSE())&gt;2,HLOOKUP($A728,#REF!,16,FALSE())&lt;-2),"",#REF!),"")</f>
        <v/>
      </c>
      <c r="S728" s="0" t="str">
        <f aca="false">IFERROR(IF(OR(HLOOKUP($A728,#REF!,17,FALSE())&gt;2,HLOOKUP($A728,#REF!,17,FALSE())&lt;-2),"",#REF!),"")</f>
        <v/>
      </c>
      <c r="T728" s="0" t="str">
        <f aca="false">IFERROR(IF(OR(HLOOKUP($A728,#REF!,18,FALSE())&gt;2,HLOOKUP($A728,#REF!,18,FALSE())&lt;-2),"",#REF!),"")</f>
        <v/>
      </c>
      <c r="U728" s="0" t="str">
        <f aca="false">IFERROR(IF(OR(HLOOKUP($A728,#REF!,19,FALSE())&gt;2,HLOOKUP($A728,#REF!,19,FALSE())&lt;-2),"",#REF!),"")</f>
        <v/>
      </c>
      <c r="V728" s="0" t="n">
        <f aca="false">IFERROR(IF(AND(X728=0,Y728=0),0,1),0)</f>
        <v>1</v>
      </c>
      <c r="W728" s="3" t="str">
        <f aca="false">IFERROR(_xlfn.T.TEST(E728:M728,N728:U728,2,2),"")</f>
        <v/>
      </c>
      <c r="X728" s="0" t="str">
        <f aca="false">IFERROR(AVERAGE(E728:M728),"")</f>
        <v/>
      </c>
      <c r="Y728" s="0" t="str">
        <f aca="false">IFERROR(AVERAGE(N728:U728),"")</f>
        <v/>
      </c>
    </row>
    <row r="729" customFormat="false" ht="14.5" hidden="false" customHeight="false" outlineLevel="0" collapsed="false">
      <c r="A729" s="0" t="n">
        <v>737</v>
      </c>
      <c r="B729" s="0" t="s">
        <v>787</v>
      </c>
      <c r="C729" s="0" t="n">
        <v>111700</v>
      </c>
      <c r="D729" s="0" t="n">
        <v>1099</v>
      </c>
      <c r="E729" s="0" t="str">
        <f aca="false">IFERROR(IF(OR(HLOOKUP($A729,#REF!,3,FALSE())&gt;2,HLOOKUP(A729,#REF!,3,FALSE())&lt;-2),"",#REF!),"")</f>
        <v/>
      </c>
      <c r="F729" s="0" t="str">
        <f aca="false">IFERROR(IF(OR(HLOOKUP($A729,#REF!,4,FALSE())&gt;2,HLOOKUP($A729,#REF!,4,FALSE())&lt;-2),"",#REF!),"")</f>
        <v/>
      </c>
      <c r="G729" s="0" t="str">
        <f aca="false">IFERROR(IF(OR(HLOOKUP($A729,#REF!,5,FALSE())&gt;2,HLOOKUP($A729,#REF!,5,FALSE())&lt;-2),"",#REF!),"")</f>
        <v/>
      </c>
      <c r="H729" s="0" t="str">
        <f aca="false">IFERROR(IF(OR(HLOOKUP($A729,#REF!,6,FALSE())&gt;2,HLOOKUP($A729,#REF!,6,FALSE())&lt;-2),"",#REF!),"")</f>
        <v/>
      </c>
      <c r="I729" s="0" t="str">
        <f aca="false">IFERROR(IF(OR(HLOOKUP($A729,#REF!,7,FALSE())&gt;2,HLOOKUP($A729,#REF!,7,FALSE())&lt;-2),"",#REF!),"")</f>
        <v/>
      </c>
      <c r="J729" s="0" t="str">
        <f aca="false">IFERROR(IF(OR(HLOOKUP($A729,#REF!,8,FALSE())&gt;2,HLOOKUP($A729,#REF!,8,FALSE())&lt;-2),"",#REF!),"")</f>
        <v/>
      </c>
      <c r="K729" s="0" t="str">
        <f aca="false">IFERROR(IF(OR(HLOOKUP($A729,#REF!,9,FALSE())&gt;2,HLOOKUP($A729,#REF!,9,FALSE())&lt;-2),"",#REF!),"")</f>
        <v/>
      </c>
      <c r="L729" s="0" t="str">
        <f aca="false">IFERROR(IF(OR(HLOOKUP($A729,#REF!,10,FALSE())&gt;2,HLOOKUP($A729,#REF!,10,FALSE())&lt;-2),"",#REF!),"")</f>
        <v/>
      </c>
      <c r="M729" s="0" t="str">
        <f aca="false">IFERROR(IF(OR(HLOOKUP($A729,#REF!,11,FALSE())&gt;2,HLOOKUP($A729,#REF!,11,FALSE())&lt;-2),"",#REF!),"")</f>
        <v/>
      </c>
      <c r="N729" s="0" t="str">
        <f aca="false">IFERROR(IF(OR(HLOOKUP($A729,#REF!,12,FALSE())&gt;2,HLOOKUP($A729,#REF!,12,FALSE())&lt;-2),"",#REF!),"")</f>
        <v/>
      </c>
      <c r="O729" s="0" t="str">
        <f aca="false">IFERROR(IF(OR(HLOOKUP($A729,#REF!,13,FALSE())&gt;2,HLOOKUP($A729,#REF!,13,FALSE())&lt;-2),"",#REF!),"")</f>
        <v/>
      </c>
      <c r="P729" s="0" t="str">
        <f aca="false">IFERROR(IF(OR(HLOOKUP($A729,#REF!,14,FALSE())&gt;2,HLOOKUP($A729,#REF!,14,FALSE())&lt;-2),"",#REF!),"")</f>
        <v/>
      </c>
      <c r="Q729" s="0" t="str">
        <f aca="false">IFERROR(IF(OR(HLOOKUP($A729,#REF!,15,FALSE())&gt;2,HLOOKUP($A729,#REF!,15,FALSE())&lt;-2),"",#REF!),"")</f>
        <v/>
      </c>
      <c r="R729" s="0" t="str">
        <f aca="false">IFERROR(IF(OR(HLOOKUP($A729,#REF!,16,FALSE())&gt;2,HLOOKUP($A729,#REF!,16,FALSE())&lt;-2),"",#REF!),"")</f>
        <v/>
      </c>
      <c r="S729" s="0" t="str">
        <f aca="false">IFERROR(IF(OR(HLOOKUP($A729,#REF!,17,FALSE())&gt;2,HLOOKUP($A729,#REF!,17,FALSE())&lt;-2),"",#REF!),"")</f>
        <v/>
      </c>
      <c r="T729" s="0" t="str">
        <f aca="false">IFERROR(IF(OR(HLOOKUP($A729,#REF!,18,FALSE())&gt;2,HLOOKUP($A729,#REF!,18,FALSE())&lt;-2),"",#REF!),"")</f>
        <v/>
      </c>
      <c r="U729" s="0" t="str">
        <f aca="false">IFERROR(IF(OR(HLOOKUP($A729,#REF!,19,FALSE())&gt;2,HLOOKUP($A729,#REF!,19,FALSE())&lt;-2),"",#REF!),"")</f>
        <v/>
      </c>
      <c r="V729" s="0" t="n">
        <f aca="false">IFERROR(IF(AND(X729=0,Y729=0),0,1),0)</f>
        <v>1</v>
      </c>
      <c r="W729" s="3" t="str">
        <f aca="false">IFERROR(_xlfn.T.TEST(E729:M729,N729:U729,2,2),"")</f>
        <v/>
      </c>
      <c r="X729" s="0" t="str">
        <f aca="false">IFERROR(AVERAGE(E729:M729),"")</f>
        <v/>
      </c>
      <c r="Y729" s="0" t="str">
        <f aca="false">IFERROR(AVERAGE(N729:U729),"")</f>
        <v/>
      </c>
    </row>
    <row r="730" customFormat="false" ht="14.5" hidden="false" customHeight="false" outlineLevel="0" collapsed="false">
      <c r="A730" s="0" t="n">
        <v>738</v>
      </c>
      <c r="B730" s="0" t="s">
        <v>788</v>
      </c>
      <c r="C730" s="0" t="n">
        <v>22600</v>
      </c>
      <c r="D730" s="0" t="n">
        <v>714</v>
      </c>
      <c r="E730" s="0" t="str">
        <f aca="false">IFERROR(IF(OR(HLOOKUP($A730,#REF!,3,FALSE())&gt;2,HLOOKUP(A730,#REF!,3,FALSE())&lt;-2),"",#REF!),"")</f>
        <v/>
      </c>
      <c r="F730" s="0" t="str">
        <f aca="false">IFERROR(IF(OR(HLOOKUP($A730,#REF!,4,FALSE())&gt;2,HLOOKUP($A730,#REF!,4,FALSE())&lt;-2),"",#REF!),"")</f>
        <v/>
      </c>
      <c r="G730" s="0" t="str">
        <f aca="false">IFERROR(IF(OR(HLOOKUP($A730,#REF!,5,FALSE())&gt;2,HLOOKUP($A730,#REF!,5,FALSE())&lt;-2),"",#REF!),"")</f>
        <v/>
      </c>
      <c r="H730" s="0" t="str">
        <f aca="false">IFERROR(IF(OR(HLOOKUP($A730,#REF!,6,FALSE())&gt;2,HLOOKUP($A730,#REF!,6,FALSE())&lt;-2),"",#REF!),"")</f>
        <v/>
      </c>
      <c r="I730" s="0" t="str">
        <f aca="false">IFERROR(IF(OR(HLOOKUP($A730,#REF!,7,FALSE())&gt;2,HLOOKUP($A730,#REF!,7,FALSE())&lt;-2),"",#REF!),"")</f>
        <v/>
      </c>
      <c r="J730" s="0" t="str">
        <f aca="false">IFERROR(IF(OR(HLOOKUP($A730,#REF!,8,FALSE())&gt;2,HLOOKUP($A730,#REF!,8,FALSE())&lt;-2),"",#REF!),"")</f>
        <v/>
      </c>
      <c r="K730" s="0" t="str">
        <f aca="false">IFERROR(IF(OR(HLOOKUP($A730,#REF!,9,FALSE())&gt;2,HLOOKUP($A730,#REF!,9,FALSE())&lt;-2),"",#REF!),"")</f>
        <v/>
      </c>
      <c r="L730" s="0" t="str">
        <f aca="false">IFERROR(IF(OR(HLOOKUP($A730,#REF!,10,FALSE())&gt;2,HLOOKUP($A730,#REF!,10,FALSE())&lt;-2),"",#REF!),"")</f>
        <v/>
      </c>
      <c r="M730" s="0" t="str">
        <f aca="false">IFERROR(IF(OR(HLOOKUP($A730,#REF!,11,FALSE())&gt;2,HLOOKUP($A730,#REF!,11,FALSE())&lt;-2),"",#REF!),"")</f>
        <v/>
      </c>
      <c r="N730" s="0" t="str">
        <f aca="false">IFERROR(IF(OR(HLOOKUP($A730,#REF!,12,FALSE())&gt;2,HLOOKUP($A730,#REF!,12,FALSE())&lt;-2),"",#REF!),"")</f>
        <v/>
      </c>
      <c r="O730" s="0" t="str">
        <f aca="false">IFERROR(IF(OR(HLOOKUP($A730,#REF!,13,FALSE())&gt;2,HLOOKUP($A730,#REF!,13,FALSE())&lt;-2),"",#REF!),"")</f>
        <v/>
      </c>
      <c r="P730" s="0" t="str">
        <f aca="false">IFERROR(IF(OR(HLOOKUP($A730,#REF!,14,FALSE())&gt;2,HLOOKUP($A730,#REF!,14,FALSE())&lt;-2),"",#REF!),"")</f>
        <v/>
      </c>
      <c r="Q730" s="0" t="str">
        <f aca="false">IFERROR(IF(OR(HLOOKUP($A730,#REF!,15,FALSE())&gt;2,HLOOKUP($A730,#REF!,15,FALSE())&lt;-2),"",#REF!),"")</f>
        <v/>
      </c>
      <c r="R730" s="0" t="str">
        <f aca="false">IFERROR(IF(OR(HLOOKUP($A730,#REF!,16,FALSE())&gt;2,HLOOKUP($A730,#REF!,16,FALSE())&lt;-2),"",#REF!),"")</f>
        <v/>
      </c>
      <c r="S730" s="0" t="str">
        <f aca="false">IFERROR(IF(OR(HLOOKUP($A730,#REF!,17,FALSE())&gt;2,HLOOKUP($A730,#REF!,17,FALSE())&lt;-2),"",#REF!),"")</f>
        <v/>
      </c>
      <c r="T730" s="0" t="str">
        <f aca="false">IFERROR(IF(OR(HLOOKUP($A730,#REF!,18,FALSE())&gt;2,HLOOKUP($A730,#REF!,18,FALSE())&lt;-2),"",#REF!),"")</f>
        <v/>
      </c>
      <c r="U730" s="0" t="str">
        <f aca="false">IFERROR(IF(OR(HLOOKUP($A730,#REF!,19,FALSE())&gt;2,HLOOKUP($A730,#REF!,19,FALSE())&lt;-2),"",#REF!),"")</f>
        <v/>
      </c>
      <c r="V730" s="0" t="n">
        <f aca="false">IFERROR(IF(AND(X730=0,Y730=0),0,1),0)</f>
        <v>1</v>
      </c>
      <c r="W730" s="3" t="str">
        <f aca="false">IFERROR(_xlfn.T.TEST(E730:M730,N730:U730,2,2),"")</f>
        <v/>
      </c>
      <c r="X730" s="0" t="str">
        <f aca="false">IFERROR(AVERAGE(E730:M730),"")</f>
        <v/>
      </c>
      <c r="Y730" s="0" t="str">
        <f aca="false">IFERROR(AVERAGE(N730:U730),"")</f>
        <v/>
      </c>
    </row>
    <row r="731" customFormat="false" ht="14.5" hidden="false" customHeight="false" outlineLevel="0" collapsed="false">
      <c r="A731" s="0" t="n">
        <v>739</v>
      </c>
      <c r="B731" s="0" t="s">
        <v>789</v>
      </c>
      <c r="C731" s="0" t="n">
        <v>18600</v>
      </c>
      <c r="D731" s="0" t="n">
        <v>31</v>
      </c>
      <c r="E731" s="0" t="str">
        <f aca="false">IFERROR(IF(OR(HLOOKUP($A731,#REF!,3,FALSE())&gt;2,HLOOKUP(A731,#REF!,3,FALSE())&lt;-2),"",#REF!),"")</f>
        <v/>
      </c>
      <c r="F731" s="0" t="str">
        <f aca="false">IFERROR(IF(OR(HLOOKUP($A731,#REF!,4,FALSE())&gt;2,HLOOKUP($A731,#REF!,4,FALSE())&lt;-2),"",#REF!),"")</f>
        <v/>
      </c>
      <c r="G731" s="0" t="str">
        <f aca="false">IFERROR(IF(OR(HLOOKUP($A731,#REF!,5,FALSE())&gt;2,HLOOKUP($A731,#REF!,5,FALSE())&lt;-2),"",#REF!),"")</f>
        <v/>
      </c>
      <c r="H731" s="0" t="str">
        <f aca="false">IFERROR(IF(OR(HLOOKUP($A731,#REF!,6,FALSE())&gt;2,HLOOKUP($A731,#REF!,6,FALSE())&lt;-2),"",#REF!),"")</f>
        <v/>
      </c>
      <c r="I731" s="0" t="str">
        <f aca="false">IFERROR(IF(OR(HLOOKUP($A731,#REF!,7,FALSE())&gt;2,HLOOKUP($A731,#REF!,7,FALSE())&lt;-2),"",#REF!),"")</f>
        <v/>
      </c>
      <c r="J731" s="0" t="str">
        <f aca="false">IFERROR(IF(OR(HLOOKUP($A731,#REF!,8,FALSE())&gt;2,HLOOKUP($A731,#REF!,8,FALSE())&lt;-2),"",#REF!),"")</f>
        <v/>
      </c>
      <c r="K731" s="0" t="str">
        <f aca="false">IFERROR(IF(OR(HLOOKUP($A731,#REF!,9,FALSE())&gt;2,HLOOKUP($A731,#REF!,9,FALSE())&lt;-2),"",#REF!),"")</f>
        <v/>
      </c>
      <c r="L731" s="0" t="str">
        <f aca="false">IFERROR(IF(OR(HLOOKUP($A731,#REF!,10,FALSE())&gt;2,HLOOKUP($A731,#REF!,10,FALSE())&lt;-2),"",#REF!),"")</f>
        <v/>
      </c>
      <c r="M731" s="0" t="str">
        <f aca="false">IFERROR(IF(OR(HLOOKUP($A731,#REF!,11,FALSE())&gt;2,HLOOKUP($A731,#REF!,11,FALSE())&lt;-2),"",#REF!),"")</f>
        <v/>
      </c>
      <c r="N731" s="0" t="str">
        <f aca="false">IFERROR(IF(OR(HLOOKUP($A731,#REF!,12,FALSE())&gt;2,HLOOKUP($A731,#REF!,12,FALSE())&lt;-2),"",#REF!),"")</f>
        <v/>
      </c>
      <c r="O731" s="0" t="str">
        <f aca="false">IFERROR(IF(OR(HLOOKUP($A731,#REF!,13,FALSE())&gt;2,HLOOKUP($A731,#REF!,13,FALSE())&lt;-2),"",#REF!),"")</f>
        <v/>
      </c>
      <c r="P731" s="0" t="str">
        <f aca="false">IFERROR(IF(OR(HLOOKUP($A731,#REF!,14,FALSE())&gt;2,HLOOKUP($A731,#REF!,14,FALSE())&lt;-2),"",#REF!),"")</f>
        <v/>
      </c>
      <c r="Q731" s="0" t="str">
        <f aca="false">IFERROR(IF(OR(HLOOKUP($A731,#REF!,15,FALSE())&gt;2,HLOOKUP($A731,#REF!,15,FALSE())&lt;-2),"",#REF!),"")</f>
        <v/>
      </c>
      <c r="R731" s="0" t="str">
        <f aca="false">IFERROR(IF(OR(HLOOKUP($A731,#REF!,16,FALSE())&gt;2,HLOOKUP($A731,#REF!,16,FALSE())&lt;-2),"",#REF!),"")</f>
        <v/>
      </c>
      <c r="S731" s="0" t="str">
        <f aca="false">IFERROR(IF(OR(HLOOKUP($A731,#REF!,17,FALSE())&gt;2,HLOOKUP($A731,#REF!,17,FALSE())&lt;-2),"",#REF!),"")</f>
        <v/>
      </c>
      <c r="T731" s="0" t="str">
        <f aca="false">IFERROR(IF(OR(HLOOKUP($A731,#REF!,18,FALSE())&gt;2,HLOOKUP($A731,#REF!,18,FALSE())&lt;-2),"",#REF!),"")</f>
        <v/>
      </c>
      <c r="U731" s="0" t="str">
        <f aca="false">IFERROR(IF(OR(HLOOKUP($A731,#REF!,19,FALSE())&gt;2,HLOOKUP($A731,#REF!,19,FALSE())&lt;-2),"",#REF!),"")</f>
        <v/>
      </c>
      <c r="V731" s="0" t="n">
        <f aca="false">IFERROR(IF(AND(X731=0,Y731=0),0,1),0)</f>
        <v>1</v>
      </c>
      <c r="W731" s="3" t="str">
        <f aca="false">IFERROR(_xlfn.T.TEST(E731:M731,N731:U731,2,2),"")</f>
        <v/>
      </c>
      <c r="X731" s="0" t="str">
        <f aca="false">IFERROR(AVERAGE(E731:M731),"")</f>
        <v/>
      </c>
      <c r="Y731" s="0" t="str">
        <f aca="false">IFERROR(AVERAGE(N731:U731),"")</f>
        <v/>
      </c>
    </row>
    <row r="732" customFormat="false" ht="14.5" hidden="false" customHeight="false" outlineLevel="0" collapsed="false">
      <c r="A732" s="0" t="n">
        <v>740</v>
      </c>
      <c r="B732" s="0" t="s">
        <v>790</v>
      </c>
      <c r="C732" s="0" t="n">
        <v>75700</v>
      </c>
      <c r="D732" s="0" t="n">
        <v>515</v>
      </c>
      <c r="E732" s="0" t="str">
        <f aca="false">IFERROR(IF(OR(HLOOKUP($A732,#REF!,3,FALSE())&gt;2,HLOOKUP(A732,#REF!,3,FALSE())&lt;-2),"",#REF!),"")</f>
        <v/>
      </c>
      <c r="F732" s="0" t="str">
        <f aca="false">IFERROR(IF(OR(HLOOKUP($A732,#REF!,4,FALSE())&gt;2,HLOOKUP($A732,#REF!,4,FALSE())&lt;-2),"",#REF!),"")</f>
        <v/>
      </c>
      <c r="G732" s="0" t="str">
        <f aca="false">IFERROR(IF(OR(HLOOKUP($A732,#REF!,5,FALSE())&gt;2,HLOOKUP($A732,#REF!,5,FALSE())&lt;-2),"",#REF!),"")</f>
        <v/>
      </c>
      <c r="H732" s="0" t="str">
        <f aca="false">IFERROR(IF(OR(HLOOKUP($A732,#REF!,6,FALSE())&gt;2,HLOOKUP($A732,#REF!,6,FALSE())&lt;-2),"",#REF!),"")</f>
        <v/>
      </c>
      <c r="I732" s="0" t="str">
        <f aca="false">IFERROR(IF(OR(HLOOKUP($A732,#REF!,7,FALSE())&gt;2,HLOOKUP($A732,#REF!,7,FALSE())&lt;-2),"",#REF!),"")</f>
        <v/>
      </c>
      <c r="J732" s="0" t="str">
        <f aca="false">IFERROR(IF(OR(HLOOKUP($A732,#REF!,8,FALSE())&gt;2,HLOOKUP($A732,#REF!,8,FALSE())&lt;-2),"",#REF!),"")</f>
        <v/>
      </c>
      <c r="K732" s="0" t="str">
        <f aca="false">IFERROR(IF(OR(HLOOKUP($A732,#REF!,9,FALSE())&gt;2,HLOOKUP($A732,#REF!,9,FALSE())&lt;-2),"",#REF!),"")</f>
        <v/>
      </c>
      <c r="L732" s="0" t="str">
        <f aca="false">IFERROR(IF(OR(HLOOKUP($A732,#REF!,10,FALSE())&gt;2,HLOOKUP($A732,#REF!,10,FALSE())&lt;-2),"",#REF!),"")</f>
        <v/>
      </c>
      <c r="M732" s="0" t="str">
        <f aca="false">IFERROR(IF(OR(HLOOKUP($A732,#REF!,11,FALSE())&gt;2,HLOOKUP($A732,#REF!,11,FALSE())&lt;-2),"",#REF!),"")</f>
        <v/>
      </c>
      <c r="N732" s="0" t="str">
        <f aca="false">IFERROR(IF(OR(HLOOKUP($A732,#REF!,12,FALSE())&gt;2,HLOOKUP($A732,#REF!,12,FALSE())&lt;-2),"",#REF!),"")</f>
        <v/>
      </c>
      <c r="O732" s="0" t="str">
        <f aca="false">IFERROR(IF(OR(HLOOKUP($A732,#REF!,13,FALSE())&gt;2,HLOOKUP($A732,#REF!,13,FALSE())&lt;-2),"",#REF!),"")</f>
        <v/>
      </c>
      <c r="P732" s="0" t="str">
        <f aca="false">IFERROR(IF(OR(HLOOKUP($A732,#REF!,14,FALSE())&gt;2,HLOOKUP($A732,#REF!,14,FALSE())&lt;-2),"",#REF!),"")</f>
        <v/>
      </c>
      <c r="Q732" s="0" t="str">
        <f aca="false">IFERROR(IF(OR(HLOOKUP($A732,#REF!,15,FALSE())&gt;2,HLOOKUP($A732,#REF!,15,FALSE())&lt;-2),"",#REF!),"")</f>
        <v/>
      </c>
      <c r="R732" s="0" t="str">
        <f aca="false">IFERROR(IF(OR(HLOOKUP($A732,#REF!,16,FALSE())&gt;2,HLOOKUP($A732,#REF!,16,FALSE())&lt;-2),"",#REF!),"")</f>
        <v/>
      </c>
      <c r="S732" s="0" t="str">
        <f aca="false">IFERROR(IF(OR(HLOOKUP($A732,#REF!,17,FALSE())&gt;2,HLOOKUP($A732,#REF!,17,FALSE())&lt;-2),"",#REF!),"")</f>
        <v/>
      </c>
      <c r="T732" s="0" t="str">
        <f aca="false">IFERROR(IF(OR(HLOOKUP($A732,#REF!,18,FALSE())&gt;2,HLOOKUP($A732,#REF!,18,FALSE())&lt;-2),"",#REF!),"")</f>
        <v/>
      </c>
      <c r="U732" s="0" t="str">
        <f aca="false">IFERROR(IF(OR(HLOOKUP($A732,#REF!,19,FALSE())&gt;2,HLOOKUP($A732,#REF!,19,FALSE())&lt;-2),"",#REF!),"")</f>
        <v/>
      </c>
      <c r="V732" s="0" t="n">
        <f aca="false">IFERROR(IF(AND(X732=0,Y732=0),0,1),0)</f>
        <v>1</v>
      </c>
      <c r="W732" s="3" t="str">
        <f aca="false">IFERROR(_xlfn.T.TEST(E732:M732,N732:U732,2,2),"")</f>
        <v/>
      </c>
      <c r="X732" s="0" t="str">
        <f aca="false">IFERROR(AVERAGE(E732:M732),"")</f>
        <v/>
      </c>
      <c r="Y732" s="0" t="str">
        <f aca="false">IFERROR(AVERAGE(N732:U732),"")</f>
        <v/>
      </c>
    </row>
    <row r="733" customFormat="false" ht="14.5" hidden="false" customHeight="false" outlineLevel="0" collapsed="false">
      <c r="A733" s="0" t="n">
        <v>741</v>
      </c>
      <c r="B733" s="0" t="s">
        <v>791</v>
      </c>
      <c r="C733" s="0" t="n">
        <v>64400</v>
      </c>
      <c r="D733" s="0" t="n">
        <v>733</v>
      </c>
      <c r="E733" s="0" t="str">
        <f aca="false">IFERROR(IF(OR(HLOOKUP($A733,#REF!,3,FALSE())&gt;2,HLOOKUP(A733,#REF!,3,FALSE())&lt;-2),"",#REF!),"")</f>
        <v/>
      </c>
      <c r="F733" s="0" t="str">
        <f aca="false">IFERROR(IF(OR(HLOOKUP($A733,#REF!,4,FALSE())&gt;2,HLOOKUP($A733,#REF!,4,FALSE())&lt;-2),"",#REF!),"")</f>
        <v/>
      </c>
      <c r="G733" s="0" t="str">
        <f aca="false">IFERROR(IF(OR(HLOOKUP($A733,#REF!,5,FALSE())&gt;2,HLOOKUP($A733,#REF!,5,FALSE())&lt;-2),"",#REF!),"")</f>
        <v/>
      </c>
      <c r="H733" s="0" t="str">
        <f aca="false">IFERROR(IF(OR(HLOOKUP($A733,#REF!,6,FALSE())&gt;2,HLOOKUP($A733,#REF!,6,FALSE())&lt;-2),"",#REF!),"")</f>
        <v/>
      </c>
      <c r="I733" s="0" t="str">
        <f aca="false">IFERROR(IF(OR(HLOOKUP($A733,#REF!,7,FALSE())&gt;2,HLOOKUP($A733,#REF!,7,FALSE())&lt;-2),"",#REF!),"")</f>
        <v/>
      </c>
      <c r="J733" s="0" t="str">
        <f aca="false">IFERROR(IF(OR(HLOOKUP($A733,#REF!,8,FALSE())&gt;2,HLOOKUP($A733,#REF!,8,FALSE())&lt;-2),"",#REF!),"")</f>
        <v/>
      </c>
      <c r="K733" s="0" t="str">
        <f aca="false">IFERROR(IF(OR(HLOOKUP($A733,#REF!,9,FALSE())&gt;2,HLOOKUP($A733,#REF!,9,FALSE())&lt;-2),"",#REF!),"")</f>
        <v/>
      </c>
      <c r="L733" s="0" t="str">
        <f aca="false">IFERROR(IF(OR(HLOOKUP($A733,#REF!,10,FALSE())&gt;2,HLOOKUP($A733,#REF!,10,FALSE())&lt;-2),"",#REF!),"")</f>
        <v/>
      </c>
      <c r="M733" s="0" t="str">
        <f aca="false">IFERROR(IF(OR(HLOOKUP($A733,#REF!,11,FALSE())&gt;2,HLOOKUP($A733,#REF!,11,FALSE())&lt;-2),"",#REF!),"")</f>
        <v/>
      </c>
      <c r="N733" s="0" t="str">
        <f aca="false">IFERROR(IF(OR(HLOOKUP($A733,#REF!,12,FALSE())&gt;2,HLOOKUP($A733,#REF!,12,FALSE())&lt;-2),"",#REF!),"")</f>
        <v/>
      </c>
      <c r="O733" s="0" t="str">
        <f aca="false">IFERROR(IF(OR(HLOOKUP($A733,#REF!,13,FALSE())&gt;2,HLOOKUP($A733,#REF!,13,FALSE())&lt;-2),"",#REF!),"")</f>
        <v/>
      </c>
      <c r="P733" s="0" t="str">
        <f aca="false">IFERROR(IF(OR(HLOOKUP($A733,#REF!,14,FALSE())&gt;2,HLOOKUP($A733,#REF!,14,FALSE())&lt;-2),"",#REF!),"")</f>
        <v/>
      </c>
      <c r="Q733" s="0" t="str">
        <f aca="false">IFERROR(IF(OR(HLOOKUP($A733,#REF!,15,FALSE())&gt;2,HLOOKUP($A733,#REF!,15,FALSE())&lt;-2),"",#REF!),"")</f>
        <v/>
      </c>
      <c r="R733" s="0" t="str">
        <f aca="false">IFERROR(IF(OR(HLOOKUP($A733,#REF!,16,FALSE())&gt;2,HLOOKUP($A733,#REF!,16,FALSE())&lt;-2),"",#REF!),"")</f>
        <v/>
      </c>
      <c r="S733" s="0" t="str">
        <f aca="false">IFERROR(IF(OR(HLOOKUP($A733,#REF!,17,FALSE())&gt;2,HLOOKUP($A733,#REF!,17,FALSE())&lt;-2),"",#REF!),"")</f>
        <v/>
      </c>
      <c r="T733" s="0" t="str">
        <f aca="false">IFERROR(IF(OR(HLOOKUP($A733,#REF!,18,FALSE())&gt;2,HLOOKUP($A733,#REF!,18,FALSE())&lt;-2),"",#REF!),"")</f>
        <v/>
      </c>
      <c r="U733" s="0" t="str">
        <f aca="false">IFERROR(IF(OR(HLOOKUP($A733,#REF!,19,FALSE())&gt;2,HLOOKUP($A733,#REF!,19,FALSE())&lt;-2),"",#REF!),"")</f>
        <v/>
      </c>
      <c r="V733" s="0" t="n">
        <f aca="false">IFERROR(IF(AND(X733=0,Y733=0),0,1),0)</f>
        <v>1</v>
      </c>
      <c r="W733" s="3" t="str">
        <f aca="false">IFERROR(_xlfn.T.TEST(E733:M733,N733:U733,2,2),"")</f>
        <v/>
      </c>
      <c r="X733" s="0" t="str">
        <f aca="false">IFERROR(AVERAGE(E733:M733),"")</f>
        <v/>
      </c>
      <c r="Y733" s="0" t="str">
        <f aca="false">IFERROR(AVERAGE(N733:U733),"")</f>
        <v/>
      </c>
    </row>
    <row r="734" customFormat="false" ht="14.5" hidden="false" customHeight="false" outlineLevel="0" collapsed="false">
      <c r="A734" s="0" t="n">
        <v>742</v>
      </c>
      <c r="B734" s="0" t="s">
        <v>792</v>
      </c>
      <c r="C734" s="0" t="n">
        <v>39900</v>
      </c>
      <c r="D734" s="0" t="n">
        <v>734</v>
      </c>
      <c r="E734" s="0" t="str">
        <f aca="false">IFERROR(IF(OR(HLOOKUP($A734,#REF!,3,FALSE())&gt;2,HLOOKUP(A734,#REF!,3,FALSE())&lt;-2),"",#REF!),"")</f>
        <v/>
      </c>
      <c r="F734" s="0" t="str">
        <f aca="false">IFERROR(IF(OR(HLOOKUP($A734,#REF!,4,FALSE())&gt;2,HLOOKUP($A734,#REF!,4,FALSE())&lt;-2),"",#REF!),"")</f>
        <v/>
      </c>
      <c r="G734" s="0" t="str">
        <f aca="false">IFERROR(IF(OR(HLOOKUP($A734,#REF!,5,FALSE())&gt;2,HLOOKUP($A734,#REF!,5,FALSE())&lt;-2),"",#REF!),"")</f>
        <v/>
      </c>
      <c r="H734" s="0" t="str">
        <f aca="false">IFERROR(IF(OR(HLOOKUP($A734,#REF!,6,FALSE())&gt;2,HLOOKUP($A734,#REF!,6,FALSE())&lt;-2),"",#REF!),"")</f>
        <v/>
      </c>
      <c r="I734" s="0" t="str">
        <f aca="false">IFERROR(IF(OR(HLOOKUP($A734,#REF!,7,FALSE())&gt;2,HLOOKUP($A734,#REF!,7,FALSE())&lt;-2),"",#REF!),"")</f>
        <v/>
      </c>
      <c r="J734" s="0" t="str">
        <f aca="false">IFERROR(IF(OR(HLOOKUP($A734,#REF!,8,FALSE())&gt;2,HLOOKUP($A734,#REF!,8,FALSE())&lt;-2),"",#REF!),"")</f>
        <v/>
      </c>
      <c r="K734" s="0" t="str">
        <f aca="false">IFERROR(IF(OR(HLOOKUP($A734,#REF!,9,FALSE())&gt;2,HLOOKUP($A734,#REF!,9,FALSE())&lt;-2),"",#REF!),"")</f>
        <v/>
      </c>
      <c r="L734" s="0" t="str">
        <f aca="false">IFERROR(IF(OR(HLOOKUP($A734,#REF!,10,FALSE())&gt;2,HLOOKUP($A734,#REF!,10,FALSE())&lt;-2),"",#REF!),"")</f>
        <v/>
      </c>
      <c r="M734" s="0" t="str">
        <f aca="false">IFERROR(IF(OR(HLOOKUP($A734,#REF!,11,FALSE())&gt;2,HLOOKUP($A734,#REF!,11,FALSE())&lt;-2),"",#REF!),"")</f>
        <v/>
      </c>
      <c r="N734" s="0" t="str">
        <f aca="false">IFERROR(IF(OR(HLOOKUP($A734,#REF!,12,FALSE())&gt;2,HLOOKUP($A734,#REF!,12,FALSE())&lt;-2),"",#REF!),"")</f>
        <v/>
      </c>
      <c r="O734" s="0" t="str">
        <f aca="false">IFERROR(IF(OR(HLOOKUP($A734,#REF!,13,FALSE())&gt;2,HLOOKUP($A734,#REF!,13,FALSE())&lt;-2),"",#REF!),"")</f>
        <v/>
      </c>
      <c r="P734" s="0" t="str">
        <f aca="false">IFERROR(IF(OR(HLOOKUP($A734,#REF!,14,FALSE())&gt;2,HLOOKUP($A734,#REF!,14,FALSE())&lt;-2),"",#REF!),"")</f>
        <v/>
      </c>
      <c r="Q734" s="0" t="str">
        <f aca="false">IFERROR(IF(OR(HLOOKUP($A734,#REF!,15,FALSE())&gt;2,HLOOKUP($A734,#REF!,15,FALSE())&lt;-2),"",#REF!),"")</f>
        <v/>
      </c>
      <c r="R734" s="0" t="str">
        <f aca="false">IFERROR(IF(OR(HLOOKUP($A734,#REF!,16,FALSE())&gt;2,HLOOKUP($A734,#REF!,16,FALSE())&lt;-2),"",#REF!),"")</f>
        <v/>
      </c>
      <c r="S734" s="0" t="str">
        <f aca="false">IFERROR(IF(OR(HLOOKUP($A734,#REF!,17,FALSE())&gt;2,HLOOKUP($A734,#REF!,17,FALSE())&lt;-2),"",#REF!),"")</f>
        <v/>
      </c>
      <c r="T734" s="0" t="str">
        <f aca="false">IFERROR(IF(OR(HLOOKUP($A734,#REF!,18,FALSE())&gt;2,HLOOKUP($A734,#REF!,18,FALSE())&lt;-2),"",#REF!),"")</f>
        <v/>
      </c>
      <c r="U734" s="0" t="str">
        <f aca="false">IFERROR(IF(OR(HLOOKUP($A734,#REF!,19,FALSE())&gt;2,HLOOKUP($A734,#REF!,19,FALSE())&lt;-2),"",#REF!),"")</f>
        <v/>
      </c>
      <c r="V734" s="0" t="n">
        <f aca="false">IFERROR(IF(AND(X734=0,Y734=0),0,1),0)</f>
        <v>1</v>
      </c>
      <c r="W734" s="3" t="str">
        <f aca="false">IFERROR(_xlfn.T.TEST(E734:M734,N734:U734,2,2),"")</f>
        <v/>
      </c>
      <c r="X734" s="0" t="str">
        <f aca="false">IFERROR(AVERAGE(E734:M734),"")</f>
        <v/>
      </c>
      <c r="Y734" s="0" t="str">
        <f aca="false">IFERROR(AVERAGE(N734:U734),"")</f>
        <v/>
      </c>
    </row>
    <row r="735" customFormat="false" ht="14.5" hidden="false" customHeight="false" outlineLevel="0" collapsed="false">
      <c r="A735" s="0" t="n">
        <v>743</v>
      </c>
      <c r="B735" s="0" t="s">
        <v>793</v>
      </c>
      <c r="C735" s="0" t="n">
        <v>43600</v>
      </c>
      <c r="D735" s="0" t="n">
        <v>926</v>
      </c>
      <c r="E735" s="0" t="str">
        <f aca="false">IFERROR(IF(OR(HLOOKUP($A735,#REF!,3,FALSE())&gt;2,HLOOKUP(A735,#REF!,3,FALSE())&lt;-2),"",#REF!),"")</f>
        <v/>
      </c>
      <c r="F735" s="0" t="str">
        <f aca="false">IFERROR(IF(OR(HLOOKUP($A735,#REF!,4,FALSE())&gt;2,HLOOKUP($A735,#REF!,4,FALSE())&lt;-2),"",#REF!),"")</f>
        <v/>
      </c>
      <c r="G735" s="0" t="str">
        <f aca="false">IFERROR(IF(OR(HLOOKUP($A735,#REF!,5,FALSE())&gt;2,HLOOKUP($A735,#REF!,5,FALSE())&lt;-2),"",#REF!),"")</f>
        <v/>
      </c>
      <c r="H735" s="0" t="str">
        <f aca="false">IFERROR(IF(OR(HLOOKUP($A735,#REF!,6,FALSE())&gt;2,HLOOKUP($A735,#REF!,6,FALSE())&lt;-2),"",#REF!),"")</f>
        <v/>
      </c>
      <c r="I735" s="0" t="str">
        <f aca="false">IFERROR(IF(OR(HLOOKUP($A735,#REF!,7,FALSE())&gt;2,HLOOKUP($A735,#REF!,7,FALSE())&lt;-2),"",#REF!),"")</f>
        <v/>
      </c>
      <c r="J735" s="0" t="str">
        <f aca="false">IFERROR(IF(OR(HLOOKUP($A735,#REF!,8,FALSE())&gt;2,HLOOKUP($A735,#REF!,8,FALSE())&lt;-2),"",#REF!),"")</f>
        <v/>
      </c>
      <c r="K735" s="0" t="str">
        <f aca="false">IFERROR(IF(OR(HLOOKUP($A735,#REF!,9,FALSE())&gt;2,HLOOKUP($A735,#REF!,9,FALSE())&lt;-2),"",#REF!),"")</f>
        <v/>
      </c>
      <c r="L735" s="0" t="str">
        <f aca="false">IFERROR(IF(OR(HLOOKUP($A735,#REF!,10,FALSE())&gt;2,HLOOKUP($A735,#REF!,10,FALSE())&lt;-2),"",#REF!),"")</f>
        <v/>
      </c>
      <c r="M735" s="0" t="str">
        <f aca="false">IFERROR(IF(OR(HLOOKUP($A735,#REF!,11,FALSE())&gt;2,HLOOKUP($A735,#REF!,11,FALSE())&lt;-2),"",#REF!),"")</f>
        <v/>
      </c>
      <c r="N735" s="0" t="str">
        <f aca="false">IFERROR(IF(OR(HLOOKUP($A735,#REF!,12,FALSE())&gt;2,HLOOKUP($A735,#REF!,12,FALSE())&lt;-2),"",#REF!),"")</f>
        <v/>
      </c>
      <c r="O735" s="0" t="str">
        <f aca="false">IFERROR(IF(OR(HLOOKUP($A735,#REF!,13,FALSE())&gt;2,HLOOKUP($A735,#REF!,13,FALSE())&lt;-2),"",#REF!),"")</f>
        <v/>
      </c>
      <c r="P735" s="0" t="str">
        <f aca="false">IFERROR(IF(OR(HLOOKUP($A735,#REF!,14,FALSE())&gt;2,HLOOKUP($A735,#REF!,14,FALSE())&lt;-2),"",#REF!),"")</f>
        <v/>
      </c>
      <c r="Q735" s="0" t="str">
        <f aca="false">IFERROR(IF(OR(HLOOKUP($A735,#REF!,15,FALSE())&gt;2,HLOOKUP($A735,#REF!,15,FALSE())&lt;-2),"",#REF!),"")</f>
        <v/>
      </c>
      <c r="R735" s="0" t="str">
        <f aca="false">IFERROR(IF(OR(HLOOKUP($A735,#REF!,16,FALSE())&gt;2,HLOOKUP($A735,#REF!,16,FALSE())&lt;-2),"",#REF!),"")</f>
        <v/>
      </c>
      <c r="S735" s="0" t="str">
        <f aca="false">IFERROR(IF(OR(HLOOKUP($A735,#REF!,17,FALSE())&gt;2,HLOOKUP($A735,#REF!,17,FALSE())&lt;-2),"",#REF!),"")</f>
        <v/>
      </c>
      <c r="T735" s="0" t="str">
        <f aca="false">IFERROR(IF(OR(HLOOKUP($A735,#REF!,18,FALSE())&gt;2,HLOOKUP($A735,#REF!,18,FALSE())&lt;-2),"",#REF!),"")</f>
        <v/>
      </c>
      <c r="U735" s="0" t="str">
        <f aca="false">IFERROR(IF(OR(HLOOKUP($A735,#REF!,19,FALSE())&gt;2,HLOOKUP($A735,#REF!,19,FALSE())&lt;-2),"",#REF!),"")</f>
        <v/>
      </c>
      <c r="V735" s="0" t="n">
        <f aca="false">IFERROR(IF(AND(X735=0,Y735=0),0,1),0)</f>
        <v>1</v>
      </c>
      <c r="W735" s="3" t="str">
        <f aca="false">IFERROR(_xlfn.T.TEST(E735:M735,N735:U735,2,2),"")</f>
        <v/>
      </c>
      <c r="X735" s="0" t="str">
        <f aca="false">IFERROR(AVERAGE(E735:M735),"")</f>
        <v/>
      </c>
      <c r="Y735" s="0" t="str">
        <f aca="false">IFERROR(AVERAGE(N735:U735),"")</f>
        <v/>
      </c>
    </row>
    <row r="736" customFormat="false" ht="14.5" hidden="false" customHeight="false" outlineLevel="0" collapsed="false">
      <c r="A736" s="0" t="n">
        <v>744</v>
      </c>
      <c r="B736" s="0" t="s">
        <v>794</v>
      </c>
      <c r="C736" s="0" t="n">
        <v>104300</v>
      </c>
      <c r="D736" s="0" t="n">
        <v>960</v>
      </c>
      <c r="E736" s="0" t="str">
        <f aca="false">IFERROR(IF(OR(HLOOKUP($A736,#REF!,3,FALSE())&gt;2,HLOOKUP(A736,#REF!,3,FALSE())&lt;-2),"",#REF!),"")</f>
        <v/>
      </c>
      <c r="F736" s="0" t="str">
        <f aca="false">IFERROR(IF(OR(HLOOKUP($A736,#REF!,4,FALSE())&gt;2,HLOOKUP($A736,#REF!,4,FALSE())&lt;-2),"",#REF!),"")</f>
        <v/>
      </c>
      <c r="G736" s="0" t="str">
        <f aca="false">IFERROR(IF(OR(HLOOKUP($A736,#REF!,5,FALSE())&gt;2,HLOOKUP($A736,#REF!,5,FALSE())&lt;-2),"",#REF!),"")</f>
        <v/>
      </c>
      <c r="H736" s="0" t="str">
        <f aca="false">IFERROR(IF(OR(HLOOKUP($A736,#REF!,6,FALSE())&gt;2,HLOOKUP($A736,#REF!,6,FALSE())&lt;-2),"",#REF!),"")</f>
        <v/>
      </c>
      <c r="I736" s="0" t="str">
        <f aca="false">IFERROR(IF(OR(HLOOKUP($A736,#REF!,7,FALSE())&gt;2,HLOOKUP($A736,#REF!,7,FALSE())&lt;-2),"",#REF!),"")</f>
        <v/>
      </c>
      <c r="J736" s="0" t="str">
        <f aca="false">IFERROR(IF(OR(HLOOKUP($A736,#REF!,8,FALSE())&gt;2,HLOOKUP($A736,#REF!,8,FALSE())&lt;-2),"",#REF!),"")</f>
        <v/>
      </c>
      <c r="K736" s="0" t="str">
        <f aca="false">IFERROR(IF(OR(HLOOKUP($A736,#REF!,9,FALSE())&gt;2,HLOOKUP($A736,#REF!,9,FALSE())&lt;-2),"",#REF!),"")</f>
        <v/>
      </c>
      <c r="L736" s="0" t="str">
        <f aca="false">IFERROR(IF(OR(HLOOKUP($A736,#REF!,10,FALSE())&gt;2,HLOOKUP($A736,#REF!,10,FALSE())&lt;-2),"",#REF!),"")</f>
        <v/>
      </c>
      <c r="M736" s="0" t="str">
        <f aca="false">IFERROR(IF(OR(HLOOKUP($A736,#REF!,11,FALSE())&gt;2,HLOOKUP($A736,#REF!,11,FALSE())&lt;-2),"",#REF!),"")</f>
        <v/>
      </c>
      <c r="N736" s="0" t="str">
        <f aca="false">IFERROR(IF(OR(HLOOKUP($A736,#REF!,12,FALSE())&gt;2,HLOOKUP($A736,#REF!,12,FALSE())&lt;-2),"",#REF!),"")</f>
        <v/>
      </c>
      <c r="O736" s="0" t="str">
        <f aca="false">IFERROR(IF(OR(HLOOKUP($A736,#REF!,13,FALSE())&gt;2,HLOOKUP($A736,#REF!,13,FALSE())&lt;-2),"",#REF!),"")</f>
        <v/>
      </c>
      <c r="P736" s="0" t="str">
        <f aca="false">IFERROR(IF(OR(HLOOKUP($A736,#REF!,14,FALSE())&gt;2,HLOOKUP($A736,#REF!,14,FALSE())&lt;-2),"",#REF!),"")</f>
        <v/>
      </c>
      <c r="Q736" s="0" t="str">
        <f aca="false">IFERROR(IF(OR(HLOOKUP($A736,#REF!,15,FALSE())&gt;2,HLOOKUP($A736,#REF!,15,FALSE())&lt;-2),"",#REF!),"")</f>
        <v/>
      </c>
      <c r="R736" s="0" t="str">
        <f aca="false">IFERROR(IF(OR(HLOOKUP($A736,#REF!,16,FALSE())&gt;2,HLOOKUP($A736,#REF!,16,FALSE())&lt;-2),"",#REF!),"")</f>
        <v/>
      </c>
      <c r="S736" s="0" t="str">
        <f aca="false">IFERROR(IF(OR(HLOOKUP($A736,#REF!,17,FALSE())&gt;2,HLOOKUP($A736,#REF!,17,FALSE())&lt;-2),"",#REF!),"")</f>
        <v/>
      </c>
      <c r="T736" s="0" t="str">
        <f aca="false">IFERROR(IF(OR(HLOOKUP($A736,#REF!,18,FALSE())&gt;2,HLOOKUP($A736,#REF!,18,FALSE())&lt;-2),"",#REF!),"")</f>
        <v/>
      </c>
      <c r="U736" s="0" t="str">
        <f aca="false">IFERROR(IF(OR(HLOOKUP($A736,#REF!,19,FALSE())&gt;2,HLOOKUP($A736,#REF!,19,FALSE())&lt;-2),"",#REF!),"")</f>
        <v/>
      </c>
      <c r="V736" s="0" t="n">
        <f aca="false">IFERROR(IF(AND(X736=0,Y736=0),0,1),0)</f>
        <v>1</v>
      </c>
      <c r="W736" s="3" t="str">
        <f aca="false">IFERROR(_xlfn.T.TEST(E736:M736,N736:U736,2,2),"")</f>
        <v/>
      </c>
      <c r="X736" s="0" t="str">
        <f aca="false">IFERROR(AVERAGE(E736:M736),"")</f>
        <v/>
      </c>
      <c r="Y736" s="0" t="str">
        <f aca="false">IFERROR(AVERAGE(N736:U736),"")</f>
        <v/>
      </c>
    </row>
    <row r="737" customFormat="false" ht="14.5" hidden="false" customHeight="false" outlineLevel="0" collapsed="false">
      <c r="A737" s="0" t="n">
        <v>745</v>
      </c>
      <c r="B737" s="0" t="s">
        <v>795</v>
      </c>
      <c r="C737" s="0" t="n">
        <v>111500</v>
      </c>
      <c r="D737" s="0" t="n">
        <v>1099</v>
      </c>
      <c r="E737" s="0" t="str">
        <f aca="false">IFERROR(IF(OR(HLOOKUP($A737,#REF!,3,FALSE())&gt;2,HLOOKUP(A737,#REF!,3,FALSE())&lt;-2),"",#REF!),"")</f>
        <v/>
      </c>
      <c r="F737" s="0" t="str">
        <f aca="false">IFERROR(IF(OR(HLOOKUP($A737,#REF!,4,FALSE())&gt;2,HLOOKUP($A737,#REF!,4,FALSE())&lt;-2),"",#REF!),"")</f>
        <v/>
      </c>
      <c r="G737" s="0" t="str">
        <f aca="false">IFERROR(IF(OR(HLOOKUP($A737,#REF!,5,FALSE())&gt;2,HLOOKUP($A737,#REF!,5,FALSE())&lt;-2),"",#REF!),"")</f>
        <v/>
      </c>
      <c r="H737" s="0" t="str">
        <f aca="false">IFERROR(IF(OR(HLOOKUP($A737,#REF!,6,FALSE())&gt;2,HLOOKUP($A737,#REF!,6,FALSE())&lt;-2),"",#REF!),"")</f>
        <v/>
      </c>
      <c r="I737" s="0" t="str">
        <f aca="false">IFERROR(IF(OR(HLOOKUP($A737,#REF!,7,FALSE())&gt;2,HLOOKUP($A737,#REF!,7,FALSE())&lt;-2),"",#REF!),"")</f>
        <v/>
      </c>
      <c r="J737" s="0" t="str">
        <f aca="false">IFERROR(IF(OR(HLOOKUP($A737,#REF!,8,FALSE())&gt;2,HLOOKUP($A737,#REF!,8,FALSE())&lt;-2),"",#REF!),"")</f>
        <v/>
      </c>
      <c r="K737" s="0" t="str">
        <f aca="false">IFERROR(IF(OR(HLOOKUP($A737,#REF!,9,FALSE())&gt;2,HLOOKUP($A737,#REF!,9,FALSE())&lt;-2),"",#REF!),"")</f>
        <v/>
      </c>
      <c r="L737" s="0" t="str">
        <f aca="false">IFERROR(IF(OR(HLOOKUP($A737,#REF!,10,FALSE())&gt;2,HLOOKUP($A737,#REF!,10,FALSE())&lt;-2),"",#REF!),"")</f>
        <v/>
      </c>
      <c r="M737" s="0" t="str">
        <f aca="false">IFERROR(IF(OR(HLOOKUP($A737,#REF!,11,FALSE())&gt;2,HLOOKUP($A737,#REF!,11,FALSE())&lt;-2),"",#REF!),"")</f>
        <v/>
      </c>
      <c r="N737" s="0" t="str">
        <f aca="false">IFERROR(IF(OR(HLOOKUP($A737,#REF!,12,FALSE())&gt;2,HLOOKUP($A737,#REF!,12,FALSE())&lt;-2),"",#REF!),"")</f>
        <v/>
      </c>
      <c r="O737" s="0" t="str">
        <f aca="false">IFERROR(IF(OR(HLOOKUP($A737,#REF!,13,FALSE())&gt;2,HLOOKUP($A737,#REF!,13,FALSE())&lt;-2),"",#REF!),"")</f>
        <v/>
      </c>
      <c r="P737" s="0" t="str">
        <f aca="false">IFERROR(IF(OR(HLOOKUP($A737,#REF!,14,FALSE())&gt;2,HLOOKUP($A737,#REF!,14,FALSE())&lt;-2),"",#REF!),"")</f>
        <v/>
      </c>
      <c r="Q737" s="0" t="str">
        <f aca="false">IFERROR(IF(OR(HLOOKUP($A737,#REF!,15,FALSE())&gt;2,HLOOKUP($A737,#REF!,15,FALSE())&lt;-2),"",#REF!),"")</f>
        <v/>
      </c>
      <c r="R737" s="0" t="str">
        <f aca="false">IFERROR(IF(OR(HLOOKUP($A737,#REF!,16,FALSE())&gt;2,HLOOKUP($A737,#REF!,16,FALSE())&lt;-2),"",#REF!),"")</f>
        <v/>
      </c>
      <c r="S737" s="0" t="str">
        <f aca="false">IFERROR(IF(OR(HLOOKUP($A737,#REF!,17,FALSE())&gt;2,HLOOKUP($A737,#REF!,17,FALSE())&lt;-2),"",#REF!),"")</f>
        <v/>
      </c>
      <c r="T737" s="0" t="str">
        <f aca="false">IFERROR(IF(OR(HLOOKUP($A737,#REF!,18,FALSE())&gt;2,HLOOKUP($A737,#REF!,18,FALSE())&lt;-2),"",#REF!),"")</f>
        <v/>
      </c>
      <c r="U737" s="0" t="str">
        <f aca="false">IFERROR(IF(OR(HLOOKUP($A737,#REF!,19,FALSE())&gt;2,HLOOKUP($A737,#REF!,19,FALSE())&lt;-2),"",#REF!),"")</f>
        <v/>
      </c>
      <c r="V737" s="0" t="n">
        <f aca="false">IFERROR(IF(AND(X737=0,Y737=0),0,1),0)</f>
        <v>1</v>
      </c>
      <c r="W737" s="3" t="str">
        <f aca="false">IFERROR(_xlfn.T.TEST(E737:M737,N737:U737,2,2),"")</f>
        <v/>
      </c>
      <c r="X737" s="0" t="str">
        <f aca="false">IFERROR(AVERAGE(E737:M737),"")</f>
        <v/>
      </c>
      <c r="Y737" s="0" t="str">
        <f aca="false">IFERROR(AVERAGE(N737:U737),"")</f>
        <v/>
      </c>
    </row>
    <row r="738" customFormat="false" ht="14.5" hidden="false" customHeight="false" outlineLevel="0" collapsed="false">
      <c r="A738" s="0" t="n">
        <v>746</v>
      </c>
      <c r="B738" s="0" t="s">
        <v>796</v>
      </c>
      <c r="C738" s="0" t="n">
        <v>22700</v>
      </c>
      <c r="D738" s="0" t="n">
        <v>714</v>
      </c>
      <c r="E738" s="0" t="str">
        <f aca="false">IFERROR(IF(OR(HLOOKUP($A738,#REF!,3,FALSE())&gt;2,HLOOKUP(A738,#REF!,3,FALSE())&lt;-2),"",#REF!),"")</f>
        <v/>
      </c>
      <c r="F738" s="0" t="str">
        <f aca="false">IFERROR(IF(OR(HLOOKUP($A738,#REF!,4,FALSE())&gt;2,HLOOKUP($A738,#REF!,4,FALSE())&lt;-2),"",#REF!),"")</f>
        <v/>
      </c>
      <c r="G738" s="0" t="str">
        <f aca="false">IFERROR(IF(OR(HLOOKUP($A738,#REF!,5,FALSE())&gt;2,HLOOKUP($A738,#REF!,5,FALSE())&lt;-2),"",#REF!),"")</f>
        <v/>
      </c>
      <c r="H738" s="0" t="str">
        <f aca="false">IFERROR(IF(OR(HLOOKUP($A738,#REF!,6,FALSE())&gt;2,HLOOKUP($A738,#REF!,6,FALSE())&lt;-2),"",#REF!),"")</f>
        <v/>
      </c>
      <c r="I738" s="0" t="str">
        <f aca="false">IFERROR(IF(OR(HLOOKUP($A738,#REF!,7,FALSE())&gt;2,HLOOKUP($A738,#REF!,7,FALSE())&lt;-2),"",#REF!),"")</f>
        <v/>
      </c>
      <c r="J738" s="0" t="str">
        <f aca="false">IFERROR(IF(OR(HLOOKUP($A738,#REF!,8,FALSE())&gt;2,HLOOKUP($A738,#REF!,8,FALSE())&lt;-2),"",#REF!),"")</f>
        <v/>
      </c>
      <c r="K738" s="0" t="str">
        <f aca="false">IFERROR(IF(OR(HLOOKUP($A738,#REF!,9,FALSE())&gt;2,HLOOKUP($A738,#REF!,9,FALSE())&lt;-2),"",#REF!),"")</f>
        <v/>
      </c>
      <c r="L738" s="0" t="str">
        <f aca="false">IFERROR(IF(OR(HLOOKUP($A738,#REF!,10,FALSE())&gt;2,HLOOKUP($A738,#REF!,10,FALSE())&lt;-2),"",#REF!),"")</f>
        <v/>
      </c>
      <c r="M738" s="0" t="str">
        <f aca="false">IFERROR(IF(OR(HLOOKUP($A738,#REF!,11,FALSE())&gt;2,HLOOKUP($A738,#REF!,11,FALSE())&lt;-2),"",#REF!),"")</f>
        <v/>
      </c>
      <c r="N738" s="0" t="str">
        <f aca="false">IFERROR(IF(OR(HLOOKUP($A738,#REF!,12,FALSE())&gt;2,HLOOKUP($A738,#REF!,12,FALSE())&lt;-2),"",#REF!),"")</f>
        <v/>
      </c>
      <c r="O738" s="0" t="str">
        <f aca="false">IFERROR(IF(OR(HLOOKUP($A738,#REF!,13,FALSE())&gt;2,HLOOKUP($A738,#REF!,13,FALSE())&lt;-2),"",#REF!),"")</f>
        <v/>
      </c>
      <c r="P738" s="0" t="str">
        <f aca="false">IFERROR(IF(OR(HLOOKUP($A738,#REF!,14,FALSE())&gt;2,HLOOKUP($A738,#REF!,14,FALSE())&lt;-2),"",#REF!),"")</f>
        <v/>
      </c>
      <c r="Q738" s="0" t="str">
        <f aca="false">IFERROR(IF(OR(HLOOKUP($A738,#REF!,15,FALSE())&gt;2,HLOOKUP($A738,#REF!,15,FALSE())&lt;-2),"",#REF!),"")</f>
        <v/>
      </c>
      <c r="R738" s="0" t="str">
        <f aca="false">IFERROR(IF(OR(HLOOKUP($A738,#REF!,16,FALSE())&gt;2,HLOOKUP($A738,#REF!,16,FALSE())&lt;-2),"",#REF!),"")</f>
        <v/>
      </c>
      <c r="S738" s="0" t="str">
        <f aca="false">IFERROR(IF(OR(HLOOKUP($A738,#REF!,17,FALSE())&gt;2,HLOOKUP($A738,#REF!,17,FALSE())&lt;-2),"",#REF!),"")</f>
        <v/>
      </c>
      <c r="T738" s="0" t="str">
        <f aca="false">IFERROR(IF(OR(HLOOKUP($A738,#REF!,18,FALSE())&gt;2,HLOOKUP($A738,#REF!,18,FALSE())&lt;-2),"",#REF!),"")</f>
        <v/>
      </c>
      <c r="U738" s="0" t="str">
        <f aca="false">IFERROR(IF(OR(HLOOKUP($A738,#REF!,19,FALSE())&gt;2,HLOOKUP($A738,#REF!,19,FALSE())&lt;-2),"",#REF!),"")</f>
        <v/>
      </c>
      <c r="V738" s="0" t="n">
        <f aca="false">IFERROR(IF(AND(X738=0,Y738=0),0,1),0)</f>
        <v>1</v>
      </c>
      <c r="W738" s="3" t="str">
        <f aca="false">IFERROR(_xlfn.T.TEST(E738:M738,N738:U738,2,2),"")</f>
        <v/>
      </c>
      <c r="X738" s="0" t="str">
        <f aca="false">IFERROR(AVERAGE(E738:M738),"")</f>
        <v/>
      </c>
      <c r="Y738" s="0" t="str">
        <f aca="false">IFERROR(AVERAGE(N738:U738),"")</f>
        <v/>
      </c>
    </row>
    <row r="739" customFormat="false" ht="14.5" hidden="false" customHeight="false" outlineLevel="0" collapsed="false">
      <c r="A739" s="0" t="n">
        <v>747</v>
      </c>
      <c r="B739" s="0" t="s">
        <v>797</v>
      </c>
      <c r="C739" s="0" t="n">
        <v>8600</v>
      </c>
      <c r="D739" s="0" t="n">
        <v>44</v>
      </c>
      <c r="E739" s="0" t="str">
        <f aca="false">IFERROR(IF(OR(HLOOKUP($A739,#REF!,3,FALSE())&gt;2,HLOOKUP(A739,#REF!,3,FALSE())&lt;-2),"",#REF!),"")</f>
        <v/>
      </c>
      <c r="F739" s="0" t="str">
        <f aca="false">IFERROR(IF(OR(HLOOKUP($A739,#REF!,4,FALSE())&gt;2,HLOOKUP($A739,#REF!,4,FALSE())&lt;-2),"",#REF!),"")</f>
        <v/>
      </c>
      <c r="G739" s="0" t="str">
        <f aca="false">IFERROR(IF(OR(HLOOKUP($A739,#REF!,5,FALSE())&gt;2,HLOOKUP($A739,#REF!,5,FALSE())&lt;-2),"",#REF!),"")</f>
        <v/>
      </c>
      <c r="H739" s="0" t="str">
        <f aca="false">IFERROR(IF(OR(HLOOKUP($A739,#REF!,6,FALSE())&gt;2,HLOOKUP($A739,#REF!,6,FALSE())&lt;-2),"",#REF!),"")</f>
        <v/>
      </c>
      <c r="I739" s="0" t="str">
        <f aca="false">IFERROR(IF(OR(HLOOKUP($A739,#REF!,7,FALSE())&gt;2,HLOOKUP($A739,#REF!,7,FALSE())&lt;-2),"",#REF!),"")</f>
        <v/>
      </c>
      <c r="J739" s="0" t="str">
        <f aca="false">IFERROR(IF(OR(HLOOKUP($A739,#REF!,8,FALSE())&gt;2,HLOOKUP($A739,#REF!,8,FALSE())&lt;-2),"",#REF!),"")</f>
        <v/>
      </c>
      <c r="K739" s="0" t="str">
        <f aca="false">IFERROR(IF(OR(HLOOKUP($A739,#REF!,9,FALSE())&gt;2,HLOOKUP($A739,#REF!,9,FALSE())&lt;-2),"",#REF!),"")</f>
        <v/>
      </c>
      <c r="L739" s="0" t="str">
        <f aca="false">IFERROR(IF(OR(HLOOKUP($A739,#REF!,10,FALSE())&gt;2,HLOOKUP($A739,#REF!,10,FALSE())&lt;-2),"",#REF!),"")</f>
        <v/>
      </c>
      <c r="M739" s="0" t="str">
        <f aca="false">IFERROR(IF(OR(HLOOKUP($A739,#REF!,11,FALSE())&gt;2,HLOOKUP($A739,#REF!,11,FALSE())&lt;-2),"",#REF!),"")</f>
        <v/>
      </c>
      <c r="N739" s="0" t="str">
        <f aca="false">IFERROR(IF(OR(HLOOKUP($A739,#REF!,12,FALSE())&gt;2,HLOOKUP($A739,#REF!,12,FALSE())&lt;-2),"",#REF!),"")</f>
        <v/>
      </c>
      <c r="O739" s="0" t="str">
        <f aca="false">IFERROR(IF(OR(HLOOKUP($A739,#REF!,13,FALSE())&gt;2,HLOOKUP($A739,#REF!,13,FALSE())&lt;-2),"",#REF!),"")</f>
        <v/>
      </c>
      <c r="P739" s="0" t="str">
        <f aca="false">IFERROR(IF(OR(HLOOKUP($A739,#REF!,14,FALSE())&gt;2,HLOOKUP($A739,#REF!,14,FALSE())&lt;-2),"",#REF!),"")</f>
        <v/>
      </c>
      <c r="Q739" s="0" t="str">
        <f aca="false">IFERROR(IF(OR(HLOOKUP($A739,#REF!,15,FALSE())&gt;2,HLOOKUP($A739,#REF!,15,FALSE())&lt;-2),"",#REF!),"")</f>
        <v/>
      </c>
      <c r="R739" s="0" t="str">
        <f aca="false">IFERROR(IF(OR(HLOOKUP($A739,#REF!,16,FALSE())&gt;2,HLOOKUP($A739,#REF!,16,FALSE())&lt;-2),"",#REF!),"")</f>
        <v/>
      </c>
      <c r="S739" s="0" t="str">
        <f aca="false">IFERROR(IF(OR(HLOOKUP($A739,#REF!,17,FALSE())&gt;2,HLOOKUP($A739,#REF!,17,FALSE())&lt;-2),"",#REF!),"")</f>
        <v/>
      </c>
      <c r="T739" s="0" t="str">
        <f aca="false">IFERROR(IF(OR(HLOOKUP($A739,#REF!,18,FALSE())&gt;2,HLOOKUP($A739,#REF!,18,FALSE())&lt;-2),"",#REF!),"")</f>
        <v/>
      </c>
      <c r="U739" s="0" t="str">
        <f aca="false">IFERROR(IF(OR(HLOOKUP($A739,#REF!,19,FALSE())&gt;2,HLOOKUP($A739,#REF!,19,FALSE())&lt;-2),"",#REF!),"")</f>
        <v/>
      </c>
      <c r="V739" s="0" t="n">
        <f aca="false">IFERROR(IF(AND(X739=0,Y739=0),0,1),0)</f>
        <v>1</v>
      </c>
      <c r="W739" s="3" t="str">
        <f aca="false">IFERROR(_xlfn.T.TEST(E739:M739,N739:U739,2,2),"")</f>
        <v/>
      </c>
      <c r="X739" s="0" t="str">
        <f aca="false">IFERROR(AVERAGE(E739:M739),"")</f>
        <v/>
      </c>
      <c r="Y739" s="0" t="str">
        <f aca="false">IFERROR(AVERAGE(N739:U739),"")</f>
        <v/>
      </c>
    </row>
    <row r="740" customFormat="false" ht="14.5" hidden="false" customHeight="false" outlineLevel="0" collapsed="false">
      <c r="A740" s="0" t="n">
        <v>748</v>
      </c>
      <c r="B740" s="0" t="s">
        <v>798</v>
      </c>
      <c r="C740" s="0" t="n">
        <v>75800</v>
      </c>
      <c r="D740" s="0" t="n">
        <v>515</v>
      </c>
      <c r="E740" s="0" t="str">
        <f aca="false">IFERROR(IF(OR(HLOOKUP($A740,#REF!,3,FALSE())&gt;2,HLOOKUP(A740,#REF!,3,FALSE())&lt;-2),"",#REF!),"")</f>
        <v/>
      </c>
      <c r="F740" s="0" t="str">
        <f aca="false">IFERROR(IF(OR(HLOOKUP($A740,#REF!,4,FALSE())&gt;2,HLOOKUP($A740,#REF!,4,FALSE())&lt;-2),"",#REF!),"")</f>
        <v/>
      </c>
      <c r="G740" s="0" t="str">
        <f aca="false">IFERROR(IF(OR(HLOOKUP($A740,#REF!,5,FALSE())&gt;2,HLOOKUP($A740,#REF!,5,FALSE())&lt;-2),"",#REF!),"")</f>
        <v/>
      </c>
      <c r="H740" s="0" t="str">
        <f aca="false">IFERROR(IF(OR(HLOOKUP($A740,#REF!,6,FALSE())&gt;2,HLOOKUP($A740,#REF!,6,FALSE())&lt;-2),"",#REF!),"")</f>
        <v/>
      </c>
      <c r="I740" s="0" t="str">
        <f aca="false">IFERROR(IF(OR(HLOOKUP($A740,#REF!,7,FALSE())&gt;2,HLOOKUP($A740,#REF!,7,FALSE())&lt;-2),"",#REF!),"")</f>
        <v/>
      </c>
      <c r="J740" s="0" t="str">
        <f aca="false">IFERROR(IF(OR(HLOOKUP($A740,#REF!,8,FALSE())&gt;2,HLOOKUP($A740,#REF!,8,FALSE())&lt;-2),"",#REF!),"")</f>
        <v/>
      </c>
      <c r="K740" s="0" t="str">
        <f aca="false">IFERROR(IF(OR(HLOOKUP($A740,#REF!,9,FALSE())&gt;2,HLOOKUP($A740,#REF!,9,FALSE())&lt;-2),"",#REF!),"")</f>
        <v/>
      </c>
      <c r="L740" s="0" t="str">
        <f aca="false">IFERROR(IF(OR(HLOOKUP($A740,#REF!,10,FALSE())&gt;2,HLOOKUP($A740,#REF!,10,FALSE())&lt;-2),"",#REF!),"")</f>
        <v/>
      </c>
      <c r="M740" s="0" t="str">
        <f aca="false">IFERROR(IF(OR(HLOOKUP($A740,#REF!,11,FALSE())&gt;2,HLOOKUP($A740,#REF!,11,FALSE())&lt;-2),"",#REF!),"")</f>
        <v/>
      </c>
      <c r="N740" s="0" t="str">
        <f aca="false">IFERROR(IF(OR(HLOOKUP($A740,#REF!,12,FALSE())&gt;2,HLOOKUP($A740,#REF!,12,FALSE())&lt;-2),"",#REF!),"")</f>
        <v/>
      </c>
      <c r="O740" s="0" t="str">
        <f aca="false">IFERROR(IF(OR(HLOOKUP($A740,#REF!,13,FALSE())&gt;2,HLOOKUP($A740,#REF!,13,FALSE())&lt;-2),"",#REF!),"")</f>
        <v/>
      </c>
      <c r="P740" s="0" t="str">
        <f aca="false">IFERROR(IF(OR(HLOOKUP($A740,#REF!,14,FALSE())&gt;2,HLOOKUP($A740,#REF!,14,FALSE())&lt;-2),"",#REF!),"")</f>
        <v/>
      </c>
      <c r="Q740" s="0" t="str">
        <f aca="false">IFERROR(IF(OR(HLOOKUP($A740,#REF!,15,FALSE())&gt;2,HLOOKUP($A740,#REF!,15,FALSE())&lt;-2),"",#REF!),"")</f>
        <v/>
      </c>
      <c r="R740" s="0" t="str">
        <f aca="false">IFERROR(IF(OR(HLOOKUP($A740,#REF!,16,FALSE())&gt;2,HLOOKUP($A740,#REF!,16,FALSE())&lt;-2),"",#REF!),"")</f>
        <v/>
      </c>
      <c r="S740" s="0" t="str">
        <f aca="false">IFERROR(IF(OR(HLOOKUP($A740,#REF!,17,FALSE())&gt;2,HLOOKUP($A740,#REF!,17,FALSE())&lt;-2),"",#REF!),"")</f>
        <v/>
      </c>
      <c r="T740" s="0" t="str">
        <f aca="false">IFERROR(IF(OR(HLOOKUP($A740,#REF!,18,FALSE())&gt;2,HLOOKUP($A740,#REF!,18,FALSE())&lt;-2),"",#REF!),"")</f>
        <v/>
      </c>
      <c r="U740" s="0" t="str">
        <f aca="false">IFERROR(IF(OR(HLOOKUP($A740,#REF!,19,FALSE())&gt;2,HLOOKUP($A740,#REF!,19,FALSE())&lt;-2),"",#REF!),"")</f>
        <v/>
      </c>
      <c r="V740" s="0" t="n">
        <f aca="false">IFERROR(IF(AND(X740=0,Y740=0),0,1),0)</f>
        <v>1</v>
      </c>
      <c r="W740" s="3" t="str">
        <f aca="false">IFERROR(_xlfn.T.TEST(E740:M740,N740:U740,2,2),"")</f>
        <v/>
      </c>
      <c r="X740" s="0" t="str">
        <f aca="false">IFERROR(AVERAGE(E740:M740),"")</f>
        <v/>
      </c>
      <c r="Y740" s="0" t="str">
        <f aca="false">IFERROR(AVERAGE(N740:U740),"")</f>
        <v/>
      </c>
    </row>
    <row r="741" customFormat="false" ht="14.5" hidden="false" customHeight="false" outlineLevel="0" collapsed="false">
      <c r="A741" s="0" t="n">
        <v>749</v>
      </c>
      <c r="B741" s="0" t="s">
        <v>799</v>
      </c>
      <c r="C741" s="0" t="n">
        <v>80100</v>
      </c>
      <c r="D741" s="0" t="n">
        <v>323</v>
      </c>
      <c r="E741" s="0" t="str">
        <f aca="false">IFERROR(IF(OR(HLOOKUP($A741,#REF!,3,FALSE())&gt;2,HLOOKUP(A741,#REF!,3,FALSE())&lt;-2),"",#REF!),"")</f>
        <v/>
      </c>
      <c r="F741" s="0" t="str">
        <f aca="false">IFERROR(IF(OR(HLOOKUP($A741,#REF!,4,FALSE())&gt;2,HLOOKUP($A741,#REF!,4,FALSE())&lt;-2),"",#REF!),"")</f>
        <v/>
      </c>
      <c r="G741" s="0" t="str">
        <f aca="false">IFERROR(IF(OR(HLOOKUP($A741,#REF!,5,FALSE())&gt;2,HLOOKUP($A741,#REF!,5,FALSE())&lt;-2),"",#REF!),"")</f>
        <v/>
      </c>
      <c r="H741" s="0" t="str">
        <f aca="false">IFERROR(IF(OR(HLOOKUP($A741,#REF!,6,FALSE())&gt;2,HLOOKUP($A741,#REF!,6,FALSE())&lt;-2),"",#REF!),"")</f>
        <v/>
      </c>
      <c r="I741" s="0" t="str">
        <f aca="false">IFERROR(IF(OR(HLOOKUP($A741,#REF!,7,FALSE())&gt;2,HLOOKUP($A741,#REF!,7,FALSE())&lt;-2),"",#REF!),"")</f>
        <v/>
      </c>
      <c r="J741" s="0" t="str">
        <f aca="false">IFERROR(IF(OR(HLOOKUP($A741,#REF!,8,FALSE())&gt;2,HLOOKUP($A741,#REF!,8,FALSE())&lt;-2),"",#REF!),"")</f>
        <v/>
      </c>
      <c r="K741" s="0" t="str">
        <f aca="false">IFERROR(IF(OR(HLOOKUP($A741,#REF!,9,FALSE())&gt;2,HLOOKUP($A741,#REF!,9,FALSE())&lt;-2),"",#REF!),"")</f>
        <v/>
      </c>
      <c r="L741" s="0" t="str">
        <f aca="false">IFERROR(IF(OR(HLOOKUP($A741,#REF!,10,FALSE())&gt;2,HLOOKUP($A741,#REF!,10,FALSE())&lt;-2),"",#REF!),"")</f>
        <v/>
      </c>
      <c r="M741" s="0" t="str">
        <f aca="false">IFERROR(IF(OR(HLOOKUP($A741,#REF!,11,FALSE())&gt;2,HLOOKUP($A741,#REF!,11,FALSE())&lt;-2),"",#REF!),"")</f>
        <v/>
      </c>
      <c r="N741" s="0" t="str">
        <f aca="false">IFERROR(IF(OR(HLOOKUP($A741,#REF!,12,FALSE())&gt;2,HLOOKUP($A741,#REF!,12,FALSE())&lt;-2),"",#REF!),"")</f>
        <v/>
      </c>
      <c r="O741" s="0" t="str">
        <f aca="false">IFERROR(IF(OR(HLOOKUP($A741,#REF!,13,FALSE())&gt;2,HLOOKUP($A741,#REF!,13,FALSE())&lt;-2),"",#REF!),"")</f>
        <v/>
      </c>
      <c r="P741" s="0" t="str">
        <f aca="false">IFERROR(IF(OR(HLOOKUP($A741,#REF!,14,FALSE())&gt;2,HLOOKUP($A741,#REF!,14,FALSE())&lt;-2),"",#REF!),"")</f>
        <v/>
      </c>
      <c r="Q741" s="0" t="str">
        <f aca="false">IFERROR(IF(OR(HLOOKUP($A741,#REF!,15,FALSE())&gt;2,HLOOKUP($A741,#REF!,15,FALSE())&lt;-2),"",#REF!),"")</f>
        <v/>
      </c>
      <c r="R741" s="0" t="str">
        <f aca="false">IFERROR(IF(OR(HLOOKUP($A741,#REF!,16,FALSE())&gt;2,HLOOKUP($A741,#REF!,16,FALSE())&lt;-2),"",#REF!),"")</f>
        <v/>
      </c>
      <c r="S741" s="0" t="str">
        <f aca="false">IFERROR(IF(OR(HLOOKUP($A741,#REF!,17,FALSE())&gt;2,HLOOKUP($A741,#REF!,17,FALSE())&lt;-2),"",#REF!),"")</f>
        <v/>
      </c>
      <c r="T741" s="0" t="str">
        <f aca="false">IFERROR(IF(OR(HLOOKUP($A741,#REF!,18,FALSE())&gt;2,HLOOKUP($A741,#REF!,18,FALSE())&lt;-2),"",#REF!),"")</f>
        <v/>
      </c>
      <c r="U741" s="0" t="str">
        <f aca="false">IFERROR(IF(OR(HLOOKUP($A741,#REF!,19,FALSE())&gt;2,HLOOKUP($A741,#REF!,19,FALSE())&lt;-2),"",#REF!),"")</f>
        <v/>
      </c>
      <c r="V741" s="0" t="n">
        <f aca="false">IFERROR(IF(AND(X741=0,Y741=0),0,1),0)</f>
        <v>1</v>
      </c>
      <c r="W741" s="3" t="str">
        <f aca="false">IFERROR(_xlfn.T.TEST(E741:M741,N741:U741,2,2),"")</f>
        <v/>
      </c>
      <c r="X741" s="0" t="str">
        <f aca="false">IFERROR(AVERAGE(E741:M741),"")</f>
        <v/>
      </c>
      <c r="Y741" s="0" t="str">
        <f aca="false">IFERROR(AVERAGE(N741:U741),"")</f>
        <v/>
      </c>
    </row>
    <row r="742" customFormat="false" ht="14.5" hidden="false" customHeight="false" outlineLevel="0" collapsed="false">
      <c r="A742" s="0" t="n">
        <v>750</v>
      </c>
      <c r="B742" s="0" t="s">
        <v>800</v>
      </c>
      <c r="C742" s="0" t="n">
        <v>17000</v>
      </c>
      <c r="D742" s="0" t="n">
        <v>425</v>
      </c>
      <c r="E742" s="0" t="str">
        <f aca="false">IFERROR(IF(OR(HLOOKUP($A742,#REF!,3,FALSE())&gt;2,HLOOKUP(A742,#REF!,3,FALSE())&lt;-2),"",#REF!),"")</f>
        <v/>
      </c>
      <c r="F742" s="0" t="str">
        <f aca="false">IFERROR(IF(OR(HLOOKUP($A742,#REF!,4,FALSE())&gt;2,HLOOKUP($A742,#REF!,4,FALSE())&lt;-2),"",#REF!),"")</f>
        <v/>
      </c>
      <c r="G742" s="0" t="str">
        <f aca="false">IFERROR(IF(OR(HLOOKUP($A742,#REF!,5,FALSE())&gt;2,HLOOKUP($A742,#REF!,5,FALSE())&lt;-2),"",#REF!),"")</f>
        <v/>
      </c>
      <c r="H742" s="0" t="str">
        <f aca="false">IFERROR(IF(OR(HLOOKUP($A742,#REF!,6,FALSE())&gt;2,HLOOKUP($A742,#REF!,6,FALSE())&lt;-2),"",#REF!),"")</f>
        <v/>
      </c>
      <c r="I742" s="0" t="str">
        <f aca="false">IFERROR(IF(OR(HLOOKUP($A742,#REF!,7,FALSE())&gt;2,HLOOKUP($A742,#REF!,7,FALSE())&lt;-2),"",#REF!),"")</f>
        <v/>
      </c>
      <c r="J742" s="0" t="str">
        <f aca="false">IFERROR(IF(OR(HLOOKUP($A742,#REF!,8,FALSE())&gt;2,HLOOKUP($A742,#REF!,8,FALSE())&lt;-2),"",#REF!),"")</f>
        <v/>
      </c>
      <c r="K742" s="0" t="str">
        <f aca="false">IFERROR(IF(OR(HLOOKUP($A742,#REF!,9,FALSE())&gt;2,HLOOKUP($A742,#REF!,9,FALSE())&lt;-2),"",#REF!),"")</f>
        <v/>
      </c>
      <c r="L742" s="0" t="str">
        <f aca="false">IFERROR(IF(OR(HLOOKUP($A742,#REF!,10,FALSE())&gt;2,HLOOKUP($A742,#REF!,10,FALSE())&lt;-2),"",#REF!),"")</f>
        <v/>
      </c>
      <c r="M742" s="0" t="str">
        <f aca="false">IFERROR(IF(OR(HLOOKUP($A742,#REF!,11,FALSE())&gt;2,HLOOKUP($A742,#REF!,11,FALSE())&lt;-2),"",#REF!),"")</f>
        <v/>
      </c>
      <c r="N742" s="0" t="str">
        <f aca="false">IFERROR(IF(OR(HLOOKUP($A742,#REF!,12,FALSE())&gt;2,HLOOKUP($A742,#REF!,12,FALSE())&lt;-2),"",#REF!),"")</f>
        <v/>
      </c>
      <c r="O742" s="0" t="str">
        <f aca="false">IFERROR(IF(OR(HLOOKUP($A742,#REF!,13,FALSE())&gt;2,HLOOKUP($A742,#REF!,13,FALSE())&lt;-2),"",#REF!),"")</f>
        <v/>
      </c>
      <c r="P742" s="0" t="str">
        <f aca="false">IFERROR(IF(OR(HLOOKUP($A742,#REF!,14,FALSE())&gt;2,HLOOKUP($A742,#REF!,14,FALSE())&lt;-2),"",#REF!),"")</f>
        <v/>
      </c>
      <c r="Q742" s="0" t="str">
        <f aca="false">IFERROR(IF(OR(HLOOKUP($A742,#REF!,15,FALSE())&gt;2,HLOOKUP($A742,#REF!,15,FALSE())&lt;-2),"",#REF!),"")</f>
        <v/>
      </c>
      <c r="R742" s="0" t="str">
        <f aca="false">IFERROR(IF(OR(HLOOKUP($A742,#REF!,16,FALSE())&gt;2,HLOOKUP($A742,#REF!,16,FALSE())&lt;-2),"",#REF!),"")</f>
        <v/>
      </c>
      <c r="S742" s="0" t="str">
        <f aca="false">IFERROR(IF(OR(HLOOKUP($A742,#REF!,17,FALSE())&gt;2,HLOOKUP($A742,#REF!,17,FALSE())&lt;-2),"",#REF!),"")</f>
        <v/>
      </c>
      <c r="T742" s="0" t="str">
        <f aca="false">IFERROR(IF(OR(HLOOKUP($A742,#REF!,18,FALSE())&gt;2,HLOOKUP($A742,#REF!,18,FALSE())&lt;-2),"",#REF!),"")</f>
        <v/>
      </c>
      <c r="U742" s="0" t="str">
        <f aca="false">IFERROR(IF(OR(HLOOKUP($A742,#REF!,19,FALSE())&gt;2,HLOOKUP($A742,#REF!,19,FALSE())&lt;-2),"",#REF!),"")</f>
        <v/>
      </c>
      <c r="V742" s="0" t="n">
        <f aca="false">IFERROR(IF(AND(X742=0,Y742=0),0,1),0)</f>
        <v>1</v>
      </c>
      <c r="W742" s="3" t="str">
        <f aca="false">IFERROR(_xlfn.T.TEST(E742:M742,N742:U742,2,2),"")</f>
        <v/>
      </c>
      <c r="X742" s="0" t="str">
        <f aca="false">IFERROR(AVERAGE(E742:M742),"")</f>
        <v/>
      </c>
      <c r="Y742" s="0" t="str">
        <f aca="false">IFERROR(AVERAGE(N742:U742),"")</f>
        <v/>
      </c>
    </row>
    <row r="743" customFormat="false" ht="14.5" hidden="false" customHeight="false" outlineLevel="0" collapsed="false">
      <c r="A743" s="0" t="n">
        <v>751</v>
      </c>
      <c r="B743" s="0" t="s">
        <v>801</v>
      </c>
      <c r="C743" s="0" t="n">
        <v>40000</v>
      </c>
      <c r="D743" s="0" t="n">
        <v>734</v>
      </c>
      <c r="E743" s="0" t="str">
        <f aca="false">IFERROR(IF(OR(HLOOKUP($A743,#REF!,3,FALSE())&gt;2,HLOOKUP(A743,#REF!,3,FALSE())&lt;-2),"",#REF!),"")</f>
        <v/>
      </c>
      <c r="F743" s="0" t="str">
        <f aca="false">IFERROR(IF(OR(HLOOKUP($A743,#REF!,4,FALSE())&gt;2,HLOOKUP($A743,#REF!,4,FALSE())&lt;-2),"",#REF!),"")</f>
        <v/>
      </c>
      <c r="G743" s="0" t="str">
        <f aca="false">IFERROR(IF(OR(HLOOKUP($A743,#REF!,5,FALSE())&gt;2,HLOOKUP($A743,#REF!,5,FALSE())&lt;-2),"",#REF!),"")</f>
        <v/>
      </c>
      <c r="H743" s="0" t="str">
        <f aca="false">IFERROR(IF(OR(HLOOKUP($A743,#REF!,6,FALSE())&gt;2,HLOOKUP($A743,#REF!,6,FALSE())&lt;-2),"",#REF!),"")</f>
        <v/>
      </c>
      <c r="I743" s="0" t="str">
        <f aca="false">IFERROR(IF(OR(HLOOKUP($A743,#REF!,7,FALSE())&gt;2,HLOOKUP($A743,#REF!,7,FALSE())&lt;-2),"",#REF!),"")</f>
        <v/>
      </c>
      <c r="J743" s="0" t="str">
        <f aca="false">IFERROR(IF(OR(HLOOKUP($A743,#REF!,8,FALSE())&gt;2,HLOOKUP($A743,#REF!,8,FALSE())&lt;-2),"",#REF!),"")</f>
        <v/>
      </c>
      <c r="K743" s="0" t="str">
        <f aca="false">IFERROR(IF(OR(HLOOKUP($A743,#REF!,9,FALSE())&gt;2,HLOOKUP($A743,#REF!,9,FALSE())&lt;-2),"",#REF!),"")</f>
        <v/>
      </c>
      <c r="L743" s="0" t="str">
        <f aca="false">IFERROR(IF(OR(HLOOKUP($A743,#REF!,10,FALSE())&gt;2,HLOOKUP($A743,#REF!,10,FALSE())&lt;-2),"",#REF!),"")</f>
        <v/>
      </c>
      <c r="M743" s="0" t="str">
        <f aca="false">IFERROR(IF(OR(HLOOKUP($A743,#REF!,11,FALSE())&gt;2,HLOOKUP($A743,#REF!,11,FALSE())&lt;-2),"",#REF!),"")</f>
        <v/>
      </c>
      <c r="N743" s="0" t="str">
        <f aca="false">IFERROR(IF(OR(HLOOKUP($A743,#REF!,12,FALSE())&gt;2,HLOOKUP($A743,#REF!,12,FALSE())&lt;-2),"",#REF!),"")</f>
        <v/>
      </c>
      <c r="O743" s="0" t="str">
        <f aca="false">IFERROR(IF(OR(HLOOKUP($A743,#REF!,13,FALSE())&gt;2,HLOOKUP($A743,#REF!,13,FALSE())&lt;-2),"",#REF!),"")</f>
        <v/>
      </c>
      <c r="P743" s="0" t="str">
        <f aca="false">IFERROR(IF(OR(HLOOKUP($A743,#REF!,14,FALSE())&gt;2,HLOOKUP($A743,#REF!,14,FALSE())&lt;-2),"",#REF!),"")</f>
        <v/>
      </c>
      <c r="Q743" s="0" t="str">
        <f aca="false">IFERROR(IF(OR(HLOOKUP($A743,#REF!,15,FALSE())&gt;2,HLOOKUP($A743,#REF!,15,FALSE())&lt;-2),"",#REF!),"")</f>
        <v/>
      </c>
      <c r="R743" s="0" t="str">
        <f aca="false">IFERROR(IF(OR(HLOOKUP($A743,#REF!,16,FALSE())&gt;2,HLOOKUP($A743,#REF!,16,FALSE())&lt;-2),"",#REF!),"")</f>
        <v/>
      </c>
      <c r="S743" s="0" t="str">
        <f aca="false">IFERROR(IF(OR(HLOOKUP($A743,#REF!,17,FALSE())&gt;2,HLOOKUP($A743,#REF!,17,FALSE())&lt;-2),"",#REF!),"")</f>
        <v/>
      </c>
      <c r="T743" s="0" t="str">
        <f aca="false">IFERROR(IF(OR(HLOOKUP($A743,#REF!,18,FALSE())&gt;2,HLOOKUP($A743,#REF!,18,FALSE())&lt;-2),"",#REF!),"")</f>
        <v/>
      </c>
      <c r="U743" s="0" t="str">
        <f aca="false">IFERROR(IF(OR(HLOOKUP($A743,#REF!,19,FALSE())&gt;2,HLOOKUP($A743,#REF!,19,FALSE())&lt;-2),"",#REF!),"")</f>
        <v/>
      </c>
      <c r="V743" s="0" t="n">
        <f aca="false">IFERROR(IF(AND(X743=0,Y743=0),0,1),0)</f>
        <v>1</v>
      </c>
      <c r="W743" s="3" t="str">
        <f aca="false">IFERROR(_xlfn.T.TEST(E743:M743,N743:U743,2,2),"")</f>
        <v/>
      </c>
      <c r="X743" s="0" t="str">
        <f aca="false">IFERROR(AVERAGE(E743:M743),"")</f>
        <v/>
      </c>
      <c r="Y743" s="0" t="str">
        <f aca="false">IFERROR(AVERAGE(N743:U743),"")</f>
        <v/>
      </c>
    </row>
    <row r="744" customFormat="false" ht="14.5" hidden="false" customHeight="false" outlineLevel="0" collapsed="false">
      <c r="A744" s="0" t="n">
        <v>752</v>
      </c>
      <c r="B744" s="0" t="s">
        <v>802</v>
      </c>
      <c r="C744" s="0" t="n">
        <v>104400</v>
      </c>
      <c r="D744" s="0" t="n">
        <v>960</v>
      </c>
      <c r="E744" s="0" t="str">
        <f aca="false">IFERROR(IF(OR(HLOOKUP($A744,#REF!,3,FALSE())&gt;2,HLOOKUP(A744,#REF!,3,FALSE())&lt;-2),"",#REF!),"")</f>
        <v/>
      </c>
      <c r="F744" s="0" t="str">
        <f aca="false">IFERROR(IF(OR(HLOOKUP($A744,#REF!,4,FALSE())&gt;2,HLOOKUP($A744,#REF!,4,FALSE())&lt;-2),"",#REF!),"")</f>
        <v/>
      </c>
      <c r="G744" s="0" t="str">
        <f aca="false">IFERROR(IF(OR(HLOOKUP($A744,#REF!,5,FALSE())&gt;2,HLOOKUP($A744,#REF!,5,FALSE())&lt;-2),"",#REF!),"")</f>
        <v/>
      </c>
      <c r="H744" s="0" t="str">
        <f aca="false">IFERROR(IF(OR(HLOOKUP($A744,#REF!,6,FALSE())&gt;2,HLOOKUP($A744,#REF!,6,FALSE())&lt;-2),"",#REF!),"")</f>
        <v/>
      </c>
      <c r="I744" s="0" t="str">
        <f aca="false">IFERROR(IF(OR(HLOOKUP($A744,#REF!,7,FALSE())&gt;2,HLOOKUP($A744,#REF!,7,FALSE())&lt;-2),"",#REF!),"")</f>
        <v/>
      </c>
      <c r="J744" s="0" t="str">
        <f aca="false">IFERROR(IF(OR(HLOOKUP($A744,#REF!,8,FALSE())&gt;2,HLOOKUP($A744,#REF!,8,FALSE())&lt;-2),"",#REF!),"")</f>
        <v/>
      </c>
      <c r="K744" s="0" t="str">
        <f aca="false">IFERROR(IF(OR(HLOOKUP($A744,#REF!,9,FALSE())&gt;2,HLOOKUP($A744,#REF!,9,FALSE())&lt;-2),"",#REF!),"")</f>
        <v/>
      </c>
      <c r="L744" s="0" t="str">
        <f aca="false">IFERROR(IF(OR(HLOOKUP($A744,#REF!,10,FALSE())&gt;2,HLOOKUP($A744,#REF!,10,FALSE())&lt;-2),"",#REF!),"")</f>
        <v/>
      </c>
      <c r="M744" s="0" t="str">
        <f aca="false">IFERROR(IF(OR(HLOOKUP($A744,#REF!,11,FALSE())&gt;2,HLOOKUP($A744,#REF!,11,FALSE())&lt;-2),"",#REF!),"")</f>
        <v/>
      </c>
      <c r="N744" s="0" t="str">
        <f aca="false">IFERROR(IF(OR(HLOOKUP($A744,#REF!,12,FALSE())&gt;2,HLOOKUP($A744,#REF!,12,FALSE())&lt;-2),"",#REF!),"")</f>
        <v/>
      </c>
      <c r="O744" s="0" t="str">
        <f aca="false">IFERROR(IF(OR(HLOOKUP($A744,#REF!,13,FALSE())&gt;2,HLOOKUP($A744,#REF!,13,FALSE())&lt;-2),"",#REF!),"")</f>
        <v/>
      </c>
      <c r="P744" s="0" t="str">
        <f aca="false">IFERROR(IF(OR(HLOOKUP($A744,#REF!,14,FALSE())&gt;2,HLOOKUP($A744,#REF!,14,FALSE())&lt;-2),"",#REF!),"")</f>
        <v/>
      </c>
      <c r="Q744" s="0" t="str">
        <f aca="false">IFERROR(IF(OR(HLOOKUP($A744,#REF!,15,FALSE())&gt;2,HLOOKUP($A744,#REF!,15,FALSE())&lt;-2),"",#REF!),"")</f>
        <v/>
      </c>
      <c r="R744" s="0" t="str">
        <f aca="false">IFERROR(IF(OR(HLOOKUP($A744,#REF!,16,FALSE())&gt;2,HLOOKUP($A744,#REF!,16,FALSE())&lt;-2),"",#REF!),"")</f>
        <v/>
      </c>
      <c r="S744" s="0" t="str">
        <f aca="false">IFERROR(IF(OR(HLOOKUP($A744,#REF!,17,FALSE())&gt;2,HLOOKUP($A744,#REF!,17,FALSE())&lt;-2),"",#REF!),"")</f>
        <v/>
      </c>
      <c r="T744" s="0" t="str">
        <f aca="false">IFERROR(IF(OR(HLOOKUP($A744,#REF!,18,FALSE())&gt;2,HLOOKUP($A744,#REF!,18,FALSE())&lt;-2),"",#REF!),"")</f>
        <v/>
      </c>
      <c r="U744" s="0" t="str">
        <f aca="false">IFERROR(IF(OR(HLOOKUP($A744,#REF!,19,FALSE())&gt;2,HLOOKUP($A744,#REF!,19,FALSE())&lt;-2),"",#REF!),"")</f>
        <v/>
      </c>
      <c r="V744" s="0" t="n">
        <f aca="false">IFERROR(IF(AND(X744=0,Y744=0),0,1),0)</f>
        <v>1</v>
      </c>
      <c r="W744" s="3" t="str">
        <f aca="false">IFERROR(_xlfn.T.TEST(E744:M744,N744:U744,2,2),"")</f>
        <v/>
      </c>
      <c r="X744" s="0" t="str">
        <f aca="false">IFERROR(AVERAGE(E744:M744),"")</f>
        <v/>
      </c>
      <c r="Y744" s="0" t="str">
        <f aca="false">IFERROR(AVERAGE(N744:U744),"")</f>
        <v/>
      </c>
    </row>
    <row r="745" customFormat="false" ht="14.5" hidden="false" customHeight="false" outlineLevel="0" collapsed="false">
      <c r="A745" s="0" t="n">
        <v>753</v>
      </c>
      <c r="B745" s="0" t="s">
        <v>803</v>
      </c>
      <c r="C745" s="0" t="n">
        <v>114400</v>
      </c>
      <c r="D745" s="0" t="n">
        <v>46</v>
      </c>
      <c r="E745" s="0" t="str">
        <f aca="false">IFERROR(IF(OR(HLOOKUP($A745,#REF!,3,FALSE())&gt;2,HLOOKUP(A745,#REF!,3,FALSE())&lt;-2),"",#REF!),"")</f>
        <v/>
      </c>
      <c r="F745" s="0" t="str">
        <f aca="false">IFERROR(IF(OR(HLOOKUP($A745,#REF!,4,FALSE())&gt;2,HLOOKUP($A745,#REF!,4,FALSE())&lt;-2),"",#REF!),"")</f>
        <v/>
      </c>
      <c r="G745" s="0" t="str">
        <f aca="false">IFERROR(IF(OR(HLOOKUP($A745,#REF!,5,FALSE())&gt;2,HLOOKUP($A745,#REF!,5,FALSE())&lt;-2),"",#REF!),"")</f>
        <v/>
      </c>
      <c r="H745" s="0" t="str">
        <f aca="false">IFERROR(IF(OR(HLOOKUP($A745,#REF!,6,FALSE())&gt;2,HLOOKUP($A745,#REF!,6,FALSE())&lt;-2),"",#REF!),"")</f>
        <v/>
      </c>
      <c r="I745" s="0" t="str">
        <f aca="false">IFERROR(IF(OR(HLOOKUP($A745,#REF!,7,FALSE())&gt;2,HLOOKUP($A745,#REF!,7,FALSE())&lt;-2),"",#REF!),"")</f>
        <v/>
      </c>
      <c r="J745" s="0" t="str">
        <f aca="false">IFERROR(IF(OR(HLOOKUP($A745,#REF!,8,FALSE())&gt;2,HLOOKUP($A745,#REF!,8,FALSE())&lt;-2),"",#REF!),"")</f>
        <v/>
      </c>
      <c r="K745" s="0" t="str">
        <f aca="false">IFERROR(IF(OR(HLOOKUP($A745,#REF!,9,FALSE())&gt;2,HLOOKUP($A745,#REF!,9,FALSE())&lt;-2),"",#REF!),"")</f>
        <v/>
      </c>
      <c r="L745" s="0" t="str">
        <f aca="false">IFERROR(IF(OR(HLOOKUP($A745,#REF!,10,FALSE())&gt;2,HLOOKUP($A745,#REF!,10,FALSE())&lt;-2),"",#REF!),"")</f>
        <v/>
      </c>
      <c r="M745" s="0" t="str">
        <f aca="false">IFERROR(IF(OR(HLOOKUP($A745,#REF!,11,FALSE())&gt;2,HLOOKUP($A745,#REF!,11,FALSE())&lt;-2),"",#REF!),"")</f>
        <v/>
      </c>
      <c r="N745" s="0" t="str">
        <f aca="false">IFERROR(IF(OR(HLOOKUP($A745,#REF!,12,FALSE())&gt;2,HLOOKUP($A745,#REF!,12,FALSE())&lt;-2),"",#REF!),"")</f>
        <v/>
      </c>
      <c r="O745" s="0" t="str">
        <f aca="false">IFERROR(IF(OR(HLOOKUP($A745,#REF!,13,FALSE())&gt;2,HLOOKUP($A745,#REF!,13,FALSE())&lt;-2),"",#REF!),"")</f>
        <v/>
      </c>
      <c r="P745" s="0" t="str">
        <f aca="false">IFERROR(IF(OR(HLOOKUP($A745,#REF!,14,FALSE())&gt;2,HLOOKUP($A745,#REF!,14,FALSE())&lt;-2),"",#REF!),"")</f>
        <v/>
      </c>
      <c r="Q745" s="0" t="str">
        <f aca="false">IFERROR(IF(OR(HLOOKUP($A745,#REF!,15,FALSE())&gt;2,HLOOKUP($A745,#REF!,15,FALSE())&lt;-2),"",#REF!),"")</f>
        <v/>
      </c>
      <c r="R745" s="0" t="str">
        <f aca="false">IFERROR(IF(OR(HLOOKUP($A745,#REF!,16,FALSE())&gt;2,HLOOKUP($A745,#REF!,16,FALSE())&lt;-2),"",#REF!),"")</f>
        <v/>
      </c>
      <c r="S745" s="0" t="str">
        <f aca="false">IFERROR(IF(OR(HLOOKUP($A745,#REF!,17,FALSE())&gt;2,HLOOKUP($A745,#REF!,17,FALSE())&lt;-2),"",#REF!),"")</f>
        <v/>
      </c>
      <c r="T745" s="0" t="str">
        <f aca="false">IFERROR(IF(OR(HLOOKUP($A745,#REF!,18,FALSE())&gt;2,HLOOKUP($A745,#REF!,18,FALSE())&lt;-2),"",#REF!),"")</f>
        <v/>
      </c>
      <c r="U745" s="0" t="str">
        <f aca="false">IFERROR(IF(OR(HLOOKUP($A745,#REF!,19,FALSE())&gt;2,HLOOKUP($A745,#REF!,19,FALSE())&lt;-2),"",#REF!),"")</f>
        <v/>
      </c>
      <c r="V745" s="0" t="n">
        <f aca="false">IFERROR(IF(AND(X745=0,Y745=0),0,1),0)</f>
        <v>1</v>
      </c>
      <c r="W745" s="3" t="str">
        <f aca="false">IFERROR(_xlfn.T.TEST(E745:M745,N745:U745,2,2),"")</f>
        <v/>
      </c>
      <c r="X745" s="0" t="str">
        <f aca="false">IFERROR(AVERAGE(E745:M745),"")</f>
        <v/>
      </c>
      <c r="Y745" s="0" t="str">
        <f aca="false">IFERROR(AVERAGE(N745:U745),"")</f>
        <v/>
      </c>
    </row>
    <row r="746" customFormat="false" ht="14.5" hidden="false" customHeight="false" outlineLevel="0" collapsed="false">
      <c r="A746" s="0" t="n">
        <v>754</v>
      </c>
      <c r="B746" s="0" t="s">
        <v>804</v>
      </c>
      <c r="C746" s="0" t="n">
        <v>48600</v>
      </c>
      <c r="D746" s="0" t="n">
        <v>493</v>
      </c>
      <c r="E746" s="0" t="str">
        <f aca="false">IFERROR(IF(OR(HLOOKUP($A746,#REF!,3,FALSE())&gt;2,HLOOKUP(A746,#REF!,3,FALSE())&lt;-2),"",#REF!),"")</f>
        <v/>
      </c>
      <c r="F746" s="0" t="str">
        <f aca="false">IFERROR(IF(OR(HLOOKUP($A746,#REF!,4,FALSE())&gt;2,HLOOKUP($A746,#REF!,4,FALSE())&lt;-2),"",#REF!),"")</f>
        <v/>
      </c>
      <c r="G746" s="0" t="str">
        <f aca="false">IFERROR(IF(OR(HLOOKUP($A746,#REF!,5,FALSE())&gt;2,HLOOKUP($A746,#REF!,5,FALSE())&lt;-2),"",#REF!),"")</f>
        <v/>
      </c>
      <c r="H746" s="0" t="str">
        <f aca="false">IFERROR(IF(OR(HLOOKUP($A746,#REF!,6,FALSE())&gt;2,HLOOKUP($A746,#REF!,6,FALSE())&lt;-2),"",#REF!),"")</f>
        <v/>
      </c>
      <c r="I746" s="0" t="str">
        <f aca="false">IFERROR(IF(OR(HLOOKUP($A746,#REF!,7,FALSE())&gt;2,HLOOKUP($A746,#REF!,7,FALSE())&lt;-2),"",#REF!),"")</f>
        <v/>
      </c>
      <c r="J746" s="0" t="str">
        <f aca="false">IFERROR(IF(OR(HLOOKUP($A746,#REF!,8,FALSE())&gt;2,HLOOKUP($A746,#REF!,8,FALSE())&lt;-2),"",#REF!),"")</f>
        <v/>
      </c>
      <c r="K746" s="0" t="str">
        <f aca="false">IFERROR(IF(OR(HLOOKUP($A746,#REF!,9,FALSE())&gt;2,HLOOKUP($A746,#REF!,9,FALSE())&lt;-2),"",#REF!),"")</f>
        <v/>
      </c>
      <c r="L746" s="0" t="str">
        <f aca="false">IFERROR(IF(OR(HLOOKUP($A746,#REF!,10,FALSE())&gt;2,HLOOKUP($A746,#REF!,10,FALSE())&lt;-2),"",#REF!),"")</f>
        <v/>
      </c>
      <c r="M746" s="0" t="str">
        <f aca="false">IFERROR(IF(OR(HLOOKUP($A746,#REF!,11,FALSE())&gt;2,HLOOKUP($A746,#REF!,11,FALSE())&lt;-2),"",#REF!),"")</f>
        <v/>
      </c>
      <c r="N746" s="0" t="str">
        <f aca="false">IFERROR(IF(OR(HLOOKUP($A746,#REF!,12,FALSE())&gt;2,HLOOKUP($A746,#REF!,12,FALSE())&lt;-2),"",#REF!),"")</f>
        <v/>
      </c>
      <c r="O746" s="0" t="str">
        <f aca="false">IFERROR(IF(OR(HLOOKUP($A746,#REF!,13,FALSE())&gt;2,HLOOKUP($A746,#REF!,13,FALSE())&lt;-2),"",#REF!),"")</f>
        <v/>
      </c>
      <c r="P746" s="0" t="str">
        <f aca="false">IFERROR(IF(OR(HLOOKUP($A746,#REF!,14,FALSE())&gt;2,HLOOKUP($A746,#REF!,14,FALSE())&lt;-2),"",#REF!),"")</f>
        <v/>
      </c>
      <c r="Q746" s="0" t="str">
        <f aca="false">IFERROR(IF(OR(HLOOKUP($A746,#REF!,15,FALSE())&gt;2,HLOOKUP($A746,#REF!,15,FALSE())&lt;-2),"",#REF!),"")</f>
        <v/>
      </c>
      <c r="R746" s="0" t="str">
        <f aca="false">IFERROR(IF(OR(HLOOKUP($A746,#REF!,16,FALSE())&gt;2,HLOOKUP($A746,#REF!,16,FALSE())&lt;-2),"",#REF!),"")</f>
        <v/>
      </c>
      <c r="S746" s="0" t="str">
        <f aca="false">IFERROR(IF(OR(HLOOKUP($A746,#REF!,17,FALSE())&gt;2,HLOOKUP($A746,#REF!,17,FALSE())&lt;-2),"",#REF!),"")</f>
        <v/>
      </c>
      <c r="T746" s="0" t="str">
        <f aca="false">IFERROR(IF(OR(HLOOKUP($A746,#REF!,18,FALSE())&gt;2,HLOOKUP($A746,#REF!,18,FALSE())&lt;-2),"",#REF!),"")</f>
        <v/>
      </c>
      <c r="U746" s="0" t="str">
        <f aca="false">IFERROR(IF(OR(HLOOKUP($A746,#REF!,19,FALSE())&gt;2,HLOOKUP($A746,#REF!,19,FALSE())&lt;-2),"",#REF!),"")</f>
        <v/>
      </c>
      <c r="V746" s="0" t="n">
        <f aca="false">IFERROR(IF(AND(X746=0,Y746=0),0,1),0)</f>
        <v>1</v>
      </c>
      <c r="W746" s="3" t="str">
        <f aca="false">IFERROR(_xlfn.T.TEST(E746:M746,N746:U746,2,2),"")</f>
        <v/>
      </c>
      <c r="X746" s="0" t="str">
        <f aca="false">IFERROR(AVERAGE(E746:M746),"")</f>
        <v/>
      </c>
      <c r="Y746" s="0" t="str">
        <f aca="false">IFERROR(AVERAGE(N746:U746),"")</f>
        <v/>
      </c>
    </row>
    <row r="747" customFormat="false" ht="14.5" hidden="false" customHeight="false" outlineLevel="0" collapsed="false">
      <c r="A747" s="0" t="n">
        <v>755</v>
      </c>
      <c r="B747" s="0" t="s">
        <v>805</v>
      </c>
      <c r="C747" s="0" t="n">
        <v>12900</v>
      </c>
      <c r="D747" s="0" t="n">
        <v>1018</v>
      </c>
      <c r="E747" s="0" t="str">
        <f aca="false">IFERROR(IF(OR(HLOOKUP($A747,#REF!,3,FALSE())&gt;2,HLOOKUP(A747,#REF!,3,FALSE())&lt;-2),"",#REF!),"")</f>
        <v/>
      </c>
      <c r="F747" s="0" t="str">
        <f aca="false">IFERROR(IF(OR(HLOOKUP($A747,#REF!,4,FALSE())&gt;2,HLOOKUP($A747,#REF!,4,FALSE())&lt;-2),"",#REF!),"")</f>
        <v/>
      </c>
      <c r="G747" s="0" t="str">
        <f aca="false">IFERROR(IF(OR(HLOOKUP($A747,#REF!,5,FALSE())&gt;2,HLOOKUP($A747,#REF!,5,FALSE())&lt;-2),"",#REF!),"")</f>
        <v/>
      </c>
      <c r="H747" s="0" t="str">
        <f aca="false">IFERROR(IF(OR(HLOOKUP($A747,#REF!,6,FALSE())&gt;2,HLOOKUP($A747,#REF!,6,FALSE())&lt;-2),"",#REF!),"")</f>
        <v/>
      </c>
      <c r="I747" s="0" t="str">
        <f aca="false">IFERROR(IF(OR(HLOOKUP($A747,#REF!,7,FALSE())&gt;2,HLOOKUP($A747,#REF!,7,FALSE())&lt;-2),"",#REF!),"")</f>
        <v/>
      </c>
      <c r="J747" s="0" t="str">
        <f aca="false">IFERROR(IF(OR(HLOOKUP($A747,#REF!,8,FALSE())&gt;2,HLOOKUP($A747,#REF!,8,FALSE())&lt;-2),"",#REF!),"")</f>
        <v/>
      </c>
      <c r="K747" s="0" t="str">
        <f aca="false">IFERROR(IF(OR(HLOOKUP($A747,#REF!,9,FALSE())&gt;2,HLOOKUP($A747,#REF!,9,FALSE())&lt;-2),"",#REF!),"")</f>
        <v/>
      </c>
      <c r="L747" s="0" t="str">
        <f aca="false">IFERROR(IF(OR(HLOOKUP($A747,#REF!,10,FALSE())&gt;2,HLOOKUP($A747,#REF!,10,FALSE())&lt;-2),"",#REF!),"")</f>
        <v/>
      </c>
      <c r="M747" s="0" t="str">
        <f aca="false">IFERROR(IF(OR(HLOOKUP($A747,#REF!,11,FALSE())&gt;2,HLOOKUP($A747,#REF!,11,FALSE())&lt;-2),"",#REF!),"")</f>
        <v/>
      </c>
      <c r="N747" s="0" t="str">
        <f aca="false">IFERROR(IF(OR(HLOOKUP($A747,#REF!,12,FALSE())&gt;2,HLOOKUP($A747,#REF!,12,FALSE())&lt;-2),"",#REF!),"")</f>
        <v/>
      </c>
      <c r="O747" s="0" t="str">
        <f aca="false">IFERROR(IF(OR(HLOOKUP($A747,#REF!,13,FALSE())&gt;2,HLOOKUP($A747,#REF!,13,FALSE())&lt;-2),"",#REF!),"")</f>
        <v/>
      </c>
      <c r="P747" s="0" t="str">
        <f aca="false">IFERROR(IF(OR(HLOOKUP($A747,#REF!,14,FALSE())&gt;2,HLOOKUP($A747,#REF!,14,FALSE())&lt;-2),"",#REF!),"")</f>
        <v/>
      </c>
      <c r="Q747" s="0" t="str">
        <f aca="false">IFERROR(IF(OR(HLOOKUP($A747,#REF!,15,FALSE())&gt;2,HLOOKUP($A747,#REF!,15,FALSE())&lt;-2),"",#REF!),"")</f>
        <v/>
      </c>
      <c r="R747" s="0" t="str">
        <f aca="false">IFERROR(IF(OR(HLOOKUP($A747,#REF!,16,FALSE())&gt;2,HLOOKUP($A747,#REF!,16,FALSE())&lt;-2),"",#REF!),"")</f>
        <v/>
      </c>
      <c r="S747" s="0" t="str">
        <f aca="false">IFERROR(IF(OR(HLOOKUP($A747,#REF!,17,FALSE())&gt;2,HLOOKUP($A747,#REF!,17,FALSE())&lt;-2),"",#REF!),"")</f>
        <v/>
      </c>
      <c r="T747" s="0" t="str">
        <f aca="false">IFERROR(IF(OR(HLOOKUP($A747,#REF!,18,FALSE())&gt;2,HLOOKUP($A747,#REF!,18,FALSE())&lt;-2),"",#REF!),"")</f>
        <v/>
      </c>
      <c r="U747" s="0" t="str">
        <f aca="false">IFERROR(IF(OR(HLOOKUP($A747,#REF!,19,FALSE())&gt;2,HLOOKUP($A747,#REF!,19,FALSE())&lt;-2),"",#REF!),"")</f>
        <v/>
      </c>
      <c r="V747" s="0" t="n">
        <f aca="false">IFERROR(IF(AND(X747=0,Y747=0),0,1),0)</f>
        <v>1</v>
      </c>
      <c r="W747" s="3" t="str">
        <f aca="false">IFERROR(_xlfn.T.TEST(E747:M747,N747:U747,2,2),"")</f>
        <v/>
      </c>
      <c r="X747" s="0" t="str">
        <f aca="false">IFERROR(AVERAGE(E747:M747),"")</f>
        <v/>
      </c>
      <c r="Y747" s="0" t="str">
        <f aca="false">IFERROR(AVERAGE(N747:U747),"")</f>
        <v/>
      </c>
    </row>
    <row r="748" customFormat="false" ht="14.5" hidden="false" customHeight="false" outlineLevel="0" collapsed="false">
      <c r="A748" s="0" t="n">
        <v>756</v>
      </c>
      <c r="B748" s="0" t="s">
        <v>806</v>
      </c>
      <c r="C748" s="0" t="n">
        <v>75900</v>
      </c>
      <c r="D748" s="0" t="n">
        <v>515</v>
      </c>
      <c r="E748" s="0" t="str">
        <f aca="false">IFERROR(IF(OR(HLOOKUP($A748,#REF!,3,FALSE())&gt;2,HLOOKUP(A748,#REF!,3,FALSE())&lt;-2),"",#REF!),"")</f>
        <v/>
      </c>
      <c r="F748" s="0" t="str">
        <f aca="false">IFERROR(IF(OR(HLOOKUP($A748,#REF!,4,FALSE())&gt;2,HLOOKUP($A748,#REF!,4,FALSE())&lt;-2),"",#REF!),"")</f>
        <v/>
      </c>
      <c r="G748" s="0" t="str">
        <f aca="false">IFERROR(IF(OR(HLOOKUP($A748,#REF!,5,FALSE())&gt;2,HLOOKUP($A748,#REF!,5,FALSE())&lt;-2),"",#REF!),"")</f>
        <v/>
      </c>
      <c r="H748" s="0" t="str">
        <f aca="false">IFERROR(IF(OR(HLOOKUP($A748,#REF!,6,FALSE())&gt;2,HLOOKUP($A748,#REF!,6,FALSE())&lt;-2),"",#REF!),"")</f>
        <v/>
      </c>
      <c r="I748" s="0" t="str">
        <f aca="false">IFERROR(IF(OR(HLOOKUP($A748,#REF!,7,FALSE())&gt;2,HLOOKUP($A748,#REF!,7,FALSE())&lt;-2),"",#REF!),"")</f>
        <v/>
      </c>
      <c r="J748" s="0" t="str">
        <f aca="false">IFERROR(IF(OR(HLOOKUP($A748,#REF!,8,FALSE())&gt;2,HLOOKUP($A748,#REF!,8,FALSE())&lt;-2),"",#REF!),"")</f>
        <v/>
      </c>
      <c r="K748" s="0" t="str">
        <f aca="false">IFERROR(IF(OR(HLOOKUP($A748,#REF!,9,FALSE())&gt;2,HLOOKUP($A748,#REF!,9,FALSE())&lt;-2),"",#REF!),"")</f>
        <v/>
      </c>
      <c r="L748" s="0" t="str">
        <f aca="false">IFERROR(IF(OR(HLOOKUP($A748,#REF!,10,FALSE())&gt;2,HLOOKUP($A748,#REF!,10,FALSE())&lt;-2),"",#REF!),"")</f>
        <v/>
      </c>
      <c r="M748" s="0" t="str">
        <f aca="false">IFERROR(IF(OR(HLOOKUP($A748,#REF!,11,FALSE())&gt;2,HLOOKUP($A748,#REF!,11,FALSE())&lt;-2),"",#REF!),"")</f>
        <v/>
      </c>
      <c r="N748" s="0" t="str">
        <f aca="false">IFERROR(IF(OR(HLOOKUP($A748,#REF!,12,FALSE())&gt;2,HLOOKUP($A748,#REF!,12,FALSE())&lt;-2),"",#REF!),"")</f>
        <v/>
      </c>
      <c r="O748" s="0" t="str">
        <f aca="false">IFERROR(IF(OR(HLOOKUP($A748,#REF!,13,FALSE())&gt;2,HLOOKUP($A748,#REF!,13,FALSE())&lt;-2),"",#REF!),"")</f>
        <v/>
      </c>
      <c r="P748" s="0" t="str">
        <f aca="false">IFERROR(IF(OR(HLOOKUP($A748,#REF!,14,FALSE())&gt;2,HLOOKUP($A748,#REF!,14,FALSE())&lt;-2),"",#REF!),"")</f>
        <v/>
      </c>
      <c r="Q748" s="0" t="str">
        <f aca="false">IFERROR(IF(OR(HLOOKUP($A748,#REF!,15,FALSE())&gt;2,HLOOKUP($A748,#REF!,15,FALSE())&lt;-2),"",#REF!),"")</f>
        <v/>
      </c>
      <c r="R748" s="0" t="str">
        <f aca="false">IFERROR(IF(OR(HLOOKUP($A748,#REF!,16,FALSE())&gt;2,HLOOKUP($A748,#REF!,16,FALSE())&lt;-2),"",#REF!),"")</f>
        <v/>
      </c>
      <c r="S748" s="0" t="str">
        <f aca="false">IFERROR(IF(OR(HLOOKUP($A748,#REF!,17,FALSE())&gt;2,HLOOKUP($A748,#REF!,17,FALSE())&lt;-2),"",#REF!),"")</f>
        <v/>
      </c>
      <c r="T748" s="0" t="str">
        <f aca="false">IFERROR(IF(OR(HLOOKUP($A748,#REF!,18,FALSE())&gt;2,HLOOKUP($A748,#REF!,18,FALSE())&lt;-2),"",#REF!),"")</f>
        <v/>
      </c>
      <c r="U748" s="0" t="str">
        <f aca="false">IFERROR(IF(OR(HLOOKUP($A748,#REF!,19,FALSE())&gt;2,HLOOKUP($A748,#REF!,19,FALSE())&lt;-2),"",#REF!),"")</f>
        <v/>
      </c>
      <c r="V748" s="0" t="n">
        <f aca="false">IFERROR(IF(AND(X748=0,Y748=0),0,1),0)</f>
        <v>1</v>
      </c>
      <c r="W748" s="3" t="str">
        <f aca="false">IFERROR(_xlfn.T.TEST(E748:M748,N748:U748,2,2),"")</f>
        <v/>
      </c>
      <c r="X748" s="0" t="str">
        <f aca="false">IFERROR(AVERAGE(E748:M748),"")</f>
        <v/>
      </c>
      <c r="Y748" s="0" t="str">
        <f aca="false">IFERROR(AVERAGE(N748:U748),"")</f>
        <v/>
      </c>
    </row>
    <row r="749" customFormat="false" ht="14.5" hidden="false" customHeight="false" outlineLevel="0" collapsed="false">
      <c r="A749" s="0" t="n">
        <v>757</v>
      </c>
      <c r="B749" s="0" t="s">
        <v>807</v>
      </c>
      <c r="C749" s="0" t="n">
        <v>83100</v>
      </c>
      <c r="D749" s="0" t="n">
        <v>323</v>
      </c>
      <c r="E749" s="0" t="str">
        <f aca="false">IFERROR(IF(OR(HLOOKUP($A749,#REF!,3,FALSE())&gt;2,HLOOKUP(A749,#REF!,3,FALSE())&lt;-2),"",#REF!),"")</f>
        <v/>
      </c>
      <c r="F749" s="0" t="str">
        <f aca="false">IFERROR(IF(OR(HLOOKUP($A749,#REF!,4,FALSE())&gt;2,HLOOKUP($A749,#REF!,4,FALSE())&lt;-2),"",#REF!),"")</f>
        <v/>
      </c>
      <c r="G749" s="0" t="str">
        <f aca="false">IFERROR(IF(OR(HLOOKUP($A749,#REF!,5,FALSE())&gt;2,HLOOKUP($A749,#REF!,5,FALSE())&lt;-2),"",#REF!),"")</f>
        <v/>
      </c>
      <c r="H749" s="0" t="str">
        <f aca="false">IFERROR(IF(OR(HLOOKUP($A749,#REF!,6,FALSE())&gt;2,HLOOKUP($A749,#REF!,6,FALSE())&lt;-2),"",#REF!),"")</f>
        <v/>
      </c>
      <c r="I749" s="0" t="str">
        <f aca="false">IFERROR(IF(OR(HLOOKUP($A749,#REF!,7,FALSE())&gt;2,HLOOKUP($A749,#REF!,7,FALSE())&lt;-2),"",#REF!),"")</f>
        <v/>
      </c>
      <c r="J749" s="0" t="str">
        <f aca="false">IFERROR(IF(OR(HLOOKUP($A749,#REF!,8,FALSE())&gt;2,HLOOKUP($A749,#REF!,8,FALSE())&lt;-2),"",#REF!),"")</f>
        <v/>
      </c>
      <c r="K749" s="0" t="str">
        <f aca="false">IFERROR(IF(OR(HLOOKUP($A749,#REF!,9,FALSE())&gt;2,HLOOKUP($A749,#REF!,9,FALSE())&lt;-2),"",#REF!),"")</f>
        <v/>
      </c>
      <c r="L749" s="0" t="str">
        <f aca="false">IFERROR(IF(OR(HLOOKUP($A749,#REF!,10,FALSE())&gt;2,HLOOKUP($A749,#REF!,10,FALSE())&lt;-2),"",#REF!),"")</f>
        <v/>
      </c>
      <c r="M749" s="0" t="str">
        <f aca="false">IFERROR(IF(OR(HLOOKUP($A749,#REF!,11,FALSE())&gt;2,HLOOKUP($A749,#REF!,11,FALSE())&lt;-2),"",#REF!),"")</f>
        <v/>
      </c>
      <c r="N749" s="0" t="str">
        <f aca="false">IFERROR(IF(OR(HLOOKUP($A749,#REF!,12,FALSE())&gt;2,HLOOKUP($A749,#REF!,12,FALSE())&lt;-2),"",#REF!),"")</f>
        <v/>
      </c>
      <c r="O749" s="0" t="str">
        <f aca="false">IFERROR(IF(OR(HLOOKUP($A749,#REF!,13,FALSE())&gt;2,HLOOKUP($A749,#REF!,13,FALSE())&lt;-2),"",#REF!),"")</f>
        <v/>
      </c>
      <c r="P749" s="0" t="str">
        <f aca="false">IFERROR(IF(OR(HLOOKUP($A749,#REF!,14,FALSE())&gt;2,HLOOKUP($A749,#REF!,14,FALSE())&lt;-2),"",#REF!),"")</f>
        <v/>
      </c>
      <c r="Q749" s="0" t="str">
        <f aca="false">IFERROR(IF(OR(HLOOKUP($A749,#REF!,15,FALSE())&gt;2,HLOOKUP($A749,#REF!,15,FALSE())&lt;-2),"",#REF!),"")</f>
        <v/>
      </c>
      <c r="R749" s="0" t="str">
        <f aca="false">IFERROR(IF(OR(HLOOKUP($A749,#REF!,16,FALSE())&gt;2,HLOOKUP($A749,#REF!,16,FALSE())&lt;-2),"",#REF!),"")</f>
        <v/>
      </c>
      <c r="S749" s="0" t="str">
        <f aca="false">IFERROR(IF(OR(HLOOKUP($A749,#REF!,17,FALSE())&gt;2,HLOOKUP($A749,#REF!,17,FALSE())&lt;-2),"",#REF!),"")</f>
        <v/>
      </c>
      <c r="T749" s="0" t="str">
        <f aca="false">IFERROR(IF(OR(HLOOKUP($A749,#REF!,18,FALSE())&gt;2,HLOOKUP($A749,#REF!,18,FALSE())&lt;-2),"",#REF!),"")</f>
        <v/>
      </c>
      <c r="U749" s="0" t="str">
        <f aca="false">IFERROR(IF(OR(HLOOKUP($A749,#REF!,19,FALSE())&gt;2,HLOOKUP($A749,#REF!,19,FALSE())&lt;-2),"",#REF!),"")</f>
        <v/>
      </c>
      <c r="V749" s="0" t="n">
        <f aca="false">IFERROR(IF(AND(X749=0,Y749=0),0,1),0)</f>
        <v>1</v>
      </c>
      <c r="W749" s="3" t="str">
        <f aca="false">IFERROR(_xlfn.T.TEST(E749:M749,N749:U749,2,2),"")</f>
        <v/>
      </c>
      <c r="X749" s="0" t="str">
        <f aca="false">IFERROR(AVERAGE(E749:M749),"")</f>
        <v/>
      </c>
      <c r="Y749" s="0" t="str">
        <f aca="false">IFERROR(AVERAGE(N749:U749),"")</f>
        <v/>
      </c>
    </row>
    <row r="750" customFormat="false" ht="14.5" hidden="false" customHeight="false" outlineLevel="0" collapsed="false">
      <c r="A750" s="0" t="n">
        <v>758</v>
      </c>
      <c r="B750" s="0" t="s">
        <v>808</v>
      </c>
      <c r="C750" s="0" t="n">
        <v>40100</v>
      </c>
      <c r="D750" s="0" t="n">
        <v>734</v>
      </c>
      <c r="E750" s="0" t="str">
        <f aca="false">IFERROR(IF(OR(HLOOKUP($A750,#REF!,3,FALSE())&gt;2,HLOOKUP(A750,#REF!,3,FALSE())&lt;-2),"",#REF!),"")</f>
        <v/>
      </c>
      <c r="F750" s="0" t="str">
        <f aca="false">IFERROR(IF(OR(HLOOKUP($A750,#REF!,4,FALSE())&gt;2,HLOOKUP($A750,#REF!,4,FALSE())&lt;-2),"",#REF!),"")</f>
        <v/>
      </c>
      <c r="G750" s="0" t="str">
        <f aca="false">IFERROR(IF(OR(HLOOKUP($A750,#REF!,5,FALSE())&gt;2,HLOOKUP($A750,#REF!,5,FALSE())&lt;-2),"",#REF!),"")</f>
        <v/>
      </c>
      <c r="H750" s="0" t="str">
        <f aca="false">IFERROR(IF(OR(HLOOKUP($A750,#REF!,6,FALSE())&gt;2,HLOOKUP($A750,#REF!,6,FALSE())&lt;-2),"",#REF!),"")</f>
        <v/>
      </c>
      <c r="I750" s="0" t="str">
        <f aca="false">IFERROR(IF(OR(HLOOKUP($A750,#REF!,7,FALSE())&gt;2,HLOOKUP($A750,#REF!,7,FALSE())&lt;-2),"",#REF!),"")</f>
        <v/>
      </c>
      <c r="J750" s="0" t="str">
        <f aca="false">IFERROR(IF(OR(HLOOKUP($A750,#REF!,8,FALSE())&gt;2,HLOOKUP($A750,#REF!,8,FALSE())&lt;-2),"",#REF!),"")</f>
        <v/>
      </c>
      <c r="K750" s="0" t="str">
        <f aca="false">IFERROR(IF(OR(HLOOKUP($A750,#REF!,9,FALSE())&gt;2,HLOOKUP($A750,#REF!,9,FALSE())&lt;-2),"",#REF!),"")</f>
        <v/>
      </c>
      <c r="L750" s="0" t="str">
        <f aca="false">IFERROR(IF(OR(HLOOKUP($A750,#REF!,10,FALSE())&gt;2,HLOOKUP($A750,#REF!,10,FALSE())&lt;-2),"",#REF!),"")</f>
        <v/>
      </c>
      <c r="M750" s="0" t="str">
        <f aca="false">IFERROR(IF(OR(HLOOKUP($A750,#REF!,11,FALSE())&gt;2,HLOOKUP($A750,#REF!,11,FALSE())&lt;-2),"",#REF!),"")</f>
        <v/>
      </c>
      <c r="N750" s="0" t="str">
        <f aca="false">IFERROR(IF(OR(HLOOKUP($A750,#REF!,12,FALSE())&gt;2,HLOOKUP($A750,#REF!,12,FALSE())&lt;-2),"",#REF!),"")</f>
        <v/>
      </c>
      <c r="O750" s="0" t="str">
        <f aca="false">IFERROR(IF(OR(HLOOKUP($A750,#REF!,13,FALSE())&gt;2,HLOOKUP($A750,#REF!,13,FALSE())&lt;-2),"",#REF!),"")</f>
        <v/>
      </c>
      <c r="P750" s="0" t="str">
        <f aca="false">IFERROR(IF(OR(HLOOKUP($A750,#REF!,14,FALSE())&gt;2,HLOOKUP($A750,#REF!,14,FALSE())&lt;-2),"",#REF!),"")</f>
        <v/>
      </c>
      <c r="Q750" s="0" t="str">
        <f aca="false">IFERROR(IF(OR(HLOOKUP($A750,#REF!,15,FALSE())&gt;2,HLOOKUP($A750,#REF!,15,FALSE())&lt;-2),"",#REF!),"")</f>
        <v/>
      </c>
      <c r="R750" s="0" t="str">
        <f aca="false">IFERROR(IF(OR(HLOOKUP($A750,#REF!,16,FALSE())&gt;2,HLOOKUP($A750,#REF!,16,FALSE())&lt;-2),"",#REF!),"")</f>
        <v/>
      </c>
      <c r="S750" s="0" t="str">
        <f aca="false">IFERROR(IF(OR(HLOOKUP($A750,#REF!,17,FALSE())&gt;2,HLOOKUP($A750,#REF!,17,FALSE())&lt;-2),"",#REF!),"")</f>
        <v/>
      </c>
      <c r="T750" s="0" t="str">
        <f aca="false">IFERROR(IF(OR(HLOOKUP($A750,#REF!,18,FALSE())&gt;2,HLOOKUP($A750,#REF!,18,FALSE())&lt;-2),"",#REF!),"")</f>
        <v/>
      </c>
      <c r="U750" s="0" t="str">
        <f aca="false">IFERROR(IF(OR(HLOOKUP($A750,#REF!,19,FALSE())&gt;2,HLOOKUP($A750,#REF!,19,FALSE())&lt;-2),"",#REF!),"")</f>
        <v/>
      </c>
      <c r="V750" s="0" t="n">
        <f aca="false">IFERROR(IF(AND(X750=0,Y750=0),0,1),0)</f>
        <v>1</v>
      </c>
      <c r="W750" s="3" t="str">
        <f aca="false">IFERROR(_xlfn.T.TEST(E750:M750,N750:U750,2,2),"")</f>
        <v/>
      </c>
      <c r="X750" s="0" t="str">
        <f aca="false">IFERROR(AVERAGE(E750:M750),"")</f>
        <v/>
      </c>
      <c r="Y750" s="0" t="str">
        <f aca="false">IFERROR(AVERAGE(N750:U750),"")</f>
        <v/>
      </c>
    </row>
    <row r="751" customFormat="false" ht="14.5" hidden="false" customHeight="false" outlineLevel="0" collapsed="false">
      <c r="A751" s="0" t="n">
        <v>759</v>
      </c>
      <c r="B751" s="0" t="s">
        <v>809</v>
      </c>
      <c r="C751" s="0" t="n">
        <v>12300</v>
      </c>
      <c r="D751" s="0" t="n">
        <v>1027</v>
      </c>
      <c r="E751" s="0" t="str">
        <f aca="false">IFERROR(IF(OR(HLOOKUP($A751,#REF!,3,FALSE())&gt;2,HLOOKUP(A751,#REF!,3,FALSE())&lt;-2),"",#REF!),"")</f>
        <v/>
      </c>
      <c r="F751" s="0" t="str">
        <f aca="false">IFERROR(IF(OR(HLOOKUP($A751,#REF!,4,FALSE())&gt;2,HLOOKUP($A751,#REF!,4,FALSE())&lt;-2),"",#REF!),"")</f>
        <v/>
      </c>
      <c r="G751" s="0" t="str">
        <f aca="false">IFERROR(IF(OR(HLOOKUP($A751,#REF!,5,FALSE())&gt;2,HLOOKUP($A751,#REF!,5,FALSE())&lt;-2),"",#REF!),"")</f>
        <v/>
      </c>
      <c r="H751" s="0" t="str">
        <f aca="false">IFERROR(IF(OR(HLOOKUP($A751,#REF!,6,FALSE())&gt;2,HLOOKUP($A751,#REF!,6,FALSE())&lt;-2),"",#REF!),"")</f>
        <v/>
      </c>
      <c r="I751" s="0" t="str">
        <f aca="false">IFERROR(IF(OR(HLOOKUP($A751,#REF!,7,FALSE())&gt;2,HLOOKUP($A751,#REF!,7,FALSE())&lt;-2),"",#REF!),"")</f>
        <v/>
      </c>
      <c r="J751" s="0" t="str">
        <f aca="false">IFERROR(IF(OR(HLOOKUP($A751,#REF!,8,FALSE())&gt;2,HLOOKUP($A751,#REF!,8,FALSE())&lt;-2),"",#REF!),"")</f>
        <v/>
      </c>
      <c r="K751" s="0" t="str">
        <f aca="false">IFERROR(IF(OR(HLOOKUP($A751,#REF!,9,FALSE())&gt;2,HLOOKUP($A751,#REF!,9,FALSE())&lt;-2),"",#REF!),"")</f>
        <v/>
      </c>
      <c r="L751" s="0" t="str">
        <f aca="false">IFERROR(IF(OR(HLOOKUP($A751,#REF!,10,FALSE())&gt;2,HLOOKUP($A751,#REF!,10,FALSE())&lt;-2),"",#REF!),"")</f>
        <v/>
      </c>
      <c r="M751" s="0" t="str">
        <f aca="false">IFERROR(IF(OR(HLOOKUP($A751,#REF!,11,FALSE())&gt;2,HLOOKUP($A751,#REF!,11,FALSE())&lt;-2),"",#REF!),"")</f>
        <v/>
      </c>
      <c r="N751" s="0" t="str">
        <f aca="false">IFERROR(IF(OR(HLOOKUP($A751,#REF!,12,FALSE())&gt;2,HLOOKUP($A751,#REF!,12,FALSE())&lt;-2),"",#REF!),"")</f>
        <v/>
      </c>
      <c r="O751" s="0" t="str">
        <f aca="false">IFERROR(IF(OR(HLOOKUP($A751,#REF!,13,FALSE())&gt;2,HLOOKUP($A751,#REF!,13,FALSE())&lt;-2),"",#REF!),"")</f>
        <v/>
      </c>
      <c r="P751" s="0" t="str">
        <f aca="false">IFERROR(IF(OR(HLOOKUP($A751,#REF!,14,FALSE())&gt;2,HLOOKUP($A751,#REF!,14,FALSE())&lt;-2),"",#REF!),"")</f>
        <v/>
      </c>
      <c r="Q751" s="0" t="str">
        <f aca="false">IFERROR(IF(OR(HLOOKUP($A751,#REF!,15,FALSE())&gt;2,HLOOKUP($A751,#REF!,15,FALSE())&lt;-2),"",#REF!),"")</f>
        <v/>
      </c>
      <c r="R751" s="0" t="str">
        <f aca="false">IFERROR(IF(OR(HLOOKUP($A751,#REF!,16,FALSE())&gt;2,HLOOKUP($A751,#REF!,16,FALSE())&lt;-2),"",#REF!),"")</f>
        <v/>
      </c>
      <c r="S751" s="0" t="str">
        <f aca="false">IFERROR(IF(OR(HLOOKUP($A751,#REF!,17,FALSE())&gt;2,HLOOKUP($A751,#REF!,17,FALSE())&lt;-2),"",#REF!),"")</f>
        <v/>
      </c>
      <c r="T751" s="0" t="str">
        <f aca="false">IFERROR(IF(OR(HLOOKUP($A751,#REF!,18,FALSE())&gt;2,HLOOKUP($A751,#REF!,18,FALSE())&lt;-2),"",#REF!),"")</f>
        <v/>
      </c>
      <c r="U751" s="0" t="str">
        <f aca="false">IFERROR(IF(OR(HLOOKUP($A751,#REF!,19,FALSE())&gt;2,HLOOKUP($A751,#REF!,19,FALSE())&lt;-2),"",#REF!),"")</f>
        <v/>
      </c>
      <c r="V751" s="0" t="n">
        <f aca="false">IFERROR(IF(AND(X751=0,Y751=0),0,1),0)</f>
        <v>1</v>
      </c>
      <c r="W751" s="3" t="str">
        <f aca="false">IFERROR(_xlfn.T.TEST(E751:M751,N751:U751,2,2),"")</f>
        <v/>
      </c>
      <c r="X751" s="0" t="str">
        <f aca="false">IFERROR(AVERAGE(E751:M751),"")</f>
        <v/>
      </c>
      <c r="Y751" s="0" t="str">
        <f aca="false">IFERROR(AVERAGE(N751:U751),"")</f>
        <v/>
      </c>
    </row>
    <row r="752" customFormat="false" ht="14.5" hidden="false" customHeight="false" outlineLevel="0" collapsed="false">
      <c r="A752" s="0" t="n">
        <v>760</v>
      </c>
      <c r="B752" s="0" t="s">
        <v>810</v>
      </c>
      <c r="C752" s="0" t="n">
        <v>108600</v>
      </c>
      <c r="D752" s="0" t="n">
        <v>1000</v>
      </c>
      <c r="E752" s="0" t="str">
        <f aca="false">IFERROR(IF(OR(HLOOKUP($A752,#REF!,3,FALSE())&gt;2,HLOOKUP(A752,#REF!,3,FALSE())&lt;-2),"",#REF!),"")</f>
        <v/>
      </c>
      <c r="F752" s="0" t="str">
        <f aca="false">IFERROR(IF(OR(HLOOKUP($A752,#REF!,4,FALSE())&gt;2,HLOOKUP($A752,#REF!,4,FALSE())&lt;-2),"",#REF!),"")</f>
        <v/>
      </c>
      <c r="G752" s="0" t="str">
        <f aca="false">IFERROR(IF(OR(HLOOKUP($A752,#REF!,5,FALSE())&gt;2,HLOOKUP($A752,#REF!,5,FALSE())&lt;-2),"",#REF!),"")</f>
        <v/>
      </c>
      <c r="H752" s="0" t="str">
        <f aca="false">IFERROR(IF(OR(HLOOKUP($A752,#REF!,6,FALSE())&gt;2,HLOOKUP($A752,#REF!,6,FALSE())&lt;-2),"",#REF!),"")</f>
        <v/>
      </c>
      <c r="I752" s="0" t="str">
        <f aca="false">IFERROR(IF(OR(HLOOKUP($A752,#REF!,7,FALSE())&gt;2,HLOOKUP($A752,#REF!,7,FALSE())&lt;-2),"",#REF!),"")</f>
        <v/>
      </c>
      <c r="J752" s="0" t="str">
        <f aca="false">IFERROR(IF(OR(HLOOKUP($A752,#REF!,8,FALSE())&gt;2,HLOOKUP($A752,#REF!,8,FALSE())&lt;-2),"",#REF!),"")</f>
        <v/>
      </c>
      <c r="K752" s="0" t="str">
        <f aca="false">IFERROR(IF(OR(HLOOKUP($A752,#REF!,9,FALSE())&gt;2,HLOOKUP($A752,#REF!,9,FALSE())&lt;-2),"",#REF!),"")</f>
        <v/>
      </c>
      <c r="L752" s="0" t="str">
        <f aca="false">IFERROR(IF(OR(HLOOKUP($A752,#REF!,10,FALSE())&gt;2,HLOOKUP($A752,#REF!,10,FALSE())&lt;-2),"",#REF!),"")</f>
        <v/>
      </c>
      <c r="M752" s="0" t="str">
        <f aca="false">IFERROR(IF(OR(HLOOKUP($A752,#REF!,11,FALSE())&gt;2,HLOOKUP($A752,#REF!,11,FALSE())&lt;-2),"",#REF!),"")</f>
        <v/>
      </c>
      <c r="N752" s="0" t="str">
        <f aca="false">IFERROR(IF(OR(HLOOKUP($A752,#REF!,12,FALSE())&gt;2,HLOOKUP($A752,#REF!,12,FALSE())&lt;-2),"",#REF!),"")</f>
        <v/>
      </c>
      <c r="O752" s="0" t="str">
        <f aca="false">IFERROR(IF(OR(HLOOKUP($A752,#REF!,13,FALSE())&gt;2,HLOOKUP($A752,#REF!,13,FALSE())&lt;-2),"",#REF!),"")</f>
        <v/>
      </c>
      <c r="P752" s="0" t="str">
        <f aca="false">IFERROR(IF(OR(HLOOKUP($A752,#REF!,14,FALSE())&gt;2,HLOOKUP($A752,#REF!,14,FALSE())&lt;-2),"",#REF!),"")</f>
        <v/>
      </c>
      <c r="Q752" s="0" t="str">
        <f aca="false">IFERROR(IF(OR(HLOOKUP($A752,#REF!,15,FALSE())&gt;2,HLOOKUP($A752,#REF!,15,FALSE())&lt;-2),"",#REF!),"")</f>
        <v/>
      </c>
      <c r="R752" s="0" t="str">
        <f aca="false">IFERROR(IF(OR(HLOOKUP($A752,#REF!,16,FALSE())&gt;2,HLOOKUP($A752,#REF!,16,FALSE())&lt;-2),"",#REF!),"")</f>
        <v/>
      </c>
      <c r="S752" s="0" t="str">
        <f aca="false">IFERROR(IF(OR(HLOOKUP($A752,#REF!,17,FALSE())&gt;2,HLOOKUP($A752,#REF!,17,FALSE())&lt;-2),"",#REF!),"")</f>
        <v/>
      </c>
      <c r="T752" s="0" t="str">
        <f aca="false">IFERROR(IF(OR(HLOOKUP($A752,#REF!,18,FALSE())&gt;2,HLOOKUP($A752,#REF!,18,FALSE())&lt;-2),"",#REF!),"")</f>
        <v/>
      </c>
      <c r="U752" s="0" t="str">
        <f aca="false">IFERROR(IF(OR(HLOOKUP($A752,#REF!,19,FALSE())&gt;2,HLOOKUP($A752,#REF!,19,FALSE())&lt;-2),"",#REF!),"")</f>
        <v/>
      </c>
      <c r="V752" s="0" t="n">
        <f aca="false">IFERROR(IF(AND(X752=0,Y752=0),0,1),0)</f>
        <v>1</v>
      </c>
      <c r="W752" s="3" t="str">
        <f aca="false">IFERROR(_xlfn.T.TEST(E752:M752,N752:U752,2,2),"")</f>
        <v/>
      </c>
      <c r="X752" s="0" t="str">
        <f aca="false">IFERROR(AVERAGE(E752:M752),"")</f>
        <v/>
      </c>
      <c r="Y752" s="0" t="str">
        <f aca="false">IFERROR(AVERAGE(N752:U752),"")</f>
        <v/>
      </c>
    </row>
    <row r="753" customFormat="false" ht="14.5" hidden="false" customHeight="false" outlineLevel="0" collapsed="false">
      <c r="A753" s="0" t="n">
        <v>761</v>
      </c>
      <c r="B753" s="0" t="s">
        <v>811</v>
      </c>
      <c r="C753" s="0" t="n">
        <v>76800</v>
      </c>
      <c r="D753" s="0" t="n">
        <v>693</v>
      </c>
      <c r="E753" s="0" t="str">
        <f aca="false">IFERROR(IF(OR(HLOOKUP($A753,#REF!,3,FALSE())&gt;2,HLOOKUP(A753,#REF!,3,FALSE())&lt;-2),"",#REF!),"")</f>
        <v/>
      </c>
      <c r="F753" s="0" t="str">
        <f aca="false">IFERROR(IF(OR(HLOOKUP($A753,#REF!,4,FALSE())&gt;2,HLOOKUP($A753,#REF!,4,FALSE())&lt;-2),"",#REF!),"")</f>
        <v/>
      </c>
      <c r="G753" s="0" t="str">
        <f aca="false">IFERROR(IF(OR(HLOOKUP($A753,#REF!,5,FALSE())&gt;2,HLOOKUP($A753,#REF!,5,FALSE())&lt;-2),"",#REF!),"")</f>
        <v/>
      </c>
      <c r="H753" s="0" t="str">
        <f aca="false">IFERROR(IF(OR(HLOOKUP($A753,#REF!,6,FALSE())&gt;2,HLOOKUP($A753,#REF!,6,FALSE())&lt;-2),"",#REF!),"")</f>
        <v/>
      </c>
      <c r="I753" s="0" t="str">
        <f aca="false">IFERROR(IF(OR(HLOOKUP($A753,#REF!,7,FALSE())&gt;2,HLOOKUP($A753,#REF!,7,FALSE())&lt;-2),"",#REF!),"")</f>
        <v/>
      </c>
      <c r="J753" s="0" t="str">
        <f aca="false">IFERROR(IF(OR(HLOOKUP($A753,#REF!,8,FALSE())&gt;2,HLOOKUP($A753,#REF!,8,FALSE())&lt;-2),"",#REF!),"")</f>
        <v/>
      </c>
      <c r="K753" s="0" t="str">
        <f aca="false">IFERROR(IF(OR(HLOOKUP($A753,#REF!,9,FALSE())&gt;2,HLOOKUP($A753,#REF!,9,FALSE())&lt;-2),"",#REF!),"")</f>
        <v/>
      </c>
      <c r="L753" s="0" t="str">
        <f aca="false">IFERROR(IF(OR(HLOOKUP($A753,#REF!,10,FALSE())&gt;2,HLOOKUP($A753,#REF!,10,FALSE())&lt;-2),"",#REF!),"")</f>
        <v/>
      </c>
      <c r="M753" s="0" t="str">
        <f aca="false">IFERROR(IF(OR(HLOOKUP($A753,#REF!,11,FALSE())&gt;2,HLOOKUP($A753,#REF!,11,FALSE())&lt;-2),"",#REF!),"")</f>
        <v/>
      </c>
      <c r="N753" s="0" t="str">
        <f aca="false">IFERROR(IF(OR(HLOOKUP($A753,#REF!,12,FALSE())&gt;2,HLOOKUP($A753,#REF!,12,FALSE())&lt;-2),"",#REF!),"")</f>
        <v/>
      </c>
      <c r="O753" s="0" t="str">
        <f aca="false">IFERROR(IF(OR(HLOOKUP($A753,#REF!,13,FALSE())&gt;2,HLOOKUP($A753,#REF!,13,FALSE())&lt;-2),"",#REF!),"")</f>
        <v/>
      </c>
      <c r="P753" s="0" t="str">
        <f aca="false">IFERROR(IF(OR(HLOOKUP($A753,#REF!,14,FALSE())&gt;2,HLOOKUP($A753,#REF!,14,FALSE())&lt;-2),"",#REF!),"")</f>
        <v/>
      </c>
      <c r="Q753" s="0" t="str">
        <f aca="false">IFERROR(IF(OR(HLOOKUP($A753,#REF!,15,FALSE())&gt;2,HLOOKUP($A753,#REF!,15,FALSE())&lt;-2),"",#REF!),"")</f>
        <v/>
      </c>
      <c r="R753" s="0" t="str">
        <f aca="false">IFERROR(IF(OR(HLOOKUP($A753,#REF!,16,FALSE())&gt;2,HLOOKUP($A753,#REF!,16,FALSE())&lt;-2),"",#REF!),"")</f>
        <v/>
      </c>
      <c r="S753" s="0" t="str">
        <f aca="false">IFERROR(IF(OR(HLOOKUP($A753,#REF!,17,FALSE())&gt;2,HLOOKUP($A753,#REF!,17,FALSE())&lt;-2),"",#REF!),"")</f>
        <v/>
      </c>
      <c r="T753" s="0" t="str">
        <f aca="false">IFERROR(IF(OR(HLOOKUP($A753,#REF!,18,FALSE())&gt;2,HLOOKUP($A753,#REF!,18,FALSE())&lt;-2),"",#REF!),"")</f>
        <v/>
      </c>
      <c r="U753" s="0" t="str">
        <f aca="false">IFERROR(IF(OR(HLOOKUP($A753,#REF!,19,FALSE())&gt;2,HLOOKUP($A753,#REF!,19,FALSE())&lt;-2),"",#REF!),"")</f>
        <v/>
      </c>
      <c r="V753" s="0" t="n">
        <f aca="false">IFERROR(IF(AND(X753=0,Y753=0),0,1),0)</f>
        <v>1</v>
      </c>
      <c r="W753" s="3" t="str">
        <f aca="false">IFERROR(_xlfn.T.TEST(E753:M753,N753:U753,2,2),"")</f>
        <v/>
      </c>
      <c r="X753" s="0" t="str">
        <f aca="false">IFERROR(AVERAGE(E753:M753),"")</f>
        <v/>
      </c>
      <c r="Y753" s="0" t="str">
        <f aca="false">IFERROR(AVERAGE(N753:U753),"")</f>
        <v/>
      </c>
    </row>
    <row r="754" customFormat="false" ht="14.5" hidden="false" customHeight="false" outlineLevel="0" collapsed="false">
      <c r="A754" s="0" t="n">
        <v>762</v>
      </c>
      <c r="B754" s="0" t="s">
        <v>812</v>
      </c>
      <c r="C754" s="0" t="n">
        <v>113800</v>
      </c>
      <c r="D754" s="0" t="n">
        <v>182</v>
      </c>
      <c r="E754" s="0" t="str">
        <f aca="false">IFERROR(IF(OR(HLOOKUP($A754,#REF!,3,FALSE())&gt;2,HLOOKUP(A754,#REF!,3,FALSE())&lt;-2),"",#REF!),"")</f>
        <v/>
      </c>
      <c r="F754" s="0" t="str">
        <f aca="false">IFERROR(IF(OR(HLOOKUP($A754,#REF!,4,FALSE())&gt;2,HLOOKUP($A754,#REF!,4,FALSE())&lt;-2),"",#REF!),"")</f>
        <v/>
      </c>
      <c r="G754" s="0" t="str">
        <f aca="false">IFERROR(IF(OR(HLOOKUP($A754,#REF!,5,FALSE())&gt;2,HLOOKUP($A754,#REF!,5,FALSE())&lt;-2),"",#REF!),"")</f>
        <v/>
      </c>
      <c r="H754" s="0" t="str">
        <f aca="false">IFERROR(IF(OR(HLOOKUP($A754,#REF!,6,FALSE())&gt;2,HLOOKUP($A754,#REF!,6,FALSE())&lt;-2),"",#REF!),"")</f>
        <v/>
      </c>
      <c r="I754" s="0" t="str">
        <f aca="false">IFERROR(IF(OR(HLOOKUP($A754,#REF!,7,FALSE())&gt;2,HLOOKUP($A754,#REF!,7,FALSE())&lt;-2),"",#REF!),"")</f>
        <v/>
      </c>
      <c r="J754" s="0" t="str">
        <f aca="false">IFERROR(IF(OR(HLOOKUP($A754,#REF!,8,FALSE())&gt;2,HLOOKUP($A754,#REF!,8,FALSE())&lt;-2),"",#REF!),"")</f>
        <v/>
      </c>
      <c r="K754" s="0" t="str">
        <f aca="false">IFERROR(IF(OR(HLOOKUP($A754,#REF!,9,FALSE())&gt;2,HLOOKUP($A754,#REF!,9,FALSE())&lt;-2),"",#REF!),"")</f>
        <v/>
      </c>
      <c r="L754" s="0" t="str">
        <f aca="false">IFERROR(IF(OR(HLOOKUP($A754,#REF!,10,FALSE())&gt;2,HLOOKUP($A754,#REF!,10,FALSE())&lt;-2),"",#REF!),"")</f>
        <v/>
      </c>
      <c r="M754" s="0" t="str">
        <f aca="false">IFERROR(IF(OR(HLOOKUP($A754,#REF!,11,FALSE())&gt;2,HLOOKUP($A754,#REF!,11,FALSE())&lt;-2),"",#REF!),"")</f>
        <v/>
      </c>
      <c r="N754" s="0" t="str">
        <f aca="false">IFERROR(IF(OR(HLOOKUP($A754,#REF!,12,FALSE())&gt;2,HLOOKUP($A754,#REF!,12,FALSE())&lt;-2),"",#REF!),"")</f>
        <v/>
      </c>
      <c r="O754" s="0" t="str">
        <f aca="false">IFERROR(IF(OR(HLOOKUP($A754,#REF!,13,FALSE())&gt;2,HLOOKUP($A754,#REF!,13,FALSE())&lt;-2),"",#REF!),"")</f>
        <v/>
      </c>
      <c r="P754" s="0" t="str">
        <f aca="false">IFERROR(IF(OR(HLOOKUP($A754,#REF!,14,FALSE())&gt;2,HLOOKUP($A754,#REF!,14,FALSE())&lt;-2),"",#REF!),"")</f>
        <v/>
      </c>
      <c r="Q754" s="0" t="str">
        <f aca="false">IFERROR(IF(OR(HLOOKUP($A754,#REF!,15,FALSE())&gt;2,HLOOKUP($A754,#REF!,15,FALSE())&lt;-2),"",#REF!),"")</f>
        <v/>
      </c>
      <c r="R754" s="0" t="str">
        <f aca="false">IFERROR(IF(OR(HLOOKUP($A754,#REF!,16,FALSE())&gt;2,HLOOKUP($A754,#REF!,16,FALSE())&lt;-2),"",#REF!),"")</f>
        <v/>
      </c>
      <c r="S754" s="0" t="str">
        <f aca="false">IFERROR(IF(OR(HLOOKUP($A754,#REF!,17,FALSE())&gt;2,HLOOKUP($A754,#REF!,17,FALSE())&lt;-2),"",#REF!),"")</f>
        <v/>
      </c>
      <c r="T754" s="0" t="str">
        <f aca="false">IFERROR(IF(OR(HLOOKUP($A754,#REF!,18,FALSE())&gt;2,HLOOKUP($A754,#REF!,18,FALSE())&lt;-2),"",#REF!),"")</f>
        <v/>
      </c>
      <c r="U754" s="0" t="str">
        <f aca="false">IFERROR(IF(OR(HLOOKUP($A754,#REF!,19,FALSE())&gt;2,HLOOKUP($A754,#REF!,19,FALSE())&lt;-2),"",#REF!),"")</f>
        <v/>
      </c>
      <c r="V754" s="0" t="n">
        <f aca="false">IFERROR(IF(AND(X754=0,Y754=0),0,1),0)</f>
        <v>1</v>
      </c>
      <c r="W754" s="3" t="str">
        <f aca="false">IFERROR(_xlfn.T.TEST(E754:M754,N754:U754,2,2),"")</f>
        <v/>
      </c>
      <c r="X754" s="0" t="str">
        <f aca="false">IFERROR(AVERAGE(E754:M754),"")</f>
        <v/>
      </c>
      <c r="Y754" s="0" t="str">
        <f aca="false">IFERROR(AVERAGE(N754:U754),"")</f>
        <v/>
      </c>
    </row>
    <row r="755" customFormat="false" ht="14.5" hidden="false" customHeight="false" outlineLevel="0" collapsed="false">
      <c r="A755" s="0" t="n">
        <v>763</v>
      </c>
      <c r="B755" s="0" t="s">
        <v>813</v>
      </c>
      <c r="C755" s="0" t="n">
        <v>73000</v>
      </c>
      <c r="D755" s="0" t="n">
        <v>141</v>
      </c>
      <c r="E755" s="0" t="str">
        <f aca="false">IFERROR(IF(OR(HLOOKUP($A755,#REF!,3,FALSE())&gt;2,HLOOKUP(A755,#REF!,3,FALSE())&lt;-2),"",#REF!),"")</f>
        <v/>
      </c>
      <c r="F755" s="0" t="str">
        <f aca="false">IFERROR(IF(OR(HLOOKUP($A755,#REF!,4,FALSE())&gt;2,HLOOKUP($A755,#REF!,4,FALSE())&lt;-2),"",#REF!),"")</f>
        <v/>
      </c>
      <c r="G755" s="0" t="str">
        <f aca="false">IFERROR(IF(OR(HLOOKUP($A755,#REF!,5,FALSE())&gt;2,HLOOKUP($A755,#REF!,5,FALSE())&lt;-2),"",#REF!),"")</f>
        <v/>
      </c>
      <c r="H755" s="0" t="str">
        <f aca="false">IFERROR(IF(OR(HLOOKUP($A755,#REF!,6,FALSE())&gt;2,HLOOKUP($A755,#REF!,6,FALSE())&lt;-2),"",#REF!),"")</f>
        <v/>
      </c>
      <c r="I755" s="0" t="str">
        <f aca="false">IFERROR(IF(OR(HLOOKUP($A755,#REF!,7,FALSE())&gt;2,HLOOKUP($A755,#REF!,7,FALSE())&lt;-2),"",#REF!),"")</f>
        <v/>
      </c>
      <c r="J755" s="0" t="str">
        <f aca="false">IFERROR(IF(OR(HLOOKUP($A755,#REF!,8,FALSE())&gt;2,HLOOKUP($A755,#REF!,8,FALSE())&lt;-2),"",#REF!),"")</f>
        <v/>
      </c>
      <c r="K755" s="0" t="str">
        <f aca="false">IFERROR(IF(OR(HLOOKUP($A755,#REF!,9,FALSE())&gt;2,HLOOKUP($A755,#REF!,9,FALSE())&lt;-2),"",#REF!),"")</f>
        <v/>
      </c>
      <c r="L755" s="0" t="str">
        <f aca="false">IFERROR(IF(OR(HLOOKUP($A755,#REF!,10,FALSE())&gt;2,HLOOKUP($A755,#REF!,10,FALSE())&lt;-2),"",#REF!),"")</f>
        <v/>
      </c>
      <c r="M755" s="0" t="str">
        <f aca="false">IFERROR(IF(OR(HLOOKUP($A755,#REF!,11,FALSE())&gt;2,HLOOKUP($A755,#REF!,11,FALSE())&lt;-2),"",#REF!),"")</f>
        <v/>
      </c>
      <c r="N755" s="0" t="str">
        <f aca="false">IFERROR(IF(OR(HLOOKUP($A755,#REF!,12,FALSE())&gt;2,HLOOKUP($A755,#REF!,12,FALSE())&lt;-2),"",#REF!),"")</f>
        <v/>
      </c>
      <c r="O755" s="0" t="str">
        <f aca="false">IFERROR(IF(OR(HLOOKUP($A755,#REF!,13,FALSE())&gt;2,HLOOKUP($A755,#REF!,13,FALSE())&lt;-2),"",#REF!),"")</f>
        <v/>
      </c>
      <c r="P755" s="0" t="str">
        <f aca="false">IFERROR(IF(OR(HLOOKUP($A755,#REF!,14,FALSE())&gt;2,HLOOKUP($A755,#REF!,14,FALSE())&lt;-2),"",#REF!),"")</f>
        <v/>
      </c>
      <c r="Q755" s="0" t="str">
        <f aca="false">IFERROR(IF(OR(HLOOKUP($A755,#REF!,15,FALSE())&gt;2,HLOOKUP($A755,#REF!,15,FALSE())&lt;-2),"",#REF!),"")</f>
        <v/>
      </c>
      <c r="R755" s="0" t="str">
        <f aca="false">IFERROR(IF(OR(HLOOKUP($A755,#REF!,16,FALSE())&gt;2,HLOOKUP($A755,#REF!,16,FALSE())&lt;-2),"",#REF!),"")</f>
        <v/>
      </c>
      <c r="S755" s="0" t="str">
        <f aca="false">IFERROR(IF(OR(HLOOKUP($A755,#REF!,17,FALSE())&gt;2,HLOOKUP($A755,#REF!,17,FALSE())&lt;-2),"",#REF!),"")</f>
        <v/>
      </c>
      <c r="T755" s="0" t="str">
        <f aca="false">IFERROR(IF(OR(HLOOKUP($A755,#REF!,18,FALSE())&gt;2,HLOOKUP($A755,#REF!,18,FALSE())&lt;-2),"",#REF!),"")</f>
        <v/>
      </c>
      <c r="U755" s="0" t="str">
        <f aca="false">IFERROR(IF(OR(HLOOKUP($A755,#REF!,19,FALSE())&gt;2,HLOOKUP($A755,#REF!,19,FALSE())&lt;-2),"",#REF!),"")</f>
        <v/>
      </c>
      <c r="V755" s="0" t="n">
        <f aca="false">IFERROR(IF(AND(X755=0,Y755=0),0,1),0)</f>
        <v>1</v>
      </c>
      <c r="W755" s="3" t="str">
        <f aca="false">IFERROR(_xlfn.T.TEST(E755:M755,N755:U755,2,2),"")</f>
        <v/>
      </c>
      <c r="X755" s="0" t="str">
        <f aca="false">IFERROR(AVERAGE(E755:M755),"")</f>
        <v/>
      </c>
      <c r="Y755" s="0" t="str">
        <f aca="false">IFERROR(AVERAGE(N755:U755),"")</f>
        <v/>
      </c>
    </row>
    <row r="756" customFormat="false" ht="14.5" hidden="false" customHeight="false" outlineLevel="0" collapsed="false">
      <c r="A756" s="0" t="n">
        <v>764</v>
      </c>
      <c r="B756" s="0" t="s">
        <v>814</v>
      </c>
      <c r="C756" s="0" t="n">
        <v>41800</v>
      </c>
      <c r="D756" s="0" t="n">
        <v>918</v>
      </c>
      <c r="E756" s="0" t="str">
        <f aca="false">IFERROR(IF(OR(HLOOKUP($A756,#REF!,3,FALSE())&gt;2,HLOOKUP(A756,#REF!,3,FALSE())&lt;-2),"",#REF!),"")</f>
        <v/>
      </c>
      <c r="F756" s="0" t="str">
        <f aca="false">IFERROR(IF(OR(HLOOKUP($A756,#REF!,4,FALSE())&gt;2,HLOOKUP($A756,#REF!,4,FALSE())&lt;-2),"",#REF!),"")</f>
        <v/>
      </c>
      <c r="G756" s="0" t="str">
        <f aca="false">IFERROR(IF(OR(HLOOKUP($A756,#REF!,5,FALSE())&gt;2,HLOOKUP($A756,#REF!,5,FALSE())&lt;-2),"",#REF!),"")</f>
        <v/>
      </c>
      <c r="H756" s="0" t="str">
        <f aca="false">IFERROR(IF(OR(HLOOKUP($A756,#REF!,6,FALSE())&gt;2,HLOOKUP($A756,#REF!,6,FALSE())&lt;-2),"",#REF!),"")</f>
        <v/>
      </c>
      <c r="I756" s="0" t="str">
        <f aca="false">IFERROR(IF(OR(HLOOKUP($A756,#REF!,7,FALSE())&gt;2,HLOOKUP($A756,#REF!,7,FALSE())&lt;-2),"",#REF!),"")</f>
        <v/>
      </c>
      <c r="J756" s="0" t="str">
        <f aca="false">IFERROR(IF(OR(HLOOKUP($A756,#REF!,8,FALSE())&gt;2,HLOOKUP($A756,#REF!,8,FALSE())&lt;-2),"",#REF!),"")</f>
        <v/>
      </c>
      <c r="K756" s="0" t="str">
        <f aca="false">IFERROR(IF(OR(HLOOKUP($A756,#REF!,9,FALSE())&gt;2,HLOOKUP($A756,#REF!,9,FALSE())&lt;-2),"",#REF!),"")</f>
        <v/>
      </c>
      <c r="L756" s="0" t="str">
        <f aca="false">IFERROR(IF(OR(HLOOKUP($A756,#REF!,10,FALSE())&gt;2,HLOOKUP($A756,#REF!,10,FALSE())&lt;-2),"",#REF!),"")</f>
        <v/>
      </c>
      <c r="M756" s="0" t="str">
        <f aca="false">IFERROR(IF(OR(HLOOKUP($A756,#REF!,11,FALSE())&gt;2,HLOOKUP($A756,#REF!,11,FALSE())&lt;-2),"",#REF!),"")</f>
        <v/>
      </c>
      <c r="N756" s="0" t="str">
        <f aca="false">IFERROR(IF(OR(HLOOKUP($A756,#REF!,12,FALSE())&gt;2,HLOOKUP($A756,#REF!,12,FALSE())&lt;-2),"",#REF!),"")</f>
        <v/>
      </c>
      <c r="O756" s="0" t="str">
        <f aca="false">IFERROR(IF(OR(HLOOKUP($A756,#REF!,13,FALSE())&gt;2,HLOOKUP($A756,#REF!,13,FALSE())&lt;-2),"",#REF!),"")</f>
        <v/>
      </c>
      <c r="P756" s="0" t="str">
        <f aca="false">IFERROR(IF(OR(HLOOKUP($A756,#REF!,14,FALSE())&gt;2,HLOOKUP($A756,#REF!,14,FALSE())&lt;-2),"",#REF!),"")</f>
        <v/>
      </c>
      <c r="Q756" s="0" t="str">
        <f aca="false">IFERROR(IF(OR(HLOOKUP($A756,#REF!,15,FALSE())&gt;2,HLOOKUP($A756,#REF!,15,FALSE())&lt;-2),"",#REF!),"")</f>
        <v/>
      </c>
      <c r="R756" s="0" t="str">
        <f aca="false">IFERROR(IF(OR(HLOOKUP($A756,#REF!,16,FALSE())&gt;2,HLOOKUP($A756,#REF!,16,FALSE())&lt;-2),"",#REF!),"")</f>
        <v/>
      </c>
      <c r="S756" s="0" t="str">
        <f aca="false">IFERROR(IF(OR(HLOOKUP($A756,#REF!,17,FALSE())&gt;2,HLOOKUP($A756,#REF!,17,FALSE())&lt;-2),"",#REF!),"")</f>
        <v/>
      </c>
      <c r="T756" s="0" t="str">
        <f aca="false">IFERROR(IF(OR(HLOOKUP($A756,#REF!,18,FALSE())&gt;2,HLOOKUP($A756,#REF!,18,FALSE())&lt;-2),"",#REF!),"")</f>
        <v/>
      </c>
      <c r="U756" s="0" t="str">
        <f aca="false">IFERROR(IF(OR(HLOOKUP($A756,#REF!,19,FALSE())&gt;2,HLOOKUP($A756,#REF!,19,FALSE())&lt;-2),"",#REF!),"")</f>
        <v/>
      </c>
      <c r="V756" s="0" t="n">
        <f aca="false">IFERROR(IF(AND(X756=0,Y756=0),0,1),0)</f>
        <v>1</v>
      </c>
      <c r="W756" s="3" t="str">
        <f aca="false">IFERROR(_xlfn.T.TEST(E756:M756,N756:U756,2,2),"")</f>
        <v/>
      </c>
      <c r="X756" s="0" t="str">
        <f aca="false">IFERROR(AVERAGE(E756:M756),"")</f>
        <v/>
      </c>
      <c r="Y756" s="0" t="str">
        <f aca="false">IFERROR(AVERAGE(N756:U756),"")</f>
        <v/>
      </c>
    </row>
    <row r="757" customFormat="false" ht="14.5" hidden="false" customHeight="false" outlineLevel="0" collapsed="false">
      <c r="A757" s="0" t="n">
        <v>765</v>
      </c>
      <c r="B757" s="0" t="s">
        <v>815</v>
      </c>
      <c r="C757" s="0" t="n">
        <v>96400</v>
      </c>
      <c r="D757" s="0" t="n">
        <v>370</v>
      </c>
      <c r="E757" s="0" t="str">
        <f aca="false">IFERROR(IF(OR(HLOOKUP($A757,#REF!,3,FALSE())&gt;2,HLOOKUP(A757,#REF!,3,FALSE())&lt;-2),"",#REF!),"")</f>
        <v/>
      </c>
      <c r="F757" s="0" t="str">
        <f aca="false">IFERROR(IF(OR(HLOOKUP($A757,#REF!,4,FALSE())&gt;2,HLOOKUP($A757,#REF!,4,FALSE())&lt;-2),"",#REF!),"")</f>
        <v/>
      </c>
      <c r="G757" s="0" t="str">
        <f aca="false">IFERROR(IF(OR(HLOOKUP($A757,#REF!,5,FALSE())&gt;2,HLOOKUP($A757,#REF!,5,FALSE())&lt;-2),"",#REF!),"")</f>
        <v/>
      </c>
      <c r="H757" s="0" t="str">
        <f aca="false">IFERROR(IF(OR(HLOOKUP($A757,#REF!,6,FALSE())&gt;2,HLOOKUP($A757,#REF!,6,FALSE())&lt;-2),"",#REF!),"")</f>
        <v/>
      </c>
      <c r="I757" s="0" t="str">
        <f aca="false">IFERROR(IF(OR(HLOOKUP($A757,#REF!,7,FALSE())&gt;2,HLOOKUP($A757,#REF!,7,FALSE())&lt;-2),"",#REF!),"")</f>
        <v/>
      </c>
      <c r="J757" s="0" t="str">
        <f aca="false">IFERROR(IF(OR(HLOOKUP($A757,#REF!,8,FALSE())&gt;2,HLOOKUP($A757,#REF!,8,FALSE())&lt;-2),"",#REF!),"")</f>
        <v/>
      </c>
      <c r="K757" s="0" t="str">
        <f aca="false">IFERROR(IF(OR(HLOOKUP($A757,#REF!,9,FALSE())&gt;2,HLOOKUP($A757,#REF!,9,FALSE())&lt;-2),"",#REF!),"")</f>
        <v/>
      </c>
      <c r="L757" s="0" t="str">
        <f aca="false">IFERROR(IF(OR(HLOOKUP($A757,#REF!,10,FALSE())&gt;2,HLOOKUP($A757,#REF!,10,FALSE())&lt;-2),"",#REF!),"")</f>
        <v/>
      </c>
      <c r="M757" s="0" t="str">
        <f aca="false">IFERROR(IF(OR(HLOOKUP($A757,#REF!,11,FALSE())&gt;2,HLOOKUP($A757,#REF!,11,FALSE())&lt;-2),"",#REF!),"")</f>
        <v/>
      </c>
      <c r="N757" s="0" t="str">
        <f aca="false">IFERROR(IF(OR(HLOOKUP($A757,#REF!,12,FALSE())&gt;2,HLOOKUP($A757,#REF!,12,FALSE())&lt;-2),"",#REF!),"")</f>
        <v/>
      </c>
      <c r="O757" s="0" t="str">
        <f aca="false">IFERROR(IF(OR(HLOOKUP($A757,#REF!,13,FALSE())&gt;2,HLOOKUP($A757,#REF!,13,FALSE())&lt;-2),"",#REF!),"")</f>
        <v/>
      </c>
      <c r="P757" s="0" t="str">
        <f aca="false">IFERROR(IF(OR(HLOOKUP($A757,#REF!,14,FALSE())&gt;2,HLOOKUP($A757,#REF!,14,FALSE())&lt;-2),"",#REF!),"")</f>
        <v/>
      </c>
      <c r="Q757" s="0" t="str">
        <f aca="false">IFERROR(IF(OR(HLOOKUP($A757,#REF!,15,FALSE())&gt;2,HLOOKUP($A757,#REF!,15,FALSE())&lt;-2),"",#REF!),"")</f>
        <v/>
      </c>
      <c r="R757" s="0" t="str">
        <f aca="false">IFERROR(IF(OR(HLOOKUP($A757,#REF!,16,FALSE())&gt;2,HLOOKUP($A757,#REF!,16,FALSE())&lt;-2),"",#REF!),"")</f>
        <v/>
      </c>
      <c r="S757" s="0" t="str">
        <f aca="false">IFERROR(IF(OR(HLOOKUP($A757,#REF!,17,FALSE())&gt;2,HLOOKUP($A757,#REF!,17,FALSE())&lt;-2),"",#REF!),"")</f>
        <v/>
      </c>
      <c r="T757" s="0" t="str">
        <f aca="false">IFERROR(IF(OR(HLOOKUP($A757,#REF!,18,FALSE())&gt;2,HLOOKUP($A757,#REF!,18,FALSE())&lt;-2),"",#REF!),"")</f>
        <v/>
      </c>
      <c r="U757" s="0" t="str">
        <f aca="false">IFERROR(IF(OR(HLOOKUP($A757,#REF!,19,FALSE())&gt;2,HLOOKUP($A757,#REF!,19,FALSE())&lt;-2),"",#REF!),"")</f>
        <v/>
      </c>
      <c r="V757" s="0" t="n">
        <f aca="false">IFERROR(IF(AND(X757=0,Y757=0),0,1),0)</f>
        <v>1</v>
      </c>
      <c r="W757" s="3" t="str">
        <f aca="false">IFERROR(_xlfn.T.TEST(E757:M757,N757:U757,2,2),"")</f>
        <v/>
      </c>
      <c r="X757" s="0" t="str">
        <f aca="false">IFERROR(AVERAGE(E757:M757),"")</f>
        <v/>
      </c>
      <c r="Y757" s="0" t="str">
        <f aca="false">IFERROR(AVERAGE(N757:U757),"")</f>
        <v/>
      </c>
    </row>
    <row r="758" customFormat="false" ht="14.5" hidden="false" customHeight="false" outlineLevel="0" collapsed="false">
      <c r="A758" s="0" t="n">
        <v>766</v>
      </c>
      <c r="B758" s="0" t="s">
        <v>816</v>
      </c>
      <c r="C758" s="0" t="n">
        <v>40200</v>
      </c>
      <c r="D758" s="0" t="n">
        <v>726</v>
      </c>
      <c r="E758" s="0" t="str">
        <f aca="false">IFERROR(IF(OR(HLOOKUP($A758,#REF!,3,FALSE())&gt;2,HLOOKUP(A758,#REF!,3,FALSE())&lt;-2),"",#REF!),"")</f>
        <v/>
      </c>
      <c r="F758" s="0" t="str">
        <f aca="false">IFERROR(IF(OR(HLOOKUP($A758,#REF!,4,FALSE())&gt;2,HLOOKUP($A758,#REF!,4,FALSE())&lt;-2),"",#REF!),"")</f>
        <v/>
      </c>
      <c r="G758" s="0" t="str">
        <f aca="false">IFERROR(IF(OR(HLOOKUP($A758,#REF!,5,FALSE())&gt;2,HLOOKUP($A758,#REF!,5,FALSE())&lt;-2),"",#REF!),"")</f>
        <v/>
      </c>
      <c r="H758" s="0" t="str">
        <f aca="false">IFERROR(IF(OR(HLOOKUP($A758,#REF!,6,FALSE())&gt;2,HLOOKUP($A758,#REF!,6,FALSE())&lt;-2),"",#REF!),"")</f>
        <v/>
      </c>
      <c r="I758" s="0" t="str">
        <f aca="false">IFERROR(IF(OR(HLOOKUP($A758,#REF!,7,FALSE())&gt;2,HLOOKUP($A758,#REF!,7,FALSE())&lt;-2),"",#REF!),"")</f>
        <v/>
      </c>
      <c r="J758" s="0" t="str">
        <f aca="false">IFERROR(IF(OR(HLOOKUP($A758,#REF!,8,FALSE())&gt;2,HLOOKUP($A758,#REF!,8,FALSE())&lt;-2),"",#REF!),"")</f>
        <v/>
      </c>
      <c r="K758" s="0" t="str">
        <f aca="false">IFERROR(IF(OR(HLOOKUP($A758,#REF!,9,FALSE())&gt;2,HLOOKUP($A758,#REF!,9,FALSE())&lt;-2),"",#REF!),"")</f>
        <v/>
      </c>
      <c r="L758" s="0" t="str">
        <f aca="false">IFERROR(IF(OR(HLOOKUP($A758,#REF!,10,FALSE())&gt;2,HLOOKUP($A758,#REF!,10,FALSE())&lt;-2),"",#REF!),"")</f>
        <v/>
      </c>
      <c r="M758" s="0" t="str">
        <f aca="false">IFERROR(IF(OR(HLOOKUP($A758,#REF!,11,FALSE())&gt;2,HLOOKUP($A758,#REF!,11,FALSE())&lt;-2),"",#REF!),"")</f>
        <v/>
      </c>
      <c r="N758" s="0" t="str">
        <f aca="false">IFERROR(IF(OR(HLOOKUP($A758,#REF!,12,FALSE())&gt;2,HLOOKUP($A758,#REF!,12,FALSE())&lt;-2),"",#REF!),"")</f>
        <v/>
      </c>
      <c r="O758" s="0" t="str">
        <f aca="false">IFERROR(IF(OR(HLOOKUP($A758,#REF!,13,FALSE())&gt;2,HLOOKUP($A758,#REF!,13,FALSE())&lt;-2),"",#REF!),"")</f>
        <v/>
      </c>
      <c r="P758" s="0" t="str">
        <f aca="false">IFERROR(IF(OR(HLOOKUP($A758,#REF!,14,FALSE())&gt;2,HLOOKUP($A758,#REF!,14,FALSE())&lt;-2),"",#REF!),"")</f>
        <v/>
      </c>
      <c r="Q758" s="0" t="str">
        <f aca="false">IFERROR(IF(OR(HLOOKUP($A758,#REF!,15,FALSE())&gt;2,HLOOKUP($A758,#REF!,15,FALSE())&lt;-2),"",#REF!),"")</f>
        <v/>
      </c>
      <c r="R758" s="0" t="str">
        <f aca="false">IFERROR(IF(OR(HLOOKUP($A758,#REF!,16,FALSE())&gt;2,HLOOKUP($A758,#REF!,16,FALSE())&lt;-2),"",#REF!),"")</f>
        <v/>
      </c>
      <c r="S758" s="0" t="str">
        <f aca="false">IFERROR(IF(OR(HLOOKUP($A758,#REF!,17,FALSE())&gt;2,HLOOKUP($A758,#REF!,17,FALSE())&lt;-2),"",#REF!),"")</f>
        <v/>
      </c>
      <c r="T758" s="0" t="str">
        <f aca="false">IFERROR(IF(OR(HLOOKUP($A758,#REF!,18,FALSE())&gt;2,HLOOKUP($A758,#REF!,18,FALSE())&lt;-2),"",#REF!),"")</f>
        <v/>
      </c>
      <c r="U758" s="0" t="str">
        <f aca="false">IFERROR(IF(OR(HLOOKUP($A758,#REF!,19,FALSE())&gt;2,HLOOKUP($A758,#REF!,19,FALSE())&lt;-2),"",#REF!),"")</f>
        <v/>
      </c>
      <c r="V758" s="0" t="n">
        <f aca="false">IFERROR(IF(AND(X758=0,Y758=0),0,1),0)</f>
        <v>1</v>
      </c>
      <c r="W758" s="3" t="str">
        <f aca="false">IFERROR(_xlfn.T.TEST(E758:M758,N758:U758,2,2),"")</f>
        <v/>
      </c>
      <c r="X758" s="0" t="str">
        <f aca="false">IFERROR(AVERAGE(E758:M758),"")</f>
        <v/>
      </c>
      <c r="Y758" s="0" t="str">
        <f aca="false">IFERROR(AVERAGE(N758:U758),"")</f>
        <v/>
      </c>
    </row>
    <row r="759" customFormat="false" ht="14.5" hidden="false" customHeight="false" outlineLevel="0" collapsed="false">
      <c r="A759" s="0" t="n">
        <v>767</v>
      </c>
      <c r="B759" s="0" t="s">
        <v>817</v>
      </c>
      <c r="C759" s="0" t="n">
        <v>2400</v>
      </c>
      <c r="D759" s="0" t="n">
        <v>993</v>
      </c>
      <c r="E759" s="0" t="str">
        <f aca="false">IFERROR(IF(OR(HLOOKUP($A759,#REF!,3,FALSE())&gt;2,HLOOKUP(A759,#REF!,3,FALSE())&lt;-2),"",#REF!),"")</f>
        <v/>
      </c>
      <c r="F759" s="0" t="str">
        <f aca="false">IFERROR(IF(OR(HLOOKUP($A759,#REF!,4,FALSE())&gt;2,HLOOKUP($A759,#REF!,4,FALSE())&lt;-2),"",#REF!),"")</f>
        <v/>
      </c>
      <c r="G759" s="0" t="str">
        <f aca="false">IFERROR(IF(OR(HLOOKUP($A759,#REF!,5,FALSE())&gt;2,HLOOKUP($A759,#REF!,5,FALSE())&lt;-2),"",#REF!),"")</f>
        <v/>
      </c>
      <c r="H759" s="0" t="str">
        <f aca="false">IFERROR(IF(OR(HLOOKUP($A759,#REF!,6,FALSE())&gt;2,HLOOKUP($A759,#REF!,6,FALSE())&lt;-2),"",#REF!),"")</f>
        <v/>
      </c>
      <c r="I759" s="0" t="str">
        <f aca="false">IFERROR(IF(OR(HLOOKUP($A759,#REF!,7,FALSE())&gt;2,HLOOKUP($A759,#REF!,7,FALSE())&lt;-2),"",#REF!),"")</f>
        <v/>
      </c>
      <c r="J759" s="0" t="str">
        <f aca="false">IFERROR(IF(OR(HLOOKUP($A759,#REF!,8,FALSE())&gt;2,HLOOKUP($A759,#REF!,8,FALSE())&lt;-2),"",#REF!),"")</f>
        <v/>
      </c>
      <c r="K759" s="0" t="str">
        <f aca="false">IFERROR(IF(OR(HLOOKUP($A759,#REF!,9,FALSE())&gt;2,HLOOKUP($A759,#REF!,9,FALSE())&lt;-2),"",#REF!),"")</f>
        <v/>
      </c>
      <c r="L759" s="0" t="str">
        <f aca="false">IFERROR(IF(OR(HLOOKUP($A759,#REF!,10,FALSE())&gt;2,HLOOKUP($A759,#REF!,10,FALSE())&lt;-2),"",#REF!),"")</f>
        <v/>
      </c>
      <c r="M759" s="0" t="str">
        <f aca="false">IFERROR(IF(OR(HLOOKUP($A759,#REF!,11,FALSE())&gt;2,HLOOKUP($A759,#REF!,11,FALSE())&lt;-2),"",#REF!),"")</f>
        <v/>
      </c>
      <c r="N759" s="0" t="str">
        <f aca="false">IFERROR(IF(OR(HLOOKUP($A759,#REF!,12,FALSE())&gt;2,HLOOKUP($A759,#REF!,12,FALSE())&lt;-2),"",#REF!),"")</f>
        <v/>
      </c>
      <c r="O759" s="0" t="str">
        <f aca="false">IFERROR(IF(OR(HLOOKUP($A759,#REF!,13,FALSE())&gt;2,HLOOKUP($A759,#REF!,13,FALSE())&lt;-2),"",#REF!),"")</f>
        <v/>
      </c>
      <c r="P759" s="0" t="str">
        <f aca="false">IFERROR(IF(OR(HLOOKUP($A759,#REF!,14,FALSE())&gt;2,HLOOKUP($A759,#REF!,14,FALSE())&lt;-2),"",#REF!),"")</f>
        <v/>
      </c>
      <c r="Q759" s="0" t="str">
        <f aca="false">IFERROR(IF(OR(HLOOKUP($A759,#REF!,15,FALSE())&gt;2,HLOOKUP($A759,#REF!,15,FALSE())&lt;-2),"",#REF!),"")</f>
        <v/>
      </c>
      <c r="R759" s="0" t="str">
        <f aca="false">IFERROR(IF(OR(HLOOKUP($A759,#REF!,16,FALSE())&gt;2,HLOOKUP($A759,#REF!,16,FALSE())&lt;-2),"",#REF!),"")</f>
        <v/>
      </c>
      <c r="S759" s="0" t="str">
        <f aca="false">IFERROR(IF(OR(HLOOKUP($A759,#REF!,17,FALSE())&gt;2,HLOOKUP($A759,#REF!,17,FALSE())&lt;-2),"",#REF!),"")</f>
        <v/>
      </c>
      <c r="T759" s="0" t="str">
        <f aca="false">IFERROR(IF(OR(HLOOKUP($A759,#REF!,18,FALSE())&gt;2,HLOOKUP($A759,#REF!,18,FALSE())&lt;-2),"",#REF!),"")</f>
        <v/>
      </c>
      <c r="U759" s="0" t="str">
        <f aca="false">IFERROR(IF(OR(HLOOKUP($A759,#REF!,19,FALSE())&gt;2,HLOOKUP($A759,#REF!,19,FALSE())&lt;-2),"",#REF!),"")</f>
        <v/>
      </c>
      <c r="V759" s="0" t="n">
        <f aca="false">IFERROR(IF(AND(X759=0,Y759=0),0,1),0)</f>
        <v>1</v>
      </c>
      <c r="W759" s="3" t="str">
        <f aca="false">IFERROR(_xlfn.T.TEST(E759:M759,N759:U759,2,2),"")</f>
        <v/>
      </c>
      <c r="X759" s="0" t="str">
        <f aca="false">IFERROR(AVERAGE(E759:M759),"")</f>
        <v/>
      </c>
      <c r="Y759" s="0" t="str">
        <f aca="false">IFERROR(AVERAGE(N759:U759),"")</f>
        <v/>
      </c>
    </row>
    <row r="760" customFormat="false" ht="14.5" hidden="false" customHeight="false" outlineLevel="0" collapsed="false">
      <c r="A760" s="0" t="n">
        <v>768</v>
      </c>
      <c r="B760" s="0" t="s">
        <v>818</v>
      </c>
      <c r="C760" s="0" t="n">
        <v>110600</v>
      </c>
      <c r="D760" s="0" t="n">
        <v>991</v>
      </c>
      <c r="E760" s="0" t="str">
        <f aca="false">IFERROR(IF(OR(HLOOKUP($A760,#REF!,3,FALSE())&gt;2,HLOOKUP(A760,#REF!,3,FALSE())&lt;-2),"",#REF!),"")</f>
        <v/>
      </c>
      <c r="F760" s="0" t="str">
        <f aca="false">IFERROR(IF(OR(HLOOKUP($A760,#REF!,4,FALSE())&gt;2,HLOOKUP($A760,#REF!,4,FALSE())&lt;-2),"",#REF!),"")</f>
        <v/>
      </c>
      <c r="G760" s="0" t="str">
        <f aca="false">IFERROR(IF(OR(HLOOKUP($A760,#REF!,5,FALSE())&gt;2,HLOOKUP($A760,#REF!,5,FALSE())&lt;-2),"",#REF!),"")</f>
        <v/>
      </c>
      <c r="H760" s="0" t="str">
        <f aca="false">IFERROR(IF(OR(HLOOKUP($A760,#REF!,6,FALSE())&gt;2,HLOOKUP($A760,#REF!,6,FALSE())&lt;-2),"",#REF!),"")</f>
        <v/>
      </c>
      <c r="I760" s="0" t="str">
        <f aca="false">IFERROR(IF(OR(HLOOKUP($A760,#REF!,7,FALSE())&gt;2,HLOOKUP($A760,#REF!,7,FALSE())&lt;-2),"",#REF!),"")</f>
        <v/>
      </c>
      <c r="J760" s="0" t="str">
        <f aca="false">IFERROR(IF(OR(HLOOKUP($A760,#REF!,8,FALSE())&gt;2,HLOOKUP($A760,#REF!,8,FALSE())&lt;-2),"",#REF!),"")</f>
        <v/>
      </c>
      <c r="K760" s="0" t="str">
        <f aca="false">IFERROR(IF(OR(HLOOKUP($A760,#REF!,9,FALSE())&gt;2,HLOOKUP($A760,#REF!,9,FALSE())&lt;-2),"",#REF!),"")</f>
        <v/>
      </c>
      <c r="L760" s="0" t="str">
        <f aca="false">IFERROR(IF(OR(HLOOKUP($A760,#REF!,10,FALSE())&gt;2,HLOOKUP($A760,#REF!,10,FALSE())&lt;-2),"",#REF!),"")</f>
        <v/>
      </c>
      <c r="M760" s="0" t="str">
        <f aca="false">IFERROR(IF(OR(HLOOKUP($A760,#REF!,11,FALSE())&gt;2,HLOOKUP($A760,#REF!,11,FALSE())&lt;-2),"",#REF!),"")</f>
        <v/>
      </c>
      <c r="N760" s="0" t="str">
        <f aca="false">IFERROR(IF(OR(HLOOKUP($A760,#REF!,12,FALSE())&gt;2,HLOOKUP($A760,#REF!,12,FALSE())&lt;-2),"",#REF!),"")</f>
        <v/>
      </c>
      <c r="O760" s="0" t="str">
        <f aca="false">IFERROR(IF(OR(HLOOKUP($A760,#REF!,13,FALSE())&gt;2,HLOOKUP($A760,#REF!,13,FALSE())&lt;-2),"",#REF!),"")</f>
        <v/>
      </c>
      <c r="P760" s="0" t="str">
        <f aca="false">IFERROR(IF(OR(HLOOKUP($A760,#REF!,14,FALSE())&gt;2,HLOOKUP($A760,#REF!,14,FALSE())&lt;-2),"",#REF!),"")</f>
        <v/>
      </c>
      <c r="Q760" s="0" t="str">
        <f aca="false">IFERROR(IF(OR(HLOOKUP($A760,#REF!,15,FALSE())&gt;2,HLOOKUP($A760,#REF!,15,FALSE())&lt;-2),"",#REF!),"")</f>
        <v/>
      </c>
      <c r="R760" s="0" t="str">
        <f aca="false">IFERROR(IF(OR(HLOOKUP($A760,#REF!,16,FALSE())&gt;2,HLOOKUP($A760,#REF!,16,FALSE())&lt;-2),"",#REF!),"")</f>
        <v/>
      </c>
      <c r="S760" s="0" t="str">
        <f aca="false">IFERROR(IF(OR(HLOOKUP($A760,#REF!,17,FALSE())&gt;2,HLOOKUP($A760,#REF!,17,FALSE())&lt;-2),"",#REF!),"")</f>
        <v/>
      </c>
      <c r="T760" s="0" t="str">
        <f aca="false">IFERROR(IF(OR(HLOOKUP($A760,#REF!,18,FALSE())&gt;2,HLOOKUP($A760,#REF!,18,FALSE())&lt;-2),"",#REF!),"")</f>
        <v/>
      </c>
      <c r="U760" s="0" t="str">
        <f aca="false">IFERROR(IF(OR(HLOOKUP($A760,#REF!,19,FALSE())&gt;2,HLOOKUP($A760,#REF!,19,FALSE())&lt;-2),"",#REF!),"")</f>
        <v/>
      </c>
      <c r="V760" s="0" t="n">
        <f aca="false">IFERROR(IF(AND(X760=0,Y760=0),0,1),0)</f>
        <v>1</v>
      </c>
      <c r="W760" s="3" t="str">
        <f aca="false">IFERROR(_xlfn.T.TEST(E760:M760,N760:U760,2,2),"")</f>
        <v/>
      </c>
      <c r="X760" s="0" t="str">
        <f aca="false">IFERROR(AVERAGE(E760:M760),"")</f>
        <v/>
      </c>
      <c r="Y760" s="0" t="str">
        <f aca="false">IFERROR(AVERAGE(N760:U760),"")</f>
        <v/>
      </c>
    </row>
    <row r="761" customFormat="false" ht="14.5" hidden="false" customHeight="false" outlineLevel="0" collapsed="false">
      <c r="A761" s="0" t="n">
        <v>769</v>
      </c>
      <c r="B761" s="0" t="s">
        <v>819</v>
      </c>
      <c r="C761" s="0" t="n">
        <v>76900</v>
      </c>
      <c r="D761" s="0" t="n">
        <v>693</v>
      </c>
      <c r="E761" s="0" t="str">
        <f aca="false">IFERROR(IF(OR(HLOOKUP($A761,#REF!,3,FALSE())&gt;2,HLOOKUP(A761,#REF!,3,FALSE())&lt;-2),"",#REF!),"")</f>
        <v/>
      </c>
      <c r="F761" s="0" t="str">
        <f aca="false">IFERROR(IF(OR(HLOOKUP($A761,#REF!,4,FALSE())&gt;2,HLOOKUP($A761,#REF!,4,FALSE())&lt;-2),"",#REF!),"")</f>
        <v/>
      </c>
      <c r="G761" s="0" t="str">
        <f aca="false">IFERROR(IF(OR(HLOOKUP($A761,#REF!,5,FALSE())&gt;2,HLOOKUP($A761,#REF!,5,FALSE())&lt;-2),"",#REF!),"")</f>
        <v/>
      </c>
      <c r="H761" s="0" t="str">
        <f aca="false">IFERROR(IF(OR(HLOOKUP($A761,#REF!,6,FALSE())&gt;2,HLOOKUP($A761,#REF!,6,FALSE())&lt;-2),"",#REF!),"")</f>
        <v/>
      </c>
      <c r="I761" s="0" t="str">
        <f aca="false">IFERROR(IF(OR(HLOOKUP($A761,#REF!,7,FALSE())&gt;2,HLOOKUP($A761,#REF!,7,FALSE())&lt;-2),"",#REF!),"")</f>
        <v/>
      </c>
      <c r="J761" s="0" t="str">
        <f aca="false">IFERROR(IF(OR(HLOOKUP($A761,#REF!,8,FALSE())&gt;2,HLOOKUP($A761,#REF!,8,FALSE())&lt;-2),"",#REF!),"")</f>
        <v/>
      </c>
      <c r="K761" s="0" t="str">
        <f aca="false">IFERROR(IF(OR(HLOOKUP($A761,#REF!,9,FALSE())&gt;2,HLOOKUP($A761,#REF!,9,FALSE())&lt;-2),"",#REF!),"")</f>
        <v/>
      </c>
      <c r="L761" s="0" t="str">
        <f aca="false">IFERROR(IF(OR(HLOOKUP($A761,#REF!,10,FALSE())&gt;2,HLOOKUP($A761,#REF!,10,FALSE())&lt;-2),"",#REF!),"")</f>
        <v/>
      </c>
      <c r="M761" s="0" t="str">
        <f aca="false">IFERROR(IF(OR(HLOOKUP($A761,#REF!,11,FALSE())&gt;2,HLOOKUP($A761,#REF!,11,FALSE())&lt;-2),"",#REF!),"")</f>
        <v/>
      </c>
      <c r="N761" s="0" t="str">
        <f aca="false">IFERROR(IF(OR(HLOOKUP($A761,#REF!,12,FALSE())&gt;2,HLOOKUP($A761,#REF!,12,FALSE())&lt;-2),"",#REF!),"")</f>
        <v/>
      </c>
      <c r="O761" s="0" t="str">
        <f aca="false">IFERROR(IF(OR(HLOOKUP($A761,#REF!,13,FALSE())&gt;2,HLOOKUP($A761,#REF!,13,FALSE())&lt;-2),"",#REF!),"")</f>
        <v/>
      </c>
      <c r="P761" s="0" t="str">
        <f aca="false">IFERROR(IF(OR(HLOOKUP($A761,#REF!,14,FALSE())&gt;2,HLOOKUP($A761,#REF!,14,FALSE())&lt;-2),"",#REF!),"")</f>
        <v/>
      </c>
      <c r="Q761" s="0" t="str">
        <f aca="false">IFERROR(IF(OR(HLOOKUP($A761,#REF!,15,FALSE())&gt;2,HLOOKUP($A761,#REF!,15,FALSE())&lt;-2),"",#REF!),"")</f>
        <v/>
      </c>
      <c r="R761" s="0" t="str">
        <f aca="false">IFERROR(IF(OR(HLOOKUP($A761,#REF!,16,FALSE())&gt;2,HLOOKUP($A761,#REF!,16,FALSE())&lt;-2),"",#REF!),"")</f>
        <v/>
      </c>
      <c r="S761" s="0" t="str">
        <f aca="false">IFERROR(IF(OR(HLOOKUP($A761,#REF!,17,FALSE())&gt;2,HLOOKUP($A761,#REF!,17,FALSE())&lt;-2),"",#REF!),"")</f>
        <v/>
      </c>
      <c r="T761" s="0" t="str">
        <f aca="false">IFERROR(IF(OR(HLOOKUP($A761,#REF!,18,FALSE())&gt;2,HLOOKUP($A761,#REF!,18,FALSE())&lt;-2),"",#REF!),"")</f>
        <v/>
      </c>
      <c r="U761" s="0" t="str">
        <f aca="false">IFERROR(IF(OR(HLOOKUP($A761,#REF!,19,FALSE())&gt;2,HLOOKUP($A761,#REF!,19,FALSE())&lt;-2),"",#REF!),"")</f>
        <v/>
      </c>
      <c r="V761" s="0" t="n">
        <f aca="false">IFERROR(IF(AND(X761=0,Y761=0),0,1),0)</f>
        <v>1</v>
      </c>
      <c r="W761" s="3" t="str">
        <f aca="false">IFERROR(_xlfn.T.TEST(E761:M761,N761:U761,2,2),"")</f>
        <v/>
      </c>
      <c r="X761" s="0" t="str">
        <f aca="false">IFERROR(AVERAGE(E761:M761),"")</f>
        <v/>
      </c>
      <c r="Y761" s="0" t="str">
        <f aca="false">IFERROR(AVERAGE(N761:U761),"")</f>
        <v/>
      </c>
    </row>
    <row r="762" customFormat="false" ht="14.5" hidden="false" customHeight="false" outlineLevel="0" collapsed="false">
      <c r="A762" s="0" t="n">
        <v>770</v>
      </c>
      <c r="B762" s="0" t="s">
        <v>820</v>
      </c>
      <c r="C762" s="0" t="n">
        <v>113900</v>
      </c>
      <c r="D762" s="0" t="n">
        <v>182</v>
      </c>
      <c r="E762" s="0" t="str">
        <f aca="false">IFERROR(IF(OR(HLOOKUP($A762,#REF!,3,FALSE())&gt;2,HLOOKUP(A762,#REF!,3,FALSE())&lt;-2),"",#REF!),"")</f>
        <v/>
      </c>
      <c r="F762" s="0" t="str">
        <f aca="false">IFERROR(IF(OR(HLOOKUP($A762,#REF!,4,FALSE())&gt;2,HLOOKUP($A762,#REF!,4,FALSE())&lt;-2),"",#REF!),"")</f>
        <v/>
      </c>
      <c r="G762" s="0" t="str">
        <f aca="false">IFERROR(IF(OR(HLOOKUP($A762,#REF!,5,FALSE())&gt;2,HLOOKUP($A762,#REF!,5,FALSE())&lt;-2),"",#REF!),"")</f>
        <v/>
      </c>
      <c r="H762" s="0" t="str">
        <f aca="false">IFERROR(IF(OR(HLOOKUP($A762,#REF!,6,FALSE())&gt;2,HLOOKUP($A762,#REF!,6,FALSE())&lt;-2),"",#REF!),"")</f>
        <v/>
      </c>
      <c r="I762" s="0" t="str">
        <f aca="false">IFERROR(IF(OR(HLOOKUP($A762,#REF!,7,FALSE())&gt;2,HLOOKUP($A762,#REF!,7,FALSE())&lt;-2),"",#REF!),"")</f>
        <v/>
      </c>
      <c r="J762" s="0" t="str">
        <f aca="false">IFERROR(IF(OR(HLOOKUP($A762,#REF!,8,FALSE())&gt;2,HLOOKUP($A762,#REF!,8,FALSE())&lt;-2),"",#REF!),"")</f>
        <v/>
      </c>
      <c r="K762" s="0" t="str">
        <f aca="false">IFERROR(IF(OR(HLOOKUP($A762,#REF!,9,FALSE())&gt;2,HLOOKUP($A762,#REF!,9,FALSE())&lt;-2),"",#REF!),"")</f>
        <v/>
      </c>
      <c r="L762" s="0" t="str">
        <f aca="false">IFERROR(IF(OR(HLOOKUP($A762,#REF!,10,FALSE())&gt;2,HLOOKUP($A762,#REF!,10,FALSE())&lt;-2),"",#REF!),"")</f>
        <v/>
      </c>
      <c r="M762" s="0" t="str">
        <f aca="false">IFERROR(IF(OR(HLOOKUP($A762,#REF!,11,FALSE())&gt;2,HLOOKUP($A762,#REF!,11,FALSE())&lt;-2),"",#REF!),"")</f>
        <v/>
      </c>
      <c r="N762" s="0" t="str">
        <f aca="false">IFERROR(IF(OR(HLOOKUP($A762,#REF!,12,FALSE())&gt;2,HLOOKUP($A762,#REF!,12,FALSE())&lt;-2),"",#REF!),"")</f>
        <v/>
      </c>
      <c r="O762" s="0" t="str">
        <f aca="false">IFERROR(IF(OR(HLOOKUP($A762,#REF!,13,FALSE())&gt;2,HLOOKUP($A762,#REF!,13,FALSE())&lt;-2),"",#REF!),"")</f>
        <v/>
      </c>
      <c r="P762" s="0" t="str">
        <f aca="false">IFERROR(IF(OR(HLOOKUP($A762,#REF!,14,FALSE())&gt;2,HLOOKUP($A762,#REF!,14,FALSE())&lt;-2),"",#REF!),"")</f>
        <v/>
      </c>
      <c r="Q762" s="0" t="str">
        <f aca="false">IFERROR(IF(OR(HLOOKUP($A762,#REF!,15,FALSE())&gt;2,HLOOKUP($A762,#REF!,15,FALSE())&lt;-2),"",#REF!),"")</f>
        <v/>
      </c>
      <c r="R762" s="0" t="str">
        <f aca="false">IFERROR(IF(OR(HLOOKUP($A762,#REF!,16,FALSE())&gt;2,HLOOKUP($A762,#REF!,16,FALSE())&lt;-2),"",#REF!),"")</f>
        <v/>
      </c>
      <c r="S762" s="0" t="str">
        <f aca="false">IFERROR(IF(OR(HLOOKUP($A762,#REF!,17,FALSE())&gt;2,HLOOKUP($A762,#REF!,17,FALSE())&lt;-2),"",#REF!),"")</f>
        <v/>
      </c>
      <c r="T762" s="0" t="str">
        <f aca="false">IFERROR(IF(OR(HLOOKUP($A762,#REF!,18,FALSE())&gt;2,HLOOKUP($A762,#REF!,18,FALSE())&lt;-2),"",#REF!),"")</f>
        <v/>
      </c>
      <c r="U762" s="0" t="str">
        <f aca="false">IFERROR(IF(OR(HLOOKUP($A762,#REF!,19,FALSE())&gt;2,HLOOKUP($A762,#REF!,19,FALSE())&lt;-2),"",#REF!),"")</f>
        <v/>
      </c>
      <c r="V762" s="0" t="n">
        <f aca="false">IFERROR(IF(AND(X762=0,Y762=0),0,1),0)</f>
        <v>1</v>
      </c>
      <c r="W762" s="3" t="str">
        <f aca="false">IFERROR(_xlfn.T.TEST(E762:M762,N762:U762,2,2),"")</f>
        <v/>
      </c>
      <c r="X762" s="0" t="str">
        <f aca="false">IFERROR(AVERAGE(E762:M762),"")</f>
        <v/>
      </c>
      <c r="Y762" s="0" t="str">
        <f aca="false">IFERROR(AVERAGE(N762:U762),"")</f>
        <v/>
      </c>
    </row>
    <row r="763" customFormat="false" ht="14.5" hidden="false" customHeight="false" outlineLevel="0" collapsed="false">
      <c r="A763" s="0" t="n">
        <v>771</v>
      </c>
      <c r="B763" s="0" t="s">
        <v>821</v>
      </c>
      <c r="C763" s="0" t="n">
        <v>84700</v>
      </c>
      <c r="D763" s="0" t="n">
        <v>1065</v>
      </c>
      <c r="E763" s="0" t="str">
        <f aca="false">IFERROR(IF(OR(HLOOKUP($A763,#REF!,3,FALSE())&gt;2,HLOOKUP(A763,#REF!,3,FALSE())&lt;-2),"",#REF!),"")</f>
        <v/>
      </c>
      <c r="F763" s="0" t="str">
        <f aca="false">IFERROR(IF(OR(HLOOKUP($A763,#REF!,4,FALSE())&gt;2,HLOOKUP($A763,#REF!,4,FALSE())&lt;-2),"",#REF!),"")</f>
        <v/>
      </c>
      <c r="G763" s="0" t="str">
        <f aca="false">IFERROR(IF(OR(HLOOKUP($A763,#REF!,5,FALSE())&gt;2,HLOOKUP($A763,#REF!,5,FALSE())&lt;-2),"",#REF!),"")</f>
        <v/>
      </c>
      <c r="H763" s="0" t="str">
        <f aca="false">IFERROR(IF(OR(HLOOKUP($A763,#REF!,6,FALSE())&gt;2,HLOOKUP($A763,#REF!,6,FALSE())&lt;-2),"",#REF!),"")</f>
        <v/>
      </c>
      <c r="I763" s="0" t="str">
        <f aca="false">IFERROR(IF(OR(HLOOKUP($A763,#REF!,7,FALSE())&gt;2,HLOOKUP($A763,#REF!,7,FALSE())&lt;-2),"",#REF!),"")</f>
        <v/>
      </c>
      <c r="J763" s="0" t="str">
        <f aca="false">IFERROR(IF(OR(HLOOKUP($A763,#REF!,8,FALSE())&gt;2,HLOOKUP($A763,#REF!,8,FALSE())&lt;-2),"",#REF!),"")</f>
        <v/>
      </c>
      <c r="K763" s="0" t="str">
        <f aca="false">IFERROR(IF(OR(HLOOKUP($A763,#REF!,9,FALSE())&gt;2,HLOOKUP($A763,#REF!,9,FALSE())&lt;-2),"",#REF!),"")</f>
        <v/>
      </c>
      <c r="L763" s="0" t="str">
        <f aca="false">IFERROR(IF(OR(HLOOKUP($A763,#REF!,10,FALSE())&gt;2,HLOOKUP($A763,#REF!,10,FALSE())&lt;-2),"",#REF!),"")</f>
        <v/>
      </c>
      <c r="M763" s="0" t="str">
        <f aca="false">IFERROR(IF(OR(HLOOKUP($A763,#REF!,11,FALSE())&gt;2,HLOOKUP($A763,#REF!,11,FALSE())&lt;-2),"",#REF!),"")</f>
        <v/>
      </c>
      <c r="N763" s="0" t="str">
        <f aca="false">IFERROR(IF(OR(HLOOKUP($A763,#REF!,12,FALSE())&gt;2,HLOOKUP($A763,#REF!,12,FALSE())&lt;-2),"",#REF!),"")</f>
        <v/>
      </c>
      <c r="O763" s="0" t="str">
        <f aca="false">IFERROR(IF(OR(HLOOKUP($A763,#REF!,13,FALSE())&gt;2,HLOOKUP($A763,#REF!,13,FALSE())&lt;-2),"",#REF!),"")</f>
        <v/>
      </c>
      <c r="P763" s="0" t="str">
        <f aca="false">IFERROR(IF(OR(HLOOKUP($A763,#REF!,14,FALSE())&gt;2,HLOOKUP($A763,#REF!,14,FALSE())&lt;-2),"",#REF!),"")</f>
        <v/>
      </c>
      <c r="Q763" s="0" t="str">
        <f aca="false">IFERROR(IF(OR(HLOOKUP($A763,#REF!,15,FALSE())&gt;2,HLOOKUP($A763,#REF!,15,FALSE())&lt;-2),"",#REF!),"")</f>
        <v/>
      </c>
      <c r="R763" s="0" t="str">
        <f aca="false">IFERROR(IF(OR(HLOOKUP($A763,#REF!,16,FALSE())&gt;2,HLOOKUP($A763,#REF!,16,FALSE())&lt;-2),"",#REF!),"")</f>
        <v/>
      </c>
      <c r="S763" s="0" t="str">
        <f aca="false">IFERROR(IF(OR(HLOOKUP($A763,#REF!,17,FALSE())&gt;2,HLOOKUP($A763,#REF!,17,FALSE())&lt;-2),"",#REF!),"")</f>
        <v/>
      </c>
      <c r="T763" s="0" t="str">
        <f aca="false">IFERROR(IF(OR(HLOOKUP($A763,#REF!,18,FALSE())&gt;2,HLOOKUP($A763,#REF!,18,FALSE())&lt;-2),"",#REF!),"")</f>
        <v/>
      </c>
      <c r="U763" s="0" t="str">
        <f aca="false">IFERROR(IF(OR(HLOOKUP($A763,#REF!,19,FALSE())&gt;2,HLOOKUP($A763,#REF!,19,FALSE())&lt;-2),"",#REF!),"")</f>
        <v/>
      </c>
      <c r="V763" s="0" t="n">
        <f aca="false">IFERROR(IF(AND(X763=0,Y763=0),0,1),0)</f>
        <v>1</v>
      </c>
      <c r="W763" s="3" t="str">
        <f aca="false">IFERROR(_xlfn.T.TEST(E763:M763,N763:U763,2,2),"")</f>
        <v/>
      </c>
      <c r="X763" s="0" t="str">
        <f aca="false">IFERROR(AVERAGE(E763:M763),"")</f>
        <v/>
      </c>
      <c r="Y763" s="0" t="str">
        <f aca="false">IFERROR(AVERAGE(N763:U763),"")</f>
        <v/>
      </c>
    </row>
    <row r="764" customFormat="false" ht="14.5" hidden="false" customHeight="false" outlineLevel="0" collapsed="false">
      <c r="A764" s="0" t="n">
        <v>772</v>
      </c>
      <c r="B764" s="0" t="s">
        <v>79</v>
      </c>
      <c r="C764" s="0" t="n">
        <v>19800</v>
      </c>
      <c r="D764" s="0" t="n">
        <v>48</v>
      </c>
      <c r="E764" s="0" t="str">
        <f aca="false">IFERROR(IF(OR(HLOOKUP($A764,#REF!,3,FALSE())&gt;2,HLOOKUP(A764,#REF!,3,FALSE())&lt;-2),"",#REF!),"")</f>
        <v/>
      </c>
      <c r="F764" s="0" t="str">
        <f aca="false">IFERROR(IF(OR(HLOOKUP($A764,#REF!,4,FALSE())&gt;2,HLOOKUP($A764,#REF!,4,FALSE())&lt;-2),"",#REF!),"")</f>
        <v/>
      </c>
      <c r="G764" s="0" t="str">
        <f aca="false">IFERROR(IF(OR(HLOOKUP($A764,#REF!,5,FALSE())&gt;2,HLOOKUP($A764,#REF!,5,FALSE())&lt;-2),"",#REF!),"")</f>
        <v/>
      </c>
      <c r="H764" s="0" t="str">
        <f aca="false">IFERROR(IF(OR(HLOOKUP($A764,#REF!,6,FALSE())&gt;2,HLOOKUP($A764,#REF!,6,FALSE())&lt;-2),"",#REF!),"")</f>
        <v/>
      </c>
      <c r="I764" s="0" t="str">
        <f aca="false">IFERROR(IF(OR(HLOOKUP($A764,#REF!,7,FALSE())&gt;2,HLOOKUP($A764,#REF!,7,FALSE())&lt;-2),"",#REF!),"")</f>
        <v/>
      </c>
      <c r="J764" s="0" t="str">
        <f aca="false">IFERROR(IF(OR(HLOOKUP($A764,#REF!,8,FALSE())&gt;2,HLOOKUP($A764,#REF!,8,FALSE())&lt;-2),"",#REF!),"")</f>
        <v/>
      </c>
      <c r="K764" s="0" t="str">
        <f aca="false">IFERROR(IF(OR(HLOOKUP($A764,#REF!,9,FALSE())&gt;2,HLOOKUP($A764,#REF!,9,FALSE())&lt;-2),"",#REF!),"")</f>
        <v/>
      </c>
      <c r="L764" s="0" t="str">
        <f aca="false">IFERROR(IF(OR(HLOOKUP($A764,#REF!,10,FALSE())&gt;2,HLOOKUP($A764,#REF!,10,FALSE())&lt;-2),"",#REF!),"")</f>
        <v/>
      </c>
      <c r="M764" s="0" t="str">
        <f aca="false">IFERROR(IF(OR(HLOOKUP($A764,#REF!,11,FALSE())&gt;2,HLOOKUP($A764,#REF!,11,FALSE())&lt;-2),"",#REF!),"")</f>
        <v/>
      </c>
      <c r="N764" s="0" t="str">
        <f aca="false">IFERROR(IF(OR(HLOOKUP($A764,#REF!,12,FALSE())&gt;2,HLOOKUP($A764,#REF!,12,FALSE())&lt;-2),"",#REF!),"")</f>
        <v/>
      </c>
      <c r="O764" s="0" t="str">
        <f aca="false">IFERROR(IF(OR(HLOOKUP($A764,#REF!,13,FALSE())&gt;2,HLOOKUP($A764,#REF!,13,FALSE())&lt;-2),"",#REF!),"")</f>
        <v/>
      </c>
      <c r="P764" s="0" t="str">
        <f aca="false">IFERROR(IF(OR(HLOOKUP($A764,#REF!,14,FALSE())&gt;2,HLOOKUP($A764,#REF!,14,FALSE())&lt;-2),"",#REF!),"")</f>
        <v/>
      </c>
      <c r="Q764" s="0" t="str">
        <f aca="false">IFERROR(IF(OR(HLOOKUP($A764,#REF!,15,FALSE())&gt;2,HLOOKUP($A764,#REF!,15,FALSE())&lt;-2),"",#REF!),"")</f>
        <v/>
      </c>
      <c r="R764" s="0" t="str">
        <f aca="false">IFERROR(IF(OR(HLOOKUP($A764,#REF!,16,FALSE())&gt;2,HLOOKUP($A764,#REF!,16,FALSE())&lt;-2),"",#REF!),"")</f>
        <v/>
      </c>
      <c r="S764" s="0" t="str">
        <f aca="false">IFERROR(IF(OR(HLOOKUP($A764,#REF!,17,FALSE())&gt;2,HLOOKUP($A764,#REF!,17,FALSE())&lt;-2),"",#REF!),"")</f>
        <v/>
      </c>
      <c r="T764" s="0" t="str">
        <f aca="false">IFERROR(IF(OR(HLOOKUP($A764,#REF!,18,FALSE())&gt;2,HLOOKUP($A764,#REF!,18,FALSE())&lt;-2),"",#REF!),"")</f>
        <v/>
      </c>
      <c r="U764" s="0" t="str">
        <f aca="false">IFERROR(IF(OR(HLOOKUP($A764,#REF!,19,FALSE())&gt;2,HLOOKUP($A764,#REF!,19,FALSE())&lt;-2),"",#REF!),"")</f>
        <v/>
      </c>
      <c r="V764" s="0" t="n">
        <f aca="false">IFERROR(IF(AND(X764=0,Y764=0),0,1),0)</f>
        <v>1</v>
      </c>
      <c r="W764" s="3" t="str">
        <f aca="false">IFERROR(_xlfn.T.TEST(E764:M764,N764:U764,2,2),"")</f>
        <v/>
      </c>
      <c r="X764" s="0" t="str">
        <f aca="false">IFERROR(AVERAGE(E764:M764),"")</f>
        <v/>
      </c>
      <c r="Y764" s="0" t="str">
        <f aca="false">IFERROR(AVERAGE(N764:U764),"")</f>
        <v/>
      </c>
    </row>
    <row r="765" customFormat="false" ht="14.5" hidden="false" customHeight="false" outlineLevel="0" collapsed="false">
      <c r="A765" s="0" t="n">
        <v>773</v>
      </c>
      <c r="B765" s="0" t="s">
        <v>822</v>
      </c>
      <c r="C765" s="0" t="n">
        <v>96500</v>
      </c>
      <c r="D765" s="0" t="n">
        <v>370</v>
      </c>
      <c r="E765" s="0" t="str">
        <f aca="false">IFERROR(IF(OR(HLOOKUP($A765,#REF!,3,FALSE())&gt;2,HLOOKUP(A765,#REF!,3,FALSE())&lt;-2),"",#REF!),"")</f>
        <v/>
      </c>
      <c r="F765" s="0" t="str">
        <f aca="false">IFERROR(IF(OR(HLOOKUP($A765,#REF!,4,FALSE())&gt;2,HLOOKUP($A765,#REF!,4,FALSE())&lt;-2),"",#REF!),"")</f>
        <v/>
      </c>
      <c r="G765" s="0" t="str">
        <f aca="false">IFERROR(IF(OR(HLOOKUP($A765,#REF!,5,FALSE())&gt;2,HLOOKUP($A765,#REF!,5,FALSE())&lt;-2),"",#REF!),"")</f>
        <v/>
      </c>
      <c r="H765" s="0" t="str">
        <f aca="false">IFERROR(IF(OR(HLOOKUP($A765,#REF!,6,FALSE())&gt;2,HLOOKUP($A765,#REF!,6,FALSE())&lt;-2),"",#REF!),"")</f>
        <v/>
      </c>
      <c r="I765" s="0" t="str">
        <f aca="false">IFERROR(IF(OR(HLOOKUP($A765,#REF!,7,FALSE())&gt;2,HLOOKUP($A765,#REF!,7,FALSE())&lt;-2),"",#REF!),"")</f>
        <v/>
      </c>
      <c r="J765" s="0" t="str">
        <f aca="false">IFERROR(IF(OR(HLOOKUP($A765,#REF!,8,FALSE())&gt;2,HLOOKUP($A765,#REF!,8,FALSE())&lt;-2),"",#REF!),"")</f>
        <v/>
      </c>
      <c r="K765" s="0" t="str">
        <f aca="false">IFERROR(IF(OR(HLOOKUP($A765,#REF!,9,FALSE())&gt;2,HLOOKUP($A765,#REF!,9,FALSE())&lt;-2),"",#REF!),"")</f>
        <v/>
      </c>
      <c r="L765" s="0" t="str">
        <f aca="false">IFERROR(IF(OR(HLOOKUP($A765,#REF!,10,FALSE())&gt;2,HLOOKUP($A765,#REF!,10,FALSE())&lt;-2),"",#REF!),"")</f>
        <v/>
      </c>
      <c r="M765" s="0" t="str">
        <f aca="false">IFERROR(IF(OR(HLOOKUP($A765,#REF!,11,FALSE())&gt;2,HLOOKUP($A765,#REF!,11,FALSE())&lt;-2),"",#REF!),"")</f>
        <v/>
      </c>
      <c r="N765" s="0" t="str">
        <f aca="false">IFERROR(IF(OR(HLOOKUP($A765,#REF!,12,FALSE())&gt;2,HLOOKUP($A765,#REF!,12,FALSE())&lt;-2),"",#REF!),"")</f>
        <v/>
      </c>
      <c r="O765" s="0" t="str">
        <f aca="false">IFERROR(IF(OR(HLOOKUP($A765,#REF!,13,FALSE())&gt;2,HLOOKUP($A765,#REF!,13,FALSE())&lt;-2),"",#REF!),"")</f>
        <v/>
      </c>
      <c r="P765" s="0" t="str">
        <f aca="false">IFERROR(IF(OR(HLOOKUP($A765,#REF!,14,FALSE())&gt;2,HLOOKUP($A765,#REF!,14,FALSE())&lt;-2),"",#REF!),"")</f>
        <v/>
      </c>
      <c r="Q765" s="0" t="str">
        <f aca="false">IFERROR(IF(OR(HLOOKUP($A765,#REF!,15,FALSE())&gt;2,HLOOKUP($A765,#REF!,15,FALSE())&lt;-2),"",#REF!),"")</f>
        <v/>
      </c>
      <c r="R765" s="0" t="str">
        <f aca="false">IFERROR(IF(OR(HLOOKUP($A765,#REF!,16,FALSE())&gt;2,HLOOKUP($A765,#REF!,16,FALSE())&lt;-2),"",#REF!),"")</f>
        <v/>
      </c>
      <c r="S765" s="0" t="str">
        <f aca="false">IFERROR(IF(OR(HLOOKUP($A765,#REF!,17,FALSE())&gt;2,HLOOKUP($A765,#REF!,17,FALSE())&lt;-2),"",#REF!),"")</f>
        <v/>
      </c>
      <c r="T765" s="0" t="str">
        <f aca="false">IFERROR(IF(OR(HLOOKUP($A765,#REF!,18,FALSE())&gt;2,HLOOKUP($A765,#REF!,18,FALSE())&lt;-2),"",#REF!),"")</f>
        <v/>
      </c>
      <c r="U765" s="0" t="str">
        <f aca="false">IFERROR(IF(OR(HLOOKUP($A765,#REF!,19,FALSE())&gt;2,HLOOKUP($A765,#REF!,19,FALSE())&lt;-2),"",#REF!),"")</f>
        <v/>
      </c>
      <c r="V765" s="0" t="n">
        <f aca="false">IFERROR(IF(AND(X765=0,Y765=0),0,1),0)</f>
        <v>1</v>
      </c>
      <c r="W765" s="3" t="str">
        <f aca="false">IFERROR(_xlfn.T.TEST(E765:M765,N765:U765,2,2),"")</f>
        <v/>
      </c>
      <c r="X765" s="0" t="str">
        <f aca="false">IFERROR(AVERAGE(E765:M765),"")</f>
        <v/>
      </c>
      <c r="Y765" s="0" t="str">
        <f aca="false">IFERROR(AVERAGE(N765:U765),"")</f>
        <v/>
      </c>
    </row>
    <row r="766" customFormat="false" ht="14.5" hidden="false" customHeight="false" outlineLevel="0" collapsed="false">
      <c r="A766" s="0" t="n">
        <v>774</v>
      </c>
      <c r="B766" s="0" t="s">
        <v>69</v>
      </c>
      <c r="C766" s="0" t="n">
        <v>25600</v>
      </c>
      <c r="D766" s="0" t="n">
        <v>894</v>
      </c>
      <c r="E766" s="0" t="str">
        <f aca="false">IFERROR(IF(OR(HLOOKUP($A766,#REF!,3,FALSE())&gt;2,HLOOKUP(A766,#REF!,3,FALSE())&lt;-2),"",#REF!),"")</f>
        <v/>
      </c>
      <c r="F766" s="0" t="str">
        <f aca="false">IFERROR(IF(OR(HLOOKUP($A766,#REF!,4,FALSE())&gt;2,HLOOKUP($A766,#REF!,4,FALSE())&lt;-2),"",#REF!),"")</f>
        <v/>
      </c>
      <c r="G766" s="0" t="str">
        <f aca="false">IFERROR(IF(OR(HLOOKUP($A766,#REF!,5,FALSE())&gt;2,HLOOKUP($A766,#REF!,5,FALSE())&lt;-2),"",#REF!),"")</f>
        <v/>
      </c>
      <c r="H766" s="0" t="str">
        <f aca="false">IFERROR(IF(OR(HLOOKUP($A766,#REF!,6,FALSE())&gt;2,HLOOKUP($A766,#REF!,6,FALSE())&lt;-2),"",#REF!),"")</f>
        <v/>
      </c>
      <c r="I766" s="0" t="str">
        <f aca="false">IFERROR(IF(OR(HLOOKUP($A766,#REF!,7,FALSE())&gt;2,HLOOKUP($A766,#REF!,7,FALSE())&lt;-2),"",#REF!),"")</f>
        <v/>
      </c>
      <c r="J766" s="0" t="str">
        <f aca="false">IFERROR(IF(OR(HLOOKUP($A766,#REF!,8,FALSE())&gt;2,HLOOKUP($A766,#REF!,8,FALSE())&lt;-2),"",#REF!),"")</f>
        <v/>
      </c>
      <c r="K766" s="0" t="str">
        <f aca="false">IFERROR(IF(OR(HLOOKUP($A766,#REF!,9,FALSE())&gt;2,HLOOKUP($A766,#REF!,9,FALSE())&lt;-2),"",#REF!),"")</f>
        <v/>
      </c>
      <c r="L766" s="0" t="str">
        <f aca="false">IFERROR(IF(OR(HLOOKUP($A766,#REF!,10,FALSE())&gt;2,HLOOKUP($A766,#REF!,10,FALSE())&lt;-2),"",#REF!),"")</f>
        <v/>
      </c>
      <c r="M766" s="0" t="str">
        <f aca="false">IFERROR(IF(OR(HLOOKUP($A766,#REF!,11,FALSE())&gt;2,HLOOKUP($A766,#REF!,11,FALSE())&lt;-2),"",#REF!),"")</f>
        <v/>
      </c>
      <c r="N766" s="0" t="str">
        <f aca="false">IFERROR(IF(OR(HLOOKUP($A766,#REF!,12,FALSE())&gt;2,HLOOKUP($A766,#REF!,12,FALSE())&lt;-2),"",#REF!),"")</f>
        <v/>
      </c>
      <c r="O766" s="0" t="str">
        <f aca="false">IFERROR(IF(OR(HLOOKUP($A766,#REF!,13,FALSE())&gt;2,HLOOKUP($A766,#REF!,13,FALSE())&lt;-2),"",#REF!),"")</f>
        <v/>
      </c>
      <c r="P766" s="0" t="str">
        <f aca="false">IFERROR(IF(OR(HLOOKUP($A766,#REF!,14,FALSE())&gt;2,HLOOKUP($A766,#REF!,14,FALSE())&lt;-2),"",#REF!),"")</f>
        <v/>
      </c>
      <c r="Q766" s="0" t="str">
        <f aca="false">IFERROR(IF(OR(HLOOKUP($A766,#REF!,15,FALSE())&gt;2,HLOOKUP($A766,#REF!,15,FALSE())&lt;-2),"",#REF!),"")</f>
        <v/>
      </c>
      <c r="R766" s="0" t="str">
        <f aca="false">IFERROR(IF(OR(HLOOKUP($A766,#REF!,16,FALSE())&gt;2,HLOOKUP($A766,#REF!,16,FALSE())&lt;-2),"",#REF!),"")</f>
        <v/>
      </c>
      <c r="S766" s="0" t="str">
        <f aca="false">IFERROR(IF(OR(HLOOKUP($A766,#REF!,17,FALSE())&gt;2,HLOOKUP($A766,#REF!,17,FALSE())&lt;-2),"",#REF!),"")</f>
        <v/>
      </c>
      <c r="T766" s="0" t="str">
        <f aca="false">IFERROR(IF(OR(HLOOKUP($A766,#REF!,18,FALSE())&gt;2,HLOOKUP($A766,#REF!,18,FALSE())&lt;-2),"",#REF!),"")</f>
        <v/>
      </c>
      <c r="U766" s="0" t="str">
        <f aca="false">IFERROR(IF(OR(HLOOKUP($A766,#REF!,19,FALSE())&gt;2,HLOOKUP($A766,#REF!,19,FALSE())&lt;-2),"",#REF!),"")</f>
        <v/>
      </c>
      <c r="V766" s="0" t="n">
        <f aca="false">IFERROR(IF(AND(X766=0,Y766=0),0,1),0)</f>
        <v>1</v>
      </c>
      <c r="W766" s="3" t="str">
        <f aca="false">IFERROR(_xlfn.T.TEST(E766:M766,N766:U766,2,2),"")</f>
        <v/>
      </c>
      <c r="X766" s="0" t="str">
        <f aca="false">IFERROR(AVERAGE(E766:M766),"")</f>
        <v/>
      </c>
      <c r="Y766" s="0" t="str">
        <f aca="false">IFERROR(AVERAGE(N766:U766),"")</f>
        <v/>
      </c>
    </row>
    <row r="767" customFormat="false" ht="14.5" hidden="false" customHeight="false" outlineLevel="0" collapsed="false">
      <c r="A767" s="0" t="n">
        <v>775</v>
      </c>
      <c r="B767" s="0" t="s">
        <v>823</v>
      </c>
      <c r="C767" s="0" t="n">
        <v>40300</v>
      </c>
      <c r="D767" s="0" t="n">
        <v>766</v>
      </c>
      <c r="E767" s="0" t="str">
        <f aca="false">IFERROR(IF(OR(HLOOKUP($A767,#REF!,3,FALSE())&gt;2,HLOOKUP(A767,#REF!,3,FALSE())&lt;-2),"",#REF!),"")</f>
        <v/>
      </c>
      <c r="F767" s="0" t="str">
        <f aca="false">IFERROR(IF(OR(HLOOKUP($A767,#REF!,4,FALSE())&gt;2,HLOOKUP($A767,#REF!,4,FALSE())&lt;-2),"",#REF!),"")</f>
        <v/>
      </c>
      <c r="G767" s="0" t="str">
        <f aca="false">IFERROR(IF(OR(HLOOKUP($A767,#REF!,5,FALSE())&gt;2,HLOOKUP($A767,#REF!,5,FALSE())&lt;-2),"",#REF!),"")</f>
        <v/>
      </c>
      <c r="H767" s="0" t="str">
        <f aca="false">IFERROR(IF(OR(HLOOKUP($A767,#REF!,6,FALSE())&gt;2,HLOOKUP($A767,#REF!,6,FALSE())&lt;-2),"",#REF!),"")</f>
        <v/>
      </c>
      <c r="I767" s="0" t="str">
        <f aca="false">IFERROR(IF(OR(HLOOKUP($A767,#REF!,7,FALSE())&gt;2,HLOOKUP($A767,#REF!,7,FALSE())&lt;-2),"",#REF!),"")</f>
        <v/>
      </c>
      <c r="J767" s="0" t="str">
        <f aca="false">IFERROR(IF(OR(HLOOKUP($A767,#REF!,8,FALSE())&gt;2,HLOOKUP($A767,#REF!,8,FALSE())&lt;-2),"",#REF!),"")</f>
        <v/>
      </c>
      <c r="K767" s="0" t="str">
        <f aca="false">IFERROR(IF(OR(HLOOKUP($A767,#REF!,9,FALSE())&gt;2,HLOOKUP($A767,#REF!,9,FALSE())&lt;-2),"",#REF!),"")</f>
        <v/>
      </c>
      <c r="L767" s="0" t="str">
        <f aca="false">IFERROR(IF(OR(HLOOKUP($A767,#REF!,10,FALSE())&gt;2,HLOOKUP($A767,#REF!,10,FALSE())&lt;-2),"",#REF!),"")</f>
        <v/>
      </c>
      <c r="M767" s="0" t="str">
        <f aca="false">IFERROR(IF(OR(HLOOKUP($A767,#REF!,11,FALSE())&gt;2,HLOOKUP($A767,#REF!,11,FALSE())&lt;-2),"",#REF!),"")</f>
        <v/>
      </c>
      <c r="N767" s="0" t="str">
        <f aca="false">IFERROR(IF(OR(HLOOKUP($A767,#REF!,12,FALSE())&gt;2,HLOOKUP($A767,#REF!,12,FALSE())&lt;-2),"",#REF!),"")</f>
        <v/>
      </c>
      <c r="O767" s="0" t="str">
        <f aca="false">IFERROR(IF(OR(HLOOKUP($A767,#REF!,13,FALSE())&gt;2,HLOOKUP($A767,#REF!,13,FALSE())&lt;-2),"",#REF!),"")</f>
        <v/>
      </c>
      <c r="P767" s="0" t="str">
        <f aca="false">IFERROR(IF(OR(HLOOKUP($A767,#REF!,14,FALSE())&gt;2,HLOOKUP($A767,#REF!,14,FALSE())&lt;-2),"",#REF!),"")</f>
        <v/>
      </c>
      <c r="Q767" s="0" t="str">
        <f aca="false">IFERROR(IF(OR(HLOOKUP($A767,#REF!,15,FALSE())&gt;2,HLOOKUP($A767,#REF!,15,FALSE())&lt;-2),"",#REF!),"")</f>
        <v/>
      </c>
      <c r="R767" s="0" t="str">
        <f aca="false">IFERROR(IF(OR(HLOOKUP($A767,#REF!,16,FALSE())&gt;2,HLOOKUP($A767,#REF!,16,FALSE())&lt;-2),"",#REF!),"")</f>
        <v/>
      </c>
      <c r="S767" s="0" t="str">
        <f aca="false">IFERROR(IF(OR(HLOOKUP($A767,#REF!,17,FALSE())&gt;2,HLOOKUP($A767,#REF!,17,FALSE())&lt;-2),"",#REF!),"")</f>
        <v/>
      </c>
      <c r="T767" s="0" t="str">
        <f aca="false">IFERROR(IF(OR(HLOOKUP($A767,#REF!,18,FALSE())&gt;2,HLOOKUP($A767,#REF!,18,FALSE())&lt;-2),"",#REF!),"")</f>
        <v/>
      </c>
      <c r="U767" s="0" t="str">
        <f aca="false">IFERROR(IF(OR(HLOOKUP($A767,#REF!,19,FALSE())&gt;2,HLOOKUP($A767,#REF!,19,FALSE())&lt;-2),"",#REF!),"")</f>
        <v/>
      </c>
      <c r="V767" s="0" t="n">
        <f aca="false">IFERROR(IF(AND(X767=0,Y767=0),0,1),0)</f>
        <v>1</v>
      </c>
      <c r="W767" s="3" t="str">
        <f aca="false">IFERROR(_xlfn.T.TEST(E767:M767,N767:U767,2,2),"")</f>
        <v/>
      </c>
      <c r="X767" s="0" t="str">
        <f aca="false">IFERROR(AVERAGE(E767:M767),"")</f>
        <v/>
      </c>
      <c r="Y767" s="0" t="str">
        <f aca="false">IFERROR(AVERAGE(N767:U767),"")</f>
        <v/>
      </c>
    </row>
    <row r="768" customFormat="false" ht="14.5" hidden="false" customHeight="false" outlineLevel="0" collapsed="false">
      <c r="A768" s="0" t="n">
        <v>776</v>
      </c>
      <c r="B768" s="0" t="s">
        <v>824</v>
      </c>
      <c r="C768" s="0" t="n">
        <v>106100</v>
      </c>
      <c r="D768" s="0" t="n">
        <v>983</v>
      </c>
      <c r="E768" s="0" t="str">
        <f aca="false">IFERROR(IF(OR(HLOOKUP($A768,#REF!,3,FALSE())&gt;2,HLOOKUP(A768,#REF!,3,FALSE())&lt;-2),"",#REF!),"")</f>
        <v/>
      </c>
      <c r="F768" s="0" t="str">
        <f aca="false">IFERROR(IF(OR(HLOOKUP($A768,#REF!,4,FALSE())&gt;2,HLOOKUP($A768,#REF!,4,FALSE())&lt;-2),"",#REF!),"")</f>
        <v/>
      </c>
      <c r="G768" s="0" t="str">
        <f aca="false">IFERROR(IF(OR(HLOOKUP($A768,#REF!,5,FALSE())&gt;2,HLOOKUP($A768,#REF!,5,FALSE())&lt;-2),"",#REF!),"")</f>
        <v/>
      </c>
      <c r="H768" s="0" t="str">
        <f aca="false">IFERROR(IF(OR(HLOOKUP($A768,#REF!,6,FALSE())&gt;2,HLOOKUP($A768,#REF!,6,FALSE())&lt;-2),"",#REF!),"")</f>
        <v/>
      </c>
      <c r="I768" s="0" t="str">
        <f aca="false">IFERROR(IF(OR(HLOOKUP($A768,#REF!,7,FALSE())&gt;2,HLOOKUP($A768,#REF!,7,FALSE())&lt;-2),"",#REF!),"")</f>
        <v/>
      </c>
      <c r="J768" s="0" t="str">
        <f aca="false">IFERROR(IF(OR(HLOOKUP($A768,#REF!,8,FALSE())&gt;2,HLOOKUP($A768,#REF!,8,FALSE())&lt;-2),"",#REF!),"")</f>
        <v/>
      </c>
      <c r="K768" s="0" t="str">
        <f aca="false">IFERROR(IF(OR(HLOOKUP($A768,#REF!,9,FALSE())&gt;2,HLOOKUP($A768,#REF!,9,FALSE())&lt;-2),"",#REF!),"")</f>
        <v/>
      </c>
      <c r="L768" s="0" t="str">
        <f aca="false">IFERROR(IF(OR(HLOOKUP($A768,#REF!,10,FALSE())&gt;2,HLOOKUP($A768,#REF!,10,FALSE())&lt;-2),"",#REF!),"")</f>
        <v/>
      </c>
      <c r="M768" s="0" t="str">
        <f aca="false">IFERROR(IF(OR(HLOOKUP($A768,#REF!,11,FALSE())&gt;2,HLOOKUP($A768,#REF!,11,FALSE())&lt;-2),"",#REF!),"")</f>
        <v/>
      </c>
      <c r="N768" s="0" t="str">
        <f aca="false">IFERROR(IF(OR(HLOOKUP($A768,#REF!,12,FALSE())&gt;2,HLOOKUP($A768,#REF!,12,FALSE())&lt;-2),"",#REF!),"")</f>
        <v/>
      </c>
      <c r="O768" s="0" t="str">
        <f aca="false">IFERROR(IF(OR(HLOOKUP($A768,#REF!,13,FALSE())&gt;2,HLOOKUP($A768,#REF!,13,FALSE())&lt;-2),"",#REF!),"")</f>
        <v/>
      </c>
      <c r="P768" s="0" t="str">
        <f aca="false">IFERROR(IF(OR(HLOOKUP($A768,#REF!,14,FALSE())&gt;2,HLOOKUP($A768,#REF!,14,FALSE())&lt;-2),"",#REF!),"")</f>
        <v/>
      </c>
      <c r="Q768" s="0" t="str">
        <f aca="false">IFERROR(IF(OR(HLOOKUP($A768,#REF!,15,FALSE())&gt;2,HLOOKUP($A768,#REF!,15,FALSE())&lt;-2),"",#REF!),"")</f>
        <v/>
      </c>
      <c r="R768" s="0" t="str">
        <f aca="false">IFERROR(IF(OR(HLOOKUP($A768,#REF!,16,FALSE())&gt;2,HLOOKUP($A768,#REF!,16,FALSE())&lt;-2),"",#REF!),"")</f>
        <v/>
      </c>
      <c r="S768" s="0" t="str">
        <f aca="false">IFERROR(IF(OR(HLOOKUP($A768,#REF!,17,FALSE())&gt;2,HLOOKUP($A768,#REF!,17,FALSE())&lt;-2),"",#REF!),"")</f>
        <v/>
      </c>
      <c r="T768" s="0" t="str">
        <f aca="false">IFERROR(IF(OR(HLOOKUP($A768,#REF!,18,FALSE())&gt;2,HLOOKUP($A768,#REF!,18,FALSE())&lt;-2),"",#REF!),"")</f>
        <v/>
      </c>
      <c r="U768" s="0" t="str">
        <f aca="false">IFERROR(IF(OR(HLOOKUP($A768,#REF!,19,FALSE())&gt;2,HLOOKUP($A768,#REF!,19,FALSE())&lt;-2),"",#REF!),"")</f>
        <v/>
      </c>
      <c r="V768" s="0" t="n">
        <f aca="false">IFERROR(IF(AND(X768=0,Y768=0),0,1),0)</f>
        <v>1</v>
      </c>
      <c r="W768" s="3" t="str">
        <f aca="false">IFERROR(_xlfn.T.TEST(E768:M768,N768:U768,2,2),"")</f>
        <v/>
      </c>
      <c r="X768" s="0" t="str">
        <f aca="false">IFERROR(AVERAGE(E768:M768),"")</f>
        <v/>
      </c>
      <c r="Y768" s="0" t="str">
        <f aca="false">IFERROR(AVERAGE(N768:U768),"")</f>
        <v/>
      </c>
    </row>
    <row r="769" customFormat="false" ht="14.5" hidden="false" customHeight="false" outlineLevel="0" collapsed="false">
      <c r="A769" s="0" t="n">
        <v>777</v>
      </c>
      <c r="B769" s="0" t="s">
        <v>825</v>
      </c>
      <c r="C769" s="0" t="n">
        <v>77000</v>
      </c>
      <c r="D769" s="0" t="n">
        <v>693</v>
      </c>
      <c r="E769" s="0" t="str">
        <f aca="false">IFERROR(IF(OR(HLOOKUP($A769,#REF!,3,FALSE())&gt;2,HLOOKUP(A769,#REF!,3,FALSE())&lt;-2),"",#REF!),"")</f>
        <v/>
      </c>
      <c r="F769" s="0" t="str">
        <f aca="false">IFERROR(IF(OR(HLOOKUP($A769,#REF!,4,FALSE())&gt;2,HLOOKUP($A769,#REF!,4,FALSE())&lt;-2),"",#REF!),"")</f>
        <v/>
      </c>
      <c r="G769" s="0" t="str">
        <f aca="false">IFERROR(IF(OR(HLOOKUP($A769,#REF!,5,FALSE())&gt;2,HLOOKUP($A769,#REF!,5,FALSE())&lt;-2),"",#REF!),"")</f>
        <v/>
      </c>
      <c r="H769" s="0" t="str">
        <f aca="false">IFERROR(IF(OR(HLOOKUP($A769,#REF!,6,FALSE())&gt;2,HLOOKUP($A769,#REF!,6,FALSE())&lt;-2),"",#REF!),"")</f>
        <v/>
      </c>
      <c r="I769" s="0" t="str">
        <f aca="false">IFERROR(IF(OR(HLOOKUP($A769,#REF!,7,FALSE())&gt;2,HLOOKUP($A769,#REF!,7,FALSE())&lt;-2),"",#REF!),"")</f>
        <v/>
      </c>
      <c r="J769" s="0" t="str">
        <f aca="false">IFERROR(IF(OR(HLOOKUP($A769,#REF!,8,FALSE())&gt;2,HLOOKUP($A769,#REF!,8,FALSE())&lt;-2),"",#REF!),"")</f>
        <v/>
      </c>
      <c r="K769" s="0" t="str">
        <f aca="false">IFERROR(IF(OR(HLOOKUP($A769,#REF!,9,FALSE())&gt;2,HLOOKUP($A769,#REF!,9,FALSE())&lt;-2),"",#REF!),"")</f>
        <v/>
      </c>
      <c r="L769" s="0" t="str">
        <f aca="false">IFERROR(IF(OR(HLOOKUP($A769,#REF!,10,FALSE())&gt;2,HLOOKUP($A769,#REF!,10,FALSE())&lt;-2),"",#REF!),"")</f>
        <v/>
      </c>
      <c r="M769" s="0" t="str">
        <f aca="false">IFERROR(IF(OR(HLOOKUP($A769,#REF!,11,FALSE())&gt;2,HLOOKUP($A769,#REF!,11,FALSE())&lt;-2),"",#REF!),"")</f>
        <v/>
      </c>
      <c r="N769" s="0" t="str">
        <f aca="false">IFERROR(IF(OR(HLOOKUP($A769,#REF!,12,FALSE())&gt;2,HLOOKUP($A769,#REF!,12,FALSE())&lt;-2),"",#REF!),"")</f>
        <v/>
      </c>
      <c r="O769" s="0" t="str">
        <f aca="false">IFERROR(IF(OR(HLOOKUP($A769,#REF!,13,FALSE())&gt;2,HLOOKUP($A769,#REF!,13,FALSE())&lt;-2),"",#REF!),"")</f>
        <v/>
      </c>
      <c r="P769" s="0" t="str">
        <f aca="false">IFERROR(IF(OR(HLOOKUP($A769,#REF!,14,FALSE())&gt;2,HLOOKUP($A769,#REF!,14,FALSE())&lt;-2),"",#REF!),"")</f>
        <v/>
      </c>
      <c r="Q769" s="0" t="str">
        <f aca="false">IFERROR(IF(OR(HLOOKUP($A769,#REF!,15,FALSE())&gt;2,HLOOKUP($A769,#REF!,15,FALSE())&lt;-2),"",#REF!),"")</f>
        <v/>
      </c>
      <c r="R769" s="0" t="str">
        <f aca="false">IFERROR(IF(OR(HLOOKUP($A769,#REF!,16,FALSE())&gt;2,HLOOKUP($A769,#REF!,16,FALSE())&lt;-2),"",#REF!),"")</f>
        <v/>
      </c>
      <c r="S769" s="0" t="str">
        <f aca="false">IFERROR(IF(OR(HLOOKUP($A769,#REF!,17,FALSE())&gt;2,HLOOKUP($A769,#REF!,17,FALSE())&lt;-2),"",#REF!),"")</f>
        <v/>
      </c>
      <c r="T769" s="0" t="str">
        <f aca="false">IFERROR(IF(OR(HLOOKUP($A769,#REF!,18,FALSE())&gt;2,HLOOKUP($A769,#REF!,18,FALSE())&lt;-2),"",#REF!),"")</f>
        <v/>
      </c>
      <c r="U769" s="0" t="str">
        <f aca="false">IFERROR(IF(OR(HLOOKUP($A769,#REF!,19,FALSE())&gt;2,HLOOKUP($A769,#REF!,19,FALSE())&lt;-2),"",#REF!),"")</f>
        <v/>
      </c>
      <c r="V769" s="0" t="n">
        <f aca="false">IFERROR(IF(AND(X769=0,Y769=0),0,1),0)</f>
        <v>1</v>
      </c>
      <c r="W769" s="3" t="str">
        <f aca="false">IFERROR(_xlfn.T.TEST(E769:M769,N769:U769,2,2),"")</f>
        <v/>
      </c>
      <c r="X769" s="0" t="str">
        <f aca="false">IFERROR(AVERAGE(E769:M769),"")</f>
        <v/>
      </c>
      <c r="Y769" s="0" t="str">
        <f aca="false">IFERROR(AVERAGE(N769:U769),"")</f>
        <v/>
      </c>
    </row>
    <row r="770" customFormat="false" ht="14.5" hidden="false" customHeight="false" outlineLevel="0" collapsed="false">
      <c r="A770" s="0" t="n">
        <v>778</v>
      </c>
      <c r="B770" s="0" t="s">
        <v>826</v>
      </c>
      <c r="C770" s="0" t="n">
        <v>16600</v>
      </c>
      <c r="D770" s="0" t="n">
        <v>385</v>
      </c>
      <c r="E770" s="0" t="str">
        <f aca="false">IFERROR(IF(OR(HLOOKUP($A770,#REF!,3,FALSE())&gt;2,HLOOKUP(A770,#REF!,3,FALSE())&lt;-2),"",#REF!),"")</f>
        <v/>
      </c>
      <c r="F770" s="0" t="str">
        <f aca="false">IFERROR(IF(OR(HLOOKUP($A770,#REF!,4,FALSE())&gt;2,HLOOKUP($A770,#REF!,4,FALSE())&lt;-2),"",#REF!),"")</f>
        <v/>
      </c>
      <c r="G770" s="0" t="str">
        <f aca="false">IFERROR(IF(OR(HLOOKUP($A770,#REF!,5,FALSE())&gt;2,HLOOKUP($A770,#REF!,5,FALSE())&lt;-2),"",#REF!),"")</f>
        <v/>
      </c>
      <c r="H770" s="0" t="str">
        <f aca="false">IFERROR(IF(OR(HLOOKUP($A770,#REF!,6,FALSE())&gt;2,HLOOKUP($A770,#REF!,6,FALSE())&lt;-2),"",#REF!),"")</f>
        <v/>
      </c>
      <c r="I770" s="0" t="str">
        <f aca="false">IFERROR(IF(OR(HLOOKUP($A770,#REF!,7,FALSE())&gt;2,HLOOKUP($A770,#REF!,7,FALSE())&lt;-2),"",#REF!),"")</f>
        <v/>
      </c>
      <c r="J770" s="0" t="str">
        <f aca="false">IFERROR(IF(OR(HLOOKUP($A770,#REF!,8,FALSE())&gt;2,HLOOKUP($A770,#REF!,8,FALSE())&lt;-2),"",#REF!),"")</f>
        <v/>
      </c>
      <c r="K770" s="0" t="str">
        <f aca="false">IFERROR(IF(OR(HLOOKUP($A770,#REF!,9,FALSE())&gt;2,HLOOKUP($A770,#REF!,9,FALSE())&lt;-2),"",#REF!),"")</f>
        <v/>
      </c>
      <c r="L770" s="0" t="str">
        <f aca="false">IFERROR(IF(OR(HLOOKUP($A770,#REF!,10,FALSE())&gt;2,HLOOKUP($A770,#REF!,10,FALSE())&lt;-2),"",#REF!),"")</f>
        <v/>
      </c>
      <c r="M770" s="0" t="str">
        <f aca="false">IFERROR(IF(OR(HLOOKUP($A770,#REF!,11,FALSE())&gt;2,HLOOKUP($A770,#REF!,11,FALSE())&lt;-2),"",#REF!),"")</f>
        <v/>
      </c>
      <c r="N770" s="0" t="str">
        <f aca="false">IFERROR(IF(OR(HLOOKUP($A770,#REF!,12,FALSE())&gt;2,HLOOKUP($A770,#REF!,12,FALSE())&lt;-2),"",#REF!),"")</f>
        <v/>
      </c>
      <c r="O770" s="0" t="str">
        <f aca="false">IFERROR(IF(OR(HLOOKUP($A770,#REF!,13,FALSE())&gt;2,HLOOKUP($A770,#REF!,13,FALSE())&lt;-2),"",#REF!),"")</f>
        <v/>
      </c>
      <c r="P770" s="0" t="str">
        <f aca="false">IFERROR(IF(OR(HLOOKUP($A770,#REF!,14,FALSE())&gt;2,HLOOKUP($A770,#REF!,14,FALSE())&lt;-2),"",#REF!),"")</f>
        <v/>
      </c>
      <c r="Q770" s="0" t="str">
        <f aca="false">IFERROR(IF(OR(HLOOKUP($A770,#REF!,15,FALSE())&gt;2,HLOOKUP($A770,#REF!,15,FALSE())&lt;-2),"",#REF!),"")</f>
        <v/>
      </c>
      <c r="R770" s="0" t="str">
        <f aca="false">IFERROR(IF(OR(HLOOKUP($A770,#REF!,16,FALSE())&gt;2,HLOOKUP($A770,#REF!,16,FALSE())&lt;-2),"",#REF!),"")</f>
        <v/>
      </c>
      <c r="S770" s="0" t="str">
        <f aca="false">IFERROR(IF(OR(HLOOKUP($A770,#REF!,17,FALSE())&gt;2,HLOOKUP($A770,#REF!,17,FALSE())&lt;-2),"",#REF!),"")</f>
        <v/>
      </c>
      <c r="T770" s="0" t="str">
        <f aca="false">IFERROR(IF(OR(HLOOKUP($A770,#REF!,18,FALSE())&gt;2,HLOOKUP($A770,#REF!,18,FALSE())&lt;-2),"",#REF!),"")</f>
        <v/>
      </c>
      <c r="U770" s="0" t="str">
        <f aca="false">IFERROR(IF(OR(HLOOKUP($A770,#REF!,19,FALSE())&gt;2,HLOOKUP($A770,#REF!,19,FALSE())&lt;-2),"",#REF!),"")</f>
        <v/>
      </c>
      <c r="V770" s="0" t="n">
        <f aca="false">IFERROR(IF(AND(X770=0,Y770=0),0,1),0)</f>
        <v>1</v>
      </c>
      <c r="W770" s="3" t="str">
        <f aca="false">IFERROR(_xlfn.T.TEST(E770:M770,N770:U770,2,2),"")</f>
        <v/>
      </c>
      <c r="X770" s="0" t="str">
        <f aca="false">IFERROR(AVERAGE(E770:M770),"")</f>
        <v/>
      </c>
      <c r="Y770" s="0" t="str">
        <f aca="false">IFERROR(AVERAGE(N770:U770),"")</f>
        <v/>
      </c>
    </row>
    <row r="771" customFormat="false" ht="14.5" hidden="false" customHeight="false" outlineLevel="0" collapsed="false">
      <c r="A771" s="0" t="n">
        <v>779</v>
      </c>
      <c r="B771" s="0" t="s">
        <v>827</v>
      </c>
      <c r="C771" s="0" t="n">
        <v>114000</v>
      </c>
      <c r="D771" s="0" t="n">
        <v>182</v>
      </c>
      <c r="E771" s="0" t="str">
        <f aca="false">IFERROR(IF(OR(HLOOKUP($A771,#REF!,3,FALSE())&gt;2,HLOOKUP(A771,#REF!,3,FALSE())&lt;-2),"",#REF!),"")</f>
        <v/>
      </c>
      <c r="F771" s="0" t="str">
        <f aca="false">IFERROR(IF(OR(HLOOKUP($A771,#REF!,4,FALSE())&gt;2,HLOOKUP($A771,#REF!,4,FALSE())&lt;-2),"",#REF!),"")</f>
        <v/>
      </c>
      <c r="G771" s="0" t="str">
        <f aca="false">IFERROR(IF(OR(HLOOKUP($A771,#REF!,5,FALSE())&gt;2,HLOOKUP($A771,#REF!,5,FALSE())&lt;-2),"",#REF!),"")</f>
        <v/>
      </c>
      <c r="H771" s="0" t="str">
        <f aca="false">IFERROR(IF(OR(HLOOKUP($A771,#REF!,6,FALSE())&gt;2,HLOOKUP($A771,#REF!,6,FALSE())&lt;-2),"",#REF!),"")</f>
        <v/>
      </c>
      <c r="I771" s="0" t="str">
        <f aca="false">IFERROR(IF(OR(HLOOKUP($A771,#REF!,7,FALSE())&gt;2,HLOOKUP($A771,#REF!,7,FALSE())&lt;-2),"",#REF!),"")</f>
        <v/>
      </c>
      <c r="J771" s="0" t="str">
        <f aca="false">IFERROR(IF(OR(HLOOKUP($A771,#REF!,8,FALSE())&gt;2,HLOOKUP($A771,#REF!,8,FALSE())&lt;-2),"",#REF!),"")</f>
        <v/>
      </c>
      <c r="K771" s="0" t="str">
        <f aca="false">IFERROR(IF(OR(HLOOKUP($A771,#REF!,9,FALSE())&gt;2,HLOOKUP($A771,#REF!,9,FALSE())&lt;-2),"",#REF!),"")</f>
        <v/>
      </c>
      <c r="L771" s="0" t="str">
        <f aca="false">IFERROR(IF(OR(HLOOKUP($A771,#REF!,10,FALSE())&gt;2,HLOOKUP($A771,#REF!,10,FALSE())&lt;-2),"",#REF!),"")</f>
        <v/>
      </c>
      <c r="M771" s="0" t="str">
        <f aca="false">IFERROR(IF(OR(HLOOKUP($A771,#REF!,11,FALSE())&gt;2,HLOOKUP($A771,#REF!,11,FALSE())&lt;-2),"",#REF!),"")</f>
        <v/>
      </c>
      <c r="N771" s="0" t="str">
        <f aca="false">IFERROR(IF(OR(HLOOKUP($A771,#REF!,12,FALSE())&gt;2,HLOOKUP($A771,#REF!,12,FALSE())&lt;-2),"",#REF!),"")</f>
        <v/>
      </c>
      <c r="O771" s="0" t="str">
        <f aca="false">IFERROR(IF(OR(HLOOKUP($A771,#REF!,13,FALSE())&gt;2,HLOOKUP($A771,#REF!,13,FALSE())&lt;-2),"",#REF!),"")</f>
        <v/>
      </c>
      <c r="P771" s="0" t="str">
        <f aca="false">IFERROR(IF(OR(HLOOKUP($A771,#REF!,14,FALSE())&gt;2,HLOOKUP($A771,#REF!,14,FALSE())&lt;-2),"",#REF!),"")</f>
        <v/>
      </c>
      <c r="Q771" s="0" t="str">
        <f aca="false">IFERROR(IF(OR(HLOOKUP($A771,#REF!,15,FALSE())&gt;2,HLOOKUP($A771,#REF!,15,FALSE())&lt;-2),"",#REF!),"")</f>
        <v/>
      </c>
      <c r="R771" s="0" t="str">
        <f aca="false">IFERROR(IF(OR(HLOOKUP($A771,#REF!,16,FALSE())&gt;2,HLOOKUP($A771,#REF!,16,FALSE())&lt;-2),"",#REF!),"")</f>
        <v/>
      </c>
      <c r="S771" s="0" t="str">
        <f aca="false">IFERROR(IF(OR(HLOOKUP($A771,#REF!,17,FALSE())&gt;2,HLOOKUP($A771,#REF!,17,FALSE())&lt;-2),"",#REF!),"")</f>
        <v/>
      </c>
      <c r="T771" s="0" t="str">
        <f aca="false">IFERROR(IF(OR(HLOOKUP($A771,#REF!,18,FALSE())&gt;2,HLOOKUP($A771,#REF!,18,FALSE())&lt;-2),"",#REF!),"")</f>
        <v/>
      </c>
      <c r="U771" s="0" t="str">
        <f aca="false">IFERROR(IF(OR(HLOOKUP($A771,#REF!,19,FALSE())&gt;2,HLOOKUP($A771,#REF!,19,FALSE())&lt;-2),"",#REF!),"")</f>
        <v/>
      </c>
      <c r="V771" s="0" t="n">
        <f aca="false">IFERROR(IF(AND(X771=0,Y771=0),0,1),0)</f>
        <v>1</v>
      </c>
      <c r="W771" s="3" t="str">
        <f aca="false">IFERROR(_xlfn.T.TEST(E771:M771,N771:U771,2,2),"")</f>
        <v/>
      </c>
      <c r="X771" s="0" t="str">
        <f aca="false">IFERROR(AVERAGE(E771:M771),"")</f>
        <v/>
      </c>
      <c r="Y771" s="0" t="str">
        <f aca="false">IFERROR(AVERAGE(N771:U771),"")</f>
        <v/>
      </c>
    </row>
    <row r="772" customFormat="false" ht="14.5" hidden="false" customHeight="false" outlineLevel="0" collapsed="false">
      <c r="A772" s="0" t="n">
        <v>780</v>
      </c>
      <c r="B772" s="0" t="s">
        <v>828</v>
      </c>
      <c r="C772" s="0" t="n">
        <v>47800</v>
      </c>
      <c r="D772" s="0" t="n">
        <v>703</v>
      </c>
      <c r="E772" s="0" t="str">
        <f aca="false">IFERROR(IF(OR(HLOOKUP($A772,#REF!,3,FALSE())&gt;2,HLOOKUP(A772,#REF!,3,FALSE())&lt;-2),"",#REF!),"")</f>
        <v/>
      </c>
      <c r="F772" s="0" t="str">
        <f aca="false">IFERROR(IF(OR(HLOOKUP($A772,#REF!,4,FALSE())&gt;2,HLOOKUP($A772,#REF!,4,FALSE())&lt;-2),"",#REF!),"")</f>
        <v/>
      </c>
      <c r="G772" s="0" t="str">
        <f aca="false">IFERROR(IF(OR(HLOOKUP($A772,#REF!,5,FALSE())&gt;2,HLOOKUP($A772,#REF!,5,FALSE())&lt;-2),"",#REF!),"")</f>
        <v/>
      </c>
      <c r="H772" s="0" t="str">
        <f aca="false">IFERROR(IF(OR(HLOOKUP($A772,#REF!,6,FALSE())&gt;2,HLOOKUP($A772,#REF!,6,FALSE())&lt;-2),"",#REF!),"")</f>
        <v/>
      </c>
      <c r="I772" s="0" t="str">
        <f aca="false">IFERROR(IF(OR(HLOOKUP($A772,#REF!,7,FALSE())&gt;2,HLOOKUP($A772,#REF!,7,FALSE())&lt;-2),"",#REF!),"")</f>
        <v/>
      </c>
      <c r="J772" s="0" t="str">
        <f aca="false">IFERROR(IF(OR(HLOOKUP($A772,#REF!,8,FALSE())&gt;2,HLOOKUP($A772,#REF!,8,FALSE())&lt;-2),"",#REF!),"")</f>
        <v/>
      </c>
      <c r="K772" s="0" t="str">
        <f aca="false">IFERROR(IF(OR(HLOOKUP($A772,#REF!,9,FALSE())&gt;2,HLOOKUP($A772,#REF!,9,FALSE())&lt;-2),"",#REF!),"")</f>
        <v/>
      </c>
      <c r="L772" s="0" t="str">
        <f aca="false">IFERROR(IF(OR(HLOOKUP($A772,#REF!,10,FALSE())&gt;2,HLOOKUP($A772,#REF!,10,FALSE())&lt;-2),"",#REF!),"")</f>
        <v/>
      </c>
      <c r="M772" s="0" t="str">
        <f aca="false">IFERROR(IF(OR(HLOOKUP($A772,#REF!,11,FALSE())&gt;2,HLOOKUP($A772,#REF!,11,FALSE())&lt;-2),"",#REF!),"")</f>
        <v/>
      </c>
      <c r="N772" s="0" t="str">
        <f aca="false">IFERROR(IF(OR(HLOOKUP($A772,#REF!,12,FALSE())&gt;2,HLOOKUP($A772,#REF!,12,FALSE())&lt;-2),"",#REF!),"")</f>
        <v/>
      </c>
      <c r="O772" s="0" t="str">
        <f aca="false">IFERROR(IF(OR(HLOOKUP($A772,#REF!,13,FALSE())&gt;2,HLOOKUP($A772,#REF!,13,FALSE())&lt;-2),"",#REF!),"")</f>
        <v/>
      </c>
      <c r="P772" s="0" t="str">
        <f aca="false">IFERROR(IF(OR(HLOOKUP($A772,#REF!,14,FALSE())&gt;2,HLOOKUP($A772,#REF!,14,FALSE())&lt;-2),"",#REF!),"")</f>
        <v/>
      </c>
      <c r="Q772" s="0" t="str">
        <f aca="false">IFERROR(IF(OR(HLOOKUP($A772,#REF!,15,FALSE())&gt;2,HLOOKUP($A772,#REF!,15,FALSE())&lt;-2),"",#REF!),"")</f>
        <v/>
      </c>
      <c r="R772" s="0" t="str">
        <f aca="false">IFERROR(IF(OR(HLOOKUP($A772,#REF!,16,FALSE())&gt;2,HLOOKUP($A772,#REF!,16,FALSE())&lt;-2),"",#REF!),"")</f>
        <v/>
      </c>
      <c r="S772" s="0" t="str">
        <f aca="false">IFERROR(IF(OR(HLOOKUP($A772,#REF!,17,FALSE())&gt;2,HLOOKUP($A772,#REF!,17,FALSE())&lt;-2),"",#REF!),"")</f>
        <v/>
      </c>
      <c r="T772" s="0" t="str">
        <f aca="false">IFERROR(IF(OR(HLOOKUP($A772,#REF!,18,FALSE())&gt;2,HLOOKUP($A772,#REF!,18,FALSE())&lt;-2),"",#REF!),"")</f>
        <v/>
      </c>
      <c r="U772" s="0" t="str">
        <f aca="false">IFERROR(IF(OR(HLOOKUP($A772,#REF!,19,FALSE())&gt;2,HLOOKUP($A772,#REF!,19,FALSE())&lt;-2),"",#REF!),"")</f>
        <v/>
      </c>
      <c r="V772" s="0" t="n">
        <f aca="false">IFERROR(IF(AND(X772=0,Y772=0),0,1),0)</f>
        <v>1</v>
      </c>
      <c r="W772" s="3" t="str">
        <f aca="false">IFERROR(_xlfn.T.TEST(E772:M772,N772:U772,2,2),"")</f>
        <v/>
      </c>
      <c r="X772" s="0" t="str">
        <f aca="false">IFERROR(AVERAGE(E772:M772),"")</f>
        <v/>
      </c>
      <c r="Y772" s="0" t="str">
        <f aca="false">IFERROR(AVERAGE(N772:U772),"")</f>
        <v/>
      </c>
    </row>
    <row r="773" customFormat="false" ht="14.5" hidden="false" customHeight="false" outlineLevel="0" collapsed="false">
      <c r="A773" s="0" t="n">
        <v>781</v>
      </c>
      <c r="B773" s="0" t="s">
        <v>829</v>
      </c>
      <c r="C773" s="0" t="n">
        <v>96600</v>
      </c>
      <c r="D773" s="0" t="n">
        <v>370</v>
      </c>
      <c r="E773" s="0" t="str">
        <f aca="false">IFERROR(IF(OR(HLOOKUP($A773,#REF!,3,FALSE())&gt;2,HLOOKUP(A773,#REF!,3,FALSE())&lt;-2),"",#REF!),"")</f>
        <v/>
      </c>
      <c r="F773" s="0" t="str">
        <f aca="false">IFERROR(IF(OR(HLOOKUP($A773,#REF!,4,FALSE())&gt;2,HLOOKUP($A773,#REF!,4,FALSE())&lt;-2),"",#REF!),"")</f>
        <v/>
      </c>
      <c r="G773" s="0" t="str">
        <f aca="false">IFERROR(IF(OR(HLOOKUP($A773,#REF!,5,FALSE())&gt;2,HLOOKUP($A773,#REF!,5,FALSE())&lt;-2),"",#REF!),"")</f>
        <v/>
      </c>
      <c r="H773" s="0" t="str">
        <f aca="false">IFERROR(IF(OR(HLOOKUP($A773,#REF!,6,FALSE())&gt;2,HLOOKUP($A773,#REF!,6,FALSE())&lt;-2),"",#REF!),"")</f>
        <v/>
      </c>
      <c r="I773" s="0" t="str">
        <f aca="false">IFERROR(IF(OR(HLOOKUP($A773,#REF!,7,FALSE())&gt;2,HLOOKUP($A773,#REF!,7,FALSE())&lt;-2),"",#REF!),"")</f>
        <v/>
      </c>
      <c r="J773" s="0" t="str">
        <f aca="false">IFERROR(IF(OR(HLOOKUP($A773,#REF!,8,FALSE())&gt;2,HLOOKUP($A773,#REF!,8,FALSE())&lt;-2),"",#REF!),"")</f>
        <v/>
      </c>
      <c r="K773" s="0" t="str">
        <f aca="false">IFERROR(IF(OR(HLOOKUP($A773,#REF!,9,FALSE())&gt;2,HLOOKUP($A773,#REF!,9,FALSE())&lt;-2),"",#REF!),"")</f>
        <v/>
      </c>
      <c r="L773" s="0" t="str">
        <f aca="false">IFERROR(IF(OR(HLOOKUP($A773,#REF!,10,FALSE())&gt;2,HLOOKUP($A773,#REF!,10,FALSE())&lt;-2),"",#REF!),"")</f>
        <v/>
      </c>
      <c r="M773" s="0" t="str">
        <f aca="false">IFERROR(IF(OR(HLOOKUP($A773,#REF!,11,FALSE())&gt;2,HLOOKUP($A773,#REF!,11,FALSE())&lt;-2),"",#REF!),"")</f>
        <v/>
      </c>
      <c r="N773" s="0" t="str">
        <f aca="false">IFERROR(IF(OR(HLOOKUP($A773,#REF!,12,FALSE())&gt;2,HLOOKUP($A773,#REF!,12,FALSE())&lt;-2),"",#REF!),"")</f>
        <v/>
      </c>
      <c r="O773" s="0" t="str">
        <f aca="false">IFERROR(IF(OR(HLOOKUP($A773,#REF!,13,FALSE())&gt;2,HLOOKUP($A773,#REF!,13,FALSE())&lt;-2),"",#REF!),"")</f>
        <v/>
      </c>
      <c r="P773" s="0" t="str">
        <f aca="false">IFERROR(IF(OR(HLOOKUP($A773,#REF!,14,FALSE())&gt;2,HLOOKUP($A773,#REF!,14,FALSE())&lt;-2),"",#REF!),"")</f>
        <v/>
      </c>
      <c r="Q773" s="0" t="str">
        <f aca="false">IFERROR(IF(OR(HLOOKUP($A773,#REF!,15,FALSE())&gt;2,HLOOKUP($A773,#REF!,15,FALSE())&lt;-2),"",#REF!),"")</f>
        <v/>
      </c>
      <c r="R773" s="0" t="str">
        <f aca="false">IFERROR(IF(OR(HLOOKUP($A773,#REF!,16,FALSE())&gt;2,HLOOKUP($A773,#REF!,16,FALSE())&lt;-2),"",#REF!),"")</f>
        <v/>
      </c>
      <c r="S773" s="0" t="str">
        <f aca="false">IFERROR(IF(OR(HLOOKUP($A773,#REF!,17,FALSE())&gt;2,HLOOKUP($A773,#REF!,17,FALSE())&lt;-2),"",#REF!),"")</f>
        <v/>
      </c>
      <c r="T773" s="0" t="str">
        <f aca="false">IFERROR(IF(OR(HLOOKUP($A773,#REF!,18,FALSE())&gt;2,HLOOKUP($A773,#REF!,18,FALSE())&lt;-2),"",#REF!),"")</f>
        <v/>
      </c>
      <c r="U773" s="0" t="str">
        <f aca="false">IFERROR(IF(OR(HLOOKUP($A773,#REF!,19,FALSE())&gt;2,HLOOKUP($A773,#REF!,19,FALSE())&lt;-2),"",#REF!),"")</f>
        <v/>
      </c>
      <c r="V773" s="0" t="n">
        <f aca="false">IFERROR(IF(AND(X773=0,Y773=0),0,1),0)</f>
        <v>1</v>
      </c>
      <c r="W773" s="3" t="str">
        <f aca="false">IFERROR(_xlfn.T.TEST(E773:M773,N773:U773,2,2),"")</f>
        <v/>
      </c>
      <c r="X773" s="0" t="str">
        <f aca="false">IFERROR(AVERAGE(E773:M773),"")</f>
        <v/>
      </c>
      <c r="Y773" s="0" t="str">
        <f aca="false">IFERROR(AVERAGE(N773:U773),"")</f>
        <v/>
      </c>
    </row>
    <row r="774" customFormat="false" ht="14.5" hidden="false" customHeight="false" outlineLevel="0" collapsed="false">
      <c r="A774" s="0" t="n">
        <v>782</v>
      </c>
      <c r="B774" s="0" t="s">
        <v>830</v>
      </c>
      <c r="C774" s="0" t="n">
        <v>40400</v>
      </c>
      <c r="D774" s="0" t="n">
        <v>766</v>
      </c>
      <c r="E774" s="0" t="str">
        <f aca="false">IFERROR(IF(OR(HLOOKUP($A774,#REF!,3,FALSE())&gt;2,HLOOKUP(A774,#REF!,3,FALSE())&lt;-2),"",#REF!),"")</f>
        <v/>
      </c>
      <c r="F774" s="0" t="str">
        <f aca="false">IFERROR(IF(OR(HLOOKUP($A774,#REF!,4,FALSE())&gt;2,HLOOKUP($A774,#REF!,4,FALSE())&lt;-2),"",#REF!),"")</f>
        <v/>
      </c>
      <c r="G774" s="0" t="str">
        <f aca="false">IFERROR(IF(OR(HLOOKUP($A774,#REF!,5,FALSE())&gt;2,HLOOKUP($A774,#REF!,5,FALSE())&lt;-2),"",#REF!),"")</f>
        <v/>
      </c>
      <c r="H774" s="0" t="str">
        <f aca="false">IFERROR(IF(OR(HLOOKUP($A774,#REF!,6,FALSE())&gt;2,HLOOKUP($A774,#REF!,6,FALSE())&lt;-2),"",#REF!),"")</f>
        <v/>
      </c>
      <c r="I774" s="0" t="str">
        <f aca="false">IFERROR(IF(OR(HLOOKUP($A774,#REF!,7,FALSE())&gt;2,HLOOKUP($A774,#REF!,7,FALSE())&lt;-2),"",#REF!),"")</f>
        <v/>
      </c>
      <c r="J774" s="0" t="str">
        <f aca="false">IFERROR(IF(OR(HLOOKUP($A774,#REF!,8,FALSE())&gt;2,HLOOKUP($A774,#REF!,8,FALSE())&lt;-2),"",#REF!),"")</f>
        <v/>
      </c>
      <c r="K774" s="0" t="str">
        <f aca="false">IFERROR(IF(OR(HLOOKUP($A774,#REF!,9,FALSE())&gt;2,HLOOKUP($A774,#REF!,9,FALSE())&lt;-2),"",#REF!),"")</f>
        <v/>
      </c>
      <c r="L774" s="0" t="str">
        <f aca="false">IFERROR(IF(OR(HLOOKUP($A774,#REF!,10,FALSE())&gt;2,HLOOKUP($A774,#REF!,10,FALSE())&lt;-2),"",#REF!),"")</f>
        <v/>
      </c>
      <c r="M774" s="0" t="str">
        <f aca="false">IFERROR(IF(OR(HLOOKUP($A774,#REF!,11,FALSE())&gt;2,HLOOKUP($A774,#REF!,11,FALSE())&lt;-2),"",#REF!),"")</f>
        <v/>
      </c>
      <c r="N774" s="0" t="str">
        <f aca="false">IFERROR(IF(OR(HLOOKUP($A774,#REF!,12,FALSE())&gt;2,HLOOKUP($A774,#REF!,12,FALSE())&lt;-2),"",#REF!),"")</f>
        <v/>
      </c>
      <c r="O774" s="0" t="str">
        <f aca="false">IFERROR(IF(OR(HLOOKUP($A774,#REF!,13,FALSE())&gt;2,HLOOKUP($A774,#REF!,13,FALSE())&lt;-2),"",#REF!),"")</f>
        <v/>
      </c>
      <c r="P774" s="0" t="str">
        <f aca="false">IFERROR(IF(OR(HLOOKUP($A774,#REF!,14,FALSE())&gt;2,HLOOKUP($A774,#REF!,14,FALSE())&lt;-2),"",#REF!),"")</f>
        <v/>
      </c>
      <c r="Q774" s="0" t="str">
        <f aca="false">IFERROR(IF(OR(HLOOKUP($A774,#REF!,15,FALSE())&gt;2,HLOOKUP($A774,#REF!,15,FALSE())&lt;-2),"",#REF!),"")</f>
        <v/>
      </c>
      <c r="R774" s="0" t="str">
        <f aca="false">IFERROR(IF(OR(HLOOKUP($A774,#REF!,16,FALSE())&gt;2,HLOOKUP($A774,#REF!,16,FALSE())&lt;-2),"",#REF!),"")</f>
        <v/>
      </c>
      <c r="S774" s="0" t="str">
        <f aca="false">IFERROR(IF(OR(HLOOKUP($A774,#REF!,17,FALSE())&gt;2,HLOOKUP($A774,#REF!,17,FALSE())&lt;-2),"",#REF!),"")</f>
        <v/>
      </c>
      <c r="T774" s="0" t="str">
        <f aca="false">IFERROR(IF(OR(HLOOKUP($A774,#REF!,18,FALSE())&gt;2,HLOOKUP($A774,#REF!,18,FALSE())&lt;-2),"",#REF!),"")</f>
        <v/>
      </c>
      <c r="U774" s="0" t="str">
        <f aca="false">IFERROR(IF(OR(HLOOKUP($A774,#REF!,19,FALSE())&gt;2,HLOOKUP($A774,#REF!,19,FALSE())&lt;-2),"",#REF!),"")</f>
        <v/>
      </c>
      <c r="V774" s="0" t="n">
        <f aca="false">IFERROR(IF(AND(X774=0,Y774=0),0,1),0)</f>
        <v>1</v>
      </c>
      <c r="W774" s="3" t="str">
        <f aca="false">IFERROR(_xlfn.T.TEST(E774:M774,N774:U774,2,2),"")</f>
        <v/>
      </c>
      <c r="X774" s="0" t="str">
        <f aca="false">IFERROR(AVERAGE(E774:M774),"")</f>
        <v/>
      </c>
      <c r="Y774" s="0" t="str">
        <f aca="false">IFERROR(AVERAGE(N774:U774),"")</f>
        <v/>
      </c>
    </row>
    <row r="775" customFormat="false" ht="14.5" hidden="false" customHeight="false" outlineLevel="0" collapsed="false">
      <c r="A775" s="0" t="n">
        <v>783</v>
      </c>
      <c r="B775" s="0" t="s">
        <v>831</v>
      </c>
      <c r="C775" s="0" t="n">
        <v>23800</v>
      </c>
      <c r="D775" s="0" t="n">
        <v>104</v>
      </c>
      <c r="E775" s="0" t="str">
        <f aca="false">IFERROR(IF(OR(HLOOKUP($A775,#REF!,3,FALSE())&gt;2,HLOOKUP(A775,#REF!,3,FALSE())&lt;-2),"",#REF!),"")</f>
        <v/>
      </c>
      <c r="F775" s="0" t="str">
        <f aca="false">IFERROR(IF(OR(HLOOKUP($A775,#REF!,4,FALSE())&gt;2,HLOOKUP($A775,#REF!,4,FALSE())&lt;-2),"",#REF!),"")</f>
        <v/>
      </c>
      <c r="G775" s="0" t="str">
        <f aca="false">IFERROR(IF(OR(HLOOKUP($A775,#REF!,5,FALSE())&gt;2,HLOOKUP($A775,#REF!,5,FALSE())&lt;-2),"",#REF!),"")</f>
        <v/>
      </c>
      <c r="H775" s="0" t="str">
        <f aca="false">IFERROR(IF(OR(HLOOKUP($A775,#REF!,6,FALSE())&gt;2,HLOOKUP($A775,#REF!,6,FALSE())&lt;-2),"",#REF!),"")</f>
        <v/>
      </c>
      <c r="I775" s="0" t="str">
        <f aca="false">IFERROR(IF(OR(HLOOKUP($A775,#REF!,7,FALSE())&gt;2,HLOOKUP($A775,#REF!,7,FALSE())&lt;-2),"",#REF!),"")</f>
        <v/>
      </c>
      <c r="J775" s="0" t="str">
        <f aca="false">IFERROR(IF(OR(HLOOKUP($A775,#REF!,8,FALSE())&gt;2,HLOOKUP($A775,#REF!,8,FALSE())&lt;-2),"",#REF!),"")</f>
        <v/>
      </c>
      <c r="K775" s="0" t="str">
        <f aca="false">IFERROR(IF(OR(HLOOKUP($A775,#REF!,9,FALSE())&gt;2,HLOOKUP($A775,#REF!,9,FALSE())&lt;-2),"",#REF!),"")</f>
        <v/>
      </c>
      <c r="L775" s="0" t="str">
        <f aca="false">IFERROR(IF(OR(HLOOKUP($A775,#REF!,10,FALSE())&gt;2,HLOOKUP($A775,#REF!,10,FALSE())&lt;-2),"",#REF!),"")</f>
        <v/>
      </c>
      <c r="M775" s="0" t="str">
        <f aca="false">IFERROR(IF(OR(HLOOKUP($A775,#REF!,11,FALSE())&gt;2,HLOOKUP($A775,#REF!,11,FALSE())&lt;-2),"",#REF!),"")</f>
        <v/>
      </c>
      <c r="N775" s="0" t="str">
        <f aca="false">IFERROR(IF(OR(HLOOKUP($A775,#REF!,12,FALSE())&gt;2,HLOOKUP($A775,#REF!,12,FALSE())&lt;-2),"",#REF!),"")</f>
        <v/>
      </c>
      <c r="O775" s="0" t="str">
        <f aca="false">IFERROR(IF(OR(HLOOKUP($A775,#REF!,13,FALSE())&gt;2,HLOOKUP($A775,#REF!,13,FALSE())&lt;-2),"",#REF!),"")</f>
        <v/>
      </c>
      <c r="P775" s="0" t="str">
        <f aca="false">IFERROR(IF(OR(HLOOKUP($A775,#REF!,14,FALSE())&gt;2,HLOOKUP($A775,#REF!,14,FALSE())&lt;-2),"",#REF!),"")</f>
        <v/>
      </c>
      <c r="Q775" s="0" t="str">
        <f aca="false">IFERROR(IF(OR(HLOOKUP($A775,#REF!,15,FALSE())&gt;2,HLOOKUP($A775,#REF!,15,FALSE())&lt;-2),"",#REF!),"")</f>
        <v/>
      </c>
      <c r="R775" s="0" t="str">
        <f aca="false">IFERROR(IF(OR(HLOOKUP($A775,#REF!,16,FALSE())&gt;2,HLOOKUP($A775,#REF!,16,FALSE())&lt;-2),"",#REF!),"")</f>
        <v/>
      </c>
      <c r="S775" s="0" t="str">
        <f aca="false">IFERROR(IF(OR(HLOOKUP($A775,#REF!,17,FALSE())&gt;2,HLOOKUP($A775,#REF!,17,FALSE())&lt;-2),"",#REF!),"")</f>
        <v/>
      </c>
      <c r="T775" s="0" t="str">
        <f aca="false">IFERROR(IF(OR(HLOOKUP($A775,#REF!,18,FALSE())&gt;2,HLOOKUP($A775,#REF!,18,FALSE())&lt;-2),"",#REF!),"")</f>
        <v/>
      </c>
      <c r="U775" s="0" t="str">
        <f aca="false">IFERROR(IF(OR(HLOOKUP($A775,#REF!,19,FALSE())&gt;2,HLOOKUP($A775,#REF!,19,FALSE())&lt;-2),"",#REF!),"")</f>
        <v/>
      </c>
      <c r="V775" s="0" t="n">
        <f aca="false">IFERROR(IF(AND(X775=0,Y775=0),0,1),0)</f>
        <v>1</v>
      </c>
      <c r="W775" s="3" t="str">
        <f aca="false">IFERROR(_xlfn.T.TEST(E775:M775,N775:U775,2,2),"")</f>
        <v/>
      </c>
      <c r="X775" s="0" t="str">
        <f aca="false">IFERROR(AVERAGE(E775:M775),"")</f>
        <v/>
      </c>
      <c r="Y775" s="0" t="str">
        <f aca="false">IFERROR(AVERAGE(N775:U775),"")</f>
        <v/>
      </c>
    </row>
    <row r="776" customFormat="false" ht="14.5" hidden="false" customHeight="false" outlineLevel="0" collapsed="false">
      <c r="A776" s="0" t="n">
        <v>784</v>
      </c>
      <c r="B776" s="0" t="s">
        <v>832</v>
      </c>
      <c r="C776" s="0" t="n">
        <v>106900</v>
      </c>
      <c r="D776" s="0" t="n">
        <v>983</v>
      </c>
      <c r="E776" s="0" t="str">
        <f aca="false">IFERROR(IF(OR(HLOOKUP($A776,#REF!,3,FALSE())&gt;2,HLOOKUP(A776,#REF!,3,FALSE())&lt;-2),"",#REF!),"")</f>
        <v/>
      </c>
      <c r="F776" s="0" t="str">
        <f aca="false">IFERROR(IF(OR(HLOOKUP($A776,#REF!,4,FALSE())&gt;2,HLOOKUP($A776,#REF!,4,FALSE())&lt;-2),"",#REF!),"")</f>
        <v/>
      </c>
      <c r="G776" s="0" t="str">
        <f aca="false">IFERROR(IF(OR(HLOOKUP($A776,#REF!,5,FALSE())&gt;2,HLOOKUP($A776,#REF!,5,FALSE())&lt;-2),"",#REF!),"")</f>
        <v/>
      </c>
      <c r="H776" s="0" t="str">
        <f aca="false">IFERROR(IF(OR(HLOOKUP($A776,#REF!,6,FALSE())&gt;2,HLOOKUP($A776,#REF!,6,FALSE())&lt;-2),"",#REF!),"")</f>
        <v/>
      </c>
      <c r="I776" s="0" t="str">
        <f aca="false">IFERROR(IF(OR(HLOOKUP($A776,#REF!,7,FALSE())&gt;2,HLOOKUP($A776,#REF!,7,FALSE())&lt;-2),"",#REF!),"")</f>
        <v/>
      </c>
      <c r="J776" s="0" t="str">
        <f aca="false">IFERROR(IF(OR(HLOOKUP($A776,#REF!,8,FALSE())&gt;2,HLOOKUP($A776,#REF!,8,FALSE())&lt;-2),"",#REF!),"")</f>
        <v/>
      </c>
      <c r="K776" s="0" t="str">
        <f aca="false">IFERROR(IF(OR(HLOOKUP($A776,#REF!,9,FALSE())&gt;2,HLOOKUP($A776,#REF!,9,FALSE())&lt;-2),"",#REF!),"")</f>
        <v/>
      </c>
      <c r="L776" s="0" t="str">
        <f aca="false">IFERROR(IF(OR(HLOOKUP($A776,#REF!,10,FALSE())&gt;2,HLOOKUP($A776,#REF!,10,FALSE())&lt;-2),"",#REF!),"")</f>
        <v/>
      </c>
      <c r="M776" s="0" t="str">
        <f aca="false">IFERROR(IF(OR(HLOOKUP($A776,#REF!,11,FALSE())&gt;2,HLOOKUP($A776,#REF!,11,FALSE())&lt;-2),"",#REF!),"")</f>
        <v/>
      </c>
      <c r="N776" s="0" t="str">
        <f aca="false">IFERROR(IF(OR(HLOOKUP($A776,#REF!,12,FALSE())&gt;2,HLOOKUP($A776,#REF!,12,FALSE())&lt;-2),"",#REF!),"")</f>
        <v/>
      </c>
      <c r="O776" s="0" t="str">
        <f aca="false">IFERROR(IF(OR(HLOOKUP($A776,#REF!,13,FALSE())&gt;2,HLOOKUP($A776,#REF!,13,FALSE())&lt;-2),"",#REF!),"")</f>
        <v/>
      </c>
      <c r="P776" s="0" t="str">
        <f aca="false">IFERROR(IF(OR(HLOOKUP($A776,#REF!,14,FALSE())&gt;2,HLOOKUP($A776,#REF!,14,FALSE())&lt;-2),"",#REF!),"")</f>
        <v/>
      </c>
      <c r="Q776" s="0" t="str">
        <f aca="false">IFERROR(IF(OR(HLOOKUP($A776,#REF!,15,FALSE())&gt;2,HLOOKUP($A776,#REF!,15,FALSE())&lt;-2),"",#REF!),"")</f>
        <v/>
      </c>
      <c r="R776" s="0" t="str">
        <f aca="false">IFERROR(IF(OR(HLOOKUP($A776,#REF!,16,FALSE())&gt;2,HLOOKUP($A776,#REF!,16,FALSE())&lt;-2),"",#REF!),"")</f>
        <v/>
      </c>
      <c r="S776" s="0" t="str">
        <f aca="false">IFERROR(IF(OR(HLOOKUP($A776,#REF!,17,FALSE())&gt;2,HLOOKUP($A776,#REF!,17,FALSE())&lt;-2),"",#REF!),"")</f>
        <v/>
      </c>
      <c r="T776" s="0" t="str">
        <f aca="false">IFERROR(IF(OR(HLOOKUP($A776,#REF!,18,FALSE())&gt;2,HLOOKUP($A776,#REF!,18,FALSE())&lt;-2),"",#REF!),"")</f>
        <v/>
      </c>
      <c r="U776" s="0" t="str">
        <f aca="false">IFERROR(IF(OR(HLOOKUP($A776,#REF!,19,FALSE())&gt;2,HLOOKUP($A776,#REF!,19,FALSE())&lt;-2),"",#REF!),"")</f>
        <v/>
      </c>
      <c r="V776" s="0" t="n">
        <f aca="false">IFERROR(IF(AND(X776=0,Y776=0),0,1),0)</f>
        <v>1</v>
      </c>
      <c r="W776" s="3" t="str">
        <f aca="false">IFERROR(_xlfn.T.TEST(E776:M776,N776:U776,2,2),"")</f>
        <v/>
      </c>
      <c r="X776" s="0" t="str">
        <f aca="false">IFERROR(AVERAGE(E776:M776),"")</f>
        <v/>
      </c>
      <c r="Y776" s="0" t="str">
        <f aca="false">IFERROR(AVERAGE(N776:U776),"")</f>
        <v/>
      </c>
    </row>
    <row r="777" customFormat="false" ht="14.5" hidden="false" customHeight="false" outlineLevel="0" collapsed="false">
      <c r="A777" s="0" t="n">
        <v>785</v>
      </c>
      <c r="B777" s="0" t="s">
        <v>833</v>
      </c>
      <c r="C777" s="0" t="n">
        <v>77100</v>
      </c>
      <c r="D777" s="0" t="n">
        <v>693</v>
      </c>
      <c r="E777" s="0" t="str">
        <f aca="false">IFERROR(IF(OR(HLOOKUP($A777,#REF!,3,FALSE())&gt;2,HLOOKUP(A777,#REF!,3,FALSE())&lt;-2),"",#REF!),"")</f>
        <v/>
      </c>
      <c r="F777" s="0" t="str">
        <f aca="false">IFERROR(IF(OR(HLOOKUP($A777,#REF!,4,FALSE())&gt;2,HLOOKUP($A777,#REF!,4,FALSE())&lt;-2),"",#REF!),"")</f>
        <v/>
      </c>
      <c r="G777" s="0" t="str">
        <f aca="false">IFERROR(IF(OR(HLOOKUP($A777,#REF!,5,FALSE())&gt;2,HLOOKUP($A777,#REF!,5,FALSE())&lt;-2),"",#REF!),"")</f>
        <v/>
      </c>
      <c r="H777" s="0" t="str">
        <f aca="false">IFERROR(IF(OR(HLOOKUP($A777,#REF!,6,FALSE())&gt;2,HLOOKUP($A777,#REF!,6,FALSE())&lt;-2),"",#REF!),"")</f>
        <v/>
      </c>
      <c r="I777" s="0" t="str">
        <f aca="false">IFERROR(IF(OR(HLOOKUP($A777,#REF!,7,FALSE())&gt;2,HLOOKUP($A777,#REF!,7,FALSE())&lt;-2),"",#REF!),"")</f>
        <v/>
      </c>
      <c r="J777" s="0" t="str">
        <f aca="false">IFERROR(IF(OR(HLOOKUP($A777,#REF!,8,FALSE())&gt;2,HLOOKUP($A777,#REF!,8,FALSE())&lt;-2),"",#REF!),"")</f>
        <v/>
      </c>
      <c r="K777" s="0" t="str">
        <f aca="false">IFERROR(IF(OR(HLOOKUP($A777,#REF!,9,FALSE())&gt;2,HLOOKUP($A777,#REF!,9,FALSE())&lt;-2),"",#REF!),"")</f>
        <v/>
      </c>
      <c r="L777" s="0" t="str">
        <f aca="false">IFERROR(IF(OR(HLOOKUP($A777,#REF!,10,FALSE())&gt;2,HLOOKUP($A777,#REF!,10,FALSE())&lt;-2),"",#REF!),"")</f>
        <v/>
      </c>
      <c r="M777" s="0" t="str">
        <f aca="false">IFERROR(IF(OR(HLOOKUP($A777,#REF!,11,FALSE())&gt;2,HLOOKUP($A777,#REF!,11,FALSE())&lt;-2),"",#REF!),"")</f>
        <v/>
      </c>
      <c r="N777" s="0" t="str">
        <f aca="false">IFERROR(IF(OR(HLOOKUP($A777,#REF!,12,FALSE())&gt;2,HLOOKUP($A777,#REF!,12,FALSE())&lt;-2),"",#REF!),"")</f>
        <v/>
      </c>
      <c r="O777" s="0" t="str">
        <f aca="false">IFERROR(IF(OR(HLOOKUP($A777,#REF!,13,FALSE())&gt;2,HLOOKUP($A777,#REF!,13,FALSE())&lt;-2),"",#REF!),"")</f>
        <v/>
      </c>
      <c r="P777" s="0" t="str">
        <f aca="false">IFERROR(IF(OR(HLOOKUP($A777,#REF!,14,FALSE())&gt;2,HLOOKUP($A777,#REF!,14,FALSE())&lt;-2),"",#REF!),"")</f>
        <v/>
      </c>
      <c r="Q777" s="0" t="str">
        <f aca="false">IFERROR(IF(OR(HLOOKUP($A777,#REF!,15,FALSE())&gt;2,HLOOKUP($A777,#REF!,15,FALSE())&lt;-2),"",#REF!),"")</f>
        <v/>
      </c>
      <c r="R777" s="0" t="str">
        <f aca="false">IFERROR(IF(OR(HLOOKUP($A777,#REF!,16,FALSE())&gt;2,HLOOKUP($A777,#REF!,16,FALSE())&lt;-2),"",#REF!),"")</f>
        <v/>
      </c>
      <c r="S777" s="0" t="str">
        <f aca="false">IFERROR(IF(OR(HLOOKUP($A777,#REF!,17,FALSE())&gt;2,HLOOKUP($A777,#REF!,17,FALSE())&lt;-2),"",#REF!),"")</f>
        <v/>
      </c>
      <c r="T777" s="0" t="str">
        <f aca="false">IFERROR(IF(OR(HLOOKUP($A777,#REF!,18,FALSE())&gt;2,HLOOKUP($A777,#REF!,18,FALSE())&lt;-2),"",#REF!),"")</f>
        <v/>
      </c>
      <c r="U777" s="0" t="str">
        <f aca="false">IFERROR(IF(OR(HLOOKUP($A777,#REF!,19,FALSE())&gt;2,HLOOKUP($A777,#REF!,19,FALSE())&lt;-2),"",#REF!),"")</f>
        <v/>
      </c>
      <c r="V777" s="0" t="n">
        <f aca="false">IFERROR(IF(AND(X777=0,Y777=0),0,1),0)</f>
        <v>1</v>
      </c>
      <c r="W777" s="3" t="str">
        <f aca="false">IFERROR(_xlfn.T.TEST(E777:M777,N777:U777,2,2),"")</f>
        <v/>
      </c>
      <c r="X777" s="0" t="str">
        <f aca="false">IFERROR(AVERAGE(E777:M777),"")</f>
        <v/>
      </c>
      <c r="Y777" s="0" t="str">
        <f aca="false">IFERROR(AVERAGE(N777:U777),"")</f>
        <v/>
      </c>
    </row>
    <row r="778" customFormat="false" ht="14.5" hidden="false" customHeight="false" outlineLevel="0" collapsed="false">
      <c r="A778" s="0" t="n">
        <v>786</v>
      </c>
      <c r="B778" s="0" t="s">
        <v>834</v>
      </c>
      <c r="C778" s="0" t="n">
        <v>28600</v>
      </c>
      <c r="D778" s="0" t="n">
        <v>541</v>
      </c>
      <c r="E778" s="0" t="str">
        <f aca="false">IFERROR(IF(OR(HLOOKUP($A778,#REF!,3,FALSE())&gt;2,HLOOKUP(A778,#REF!,3,FALSE())&lt;-2),"",#REF!),"")</f>
        <v/>
      </c>
      <c r="F778" s="0" t="str">
        <f aca="false">IFERROR(IF(OR(HLOOKUP($A778,#REF!,4,FALSE())&gt;2,HLOOKUP($A778,#REF!,4,FALSE())&lt;-2),"",#REF!),"")</f>
        <v/>
      </c>
      <c r="G778" s="0" t="str">
        <f aca="false">IFERROR(IF(OR(HLOOKUP($A778,#REF!,5,FALSE())&gt;2,HLOOKUP($A778,#REF!,5,FALSE())&lt;-2),"",#REF!),"")</f>
        <v/>
      </c>
      <c r="H778" s="0" t="str">
        <f aca="false">IFERROR(IF(OR(HLOOKUP($A778,#REF!,6,FALSE())&gt;2,HLOOKUP($A778,#REF!,6,FALSE())&lt;-2),"",#REF!),"")</f>
        <v/>
      </c>
      <c r="I778" s="0" t="str">
        <f aca="false">IFERROR(IF(OR(HLOOKUP($A778,#REF!,7,FALSE())&gt;2,HLOOKUP($A778,#REF!,7,FALSE())&lt;-2),"",#REF!),"")</f>
        <v/>
      </c>
      <c r="J778" s="0" t="str">
        <f aca="false">IFERROR(IF(OR(HLOOKUP($A778,#REF!,8,FALSE())&gt;2,HLOOKUP($A778,#REF!,8,FALSE())&lt;-2),"",#REF!),"")</f>
        <v/>
      </c>
      <c r="K778" s="0" t="str">
        <f aca="false">IFERROR(IF(OR(HLOOKUP($A778,#REF!,9,FALSE())&gt;2,HLOOKUP($A778,#REF!,9,FALSE())&lt;-2),"",#REF!),"")</f>
        <v/>
      </c>
      <c r="L778" s="0" t="str">
        <f aca="false">IFERROR(IF(OR(HLOOKUP($A778,#REF!,10,FALSE())&gt;2,HLOOKUP($A778,#REF!,10,FALSE())&lt;-2),"",#REF!),"")</f>
        <v/>
      </c>
      <c r="M778" s="0" t="str">
        <f aca="false">IFERROR(IF(OR(HLOOKUP($A778,#REF!,11,FALSE())&gt;2,HLOOKUP($A778,#REF!,11,FALSE())&lt;-2),"",#REF!),"")</f>
        <v/>
      </c>
      <c r="N778" s="0" t="str">
        <f aca="false">IFERROR(IF(OR(HLOOKUP($A778,#REF!,12,FALSE())&gt;2,HLOOKUP($A778,#REF!,12,FALSE())&lt;-2),"",#REF!),"")</f>
        <v/>
      </c>
      <c r="O778" s="0" t="str">
        <f aca="false">IFERROR(IF(OR(HLOOKUP($A778,#REF!,13,FALSE())&gt;2,HLOOKUP($A778,#REF!,13,FALSE())&lt;-2),"",#REF!),"")</f>
        <v/>
      </c>
      <c r="P778" s="0" t="str">
        <f aca="false">IFERROR(IF(OR(HLOOKUP($A778,#REF!,14,FALSE())&gt;2,HLOOKUP($A778,#REF!,14,FALSE())&lt;-2),"",#REF!),"")</f>
        <v/>
      </c>
      <c r="Q778" s="0" t="str">
        <f aca="false">IFERROR(IF(OR(HLOOKUP($A778,#REF!,15,FALSE())&gt;2,HLOOKUP($A778,#REF!,15,FALSE())&lt;-2),"",#REF!),"")</f>
        <v/>
      </c>
      <c r="R778" s="0" t="str">
        <f aca="false">IFERROR(IF(OR(HLOOKUP($A778,#REF!,16,FALSE())&gt;2,HLOOKUP($A778,#REF!,16,FALSE())&lt;-2),"",#REF!),"")</f>
        <v/>
      </c>
      <c r="S778" s="0" t="str">
        <f aca="false">IFERROR(IF(OR(HLOOKUP($A778,#REF!,17,FALSE())&gt;2,HLOOKUP($A778,#REF!,17,FALSE())&lt;-2),"",#REF!),"")</f>
        <v/>
      </c>
      <c r="T778" s="0" t="str">
        <f aca="false">IFERROR(IF(OR(HLOOKUP($A778,#REF!,18,FALSE())&gt;2,HLOOKUP($A778,#REF!,18,FALSE())&lt;-2),"",#REF!),"")</f>
        <v/>
      </c>
      <c r="U778" s="0" t="str">
        <f aca="false">IFERROR(IF(OR(HLOOKUP($A778,#REF!,19,FALSE())&gt;2,HLOOKUP($A778,#REF!,19,FALSE())&lt;-2),"",#REF!),"")</f>
        <v/>
      </c>
      <c r="V778" s="0" t="n">
        <f aca="false">IFERROR(IF(AND(X778=0,Y778=0),0,1),0)</f>
        <v>1</v>
      </c>
      <c r="W778" s="3" t="str">
        <f aca="false">IFERROR(_xlfn.T.TEST(E778:M778,N778:U778,2,2),"")</f>
        <v/>
      </c>
      <c r="X778" s="0" t="str">
        <f aca="false">IFERROR(AVERAGE(E778:M778),"")</f>
        <v/>
      </c>
      <c r="Y778" s="0" t="str">
        <f aca="false">IFERROR(AVERAGE(N778:U778),"")</f>
        <v/>
      </c>
    </row>
    <row r="779" customFormat="false" ht="14.5" hidden="false" customHeight="false" outlineLevel="0" collapsed="false">
      <c r="A779" s="0" t="n">
        <v>787</v>
      </c>
      <c r="B779" s="0" t="s">
        <v>835</v>
      </c>
      <c r="C779" s="0" t="n">
        <v>114100</v>
      </c>
      <c r="D779" s="0" t="n">
        <v>182</v>
      </c>
      <c r="E779" s="0" t="str">
        <f aca="false">IFERROR(IF(OR(HLOOKUP($A779,#REF!,3,FALSE())&gt;2,HLOOKUP(A779,#REF!,3,FALSE())&lt;-2),"",#REF!),"")</f>
        <v/>
      </c>
      <c r="F779" s="0" t="str">
        <f aca="false">IFERROR(IF(OR(HLOOKUP($A779,#REF!,4,FALSE())&gt;2,HLOOKUP($A779,#REF!,4,FALSE())&lt;-2),"",#REF!),"")</f>
        <v/>
      </c>
      <c r="G779" s="0" t="str">
        <f aca="false">IFERROR(IF(OR(HLOOKUP($A779,#REF!,5,FALSE())&gt;2,HLOOKUP($A779,#REF!,5,FALSE())&lt;-2),"",#REF!),"")</f>
        <v/>
      </c>
      <c r="H779" s="0" t="str">
        <f aca="false">IFERROR(IF(OR(HLOOKUP($A779,#REF!,6,FALSE())&gt;2,HLOOKUP($A779,#REF!,6,FALSE())&lt;-2),"",#REF!),"")</f>
        <v/>
      </c>
      <c r="I779" s="0" t="str">
        <f aca="false">IFERROR(IF(OR(HLOOKUP($A779,#REF!,7,FALSE())&gt;2,HLOOKUP($A779,#REF!,7,FALSE())&lt;-2),"",#REF!),"")</f>
        <v/>
      </c>
      <c r="J779" s="0" t="str">
        <f aca="false">IFERROR(IF(OR(HLOOKUP($A779,#REF!,8,FALSE())&gt;2,HLOOKUP($A779,#REF!,8,FALSE())&lt;-2),"",#REF!),"")</f>
        <v/>
      </c>
      <c r="K779" s="0" t="str">
        <f aca="false">IFERROR(IF(OR(HLOOKUP($A779,#REF!,9,FALSE())&gt;2,HLOOKUP($A779,#REF!,9,FALSE())&lt;-2),"",#REF!),"")</f>
        <v/>
      </c>
      <c r="L779" s="0" t="str">
        <f aca="false">IFERROR(IF(OR(HLOOKUP($A779,#REF!,10,FALSE())&gt;2,HLOOKUP($A779,#REF!,10,FALSE())&lt;-2),"",#REF!),"")</f>
        <v/>
      </c>
      <c r="M779" s="0" t="str">
        <f aca="false">IFERROR(IF(OR(HLOOKUP($A779,#REF!,11,FALSE())&gt;2,HLOOKUP($A779,#REF!,11,FALSE())&lt;-2),"",#REF!),"")</f>
        <v/>
      </c>
      <c r="N779" s="0" t="str">
        <f aca="false">IFERROR(IF(OR(HLOOKUP($A779,#REF!,12,FALSE())&gt;2,HLOOKUP($A779,#REF!,12,FALSE())&lt;-2),"",#REF!),"")</f>
        <v/>
      </c>
      <c r="O779" s="0" t="str">
        <f aca="false">IFERROR(IF(OR(HLOOKUP($A779,#REF!,13,FALSE())&gt;2,HLOOKUP($A779,#REF!,13,FALSE())&lt;-2),"",#REF!),"")</f>
        <v/>
      </c>
      <c r="P779" s="0" t="str">
        <f aca="false">IFERROR(IF(OR(HLOOKUP($A779,#REF!,14,FALSE())&gt;2,HLOOKUP($A779,#REF!,14,FALSE())&lt;-2),"",#REF!),"")</f>
        <v/>
      </c>
      <c r="Q779" s="0" t="str">
        <f aca="false">IFERROR(IF(OR(HLOOKUP($A779,#REF!,15,FALSE())&gt;2,HLOOKUP($A779,#REF!,15,FALSE())&lt;-2),"",#REF!),"")</f>
        <v/>
      </c>
      <c r="R779" s="0" t="str">
        <f aca="false">IFERROR(IF(OR(HLOOKUP($A779,#REF!,16,FALSE())&gt;2,HLOOKUP($A779,#REF!,16,FALSE())&lt;-2),"",#REF!),"")</f>
        <v/>
      </c>
      <c r="S779" s="0" t="str">
        <f aca="false">IFERROR(IF(OR(HLOOKUP($A779,#REF!,17,FALSE())&gt;2,HLOOKUP($A779,#REF!,17,FALSE())&lt;-2),"",#REF!),"")</f>
        <v/>
      </c>
      <c r="T779" s="0" t="str">
        <f aca="false">IFERROR(IF(OR(HLOOKUP($A779,#REF!,18,FALSE())&gt;2,HLOOKUP($A779,#REF!,18,FALSE())&lt;-2),"",#REF!),"")</f>
        <v/>
      </c>
      <c r="U779" s="0" t="str">
        <f aca="false">IFERROR(IF(OR(HLOOKUP($A779,#REF!,19,FALSE())&gt;2,HLOOKUP($A779,#REF!,19,FALSE())&lt;-2),"",#REF!),"")</f>
        <v/>
      </c>
      <c r="V779" s="0" t="n">
        <f aca="false">IFERROR(IF(AND(X779=0,Y779=0),0,1),0)</f>
        <v>1</v>
      </c>
      <c r="W779" s="3" t="str">
        <f aca="false">IFERROR(_xlfn.T.TEST(E779:M779,N779:U779,2,2),"")</f>
        <v/>
      </c>
      <c r="X779" s="0" t="str">
        <f aca="false">IFERROR(AVERAGE(E779:M779),"")</f>
        <v/>
      </c>
      <c r="Y779" s="0" t="str">
        <f aca="false">IFERROR(AVERAGE(N779:U779),"")</f>
        <v/>
      </c>
    </row>
    <row r="780" customFormat="false" ht="14.5" hidden="false" customHeight="false" outlineLevel="0" collapsed="false">
      <c r="A780" s="0" t="n">
        <v>788</v>
      </c>
      <c r="B780" s="0" t="s">
        <v>836</v>
      </c>
      <c r="C780" s="0" t="n">
        <v>36400</v>
      </c>
      <c r="D780" s="0" t="n">
        <v>698</v>
      </c>
      <c r="E780" s="0" t="str">
        <f aca="false">IFERROR(IF(OR(HLOOKUP($A780,#REF!,3,FALSE())&gt;2,HLOOKUP(A780,#REF!,3,FALSE())&lt;-2),"",#REF!),"")</f>
        <v/>
      </c>
      <c r="F780" s="0" t="str">
        <f aca="false">IFERROR(IF(OR(HLOOKUP($A780,#REF!,4,FALSE())&gt;2,HLOOKUP($A780,#REF!,4,FALSE())&lt;-2),"",#REF!),"")</f>
        <v/>
      </c>
      <c r="G780" s="0" t="str">
        <f aca="false">IFERROR(IF(OR(HLOOKUP($A780,#REF!,5,FALSE())&gt;2,HLOOKUP($A780,#REF!,5,FALSE())&lt;-2),"",#REF!),"")</f>
        <v/>
      </c>
      <c r="H780" s="0" t="str">
        <f aca="false">IFERROR(IF(OR(HLOOKUP($A780,#REF!,6,FALSE())&gt;2,HLOOKUP($A780,#REF!,6,FALSE())&lt;-2),"",#REF!),"")</f>
        <v/>
      </c>
      <c r="I780" s="0" t="str">
        <f aca="false">IFERROR(IF(OR(HLOOKUP($A780,#REF!,7,FALSE())&gt;2,HLOOKUP($A780,#REF!,7,FALSE())&lt;-2),"",#REF!),"")</f>
        <v/>
      </c>
      <c r="J780" s="0" t="str">
        <f aca="false">IFERROR(IF(OR(HLOOKUP($A780,#REF!,8,FALSE())&gt;2,HLOOKUP($A780,#REF!,8,FALSE())&lt;-2),"",#REF!),"")</f>
        <v/>
      </c>
      <c r="K780" s="0" t="str">
        <f aca="false">IFERROR(IF(OR(HLOOKUP($A780,#REF!,9,FALSE())&gt;2,HLOOKUP($A780,#REF!,9,FALSE())&lt;-2),"",#REF!),"")</f>
        <v/>
      </c>
      <c r="L780" s="0" t="str">
        <f aca="false">IFERROR(IF(OR(HLOOKUP($A780,#REF!,10,FALSE())&gt;2,HLOOKUP($A780,#REF!,10,FALSE())&lt;-2),"",#REF!),"")</f>
        <v/>
      </c>
      <c r="M780" s="0" t="str">
        <f aca="false">IFERROR(IF(OR(HLOOKUP($A780,#REF!,11,FALSE())&gt;2,HLOOKUP($A780,#REF!,11,FALSE())&lt;-2),"",#REF!),"")</f>
        <v/>
      </c>
      <c r="N780" s="0" t="str">
        <f aca="false">IFERROR(IF(OR(HLOOKUP($A780,#REF!,12,FALSE())&gt;2,HLOOKUP($A780,#REF!,12,FALSE())&lt;-2),"",#REF!),"")</f>
        <v/>
      </c>
      <c r="O780" s="0" t="str">
        <f aca="false">IFERROR(IF(OR(HLOOKUP($A780,#REF!,13,FALSE())&gt;2,HLOOKUP($A780,#REF!,13,FALSE())&lt;-2),"",#REF!),"")</f>
        <v/>
      </c>
      <c r="P780" s="0" t="str">
        <f aca="false">IFERROR(IF(OR(HLOOKUP($A780,#REF!,14,FALSE())&gt;2,HLOOKUP($A780,#REF!,14,FALSE())&lt;-2),"",#REF!),"")</f>
        <v/>
      </c>
      <c r="Q780" s="0" t="str">
        <f aca="false">IFERROR(IF(OR(HLOOKUP($A780,#REF!,15,FALSE())&gt;2,HLOOKUP($A780,#REF!,15,FALSE())&lt;-2),"",#REF!),"")</f>
        <v/>
      </c>
      <c r="R780" s="0" t="str">
        <f aca="false">IFERROR(IF(OR(HLOOKUP($A780,#REF!,16,FALSE())&gt;2,HLOOKUP($A780,#REF!,16,FALSE())&lt;-2),"",#REF!),"")</f>
        <v/>
      </c>
      <c r="S780" s="0" t="str">
        <f aca="false">IFERROR(IF(OR(HLOOKUP($A780,#REF!,17,FALSE())&gt;2,HLOOKUP($A780,#REF!,17,FALSE())&lt;-2),"",#REF!),"")</f>
        <v/>
      </c>
      <c r="T780" s="0" t="str">
        <f aca="false">IFERROR(IF(OR(HLOOKUP($A780,#REF!,18,FALSE())&gt;2,HLOOKUP($A780,#REF!,18,FALSE())&lt;-2),"",#REF!),"")</f>
        <v/>
      </c>
      <c r="U780" s="0" t="str">
        <f aca="false">IFERROR(IF(OR(HLOOKUP($A780,#REF!,19,FALSE())&gt;2,HLOOKUP($A780,#REF!,19,FALSE())&lt;-2),"",#REF!),"")</f>
        <v/>
      </c>
      <c r="V780" s="0" t="n">
        <f aca="false">IFERROR(IF(AND(X780=0,Y780=0),0,1),0)</f>
        <v>1</v>
      </c>
      <c r="W780" s="3" t="str">
        <f aca="false">IFERROR(_xlfn.T.TEST(E780:M780,N780:U780,2,2),"")</f>
        <v/>
      </c>
      <c r="X780" s="0" t="str">
        <f aca="false">IFERROR(AVERAGE(E780:M780),"")</f>
        <v/>
      </c>
      <c r="Y780" s="0" t="str">
        <f aca="false">IFERROR(AVERAGE(N780:U780),"")</f>
        <v/>
      </c>
    </row>
    <row r="781" customFormat="false" ht="14.5" hidden="false" customHeight="false" outlineLevel="0" collapsed="false">
      <c r="A781" s="0" t="n">
        <v>789</v>
      </c>
      <c r="B781" s="0" t="s">
        <v>837</v>
      </c>
      <c r="C781" s="0" t="n">
        <v>92100</v>
      </c>
      <c r="D781" s="0" t="n">
        <v>386</v>
      </c>
      <c r="E781" s="0" t="str">
        <f aca="false">IFERROR(IF(OR(HLOOKUP($A781,#REF!,3,FALSE())&gt;2,HLOOKUP(A781,#REF!,3,FALSE())&lt;-2),"",#REF!),"")</f>
        <v/>
      </c>
      <c r="F781" s="0" t="str">
        <f aca="false">IFERROR(IF(OR(HLOOKUP($A781,#REF!,4,FALSE())&gt;2,HLOOKUP($A781,#REF!,4,FALSE())&lt;-2),"",#REF!),"")</f>
        <v/>
      </c>
      <c r="G781" s="0" t="str">
        <f aca="false">IFERROR(IF(OR(HLOOKUP($A781,#REF!,5,FALSE())&gt;2,HLOOKUP($A781,#REF!,5,FALSE())&lt;-2),"",#REF!),"")</f>
        <v/>
      </c>
      <c r="H781" s="0" t="str">
        <f aca="false">IFERROR(IF(OR(HLOOKUP($A781,#REF!,6,FALSE())&gt;2,HLOOKUP($A781,#REF!,6,FALSE())&lt;-2),"",#REF!),"")</f>
        <v/>
      </c>
      <c r="I781" s="0" t="str">
        <f aca="false">IFERROR(IF(OR(HLOOKUP($A781,#REF!,7,FALSE())&gt;2,HLOOKUP($A781,#REF!,7,FALSE())&lt;-2),"",#REF!),"")</f>
        <v/>
      </c>
      <c r="J781" s="0" t="str">
        <f aca="false">IFERROR(IF(OR(HLOOKUP($A781,#REF!,8,FALSE())&gt;2,HLOOKUP($A781,#REF!,8,FALSE())&lt;-2),"",#REF!),"")</f>
        <v/>
      </c>
      <c r="K781" s="0" t="str">
        <f aca="false">IFERROR(IF(OR(HLOOKUP($A781,#REF!,9,FALSE())&gt;2,HLOOKUP($A781,#REF!,9,FALSE())&lt;-2),"",#REF!),"")</f>
        <v/>
      </c>
      <c r="L781" s="0" t="str">
        <f aca="false">IFERROR(IF(OR(HLOOKUP($A781,#REF!,10,FALSE())&gt;2,HLOOKUP($A781,#REF!,10,FALSE())&lt;-2),"",#REF!),"")</f>
        <v/>
      </c>
      <c r="M781" s="0" t="str">
        <f aca="false">IFERROR(IF(OR(HLOOKUP($A781,#REF!,11,FALSE())&gt;2,HLOOKUP($A781,#REF!,11,FALSE())&lt;-2),"",#REF!),"")</f>
        <v/>
      </c>
      <c r="N781" s="0" t="str">
        <f aca="false">IFERROR(IF(OR(HLOOKUP($A781,#REF!,12,FALSE())&gt;2,HLOOKUP($A781,#REF!,12,FALSE())&lt;-2),"",#REF!),"")</f>
        <v/>
      </c>
      <c r="O781" s="0" t="str">
        <f aca="false">IFERROR(IF(OR(HLOOKUP($A781,#REF!,13,FALSE())&gt;2,HLOOKUP($A781,#REF!,13,FALSE())&lt;-2),"",#REF!),"")</f>
        <v/>
      </c>
      <c r="P781" s="0" t="str">
        <f aca="false">IFERROR(IF(OR(HLOOKUP($A781,#REF!,14,FALSE())&gt;2,HLOOKUP($A781,#REF!,14,FALSE())&lt;-2),"",#REF!),"")</f>
        <v/>
      </c>
      <c r="Q781" s="0" t="str">
        <f aca="false">IFERROR(IF(OR(HLOOKUP($A781,#REF!,15,FALSE())&gt;2,HLOOKUP($A781,#REF!,15,FALSE())&lt;-2),"",#REF!),"")</f>
        <v/>
      </c>
      <c r="R781" s="0" t="str">
        <f aca="false">IFERROR(IF(OR(HLOOKUP($A781,#REF!,16,FALSE())&gt;2,HLOOKUP($A781,#REF!,16,FALSE())&lt;-2),"",#REF!),"")</f>
        <v/>
      </c>
      <c r="S781" s="0" t="str">
        <f aca="false">IFERROR(IF(OR(HLOOKUP($A781,#REF!,17,FALSE())&gt;2,HLOOKUP($A781,#REF!,17,FALSE())&lt;-2),"",#REF!),"")</f>
        <v/>
      </c>
      <c r="T781" s="0" t="str">
        <f aca="false">IFERROR(IF(OR(HLOOKUP($A781,#REF!,18,FALSE())&gt;2,HLOOKUP($A781,#REF!,18,FALSE())&lt;-2),"",#REF!),"")</f>
        <v/>
      </c>
      <c r="U781" s="0" t="str">
        <f aca="false">IFERROR(IF(OR(HLOOKUP($A781,#REF!,19,FALSE())&gt;2,HLOOKUP($A781,#REF!,19,FALSE())&lt;-2),"",#REF!),"")</f>
        <v/>
      </c>
      <c r="V781" s="0" t="n">
        <f aca="false">IFERROR(IF(AND(X781=0,Y781=0),0,1),0)</f>
        <v>1</v>
      </c>
      <c r="W781" s="3" t="str">
        <f aca="false">IFERROR(_xlfn.T.TEST(E781:M781,N781:U781,2,2),"")</f>
        <v/>
      </c>
      <c r="X781" s="0" t="str">
        <f aca="false">IFERROR(AVERAGE(E781:M781),"")</f>
        <v/>
      </c>
      <c r="Y781" s="0" t="str">
        <f aca="false">IFERROR(AVERAGE(N781:U781),"")</f>
        <v/>
      </c>
    </row>
    <row r="782" customFormat="false" ht="14.5" hidden="false" customHeight="false" outlineLevel="0" collapsed="false">
      <c r="A782" s="0" t="n">
        <v>790</v>
      </c>
      <c r="B782" s="0" t="s">
        <v>838</v>
      </c>
      <c r="C782" s="0" t="n">
        <v>40500</v>
      </c>
      <c r="D782" s="0" t="n">
        <v>766</v>
      </c>
      <c r="E782" s="0" t="str">
        <f aca="false">IFERROR(IF(OR(HLOOKUP($A782,#REF!,3,FALSE())&gt;2,HLOOKUP(A782,#REF!,3,FALSE())&lt;-2),"",#REF!),"")</f>
        <v/>
      </c>
      <c r="F782" s="0" t="str">
        <f aca="false">IFERROR(IF(OR(HLOOKUP($A782,#REF!,4,FALSE())&gt;2,HLOOKUP($A782,#REF!,4,FALSE())&lt;-2),"",#REF!),"")</f>
        <v/>
      </c>
      <c r="G782" s="0" t="str">
        <f aca="false">IFERROR(IF(OR(HLOOKUP($A782,#REF!,5,FALSE())&gt;2,HLOOKUP($A782,#REF!,5,FALSE())&lt;-2),"",#REF!),"")</f>
        <v/>
      </c>
      <c r="H782" s="0" t="str">
        <f aca="false">IFERROR(IF(OR(HLOOKUP($A782,#REF!,6,FALSE())&gt;2,HLOOKUP($A782,#REF!,6,FALSE())&lt;-2),"",#REF!),"")</f>
        <v/>
      </c>
      <c r="I782" s="0" t="str">
        <f aca="false">IFERROR(IF(OR(HLOOKUP($A782,#REF!,7,FALSE())&gt;2,HLOOKUP($A782,#REF!,7,FALSE())&lt;-2),"",#REF!),"")</f>
        <v/>
      </c>
      <c r="J782" s="0" t="str">
        <f aca="false">IFERROR(IF(OR(HLOOKUP($A782,#REF!,8,FALSE())&gt;2,HLOOKUP($A782,#REF!,8,FALSE())&lt;-2),"",#REF!),"")</f>
        <v/>
      </c>
      <c r="K782" s="0" t="str">
        <f aca="false">IFERROR(IF(OR(HLOOKUP($A782,#REF!,9,FALSE())&gt;2,HLOOKUP($A782,#REF!,9,FALSE())&lt;-2),"",#REF!),"")</f>
        <v/>
      </c>
      <c r="L782" s="0" t="str">
        <f aca="false">IFERROR(IF(OR(HLOOKUP($A782,#REF!,10,FALSE())&gt;2,HLOOKUP($A782,#REF!,10,FALSE())&lt;-2),"",#REF!),"")</f>
        <v/>
      </c>
      <c r="M782" s="0" t="str">
        <f aca="false">IFERROR(IF(OR(HLOOKUP($A782,#REF!,11,FALSE())&gt;2,HLOOKUP($A782,#REF!,11,FALSE())&lt;-2),"",#REF!),"")</f>
        <v/>
      </c>
      <c r="N782" s="0" t="str">
        <f aca="false">IFERROR(IF(OR(HLOOKUP($A782,#REF!,12,FALSE())&gt;2,HLOOKUP($A782,#REF!,12,FALSE())&lt;-2),"",#REF!),"")</f>
        <v/>
      </c>
      <c r="O782" s="0" t="str">
        <f aca="false">IFERROR(IF(OR(HLOOKUP($A782,#REF!,13,FALSE())&gt;2,HLOOKUP($A782,#REF!,13,FALSE())&lt;-2),"",#REF!),"")</f>
        <v/>
      </c>
      <c r="P782" s="0" t="str">
        <f aca="false">IFERROR(IF(OR(HLOOKUP($A782,#REF!,14,FALSE())&gt;2,HLOOKUP($A782,#REF!,14,FALSE())&lt;-2),"",#REF!),"")</f>
        <v/>
      </c>
      <c r="Q782" s="0" t="str">
        <f aca="false">IFERROR(IF(OR(HLOOKUP($A782,#REF!,15,FALSE())&gt;2,HLOOKUP($A782,#REF!,15,FALSE())&lt;-2),"",#REF!),"")</f>
        <v/>
      </c>
      <c r="R782" s="0" t="str">
        <f aca="false">IFERROR(IF(OR(HLOOKUP($A782,#REF!,16,FALSE())&gt;2,HLOOKUP($A782,#REF!,16,FALSE())&lt;-2),"",#REF!),"")</f>
        <v/>
      </c>
      <c r="S782" s="0" t="str">
        <f aca="false">IFERROR(IF(OR(HLOOKUP($A782,#REF!,17,FALSE())&gt;2,HLOOKUP($A782,#REF!,17,FALSE())&lt;-2),"",#REF!),"")</f>
        <v/>
      </c>
      <c r="T782" s="0" t="str">
        <f aca="false">IFERROR(IF(OR(HLOOKUP($A782,#REF!,18,FALSE())&gt;2,HLOOKUP($A782,#REF!,18,FALSE())&lt;-2),"",#REF!),"")</f>
        <v/>
      </c>
      <c r="U782" s="0" t="str">
        <f aca="false">IFERROR(IF(OR(HLOOKUP($A782,#REF!,19,FALSE())&gt;2,HLOOKUP($A782,#REF!,19,FALSE())&lt;-2),"",#REF!),"")</f>
        <v/>
      </c>
      <c r="V782" s="0" t="n">
        <f aca="false">IFERROR(IF(AND(X782=0,Y782=0),0,1),0)</f>
        <v>1</v>
      </c>
      <c r="W782" s="3" t="str">
        <f aca="false">IFERROR(_xlfn.T.TEST(E782:M782,N782:U782,2,2),"")</f>
        <v/>
      </c>
      <c r="X782" s="0" t="str">
        <f aca="false">IFERROR(AVERAGE(E782:M782),"")</f>
        <v/>
      </c>
      <c r="Y782" s="0" t="str">
        <f aca="false">IFERROR(AVERAGE(N782:U782),"")</f>
        <v/>
      </c>
    </row>
    <row r="783" customFormat="false" ht="14.5" hidden="false" customHeight="false" outlineLevel="0" collapsed="false">
      <c r="A783" s="0" t="n">
        <v>791</v>
      </c>
      <c r="B783" s="0" t="s">
        <v>839</v>
      </c>
      <c r="C783" s="0" t="n">
        <v>12400</v>
      </c>
      <c r="D783" s="0" t="n">
        <v>1027</v>
      </c>
      <c r="E783" s="0" t="str">
        <f aca="false">IFERROR(IF(OR(HLOOKUP($A783,#REF!,3,FALSE())&gt;2,HLOOKUP(A783,#REF!,3,FALSE())&lt;-2),"",#REF!),"")</f>
        <v/>
      </c>
      <c r="F783" s="0" t="str">
        <f aca="false">IFERROR(IF(OR(HLOOKUP($A783,#REF!,4,FALSE())&gt;2,HLOOKUP($A783,#REF!,4,FALSE())&lt;-2),"",#REF!),"")</f>
        <v/>
      </c>
      <c r="G783" s="0" t="str">
        <f aca="false">IFERROR(IF(OR(HLOOKUP($A783,#REF!,5,FALSE())&gt;2,HLOOKUP($A783,#REF!,5,FALSE())&lt;-2),"",#REF!),"")</f>
        <v/>
      </c>
      <c r="H783" s="0" t="str">
        <f aca="false">IFERROR(IF(OR(HLOOKUP($A783,#REF!,6,FALSE())&gt;2,HLOOKUP($A783,#REF!,6,FALSE())&lt;-2),"",#REF!),"")</f>
        <v/>
      </c>
      <c r="I783" s="0" t="str">
        <f aca="false">IFERROR(IF(OR(HLOOKUP($A783,#REF!,7,FALSE())&gt;2,HLOOKUP($A783,#REF!,7,FALSE())&lt;-2),"",#REF!),"")</f>
        <v/>
      </c>
      <c r="J783" s="0" t="str">
        <f aca="false">IFERROR(IF(OR(HLOOKUP($A783,#REF!,8,FALSE())&gt;2,HLOOKUP($A783,#REF!,8,FALSE())&lt;-2),"",#REF!),"")</f>
        <v/>
      </c>
      <c r="K783" s="0" t="str">
        <f aca="false">IFERROR(IF(OR(HLOOKUP($A783,#REF!,9,FALSE())&gt;2,HLOOKUP($A783,#REF!,9,FALSE())&lt;-2),"",#REF!),"")</f>
        <v/>
      </c>
      <c r="L783" s="0" t="str">
        <f aca="false">IFERROR(IF(OR(HLOOKUP($A783,#REF!,10,FALSE())&gt;2,HLOOKUP($A783,#REF!,10,FALSE())&lt;-2),"",#REF!),"")</f>
        <v/>
      </c>
      <c r="M783" s="0" t="str">
        <f aca="false">IFERROR(IF(OR(HLOOKUP($A783,#REF!,11,FALSE())&gt;2,HLOOKUP($A783,#REF!,11,FALSE())&lt;-2),"",#REF!),"")</f>
        <v/>
      </c>
      <c r="N783" s="0" t="str">
        <f aca="false">IFERROR(IF(OR(HLOOKUP($A783,#REF!,12,FALSE())&gt;2,HLOOKUP($A783,#REF!,12,FALSE())&lt;-2),"",#REF!),"")</f>
        <v/>
      </c>
      <c r="O783" s="0" t="str">
        <f aca="false">IFERROR(IF(OR(HLOOKUP($A783,#REF!,13,FALSE())&gt;2,HLOOKUP($A783,#REF!,13,FALSE())&lt;-2),"",#REF!),"")</f>
        <v/>
      </c>
      <c r="P783" s="0" t="str">
        <f aca="false">IFERROR(IF(OR(HLOOKUP($A783,#REF!,14,FALSE())&gt;2,HLOOKUP($A783,#REF!,14,FALSE())&lt;-2),"",#REF!),"")</f>
        <v/>
      </c>
      <c r="Q783" s="0" t="str">
        <f aca="false">IFERROR(IF(OR(HLOOKUP($A783,#REF!,15,FALSE())&gt;2,HLOOKUP($A783,#REF!,15,FALSE())&lt;-2),"",#REF!),"")</f>
        <v/>
      </c>
      <c r="R783" s="0" t="str">
        <f aca="false">IFERROR(IF(OR(HLOOKUP($A783,#REF!,16,FALSE())&gt;2,HLOOKUP($A783,#REF!,16,FALSE())&lt;-2),"",#REF!),"")</f>
        <v/>
      </c>
      <c r="S783" s="0" t="str">
        <f aca="false">IFERROR(IF(OR(HLOOKUP($A783,#REF!,17,FALSE())&gt;2,HLOOKUP($A783,#REF!,17,FALSE())&lt;-2),"",#REF!),"")</f>
        <v/>
      </c>
      <c r="T783" s="0" t="str">
        <f aca="false">IFERROR(IF(OR(HLOOKUP($A783,#REF!,18,FALSE())&gt;2,HLOOKUP($A783,#REF!,18,FALSE())&lt;-2),"",#REF!),"")</f>
        <v/>
      </c>
      <c r="U783" s="0" t="str">
        <f aca="false">IFERROR(IF(OR(HLOOKUP($A783,#REF!,19,FALSE())&gt;2,HLOOKUP($A783,#REF!,19,FALSE())&lt;-2),"",#REF!),"")</f>
        <v/>
      </c>
      <c r="V783" s="0" t="n">
        <f aca="false">IFERROR(IF(AND(X783=0,Y783=0),0,1),0)</f>
        <v>1</v>
      </c>
      <c r="W783" s="3" t="str">
        <f aca="false">IFERROR(_xlfn.T.TEST(E783:M783,N783:U783,2,2),"")</f>
        <v/>
      </c>
      <c r="X783" s="0" t="str">
        <f aca="false">IFERROR(AVERAGE(E783:M783),"")</f>
        <v/>
      </c>
      <c r="Y783" s="0" t="str">
        <f aca="false">IFERROR(AVERAGE(N783:U783),"")</f>
        <v/>
      </c>
    </row>
    <row r="784" customFormat="false" ht="14.5" hidden="false" customHeight="false" outlineLevel="0" collapsed="false">
      <c r="A784" s="0" t="n">
        <v>792</v>
      </c>
      <c r="B784" s="0" t="s">
        <v>840</v>
      </c>
      <c r="C784" s="0" t="n">
        <v>102000</v>
      </c>
      <c r="D784" s="0" t="n">
        <v>967</v>
      </c>
      <c r="E784" s="0" t="str">
        <f aca="false">IFERROR(IF(OR(HLOOKUP($A784,#REF!,3,FALSE())&gt;2,HLOOKUP(A784,#REF!,3,FALSE())&lt;-2),"",#REF!),"")</f>
        <v/>
      </c>
      <c r="F784" s="0" t="str">
        <f aca="false">IFERROR(IF(OR(HLOOKUP($A784,#REF!,4,FALSE())&gt;2,HLOOKUP($A784,#REF!,4,FALSE())&lt;-2),"",#REF!),"")</f>
        <v/>
      </c>
      <c r="G784" s="0" t="str">
        <f aca="false">IFERROR(IF(OR(HLOOKUP($A784,#REF!,5,FALSE())&gt;2,HLOOKUP($A784,#REF!,5,FALSE())&lt;-2),"",#REF!),"")</f>
        <v/>
      </c>
      <c r="H784" s="0" t="str">
        <f aca="false">IFERROR(IF(OR(HLOOKUP($A784,#REF!,6,FALSE())&gt;2,HLOOKUP($A784,#REF!,6,FALSE())&lt;-2),"",#REF!),"")</f>
        <v/>
      </c>
      <c r="I784" s="0" t="str">
        <f aca="false">IFERROR(IF(OR(HLOOKUP($A784,#REF!,7,FALSE())&gt;2,HLOOKUP($A784,#REF!,7,FALSE())&lt;-2),"",#REF!),"")</f>
        <v/>
      </c>
      <c r="J784" s="0" t="str">
        <f aca="false">IFERROR(IF(OR(HLOOKUP($A784,#REF!,8,FALSE())&gt;2,HLOOKUP($A784,#REF!,8,FALSE())&lt;-2),"",#REF!),"")</f>
        <v/>
      </c>
      <c r="K784" s="0" t="str">
        <f aca="false">IFERROR(IF(OR(HLOOKUP($A784,#REF!,9,FALSE())&gt;2,HLOOKUP($A784,#REF!,9,FALSE())&lt;-2),"",#REF!),"")</f>
        <v/>
      </c>
      <c r="L784" s="0" t="str">
        <f aca="false">IFERROR(IF(OR(HLOOKUP($A784,#REF!,10,FALSE())&gt;2,HLOOKUP($A784,#REF!,10,FALSE())&lt;-2),"",#REF!),"")</f>
        <v/>
      </c>
      <c r="M784" s="0" t="str">
        <f aca="false">IFERROR(IF(OR(HLOOKUP($A784,#REF!,11,FALSE())&gt;2,HLOOKUP($A784,#REF!,11,FALSE())&lt;-2),"",#REF!),"")</f>
        <v/>
      </c>
      <c r="N784" s="0" t="str">
        <f aca="false">IFERROR(IF(OR(HLOOKUP($A784,#REF!,12,FALSE())&gt;2,HLOOKUP($A784,#REF!,12,FALSE())&lt;-2),"",#REF!),"")</f>
        <v/>
      </c>
      <c r="O784" s="0" t="str">
        <f aca="false">IFERROR(IF(OR(HLOOKUP($A784,#REF!,13,FALSE())&gt;2,HLOOKUP($A784,#REF!,13,FALSE())&lt;-2),"",#REF!),"")</f>
        <v/>
      </c>
      <c r="P784" s="0" t="str">
        <f aca="false">IFERROR(IF(OR(HLOOKUP($A784,#REF!,14,FALSE())&gt;2,HLOOKUP($A784,#REF!,14,FALSE())&lt;-2),"",#REF!),"")</f>
        <v/>
      </c>
      <c r="Q784" s="0" t="str">
        <f aca="false">IFERROR(IF(OR(HLOOKUP($A784,#REF!,15,FALSE())&gt;2,HLOOKUP($A784,#REF!,15,FALSE())&lt;-2),"",#REF!),"")</f>
        <v/>
      </c>
      <c r="R784" s="0" t="str">
        <f aca="false">IFERROR(IF(OR(HLOOKUP($A784,#REF!,16,FALSE())&gt;2,HLOOKUP($A784,#REF!,16,FALSE())&lt;-2),"",#REF!),"")</f>
        <v/>
      </c>
      <c r="S784" s="0" t="str">
        <f aca="false">IFERROR(IF(OR(HLOOKUP($A784,#REF!,17,FALSE())&gt;2,HLOOKUP($A784,#REF!,17,FALSE())&lt;-2),"",#REF!),"")</f>
        <v/>
      </c>
      <c r="T784" s="0" t="str">
        <f aca="false">IFERROR(IF(OR(HLOOKUP($A784,#REF!,18,FALSE())&gt;2,HLOOKUP($A784,#REF!,18,FALSE())&lt;-2),"",#REF!),"")</f>
        <v/>
      </c>
      <c r="U784" s="0" t="str">
        <f aca="false">IFERROR(IF(OR(HLOOKUP($A784,#REF!,19,FALSE())&gt;2,HLOOKUP($A784,#REF!,19,FALSE())&lt;-2),"",#REF!),"")</f>
        <v/>
      </c>
      <c r="V784" s="0" t="n">
        <f aca="false">IFERROR(IF(AND(X784=0,Y784=0),0,1),0)</f>
        <v>1</v>
      </c>
      <c r="W784" s="3" t="str">
        <f aca="false">IFERROR(_xlfn.T.TEST(E784:M784,N784:U784,2,2),"")</f>
        <v/>
      </c>
      <c r="X784" s="0" t="str">
        <f aca="false">IFERROR(AVERAGE(E784:M784),"")</f>
        <v/>
      </c>
      <c r="Y784" s="0" t="str">
        <f aca="false">IFERROR(AVERAGE(N784:U784),"")</f>
        <v/>
      </c>
    </row>
    <row r="785" customFormat="false" ht="14.5" hidden="false" customHeight="false" outlineLevel="0" collapsed="false">
      <c r="A785" s="0" t="n">
        <v>793</v>
      </c>
      <c r="B785" s="0" t="s">
        <v>841</v>
      </c>
      <c r="C785" s="0" t="n">
        <v>2900</v>
      </c>
      <c r="D785" s="0" t="n">
        <v>322</v>
      </c>
      <c r="E785" s="0" t="str">
        <f aca="false">IFERROR(IF(OR(HLOOKUP($A785,#REF!,3,FALSE())&gt;2,HLOOKUP(A785,#REF!,3,FALSE())&lt;-2),"",#REF!),"")</f>
        <v/>
      </c>
      <c r="F785" s="0" t="str">
        <f aca="false">IFERROR(IF(OR(HLOOKUP($A785,#REF!,4,FALSE())&gt;2,HLOOKUP($A785,#REF!,4,FALSE())&lt;-2),"",#REF!),"")</f>
        <v/>
      </c>
      <c r="G785" s="0" t="str">
        <f aca="false">IFERROR(IF(OR(HLOOKUP($A785,#REF!,5,FALSE())&gt;2,HLOOKUP($A785,#REF!,5,FALSE())&lt;-2),"",#REF!),"")</f>
        <v/>
      </c>
      <c r="H785" s="0" t="str">
        <f aca="false">IFERROR(IF(OR(HLOOKUP($A785,#REF!,6,FALSE())&gt;2,HLOOKUP($A785,#REF!,6,FALSE())&lt;-2),"",#REF!),"")</f>
        <v/>
      </c>
      <c r="I785" s="0" t="str">
        <f aca="false">IFERROR(IF(OR(HLOOKUP($A785,#REF!,7,FALSE())&gt;2,HLOOKUP($A785,#REF!,7,FALSE())&lt;-2),"",#REF!),"")</f>
        <v/>
      </c>
      <c r="J785" s="0" t="str">
        <f aca="false">IFERROR(IF(OR(HLOOKUP($A785,#REF!,8,FALSE())&gt;2,HLOOKUP($A785,#REF!,8,FALSE())&lt;-2),"",#REF!),"")</f>
        <v/>
      </c>
      <c r="K785" s="0" t="str">
        <f aca="false">IFERROR(IF(OR(HLOOKUP($A785,#REF!,9,FALSE())&gt;2,HLOOKUP($A785,#REF!,9,FALSE())&lt;-2),"",#REF!),"")</f>
        <v/>
      </c>
      <c r="L785" s="0" t="str">
        <f aca="false">IFERROR(IF(OR(HLOOKUP($A785,#REF!,10,FALSE())&gt;2,HLOOKUP($A785,#REF!,10,FALSE())&lt;-2),"",#REF!),"")</f>
        <v/>
      </c>
      <c r="M785" s="0" t="str">
        <f aca="false">IFERROR(IF(OR(HLOOKUP($A785,#REF!,11,FALSE())&gt;2,HLOOKUP($A785,#REF!,11,FALSE())&lt;-2),"",#REF!),"")</f>
        <v/>
      </c>
      <c r="N785" s="0" t="str">
        <f aca="false">IFERROR(IF(OR(HLOOKUP($A785,#REF!,12,FALSE())&gt;2,HLOOKUP($A785,#REF!,12,FALSE())&lt;-2),"",#REF!),"")</f>
        <v/>
      </c>
      <c r="O785" s="0" t="str">
        <f aca="false">IFERROR(IF(OR(HLOOKUP($A785,#REF!,13,FALSE())&gt;2,HLOOKUP($A785,#REF!,13,FALSE())&lt;-2),"",#REF!),"")</f>
        <v/>
      </c>
      <c r="P785" s="0" t="str">
        <f aca="false">IFERROR(IF(OR(HLOOKUP($A785,#REF!,14,FALSE())&gt;2,HLOOKUP($A785,#REF!,14,FALSE())&lt;-2),"",#REF!),"")</f>
        <v/>
      </c>
      <c r="Q785" s="0" t="str">
        <f aca="false">IFERROR(IF(OR(HLOOKUP($A785,#REF!,15,FALSE())&gt;2,HLOOKUP($A785,#REF!,15,FALSE())&lt;-2),"",#REF!),"")</f>
        <v/>
      </c>
      <c r="R785" s="0" t="str">
        <f aca="false">IFERROR(IF(OR(HLOOKUP($A785,#REF!,16,FALSE())&gt;2,HLOOKUP($A785,#REF!,16,FALSE())&lt;-2),"",#REF!),"")</f>
        <v/>
      </c>
      <c r="S785" s="0" t="str">
        <f aca="false">IFERROR(IF(OR(HLOOKUP($A785,#REF!,17,FALSE())&gt;2,HLOOKUP($A785,#REF!,17,FALSE())&lt;-2),"",#REF!),"")</f>
        <v/>
      </c>
      <c r="T785" s="0" t="str">
        <f aca="false">IFERROR(IF(OR(HLOOKUP($A785,#REF!,18,FALSE())&gt;2,HLOOKUP($A785,#REF!,18,FALSE())&lt;-2),"",#REF!),"")</f>
        <v/>
      </c>
      <c r="U785" s="0" t="str">
        <f aca="false">IFERROR(IF(OR(HLOOKUP($A785,#REF!,19,FALSE())&gt;2,HLOOKUP($A785,#REF!,19,FALSE())&lt;-2),"",#REF!),"")</f>
        <v/>
      </c>
      <c r="V785" s="0" t="n">
        <f aca="false">IFERROR(IF(AND(X785=0,Y785=0),0,1),0)</f>
        <v>1</v>
      </c>
      <c r="W785" s="3" t="str">
        <f aca="false">IFERROR(_xlfn.T.TEST(E785:M785,N785:U785,2,2),"")</f>
        <v/>
      </c>
      <c r="X785" s="0" t="str">
        <f aca="false">IFERROR(AVERAGE(E785:M785),"")</f>
        <v/>
      </c>
      <c r="Y785" s="0" t="str">
        <f aca="false">IFERROR(AVERAGE(N785:U785),"")</f>
        <v/>
      </c>
    </row>
    <row r="786" customFormat="false" ht="14.5" hidden="false" customHeight="false" outlineLevel="0" collapsed="false">
      <c r="A786" s="0" t="n">
        <v>794</v>
      </c>
      <c r="B786" s="0" t="s">
        <v>842</v>
      </c>
      <c r="C786" s="0" t="n">
        <v>100000</v>
      </c>
      <c r="D786" s="0" t="n">
        <v>229</v>
      </c>
      <c r="E786" s="0" t="str">
        <f aca="false">IFERROR(IF(OR(HLOOKUP($A786,#REF!,3,FALSE())&gt;2,HLOOKUP(A786,#REF!,3,FALSE())&lt;-2),"",#REF!),"")</f>
        <v/>
      </c>
      <c r="F786" s="0" t="str">
        <f aca="false">IFERROR(IF(OR(HLOOKUP($A786,#REF!,4,FALSE())&gt;2,HLOOKUP($A786,#REF!,4,FALSE())&lt;-2),"",#REF!),"")</f>
        <v/>
      </c>
      <c r="G786" s="0" t="str">
        <f aca="false">IFERROR(IF(OR(HLOOKUP($A786,#REF!,5,FALSE())&gt;2,HLOOKUP($A786,#REF!,5,FALSE())&lt;-2),"",#REF!),"")</f>
        <v/>
      </c>
      <c r="H786" s="0" t="str">
        <f aca="false">IFERROR(IF(OR(HLOOKUP($A786,#REF!,6,FALSE())&gt;2,HLOOKUP($A786,#REF!,6,FALSE())&lt;-2),"",#REF!),"")</f>
        <v/>
      </c>
      <c r="I786" s="0" t="str">
        <f aca="false">IFERROR(IF(OR(HLOOKUP($A786,#REF!,7,FALSE())&gt;2,HLOOKUP($A786,#REF!,7,FALSE())&lt;-2),"",#REF!),"")</f>
        <v/>
      </c>
      <c r="J786" s="0" t="str">
        <f aca="false">IFERROR(IF(OR(HLOOKUP($A786,#REF!,8,FALSE())&gt;2,HLOOKUP($A786,#REF!,8,FALSE())&lt;-2),"",#REF!),"")</f>
        <v/>
      </c>
      <c r="K786" s="0" t="str">
        <f aca="false">IFERROR(IF(OR(HLOOKUP($A786,#REF!,9,FALSE())&gt;2,HLOOKUP($A786,#REF!,9,FALSE())&lt;-2),"",#REF!),"")</f>
        <v/>
      </c>
      <c r="L786" s="0" t="str">
        <f aca="false">IFERROR(IF(OR(HLOOKUP($A786,#REF!,10,FALSE())&gt;2,HLOOKUP($A786,#REF!,10,FALSE())&lt;-2),"",#REF!),"")</f>
        <v/>
      </c>
      <c r="M786" s="0" t="str">
        <f aca="false">IFERROR(IF(OR(HLOOKUP($A786,#REF!,11,FALSE())&gt;2,HLOOKUP($A786,#REF!,11,FALSE())&lt;-2),"",#REF!),"")</f>
        <v/>
      </c>
      <c r="N786" s="0" t="str">
        <f aca="false">IFERROR(IF(OR(HLOOKUP($A786,#REF!,12,FALSE())&gt;2,HLOOKUP($A786,#REF!,12,FALSE())&lt;-2),"",#REF!),"")</f>
        <v/>
      </c>
      <c r="O786" s="0" t="str">
        <f aca="false">IFERROR(IF(OR(HLOOKUP($A786,#REF!,13,FALSE())&gt;2,HLOOKUP($A786,#REF!,13,FALSE())&lt;-2),"",#REF!),"")</f>
        <v/>
      </c>
      <c r="P786" s="0" t="str">
        <f aca="false">IFERROR(IF(OR(HLOOKUP($A786,#REF!,14,FALSE())&gt;2,HLOOKUP($A786,#REF!,14,FALSE())&lt;-2),"",#REF!),"")</f>
        <v/>
      </c>
      <c r="Q786" s="0" t="str">
        <f aca="false">IFERROR(IF(OR(HLOOKUP($A786,#REF!,15,FALSE())&gt;2,HLOOKUP($A786,#REF!,15,FALSE())&lt;-2),"",#REF!),"")</f>
        <v/>
      </c>
      <c r="R786" s="0" t="str">
        <f aca="false">IFERROR(IF(OR(HLOOKUP($A786,#REF!,16,FALSE())&gt;2,HLOOKUP($A786,#REF!,16,FALSE())&lt;-2),"",#REF!),"")</f>
        <v/>
      </c>
      <c r="S786" s="0" t="str">
        <f aca="false">IFERROR(IF(OR(HLOOKUP($A786,#REF!,17,FALSE())&gt;2,HLOOKUP($A786,#REF!,17,FALSE())&lt;-2),"",#REF!),"")</f>
        <v/>
      </c>
      <c r="T786" s="0" t="str">
        <f aca="false">IFERROR(IF(OR(HLOOKUP($A786,#REF!,18,FALSE())&gt;2,HLOOKUP($A786,#REF!,18,FALSE())&lt;-2),"",#REF!),"")</f>
        <v/>
      </c>
      <c r="U786" s="0" t="str">
        <f aca="false">IFERROR(IF(OR(HLOOKUP($A786,#REF!,19,FALSE())&gt;2,HLOOKUP($A786,#REF!,19,FALSE())&lt;-2),"",#REF!),"")</f>
        <v/>
      </c>
      <c r="V786" s="0" t="n">
        <f aca="false">IFERROR(IF(AND(X786=0,Y786=0),0,1),0)</f>
        <v>1</v>
      </c>
      <c r="W786" s="3" t="str">
        <f aca="false">IFERROR(_xlfn.T.TEST(E786:M786,N786:U786,2,2),"")</f>
        <v/>
      </c>
      <c r="X786" s="0" t="str">
        <f aca="false">IFERROR(AVERAGE(E786:M786),"")</f>
        <v/>
      </c>
      <c r="Y786" s="0" t="str">
        <f aca="false">IFERROR(AVERAGE(N786:U786),"")</f>
        <v/>
      </c>
    </row>
    <row r="787" customFormat="false" ht="14.5" hidden="false" customHeight="false" outlineLevel="0" collapsed="false">
      <c r="A787" s="0" t="n">
        <v>795</v>
      </c>
      <c r="B787" s="0" t="s">
        <v>843</v>
      </c>
      <c r="C787" s="0" t="n">
        <v>81500</v>
      </c>
      <c r="D787" s="0" t="n">
        <v>323</v>
      </c>
      <c r="E787" s="0" t="str">
        <f aca="false">IFERROR(IF(OR(HLOOKUP($A787,#REF!,3,FALSE())&gt;2,HLOOKUP(A787,#REF!,3,FALSE())&lt;-2),"",#REF!),"")</f>
        <v/>
      </c>
      <c r="F787" s="0" t="str">
        <f aca="false">IFERROR(IF(OR(HLOOKUP($A787,#REF!,4,FALSE())&gt;2,HLOOKUP($A787,#REF!,4,FALSE())&lt;-2),"",#REF!),"")</f>
        <v/>
      </c>
      <c r="G787" s="0" t="str">
        <f aca="false">IFERROR(IF(OR(HLOOKUP($A787,#REF!,5,FALSE())&gt;2,HLOOKUP($A787,#REF!,5,FALSE())&lt;-2),"",#REF!),"")</f>
        <v/>
      </c>
      <c r="H787" s="0" t="str">
        <f aca="false">IFERROR(IF(OR(HLOOKUP($A787,#REF!,6,FALSE())&gt;2,HLOOKUP($A787,#REF!,6,FALSE())&lt;-2),"",#REF!),"")</f>
        <v/>
      </c>
      <c r="I787" s="0" t="str">
        <f aca="false">IFERROR(IF(OR(HLOOKUP($A787,#REF!,7,FALSE())&gt;2,HLOOKUP($A787,#REF!,7,FALSE())&lt;-2),"",#REF!),"")</f>
        <v/>
      </c>
      <c r="J787" s="0" t="str">
        <f aca="false">IFERROR(IF(OR(HLOOKUP($A787,#REF!,8,FALSE())&gt;2,HLOOKUP($A787,#REF!,8,FALSE())&lt;-2),"",#REF!),"")</f>
        <v/>
      </c>
      <c r="K787" s="0" t="str">
        <f aca="false">IFERROR(IF(OR(HLOOKUP($A787,#REF!,9,FALSE())&gt;2,HLOOKUP($A787,#REF!,9,FALSE())&lt;-2),"",#REF!),"")</f>
        <v/>
      </c>
      <c r="L787" s="0" t="str">
        <f aca="false">IFERROR(IF(OR(HLOOKUP($A787,#REF!,10,FALSE())&gt;2,HLOOKUP($A787,#REF!,10,FALSE())&lt;-2),"",#REF!),"")</f>
        <v/>
      </c>
      <c r="M787" s="0" t="str">
        <f aca="false">IFERROR(IF(OR(HLOOKUP($A787,#REF!,11,FALSE())&gt;2,HLOOKUP($A787,#REF!,11,FALSE())&lt;-2),"",#REF!),"")</f>
        <v/>
      </c>
      <c r="N787" s="0" t="str">
        <f aca="false">IFERROR(IF(OR(HLOOKUP($A787,#REF!,12,FALSE())&gt;2,HLOOKUP($A787,#REF!,12,FALSE())&lt;-2),"",#REF!),"")</f>
        <v/>
      </c>
      <c r="O787" s="0" t="str">
        <f aca="false">IFERROR(IF(OR(HLOOKUP($A787,#REF!,13,FALSE())&gt;2,HLOOKUP($A787,#REF!,13,FALSE())&lt;-2),"",#REF!),"")</f>
        <v/>
      </c>
      <c r="P787" s="0" t="str">
        <f aca="false">IFERROR(IF(OR(HLOOKUP($A787,#REF!,14,FALSE())&gt;2,HLOOKUP($A787,#REF!,14,FALSE())&lt;-2),"",#REF!),"")</f>
        <v/>
      </c>
      <c r="Q787" s="0" t="str">
        <f aca="false">IFERROR(IF(OR(HLOOKUP($A787,#REF!,15,FALSE())&gt;2,HLOOKUP($A787,#REF!,15,FALSE())&lt;-2),"",#REF!),"")</f>
        <v/>
      </c>
      <c r="R787" s="0" t="str">
        <f aca="false">IFERROR(IF(OR(HLOOKUP($A787,#REF!,16,FALSE())&gt;2,HLOOKUP($A787,#REF!,16,FALSE())&lt;-2),"",#REF!),"")</f>
        <v/>
      </c>
      <c r="S787" s="0" t="str">
        <f aca="false">IFERROR(IF(OR(HLOOKUP($A787,#REF!,17,FALSE())&gt;2,HLOOKUP($A787,#REF!,17,FALSE())&lt;-2),"",#REF!),"")</f>
        <v/>
      </c>
      <c r="T787" s="0" t="str">
        <f aca="false">IFERROR(IF(OR(HLOOKUP($A787,#REF!,18,FALSE())&gt;2,HLOOKUP($A787,#REF!,18,FALSE())&lt;-2),"",#REF!),"")</f>
        <v/>
      </c>
      <c r="U787" s="0" t="str">
        <f aca="false">IFERROR(IF(OR(HLOOKUP($A787,#REF!,19,FALSE())&gt;2,HLOOKUP($A787,#REF!,19,FALSE())&lt;-2),"",#REF!),"")</f>
        <v/>
      </c>
      <c r="V787" s="0" t="n">
        <f aca="false">IFERROR(IF(AND(X787=0,Y787=0),0,1),0)</f>
        <v>1</v>
      </c>
      <c r="W787" s="3" t="str">
        <f aca="false">IFERROR(_xlfn.T.TEST(E787:M787,N787:U787,2,2),"")</f>
        <v/>
      </c>
      <c r="X787" s="0" t="str">
        <f aca="false">IFERROR(AVERAGE(E787:M787),"")</f>
        <v/>
      </c>
      <c r="Y787" s="0" t="str">
        <f aca="false">IFERROR(AVERAGE(N787:U787),"")</f>
        <v/>
      </c>
    </row>
    <row r="788" customFormat="false" ht="14.5" hidden="false" customHeight="false" outlineLevel="0" collapsed="false">
      <c r="A788" s="0" t="n">
        <v>796</v>
      </c>
      <c r="B788" s="0" t="s">
        <v>844</v>
      </c>
      <c r="C788" s="0" t="n">
        <v>78200</v>
      </c>
      <c r="D788" s="0" t="n">
        <v>797</v>
      </c>
      <c r="E788" s="0" t="str">
        <f aca="false">IFERROR(IF(OR(HLOOKUP($A788,#REF!,3,FALSE())&gt;2,HLOOKUP(A788,#REF!,3,FALSE())&lt;-2),"",#REF!),"")</f>
        <v/>
      </c>
      <c r="F788" s="0" t="str">
        <f aca="false">IFERROR(IF(OR(HLOOKUP($A788,#REF!,4,FALSE())&gt;2,HLOOKUP($A788,#REF!,4,FALSE())&lt;-2),"",#REF!),"")</f>
        <v/>
      </c>
      <c r="G788" s="0" t="str">
        <f aca="false">IFERROR(IF(OR(HLOOKUP($A788,#REF!,5,FALSE())&gt;2,HLOOKUP($A788,#REF!,5,FALSE())&lt;-2),"",#REF!),"")</f>
        <v/>
      </c>
      <c r="H788" s="0" t="str">
        <f aca="false">IFERROR(IF(OR(HLOOKUP($A788,#REF!,6,FALSE())&gt;2,HLOOKUP($A788,#REF!,6,FALSE())&lt;-2),"",#REF!),"")</f>
        <v/>
      </c>
      <c r="I788" s="0" t="str">
        <f aca="false">IFERROR(IF(OR(HLOOKUP($A788,#REF!,7,FALSE())&gt;2,HLOOKUP($A788,#REF!,7,FALSE())&lt;-2),"",#REF!),"")</f>
        <v/>
      </c>
      <c r="J788" s="0" t="str">
        <f aca="false">IFERROR(IF(OR(HLOOKUP($A788,#REF!,8,FALSE())&gt;2,HLOOKUP($A788,#REF!,8,FALSE())&lt;-2),"",#REF!),"")</f>
        <v/>
      </c>
      <c r="K788" s="0" t="str">
        <f aca="false">IFERROR(IF(OR(HLOOKUP($A788,#REF!,9,FALSE())&gt;2,HLOOKUP($A788,#REF!,9,FALSE())&lt;-2),"",#REF!),"")</f>
        <v/>
      </c>
      <c r="L788" s="0" t="str">
        <f aca="false">IFERROR(IF(OR(HLOOKUP($A788,#REF!,10,FALSE())&gt;2,HLOOKUP($A788,#REF!,10,FALSE())&lt;-2),"",#REF!),"")</f>
        <v/>
      </c>
      <c r="M788" s="0" t="str">
        <f aca="false">IFERROR(IF(OR(HLOOKUP($A788,#REF!,11,FALSE())&gt;2,HLOOKUP($A788,#REF!,11,FALSE())&lt;-2),"",#REF!),"")</f>
        <v/>
      </c>
      <c r="N788" s="0" t="str">
        <f aca="false">IFERROR(IF(OR(HLOOKUP($A788,#REF!,12,FALSE())&gt;2,HLOOKUP($A788,#REF!,12,FALSE())&lt;-2),"",#REF!),"")</f>
        <v/>
      </c>
      <c r="O788" s="0" t="str">
        <f aca="false">IFERROR(IF(OR(HLOOKUP($A788,#REF!,13,FALSE())&gt;2,HLOOKUP($A788,#REF!,13,FALSE())&lt;-2),"",#REF!),"")</f>
        <v/>
      </c>
      <c r="P788" s="0" t="str">
        <f aca="false">IFERROR(IF(OR(HLOOKUP($A788,#REF!,14,FALSE())&gt;2,HLOOKUP($A788,#REF!,14,FALSE())&lt;-2),"",#REF!),"")</f>
        <v/>
      </c>
      <c r="Q788" s="0" t="str">
        <f aca="false">IFERROR(IF(OR(HLOOKUP($A788,#REF!,15,FALSE())&gt;2,HLOOKUP($A788,#REF!,15,FALSE())&lt;-2),"",#REF!),"")</f>
        <v/>
      </c>
      <c r="R788" s="0" t="str">
        <f aca="false">IFERROR(IF(OR(HLOOKUP($A788,#REF!,16,FALSE())&gt;2,HLOOKUP($A788,#REF!,16,FALSE())&lt;-2),"",#REF!),"")</f>
        <v/>
      </c>
      <c r="S788" s="0" t="str">
        <f aca="false">IFERROR(IF(OR(HLOOKUP($A788,#REF!,17,FALSE())&gt;2,HLOOKUP($A788,#REF!,17,FALSE())&lt;-2),"",#REF!),"")</f>
        <v/>
      </c>
      <c r="T788" s="0" t="str">
        <f aca="false">IFERROR(IF(OR(HLOOKUP($A788,#REF!,18,FALSE())&gt;2,HLOOKUP($A788,#REF!,18,FALSE())&lt;-2),"",#REF!),"")</f>
        <v/>
      </c>
      <c r="U788" s="0" t="str">
        <f aca="false">IFERROR(IF(OR(HLOOKUP($A788,#REF!,19,FALSE())&gt;2,HLOOKUP($A788,#REF!,19,FALSE())&lt;-2),"",#REF!),"")</f>
        <v/>
      </c>
      <c r="V788" s="0" t="n">
        <f aca="false">IFERROR(IF(AND(X788=0,Y788=0),0,1),0)</f>
        <v>1</v>
      </c>
      <c r="W788" s="3" t="str">
        <f aca="false">IFERROR(_xlfn.T.TEST(E788:M788,N788:U788,2,2),"")</f>
        <v/>
      </c>
      <c r="X788" s="0" t="str">
        <f aca="false">IFERROR(AVERAGE(E788:M788),"")</f>
        <v/>
      </c>
      <c r="Y788" s="0" t="str">
        <f aca="false">IFERROR(AVERAGE(N788:U788),"")</f>
        <v/>
      </c>
    </row>
    <row r="789" customFormat="false" ht="14.5" hidden="false" customHeight="false" outlineLevel="0" collapsed="false">
      <c r="A789" s="0" t="n">
        <v>797</v>
      </c>
      <c r="B789" s="0" t="s">
        <v>845</v>
      </c>
      <c r="C789" s="0" t="n">
        <v>78100</v>
      </c>
      <c r="D789" s="0" t="n">
        <v>290</v>
      </c>
      <c r="E789" s="0" t="str">
        <f aca="false">IFERROR(IF(OR(HLOOKUP($A789,#REF!,3,FALSE())&gt;2,HLOOKUP(A789,#REF!,3,FALSE())&lt;-2),"",#REF!),"")</f>
        <v/>
      </c>
      <c r="F789" s="0" t="str">
        <f aca="false">IFERROR(IF(OR(HLOOKUP($A789,#REF!,4,FALSE())&gt;2,HLOOKUP($A789,#REF!,4,FALSE())&lt;-2),"",#REF!),"")</f>
        <v/>
      </c>
      <c r="G789" s="0" t="str">
        <f aca="false">IFERROR(IF(OR(HLOOKUP($A789,#REF!,5,FALSE())&gt;2,HLOOKUP($A789,#REF!,5,FALSE())&lt;-2),"",#REF!),"")</f>
        <v/>
      </c>
      <c r="H789" s="0" t="str">
        <f aca="false">IFERROR(IF(OR(HLOOKUP($A789,#REF!,6,FALSE())&gt;2,HLOOKUP($A789,#REF!,6,FALSE())&lt;-2),"",#REF!),"")</f>
        <v/>
      </c>
      <c r="I789" s="0" t="str">
        <f aca="false">IFERROR(IF(OR(HLOOKUP($A789,#REF!,7,FALSE())&gt;2,HLOOKUP($A789,#REF!,7,FALSE())&lt;-2),"",#REF!),"")</f>
        <v/>
      </c>
      <c r="J789" s="0" t="str">
        <f aca="false">IFERROR(IF(OR(HLOOKUP($A789,#REF!,8,FALSE())&gt;2,HLOOKUP($A789,#REF!,8,FALSE())&lt;-2),"",#REF!),"")</f>
        <v/>
      </c>
      <c r="K789" s="0" t="str">
        <f aca="false">IFERROR(IF(OR(HLOOKUP($A789,#REF!,9,FALSE())&gt;2,HLOOKUP($A789,#REF!,9,FALSE())&lt;-2),"",#REF!),"")</f>
        <v/>
      </c>
      <c r="L789" s="0" t="str">
        <f aca="false">IFERROR(IF(OR(HLOOKUP($A789,#REF!,10,FALSE())&gt;2,HLOOKUP($A789,#REF!,10,FALSE())&lt;-2),"",#REF!),"")</f>
        <v/>
      </c>
      <c r="M789" s="0" t="str">
        <f aca="false">IFERROR(IF(OR(HLOOKUP($A789,#REF!,11,FALSE())&gt;2,HLOOKUP($A789,#REF!,11,FALSE())&lt;-2),"",#REF!),"")</f>
        <v/>
      </c>
      <c r="N789" s="0" t="str">
        <f aca="false">IFERROR(IF(OR(HLOOKUP($A789,#REF!,12,FALSE())&gt;2,HLOOKUP($A789,#REF!,12,FALSE())&lt;-2),"",#REF!),"")</f>
        <v/>
      </c>
      <c r="O789" s="0" t="str">
        <f aca="false">IFERROR(IF(OR(HLOOKUP($A789,#REF!,13,FALSE())&gt;2,HLOOKUP($A789,#REF!,13,FALSE())&lt;-2),"",#REF!),"")</f>
        <v/>
      </c>
      <c r="P789" s="0" t="str">
        <f aca="false">IFERROR(IF(OR(HLOOKUP($A789,#REF!,14,FALSE())&gt;2,HLOOKUP($A789,#REF!,14,FALSE())&lt;-2),"",#REF!),"")</f>
        <v/>
      </c>
      <c r="Q789" s="0" t="str">
        <f aca="false">IFERROR(IF(OR(HLOOKUP($A789,#REF!,15,FALSE())&gt;2,HLOOKUP($A789,#REF!,15,FALSE())&lt;-2),"",#REF!),"")</f>
        <v/>
      </c>
      <c r="R789" s="0" t="str">
        <f aca="false">IFERROR(IF(OR(HLOOKUP($A789,#REF!,16,FALSE())&gt;2,HLOOKUP($A789,#REF!,16,FALSE())&lt;-2),"",#REF!),"")</f>
        <v/>
      </c>
      <c r="S789" s="0" t="str">
        <f aca="false">IFERROR(IF(OR(HLOOKUP($A789,#REF!,17,FALSE())&gt;2,HLOOKUP($A789,#REF!,17,FALSE())&lt;-2),"",#REF!),"")</f>
        <v/>
      </c>
      <c r="T789" s="0" t="str">
        <f aca="false">IFERROR(IF(OR(HLOOKUP($A789,#REF!,18,FALSE())&gt;2,HLOOKUP($A789,#REF!,18,FALSE())&lt;-2),"",#REF!),"")</f>
        <v/>
      </c>
      <c r="U789" s="0" t="str">
        <f aca="false">IFERROR(IF(OR(HLOOKUP($A789,#REF!,19,FALSE())&gt;2,HLOOKUP($A789,#REF!,19,FALSE())&lt;-2),"",#REF!),"")</f>
        <v/>
      </c>
      <c r="V789" s="0" t="n">
        <f aca="false">IFERROR(IF(AND(X789=0,Y789=0),0,1),0)</f>
        <v>1</v>
      </c>
      <c r="W789" s="3" t="str">
        <f aca="false">IFERROR(_xlfn.T.TEST(E789:M789,N789:U789,2,2),"")</f>
        <v/>
      </c>
      <c r="X789" s="0" t="str">
        <f aca="false">IFERROR(AVERAGE(E789:M789),"")</f>
        <v/>
      </c>
      <c r="Y789" s="0" t="str">
        <f aca="false">IFERROR(AVERAGE(N789:U789),"")</f>
        <v/>
      </c>
    </row>
    <row r="790" customFormat="false" ht="14.5" hidden="false" customHeight="false" outlineLevel="0" collapsed="false">
      <c r="A790" s="0" t="n">
        <v>798</v>
      </c>
      <c r="B790" s="0" t="s">
        <v>846</v>
      </c>
      <c r="C790" s="0" t="n">
        <v>100100</v>
      </c>
      <c r="D790" s="0" t="n">
        <v>967</v>
      </c>
      <c r="E790" s="0" t="str">
        <f aca="false">IFERROR(IF(OR(HLOOKUP($A790,#REF!,3,FALSE())&gt;2,HLOOKUP(A790,#REF!,3,FALSE())&lt;-2),"",#REF!),"")</f>
        <v/>
      </c>
      <c r="F790" s="0" t="str">
        <f aca="false">IFERROR(IF(OR(HLOOKUP($A790,#REF!,4,FALSE())&gt;2,HLOOKUP($A790,#REF!,4,FALSE())&lt;-2),"",#REF!),"")</f>
        <v/>
      </c>
      <c r="G790" s="0" t="str">
        <f aca="false">IFERROR(IF(OR(HLOOKUP($A790,#REF!,5,FALSE())&gt;2,HLOOKUP($A790,#REF!,5,FALSE())&lt;-2),"",#REF!),"")</f>
        <v/>
      </c>
      <c r="H790" s="0" t="str">
        <f aca="false">IFERROR(IF(OR(HLOOKUP($A790,#REF!,6,FALSE())&gt;2,HLOOKUP($A790,#REF!,6,FALSE())&lt;-2),"",#REF!),"")</f>
        <v/>
      </c>
      <c r="I790" s="0" t="str">
        <f aca="false">IFERROR(IF(OR(HLOOKUP($A790,#REF!,7,FALSE())&gt;2,HLOOKUP($A790,#REF!,7,FALSE())&lt;-2),"",#REF!),"")</f>
        <v/>
      </c>
      <c r="J790" s="0" t="str">
        <f aca="false">IFERROR(IF(OR(HLOOKUP($A790,#REF!,8,FALSE())&gt;2,HLOOKUP($A790,#REF!,8,FALSE())&lt;-2),"",#REF!),"")</f>
        <v/>
      </c>
      <c r="K790" s="0" t="str">
        <f aca="false">IFERROR(IF(OR(HLOOKUP($A790,#REF!,9,FALSE())&gt;2,HLOOKUP($A790,#REF!,9,FALSE())&lt;-2),"",#REF!),"")</f>
        <v/>
      </c>
      <c r="L790" s="0" t="str">
        <f aca="false">IFERROR(IF(OR(HLOOKUP($A790,#REF!,10,FALSE())&gt;2,HLOOKUP($A790,#REF!,10,FALSE())&lt;-2),"",#REF!),"")</f>
        <v/>
      </c>
      <c r="M790" s="0" t="str">
        <f aca="false">IFERROR(IF(OR(HLOOKUP($A790,#REF!,11,FALSE())&gt;2,HLOOKUP($A790,#REF!,11,FALSE())&lt;-2),"",#REF!),"")</f>
        <v/>
      </c>
      <c r="N790" s="0" t="str">
        <f aca="false">IFERROR(IF(OR(HLOOKUP($A790,#REF!,12,FALSE())&gt;2,HLOOKUP($A790,#REF!,12,FALSE())&lt;-2),"",#REF!),"")</f>
        <v/>
      </c>
      <c r="O790" s="0" t="str">
        <f aca="false">IFERROR(IF(OR(HLOOKUP($A790,#REF!,13,FALSE())&gt;2,HLOOKUP($A790,#REF!,13,FALSE())&lt;-2),"",#REF!),"")</f>
        <v/>
      </c>
      <c r="P790" s="0" t="str">
        <f aca="false">IFERROR(IF(OR(HLOOKUP($A790,#REF!,14,FALSE())&gt;2,HLOOKUP($A790,#REF!,14,FALSE())&lt;-2),"",#REF!),"")</f>
        <v/>
      </c>
      <c r="Q790" s="0" t="str">
        <f aca="false">IFERROR(IF(OR(HLOOKUP($A790,#REF!,15,FALSE())&gt;2,HLOOKUP($A790,#REF!,15,FALSE())&lt;-2),"",#REF!),"")</f>
        <v/>
      </c>
      <c r="R790" s="0" t="str">
        <f aca="false">IFERROR(IF(OR(HLOOKUP($A790,#REF!,16,FALSE())&gt;2,HLOOKUP($A790,#REF!,16,FALSE())&lt;-2),"",#REF!),"")</f>
        <v/>
      </c>
      <c r="S790" s="0" t="str">
        <f aca="false">IFERROR(IF(OR(HLOOKUP($A790,#REF!,17,FALSE())&gt;2,HLOOKUP($A790,#REF!,17,FALSE())&lt;-2),"",#REF!),"")</f>
        <v/>
      </c>
      <c r="T790" s="0" t="str">
        <f aca="false">IFERROR(IF(OR(HLOOKUP($A790,#REF!,18,FALSE())&gt;2,HLOOKUP($A790,#REF!,18,FALSE())&lt;-2),"",#REF!),"")</f>
        <v/>
      </c>
      <c r="U790" s="0" t="str">
        <f aca="false">IFERROR(IF(OR(HLOOKUP($A790,#REF!,19,FALSE())&gt;2,HLOOKUP($A790,#REF!,19,FALSE())&lt;-2),"",#REF!),"")</f>
        <v/>
      </c>
      <c r="V790" s="0" t="n">
        <f aca="false">IFERROR(IF(AND(X790=0,Y790=0),0,1),0)</f>
        <v>1</v>
      </c>
      <c r="W790" s="3" t="str">
        <f aca="false">IFERROR(_xlfn.T.TEST(E790:M790,N790:U790,2,2),"")</f>
        <v/>
      </c>
      <c r="X790" s="0" t="str">
        <f aca="false">IFERROR(AVERAGE(E790:M790),"")</f>
        <v/>
      </c>
      <c r="Y790" s="0" t="str">
        <f aca="false">IFERROR(AVERAGE(N790:U790),"")</f>
        <v/>
      </c>
    </row>
    <row r="791" customFormat="false" ht="14.5" hidden="false" customHeight="false" outlineLevel="0" collapsed="false">
      <c r="A791" s="0" t="n">
        <v>799</v>
      </c>
      <c r="B791" s="0" t="s">
        <v>847</v>
      </c>
      <c r="C791" s="0" t="n">
        <v>40600</v>
      </c>
      <c r="D791" s="0" t="n">
        <v>726</v>
      </c>
      <c r="E791" s="0" t="str">
        <f aca="false">IFERROR(IF(OR(HLOOKUP($A791,#REF!,3,FALSE())&gt;2,HLOOKUP(A791,#REF!,3,FALSE())&lt;-2),"",#REF!),"")</f>
        <v/>
      </c>
      <c r="F791" s="0" t="str">
        <f aca="false">IFERROR(IF(OR(HLOOKUP($A791,#REF!,4,FALSE())&gt;2,HLOOKUP($A791,#REF!,4,FALSE())&lt;-2),"",#REF!),"")</f>
        <v/>
      </c>
      <c r="G791" s="0" t="str">
        <f aca="false">IFERROR(IF(OR(HLOOKUP($A791,#REF!,5,FALSE())&gt;2,HLOOKUP($A791,#REF!,5,FALSE())&lt;-2),"",#REF!),"")</f>
        <v/>
      </c>
      <c r="H791" s="0" t="str">
        <f aca="false">IFERROR(IF(OR(HLOOKUP($A791,#REF!,6,FALSE())&gt;2,HLOOKUP($A791,#REF!,6,FALSE())&lt;-2),"",#REF!),"")</f>
        <v/>
      </c>
      <c r="I791" s="0" t="str">
        <f aca="false">IFERROR(IF(OR(HLOOKUP($A791,#REF!,7,FALSE())&gt;2,HLOOKUP($A791,#REF!,7,FALSE())&lt;-2),"",#REF!),"")</f>
        <v/>
      </c>
      <c r="J791" s="0" t="str">
        <f aca="false">IFERROR(IF(OR(HLOOKUP($A791,#REF!,8,FALSE())&gt;2,HLOOKUP($A791,#REF!,8,FALSE())&lt;-2),"",#REF!),"")</f>
        <v/>
      </c>
      <c r="K791" s="0" t="str">
        <f aca="false">IFERROR(IF(OR(HLOOKUP($A791,#REF!,9,FALSE())&gt;2,HLOOKUP($A791,#REF!,9,FALSE())&lt;-2),"",#REF!),"")</f>
        <v/>
      </c>
      <c r="L791" s="0" t="str">
        <f aca="false">IFERROR(IF(OR(HLOOKUP($A791,#REF!,10,FALSE())&gt;2,HLOOKUP($A791,#REF!,10,FALSE())&lt;-2),"",#REF!),"")</f>
        <v/>
      </c>
      <c r="M791" s="0" t="str">
        <f aca="false">IFERROR(IF(OR(HLOOKUP($A791,#REF!,11,FALSE())&gt;2,HLOOKUP($A791,#REF!,11,FALSE())&lt;-2),"",#REF!),"")</f>
        <v/>
      </c>
      <c r="N791" s="0" t="str">
        <f aca="false">IFERROR(IF(OR(HLOOKUP($A791,#REF!,12,FALSE())&gt;2,HLOOKUP($A791,#REF!,12,FALSE())&lt;-2),"",#REF!),"")</f>
        <v/>
      </c>
      <c r="O791" s="0" t="str">
        <f aca="false">IFERROR(IF(OR(HLOOKUP($A791,#REF!,13,FALSE())&gt;2,HLOOKUP($A791,#REF!,13,FALSE())&lt;-2),"",#REF!),"")</f>
        <v/>
      </c>
      <c r="P791" s="0" t="str">
        <f aca="false">IFERROR(IF(OR(HLOOKUP($A791,#REF!,14,FALSE())&gt;2,HLOOKUP($A791,#REF!,14,FALSE())&lt;-2),"",#REF!),"")</f>
        <v/>
      </c>
      <c r="Q791" s="0" t="str">
        <f aca="false">IFERROR(IF(OR(HLOOKUP($A791,#REF!,15,FALSE())&gt;2,HLOOKUP($A791,#REF!,15,FALSE())&lt;-2),"",#REF!),"")</f>
        <v/>
      </c>
      <c r="R791" s="0" t="str">
        <f aca="false">IFERROR(IF(OR(HLOOKUP($A791,#REF!,16,FALSE())&gt;2,HLOOKUP($A791,#REF!,16,FALSE())&lt;-2),"",#REF!),"")</f>
        <v/>
      </c>
      <c r="S791" s="0" t="str">
        <f aca="false">IFERROR(IF(OR(HLOOKUP($A791,#REF!,17,FALSE())&gt;2,HLOOKUP($A791,#REF!,17,FALSE())&lt;-2),"",#REF!),"")</f>
        <v/>
      </c>
      <c r="T791" s="0" t="str">
        <f aca="false">IFERROR(IF(OR(HLOOKUP($A791,#REF!,18,FALSE())&gt;2,HLOOKUP($A791,#REF!,18,FALSE())&lt;-2),"",#REF!),"")</f>
        <v/>
      </c>
      <c r="U791" s="0" t="str">
        <f aca="false">IFERROR(IF(OR(HLOOKUP($A791,#REF!,19,FALSE())&gt;2,HLOOKUP($A791,#REF!,19,FALSE())&lt;-2),"",#REF!),"")</f>
        <v/>
      </c>
      <c r="V791" s="0" t="n">
        <f aca="false">IFERROR(IF(AND(X791=0,Y791=0),0,1),0)</f>
        <v>1</v>
      </c>
      <c r="W791" s="3" t="str">
        <f aca="false">IFERROR(_xlfn.T.TEST(E791:M791,N791:U791,2,2),"")</f>
        <v/>
      </c>
      <c r="X791" s="0" t="str">
        <f aca="false">IFERROR(AVERAGE(E791:M791),"")</f>
        <v/>
      </c>
      <c r="Y791" s="0" t="str">
        <f aca="false">IFERROR(AVERAGE(N791:U791),"")</f>
        <v/>
      </c>
    </row>
    <row r="792" customFormat="false" ht="14.5" hidden="false" customHeight="false" outlineLevel="0" collapsed="false">
      <c r="A792" s="0" t="n">
        <v>800</v>
      </c>
      <c r="B792" s="0" t="s">
        <v>848</v>
      </c>
      <c r="C792" s="0" t="n">
        <v>24900</v>
      </c>
      <c r="D792" s="0" t="n">
        <v>119</v>
      </c>
      <c r="E792" s="0" t="str">
        <f aca="false">IFERROR(IF(OR(HLOOKUP($A792,#REF!,3,FALSE())&gt;2,HLOOKUP(A792,#REF!,3,FALSE())&lt;-2),"",#REF!),"")</f>
        <v/>
      </c>
      <c r="F792" s="0" t="str">
        <f aca="false">IFERROR(IF(OR(HLOOKUP($A792,#REF!,4,FALSE())&gt;2,HLOOKUP($A792,#REF!,4,FALSE())&lt;-2),"",#REF!),"")</f>
        <v/>
      </c>
      <c r="G792" s="0" t="str">
        <f aca="false">IFERROR(IF(OR(HLOOKUP($A792,#REF!,5,FALSE())&gt;2,HLOOKUP($A792,#REF!,5,FALSE())&lt;-2),"",#REF!),"")</f>
        <v/>
      </c>
      <c r="H792" s="0" t="str">
        <f aca="false">IFERROR(IF(OR(HLOOKUP($A792,#REF!,6,FALSE())&gt;2,HLOOKUP($A792,#REF!,6,FALSE())&lt;-2),"",#REF!),"")</f>
        <v/>
      </c>
      <c r="I792" s="0" t="str">
        <f aca="false">IFERROR(IF(OR(HLOOKUP($A792,#REF!,7,FALSE())&gt;2,HLOOKUP($A792,#REF!,7,FALSE())&lt;-2),"",#REF!),"")</f>
        <v/>
      </c>
      <c r="J792" s="0" t="str">
        <f aca="false">IFERROR(IF(OR(HLOOKUP($A792,#REF!,8,FALSE())&gt;2,HLOOKUP($A792,#REF!,8,FALSE())&lt;-2),"",#REF!),"")</f>
        <v/>
      </c>
      <c r="K792" s="0" t="str">
        <f aca="false">IFERROR(IF(OR(HLOOKUP($A792,#REF!,9,FALSE())&gt;2,HLOOKUP($A792,#REF!,9,FALSE())&lt;-2),"",#REF!),"")</f>
        <v/>
      </c>
      <c r="L792" s="0" t="str">
        <f aca="false">IFERROR(IF(OR(HLOOKUP($A792,#REF!,10,FALSE())&gt;2,HLOOKUP($A792,#REF!,10,FALSE())&lt;-2),"",#REF!),"")</f>
        <v/>
      </c>
      <c r="M792" s="0" t="str">
        <f aca="false">IFERROR(IF(OR(HLOOKUP($A792,#REF!,11,FALSE())&gt;2,HLOOKUP($A792,#REF!,11,FALSE())&lt;-2),"",#REF!),"")</f>
        <v/>
      </c>
      <c r="N792" s="0" t="str">
        <f aca="false">IFERROR(IF(OR(HLOOKUP($A792,#REF!,12,FALSE())&gt;2,HLOOKUP($A792,#REF!,12,FALSE())&lt;-2),"",#REF!),"")</f>
        <v/>
      </c>
      <c r="O792" s="0" t="str">
        <f aca="false">IFERROR(IF(OR(HLOOKUP($A792,#REF!,13,FALSE())&gt;2,HLOOKUP($A792,#REF!,13,FALSE())&lt;-2),"",#REF!),"")</f>
        <v/>
      </c>
      <c r="P792" s="0" t="str">
        <f aca="false">IFERROR(IF(OR(HLOOKUP($A792,#REF!,14,FALSE())&gt;2,HLOOKUP($A792,#REF!,14,FALSE())&lt;-2),"",#REF!),"")</f>
        <v/>
      </c>
      <c r="Q792" s="0" t="str">
        <f aca="false">IFERROR(IF(OR(HLOOKUP($A792,#REF!,15,FALSE())&gt;2,HLOOKUP($A792,#REF!,15,FALSE())&lt;-2),"",#REF!),"")</f>
        <v/>
      </c>
      <c r="R792" s="0" t="str">
        <f aca="false">IFERROR(IF(OR(HLOOKUP($A792,#REF!,16,FALSE())&gt;2,HLOOKUP($A792,#REF!,16,FALSE())&lt;-2),"",#REF!),"")</f>
        <v/>
      </c>
      <c r="S792" s="0" t="str">
        <f aca="false">IFERROR(IF(OR(HLOOKUP($A792,#REF!,17,FALSE())&gt;2,HLOOKUP($A792,#REF!,17,FALSE())&lt;-2),"",#REF!),"")</f>
        <v/>
      </c>
      <c r="T792" s="0" t="str">
        <f aca="false">IFERROR(IF(OR(HLOOKUP($A792,#REF!,18,FALSE())&gt;2,HLOOKUP($A792,#REF!,18,FALSE())&lt;-2),"",#REF!),"")</f>
        <v/>
      </c>
      <c r="U792" s="0" t="str">
        <f aca="false">IFERROR(IF(OR(HLOOKUP($A792,#REF!,19,FALSE())&gt;2,HLOOKUP($A792,#REF!,19,FALSE())&lt;-2),"",#REF!),"")</f>
        <v/>
      </c>
      <c r="V792" s="0" t="n">
        <f aca="false">IFERROR(IF(AND(X792=0,Y792=0),0,1),0)</f>
        <v>1</v>
      </c>
      <c r="W792" s="3" t="str">
        <f aca="false">IFERROR(_xlfn.T.TEST(E792:M792,N792:U792,2,2),"")</f>
        <v/>
      </c>
      <c r="X792" s="0" t="str">
        <f aca="false">IFERROR(AVERAGE(E792:M792),"")</f>
        <v/>
      </c>
      <c r="Y792" s="0" t="str">
        <f aca="false">IFERROR(AVERAGE(N792:U792),"")</f>
        <v/>
      </c>
    </row>
    <row r="793" customFormat="false" ht="14.5" hidden="false" customHeight="false" outlineLevel="0" collapsed="false">
      <c r="A793" s="0" t="n">
        <v>801</v>
      </c>
      <c r="B793" s="0" t="s">
        <v>849</v>
      </c>
      <c r="C793" s="0" t="n">
        <v>13500</v>
      </c>
      <c r="D793" s="0" t="n">
        <v>669</v>
      </c>
      <c r="E793" s="0" t="str">
        <f aca="false">IFERROR(IF(OR(HLOOKUP($A793,#REF!,3,FALSE())&gt;2,HLOOKUP(A793,#REF!,3,FALSE())&lt;-2),"",#REF!),"")</f>
        <v/>
      </c>
      <c r="F793" s="0" t="str">
        <f aca="false">IFERROR(IF(OR(HLOOKUP($A793,#REF!,4,FALSE())&gt;2,HLOOKUP($A793,#REF!,4,FALSE())&lt;-2),"",#REF!),"")</f>
        <v/>
      </c>
      <c r="G793" s="0" t="str">
        <f aca="false">IFERROR(IF(OR(HLOOKUP($A793,#REF!,5,FALSE())&gt;2,HLOOKUP($A793,#REF!,5,FALSE())&lt;-2),"",#REF!),"")</f>
        <v/>
      </c>
      <c r="H793" s="0" t="str">
        <f aca="false">IFERROR(IF(OR(HLOOKUP($A793,#REF!,6,FALSE())&gt;2,HLOOKUP($A793,#REF!,6,FALSE())&lt;-2),"",#REF!),"")</f>
        <v/>
      </c>
      <c r="I793" s="0" t="str">
        <f aca="false">IFERROR(IF(OR(HLOOKUP($A793,#REF!,7,FALSE())&gt;2,HLOOKUP($A793,#REF!,7,FALSE())&lt;-2),"",#REF!),"")</f>
        <v/>
      </c>
      <c r="J793" s="0" t="str">
        <f aca="false">IFERROR(IF(OR(HLOOKUP($A793,#REF!,8,FALSE())&gt;2,HLOOKUP($A793,#REF!,8,FALSE())&lt;-2),"",#REF!),"")</f>
        <v/>
      </c>
      <c r="K793" s="0" t="str">
        <f aca="false">IFERROR(IF(OR(HLOOKUP($A793,#REF!,9,FALSE())&gt;2,HLOOKUP($A793,#REF!,9,FALSE())&lt;-2),"",#REF!),"")</f>
        <v/>
      </c>
      <c r="L793" s="0" t="str">
        <f aca="false">IFERROR(IF(OR(HLOOKUP($A793,#REF!,10,FALSE())&gt;2,HLOOKUP($A793,#REF!,10,FALSE())&lt;-2),"",#REF!),"")</f>
        <v/>
      </c>
      <c r="M793" s="0" t="str">
        <f aca="false">IFERROR(IF(OR(HLOOKUP($A793,#REF!,11,FALSE())&gt;2,HLOOKUP($A793,#REF!,11,FALSE())&lt;-2),"",#REF!),"")</f>
        <v/>
      </c>
      <c r="N793" s="0" t="str">
        <f aca="false">IFERROR(IF(OR(HLOOKUP($A793,#REF!,12,FALSE())&gt;2,HLOOKUP($A793,#REF!,12,FALSE())&lt;-2),"",#REF!),"")</f>
        <v/>
      </c>
      <c r="O793" s="0" t="str">
        <f aca="false">IFERROR(IF(OR(HLOOKUP($A793,#REF!,13,FALSE())&gt;2,HLOOKUP($A793,#REF!,13,FALSE())&lt;-2),"",#REF!),"")</f>
        <v/>
      </c>
      <c r="P793" s="0" t="str">
        <f aca="false">IFERROR(IF(OR(HLOOKUP($A793,#REF!,14,FALSE())&gt;2,HLOOKUP($A793,#REF!,14,FALSE())&lt;-2),"",#REF!),"")</f>
        <v/>
      </c>
      <c r="Q793" s="0" t="str">
        <f aca="false">IFERROR(IF(OR(HLOOKUP($A793,#REF!,15,FALSE())&gt;2,HLOOKUP($A793,#REF!,15,FALSE())&lt;-2),"",#REF!),"")</f>
        <v/>
      </c>
      <c r="R793" s="0" t="str">
        <f aca="false">IFERROR(IF(OR(HLOOKUP($A793,#REF!,16,FALSE())&gt;2,HLOOKUP($A793,#REF!,16,FALSE())&lt;-2),"",#REF!),"")</f>
        <v/>
      </c>
      <c r="S793" s="0" t="str">
        <f aca="false">IFERROR(IF(OR(HLOOKUP($A793,#REF!,17,FALSE())&gt;2,HLOOKUP($A793,#REF!,17,FALSE())&lt;-2),"",#REF!),"")</f>
        <v/>
      </c>
      <c r="T793" s="0" t="str">
        <f aca="false">IFERROR(IF(OR(HLOOKUP($A793,#REF!,18,FALSE())&gt;2,HLOOKUP($A793,#REF!,18,FALSE())&lt;-2),"",#REF!),"")</f>
        <v/>
      </c>
      <c r="U793" s="0" t="str">
        <f aca="false">IFERROR(IF(OR(HLOOKUP($A793,#REF!,19,FALSE())&gt;2,HLOOKUP($A793,#REF!,19,FALSE())&lt;-2),"",#REF!),"")</f>
        <v/>
      </c>
      <c r="V793" s="0" t="n">
        <f aca="false">IFERROR(IF(AND(X793=0,Y793=0),0,1),0)</f>
        <v>1</v>
      </c>
      <c r="W793" s="3" t="str">
        <f aca="false">IFERROR(_xlfn.T.TEST(E793:M793,N793:U793,2,2),"")</f>
        <v/>
      </c>
      <c r="X793" s="0" t="str">
        <f aca="false">IFERROR(AVERAGE(E793:M793),"")</f>
        <v/>
      </c>
      <c r="Y793" s="0" t="str">
        <f aca="false">IFERROR(AVERAGE(N793:U793),"")</f>
        <v/>
      </c>
    </row>
    <row r="794" customFormat="false" ht="14.5" hidden="false" customHeight="false" outlineLevel="0" collapsed="false">
      <c r="A794" s="0" t="n">
        <v>802</v>
      </c>
      <c r="B794" s="0" t="s">
        <v>850</v>
      </c>
      <c r="C794" s="0" t="n">
        <v>115100</v>
      </c>
      <c r="D794" s="0" t="n">
        <v>1083</v>
      </c>
      <c r="E794" s="0" t="str">
        <f aca="false">IFERROR(IF(OR(HLOOKUP($A794,#REF!,3,FALSE())&gt;2,HLOOKUP(A794,#REF!,3,FALSE())&lt;-2),"",#REF!),"")</f>
        <v/>
      </c>
      <c r="F794" s="0" t="str">
        <f aca="false">IFERROR(IF(OR(HLOOKUP($A794,#REF!,4,FALSE())&gt;2,HLOOKUP($A794,#REF!,4,FALSE())&lt;-2),"",#REF!),"")</f>
        <v/>
      </c>
      <c r="G794" s="0" t="str">
        <f aca="false">IFERROR(IF(OR(HLOOKUP($A794,#REF!,5,FALSE())&gt;2,HLOOKUP($A794,#REF!,5,FALSE())&lt;-2),"",#REF!),"")</f>
        <v/>
      </c>
      <c r="H794" s="0" t="str">
        <f aca="false">IFERROR(IF(OR(HLOOKUP($A794,#REF!,6,FALSE())&gt;2,HLOOKUP($A794,#REF!,6,FALSE())&lt;-2),"",#REF!),"")</f>
        <v/>
      </c>
      <c r="I794" s="0" t="str">
        <f aca="false">IFERROR(IF(OR(HLOOKUP($A794,#REF!,7,FALSE())&gt;2,HLOOKUP($A794,#REF!,7,FALSE())&lt;-2),"",#REF!),"")</f>
        <v/>
      </c>
      <c r="J794" s="0" t="str">
        <f aca="false">IFERROR(IF(OR(HLOOKUP($A794,#REF!,8,FALSE())&gt;2,HLOOKUP($A794,#REF!,8,FALSE())&lt;-2),"",#REF!),"")</f>
        <v/>
      </c>
      <c r="K794" s="0" t="str">
        <f aca="false">IFERROR(IF(OR(HLOOKUP($A794,#REF!,9,FALSE())&gt;2,HLOOKUP($A794,#REF!,9,FALSE())&lt;-2),"",#REF!),"")</f>
        <v/>
      </c>
      <c r="L794" s="0" t="str">
        <f aca="false">IFERROR(IF(OR(HLOOKUP($A794,#REF!,10,FALSE())&gt;2,HLOOKUP($A794,#REF!,10,FALSE())&lt;-2),"",#REF!),"")</f>
        <v/>
      </c>
      <c r="M794" s="0" t="str">
        <f aca="false">IFERROR(IF(OR(HLOOKUP($A794,#REF!,11,FALSE())&gt;2,HLOOKUP($A794,#REF!,11,FALSE())&lt;-2),"",#REF!),"")</f>
        <v/>
      </c>
      <c r="N794" s="0" t="str">
        <f aca="false">IFERROR(IF(OR(HLOOKUP($A794,#REF!,12,FALSE())&gt;2,HLOOKUP($A794,#REF!,12,FALSE())&lt;-2),"",#REF!),"")</f>
        <v/>
      </c>
      <c r="O794" s="0" t="str">
        <f aca="false">IFERROR(IF(OR(HLOOKUP($A794,#REF!,13,FALSE())&gt;2,HLOOKUP($A794,#REF!,13,FALSE())&lt;-2),"",#REF!),"")</f>
        <v/>
      </c>
      <c r="P794" s="0" t="str">
        <f aca="false">IFERROR(IF(OR(HLOOKUP($A794,#REF!,14,FALSE())&gt;2,HLOOKUP($A794,#REF!,14,FALSE())&lt;-2),"",#REF!),"")</f>
        <v/>
      </c>
      <c r="Q794" s="0" t="str">
        <f aca="false">IFERROR(IF(OR(HLOOKUP($A794,#REF!,15,FALSE())&gt;2,HLOOKUP($A794,#REF!,15,FALSE())&lt;-2),"",#REF!),"")</f>
        <v/>
      </c>
      <c r="R794" s="0" t="str">
        <f aca="false">IFERROR(IF(OR(HLOOKUP($A794,#REF!,16,FALSE())&gt;2,HLOOKUP($A794,#REF!,16,FALSE())&lt;-2),"",#REF!),"")</f>
        <v/>
      </c>
      <c r="S794" s="0" t="str">
        <f aca="false">IFERROR(IF(OR(HLOOKUP($A794,#REF!,17,FALSE())&gt;2,HLOOKUP($A794,#REF!,17,FALSE())&lt;-2),"",#REF!),"")</f>
        <v/>
      </c>
      <c r="T794" s="0" t="str">
        <f aca="false">IFERROR(IF(OR(HLOOKUP($A794,#REF!,18,FALSE())&gt;2,HLOOKUP($A794,#REF!,18,FALSE())&lt;-2),"",#REF!),"")</f>
        <v/>
      </c>
      <c r="U794" s="0" t="str">
        <f aca="false">IFERROR(IF(OR(HLOOKUP($A794,#REF!,19,FALSE())&gt;2,HLOOKUP($A794,#REF!,19,FALSE())&lt;-2),"",#REF!),"")</f>
        <v/>
      </c>
      <c r="V794" s="0" t="n">
        <f aca="false">IFERROR(IF(AND(X794=0,Y794=0),0,1),0)</f>
        <v>1</v>
      </c>
      <c r="W794" s="3" t="str">
        <f aca="false">IFERROR(_xlfn.T.TEST(E794:M794,N794:U794,2,2),"")</f>
        <v/>
      </c>
      <c r="X794" s="0" t="str">
        <f aca="false">IFERROR(AVERAGE(E794:M794),"")</f>
        <v/>
      </c>
      <c r="Y794" s="0" t="str">
        <f aca="false">IFERROR(AVERAGE(N794:U794),"")</f>
        <v/>
      </c>
    </row>
    <row r="795" customFormat="false" ht="14.5" hidden="false" customHeight="false" outlineLevel="0" collapsed="false">
      <c r="A795" s="0" t="n">
        <v>803</v>
      </c>
      <c r="B795" s="0" t="s">
        <v>851</v>
      </c>
      <c r="C795" s="0" t="n">
        <v>51600</v>
      </c>
      <c r="D795" s="0" t="n">
        <v>623</v>
      </c>
      <c r="E795" s="0" t="str">
        <f aca="false">IFERROR(IF(OR(HLOOKUP($A795,#REF!,3,FALSE())&gt;2,HLOOKUP(A795,#REF!,3,FALSE())&lt;-2),"",#REF!),"")</f>
        <v/>
      </c>
      <c r="F795" s="0" t="str">
        <f aca="false">IFERROR(IF(OR(HLOOKUP($A795,#REF!,4,FALSE())&gt;2,HLOOKUP($A795,#REF!,4,FALSE())&lt;-2),"",#REF!),"")</f>
        <v/>
      </c>
      <c r="G795" s="0" t="str">
        <f aca="false">IFERROR(IF(OR(HLOOKUP($A795,#REF!,5,FALSE())&gt;2,HLOOKUP($A795,#REF!,5,FALSE())&lt;-2),"",#REF!),"")</f>
        <v/>
      </c>
      <c r="H795" s="0" t="str">
        <f aca="false">IFERROR(IF(OR(HLOOKUP($A795,#REF!,6,FALSE())&gt;2,HLOOKUP($A795,#REF!,6,FALSE())&lt;-2),"",#REF!),"")</f>
        <v/>
      </c>
      <c r="I795" s="0" t="str">
        <f aca="false">IFERROR(IF(OR(HLOOKUP($A795,#REF!,7,FALSE())&gt;2,HLOOKUP($A795,#REF!,7,FALSE())&lt;-2),"",#REF!),"")</f>
        <v/>
      </c>
      <c r="J795" s="0" t="str">
        <f aca="false">IFERROR(IF(OR(HLOOKUP($A795,#REF!,8,FALSE())&gt;2,HLOOKUP($A795,#REF!,8,FALSE())&lt;-2),"",#REF!),"")</f>
        <v/>
      </c>
      <c r="K795" s="0" t="str">
        <f aca="false">IFERROR(IF(OR(HLOOKUP($A795,#REF!,9,FALSE())&gt;2,HLOOKUP($A795,#REF!,9,FALSE())&lt;-2),"",#REF!),"")</f>
        <v/>
      </c>
      <c r="L795" s="0" t="str">
        <f aca="false">IFERROR(IF(OR(HLOOKUP($A795,#REF!,10,FALSE())&gt;2,HLOOKUP($A795,#REF!,10,FALSE())&lt;-2),"",#REF!),"")</f>
        <v/>
      </c>
      <c r="M795" s="0" t="str">
        <f aca="false">IFERROR(IF(OR(HLOOKUP($A795,#REF!,11,FALSE())&gt;2,HLOOKUP($A795,#REF!,11,FALSE())&lt;-2),"",#REF!),"")</f>
        <v/>
      </c>
      <c r="N795" s="0" t="str">
        <f aca="false">IFERROR(IF(OR(HLOOKUP($A795,#REF!,12,FALSE())&gt;2,HLOOKUP($A795,#REF!,12,FALSE())&lt;-2),"",#REF!),"")</f>
        <v/>
      </c>
      <c r="O795" s="0" t="str">
        <f aca="false">IFERROR(IF(OR(HLOOKUP($A795,#REF!,13,FALSE())&gt;2,HLOOKUP($A795,#REF!,13,FALSE())&lt;-2),"",#REF!),"")</f>
        <v/>
      </c>
      <c r="P795" s="0" t="str">
        <f aca="false">IFERROR(IF(OR(HLOOKUP($A795,#REF!,14,FALSE())&gt;2,HLOOKUP($A795,#REF!,14,FALSE())&lt;-2),"",#REF!),"")</f>
        <v/>
      </c>
      <c r="Q795" s="0" t="str">
        <f aca="false">IFERROR(IF(OR(HLOOKUP($A795,#REF!,15,FALSE())&gt;2,HLOOKUP($A795,#REF!,15,FALSE())&lt;-2),"",#REF!),"")</f>
        <v/>
      </c>
      <c r="R795" s="0" t="str">
        <f aca="false">IFERROR(IF(OR(HLOOKUP($A795,#REF!,16,FALSE())&gt;2,HLOOKUP($A795,#REF!,16,FALSE())&lt;-2),"",#REF!),"")</f>
        <v/>
      </c>
      <c r="S795" s="0" t="str">
        <f aca="false">IFERROR(IF(OR(HLOOKUP($A795,#REF!,17,FALSE())&gt;2,HLOOKUP($A795,#REF!,17,FALSE())&lt;-2),"",#REF!),"")</f>
        <v/>
      </c>
      <c r="T795" s="0" t="str">
        <f aca="false">IFERROR(IF(OR(HLOOKUP($A795,#REF!,18,FALSE())&gt;2,HLOOKUP($A795,#REF!,18,FALSE())&lt;-2),"",#REF!),"")</f>
        <v/>
      </c>
      <c r="U795" s="0" t="str">
        <f aca="false">IFERROR(IF(OR(HLOOKUP($A795,#REF!,19,FALSE())&gt;2,HLOOKUP($A795,#REF!,19,FALSE())&lt;-2),"",#REF!),"")</f>
        <v/>
      </c>
      <c r="V795" s="0" t="n">
        <f aca="false">IFERROR(IF(AND(X795=0,Y795=0),0,1),0)</f>
        <v>1</v>
      </c>
      <c r="W795" s="3" t="str">
        <f aca="false">IFERROR(_xlfn.T.TEST(E795:M795,N795:U795,2,2),"")</f>
        <v/>
      </c>
      <c r="X795" s="0" t="str">
        <f aca="false">IFERROR(AVERAGE(E795:M795),"")</f>
        <v/>
      </c>
      <c r="Y795" s="0" t="str">
        <f aca="false">IFERROR(AVERAGE(N795:U795),"")</f>
        <v/>
      </c>
    </row>
    <row r="796" customFormat="false" ht="14.5" hidden="false" customHeight="false" outlineLevel="0" collapsed="false">
      <c r="A796" s="0" t="n">
        <v>804</v>
      </c>
      <c r="B796" s="0" t="s">
        <v>852</v>
      </c>
      <c r="C796" s="0" t="n">
        <v>78300</v>
      </c>
      <c r="D796" s="0" t="n">
        <v>797</v>
      </c>
      <c r="E796" s="0" t="str">
        <f aca="false">IFERROR(IF(OR(HLOOKUP($A796,#REF!,3,FALSE())&gt;2,HLOOKUP(A796,#REF!,3,FALSE())&lt;-2),"",#REF!),"")</f>
        <v/>
      </c>
      <c r="F796" s="0" t="str">
        <f aca="false">IFERROR(IF(OR(HLOOKUP($A796,#REF!,4,FALSE())&gt;2,HLOOKUP($A796,#REF!,4,FALSE())&lt;-2),"",#REF!),"")</f>
        <v/>
      </c>
      <c r="G796" s="0" t="str">
        <f aca="false">IFERROR(IF(OR(HLOOKUP($A796,#REF!,5,FALSE())&gt;2,HLOOKUP($A796,#REF!,5,FALSE())&lt;-2),"",#REF!),"")</f>
        <v/>
      </c>
      <c r="H796" s="0" t="str">
        <f aca="false">IFERROR(IF(OR(HLOOKUP($A796,#REF!,6,FALSE())&gt;2,HLOOKUP($A796,#REF!,6,FALSE())&lt;-2),"",#REF!),"")</f>
        <v/>
      </c>
      <c r="I796" s="0" t="str">
        <f aca="false">IFERROR(IF(OR(HLOOKUP($A796,#REF!,7,FALSE())&gt;2,HLOOKUP($A796,#REF!,7,FALSE())&lt;-2),"",#REF!),"")</f>
        <v/>
      </c>
      <c r="J796" s="0" t="str">
        <f aca="false">IFERROR(IF(OR(HLOOKUP($A796,#REF!,8,FALSE())&gt;2,HLOOKUP($A796,#REF!,8,FALSE())&lt;-2),"",#REF!),"")</f>
        <v/>
      </c>
      <c r="K796" s="0" t="str">
        <f aca="false">IFERROR(IF(OR(HLOOKUP($A796,#REF!,9,FALSE())&gt;2,HLOOKUP($A796,#REF!,9,FALSE())&lt;-2),"",#REF!),"")</f>
        <v/>
      </c>
      <c r="L796" s="0" t="str">
        <f aca="false">IFERROR(IF(OR(HLOOKUP($A796,#REF!,10,FALSE())&gt;2,HLOOKUP($A796,#REF!,10,FALSE())&lt;-2),"",#REF!),"")</f>
        <v/>
      </c>
      <c r="M796" s="0" t="str">
        <f aca="false">IFERROR(IF(OR(HLOOKUP($A796,#REF!,11,FALSE())&gt;2,HLOOKUP($A796,#REF!,11,FALSE())&lt;-2),"",#REF!),"")</f>
        <v/>
      </c>
      <c r="N796" s="0" t="str">
        <f aca="false">IFERROR(IF(OR(HLOOKUP($A796,#REF!,12,FALSE())&gt;2,HLOOKUP($A796,#REF!,12,FALSE())&lt;-2),"",#REF!),"")</f>
        <v/>
      </c>
      <c r="O796" s="0" t="str">
        <f aca="false">IFERROR(IF(OR(HLOOKUP($A796,#REF!,13,FALSE())&gt;2,HLOOKUP($A796,#REF!,13,FALSE())&lt;-2),"",#REF!),"")</f>
        <v/>
      </c>
      <c r="P796" s="0" t="str">
        <f aca="false">IFERROR(IF(OR(HLOOKUP($A796,#REF!,14,FALSE())&gt;2,HLOOKUP($A796,#REF!,14,FALSE())&lt;-2),"",#REF!),"")</f>
        <v/>
      </c>
      <c r="Q796" s="0" t="str">
        <f aca="false">IFERROR(IF(OR(HLOOKUP($A796,#REF!,15,FALSE())&gt;2,HLOOKUP($A796,#REF!,15,FALSE())&lt;-2),"",#REF!),"")</f>
        <v/>
      </c>
      <c r="R796" s="0" t="str">
        <f aca="false">IFERROR(IF(OR(HLOOKUP($A796,#REF!,16,FALSE())&gt;2,HLOOKUP($A796,#REF!,16,FALSE())&lt;-2),"",#REF!),"")</f>
        <v/>
      </c>
      <c r="S796" s="0" t="str">
        <f aca="false">IFERROR(IF(OR(HLOOKUP($A796,#REF!,17,FALSE())&gt;2,HLOOKUP($A796,#REF!,17,FALSE())&lt;-2),"",#REF!),"")</f>
        <v/>
      </c>
      <c r="T796" s="0" t="str">
        <f aca="false">IFERROR(IF(OR(HLOOKUP($A796,#REF!,18,FALSE())&gt;2,HLOOKUP($A796,#REF!,18,FALSE())&lt;-2),"",#REF!),"")</f>
        <v/>
      </c>
      <c r="U796" s="0" t="str">
        <f aca="false">IFERROR(IF(OR(HLOOKUP($A796,#REF!,19,FALSE())&gt;2,HLOOKUP($A796,#REF!,19,FALSE())&lt;-2),"",#REF!),"")</f>
        <v/>
      </c>
      <c r="V796" s="0" t="n">
        <f aca="false">IFERROR(IF(AND(X796=0,Y796=0),0,1),0)</f>
        <v>1</v>
      </c>
      <c r="W796" s="3" t="str">
        <f aca="false">IFERROR(_xlfn.T.TEST(E796:M796,N796:U796,2,2),"")</f>
        <v/>
      </c>
      <c r="X796" s="0" t="str">
        <f aca="false">IFERROR(AVERAGE(E796:M796),"")</f>
        <v/>
      </c>
      <c r="Y796" s="0" t="str">
        <f aca="false">IFERROR(AVERAGE(N796:U796),"")</f>
        <v/>
      </c>
    </row>
    <row r="797" customFormat="false" ht="14.5" hidden="false" customHeight="false" outlineLevel="0" collapsed="false">
      <c r="A797" s="0" t="n">
        <v>805</v>
      </c>
      <c r="B797" s="0" t="s">
        <v>853</v>
      </c>
      <c r="C797" s="0" t="n">
        <v>17700</v>
      </c>
      <c r="D797" s="0" t="n">
        <v>533</v>
      </c>
      <c r="E797" s="0" t="str">
        <f aca="false">IFERROR(IF(OR(HLOOKUP($A797,#REF!,3,FALSE())&gt;2,HLOOKUP(A797,#REF!,3,FALSE())&lt;-2),"",#REF!),"")</f>
        <v/>
      </c>
      <c r="F797" s="0" t="str">
        <f aca="false">IFERROR(IF(OR(HLOOKUP($A797,#REF!,4,FALSE())&gt;2,HLOOKUP($A797,#REF!,4,FALSE())&lt;-2),"",#REF!),"")</f>
        <v/>
      </c>
      <c r="G797" s="0" t="str">
        <f aca="false">IFERROR(IF(OR(HLOOKUP($A797,#REF!,5,FALSE())&gt;2,HLOOKUP($A797,#REF!,5,FALSE())&lt;-2),"",#REF!),"")</f>
        <v/>
      </c>
      <c r="H797" s="0" t="str">
        <f aca="false">IFERROR(IF(OR(HLOOKUP($A797,#REF!,6,FALSE())&gt;2,HLOOKUP($A797,#REF!,6,FALSE())&lt;-2),"",#REF!),"")</f>
        <v/>
      </c>
      <c r="I797" s="0" t="str">
        <f aca="false">IFERROR(IF(OR(HLOOKUP($A797,#REF!,7,FALSE())&gt;2,HLOOKUP($A797,#REF!,7,FALSE())&lt;-2),"",#REF!),"")</f>
        <v/>
      </c>
      <c r="J797" s="0" t="str">
        <f aca="false">IFERROR(IF(OR(HLOOKUP($A797,#REF!,8,FALSE())&gt;2,HLOOKUP($A797,#REF!,8,FALSE())&lt;-2),"",#REF!),"")</f>
        <v/>
      </c>
      <c r="K797" s="0" t="str">
        <f aca="false">IFERROR(IF(OR(HLOOKUP($A797,#REF!,9,FALSE())&gt;2,HLOOKUP($A797,#REF!,9,FALSE())&lt;-2),"",#REF!),"")</f>
        <v/>
      </c>
      <c r="L797" s="0" t="str">
        <f aca="false">IFERROR(IF(OR(HLOOKUP($A797,#REF!,10,FALSE())&gt;2,HLOOKUP($A797,#REF!,10,FALSE())&lt;-2),"",#REF!),"")</f>
        <v/>
      </c>
      <c r="M797" s="0" t="str">
        <f aca="false">IFERROR(IF(OR(HLOOKUP($A797,#REF!,11,FALSE())&gt;2,HLOOKUP($A797,#REF!,11,FALSE())&lt;-2),"",#REF!),"")</f>
        <v/>
      </c>
      <c r="N797" s="0" t="str">
        <f aca="false">IFERROR(IF(OR(HLOOKUP($A797,#REF!,12,FALSE())&gt;2,HLOOKUP($A797,#REF!,12,FALSE())&lt;-2),"",#REF!),"")</f>
        <v/>
      </c>
      <c r="O797" s="0" t="str">
        <f aca="false">IFERROR(IF(OR(HLOOKUP($A797,#REF!,13,FALSE())&gt;2,HLOOKUP($A797,#REF!,13,FALSE())&lt;-2),"",#REF!),"")</f>
        <v/>
      </c>
      <c r="P797" s="0" t="str">
        <f aca="false">IFERROR(IF(OR(HLOOKUP($A797,#REF!,14,FALSE())&gt;2,HLOOKUP($A797,#REF!,14,FALSE())&lt;-2),"",#REF!),"")</f>
        <v/>
      </c>
      <c r="Q797" s="0" t="str">
        <f aca="false">IFERROR(IF(OR(HLOOKUP($A797,#REF!,15,FALSE())&gt;2,HLOOKUP($A797,#REF!,15,FALSE())&lt;-2),"",#REF!),"")</f>
        <v/>
      </c>
      <c r="R797" s="0" t="str">
        <f aca="false">IFERROR(IF(OR(HLOOKUP($A797,#REF!,16,FALSE())&gt;2,HLOOKUP($A797,#REF!,16,FALSE())&lt;-2),"",#REF!),"")</f>
        <v/>
      </c>
      <c r="S797" s="0" t="str">
        <f aca="false">IFERROR(IF(OR(HLOOKUP($A797,#REF!,17,FALSE())&gt;2,HLOOKUP($A797,#REF!,17,FALSE())&lt;-2),"",#REF!),"")</f>
        <v/>
      </c>
      <c r="T797" s="0" t="str">
        <f aca="false">IFERROR(IF(OR(HLOOKUP($A797,#REF!,18,FALSE())&gt;2,HLOOKUP($A797,#REF!,18,FALSE())&lt;-2),"",#REF!),"")</f>
        <v/>
      </c>
      <c r="U797" s="0" t="str">
        <f aca="false">IFERROR(IF(OR(HLOOKUP($A797,#REF!,19,FALSE())&gt;2,HLOOKUP($A797,#REF!,19,FALSE())&lt;-2),"",#REF!),"")</f>
        <v/>
      </c>
      <c r="V797" s="0" t="n">
        <f aca="false">IFERROR(IF(AND(X797=0,Y797=0),0,1),0)</f>
        <v>1</v>
      </c>
      <c r="W797" s="3" t="str">
        <f aca="false">IFERROR(_xlfn.T.TEST(E797:M797,N797:U797,2,2),"")</f>
        <v/>
      </c>
      <c r="X797" s="0" t="str">
        <f aca="false">IFERROR(AVERAGE(E797:M797),"")</f>
        <v/>
      </c>
      <c r="Y797" s="0" t="str">
        <f aca="false">IFERROR(AVERAGE(N797:U797),"")</f>
        <v/>
      </c>
    </row>
    <row r="798" customFormat="false" ht="14.5" hidden="false" customHeight="false" outlineLevel="0" collapsed="false">
      <c r="A798" s="0" t="n">
        <v>806</v>
      </c>
      <c r="B798" s="0" t="s">
        <v>854</v>
      </c>
      <c r="C798" s="0" t="n">
        <v>7900</v>
      </c>
      <c r="D798" s="0" t="n">
        <v>378</v>
      </c>
      <c r="E798" s="0" t="str">
        <f aca="false">IFERROR(IF(OR(HLOOKUP($A798,#REF!,3,FALSE())&gt;2,HLOOKUP(A798,#REF!,3,FALSE())&lt;-2),"",#REF!),"")</f>
        <v/>
      </c>
      <c r="F798" s="0" t="str">
        <f aca="false">IFERROR(IF(OR(HLOOKUP($A798,#REF!,4,FALSE())&gt;2,HLOOKUP($A798,#REF!,4,FALSE())&lt;-2),"",#REF!),"")</f>
        <v/>
      </c>
      <c r="G798" s="0" t="str">
        <f aca="false">IFERROR(IF(OR(HLOOKUP($A798,#REF!,5,FALSE())&gt;2,HLOOKUP($A798,#REF!,5,FALSE())&lt;-2),"",#REF!),"")</f>
        <v/>
      </c>
      <c r="H798" s="0" t="str">
        <f aca="false">IFERROR(IF(OR(HLOOKUP($A798,#REF!,6,FALSE())&gt;2,HLOOKUP($A798,#REF!,6,FALSE())&lt;-2),"",#REF!),"")</f>
        <v/>
      </c>
      <c r="I798" s="0" t="str">
        <f aca="false">IFERROR(IF(OR(HLOOKUP($A798,#REF!,7,FALSE())&gt;2,HLOOKUP($A798,#REF!,7,FALSE())&lt;-2),"",#REF!),"")</f>
        <v/>
      </c>
      <c r="J798" s="0" t="str">
        <f aca="false">IFERROR(IF(OR(HLOOKUP($A798,#REF!,8,FALSE())&gt;2,HLOOKUP($A798,#REF!,8,FALSE())&lt;-2),"",#REF!),"")</f>
        <v/>
      </c>
      <c r="K798" s="0" t="str">
        <f aca="false">IFERROR(IF(OR(HLOOKUP($A798,#REF!,9,FALSE())&gt;2,HLOOKUP($A798,#REF!,9,FALSE())&lt;-2),"",#REF!),"")</f>
        <v/>
      </c>
      <c r="L798" s="0" t="str">
        <f aca="false">IFERROR(IF(OR(HLOOKUP($A798,#REF!,10,FALSE())&gt;2,HLOOKUP($A798,#REF!,10,FALSE())&lt;-2),"",#REF!),"")</f>
        <v/>
      </c>
      <c r="M798" s="0" t="str">
        <f aca="false">IFERROR(IF(OR(HLOOKUP($A798,#REF!,11,FALSE())&gt;2,HLOOKUP($A798,#REF!,11,FALSE())&lt;-2),"",#REF!),"")</f>
        <v/>
      </c>
      <c r="N798" s="0" t="str">
        <f aca="false">IFERROR(IF(OR(HLOOKUP($A798,#REF!,12,FALSE())&gt;2,HLOOKUP($A798,#REF!,12,FALSE())&lt;-2),"",#REF!),"")</f>
        <v/>
      </c>
      <c r="O798" s="0" t="str">
        <f aca="false">IFERROR(IF(OR(HLOOKUP($A798,#REF!,13,FALSE())&gt;2,HLOOKUP($A798,#REF!,13,FALSE())&lt;-2),"",#REF!),"")</f>
        <v/>
      </c>
      <c r="P798" s="0" t="str">
        <f aca="false">IFERROR(IF(OR(HLOOKUP($A798,#REF!,14,FALSE())&gt;2,HLOOKUP($A798,#REF!,14,FALSE())&lt;-2),"",#REF!),"")</f>
        <v/>
      </c>
      <c r="Q798" s="0" t="str">
        <f aca="false">IFERROR(IF(OR(HLOOKUP($A798,#REF!,15,FALSE())&gt;2,HLOOKUP($A798,#REF!,15,FALSE())&lt;-2),"",#REF!),"")</f>
        <v/>
      </c>
      <c r="R798" s="0" t="str">
        <f aca="false">IFERROR(IF(OR(HLOOKUP($A798,#REF!,16,FALSE())&gt;2,HLOOKUP($A798,#REF!,16,FALSE())&lt;-2),"",#REF!),"")</f>
        <v/>
      </c>
      <c r="S798" s="0" t="str">
        <f aca="false">IFERROR(IF(OR(HLOOKUP($A798,#REF!,17,FALSE())&gt;2,HLOOKUP($A798,#REF!,17,FALSE())&lt;-2),"",#REF!),"")</f>
        <v/>
      </c>
      <c r="T798" s="0" t="str">
        <f aca="false">IFERROR(IF(OR(HLOOKUP($A798,#REF!,18,FALSE())&gt;2,HLOOKUP($A798,#REF!,18,FALSE())&lt;-2),"",#REF!),"")</f>
        <v/>
      </c>
      <c r="U798" s="0" t="str">
        <f aca="false">IFERROR(IF(OR(HLOOKUP($A798,#REF!,19,FALSE())&gt;2,HLOOKUP($A798,#REF!,19,FALSE())&lt;-2),"",#REF!),"")</f>
        <v/>
      </c>
      <c r="V798" s="0" t="n">
        <f aca="false">IFERROR(IF(AND(X798=0,Y798=0),0,1),0)</f>
        <v>1</v>
      </c>
      <c r="W798" s="3" t="str">
        <f aca="false">IFERROR(_xlfn.T.TEST(E798:M798,N798:U798,2,2),"")</f>
        <v/>
      </c>
      <c r="X798" s="0" t="str">
        <f aca="false">IFERROR(AVERAGE(E798:M798),"")</f>
        <v/>
      </c>
      <c r="Y798" s="0" t="str">
        <f aca="false">IFERROR(AVERAGE(N798:U798),"")</f>
        <v/>
      </c>
    </row>
    <row r="799" customFormat="false" ht="14.5" hidden="false" customHeight="false" outlineLevel="0" collapsed="false">
      <c r="A799" s="0" t="n">
        <v>807</v>
      </c>
      <c r="B799" s="0" t="s">
        <v>855</v>
      </c>
      <c r="C799" s="0" t="n">
        <v>40700</v>
      </c>
      <c r="D799" s="0" t="n">
        <v>799</v>
      </c>
      <c r="E799" s="0" t="str">
        <f aca="false">IFERROR(IF(OR(HLOOKUP($A799,#REF!,3,FALSE())&gt;2,HLOOKUP(A799,#REF!,3,FALSE())&lt;-2),"",#REF!),"")</f>
        <v/>
      </c>
      <c r="F799" s="0" t="str">
        <f aca="false">IFERROR(IF(OR(HLOOKUP($A799,#REF!,4,FALSE())&gt;2,HLOOKUP($A799,#REF!,4,FALSE())&lt;-2),"",#REF!),"")</f>
        <v/>
      </c>
      <c r="G799" s="0" t="str">
        <f aca="false">IFERROR(IF(OR(HLOOKUP($A799,#REF!,5,FALSE())&gt;2,HLOOKUP($A799,#REF!,5,FALSE())&lt;-2),"",#REF!),"")</f>
        <v/>
      </c>
      <c r="H799" s="0" t="str">
        <f aca="false">IFERROR(IF(OR(HLOOKUP($A799,#REF!,6,FALSE())&gt;2,HLOOKUP($A799,#REF!,6,FALSE())&lt;-2),"",#REF!),"")</f>
        <v/>
      </c>
      <c r="I799" s="0" t="str">
        <f aca="false">IFERROR(IF(OR(HLOOKUP($A799,#REF!,7,FALSE())&gt;2,HLOOKUP($A799,#REF!,7,FALSE())&lt;-2),"",#REF!),"")</f>
        <v/>
      </c>
      <c r="J799" s="0" t="str">
        <f aca="false">IFERROR(IF(OR(HLOOKUP($A799,#REF!,8,FALSE())&gt;2,HLOOKUP($A799,#REF!,8,FALSE())&lt;-2),"",#REF!),"")</f>
        <v/>
      </c>
      <c r="K799" s="0" t="str">
        <f aca="false">IFERROR(IF(OR(HLOOKUP($A799,#REF!,9,FALSE())&gt;2,HLOOKUP($A799,#REF!,9,FALSE())&lt;-2),"",#REF!),"")</f>
        <v/>
      </c>
      <c r="L799" s="0" t="str">
        <f aca="false">IFERROR(IF(OR(HLOOKUP($A799,#REF!,10,FALSE())&gt;2,HLOOKUP($A799,#REF!,10,FALSE())&lt;-2),"",#REF!),"")</f>
        <v/>
      </c>
      <c r="M799" s="0" t="str">
        <f aca="false">IFERROR(IF(OR(HLOOKUP($A799,#REF!,11,FALSE())&gt;2,HLOOKUP($A799,#REF!,11,FALSE())&lt;-2),"",#REF!),"")</f>
        <v/>
      </c>
      <c r="N799" s="0" t="str">
        <f aca="false">IFERROR(IF(OR(HLOOKUP($A799,#REF!,12,FALSE())&gt;2,HLOOKUP($A799,#REF!,12,FALSE())&lt;-2),"",#REF!),"")</f>
        <v/>
      </c>
      <c r="O799" s="0" t="str">
        <f aca="false">IFERROR(IF(OR(HLOOKUP($A799,#REF!,13,FALSE())&gt;2,HLOOKUP($A799,#REF!,13,FALSE())&lt;-2),"",#REF!),"")</f>
        <v/>
      </c>
      <c r="P799" s="0" t="str">
        <f aca="false">IFERROR(IF(OR(HLOOKUP($A799,#REF!,14,FALSE())&gt;2,HLOOKUP($A799,#REF!,14,FALSE())&lt;-2),"",#REF!),"")</f>
        <v/>
      </c>
      <c r="Q799" s="0" t="str">
        <f aca="false">IFERROR(IF(OR(HLOOKUP($A799,#REF!,15,FALSE())&gt;2,HLOOKUP($A799,#REF!,15,FALSE())&lt;-2),"",#REF!),"")</f>
        <v/>
      </c>
      <c r="R799" s="0" t="str">
        <f aca="false">IFERROR(IF(OR(HLOOKUP($A799,#REF!,16,FALSE())&gt;2,HLOOKUP($A799,#REF!,16,FALSE())&lt;-2),"",#REF!),"")</f>
        <v/>
      </c>
      <c r="S799" s="0" t="str">
        <f aca="false">IFERROR(IF(OR(HLOOKUP($A799,#REF!,17,FALSE())&gt;2,HLOOKUP($A799,#REF!,17,FALSE())&lt;-2),"",#REF!),"")</f>
        <v/>
      </c>
      <c r="T799" s="0" t="str">
        <f aca="false">IFERROR(IF(OR(HLOOKUP($A799,#REF!,18,FALSE())&gt;2,HLOOKUP($A799,#REF!,18,FALSE())&lt;-2),"",#REF!),"")</f>
        <v/>
      </c>
      <c r="U799" s="0" t="str">
        <f aca="false">IFERROR(IF(OR(HLOOKUP($A799,#REF!,19,FALSE())&gt;2,HLOOKUP($A799,#REF!,19,FALSE())&lt;-2),"",#REF!),"")</f>
        <v/>
      </c>
      <c r="V799" s="0" t="n">
        <f aca="false">IFERROR(IF(AND(X799=0,Y799=0),0,1),0)</f>
        <v>1</v>
      </c>
      <c r="W799" s="3" t="str">
        <f aca="false">IFERROR(_xlfn.T.TEST(E799:M799,N799:U799,2,2),"")</f>
        <v/>
      </c>
      <c r="X799" s="0" t="str">
        <f aca="false">IFERROR(AVERAGE(E799:M799),"")</f>
        <v/>
      </c>
      <c r="Y799" s="0" t="str">
        <f aca="false">IFERROR(AVERAGE(N799:U799),"")</f>
        <v/>
      </c>
    </row>
    <row r="800" customFormat="false" ht="14.5" hidden="false" customHeight="false" outlineLevel="0" collapsed="false">
      <c r="A800" s="0" t="n">
        <v>808</v>
      </c>
      <c r="B800" s="0" t="s">
        <v>856</v>
      </c>
      <c r="C800" s="0" t="n">
        <v>101400</v>
      </c>
      <c r="D800" s="0" t="n">
        <v>967</v>
      </c>
      <c r="E800" s="0" t="str">
        <f aca="false">IFERROR(IF(OR(HLOOKUP($A800,#REF!,3,FALSE())&gt;2,HLOOKUP(A800,#REF!,3,FALSE())&lt;-2),"",#REF!),"")</f>
        <v/>
      </c>
      <c r="F800" s="0" t="str">
        <f aca="false">IFERROR(IF(OR(HLOOKUP($A800,#REF!,4,FALSE())&gt;2,HLOOKUP($A800,#REF!,4,FALSE())&lt;-2),"",#REF!),"")</f>
        <v/>
      </c>
      <c r="G800" s="0" t="str">
        <f aca="false">IFERROR(IF(OR(HLOOKUP($A800,#REF!,5,FALSE())&gt;2,HLOOKUP($A800,#REF!,5,FALSE())&lt;-2),"",#REF!),"")</f>
        <v/>
      </c>
      <c r="H800" s="0" t="str">
        <f aca="false">IFERROR(IF(OR(HLOOKUP($A800,#REF!,6,FALSE())&gt;2,HLOOKUP($A800,#REF!,6,FALSE())&lt;-2),"",#REF!),"")</f>
        <v/>
      </c>
      <c r="I800" s="0" t="str">
        <f aca="false">IFERROR(IF(OR(HLOOKUP($A800,#REF!,7,FALSE())&gt;2,HLOOKUP($A800,#REF!,7,FALSE())&lt;-2),"",#REF!),"")</f>
        <v/>
      </c>
      <c r="J800" s="0" t="str">
        <f aca="false">IFERROR(IF(OR(HLOOKUP($A800,#REF!,8,FALSE())&gt;2,HLOOKUP($A800,#REF!,8,FALSE())&lt;-2),"",#REF!),"")</f>
        <v/>
      </c>
      <c r="K800" s="0" t="str">
        <f aca="false">IFERROR(IF(OR(HLOOKUP($A800,#REF!,9,FALSE())&gt;2,HLOOKUP($A800,#REF!,9,FALSE())&lt;-2),"",#REF!),"")</f>
        <v/>
      </c>
      <c r="L800" s="0" t="str">
        <f aca="false">IFERROR(IF(OR(HLOOKUP($A800,#REF!,10,FALSE())&gt;2,HLOOKUP($A800,#REF!,10,FALSE())&lt;-2),"",#REF!),"")</f>
        <v/>
      </c>
      <c r="M800" s="0" t="str">
        <f aca="false">IFERROR(IF(OR(HLOOKUP($A800,#REF!,11,FALSE())&gt;2,HLOOKUP($A800,#REF!,11,FALSE())&lt;-2),"",#REF!),"")</f>
        <v/>
      </c>
      <c r="N800" s="0" t="str">
        <f aca="false">IFERROR(IF(OR(HLOOKUP($A800,#REF!,12,FALSE())&gt;2,HLOOKUP($A800,#REF!,12,FALSE())&lt;-2),"",#REF!),"")</f>
        <v/>
      </c>
      <c r="O800" s="0" t="str">
        <f aca="false">IFERROR(IF(OR(HLOOKUP($A800,#REF!,13,FALSE())&gt;2,HLOOKUP($A800,#REF!,13,FALSE())&lt;-2),"",#REF!),"")</f>
        <v/>
      </c>
      <c r="P800" s="0" t="str">
        <f aca="false">IFERROR(IF(OR(HLOOKUP($A800,#REF!,14,FALSE())&gt;2,HLOOKUP($A800,#REF!,14,FALSE())&lt;-2),"",#REF!),"")</f>
        <v/>
      </c>
      <c r="Q800" s="0" t="str">
        <f aca="false">IFERROR(IF(OR(HLOOKUP($A800,#REF!,15,FALSE())&gt;2,HLOOKUP($A800,#REF!,15,FALSE())&lt;-2),"",#REF!),"")</f>
        <v/>
      </c>
      <c r="R800" s="0" t="str">
        <f aca="false">IFERROR(IF(OR(HLOOKUP($A800,#REF!,16,FALSE())&gt;2,HLOOKUP($A800,#REF!,16,FALSE())&lt;-2),"",#REF!),"")</f>
        <v/>
      </c>
      <c r="S800" s="0" t="str">
        <f aca="false">IFERROR(IF(OR(HLOOKUP($A800,#REF!,17,FALSE())&gt;2,HLOOKUP($A800,#REF!,17,FALSE())&lt;-2),"",#REF!),"")</f>
        <v/>
      </c>
      <c r="T800" s="0" t="str">
        <f aca="false">IFERROR(IF(OR(HLOOKUP($A800,#REF!,18,FALSE())&gt;2,HLOOKUP($A800,#REF!,18,FALSE())&lt;-2),"",#REF!),"")</f>
        <v/>
      </c>
      <c r="U800" s="0" t="str">
        <f aca="false">IFERROR(IF(OR(HLOOKUP($A800,#REF!,19,FALSE())&gt;2,HLOOKUP($A800,#REF!,19,FALSE())&lt;-2),"",#REF!),"")</f>
        <v/>
      </c>
      <c r="V800" s="0" t="n">
        <f aca="false">IFERROR(IF(AND(X800=0,Y800=0),0,1),0)</f>
        <v>1</v>
      </c>
      <c r="W800" s="3" t="str">
        <f aca="false">IFERROR(_xlfn.T.TEST(E800:M800,N800:U800,2,2),"")</f>
        <v/>
      </c>
      <c r="X800" s="0" t="str">
        <f aca="false">IFERROR(AVERAGE(E800:M800),"")</f>
        <v/>
      </c>
      <c r="Y800" s="0" t="str">
        <f aca="false">IFERROR(AVERAGE(N800:U800),"")</f>
        <v/>
      </c>
    </row>
    <row r="801" customFormat="false" ht="14.5" hidden="false" customHeight="false" outlineLevel="0" collapsed="false">
      <c r="A801" s="0" t="n">
        <v>809</v>
      </c>
      <c r="B801" s="0" t="s">
        <v>857</v>
      </c>
      <c r="C801" s="0" t="n">
        <v>52800</v>
      </c>
      <c r="D801" s="0" t="n">
        <v>803</v>
      </c>
      <c r="E801" s="0" t="str">
        <f aca="false">IFERROR(IF(OR(HLOOKUP($A801,#REF!,3,FALSE())&gt;2,HLOOKUP(A801,#REF!,3,FALSE())&lt;-2),"",#REF!),"")</f>
        <v/>
      </c>
      <c r="F801" s="0" t="str">
        <f aca="false">IFERROR(IF(OR(HLOOKUP($A801,#REF!,4,FALSE())&gt;2,HLOOKUP($A801,#REF!,4,FALSE())&lt;-2),"",#REF!),"")</f>
        <v/>
      </c>
      <c r="G801" s="0" t="str">
        <f aca="false">IFERROR(IF(OR(HLOOKUP($A801,#REF!,5,FALSE())&gt;2,HLOOKUP($A801,#REF!,5,FALSE())&lt;-2),"",#REF!),"")</f>
        <v/>
      </c>
      <c r="H801" s="0" t="str">
        <f aca="false">IFERROR(IF(OR(HLOOKUP($A801,#REF!,6,FALSE())&gt;2,HLOOKUP($A801,#REF!,6,FALSE())&lt;-2),"",#REF!),"")</f>
        <v/>
      </c>
      <c r="I801" s="0" t="str">
        <f aca="false">IFERROR(IF(OR(HLOOKUP($A801,#REF!,7,FALSE())&gt;2,HLOOKUP($A801,#REF!,7,FALSE())&lt;-2),"",#REF!),"")</f>
        <v/>
      </c>
      <c r="J801" s="0" t="str">
        <f aca="false">IFERROR(IF(OR(HLOOKUP($A801,#REF!,8,FALSE())&gt;2,HLOOKUP($A801,#REF!,8,FALSE())&lt;-2),"",#REF!),"")</f>
        <v/>
      </c>
      <c r="K801" s="0" t="str">
        <f aca="false">IFERROR(IF(OR(HLOOKUP($A801,#REF!,9,FALSE())&gt;2,HLOOKUP($A801,#REF!,9,FALSE())&lt;-2),"",#REF!),"")</f>
        <v/>
      </c>
      <c r="L801" s="0" t="str">
        <f aca="false">IFERROR(IF(OR(HLOOKUP($A801,#REF!,10,FALSE())&gt;2,HLOOKUP($A801,#REF!,10,FALSE())&lt;-2),"",#REF!),"")</f>
        <v/>
      </c>
      <c r="M801" s="0" t="str">
        <f aca="false">IFERROR(IF(OR(HLOOKUP($A801,#REF!,11,FALSE())&gt;2,HLOOKUP($A801,#REF!,11,FALSE())&lt;-2),"",#REF!),"")</f>
        <v/>
      </c>
      <c r="N801" s="0" t="str">
        <f aca="false">IFERROR(IF(OR(HLOOKUP($A801,#REF!,12,FALSE())&gt;2,HLOOKUP($A801,#REF!,12,FALSE())&lt;-2),"",#REF!),"")</f>
        <v/>
      </c>
      <c r="O801" s="0" t="str">
        <f aca="false">IFERROR(IF(OR(HLOOKUP($A801,#REF!,13,FALSE())&gt;2,HLOOKUP($A801,#REF!,13,FALSE())&lt;-2),"",#REF!),"")</f>
        <v/>
      </c>
      <c r="P801" s="0" t="str">
        <f aca="false">IFERROR(IF(OR(HLOOKUP($A801,#REF!,14,FALSE())&gt;2,HLOOKUP($A801,#REF!,14,FALSE())&lt;-2),"",#REF!),"")</f>
        <v/>
      </c>
      <c r="Q801" s="0" t="str">
        <f aca="false">IFERROR(IF(OR(HLOOKUP($A801,#REF!,15,FALSE())&gt;2,HLOOKUP($A801,#REF!,15,FALSE())&lt;-2),"",#REF!),"")</f>
        <v/>
      </c>
      <c r="R801" s="0" t="str">
        <f aca="false">IFERROR(IF(OR(HLOOKUP($A801,#REF!,16,FALSE())&gt;2,HLOOKUP($A801,#REF!,16,FALSE())&lt;-2),"",#REF!),"")</f>
        <v/>
      </c>
      <c r="S801" s="0" t="str">
        <f aca="false">IFERROR(IF(OR(HLOOKUP($A801,#REF!,17,FALSE())&gt;2,HLOOKUP($A801,#REF!,17,FALSE())&lt;-2),"",#REF!),"")</f>
        <v/>
      </c>
      <c r="T801" s="0" t="str">
        <f aca="false">IFERROR(IF(OR(HLOOKUP($A801,#REF!,18,FALSE())&gt;2,HLOOKUP($A801,#REF!,18,FALSE())&lt;-2),"",#REF!),"")</f>
        <v/>
      </c>
      <c r="U801" s="0" t="str">
        <f aca="false">IFERROR(IF(OR(HLOOKUP($A801,#REF!,19,FALSE())&gt;2,HLOOKUP($A801,#REF!,19,FALSE())&lt;-2),"",#REF!),"")</f>
        <v/>
      </c>
      <c r="V801" s="0" t="n">
        <f aca="false">IFERROR(IF(AND(X801=0,Y801=0),0,1),0)</f>
        <v>1</v>
      </c>
      <c r="W801" s="3" t="str">
        <f aca="false">IFERROR(_xlfn.T.TEST(E801:M801,N801:U801,2,2),"")</f>
        <v/>
      </c>
      <c r="X801" s="0" t="str">
        <f aca="false">IFERROR(AVERAGE(E801:M801),"")</f>
        <v/>
      </c>
      <c r="Y801" s="0" t="str">
        <f aca="false">IFERROR(AVERAGE(N801:U801),"")</f>
        <v/>
      </c>
    </row>
    <row r="802" customFormat="false" ht="14.5" hidden="false" customHeight="false" outlineLevel="0" collapsed="false">
      <c r="A802" s="0" t="n">
        <v>810</v>
      </c>
      <c r="B802" s="0" t="s">
        <v>80</v>
      </c>
      <c r="C802" s="0" t="n">
        <v>19900</v>
      </c>
      <c r="D802" s="0" t="n">
        <v>48</v>
      </c>
      <c r="E802" s="0" t="str">
        <f aca="false">IFERROR(IF(OR(HLOOKUP($A802,#REF!,3,FALSE())&gt;2,HLOOKUP(A802,#REF!,3,FALSE())&lt;-2),"",#REF!),"")</f>
        <v/>
      </c>
      <c r="F802" s="0" t="str">
        <f aca="false">IFERROR(IF(OR(HLOOKUP($A802,#REF!,4,FALSE())&gt;2,HLOOKUP($A802,#REF!,4,FALSE())&lt;-2),"",#REF!),"")</f>
        <v/>
      </c>
      <c r="G802" s="0" t="str">
        <f aca="false">IFERROR(IF(OR(HLOOKUP($A802,#REF!,5,FALSE())&gt;2,HLOOKUP($A802,#REF!,5,FALSE())&lt;-2),"",#REF!),"")</f>
        <v/>
      </c>
      <c r="H802" s="0" t="str">
        <f aca="false">IFERROR(IF(OR(HLOOKUP($A802,#REF!,6,FALSE())&gt;2,HLOOKUP($A802,#REF!,6,FALSE())&lt;-2),"",#REF!),"")</f>
        <v/>
      </c>
      <c r="I802" s="0" t="str">
        <f aca="false">IFERROR(IF(OR(HLOOKUP($A802,#REF!,7,FALSE())&gt;2,HLOOKUP($A802,#REF!,7,FALSE())&lt;-2),"",#REF!),"")</f>
        <v/>
      </c>
      <c r="J802" s="0" t="str">
        <f aca="false">IFERROR(IF(OR(HLOOKUP($A802,#REF!,8,FALSE())&gt;2,HLOOKUP($A802,#REF!,8,FALSE())&lt;-2),"",#REF!),"")</f>
        <v/>
      </c>
      <c r="K802" s="0" t="str">
        <f aca="false">IFERROR(IF(OR(HLOOKUP($A802,#REF!,9,FALSE())&gt;2,HLOOKUP($A802,#REF!,9,FALSE())&lt;-2),"",#REF!),"")</f>
        <v/>
      </c>
      <c r="L802" s="0" t="str">
        <f aca="false">IFERROR(IF(OR(HLOOKUP($A802,#REF!,10,FALSE())&gt;2,HLOOKUP($A802,#REF!,10,FALSE())&lt;-2),"",#REF!),"")</f>
        <v/>
      </c>
      <c r="M802" s="0" t="str">
        <f aca="false">IFERROR(IF(OR(HLOOKUP($A802,#REF!,11,FALSE())&gt;2,HLOOKUP($A802,#REF!,11,FALSE())&lt;-2),"",#REF!),"")</f>
        <v/>
      </c>
      <c r="N802" s="0" t="str">
        <f aca="false">IFERROR(IF(OR(HLOOKUP($A802,#REF!,12,FALSE())&gt;2,HLOOKUP($A802,#REF!,12,FALSE())&lt;-2),"",#REF!),"")</f>
        <v/>
      </c>
      <c r="O802" s="0" t="str">
        <f aca="false">IFERROR(IF(OR(HLOOKUP($A802,#REF!,13,FALSE())&gt;2,HLOOKUP($A802,#REF!,13,FALSE())&lt;-2),"",#REF!),"")</f>
        <v/>
      </c>
      <c r="P802" s="0" t="str">
        <f aca="false">IFERROR(IF(OR(HLOOKUP($A802,#REF!,14,FALSE())&gt;2,HLOOKUP($A802,#REF!,14,FALSE())&lt;-2),"",#REF!),"")</f>
        <v/>
      </c>
      <c r="Q802" s="0" t="str">
        <f aca="false">IFERROR(IF(OR(HLOOKUP($A802,#REF!,15,FALSE())&gt;2,HLOOKUP($A802,#REF!,15,FALSE())&lt;-2),"",#REF!),"")</f>
        <v/>
      </c>
      <c r="R802" s="0" t="str">
        <f aca="false">IFERROR(IF(OR(HLOOKUP($A802,#REF!,16,FALSE())&gt;2,HLOOKUP($A802,#REF!,16,FALSE())&lt;-2),"",#REF!),"")</f>
        <v/>
      </c>
      <c r="S802" s="0" t="str">
        <f aca="false">IFERROR(IF(OR(HLOOKUP($A802,#REF!,17,FALSE())&gt;2,HLOOKUP($A802,#REF!,17,FALSE())&lt;-2),"",#REF!),"")</f>
        <v/>
      </c>
      <c r="T802" s="0" t="str">
        <f aca="false">IFERROR(IF(OR(HLOOKUP($A802,#REF!,18,FALSE())&gt;2,HLOOKUP($A802,#REF!,18,FALSE())&lt;-2),"",#REF!),"")</f>
        <v/>
      </c>
      <c r="U802" s="0" t="str">
        <f aca="false">IFERROR(IF(OR(HLOOKUP($A802,#REF!,19,FALSE())&gt;2,HLOOKUP($A802,#REF!,19,FALSE())&lt;-2),"",#REF!),"")</f>
        <v/>
      </c>
      <c r="V802" s="0" t="n">
        <f aca="false">IFERROR(IF(AND(X802=0,Y802=0),0,1),0)</f>
        <v>1</v>
      </c>
      <c r="W802" s="3" t="str">
        <f aca="false">IFERROR(_xlfn.T.TEST(E802:M802,N802:U802,2,2),"")</f>
        <v/>
      </c>
      <c r="X802" s="0" t="str">
        <f aca="false">IFERROR(AVERAGE(E802:M802),"")</f>
        <v/>
      </c>
      <c r="Y802" s="0" t="str">
        <f aca="false">IFERROR(AVERAGE(N802:U802),"")</f>
        <v/>
      </c>
    </row>
    <row r="803" customFormat="false" ht="14.5" hidden="false" customHeight="false" outlineLevel="0" collapsed="false">
      <c r="A803" s="0" t="n">
        <v>811</v>
      </c>
      <c r="B803" s="0" t="s">
        <v>858</v>
      </c>
      <c r="C803" s="0" t="n">
        <v>79200</v>
      </c>
      <c r="D803" s="0" t="n">
        <v>4</v>
      </c>
      <c r="E803" s="0" t="str">
        <f aca="false">IFERROR(IF(OR(HLOOKUP($A803,#REF!,3,FALSE())&gt;2,HLOOKUP(A803,#REF!,3,FALSE())&lt;-2),"",#REF!),"")</f>
        <v/>
      </c>
      <c r="F803" s="0" t="str">
        <f aca="false">IFERROR(IF(OR(HLOOKUP($A803,#REF!,4,FALSE())&gt;2,HLOOKUP($A803,#REF!,4,FALSE())&lt;-2),"",#REF!),"")</f>
        <v/>
      </c>
      <c r="G803" s="0" t="str">
        <f aca="false">IFERROR(IF(OR(HLOOKUP($A803,#REF!,5,FALSE())&gt;2,HLOOKUP($A803,#REF!,5,FALSE())&lt;-2),"",#REF!),"")</f>
        <v/>
      </c>
      <c r="H803" s="0" t="str">
        <f aca="false">IFERROR(IF(OR(HLOOKUP($A803,#REF!,6,FALSE())&gt;2,HLOOKUP($A803,#REF!,6,FALSE())&lt;-2),"",#REF!),"")</f>
        <v/>
      </c>
      <c r="I803" s="0" t="str">
        <f aca="false">IFERROR(IF(OR(HLOOKUP($A803,#REF!,7,FALSE())&gt;2,HLOOKUP($A803,#REF!,7,FALSE())&lt;-2),"",#REF!),"")</f>
        <v/>
      </c>
      <c r="J803" s="0" t="str">
        <f aca="false">IFERROR(IF(OR(HLOOKUP($A803,#REF!,8,FALSE())&gt;2,HLOOKUP($A803,#REF!,8,FALSE())&lt;-2),"",#REF!),"")</f>
        <v/>
      </c>
      <c r="K803" s="0" t="str">
        <f aca="false">IFERROR(IF(OR(HLOOKUP($A803,#REF!,9,FALSE())&gt;2,HLOOKUP($A803,#REF!,9,FALSE())&lt;-2),"",#REF!),"")</f>
        <v/>
      </c>
      <c r="L803" s="0" t="str">
        <f aca="false">IFERROR(IF(OR(HLOOKUP($A803,#REF!,10,FALSE())&gt;2,HLOOKUP($A803,#REF!,10,FALSE())&lt;-2),"",#REF!),"")</f>
        <v/>
      </c>
      <c r="M803" s="0" t="str">
        <f aca="false">IFERROR(IF(OR(HLOOKUP($A803,#REF!,11,FALSE())&gt;2,HLOOKUP($A803,#REF!,11,FALSE())&lt;-2),"",#REF!),"")</f>
        <v/>
      </c>
      <c r="N803" s="0" t="str">
        <f aca="false">IFERROR(IF(OR(HLOOKUP($A803,#REF!,12,FALSE())&gt;2,HLOOKUP($A803,#REF!,12,FALSE())&lt;-2),"",#REF!),"")</f>
        <v/>
      </c>
      <c r="O803" s="0" t="str">
        <f aca="false">IFERROR(IF(OR(HLOOKUP($A803,#REF!,13,FALSE())&gt;2,HLOOKUP($A803,#REF!,13,FALSE())&lt;-2),"",#REF!),"")</f>
        <v/>
      </c>
      <c r="P803" s="0" t="str">
        <f aca="false">IFERROR(IF(OR(HLOOKUP($A803,#REF!,14,FALSE())&gt;2,HLOOKUP($A803,#REF!,14,FALSE())&lt;-2),"",#REF!),"")</f>
        <v/>
      </c>
      <c r="Q803" s="0" t="str">
        <f aca="false">IFERROR(IF(OR(HLOOKUP($A803,#REF!,15,FALSE())&gt;2,HLOOKUP($A803,#REF!,15,FALSE())&lt;-2),"",#REF!),"")</f>
        <v/>
      </c>
      <c r="R803" s="0" t="str">
        <f aca="false">IFERROR(IF(OR(HLOOKUP($A803,#REF!,16,FALSE())&gt;2,HLOOKUP($A803,#REF!,16,FALSE())&lt;-2),"",#REF!),"")</f>
        <v/>
      </c>
      <c r="S803" s="0" t="str">
        <f aca="false">IFERROR(IF(OR(HLOOKUP($A803,#REF!,17,FALSE())&gt;2,HLOOKUP($A803,#REF!,17,FALSE())&lt;-2),"",#REF!),"")</f>
        <v/>
      </c>
      <c r="T803" s="0" t="str">
        <f aca="false">IFERROR(IF(OR(HLOOKUP($A803,#REF!,18,FALSE())&gt;2,HLOOKUP($A803,#REF!,18,FALSE())&lt;-2),"",#REF!),"")</f>
        <v/>
      </c>
      <c r="U803" s="0" t="str">
        <f aca="false">IFERROR(IF(OR(HLOOKUP($A803,#REF!,19,FALSE())&gt;2,HLOOKUP($A803,#REF!,19,FALSE())&lt;-2),"",#REF!),"")</f>
        <v/>
      </c>
      <c r="V803" s="0" t="n">
        <f aca="false">IFERROR(IF(AND(X803=0,Y803=0),0,1),0)</f>
        <v>1</v>
      </c>
      <c r="W803" s="3" t="str">
        <f aca="false">IFERROR(_xlfn.T.TEST(E803:M803,N803:U803,2,2),"")</f>
        <v/>
      </c>
      <c r="X803" s="0" t="str">
        <f aca="false">IFERROR(AVERAGE(E803:M803),"")</f>
        <v/>
      </c>
      <c r="Y803" s="0" t="str">
        <f aca="false">IFERROR(AVERAGE(N803:U803),"")</f>
        <v/>
      </c>
    </row>
    <row r="804" customFormat="false" ht="14.5" hidden="false" customHeight="false" outlineLevel="0" collapsed="false">
      <c r="A804" s="0" t="n">
        <v>812</v>
      </c>
      <c r="B804" s="0" t="s">
        <v>859</v>
      </c>
      <c r="C804" s="0" t="n">
        <v>104600</v>
      </c>
      <c r="D804" s="0" t="n">
        <v>326</v>
      </c>
      <c r="E804" s="0" t="str">
        <f aca="false">IFERROR(IF(OR(HLOOKUP($A804,#REF!,3,FALSE())&gt;2,HLOOKUP(A804,#REF!,3,FALSE())&lt;-2),"",#REF!),"")</f>
        <v/>
      </c>
      <c r="F804" s="0" t="str">
        <f aca="false">IFERROR(IF(OR(HLOOKUP($A804,#REF!,4,FALSE())&gt;2,HLOOKUP($A804,#REF!,4,FALSE())&lt;-2),"",#REF!),"")</f>
        <v/>
      </c>
      <c r="G804" s="0" t="str">
        <f aca="false">IFERROR(IF(OR(HLOOKUP($A804,#REF!,5,FALSE())&gt;2,HLOOKUP($A804,#REF!,5,FALSE())&lt;-2),"",#REF!),"")</f>
        <v/>
      </c>
      <c r="H804" s="0" t="str">
        <f aca="false">IFERROR(IF(OR(HLOOKUP($A804,#REF!,6,FALSE())&gt;2,HLOOKUP($A804,#REF!,6,FALSE())&lt;-2),"",#REF!),"")</f>
        <v/>
      </c>
      <c r="I804" s="0" t="str">
        <f aca="false">IFERROR(IF(OR(HLOOKUP($A804,#REF!,7,FALSE())&gt;2,HLOOKUP($A804,#REF!,7,FALSE())&lt;-2),"",#REF!),"")</f>
        <v/>
      </c>
      <c r="J804" s="0" t="str">
        <f aca="false">IFERROR(IF(OR(HLOOKUP($A804,#REF!,8,FALSE())&gt;2,HLOOKUP($A804,#REF!,8,FALSE())&lt;-2),"",#REF!),"")</f>
        <v/>
      </c>
      <c r="K804" s="0" t="str">
        <f aca="false">IFERROR(IF(OR(HLOOKUP($A804,#REF!,9,FALSE())&gt;2,HLOOKUP($A804,#REF!,9,FALSE())&lt;-2),"",#REF!),"")</f>
        <v/>
      </c>
      <c r="L804" s="0" t="str">
        <f aca="false">IFERROR(IF(OR(HLOOKUP($A804,#REF!,10,FALSE())&gt;2,HLOOKUP($A804,#REF!,10,FALSE())&lt;-2),"",#REF!),"")</f>
        <v/>
      </c>
      <c r="M804" s="0" t="str">
        <f aca="false">IFERROR(IF(OR(HLOOKUP($A804,#REF!,11,FALSE())&gt;2,HLOOKUP($A804,#REF!,11,FALSE())&lt;-2),"",#REF!),"")</f>
        <v/>
      </c>
      <c r="N804" s="0" t="str">
        <f aca="false">IFERROR(IF(OR(HLOOKUP($A804,#REF!,12,FALSE())&gt;2,HLOOKUP($A804,#REF!,12,FALSE())&lt;-2),"",#REF!),"")</f>
        <v/>
      </c>
      <c r="O804" s="0" t="str">
        <f aca="false">IFERROR(IF(OR(HLOOKUP($A804,#REF!,13,FALSE())&gt;2,HLOOKUP($A804,#REF!,13,FALSE())&lt;-2),"",#REF!),"")</f>
        <v/>
      </c>
      <c r="P804" s="0" t="str">
        <f aca="false">IFERROR(IF(OR(HLOOKUP($A804,#REF!,14,FALSE())&gt;2,HLOOKUP($A804,#REF!,14,FALSE())&lt;-2),"",#REF!),"")</f>
        <v/>
      </c>
      <c r="Q804" s="0" t="str">
        <f aca="false">IFERROR(IF(OR(HLOOKUP($A804,#REF!,15,FALSE())&gt;2,HLOOKUP($A804,#REF!,15,FALSE())&lt;-2),"",#REF!),"")</f>
        <v/>
      </c>
      <c r="R804" s="0" t="str">
        <f aca="false">IFERROR(IF(OR(HLOOKUP($A804,#REF!,16,FALSE())&gt;2,HLOOKUP($A804,#REF!,16,FALSE())&lt;-2),"",#REF!),"")</f>
        <v/>
      </c>
      <c r="S804" s="0" t="str">
        <f aca="false">IFERROR(IF(OR(HLOOKUP($A804,#REF!,17,FALSE())&gt;2,HLOOKUP($A804,#REF!,17,FALSE())&lt;-2),"",#REF!),"")</f>
        <v/>
      </c>
      <c r="T804" s="0" t="str">
        <f aca="false">IFERROR(IF(OR(HLOOKUP($A804,#REF!,18,FALSE())&gt;2,HLOOKUP($A804,#REF!,18,FALSE())&lt;-2),"",#REF!),"")</f>
        <v/>
      </c>
      <c r="U804" s="0" t="str">
        <f aca="false">IFERROR(IF(OR(HLOOKUP($A804,#REF!,19,FALSE())&gt;2,HLOOKUP($A804,#REF!,19,FALSE())&lt;-2),"",#REF!),"")</f>
        <v/>
      </c>
      <c r="V804" s="0" t="n">
        <f aca="false">IFERROR(IF(AND(X804=0,Y804=0),0,1),0)</f>
        <v>1</v>
      </c>
      <c r="W804" s="3" t="str">
        <f aca="false">IFERROR(_xlfn.T.TEST(E804:M804,N804:U804,2,2),"")</f>
        <v/>
      </c>
      <c r="X804" s="0" t="str">
        <f aca="false">IFERROR(AVERAGE(E804:M804),"")</f>
        <v/>
      </c>
      <c r="Y804" s="0" t="str">
        <f aca="false">IFERROR(AVERAGE(N804:U804),"")</f>
        <v/>
      </c>
    </row>
    <row r="805" customFormat="false" ht="14.5" hidden="false" customHeight="false" outlineLevel="0" collapsed="false">
      <c r="A805" s="0" t="n">
        <v>813</v>
      </c>
      <c r="B805" s="0" t="s">
        <v>860</v>
      </c>
      <c r="C805" s="0" t="n">
        <v>101800</v>
      </c>
      <c r="D805" s="0" t="n">
        <v>967</v>
      </c>
      <c r="E805" s="0" t="str">
        <f aca="false">IFERROR(IF(OR(HLOOKUP($A805,#REF!,3,FALSE())&gt;2,HLOOKUP(A805,#REF!,3,FALSE())&lt;-2),"",#REF!),"")</f>
        <v/>
      </c>
      <c r="F805" s="0" t="str">
        <f aca="false">IFERROR(IF(OR(HLOOKUP($A805,#REF!,4,FALSE())&gt;2,HLOOKUP($A805,#REF!,4,FALSE())&lt;-2),"",#REF!),"")</f>
        <v/>
      </c>
      <c r="G805" s="0" t="str">
        <f aca="false">IFERROR(IF(OR(HLOOKUP($A805,#REF!,5,FALSE())&gt;2,HLOOKUP($A805,#REF!,5,FALSE())&lt;-2),"",#REF!),"")</f>
        <v/>
      </c>
      <c r="H805" s="0" t="str">
        <f aca="false">IFERROR(IF(OR(HLOOKUP($A805,#REF!,6,FALSE())&gt;2,HLOOKUP($A805,#REF!,6,FALSE())&lt;-2),"",#REF!),"")</f>
        <v/>
      </c>
      <c r="I805" s="0" t="str">
        <f aca="false">IFERROR(IF(OR(HLOOKUP($A805,#REF!,7,FALSE())&gt;2,HLOOKUP($A805,#REF!,7,FALSE())&lt;-2),"",#REF!),"")</f>
        <v/>
      </c>
      <c r="J805" s="0" t="str">
        <f aca="false">IFERROR(IF(OR(HLOOKUP($A805,#REF!,8,FALSE())&gt;2,HLOOKUP($A805,#REF!,8,FALSE())&lt;-2),"",#REF!),"")</f>
        <v/>
      </c>
      <c r="K805" s="0" t="str">
        <f aca="false">IFERROR(IF(OR(HLOOKUP($A805,#REF!,9,FALSE())&gt;2,HLOOKUP($A805,#REF!,9,FALSE())&lt;-2),"",#REF!),"")</f>
        <v/>
      </c>
      <c r="L805" s="0" t="str">
        <f aca="false">IFERROR(IF(OR(HLOOKUP($A805,#REF!,10,FALSE())&gt;2,HLOOKUP($A805,#REF!,10,FALSE())&lt;-2),"",#REF!),"")</f>
        <v/>
      </c>
      <c r="M805" s="0" t="str">
        <f aca="false">IFERROR(IF(OR(HLOOKUP($A805,#REF!,11,FALSE())&gt;2,HLOOKUP($A805,#REF!,11,FALSE())&lt;-2),"",#REF!),"")</f>
        <v/>
      </c>
      <c r="N805" s="0" t="str">
        <f aca="false">IFERROR(IF(OR(HLOOKUP($A805,#REF!,12,FALSE())&gt;2,HLOOKUP($A805,#REF!,12,FALSE())&lt;-2),"",#REF!),"")</f>
        <v/>
      </c>
      <c r="O805" s="0" t="str">
        <f aca="false">IFERROR(IF(OR(HLOOKUP($A805,#REF!,13,FALSE())&gt;2,HLOOKUP($A805,#REF!,13,FALSE())&lt;-2),"",#REF!),"")</f>
        <v/>
      </c>
      <c r="P805" s="0" t="str">
        <f aca="false">IFERROR(IF(OR(HLOOKUP($A805,#REF!,14,FALSE())&gt;2,HLOOKUP($A805,#REF!,14,FALSE())&lt;-2),"",#REF!),"")</f>
        <v/>
      </c>
      <c r="Q805" s="0" t="str">
        <f aca="false">IFERROR(IF(OR(HLOOKUP($A805,#REF!,15,FALSE())&gt;2,HLOOKUP($A805,#REF!,15,FALSE())&lt;-2),"",#REF!),"")</f>
        <v/>
      </c>
      <c r="R805" s="0" t="str">
        <f aca="false">IFERROR(IF(OR(HLOOKUP($A805,#REF!,16,FALSE())&gt;2,HLOOKUP($A805,#REF!,16,FALSE())&lt;-2),"",#REF!),"")</f>
        <v/>
      </c>
      <c r="S805" s="0" t="str">
        <f aca="false">IFERROR(IF(OR(HLOOKUP($A805,#REF!,17,FALSE())&gt;2,HLOOKUP($A805,#REF!,17,FALSE())&lt;-2),"",#REF!),"")</f>
        <v/>
      </c>
      <c r="T805" s="0" t="str">
        <f aca="false">IFERROR(IF(OR(HLOOKUP($A805,#REF!,18,FALSE())&gt;2,HLOOKUP($A805,#REF!,18,FALSE())&lt;-2),"",#REF!),"")</f>
        <v/>
      </c>
      <c r="U805" s="0" t="str">
        <f aca="false">IFERROR(IF(OR(HLOOKUP($A805,#REF!,19,FALSE())&gt;2,HLOOKUP($A805,#REF!,19,FALSE())&lt;-2),"",#REF!),"")</f>
        <v/>
      </c>
      <c r="V805" s="0" t="n">
        <f aca="false">IFERROR(IF(AND(X805=0,Y805=0),0,1),0)</f>
        <v>1</v>
      </c>
      <c r="W805" s="3" t="str">
        <f aca="false">IFERROR(_xlfn.T.TEST(E805:M805,N805:U805,2,2),"")</f>
        <v/>
      </c>
      <c r="X805" s="0" t="str">
        <f aca="false">IFERROR(AVERAGE(E805:M805),"")</f>
        <v/>
      </c>
      <c r="Y805" s="0" t="str">
        <f aca="false">IFERROR(AVERAGE(N805:U805),"")</f>
        <v/>
      </c>
    </row>
    <row r="806" customFormat="false" ht="14.5" hidden="false" customHeight="false" outlineLevel="0" collapsed="false">
      <c r="A806" s="0" t="n">
        <v>814</v>
      </c>
      <c r="B806" s="0" t="s">
        <v>861</v>
      </c>
      <c r="C806" s="0" t="n">
        <v>33000</v>
      </c>
      <c r="D806" s="0" t="n">
        <v>698</v>
      </c>
      <c r="E806" s="0" t="str">
        <f aca="false">IFERROR(IF(OR(HLOOKUP($A806,#REF!,3,FALSE())&gt;2,HLOOKUP(A806,#REF!,3,FALSE())&lt;-2),"",#REF!),"")</f>
        <v/>
      </c>
      <c r="F806" s="0" t="str">
        <f aca="false">IFERROR(IF(OR(HLOOKUP($A806,#REF!,4,FALSE())&gt;2,HLOOKUP($A806,#REF!,4,FALSE())&lt;-2),"",#REF!),"")</f>
        <v/>
      </c>
      <c r="G806" s="0" t="str">
        <f aca="false">IFERROR(IF(OR(HLOOKUP($A806,#REF!,5,FALSE())&gt;2,HLOOKUP($A806,#REF!,5,FALSE())&lt;-2),"",#REF!),"")</f>
        <v/>
      </c>
      <c r="H806" s="0" t="str">
        <f aca="false">IFERROR(IF(OR(HLOOKUP($A806,#REF!,6,FALSE())&gt;2,HLOOKUP($A806,#REF!,6,FALSE())&lt;-2),"",#REF!),"")</f>
        <v/>
      </c>
      <c r="I806" s="0" t="str">
        <f aca="false">IFERROR(IF(OR(HLOOKUP($A806,#REF!,7,FALSE())&gt;2,HLOOKUP($A806,#REF!,7,FALSE())&lt;-2),"",#REF!),"")</f>
        <v/>
      </c>
      <c r="J806" s="0" t="str">
        <f aca="false">IFERROR(IF(OR(HLOOKUP($A806,#REF!,8,FALSE())&gt;2,HLOOKUP($A806,#REF!,8,FALSE())&lt;-2),"",#REF!),"")</f>
        <v/>
      </c>
      <c r="K806" s="0" t="str">
        <f aca="false">IFERROR(IF(OR(HLOOKUP($A806,#REF!,9,FALSE())&gt;2,HLOOKUP($A806,#REF!,9,FALSE())&lt;-2),"",#REF!),"")</f>
        <v/>
      </c>
      <c r="L806" s="0" t="str">
        <f aca="false">IFERROR(IF(OR(HLOOKUP($A806,#REF!,10,FALSE())&gt;2,HLOOKUP($A806,#REF!,10,FALSE())&lt;-2),"",#REF!),"")</f>
        <v/>
      </c>
      <c r="M806" s="0" t="str">
        <f aca="false">IFERROR(IF(OR(HLOOKUP($A806,#REF!,11,FALSE())&gt;2,HLOOKUP($A806,#REF!,11,FALSE())&lt;-2),"",#REF!),"")</f>
        <v/>
      </c>
      <c r="N806" s="0" t="str">
        <f aca="false">IFERROR(IF(OR(HLOOKUP($A806,#REF!,12,FALSE())&gt;2,HLOOKUP($A806,#REF!,12,FALSE())&lt;-2),"",#REF!),"")</f>
        <v/>
      </c>
      <c r="O806" s="0" t="str">
        <f aca="false">IFERROR(IF(OR(HLOOKUP($A806,#REF!,13,FALSE())&gt;2,HLOOKUP($A806,#REF!,13,FALSE())&lt;-2),"",#REF!),"")</f>
        <v/>
      </c>
      <c r="P806" s="0" t="str">
        <f aca="false">IFERROR(IF(OR(HLOOKUP($A806,#REF!,14,FALSE())&gt;2,HLOOKUP($A806,#REF!,14,FALSE())&lt;-2),"",#REF!),"")</f>
        <v/>
      </c>
      <c r="Q806" s="0" t="str">
        <f aca="false">IFERROR(IF(OR(HLOOKUP($A806,#REF!,15,FALSE())&gt;2,HLOOKUP($A806,#REF!,15,FALSE())&lt;-2),"",#REF!),"")</f>
        <v/>
      </c>
      <c r="R806" s="0" t="str">
        <f aca="false">IFERROR(IF(OR(HLOOKUP($A806,#REF!,16,FALSE())&gt;2,HLOOKUP($A806,#REF!,16,FALSE())&lt;-2),"",#REF!),"")</f>
        <v/>
      </c>
      <c r="S806" s="0" t="str">
        <f aca="false">IFERROR(IF(OR(HLOOKUP($A806,#REF!,17,FALSE())&gt;2,HLOOKUP($A806,#REF!,17,FALSE())&lt;-2),"",#REF!),"")</f>
        <v/>
      </c>
      <c r="T806" s="0" t="str">
        <f aca="false">IFERROR(IF(OR(HLOOKUP($A806,#REF!,18,FALSE())&gt;2,HLOOKUP($A806,#REF!,18,FALSE())&lt;-2),"",#REF!),"")</f>
        <v/>
      </c>
      <c r="U806" s="0" t="str">
        <f aca="false">IFERROR(IF(OR(HLOOKUP($A806,#REF!,19,FALSE())&gt;2,HLOOKUP($A806,#REF!,19,FALSE())&lt;-2),"",#REF!),"")</f>
        <v/>
      </c>
      <c r="V806" s="0" t="n">
        <f aca="false">IFERROR(IF(AND(X806=0,Y806=0),0,1),0)</f>
        <v>1</v>
      </c>
      <c r="W806" s="3" t="str">
        <f aca="false">IFERROR(_xlfn.T.TEST(E806:M806,N806:U806,2,2),"")</f>
        <v/>
      </c>
      <c r="X806" s="0" t="str">
        <f aca="false">IFERROR(AVERAGE(E806:M806),"")</f>
        <v/>
      </c>
      <c r="Y806" s="0" t="str">
        <f aca="false">IFERROR(AVERAGE(N806:U806),"")</f>
        <v/>
      </c>
    </row>
    <row r="807" customFormat="false" ht="14.5" hidden="false" customHeight="false" outlineLevel="0" collapsed="false">
      <c r="A807" s="0" t="n">
        <v>815</v>
      </c>
      <c r="B807" s="0" t="s">
        <v>862</v>
      </c>
      <c r="C807" s="0" t="n">
        <v>40800</v>
      </c>
      <c r="D807" s="0" t="n">
        <v>799</v>
      </c>
      <c r="E807" s="0" t="str">
        <f aca="false">IFERROR(IF(OR(HLOOKUP($A807,#REF!,3,FALSE())&gt;2,HLOOKUP(A807,#REF!,3,FALSE())&lt;-2),"",#REF!),"")</f>
        <v/>
      </c>
      <c r="F807" s="0" t="str">
        <f aca="false">IFERROR(IF(OR(HLOOKUP($A807,#REF!,4,FALSE())&gt;2,HLOOKUP($A807,#REF!,4,FALSE())&lt;-2),"",#REF!),"")</f>
        <v/>
      </c>
      <c r="G807" s="0" t="str">
        <f aca="false">IFERROR(IF(OR(HLOOKUP($A807,#REF!,5,FALSE())&gt;2,HLOOKUP($A807,#REF!,5,FALSE())&lt;-2),"",#REF!),"")</f>
        <v/>
      </c>
      <c r="H807" s="0" t="str">
        <f aca="false">IFERROR(IF(OR(HLOOKUP($A807,#REF!,6,FALSE())&gt;2,HLOOKUP($A807,#REF!,6,FALSE())&lt;-2),"",#REF!),"")</f>
        <v/>
      </c>
      <c r="I807" s="0" t="str">
        <f aca="false">IFERROR(IF(OR(HLOOKUP($A807,#REF!,7,FALSE())&gt;2,HLOOKUP($A807,#REF!,7,FALSE())&lt;-2),"",#REF!),"")</f>
        <v/>
      </c>
      <c r="J807" s="0" t="str">
        <f aca="false">IFERROR(IF(OR(HLOOKUP($A807,#REF!,8,FALSE())&gt;2,HLOOKUP($A807,#REF!,8,FALSE())&lt;-2),"",#REF!),"")</f>
        <v/>
      </c>
      <c r="K807" s="0" t="str">
        <f aca="false">IFERROR(IF(OR(HLOOKUP($A807,#REF!,9,FALSE())&gt;2,HLOOKUP($A807,#REF!,9,FALSE())&lt;-2),"",#REF!),"")</f>
        <v/>
      </c>
      <c r="L807" s="0" t="str">
        <f aca="false">IFERROR(IF(OR(HLOOKUP($A807,#REF!,10,FALSE())&gt;2,HLOOKUP($A807,#REF!,10,FALSE())&lt;-2),"",#REF!),"")</f>
        <v/>
      </c>
      <c r="M807" s="0" t="str">
        <f aca="false">IFERROR(IF(OR(HLOOKUP($A807,#REF!,11,FALSE())&gt;2,HLOOKUP($A807,#REF!,11,FALSE())&lt;-2),"",#REF!),"")</f>
        <v/>
      </c>
      <c r="N807" s="0" t="str">
        <f aca="false">IFERROR(IF(OR(HLOOKUP($A807,#REF!,12,FALSE())&gt;2,HLOOKUP($A807,#REF!,12,FALSE())&lt;-2),"",#REF!),"")</f>
        <v/>
      </c>
      <c r="O807" s="0" t="str">
        <f aca="false">IFERROR(IF(OR(HLOOKUP($A807,#REF!,13,FALSE())&gt;2,HLOOKUP($A807,#REF!,13,FALSE())&lt;-2),"",#REF!),"")</f>
        <v/>
      </c>
      <c r="P807" s="0" t="str">
        <f aca="false">IFERROR(IF(OR(HLOOKUP($A807,#REF!,14,FALSE())&gt;2,HLOOKUP($A807,#REF!,14,FALSE())&lt;-2),"",#REF!),"")</f>
        <v/>
      </c>
      <c r="Q807" s="0" t="str">
        <f aca="false">IFERROR(IF(OR(HLOOKUP($A807,#REF!,15,FALSE())&gt;2,HLOOKUP($A807,#REF!,15,FALSE())&lt;-2),"",#REF!),"")</f>
        <v/>
      </c>
      <c r="R807" s="0" t="str">
        <f aca="false">IFERROR(IF(OR(HLOOKUP($A807,#REF!,16,FALSE())&gt;2,HLOOKUP($A807,#REF!,16,FALSE())&lt;-2),"",#REF!),"")</f>
        <v/>
      </c>
      <c r="S807" s="0" t="str">
        <f aca="false">IFERROR(IF(OR(HLOOKUP($A807,#REF!,17,FALSE())&gt;2,HLOOKUP($A807,#REF!,17,FALSE())&lt;-2),"",#REF!),"")</f>
        <v/>
      </c>
      <c r="T807" s="0" t="str">
        <f aca="false">IFERROR(IF(OR(HLOOKUP($A807,#REF!,18,FALSE())&gt;2,HLOOKUP($A807,#REF!,18,FALSE())&lt;-2),"",#REF!),"")</f>
        <v/>
      </c>
      <c r="U807" s="0" t="str">
        <f aca="false">IFERROR(IF(OR(HLOOKUP($A807,#REF!,19,FALSE())&gt;2,HLOOKUP($A807,#REF!,19,FALSE())&lt;-2),"",#REF!),"")</f>
        <v/>
      </c>
      <c r="V807" s="0" t="n">
        <f aca="false">IFERROR(IF(AND(X807=0,Y807=0),0,1),0)</f>
        <v>1</v>
      </c>
      <c r="W807" s="3" t="str">
        <f aca="false">IFERROR(_xlfn.T.TEST(E807:M807,N807:U807,2,2),"")</f>
        <v/>
      </c>
      <c r="X807" s="0" t="str">
        <f aca="false">IFERROR(AVERAGE(E807:M807),"")</f>
        <v/>
      </c>
      <c r="Y807" s="0" t="str">
        <f aca="false">IFERROR(AVERAGE(N807:U807),"")</f>
        <v/>
      </c>
    </row>
    <row r="808" customFormat="false" ht="14.5" hidden="false" customHeight="false" outlineLevel="0" collapsed="false">
      <c r="A808" s="0" t="n">
        <v>816</v>
      </c>
      <c r="B808" s="0" t="s">
        <v>863</v>
      </c>
      <c r="C808" s="0" t="n">
        <v>11600</v>
      </c>
      <c r="D808" s="0" t="n">
        <v>1002</v>
      </c>
      <c r="E808" s="0" t="str">
        <f aca="false">IFERROR(IF(OR(HLOOKUP($A808,#REF!,3,FALSE())&gt;2,HLOOKUP(A808,#REF!,3,FALSE())&lt;-2),"",#REF!),"")</f>
        <v/>
      </c>
      <c r="F808" s="0" t="str">
        <f aca="false">IFERROR(IF(OR(HLOOKUP($A808,#REF!,4,FALSE())&gt;2,HLOOKUP($A808,#REF!,4,FALSE())&lt;-2),"",#REF!),"")</f>
        <v/>
      </c>
      <c r="G808" s="0" t="str">
        <f aca="false">IFERROR(IF(OR(HLOOKUP($A808,#REF!,5,FALSE())&gt;2,HLOOKUP($A808,#REF!,5,FALSE())&lt;-2),"",#REF!),"")</f>
        <v/>
      </c>
      <c r="H808" s="0" t="str">
        <f aca="false">IFERROR(IF(OR(HLOOKUP($A808,#REF!,6,FALSE())&gt;2,HLOOKUP($A808,#REF!,6,FALSE())&lt;-2),"",#REF!),"")</f>
        <v/>
      </c>
      <c r="I808" s="0" t="str">
        <f aca="false">IFERROR(IF(OR(HLOOKUP($A808,#REF!,7,FALSE())&gt;2,HLOOKUP($A808,#REF!,7,FALSE())&lt;-2),"",#REF!),"")</f>
        <v/>
      </c>
      <c r="J808" s="0" t="str">
        <f aca="false">IFERROR(IF(OR(HLOOKUP($A808,#REF!,8,FALSE())&gt;2,HLOOKUP($A808,#REF!,8,FALSE())&lt;-2),"",#REF!),"")</f>
        <v/>
      </c>
      <c r="K808" s="0" t="str">
        <f aca="false">IFERROR(IF(OR(HLOOKUP($A808,#REF!,9,FALSE())&gt;2,HLOOKUP($A808,#REF!,9,FALSE())&lt;-2),"",#REF!),"")</f>
        <v/>
      </c>
      <c r="L808" s="0" t="str">
        <f aca="false">IFERROR(IF(OR(HLOOKUP($A808,#REF!,10,FALSE())&gt;2,HLOOKUP($A808,#REF!,10,FALSE())&lt;-2),"",#REF!),"")</f>
        <v/>
      </c>
      <c r="M808" s="0" t="str">
        <f aca="false">IFERROR(IF(OR(HLOOKUP($A808,#REF!,11,FALSE())&gt;2,HLOOKUP($A808,#REF!,11,FALSE())&lt;-2),"",#REF!),"")</f>
        <v/>
      </c>
      <c r="N808" s="0" t="str">
        <f aca="false">IFERROR(IF(OR(HLOOKUP($A808,#REF!,12,FALSE())&gt;2,HLOOKUP($A808,#REF!,12,FALSE())&lt;-2),"",#REF!),"")</f>
        <v/>
      </c>
      <c r="O808" s="0" t="str">
        <f aca="false">IFERROR(IF(OR(HLOOKUP($A808,#REF!,13,FALSE())&gt;2,HLOOKUP($A808,#REF!,13,FALSE())&lt;-2),"",#REF!),"")</f>
        <v/>
      </c>
      <c r="P808" s="0" t="str">
        <f aca="false">IFERROR(IF(OR(HLOOKUP($A808,#REF!,14,FALSE())&gt;2,HLOOKUP($A808,#REF!,14,FALSE())&lt;-2),"",#REF!),"")</f>
        <v/>
      </c>
      <c r="Q808" s="0" t="str">
        <f aca="false">IFERROR(IF(OR(HLOOKUP($A808,#REF!,15,FALSE())&gt;2,HLOOKUP($A808,#REF!,15,FALSE())&lt;-2),"",#REF!),"")</f>
        <v/>
      </c>
      <c r="R808" s="0" t="str">
        <f aca="false">IFERROR(IF(OR(HLOOKUP($A808,#REF!,16,FALSE())&gt;2,HLOOKUP($A808,#REF!,16,FALSE())&lt;-2),"",#REF!),"")</f>
        <v/>
      </c>
      <c r="S808" s="0" t="str">
        <f aca="false">IFERROR(IF(OR(HLOOKUP($A808,#REF!,17,FALSE())&gt;2,HLOOKUP($A808,#REF!,17,FALSE())&lt;-2),"",#REF!),"")</f>
        <v/>
      </c>
      <c r="T808" s="0" t="str">
        <f aca="false">IFERROR(IF(OR(HLOOKUP($A808,#REF!,18,FALSE())&gt;2,HLOOKUP($A808,#REF!,18,FALSE())&lt;-2),"",#REF!),"")</f>
        <v/>
      </c>
      <c r="U808" s="0" t="str">
        <f aca="false">IFERROR(IF(OR(HLOOKUP($A808,#REF!,19,FALSE())&gt;2,HLOOKUP($A808,#REF!,19,FALSE())&lt;-2),"",#REF!),"")</f>
        <v/>
      </c>
      <c r="V808" s="0" t="n">
        <f aca="false">IFERROR(IF(AND(X808=0,Y808=0),0,1),0)</f>
        <v>1</v>
      </c>
      <c r="W808" s="3" t="str">
        <f aca="false">IFERROR(_xlfn.T.TEST(E808:M808,N808:U808,2,2),"")</f>
        <v/>
      </c>
      <c r="X808" s="0" t="str">
        <f aca="false">IFERROR(AVERAGE(E808:M808),"")</f>
        <v/>
      </c>
      <c r="Y808" s="0" t="str">
        <f aca="false">IFERROR(AVERAGE(N808:U808),"")</f>
        <v/>
      </c>
    </row>
    <row r="809" customFormat="false" ht="14.5" hidden="false" customHeight="false" outlineLevel="0" collapsed="false">
      <c r="A809" s="0" t="n">
        <v>817</v>
      </c>
      <c r="B809" s="0" t="s">
        <v>864</v>
      </c>
      <c r="C809" s="0" t="n">
        <v>113200</v>
      </c>
      <c r="D809" s="0" t="n">
        <v>349</v>
      </c>
      <c r="E809" s="0" t="str">
        <f aca="false">IFERROR(IF(OR(HLOOKUP($A809,#REF!,3,FALSE())&gt;2,HLOOKUP(A809,#REF!,3,FALSE())&lt;-2),"",#REF!),"")</f>
        <v/>
      </c>
      <c r="F809" s="0" t="str">
        <f aca="false">IFERROR(IF(OR(HLOOKUP($A809,#REF!,4,FALSE())&gt;2,HLOOKUP($A809,#REF!,4,FALSE())&lt;-2),"",#REF!),"")</f>
        <v/>
      </c>
      <c r="G809" s="0" t="str">
        <f aca="false">IFERROR(IF(OR(HLOOKUP($A809,#REF!,5,FALSE())&gt;2,HLOOKUP($A809,#REF!,5,FALSE())&lt;-2),"",#REF!),"")</f>
        <v/>
      </c>
      <c r="H809" s="0" t="str">
        <f aca="false">IFERROR(IF(OR(HLOOKUP($A809,#REF!,6,FALSE())&gt;2,HLOOKUP($A809,#REF!,6,FALSE())&lt;-2),"",#REF!),"")</f>
        <v/>
      </c>
      <c r="I809" s="0" t="str">
        <f aca="false">IFERROR(IF(OR(HLOOKUP($A809,#REF!,7,FALSE())&gt;2,HLOOKUP($A809,#REF!,7,FALSE())&lt;-2),"",#REF!),"")</f>
        <v/>
      </c>
      <c r="J809" s="0" t="str">
        <f aca="false">IFERROR(IF(OR(HLOOKUP($A809,#REF!,8,FALSE())&gt;2,HLOOKUP($A809,#REF!,8,FALSE())&lt;-2),"",#REF!),"")</f>
        <v/>
      </c>
      <c r="K809" s="0" t="str">
        <f aca="false">IFERROR(IF(OR(HLOOKUP($A809,#REF!,9,FALSE())&gt;2,HLOOKUP($A809,#REF!,9,FALSE())&lt;-2),"",#REF!),"")</f>
        <v/>
      </c>
      <c r="L809" s="0" t="str">
        <f aca="false">IFERROR(IF(OR(HLOOKUP($A809,#REF!,10,FALSE())&gt;2,HLOOKUP($A809,#REF!,10,FALSE())&lt;-2),"",#REF!),"")</f>
        <v/>
      </c>
      <c r="M809" s="0" t="str">
        <f aca="false">IFERROR(IF(OR(HLOOKUP($A809,#REF!,11,FALSE())&gt;2,HLOOKUP($A809,#REF!,11,FALSE())&lt;-2),"",#REF!),"")</f>
        <v/>
      </c>
      <c r="N809" s="0" t="str">
        <f aca="false">IFERROR(IF(OR(HLOOKUP($A809,#REF!,12,FALSE())&gt;2,HLOOKUP($A809,#REF!,12,FALSE())&lt;-2),"",#REF!),"")</f>
        <v/>
      </c>
      <c r="O809" s="0" t="str">
        <f aca="false">IFERROR(IF(OR(HLOOKUP($A809,#REF!,13,FALSE())&gt;2,HLOOKUP($A809,#REF!,13,FALSE())&lt;-2),"",#REF!),"")</f>
        <v/>
      </c>
      <c r="P809" s="0" t="str">
        <f aca="false">IFERROR(IF(OR(HLOOKUP($A809,#REF!,14,FALSE())&gt;2,HLOOKUP($A809,#REF!,14,FALSE())&lt;-2),"",#REF!),"")</f>
        <v/>
      </c>
      <c r="Q809" s="0" t="str">
        <f aca="false">IFERROR(IF(OR(HLOOKUP($A809,#REF!,15,FALSE())&gt;2,HLOOKUP($A809,#REF!,15,FALSE())&lt;-2),"",#REF!),"")</f>
        <v/>
      </c>
      <c r="R809" s="0" t="str">
        <f aca="false">IFERROR(IF(OR(HLOOKUP($A809,#REF!,16,FALSE())&gt;2,HLOOKUP($A809,#REF!,16,FALSE())&lt;-2),"",#REF!),"")</f>
        <v/>
      </c>
      <c r="S809" s="0" t="str">
        <f aca="false">IFERROR(IF(OR(HLOOKUP($A809,#REF!,17,FALSE())&gt;2,HLOOKUP($A809,#REF!,17,FALSE())&lt;-2),"",#REF!),"")</f>
        <v/>
      </c>
      <c r="T809" s="0" t="str">
        <f aca="false">IFERROR(IF(OR(HLOOKUP($A809,#REF!,18,FALSE())&gt;2,HLOOKUP($A809,#REF!,18,FALSE())&lt;-2),"",#REF!),"")</f>
        <v/>
      </c>
      <c r="U809" s="0" t="str">
        <f aca="false">IFERROR(IF(OR(HLOOKUP($A809,#REF!,19,FALSE())&gt;2,HLOOKUP($A809,#REF!,19,FALSE())&lt;-2),"",#REF!),"")</f>
        <v/>
      </c>
      <c r="V809" s="0" t="n">
        <f aca="false">IFERROR(IF(AND(X809=0,Y809=0),0,1),0)</f>
        <v>1</v>
      </c>
      <c r="W809" s="3" t="str">
        <f aca="false">IFERROR(_xlfn.T.TEST(E809:M809,N809:U809,2,2),"")</f>
        <v/>
      </c>
      <c r="X809" s="0" t="str">
        <f aca="false">IFERROR(AVERAGE(E809:M809),"")</f>
        <v/>
      </c>
      <c r="Y809" s="0" t="str">
        <f aca="false">IFERROR(AVERAGE(N809:U809),"")</f>
        <v/>
      </c>
    </row>
    <row r="810" customFormat="false" ht="14.5" hidden="false" customHeight="false" outlineLevel="0" collapsed="false">
      <c r="A810" s="0" t="n">
        <v>818</v>
      </c>
      <c r="B810" s="0" t="s">
        <v>865</v>
      </c>
      <c r="C810" s="0" t="n">
        <v>51700</v>
      </c>
      <c r="D810" s="0" t="n">
        <v>803</v>
      </c>
      <c r="E810" s="0" t="str">
        <f aca="false">IFERROR(IF(OR(HLOOKUP($A810,#REF!,3,FALSE())&gt;2,HLOOKUP(A810,#REF!,3,FALSE())&lt;-2),"",#REF!),"")</f>
        <v/>
      </c>
      <c r="F810" s="0" t="str">
        <f aca="false">IFERROR(IF(OR(HLOOKUP($A810,#REF!,4,FALSE())&gt;2,HLOOKUP($A810,#REF!,4,FALSE())&lt;-2),"",#REF!),"")</f>
        <v/>
      </c>
      <c r="G810" s="0" t="str">
        <f aca="false">IFERROR(IF(OR(HLOOKUP($A810,#REF!,5,FALSE())&gt;2,HLOOKUP($A810,#REF!,5,FALSE())&lt;-2),"",#REF!),"")</f>
        <v/>
      </c>
      <c r="H810" s="0" t="str">
        <f aca="false">IFERROR(IF(OR(HLOOKUP($A810,#REF!,6,FALSE())&gt;2,HLOOKUP($A810,#REF!,6,FALSE())&lt;-2),"",#REF!),"")</f>
        <v/>
      </c>
      <c r="I810" s="0" t="str">
        <f aca="false">IFERROR(IF(OR(HLOOKUP($A810,#REF!,7,FALSE())&gt;2,HLOOKUP($A810,#REF!,7,FALSE())&lt;-2),"",#REF!),"")</f>
        <v/>
      </c>
      <c r="J810" s="0" t="str">
        <f aca="false">IFERROR(IF(OR(HLOOKUP($A810,#REF!,8,FALSE())&gt;2,HLOOKUP($A810,#REF!,8,FALSE())&lt;-2),"",#REF!),"")</f>
        <v/>
      </c>
      <c r="K810" s="0" t="str">
        <f aca="false">IFERROR(IF(OR(HLOOKUP($A810,#REF!,9,FALSE())&gt;2,HLOOKUP($A810,#REF!,9,FALSE())&lt;-2),"",#REF!),"")</f>
        <v/>
      </c>
      <c r="L810" s="0" t="str">
        <f aca="false">IFERROR(IF(OR(HLOOKUP($A810,#REF!,10,FALSE())&gt;2,HLOOKUP($A810,#REF!,10,FALSE())&lt;-2),"",#REF!),"")</f>
        <v/>
      </c>
      <c r="M810" s="0" t="str">
        <f aca="false">IFERROR(IF(OR(HLOOKUP($A810,#REF!,11,FALSE())&gt;2,HLOOKUP($A810,#REF!,11,FALSE())&lt;-2),"",#REF!),"")</f>
        <v/>
      </c>
      <c r="N810" s="0" t="str">
        <f aca="false">IFERROR(IF(OR(HLOOKUP($A810,#REF!,12,FALSE())&gt;2,HLOOKUP($A810,#REF!,12,FALSE())&lt;-2),"",#REF!),"")</f>
        <v/>
      </c>
      <c r="O810" s="0" t="str">
        <f aca="false">IFERROR(IF(OR(HLOOKUP($A810,#REF!,13,FALSE())&gt;2,HLOOKUP($A810,#REF!,13,FALSE())&lt;-2),"",#REF!),"")</f>
        <v/>
      </c>
      <c r="P810" s="0" t="str">
        <f aca="false">IFERROR(IF(OR(HLOOKUP($A810,#REF!,14,FALSE())&gt;2,HLOOKUP($A810,#REF!,14,FALSE())&lt;-2),"",#REF!),"")</f>
        <v/>
      </c>
      <c r="Q810" s="0" t="str">
        <f aca="false">IFERROR(IF(OR(HLOOKUP($A810,#REF!,15,FALSE())&gt;2,HLOOKUP($A810,#REF!,15,FALSE())&lt;-2),"",#REF!),"")</f>
        <v/>
      </c>
      <c r="R810" s="0" t="str">
        <f aca="false">IFERROR(IF(OR(HLOOKUP($A810,#REF!,16,FALSE())&gt;2,HLOOKUP($A810,#REF!,16,FALSE())&lt;-2),"",#REF!),"")</f>
        <v/>
      </c>
      <c r="S810" s="0" t="str">
        <f aca="false">IFERROR(IF(OR(HLOOKUP($A810,#REF!,17,FALSE())&gt;2,HLOOKUP($A810,#REF!,17,FALSE())&lt;-2),"",#REF!),"")</f>
        <v/>
      </c>
      <c r="T810" s="0" t="str">
        <f aca="false">IFERROR(IF(OR(HLOOKUP($A810,#REF!,18,FALSE())&gt;2,HLOOKUP($A810,#REF!,18,FALSE())&lt;-2),"",#REF!),"")</f>
        <v/>
      </c>
      <c r="U810" s="0" t="str">
        <f aca="false">IFERROR(IF(OR(HLOOKUP($A810,#REF!,19,FALSE())&gt;2,HLOOKUP($A810,#REF!,19,FALSE())&lt;-2),"",#REF!),"")</f>
        <v/>
      </c>
      <c r="V810" s="0" t="n">
        <f aca="false">IFERROR(IF(AND(X810=0,Y810=0),0,1),0)</f>
        <v>1</v>
      </c>
      <c r="W810" s="3" t="str">
        <f aca="false">IFERROR(_xlfn.T.TEST(E810:M810,N810:U810,2,2),"")</f>
        <v/>
      </c>
      <c r="X810" s="0" t="str">
        <f aca="false">IFERROR(AVERAGE(E810:M810),"")</f>
        <v/>
      </c>
      <c r="Y810" s="0" t="str">
        <f aca="false">IFERROR(AVERAGE(N810:U810),"")</f>
        <v/>
      </c>
    </row>
    <row r="811" customFormat="false" ht="14.5" hidden="false" customHeight="false" outlineLevel="0" collapsed="false">
      <c r="A811" s="0" t="n">
        <v>819</v>
      </c>
      <c r="B811" s="0" t="s">
        <v>81</v>
      </c>
      <c r="C811" s="0" t="n">
        <v>20000</v>
      </c>
      <c r="D811" s="0" t="n">
        <v>48</v>
      </c>
      <c r="E811" s="0" t="str">
        <f aca="false">IFERROR(IF(OR(HLOOKUP($A811,#REF!,3,FALSE())&gt;2,HLOOKUP(A811,#REF!,3,FALSE())&lt;-2),"",#REF!),"")</f>
        <v/>
      </c>
      <c r="F811" s="0" t="str">
        <f aca="false">IFERROR(IF(OR(HLOOKUP($A811,#REF!,4,FALSE())&gt;2,HLOOKUP($A811,#REF!,4,FALSE())&lt;-2),"",#REF!),"")</f>
        <v/>
      </c>
      <c r="G811" s="0" t="str">
        <f aca="false">IFERROR(IF(OR(HLOOKUP($A811,#REF!,5,FALSE())&gt;2,HLOOKUP($A811,#REF!,5,FALSE())&lt;-2),"",#REF!),"")</f>
        <v/>
      </c>
      <c r="H811" s="0" t="str">
        <f aca="false">IFERROR(IF(OR(HLOOKUP($A811,#REF!,6,FALSE())&gt;2,HLOOKUP($A811,#REF!,6,FALSE())&lt;-2),"",#REF!),"")</f>
        <v/>
      </c>
      <c r="I811" s="0" t="str">
        <f aca="false">IFERROR(IF(OR(HLOOKUP($A811,#REF!,7,FALSE())&gt;2,HLOOKUP($A811,#REF!,7,FALSE())&lt;-2),"",#REF!),"")</f>
        <v/>
      </c>
      <c r="J811" s="0" t="str">
        <f aca="false">IFERROR(IF(OR(HLOOKUP($A811,#REF!,8,FALSE())&gt;2,HLOOKUP($A811,#REF!,8,FALSE())&lt;-2),"",#REF!),"")</f>
        <v/>
      </c>
      <c r="K811" s="0" t="str">
        <f aca="false">IFERROR(IF(OR(HLOOKUP($A811,#REF!,9,FALSE())&gt;2,HLOOKUP($A811,#REF!,9,FALSE())&lt;-2),"",#REF!),"")</f>
        <v/>
      </c>
      <c r="L811" s="0" t="str">
        <f aca="false">IFERROR(IF(OR(HLOOKUP($A811,#REF!,10,FALSE())&gt;2,HLOOKUP($A811,#REF!,10,FALSE())&lt;-2),"",#REF!),"")</f>
        <v/>
      </c>
      <c r="M811" s="0" t="str">
        <f aca="false">IFERROR(IF(OR(HLOOKUP($A811,#REF!,11,FALSE())&gt;2,HLOOKUP($A811,#REF!,11,FALSE())&lt;-2),"",#REF!),"")</f>
        <v/>
      </c>
      <c r="N811" s="0" t="str">
        <f aca="false">IFERROR(IF(OR(HLOOKUP($A811,#REF!,12,FALSE())&gt;2,HLOOKUP($A811,#REF!,12,FALSE())&lt;-2),"",#REF!),"")</f>
        <v/>
      </c>
      <c r="O811" s="0" t="str">
        <f aca="false">IFERROR(IF(OR(HLOOKUP($A811,#REF!,13,FALSE())&gt;2,HLOOKUP($A811,#REF!,13,FALSE())&lt;-2),"",#REF!),"")</f>
        <v/>
      </c>
      <c r="P811" s="0" t="str">
        <f aca="false">IFERROR(IF(OR(HLOOKUP($A811,#REF!,14,FALSE())&gt;2,HLOOKUP($A811,#REF!,14,FALSE())&lt;-2),"",#REF!),"")</f>
        <v/>
      </c>
      <c r="Q811" s="0" t="str">
        <f aca="false">IFERROR(IF(OR(HLOOKUP($A811,#REF!,15,FALSE())&gt;2,HLOOKUP($A811,#REF!,15,FALSE())&lt;-2),"",#REF!),"")</f>
        <v/>
      </c>
      <c r="R811" s="0" t="str">
        <f aca="false">IFERROR(IF(OR(HLOOKUP($A811,#REF!,16,FALSE())&gt;2,HLOOKUP($A811,#REF!,16,FALSE())&lt;-2),"",#REF!),"")</f>
        <v/>
      </c>
      <c r="S811" s="0" t="str">
        <f aca="false">IFERROR(IF(OR(HLOOKUP($A811,#REF!,17,FALSE())&gt;2,HLOOKUP($A811,#REF!,17,FALSE())&lt;-2),"",#REF!),"")</f>
        <v/>
      </c>
      <c r="T811" s="0" t="str">
        <f aca="false">IFERROR(IF(OR(HLOOKUP($A811,#REF!,18,FALSE())&gt;2,HLOOKUP($A811,#REF!,18,FALSE())&lt;-2),"",#REF!),"")</f>
        <v/>
      </c>
      <c r="U811" s="0" t="str">
        <f aca="false">IFERROR(IF(OR(HLOOKUP($A811,#REF!,19,FALSE())&gt;2,HLOOKUP($A811,#REF!,19,FALSE())&lt;-2),"",#REF!),"")</f>
        <v/>
      </c>
      <c r="V811" s="0" t="n">
        <f aca="false">IFERROR(IF(AND(X811=0,Y811=0),0,1),0)</f>
        <v>1</v>
      </c>
      <c r="W811" s="3" t="str">
        <f aca="false">IFERROR(_xlfn.T.TEST(E811:M811,N811:U811,2,2),"")</f>
        <v/>
      </c>
      <c r="X811" s="0" t="str">
        <f aca="false">IFERROR(AVERAGE(E811:M811),"")</f>
        <v/>
      </c>
      <c r="Y811" s="0" t="str">
        <f aca="false">IFERROR(AVERAGE(N811:U811),"")</f>
        <v/>
      </c>
    </row>
    <row r="812" customFormat="false" ht="14.5" hidden="false" customHeight="false" outlineLevel="0" collapsed="false">
      <c r="A812" s="0" t="n">
        <v>820</v>
      </c>
      <c r="B812" s="0" t="s">
        <v>866</v>
      </c>
      <c r="C812" s="0" t="n">
        <v>79300</v>
      </c>
      <c r="D812" s="0" t="n">
        <v>4</v>
      </c>
      <c r="E812" s="0" t="str">
        <f aca="false">IFERROR(IF(OR(HLOOKUP($A812,#REF!,3,FALSE())&gt;2,HLOOKUP(A812,#REF!,3,FALSE())&lt;-2),"",#REF!),"")</f>
        <v/>
      </c>
      <c r="F812" s="0" t="str">
        <f aca="false">IFERROR(IF(OR(HLOOKUP($A812,#REF!,4,FALSE())&gt;2,HLOOKUP($A812,#REF!,4,FALSE())&lt;-2),"",#REF!),"")</f>
        <v/>
      </c>
      <c r="G812" s="0" t="str">
        <f aca="false">IFERROR(IF(OR(HLOOKUP($A812,#REF!,5,FALSE())&gt;2,HLOOKUP($A812,#REF!,5,FALSE())&lt;-2),"",#REF!),"")</f>
        <v/>
      </c>
      <c r="H812" s="0" t="str">
        <f aca="false">IFERROR(IF(OR(HLOOKUP($A812,#REF!,6,FALSE())&gt;2,HLOOKUP($A812,#REF!,6,FALSE())&lt;-2),"",#REF!),"")</f>
        <v/>
      </c>
      <c r="I812" s="0" t="str">
        <f aca="false">IFERROR(IF(OR(HLOOKUP($A812,#REF!,7,FALSE())&gt;2,HLOOKUP($A812,#REF!,7,FALSE())&lt;-2),"",#REF!),"")</f>
        <v/>
      </c>
      <c r="J812" s="0" t="str">
        <f aca="false">IFERROR(IF(OR(HLOOKUP($A812,#REF!,8,FALSE())&gt;2,HLOOKUP($A812,#REF!,8,FALSE())&lt;-2),"",#REF!),"")</f>
        <v/>
      </c>
      <c r="K812" s="0" t="str">
        <f aca="false">IFERROR(IF(OR(HLOOKUP($A812,#REF!,9,FALSE())&gt;2,HLOOKUP($A812,#REF!,9,FALSE())&lt;-2),"",#REF!),"")</f>
        <v/>
      </c>
      <c r="L812" s="0" t="str">
        <f aca="false">IFERROR(IF(OR(HLOOKUP($A812,#REF!,10,FALSE())&gt;2,HLOOKUP($A812,#REF!,10,FALSE())&lt;-2),"",#REF!),"")</f>
        <v/>
      </c>
      <c r="M812" s="0" t="str">
        <f aca="false">IFERROR(IF(OR(HLOOKUP($A812,#REF!,11,FALSE())&gt;2,HLOOKUP($A812,#REF!,11,FALSE())&lt;-2),"",#REF!),"")</f>
        <v/>
      </c>
      <c r="N812" s="0" t="str">
        <f aca="false">IFERROR(IF(OR(HLOOKUP($A812,#REF!,12,FALSE())&gt;2,HLOOKUP($A812,#REF!,12,FALSE())&lt;-2),"",#REF!),"")</f>
        <v/>
      </c>
      <c r="O812" s="0" t="str">
        <f aca="false">IFERROR(IF(OR(HLOOKUP($A812,#REF!,13,FALSE())&gt;2,HLOOKUP($A812,#REF!,13,FALSE())&lt;-2),"",#REF!),"")</f>
        <v/>
      </c>
      <c r="P812" s="0" t="str">
        <f aca="false">IFERROR(IF(OR(HLOOKUP($A812,#REF!,14,FALSE())&gt;2,HLOOKUP($A812,#REF!,14,FALSE())&lt;-2),"",#REF!),"")</f>
        <v/>
      </c>
      <c r="Q812" s="0" t="str">
        <f aca="false">IFERROR(IF(OR(HLOOKUP($A812,#REF!,15,FALSE())&gt;2,HLOOKUP($A812,#REF!,15,FALSE())&lt;-2),"",#REF!),"")</f>
        <v/>
      </c>
      <c r="R812" s="0" t="str">
        <f aca="false">IFERROR(IF(OR(HLOOKUP($A812,#REF!,16,FALSE())&gt;2,HLOOKUP($A812,#REF!,16,FALSE())&lt;-2),"",#REF!),"")</f>
        <v/>
      </c>
      <c r="S812" s="0" t="str">
        <f aca="false">IFERROR(IF(OR(HLOOKUP($A812,#REF!,17,FALSE())&gt;2,HLOOKUP($A812,#REF!,17,FALSE())&lt;-2),"",#REF!),"")</f>
        <v/>
      </c>
      <c r="T812" s="0" t="str">
        <f aca="false">IFERROR(IF(OR(HLOOKUP($A812,#REF!,18,FALSE())&gt;2,HLOOKUP($A812,#REF!,18,FALSE())&lt;-2),"",#REF!),"")</f>
        <v/>
      </c>
      <c r="U812" s="0" t="str">
        <f aca="false">IFERROR(IF(OR(HLOOKUP($A812,#REF!,19,FALSE())&gt;2,HLOOKUP($A812,#REF!,19,FALSE())&lt;-2),"",#REF!),"")</f>
        <v/>
      </c>
      <c r="V812" s="0" t="n">
        <f aca="false">IFERROR(IF(AND(X812=0,Y812=0),0,1),0)</f>
        <v>1</v>
      </c>
      <c r="W812" s="3" t="str">
        <f aca="false">IFERROR(_xlfn.T.TEST(E812:M812,N812:U812,2,2),"")</f>
        <v/>
      </c>
      <c r="X812" s="0" t="str">
        <f aca="false">IFERROR(AVERAGE(E812:M812),"")</f>
        <v/>
      </c>
      <c r="Y812" s="0" t="str">
        <f aca="false">IFERROR(AVERAGE(N812:U812),"")</f>
        <v/>
      </c>
    </row>
    <row r="813" customFormat="false" ht="14.5" hidden="false" customHeight="false" outlineLevel="0" collapsed="false">
      <c r="A813" s="0" t="n">
        <v>821</v>
      </c>
      <c r="B813" s="0" t="s">
        <v>867</v>
      </c>
      <c r="C813" s="0" t="n">
        <v>16400</v>
      </c>
      <c r="D813" s="0" t="n">
        <v>385</v>
      </c>
      <c r="E813" s="0" t="str">
        <f aca="false">IFERROR(IF(OR(HLOOKUP($A813,#REF!,3,FALSE())&gt;2,HLOOKUP(A813,#REF!,3,FALSE())&lt;-2),"",#REF!),"")</f>
        <v/>
      </c>
      <c r="F813" s="0" t="str">
        <f aca="false">IFERROR(IF(OR(HLOOKUP($A813,#REF!,4,FALSE())&gt;2,HLOOKUP($A813,#REF!,4,FALSE())&lt;-2),"",#REF!),"")</f>
        <v/>
      </c>
      <c r="G813" s="0" t="str">
        <f aca="false">IFERROR(IF(OR(HLOOKUP($A813,#REF!,5,FALSE())&gt;2,HLOOKUP($A813,#REF!,5,FALSE())&lt;-2),"",#REF!),"")</f>
        <v/>
      </c>
      <c r="H813" s="0" t="str">
        <f aca="false">IFERROR(IF(OR(HLOOKUP($A813,#REF!,6,FALSE())&gt;2,HLOOKUP($A813,#REF!,6,FALSE())&lt;-2),"",#REF!),"")</f>
        <v/>
      </c>
      <c r="I813" s="0" t="str">
        <f aca="false">IFERROR(IF(OR(HLOOKUP($A813,#REF!,7,FALSE())&gt;2,HLOOKUP($A813,#REF!,7,FALSE())&lt;-2),"",#REF!),"")</f>
        <v/>
      </c>
      <c r="J813" s="0" t="str">
        <f aca="false">IFERROR(IF(OR(HLOOKUP($A813,#REF!,8,FALSE())&gt;2,HLOOKUP($A813,#REF!,8,FALSE())&lt;-2),"",#REF!),"")</f>
        <v/>
      </c>
      <c r="K813" s="0" t="str">
        <f aca="false">IFERROR(IF(OR(HLOOKUP($A813,#REF!,9,FALSE())&gt;2,HLOOKUP($A813,#REF!,9,FALSE())&lt;-2),"",#REF!),"")</f>
        <v/>
      </c>
      <c r="L813" s="0" t="str">
        <f aca="false">IFERROR(IF(OR(HLOOKUP($A813,#REF!,10,FALSE())&gt;2,HLOOKUP($A813,#REF!,10,FALSE())&lt;-2),"",#REF!),"")</f>
        <v/>
      </c>
      <c r="M813" s="0" t="str">
        <f aca="false">IFERROR(IF(OR(HLOOKUP($A813,#REF!,11,FALSE())&gt;2,HLOOKUP($A813,#REF!,11,FALSE())&lt;-2),"",#REF!),"")</f>
        <v/>
      </c>
      <c r="N813" s="0" t="str">
        <f aca="false">IFERROR(IF(OR(HLOOKUP($A813,#REF!,12,FALSE())&gt;2,HLOOKUP($A813,#REF!,12,FALSE())&lt;-2),"",#REF!),"")</f>
        <v/>
      </c>
      <c r="O813" s="0" t="str">
        <f aca="false">IFERROR(IF(OR(HLOOKUP($A813,#REF!,13,FALSE())&gt;2,HLOOKUP($A813,#REF!,13,FALSE())&lt;-2),"",#REF!),"")</f>
        <v/>
      </c>
      <c r="P813" s="0" t="str">
        <f aca="false">IFERROR(IF(OR(HLOOKUP($A813,#REF!,14,FALSE())&gt;2,HLOOKUP($A813,#REF!,14,FALSE())&lt;-2),"",#REF!),"")</f>
        <v/>
      </c>
      <c r="Q813" s="0" t="str">
        <f aca="false">IFERROR(IF(OR(HLOOKUP($A813,#REF!,15,FALSE())&gt;2,HLOOKUP($A813,#REF!,15,FALSE())&lt;-2),"",#REF!),"")</f>
        <v/>
      </c>
      <c r="R813" s="0" t="str">
        <f aca="false">IFERROR(IF(OR(HLOOKUP($A813,#REF!,16,FALSE())&gt;2,HLOOKUP($A813,#REF!,16,FALSE())&lt;-2),"",#REF!),"")</f>
        <v/>
      </c>
      <c r="S813" s="0" t="str">
        <f aca="false">IFERROR(IF(OR(HLOOKUP($A813,#REF!,17,FALSE())&gt;2,HLOOKUP($A813,#REF!,17,FALSE())&lt;-2),"",#REF!),"")</f>
        <v/>
      </c>
      <c r="T813" s="0" t="str">
        <f aca="false">IFERROR(IF(OR(HLOOKUP($A813,#REF!,18,FALSE())&gt;2,HLOOKUP($A813,#REF!,18,FALSE())&lt;-2),"",#REF!),"")</f>
        <v/>
      </c>
      <c r="U813" s="0" t="str">
        <f aca="false">IFERROR(IF(OR(HLOOKUP($A813,#REF!,19,FALSE())&gt;2,HLOOKUP($A813,#REF!,19,FALSE())&lt;-2),"",#REF!),"")</f>
        <v/>
      </c>
      <c r="V813" s="0" t="n">
        <f aca="false">IFERROR(IF(AND(X813=0,Y813=0),0,1),0)</f>
        <v>1</v>
      </c>
      <c r="W813" s="3" t="str">
        <f aca="false">IFERROR(_xlfn.T.TEST(E813:M813,N813:U813,2,2),"")</f>
        <v/>
      </c>
      <c r="X813" s="0" t="str">
        <f aca="false">IFERROR(AVERAGE(E813:M813),"")</f>
        <v/>
      </c>
      <c r="Y813" s="0" t="str">
        <f aca="false">IFERROR(AVERAGE(N813:U813),"")</f>
        <v/>
      </c>
    </row>
    <row r="814" customFormat="false" ht="14.5" hidden="false" customHeight="false" outlineLevel="0" collapsed="false">
      <c r="A814" s="0" t="n">
        <v>822</v>
      </c>
      <c r="B814" s="0" t="s">
        <v>868</v>
      </c>
      <c r="C814" s="0" t="n">
        <v>41200</v>
      </c>
      <c r="D814" s="0" t="n">
        <v>1089</v>
      </c>
      <c r="E814" s="0" t="str">
        <f aca="false">IFERROR(IF(OR(HLOOKUP($A814,#REF!,3,FALSE())&gt;2,HLOOKUP(A814,#REF!,3,FALSE())&lt;-2),"",#REF!),"")</f>
        <v/>
      </c>
      <c r="F814" s="0" t="str">
        <f aca="false">IFERROR(IF(OR(HLOOKUP($A814,#REF!,4,FALSE())&gt;2,HLOOKUP($A814,#REF!,4,FALSE())&lt;-2),"",#REF!),"")</f>
        <v/>
      </c>
      <c r="G814" s="0" t="str">
        <f aca="false">IFERROR(IF(OR(HLOOKUP($A814,#REF!,5,FALSE())&gt;2,HLOOKUP($A814,#REF!,5,FALSE())&lt;-2),"",#REF!),"")</f>
        <v/>
      </c>
      <c r="H814" s="0" t="str">
        <f aca="false">IFERROR(IF(OR(HLOOKUP($A814,#REF!,6,FALSE())&gt;2,HLOOKUP($A814,#REF!,6,FALSE())&lt;-2),"",#REF!),"")</f>
        <v/>
      </c>
      <c r="I814" s="0" t="str">
        <f aca="false">IFERROR(IF(OR(HLOOKUP($A814,#REF!,7,FALSE())&gt;2,HLOOKUP($A814,#REF!,7,FALSE())&lt;-2),"",#REF!),"")</f>
        <v/>
      </c>
      <c r="J814" s="0" t="str">
        <f aca="false">IFERROR(IF(OR(HLOOKUP($A814,#REF!,8,FALSE())&gt;2,HLOOKUP($A814,#REF!,8,FALSE())&lt;-2),"",#REF!),"")</f>
        <v/>
      </c>
      <c r="K814" s="0" t="str">
        <f aca="false">IFERROR(IF(OR(HLOOKUP($A814,#REF!,9,FALSE())&gt;2,HLOOKUP($A814,#REF!,9,FALSE())&lt;-2),"",#REF!),"")</f>
        <v/>
      </c>
      <c r="L814" s="0" t="str">
        <f aca="false">IFERROR(IF(OR(HLOOKUP($A814,#REF!,10,FALSE())&gt;2,HLOOKUP($A814,#REF!,10,FALSE())&lt;-2),"",#REF!),"")</f>
        <v/>
      </c>
      <c r="M814" s="0" t="str">
        <f aca="false">IFERROR(IF(OR(HLOOKUP($A814,#REF!,11,FALSE())&gt;2,HLOOKUP($A814,#REF!,11,FALSE())&lt;-2),"",#REF!),"")</f>
        <v/>
      </c>
      <c r="N814" s="0" t="str">
        <f aca="false">IFERROR(IF(OR(HLOOKUP($A814,#REF!,12,FALSE())&gt;2,HLOOKUP($A814,#REF!,12,FALSE())&lt;-2),"",#REF!),"")</f>
        <v/>
      </c>
      <c r="O814" s="0" t="str">
        <f aca="false">IFERROR(IF(OR(HLOOKUP($A814,#REF!,13,FALSE())&gt;2,HLOOKUP($A814,#REF!,13,FALSE())&lt;-2),"",#REF!),"")</f>
        <v/>
      </c>
      <c r="P814" s="0" t="str">
        <f aca="false">IFERROR(IF(OR(HLOOKUP($A814,#REF!,14,FALSE())&gt;2,HLOOKUP($A814,#REF!,14,FALSE())&lt;-2),"",#REF!),"")</f>
        <v/>
      </c>
      <c r="Q814" s="0" t="str">
        <f aca="false">IFERROR(IF(OR(HLOOKUP($A814,#REF!,15,FALSE())&gt;2,HLOOKUP($A814,#REF!,15,FALSE())&lt;-2),"",#REF!),"")</f>
        <v/>
      </c>
      <c r="R814" s="0" t="str">
        <f aca="false">IFERROR(IF(OR(HLOOKUP($A814,#REF!,16,FALSE())&gt;2,HLOOKUP($A814,#REF!,16,FALSE())&lt;-2),"",#REF!),"")</f>
        <v/>
      </c>
      <c r="S814" s="0" t="str">
        <f aca="false">IFERROR(IF(OR(HLOOKUP($A814,#REF!,17,FALSE())&gt;2,HLOOKUP($A814,#REF!,17,FALSE())&lt;-2),"",#REF!),"")</f>
        <v/>
      </c>
      <c r="T814" s="0" t="str">
        <f aca="false">IFERROR(IF(OR(HLOOKUP($A814,#REF!,18,FALSE())&gt;2,HLOOKUP($A814,#REF!,18,FALSE())&lt;-2),"",#REF!),"")</f>
        <v/>
      </c>
      <c r="U814" s="0" t="str">
        <f aca="false">IFERROR(IF(OR(HLOOKUP($A814,#REF!,19,FALSE())&gt;2,HLOOKUP($A814,#REF!,19,FALSE())&lt;-2),"",#REF!),"")</f>
        <v/>
      </c>
      <c r="V814" s="0" t="n">
        <f aca="false">IFERROR(IF(AND(X814=0,Y814=0),0,1),0)</f>
        <v>1</v>
      </c>
      <c r="W814" s="3" t="str">
        <f aca="false">IFERROR(_xlfn.T.TEST(E814:M814,N814:U814,2,2),"")</f>
        <v/>
      </c>
      <c r="X814" s="0" t="str">
        <f aca="false">IFERROR(AVERAGE(E814:M814),"")</f>
        <v/>
      </c>
      <c r="Y814" s="0" t="str">
        <f aca="false">IFERROR(AVERAGE(N814:U814),"")</f>
        <v/>
      </c>
    </row>
    <row r="815" customFormat="false" ht="14.5" hidden="false" customHeight="false" outlineLevel="0" collapsed="false">
      <c r="A815" s="0" t="n">
        <v>823</v>
      </c>
      <c r="B815" s="0" t="s">
        <v>869</v>
      </c>
      <c r="C815" s="0" t="n">
        <v>40900</v>
      </c>
      <c r="D815" s="0" t="n">
        <v>799</v>
      </c>
      <c r="E815" s="0" t="str">
        <f aca="false">IFERROR(IF(OR(HLOOKUP($A815,#REF!,3,FALSE())&gt;2,HLOOKUP(A815,#REF!,3,FALSE())&lt;-2),"",#REF!),"")</f>
        <v/>
      </c>
      <c r="F815" s="0" t="str">
        <f aca="false">IFERROR(IF(OR(HLOOKUP($A815,#REF!,4,FALSE())&gt;2,HLOOKUP($A815,#REF!,4,FALSE())&lt;-2),"",#REF!),"")</f>
        <v/>
      </c>
      <c r="G815" s="0" t="str">
        <f aca="false">IFERROR(IF(OR(HLOOKUP($A815,#REF!,5,FALSE())&gt;2,HLOOKUP($A815,#REF!,5,FALSE())&lt;-2),"",#REF!),"")</f>
        <v/>
      </c>
      <c r="H815" s="0" t="str">
        <f aca="false">IFERROR(IF(OR(HLOOKUP($A815,#REF!,6,FALSE())&gt;2,HLOOKUP($A815,#REF!,6,FALSE())&lt;-2),"",#REF!),"")</f>
        <v/>
      </c>
      <c r="I815" s="0" t="str">
        <f aca="false">IFERROR(IF(OR(HLOOKUP($A815,#REF!,7,FALSE())&gt;2,HLOOKUP($A815,#REF!,7,FALSE())&lt;-2),"",#REF!),"")</f>
        <v/>
      </c>
      <c r="J815" s="0" t="str">
        <f aca="false">IFERROR(IF(OR(HLOOKUP($A815,#REF!,8,FALSE())&gt;2,HLOOKUP($A815,#REF!,8,FALSE())&lt;-2),"",#REF!),"")</f>
        <v/>
      </c>
      <c r="K815" s="0" t="str">
        <f aca="false">IFERROR(IF(OR(HLOOKUP($A815,#REF!,9,FALSE())&gt;2,HLOOKUP($A815,#REF!,9,FALSE())&lt;-2),"",#REF!),"")</f>
        <v/>
      </c>
      <c r="L815" s="0" t="str">
        <f aca="false">IFERROR(IF(OR(HLOOKUP($A815,#REF!,10,FALSE())&gt;2,HLOOKUP($A815,#REF!,10,FALSE())&lt;-2),"",#REF!),"")</f>
        <v/>
      </c>
      <c r="M815" s="0" t="str">
        <f aca="false">IFERROR(IF(OR(HLOOKUP($A815,#REF!,11,FALSE())&gt;2,HLOOKUP($A815,#REF!,11,FALSE())&lt;-2),"",#REF!),"")</f>
        <v/>
      </c>
      <c r="N815" s="0" t="str">
        <f aca="false">IFERROR(IF(OR(HLOOKUP($A815,#REF!,12,FALSE())&gt;2,HLOOKUP($A815,#REF!,12,FALSE())&lt;-2),"",#REF!),"")</f>
        <v/>
      </c>
      <c r="O815" s="0" t="str">
        <f aca="false">IFERROR(IF(OR(HLOOKUP($A815,#REF!,13,FALSE())&gt;2,HLOOKUP($A815,#REF!,13,FALSE())&lt;-2),"",#REF!),"")</f>
        <v/>
      </c>
      <c r="P815" s="0" t="str">
        <f aca="false">IFERROR(IF(OR(HLOOKUP($A815,#REF!,14,FALSE())&gt;2,HLOOKUP($A815,#REF!,14,FALSE())&lt;-2),"",#REF!),"")</f>
        <v/>
      </c>
      <c r="Q815" s="0" t="str">
        <f aca="false">IFERROR(IF(OR(HLOOKUP($A815,#REF!,15,FALSE())&gt;2,HLOOKUP($A815,#REF!,15,FALSE())&lt;-2),"",#REF!),"")</f>
        <v/>
      </c>
      <c r="R815" s="0" t="str">
        <f aca="false">IFERROR(IF(OR(HLOOKUP($A815,#REF!,16,FALSE())&gt;2,HLOOKUP($A815,#REF!,16,FALSE())&lt;-2),"",#REF!),"")</f>
        <v/>
      </c>
      <c r="S815" s="0" t="str">
        <f aca="false">IFERROR(IF(OR(HLOOKUP($A815,#REF!,17,FALSE())&gt;2,HLOOKUP($A815,#REF!,17,FALSE())&lt;-2),"",#REF!),"")</f>
        <v/>
      </c>
      <c r="T815" s="0" t="str">
        <f aca="false">IFERROR(IF(OR(HLOOKUP($A815,#REF!,18,FALSE())&gt;2,HLOOKUP($A815,#REF!,18,FALSE())&lt;-2),"",#REF!),"")</f>
        <v/>
      </c>
      <c r="U815" s="0" t="str">
        <f aca="false">IFERROR(IF(OR(HLOOKUP($A815,#REF!,19,FALSE())&gt;2,HLOOKUP($A815,#REF!,19,FALSE())&lt;-2),"",#REF!),"")</f>
        <v/>
      </c>
      <c r="V815" s="0" t="n">
        <f aca="false">IFERROR(IF(AND(X815=0,Y815=0),0,1),0)</f>
        <v>1</v>
      </c>
      <c r="W815" s="3" t="str">
        <f aca="false">IFERROR(_xlfn.T.TEST(E815:M815,N815:U815,2,2),"")</f>
        <v/>
      </c>
      <c r="X815" s="0" t="str">
        <f aca="false">IFERROR(AVERAGE(E815:M815),"")</f>
        <v/>
      </c>
      <c r="Y815" s="0" t="str">
        <f aca="false">IFERROR(AVERAGE(N815:U815),"")</f>
        <v/>
      </c>
    </row>
    <row r="816" customFormat="false" ht="14.5" hidden="false" customHeight="false" outlineLevel="0" collapsed="false">
      <c r="A816" s="0" t="n">
        <v>824</v>
      </c>
      <c r="B816" s="0" t="s">
        <v>870</v>
      </c>
      <c r="C816" s="0" t="n">
        <v>112700</v>
      </c>
      <c r="D816" s="0" t="n">
        <v>991</v>
      </c>
      <c r="E816" s="0" t="str">
        <f aca="false">IFERROR(IF(OR(HLOOKUP($A816,#REF!,3,FALSE())&gt;2,HLOOKUP(A816,#REF!,3,FALSE())&lt;-2),"",#REF!),"")</f>
        <v/>
      </c>
      <c r="F816" s="0" t="str">
        <f aca="false">IFERROR(IF(OR(HLOOKUP($A816,#REF!,4,FALSE())&gt;2,HLOOKUP($A816,#REF!,4,FALSE())&lt;-2),"",#REF!),"")</f>
        <v/>
      </c>
      <c r="G816" s="0" t="str">
        <f aca="false">IFERROR(IF(OR(HLOOKUP($A816,#REF!,5,FALSE())&gt;2,HLOOKUP($A816,#REF!,5,FALSE())&lt;-2),"",#REF!),"")</f>
        <v/>
      </c>
      <c r="H816" s="0" t="str">
        <f aca="false">IFERROR(IF(OR(HLOOKUP($A816,#REF!,6,FALSE())&gt;2,HLOOKUP($A816,#REF!,6,FALSE())&lt;-2),"",#REF!),"")</f>
        <v/>
      </c>
      <c r="I816" s="0" t="str">
        <f aca="false">IFERROR(IF(OR(HLOOKUP($A816,#REF!,7,FALSE())&gt;2,HLOOKUP($A816,#REF!,7,FALSE())&lt;-2),"",#REF!),"")</f>
        <v/>
      </c>
      <c r="J816" s="0" t="str">
        <f aca="false">IFERROR(IF(OR(HLOOKUP($A816,#REF!,8,FALSE())&gt;2,HLOOKUP($A816,#REF!,8,FALSE())&lt;-2),"",#REF!),"")</f>
        <v/>
      </c>
      <c r="K816" s="0" t="str">
        <f aca="false">IFERROR(IF(OR(HLOOKUP($A816,#REF!,9,FALSE())&gt;2,HLOOKUP($A816,#REF!,9,FALSE())&lt;-2),"",#REF!),"")</f>
        <v/>
      </c>
      <c r="L816" s="0" t="str">
        <f aca="false">IFERROR(IF(OR(HLOOKUP($A816,#REF!,10,FALSE())&gt;2,HLOOKUP($A816,#REF!,10,FALSE())&lt;-2),"",#REF!),"")</f>
        <v/>
      </c>
      <c r="M816" s="0" t="str">
        <f aca="false">IFERROR(IF(OR(HLOOKUP($A816,#REF!,11,FALSE())&gt;2,HLOOKUP($A816,#REF!,11,FALSE())&lt;-2),"",#REF!),"")</f>
        <v/>
      </c>
      <c r="N816" s="0" t="str">
        <f aca="false">IFERROR(IF(OR(HLOOKUP($A816,#REF!,12,FALSE())&gt;2,HLOOKUP($A816,#REF!,12,FALSE())&lt;-2),"",#REF!),"")</f>
        <v/>
      </c>
      <c r="O816" s="0" t="str">
        <f aca="false">IFERROR(IF(OR(HLOOKUP($A816,#REF!,13,FALSE())&gt;2,HLOOKUP($A816,#REF!,13,FALSE())&lt;-2),"",#REF!),"")</f>
        <v/>
      </c>
      <c r="P816" s="0" t="str">
        <f aca="false">IFERROR(IF(OR(HLOOKUP($A816,#REF!,14,FALSE())&gt;2,HLOOKUP($A816,#REF!,14,FALSE())&lt;-2),"",#REF!),"")</f>
        <v/>
      </c>
      <c r="Q816" s="0" t="str">
        <f aca="false">IFERROR(IF(OR(HLOOKUP($A816,#REF!,15,FALSE())&gt;2,HLOOKUP($A816,#REF!,15,FALSE())&lt;-2),"",#REF!),"")</f>
        <v/>
      </c>
      <c r="R816" s="0" t="str">
        <f aca="false">IFERROR(IF(OR(HLOOKUP($A816,#REF!,16,FALSE())&gt;2,HLOOKUP($A816,#REF!,16,FALSE())&lt;-2),"",#REF!),"")</f>
        <v/>
      </c>
      <c r="S816" s="0" t="str">
        <f aca="false">IFERROR(IF(OR(HLOOKUP($A816,#REF!,17,FALSE())&gt;2,HLOOKUP($A816,#REF!,17,FALSE())&lt;-2),"",#REF!),"")</f>
        <v/>
      </c>
      <c r="T816" s="0" t="str">
        <f aca="false">IFERROR(IF(OR(HLOOKUP($A816,#REF!,18,FALSE())&gt;2,HLOOKUP($A816,#REF!,18,FALSE())&lt;-2),"",#REF!),"")</f>
        <v/>
      </c>
      <c r="U816" s="0" t="str">
        <f aca="false">IFERROR(IF(OR(HLOOKUP($A816,#REF!,19,FALSE())&gt;2,HLOOKUP($A816,#REF!,19,FALSE())&lt;-2),"",#REF!),"")</f>
        <v/>
      </c>
      <c r="V816" s="0" t="n">
        <f aca="false">IFERROR(IF(AND(X816=0,Y816=0),0,1),0)</f>
        <v>1</v>
      </c>
      <c r="W816" s="3" t="str">
        <f aca="false">IFERROR(_xlfn.T.TEST(E816:M816,N816:U816,2,2),"")</f>
        <v/>
      </c>
      <c r="X816" s="0" t="str">
        <f aca="false">IFERROR(AVERAGE(E816:M816),"")</f>
        <v/>
      </c>
      <c r="Y816" s="0" t="str">
        <f aca="false">IFERROR(AVERAGE(N816:U816),"")</f>
        <v/>
      </c>
    </row>
    <row r="817" customFormat="false" ht="14.5" hidden="false" customHeight="false" outlineLevel="0" collapsed="false">
      <c r="A817" s="0" t="n">
        <v>825</v>
      </c>
      <c r="B817" s="0" t="s">
        <v>871</v>
      </c>
      <c r="C817" s="0" t="n">
        <v>113300</v>
      </c>
      <c r="D817" s="0" t="n">
        <v>349</v>
      </c>
      <c r="E817" s="0" t="str">
        <f aca="false">IFERROR(IF(OR(HLOOKUP($A817,#REF!,3,FALSE())&gt;2,HLOOKUP(A817,#REF!,3,FALSE())&lt;-2),"",#REF!),"")</f>
        <v/>
      </c>
      <c r="F817" s="0" t="str">
        <f aca="false">IFERROR(IF(OR(HLOOKUP($A817,#REF!,4,FALSE())&gt;2,HLOOKUP($A817,#REF!,4,FALSE())&lt;-2),"",#REF!),"")</f>
        <v/>
      </c>
      <c r="G817" s="0" t="str">
        <f aca="false">IFERROR(IF(OR(HLOOKUP($A817,#REF!,5,FALSE())&gt;2,HLOOKUP($A817,#REF!,5,FALSE())&lt;-2),"",#REF!),"")</f>
        <v/>
      </c>
      <c r="H817" s="0" t="str">
        <f aca="false">IFERROR(IF(OR(HLOOKUP($A817,#REF!,6,FALSE())&gt;2,HLOOKUP($A817,#REF!,6,FALSE())&lt;-2),"",#REF!),"")</f>
        <v/>
      </c>
      <c r="I817" s="0" t="str">
        <f aca="false">IFERROR(IF(OR(HLOOKUP($A817,#REF!,7,FALSE())&gt;2,HLOOKUP($A817,#REF!,7,FALSE())&lt;-2),"",#REF!),"")</f>
        <v/>
      </c>
      <c r="J817" s="0" t="str">
        <f aca="false">IFERROR(IF(OR(HLOOKUP($A817,#REF!,8,FALSE())&gt;2,HLOOKUP($A817,#REF!,8,FALSE())&lt;-2),"",#REF!),"")</f>
        <v/>
      </c>
      <c r="K817" s="0" t="str">
        <f aca="false">IFERROR(IF(OR(HLOOKUP($A817,#REF!,9,FALSE())&gt;2,HLOOKUP($A817,#REF!,9,FALSE())&lt;-2),"",#REF!),"")</f>
        <v/>
      </c>
      <c r="L817" s="0" t="str">
        <f aca="false">IFERROR(IF(OR(HLOOKUP($A817,#REF!,10,FALSE())&gt;2,HLOOKUP($A817,#REF!,10,FALSE())&lt;-2),"",#REF!),"")</f>
        <v/>
      </c>
      <c r="M817" s="0" t="str">
        <f aca="false">IFERROR(IF(OR(HLOOKUP($A817,#REF!,11,FALSE())&gt;2,HLOOKUP($A817,#REF!,11,FALSE())&lt;-2),"",#REF!),"")</f>
        <v/>
      </c>
      <c r="N817" s="0" t="str">
        <f aca="false">IFERROR(IF(OR(HLOOKUP($A817,#REF!,12,FALSE())&gt;2,HLOOKUP($A817,#REF!,12,FALSE())&lt;-2),"",#REF!),"")</f>
        <v/>
      </c>
      <c r="O817" s="0" t="str">
        <f aca="false">IFERROR(IF(OR(HLOOKUP($A817,#REF!,13,FALSE())&gt;2,HLOOKUP($A817,#REF!,13,FALSE())&lt;-2),"",#REF!),"")</f>
        <v/>
      </c>
      <c r="P817" s="0" t="str">
        <f aca="false">IFERROR(IF(OR(HLOOKUP($A817,#REF!,14,FALSE())&gt;2,HLOOKUP($A817,#REF!,14,FALSE())&lt;-2),"",#REF!),"")</f>
        <v/>
      </c>
      <c r="Q817" s="0" t="str">
        <f aca="false">IFERROR(IF(OR(HLOOKUP($A817,#REF!,15,FALSE())&gt;2,HLOOKUP($A817,#REF!,15,FALSE())&lt;-2),"",#REF!),"")</f>
        <v/>
      </c>
      <c r="R817" s="0" t="str">
        <f aca="false">IFERROR(IF(OR(HLOOKUP($A817,#REF!,16,FALSE())&gt;2,HLOOKUP($A817,#REF!,16,FALSE())&lt;-2),"",#REF!),"")</f>
        <v/>
      </c>
      <c r="S817" s="0" t="str">
        <f aca="false">IFERROR(IF(OR(HLOOKUP($A817,#REF!,17,FALSE())&gt;2,HLOOKUP($A817,#REF!,17,FALSE())&lt;-2),"",#REF!),"")</f>
        <v/>
      </c>
      <c r="T817" s="0" t="str">
        <f aca="false">IFERROR(IF(OR(HLOOKUP($A817,#REF!,18,FALSE())&gt;2,HLOOKUP($A817,#REF!,18,FALSE())&lt;-2),"",#REF!),"")</f>
        <v/>
      </c>
      <c r="U817" s="0" t="str">
        <f aca="false">IFERROR(IF(OR(HLOOKUP($A817,#REF!,19,FALSE())&gt;2,HLOOKUP($A817,#REF!,19,FALSE())&lt;-2),"",#REF!),"")</f>
        <v/>
      </c>
      <c r="V817" s="0" t="n">
        <f aca="false">IFERROR(IF(AND(X817=0,Y817=0),0,1),0)</f>
        <v>1</v>
      </c>
      <c r="W817" s="3" t="str">
        <f aca="false">IFERROR(_xlfn.T.TEST(E817:M817,N817:U817,2,2),"")</f>
        <v/>
      </c>
      <c r="X817" s="0" t="str">
        <f aca="false">IFERROR(AVERAGE(E817:M817),"")</f>
        <v/>
      </c>
      <c r="Y817" s="0" t="str">
        <f aca="false">IFERROR(AVERAGE(N817:U817),"")</f>
        <v/>
      </c>
    </row>
    <row r="818" customFormat="false" ht="14.5" hidden="false" customHeight="false" outlineLevel="0" collapsed="false">
      <c r="A818" s="0" t="n">
        <v>826</v>
      </c>
      <c r="B818" s="0" t="s">
        <v>872</v>
      </c>
      <c r="C818" s="0" t="n">
        <v>52300</v>
      </c>
      <c r="D818" s="0" t="n">
        <v>803</v>
      </c>
      <c r="E818" s="0" t="str">
        <f aca="false">IFERROR(IF(OR(HLOOKUP($A818,#REF!,3,FALSE())&gt;2,HLOOKUP(A818,#REF!,3,FALSE())&lt;-2),"",#REF!),"")</f>
        <v/>
      </c>
      <c r="F818" s="0" t="str">
        <f aca="false">IFERROR(IF(OR(HLOOKUP($A818,#REF!,4,FALSE())&gt;2,HLOOKUP($A818,#REF!,4,FALSE())&lt;-2),"",#REF!),"")</f>
        <v/>
      </c>
      <c r="G818" s="0" t="str">
        <f aca="false">IFERROR(IF(OR(HLOOKUP($A818,#REF!,5,FALSE())&gt;2,HLOOKUP($A818,#REF!,5,FALSE())&lt;-2),"",#REF!),"")</f>
        <v/>
      </c>
      <c r="H818" s="0" t="str">
        <f aca="false">IFERROR(IF(OR(HLOOKUP($A818,#REF!,6,FALSE())&gt;2,HLOOKUP($A818,#REF!,6,FALSE())&lt;-2),"",#REF!),"")</f>
        <v/>
      </c>
      <c r="I818" s="0" t="str">
        <f aca="false">IFERROR(IF(OR(HLOOKUP($A818,#REF!,7,FALSE())&gt;2,HLOOKUP($A818,#REF!,7,FALSE())&lt;-2),"",#REF!),"")</f>
        <v/>
      </c>
      <c r="J818" s="0" t="str">
        <f aca="false">IFERROR(IF(OR(HLOOKUP($A818,#REF!,8,FALSE())&gt;2,HLOOKUP($A818,#REF!,8,FALSE())&lt;-2),"",#REF!),"")</f>
        <v/>
      </c>
      <c r="K818" s="0" t="str">
        <f aca="false">IFERROR(IF(OR(HLOOKUP($A818,#REF!,9,FALSE())&gt;2,HLOOKUP($A818,#REF!,9,FALSE())&lt;-2),"",#REF!),"")</f>
        <v/>
      </c>
      <c r="L818" s="0" t="str">
        <f aca="false">IFERROR(IF(OR(HLOOKUP($A818,#REF!,10,FALSE())&gt;2,HLOOKUP($A818,#REF!,10,FALSE())&lt;-2),"",#REF!),"")</f>
        <v/>
      </c>
      <c r="M818" s="0" t="str">
        <f aca="false">IFERROR(IF(OR(HLOOKUP($A818,#REF!,11,FALSE())&gt;2,HLOOKUP($A818,#REF!,11,FALSE())&lt;-2),"",#REF!),"")</f>
        <v/>
      </c>
      <c r="N818" s="0" t="str">
        <f aca="false">IFERROR(IF(OR(HLOOKUP($A818,#REF!,12,FALSE())&gt;2,HLOOKUP($A818,#REF!,12,FALSE())&lt;-2),"",#REF!),"")</f>
        <v/>
      </c>
      <c r="O818" s="0" t="str">
        <f aca="false">IFERROR(IF(OR(HLOOKUP($A818,#REF!,13,FALSE())&gt;2,HLOOKUP($A818,#REF!,13,FALSE())&lt;-2),"",#REF!),"")</f>
        <v/>
      </c>
      <c r="P818" s="0" t="str">
        <f aca="false">IFERROR(IF(OR(HLOOKUP($A818,#REF!,14,FALSE())&gt;2,HLOOKUP($A818,#REF!,14,FALSE())&lt;-2),"",#REF!),"")</f>
        <v/>
      </c>
      <c r="Q818" s="0" t="str">
        <f aca="false">IFERROR(IF(OR(HLOOKUP($A818,#REF!,15,FALSE())&gt;2,HLOOKUP($A818,#REF!,15,FALSE())&lt;-2),"",#REF!),"")</f>
        <v/>
      </c>
      <c r="R818" s="0" t="str">
        <f aca="false">IFERROR(IF(OR(HLOOKUP($A818,#REF!,16,FALSE())&gt;2,HLOOKUP($A818,#REF!,16,FALSE())&lt;-2),"",#REF!),"")</f>
        <v/>
      </c>
      <c r="S818" s="0" t="str">
        <f aca="false">IFERROR(IF(OR(HLOOKUP($A818,#REF!,17,FALSE())&gt;2,HLOOKUP($A818,#REF!,17,FALSE())&lt;-2),"",#REF!),"")</f>
        <v/>
      </c>
      <c r="T818" s="0" t="str">
        <f aca="false">IFERROR(IF(OR(HLOOKUP($A818,#REF!,18,FALSE())&gt;2,HLOOKUP($A818,#REF!,18,FALSE())&lt;-2),"",#REF!),"")</f>
        <v/>
      </c>
      <c r="U818" s="0" t="str">
        <f aca="false">IFERROR(IF(OR(HLOOKUP($A818,#REF!,19,FALSE())&gt;2,HLOOKUP($A818,#REF!,19,FALSE())&lt;-2),"",#REF!),"")</f>
        <v/>
      </c>
      <c r="V818" s="0" t="n">
        <f aca="false">IFERROR(IF(AND(X818=0,Y818=0),0,1),0)</f>
        <v>1</v>
      </c>
      <c r="W818" s="3" t="str">
        <f aca="false">IFERROR(_xlfn.T.TEST(E818:M818,N818:U818,2,2),"")</f>
        <v/>
      </c>
      <c r="X818" s="0" t="str">
        <f aca="false">IFERROR(AVERAGE(E818:M818),"")</f>
        <v/>
      </c>
      <c r="Y818" s="0" t="str">
        <f aca="false">IFERROR(AVERAGE(N818:U818),"")</f>
        <v/>
      </c>
    </row>
    <row r="819" customFormat="false" ht="14.5" hidden="false" customHeight="false" outlineLevel="0" collapsed="false">
      <c r="A819" s="0" t="n">
        <v>827</v>
      </c>
      <c r="B819" s="0" t="s">
        <v>89</v>
      </c>
      <c r="C819" s="0" t="n">
        <v>8800</v>
      </c>
      <c r="D819" s="0" t="n">
        <v>44</v>
      </c>
      <c r="E819" s="0" t="str">
        <f aca="false">IFERROR(IF(OR(HLOOKUP($A819,#REF!,3,FALSE())&gt;2,HLOOKUP(A819,#REF!,3,FALSE())&lt;-2),"",#REF!),"")</f>
        <v/>
      </c>
      <c r="F819" s="0" t="str">
        <f aca="false">IFERROR(IF(OR(HLOOKUP($A819,#REF!,4,FALSE())&gt;2,HLOOKUP($A819,#REF!,4,FALSE())&lt;-2),"",#REF!),"")</f>
        <v/>
      </c>
      <c r="G819" s="0" t="str">
        <f aca="false">IFERROR(IF(OR(HLOOKUP($A819,#REF!,5,FALSE())&gt;2,HLOOKUP($A819,#REF!,5,FALSE())&lt;-2),"",#REF!),"")</f>
        <v/>
      </c>
      <c r="H819" s="0" t="str">
        <f aca="false">IFERROR(IF(OR(HLOOKUP($A819,#REF!,6,FALSE())&gt;2,HLOOKUP($A819,#REF!,6,FALSE())&lt;-2),"",#REF!),"")</f>
        <v/>
      </c>
      <c r="I819" s="0" t="str">
        <f aca="false">IFERROR(IF(OR(HLOOKUP($A819,#REF!,7,FALSE())&gt;2,HLOOKUP($A819,#REF!,7,FALSE())&lt;-2),"",#REF!),"")</f>
        <v/>
      </c>
      <c r="J819" s="0" t="str">
        <f aca="false">IFERROR(IF(OR(HLOOKUP($A819,#REF!,8,FALSE())&gt;2,HLOOKUP($A819,#REF!,8,FALSE())&lt;-2),"",#REF!),"")</f>
        <v/>
      </c>
      <c r="K819" s="0" t="str">
        <f aca="false">IFERROR(IF(OR(HLOOKUP($A819,#REF!,9,FALSE())&gt;2,HLOOKUP($A819,#REF!,9,FALSE())&lt;-2),"",#REF!),"")</f>
        <v/>
      </c>
      <c r="L819" s="0" t="str">
        <f aca="false">IFERROR(IF(OR(HLOOKUP($A819,#REF!,10,FALSE())&gt;2,HLOOKUP($A819,#REF!,10,FALSE())&lt;-2),"",#REF!),"")</f>
        <v/>
      </c>
      <c r="M819" s="0" t="str">
        <f aca="false">IFERROR(IF(OR(HLOOKUP($A819,#REF!,11,FALSE())&gt;2,HLOOKUP($A819,#REF!,11,FALSE())&lt;-2),"",#REF!),"")</f>
        <v/>
      </c>
      <c r="N819" s="0" t="str">
        <f aca="false">IFERROR(IF(OR(HLOOKUP($A819,#REF!,12,FALSE())&gt;2,HLOOKUP($A819,#REF!,12,FALSE())&lt;-2),"",#REF!),"")</f>
        <v/>
      </c>
      <c r="O819" s="0" t="str">
        <f aca="false">IFERROR(IF(OR(HLOOKUP($A819,#REF!,13,FALSE())&gt;2,HLOOKUP($A819,#REF!,13,FALSE())&lt;-2),"",#REF!),"")</f>
        <v/>
      </c>
      <c r="P819" s="0" t="str">
        <f aca="false">IFERROR(IF(OR(HLOOKUP($A819,#REF!,14,FALSE())&gt;2,HLOOKUP($A819,#REF!,14,FALSE())&lt;-2),"",#REF!),"")</f>
        <v/>
      </c>
      <c r="Q819" s="0" t="str">
        <f aca="false">IFERROR(IF(OR(HLOOKUP($A819,#REF!,15,FALSE())&gt;2,HLOOKUP($A819,#REF!,15,FALSE())&lt;-2),"",#REF!),"")</f>
        <v/>
      </c>
      <c r="R819" s="0" t="str">
        <f aca="false">IFERROR(IF(OR(HLOOKUP($A819,#REF!,16,FALSE())&gt;2,HLOOKUP($A819,#REF!,16,FALSE())&lt;-2),"",#REF!),"")</f>
        <v/>
      </c>
      <c r="S819" s="0" t="str">
        <f aca="false">IFERROR(IF(OR(HLOOKUP($A819,#REF!,17,FALSE())&gt;2,HLOOKUP($A819,#REF!,17,FALSE())&lt;-2),"",#REF!),"")</f>
        <v/>
      </c>
      <c r="T819" s="0" t="str">
        <f aca="false">IFERROR(IF(OR(HLOOKUP($A819,#REF!,18,FALSE())&gt;2,HLOOKUP($A819,#REF!,18,FALSE())&lt;-2),"",#REF!),"")</f>
        <v/>
      </c>
      <c r="U819" s="0" t="str">
        <f aca="false">IFERROR(IF(OR(HLOOKUP($A819,#REF!,19,FALSE())&gt;2,HLOOKUP($A819,#REF!,19,FALSE())&lt;-2),"",#REF!),"")</f>
        <v/>
      </c>
      <c r="V819" s="0" t="n">
        <f aca="false">IFERROR(IF(AND(X819=0,Y819=0),0,1),0)</f>
        <v>1</v>
      </c>
      <c r="W819" s="3" t="str">
        <f aca="false">IFERROR(_xlfn.T.TEST(E819:M819,N819:U819,2,2),"")</f>
        <v/>
      </c>
      <c r="X819" s="0" t="str">
        <f aca="false">IFERROR(AVERAGE(E819:M819),"")</f>
        <v/>
      </c>
      <c r="Y819" s="0" t="str">
        <f aca="false">IFERROR(AVERAGE(N819:U819),"")</f>
        <v/>
      </c>
    </row>
    <row r="820" customFormat="false" ht="14.5" hidden="false" customHeight="false" outlineLevel="0" collapsed="false">
      <c r="A820" s="0" t="n">
        <v>828</v>
      </c>
      <c r="B820" s="0" t="s">
        <v>873</v>
      </c>
      <c r="C820" s="0" t="n">
        <v>79400</v>
      </c>
      <c r="D820" s="0" t="n">
        <v>4</v>
      </c>
      <c r="E820" s="0" t="str">
        <f aca="false">IFERROR(IF(OR(HLOOKUP($A820,#REF!,3,FALSE())&gt;2,HLOOKUP(A820,#REF!,3,FALSE())&lt;-2),"",#REF!),"")</f>
        <v/>
      </c>
      <c r="F820" s="0" t="str">
        <f aca="false">IFERROR(IF(OR(HLOOKUP($A820,#REF!,4,FALSE())&gt;2,HLOOKUP($A820,#REF!,4,FALSE())&lt;-2),"",#REF!),"")</f>
        <v/>
      </c>
      <c r="G820" s="0" t="str">
        <f aca="false">IFERROR(IF(OR(HLOOKUP($A820,#REF!,5,FALSE())&gt;2,HLOOKUP($A820,#REF!,5,FALSE())&lt;-2),"",#REF!),"")</f>
        <v/>
      </c>
      <c r="H820" s="0" t="str">
        <f aca="false">IFERROR(IF(OR(HLOOKUP($A820,#REF!,6,FALSE())&gt;2,HLOOKUP($A820,#REF!,6,FALSE())&lt;-2),"",#REF!),"")</f>
        <v/>
      </c>
      <c r="I820" s="0" t="str">
        <f aca="false">IFERROR(IF(OR(HLOOKUP($A820,#REF!,7,FALSE())&gt;2,HLOOKUP($A820,#REF!,7,FALSE())&lt;-2),"",#REF!),"")</f>
        <v/>
      </c>
      <c r="J820" s="0" t="str">
        <f aca="false">IFERROR(IF(OR(HLOOKUP($A820,#REF!,8,FALSE())&gt;2,HLOOKUP($A820,#REF!,8,FALSE())&lt;-2),"",#REF!),"")</f>
        <v/>
      </c>
      <c r="K820" s="0" t="str">
        <f aca="false">IFERROR(IF(OR(HLOOKUP($A820,#REF!,9,FALSE())&gt;2,HLOOKUP($A820,#REF!,9,FALSE())&lt;-2),"",#REF!),"")</f>
        <v/>
      </c>
      <c r="L820" s="0" t="str">
        <f aca="false">IFERROR(IF(OR(HLOOKUP($A820,#REF!,10,FALSE())&gt;2,HLOOKUP($A820,#REF!,10,FALSE())&lt;-2),"",#REF!),"")</f>
        <v/>
      </c>
      <c r="M820" s="0" t="str">
        <f aca="false">IFERROR(IF(OR(HLOOKUP($A820,#REF!,11,FALSE())&gt;2,HLOOKUP($A820,#REF!,11,FALSE())&lt;-2),"",#REF!),"")</f>
        <v/>
      </c>
      <c r="N820" s="0" t="str">
        <f aca="false">IFERROR(IF(OR(HLOOKUP($A820,#REF!,12,FALSE())&gt;2,HLOOKUP($A820,#REF!,12,FALSE())&lt;-2),"",#REF!),"")</f>
        <v/>
      </c>
      <c r="O820" s="0" t="str">
        <f aca="false">IFERROR(IF(OR(HLOOKUP($A820,#REF!,13,FALSE())&gt;2,HLOOKUP($A820,#REF!,13,FALSE())&lt;-2),"",#REF!),"")</f>
        <v/>
      </c>
      <c r="P820" s="0" t="str">
        <f aca="false">IFERROR(IF(OR(HLOOKUP($A820,#REF!,14,FALSE())&gt;2,HLOOKUP($A820,#REF!,14,FALSE())&lt;-2),"",#REF!),"")</f>
        <v/>
      </c>
      <c r="Q820" s="0" t="str">
        <f aca="false">IFERROR(IF(OR(HLOOKUP($A820,#REF!,15,FALSE())&gt;2,HLOOKUP($A820,#REF!,15,FALSE())&lt;-2),"",#REF!),"")</f>
        <v/>
      </c>
      <c r="R820" s="0" t="str">
        <f aca="false">IFERROR(IF(OR(HLOOKUP($A820,#REF!,16,FALSE())&gt;2,HLOOKUP($A820,#REF!,16,FALSE())&lt;-2),"",#REF!),"")</f>
        <v/>
      </c>
      <c r="S820" s="0" t="str">
        <f aca="false">IFERROR(IF(OR(HLOOKUP($A820,#REF!,17,FALSE())&gt;2,HLOOKUP($A820,#REF!,17,FALSE())&lt;-2),"",#REF!),"")</f>
        <v/>
      </c>
      <c r="T820" s="0" t="str">
        <f aca="false">IFERROR(IF(OR(HLOOKUP($A820,#REF!,18,FALSE())&gt;2,HLOOKUP($A820,#REF!,18,FALSE())&lt;-2),"",#REF!),"")</f>
        <v/>
      </c>
      <c r="U820" s="0" t="str">
        <f aca="false">IFERROR(IF(OR(HLOOKUP($A820,#REF!,19,FALSE())&gt;2,HLOOKUP($A820,#REF!,19,FALSE())&lt;-2),"",#REF!),"")</f>
        <v/>
      </c>
      <c r="V820" s="0" t="n">
        <f aca="false">IFERROR(IF(AND(X820=0,Y820=0),0,1),0)</f>
        <v>1</v>
      </c>
      <c r="W820" s="3" t="str">
        <f aca="false">IFERROR(_xlfn.T.TEST(E820:M820,N820:U820,2,2),"")</f>
        <v/>
      </c>
      <c r="X820" s="0" t="str">
        <f aca="false">IFERROR(AVERAGE(E820:M820),"")</f>
        <v/>
      </c>
      <c r="Y820" s="0" t="str">
        <f aca="false">IFERROR(AVERAGE(N820:U820),"")</f>
        <v/>
      </c>
    </row>
    <row r="821" customFormat="false" ht="14.5" hidden="false" customHeight="false" outlineLevel="0" collapsed="false">
      <c r="A821" s="0" t="n">
        <v>829</v>
      </c>
      <c r="B821" s="0" t="s">
        <v>874</v>
      </c>
      <c r="C821" s="0" t="n">
        <v>45700</v>
      </c>
      <c r="D821" s="0" t="n">
        <v>509</v>
      </c>
      <c r="E821" s="0" t="str">
        <f aca="false">IFERROR(IF(OR(HLOOKUP($A821,#REF!,3,FALSE())&gt;2,HLOOKUP(A821,#REF!,3,FALSE())&lt;-2),"",#REF!),"")</f>
        <v/>
      </c>
      <c r="F821" s="0" t="str">
        <f aca="false">IFERROR(IF(OR(HLOOKUP($A821,#REF!,4,FALSE())&gt;2,HLOOKUP($A821,#REF!,4,FALSE())&lt;-2),"",#REF!),"")</f>
        <v/>
      </c>
      <c r="G821" s="0" t="str">
        <f aca="false">IFERROR(IF(OR(HLOOKUP($A821,#REF!,5,FALSE())&gt;2,HLOOKUP($A821,#REF!,5,FALSE())&lt;-2),"",#REF!),"")</f>
        <v/>
      </c>
      <c r="H821" s="0" t="str">
        <f aca="false">IFERROR(IF(OR(HLOOKUP($A821,#REF!,6,FALSE())&gt;2,HLOOKUP($A821,#REF!,6,FALSE())&lt;-2),"",#REF!),"")</f>
        <v/>
      </c>
      <c r="I821" s="0" t="str">
        <f aca="false">IFERROR(IF(OR(HLOOKUP($A821,#REF!,7,FALSE())&gt;2,HLOOKUP($A821,#REF!,7,FALSE())&lt;-2),"",#REF!),"")</f>
        <v/>
      </c>
      <c r="J821" s="0" t="str">
        <f aca="false">IFERROR(IF(OR(HLOOKUP($A821,#REF!,8,FALSE())&gt;2,HLOOKUP($A821,#REF!,8,FALSE())&lt;-2),"",#REF!),"")</f>
        <v/>
      </c>
      <c r="K821" s="0" t="str">
        <f aca="false">IFERROR(IF(OR(HLOOKUP($A821,#REF!,9,FALSE())&gt;2,HLOOKUP($A821,#REF!,9,FALSE())&lt;-2),"",#REF!),"")</f>
        <v/>
      </c>
      <c r="L821" s="0" t="str">
        <f aca="false">IFERROR(IF(OR(HLOOKUP($A821,#REF!,10,FALSE())&gt;2,HLOOKUP($A821,#REF!,10,FALSE())&lt;-2),"",#REF!),"")</f>
        <v/>
      </c>
      <c r="M821" s="0" t="str">
        <f aca="false">IFERROR(IF(OR(HLOOKUP($A821,#REF!,11,FALSE())&gt;2,HLOOKUP($A821,#REF!,11,FALSE())&lt;-2),"",#REF!),"")</f>
        <v/>
      </c>
      <c r="N821" s="0" t="str">
        <f aca="false">IFERROR(IF(OR(HLOOKUP($A821,#REF!,12,FALSE())&gt;2,HLOOKUP($A821,#REF!,12,FALSE())&lt;-2),"",#REF!),"")</f>
        <v/>
      </c>
      <c r="O821" s="0" t="str">
        <f aca="false">IFERROR(IF(OR(HLOOKUP($A821,#REF!,13,FALSE())&gt;2,HLOOKUP($A821,#REF!,13,FALSE())&lt;-2),"",#REF!),"")</f>
        <v/>
      </c>
      <c r="P821" s="0" t="str">
        <f aca="false">IFERROR(IF(OR(HLOOKUP($A821,#REF!,14,FALSE())&gt;2,HLOOKUP($A821,#REF!,14,FALSE())&lt;-2),"",#REF!),"")</f>
        <v/>
      </c>
      <c r="Q821" s="0" t="str">
        <f aca="false">IFERROR(IF(OR(HLOOKUP($A821,#REF!,15,FALSE())&gt;2,HLOOKUP($A821,#REF!,15,FALSE())&lt;-2),"",#REF!),"")</f>
        <v/>
      </c>
      <c r="R821" s="0" t="str">
        <f aca="false">IFERROR(IF(OR(HLOOKUP($A821,#REF!,16,FALSE())&gt;2,HLOOKUP($A821,#REF!,16,FALSE())&lt;-2),"",#REF!),"")</f>
        <v/>
      </c>
      <c r="S821" s="0" t="str">
        <f aca="false">IFERROR(IF(OR(HLOOKUP($A821,#REF!,17,FALSE())&gt;2,HLOOKUP($A821,#REF!,17,FALSE())&lt;-2),"",#REF!),"")</f>
        <v/>
      </c>
      <c r="T821" s="0" t="str">
        <f aca="false">IFERROR(IF(OR(HLOOKUP($A821,#REF!,18,FALSE())&gt;2,HLOOKUP($A821,#REF!,18,FALSE())&lt;-2),"",#REF!),"")</f>
        <v/>
      </c>
      <c r="U821" s="0" t="str">
        <f aca="false">IFERROR(IF(OR(HLOOKUP($A821,#REF!,19,FALSE())&gt;2,HLOOKUP($A821,#REF!,19,FALSE())&lt;-2),"",#REF!),"")</f>
        <v/>
      </c>
      <c r="V821" s="0" t="n">
        <f aca="false">IFERROR(IF(AND(X821=0,Y821=0),0,1),0)</f>
        <v>1</v>
      </c>
      <c r="W821" s="3" t="str">
        <f aca="false">IFERROR(_xlfn.T.TEST(E821:M821,N821:U821,2,2),"")</f>
        <v/>
      </c>
      <c r="X821" s="0" t="str">
        <f aca="false">IFERROR(AVERAGE(E821:M821),"")</f>
        <v/>
      </c>
      <c r="Y821" s="0" t="str">
        <f aca="false">IFERROR(AVERAGE(N821:U821),"")</f>
        <v/>
      </c>
    </row>
    <row r="822" customFormat="false" ht="14.5" hidden="false" customHeight="false" outlineLevel="0" collapsed="false">
      <c r="A822" s="0" t="n">
        <v>830</v>
      </c>
      <c r="B822" s="0" t="s">
        <v>875</v>
      </c>
      <c r="C822" s="0" t="n">
        <v>72400</v>
      </c>
      <c r="D822" s="0" t="n">
        <v>141</v>
      </c>
      <c r="E822" s="0" t="str">
        <f aca="false">IFERROR(IF(OR(HLOOKUP($A822,#REF!,3,FALSE())&gt;2,HLOOKUP(A822,#REF!,3,FALSE())&lt;-2),"",#REF!),"")</f>
        <v/>
      </c>
      <c r="F822" s="0" t="str">
        <f aca="false">IFERROR(IF(OR(HLOOKUP($A822,#REF!,4,FALSE())&gt;2,HLOOKUP($A822,#REF!,4,FALSE())&lt;-2),"",#REF!),"")</f>
        <v/>
      </c>
      <c r="G822" s="0" t="str">
        <f aca="false">IFERROR(IF(OR(HLOOKUP($A822,#REF!,5,FALSE())&gt;2,HLOOKUP($A822,#REF!,5,FALSE())&lt;-2),"",#REF!),"")</f>
        <v/>
      </c>
      <c r="H822" s="0" t="str">
        <f aca="false">IFERROR(IF(OR(HLOOKUP($A822,#REF!,6,FALSE())&gt;2,HLOOKUP($A822,#REF!,6,FALSE())&lt;-2),"",#REF!),"")</f>
        <v/>
      </c>
      <c r="I822" s="0" t="str">
        <f aca="false">IFERROR(IF(OR(HLOOKUP($A822,#REF!,7,FALSE())&gt;2,HLOOKUP($A822,#REF!,7,FALSE())&lt;-2),"",#REF!),"")</f>
        <v/>
      </c>
      <c r="J822" s="0" t="str">
        <f aca="false">IFERROR(IF(OR(HLOOKUP($A822,#REF!,8,FALSE())&gt;2,HLOOKUP($A822,#REF!,8,FALSE())&lt;-2),"",#REF!),"")</f>
        <v/>
      </c>
      <c r="K822" s="0" t="str">
        <f aca="false">IFERROR(IF(OR(HLOOKUP($A822,#REF!,9,FALSE())&gt;2,HLOOKUP($A822,#REF!,9,FALSE())&lt;-2),"",#REF!),"")</f>
        <v/>
      </c>
      <c r="L822" s="0" t="str">
        <f aca="false">IFERROR(IF(OR(HLOOKUP($A822,#REF!,10,FALSE())&gt;2,HLOOKUP($A822,#REF!,10,FALSE())&lt;-2),"",#REF!),"")</f>
        <v/>
      </c>
      <c r="M822" s="0" t="str">
        <f aca="false">IFERROR(IF(OR(HLOOKUP($A822,#REF!,11,FALSE())&gt;2,HLOOKUP($A822,#REF!,11,FALSE())&lt;-2),"",#REF!),"")</f>
        <v/>
      </c>
      <c r="N822" s="0" t="str">
        <f aca="false">IFERROR(IF(OR(HLOOKUP($A822,#REF!,12,FALSE())&gt;2,HLOOKUP($A822,#REF!,12,FALSE())&lt;-2),"",#REF!),"")</f>
        <v/>
      </c>
      <c r="O822" s="0" t="str">
        <f aca="false">IFERROR(IF(OR(HLOOKUP($A822,#REF!,13,FALSE())&gt;2,HLOOKUP($A822,#REF!,13,FALSE())&lt;-2),"",#REF!),"")</f>
        <v/>
      </c>
      <c r="P822" s="0" t="str">
        <f aca="false">IFERROR(IF(OR(HLOOKUP($A822,#REF!,14,FALSE())&gt;2,HLOOKUP($A822,#REF!,14,FALSE())&lt;-2),"",#REF!),"")</f>
        <v/>
      </c>
      <c r="Q822" s="0" t="str">
        <f aca="false">IFERROR(IF(OR(HLOOKUP($A822,#REF!,15,FALSE())&gt;2,HLOOKUP($A822,#REF!,15,FALSE())&lt;-2),"",#REF!),"")</f>
        <v/>
      </c>
      <c r="R822" s="0" t="str">
        <f aca="false">IFERROR(IF(OR(HLOOKUP($A822,#REF!,16,FALSE())&gt;2,HLOOKUP($A822,#REF!,16,FALSE())&lt;-2),"",#REF!),"")</f>
        <v/>
      </c>
      <c r="S822" s="0" t="str">
        <f aca="false">IFERROR(IF(OR(HLOOKUP($A822,#REF!,17,FALSE())&gt;2,HLOOKUP($A822,#REF!,17,FALSE())&lt;-2),"",#REF!),"")</f>
        <v/>
      </c>
      <c r="T822" s="0" t="str">
        <f aca="false">IFERROR(IF(OR(HLOOKUP($A822,#REF!,18,FALSE())&gt;2,HLOOKUP($A822,#REF!,18,FALSE())&lt;-2),"",#REF!),"")</f>
        <v/>
      </c>
      <c r="U822" s="0" t="str">
        <f aca="false">IFERROR(IF(OR(HLOOKUP($A822,#REF!,19,FALSE())&gt;2,HLOOKUP($A822,#REF!,19,FALSE())&lt;-2),"",#REF!),"")</f>
        <v/>
      </c>
      <c r="V822" s="0" t="n">
        <f aca="false">IFERROR(IF(AND(X822=0,Y822=0),0,1),0)</f>
        <v>1</v>
      </c>
      <c r="W822" s="3" t="str">
        <f aca="false">IFERROR(_xlfn.T.TEST(E822:M822,N822:U822,2,2),"")</f>
        <v/>
      </c>
      <c r="X822" s="0" t="str">
        <f aca="false">IFERROR(AVERAGE(E822:M822),"")</f>
        <v/>
      </c>
      <c r="Y822" s="0" t="str">
        <f aca="false">IFERROR(AVERAGE(N822:U822),"")</f>
        <v/>
      </c>
    </row>
    <row r="823" customFormat="false" ht="14.5" hidden="false" customHeight="false" outlineLevel="0" collapsed="false">
      <c r="A823" s="0" t="n">
        <v>831</v>
      </c>
      <c r="B823" s="0" t="s">
        <v>876</v>
      </c>
      <c r="C823" s="0" t="n">
        <v>23900</v>
      </c>
      <c r="D823" s="0" t="n">
        <v>104</v>
      </c>
      <c r="E823" s="0" t="str">
        <f aca="false">IFERROR(IF(OR(HLOOKUP($A823,#REF!,3,FALSE())&gt;2,HLOOKUP(A823,#REF!,3,FALSE())&lt;-2),"",#REF!),"")</f>
        <v/>
      </c>
      <c r="F823" s="0" t="str">
        <f aca="false">IFERROR(IF(OR(HLOOKUP($A823,#REF!,4,FALSE())&gt;2,HLOOKUP($A823,#REF!,4,FALSE())&lt;-2),"",#REF!),"")</f>
        <v/>
      </c>
      <c r="G823" s="0" t="str">
        <f aca="false">IFERROR(IF(OR(HLOOKUP($A823,#REF!,5,FALSE())&gt;2,HLOOKUP($A823,#REF!,5,FALSE())&lt;-2),"",#REF!),"")</f>
        <v/>
      </c>
      <c r="H823" s="0" t="str">
        <f aca="false">IFERROR(IF(OR(HLOOKUP($A823,#REF!,6,FALSE())&gt;2,HLOOKUP($A823,#REF!,6,FALSE())&lt;-2),"",#REF!),"")</f>
        <v/>
      </c>
      <c r="I823" s="0" t="str">
        <f aca="false">IFERROR(IF(OR(HLOOKUP($A823,#REF!,7,FALSE())&gt;2,HLOOKUP($A823,#REF!,7,FALSE())&lt;-2),"",#REF!),"")</f>
        <v/>
      </c>
      <c r="J823" s="0" t="str">
        <f aca="false">IFERROR(IF(OR(HLOOKUP($A823,#REF!,8,FALSE())&gt;2,HLOOKUP($A823,#REF!,8,FALSE())&lt;-2),"",#REF!),"")</f>
        <v/>
      </c>
      <c r="K823" s="0" t="str">
        <f aca="false">IFERROR(IF(OR(HLOOKUP($A823,#REF!,9,FALSE())&gt;2,HLOOKUP($A823,#REF!,9,FALSE())&lt;-2),"",#REF!),"")</f>
        <v/>
      </c>
      <c r="L823" s="0" t="str">
        <f aca="false">IFERROR(IF(OR(HLOOKUP($A823,#REF!,10,FALSE())&gt;2,HLOOKUP($A823,#REF!,10,FALSE())&lt;-2),"",#REF!),"")</f>
        <v/>
      </c>
      <c r="M823" s="0" t="str">
        <f aca="false">IFERROR(IF(OR(HLOOKUP($A823,#REF!,11,FALSE())&gt;2,HLOOKUP($A823,#REF!,11,FALSE())&lt;-2),"",#REF!),"")</f>
        <v/>
      </c>
      <c r="N823" s="0" t="str">
        <f aca="false">IFERROR(IF(OR(HLOOKUP($A823,#REF!,12,FALSE())&gt;2,HLOOKUP($A823,#REF!,12,FALSE())&lt;-2),"",#REF!),"")</f>
        <v/>
      </c>
      <c r="O823" s="0" t="str">
        <f aca="false">IFERROR(IF(OR(HLOOKUP($A823,#REF!,13,FALSE())&gt;2,HLOOKUP($A823,#REF!,13,FALSE())&lt;-2),"",#REF!),"")</f>
        <v/>
      </c>
      <c r="P823" s="0" t="str">
        <f aca="false">IFERROR(IF(OR(HLOOKUP($A823,#REF!,14,FALSE())&gt;2,HLOOKUP($A823,#REF!,14,FALSE())&lt;-2),"",#REF!),"")</f>
        <v/>
      </c>
      <c r="Q823" s="0" t="str">
        <f aca="false">IFERROR(IF(OR(HLOOKUP($A823,#REF!,15,FALSE())&gt;2,HLOOKUP($A823,#REF!,15,FALSE())&lt;-2),"",#REF!),"")</f>
        <v/>
      </c>
      <c r="R823" s="0" t="str">
        <f aca="false">IFERROR(IF(OR(HLOOKUP($A823,#REF!,16,FALSE())&gt;2,HLOOKUP($A823,#REF!,16,FALSE())&lt;-2),"",#REF!),"")</f>
        <v/>
      </c>
      <c r="S823" s="0" t="str">
        <f aca="false">IFERROR(IF(OR(HLOOKUP($A823,#REF!,17,FALSE())&gt;2,HLOOKUP($A823,#REF!,17,FALSE())&lt;-2),"",#REF!),"")</f>
        <v/>
      </c>
      <c r="T823" s="0" t="str">
        <f aca="false">IFERROR(IF(OR(HLOOKUP($A823,#REF!,18,FALSE())&gt;2,HLOOKUP($A823,#REF!,18,FALSE())&lt;-2),"",#REF!),"")</f>
        <v/>
      </c>
      <c r="U823" s="0" t="str">
        <f aca="false">IFERROR(IF(OR(HLOOKUP($A823,#REF!,19,FALSE())&gt;2,HLOOKUP($A823,#REF!,19,FALSE())&lt;-2),"",#REF!),"")</f>
        <v/>
      </c>
      <c r="V823" s="0" t="n">
        <f aca="false">IFERROR(IF(AND(X823=0,Y823=0),0,1),0)</f>
        <v>1</v>
      </c>
      <c r="W823" s="3" t="str">
        <f aca="false">IFERROR(_xlfn.T.TEST(E823:M823,N823:U823,2,2),"")</f>
        <v/>
      </c>
      <c r="X823" s="0" t="str">
        <f aca="false">IFERROR(AVERAGE(E823:M823),"")</f>
        <v/>
      </c>
      <c r="Y823" s="0" t="str">
        <f aca="false">IFERROR(AVERAGE(N823:U823),"")</f>
        <v/>
      </c>
    </row>
    <row r="824" customFormat="false" ht="14.5" hidden="false" customHeight="false" outlineLevel="0" collapsed="false">
      <c r="A824" s="0" t="n">
        <v>832</v>
      </c>
      <c r="B824" s="0" t="s">
        <v>877</v>
      </c>
      <c r="C824" s="0" t="n">
        <v>99000</v>
      </c>
      <c r="D824" s="0" t="n">
        <v>967</v>
      </c>
      <c r="E824" s="0" t="str">
        <f aca="false">IFERROR(IF(OR(HLOOKUP($A824,#REF!,3,FALSE())&gt;2,HLOOKUP(A824,#REF!,3,FALSE())&lt;-2),"",#REF!),"")</f>
        <v/>
      </c>
      <c r="F824" s="0" t="str">
        <f aca="false">IFERROR(IF(OR(HLOOKUP($A824,#REF!,4,FALSE())&gt;2,HLOOKUP($A824,#REF!,4,FALSE())&lt;-2),"",#REF!),"")</f>
        <v/>
      </c>
      <c r="G824" s="0" t="str">
        <f aca="false">IFERROR(IF(OR(HLOOKUP($A824,#REF!,5,FALSE())&gt;2,HLOOKUP($A824,#REF!,5,FALSE())&lt;-2),"",#REF!),"")</f>
        <v/>
      </c>
      <c r="H824" s="0" t="str">
        <f aca="false">IFERROR(IF(OR(HLOOKUP($A824,#REF!,6,FALSE())&gt;2,HLOOKUP($A824,#REF!,6,FALSE())&lt;-2),"",#REF!),"")</f>
        <v/>
      </c>
      <c r="I824" s="0" t="str">
        <f aca="false">IFERROR(IF(OR(HLOOKUP($A824,#REF!,7,FALSE())&gt;2,HLOOKUP($A824,#REF!,7,FALSE())&lt;-2),"",#REF!),"")</f>
        <v/>
      </c>
      <c r="J824" s="0" t="str">
        <f aca="false">IFERROR(IF(OR(HLOOKUP($A824,#REF!,8,FALSE())&gt;2,HLOOKUP($A824,#REF!,8,FALSE())&lt;-2),"",#REF!),"")</f>
        <v/>
      </c>
      <c r="K824" s="0" t="str">
        <f aca="false">IFERROR(IF(OR(HLOOKUP($A824,#REF!,9,FALSE())&gt;2,HLOOKUP($A824,#REF!,9,FALSE())&lt;-2),"",#REF!),"")</f>
        <v/>
      </c>
      <c r="L824" s="0" t="str">
        <f aca="false">IFERROR(IF(OR(HLOOKUP($A824,#REF!,10,FALSE())&gt;2,HLOOKUP($A824,#REF!,10,FALSE())&lt;-2),"",#REF!),"")</f>
        <v/>
      </c>
      <c r="M824" s="0" t="str">
        <f aca="false">IFERROR(IF(OR(HLOOKUP($A824,#REF!,11,FALSE())&gt;2,HLOOKUP($A824,#REF!,11,FALSE())&lt;-2),"",#REF!),"")</f>
        <v/>
      </c>
      <c r="N824" s="0" t="str">
        <f aca="false">IFERROR(IF(OR(HLOOKUP($A824,#REF!,12,FALSE())&gt;2,HLOOKUP($A824,#REF!,12,FALSE())&lt;-2),"",#REF!),"")</f>
        <v/>
      </c>
      <c r="O824" s="0" t="str">
        <f aca="false">IFERROR(IF(OR(HLOOKUP($A824,#REF!,13,FALSE())&gt;2,HLOOKUP($A824,#REF!,13,FALSE())&lt;-2),"",#REF!),"")</f>
        <v/>
      </c>
      <c r="P824" s="0" t="str">
        <f aca="false">IFERROR(IF(OR(HLOOKUP($A824,#REF!,14,FALSE())&gt;2,HLOOKUP($A824,#REF!,14,FALSE())&lt;-2),"",#REF!),"")</f>
        <v/>
      </c>
      <c r="Q824" s="0" t="str">
        <f aca="false">IFERROR(IF(OR(HLOOKUP($A824,#REF!,15,FALSE())&gt;2,HLOOKUP($A824,#REF!,15,FALSE())&lt;-2),"",#REF!),"")</f>
        <v/>
      </c>
      <c r="R824" s="0" t="str">
        <f aca="false">IFERROR(IF(OR(HLOOKUP($A824,#REF!,16,FALSE())&gt;2,HLOOKUP($A824,#REF!,16,FALSE())&lt;-2),"",#REF!),"")</f>
        <v/>
      </c>
      <c r="S824" s="0" t="str">
        <f aca="false">IFERROR(IF(OR(HLOOKUP($A824,#REF!,17,FALSE())&gt;2,HLOOKUP($A824,#REF!,17,FALSE())&lt;-2),"",#REF!),"")</f>
        <v/>
      </c>
      <c r="T824" s="0" t="str">
        <f aca="false">IFERROR(IF(OR(HLOOKUP($A824,#REF!,18,FALSE())&gt;2,HLOOKUP($A824,#REF!,18,FALSE())&lt;-2),"",#REF!),"")</f>
        <v/>
      </c>
      <c r="U824" s="0" t="str">
        <f aca="false">IFERROR(IF(OR(HLOOKUP($A824,#REF!,19,FALSE())&gt;2,HLOOKUP($A824,#REF!,19,FALSE())&lt;-2),"",#REF!),"")</f>
        <v/>
      </c>
      <c r="V824" s="0" t="n">
        <f aca="false">IFERROR(IF(AND(X824=0,Y824=0),0,1),0)</f>
        <v>1</v>
      </c>
      <c r="W824" s="3" t="str">
        <f aca="false">IFERROR(_xlfn.T.TEST(E824:M824,N824:U824,2,2),"")</f>
        <v/>
      </c>
      <c r="X824" s="0" t="str">
        <f aca="false">IFERROR(AVERAGE(E824:M824),"")</f>
        <v/>
      </c>
      <c r="Y824" s="0" t="str">
        <f aca="false">IFERROR(AVERAGE(N824:U824),"")</f>
        <v/>
      </c>
    </row>
    <row r="825" customFormat="false" ht="14.5" hidden="false" customHeight="false" outlineLevel="0" collapsed="false">
      <c r="A825" s="0" t="n">
        <v>833</v>
      </c>
      <c r="B825" s="0" t="s">
        <v>878</v>
      </c>
      <c r="C825" s="0" t="n">
        <v>113400</v>
      </c>
      <c r="D825" s="0" t="n">
        <v>349</v>
      </c>
      <c r="E825" s="0" t="str">
        <f aca="false">IFERROR(IF(OR(HLOOKUP($A825,#REF!,3,FALSE())&gt;2,HLOOKUP(A825,#REF!,3,FALSE())&lt;-2),"",#REF!),"")</f>
        <v/>
      </c>
      <c r="F825" s="0" t="str">
        <f aca="false">IFERROR(IF(OR(HLOOKUP($A825,#REF!,4,FALSE())&gt;2,HLOOKUP($A825,#REF!,4,FALSE())&lt;-2),"",#REF!),"")</f>
        <v/>
      </c>
      <c r="G825" s="0" t="str">
        <f aca="false">IFERROR(IF(OR(HLOOKUP($A825,#REF!,5,FALSE())&gt;2,HLOOKUP($A825,#REF!,5,FALSE())&lt;-2),"",#REF!),"")</f>
        <v/>
      </c>
      <c r="H825" s="0" t="str">
        <f aca="false">IFERROR(IF(OR(HLOOKUP($A825,#REF!,6,FALSE())&gt;2,HLOOKUP($A825,#REF!,6,FALSE())&lt;-2),"",#REF!),"")</f>
        <v/>
      </c>
      <c r="I825" s="0" t="str">
        <f aca="false">IFERROR(IF(OR(HLOOKUP($A825,#REF!,7,FALSE())&gt;2,HLOOKUP($A825,#REF!,7,FALSE())&lt;-2),"",#REF!),"")</f>
        <v/>
      </c>
      <c r="J825" s="0" t="str">
        <f aca="false">IFERROR(IF(OR(HLOOKUP($A825,#REF!,8,FALSE())&gt;2,HLOOKUP($A825,#REF!,8,FALSE())&lt;-2),"",#REF!),"")</f>
        <v/>
      </c>
      <c r="K825" s="0" t="str">
        <f aca="false">IFERROR(IF(OR(HLOOKUP($A825,#REF!,9,FALSE())&gt;2,HLOOKUP($A825,#REF!,9,FALSE())&lt;-2),"",#REF!),"")</f>
        <v/>
      </c>
      <c r="L825" s="0" t="str">
        <f aca="false">IFERROR(IF(OR(HLOOKUP($A825,#REF!,10,FALSE())&gt;2,HLOOKUP($A825,#REF!,10,FALSE())&lt;-2),"",#REF!),"")</f>
        <v/>
      </c>
      <c r="M825" s="0" t="str">
        <f aca="false">IFERROR(IF(OR(HLOOKUP($A825,#REF!,11,FALSE())&gt;2,HLOOKUP($A825,#REF!,11,FALSE())&lt;-2),"",#REF!),"")</f>
        <v/>
      </c>
      <c r="N825" s="0" t="str">
        <f aca="false">IFERROR(IF(OR(HLOOKUP($A825,#REF!,12,FALSE())&gt;2,HLOOKUP($A825,#REF!,12,FALSE())&lt;-2),"",#REF!),"")</f>
        <v/>
      </c>
      <c r="O825" s="0" t="str">
        <f aca="false">IFERROR(IF(OR(HLOOKUP($A825,#REF!,13,FALSE())&gt;2,HLOOKUP($A825,#REF!,13,FALSE())&lt;-2),"",#REF!),"")</f>
        <v/>
      </c>
      <c r="P825" s="0" t="str">
        <f aca="false">IFERROR(IF(OR(HLOOKUP($A825,#REF!,14,FALSE())&gt;2,HLOOKUP($A825,#REF!,14,FALSE())&lt;-2),"",#REF!),"")</f>
        <v/>
      </c>
      <c r="Q825" s="0" t="str">
        <f aca="false">IFERROR(IF(OR(HLOOKUP($A825,#REF!,15,FALSE())&gt;2,HLOOKUP($A825,#REF!,15,FALSE())&lt;-2),"",#REF!),"")</f>
        <v/>
      </c>
      <c r="R825" s="0" t="str">
        <f aca="false">IFERROR(IF(OR(HLOOKUP($A825,#REF!,16,FALSE())&gt;2,HLOOKUP($A825,#REF!,16,FALSE())&lt;-2),"",#REF!),"")</f>
        <v/>
      </c>
      <c r="S825" s="0" t="str">
        <f aca="false">IFERROR(IF(OR(HLOOKUP($A825,#REF!,17,FALSE())&gt;2,HLOOKUP($A825,#REF!,17,FALSE())&lt;-2),"",#REF!),"")</f>
        <v/>
      </c>
      <c r="T825" s="0" t="str">
        <f aca="false">IFERROR(IF(OR(HLOOKUP($A825,#REF!,18,FALSE())&gt;2,HLOOKUP($A825,#REF!,18,FALSE())&lt;-2),"",#REF!),"")</f>
        <v/>
      </c>
      <c r="U825" s="0" t="str">
        <f aca="false">IFERROR(IF(OR(HLOOKUP($A825,#REF!,19,FALSE())&gt;2,HLOOKUP($A825,#REF!,19,FALSE())&lt;-2),"",#REF!),"")</f>
        <v/>
      </c>
      <c r="V825" s="0" t="n">
        <f aca="false">IFERROR(IF(AND(X825=0,Y825=0),0,1),0)</f>
        <v>1</v>
      </c>
      <c r="W825" s="3" t="str">
        <f aca="false">IFERROR(_xlfn.T.TEST(E825:M825,N825:U825,2,2),"")</f>
        <v/>
      </c>
      <c r="X825" s="0" t="str">
        <f aca="false">IFERROR(AVERAGE(E825:M825),"")</f>
        <v/>
      </c>
      <c r="Y825" s="0" t="str">
        <f aca="false">IFERROR(AVERAGE(N825:U825),"")</f>
        <v/>
      </c>
    </row>
    <row r="826" customFormat="false" ht="14.5" hidden="false" customHeight="false" outlineLevel="0" collapsed="false">
      <c r="A826" s="0" t="n">
        <v>834</v>
      </c>
      <c r="B826" s="0" t="s">
        <v>879</v>
      </c>
      <c r="C826" s="0" t="n">
        <v>79000</v>
      </c>
      <c r="D826" s="0" t="n">
        <v>302</v>
      </c>
      <c r="E826" s="0" t="str">
        <f aca="false">IFERROR(IF(OR(HLOOKUP($A826,#REF!,3,FALSE())&gt;2,HLOOKUP(A826,#REF!,3,FALSE())&lt;-2),"",#REF!),"")</f>
        <v/>
      </c>
      <c r="F826" s="0" t="str">
        <f aca="false">IFERROR(IF(OR(HLOOKUP($A826,#REF!,4,FALSE())&gt;2,HLOOKUP($A826,#REF!,4,FALSE())&lt;-2),"",#REF!),"")</f>
        <v/>
      </c>
      <c r="G826" s="0" t="str">
        <f aca="false">IFERROR(IF(OR(HLOOKUP($A826,#REF!,5,FALSE())&gt;2,HLOOKUP($A826,#REF!,5,FALSE())&lt;-2),"",#REF!),"")</f>
        <v/>
      </c>
      <c r="H826" s="0" t="str">
        <f aca="false">IFERROR(IF(OR(HLOOKUP($A826,#REF!,6,FALSE())&gt;2,HLOOKUP($A826,#REF!,6,FALSE())&lt;-2),"",#REF!),"")</f>
        <v/>
      </c>
      <c r="I826" s="0" t="str">
        <f aca="false">IFERROR(IF(OR(HLOOKUP($A826,#REF!,7,FALSE())&gt;2,HLOOKUP($A826,#REF!,7,FALSE())&lt;-2),"",#REF!),"")</f>
        <v/>
      </c>
      <c r="J826" s="0" t="str">
        <f aca="false">IFERROR(IF(OR(HLOOKUP($A826,#REF!,8,FALSE())&gt;2,HLOOKUP($A826,#REF!,8,FALSE())&lt;-2),"",#REF!),"")</f>
        <v/>
      </c>
      <c r="K826" s="0" t="str">
        <f aca="false">IFERROR(IF(OR(HLOOKUP($A826,#REF!,9,FALSE())&gt;2,HLOOKUP($A826,#REF!,9,FALSE())&lt;-2),"",#REF!),"")</f>
        <v/>
      </c>
      <c r="L826" s="0" t="str">
        <f aca="false">IFERROR(IF(OR(HLOOKUP($A826,#REF!,10,FALSE())&gt;2,HLOOKUP($A826,#REF!,10,FALSE())&lt;-2),"",#REF!),"")</f>
        <v/>
      </c>
      <c r="M826" s="0" t="str">
        <f aca="false">IFERROR(IF(OR(HLOOKUP($A826,#REF!,11,FALSE())&gt;2,HLOOKUP($A826,#REF!,11,FALSE())&lt;-2),"",#REF!),"")</f>
        <v/>
      </c>
      <c r="N826" s="0" t="str">
        <f aca="false">IFERROR(IF(OR(HLOOKUP($A826,#REF!,12,FALSE())&gt;2,HLOOKUP($A826,#REF!,12,FALSE())&lt;-2),"",#REF!),"")</f>
        <v/>
      </c>
      <c r="O826" s="0" t="str">
        <f aca="false">IFERROR(IF(OR(HLOOKUP($A826,#REF!,13,FALSE())&gt;2,HLOOKUP($A826,#REF!,13,FALSE())&lt;-2),"",#REF!),"")</f>
        <v/>
      </c>
      <c r="P826" s="0" t="str">
        <f aca="false">IFERROR(IF(OR(HLOOKUP($A826,#REF!,14,FALSE())&gt;2,HLOOKUP($A826,#REF!,14,FALSE())&lt;-2),"",#REF!),"")</f>
        <v/>
      </c>
      <c r="Q826" s="0" t="str">
        <f aca="false">IFERROR(IF(OR(HLOOKUP($A826,#REF!,15,FALSE())&gt;2,HLOOKUP($A826,#REF!,15,FALSE())&lt;-2),"",#REF!),"")</f>
        <v/>
      </c>
      <c r="R826" s="0" t="str">
        <f aca="false">IFERROR(IF(OR(HLOOKUP($A826,#REF!,16,FALSE())&gt;2,HLOOKUP($A826,#REF!,16,FALSE())&lt;-2),"",#REF!),"")</f>
        <v/>
      </c>
      <c r="S826" s="0" t="str">
        <f aca="false">IFERROR(IF(OR(HLOOKUP($A826,#REF!,17,FALSE())&gt;2,HLOOKUP($A826,#REF!,17,FALSE())&lt;-2),"",#REF!),"")</f>
        <v/>
      </c>
      <c r="T826" s="0" t="str">
        <f aca="false">IFERROR(IF(OR(HLOOKUP($A826,#REF!,18,FALSE())&gt;2,HLOOKUP($A826,#REF!,18,FALSE())&lt;-2),"",#REF!),"")</f>
        <v/>
      </c>
      <c r="U826" s="0" t="str">
        <f aca="false">IFERROR(IF(OR(HLOOKUP($A826,#REF!,19,FALSE())&gt;2,HLOOKUP($A826,#REF!,19,FALSE())&lt;-2),"",#REF!),"")</f>
        <v/>
      </c>
      <c r="V826" s="0" t="n">
        <f aca="false">IFERROR(IF(AND(X826=0,Y826=0),0,1),0)</f>
        <v>1</v>
      </c>
      <c r="W826" s="3" t="str">
        <f aca="false">IFERROR(_xlfn.T.TEST(E826:M826,N826:U826,2,2),"")</f>
        <v/>
      </c>
      <c r="X826" s="0" t="str">
        <f aca="false">IFERROR(AVERAGE(E826:M826),"")</f>
        <v/>
      </c>
      <c r="Y826" s="0" t="str">
        <f aca="false">IFERROR(AVERAGE(N826:U826),"")</f>
        <v/>
      </c>
    </row>
    <row r="827" customFormat="false" ht="14.5" hidden="false" customHeight="false" outlineLevel="0" collapsed="false">
      <c r="A827" s="0" t="n">
        <v>835</v>
      </c>
      <c r="B827" s="0" t="s">
        <v>880</v>
      </c>
      <c r="C827" s="0" t="n">
        <v>52000</v>
      </c>
      <c r="D827" s="0" t="n">
        <v>803</v>
      </c>
      <c r="E827" s="0" t="str">
        <f aca="false">IFERROR(IF(OR(HLOOKUP($A827,#REF!,3,FALSE())&gt;2,HLOOKUP(A827,#REF!,3,FALSE())&lt;-2),"",#REF!),"")</f>
        <v/>
      </c>
      <c r="F827" s="0" t="str">
        <f aca="false">IFERROR(IF(OR(HLOOKUP($A827,#REF!,4,FALSE())&gt;2,HLOOKUP($A827,#REF!,4,FALSE())&lt;-2),"",#REF!),"")</f>
        <v/>
      </c>
      <c r="G827" s="0" t="str">
        <f aca="false">IFERROR(IF(OR(HLOOKUP($A827,#REF!,5,FALSE())&gt;2,HLOOKUP($A827,#REF!,5,FALSE())&lt;-2),"",#REF!),"")</f>
        <v/>
      </c>
      <c r="H827" s="0" t="str">
        <f aca="false">IFERROR(IF(OR(HLOOKUP($A827,#REF!,6,FALSE())&gt;2,HLOOKUP($A827,#REF!,6,FALSE())&lt;-2),"",#REF!),"")</f>
        <v/>
      </c>
      <c r="I827" s="0" t="str">
        <f aca="false">IFERROR(IF(OR(HLOOKUP($A827,#REF!,7,FALSE())&gt;2,HLOOKUP($A827,#REF!,7,FALSE())&lt;-2),"",#REF!),"")</f>
        <v/>
      </c>
      <c r="J827" s="0" t="str">
        <f aca="false">IFERROR(IF(OR(HLOOKUP($A827,#REF!,8,FALSE())&gt;2,HLOOKUP($A827,#REF!,8,FALSE())&lt;-2),"",#REF!),"")</f>
        <v/>
      </c>
      <c r="K827" s="0" t="str">
        <f aca="false">IFERROR(IF(OR(HLOOKUP($A827,#REF!,9,FALSE())&gt;2,HLOOKUP($A827,#REF!,9,FALSE())&lt;-2),"",#REF!),"")</f>
        <v/>
      </c>
      <c r="L827" s="0" t="str">
        <f aca="false">IFERROR(IF(OR(HLOOKUP($A827,#REF!,10,FALSE())&gt;2,HLOOKUP($A827,#REF!,10,FALSE())&lt;-2),"",#REF!),"")</f>
        <v/>
      </c>
      <c r="M827" s="0" t="str">
        <f aca="false">IFERROR(IF(OR(HLOOKUP($A827,#REF!,11,FALSE())&gt;2,HLOOKUP($A827,#REF!,11,FALSE())&lt;-2),"",#REF!),"")</f>
        <v/>
      </c>
      <c r="N827" s="0" t="str">
        <f aca="false">IFERROR(IF(OR(HLOOKUP($A827,#REF!,12,FALSE())&gt;2,HLOOKUP($A827,#REF!,12,FALSE())&lt;-2),"",#REF!),"")</f>
        <v/>
      </c>
      <c r="O827" s="0" t="str">
        <f aca="false">IFERROR(IF(OR(HLOOKUP($A827,#REF!,13,FALSE())&gt;2,HLOOKUP($A827,#REF!,13,FALSE())&lt;-2),"",#REF!),"")</f>
        <v/>
      </c>
      <c r="P827" s="0" t="str">
        <f aca="false">IFERROR(IF(OR(HLOOKUP($A827,#REF!,14,FALSE())&gt;2,HLOOKUP($A827,#REF!,14,FALSE())&lt;-2),"",#REF!),"")</f>
        <v/>
      </c>
      <c r="Q827" s="0" t="str">
        <f aca="false">IFERROR(IF(OR(HLOOKUP($A827,#REF!,15,FALSE())&gt;2,HLOOKUP($A827,#REF!,15,FALSE())&lt;-2),"",#REF!),"")</f>
        <v/>
      </c>
      <c r="R827" s="0" t="str">
        <f aca="false">IFERROR(IF(OR(HLOOKUP($A827,#REF!,16,FALSE())&gt;2,HLOOKUP($A827,#REF!,16,FALSE())&lt;-2),"",#REF!),"")</f>
        <v/>
      </c>
      <c r="S827" s="0" t="str">
        <f aca="false">IFERROR(IF(OR(HLOOKUP($A827,#REF!,17,FALSE())&gt;2,HLOOKUP($A827,#REF!,17,FALSE())&lt;-2),"",#REF!),"")</f>
        <v/>
      </c>
      <c r="T827" s="0" t="str">
        <f aca="false">IFERROR(IF(OR(HLOOKUP($A827,#REF!,18,FALSE())&gt;2,HLOOKUP($A827,#REF!,18,FALSE())&lt;-2),"",#REF!),"")</f>
        <v/>
      </c>
      <c r="U827" s="0" t="str">
        <f aca="false">IFERROR(IF(OR(HLOOKUP($A827,#REF!,19,FALSE())&gt;2,HLOOKUP($A827,#REF!,19,FALSE())&lt;-2),"",#REF!),"")</f>
        <v/>
      </c>
      <c r="V827" s="0" t="n">
        <f aca="false">IFERROR(IF(AND(X827=0,Y827=0),0,1),0)</f>
        <v>1</v>
      </c>
      <c r="W827" s="3" t="str">
        <f aca="false">IFERROR(_xlfn.T.TEST(E827:M827,N827:U827,2,2),"")</f>
        <v/>
      </c>
      <c r="X827" s="0" t="str">
        <f aca="false">IFERROR(AVERAGE(E827:M827),"")</f>
        <v/>
      </c>
      <c r="Y827" s="0" t="str">
        <f aca="false">IFERROR(AVERAGE(N827:U827),"")</f>
        <v/>
      </c>
    </row>
    <row r="828" customFormat="false" ht="14.5" hidden="false" customHeight="false" outlineLevel="0" collapsed="false">
      <c r="A828" s="0" t="n">
        <v>836</v>
      </c>
      <c r="B828" s="0" t="s">
        <v>881</v>
      </c>
      <c r="C828" s="0" t="n">
        <v>29400</v>
      </c>
      <c r="D828" s="0" t="n">
        <v>895</v>
      </c>
      <c r="E828" s="0" t="str">
        <f aca="false">IFERROR(IF(OR(HLOOKUP($A828,#REF!,3,FALSE())&gt;2,HLOOKUP(A828,#REF!,3,FALSE())&lt;-2),"",#REF!),"")</f>
        <v/>
      </c>
      <c r="F828" s="0" t="str">
        <f aca="false">IFERROR(IF(OR(HLOOKUP($A828,#REF!,4,FALSE())&gt;2,HLOOKUP($A828,#REF!,4,FALSE())&lt;-2),"",#REF!),"")</f>
        <v/>
      </c>
      <c r="G828" s="0" t="str">
        <f aca="false">IFERROR(IF(OR(HLOOKUP($A828,#REF!,5,FALSE())&gt;2,HLOOKUP($A828,#REF!,5,FALSE())&lt;-2),"",#REF!),"")</f>
        <v/>
      </c>
      <c r="H828" s="0" t="str">
        <f aca="false">IFERROR(IF(OR(HLOOKUP($A828,#REF!,6,FALSE())&gt;2,HLOOKUP($A828,#REF!,6,FALSE())&lt;-2),"",#REF!),"")</f>
        <v/>
      </c>
      <c r="I828" s="0" t="str">
        <f aca="false">IFERROR(IF(OR(HLOOKUP($A828,#REF!,7,FALSE())&gt;2,HLOOKUP($A828,#REF!,7,FALSE())&lt;-2),"",#REF!),"")</f>
        <v/>
      </c>
      <c r="J828" s="0" t="str">
        <f aca="false">IFERROR(IF(OR(HLOOKUP($A828,#REF!,8,FALSE())&gt;2,HLOOKUP($A828,#REF!,8,FALSE())&lt;-2),"",#REF!),"")</f>
        <v/>
      </c>
      <c r="K828" s="0" t="str">
        <f aca="false">IFERROR(IF(OR(HLOOKUP($A828,#REF!,9,FALSE())&gt;2,HLOOKUP($A828,#REF!,9,FALSE())&lt;-2),"",#REF!),"")</f>
        <v/>
      </c>
      <c r="L828" s="0" t="str">
        <f aca="false">IFERROR(IF(OR(HLOOKUP($A828,#REF!,10,FALSE())&gt;2,HLOOKUP($A828,#REF!,10,FALSE())&lt;-2),"",#REF!),"")</f>
        <v/>
      </c>
      <c r="M828" s="0" t="str">
        <f aca="false">IFERROR(IF(OR(HLOOKUP($A828,#REF!,11,FALSE())&gt;2,HLOOKUP($A828,#REF!,11,FALSE())&lt;-2),"",#REF!),"")</f>
        <v/>
      </c>
      <c r="N828" s="0" t="str">
        <f aca="false">IFERROR(IF(OR(HLOOKUP($A828,#REF!,12,FALSE())&gt;2,HLOOKUP($A828,#REF!,12,FALSE())&lt;-2),"",#REF!),"")</f>
        <v/>
      </c>
      <c r="O828" s="0" t="str">
        <f aca="false">IFERROR(IF(OR(HLOOKUP($A828,#REF!,13,FALSE())&gt;2,HLOOKUP($A828,#REF!,13,FALSE())&lt;-2),"",#REF!),"")</f>
        <v/>
      </c>
      <c r="P828" s="0" t="str">
        <f aca="false">IFERROR(IF(OR(HLOOKUP($A828,#REF!,14,FALSE())&gt;2,HLOOKUP($A828,#REF!,14,FALSE())&lt;-2),"",#REF!),"")</f>
        <v/>
      </c>
      <c r="Q828" s="0" t="str">
        <f aca="false">IFERROR(IF(OR(HLOOKUP($A828,#REF!,15,FALSE())&gt;2,HLOOKUP($A828,#REF!,15,FALSE())&lt;-2),"",#REF!),"")</f>
        <v/>
      </c>
      <c r="R828" s="0" t="str">
        <f aca="false">IFERROR(IF(OR(HLOOKUP($A828,#REF!,16,FALSE())&gt;2,HLOOKUP($A828,#REF!,16,FALSE())&lt;-2),"",#REF!),"")</f>
        <v/>
      </c>
      <c r="S828" s="0" t="str">
        <f aca="false">IFERROR(IF(OR(HLOOKUP($A828,#REF!,17,FALSE())&gt;2,HLOOKUP($A828,#REF!,17,FALSE())&lt;-2),"",#REF!),"")</f>
        <v/>
      </c>
      <c r="T828" s="0" t="str">
        <f aca="false">IFERROR(IF(OR(HLOOKUP($A828,#REF!,18,FALSE())&gt;2,HLOOKUP($A828,#REF!,18,FALSE())&lt;-2),"",#REF!),"")</f>
        <v/>
      </c>
      <c r="U828" s="0" t="str">
        <f aca="false">IFERROR(IF(OR(HLOOKUP($A828,#REF!,19,FALSE())&gt;2,HLOOKUP($A828,#REF!,19,FALSE())&lt;-2),"",#REF!),"")</f>
        <v/>
      </c>
      <c r="V828" s="0" t="n">
        <f aca="false">IFERROR(IF(AND(X828=0,Y828=0),0,1),0)</f>
        <v>1</v>
      </c>
      <c r="W828" s="3" t="str">
        <f aca="false">IFERROR(_xlfn.T.TEST(E828:M828,N828:U828,2,2),"")</f>
        <v/>
      </c>
      <c r="X828" s="0" t="str">
        <f aca="false">IFERROR(AVERAGE(E828:M828),"")</f>
        <v/>
      </c>
      <c r="Y828" s="0" t="str">
        <f aca="false">IFERROR(AVERAGE(N828:U828),"")</f>
        <v/>
      </c>
    </row>
    <row r="829" customFormat="false" ht="14.5" hidden="false" customHeight="false" outlineLevel="0" collapsed="false">
      <c r="A829" s="0" t="n">
        <v>837</v>
      </c>
      <c r="B829" s="0" t="s">
        <v>882</v>
      </c>
      <c r="C829" s="0" t="n">
        <v>45900</v>
      </c>
      <c r="D829" s="0" t="n">
        <v>509</v>
      </c>
      <c r="E829" s="0" t="str">
        <f aca="false">IFERROR(IF(OR(HLOOKUP($A829,#REF!,3,FALSE())&gt;2,HLOOKUP(A829,#REF!,3,FALSE())&lt;-2),"",#REF!),"")</f>
        <v/>
      </c>
      <c r="F829" s="0" t="str">
        <f aca="false">IFERROR(IF(OR(HLOOKUP($A829,#REF!,4,FALSE())&gt;2,HLOOKUP($A829,#REF!,4,FALSE())&lt;-2),"",#REF!),"")</f>
        <v/>
      </c>
      <c r="G829" s="0" t="str">
        <f aca="false">IFERROR(IF(OR(HLOOKUP($A829,#REF!,5,FALSE())&gt;2,HLOOKUP($A829,#REF!,5,FALSE())&lt;-2),"",#REF!),"")</f>
        <v/>
      </c>
      <c r="H829" s="0" t="str">
        <f aca="false">IFERROR(IF(OR(HLOOKUP($A829,#REF!,6,FALSE())&gt;2,HLOOKUP($A829,#REF!,6,FALSE())&lt;-2),"",#REF!),"")</f>
        <v/>
      </c>
      <c r="I829" s="0" t="str">
        <f aca="false">IFERROR(IF(OR(HLOOKUP($A829,#REF!,7,FALSE())&gt;2,HLOOKUP($A829,#REF!,7,FALSE())&lt;-2),"",#REF!),"")</f>
        <v/>
      </c>
      <c r="J829" s="0" t="str">
        <f aca="false">IFERROR(IF(OR(HLOOKUP($A829,#REF!,8,FALSE())&gt;2,HLOOKUP($A829,#REF!,8,FALSE())&lt;-2),"",#REF!),"")</f>
        <v/>
      </c>
      <c r="K829" s="0" t="str">
        <f aca="false">IFERROR(IF(OR(HLOOKUP($A829,#REF!,9,FALSE())&gt;2,HLOOKUP($A829,#REF!,9,FALSE())&lt;-2),"",#REF!),"")</f>
        <v/>
      </c>
      <c r="L829" s="0" t="str">
        <f aca="false">IFERROR(IF(OR(HLOOKUP($A829,#REF!,10,FALSE())&gt;2,HLOOKUP($A829,#REF!,10,FALSE())&lt;-2),"",#REF!),"")</f>
        <v/>
      </c>
      <c r="M829" s="0" t="str">
        <f aca="false">IFERROR(IF(OR(HLOOKUP($A829,#REF!,11,FALSE())&gt;2,HLOOKUP($A829,#REF!,11,FALSE())&lt;-2),"",#REF!),"")</f>
        <v/>
      </c>
      <c r="N829" s="0" t="str">
        <f aca="false">IFERROR(IF(OR(HLOOKUP($A829,#REF!,12,FALSE())&gt;2,HLOOKUP($A829,#REF!,12,FALSE())&lt;-2),"",#REF!),"")</f>
        <v/>
      </c>
      <c r="O829" s="0" t="str">
        <f aca="false">IFERROR(IF(OR(HLOOKUP($A829,#REF!,13,FALSE())&gt;2,HLOOKUP($A829,#REF!,13,FALSE())&lt;-2),"",#REF!),"")</f>
        <v/>
      </c>
      <c r="P829" s="0" t="str">
        <f aca="false">IFERROR(IF(OR(HLOOKUP($A829,#REF!,14,FALSE())&gt;2,HLOOKUP($A829,#REF!,14,FALSE())&lt;-2),"",#REF!),"")</f>
        <v/>
      </c>
      <c r="Q829" s="0" t="str">
        <f aca="false">IFERROR(IF(OR(HLOOKUP($A829,#REF!,15,FALSE())&gt;2,HLOOKUP($A829,#REF!,15,FALSE())&lt;-2),"",#REF!),"")</f>
        <v/>
      </c>
      <c r="R829" s="0" t="str">
        <f aca="false">IFERROR(IF(OR(HLOOKUP($A829,#REF!,16,FALSE())&gt;2,HLOOKUP($A829,#REF!,16,FALSE())&lt;-2),"",#REF!),"")</f>
        <v/>
      </c>
      <c r="S829" s="0" t="str">
        <f aca="false">IFERROR(IF(OR(HLOOKUP($A829,#REF!,17,FALSE())&gt;2,HLOOKUP($A829,#REF!,17,FALSE())&lt;-2),"",#REF!),"")</f>
        <v/>
      </c>
      <c r="T829" s="0" t="str">
        <f aca="false">IFERROR(IF(OR(HLOOKUP($A829,#REF!,18,FALSE())&gt;2,HLOOKUP($A829,#REF!,18,FALSE())&lt;-2),"",#REF!),"")</f>
        <v/>
      </c>
      <c r="U829" s="0" t="str">
        <f aca="false">IFERROR(IF(OR(HLOOKUP($A829,#REF!,19,FALSE())&gt;2,HLOOKUP($A829,#REF!,19,FALSE())&lt;-2),"",#REF!),"")</f>
        <v/>
      </c>
      <c r="V829" s="0" t="n">
        <f aca="false">IFERROR(IF(AND(X829=0,Y829=0),0,1),0)</f>
        <v>1</v>
      </c>
      <c r="W829" s="3" t="str">
        <f aca="false">IFERROR(_xlfn.T.TEST(E829:M829,N829:U829,2,2),"")</f>
        <v/>
      </c>
      <c r="X829" s="0" t="str">
        <f aca="false">IFERROR(AVERAGE(E829:M829),"")</f>
        <v/>
      </c>
      <c r="Y829" s="0" t="str">
        <f aca="false">IFERROR(AVERAGE(N829:U829),"")</f>
        <v/>
      </c>
    </row>
    <row r="830" customFormat="false" ht="14.5" hidden="false" customHeight="false" outlineLevel="0" collapsed="false">
      <c r="A830" s="0" t="n">
        <v>838</v>
      </c>
      <c r="B830" s="0" t="s">
        <v>883</v>
      </c>
      <c r="C830" s="0" t="n">
        <v>3700</v>
      </c>
      <c r="D830" s="0" t="n">
        <v>353</v>
      </c>
      <c r="E830" s="0" t="str">
        <f aca="false">IFERROR(IF(OR(HLOOKUP($A830,#REF!,3,FALSE())&gt;2,HLOOKUP(A830,#REF!,3,FALSE())&lt;-2),"",#REF!),"")</f>
        <v/>
      </c>
      <c r="F830" s="0" t="str">
        <f aca="false">IFERROR(IF(OR(HLOOKUP($A830,#REF!,4,FALSE())&gt;2,HLOOKUP($A830,#REF!,4,FALSE())&lt;-2),"",#REF!),"")</f>
        <v/>
      </c>
      <c r="G830" s="0" t="str">
        <f aca="false">IFERROR(IF(OR(HLOOKUP($A830,#REF!,5,FALSE())&gt;2,HLOOKUP($A830,#REF!,5,FALSE())&lt;-2),"",#REF!),"")</f>
        <v/>
      </c>
      <c r="H830" s="0" t="str">
        <f aca="false">IFERROR(IF(OR(HLOOKUP($A830,#REF!,6,FALSE())&gt;2,HLOOKUP($A830,#REF!,6,FALSE())&lt;-2),"",#REF!),"")</f>
        <v/>
      </c>
      <c r="I830" s="0" t="str">
        <f aca="false">IFERROR(IF(OR(HLOOKUP($A830,#REF!,7,FALSE())&gt;2,HLOOKUP($A830,#REF!,7,FALSE())&lt;-2),"",#REF!),"")</f>
        <v/>
      </c>
      <c r="J830" s="0" t="str">
        <f aca="false">IFERROR(IF(OR(HLOOKUP($A830,#REF!,8,FALSE())&gt;2,HLOOKUP($A830,#REF!,8,FALSE())&lt;-2),"",#REF!),"")</f>
        <v/>
      </c>
      <c r="K830" s="0" t="str">
        <f aca="false">IFERROR(IF(OR(HLOOKUP($A830,#REF!,9,FALSE())&gt;2,HLOOKUP($A830,#REF!,9,FALSE())&lt;-2),"",#REF!),"")</f>
        <v/>
      </c>
      <c r="L830" s="0" t="str">
        <f aca="false">IFERROR(IF(OR(HLOOKUP($A830,#REF!,10,FALSE())&gt;2,HLOOKUP($A830,#REF!,10,FALSE())&lt;-2),"",#REF!),"")</f>
        <v/>
      </c>
      <c r="M830" s="0" t="str">
        <f aca="false">IFERROR(IF(OR(HLOOKUP($A830,#REF!,11,FALSE())&gt;2,HLOOKUP($A830,#REF!,11,FALSE())&lt;-2),"",#REF!),"")</f>
        <v/>
      </c>
      <c r="N830" s="0" t="str">
        <f aca="false">IFERROR(IF(OR(HLOOKUP($A830,#REF!,12,FALSE())&gt;2,HLOOKUP($A830,#REF!,12,FALSE())&lt;-2),"",#REF!),"")</f>
        <v/>
      </c>
      <c r="O830" s="0" t="str">
        <f aca="false">IFERROR(IF(OR(HLOOKUP($A830,#REF!,13,FALSE())&gt;2,HLOOKUP($A830,#REF!,13,FALSE())&lt;-2),"",#REF!),"")</f>
        <v/>
      </c>
      <c r="P830" s="0" t="str">
        <f aca="false">IFERROR(IF(OR(HLOOKUP($A830,#REF!,14,FALSE())&gt;2,HLOOKUP($A830,#REF!,14,FALSE())&lt;-2),"",#REF!),"")</f>
        <v/>
      </c>
      <c r="Q830" s="0" t="str">
        <f aca="false">IFERROR(IF(OR(HLOOKUP($A830,#REF!,15,FALSE())&gt;2,HLOOKUP($A830,#REF!,15,FALSE())&lt;-2),"",#REF!),"")</f>
        <v/>
      </c>
      <c r="R830" s="0" t="str">
        <f aca="false">IFERROR(IF(OR(HLOOKUP($A830,#REF!,16,FALSE())&gt;2,HLOOKUP($A830,#REF!,16,FALSE())&lt;-2),"",#REF!),"")</f>
        <v/>
      </c>
      <c r="S830" s="0" t="str">
        <f aca="false">IFERROR(IF(OR(HLOOKUP($A830,#REF!,17,FALSE())&gt;2,HLOOKUP($A830,#REF!,17,FALSE())&lt;-2),"",#REF!),"")</f>
        <v/>
      </c>
      <c r="T830" s="0" t="str">
        <f aca="false">IFERROR(IF(OR(HLOOKUP($A830,#REF!,18,FALSE())&gt;2,HLOOKUP($A830,#REF!,18,FALSE())&lt;-2),"",#REF!),"")</f>
        <v/>
      </c>
      <c r="U830" s="0" t="str">
        <f aca="false">IFERROR(IF(OR(HLOOKUP($A830,#REF!,19,FALSE())&gt;2,HLOOKUP($A830,#REF!,19,FALSE())&lt;-2),"",#REF!),"")</f>
        <v/>
      </c>
      <c r="V830" s="0" t="n">
        <f aca="false">IFERROR(IF(AND(X830=0,Y830=0),0,1),0)</f>
        <v>1</v>
      </c>
      <c r="W830" s="3" t="str">
        <f aca="false">IFERROR(_xlfn.T.TEST(E830:M830,N830:U830,2,2),"")</f>
        <v/>
      </c>
      <c r="X830" s="0" t="str">
        <f aca="false">IFERROR(AVERAGE(E830:M830),"")</f>
        <v/>
      </c>
      <c r="Y830" s="0" t="str">
        <f aca="false">IFERROR(AVERAGE(N830:U830),"")</f>
        <v/>
      </c>
    </row>
    <row r="831" customFormat="false" ht="14.5" hidden="false" customHeight="false" outlineLevel="0" collapsed="false">
      <c r="A831" s="0" t="n">
        <v>839</v>
      </c>
      <c r="B831" s="0" t="s">
        <v>884</v>
      </c>
      <c r="C831" s="0" t="n">
        <v>93100</v>
      </c>
      <c r="D831" s="0" t="n">
        <v>370</v>
      </c>
      <c r="E831" s="0" t="str">
        <f aca="false">IFERROR(IF(OR(HLOOKUP($A831,#REF!,3,FALSE())&gt;2,HLOOKUP(A831,#REF!,3,FALSE())&lt;-2),"",#REF!),"")</f>
        <v/>
      </c>
      <c r="F831" s="0" t="str">
        <f aca="false">IFERROR(IF(OR(HLOOKUP($A831,#REF!,4,FALSE())&gt;2,HLOOKUP($A831,#REF!,4,FALSE())&lt;-2),"",#REF!),"")</f>
        <v/>
      </c>
      <c r="G831" s="0" t="str">
        <f aca="false">IFERROR(IF(OR(HLOOKUP($A831,#REF!,5,FALSE())&gt;2,HLOOKUP($A831,#REF!,5,FALSE())&lt;-2),"",#REF!),"")</f>
        <v/>
      </c>
      <c r="H831" s="0" t="str">
        <f aca="false">IFERROR(IF(OR(HLOOKUP($A831,#REF!,6,FALSE())&gt;2,HLOOKUP($A831,#REF!,6,FALSE())&lt;-2),"",#REF!),"")</f>
        <v/>
      </c>
      <c r="I831" s="0" t="str">
        <f aca="false">IFERROR(IF(OR(HLOOKUP($A831,#REF!,7,FALSE())&gt;2,HLOOKUP($A831,#REF!,7,FALSE())&lt;-2),"",#REF!),"")</f>
        <v/>
      </c>
      <c r="J831" s="0" t="str">
        <f aca="false">IFERROR(IF(OR(HLOOKUP($A831,#REF!,8,FALSE())&gt;2,HLOOKUP($A831,#REF!,8,FALSE())&lt;-2),"",#REF!),"")</f>
        <v/>
      </c>
      <c r="K831" s="0" t="str">
        <f aca="false">IFERROR(IF(OR(HLOOKUP($A831,#REF!,9,FALSE())&gt;2,HLOOKUP($A831,#REF!,9,FALSE())&lt;-2),"",#REF!),"")</f>
        <v/>
      </c>
      <c r="L831" s="0" t="str">
        <f aca="false">IFERROR(IF(OR(HLOOKUP($A831,#REF!,10,FALSE())&gt;2,HLOOKUP($A831,#REF!,10,FALSE())&lt;-2),"",#REF!),"")</f>
        <v/>
      </c>
      <c r="M831" s="0" t="str">
        <f aca="false">IFERROR(IF(OR(HLOOKUP($A831,#REF!,11,FALSE())&gt;2,HLOOKUP($A831,#REF!,11,FALSE())&lt;-2),"",#REF!),"")</f>
        <v/>
      </c>
      <c r="N831" s="0" t="str">
        <f aca="false">IFERROR(IF(OR(HLOOKUP($A831,#REF!,12,FALSE())&gt;2,HLOOKUP($A831,#REF!,12,FALSE())&lt;-2),"",#REF!),"")</f>
        <v/>
      </c>
      <c r="O831" s="0" t="str">
        <f aca="false">IFERROR(IF(OR(HLOOKUP($A831,#REF!,13,FALSE())&gt;2,HLOOKUP($A831,#REF!,13,FALSE())&lt;-2),"",#REF!),"")</f>
        <v/>
      </c>
      <c r="P831" s="0" t="str">
        <f aca="false">IFERROR(IF(OR(HLOOKUP($A831,#REF!,14,FALSE())&gt;2,HLOOKUP($A831,#REF!,14,FALSE())&lt;-2),"",#REF!),"")</f>
        <v/>
      </c>
      <c r="Q831" s="0" t="str">
        <f aca="false">IFERROR(IF(OR(HLOOKUP($A831,#REF!,15,FALSE())&gt;2,HLOOKUP($A831,#REF!,15,FALSE())&lt;-2),"",#REF!),"")</f>
        <v/>
      </c>
      <c r="R831" s="0" t="str">
        <f aca="false">IFERROR(IF(OR(HLOOKUP($A831,#REF!,16,FALSE())&gt;2,HLOOKUP($A831,#REF!,16,FALSE())&lt;-2),"",#REF!),"")</f>
        <v/>
      </c>
      <c r="S831" s="0" t="str">
        <f aca="false">IFERROR(IF(OR(HLOOKUP($A831,#REF!,17,FALSE())&gt;2,HLOOKUP($A831,#REF!,17,FALSE())&lt;-2),"",#REF!),"")</f>
        <v/>
      </c>
      <c r="T831" s="0" t="str">
        <f aca="false">IFERROR(IF(OR(HLOOKUP($A831,#REF!,18,FALSE())&gt;2,HLOOKUP($A831,#REF!,18,FALSE())&lt;-2),"",#REF!),"")</f>
        <v/>
      </c>
      <c r="U831" s="0" t="str">
        <f aca="false">IFERROR(IF(OR(HLOOKUP($A831,#REF!,19,FALSE())&gt;2,HLOOKUP($A831,#REF!,19,FALSE())&lt;-2),"",#REF!),"")</f>
        <v/>
      </c>
      <c r="V831" s="0" t="n">
        <f aca="false">IFERROR(IF(AND(X831=0,Y831=0),0,1),0)</f>
        <v>1</v>
      </c>
      <c r="W831" s="3" t="str">
        <f aca="false">IFERROR(_xlfn.T.TEST(E831:M831,N831:U831,2,2),"")</f>
        <v/>
      </c>
      <c r="X831" s="0" t="str">
        <f aca="false">IFERROR(AVERAGE(E831:M831),"")</f>
        <v/>
      </c>
      <c r="Y831" s="0" t="str">
        <f aca="false">IFERROR(AVERAGE(N831:U831),"")</f>
        <v/>
      </c>
    </row>
    <row r="832" customFormat="false" ht="14.5" hidden="false" customHeight="false" outlineLevel="0" collapsed="false">
      <c r="A832" s="0" t="n">
        <v>840</v>
      </c>
      <c r="B832" s="0" t="s">
        <v>885</v>
      </c>
      <c r="C832" s="0" t="n">
        <v>97600</v>
      </c>
      <c r="D832" s="0" t="n">
        <v>967</v>
      </c>
      <c r="E832" s="0" t="str">
        <f aca="false">IFERROR(IF(OR(HLOOKUP($A832,#REF!,3,FALSE())&gt;2,HLOOKUP(A832,#REF!,3,FALSE())&lt;-2),"",#REF!),"")</f>
        <v/>
      </c>
      <c r="F832" s="0" t="str">
        <f aca="false">IFERROR(IF(OR(HLOOKUP($A832,#REF!,4,FALSE())&gt;2,HLOOKUP($A832,#REF!,4,FALSE())&lt;-2),"",#REF!),"")</f>
        <v/>
      </c>
      <c r="G832" s="0" t="str">
        <f aca="false">IFERROR(IF(OR(HLOOKUP($A832,#REF!,5,FALSE())&gt;2,HLOOKUP($A832,#REF!,5,FALSE())&lt;-2),"",#REF!),"")</f>
        <v/>
      </c>
      <c r="H832" s="0" t="str">
        <f aca="false">IFERROR(IF(OR(HLOOKUP($A832,#REF!,6,FALSE())&gt;2,HLOOKUP($A832,#REF!,6,FALSE())&lt;-2),"",#REF!),"")</f>
        <v/>
      </c>
      <c r="I832" s="0" t="str">
        <f aca="false">IFERROR(IF(OR(HLOOKUP($A832,#REF!,7,FALSE())&gt;2,HLOOKUP($A832,#REF!,7,FALSE())&lt;-2),"",#REF!),"")</f>
        <v/>
      </c>
      <c r="J832" s="0" t="str">
        <f aca="false">IFERROR(IF(OR(HLOOKUP($A832,#REF!,8,FALSE())&gt;2,HLOOKUP($A832,#REF!,8,FALSE())&lt;-2),"",#REF!),"")</f>
        <v/>
      </c>
      <c r="K832" s="0" t="str">
        <f aca="false">IFERROR(IF(OR(HLOOKUP($A832,#REF!,9,FALSE())&gt;2,HLOOKUP($A832,#REF!,9,FALSE())&lt;-2),"",#REF!),"")</f>
        <v/>
      </c>
      <c r="L832" s="0" t="str">
        <f aca="false">IFERROR(IF(OR(HLOOKUP($A832,#REF!,10,FALSE())&gt;2,HLOOKUP($A832,#REF!,10,FALSE())&lt;-2),"",#REF!),"")</f>
        <v/>
      </c>
      <c r="M832" s="0" t="str">
        <f aca="false">IFERROR(IF(OR(HLOOKUP($A832,#REF!,11,FALSE())&gt;2,HLOOKUP($A832,#REF!,11,FALSE())&lt;-2),"",#REF!),"")</f>
        <v/>
      </c>
      <c r="N832" s="0" t="str">
        <f aca="false">IFERROR(IF(OR(HLOOKUP($A832,#REF!,12,FALSE())&gt;2,HLOOKUP($A832,#REF!,12,FALSE())&lt;-2),"",#REF!),"")</f>
        <v/>
      </c>
      <c r="O832" s="0" t="str">
        <f aca="false">IFERROR(IF(OR(HLOOKUP($A832,#REF!,13,FALSE())&gt;2,HLOOKUP($A832,#REF!,13,FALSE())&lt;-2),"",#REF!),"")</f>
        <v/>
      </c>
      <c r="P832" s="0" t="str">
        <f aca="false">IFERROR(IF(OR(HLOOKUP($A832,#REF!,14,FALSE())&gt;2,HLOOKUP($A832,#REF!,14,FALSE())&lt;-2),"",#REF!),"")</f>
        <v/>
      </c>
      <c r="Q832" s="0" t="str">
        <f aca="false">IFERROR(IF(OR(HLOOKUP($A832,#REF!,15,FALSE())&gt;2,HLOOKUP($A832,#REF!,15,FALSE())&lt;-2),"",#REF!),"")</f>
        <v/>
      </c>
      <c r="R832" s="0" t="str">
        <f aca="false">IFERROR(IF(OR(HLOOKUP($A832,#REF!,16,FALSE())&gt;2,HLOOKUP($A832,#REF!,16,FALSE())&lt;-2),"",#REF!),"")</f>
        <v/>
      </c>
      <c r="S832" s="0" t="str">
        <f aca="false">IFERROR(IF(OR(HLOOKUP($A832,#REF!,17,FALSE())&gt;2,HLOOKUP($A832,#REF!,17,FALSE())&lt;-2),"",#REF!),"")</f>
        <v/>
      </c>
      <c r="T832" s="0" t="str">
        <f aca="false">IFERROR(IF(OR(HLOOKUP($A832,#REF!,18,FALSE())&gt;2,HLOOKUP($A832,#REF!,18,FALSE())&lt;-2),"",#REF!),"")</f>
        <v/>
      </c>
      <c r="U832" s="0" t="str">
        <f aca="false">IFERROR(IF(OR(HLOOKUP($A832,#REF!,19,FALSE())&gt;2,HLOOKUP($A832,#REF!,19,FALSE())&lt;-2),"",#REF!),"")</f>
        <v/>
      </c>
      <c r="V832" s="0" t="n">
        <f aca="false">IFERROR(IF(AND(X832=0,Y832=0),0,1),0)</f>
        <v>1</v>
      </c>
      <c r="W832" s="3" t="str">
        <f aca="false">IFERROR(_xlfn.T.TEST(E832:M832,N832:U832,2,2),"")</f>
        <v/>
      </c>
      <c r="X832" s="0" t="str">
        <f aca="false">IFERROR(AVERAGE(E832:M832),"")</f>
        <v/>
      </c>
      <c r="Y832" s="0" t="str">
        <f aca="false">IFERROR(AVERAGE(N832:U832),"")</f>
        <v/>
      </c>
    </row>
    <row r="833" customFormat="false" ht="14.5" hidden="false" customHeight="false" outlineLevel="0" collapsed="false">
      <c r="A833" s="0" t="n">
        <v>841</v>
      </c>
      <c r="B833" s="0" t="s">
        <v>886</v>
      </c>
      <c r="C833" s="0" t="n">
        <v>100800</v>
      </c>
      <c r="D833" s="0" t="n">
        <v>948</v>
      </c>
      <c r="E833" s="0" t="str">
        <f aca="false">IFERROR(IF(OR(HLOOKUP($A833,#REF!,3,FALSE())&gt;2,HLOOKUP(A833,#REF!,3,FALSE())&lt;-2),"",#REF!),"")</f>
        <v/>
      </c>
      <c r="F833" s="0" t="str">
        <f aca="false">IFERROR(IF(OR(HLOOKUP($A833,#REF!,4,FALSE())&gt;2,HLOOKUP($A833,#REF!,4,FALSE())&lt;-2),"",#REF!),"")</f>
        <v/>
      </c>
      <c r="G833" s="0" t="str">
        <f aca="false">IFERROR(IF(OR(HLOOKUP($A833,#REF!,5,FALSE())&gt;2,HLOOKUP($A833,#REF!,5,FALSE())&lt;-2),"",#REF!),"")</f>
        <v/>
      </c>
      <c r="H833" s="0" t="str">
        <f aca="false">IFERROR(IF(OR(HLOOKUP($A833,#REF!,6,FALSE())&gt;2,HLOOKUP($A833,#REF!,6,FALSE())&lt;-2),"",#REF!),"")</f>
        <v/>
      </c>
      <c r="I833" s="0" t="str">
        <f aca="false">IFERROR(IF(OR(HLOOKUP($A833,#REF!,7,FALSE())&gt;2,HLOOKUP($A833,#REF!,7,FALSE())&lt;-2),"",#REF!),"")</f>
        <v/>
      </c>
      <c r="J833" s="0" t="str">
        <f aca="false">IFERROR(IF(OR(HLOOKUP($A833,#REF!,8,FALSE())&gt;2,HLOOKUP($A833,#REF!,8,FALSE())&lt;-2),"",#REF!),"")</f>
        <v/>
      </c>
      <c r="K833" s="0" t="str">
        <f aca="false">IFERROR(IF(OR(HLOOKUP($A833,#REF!,9,FALSE())&gt;2,HLOOKUP($A833,#REF!,9,FALSE())&lt;-2),"",#REF!),"")</f>
        <v/>
      </c>
      <c r="L833" s="0" t="str">
        <f aca="false">IFERROR(IF(OR(HLOOKUP($A833,#REF!,10,FALSE())&gt;2,HLOOKUP($A833,#REF!,10,FALSE())&lt;-2),"",#REF!),"")</f>
        <v/>
      </c>
      <c r="M833" s="0" t="str">
        <f aca="false">IFERROR(IF(OR(HLOOKUP($A833,#REF!,11,FALSE())&gt;2,HLOOKUP($A833,#REF!,11,FALSE())&lt;-2),"",#REF!),"")</f>
        <v/>
      </c>
      <c r="N833" s="0" t="str">
        <f aca="false">IFERROR(IF(OR(HLOOKUP($A833,#REF!,12,FALSE())&gt;2,HLOOKUP($A833,#REF!,12,FALSE())&lt;-2),"",#REF!),"")</f>
        <v/>
      </c>
      <c r="O833" s="0" t="str">
        <f aca="false">IFERROR(IF(OR(HLOOKUP($A833,#REF!,13,FALSE())&gt;2,HLOOKUP($A833,#REF!,13,FALSE())&lt;-2),"",#REF!),"")</f>
        <v/>
      </c>
      <c r="P833" s="0" t="str">
        <f aca="false">IFERROR(IF(OR(HLOOKUP($A833,#REF!,14,FALSE())&gt;2,HLOOKUP($A833,#REF!,14,FALSE())&lt;-2),"",#REF!),"")</f>
        <v/>
      </c>
      <c r="Q833" s="0" t="str">
        <f aca="false">IFERROR(IF(OR(HLOOKUP($A833,#REF!,15,FALSE())&gt;2,HLOOKUP($A833,#REF!,15,FALSE())&lt;-2),"",#REF!),"")</f>
        <v/>
      </c>
      <c r="R833" s="0" t="str">
        <f aca="false">IFERROR(IF(OR(HLOOKUP($A833,#REF!,16,FALSE())&gt;2,HLOOKUP($A833,#REF!,16,FALSE())&lt;-2),"",#REF!),"")</f>
        <v/>
      </c>
      <c r="S833" s="0" t="str">
        <f aca="false">IFERROR(IF(OR(HLOOKUP($A833,#REF!,17,FALSE())&gt;2,HLOOKUP($A833,#REF!,17,FALSE())&lt;-2),"",#REF!),"")</f>
        <v/>
      </c>
      <c r="T833" s="0" t="str">
        <f aca="false">IFERROR(IF(OR(HLOOKUP($A833,#REF!,18,FALSE())&gt;2,HLOOKUP($A833,#REF!,18,FALSE())&lt;-2),"",#REF!),"")</f>
        <v/>
      </c>
      <c r="U833" s="0" t="str">
        <f aca="false">IFERROR(IF(OR(HLOOKUP($A833,#REF!,19,FALSE())&gt;2,HLOOKUP($A833,#REF!,19,FALSE())&lt;-2),"",#REF!),"")</f>
        <v/>
      </c>
      <c r="V833" s="0" t="n">
        <f aca="false">IFERROR(IF(AND(X833=0,Y833=0),0,1),0)</f>
        <v>1</v>
      </c>
      <c r="W833" s="3" t="str">
        <f aca="false">IFERROR(_xlfn.T.TEST(E833:M833,N833:U833,2,2),"")</f>
        <v/>
      </c>
      <c r="X833" s="0" t="str">
        <f aca="false">IFERROR(AVERAGE(E833:M833),"")</f>
        <v/>
      </c>
      <c r="Y833" s="0" t="str">
        <f aca="false">IFERROR(AVERAGE(N833:U833),"")</f>
        <v/>
      </c>
    </row>
    <row r="834" customFormat="false" ht="14.5" hidden="false" customHeight="false" outlineLevel="0" collapsed="false">
      <c r="A834" s="0" t="n">
        <v>842</v>
      </c>
      <c r="B834" s="0" t="s">
        <v>887</v>
      </c>
      <c r="C834" s="0" t="n">
        <v>78900</v>
      </c>
      <c r="D834" s="0" t="n">
        <v>302</v>
      </c>
      <c r="E834" s="0" t="str">
        <f aca="false">IFERROR(IF(OR(HLOOKUP($A834,#REF!,3,FALSE())&gt;2,HLOOKUP(A834,#REF!,3,FALSE())&lt;-2),"",#REF!),"")</f>
        <v/>
      </c>
      <c r="F834" s="0" t="str">
        <f aca="false">IFERROR(IF(OR(HLOOKUP($A834,#REF!,4,FALSE())&gt;2,HLOOKUP($A834,#REF!,4,FALSE())&lt;-2),"",#REF!),"")</f>
        <v/>
      </c>
      <c r="G834" s="0" t="str">
        <f aca="false">IFERROR(IF(OR(HLOOKUP($A834,#REF!,5,FALSE())&gt;2,HLOOKUP($A834,#REF!,5,FALSE())&lt;-2),"",#REF!),"")</f>
        <v/>
      </c>
      <c r="H834" s="0" t="str">
        <f aca="false">IFERROR(IF(OR(HLOOKUP($A834,#REF!,6,FALSE())&gt;2,HLOOKUP($A834,#REF!,6,FALSE())&lt;-2),"",#REF!),"")</f>
        <v/>
      </c>
      <c r="I834" s="0" t="str">
        <f aca="false">IFERROR(IF(OR(HLOOKUP($A834,#REF!,7,FALSE())&gt;2,HLOOKUP($A834,#REF!,7,FALSE())&lt;-2),"",#REF!),"")</f>
        <v/>
      </c>
      <c r="J834" s="0" t="str">
        <f aca="false">IFERROR(IF(OR(HLOOKUP($A834,#REF!,8,FALSE())&gt;2,HLOOKUP($A834,#REF!,8,FALSE())&lt;-2),"",#REF!),"")</f>
        <v/>
      </c>
      <c r="K834" s="0" t="str">
        <f aca="false">IFERROR(IF(OR(HLOOKUP($A834,#REF!,9,FALSE())&gt;2,HLOOKUP($A834,#REF!,9,FALSE())&lt;-2),"",#REF!),"")</f>
        <v/>
      </c>
      <c r="L834" s="0" t="str">
        <f aca="false">IFERROR(IF(OR(HLOOKUP($A834,#REF!,10,FALSE())&gt;2,HLOOKUP($A834,#REF!,10,FALSE())&lt;-2),"",#REF!),"")</f>
        <v/>
      </c>
      <c r="M834" s="0" t="str">
        <f aca="false">IFERROR(IF(OR(HLOOKUP($A834,#REF!,11,FALSE())&gt;2,HLOOKUP($A834,#REF!,11,FALSE())&lt;-2),"",#REF!),"")</f>
        <v/>
      </c>
      <c r="N834" s="0" t="str">
        <f aca="false">IFERROR(IF(OR(HLOOKUP($A834,#REF!,12,FALSE())&gt;2,HLOOKUP($A834,#REF!,12,FALSE())&lt;-2),"",#REF!),"")</f>
        <v/>
      </c>
      <c r="O834" s="0" t="str">
        <f aca="false">IFERROR(IF(OR(HLOOKUP($A834,#REF!,13,FALSE())&gt;2,HLOOKUP($A834,#REF!,13,FALSE())&lt;-2),"",#REF!),"")</f>
        <v/>
      </c>
      <c r="P834" s="0" t="str">
        <f aca="false">IFERROR(IF(OR(HLOOKUP($A834,#REF!,14,FALSE())&gt;2,HLOOKUP($A834,#REF!,14,FALSE())&lt;-2),"",#REF!),"")</f>
        <v/>
      </c>
      <c r="Q834" s="0" t="str">
        <f aca="false">IFERROR(IF(OR(HLOOKUP($A834,#REF!,15,FALSE())&gt;2,HLOOKUP($A834,#REF!,15,FALSE())&lt;-2),"",#REF!),"")</f>
        <v/>
      </c>
      <c r="R834" s="0" t="str">
        <f aca="false">IFERROR(IF(OR(HLOOKUP($A834,#REF!,16,FALSE())&gt;2,HLOOKUP($A834,#REF!,16,FALSE())&lt;-2),"",#REF!),"")</f>
        <v/>
      </c>
      <c r="S834" s="0" t="str">
        <f aca="false">IFERROR(IF(OR(HLOOKUP($A834,#REF!,17,FALSE())&gt;2,HLOOKUP($A834,#REF!,17,FALSE())&lt;-2),"",#REF!),"")</f>
        <v/>
      </c>
      <c r="T834" s="0" t="str">
        <f aca="false">IFERROR(IF(OR(HLOOKUP($A834,#REF!,18,FALSE())&gt;2,HLOOKUP($A834,#REF!,18,FALSE())&lt;-2),"",#REF!),"")</f>
        <v/>
      </c>
      <c r="U834" s="0" t="str">
        <f aca="false">IFERROR(IF(OR(HLOOKUP($A834,#REF!,19,FALSE())&gt;2,HLOOKUP($A834,#REF!,19,FALSE())&lt;-2),"",#REF!),"")</f>
        <v/>
      </c>
      <c r="V834" s="0" t="n">
        <f aca="false">IFERROR(IF(AND(X834=0,Y834=0),0,1),0)</f>
        <v>1</v>
      </c>
      <c r="W834" s="3" t="str">
        <f aca="false">IFERROR(_xlfn.T.TEST(E834:M834,N834:U834,2,2),"")</f>
        <v/>
      </c>
      <c r="X834" s="0" t="str">
        <f aca="false">IFERROR(AVERAGE(E834:M834),"")</f>
        <v/>
      </c>
      <c r="Y834" s="0" t="str">
        <f aca="false">IFERROR(AVERAGE(N834:U834),"")</f>
        <v/>
      </c>
    </row>
    <row r="835" customFormat="false" ht="14.5" hidden="false" customHeight="false" outlineLevel="0" collapsed="false">
      <c r="A835" s="0" t="n">
        <v>843</v>
      </c>
      <c r="B835" s="0" t="s">
        <v>888</v>
      </c>
      <c r="C835" s="0" t="n">
        <v>44300</v>
      </c>
      <c r="D835" s="0" t="n">
        <v>822</v>
      </c>
      <c r="E835" s="0" t="str">
        <f aca="false">IFERROR(IF(OR(HLOOKUP($A835,#REF!,3,FALSE())&gt;2,HLOOKUP(A835,#REF!,3,FALSE())&lt;-2),"",#REF!),"")</f>
        <v/>
      </c>
      <c r="F835" s="0" t="str">
        <f aca="false">IFERROR(IF(OR(HLOOKUP($A835,#REF!,4,FALSE())&gt;2,HLOOKUP($A835,#REF!,4,FALSE())&lt;-2),"",#REF!),"")</f>
        <v/>
      </c>
      <c r="G835" s="0" t="str">
        <f aca="false">IFERROR(IF(OR(HLOOKUP($A835,#REF!,5,FALSE())&gt;2,HLOOKUP($A835,#REF!,5,FALSE())&lt;-2),"",#REF!),"")</f>
        <v/>
      </c>
      <c r="H835" s="0" t="str">
        <f aca="false">IFERROR(IF(OR(HLOOKUP($A835,#REF!,6,FALSE())&gt;2,HLOOKUP($A835,#REF!,6,FALSE())&lt;-2),"",#REF!),"")</f>
        <v/>
      </c>
      <c r="I835" s="0" t="str">
        <f aca="false">IFERROR(IF(OR(HLOOKUP($A835,#REF!,7,FALSE())&gt;2,HLOOKUP($A835,#REF!,7,FALSE())&lt;-2),"",#REF!),"")</f>
        <v/>
      </c>
      <c r="J835" s="0" t="str">
        <f aca="false">IFERROR(IF(OR(HLOOKUP($A835,#REF!,8,FALSE())&gt;2,HLOOKUP($A835,#REF!,8,FALSE())&lt;-2),"",#REF!),"")</f>
        <v/>
      </c>
      <c r="K835" s="0" t="str">
        <f aca="false">IFERROR(IF(OR(HLOOKUP($A835,#REF!,9,FALSE())&gt;2,HLOOKUP($A835,#REF!,9,FALSE())&lt;-2),"",#REF!),"")</f>
        <v/>
      </c>
      <c r="L835" s="0" t="str">
        <f aca="false">IFERROR(IF(OR(HLOOKUP($A835,#REF!,10,FALSE())&gt;2,HLOOKUP($A835,#REF!,10,FALSE())&lt;-2),"",#REF!),"")</f>
        <v/>
      </c>
      <c r="M835" s="0" t="str">
        <f aca="false">IFERROR(IF(OR(HLOOKUP($A835,#REF!,11,FALSE())&gt;2,HLOOKUP($A835,#REF!,11,FALSE())&lt;-2),"",#REF!),"")</f>
        <v/>
      </c>
      <c r="N835" s="0" t="str">
        <f aca="false">IFERROR(IF(OR(HLOOKUP($A835,#REF!,12,FALSE())&gt;2,HLOOKUP($A835,#REF!,12,FALSE())&lt;-2),"",#REF!),"")</f>
        <v/>
      </c>
      <c r="O835" s="0" t="str">
        <f aca="false">IFERROR(IF(OR(HLOOKUP($A835,#REF!,13,FALSE())&gt;2,HLOOKUP($A835,#REF!,13,FALSE())&lt;-2),"",#REF!),"")</f>
        <v/>
      </c>
      <c r="P835" s="0" t="str">
        <f aca="false">IFERROR(IF(OR(HLOOKUP($A835,#REF!,14,FALSE())&gt;2,HLOOKUP($A835,#REF!,14,FALSE())&lt;-2),"",#REF!),"")</f>
        <v/>
      </c>
      <c r="Q835" s="0" t="str">
        <f aca="false">IFERROR(IF(OR(HLOOKUP($A835,#REF!,15,FALSE())&gt;2,HLOOKUP($A835,#REF!,15,FALSE())&lt;-2),"",#REF!),"")</f>
        <v/>
      </c>
      <c r="R835" s="0" t="str">
        <f aca="false">IFERROR(IF(OR(HLOOKUP($A835,#REF!,16,FALSE())&gt;2,HLOOKUP($A835,#REF!,16,FALSE())&lt;-2),"",#REF!),"")</f>
        <v/>
      </c>
      <c r="S835" s="0" t="str">
        <f aca="false">IFERROR(IF(OR(HLOOKUP($A835,#REF!,17,FALSE())&gt;2,HLOOKUP($A835,#REF!,17,FALSE())&lt;-2),"",#REF!),"")</f>
        <v/>
      </c>
      <c r="T835" s="0" t="str">
        <f aca="false">IFERROR(IF(OR(HLOOKUP($A835,#REF!,18,FALSE())&gt;2,HLOOKUP($A835,#REF!,18,FALSE())&lt;-2),"",#REF!),"")</f>
        <v/>
      </c>
      <c r="U835" s="0" t="str">
        <f aca="false">IFERROR(IF(OR(HLOOKUP($A835,#REF!,19,FALSE())&gt;2,HLOOKUP($A835,#REF!,19,FALSE())&lt;-2),"",#REF!),"")</f>
        <v/>
      </c>
      <c r="V835" s="0" t="n">
        <f aca="false">IFERROR(IF(AND(X835=0,Y835=0),0,1),0)</f>
        <v>1</v>
      </c>
      <c r="W835" s="3" t="str">
        <f aca="false">IFERROR(_xlfn.T.TEST(E835:M835,N835:U835,2,2),"")</f>
        <v/>
      </c>
      <c r="X835" s="0" t="str">
        <f aca="false">IFERROR(AVERAGE(E835:M835),"")</f>
        <v/>
      </c>
      <c r="Y835" s="0" t="str">
        <f aca="false">IFERROR(AVERAGE(N835:U835),"")</f>
        <v/>
      </c>
    </row>
    <row r="836" customFormat="false" ht="14.5" hidden="false" customHeight="false" outlineLevel="0" collapsed="false">
      <c r="A836" s="0" t="n">
        <v>844</v>
      </c>
      <c r="B836" s="0" t="s">
        <v>889</v>
      </c>
      <c r="C836" s="0" t="n">
        <v>1900</v>
      </c>
      <c r="D836" s="0" t="n">
        <v>985</v>
      </c>
      <c r="E836" s="0" t="str">
        <f aca="false">IFERROR(IF(OR(HLOOKUP($A836,#REF!,3,FALSE())&gt;2,HLOOKUP(A836,#REF!,3,FALSE())&lt;-2),"",#REF!),"")</f>
        <v/>
      </c>
      <c r="F836" s="0" t="str">
        <f aca="false">IFERROR(IF(OR(HLOOKUP($A836,#REF!,4,FALSE())&gt;2,HLOOKUP($A836,#REF!,4,FALSE())&lt;-2),"",#REF!),"")</f>
        <v/>
      </c>
      <c r="G836" s="0" t="str">
        <f aca="false">IFERROR(IF(OR(HLOOKUP($A836,#REF!,5,FALSE())&gt;2,HLOOKUP($A836,#REF!,5,FALSE())&lt;-2),"",#REF!),"")</f>
        <v/>
      </c>
      <c r="H836" s="0" t="str">
        <f aca="false">IFERROR(IF(OR(HLOOKUP($A836,#REF!,6,FALSE())&gt;2,HLOOKUP($A836,#REF!,6,FALSE())&lt;-2),"",#REF!),"")</f>
        <v/>
      </c>
      <c r="I836" s="0" t="str">
        <f aca="false">IFERROR(IF(OR(HLOOKUP($A836,#REF!,7,FALSE())&gt;2,HLOOKUP($A836,#REF!,7,FALSE())&lt;-2),"",#REF!),"")</f>
        <v/>
      </c>
      <c r="J836" s="0" t="str">
        <f aca="false">IFERROR(IF(OR(HLOOKUP($A836,#REF!,8,FALSE())&gt;2,HLOOKUP($A836,#REF!,8,FALSE())&lt;-2),"",#REF!),"")</f>
        <v/>
      </c>
      <c r="K836" s="0" t="str">
        <f aca="false">IFERROR(IF(OR(HLOOKUP($A836,#REF!,9,FALSE())&gt;2,HLOOKUP($A836,#REF!,9,FALSE())&lt;-2),"",#REF!),"")</f>
        <v/>
      </c>
      <c r="L836" s="0" t="str">
        <f aca="false">IFERROR(IF(OR(HLOOKUP($A836,#REF!,10,FALSE())&gt;2,HLOOKUP($A836,#REF!,10,FALSE())&lt;-2),"",#REF!),"")</f>
        <v/>
      </c>
      <c r="M836" s="0" t="str">
        <f aca="false">IFERROR(IF(OR(HLOOKUP($A836,#REF!,11,FALSE())&gt;2,HLOOKUP($A836,#REF!,11,FALSE())&lt;-2),"",#REF!),"")</f>
        <v/>
      </c>
      <c r="N836" s="0" t="str">
        <f aca="false">IFERROR(IF(OR(HLOOKUP($A836,#REF!,12,FALSE())&gt;2,HLOOKUP($A836,#REF!,12,FALSE())&lt;-2),"",#REF!),"")</f>
        <v/>
      </c>
      <c r="O836" s="0" t="str">
        <f aca="false">IFERROR(IF(OR(HLOOKUP($A836,#REF!,13,FALSE())&gt;2,HLOOKUP($A836,#REF!,13,FALSE())&lt;-2),"",#REF!),"")</f>
        <v/>
      </c>
      <c r="P836" s="0" t="str">
        <f aca="false">IFERROR(IF(OR(HLOOKUP($A836,#REF!,14,FALSE())&gt;2,HLOOKUP($A836,#REF!,14,FALSE())&lt;-2),"",#REF!),"")</f>
        <v/>
      </c>
      <c r="Q836" s="0" t="str">
        <f aca="false">IFERROR(IF(OR(HLOOKUP($A836,#REF!,15,FALSE())&gt;2,HLOOKUP($A836,#REF!,15,FALSE())&lt;-2),"",#REF!),"")</f>
        <v/>
      </c>
      <c r="R836" s="0" t="str">
        <f aca="false">IFERROR(IF(OR(HLOOKUP($A836,#REF!,16,FALSE())&gt;2,HLOOKUP($A836,#REF!,16,FALSE())&lt;-2),"",#REF!),"")</f>
        <v/>
      </c>
      <c r="S836" s="0" t="str">
        <f aca="false">IFERROR(IF(OR(HLOOKUP($A836,#REF!,17,FALSE())&gt;2,HLOOKUP($A836,#REF!,17,FALSE())&lt;-2),"",#REF!),"")</f>
        <v/>
      </c>
      <c r="T836" s="0" t="str">
        <f aca="false">IFERROR(IF(OR(HLOOKUP($A836,#REF!,18,FALSE())&gt;2,HLOOKUP($A836,#REF!,18,FALSE())&lt;-2),"",#REF!),"")</f>
        <v/>
      </c>
      <c r="U836" s="0" t="str">
        <f aca="false">IFERROR(IF(OR(HLOOKUP($A836,#REF!,19,FALSE())&gt;2,HLOOKUP($A836,#REF!,19,FALSE())&lt;-2),"",#REF!),"")</f>
        <v/>
      </c>
      <c r="V836" s="0" t="n">
        <f aca="false">IFERROR(IF(AND(X836=0,Y836=0),0,1),0)</f>
        <v>1</v>
      </c>
      <c r="W836" s="3" t="str">
        <f aca="false">IFERROR(_xlfn.T.TEST(E836:M836,N836:U836,2,2),"")</f>
        <v/>
      </c>
      <c r="X836" s="0" t="str">
        <f aca="false">IFERROR(AVERAGE(E836:M836),"")</f>
        <v/>
      </c>
      <c r="Y836" s="0" t="str">
        <f aca="false">IFERROR(AVERAGE(N836:U836),"")</f>
        <v/>
      </c>
    </row>
    <row r="837" customFormat="false" ht="14.5" hidden="false" customHeight="false" outlineLevel="0" collapsed="false">
      <c r="A837" s="0" t="n">
        <v>845</v>
      </c>
      <c r="B837" s="0" t="s">
        <v>890</v>
      </c>
      <c r="C837" s="0" t="n">
        <v>45800</v>
      </c>
      <c r="D837" s="0" t="n">
        <v>509</v>
      </c>
      <c r="E837" s="0" t="str">
        <f aca="false">IFERROR(IF(OR(HLOOKUP($A837,#REF!,3,FALSE())&gt;2,HLOOKUP(A837,#REF!,3,FALSE())&lt;-2),"",#REF!),"")</f>
        <v/>
      </c>
      <c r="F837" s="0" t="str">
        <f aca="false">IFERROR(IF(OR(HLOOKUP($A837,#REF!,4,FALSE())&gt;2,HLOOKUP($A837,#REF!,4,FALSE())&lt;-2),"",#REF!),"")</f>
        <v/>
      </c>
      <c r="G837" s="0" t="str">
        <f aca="false">IFERROR(IF(OR(HLOOKUP($A837,#REF!,5,FALSE())&gt;2,HLOOKUP($A837,#REF!,5,FALSE())&lt;-2),"",#REF!),"")</f>
        <v/>
      </c>
      <c r="H837" s="0" t="str">
        <f aca="false">IFERROR(IF(OR(HLOOKUP($A837,#REF!,6,FALSE())&gt;2,HLOOKUP($A837,#REF!,6,FALSE())&lt;-2),"",#REF!),"")</f>
        <v/>
      </c>
      <c r="I837" s="0" t="str">
        <f aca="false">IFERROR(IF(OR(HLOOKUP($A837,#REF!,7,FALSE())&gt;2,HLOOKUP($A837,#REF!,7,FALSE())&lt;-2),"",#REF!),"")</f>
        <v/>
      </c>
      <c r="J837" s="0" t="str">
        <f aca="false">IFERROR(IF(OR(HLOOKUP($A837,#REF!,8,FALSE())&gt;2,HLOOKUP($A837,#REF!,8,FALSE())&lt;-2),"",#REF!),"")</f>
        <v/>
      </c>
      <c r="K837" s="0" t="str">
        <f aca="false">IFERROR(IF(OR(HLOOKUP($A837,#REF!,9,FALSE())&gt;2,HLOOKUP($A837,#REF!,9,FALSE())&lt;-2),"",#REF!),"")</f>
        <v/>
      </c>
      <c r="L837" s="0" t="str">
        <f aca="false">IFERROR(IF(OR(HLOOKUP($A837,#REF!,10,FALSE())&gt;2,HLOOKUP($A837,#REF!,10,FALSE())&lt;-2),"",#REF!),"")</f>
        <v/>
      </c>
      <c r="M837" s="0" t="str">
        <f aca="false">IFERROR(IF(OR(HLOOKUP($A837,#REF!,11,FALSE())&gt;2,HLOOKUP($A837,#REF!,11,FALSE())&lt;-2),"",#REF!),"")</f>
        <v/>
      </c>
      <c r="N837" s="0" t="str">
        <f aca="false">IFERROR(IF(OR(HLOOKUP($A837,#REF!,12,FALSE())&gt;2,HLOOKUP($A837,#REF!,12,FALSE())&lt;-2),"",#REF!),"")</f>
        <v/>
      </c>
      <c r="O837" s="0" t="str">
        <f aca="false">IFERROR(IF(OR(HLOOKUP($A837,#REF!,13,FALSE())&gt;2,HLOOKUP($A837,#REF!,13,FALSE())&lt;-2),"",#REF!),"")</f>
        <v/>
      </c>
      <c r="P837" s="0" t="str">
        <f aca="false">IFERROR(IF(OR(HLOOKUP($A837,#REF!,14,FALSE())&gt;2,HLOOKUP($A837,#REF!,14,FALSE())&lt;-2),"",#REF!),"")</f>
        <v/>
      </c>
      <c r="Q837" s="0" t="str">
        <f aca="false">IFERROR(IF(OR(HLOOKUP($A837,#REF!,15,FALSE())&gt;2,HLOOKUP($A837,#REF!,15,FALSE())&lt;-2),"",#REF!),"")</f>
        <v/>
      </c>
      <c r="R837" s="0" t="str">
        <f aca="false">IFERROR(IF(OR(HLOOKUP($A837,#REF!,16,FALSE())&gt;2,HLOOKUP($A837,#REF!,16,FALSE())&lt;-2),"",#REF!),"")</f>
        <v/>
      </c>
      <c r="S837" s="0" t="str">
        <f aca="false">IFERROR(IF(OR(HLOOKUP($A837,#REF!,17,FALSE())&gt;2,HLOOKUP($A837,#REF!,17,FALSE())&lt;-2),"",#REF!),"")</f>
        <v/>
      </c>
      <c r="T837" s="0" t="str">
        <f aca="false">IFERROR(IF(OR(HLOOKUP($A837,#REF!,18,FALSE())&gt;2,HLOOKUP($A837,#REF!,18,FALSE())&lt;-2),"",#REF!),"")</f>
        <v/>
      </c>
      <c r="U837" s="0" t="str">
        <f aca="false">IFERROR(IF(OR(HLOOKUP($A837,#REF!,19,FALSE())&gt;2,HLOOKUP($A837,#REF!,19,FALSE())&lt;-2),"",#REF!),"")</f>
        <v/>
      </c>
      <c r="V837" s="0" t="n">
        <f aca="false">IFERROR(IF(AND(X837=0,Y837=0),0,1),0)</f>
        <v>1</v>
      </c>
      <c r="W837" s="3" t="str">
        <f aca="false">IFERROR(_xlfn.T.TEST(E837:M837,N837:U837,2,2),"")</f>
        <v/>
      </c>
      <c r="X837" s="0" t="str">
        <f aca="false">IFERROR(AVERAGE(E837:M837),"")</f>
        <v/>
      </c>
      <c r="Y837" s="0" t="str">
        <f aca="false">IFERROR(AVERAGE(N837:U837),"")</f>
        <v/>
      </c>
    </row>
    <row r="838" customFormat="false" ht="14.5" hidden="false" customHeight="false" outlineLevel="0" collapsed="false">
      <c r="A838" s="0" t="n">
        <v>846</v>
      </c>
      <c r="B838" s="0" t="s">
        <v>891</v>
      </c>
      <c r="C838" s="0" t="n">
        <v>63200</v>
      </c>
      <c r="D838" s="0" t="n">
        <v>519</v>
      </c>
      <c r="E838" s="0" t="str">
        <f aca="false">IFERROR(IF(OR(HLOOKUP($A838,#REF!,3,FALSE())&gt;2,HLOOKUP(A838,#REF!,3,FALSE())&lt;-2),"",#REF!),"")</f>
        <v/>
      </c>
      <c r="F838" s="0" t="str">
        <f aca="false">IFERROR(IF(OR(HLOOKUP($A838,#REF!,4,FALSE())&gt;2,HLOOKUP($A838,#REF!,4,FALSE())&lt;-2),"",#REF!),"")</f>
        <v/>
      </c>
      <c r="G838" s="0" t="str">
        <f aca="false">IFERROR(IF(OR(HLOOKUP($A838,#REF!,5,FALSE())&gt;2,HLOOKUP($A838,#REF!,5,FALSE())&lt;-2),"",#REF!),"")</f>
        <v/>
      </c>
      <c r="H838" s="0" t="str">
        <f aca="false">IFERROR(IF(OR(HLOOKUP($A838,#REF!,6,FALSE())&gt;2,HLOOKUP($A838,#REF!,6,FALSE())&lt;-2),"",#REF!),"")</f>
        <v/>
      </c>
      <c r="I838" s="0" t="str">
        <f aca="false">IFERROR(IF(OR(HLOOKUP($A838,#REF!,7,FALSE())&gt;2,HLOOKUP($A838,#REF!,7,FALSE())&lt;-2),"",#REF!),"")</f>
        <v/>
      </c>
      <c r="J838" s="0" t="str">
        <f aca="false">IFERROR(IF(OR(HLOOKUP($A838,#REF!,8,FALSE())&gt;2,HLOOKUP($A838,#REF!,8,FALSE())&lt;-2),"",#REF!),"")</f>
        <v/>
      </c>
      <c r="K838" s="0" t="str">
        <f aca="false">IFERROR(IF(OR(HLOOKUP($A838,#REF!,9,FALSE())&gt;2,HLOOKUP($A838,#REF!,9,FALSE())&lt;-2),"",#REF!),"")</f>
        <v/>
      </c>
      <c r="L838" s="0" t="str">
        <f aca="false">IFERROR(IF(OR(HLOOKUP($A838,#REF!,10,FALSE())&gt;2,HLOOKUP($A838,#REF!,10,FALSE())&lt;-2),"",#REF!),"")</f>
        <v/>
      </c>
      <c r="M838" s="0" t="str">
        <f aca="false">IFERROR(IF(OR(HLOOKUP($A838,#REF!,11,FALSE())&gt;2,HLOOKUP($A838,#REF!,11,FALSE())&lt;-2),"",#REF!),"")</f>
        <v/>
      </c>
      <c r="N838" s="0" t="str">
        <f aca="false">IFERROR(IF(OR(HLOOKUP($A838,#REF!,12,FALSE())&gt;2,HLOOKUP($A838,#REF!,12,FALSE())&lt;-2),"",#REF!),"")</f>
        <v/>
      </c>
      <c r="O838" s="0" t="str">
        <f aca="false">IFERROR(IF(OR(HLOOKUP($A838,#REF!,13,FALSE())&gt;2,HLOOKUP($A838,#REF!,13,FALSE())&lt;-2),"",#REF!),"")</f>
        <v/>
      </c>
      <c r="P838" s="0" t="str">
        <f aca="false">IFERROR(IF(OR(HLOOKUP($A838,#REF!,14,FALSE())&gt;2,HLOOKUP($A838,#REF!,14,FALSE())&lt;-2),"",#REF!),"")</f>
        <v/>
      </c>
      <c r="Q838" s="0" t="str">
        <f aca="false">IFERROR(IF(OR(HLOOKUP($A838,#REF!,15,FALSE())&gt;2,HLOOKUP($A838,#REF!,15,FALSE())&lt;-2),"",#REF!),"")</f>
        <v/>
      </c>
      <c r="R838" s="0" t="str">
        <f aca="false">IFERROR(IF(OR(HLOOKUP($A838,#REF!,16,FALSE())&gt;2,HLOOKUP($A838,#REF!,16,FALSE())&lt;-2),"",#REF!),"")</f>
        <v/>
      </c>
      <c r="S838" s="0" t="str">
        <f aca="false">IFERROR(IF(OR(HLOOKUP($A838,#REF!,17,FALSE())&gt;2,HLOOKUP($A838,#REF!,17,FALSE())&lt;-2),"",#REF!),"")</f>
        <v/>
      </c>
      <c r="T838" s="0" t="str">
        <f aca="false">IFERROR(IF(OR(HLOOKUP($A838,#REF!,18,FALSE())&gt;2,HLOOKUP($A838,#REF!,18,FALSE())&lt;-2),"",#REF!),"")</f>
        <v/>
      </c>
      <c r="U838" s="0" t="str">
        <f aca="false">IFERROR(IF(OR(HLOOKUP($A838,#REF!,19,FALSE())&gt;2,HLOOKUP($A838,#REF!,19,FALSE())&lt;-2),"",#REF!),"")</f>
        <v/>
      </c>
      <c r="V838" s="0" t="n">
        <f aca="false">IFERROR(IF(AND(X838=0,Y838=0),0,1),0)</f>
        <v>1</v>
      </c>
      <c r="W838" s="3" t="str">
        <f aca="false">IFERROR(_xlfn.T.TEST(E838:M838,N838:U838,2,2),"")</f>
        <v/>
      </c>
      <c r="X838" s="0" t="str">
        <f aca="false">IFERROR(AVERAGE(E838:M838),"")</f>
        <v/>
      </c>
      <c r="Y838" s="0" t="str">
        <f aca="false">IFERROR(AVERAGE(N838:U838),"")</f>
        <v/>
      </c>
    </row>
    <row r="839" customFormat="false" ht="14.5" hidden="false" customHeight="false" outlineLevel="0" collapsed="false">
      <c r="A839" s="0" t="n">
        <v>847</v>
      </c>
      <c r="B839" s="0" t="s">
        <v>892</v>
      </c>
      <c r="C839" s="0" t="n">
        <v>11700</v>
      </c>
      <c r="D839" s="0" t="n">
        <v>1002</v>
      </c>
      <c r="E839" s="0" t="str">
        <f aca="false">IFERROR(IF(OR(HLOOKUP($A839,#REF!,3,FALSE())&gt;2,HLOOKUP(A839,#REF!,3,FALSE())&lt;-2),"",#REF!),"")</f>
        <v/>
      </c>
      <c r="F839" s="0" t="str">
        <f aca="false">IFERROR(IF(OR(HLOOKUP($A839,#REF!,4,FALSE())&gt;2,HLOOKUP($A839,#REF!,4,FALSE())&lt;-2),"",#REF!),"")</f>
        <v/>
      </c>
      <c r="G839" s="0" t="str">
        <f aca="false">IFERROR(IF(OR(HLOOKUP($A839,#REF!,5,FALSE())&gt;2,HLOOKUP($A839,#REF!,5,FALSE())&lt;-2),"",#REF!),"")</f>
        <v/>
      </c>
      <c r="H839" s="0" t="str">
        <f aca="false">IFERROR(IF(OR(HLOOKUP($A839,#REF!,6,FALSE())&gt;2,HLOOKUP($A839,#REF!,6,FALSE())&lt;-2),"",#REF!),"")</f>
        <v/>
      </c>
      <c r="I839" s="0" t="str">
        <f aca="false">IFERROR(IF(OR(HLOOKUP($A839,#REF!,7,FALSE())&gt;2,HLOOKUP($A839,#REF!,7,FALSE())&lt;-2),"",#REF!),"")</f>
        <v/>
      </c>
      <c r="J839" s="0" t="str">
        <f aca="false">IFERROR(IF(OR(HLOOKUP($A839,#REF!,8,FALSE())&gt;2,HLOOKUP($A839,#REF!,8,FALSE())&lt;-2),"",#REF!),"")</f>
        <v/>
      </c>
      <c r="K839" s="0" t="str">
        <f aca="false">IFERROR(IF(OR(HLOOKUP($A839,#REF!,9,FALSE())&gt;2,HLOOKUP($A839,#REF!,9,FALSE())&lt;-2),"",#REF!),"")</f>
        <v/>
      </c>
      <c r="L839" s="0" t="str">
        <f aca="false">IFERROR(IF(OR(HLOOKUP($A839,#REF!,10,FALSE())&gt;2,HLOOKUP($A839,#REF!,10,FALSE())&lt;-2),"",#REF!),"")</f>
        <v/>
      </c>
      <c r="M839" s="0" t="str">
        <f aca="false">IFERROR(IF(OR(HLOOKUP($A839,#REF!,11,FALSE())&gt;2,HLOOKUP($A839,#REF!,11,FALSE())&lt;-2),"",#REF!),"")</f>
        <v/>
      </c>
      <c r="N839" s="0" t="str">
        <f aca="false">IFERROR(IF(OR(HLOOKUP($A839,#REF!,12,FALSE())&gt;2,HLOOKUP($A839,#REF!,12,FALSE())&lt;-2),"",#REF!),"")</f>
        <v/>
      </c>
      <c r="O839" s="0" t="str">
        <f aca="false">IFERROR(IF(OR(HLOOKUP($A839,#REF!,13,FALSE())&gt;2,HLOOKUP($A839,#REF!,13,FALSE())&lt;-2),"",#REF!),"")</f>
        <v/>
      </c>
      <c r="P839" s="0" t="str">
        <f aca="false">IFERROR(IF(OR(HLOOKUP($A839,#REF!,14,FALSE())&gt;2,HLOOKUP($A839,#REF!,14,FALSE())&lt;-2),"",#REF!),"")</f>
        <v/>
      </c>
      <c r="Q839" s="0" t="str">
        <f aca="false">IFERROR(IF(OR(HLOOKUP($A839,#REF!,15,FALSE())&gt;2,HLOOKUP($A839,#REF!,15,FALSE())&lt;-2),"",#REF!),"")</f>
        <v/>
      </c>
      <c r="R839" s="0" t="str">
        <f aca="false">IFERROR(IF(OR(HLOOKUP($A839,#REF!,16,FALSE())&gt;2,HLOOKUP($A839,#REF!,16,FALSE())&lt;-2),"",#REF!),"")</f>
        <v/>
      </c>
      <c r="S839" s="0" t="str">
        <f aca="false">IFERROR(IF(OR(HLOOKUP($A839,#REF!,17,FALSE())&gt;2,HLOOKUP($A839,#REF!,17,FALSE())&lt;-2),"",#REF!),"")</f>
        <v/>
      </c>
      <c r="T839" s="0" t="str">
        <f aca="false">IFERROR(IF(OR(HLOOKUP($A839,#REF!,18,FALSE())&gt;2,HLOOKUP($A839,#REF!,18,FALSE())&lt;-2),"",#REF!),"")</f>
        <v/>
      </c>
      <c r="U839" s="0" t="str">
        <f aca="false">IFERROR(IF(OR(HLOOKUP($A839,#REF!,19,FALSE())&gt;2,HLOOKUP($A839,#REF!,19,FALSE())&lt;-2),"",#REF!),"")</f>
        <v/>
      </c>
      <c r="V839" s="0" t="n">
        <f aca="false">IFERROR(IF(AND(X839=0,Y839=0),0,1),0)</f>
        <v>1</v>
      </c>
      <c r="W839" s="3" t="str">
        <f aca="false">IFERROR(_xlfn.T.TEST(E839:M839,N839:U839,2,2),"")</f>
        <v/>
      </c>
      <c r="X839" s="0" t="str">
        <f aca="false">IFERROR(AVERAGE(E839:M839),"")</f>
        <v/>
      </c>
      <c r="Y839" s="0" t="str">
        <f aca="false">IFERROR(AVERAGE(N839:U839),"")</f>
        <v/>
      </c>
    </row>
    <row r="840" customFormat="false" ht="14.5" hidden="false" customHeight="false" outlineLevel="0" collapsed="false">
      <c r="A840" s="0" t="n">
        <v>848</v>
      </c>
      <c r="B840" s="0" t="s">
        <v>893</v>
      </c>
      <c r="C840" s="0" t="n">
        <v>98300</v>
      </c>
      <c r="D840" s="0" t="n">
        <v>967</v>
      </c>
      <c r="E840" s="0" t="str">
        <f aca="false">IFERROR(IF(OR(HLOOKUP($A840,#REF!,3,FALSE())&gt;2,HLOOKUP(A840,#REF!,3,FALSE())&lt;-2),"",#REF!),"")</f>
        <v/>
      </c>
      <c r="F840" s="0" t="str">
        <f aca="false">IFERROR(IF(OR(HLOOKUP($A840,#REF!,4,FALSE())&gt;2,HLOOKUP($A840,#REF!,4,FALSE())&lt;-2),"",#REF!),"")</f>
        <v/>
      </c>
      <c r="G840" s="0" t="str">
        <f aca="false">IFERROR(IF(OR(HLOOKUP($A840,#REF!,5,FALSE())&gt;2,HLOOKUP($A840,#REF!,5,FALSE())&lt;-2),"",#REF!),"")</f>
        <v/>
      </c>
      <c r="H840" s="0" t="str">
        <f aca="false">IFERROR(IF(OR(HLOOKUP($A840,#REF!,6,FALSE())&gt;2,HLOOKUP($A840,#REF!,6,FALSE())&lt;-2),"",#REF!),"")</f>
        <v/>
      </c>
      <c r="I840" s="0" t="str">
        <f aca="false">IFERROR(IF(OR(HLOOKUP($A840,#REF!,7,FALSE())&gt;2,HLOOKUP($A840,#REF!,7,FALSE())&lt;-2),"",#REF!),"")</f>
        <v/>
      </c>
      <c r="J840" s="0" t="str">
        <f aca="false">IFERROR(IF(OR(HLOOKUP($A840,#REF!,8,FALSE())&gt;2,HLOOKUP($A840,#REF!,8,FALSE())&lt;-2),"",#REF!),"")</f>
        <v/>
      </c>
      <c r="K840" s="0" t="str">
        <f aca="false">IFERROR(IF(OR(HLOOKUP($A840,#REF!,9,FALSE())&gt;2,HLOOKUP($A840,#REF!,9,FALSE())&lt;-2),"",#REF!),"")</f>
        <v/>
      </c>
      <c r="L840" s="0" t="str">
        <f aca="false">IFERROR(IF(OR(HLOOKUP($A840,#REF!,10,FALSE())&gt;2,HLOOKUP($A840,#REF!,10,FALSE())&lt;-2),"",#REF!),"")</f>
        <v/>
      </c>
      <c r="M840" s="0" t="str">
        <f aca="false">IFERROR(IF(OR(HLOOKUP($A840,#REF!,11,FALSE())&gt;2,HLOOKUP($A840,#REF!,11,FALSE())&lt;-2),"",#REF!),"")</f>
        <v/>
      </c>
      <c r="N840" s="0" t="str">
        <f aca="false">IFERROR(IF(OR(HLOOKUP($A840,#REF!,12,FALSE())&gt;2,HLOOKUP($A840,#REF!,12,FALSE())&lt;-2),"",#REF!),"")</f>
        <v/>
      </c>
      <c r="O840" s="0" t="str">
        <f aca="false">IFERROR(IF(OR(HLOOKUP($A840,#REF!,13,FALSE())&gt;2,HLOOKUP($A840,#REF!,13,FALSE())&lt;-2),"",#REF!),"")</f>
        <v/>
      </c>
      <c r="P840" s="0" t="str">
        <f aca="false">IFERROR(IF(OR(HLOOKUP($A840,#REF!,14,FALSE())&gt;2,HLOOKUP($A840,#REF!,14,FALSE())&lt;-2),"",#REF!),"")</f>
        <v/>
      </c>
      <c r="Q840" s="0" t="str">
        <f aca="false">IFERROR(IF(OR(HLOOKUP($A840,#REF!,15,FALSE())&gt;2,HLOOKUP($A840,#REF!,15,FALSE())&lt;-2),"",#REF!),"")</f>
        <v/>
      </c>
      <c r="R840" s="0" t="str">
        <f aca="false">IFERROR(IF(OR(HLOOKUP($A840,#REF!,16,FALSE())&gt;2,HLOOKUP($A840,#REF!,16,FALSE())&lt;-2),"",#REF!),"")</f>
        <v/>
      </c>
      <c r="S840" s="0" t="str">
        <f aca="false">IFERROR(IF(OR(HLOOKUP($A840,#REF!,17,FALSE())&gt;2,HLOOKUP($A840,#REF!,17,FALSE())&lt;-2),"",#REF!),"")</f>
        <v/>
      </c>
      <c r="T840" s="0" t="str">
        <f aca="false">IFERROR(IF(OR(HLOOKUP($A840,#REF!,18,FALSE())&gt;2,HLOOKUP($A840,#REF!,18,FALSE())&lt;-2),"",#REF!),"")</f>
        <v/>
      </c>
      <c r="U840" s="0" t="str">
        <f aca="false">IFERROR(IF(OR(HLOOKUP($A840,#REF!,19,FALSE())&gt;2,HLOOKUP($A840,#REF!,19,FALSE())&lt;-2),"",#REF!),"")</f>
        <v/>
      </c>
      <c r="V840" s="0" t="n">
        <f aca="false">IFERROR(IF(AND(X840=0,Y840=0),0,1),0)</f>
        <v>1</v>
      </c>
      <c r="W840" s="3" t="str">
        <f aca="false">IFERROR(_xlfn.T.TEST(E840:M840,N840:U840,2,2),"")</f>
        <v/>
      </c>
      <c r="X840" s="0" t="str">
        <f aca="false">IFERROR(AVERAGE(E840:M840),"")</f>
        <v/>
      </c>
      <c r="Y840" s="0" t="str">
        <f aca="false">IFERROR(AVERAGE(N840:U840),"")</f>
        <v/>
      </c>
    </row>
    <row r="841" customFormat="false" ht="14.5" hidden="false" customHeight="false" outlineLevel="0" collapsed="false">
      <c r="A841" s="0" t="n">
        <v>849</v>
      </c>
      <c r="B841" s="0" t="s">
        <v>894</v>
      </c>
      <c r="C841" s="0" t="n">
        <v>10400</v>
      </c>
      <c r="D841" s="0" t="n">
        <v>677</v>
      </c>
      <c r="E841" s="0" t="str">
        <f aca="false">IFERROR(IF(OR(HLOOKUP($A841,#REF!,3,FALSE())&gt;2,HLOOKUP(A841,#REF!,3,FALSE())&lt;-2),"",#REF!),"")</f>
        <v/>
      </c>
      <c r="F841" s="0" t="str">
        <f aca="false">IFERROR(IF(OR(HLOOKUP($A841,#REF!,4,FALSE())&gt;2,HLOOKUP($A841,#REF!,4,FALSE())&lt;-2),"",#REF!),"")</f>
        <v/>
      </c>
      <c r="G841" s="0" t="str">
        <f aca="false">IFERROR(IF(OR(HLOOKUP($A841,#REF!,5,FALSE())&gt;2,HLOOKUP($A841,#REF!,5,FALSE())&lt;-2),"",#REF!),"")</f>
        <v/>
      </c>
      <c r="H841" s="0" t="str">
        <f aca="false">IFERROR(IF(OR(HLOOKUP($A841,#REF!,6,FALSE())&gt;2,HLOOKUP($A841,#REF!,6,FALSE())&lt;-2),"",#REF!),"")</f>
        <v/>
      </c>
      <c r="I841" s="0" t="str">
        <f aca="false">IFERROR(IF(OR(HLOOKUP($A841,#REF!,7,FALSE())&gt;2,HLOOKUP($A841,#REF!,7,FALSE())&lt;-2),"",#REF!),"")</f>
        <v/>
      </c>
      <c r="J841" s="0" t="str">
        <f aca="false">IFERROR(IF(OR(HLOOKUP($A841,#REF!,8,FALSE())&gt;2,HLOOKUP($A841,#REF!,8,FALSE())&lt;-2),"",#REF!),"")</f>
        <v/>
      </c>
      <c r="K841" s="0" t="str">
        <f aca="false">IFERROR(IF(OR(HLOOKUP($A841,#REF!,9,FALSE())&gt;2,HLOOKUP($A841,#REF!,9,FALSE())&lt;-2),"",#REF!),"")</f>
        <v/>
      </c>
      <c r="L841" s="0" t="str">
        <f aca="false">IFERROR(IF(OR(HLOOKUP($A841,#REF!,10,FALSE())&gt;2,HLOOKUP($A841,#REF!,10,FALSE())&lt;-2),"",#REF!),"")</f>
        <v/>
      </c>
      <c r="M841" s="0" t="str">
        <f aca="false">IFERROR(IF(OR(HLOOKUP($A841,#REF!,11,FALSE())&gt;2,HLOOKUP($A841,#REF!,11,FALSE())&lt;-2),"",#REF!),"")</f>
        <v/>
      </c>
      <c r="N841" s="0" t="str">
        <f aca="false">IFERROR(IF(OR(HLOOKUP($A841,#REF!,12,FALSE())&gt;2,HLOOKUP($A841,#REF!,12,FALSE())&lt;-2),"",#REF!),"")</f>
        <v/>
      </c>
      <c r="O841" s="0" t="str">
        <f aca="false">IFERROR(IF(OR(HLOOKUP($A841,#REF!,13,FALSE())&gt;2,HLOOKUP($A841,#REF!,13,FALSE())&lt;-2),"",#REF!),"")</f>
        <v/>
      </c>
      <c r="P841" s="0" t="str">
        <f aca="false">IFERROR(IF(OR(HLOOKUP($A841,#REF!,14,FALSE())&gt;2,HLOOKUP($A841,#REF!,14,FALSE())&lt;-2),"",#REF!),"")</f>
        <v/>
      </c>
      <c r="Q841" s="0" t="str">
        <f aca="false">IFERROR(IF(OR(HLOOKUP($A841,#REF!,15,FALSE())&gt;2,HLOOKUP($A841,#REF!,15,FALSE())&lt;-2),"",#REF!),"")</f>
        <v/>
      </c>
      <c r="R841" s="0" t="str">
        <f aca="false">IFERROR(IF(OR(HLOOKUP($A841,#REF!,16,FALSE())&gt;2,HLOOKUP($A841,#REF!,16,FALSE())&lt;-2),"",#REF!),"")</f>
        <v/>
      </c>
      <c r="S841" s="0" t="str">
        <f aca="false">IFERROR(IF(OR(HLOOKUP($A841,#REF!,17,FALSE())&gt;2,HLOOKUP($A841,#REF!,17,FALSE())&lt;-2),"",#REF!),"")</f>
        <v/>
      </c>
      <c r="T841" s="0" t="str">
        <f aca="false">IFERROR(IF(OR(HLOOKUP($A841,#REF!,18,FALSE())&gt;2,HLOOKUP($A841,#REF!,18,FALSE())&lt;-2),"",#REF!),"")</f>
        <v/>
      </c>
      <c r="U841" s="0" t="str">
        <f aca="false">IFERROR(IF(OR(HLOOKUP($A841,#REF!,19,FALSE())&gt;2,HLOOKUP($A841,#REF!,19,FALSE())&lt;-2),"",#REF!),"")</f>
        <v/>
      </c>
      <c r="V841" s="0" t="n">
        <f aca="false">IFERROR(IF(AND(X841=0,Y841=0),0,1),0)</f>
        <v>1</v>
      </c>
      <c r="W841" s="3" t="str">
        <f aca="false">IFERROR(_xlfn.T.TEST(E841:M841,N841:U841,2,2),"")</f>
        <v/>
      </c>
      <c r="X841" s="0" t="str">
        <f aca="false">IFERROR(AVERAGE(E841:M841),"")</f>
        <v/>
      </c>
      <c r="Y841" s="0" t="str">
        <f aca="false">IFERROR(AVERAGE(N841:U841),"")</f>
        <v/>
      </c>
    </row>
    <row r="842" customFormat="false" ht="14.5" hidden="false" customHeight="false" outlineLevel="0" collapsed="false">
      <c r="A842" s="0" t="n">
        <v>850</v>
      </c>
      <c r="B842" s="0" t="s">
        <v>895</v>
      </c>
      <c r="C842" s="0" t="n">
        <v>104800</v>
      </c>
      <c r="D842" s="0" t="n">
        <v>326</v>
      </c>
      <c r="E842" s="0" t="str">
        <f aca="false">IFERROR(IF(OR(HLOOKUP($A842,#REF!,3,FALSE())&gt;2,HLOOKUP(A842,#REF!,3,FALSE())&lt;-2),"",#REF!),"")</f>
        <v/>
      </c>
      <c r="F842" s="0" t="str">
        <f aca="false">IFERROR(IF(OR(HLOOKUP($A842,#REF!,4,FALSE())&gt;2,HLOOKUP($A842,#REF!,4,FALSE())&lt;-2),"",#REF!),"")</f>
        <v/>
      </c>
      <c r="G842" s="0" t="str">
        <f aca="false">IFERROR(IF(OR(HLOOKUP($A842,#REF!,5,FALSE())&gt;2,HLOOKUP($A842,#REF!,5,FALSE())&lt;-2),"",#REF!),"")</f>
        <v/>
      </c>
      <c r="H842" s="0" t="str">
        <f aca="false">IFERROR(IF(OR(HLOOKUP($A842,#REF!,6,FALSE())&gt;2,HLOOKUP($A842,#REF!,6,FALSE())&lt;-2),"",#REF!),"")</f>
        <v/>
      </c>
      <c r="I842" s="0" t="str">
        <f aca="false">IFERROR(IF(OR(HLOOKUP($A842,#REF!,7,FALSE())&gt;2,HLOOKUP($A842,#REF!,7,FALSE())&lt;-2),"",#REF!),"")</f>
        <v/>
      </c>
      <c r="J842" s="0" t="str">
        <f aca="false">IFERROR(IF(OR(HLOOKUP($A842,#REF!,8,FALSE())&gt;2,HLOOKUP($A842,#REF!,8,FALSE())&lt;-2),"",#REF!),"")</f>
        <v/>
      </c>
      <c r="K842" s="0" t="str">
        <f aca="false">IFERROR(IF(OR(HLOOKUP($A842,#REF!,9,FALSE())&gt;2,HLOOKUP($A842,#REF!,9,FALSE())&lt;-2),"",#REF!),"")</f>
        <v/>
      </c>
      <c r="L842" s="0" t="str">
        <f aca="false">IFERROR(IF(OR(HLOOKUP($A842,#REF!,10,FALSE())&gt;2,HLOOKUP($A842,#REF!,10,FALSE())&lt;-2),"",#REF!),"")</f>
        <v/>
      </c>
      <c r="M842" s="0" t="str">
        <f aca="false">IFERROR(IF(OR(HLOOKUP($A842,#REF!,11,FALSE())&gt;2,HLOOKUP($A842,#REF!,11,FALSE())&lt;-2),"",#REF!),"")</f>
        <v/>
      </c>
      <c r="N842" s="0" t="str">
        <f aca="false">IFERROR(IF(OR(HLOOKUP($A842,#REF!,12,FALSE())&gt;2,HLOOKUP($A842,#REF!,12,FALSE())&lt;-2),"",#REF!),"")</f>
        <v/>
      </c>
      <c r="O842" s="0" t="str">
        <f aca="false">IFERROR(IF(OR(HLOOKUP($A842,#REF!,13,FALSE())&gt;2,HLOOKUP($A842,#REF!,13,FALSE())&lt;-2),"",#REF!),"")</f>
        <v/>
      </c>
      <c r="P842" s="0" t="str">
        <f aca="false">IFERROR(IF(OR(HLOOKUP($A842,#REF!,14,FALSE())&gt;2,HLOOKUP($A842,#REF!,14,FALSE())&lt;-2),"",#REF!),"")</f>
        <v/>
      </c>
      <c r="Q842" s="0" t="str">
        <f aca="false">IFERROR(IF(OR(HLOOKUP($A842,#REF!,15,FALSE())&gt;2,HLOOKUP($A842,#REF!,15,FALSE())&lt;-2),"",#REF!),"")</f>
        <v/>
      </c>
      <c r="R842" s="0" t="str">
        <f aca="false">IFERROR(IF(OR(HLOOKUP($A842,#REF!,16,FALSE())&gt;2,HLOOKUP($A842,#REF!,16,FALSE())&lt;-2),"",#REF!),"")</f>
        <v/>
      </c>
      <c r="S842" s="0" t="str">
        <f aca="false">IFERROR(IF(OR(HLOOKUP($A842,#REF!,17,FALSE())&gt;2,HLOOKUP($A842,#REF!,17,FALSE())&lt;-2),"",#REF!),"")</f>
        <v/>
      </c>
      <c r="T842" s="0" t="str">
        <f aca="false">IFERROR(IF(OR(HLOOKUP($A842,#REF!,18,FALSE())&gt;2,HLOOKUP($A842,#REF!,18,FALSE())&lt;-2),"",#REF!),"")</f>
        <v/>
      </c>
      <c r="U842" s="0" t="str">
        <f aca="false">IFERROR(IF(OR(HLOOKUP($A842,#REF!,19,FALSE())&gt;2,HLOOKUP($A842,#REF!,19,FALSE())&lt;-2),"",#REF!),"")</f>
        <v/>
      </c>
      <c r="V842" s="0" t="n">
        <f aca="false">IFERROR(IF(AND(X842=0,Y842=0),0,1),0)</f>
        <v>1</v>
      </c>
      <c r="W842" s="3" t="str">
        <f aca="false">IFERROR(_xlfn.T.TEST(E842:M842,N842:U842,2,2),"")</f>
        <v/>
      </c>
      <c r="X842" s="0" t="str">
        <f aca="false">IFERROR(AVERAGE(E842:M842),"")</f>
        <v/>
      </c>
      <c r="Y842" s="0" t="str">
        <f aca="false">IFERROR(AVERAGE(N842:U842),"")</f>
        <v/>
      </c>
    </row>
    <row r="843" customFormat="false" ht="14.5" hidden="false" customHeight="false" outlineLevel="0" collapsed="false">
      <c r="A843" s="0" t="n">
        <v>851</v>
      </c>
      <c r="B843" s="0" t="s">
        <v>896</v>
      </c>
      <c r="C843" s="0" t="n">
        <v>78800</v>
      </c>
      <c r="D843" s="0" t="n">
        <v>302</v>
      </c>
      <c r="E843" s="0" t="str">
        <f aca="false">IFERROR(IF(OR(HLOOKUP($A843,#REF!,3,FALSE())&gt;2,HLOOKUP(A843,#REF!,3,FALSE())&lt;-2),"",#REF!),"")</f>
        <v/>
      </c>
      <c r="F843" s="0" t="str">
        <f aca="false">IFERROR(IF(OR(HLOOKUP($A843,#REF!,4,FALSE())&gt;2,HLOOKUP($A843,#REF!,4,FALSE())&lt;-2),"",#REF!),"")</f>
        <v/>
      </c>
      <c r="G843" s="0" t="str">
        <f aca="false">IFERROR(IF(OR(HLOOKUP($A843,#REF!,5,FALSE())&gt;2,HLOOKUP($A843,#REF!,5,FALSE())&lt;-2),"",#REF!),"")</f>
        <v/>
      </c>
      <c r="H843" s="0" t="str">
        <f aca="false">IFERROR(IF(OR(HLOOKUP($A843,#REF!,6,FALSE())&gt;2,HLOOKUP($A843,#REF!,6,FALSE())&lt;-2),"",#REF!),"")</f>
        <v/>
      </c>
      <c r="I843" s="0" t="str">
        <f aca="false">IFERROR(IF(OR(HLOOKUP($A843,#REF!,7,FALSE())&gt;2,HLOOKUP($A843,#REF!,7,FALSE())&lt;-2),"",#REF!),"")</f>
        <v/>
      </c>
      <c r="J843" s="0" t="str">
        <f aca="false">IFERROR(IF(OR(HLOOKUP($A843,#REF!,8,FALSE())&gt;2,HLOOKUP($A843,#REF!,8,FALSE())&lt;-2),"",#REF!),"")</f>
        <v/>
      </c>
      <c r="K843" s="0" t="str">
        <f aca="false">IFERROR(IF(OR(HLOOKUP($A843,#REF!,9,FALSE())&gt;2,HLOOKUP($A843,#REF!,9,FALSE())&lt;-2),"",#REF!),"")</f>
        <v/>
      </c>
      <c r="L843" s="0" t="str">
        <f aca="false">IFERROR(IF(OR(HLOOKUP($A843,#REF!,10,FALSE())&gt;2,HLOOKUP($A843,#REF!,10,FALSE())&lt;-2),"",#REF!),"")</f>
        <v/>
      </c>
      <c r="M843" s="0" t="str">
        <f aca="false">IFERROR(IF(OR(HLOOKUP($A843,#REF!,11,FALSE())&gt;2,HLOOKUP($A843,#REF!,11,FALSE())&lt;-2),"",#REF!),"")</f>
        <v/>
      </c>
      <c r="N843" s="0" t="str">
        <f aca="false">IFERROR(IF(OR(HLOOKUP($A843,#REF!,12,FALSE())&gt;2,HLOOKUP($A843,#REF!,12,FALSE())&lt;-2),"",#REF!),"")</f>
        <v/>
      </c>
      <c r="O843" s="0" t="str">
        <f aca="false">IFERROR(IF(OR(HLOOKUP($A843,#REF!,13,FALSE())&gt;2,HLOOKUP($A843,#REF!,13,FALSE())&lt;-2),"",#REF!),"")</f>
        <v/>
      </c>
      <c r="P843" s="0" t="str">
        <f aca="false">IFERROR(IF(OR(HLOOKUP($A843,#REF!,14,FALSE())&gt;2,HLOOKUP($A843,#REF!,14,FALSE())&lt;-2),"",#REF!),"")</f>
        <v/>
      </c>
      <c r="Q843" s="0" t="str">
        <f aca="false">IFERROR(IF(OR(HLOOKUP($A843,#REF!,15,FALSE())&gt;2,HLOOKUP($A843,#REF!,15,FALSE())&lt;-2),"",#REF!),"")</f>
        <v/>
      </c>
      <c r="R843" s="0" t="str">
        <f aca="false">IFERROR(IF(OR(HLOOKUP($A843,#REF!,16,FALSE())&gt;2,HLOOKUP($A843,#REF!,16,FALSE())&lt;-2),"",#REF!),"")</f>
        <v/>
      </c>
      <c r="S843" s="0" t="str">
        <f aca="false">IFERROR(IF(OR(HLOOKUP($A843,#REF!,17,FALSE())&gt;2,HLOOKUP($A843,#REF!,17,FALSE())&lt;-2),"",#REF!),"")</f>
        <v/>
      </c>
      <c r="T843" s="0" t="str">
        <f aca="false">IFERROR(IF(OR(HLOOKUP($A843,#REF!,18,FALSE())&gt;2,HLOOKUP($A843,#REF!,18,FALSE())&lt;-2),"",#REF!),"")</f>
        <v/>
      </c>
      <c r="U843" s="0" t="str">
        <f aca="false">IFERROR(IF(OR(HLOOKUP($A843,#REF!,19,FALSE())&gt;2,HLOOKUP($A843,#REF!,19,FALSE())&lt;-2),"",#REF!),"")</f>
        <v/>
      </c>
      <c r="V843" s="0" t="n">
        <f aca="false">IFERROR(IF(AND(X843=0,Y843=0),0,1),0)</f>
        <v>1</v>
      </c>
      <c r="W843" s="3" t="str">
        <f aca="false">IFERROR(_xlfn.T.TEST(E843:M843,N843:U843,2,2),"")</f>
        <v/>
      </c>
      <c r="X843" s="0" t="str">
        <f aca="false">IFERROR(AVERAGE(E843:M843),"")</f>
        <v/>
      </c>
      <c r="Y843" s="0" t="str">
        <f aca="false">IFERROR(AVERAGE(N843:U843),"")</f>
        <v/>
      </c>
    </row>
    <row r="844" customFormat="false" ht="14.5" hidden="false" customHeight="false" outlineLevel="0" collapsed="false">
      <c r="A844" s="0" t="n">
        <v>852</v>
      </c>
      <c r="B844" s="0" t="s">
        <v>897</v>
      </c>
      <c r="C844" s="0" t="n">
        <v>94600</v>
      </c>
      <c r="D844" s="0" t="n">
        <v>370</v>
      </c>
      <c r="E844" s="0" t="str">
        <f aca="false">IFERROR(IF(OR(HLOOKUP($A844,#REF!,3,FALSE())&gt;2,HLOOKUP(A844,#REF!,3,FALSE())&lt;-2),"",#REF!),"")</f>
        <v/>
      </c>
      <c r="F844" s="0" t="str">
        <f aca="false">IFERROR(IF(OR(HLOOKUP($A844,#REF!,4,FALSE())&gt;2,HLOOKUP($A844,#REF!,4,FALSE())&lt;-2),"",#REF!),"")</f>
        <v/>
      </c>
      <c r="G844" s="0" t="str">
        <f aca="false">IFERROR(IF(OR(HLOOKUP($A844,#REF!,5,FALSE())&gt;2,HLOOKUP($A844,#REF!,5,FALSE())&lt;-2),"",#REF!),"")</f>
        <v/>
      </c>
      <c r="H844" s="0" t="str">
        <f aca="false">IFERROR(IF(OR(HLOOKUP($A844,#REF!,6,FALSE())&gt;2,HLOOKUP($A844,#REF!,6,FALSE())&lt;-2),"",#REF!),"")</f>
        <v/>
      </c>
      <c r="I844" s="0" t="str">
        <f aca="false">IFERROR(IF(OR(HLOOKUP($A844,#REF!,7,FALSE())&gt;2,HLOOKUP($A844,#REF!,7,FALSE())&lt;-2),"",#REF!),"")</f>
        <v/>
      </c>
      <c r="J844" s="0" t="str">
        <f aca="false">IFERROR(IF(OR(HLOOKUP($A844,#REF!,8,FALSE())&gt;2,HLOOKUP($A844,#REF!,8,FALSE())&lt;-2),"",#REF!),"")</f>
        <v/>
      </c>
      <c r="K844" s="0" t="str">
        <f aca="false">IFERROR(IF(OR(HLOOKUP($A844,#REF!,9,FALSE())&gt;2,HLOOKUP($A844,#REF!,9,FALSE())&lt;-2),"",#REF!),"")</f>
        <v/>
      </c>
      <c r="L844" s="0" t="str">
        <f aca="false">IFERROR(IF(OR(HLOOKUP($A844,#REF!,10,FALSE())&gt;2,HLOOKUP($A844,#REF!,10,FALSE())&lt;-2),"",#REF!),"")</f>
        <v/>
      </c>
      <c r="M844" s="0" t="str">
        <f aca="false">IFERROR(IF(OR(HLOOKUP($A844,#REF!,11,FALSE())&gt;2,HLOOKUP($A844,#REF!,11,FALSE())&lt;-2),"",#REF!),"")</f>
        <v/>
      </c>
      <c r="N844" s="0" t="str">
        <f aca="false">IFERROR(IF(OR(HLOOKUP($A844,#REF!,12,FALSE())&gt;2,HLOOKUP($A844,#REF!,12,FALSE())&lt;-2),"",#REF!),"")</f>
        <v/>
      </c>
      <c r="O844" s="0" t="str">
        <f aca="false">IFERROR(IF(OR(HLOOKUP($A844,#REF!,13,FALSE())&gt;2,HLOOKUP($A844,#REF!,13,FALSE())&lt;-2),"",#REF!),"")</f>
        <v/>
      </c>
      <c r="P844" s="0" t="str">
        <f aca="false">IFERROR(IF(OR(HLOOKUP($A844,#REF!,14,FALSE())&gt;2,HLOOKUP($A844,#REF!,14,FALSE())&lt;-2),"",#REF!),"")</f>
        <v/>
      </c>
      <c r="Q844" s="0" t="str">
        <f aca="false">IFERROR(IF(OR(HLOOKUP($A844,#REF!,15,FALSE())&gt;2,HLOOKUP($A844,#REF!,15,FALSE())&lt;-2),"",#REF!),"")</f>
        <v/>
      </c>
      <c r="R844" s="0" t="str">
        <f aca="false">IFERROR(IF(OR(HLOOKUP($A844,#REF!,16,FALSE())&gt;2,HLOOKUP($A844,#REF!,16,FALSE())&lt;-2),"",#REF!),"")</f>
        <v/>
      </c>
      <c r="S844" s="0" t="str">
        <f aca="false">IFERROR(IF(OR(HLOOKUP($A844,#REF!,17,FALSE())&gt;2,HLOOKUP($A844,#REF!,17,FALSE())&lt;-2),"",#REF!),"")</f>
        <v/>
      </c>
      <c r="T844" s="0" t="str">
        <f aca="false">IFERROR(IF(OR(HLOOKUP($A844,#REF!,18,FALSE())&gt;2,HLOOKUP($A844,#REF!,18,FALSE())&lt;-2),"",#REF!),"")</f>
        <v/>
      </c>
      <c r="U844" s="0" t="str">
        <f aca="false">IFERROR(IF(OR(HLOOKUP($A844,#REF!,19,FALSE())&gt;2,HLOOKUP($A844,#REF!,19,FALSE())&lt;-2),"",#REF!),"")</f>
        <v/>
      </c>
      <c r="V844" s="0" t="n">
        <f aca="false">IFERROR(IF(AND(X844=0,Y844=0),0,1),0)</f>
        <v>1</v>
      </c>
      <c r="W844" s="3" t="str">
        <f aca="false">IFERROR(_xlfn.T.TEST(E844:M844,N844:U844,2,2),"")</f>
        <v/>
      </c>
      <c r="X844" s="0" t="str">
        <f aca="false">IFERROR(AVERAGE(E844:M844),"")</f>
        <v/>
      </c>
      <c r="Y844" s="0" t="str">
        <f aca="false">IFERROR(AVERAGE(N844:U844),"")</f>
        <v/>
      </c>
    </row>
    <row r="845" customFormat="false" ht="14.5" hidden="false" customHeight="false" outlineLevel="0" collapsed="false">
      <c r="A845" s="0" t="n">
        <v>853</v>
      </c>
      <c r="B845" s="0" t="s">
        <v>898</v>
      </c>
      <c r="C845" s="0" t="n">
        <v>46100</v>
      </c>
      <c r="D845" s="0" t="n">
        <v>518</v>
      </c>
      <c r="E845" s="0" t="str">
        <f aca="false">IFERROR(IF(OR(HLOOKUP($A845,#REF!,3,FALSE())&gt;2,HLOOKUP(A845,#REF!,3,FALSE())&lt;-2),"",#REF!),"")</f>
        <v/>
      </c>
      <c r="F845" s="0" t="str">
        <f aca="false">IFERROR(IF(OR(HLOOKUP($A845,#REF!,4,FALSE())&gt;2,HLOOKUP($A845,#REF!,4,FALSE())&lt;-2),"",#REF!),"")</f>
        <v/>
      </c>
      <c r="G845" s="0" t="str">
        <f aca="false">IFERROR(IF(OR(HLOOKUP($A845,#REF!,5,FALSE())&gt;2,HLOOKUP($A845,#REF!,5,FALSE())&lt;-2),"",#REF!),"")</f>
        <v/>
      </c>
      <c r="H845" s="0" t="str">
        <f aca="false">IFERROR(IF(OR(HLOOKUP($A845,#REF!,6,FALSE())&gt;2,HLOOKUP($A845,#REF!,6,FALSE())&lt;-2),"",#REF!),"")</f>
        <v/>
      </c>
      <c r="I845" s="0" t="str">
        <f aca="false">IFERROR(IF(OR(HLOOKUP($A845,#REF!,7,FALSE())&gt;2,HLOOKUP($A845,#REF!,7,FALSE())&lt;-2),"",#REF!),"")</f>
        <v/>
      </c>
      <c r="J845" s="0" t="str">
        <f aca="false">IFERROR(IF(OR(HLOOKUP($A845,#REF!,8,FALSE())&gt;2,HLOOKUP($A845,#REF!,8,FALSE())&lt;-2),"",#REF!),"")</f>
        <v/>
      </c>
      <c r="K845" s="0" t="str">
        <f aca="false">IFERROR(IF(OR(HLOOKUP($A845,#REF!,9,FALSE())&gt;2,HLOOKUP($A845,#REF!,9,FALSE())&lt;-2),"",#REF!),"")</f>
        <v/>
      </c>
      <c r="L845" s="0" t="str">
        <f aca="false">IFERROR(IF(OR(HLOOKUP($A845,#REF!,10,FALSE())&gt;2,HLOOKUP($A845,#REF!,10,FALSE())&lt;-2),"",#REF!),"")</f>
        <v/>
      </c>
      <c r="M845" s="0" t="str">
        <f aca="false">IFERROR(IF(OR(HLOOKUP($A845,#REF!,11,FALSE())&gt;2,HLOOKUP($A845,#REF!,11,FALSE())&lt;-2),"",#REF!),"")</f>
        <v/>
      </c>
      <c r="N845" s="0" t="str">
        <f aca="false">IFERROR(IF(OR(HLOOKUP($A845,#REF!,12,FALSE())&gt;2,HLOOKUP($A845,#REF!,12,FALSE())&lt;-2),"",#REF!),"")</f>
        <v/>
      </c>
      <c r="O845" s="0" t="str">
        <f aca="false">IFERROR(IF(OR(HLOOKUP($A845,#REF!,13,FALSE())&gt;2,HLOOKUP($A845,#REF!,13,FALSE())&lt;-2),"",#REF!),"")</f>
        <v/>
      </c>
      <c r="P845" s="0" t="str">
        <f aca="false">IFERROR(IF(OR(HLOOKUP($A845,#REF!,14,FALSE())&gt;2,HLOOKUP($A845,#REF!,14,FALSE())&lt;-2),"",#REF!),"")</f>
        <v/>
      </c>
      <c r="Q845" s="0" t="str">
        <f aca="false">IFERROR(IF(OR(HLOOKUP($A845,#REF!,15,FALSE())&gt;2,HLOOKUP($A845,#REF!,15,FALSE())&lt;-2),"",#REF!),"")</f>
        <v/>
      </c>
      <c r="R845" s="0" t="str">
        <f aca="false">IFERROR(IF(OR(HLOOKUP($A845,#REF!,16,FALSE())&gt;2,HLOOKUP($A845,#REF!,16,FALSE())&lt;-2),"",#REF!),"")</f>
        <v/>
      </c>
      <c r="S845" s="0" t="str">
        <f aca="false">IFERROR(IF(OR(HLOOKUP($A845,#REF!,17,FALSE())&gt;2,HLOOKUP($A845,#REF!,17,FALSE())&lt;-2),"",#REF!),"")</f>
        <v/>
      </c>
      <c r="T845" s="0" t="str">
        <f aca="false">IFERROR(IF(OR(HLOOKUP($A845,#REF!,18,FALSE())&gt;2,HLOOKUP($A845,#REF!,18,FALSE())&lt;-2),"",#REF!),"")</f>
        <v/>
      </c>
      <c r="U845" s="0" t="str">
        <f aca="false">IFERROR(IF(OR(HLOOKUP($A845,#REF!,19,FALSE())&gt;2,HLOOKUP($A845,#REF!,19,FALSE())&lt;-2),"",#REF!),"")</f>
        <v/>
      </c>
      <c r="V845" s="0" t="n">
        <f aca="false">IFERROR(IF(AND(X845=0,Y845=0),0,1),0)</f>
        <v>1</v>
      </c>
      <c r="W845" s="3" t="str">
        <f aca="false">IFERROR(_xlfn.T.TEST(E845:M845,N845:U845,2,2),"")</f>
        <v/>
      </c>
      <c r="X845" s="0" t="str">
        <f aca="false">IFERROR(AVERAGE(E845:M845),"")</f>
        <v/>
      </c>
      <c r="Y845" s="0" t="str">
        <f aca="false">IFERROR(AVERAGE(N845:U845),"")</f>
        <v/>
      </c>
    </row>
    <row r="846" customFormat="false" ht="14.5" hidden="false" customHeight="false" outlineLevel="0" collapsed="false">
      <c r="A846" s="0" t="n">
        <v>854</v>
      </c>
      <c r="B846" s="0" t="s">
        <v>899</v>
      </c>
      <c r="C846" s="0" t="n">
        <v>6500</v>
      </c>
      <c r="D846" s="0" t="n">
        <v>369</v>
      </c>
      <c r="E846" s="0" t="str">
        <f aca="false">IFERROR(IF(OR(HLOOKUP($A846,#REF!,3,FALSE())&gt;2,HLOOKUP(A846,#REF!,3,FALSE())&lt;-2),"",#REF!),"")</f>
        <v/>
      </c>
      <c r="F846" s="0" t="str">
        <f aca="false">IFERROR(IF(OR(HLOOKUP($A846,#REF!,4,FALSE())&gt;2,HLOOKUP($A846,#REF!,4,FALSE())&lt;-2),"",#REF!),"")</f>
        <v/>
      </c>
      <c r="G846" s="0" t="str">
        <f aca="false">IFERROR(IF(OR(HLOOKUP($A846,#REF!,5,FALSE())&gt;2,HLOOKUP($A846,#REF!,5,FALSE())&lt;-2),"",#REF!),"")</f>
        <v/>
      </c>
      <c r="H846" s="0" t="str">
        <f aca="false">IFERROR(IF(OR(HLOOKUP($A846,#REF!,6,FALSE())&gt;2,HLOOKUP($A846,#REF!,6,FALSE())&lt;-2),"",#REF!),"")</f>
        <v/>
      </c>
      <c r="I846" s="0" t="str">
        <f aca="false">IFERROR(IF(OR(HLOOKUP($A846,#REF!,7,FALSE())&gt;2,HLOOKUP($A846,#REF!,7,FALSE())&lt;-2),"",#REF!),"")</f>
        <v/>
      </c>
      <c r="J846" s="0" t="str">
        <f aca="false">IFERROR(IF(OR(HLOOKUP($A846,#REF!,8,FALSE())&gt;2,HLOOKUP($A846,#REF!,8,FALSE())&lt;-2),"",#REF!),"")</f>
        <v/>
      </c>
      <c r="K846" s="0" t="str">
        <f aca="false">IFERROR(IF(OR(HLOOKUP($A846,#REF!,9,FALSE())&gt;2,HLOOKUP($A846,#REF!,9,FALSE())&lt;-2),"",#REF!),"")</f>
        <v/>
      </c>
      <c r="L846" s="0" t="str">
        <f aca="false">IFERROR(IF(OR(HLOOKUP($A846,#REF!,10,FALSE())&gt;2,HLOOKUP($A846,#REF!,10,FALSE())&lt;-2),"",#REF!),"")</f>
        <v/>
      </c>
      <c r="M846" s="0" t="str">
        <f aca="false">IFERROR(IF(OR(HLOOKUP($A846,#REF!,11,FALSE())&gt;2,HLOOKUP($A846,#REF!,11,FALSE())&lt;-2),"",#REF!),"")</f>
        <v/>
      </c>
      <c r="N846" s="0" t="str">
        <f aca="false">IFERROR(IF(OR(HLOOKUP($A846,#REF!,12,FALSE())&gt;2,HLOOKUP($A846,#REF!,12,FALSE())&lt;-2),"",#REF!),"")</f>
        <v/>
      </c>
      <c r="O846" s="0" t="str">
        <f aca="false">IFERROR(IF(OR(HLOOKUP($A846,#REF!,13,FALSE())&gt;2,HLOOKUP($A846,#REF!,13,FALSE())&lt;-2),"",#REF!),"")</f>
        <v/>
      </c>
      <c r="P846" s="0" t="str">
        <f aca="false">IFERROR(IF(OR(HLOOKUP($A846,#REF!,14,FALSE())&gt;2,HLOOKUP($A846,#REF!,14,FALSE())&lt;-2),"",#REF!),"")</f>
        <v/>
      </c>
      <c r="Q846" s="0" t="str">
        <f aca="false">IFERROR(IF(OR(HLOOKUP($A846,#REF!,15,FALSE())&gt;2,HLOOKUP($A846,#REF!,15,FALSE())&lt;-2),"",#REF!),"")</f>
        <v/>
      </c>
      <c r="R846" s="0" t="str">
        <f aca="false">IFERROR(IF(OR(HLOOKUP($A846,#REF!,16,FALSE())&gt;2,HLOOKUP($A846,#REF!,16,FALSE())&lt;-2),"",#REF!),"")</f>
        <v/>
      </c>
      <c r="S846" s="0" t="str">
        <f aca="false">IFERROR(IF(OR(HLOOKUP($A846,#REF!,17,FALSE())&gt;2,HLOOKUP($A846,#REF!,17,FALSE())&lt;-2),"",#REF!),"")</f>
        <v/>
      </c>
      <c r="T846" s="0" t="str">
        <f aca="false">IFERROR(IF(OR(HLOOKUP($A846,#REF!,18,FALSE())&gt;2,HLOOKUP($A846,#REF!,18,FALSE())&lt;-2),"",#REF!),"")</f>
        <v/>
      </c>
      <c r="U846" s="0" t="str">
        <f aca="false">IFERROR(IF(OR(HLOOKUP($A846,#REF!,19,FALSE())&gt;2,HLOOKUP($A846,#REF!,19,FALSE())&lt;-2),"",#REF!),"")</f>
        <v/>
      </c>
      <c r="V846" s="0" t="n">
        <f aca="false">IFERROR(IF(AND(X846=0,Y846=0),0,1),0)</f>
        <v>1</v>
      </c>
      <c r="W846" s="3" t="str">
        <f aca="false">IFERROR(_xlfn.T.TEST(E846:M846,N846:U846,2,2),"")</f>
        <v/>
      </c>
      <c r="X846" s="0" t="str">
        <f aca="false">IFERROR(AVERAGE(E846:M846),"")</f>
        <v/>
      </c>
      <c r="Y846" s="0" t="str">
        <f aca="false">IFERROR(AVERAGE(N846:U846),"")</f>
        <v/>
      </c>
    </row>
    <row r="847" customFormat="false" ht="14.5" hidden="false" customHeight="false" outlineLevel="0" collapsed="false">
      <c r="A847" s="0" t="n">
        <v>855</v>
      </c>
      <c r="B847" s="0" t="s">
        <v>900</v>
      </c>
      <c r="C847" s="0" t="n">
        <v>110100</v>
      </c>
      <c r="D847" s="0" t="n">
        <v>1000</v>
      </c>
      <c r="E847" s="0" t="str">
        <f aca="false">IFERROR(IF(OR(HLOOKUP($A847,#REF!,3,FALSE())&gt;2,HLOOKUP(A847,#REF!,3,FALSE())&lt;-2),"",#REF!),"")</f>
        <v/>
      </c>
      <c r="F847" s="0" t="str">
        <f aca="false">IFERROR(IF(OR(HLOOKUP($A847,#REF!,4,FALSE())&gt;2,HLOOKUP($A847,#REF!,4,FALSE())&lt;-2),"",#REF!),"")</f>
        <v/>
      </c>
      <c r="G847" s="0" t="str">
        <f aca="false">IFERROR(IF(OR(HLOOKUP($A847,#REF!,5,FALSE())&gt;2,HLOOKUP($A847,#REF!,5,FALSE())&lt;-2),"",#REF!),"")</f>
        <v/>
      </c>
      <c r="H847" s="0" t="str">
        <f aca="false">IFERROR(IF(OR(HLOOKUP($A847,#REF!,6,FALSE())&gt;2,HLOOKUP($A847,#REF!,6,FALSE())&lt;-2),"",#REF!),"")</f>
        <v/>
      </c>
      <c r="I847" s="0" t="str">
        <f aca="false">IFERROR(IF(OR(HLOOKUP($A847,#REF!,7,FALSE())&gt;2,HLOOKUP($A847,#REF!,7,FALSE())&lt;-2),"",#REF!),"")</f>
        <v/>
      </c>
      <c r="J847" s="0" t="str">
        <f aca="false">IFERROR(IF(OR(HLOOKUP($A847,#REF!,8,FALSE())&gt;2,HLOOKUP($A847,#REF!,8,FALSE())&lt;-2),"",#REF!),"")</f>
        <v/>
      </c>
      <c r="K847" s="0" t="str">
        <f aca="false">IFERROR(IF(OR(HLOOKUP($A847,#REF!,9,FALSE())&gt;2,HLOOKUP($A847,#REF!,9,FALSE())&lt;-2),"",#REF!),"")</f>
        <v/>
      </c>
      <c r="L847" s="0" t="str">
        <f aca="false">IFERROR(IF(OR(HLOOKUP($A847,#REF!,10,FALSE())&gt;2,HLOOKUP($A847,#REF!,10,FALSE())&lt;-2),"",#REF!),"")</f>
        <v/>
      </c>
      <c r="M847" s="0" t="str">
        <f aca="false">IFERROR(IF(OR(HLOOKUP($A847,#REF!,11,FALSE())&gt;2,HLOOKUP($A847,#REF!,11,FALSE())&lt;-2),"",#REF!),"")</f>
        <v/>
      </c>
      <c r="N847" s="0" t="str">
        <f aca="false">IFERROR(IF(OR(HLOOKUP($A847,#REF!,12,FALSE())&gt;2,HLOOKUP($A847,#REF!,12,FALSE())&lt;-2),"",#REF!),"")</f>
        <v/>
      </c>
      <c r="O847" s="0" t="str">
        <f aca="false">IFERROR(IF(OR(HLOOKUP($A847,#REF!,13,FALSE())&gt;2,HLOOKUP($A847,#REF!,13,FALSE())&lt;-2),"",#REF!),"")</f>
        <v/>
      </c>
      <c r="P847" s="0" t="str">
        <f aca="false">IFERROR(IF(OR(HLOOKUP($A847,#REF!,14,FALSE())&gt;2,HLOOKUP($A847,#REF!,14,FALSE())&lt;-2),"",#REF!),"")</f>
        <v/>
      </c>
      <c r="Q847" s="0" t="str">
        <f aca="false">IFERROR(IF(OR(HLOOKUP($A847,#REF!,15,FALSE())&gt;2,HLOOKUP($A847,#REF!,15,FALSE())&lt;-2),"",#REF!),"")</f>
        <v/>
      </c>
      <c r="R847" s="0" t="str">
        <f aca="false">IFERROR(IF(OR(HLOOKUP($A847,#REF!,16,FALSE())&gt;2,HLOOKUP($A847,#REF!,16,FALSE())&lt;-2),"",#REF!),"")</f>
        <v/>
      </c>
      <c r="S847" s="0" t="str">
        <f aca="false">IFERROR(IF(OR(HLOOKUP($A847,#REF!,17,FALSE())&gt;2,HLOOKUP($A847,#REF!,17,FALSE())&lt;-2),"",#REF!),"")</f>
        <v/>
      </c>
      <c r="T847" s="0" t="str">
        <f aca="false">IFERROR(IF(OR(HLOOKUP($A847,#REF!,18,FALSE())&gt;2,HLOOKUP($A847,#REF!,18,FALSE())&lt;-2),"",#REF!),"")</f>
        <v/>
      </c>
      <c r="U847" s="0" t="str">
        <f aca="false">IFERROR(IF(OR(HLOOKUP($A847,#REF!,19,FALSE())&gt;2,HLOOKUP($A847,#REF!,19,FALSE())&lt;-2),"",#REF!),"")</f>
        <v/>
      </c>
      <c r="V847" s="0" t="n">
        <f aca="false">IFERROR(IF(AND(X847=0,Y847=0),0,1),0)</f>
        <v>1</v>
      </c>
      <c r="W847" s="3" t="str">
        <f aca="false">IFERROR(_xlfn.T.TEST(E847:M847,N847:U847,2,2),"")</f>
        <v/>
      </c>
      <c r="X847" s="0" t="str">
        <f aca="false">IFERROR(AVERAGE(E847:M847),"")</f>
        <v/>
      </c>
      <c r="Y847" s="0" t="str">
        <f aca="false">IFERROR(AVERAGE(N847:U847),"")</f>
        <v/>
      </c>
    </row>
    <row r="848" customFormat="false" ht="14.5" hidden="false" customHeight="false" outlineLevel="0" collapsed="false">
      <c r="A848" s="0" t="n">
        <v>856</v>
      </c>
      <c r="B848" s="0" t="s">
        <v>901</v>
      </c>
      <c r="C848" s="0" t="n">
        <v>65600</v>
      </c>
      <c r="D848" s="0" t="n">
        <v>549</v>
      </c>
      <c r="E848" s="0" t="str">
        <f aca="false">IFERROR(IF(OR(HLOOKUP($A848,#REF!,3,FALSE())&gt;2,HLOOKUP(A848,#REF!,3,FALSE())&lt;-2),"",#REF!),"")</f>
        <v/>
      </c>
      <c r="F848" s="0" t="str">
        <f aca="false">IFERROR(IF(OR(HLOOKUP($A848,#REF!,4,FALSE())&gt;2,HLOOKUP($A848,#REF!,4,FALSE())&lt;-2),"",#REF!),"")</f>
        <v/>
      </c>
      <c r="G848" s="0" t="str">
        <f aca="false">IFERROR(IF(OR(HLOOKUP($A848,#REF!,5,FALSE())&gt;2,HLOOKUP($A848,#REF!,5,FALSE())&lt;-2),"",#REF!),"")</f>
        <v/>
      </c>
      <c r="H848" s="0" t="str">
        <f aca="false">IFERROR(IF(OR(HLOOKUP($A848,#REF!,6,FALSE())&gt;2,HLOOKUP($A848,#REF!,6,FALSE())&lt;-2),"",#REF!),"")</f>
        <v/>
      </c>
      <c r="I848" s="0" t="str">
        <f aca="false">IFERROR(IF(OR(HLOOKUP($A848,#REF!,7,FALSE())&gt;2,HLOOKUP($A848,#REF!,7,FALSE())&lt;-2),"",#REF!),"")</f>
        <v/>
      </c>
      <c r="J848" s="0" t="str">
        <f aca="false">IFERROR(IF(OR(HLOOKUP($A848,#REF!,8,FALSE())&gt;2,HLOOKUP($A848,#REF!,8,FALSE())&lt;-2),"",#REF!),"")</f>
        <v/>
      </c>
      <c r="K848" s="0" t="str">
        <f aca="false">IFERROR(IF(OR(HLOOKUP($A848,#REF!,9,FALSE())&gt;2,HLOOKUP($A848,#REF!,9,FALSE())&lt;-2),"",#REF!),"")</f>
        <v/>
      </c>
      <c r="L848" s="0" t="str">
        <f aca="false">IFERROR(IF(OR(HLOOKUP($A848,#REF!,10,FALSE())&gt;2,HLOOKUP($A848,#REF!,10,FALSE())&lt;-2),"",#REF!),"")</f>
        <v/>
      </c>
      <c r="M848" s="0" t="str">
        <f aca="false">IFERROR(IF(OR(HLOOKUP($A848,#REF!,11,FALSE())&gt;2,HLOOKUP($A848,#REF!,11,FALSE())&lt;-2),"",#REF!),"")</f>
        <v/>
      </c>
      <c r="N848" s="0" t="str">
        <f aca="false">IFERROR(IF(OR(HLOOKUP($A848,#REF!,12,FALSE())&gt;2,HLOOKUP($A848,#REF!,12,FALSE())&lt;-2),"",#REF!),"")</f>
        <v/>
      </c>
      <c r="O848" s="0" t="str">
        <f aca="false">IFERROR(IF(OR(HLOOKUP($A848,#REF!,13,FALSE())&gt;2,HLOOKUP($A848,#REF!,13,FALSE())&lt;-2),"",#REF!),"")</f>
        <v/>
      </c>
      <c r="P848" s="0" t="str">
        <f aca="false">IFERROR(IF(OR(HLOOKUP($A848,#REF!,14,FALSE())&gt;2,HLOOKUP($A848,#REF!,14,FALSE())&lt;-2),"",#REF!),"")</f>
        <v/>
      </c>
      <c r="Q848" s="0" t="str">
        <f aca="false">IFERROR(IF(OR(HLOOKUP($A848,#REF!,15,FALSE())&gt;2,HLOOKUP($A848,#REF!,15,FALSE())&lt;-2),"",#REF!),"")</f>
        <v/>
      </c>
      <c r="R848" s="0" t="str">
        <f aca="false">IFERROR(IF(OR(HLOOKUP($A848,#REF!,16,FALSE())&gt;2,HLOOKUP($A848,#REF!,16,FALSE())&lt;-2),"",#REF!),"")</f>
        <v/>
      </c>
      <c r="S848" s="0" t="str">
        <f aca="false">IFERROR(IF(OR(HLOOKUP($A848,#REF!,17,FALSE())&gt;2,HLOOKUP($A848,#REF!,17,FALSE())&lt;-2),"",#REF!),"")</f>
        <v/>
      </c>
      <c r="T848" s="0" t="str">
        <f aca="false">IFERROR(IF(OR(HLOOKUP($A848,#REF!,18,FALSE())&gt;2,HLOOKUP($A848,#REF!,18,FALSE())&lt;-2),"",#REF!),"")</f>
        <v/>
      </c>
      <c r="U848" s="0" t="str">
        <f aca="false">IFERROR(IF(OR(HLOOKUP($A848,#REF!,19,FALSE())&gt;2,HLOOKUP($A848,#REF!,19,FALSE())&lt;-2),"",#REF!),"")</f>
        <v/>
      </c>
      <c r="V848" s="0" t="n">
        <f aca="false">IFERROR(IF(AND(X848=0,Y848=0),0,1),0)</f>
        <v>1</v>
      </c>
      <c r="W848" s="3" t="str">
        <f aca="false">IFERROR(_xlfn.T.TEST(E848:M848,N848:U848,2,2),"")</f>
        <v/>
      </c>
      <c r="X848" s="0" t="str">
        <f aca="false">IFERROR(AVERAGE(E848:M848),"")</f>
        <v/>
      </c>
      <c r="Y848" s="0" t="str">
        <f aca="false">IFERROR(AVERAGE(N848:U848),"")</f>
        <v/>
      </c>
    </row>
    <row r="849" customFormat="false" ht="14.5" hidden="false" customHeight="false" outlineLevel="0" collapsed="false">
      <c r="A849" s="0" t="n">
        <v>857</v>
      </c>
      <c r="B849" s="0" t="s">
        <v>902</v>
      </c>
      <c r="C849" s="0" t="n">
        <v>10300</v>
      </c>
      <c r="D849" s="0" t="n">
        <v>677</v>
      </c>
      <c r="E849" s="0" t="str">
        <f aca="false">IFERROR(IF(OR(HLOOKUP($A849,#REF!,3,FALSE())&gt;2,HLOOKUP(A849,#REF!,3,FALSE())&lt;-2),"",#REF!),"")</f>
        <v/>
      </c>
      <c r="F849" s="0" t="str">
        <f aca="false">IFERROR(IF(OR(HLOOKUP($A849,#REF!,4,FALSE())&gt;2,HLOOKUP($A849,#REF!,4,FALSE())&lt;-2),"",#REF!),"")</f>
        <v/>
      </c>
      <c r="G849" s="0" t="str">
        <f aca="false">IFERROR(IF(OR(HLOOKUP($A849,#REF!,5,FALSE())&gt;2,HLOOKUP($A849,#REF!,5,FALSE())&lt;-2),"",#REF!),"")</f>
        <v/>
      </c>
      <c r="H849" s="0" t="str">
        <f aca="false">IFERROR(IF(OR(HLOOKUP($A849,#REF!,6,FALSE())&gt;2,HLOOKUP($A849,#REF!,6,FALSE())&lt;-2),"",#REF!),"")</f>
        <v/>
      </c>
      <c r="I849" s="0" t="str">
        <f aca="false">IFERROR(IF(OR(HLOOKUP($A849,#REF!,7,FALSE())&gt;2,HLOOKUP($A849,#REF!,7,FALSE())&lt;-2),"",#REF!),"")</f>
        <v/>
      </c>
      <c r="J849" s="0" t="str">
        <f aca="false">IFERROR(IF(OR(HLOOKUP($A849,#REF!,8,FALSE())&gt;2,HLOOKUP($A849,#REF!,8,FALSE())&lt;-2),"",#REF!),"")</f>
        <v/>
      </c>
      <c r="K849" s="0" t="str">
        <f aca="false">IFERROR(IF(OR(HLOOKUP($A849,#REF!,9,FALSE())&gt;2,HLOOKUP($A849,#REF!,9,FALSE())&lt;-2),"",#REF!),"")</f>
        <v/>
      </c>
      <c r="L849" s="0" t="str">
        <f aca="false">IFERROR(IF(OR(HLOOKUP($A849,#REF!,10,FALSE())&gt;2,HLOOKUP($A849,#REF!,10,FALSE())&lt;-2),"",#REF!),"")</f>
        <v/>
      </c>
      <c r="M849" s="0" t="str">
        <f aca="false">IFERROR(IF(OR(HLOOKUP($A849,#REF!,11,FALSE())&gt;2,HLOOKUP($A849,#REF!,11,FALSE())&lt;-2),"",#REF!),"")</f>
        <v/>
      </c>
      <c r="N849" s="0" t="str">
        <f aca="false">IFERROR(IF(OR(HLOOKUP($A849,#REF!,12,FALSE())&gt;2,HLOOKUP($A849,#REF!,12,FALSE())&lt;-2),"",#REF!),"")</f>
        <v/>
      </c>
      <c r="O849" s="0" t="str">
        <f aca="false">IFERROR(IF(OR(HLOOKUP($A849,#REF!,13,FALSE())&gt;2,HLOOKUP($A849,#REF!,13,FALSE())&lt;-2),"",#REF!),"")</f>
        <v/>
      </c>
      <c r="P849" s="0" t="str">
        <f aca="false">IFERROR(IF(OR(HLOOKUP($A849,#REF!,14,FALSE())&gt;2,HLOOKUP($A849,#REF!,14,FALSE())&lt;-2),"",#REF!),"")</f>
        <v/>
      </c>
      <c r="Q849" s="0" t="str">
        <f aca="false">IFERROR(IF(OR(HLOOKUP($A849,#REF!,15,FALSE())&gt;2,HLOOKUP($A849,#REF!,15,FALSE())&lt;-2),"",#REF!),"")</f>
        <v/>
      </c>
      <c r="R849" s="0" t="str">
        <f aca="false">IFERROR(IF(OR(HLOOKUP($A849,#REF!,16,FALSE())&gt;2,HLOOKUP($A849,#REF!,16,FALSE())&lt;-2),"",#REF!),"")</f>
        <v/>
      </c>
      <c r="S849" s="0" t="str">
        <f aca="false">IFERROR(IF(OR(HLOOKUP($A849,#REF!,17,FALSE())&gt;2,HLOOKUP($A849,#REF!,17,FALSE())&lt;-2),"",#REF!),"")</f>
        <v/>
      </c>
      <c r="T849" s="0" t="str">
        <f aca="false">IFERROR(IF(OR(HLOOKUP($A849,#REF!,18,FALSE())&gt;2,HLOOKUP($A849,#REF!,18,FALSE())&lt;-2),"",#REF!),"")</f>
        <v/>
      </c>
      <c r="U849" s="0" t="str">
        <f aca="false">IFERROR(IF(OR(HLOOKUP($A849,#REF!,19,FALSE())&gt;2,HLOOKUP($A849,#REF!,19,FALSE())&lt;-2),"",#REF!),"")</f>
        <v/>
      </c>
      <c r="V849" s="0" t="n">
        <f aca="false">IFERROR(IF(AND(X849=0,Y849=0),0,1),0)</f>
        <v>1</v>
      </c>
      <c r="W849" s="3" t="str">
        <f aca="false">IFERROR(_xlfn.T.TEST(E849:M849,N849:U849,2,2),"")</f>
        <v/>
      </c>
      <c r="X849" s="0" t="str">
        <f aca="false">IFERROR(AVERAGE(E849:M849),"")</f>
        <v/>
      </c>
      <c r="Y849" s="0" t="str">
        <f aca="false">IFERROR(AVERAGE(N849:U849),"")</f>
        <v/>
      </c>
    </row>
    <row r="850" customFormat="false" ht="14.5" hidden="false" customHeight="false" outlineLevel="0" collapsed="false">
      <c r="A850" s="0" t="n">
        <v>858</v>
      </c>
      <c r="B850" s="0" t="s">
        <v>903</v>
      </c>
      <c r="C850" s="0" t="n">
        <v>102400</v>
      </c>
      <c r="D850" s="0" t="n">
        <v>932</v>
      </c>
      <c r="E850" s="0" t="str">
        <f aca="false">IFERROR(IF(OR(HLOOKUP($A850,#REF!,3,FALSE())&gt;2,HLOOKUP(A850,#REF!,3,FALSE())&lt;-2),"",#REF!),"")</f>
        <v/>
      </c>
      <c r="F850" s="0" t="str">
        <f aca="false">IFERROR(IF(OR(HLOOKUP($A850,#REF!,4,FALSE())&gt;2,HLOOKUP($A850,#REF!,4,FALSE())&lt;-2),"",#REF!),"")</f>
        <v/>
      </c>
      <c r="G850" s="0" t="str">
        <f aca="false">IFERROR(IF(OR(HLOOKUP($A850,#REF!,5,FALSE())&gt;2,HLOOKUP($A850,#REF!,5,FALSE())&lt;-2),"",#REF!),"")</f>
        <v/>
      </c>
      <c r="H850" s="0" t="str">
        <f aca="false">IFERROR(IF(OR(HLOOKUP($A850,#REF!,6,FALSE())&gt;2,HLOOKUP($A850,#REF!,6,FALSE())&lt;-2),"",#REF!),"")</f>
        <v/>
      </c>
      <c r="I850" s="0" t="str">
        <f aca="false">IFERROR(IF(OR(HLOOKUP($A850,#REF!,7,FALSE())&gt;2,HLOOKUP($A850,#REF!,7,FALSE())&lt;-2),"",#REF!),"")</f>
        <v/>
      </c>
      <c r="J850" s="0" t="str">
        <f aca="false">IFERROR(IF(OR(HLOOKUP($A850,#REF!,8,FALSE())&gt;2,HLOOKUP($A850,#REF!,8,FALSE())&lt;-2),"",#REF!),"")</f>
        <v/>
      </c>
      <c r="K850" s="0" t="str">
        <f aca="false">IFERROR(IF(OR(HLOOKUP($A850,#REF!,9,FALSE())&gt;2,HLOOKUP($A850,#REF!,9,FALSE())&lt;-2),"",#REF!),"")</f>
        <v/>
      </c>
      <c r="L850" s="0" t="str">
        <f aca="false">IFERROR(IF(OR(HLOOKUP($A850,#REF!,10,FALSE())&gt;2,HLOOKUP($A850,#REF!,10,FALSE())&lt;-2),"",#REF!),"")</f>
        <v/>
      </c>
      <c r="M850" s="0" t="str">
        <f aca="false">IFERROR(IF(OR(HLOOKUP($A850,#REF!,11,FALSE())&gt;2,HLOOKUP($A850,#REF!,11,FALSE())&lt;-2),"",#REF!),"")</f>
        <v/>
      </c>
      <c r="N850" s="0" t="str">
        <f aca="false">IFERROR(IF(OR(HLOOKUP($A850,#REF!,12,FALSE())&gt;2,HLOOKUP($A850,#REF!,12,FALSE())&lt;-2),"",#REF!),"")</f>
        <v/>
      </c>
      <c r="O850" s="0" t="str">
        <f aca="false">IFERROR(IF(OR(HLOOKUP($A850,#REF!,13,FALSE())&gt;2,HLOOKUP($A850,#REF!,13,FALSE())&lt;-2),"",#REF!),"")</f>
        <v/>
      </c>
      <c r="P850" s="0" t="str">
        <f aca="false">IFERROR(IF(OR(HLOOKUP($A850,#REF!,14,FALSE())&gt;2,HLOOKUP($A850,#REF!,14,FALSE())&lt;-2),"",#REF!),"")</f>
        <v/>
      </c>
      <c r="Q850" s="0" t="str">
        <f aca="false">IFERROR(IF(OR(HLOOKUP($A850,#REF!,15,FALSE())&gt;2,HLOOKUP($A850,#REF!,15,FALSE())&lt;-2),"",#REF!),"")</f>
        <v/>
      </c>
      <c r="R850" s="0" t="str">
        <f aca="false">IFERROR(IF(OR(HLOOKUP($A850,#REF!,16,FALSE())&gt;2,HLOOKUP($A850,#REF!,16,FALSE())&lt;-2),"",#REF!),"")</f>
        <v/>
      </c>
      <c r="S850" s="0" t="str">
        <f aca="false">IFERROR(IF(OR(HLOOKUP($A850,#REF!,17,FALSE())&gt;2,HLOOKUP($A850,#REF!,17,FALSE())&lt;-2),"",#REF!),"")</f>
        <v/>
      </c>
      <c r="T850" s="0" t="str">
        <f aca="false">IFERROR(IF(OR(HLOOKUP($A850,#REF!,18,FALSE())&gt;2,HLOOKUP($A850,#REF!,18,FALSE())&lt;-2),"",#REF!),"")</f>
        <v/>
      </c>
      <c r="U850" s="0" t="str">
        <f aca="false">IFERROR(IF(OR(HLOOKUP($A850,#REF!,19,FALSE())&gt;2,HLOOKUP($A850,#REF!,19,FALSE())&lt;-2),"",#REF!),"")</f>
        <v/>
      </c>
      <c r="V850" s="0" t="n">
        <f aca="false">IFERROR(IF(AND(X850=0,Y850=0),0,1),0)</f>
        <v>1</v>
      </c>
      <c r="W850" s="3" t="str">
        <f aca="false">IFERROR(_xlfn.T.TEST(E850:M850,N850:U850,2,2),"")</f>
        <v/>
      </c>
      <c r="X850" s="0" t="str">
        <f aca="false">IFERROR(AVERAGE(E850:M850),"")</f>
        <v/>
      </c>
      <c r="Y850" s="0" t="str">
        <f aca="false">IFERROR(AVERAGE(N850:U850),"")</f>
        <v/>
      </c>
    </row>
    <row r="851" customFormat="false" ht="14.5" hidden="false" customHeight="false" outlineLevel="0" collapsed="false">
      <c r="A851" s="0" t="n">
        <v>859</v>
      </c>
      <c r="B851" s="0" t="s">
        <v>904</v>
      </c>
      <c r="C851" s="0" t="n">
        <v>94700</v>
      </c>
      <c r="D851" s="0" t="n">
        <v>370</v>
      </c>
      <c r="E851" s="0" t="str">
        <f aca="false">IFERROR(IF(OR(HLOOKUP($A851,#REF!,3,FALSE())&gt;2,HLOOKUP(A851,#REF!,3,FALSE())&lt;-2),"",#REF!),"")</f>
        <v/>
      </c>
      <c r="F851" s="0" t="str">
        <f aca="false">IFERROR(IF(OR(HLOOKUP($A851,#REF!,4,FALSE())&gt;2,HLOOKUP($A851,#REF!,4,FALSE())&lt;-2),"",#REF!),"")</f>
        <v/>
      </c>
      <c r="G851" s="0" t="str">
        <f aca="false">IFERROR(IF(OR(HLOOKUP($A851,#REF!,5,FALSE())&gt;2,HLOOKUP($A851,#REF!,5,FALSE())&lt;-2),"",#REF!),"")</f>
        <v/>
      </c>
      <c r="H851" s="0" t="str">
        <f aca="false">IFERROR(IF(OR(HLOOKUP($A851,#REF!,6,FALSE())&gt;2,HLOOKUP($A851,#REF!,6,FALSE())&lt;-2),"",#REF!),"")</f>
        <v/>
      </c>
      <c r="I851" s="0" t="str">
        <f aca="false">IFERROR(IF(OR(HLOOKUP($A851,#REF!,7,FALSE())&gt;2,HLOOKUP($A851,#REF!,7,FALSE())&lt;-2),"",#REF!),"")</f>
        <v/>
      </c>
      <c r="J851" s="0" t="str">
        <f aca="false">IFERROR(IF(OR(HLOOKUP($A851,#REF!,8,FALSE())&gt;2,HLOOKUP($A851,#REF!,8,FALSE())&lt;-2),"",#REF!),"")</f>
        <v/>
      </c>
      <c r="K851" s="0" t="str">
        <f aca="false">IFERROR(IF(OR(HLOOKUP($A851,#REF!,9,FALSE())&gt;2,HLOOKUP($A851,#REF!,9,FALSE())&lt;-2),"",#REF!),"")</f>
        <v/>
      </c>
      <c r="L851" s="0" t="str">
        <f aca="false">IFERROR(IF(OR(HLOOKUP($A851,#REF!,10,FALSE())&gt;2,HLOOKUP($A851,#REF!,10,FALSE())&lt;-2),"",#REF!),"")</f>
        <v/>
      </c>
      <c r="M851" s="0" t="str">
        <f aca="false">IFERROR(IF(OR(HLOOKUP($A851,#REF!,11,FALSE())&gt;2,HLOOKUP($A851,#REF!,11,FALSE())&lt;-2),"",#REF!),"")</f>
        <v/>
      </c>
      <c r="N851" s="0" t="str">
        <f aca="false">IFERROR(IF(OR(HLOOKUP($A851,#REF!,12,FALSE())&gt;2,HLOOKUP($A851,#REF!,12,FALSE())&lt;-2),"",#REF!),"")</f>
        <v/>
      </c>
      <c r="O851" s="0" t="str">
        <f aca="false">IFERROR(IF(OR(HLOOKUP($A851,#REF!,13,FALSE())&gt;2,HLOOKUP($A851,#REF!,13,FALSE())&lt;-2),"",#REF!),"")</f>
        <v/>
      </c>
      <c r="P851" s="0" t="str">
        <f aca="false">IFERROR(IF(OR(HLOOKUP($A851,#REF!,14,FALSE())&gt;2,HLOOKUP($A851,#REF!,14,FALSE())&lt;-2),"",#REF!),"")</f>
        <v/>
      </c>
      <c r="Q851" s="0" t="str">
        <f aca="false">IFERROR(IF(OR(HLOOKUP($A851,#REF!,15,FALSE())&gt;2,HLOOKUP($A851,#REF!,15,FALSE())&lt;-2),"",#REF!),"")</f>
        <v/>
      </c>
      <c r="R851" s="0" t="str">
        <f aca="false">IFERROR(IF(OR(HLOOKUP($A851,#REF!,16,FALSE())&gt;2,HLOOKUP($A851,#REF!,16,FALSE())&lt;-2),"",#REF!),"")</f>
        <v/>
      </c>
      <c r="S851" s="0" t="str">
        <f aca="false">IFERROR(IF(OR(HLOOKUP($A851,#REF!,17,FALSE())&gt;2,HLOOKUP($A851,#REF!,17,FALSE())&lt;-2),"",#REF!),"")</f>
        <v/>
      </c>
      <c r="T851" s="0" t="str">
        <f aca="false">IFERROR(IF(OR(HLOOKUP($A851,#REF!,18,FALSE())&gt;2,HLOOKUP($A851,#REF!,18,FALSE())&lt;-2),"",#REF!),"")</f>
        <v/>
      </c>
      <c r="U851" s="0" t="str">
        <f aca="false">IFERROR(IF(OR(HLOOKUP($A851,#REF!,19,FALSE())&gt;2,HLOOKUP($A851,#REF!,19,FALSE())&lt;-2),"",#REF!),"")</f>
        <v/>
      </c>
      <c r="V851" s="0" t="n">
        <f aca="false">IFERROR(IF(AND(X851=0,Y851=0),0,1),0)</f>
        <v>1</v>
      </c>
      <c r="W851" s="3" t="str">
        <f aca="false">IFERROR(_xlfn.T.TEST(E851:M851,N851:U851,2,2),"")</f>
        <v/>
      </c>
      <c r="X851" s="0" t="str">
        <f aca="false">IFERROR(AVERAGE(E851:M851),"")</f>
        <v/>
      </c>
      <c r="Y851" s="0" t="str">
        <f aca="false">IFERROR(AVERAGE(N851:U851),"")</f>
        <v/>
      </c>
    </row>
    <row r="852" customFormat="false" ht="14.5" hidden="false" customHeight="false" outlineLevel="0" collapsed="false">
      <c r="A852" s="0" t="n">
        <v>860</v>
      </c>
      <c r="B852" s="0" t="s">
        <v>905</v>
      </c>
      <c r="C852" s="0" t="n">
        <v>85700</v>
      </c>
      <c r="D852" s="0" t="n">
        <v>881</v>
      </c>
      <c r="E852" s="0" t="str">
        <f aca="false">IFERROR(IF(OR(HLOOKUP($A852,#REF!,3,FALSE())&gt;2,HLOOKUP(A852,#REF!,3,FALSE())&lt;-2),"",#REF!),"")</f>
        <v/>
      </c>
      <c r="F852" s="0" t="str">
        <f aca="false">IFERROR(IF(OR(HLOOKUP($A852,#REF!,4,FALSE())&gt;2,HLOOKUP($A852,#REF!,4,FALSE())&lt;-2),"",#REF!),"")</f>
        <v/>
      </c>
      <c r="G852" s="0" t="str">
        <f aca="false">IFERROR(IF(OR(HLOOKUP($A852,#REF!,5,FALSE())&gt;2,HLOOKUP($A852,#REF!,5,FALSE())&lt;-2),"",#REF!),"")</f>
        <v/>
      </c>
      <c r="H852" s="0" t="str">
        <f aca="false">IFERROR(IF(OR(HLOOKUP($A852,#REF!,6,FALSE())&gt;2,HLOOKUP($A852,#REF!,6,FALSE())&lt;-2),"",#REF!),"")</f>
        <v/>
      </c>
      <c r="I852" s="0" t="str">
        <f aca="false">IFERROR(IF(OR(HLOOKUP($A852,#REF!,7,FALSE())&gt;2,HLOOKUP($A852,#REF!,7,FALSE())&lt;-2),"",#REF!),"")</f>
        <v/>
      </c>
      <c r="J852" s="0" t="str">
        <f aca="false">IFERROR(IF(OR(HLOOKUP($A852,#REF!,8,FALSE())&gt;2,HLOOKUP($A852,#REF!,8,FALSE())&lt;-2),"",#REF!),"")</f>
        <v/>
      </c>
      <c r="K852" s="0" t="str">
        <f aca="false">IFERROR(IF(OR(HLOOKUP($A852,#REF!,9,FALSE())&gt;2,HLOOKUP($A852,#REF!,9,FALSE())&lt;-2),"",#REF!),"")</f>
        <v/>
      </c>
      <c r="L852" s="0" t="str">
        <f aca="false">IFERROR(IF(OR(HLOOKUP($A852,#REF!,10,FALSE())&gt;2,HLOOKUP($A852,#REF!,10,FALSE())&lt;-2),"",#REF!),"")</f>
        <v/>
      </c>
      <c r="M852" s="0" t="str">
        <f aca="false">IFERROR(IF(OR(HLOOKUP($A852,#REF!,11,FALSE())&gt;2,HLOOKUP($A852,#REF!,11,FALSE())&lt;-2),"",#REF!),"")</f>
        <v/>
      </c>
      <c r="N852" s="0" t="str">
        <f aca="false">IFERROR(IF(OR(HLOOKUP($A852,#REF!,12,FALSE())&gt;2,HLOOKUP($A852,#REF!,12,FALSE())&lt;-2),"",#REF!),"")</f>
        <v/>
      </c>
      <c r="O852" s="0" t="str">
        <f aca="false">IFERROR(IF(OR(HLOOKUP($A852,#REF!,13,FALSE())&gt;2,HLOOKUP($A852,#REF!,13,FALSE())&lt;-2),"",#REF!),"")</f>
        <v/>
      </c>
      <c r="P852" s="0" t="str">
        <f aca="false">IFERROR(IF(OR(HLOOKUP($A852,#REF!,14,FALSE())&gt;2,HLOOKUP($A852,#REF!,14,FALSE())&lt;-2),"",#REF!),"")</f>
        <v/>
      </c>
      <c r="Q852" s="0" t="str">
        <f aca="false">IFERROR(IF(OR(HLOOKUP($A852,#REF!,15,FALSE())&gt;2,HLOOKUP($A852,#REF!,15,FALSE())&lt;-2),"",#REF!),"")</f>
        <v/>
      </c>
      <c r="R852" s="0" t="str">
        <f aca="false">IFERROR(IF(OR(HLOOKUP($A852,#REF!,16,FALSE())&gt;2,HLOOKUP($A852,#REF!,16,FALSE())&lt;-2),"",#REF!),"")</f>
        <v/>
      </c>
      <c r="S852" s="0" t="str">
        <f aca="false">IFERROR(IF(OR(HLOOKUP($A852,#REF!,17,FALSE())&gt;2,HLOOKUP($A852,#REF!,17,FALSE())&lt;-2),"",#REF!),"")</f>
        <v/>
      </c>
      <c r="T852" s="0" t="str">
        <f aca="false">IFERROR(IF(OR(HLOOKUP($A852,#REF!,18,FALSE())&gt;2,HLOOKUP($A852,#REF!,18,FALSE())&lt;-2),"",#REF!),"")</f>
        <v/>
      </c>
      <c r="U852" s="0" t="str">
        <f aca="false">IFERROR(IF(OR(HLOOKUP($A852,#REF!,19,FALSE())&gt;2,HLOOKUP($A852,#REF!,19,FALSE())&lt;-2),"",#REF!),"")</f>
        <v/>
      </c>
      <c r="V852" s="0" t="n">
        <f aca="false">IFERROR(IF(AND(X852=0,Y852=0),0,1),0)</f>
        <v>1</v>
      </c>
      <c r="W852" s="3" t="str">
        <f aca="false">IFERROR(_xlfn.T.TEST(E852:M852,N852:U852,2,2),"")</f>
        <v/>
      </c>
      <c r="X852" s="0" t="str">
        <f aca="false">IFERROR(AVERAGE(E852:M852),"")</f>
        <v/>
      </c>
      <c r="Y852" s="0" t="str">
        <f aca="false">IFERROR(AVERAGE(N852:U852),"")</f>
        <v/>
      </c>
    </row>
    <row r="853" customFormat="false" ht="14.5" hidden="false" customHeight="false" outlineLevel="0" collapsed="false">
      <c r="A853" s="0" t="n">
        <v>861</v>
      </c>
      <c r="B853" s="0" t="s">
        <v>906</v>
      </c>
      <c r="C853" s="0" t="n">
        <v>46300</v>
      </c>
      <c r="D853" s="0" t="n">
        <v>518</v>
      </c>
      <c r="E853" s="0" t="str">
        <f aca="false">IFERROR(IF(OR(HLOOKUP($A853,#REF!,3,FALSE())&gt;2,HLOOKUP(A853,#REF!,3,FALSE())&lt;-2),"",#REF!),"")</f>
        <v/>
      </c>
      <c r="F853" s="0" t="str">
        <f aca="false">IFERROR(IF(OR(HLOOKUP($A853,#REF!,4,FALSE())&gt;2,HLOOKUP($A853,#REF!,4,FALSE())&lt;-2),"",#REF!),"")</f>
        <v/>
      </c>
      <c r="G853" s="0" t="str">
        <f aca="false">IFERROR(IF(OR(HLOOKUP($A853,#REF!,5,FALSE())&gt;2,HLOOKUP($A853,#REF!,5,FALSE())&lt;-2),"",#REF!),"")</f>
        <v/>
      </c>
      <c r="H853" s="0" t="str">
        <f aca="false">IFERROR(IF(OR(HLOOKUP($A853,#REF!,6,FALSE())&gt;2,HLOOKUP($A853,#REF!,6,FALSE())&lt;-2),"",#REF!),"")</f>
        <v/>
      </c>
      <c r="I853" s="0" t="str">
        <f aca="false">IFERROR(IF(OR(HLOOKUP($A853,#REF!,7,FALSE())&gt;2,HLOOKUP($A853,#REF!,7,FALSE())&lt;-2),"",#REF!),"")</f>
        <v/>
      </c>
      <c r="J853" s="0" t="str">
        <f aca="false">IFERROR(IF(OR(HLOOKUP($A853,#REF!,8,FALSE())&gt;2,HLOOKUP($A853,#REF!,8,FALSE())&lt;-2),"",#REF!),"")</f>
        <v/>
      </c>
      <c r="K853" s="0" t="str">
        <f aca="false">IFERROR(IF(OR(HLOOKUP($A853,#REF!,9,FALSE())&gt;2,HLOOKUP($A853,#REF!,9,FALSE())&lt;-2),"",#REF!),"")</f>
        <v/>
      </c>
      <c r="L853" s="0" t="str">
        <f aca="false">IFERROR(IF(OR(HLOOKUP($A853,#REF!,10,FALSE())&gt;2,HLOOKUP($A853,#REF!,10,FALSE())&lt;-2),"",#REF!),"")</f>
        <v/>
      </c>
      <c r="M853" s="0" t="str">
        <f aca="false">IFERROR(IF(OR(HLOOKUP($A853,#REF!,11,FALSE())&gt;2,HLOOKUP($A853,#REF!,11,FALSE())&lt;-2),"",#REF!),"")</f>
        <v/>
      </c>
      <c r="N853" s="0" t="str">
        <f aca="false">IFERROR(IF(OR(HLOOKUP($A853,#REF!,12,FALSE())&gt;2,HLOOKUP($A853,#REF!,12,FALSE())&lt;-2),"",#REF!),"")</f>
        <v/>
      </c>
      <c r="O853" s="0" t="str">
        <f aca="false">IFERROR(IF(OR(HLOOKUP($A853,#REF!,13,FALSE())&gt;2,HLOOKUP($A853,#REF!,13,FALSE())&lt;-2),"",#REF!),"")</f>
        <v/>
      </c>
      <c r="P853" s="0" t="str">
        <f aca="false">IFERROR(IF(OR(HLOOKUP($A853,#REF!,14,FALSE())&gt;2,HLOOKUP($A853,#REF!,14,FALSE())&lt;-2),"",#REF!),"")</f>
        <v/>
      </c>
      <c r="Q853" s="0" t="str">
        <f aca="false">IFERROR(IF(OR(HLOOKUP($A853,#REF!,15,FALSE())&gt;2,HLOOKUP($A853,#REF!,15,FALSE())&lt;-2),"",#REF!),"")</f>
        <v/>
      </c>
      <c r="R853" s="0" t="str">
        <f aca="false">IFERROR(IF(OR(HLOOKUP($A853,#REF!,16,FALSE())&gt;2,HLOOKUP($A853,#REF!,16,FALSE())&lt;-2),"",#REF!),"")</f>
        <v/>
      </c>
      <c r="S853" s="0" t="str">
        <f aca="false">IFERROR(IF(OR(HLOOKUP($A853,#REF!,17,FALSE())&gt;2,HLOOKUP($A853,#REF!,17,FALSE())&lt;-2),"",#REF!),"")</f>
        <v/>
      </c>
      <c r="T853" s="0" t="str">
        <f aca="false">IFERROR(IF(OR(HLOOKUP($A853,#REF!,18,FALSE())&gt;2,HLOOKUP($A853,#REF!,18,FALSE())&lt;-2),"",#REF!),"")</f>
        <v/>
      </c>
      <c r="U853" s="0" t="str">
        <f aca="false">IFERROR(IF(OR(HLOOKUP($A853,#REF!,19,FALSE())&gt;2,HLOOKUP($A853,#REF!,19,FALSE())&lt;-2),"",#REF!),"")</f>
        <v/>
      </c>
      <c r="V853" s="0" t="n">
        <f aca="false">IFERROR(IF(AND(X853=0,Y853=0),0,1),0)</f>
        <v>1</v>
      </c>
      <c r="W853" s="3" t="str">
        <f aca="false">IFERROR(_xlfn.T.TEST(E853:M853,N853:U853,2,2),"")</f>
        <v/>
      </c>
      <c r="X853" s="0" t="str">
        <f aca="false">IFERROR(AVERAGE(E853:M853),"")</f>
        <v/>
      </c>
      <c r="Y853" s="0" t="str">
        <f aca="false">IFERROR(AVERAGE(N853:U853),"")</f>
        <v/>
      </c>
    </row>
    <row r="854" customFormat="false" ht="14.5" hidden="false" customHeight="false" outlineLevel="0" collapsed="false">
      <c r="A854" s="0" t="n">
        <v>862</v>
      </c>
      <c r="B854" s="0" t="s">
        <v>907</v>
      </c>
      <c r="C854" s="0" t="n">
        <v>8200</v>
      </c>
      <c r="D854" s="0" t="n">
        <v>378</v>
      </c>
      <c r="E854" s="0" t="str">
        <f aca="false">IFERROR(IF(OR(HLOOKUP($A854,#REF!,3,FALSE())&gt;2,HLOOKUP(A854,#REF!,3,FALSE())&lt;-2),"",#REF!),"")</f>
        <v/>
      </c>
      <c r="F854" s="0" t="str">
        <f aca="false">IFERROR(IF(OR(HLOOKUP($A854,#REF!,4,FALSE())&gt;2,HLOOKUP($A854,#REF!,4,FALSE())&lt;-2),"",#REF!),"")</f>
        <v/>
      </c>
      <c r="G854" s="0" t="str">
        <f aca="false">IFERROR(IF(OR(HLOOKUP($A854,#REF!,5,FALSE())&gt;2,HLOOKUP($A854,#REF!,5,FALSE())&lt;-2),"",#REF!),"")</f>
        <v/>
      </c>
      <c r="H854" s="0" t="str">
        <f aca="false">IFERROR(IF(OR(HLOOKUP($A854,#REF!,6,FALSE())&gt;2,HLOOKUP($A854,#REF!,6,FALSE())&lt;-2),"",#REF!),"")</f>
        <v/>
      </c>
      <c r="I854" s="0" t="str">
        <f aca="false">IFERROR(IF(OR(HLOOKUP($A854,#REF!,7,FALSE())&gt;2,HLOOKUP($A854,#REF!,7,FALSE())&lt;-2),"",#REF!),"")</f>
        <v/>
      </c>
      <c r="J854" s="0" t="str">
        <f aca="false">IFERROR(IF(OR(HLOOKUP($A854,#REF!,8,FALSE())&gt;2,HLOOKUP($A854,#REF!,8,FALSE())&lt;-2),"",#REF!),"")</f>
        <v/>
      </c>
      <c r="K854" s="0" t="str">
        <f aca="false">IFERROR(IF(OR(HLOOKUP($A854,#REF!,9,FALSE())&gt;2,HLOOKUP($A854,#REF!,9,FALSE())&lt;-2),"",#REF!),"")</f>
        <v/>
      </c>
      <c r="L854" s="0" t="str">
        <f aca="false">IFERROR(IF(OR(HLOOKUP($A854,#REF!,10,FALSE())&gt;2,HLOOKUP($A854,#REF!,10,FALSE())&lt;-2),"",#REF!),"")</f>
        <v/>
      </c>
      <c r="M854" s="0" t="str">
        <f aca="false">IFERROR(IF(OR(HLOOKUP($A854,#REF!,11,FALSE())&gt;2,HLOOKUP($A854,#REF!,11,FALSE())&lt;-2),"",#REF!),"")</f>
        <v/>
      </c>
      <c r="N854" s="0" t="str">
        <f aca="false">IFERROR(IF(OR(HLOOKUP($A854,#REF!,12,FALSE())&gt;2,HLOOKUP($A854,#REF!,12,FALSE())&lt;-2),"",#REF!),"")</f>
        <v/>
      </c>
      <c r="O854" s="0" t="str">
        <f aca="false">IFERROR(IF(OR(HLOOKUP($A854,#REF!,13,FALSE())&gt;2,HLOOKUP($A854,#REF!,13,FALSE())&lt;-2),"",#REF!),"")</f>
        <v/>
      </c>
      <c r="P854" s="0" t="str">
        <f aca="false">IFERROR(IF(OR(HLOOKUP($A854,#REF!,14,FALSE())&gt;2,HLOOKUP($A854,#REF!,14,FALSE())&lt;-2),"",#REF!),"")</f>
        <v/>
      </c>
      <c r="Q854" s="0" t="str">
        <f aca="false">IFERROR(IF(OR(HLOOKUP($A854,#REF!,15,FALSE())&gt;2,HLOOKUP($A854,#REF!,15,FALSE())&lt;-2),"",#REF!),"")</f>
        <v/>
      </c>
      <c r="R854" s="0" t="str">
        <f aca="false">IFERROR(IF(OR(HLOOKUP($A854,#REF!,16,FALSE())&gt;2,HLOOKUP($A854,#REF!,16,FALSE())&lt;-2),"",#REF!),"")</f>
        <v/>
      </c>
      <c r="S854" s="0" t="str">
        <f aca="false">IFERROR(IF(OR(HLOOKUP($A854,#REF!,17,FALSE())&gt;2,HLOOKUP($A854,#REF!,17,FALSE())&lt;-2),"",#REF!),"")</f>
        <v/>
      </c>
      <c r="T854" s="0" t="str">
        <f aca="false">IFERROR(IF(OR(HLOOKUP($A854,#REF!,18,FALSE())&gt;2,HLOOKUP($A854,#REF!,18,FALSE())&lt;-2),"",#REF!),"")</f>
        <v/>
      </c>
      <c r="U854" s="0" t="str">
        <f aca="false">IFERROR(IF(OR(HLOOKUP($A854,#REF!,19,FALSE())&gt;2,HLOOKUP($A854,#REF!,19,FALSE())&lt;-2),"",#REF!),"")</f>
        <v/>
      </c>
      <c r="V854" s="0" t="n">
        <f aca="false">IFERROR(IF(AND(X854=0,Y854=0),0,1),0)</f>
        <v>1</v>
      </c>
      <c r="W854" s="3" t="str">
        <f aca="false">IFERROR(_xlfn.T.TEST(E854:M854,N854:U854,2,2),"")</f>
        <v/>
      </c>
      <c r="X854" s="0" t="str">
        <f aca="false">IFERROR(AVERAGE(E854:M854),"")</f>
        <v/>
      </c>
      <c r="Y854" s="0" t="str">
        <f aca="false">IFERROR(AVERAGE(N854:U854),"")</f>
        <v/>
      </c>
    </row>
    <row r="855" customFormat="false" ht="14.5" hidden="false" customHeight="false" outlineLevel="0" collapsed="false">
      <c r="A855" s="0" t="n">
        <v>863</v>
      </c>
      <c r="B855" s="0" t="s">
        <v>908</v>
      </c>
      <c r="C855" s="0" t="n">
        <v>109700</v>
      </c>
      <c r="D855" s="0" t="n">
        <v>1000</v>
      </c>
      <c r="E855" s="0" t="str">
        <f aca="false">IFERROR(IF(OR(HLOOKUP($A855,#REF!,3,FALSE())&gt;2,HLOOKUP(A855,#REF!,3,FALSE())&lt;-2),"",#REF!),"")</f>
        <v/>
      </c>
      <c r="F855" s="0" t="str">
        <f aca="false">IFERROR(IF(OR(HLOOKUP($A855,#REF!,4,FALSE())&gt;2,HLOOKUP($A855,#REF!,4,FALSE())&lt;-2),"",#REF!),"")</f>
        <v/>
      </c>
      <c r="G855" s="0" t="str">
        <f aca="false">IFERROR(IF(OR(HLOOKUP($A855,#REF!,5,FALSE())&gt;2,HLOOKUP($A855,#REF!,5,FALSE())&lt;-2),"",#REF!),"")</f>
        <v/>
      </c>
      <c r="H855" s="0" t="str">
        <f aca="false">IFERROR(IF(OR(HLOOKUP($A855,#REF!,6,FALSE())&gt;2,HLOOKUP($A855,#REF!,6,FALSE())&lt;-2),"",#REF!),"")</f>
        <v/>
      </c>
      <c r="I855" s="0" t="str">
        <f aca="false">IFERROR(IF(OR(HLOOKUP($A855,#REF!,7,FALSE())&gt;2,HLOOKUP($A855,#REF!,7,FALSE())&lt;-2),"",#REF!),"")</f>
        <v/>
      </c>
      <c r="J855" s="0" t="str">
        <f aca="false">IFERROR(IF(OR(HLOOKUP($A855,#REF!,8,FALSE())&gt;2,HLOOKUP($A855,#REF!,8,FALSE())&lt;-2),"",#REF!),"")</f>
        <v/>
      </c>
      <c r="K855" s="0" t="str">
        <f aca="false">IFERROR(IF(OR(HLOOKUP($A855,#REF!,9,FALSE())&gt;2,HLOOKUP($A855,#REF!,9,FALSE())&lt;-2),"",#REF!),"")</f>
        <v/>
      </c>
      <c r="L855" s="0" t="str">
        <f aca="false">IFERROR(IF(OR(HLOOKUP($A855,#REF!,10,FALSE())&gt;2,HLOOKUP($A855,#REF!,10,FALSE())&lt;-2),"",#REF!),"")</f>
        <v/>
      </c>
      <c r="M855" s="0" t="str">
        <f aca="false">IFERROR(IF(OR(HLOOKUP($A855,#REF!,11,FALSE())&gt;2,HLOOKUP($A855,#REF!,11,FALSE())&lt;-2),"",#REF!),"")</f>
        <v/>
      </c>
      <c r="N855" s="0" t="str">
        <f aca="false">IFERROR(IF(OR(HLOOKUP($A855,#REF!,12,FALSE())&gt;2,HLOOKUP($A855,#REF!,12,FALSE())&lt;-2),"",#REF!),"")</f>
        <v/>
      </c>
      <c r="O855" s="0" t="str">
        <f aca="false">IFERROR(IF(OR(HLOOKUP($A855,#REF!,13,FALSE())&gt;2,HLOOKUP($A855,#REF!,13,FALSE())&lt;-2),"",#REF!),"")</f>
        <v/>
      </c>
      <c r="P855" s="0" t="str">
        <f aca="false">IFERROR(IF(OR(HLOOKUP($A855,#REF!,14,FALSE())&gt;2,HLOOKUP($A855,#REF!,14,FALSE())&lt;-2),"",#REF!),"")</f>
        <v/>
      </c>
      <c r="Q855" s="0" t="str">
        <f aca="false">IFERROR(IF(OR(HLOOKUP($A855,#REF!,15,FALSE())&gt;2,HLOOKUP($A855,#REF!,15,FALSE())&lt;-2),"",#REF!),"")</f>
        <v/>
      </c>
      <c r="R855" s="0" t="str">
        <f aca="false">IFERROR(IF(OR(HLOOKUP($A855,#REF!,16,FALSE())&gt;2,HLOOKUP($A855,#REF!,16,FALSE())&lt;-2),"",#REF!),"")</f>
        <v/>
      </c>
      <c r="S855" s="0" t="str">
        <f aca="false">IFERROR(IF(OR(HLOOKUP($A855,#REF!,17,FALSE())&gt;2,HLOOKUP($A855,#REF!,17,FALSE())&lt;-2),"",#REF!),"")</f>
        <v/>
      </c>
      <c r="T855" s="0" t="str">
        <f aca="false">IFERROR(IF(OR(HLOOKUP($A855,#REF!,18,FALSE())&gt;2,HLOOKUP($A855,#REF!,18,FALSE())&lt;-2),"",#REF!),"")</f>
        <v/>
      </c>
      <c r="U855" s="0" t="str">
        <f aca="false">IFERROR(IF(OR(HLOOKUP($A855,#REF!,19,FALSE())&gt;2,HLOOKUP($A855,#REF!,19,FALSE())&lt;-2),"",#REF!),"")</f>
        <v/>
      </c>
      <c r="V855" s="0" t="n">
        <f aca="false">IFERROR(IF(AND(X855=0,Y855=0),0,1),0)</f>
        <v>1</v>
      </c>
      <c r="W855" s="3" t="str">
        <f aca="false">IFERROR(_xlfn.T.TEST(E855:M855,N855:U855,2,2),"")</f>
        <v/>
      </c>
      <c r="X855" s="0" t="str">
        <f aca="false">IFERROR(AVERAGE(E855:M855),"")</f>
        <v/>
      </c>
      <c r="Y855" s="0" t="str">
        <f aca="false">IFERROR(AVERAGE(N855:U855),"")</f>
        <v/>
      </c>
    </row>
    <row r="856" customFormat="false" ht="14.5" hidden="false" customHeight="false" outlineLevel="0" collapsed="false">
      <c r="A856" s="0" t="n">
        <v>864</v>
      </c>
      <c r="B856" s="0" t="s">
        <v>909</v>
      </c>
      <c r="C856" s="0" t="n">
        <v>63600</v>
      </c>
      <c r="D856" s="0" t="n">
        <v>549</v>
      </c>
      <c r="E856" s="0" t="str">
        <f aca="false">IFERROR(IF(OR(HLOOKUP($A856,#REF!,3,FALSE())&gt;2,HLOOKUP(A856,#REF!,3,FALSE())&lt;-2),"",#REF!),"")</f>
        <v/>
      </c>
      <c r="F856" s="0" t="str">
        <f aca="false">IFERROR(IF(OR(HLOOKUP($A856,#REF!,4,FALSE())&gt;2,HLOOKUP($A856,#REF!,4,FALSE())&lt;-2),"",#REF!),"")</f>
        <v/>
      </c>
      <c r="G856" s="0" t="str">
        <f aca="false">IFERROR(IF(OR(HLOOKUP($A856,#REF!,5,FALSE())&gt;2,HLOOKUP($A856,#REF!,5,FALSE())&lt;-2),"",#REF!),"")</f>
        <v/>
      </c>
      <c r="H856" s="0" t="str">
        <f aca="false">IFERROR(IF(OR(HLOOKUP($A856,#REF!,6,FALSE())&gt;2,HLOOKUP($A856,#REF!,6,FALSE())&lt;-2),"",#REF!),"")</f>
        <v/>
      </c>
      <c r="I856" s="0" t="str">
        <f aca="false">IFERROR(IF(OR(HLOOKUP($A856,#REF!,7,FALSE())&gt;2,HLOOKUP($A856,#REF!,7,FALSE())&lt;-2),"",#REF!),"")</f>
        <v/>
      </c>
      <c r="J856" s="0" t="str">
        <f aca="false">IFERROR(IF(OR(HLOOKUP($A856,#REF!,8,FALSE())&gt;2,HLOOKUP($A856,#REF!,8,FALSE())&lt;-2),"",#REF!),"")</f>
        <v/>
      </c>
      <c r="K856" s="0" t="str">
        <f aca="false">IFERROR(IF(OR(HLOOKUP($A856,#REF!,9,FALSE())&gt;2,HLOOKUP($A856,#REF!,9,FALSE())&lt;-2),"",#REF!),"")</f>
        <v/>
      </c>
      <c r="L856" s="0" t="str">
        <f aca="false">IFERROR(IF(OR(HLOOKUP($A856,#REF!,10,FALSE())&gt;2,HLOOKUP($A856,#REF!,10,FALSE())&lt;-2),"",#REF!),"")</f>
        <v/>
      </c>
      <c r="M856" s="0" t="str">
        <f aca="false">IFERROR(IF(OR(HLOOKUP($A856,#REF!,11,FALSE())&gt;2,HLOOKUP($A856,#REF!,11,FALSE())&lt;-2),"",#REF!),"")</f>
        <v/>
      </c>
      <c r="N856" s="0" t="str">
        <f aca="false">IFERROR(IF(OR(HLOOKUP($A856,#REF!,12,FALSE())&gt;2,HLOOKUP($A856,#REF!,12,FALSE())&lt;-2),"",#REF!),"")</f>
        <v/>
      </c>
      <c r="O856" s="0" t="str">
        <f aca="false">IFERROR(IF(OR(HLOOKUP($A856,#REF!,13,FALSE())&gt;2,HLOOKUP($A856,#REF!,13,FALSE())&lt;-2),"",#REF!),"")</f>
        <v/>
      </c>
      <c r="P856" s="0" t="str">
        <f aca="false">IFERROR(IF(OR(HLOOKUP($A856,#REF!,14,FALSE())&gt;2,HLOOKUP($A856,#REF!,14,FALSE())&lt;-2),"",#REF!),"")</f>
        <v/>
      </c>
      <c r="Q856" s="0" t="str">
        <f aca="false">IFERROR(IF(OR(HLOOKUP($A856,#REF!,15,FALSE())&gt;2,HLOOKUP($A856,#REF!,15,FALSE())&lt;-2),"",#REF!),"")</f>
        <v/>
      </c>
      <c r="R856" s="0" t="str">
        <f aca="false">IFERROR(IF(OR(HLOOKUP($A856,#REF!,16,FALSE())&gt;2,HLOOKUP($A856,#REF!,16,FALSE())&lt;-2),"",#REF!),"")</f>
        <v/>
      </c>
      <c r="S856" s="0" t="str">
        <f aca="false">IFERROR(IF(OR(HLOOKUP($A856,#REF!,17,FALSE())&gt;2,HLOOKUP($A856,#REF!,17,FALSE())&lt;-2),"",#REF!),"")</f>
        <v/>
      </c>
      <c r="T856" s="0" t="str">
        <f aca="false">IFERROR(IF(OR(HLOOKUP($A856,#REF!,18,FALSE())&gt;2,HLOOKUP($A856,#REF!,18,FALSE())&lt;-2),"",#REF!),"")</f>
        <v/>
      </c>
      <c r="U856" s="0" t="str">
        <f aca="false">IFERROR(IF(OR(HLOOKUP($A856,#REF!,19,FALSE())&gt;2,HLOOKUP($A856,#REF!,19,FALSE())&lt;-2),"",#REF!),"")</f>
        <v/>
      </c>
      <c r="V856" s="0" t="n">
        <f aca="false">IFERROR(IF(AND(X856=0,Y856=0),0,1),0)</f>
        <v>1</v>
      </c>
      <c r="W856" s="3" t="str">
        <f aca="false">IFERROR(_xlfn.T.TEST(E856:M856,N856:U856,2,2),"")</f>
        <v/>
      </c>
      <c r="X856" s="0" t="str">
        <f aca="false">IFERROR(AVERAGE(E856:M856),"")</f>
        <v/>
      </c>
      <c r="Y856" s="0" t="str">
        <f aca="false">IFERROR(AVERAGE(N856:U856),"")</f>
        <v/>
      </c>
    </row>
    <row r="857" customFormat="false" ht="14.5" hidden="false" customHeight="false" outlineLevel="0" collapsed="false">
      <c r="A857" s="0" t="n">
        <v>865</v>
      </c>
      <c r="B857" s="0" t="s">
        <v>910</v>
      </c>
      <c r="C857" s="0" t="n">
        <v>3100</v>
      </c>
      <c r="D857" s="0" t="n">
        <v>322</v>
      </c>
      <c r="E857" s="0" t="str">
        <f aca="false">IFERROR(IF(OR(HLOOKUP($A857,#REF!,3,FALSE())&gt;2,HLOOKUP(A857,#REF!,3,FALSE())&lt;-2),"",#REF!),"")</f>
        <v/>
      </c>
      <c r="F857" s="0" t="str">
        <f aca="false">IFERROR(IF(OR(HLOOKUP($A857,#REF!,4,FALSE())&gt;2,HLOOKUP($A857,#REF!,4,FALSE())&lt;-2),"",#REF!),"")</f>
        <v/>
      </c>
      <c r="G857" s="0" t="str">
        <f aca="false">IFERROR(IF(OR(HLOOKUP($A857,#REF!,5,FALSE())&gt;2,HLOOKUP($A857,#REF!,5,FALSE())&lt;-2),"",#REF!),"")</f>
        <v/>
      </c>
      <c r="H857" s="0" t="str">
        <f aca="false">IFERROR(IF(OR(HLOOKUP($A857,#REF!,6,FALSE())&gt;2,HLOOKUP($A857,#REF!,6,FALSE())&lt;-2),"",#REF!),"")</f>
        <v/>
      </c>
      <c r="I857" s="0" t="str">
        <f aca="false">IFERROR(IF(OR(HLOOKUP($A857,#REF!,7,FALSE())&gt;2,HLOOKUP($A857,#REF!,7,FALSE())&lt;-2),"",#REF!),"")</f>
        <v/>
      </c>
      <c r="J857" s="0" t="str">
        <f aca="false">IFERROR(IF(OR(HLOOKUP($A857,#REF!,8,FALSE())&gt;2,HLOOKUP($A857,#REF!,8,FALSE())&lt;-2),"",#REF!),"")</f>
        <v/>
      </c>
      <c r="K857" s="0" t="str">
        <f aca="false">IFERROR(IF(OR(HLOOKUP($A857,#REF!,9,FALSE())&gt;2,HLOOKUP($A857,#REF!,9,FALSE())&lt;-2),"",#REF!),"")</f>
        <v/>
      </c>
      <c r="L857" s="0" t="str">
        <f aca="false">IFERROR(IF(OR(HLOOKUP($A857,#REF!,10,FALSE())&gt;2,HLOOKUP($A857,#REF!,10,FALSE())&lt;-2),"",#REF!),"")</f>
        <v/>
      </c>
      <c r="M857" s="0" t="str">
        <f aca="false">IFERROR(IF(OR(HLOOKUP($A857,#REF!,11,FALSE())&gt;2,HLOOKUP($A857,#REF!,11,FALSE())&lt;-2),"",#REF!),"")</f>
        <v/>
      </c>
      <c r="N857" s="0" t="str">
        <f aca="false">IFERROR(IF(OR(HLOOKUP($A857,#REF!,12,FALSE())&gt;2,HLOOKUP($A857,#REF!,12,FALSE())&lt;-2),"",#REF!),"")</f>
        <v/>
      </c>
      <c r="O857" s="0" t="str">
        <f aca="false">IFERROR(IF(OR(HLOOKUP($A857,#REF!,13,FALSE())&gt;2,HLOOKUP($A857,#REF!,13,FALSE())&lt;-2),"",#REF!),"")</f>
        <v/>
      </c>
      <c r="P857" s="0" t="str">
        <f aca="false">IFERROR(IF(OR(HLOOKUP($A857,#REF!,14,FALSE())&gt;2,HLOOKUP($A857,#REF!,14,FALSE())&lt;-2),"",#REF!),"")</f>
        <v/>
      </c>
      <c r="Q857" s="0" t="str">
        <f aca="false">IFERROR(IF(OR(HLOOKUP($A857,#REF!,15,FALSE())&gt;2,HLOOKUP($A857,#REF!,15,FALSE())&lt;-2),"",#REF!),"")</f>
        <v/>
      </c>
      <c r="R857" s="0" t="str">
        <f aca="false">IFERROR(IF(OR(HLOOKUP($A857,#REF!,16,FALSE())&gt;2,HLOOKUP($A857,#REF!,16,FALSE())&lt;-2),"",#REF!),"")</f>
        <v/>
      </c>
      <c r="S857" s="0" t="str">
        <f aca="false">IFERROR(IF(OR(HLOOKUP($A857,#REF!,17,FALSE())&gt;2,HLOOKUP($A857,#REF!,17,FALSE())&lt;-2),"",#REF!),"")</f>
        <v/>
      </c>
      <c r="T857" s="0" t="str">
        <f aca="false">IFERROR(IF(OR(HLOOKUP($A857,#REF!,18,FALSE())&gt;2,HLOOKUP($A857,#REF!,18,FALSE())&lt;-2),"",#REF!),"")</f>
        <v/>
      </c>
      <c r="U857" s="0" t="str">
        <f aca="false">IFERROR(IF(OR(HLOOKUP($A857,#REF!,19,FALSE())&gt;2,HLOOKUP($A857,#REF!,19,FALSE())&lt;-2),"",#REF!),"")</f>
        <v/>
      </c>
      <c r="V857" s="0" t="n">
        <f aca="false">IFERROR(IF(AND(X857=0,Y857=0),0,1),0)</f>
        <v>1</v>
      </c>
      <c r="W857" s="3" t="str">
        <f aca="false">IFERROR(_xlfn.T.TEST(E857:M857,N857:U857,2,2),"")</f>
        <v/>
      </c>
      <c r="X857" s="0" t="str">
        <f aca="false">IFERROR(AVERAGE(E857:M857),"")</f>
        <v/>
      </c>
      <c r="Y857" s="0" t="str">
        <f aca="false">IFERROR(AVERAGE(N857:U857),"")</f>
        <v/>
      </c>
    </row>
    <row r="858" customFormat="false" ht="14.5" hidden="false" customHeight="false" outlineLevel="0" collapsed="false">
      <c r="A858" s="0" t="n">
        <v>866</v>
      </c>
      <c r="B858" s="0" t="s">
        <v>911</v>
      </c>
      <c r="C858" s="0" t="n">
        <v>104900</v>
      </c>
      <c r="D858" s="0" t="n">
        <v>326</v>
      </c>
      <c r="E858" s="0" t="str">
        <f aca="false">IFERROR(IF(OR(HLOOKUP($A858,#REF!,3,FALSE())&gt;2,HLOOKUP(A858,#REF!,3,FALSE())&lt;-2),"",#REF!),"")</f>
        <v/>
      </c>
      <c r="F858" s="0" t="str">
        <f aca="false">IFERROR(IF(OR(HLOOKUP($A858,#REF!,4,FALSE())&gt;2,HLOOKUP($A858,#REF!,4,FALSE())&lt;-2),"",#REF!),"")</f>
        <v/>
      </c>
      <c r="G858" s="0" t="str">
        <f aca="false">IFERROR(IF(OR(HLOOKUP($A858,#REF!,5,FALSE())&gt;2,HLOOKUP($A858,#REF!,5,FALSE())&lt;-2),"",#REF!),"")</f>
        <v/>
      </c>
      <c r="H858" s="0" t="str">
        <f aca="false">IFERROR(IF(OR(HLOOKUP($A858,#REF!,6,FALSE())&gt;2,HLOOKUP($A858,#REF!,6,FALSE())&lt;-2),"",#REF!),"")</f>
        <v/>
      </c>
      <c r="I858" s="0" t="str">
        <f aca="false">IFERROR(IF(OR(HLOOKUP($A858,#REF!,7,FALSE())&gt;2,HLOOKUP($A858,#REF!,7,FALSE())&lt;-2),"",#REF!),"")</f>
        <v/>
      </c>
      <c r="J858" s="0" t="str">
        <f aca="false">IFERROR(IF(OR(HLOOKUP($A858,#REF!,8,FALSE())&gt;2,HLOOKUP($A858,#REF!,8,FALSE())&lt;-2),"",#REF!),"")</f>
        <v/>
      </c>
      <c r="K858" s="0" t="str">
        <f aca="false">IFERROR(IF(OR(HLOOKUP($A858,#REF!,9,FALSE())&gt;2,HLOOKUP($A858,#REF!,9,FALSE())&lt;-2),"",#REF!),"")</f>
        <v/>
      </c>
      <c r="L858" s="0" t="str">
        <f aca="false">IFERROR(IF(OR(HLOOKUP($A858,#REF!,10,FALSE())&gt;2,HLOOKUP($A858,#REF!,10,FALSE())&lt;-2),"",#REF!),"")</f>
        <v/>
      </c>
      <c r="M858" s="0" t="str">
        <f aca="false">IFERROR(IF(OR(HLOOKUP($A858,#REF!,11,FALSE())&gt;2,HLOOKUP($A858,#REF!,11,FALSE())&lt;-2),"",#REF!),"")</f>
        <v/>
      </c>
      <c r="N858" s="0" t="str">
        <f aca="false">IFERROR(IF(OR(HLOOKUP($A858,#REF!,12,FALSE())&gt;2,HLOOKUP($A858,#REF!,12,FALSE())&lt;-2),"",#REF!),"")</f>
        <v/>
      </c>
      <c r="O858" s="0" t="str">
        <f aca="false">IFERROR(IF(OR(HLOOKUP($A858,#REF!,13,FALSE())&gt;2,HLOOKUP($A858,#REF!,13,FALSE())&lt;-2),"",#REF!),"")</f>
        <v/>
      </c>
      <c r="P858" s="0" t="str">
        <f aca="false">IFERROR(IF(OR(HLOOKUP($A858,#REF!,14,FALSE())&gt;2,HLOOKUP($A858,#REF!,14,FALSE())&lt;-2),"",#REF!),"")</f>
        <v/>
      </c>
      <c r="Q858" s="0" t="str">
        <f aca="false">IFERROR(IF(OR(HLOOKUP($A858,#REF!,15,FALSE())&gt;2,HLOOKUP($A858,#REF!,15,FALSE())&lt;-2),"",#REF!),"")</f>
        <v/>
      </c>
      <c r="R858" s="0" t="str">
        <f aca="false">IFERROR(IF(OR(HLOOKUP($A858,#REF!,16,FALSE())&gt;2,HLOOKUP($A858,#REF!,16,FALSE())&lt;-2),"",#REF!),"")</f>
        <v/>
      </c>
      <c r="S858" s="0" t="str">
        <f aca="false">IFERROR(IF(OR(HLOOKUP($A858,#REF!,17,FALSE())&gt;2,HLOOKUP($A858,#REF!,17,FALSE())&lt;-2),"",#REF!),"")</f>
        <v/>
      </c>
      <c r="T858" s="0" t="str">
        <f aca="false">IFERROR(IF(OR(HLOOKUP($A858,#REF!,18,FALSE())&gt;2,HLOOKUP($A858,#REF!,18,FALSE())&lt;-2),"",#REF!),"")</f>
        <v/>
      </c>
      <c r="U858" s="0" t="str">
        <f aca="false">IFERROR(IF(OR(HLOOKUP($A858,#REF!,19,FALSE())&gt;2,HLOOKUP($A858,#REF!,19,FALSE())&lt;-2),"",#REF!),"")</f>
        <v/>
      </c>
      <c r="V858" s="0" t="n">
        <f aca="false">IFERROR(IF(AND(X858=0,Y858=0),0,1),0)</f>
        <v>1</v>
      </c>
      <c r="W858" s="3" t="str">
        <f aca="false">IFERROR(_xlfn.T.TEST(E858:M858,N858:U858,2,2),"")</f>
        <v/>
      </c>
      <c r="X858" s="0" t="str">
        <f aca="false">IFERROR(AVERAGE(E858:M858),"")</f>
        <v/>
      </c>
      <c r="Y858" s="0" t="str">
        <f aca="false">IFERROR(AVERAGE(N858:U858),"")</f>
        <v/>
      </c>
    </row>
    <row r="859" customFormat="false" ht="14.5" hidden="false" customHeight="false" outlineLevel="0" collapsed="false">
      <c r="A859" s="0" t="n">
        <v>867</v>
      </c>
      <c r="B859" s="0" t="s">
        <v>912</v>
      </c>
      <c r="C859" s="0" t="n">
        <v>85400</v>
      </c>
      <c r="D859" s="0" t="n">
        <v>1132</v>
      </c>
      <c r="E859" s="0" t="str">
        <f aca="false">IFERROR(IF(OR(HLOOKUP($A859,#REF!,3,FALSE())&gt;2,HLOOKUP(A859,#REF!,3,FALSE())&lt;-2),"",#REF!),"")</f>
        <v/>
      </c>
      <c r="F859" s="0" t="str">
        <f aca="false">IFERROR(IF(OR(HLOOKUP($A859,#REF!,4,FALSE())&gt;2,HLOOKUP($A859,#REF!,4,FALSE())&lt;-2),"",#REF!),"")</f>
        <v/>
      </c>
      <c r="G859" s="0" t="str">
        <f aca="false">IFERROR(IF(OR(HLOOKUP($A859,#REF!,5,FALSE())&gt;2,HLOOKUP($A859,#REF!,5,FALSE())&lt;-2),"",#REF!),"")</f>
        <v/>
      </c>
      <c r="H859" s="0" t="str">
        <f aca="false">IFERROR(IF(OR(HLOOKUP($A859,#REF!,6,FALSE())&gt;2,HLOOKUP($A859,#REF!,6,FALSE())&lt;-2),"",#REF!),"")</f>
        <v/>
      </c>
      <c r="I859" s="0" t="str">
        <f aca="false">IFERROR(IF(OR(HLOOKUP($A859,#REF!,7,FALSE())&gt;2,HLOOKUP($A859,#REF!,7,FALSE())&lt;-2),"",#REF!),"")</f>
        <v/>
      </c>
      <c r="J859" s="0" t="str">
        <f aca="false">IFERROR(IF(OR(HLOOKUP($A859,#REF!,8,FALSE())&gt;2,HLOOKUP($A859,#REF!,8,FALSE())&lt;-2),"",#REF!),"")</f>
        <v/>
      </c>
      <c r="K859" s="0" t="str">
        <f aca="false">IFERROR(IF(OR(HLOOKUP($A859,#REF!,9,FALSE())&gt;2,HLOOKUP($A859,#REF!,9,FALSE())&lt;-2),"",#REF!),"")</f>
        <v/>
      </c>
      <c r="L859" s="0" t="str">
        <f aca="false">IFERROR(IF(OR(HLOOKUP($A859,#REF!,10,FALSE())&gt;2,HLOOKUP($A859,#REF!,10,FALSE())&lt;-2),"",#REF!),"")</f>
        <v/>
      </c>
      <c r="M859" s="0" t="str">
        <f aca="false">IFERROR(IF(OR(HLOOKUP($A859,#REF!,11,FALSE())&gt;2,HLOOKUP($A859,#REF!,11,FALSE())&lt;-2),"",#REF!),"")</f>
        <v/>
      </c>
      <c r="N859" s="0" t="str">
        <f aca="false">IFERROR(IF(OR(HLOOKUP($A859,#REF!,12,FALSE())&gt;2,HLOOKUP($A859,#REF!,12,FALSE())&lt;-2),"",#REF!),"")</f>
        <v/>
      </c>
      <c r="O859" s="0" t="str">
        <f aca="false">IFERROR(IF(OR(HLOOKUP($A859,#REF!,13,FALSE())&gt;2,HLOOKUP($A859,#REF!,13,FALSE())&lt;-2),"",#REF!),"")</f>
        <v/>
      </c>
      <c r="P859" s="0" t="str">
        <f aca="false">IFERROR(IF(OR(HLOOKUP($A859,#REF!,14,FALSE())&gt;2,HLOOKUP($A859,#REF!,14,FALSE())&lt;-2),"",#REF!),"")</f>
        <v/>
      </c>
      <c r="Q859" s="0" t="str">
        <f aca="false">IFERROR(IF(OR(HLOOKUP($A859,#REF!,15,FALSE())&gt;2,HLOOKUP($A859,#REF!,15,FALSE())&lt;-2),"",#REF!),"")</f>
        <v/>
      </c>
      <c r="R859" s="0" t="str">
        <f aca="false">IFERROR(IF(OR(HLOOKUP($A859,#REF!,16,FALSE())&gt;2,HLOOKUP($A859,#REF!,16,FALSE())&lt;-2),"",#REF!),"")</f>
        <v/>
      </c>
      <c r="S859" s="0" t="str">
        <f aca="false">IFERROR(IF(OR(HLOOKUP($A859,#REF!,17,FALSE())&gt;2,HLOOKUP($A859,#REF!,17,FALSE())&lt;-2),"",#REF!),"")</f>
        <v/>
      </c>
      <c r="T859" s="0" t="str">
        <f aca="false">IFERROR(IF(OR(HLOOKUP($A859,#REF!,18,FALSE())&gt;2,HLOOKUP($A859,#REF!,18,FALSE())&lt;-2),"",#REF!),"")</f>
        <v/>
      </c>
      <c r="U859" s="0" t="str">
        <f aca="false">IFERROR(IF(OR(HLOOKUP($A859,#REF!,19,FALSE())&gt;2,HLOOKUP($A859,#REF!,19,FALSE())&lt;-2),"",#REF!),"")</f>
        <v/>
      </c>
      <c r="V859" s="0" t="n">
        <f aca="false">IFERROR(IF(AND(X859=0,Y859=0),0,1),0)</f>
        <v>1</v>
      </c>
      <c r="W859" s="3" t="str">
        <f aca="false">IFERROR(_xlfn.T.TEST(E859:M859,N859:U859,2,2),"")</f>
        <v/>
      </c>
      <c r="X859" s="0" t="str">
        <f aca="false">IFERROR(AVERAGE(E859:M859),"")</f>
        <v/>
      </c>
      <c r="Y859" s="0" t="str">
        <f aca="false">IFERROR(AVERAGE(N859:U859),"")</f>
        <v/>
      </c>
    </row>
    <row r="860" customFormat="false" ht="14.5" hidden="false" customHeight="false" outlineLevel="0" collapsed="false">
      <c r="A860" s="0" t="n">
        <v>868</v>
      </c>
      <c r="B860" s="0" t="s">
        <v>913</v>
      </c>
      <c r="C860" s="0" t="n">
        <v>85800</v>
      </c>
      <c r="D860" s="0" t="n">
        <v>881</v>
      </c>
      <c r="E860" s="0" t="str">
        <f aca="false">IFERROR(IF(OR(HLOOKUP($A860,#REF!,3,FALSE())&gt;2,HLOOKUP(A860,#REF!,3,FALSE())&lt;-2),"",#REF!),"")</f>
        <v/>
      </c>
      <c r="F860" s="0" t="str">
        <f aca="false">IFERROR(IF(OR(HLOOKUP($A860,#REF!,4,FALSE())&gt;2,HLOOKUP($A860,#REF!,4,FALSE())&lt;-2),"",#REF!),"")</f>
        <v/>
      </c>
      <c r="G860" s="0" t="str">
        <f aca="false">IFERROR(IF(OR(HLOOKUP($A860,#REF!,5,FALSE())&gt;2,HLOOKUP($A860,#REF!,5,FALSE())&lt;-2),"",#REF!),"")</f>
        <v/>
      </c>
      <c r="H860" s="0" t="str">
        <f aca="false">IFERROR(IF(OR(HLOOKUP($A860,#REF!,6,FALSE())&gt;2,HLOOKUP($A860,#REF!,6,FALSE())&lt;-2),"",#REF!),"")</f>
        <v/>
      </c>
      <c r="I860" s="0" t="str">
        <f aca="false">IFERROR(IF(OR(HLOOKUP($A860,#REF!,7,FALSE())&gt;2,HLOOKUP($A860,#REF!,7,FALSE())&lt;-2),"",#REF!),"")</f>
        <v/>
      </c>
      <c r="J860" s="0" t="str">
        <f aca="false">IFERROR(IF(OR(HLOOKUP($A860,#REF!,8,FALSE())&gt;2,HLOOKUP($A860,#REF!,8,FALSE())&lt;-2),"",#REF!),"")</f>
        <v/>
      </c>
      <c r="K860" s="0" t="str">
        <f aca="false">IFERROR(IF(OR(HLOOKUP($A860,#REF!,9,FALSE())&gt;2,HLOOKUP($A860,#REF!,9,FALSE())&lt;-2),"",#REF!),"")</f>
        <v/>
      </c>
      <c r="L860" s="0" t="str">
        <f aca="false">IFERROR(IF(OR(HLOOKUP($A860,#REF!,10,FALSE())&gt;2,HLOOKUP($A860,#REF!,10,FALSE())&lt;-2),"",#REF!),"")</f>
        <v/>
      </c>
      <c r="M860" s="0" t="str">
        <f aca="false">IFERROR(IF(OR(HLOOKUP($A860,#REF!,11,FALSE())&gt;2,HLOOKUP($A860,#REF!,11,FALSE())&lt;-2),"",#REF!),"")</f>
        <v/>
      </c>
      <c r="N860" s="0" t="str">
        <f aca="false">IFERROR(IF(OR(HLOOKUP($A860,#REF!,12,FALSE())&gt;2,HLOOKUP($A860,#REF!,12,FALSE())&lt;-2),"",#REF!),"")</f>
        <v/>
      </c>
      <c r="O860" s="0" t="str">
        <f aca="false">IFERROR(IF(OR(HLOOKUP($A860,#REF!,13,FALSE())&gt;2,HLOOKUP($A860,#REF!,13,FALSE())&lt;-2),"",#REF!),"")</f>
        <v/>
      </c>
      <c r="P860" s="0" t="str">
        <f aca="false">IFERROR(IF(OR(HLOOKUP($A860,#REF!,14,FALSE())&gt;2,HLOOKUP($A860,#REF!,14,FALSE())&lt;-2),"",#REF!),"")</f>
        <v/>
      </c>
      <c r="Q860" s="0" t="str">
        <f aca="false">IFERROR(IF(OR(HLOOKUP($A860,#REF!,15,FALSE())&gt;2,HLOOKUP($A860,#REF!,15,FALSE())&lt;-2),"",#REF!),"")</f>
        <v/>
      </c>
      <c r="R860" s="0" t="str">
        <f aca="false">IFERROR(IF(OR(HLOOKUP($A860,#REF!,16,FALSE())&gt;2,HLOOKUP($A860,#REF!,16,FALSE())&lt;-2),"",#REF!),"")</f>
        <v/>
      </c>
      <c r="S860" s="0" t="str">
        <f aca="false">IFERROR(IF(OR(HLOOKUP($A860,#REF!,17,FALSE())&gt;2,HLOOKUP($A860,#REF!,17,FALSE())&lt;-2),"",#REF!),"")</f>
        <v/>
      </c>
      <c r="T860" s="0" t="str">
        <f aca="false">IFERROR(IF(OR(HLOOKUP($A860,#REF!,18,FALSE())&gt;2,HLOOKUP($A860,#REF!,18,FALSE())&lt;-2),"",#REF!),"")</f>
        <v/>
      </c>
      <c r="U860" s="0" t="str">
        <f aca="false">IFERROR(IF(OR(HLOOKUP($A860,#REF!,19,FALSE())&gt;2,HLOOKUP($A860,#REF!,19,FALSE())&lt;-2),"",#REF!),"")</f>
        <v/>
      </c>
      <c r="V860" s="0" t="n">
        <f aca="false">IFERROR(IF(AND(X860=0,Y860=0),0,1),0)</f>
        <v>1</v>
      </c>
      <c r="W860" s="3" t="str">
        <f aca="false">IFERROR(_xlfn.T.TEST(E860:M860,N860:U860,2,2),"")</f>
        <v/>
      </c>
      <c r="X860" s="0" t="str">
        <f aca="false">IFERROR(AVERAGE(E860:M860),"")</f>
        <v/>
      </c>
      <c r="Y860" s="0" t="str">
        <f aca="false">IFERROR(AVERAGE(N860:U860),"")</f>
        <v/>
      </c>
    </row>
    <row r="861" customFormat="false" ht="14.5" hidden="false" customHeight="false" outlineLevel="0" collapsed="false">
      <c r="A861" s="0" t="n">
        <v>869</v>
      </c>
      <c r="B861" s="0" t="s">
        <v>914</v>
      </c>
      <c r="C861" s="0" t="n">
        <v>17200</v>
      </c>
      <c r="D861" s="0" t="n">
        <v>425</v>
      </c>
      <c r="E861" s="0" t="str">
        <f aca="false">IFERROR(IF(OR(HLOOKUP($A861,#REF!,3,FALSE())&gt;2,HLOOKUP(A861,#REF!,3,FALSE())&lt;-2),"",#REF!),"")</f>
        <v/>
      </c>
      <c r="F861" s="0" t="str">
        <f aca="false">IFERROR(IF(OR(HLOOKUP($A861,#REF!,4,FALSE())&gt;2,HLOOKUP($A861,#REF!,4,FALSE())&lt;-2),"",#REF!),"")</f>
        <v/>
      </c>
      <c r="G861" s="0" t="str">
        <f aca="false">IFERROR(IF(OR(HLOOKUP($A861,#REF!,5,FALSE())&gt;2,HLOOKUP($A861,#REF!,5,FALSE())&lt;-2),"",#REF!),"")</f>
        <v/>
      </c>
      <c r="H861" s="0" t="str">
        <f aca="false">IFERROR(IF(OR(HLOOKUP($A861,#REF!,6,FALSE())&gt;2,HLOOKUP($A861,#REF!,6,FALSE())&lt;-2),"",#REF!),"")</f>
        <v/>
      </c>
      <c r="I861" s="0" t="str">
        <f aca="false">IFERROR(IF(OR(HLOOKUP($A861,#REF!,7,FALSE())&gt;2,HLOOKUP($A861,#REF!,7,FALSE())&lt;-2),"",#REF!),"")</f>
        <v/>
      </c>
      <c r="J861" s="0" t="str">
        <f aca="false">IFERROR(IF(OR(HLOOKUP($A861,#REF!,8,FALSE())&gt;2,HLOOKUP($A861,#REF!,8,FALSE())&lt;-2),"",#REF!),"")</f>
        <v/>
      </c>
      <c r="K861" s="0" t="str">
        <f aca="false">IFERROR(IF(OR(HLOOKUP($A861,#REF!,9,FALSE())&gt;2,HLOOKUP($A861,#REF!,9,FALSE())&lt;-2),"",#REF!),"")</f>
        <v/>
      </c>
      <c r="L861" s="0" t="str">
        <f aca="false">IFERROR(IF(OR(HLOOKUP($A861,#REF!,10,FALSE())&gt;2,HLOOKUP($A861,#REF!,10,FALSE())&lt;-2),"",#REF!),"")</f>
        <v/>
      </c>
      <c r="M861" s="0" t="str">
        <f aca="false">IFERROR(IF(OR(HLOOKUP($A861,#REF!,11,FALSE())&gt;2,HLOOKUP($A861,#REF!,11,FALSE())&lt;-2),"",#REF!),"")</f>
        <v/>
      </c>
      <c r="N861" s="0" t="str">
        <f aca="false">IFERROR(IF(OR(HLOOKUP($A861,#REF!,12,FALSE())&gt;2,HLOOKUP($A861,#REF!,12,FALSE())&lt;-2),"",#REF!),"")</f>
        <v/>
      </c>
      <c r="O861" s="0" t="str">
        <f aca="false">IFERROR(IF(OR(HLOOKUP($A861,#REF!,13,FALSE())&gt;2,HLOOKUP($A861,#REF!,13,FALSE())&lt;-2),"",#REF!),"")</f>
        <v/>
      </c>
      <c r="P861" s="0" t="str">
        <f aca="false">IFERROR(IF(OR(HLOOKUP($A861,#REF!,14,FALSE())&gt;2,HLOOKUP($A861,#REF!,14,FALSE())&lt;-2),"",#REF!),"")</f>
        <v/>
      </c>
      <c r="Q861" s="0" t="str">
        <f aca="false">IFERROR(IF(OR(HLOOKUP($A861,#REF!,15,FALSE())&gt;2,HLOOKUP($A861,#REF!,15,FALSE())&lt;-2),"",#REF!),"")</f>
        <v/>
      </c>
      <c r="R861" s="0" t="str">
        <f aca="false">IFERROR(IF(OR(HLOOKUP($A861,#REF!,16,FALSE())&gt;2,HLOOKUP($A861,#REF!,16,FALSE())&lt;-2),"",#REF!),"")</f>
        <v/>
      </c>
      <c r="S861" s="0" t="str">
        <f aca="false">IFERROR(IF(OR(HLOOKUP($A861,#REF!,17,FALSE())&gt;2,HLOOKUP($A861,#REF!,17,FALSE())&lt;-2),"",#REF!),"")</f>
        <v/>
      </c>
      <c r="T861" s="0" t="str">
        <f aca="false">IFERROR(IF(OR(HLOOKUP($A861,#REF!,18,FALSE())&gt;2,HLOOKUP($A861,#REF!,18,FALSE())&lt;-2),"",#REF!),"")</f>
        <v/>
      </c>
      <c r="U861" s="0" t="str">
        <f aca="false">IFERROR(IF(OR(HLOOKUP($A861,#REF!,19,FALSE())&gt;2,HLOOKUP($A861,#REF!,19,FALSE())&lt;-2),"",#REF!),"")</f>
        <v/>
      </c>
      <c r="V861" s="0" t="n">
        <f aca="false">IFERROR(IF(AND(X861=0,Y861=0),0,1),0)</f>
        <v>1</v>
      </c>
      <c r="W861" s="3" t="str">
        <f aca="false">IFERROR(_xlfn.T.TEST(E861:M861,N861:U861,2,2),"")</f>
        <v/>
      </c>
      <c r="X861" s="0" t="str">
        <f aca="false">IFERROR(AVERAGE(E861:M861),"")</f>
        <v/>
      </c>
      <c r="Y861" s="0" t="str">
        <f aca="false">IFERROR(AVERAGE(N861:U861),"")</f>
        <v/>
      </c>
    </row>
    <row r="862" customFormat="false" ht="14.5" hidden="false" customHeight="false" outlineLevel="0" collapsed="false">
      <c r="A862" s="0" t="n">
        <v>870</v>
      </c>
      <c r="B862" s="0" t="s">
        <v>915</v>
      </c>
      <c r="C862" s="0" t="n">
        <v>46200</v>
      </c>
      <c r="D862" s="0" t="n">
        <v>518</v>
      </c>
      <c r="E862" s="0" t="str">
        <f aca="false">IFERROR(IF(OR(HLOOKUP($A862,#REF!,3,FALSE())&gt;2,HLOOKUP(A862,#REF!,3,FALSE())&lt;-2),"",#REF!),"")</f>
        <v/>
      </c>
      <c r="F862" s="0" t="str">
        <f aca="false">IFERROR(IF(OR(HLOOKUP($A862,#REF!,4,FALSE())&gt;2,HLOOKUP($A862,#REF!,4,FALSE())&lt;-2),"",#REF!),"")</f>
        <v/>
      </c>
      <c r="G862" s="0" t="str">
        <f aca="false">IFERROR(IF(OR(HLOOKUP($A862,#REF!,5,FALSE())&gt;2,HLOOKUP($A862,#REF!,5,FALSE())&lt;-2),"",#REF!),"")</f>
        <v/>
      </c>
      <c r="H862" s="0" t="str">
        <f aca="false">IFERROR(IF(OR(HLOOKUP($A862,#REF!,6,FALSE())&gt;2,HLOOKUP($A862,#REF!,6,FALSE())&lt;-2),"",#REF!),"")</f>
        <v/>
      </c>
      <c r="I862" s="0" t="str">
        <f aca="false">IFERROR(IF(OR(HLOOKUP($A862,#REF!,7,FALSE())&gt;2,HLOOKUP($A862,#REF!,7,FALSE())&lt;-2),"",#REF!),"")</f>
        <v/>
      </c>
      <c r="J862" s="0" t="str">
        <f aca="false">IFERROR(IF(OR(HLOOKUP($A862,#REF!,8,FALSE())&gt;2,HLOOKUP($A862,#REF!,8,FALSE())&lt;-2),"",#REF!),"")</f>
        <v/>
      </c>
      <c r="K862" s="0" t="str">
        <f aca="false">IFERROR(IF(OR(HLOOKUP($A862,#REF!,9,FALSE())&gt;2,HLOOKUP($A862,#REF!,9,FALSE())&lt;-2),"",#REF!),"")</f>
        <v/>
      </c>
      <c r="L862" s="0" t="str">
        <f aca="false">IFERROR(IF(OR(HLOOKUP($A862,#REF!,10,FALSE())&gt;2,HLOOKUP($A862,#REF!,10,FALSE())&lt;-2),"",#REF!),"")</f>
        <v/>
      </c>
      <c r="M862" s="0" t="str">
        <f aca="false">IFERROR(IF(OR(HLOOKUP($A862,#REF!,11,FALSE())&gt;2,HLOOKUP($A862,#REF!,11,FALSE())&lt;-2),"",#REF!),"")</f>
        <v/>
      </c>
      <c r="N862" s="0" t="str">
        <f aca="false">IFERROR(IF(OR(HLOOKUP($A862,#REF!,12,FALSE())&gt;2,HLOOKUP($A862,#REF!,12,FALSE())&lt;-2),"",#REF!),"")</f>
        <v/>
      </c>
      <c r="O862" s="0" t="str">
        <f aca="false">IFERROR(IF(OR(HLOOKUP($A862,#REF!,13,FALSE())&gt;2,HLOOKUP($A862,#REF!,13,FALSE())&lt;-2),"",#REF!),"")</f>
        <v/>
      </c>
      <c r="P862" s="0" t="str">
        <f aca="false">IFERROR(IF(OR(HLOOKUP($A862,#REF!,14,FALSE())&gt;2,HLOOKUP($A862,#REF!,14,FALSE())&lt;-2),"",#REF!),"")</f>
        <v/>
      </c>
      <c r="Q862" s="0" t="str">
        <f aca="false">IFERROR(IF(OR(HLOOKUP($A862,#REF!,15,FALSE())&gt;2,HLOOKUP($A862,#REF!,15,FALSE())&lt;-2),"",#REF!),"")</f>
        <v/>
      </c>
      <c r="R862" s="0" t="str">
        <f aca="false">IFERROR(IF(OR(HLOOKUP($A862,#REF!,16,FALSE())&gt;2,HLOOKUP($A862,#REF!,16,FALSE())&lt;-2),"",#REF!),"")</f>
        <v/>
      </c>
      <c r="S862" s="0" t="str">
        <f aca="false">IFERROR(IF(OR(HLOOKUP($A862,#REF!,17,FALSE())&gt;2,HLOOKUP($A862,#REF!,17,FALSE())&lt;-2),"",#REF!),"")</f>
        <v/>
      </c>
      <c r="T862" s="0" t="str">
        <f aca="false">IFERROR(IF(OR(HLOOKUP($A862,#REF!,18,FALSE())&gt;2,HLOOKUP($A862,#REF!,18,FALSE())&lt;-2),"",#REF!),"")</f>
        <v/>
      </c>
      <c r="U862" s="0" t="str">
        <f aca="false">IFERROR(IF(OR(HLOOKUP($A862,#REF!,19,FALSE())&gt;2,HLOOKUP($A862,#REF!,19,FALSE())&lt;-2),"",#REF!),"")</f>
        <v/>
      </c>
      <c r="V862" s="0" t="n">
        <f aca="false">IFERROR(IF(AND(X862=0,Y862=0),0,1),0)</f>
        <v>1</v>
      </c>
      <c r="W862" s="3" t="str">
        <f aca="false">IFERROR(_xlfn.T.TEST(E862:M862,N862:U862,2,2),"")</f>
        <v/>
      </c>
      <c r="X862" s="0" t="str">
        <f aca="false">IFERROR(AVERAGE(E862:M862),"")</f>
        <v/>
      </c>
      <c r="Y862" s="0" t="str">
        <f aca="false">IFERROR(AVERAGE(N862:U862),"")</f>
        <v/>
      </c>
    </row>
    <row r="863" customFormat="false" ht="14.5" hidden="false" customHeight="false" outlineLevel="0" collapsed="false">
      <c r="A863" s="0" t="n">
        <v>871</v>
      </c>
      <c r="B863" s="0" t="s">
        <v>916</v>
      </c>
      <c r="C863" s="0" t="n">
        <v>103100</v>
      </c>
      <c r="D863" s="0" t="n">
        <v>967</v>
      </c>
      <c r="E863" s="0" t="str">
        <f aca="false">IFERROR(IF(OR(HLOOKUP($A863,#REF!,3,FALSE())&gt;2,HLOOKUP(A863,#REF!,3,FALSE())&lt;-2),"",#REF!),"")</f>
        <v/>
      </c>
      <c r="F863" s="0" t="str">
        <f aca="false">IFERROR(IF(OR(HLOOKUP($A863,#REF!,4,FALSE())&gt;2,HLOOKUP($A863,#REF!,4,FALSE())&lt;-2),"",#REF!),"")</f>
        <v/>
      </c>
      <c r="G863" s="0" t="str">
        <f aca="false">IFERROR(IF(OR(HLOOKUP($A863,#REF!,5,FALSE())&gt;2,HLOOKUP($A863,#REF!,5,FALSE())&lt;-2),"",#REF!),"")</f>
        <v/>
      </c>
      <c r="H863" s="0" t="str">
        <f aca="false">IFERROR(IF(OR(HLOOKUP($A863,#REF!,6,FALSE())&gt;2,HLOOKUP($A863,#REF!,6,FALSE())&lt;-2),"",#REF!),"")</f>
        <v/>
      </c>
      <c r="I863" s="0" t="str">
        <f aca="false">IFERROR(IF(OR(HLOOKUP($A863,#REF!,7,FALSE())&gt;2,HLOOKUP($A863,#REF!,7,FALSE())&lt;-2),"",#REF!),"")</f>
        <v/>
      </c>
      <c r="J863" s="0" t="str">
        <f aca="false">IFERROR(IF(OR(HLOOKUP($A863,#REF!,8,FALSE())&gt;2,HLOOKUP($A863,#REF!,8,FALSE())&lt;-2),"",#REF!),"")</f>
        <v/>
      </c>
      <c r="K863" s="0" t="str">
        <f aca="false">IFERROR(IF(OR(HLOOKUP($A863,#REF!,9,FALSE())&gt;2,HLOOKUP($A863,#REF!,9,FALSE())&lt;-2),"",#REF!),"")</f>
        <v/>
      </c>
      <c r="L863" s="0" t="str">
        <f aca="false">IFERROR(IF(OR(HLOOKUP($A863,#REF!,10,FALSE())&gt;2,HLOOKUP($A863,#REF!,10,FALSE())&lt;-2),"",#REF!),"")</f>
        <v/>
      </c>
      <c r="M863" s="0" t="str">
        <f aca="false">IFERROR(IF(OR(HLOOKUP($A863,#REF!,11,FALSE())&gt;2,HLOOKUP($A863,#REF!,11,FALSE())&lt;-2),"",#REF!),"")</f>
        <v/>
      </c>
      <c r="N863" s="0" t="str">
        <f aca="false">IFERROR(IF(OR(HLOOKUP($A863,#REF!,12,FALSE())&gt;2,HLOOKUP($A863,#REF!,12,FALSE())&lt;-2),"",#REF!),"")</f>
        <v/>
      </c>
      <c r="O863" s="0" t="str">
        <f aca="false">IFERROR(IF(OR(HLOOKUP($A863,#REF!,13,FALSE())&gt;2,HLOOKUP($A863,#REF!,13,FALSE())&lt;-2),"",#REF!),"")</f>
        <v/>
      </c>
      <c r="P863" s="0" t="str">
        <f aca="false">IFERROR(IF(OR(HLOOKUP($A863,#REF!,14,FALSE())&gt;2,HLOOKUP($A863,#REF!,14,FALSE())&lt;-2),"",#REF!),"")</f>
        <v/>
      </c>
      <c r="Q863" s="0" t="str">
        <f aca="false">IFERROR(IF(OR(HLOOKUP($A863,#REF!,15,FALSE())&gt;2,HLOOKUP($A863,#REF!,15,FALSE())&lt;-2),"",#REF!),"")</f>
        <v/>
      </c>
      <c r="R863" s="0" t="str">
        <f aca="false">IFERROR(IF(OR(HLOOKUP($A863,#REF!,16,FALSE())&gt;2,HLOOKUP($A863,#REF!,16,FALSE())&lt;-2),"",#REF!),"")</f>
        <v/>
      </c>
      <c r="S863" s="0" t="str">
        <f aca="false">IFERROR(IF(OR(HLOOKUP($A863,#REF!,17,FALSE())&gt;2,HLOOKUP($A863,#REF!,17,FALSE())&lt;-2),"",#REF!),"")</f>
        <v/>
      </c>
      <c r="T863" s="0" t="str">
        <f aca="false">IFERROR(IF(OR(HLOOKUP($A863,#REF!,18,FALSE())&gt;2,HLOOKUP($A863,#REF!,18,FALSE())&lt;-2),"",#REF!),"")</f>
        <v/>
      </c>
      <c r="U863" s="0" t="str">
        <f aca="false">IFERROR(IF(OR(HLOOKUP($A863,#REF!,19,FALSE())&gt;2,HLOOKUP($A863,#REF!,19,FALSE())&lt;-2),"",#REF!),"")</f>
        <v/>
      </c>
      <c r="V863" s="0" t="n">
        <f aca="false">IFERROR(IF(AND(X863=0,Y863=0),0,1),0)</f>
        <v>1</v>
      </c>
      <c r="W863" s="3" t="str">
        <f aca="false">IFERROR(_xlfn.T.TEST(E863:M863,N863:U863,2,2),"")</f>
        <v/>
      </c>
      <c r="X863" s="0" t="str">
        <f aca="false">IFERROR(AVERAGE(E863:M863),"")</f>
        <v/>
      </c>
      <c r="Y863" s="0" t="str">
        <f aca="false">IFERROR(AVERAGE(N863:U863),"")</f>
        <v/>
      </c>
    </row>
    <row r="864" customFormat="false" ht="14.5" hidden="false" customHeight="false" outlineLevel="0" collapsed="false">
      <c r="A864" s="0" t="n">
        <v>872</v>
      </c>
      <c r="B864" s="0" t="s">
        <v>917</v>
      </c>
      <c r="C864" s="0" t="n">
        <v>84500</v>
      </c>
      <c r="D864" s="0" t="n">
        <v>165</v>
      </c>
      <c r="E864" s="0" t="str">
        <f aca="false">IFERROR(IF(OR(HLOOKUP($A864,#REF!,3,FALSE())&gt;2,HLOOKUP(A864,#REF!,3,FALSE())&lt;-2),"",#REF!),"")</f>
        <v/>
      </c>
      <c r="F864" s="0" t="str">
        <f aca="false">IFERROR(IF(OR(HLOOKUP($A864,#REF!,4,FALSE())&gt;2,HLOOKUP($A864,#REF!,4,FALSE())&lt;-2),"",#REF!),"")</f>
        <v/>
      </c>
      <c r="G864" s="0" t="str">
        <f aca="false">IFERROR(IF(OR(HLOOKUP($A864,#REF!,5,FALSE())&gt;2,HLOOKUP($A864,#REF!,5,FALSE())&lt;-2),"",#REF!),"")</f>
        <v/>
      </c>
      <c r="H864" s="0" t="str">
        <f aca="false">IFERROR(IF(OR(HLOOKUP($A864,#REF!,6,FALSE())&gt;2,HLOOKUP($A864,#REF!,6,FALSE())&lt;-2),"",#REF!),"")</f>
        <v/>
      </c>
      <c r="I864" s="0" t="str">
        <f aca="false">IFERROR(IF(OR(HLOOKUP($A864,#REF!,7,FALSE())&gt;2,HLOOKUP($A864,#REF!,7,FALSE())&lt;-2),"",#REF!),"")</f>
        <v/>
      </c>
      <c r="J864" s="0" t="str">
        <f aca="false">IFERROR(IF(OR(HLOOKUP($A864,#REF!,8,FALSE())&gt;2,HLOOKUP($A864,#REF!,8,FALSE())&lt;-2),"",#REF!),"")</f>
        <v/>
      </c>
      <c r="K864" s="0" t="str">
        <f aca="false">IFERROR(IF(OR(HLOOKUP($A864,#REF!,9,FALSE())&gt;2,HLOOKUP($A864,#REF!,9,FALSE())&lt;-2),"",#REF!),"")</f>
        <v/>
      </c>
      <c r="L864" s="0" t="str">
        <f aca="false">IFERROR(IF(OR(HLOOKUP($A864,#REF!,10,FALSE())&gt;2,HLOOKUP($A864,#REF!,10,FALSE())&lt;-2),"",#REF!),"")</f>
        <v/>
      </c>
      <c r="M864" s="0" t="str">
        <f aca="false">IFERROR(IF(OR(HLOOKUP($A864,#REF!,11,FALSE())&gt;2,HLOOKUP($A864,#REF!,11,FALSE())&lt;-2),"",#REF!),"")</f>
        <v/>
      </c>
      <c r="N864" s="0" t="str">
        <f aca="false">IFERROR(IF(OR(HLOOKUP($A864,#REF!,12,FALSE())&gt;2,HLOOKUP($A864,#REF!,12,FALSE())&lt;-2),"",#REF!),"")</f>
        <v/>
      </c>
      <c r="O864" s="0" t="str">
        <f aca="false">IFERROR(IF(OR(HLOOKUP($A864,#REF!,13,FALSE())&gt;2,HLOOKUP($A864,#REF!,13,FALSE())&lt;-2),"",#REF!),"")</f>
        <v/>
      </c>
      <c r="P864" s="0" t="str">
        <f aca="false">IFERROR(IF(OR(HLOOKUP($A864,#REF!,14,FALSE())&gt;2,HLOOKUP($A864,#REF!,14,FALSE())&lt;-2),"",#REF!),"")</f>
        <v/>
      </c>
      <c r="Q864" s="0" t="str">
        <f aca="false">IFERROR(IF(OR(HLOOKUP($A864,#REF!,15,FALSE())&gt;2,HLOOKUP($A864,#REF!,15,FALSE())&lt;-2),"",#REF!),"")</f>
        <v/>
      </c>
      <c r="R864" s="0" t="str">
        <f aca="false">IFERROR(IF(OR(HLOOKUP($A864,#REF!,16,FALSE())&gt;2,HLOOKUP($A864,#REF!,16,FALSE())&lt;-2),"",#REF!),"")</f>
        <v/>
      </c>
      <c r="S864" s="0" t="str">
        <f aca="false">IFERROR(IF(OR(HLOOKUP($A864,#REF!,17,FALSE())&gt;2,HLOOKUP($A864,#REF!,17,FALSE())&lt;-2),"",#REF!),"")</f>
        <v/>
      </c>
      <c r="T864" s="0" t="str">
        <f aca="false">IFERROR(IF(OR(HLOOKUP($A864,#REF!,18,FALSE())&gt;2,HLOOKUP($A864,#REF!,18,FALSE())&lt;-2),"",#REF!),"")</f>
        <v/>
      </c>
      <c r="U864" s="0" t="str">
        <f aca="false">IFERROR(IF(OR(HLOOKUP($A864,#REF!,19,FALSE())&gt;2,HLOOKUP($A864,#REF!,19,FALSE())&lt;-2),"",#REF!),"")</f>
        <v/>
      </c>
      <c r="V864" s="0" t="n">
        <f aca="false">IFERROR(IF(AND(X864=0,Y864=0),0,1),0)</f>
        <v>1</v>
      </c>
      <c r="W864" s="3" t="str">
        <f aca="false">IFERROR(_xlfn.T.TEST(E864:M864,N864:U864,2,2),"")</f>
        <v/>
      </c>
      <c r="X864" s="0" t="str">
        <f aca="false">IFERROR(AVERAGE(E864:M864),"")</f>
        <v/>
      </c>
      <c r="Y864" s="0" t="str">
        <f aca="false">IFERROR(AVERAGE(N864:U864),"")</f>
        <v/>
      </c>
    </row>
    <row r="865" customFormat="false" ht="14.5" hidden="false" customHeight="false" outlineLevel="0" collapsed="false">
      <c r="A865" s="0" t="n">
        <v>873</v>
      </c>
      <c r="B865" s="0" t="s">
        <v>918</v>
      </c>
      <c r="C865" s="0" t="n">
        <v>7800</v>
      </c>
      <c r="D865" s="0" t="n">
        <v>378</v>
      </c>
      <c r="E865" s="0" t="str">
        <f aca="false">IFERROR(IF(OR(HLOOKUP($A865,#REF!,3,FALSE())&gt;2,HLOOKUP(A865,#REF!,3,FALSE())&lt;-2),"",#REF!),"")</f>
        <v/>
      </c>
      <c r="F865" s="0" t="str">
        <f aca="false">IFERROR(IF(OR(HLOOKUP($A865,#REF!,4,FALSE())&gt;2,HLOOKUP($A865,#REF!,4,FALSE())&lt;-2),"",#REF!),"")</f>
        <v/>
      </c>
      <c r="G865" s="0" t="str">
        <f aca="false">IFERROR(IF(OR(HLOOKUP($A865,#REF!,5,FALSE())&gt;2,HLOOKUP($A865,#REF!,5,FALSE())&lt;-2),"",#REF!),"")</f>
        <v/>
      </c>
      <c r="H865" s="0" t="str">
        <f aca="false">IFERROR(IF(OR(HLOOKUP($A865,#REF!,6,FALSE())&gt;2,HLOOKUP($A865,#REF!,6,FALSE())&lt;-2),"",#REF!),"")</f>
        <v/>
      </c>
      <c r="I865" s="0" t="str">
        <f aca="false">IFERROR(IF(OR(HLOOKUP($A865,#REF!,7,FALSE())&gt;2,HLOOKUP($A865,#REF!,7,FALSE())&lt;-2),"",#REF!),"")</f>
        <v/>
      </c>
      <c r="J865" s="0" t="str">
        <f aca="false">IFERROR(IF(OR(HLOOKUP($A865,#REF!,8,FALSE())&gt;2,HLOOKUP($A865,#REF!,8,FALSE())&lt;-2),"",#REF!),"")</f>
        <v/>
      </c>
      <c r="K865" s="0" t="str">
        <f aca="false">IFERROR(IF(OR(HLOOKUP($A865,#REF!,9,FALSE())&gt;2,HLOOKUP($A865,#REF!,9,FALSE())&lt;-2),"",#REF!),"")</f>
        <v/>
      </c>
      <c r="L865" s="0" t="str">
        <f aca="false">IFERROR(IF(OR(HLOOKUP($A865,#REF!,10,FALSE())&gt;2,HLOOKUP($A865,#REF!,10,FALSE())&lt;-2),"",#REF!),"")</f>
        <v/>
      </c>
      <c r="M865" s="0" t="str">
        <f aca="false">IFERROR(IF(OR(HLOOKUP($A865,#REF!,11,FALSE())&gt;2,HLOOKUP($A865,#REF!,11,FALSE())&lt;-2),"",#REF!),"")</f>
        <v/>
      </c>
      <c r="N865" s="0" t="str">
        <f aca="false">IFERROR(IF(OR(HLOOKUP($A865,#REF!,12,FALSE())&gt;2,HLOOKUP($A865,#REF!,12,FALSE())&lt;-2),"",#REF!),"")</f>
        <v/>
      </c>
      <c r="O865" s="0" t="str">
        <f aca="false">IFERROR(IF(OR(HLOOKUP($A865,#REF!,13,FALSE())&gt;2,HLOOKUP($A865,#REF!,13,FALSE())&lt;-2),"",#REF!),"")</f>
        <v/>
      </c>
      <c r="P865" s="0" t="str">
        <f aca="false">IFERROR(IF(OR(HLOOKUP($A865,#REF!,14,FALSE())&gt;2,HLOOKUP($A865,#REF!,14,FALSE())&lt;-2),"",#REF!),"")</f>
        <v/>
      </c>
      <c r="Q865" s="0" t="str">
        <f aca="false">IFERROR(IF(OR(HLOOKUP($A865,#REF!,15,FALSE())&gt;2,HLOOKUP($A865,#REF!,15,FALSE())&lt;-2),"",#REF!),"")</f>
        <v/>
      </c>
      <c r="R865" s="0" t="str">
        <f aca="false">IFERROR(IF(OR(HLOOKUP($A865,#REF!,16,FALSE())&gt;2,HLOOKUP($A865,#REF!,16,FALSE())&lt;-2),"",#REF!),"")</f>
        <v/>
      </c>
      <c r="S865" s="0" t="str">
        <f aca="false">IFERROR(IF(OR(HLOOKUP($A865,#REF!,17,FALSE())&gt;2,HLOOKUP($A865,#REF!,17,FALSE())&lt;-2),"",#REF!),"")</f>
        <v/>
      </c>
      <c r="T865" s="0" t="str">
        <f aca="false">IFERROR(IF(OR(HLOOKUP($A865,#REF!,18,FALSE())&gt;2,HLOOKUP($A865,#REF!,18,FALSE())&lt;-2),"",#REF!),"")</f>
        <v/>
      </c>
      <c r="U865" s="0" t="str">
        <f aca="false">IFERROR(IF(OR(HLOOKUP($A865,#REF!,19,FALSE())&gt;2,HLOOKUP($A865,#REF!,19,FALSE())&lt;-2),"",#REF!),"")</f>
        <v/>
      </c>
      <c r="V865" s="0" t="n">
        <f aca="false">IFERROR(IF(AND(X865=0,Y865=0),0,1),0)</f>
        <v>1</v>
      </c>
      <c r="W865" s="3" t="str">
        <f aca="false">IFERROR(_xlfn.T.TEST(E865:M865,N865:U865,2,2),"")</f>
        <v/>
      </c>
      <c r="X865" s="0" t="str">
        <f aca="false">IFERROR(AVERAGE(E865:M865),"")</f>
        <v/>
      </c>
      <c r="Y865" s="0" t="str">
        <f aca="false">IFERROR(AVERAGE(N865:U865),"")</f>
        <v/>
      </c>
    </row>
    <row r="866" customFormat="false" ht="14.5" hidden="false" customHeight="false" outlineLevel="0" collapsed="false">
      <c r="A866" s="0" t="n">
        <v>874</v>
      </c>
      <c r="B866" s="0" t="s">
        <v>919</v>
      </c>
      <c r="C866" s="0" t="n">
        <v>79700</v>
      </c>
      <c r="D866" s="0" t="n">
        <v>339</v>
      </c>
      <c r="E866" s="0" t="str">
        <f aca="false">IFERROR(IF(OR(HLOOKUP($A866,#REF!,3,FALSE())&gt;2,HLOOKUP(A866,#REF!,3,FALSE())&lt;-2),"",#REF!),"")</f>
        <v/>
      </c>
      <c r="F866" s="0" t="str">
        <f aca="false">IFERROR(IF(OR(HLOOKUP($A866,#REF!,4,FALSE())&gt;2,HLOOKUP($A866,#REF!,4,FALSE())&lt;-2),"",#REF!),"")</f>
        <v/>
      </c>
      <c r="G866" s="0" t="str">
        <f aca="false">IFERROR(IF(OR(HLOOKUP($A866,#REF!,5,FALSE())&gt;2,HLOOKUP($A866,#REF!,5,FALSE())&lt;-2),"",#REF!),"")</f>
        <v/>
      </c>
      <c r="H866" s="0" t="str">
        <f aca="false">IFERROR(IF(OR(HLOOKUP($A866,#REF!,6,FALSE())&gt;2,HLOOKUP($A866,#REF!,6,FALSE())&lt;-2),"",#REF!),"")</f>
        <v/>
      </c>
      <c r="I866" s="0" t="str">
        <f aca="false">IFERROR(IF(OR(HLOOKUP($A866,#REF!,7,FALSE())&gt;2,HLOOKUP($A866,#REF!,7,FALSE())&lt;-2),"",#REF!),"")</f>
        <v/>
      </c>
      <c r="J866" s="0" t="str">
        <f aca="false">IFERROR(IF(OR(HLOOKUP($A866,#REF!,8,FALSE())&gt;2,HLOOKUP($A866,#REF!,8,FALSE())&lt;-2),"",#REF!),"")</f>
        <v/>
      </c>
      <c r="K866" s="0" t="str">
        <f aca="false">IFERROR(IF(OR(HLOOKUP($A866,#REF!,9,FALSE())&gt;2,HLOOKUP($A866,#REF!,9,FALSE())&lt;-2),"",#REF!),"")</f>
        <v/>
      </c>
      <c r="L866" s="0" t="str">
        <f aca="false">IFERROR(IF(OR(HLOOKUP($A866,#REF!,10,FALSE())&gt;2,HLOOKUP($A866,#REF!,10,FALSE())&lt;-2),"",#REF!),"")</f>
        <v/>
      </c>
      <c r="M866" s="0" t="str">
        <f aca="false">IFERROR(IF(OR(HLOOKUP($A866,#REF!,11,FALSE())&gt;2,HLOOKUP($A866,#REF!,11,FALSE())&lt;-2),"",#REF!),"")</f>
        <v/>
      </c>
      <c r="N866" s="0" t="str">
        <f aca="false">IFERROR(IF(OR(HLOOKUP($A866,#REF!,12,FALSE())&gt;2,HLOOKUP($A866,#REF!,12,FALSE())&lt;-2),"",#REF!),"")</f>
        <v/>
      </c>
      <c r="O866" s="0" t="str">
        <f aca="false">IFERROR(IF(OR(HLOOKUP($A866,#REF!,13,FALSE())&gt;2,HLOOKUP($A866,#REF!,13,FALSE())&lt;-2),"",#REF!),"")</f>
        <v/>
      </c>
      <c r="P866" s="0" t="str">
        <f aca="false">IFERROR(IF(OR(HLOOKUP($A866,#REF!,14,FALSE())&gt;2,HLOOKUP($A866,#REF!,14,FALSE())&lt;-2),"",#REF!),"")</f>
        <v/>
      </c>
      <c r="Q866" s="0" t="str">
        <f aca="false">IFERROR(IF(OR(HLOOKUP($A866,#REF!,15,FALSE())&gt;2,HLOOKUP($A866,#REF!,15,FALSE())&lt;-2),"",#REF!),"")</f>
        <v/>
      </c>
      <c r="R866" s="0" t="str">
        <f aca="false">IFERROR(IF(OR(HLOOKUP($A866,#REF!,16,FALSE())&gt;2,HLOOKUP($A866,#REF!,16,FALSE())&lt;-2),"",#REF!),"")</f>
        <v/>
      </c>
      <c r="S866" s="0" t="str">
        <f aca="false">IFERROR(IF(OR(HLOOKUP($A866,#REF!,17,FALSE())&gt;2,HLOOKUP($A866,#REF!,17,FALSE())&lt;-2),"",#REF!),"")</f>
        <v/>
      </c>
      <c r="T866" s="0" t="str">
        <f aca="false">IFERROR(IF(OR(HLOOKUP($A866,#REF!,18,FALSE())&gt;2,HLOOKUP($A866,#REF!,18,FALSE())&lt;-2),"",#REF!),"")</f>
        <v/>
      </c>
      <c r="U866" s="0" t="str">
        <f aca="false">IFERROR(IF(OR(HLOOKUP($A866,#REF!,19,FALSE())&gt;2,HLOOKUP($A866,#REF!,19,FALSE())&lt;-2),"",#REF!),"")</f>
        <v/>
      </c>
      <c r="V866" s="0" t="n">
        <f aca="false">IFERROR(IF(AND(X866=0,Y866=0),0,1),0)</f>
        <v>1</v>
      </c>
      <c r="W866" s="3" t="str">
        <f aca="false">IFERROR(_xlfn.T.TEST(E866:M866,N866:U866,2,2),"")</f>
        <v/>
      </c>
      <c r="X866" s="0" t="str">
        <f aca="false">IFERROR(AVERAGE(E866:M866),"")</f>
        <v/>
      </c>
      <c r="Y866" s="0" t="str">
        <f aca="false">IFERROR(AVERAGE(N866:U866),"")</f>
        <v/>
      </c>
    </row>
    <row r="867" customFormat="false" ht="14.5" hidden="false" customHeight="false" outlineLevel="0" collapsed="false">
      <c r="A867" s="0" t="n">
        <v>875</v>
      </c>
      <c r="B867" s="0" t="s">
        <v>920</v>
      </c>
      <c r="C867" s="0" t="n">
        <v>85900</v>
      </c>
      <c r="D867" s="0" t="n">
        <v>881</v>
      </c>
      <c r="E867" s="0" t="str">
        <f aca="false">IFERROR(IF(OR(HLOOKUP($A867,#REF!,3,FALSE())&gt;2,HLOOKUP(A867,#REF!,3,FALSE())&lt;-2),"",#REF!),"")</f>
        <v/>
      </c>
      <c r="F867" s="0" t="str">
        <f aca="false">IFERROR(IF(OR(HLOOKUP($A867,#REF!,4,FALSE())&gt;2,HLOOKUP($A867,#REF!,4,FALSE())&lt;-2),"",#REF!),"")</f>
        <v/>
      </c>
      <c r="G867" s="0" t="str">
        <f aca="false">IFERROR(IF(OR(HLOOKUP($A867,#REF!,5,FALSE())&gt;2,HLOOKUP($A867,#REF!,5,FALSE())&lt;-2),"",#REF!),"")</f>
        <v/>
      </c>
      <c r="H867" s="0" t="str">
        <f aca="false">IFERROR(IF(OR(HLOOKUP($A867,#REF!,6,FALSE())&gt;2,HLOOKUP($A867,#REF!,6,FALSE())&lt;-2),"",#REF!),"")</f>
        <v/>
      </c>
      <c r="I867" s="0" t="str">
        <f aca="false">IFERROR(IF(OR(HLOOKUP($A867,#REF!,7,FALSE())&gt;2,HLOOKUP($A867,#REF!,7,FALSE())&lt;-2),"",#REF!),"")</f>
        <v/>
      </c>
      <c r="J867" s="0" t="str">
        <f aca="false">IFERROR(IF(OR(HLOOKUP($A867,#REF!,8,FALSE())&gt;2,HLOOKUP($A867,#REF!,8,FALSE())&lt;-2),"",#REF!),"")</f>
        <v/>
      </c>
      <c r="K867" s="0" t="str">
        <f aca="false">IFERROR(IF(OR(HLOOKUP($A867,#REF!,9,FALSE())&gt;2,HLOOKUP($A867,#REF!,9,FALSE())&lt;-2),"",#REF!),"")</f>
        <v/>
      </c>
      <c r="L867" s="0" t="str">
        <f aca="false">IFERROR(IF(OR(HLOOKUP($A867,#REF!,10,FALSE())&gt;2,HLOOKUP($A867,#REF!,10,FALSE())&lt;-2),"",#REF!),"")</f>
        <v/>
      </c>
      <c r="M867" s="0" t="str">
        <f aca="false">IFERROR(IF(OR(HLOOKUP($A867,#REF!,11,FALSE())&gt;2,HLOOKUP($A867,#REF!,11,FALSE())&lt;-2),"",#REF!),"")</f>
        <v/>
      </c>
      <c r="N867" s="0" t="str">
        <f aca="false">IFERROR(IF(OR(HLOOKUP($A867,#REF!,12,FALSE())&gt;2,HLOOKUP($A867,#REF!,12,FALSE())&lt;-2),"",#REF!),"")</f>
        <v/>
      </c>
      <c r="O867" s="0" t="str">
        <f aca="false">IFERROR(IF(OR(HLOOKUP($A867,#REF!,13,FALSE())&gt;2,HLOOKUP($A867,#REF!,13,FALSE())&lt;-2),"",#REF!),"")</f>
        <v/>
      </c>
      <c r="P867" s="0" t="str">
        <f aca="false">IFERROR(IF(OR(HLOOKUP($A867,#REF!,14,FALSE())&gt;2,HLOOKUP($A867,#REF!,14,FALSE())&lt;-2),"",#REF!),"")</f>
        <v/>
      </c>
      <c r="Q867" s="0" t="str">
        <f aca="false">IFERROR(IF(OR(HLOOKUP($A867,#REF!,15,FALSE())&gt;2,HLOOKUP($A867,#REF!,15,FALSE())&lt;-2),"",#REF!),"")</f>
        <v/>
      </c>
      <c r="R867" s="0" t="str">
        <f aca="false">IFERROR(IF(OR(HLOOKUP($A867,#REF!,16,FALSE())&gt;2,HLOOKUP($A867,#REF!,16,FALSE())&lt;-2),"",#REF!),"")</f>
        <v/>
      </c>
      <c r="S867" s="0" t="str">
        <f aca="false">IFERROR(IF(OR(HLOOKUP($A867,#REF!,17,FALSE())&gt;2,HLOOKUP($A867,#REF!,17,FALSE())&lt;-2),"",#REF!),"")</f>
        <v/>
      </c>
      <c r="T867" s="0" t="str">
        <f aca="false">IFERROR(IF(OR(HLOOKUP($A867,#REF!,18,FALSE())&gt;2,HLOOKUP($A867,#REF!,18,FALSE())&lt;-2),"",#REF!),"")</f>
        <v/>
      </c>
      <c r="U867" s="0" t="str">
        <f aca="false">IFERROR(IF(OR(HLOOKUP($A867,#REF!,19,FALSE())&gt;2,HLOOKUP($A867,#REF!,19,FALSE())&lt;-2),"",#REF!),"")</f>
        <v/>
      </c>
      <c r="V867" s="0" t="n">
        <f aca="false">IFERROR(IF(AND(X867=0,Y867=0),0,1),0)</f>
        <v>1</v>
      </c>
      <c r="W867" s="3" t="str">
        <f aca="false">IFERROR(_xlfn.T.TEST(E867:M867,N867:U867,2,2),"")</f>
        <v/>
      </c>
      <c r="X867" s="0" t="str">
        <f aca="false">IFERROR(AVERAGE(E867:M867),"")</f>
        <v/>
      </c>
      <c r="Y867" s="0" t="str">
        <f aca="false">IFERROR(AVERAGE(N867:U867),"")</f>
        <v/>
      </c>
    </row>
    <row r="868" customFormat="false" ht="14.5" hidden="false" customHeight="false" outlineLevel="0" collapsed="false">
      <c r="A868" s="0" t="n">
        <v>876</v>
      </c>
      <c r="B868" s="0" t="s">
        <v>921</v>
      </c>
      <c r="C868" s="0" t="n">
        <v>98400</v>
      </c>
      <c r="D868" s="0" t="n">
        <v>848</v>
      </c>
      <c r="E868" s="0" t="str">
        <f aca="false">IFERROR(IF(OR(HLOOKUP($A868,#REF!,3,FALSE())&gt;2,HLOOKUP(A868,#REF!,3,FALSE())&lt;-2),"",#REF!),"")</f>
        <v/>
      </c>
      <c r="F868" s="0" t="str">
        <f aca="false">IFERROR(IF(OR(HLOOKUP($A868,#REF!,4,FALSE())&gt;2,HLOOKUP($A868,#REF!,4,FALSE())&lt;-2),"",#REF!),"")</f>
        <v/>
      </c>
      <c r="G868" s="0" t="str">
        <f aca="false">IFERROR(IF(OR(HLOOKUP($A868,#REF!,5,FALSE())&gt;2,HLOOKUP($A868,#REF!,5,FALSE())&lt;-2),"",#REF!),"")</f>
        <v/>
      </c>
      <c r="H868" s="0" t="str">
        <f aca="false">IFERROR(IF(OR(HLOOKUP($A868,#REF!,6,FALSE())&gt;2,HLOOKUP($A868,#REF!,6,FALSE())&lt;-2),"",#REF!),"")</f>
        <v/>
      </c>
      <c r="I868" s="0" t="str">
        <f aca="false">IFERROR(IF(OR(HLOOKUP($A868,#REF!,7,FALSE())&gt;2,HLOOKUP($A868,#REF!,7,FALSE())&lt;-2),"",#REF!),"")</f>
        <v/>
      </c>
      <c r="J868" s="0" t="str">
        <f aca="false">IFERROR(IF(OR(HLOOKUP($A868,#REF!,8,FALSE())&gt;2,HLOOKUP($A868,#REF!,8,FALSE())&lt;-2),"",#REF!),"")</f>
        <v/>
      </c>
      <c r="K868" s="0" t="str">
        <f aca="false">IFERROR(IF(OR(HLOOKUP($A868,#REF!,9,FALSE())&gt;2,HLOOKUP($A868,#REF!,9,FALSE())&lt;-2),"",#REF!),"")</f>
        <v/>
      </c>
      <c r="L868" s="0" t="str">
        <f aca="false">IFERROR(IF(OR(HLOOKUP($A868,#REF!,10,FALSE())&gt;2,HLOOKUP($A868,#REF!,10,FALSE())&lt;-2),"",#REF!),"")</f>
        <v/>
      </c>
      <c r="M868" s="0" t="str">
        <f aca="false">IFERROR(IF(OR(HLOOKUP($A868,#REF!,11,FALSE())&gt;2,HLOOKUP($A868,#REF!,11,FALSE())&lt;-2),"",#REF!),"")</f>
        <v/>
      </c>
      <c r="N868" s="0" t="str">
        <f aca="false">IFERROR(IF(OR(HLOOKUP($A868,#REF!,12,FALSE())&gt;2,HLOOKUP($A868,#REF!,12,FALSE())&lt;-2),"",#REF!),"")</f>
        <v/>
      </c>
      <c r="O868" s="0" t="str">
        <f aca="false">IFERROR(IF(OR(HLOOKUP($A868,#REF!,13,FALSE())&gt;2,HLOOKUP($A868,#REF!,13,FALSE())&lt;-2),"",#REF!),"")</f>
        <v/>
      </c>
      <c r="P868" s="0" t="str">
        <f aca="false">IFERROR(IF(OR(HLOOKUP($A868,#REF!,14,FALSE())&gt;2,HLOOKUP($A868,#REF!,14,FALSE())&lt;-2),"",#REF!),"")</f>
        <v/>
      </c>
      <c r="Q868" s="0" t="str">
        <f aca="false">IFERROR(IF(OR(HLOOKUP($A868,#REF!,15,FALSE())&gt;2,HLOOKUP($A868,#REF!,15,FALSE())&lt;-2),"",#REF!),"")</f>
        <v/>
      </c>
      <c r="R868" s="0" t="str">
        <f aca="false">IFERROR(IF(OR(HLOOKUP($A868,#REF!,16,FALSE())&gt;2,HLOOKUP($A868,#REF!,16,FALSE())&lt;-2),"",#REF!),"")</f>
        <v/>
      </c>
      <c r="S868" s="0" t="str">
        <f aca="false">IFERROR(IF(OR(HLOOKUP($A868,#REF!,17,FALSE())&gt;2,HLOOKUP($A868,#REF!,17,FALSE())&lt;-2),"",#REF!),"")</f>
        <v/>
      </c>
      <c r="T868" s="0" t="str">
        <f aca="false">IFERROR(IF(OR(HLOOKUP($A868,#REF!,18,FALSE())&gt;2,HLOOKUP($A868,#REF!,18,FALSE())&lt;-2),"",#REF!),"")</f>
        <v/>
      </c>
      <c r="U868" s="0" t="str">
        <f aca="false">IFERROR(IF(OR(HLOOKUP($A868,#REF!,19,FALSE())&gt;2,HLOOKUP($A868,#REF!,19,FALSE())&lt;-2),"",#REF!),"")</f>
        <v/>
      </c>
      <c r="V868" s="0" t="n">
        <f aca="false">IFERROR(IF(AND(X868=0,Y868=0),0,1),0)</f>
        <v>1</v>
      </c>
      <c r="W868" s="3" t="str">
        <f aca="false">IFERROR(_xlfn.T.TEST(E868:M868,N868:U868,2,2),"")</f>
        <v/>
      </c>
      <c r="X868" s="0" t="str">
        <f aca="false">IFERROR(AVERAGE(E868:M868),"")</f>
        <v/>
      </c>
      <c r="Y868" s="0" t="str">
        <f aca="false">IFERROR(AVERAGE(N868:U868),"")</f>
        <v/>
      </c>
    </row>
    <row r="869" customFormat="false" ht="14.5" hidden="false" customHeight="false" outlineLevel="0" collapsed="false">
      <c r="A869" s="0" t="n">
        <v>877</v>
      </c>
      <c r="B869" s="0" t="s">
        <v>922</v>
      </c>
      <c r="C869" s="0" t="n">
        <v>109300</v>
      </c>
      <c r="D869" s="0" t="n">
        <v>1000</v>
      </c>
      <c r="E869" s="0" t="str">
        <f aca="false">IFERROR(IF(OR(HLOOKUP($A869,#REF!,3,FALSE())&gt;2,HLOOKUP(A869,#REF!,3,FALSE())&lt;-2),"",#REF!),"")</f>
        <v/>
      </c>
      <c r="F869" s="0" t="str">
        <f aca="false">IFERROR(IF(OR(HLOOKUP($A869,#REF!,4,FALSE())&gt;2,HLOOKUP($A869,#REF!,4,FALSE())&lt;-2),"",#REF!),"")</f>
        <v/>
      </c>
      <c r="G869" s="0" t="str">
        <f aca="false">IFERROR(IF(OR(HLOOKUP($A869,#REF!,5,FALSE())&gt;2,HLOOKUP($A869,#REF!,5,FALSE())&lt;-2),"",#REF!),"")</f>
        <v/>
      </c>
      <c r="H869" s="0" t="str">
        <f aca="false">IFERROR(IF(OR(HLOOKUP($A869,#REF!,6,FALSE())&gt;2,HLOOKUP($A869,#REF!,6,FALSE())&lt;-2),"",#REF!),"")</f>
        <v/>
      </c>
      <c r="I869" s="0" t="str">
        <f aca="false">IFERROR(IF(OR(HLOOKUP($A869,#REF!,7,FALSE())&gt;2,HLOOKUP($A869,#REF!,7,FALSE())&lt;-2),"",#REF!),"")</f>
        <v/>
      </c>
      <c r="J869" s="0" t="str">
        <f aca="false">IFERROR(IF(OR(HLOOKUP($A869,#REF!,8,FALSE())&gt;2,HLOOKUP($A869,#REF!,8,FALSE())&lt;-2),"",#REF!),"")</f>
        <v/>
      </c>
      <c r="K869" s="0" t="str">
        <f aca="false">IFERROR(IF(OR(HLOOKUP($A869,#REF!,9,FALSE())&gt;2,HLOOKUP($A869,#REF!,9,FALSE())&lt;-2),"",#REF!),"")</f>
        <v/>
      </c>
      <c r="L869" s="0" t="str">
        <f aca="false">IFERROR(IF(OR(HLOOKUP($A869,#REF!,10,FALSE())&gt;2,HLOOKUP($A869,#REF!,10,FALSE())&lt;-2),"",#REF!),"")</f>
        <v/>
      </c>
      <c r="M869" s="0" t="str">
        <f aca="false">IFERROR(IF(OR(HLOOKUP($A869,#REF!,11,FALSE())&gt;2,HLOOKUP($A869,#REF!,11,FALSE())&lt;-2),"",#REF!),"")</f>
        <v/>
      </c>
      <c r="N869" s="0" t="str">
        <f aca="false">IFERROR(IF(OR(HLOOKUP($A869,#REF!,12,FALSE())&gt;2,HLOOKUP($A869,#REF!,12,FALSE())&lt;-2),"",#REF!),"")</f>
        <v/>
      </c>
      <c r="O869" s="0" t="str">
        <f aca="false">IFERROR(IF(OR(HLOOKUP($A869,#REF!,13,FALSE())&gt;2,HLOOKUP($A869,#REF!,13,FALSE())&lt;-2),"",#REF!),"")</f>
        <v/>
      </c>
      <c r="P869" s="0" t="str">
        <f aca="false">IFERROR(IF(OR(HLOOKUP($A869,#REF!,14,FALSE())&gt;2,HLOOKUP($A869,#REF!,14,FALSE())&lt;-2),"",#REF!),"")</f>
        <v/>
      </c>
      <c r="Q869" s="0" t="str">
        <f aca="false">IFERROR(IF(OR(HLOOKUP($A869,#REF!,15,FALSE())&gt;2,HLOOKUP($A869,#REF!,15,FALSE())&lt;-2),"",#REF!),"")</f>
        <v/>
      </c>
      <c r="R869" s="0" t="str">
        <f aca="false">IFERROR(IF(OR(HLOOKUP($A869,#REF!,16,FALSE())&gt;2,HLOOKUP($A869,#REF!,16,FALSE())&lt;-2),"",#REF!),"")</f>
        <v/>
      </c>
      <c r="S869" s="0" t="str">
        <f aca="false">IFERROR(IF(OR(HLOOKUP($A869,#REF!,17,FALSE())&gt;2,HLOOKUP($A869,#REF!,17,FALSE())&lt;-2),"",#REF!),"")</f>
        <v/>
      </c>
      <c r="T869" s="0" t="str">
        <f aca="false">IFERROR(IF(OR(HLOOKUP($A869,#REF!,18,FALSE())&gt;2,HLOOKUP($A869,#REF!,18,FALSE())&lt;-2),"",#REF!),"")</f>
        <v/>
      </c>
      <c r="U869" s="0" t="str">
        <f aca="false">IFERROR(IF(OR(HLOOKUP($A869,#REF!,19,FALSE())&gt;2,HLOOKUP($A869,#REF!,19,FALSE())&lt;-2),"",#REF!),"")</f>
        <v/>
      </c>
      <c r="V869" s="0" t="n">
        <f aca="false">IFERROR(IF(AND(X869=0,Y869=0),0,1),0)</f>
        <v>1</v>
      </c>
      <c r="W869" s="3" t="str">
        <f aca="false">IFERROR(_xlfn.T.TEST(E869:M869,N869:U869,2,2),"")</f>
        <v/>
      </c>
      <c r="X869" s="0" t="str">
        <f aca="false">IFERROR(AVERAGE(E869:M869),"")</f>
        <v/>
      </c>
      <c r="Y869" s="0" t="str">
        <f aca="false">IFERROR(AVERAGE(N869:U869),"")</f>
        <v/>
      </c>
    </row>
    <row r="870" customFormat="false" ht="14.5" hidden="false" customHeight="false" outlineLevel="0" collapsed="false">
      <c r="A870" s="0" t="n">
        <v>878</v>
      </c>
      <c r="B870" s="0" t="s">
        <v>923</v>
      </c>
      <c r="C870" s="0" t="n">
        <v>5700</v>
      </c>
      <c r="D870" s="0" t="n">
        <v>345</v>
      </c>
      <c r="E870" s="0" t="str">
        <f aca="false">IFERROR(IF(OR(HLOOKUP($A870,#REF!,3,FALSE())&gt;2,HLOOKUP(A870,#REF!,3,FALSE())&lt;-2),"",#REF!),"")</f>
        <v/>
      </c>
      <c r="F870" s="0" t="str">
        <f aca="false">IFERROR(IF(OR(HLOOKUP($A870,#REF!,4,FALSE())&gt;2,HLOOKUP($A870,#REF!,4,FALSE())&lt;-2),"",#REF!),"")</f>
        <v/>
      </c>
      <c r="G870" s="0" t="str">
        <f aca="false">IFERROR(IF(OR(HLOOKUP($A870,#REF!,5,FALSE())&gt;2,HLOOKUP($A870,#REF!,5,FALSE())&lt;-2),"",#REF!),"")</f>
        <v/>
      </c>
      <c r="H870" s="0" t="str">
        <f aca="false">IFERROR(IF(OR(HLOOKUP($A870,#REF!,6,FALSE())&gt;2,HLOOKUP($A870,#REF!,6,FALSE())&lt;-2),"",#REF!),"")</f>
        <v/>
      </c>
      <c r="I870" s="0" t="str">
        <f aca="false">IFERROR(IF(OR(HLOOKUP($A870,#REF!,7,FALSE())&gt;2,HLOOKUP($A870,#REF!,7,FALSE())&lt;-2),"",#REF!),"")</f>
        <v/>
      </c>
      <c r="J870" s="0" t="str">
        <f aca="false">IFERROR(IF(OR(HLOOKUP($A870,#REF!,8,FALSE())&gt;2,HLOOKUP($A870,#REF!,8,FALSE())&lt;-2),"",#REF!),"")</f>
        <v/>
      </c>
      <c r="K870" s="0" t="str">
        <f aca="false">IFERROR(IF(OR(HLOOKUP($A870,#REF!,9,FALSE())&gt;2,HLOOKUP($A870,#REF!,9,FALSE())&lt;-2),"",#REF!),"")</f>
        <v/>
      </c>
      <c r="L870" s="0" t="str">
        <f aca="false">IFERROR(IF(OR(HLOOKUP($A870,#REF!,10,FALSE())&gt;2,HLOOKUP($A870,#REF!,10,FALSE())&lt;-2),"",#REF!),"")</f>
        <v/>
      </c>
      <c r="M870" s="0" t="str">
        <f aca="false">IFERROR(IF(OR(HLOOKUP($A870,#REF!,11,FALSE())&gt;2,HLOOKUP($A870,#REF!,11,FALSE())&lt;-2),"",#REF!),"")</f>
        <v/>
      </c>
      <c r="N870" s="0" t="str">
        <f aca="false">IFERROR(IF(OR(HLOOKUP($A870,#REF!,12,FALSE())&gt;2,HLOOKUP($A870,#REF!,12,FALSE())&lt;-2),"",#REF!),"")</f>
        <v/>
      </c>
      <c r="O870" s="0" t="str">
        <f aca="false">IFERROR(IF(OR(HLOOKUP($A870,#REF!,13,FALSE())&gt;2,HLOOKUP($A870,#REF!,13,FALSE())&lt;-2),"",#REF!),"")</f>
        <v/>
      </c>
      <c r="P870" s="0" t="str">
        <f aca="false">IFERROR(IF(OR(HLOOKUP($A870,#REF!,14,FALSE())&gt;2,HLOOKUP($A870,#REF!,14,FALSE())&lt;-2),"",#REF!),"")</f>
        <v/>
      </c>
      <c r="Q870" s="0" t="str">
        <f aca="false">IFERROR(IF(OR(HLOOKUP($A870,#REF!,15,FALSE())&gt;2,HLOOKUP($A870,#REF!,15,FALSE())&lt;-2),"",#REF!),"")</f>
        <v/>
      </c>
      <c r="R870" s="0" t="str">
        <f aca="false">IFERROR(IF(OR(HLOOKUP($A870,#REF!,16,FALSE())&gt;2,HLOOKUP($A870,#REF!,16,FALSE())&lt;-2),"",#REF!),"")</f>
        <v/>
      </c>
      <c r="S870" s="0" t="str">
        <f aca="false">IFERROR(IF(OR(HLOOKUP($A870,#REF!,17,FALSE())&gt;2,HLOOKUP($A870,#REF!,17,FALSE())&lt;-2),"",#REF!),"")</f>
        <v/>
      </c>
      <c r="T870" s="0" t="str">
        <f aca="false">IFERROR(IF(OR(HLOOKUP($A870,#REF!,18,FALSE())&gt;2,HLOOKUP($A870,#REF!,18,FALSE())&lt;-2),"",#REF!),"")</f>
        <v/>
      </c>
      <c r="U870" s="0" t="str">
        <f aca="false">IFERROR(IF(OR(HLOOKUP($A870,#REF!,19,FALSE())&gt;2,HLOOKUP($A870,#REF!,19,FALSE())&lt;-2),"",#REF!),"")</f>
        <v/>
      </c>
      <c r="V870" s="0" t="n">
        <f aca="false">IFERROR(IF(AND(X870=0,Y870=0),0,1),0)</f>
        <v>1</v>
      </c>
      <c r="W870" s="3" t="str">
        <f aca="false">IFERROR(_xlfn.T.TEST(E870:M870,N870:U870,2,2),"")</f>
        <v/>
      </c>
      <c r="X870" s="0" t="str">
        <f aca="false">IFERROR(AVERAGE(E870:M870),"")</f>
        <v/>
      </c>
      <c r="Y870" s="0" t="str">
        <f aca="false">IFERROR(AVERAGE(N870:U870),"")</f>
        <v/>
      </c>
    </row>
    <row r="871" customFormat="false" ht="14.5" hidden="false" customHeight="false" outlineLevel="0" collapsed="false">
      <c r="A871" s="0" t="n">
        <v>879</v>
      </c>
      <c r="B871" s="0" t="s">
        <v>924</v>
      </c>
      <c r="C871" s="0" t="n">
        <v>25900</v>
      </c>
      <c r="D871" s="0" t="n">
        <v>254</v>
      </c>
      <c r="E871" s="0" t="str">
        <f aca="false">IFERROR(IF(OR(HLOOKUP($A871,#REF!,3,FALSE())&gt;2,HLOOKUP(A871,#REF!,3,FALSE())&lt;-2),"",#REF!),"")</f>
        <v/>
      </c>
      <c r="F871" s="0" t="str">
        <f aca="false">IFERROR(IF(OR(HLOOKUP($A871,#REF!,4,FALSE())&gt;2,HLOOKUP($A871,#REF!,4,FALSE())&lt;-2),"",#REF!),"")</f>
        <v/>
      </c>
      <c r="G871" s="0" t="str">
        <f aca="false">IFERROR(IF(OR(HLOOKUP($A871,#REF!,5,FALSE())&gt;2,HLOOKUP($A871,#REF!,5,FALSE())&lt;-2),"",#REF!),"")</f>
        <v/>
      </c>
      <c r="H871" s="0" t="str">
        <f aca="false">IFERROR(IF(OR(HLOOKUP($A871,#REF!,6,FALSE())&gt;2,HLOOKUP($A871,#REF!,6,FALSE())&lt;-2),"",#REF!),"")</f>
        <v/>
      </c>
      <c r="I871" s="0" t="str">
        <f aca="false">IFERROR(IF(OR(HLOOKUP($A871,#REF!,7,FALSE())&gt;2,HLOOKUP($A871,#REF!,7,FALSE())&lt;-2),"",#REF!),"")</f>
        <v/>
      </c>
      <c r="J871" s="0" t="str">
        <f aca="false">IFERROR(IF(OR(HLOOKUP($A871,#REF!,8,FALSE())&gt;2,HLOOKUP($A871,#REF!,8,FALSE())&lt;-2),"",#REF!),"")</f>
        <v/>
      </c>
      <c r="K871" s="0" t="str">
        <f aca="false">IFERROR(IF(OR(HLOOKUP($A871,#REF!,9,FALSE())&gt;2,HLOOKUP($A871,#REF!,9,FALSE())&lt;-2),"",#REF!),"")</f>
        <v/>
      </c>
      <c r="L871" s="0" t="str">
        <f aca="false">IFERROR(IF(OR(HLOOKUP($A871,#REF!,10,FALSE())&gt;2,HLOOKUP($A871,#REF!,10,FALSE())&lt;-2),"",#REF!),"")</f>
        <v/>
      </c>
      <c r="M871" s="0" t="str">
        <f aca="false">IFERROR(IF(OR(HLOOKUP($A871,#REF!,11,FALSE())&gt;2,HLOOKUP($A871,#REF!,11,FALSE())&lt;-2),"",#REF!),"")</f>
        <v/>
      </c>
      <c r="N871" s="0" t="str">
        <f aca="false">IFERROR(IF(OR(HLOOKUP($A871,#REF!,12,FALSE())&gt;2,HLOOKUP($A871,#REF!,12,FALSE())&lt;-2),"",#REF!),"")</f>
        <v/>
      </c>
      <c r="O871" s="0" t="str">
        <f aca="false">IFERROR(IF(OR(HLOOKUP($A871,#REF!,13,FALSE())&gt;2,HLOOKUP($A871,#REF!,13,FALSE())&lt;-2),"",#REF!),"")</f>
        <v/>
      </c>
      <c r="P871" s="0" t="str">
        <f aca="false">IFERROR(IF(OR(HLOOKUP($A871,#REF!,14,FALSE())&gt;2,HLOOKUP($A871,#REF!,14,FALSE())&lt;-2),"",#REF!),"")</f>
        <v/>
      </c>
      <c r="Q871" s="0" t="str">
        <f aca="false">IFERROR(IF(OR(HLOOKUP($A871,#REF!,15,FALSE())&gt;2,HLOOKUP($A871,#REF!,15,FALSE())&lt;-2),"",#REF!),"")</f>
        <v/>
      </c>
      <c r="R871" s="0" t="str">
        <f aca="false">IFERROR(IF(OR(HLOOKUP($A871,#REF!,16,FALSE())&gt;2,HLOOKUP($A871,#REF!,16,FALSE())&lt;-2),"",#REF!),"")</f>
        <v/>
      </c>
      <c r="S871" s="0" t="str">
        <f aca="false">IFERROR(IF(OR(HLOOKUP($A871,#REF!,17,FALSE())&gt;2,HLOOKUP($A871,#REF!,17,FALSE())&lt;-2),"",#REF!),"")</f>
        <v/>
      </c>
      <c r="T871" s="0" t="str">
        <f aca="false">IFERROR(IF(OR(HLOOKUP($A871,#REF!,18,FALSE())&gt;2,HLOOKUP($A871,#REF!,18,FALSE())&lt;-2),"",#REF!),"")</f>
        <v/>
      </c>
      <c r="U871" s="0" t="str">
        <f aca="false">IFERROR(IF(OR(HLOOKUP($A871,#REF!,19,FALSE())&gt;2,HLOOKUP($A871,#REF!,19,FALSE())&lt;-2),"",#REF!),"")</f>
        <v/>
      </c>
      <c r="V871" s="0" t="n">
        <f aca="false">IFERROR(IF(AND(X871=0,Y871=0),0,1),0)</f>
        <v>1</v>
      </c>
      <c r="W871" s="3" t="str">
        <f aca="false">IFERROR(_xlfn.T.TEST(E871:M871,N871:U871,2,2),"")</f>
        <v/>
      </c>
      <c r="X871" s="0" t="str">
        <f aca="false">IFERROR(AVERAGE(E871:M871),"")</f>
        <v/>
      </c>
      <c r="Y871" s="0" t="str">
        <f aca="false">IFERROR(AVERAGE(N871:U871),"")</f>
        <v/>
      </c>
    </row>
    <row r="872" customFormat="false" ht="14.5" hidden="false" customHeight="false" outlineLevel="0" collapsed="false">
      <c r="A872" s="0" t="n">
        <v>880</v>
      </c>
      <c r="B872" s="0" t="s">
        <v>925</v>
      </c>
      <c r="C872" s="0" t="n">
        <v>87200</v>
      </c>
      <c r="D872" s="0" t="n">
        <v>987</v>
      </c>
      <c r="E872" s="0" t="str">
        <f aca="false">IFERROR(IF(OR(HLOOKUP($A872,#REF!,3,FALSE())&gt;2,HLOOKUP(A872,#REF!,3,FALSE())&lt;-2),"",#REF!),"")</f>
        <v/>
      </c>
      <c r="F872" s="0" t="str">
        <f aca="false">IFERROR(IF(OR(HLOOKUP($A872,#REF!,4,FALSE())&gt;2,HLOOKUP($A872,#REF!,4,FALSE())&lt;-2),"",#REF!),"")</f>
        <v/>
      </c>
      <c r="G872" s="0" t="str">
        <f aca="false">IFERROR(IF(OR(HLOOKUP($A872,#REF!,5,FALSE())&gt;2,HLOOKUP($A872,#REF!,5,FALSE())&lt;-2),"",#REF!),"")</f>
        <v/>
      </c>
      <c r="H872" s="0" t="str">
        <f aca="false">IFERROR(IF(OR(HLOOKUP($A872,#REF!,6,FALSE())&gt;2,HLOOKUP($A872,#REF!,6,FALSE())&lt;-2),"",#REF!),"")</f>
        <v/>
      </c>
      <c r="I872" s="0" t="str">
        <f aca="false">IFERROR(IF(OR(HLOOKUP($A872,#REF!,7,FALSE())&gt;2,HLOOKUP($A872,#REF!,7,FALSE())&lt;-2),"",#REF!),"")</f>
        <v/>
      </c>
      <c r="J872" s="0" t="str">
        <f aca="false">IFERROR(IF(OR(HLOOKUP($A872,#REF!,8,FALSE())&gt;2,HLOOKUP($A872,#REF!,8,FALSE())&lt;-2),"",#REF!),"")</f>
        <v/>
      </c>
      <c r="K872" s="0" t="str">
        <f aca="false">IFERROR(IF(OR(HLOOKUP($A872,#REF!,9,FALSE())&gt;2,HLOOKUP($A872,#REF!,9,FALSE())&lt;-2),"",#REF!),"")</f>
        <v/>
      </c>
      <c r="L872" s="0" t="str">
        <f aca="false">IFERROR(IF(OR(HLOOKUP($A872,#REF!,10,FALSE())&gt;2,HLOOKUP($A872,#REF!,10,FALSE())&lt;-2),"",#REF!),"")</f>
        <v/>
      </c>
      <c r="M872" s="0" t="str">
        <f aca="false">IFERROR(IF(OR(HLOOKUP($A872,#REF!,11,FALSE())&gt;2,HLOOKUP($A872,#REF!,11,FALSE())&lt;-2),"",#REF!),"")</f>
        <v/>
      </c>
      <c r="N872" s="0" t="str">
        <f aca="false">IFERROR(IF(OR(HLOOKUP($A872,#REF!,12,FALSE())&gt;2,HLOOKUP($A872,#REF!,12,FALSE())&lt;-2),"",#REF!),"")</f>
        <v/>
      </c>
      <c r="O872" s="0" t="str">
        <f aca="false">IFERROR(IF(OR(HLOOKUP($A872,#REF!,13,FALSE())&gt;2,HLOOKUP($A872,#REF!,13,FALSE())&lt;-2),"",#REF!),"")</f>
        <v/>
      </c>
      <c r="P872" s="0" t="str">
        <f aca="false">IFERROR(IF(OR(HLOOKUP($A872,#REF!,14,FALSE())&gt;2,HLOOKUP($A872,#REF!,14,FALSE())&lt;-2),"",#REF!),"")</f>
        <v/>
      </c>
      <c r="Q872" s="0" t="str">
        <f aca="false">IFERROR(IF(OR(HLOOKUP($A872,#REF!,15,FALSE())&gt;2,HLOOKUP($A872,#REF!,15,FALSE())&lt;-2),"",#REF!),"")</f>
        <v/>
      </c>
      <c r="R872" s="0" t="str">
        <f aca="false">IFERROR(IF(OR(HLOOKUP($A872,#REF!,16,FALSE())&gt;2,HLOOKUP($A872,#REF!,16,FALSE())&lt;-2),"",#REF!),"")</f>
        <v/>
      </c>
      <c r="S872" s="0" t="str">
        <f aca="false">IFERROR(IF(OR(HLOOKUP($A872,#REF!,17,FALSE())&gt;2,HLOOKUP($A872,#REF!,17,FALSE())&lt;-2),"",#REF!),"")</f>
        <v/>
      </c>
      <c r="T872" s="0" t="str">
        <f aca="false">IFERROR(IF(OR(HLOOKUP($A872,#REF!,18,FALSE())&gt;2,HLOOKUP($A872,#REF!,18,FALSE())&lt;-2),"",#REF!),"")</f>
        <v/>
      </c>
      <c r="U872" s="0" t="str">
        <f aca="false">IFERROR(IF(OR(HLOOKUP($A872,#REF!,19,FALSE())&gt;2,HLOOKUP($A872,#REF!,19,FALSE())&lt;-2),"",#REF!),"")</f>
        <v/>
      </c>
      <c r="V872" s="0" t="n">
        <f aca="false">IFERROR(IF(AND(X872=0,Y872=0),0,1),0)</f>
        <v>1</v>
      </c>
      <c r="W872" s="3" t="str">
        <f aca="false">IFERROR(_xlfn.T.TEST(E872:M872,N872:U872,2,2),"")</f>
        <v/>
      </c>
      <c r="X872" s="0" t="str">
        <f aca="false">IFERROR(AVERAGE(E872:M872),"")</f>
        <v/>
      </c>
      <c r="Y872" s="0" t="str">
        <f aca="false">IFERROR(AVERAGE(N872:U872),"")</f>
        <v/>
      </c>
    </row>
    <row r="873" customFormat="false" ht="14.5" hidden="false" customHeight="false" outlineLevel="0" collapsed="false">
      <c r="A873" s="0" t="n">
        <v>881</v>
      </c>
      <c r="B873" s="0" t="s">
        <v>926</v>
      </c>
      <c r="C873" s="0" t="n">
        <v>85600</v>
      </c>
      <c r="D873" s="0" t="n">
        <v>867</v>
      </c>
      <c r="E873" s="0" t="str">
        <f aca="false">IFERROR(IF(OR(HLOOKUP($A873,#REF!,3,FALSE())&gt;2,HLOOKUP(A873,#REF!,3,FALSE())&lt;-2),"",#REF!),"")</f>
        <v/>
      </c>
      <c r="F873" s="0" t="str">
        <f aca="false">IFERROR(IF(OR(HLOOKUP($A873,#REF!,4,FALSE())&gt;2,HLOOKUP($A873,#REF!,4,FALSE())&lt;-2),"",#REF!),"")</f>
        <v/>
      </c>
      <c r="G873" s="0" t="str">
        <f aca="false">IFERROR(IF(OR(HLOOKUP($A873,#REF!,5,FALSE())&gt;2,HLOOKUP($A873,#REF!,5,FALSE())&lt;-2),"",#REF!),"")</f>
        <v/>
      </c>
      <c r="H873" s="0" t="str">
        <f aca="false">IFERROR(IF(OR(HLOOKUP($A873,#REF!,6,FALSE())&gt;2,HLOOKUP($A873,#REF!,6,FALSE())&lt;-2),"",#REF!),"")</f>
        <v/>
      </c>
      <c r="I873" s="0" t="str">
        <f aca="false">IFERROR(IF(OR(HLOOKUP($A873,#REF!,7,FALSE())&gt;2,HLOOKUP($A873,#REF!,7,FALSE())&lt;-2),"",#REF!),"")</f>
        <v/>
      </c>
      <c r="J873" s="0" t="str">
        <f aca="false">IFERROR(IF(OR(HLOOKUP($A873,#REF!,8,FALSE())&gt;2,HLOOKUP($A873,#REF!,8,FALSE())&lt;-2),"",#REF!),"")</f>
        <v/>
      </c>
      <c r="K873" s="0" t="str">
        <f aca="false">IFERROR(IF(OR(HLOOKUP($A873,#REF!,9,FALSE())&gt;2,HLOOKUP($A873,#REF!,9,FALSE())&lt;-2),"",#REF!),"")</f>
        <v/>
      </c>
      <c r="L873" s="0" t="str">
        <f aca="false">IFERROR(IF(OR(HLOOKUP($A873,#REF!,10,FALSE())&gt;2,HLOOKUP($A873,#REF!,10,FALSE())&lt;-2),"",#REF!),"")</f>
        <v/>
      </c>
      <c r="M873" s="0" t="str">
        <f aca="false">IFERROR(IF(OR(HLOOKUP($A873,#REF!,11,FALSE())&gt;2,HLOOKUP($A873,#REF!,11,FALSE())&lt;-2),"",#REF!),"")</f>
        <v/>
      </c>
      <c r="N873" s="0" t="str">
        <f aca="false">IFERROR(IF(OR(HLOOKUP($A873,#REF!,12,FALSE())&gt;2,HLOOKUP($A873,#REF!,12,FALSE())&lt;-2),"",#REF!),"")</f>
        <v/>
      </c>
      <c r="O873" s="0" t="str">
        <f aca="false">IFERROR(IF(OR(HLOOKUP($A873,#REF!,13,FALSE())&gt;2,HLOOKUP($A873,#REF!,13,FALSE())&lt;-2),"",#REF!),"")</f>
        <v/>
      </c>
      <c r="P873" s="0" t="str">
        <f aca="false">IFERROR(IF(OR(HLOOKUP($A873,#REF!,14,FALSE())&gt;2,HLOOKUP($A873,#REF!,14,FALSE())&lt;-2),"",#REF!),"")</f>
        <v/>
      </c>
      <c r="Q873" s="0" t="str">
        <f aca="false">IFERROR(IF(OR(HLOOKUP($A873,#REF!,15,FALSE())&gt;2,HLOOKUP($A873,#REF!,15,FALSE())&lt;-2),"",#REF!),"")</f>
        <v/>
      </c>
      <c r="R873" s="0" t="str">
        <f aca="false">IFERROR(IF(OR(HLOOKUP($A873,#REF!,16,FALSE())&gt;2,HLOOKUP($A873,#REF!,16,FALSE())&lt;-2),"",#REF!),"")</f>
        <v/>
      </c>
      <c r="S873" s="0" t="str">
        <f aca="false">IFERROR(IF(OR(HLOOKUP($A873,#REF!,17,FALSE())&gt;2,HLOOKUP($A873,#REF!,17,FALSE())&lt;-2),"",#REF!),"")</f>
        <v/>
      </c>
      <c r="T873" s="0" t="str">
        <f aca="false">IFERROR(IF(OR(HLOOKUP($A873,#REF!,18,FALSE())&gt;2,HLOOKUP($A873,#REF!,18,FALSE())&lt;-2),"",#REF!),"")</f>
        <v/>
      </c>
      <c r="U873" s="0" t="str">
        <f aca="false">IFERROR(IF(OR(HLOOKUP($A873,#REF!,19,FALSE())&gt;2,HLOOKUP($A873,#REF!,19,FALSE())&lt;-2),"",#REF!),"")</f>
        <v/>
      </c>
      <c r="V873" s="0" t="n">
        <f aca="false">IFERROR(IF(AND(X873=0,Y873=0),0,1),0)</f>
        <v>1</v>
      </c>
      <c r="W873" s="3" t="str">
        <f aca="false">IFERROR(_xlfn.T.TEST(E873:M873,N873:U873,2,2),"")</f>
        <v/>
      </c>
      <c r="X873" s="0" t="str">
        <f aca="false">IFERROR(AVERAGE(E873:M873),"")</f>
        <v/>
      </c>
      <c r="Y873" s="0" t="str">
        <f aca="false">IFERROR(AVERAGE(N873:U873),"")</f>
        <v/>
      </c>
    </row>
    <row r="874" customFormat="false" ht="14.5" hidden="false" customHeight="false" outlineLevel="0" collapsed="false">
      <c r="A874" s="0" t="n">
        <v>882</v>
      </c>
      <c r="B874" s="0" t="s">
        <v>927</v>
      </c>
      <c r="C874" s="0" t="n">
        <v>2000</v>
      </c>
      <c r="D874" s="0" t="n">
        <v>985</v>
      </c>
      <c r="E874" s="0" t="str">
        <f aca="false">IFERROR(IF(OR(HLOOKUP($A874,#REF!,3,FALSE())&gt;2,HLOOKUP(A874,#REF!,3,FALSE())&lt;-2),"",#REF!),"")</f>
        <v/>
      </c>
      <c r="F874" s="0" t="str">
        <f aca="false">IFERROR(IF(OR(HLOOKUP($A874,#REF!,4,FALSE())&gt;2,HLOOKUP($A874,#REF!,4,FALSE())&lt;-2),"",#REF!),"")</f>
        <v/>
      </c>
      <c r="G874" s="0" t="str">
        <f aca="false">IFERROR(IF(OR(HLOOKUP($A874,#REF!,5,FALSE())&gt;2,HLOOKUP($A874,#REF!,5,FALSE())&lt;-2),"",#REF!),"")</f>
        <v/>
      </c>
      <c r="H874" s="0" t="str">
        <f aca="false">IFERROR(IF(OR(HLOOKUP($A874,#REF!,6,FALSE())&gt;2,HLOOKUP($A874,#REF!,6,FALSE())&lt;-2),"",#REF!),"")</f>
        <v/>
      </c>
      <c r="I874" s="0" t="str">
        <f aca="false">IFERROR(IF(OR(HLOOKUP($A874,#REF!,7,FALSE())&gt;2,HLOOKUP($A874,#REF!,7,FALSE())&lt;-2),"",#REF!),"")</f>
        <v/>
      </c>
      <c r="J874" s="0" t="str">
        <f aca="false">IFERROR(IF(OR(HLOOKUP($A874,#REF!,8,FALSE())&gt;2,HLOOKUP($A874,#REF!,8,FALSE())&lt;-2),"",#REF!),"")</f>
        <v/>
      </c>
      <c r="K874" s="0" t="str">
        <f aca="false">IFERROR(IF(OR(HLOOKUP($A874,#REF!,9,FALSE())&gt;2,HLOOKUP($A874,#REF!,9,FALSE())&lt;-2),"",#REF!),"")</f>
        <v/>
      </c>
      <c r="L874" s="0" t="str">
        <f aca="false">IFERROR(IF(OR(HLOOKUP($A874,#REF!,10,FALSE())&gt;2,HLOOKUP($A874,#REF!,10,FALSE())&lt;-2),"",#REF!),"")</f>
        <v/>
      </c>
      <c r="M874" s="0" t="str">
        <f aca="false">IFERROR(IF(OR(HLOOKUP($A874,#REF!,11,FALSE())&gt;2,HLOOKUP($A874,#REF!,11,FALSE())&lt;-2),"",#REF!),"")</f>
        <v/>
      </c>
      <c r="N874" s="0" t="str">
        <f aca="false">IFERROR(IF(OR(HLOOKUP($A874,#REF!,12,FALSE())&gt;2,HLOOKUP($A874,#REF!,12,FALSE())&lt;-2),"",#REF!),"")</f>
        <v/>
      </c>
      <c r="O874" s="0" t="str">
        <f aca="false">IFERROR(IF(OR(HLOOKUP($A874,#REF!,13,FALSE())&gt;2,HLOOKUP($A874,#REF!,13,FALSE())&lt;-2),"",#REF!),"")</f>
        <v/>
      </c>
      <c r="P874" s="0" t="str">
        <f aca="false">IFERROR(IF(OR(HLOOKUP($A874,#REF!,14,FALSE())&gt;2,HLOOKUP($A874,#REF!,14,FALSE())&lt;-2),"",#REF!),"")</f>
        <v/>
      </c>
      <c r="Q874" s="0" t="str">
        <f aca="false">IFERROR(IF(OR(HLOOKUP($A874,#REF!,15,FALSE())&gt;2,HLOOKUP($A874,#REF!,15,FALSE())&lt;-2),"",#REF!),"")</f>
        <v/>
      </c>
      <c r="R874" s="0" t="str">
        <f aca="false">IFERROR(IF(OR(HLOOKUP($A874,#REF!,16,FALSE())&gt;2,HLOOKUP($A874,#REF!,16,FALSE())&lt;-2),"",#REF!),"")</f>
        <v/>
      </c>
      <c r="S874" s="0" t="str">
        <f aca="false">IFERROR(IF(OR(HLOOKUP($A874,#REF!,17,FALSE())&gt;2,HLOOKUP($A874,#REF!,17,FALSE())&lt;-2),"",#REF!),"")</f>
        <v/>
      </c>
      <c r="T874" s="0" t="str">
        <f aca="false">IFERROR(IF(OR(HLOOKUP($A874,#REF!,18,FALSE())&gt;2,HLOOKUP($A874,#REF!,18,FALSE())&lt;-2),"",#REF!),"")</f>
        <v/>
      </c>
      <c r="U874" s="0" t="str">
        <f aca="false">IFERROR(IF(OR(HLOOKUP($A874,#REF!,19,FALSE())&gt;2,HLOOKUP($A874,#REF!,19,FALSE())&lt;-2),"",#REF!),"")</f>
        <v/>
      </c>
      <c r="V874" s="0" t="n">
        <f aca="false">IFERROR(IF(AND(X874=0,Y874=0),0,1),0)</f>
        <v>1</v>
      </c>
      <c r="W874" s="3" t="str">
        <f aca="false">IFERROR(_xlfn.T.TEST(E874:M874,N874:U874,2,2),"")</f>
        <v/>
      </c>
      <c r="X874" s="0" t="str">
        <f aca="false">IFERROR(AVERAGE(E874:M874),"")</f>
        <v/>
      </c>
      <c r="Y874" s="0" t="str">
        <f aca="false">IFERROR(AVERAGE(N874:U874),"")</f>
        <v/>
      </c>
    </row>
    <row r="875" customFormat="false" ht="14.5" hidden="false" customHeight="false" outlineLevel="0" collapsed="false">
      <c r="A875" s="0" t="n">
        <v>883</v>
      </c>
      <c r="B875" s="0" t="s">
        <v>928</v>
      </c>
      <c r="C875" s="0" t="n">
        <v>86000</v>
      </c>
      <c r="D875" s="0" t="n">
        <v>881</v>
      </c>
      <c r="E875" s="0" t="str">
        <f aca="false">IFERROR(IF(OR(HLOOKUP($A875,#REF!,3,FALSE())&gt;2,HLOOKUP(A875,#REF!,3,FALSE())&lt;-2),"",#REF!),"")</f>
        <v/>
      </c>
      <c r="F875" s="0" t="str">
        <f aca="false">IFERROR(IF(OR(HLOOKUP($A875,#REF!,4,FALSE())&gt;2,HLOOKUP($A875,#REF!,4,FALSE())&lt;-2),"",#REF!),"")</f>
        <v/>
      </c>
      <c r="G875" s="0" t="str">
        <f aca="false">IFERROR(IF(OR(HLOOKUP($A875,#REF!,5,FALSE())&gt;2,HLOOKUP($A875,#REF!,5,FALSE())&lt;-2),"",#REF!),"")</f>
        <v/>
      </c>
      <c r="H875" s="0" t="str">
        <f aca="false">IFERROR(IF(OR(HLOOKUP($A875,#REF!,6,FALSE())&gt;2,HLOOKUP($A875,#REF!,6,FALSE())&lt;-2),"",#REF!),"")</f>
        <v/>
      </c>
      <c r="I875" s="0" t="str">
        <f aca="false">IFERROR(IF(OR(HLOOKUP($A875,#REF!,7,FALSE())&gt;2,HLOOKUP($A875,#REF!,7,FALSE())&lt;-2),"",#REF!),"")</f>
        <v/>
      </c>
      <c r="J875" s="0" t="str">
        <f aca="false">IFERROR(IF(OR(HLOOKUP($A875,#REF!,8,FALSE())&gt;2,HLOOKUP($A875,#REF!,8,FALSE())&lt;-2),"",#REF!),"")</f>
        <v/>
      </c>
      <c r="K875" s="0" t="str">
        <f aca="false">IFERROR(IF(OR(HLOOKUP($A875,#REF!,9,FALSE())&gt;2,HLOOKUP($A875,#REF!,9,FALSE())&lt;-2),"",#REF!),"")</f>
        <v/>
      </c>
      <c r="L875" s="0" t="str">
        <f aca="false">IFERROR(IF(OR(HLOOKUP($A875,#REF!,10,FALSE())&gt;2,HLOOKUP($A875,#REF!,10,FALSE())&lt;-2),"",#REF!),"")</f>
        <v/>
      </c>
      <c r="M875" s="0" t="str">
        <f aca="false">IFERROR(IF(OR(HLOOKUP($A875,#REF!,11,FALSE())&gt;2,HLOOKUP($A875,#REF!,11,FALSE())&lt;-2),"",#REF!),"")</f>
        <v/>
      </c>
      <c r="N875" s="0" t="str">
        <f aca="false">IFERROR(IF(OR(HLOOKUP($A875,#REF!,12,FALSE())&gt;2,HLOOKUP($A875,#REF!,12,FALSE())&lt;-2),"",#REF!),"")</f>
        <v/>
      </c>
      <c r="O875" s="0" t="str">
        <f aca="false">IFERROR(IF(OR(HLOOKUP($A875,#REF!,13,FALSE())&gt;2,HLOOKUP($A875,#REF!,13,FALSE())&lt;-2),"",#REF!),"")</f>
        <v/>
      </c>
      <c r="P875" s="0" t="str">
        <f aca="false">IFERROR(IF(OR(HLOOKUP($A875,#REF!,14,FALSE())&gt;2,HLOOKUP($A875,#REF!,14,FALSE())&lt;-2),"",#REF!),"")</f>
        <v/>
      </c>
      <c r="Q875" s="0" t="str">
        <f aca="false">IFERROR(IF(OR(HLOOKUP($A875,#REF!,15,FALSE())&gt;2,HLOOKUP($A875,#REF!,15,FALSE())&lt;-2),"",#REF!),"")</f>
        <v/>
      </c>
      <c r="R875" s="0" t="str">
        <f aca="false">IFERROR(IF(OR(HLOOKUP($A875,#REF!,16,FALSE())&gt;2,HLOOKUP($A875,#REF!,16,FALSE())&lt;-2),"",#REF!),"")</f>
        <v/>
      </c>
      <c r="S875" s="0" t="str">
        <f aca="false">IFERROR(IF(OR(HLOOKUP($A875,#REF!,17,FALSE())&gt;2,HLOOKUP($A875,#REF!,17,FALSE())&lt;-2),"",#REF!),"")</f>
        <v/>
      </c>
      <c r="T875" s="0" t="str">
        <f aca="false">IFERROR(IF(OR(HLOOKUP($A875,#REF!,18,FALSE())&gt;2,HLOOKUP($A875,#REF!,18,FALSE())&lt;-2),"",#REF!),"")</f>
        <v/>
      </c>
      <c r="U875" s="0" t="str">
        <f aca="false">IFERROR(IF(OR(HLOOKUP($A875,#REF!,19,FALSE())&gt;2,HLOOKUP($A875,#REF!,19,FALSE())&lt;-2),"",#REF!),"")</f>
        <v/>
      </c>
      <c r="V875" s="0" t="n">
        <f aca="false">IFERROR(IF(AND(X875=0,Y875=0),0,1),0)</f>
        <v>1</v>
      </c>
      <c r="W875" s="3" t="str">
        <f aca="false">IFERROR(_xlfn.T.TEST(E875:M875,N875:U875,2,2),"")</f>
        <v/>
      </c>
      <c r="X875" s="0" t="str">
        <f aca="false">IFERROR(AVERAGE(E875:M875),"")</f>
        <v/>
      </c>
      <c r="Y875" s="0" t="str">
        <f aca="false">IFERROR(AVERAGE(N875:U875),"")</f>
        <v/>
      </c>
    </row>
    <row r="876" customFormat="false" ht="14.5" hidden="false" customHeight="false" outlineLevel="0" collapsed="false">
      <c r="A876" s="0" t="n">
        <v>884</v>
      </c>
      <c r="B876" s="0" t="s">
        <v>929</v>
      </c>
      <c r="C876" s="0" t="n">
        <v>110700</v>
      </c>
      <c r="D876" s="0" t="n">
        <v>768</v>
      </c>
      <c r="E876" s="0" t="str">
        <f aca="false">IFERROR(IF(OR(HLOOKUP($A876,#REF!,3,FALSE())&gt;2,HLOOKUP(A876,#REF!,3,FALSE())&lt;-2),"",#REF!),"")</f>
        <v/>
      </c>
      <c r="F876" s="0" t="str">
        <f aca="false">IFERROR(IF(OR(HLOOKUP($A876,#REF!,4,FALSE())&gt;2,HLOOKUP($A876,#REF!,4,FALSE())&lt;-2),"",#REF!),"")</f>
        <v/>
      </c>
      <c r="G876" s="0" t="str">
        <f aca="false">IFERROR(IF(OR(HLOOKUP($A876,#REF!,5,FALSE())&gt;2,HLOOKUP($A876,#REF!,5,FALSE())&lt;-2),"",#REF!),"")</f>
        <v/>
      </c>
      <c r="H876" s="0" t="str">
        <f aca="false">IFERROR(IF(OR(HLOOKUP($A876,#REF!,6,FALSE())&gt;2,HLOOKUP($A876,#REF!,6,FALSE())&lt;-2),"",#REF!),"")</f>
        <v/>
      </c>
      <c r="I876" s="0" t="str">
        <f aca="false">IFERROR(IF(OR(HLOOKUP($A876,#REF!,7,FALSE())&gt;2,HLOOKUP($A876,#REF!,7,FALSE())&lt;-2),"",#REF!),"")</f>
        <v/>
      </c>
      <c r="J876" s="0" t="str">
        <f aca="false">IFERROR(IF(OR(HLOOKUP($A876,#REF!,8,FALSE())&gt;2,HLOOKUP($A876,#REF!,8,FALSE())&lt;-2),"",#REF!),"")</f>
        <v/>
      </c>
      <c r="K876" s="0" t="str">
        <f aca="false">IFERROR(IF(OR(HLOOKUP($A876,#REF!,9,FALSE())&gt;2,HLOOKUP($A876,#REF!,9,FALSE())&lt;-2),"",#REF!),"")</f>
        <v/>
      </c>
      <c r="L876" s="0" t="str">
        <f aca="false">IFERROR(IF(OR(HLOOKUP($A876,#REF!,10,FALSE())&gt;2,HLOOKUP($A876,#REF!,10,FALSE())&lt;-2),"",#REF!),"")</f>
        <v/>
      </c>
      <c r="M876" s="0" t="str">
        <f aca="false">IFERROR(IF(OR(HLOOKUP($A876,#REF!,11,FALSE())&gt;2,HLOOKUP($A876,#REF!,11,FALSE())&lt;-2),"",#REF!),"")</f>
        <v/>
      </c>
      <c r="N876" s="0" t="str">
        <f aca="false">IFERROR(IF(OR(HLOOKUP($A876,#REF!,12,FALSE())&gt;2,HLOOKUP($A876,#REF!,12,FALSE())&lt;-2),"",#REF!),"")</f>
        <v/>
      </c>
      <c r="O876" s="0" t="str">
        <f aca="false">IFERROR(IF(OR(HLOOKUP($A876,#REF!,13,FALSE())&gt;2,HLOOKUP($A876,#REF!,13,FALSE())&lt;-2),"",#REF!),"")</f>
        <v/>
      </c>
      <c r="P876" s="0" t="str">
        <f aca="false">IFERROR(IF(OR(HLOOKUP($A876,#REF!,14,FALSE())&gt;2,HLOOKUP($A876,#REF!,14,FALSE())&lt;-2),"",#REF!),"")</f>
        <v/>
      </c>
      <c r="Q876" s="0" t="str">
        <f aca="false">IFERROR(IF(OR(HLOOKUP($A876,#REF!,15,FALSE())&gt;2,HLOOKUP($A876,#REF!,15,FALSE())&lt;-2),"",#REF!),"")</f>
        <v/>
      </c>
      <c r="R876" s="0" t="str">
        <f aca="false">IFERROR(IF(OR(HLOOKUP($A876,#REF!,16,FALSE())&gt;2,HLOOKUP($A876,#REF!,16,FALSE())&lt;-2),"",#REF!),"")</f>
        <v/>
      </c>
      <c r="S876" s="0" t="str">
        <f aca="false">IFERROR(IF(OR(HLOOKUP($A876,#REF!,17,FALSE())&gt;2,HLOOKUP($A876,#REF!,17,FALSE())&lt;-2),"",#REF!),"")</f>
        <v/>
      </c>
      <c r="T876" s="0" t="str">
        <f aca="false">IFERROR(IF(OR(HLOOKUP($A876,#REF!,18,FALSE())&gt;2,HLOOKUP($A876,#REF!,18,FALSE())&lt;-2),"",#REF!),"")</f>
        <v/>
      </c>
      <c r="U876" s="0" t="str">
        <f aca="false">IFERROR(IF(OR(HLOOKUP($A876,#REF!,19,FALSE())&gt;2,HLOOKUP($A876,#REF!,19,FALSE())&lt;-2),"",#REF!),"")</f>
        <v/>
      </c>
      <c r="V876" s="0" t="n">
        <f aca="false">IFERROR(IF(AND(X876=0,Y876=0),0,1),0)</f>
        <v>1</v>
      </c>
      <c r="W876" s="3" t="str">
        <f aca="false">IFERROR(_xlfn.T.TEST(E876:M876,N876:U876,2,2),"")</f>
        <v/>
      </c>
      <c r="X876" s="0" t="str">
        <f aca="false">IFERROR(AVERAGE(E876:M876),"")</f>
        <v/>
      </c>
      <c r="Y876" s="0" t="str">
        <f aca="false">IFERROR(AVERAGE(N876:U876),"")</f>
        <v/>
      </c>
    </row>
    <row r="877" customFormat="false" ht="14.5" hidden="false" customHeight="false" outlineLevel="0" collapsed="false">
      <c r="A877" s="0" t="n">
        <v>885</v>
      </c>
      <c r="B877" s="0" t="s">
        <v>930</v>
      </c>
      <c r="C877" s="0" t="n">
        <v>97400</v>
      </c>
      <c r="D877" s="0" t="n">
        <v>967</v>
      </c>
      <c r="E877" s="0" t="str">
        <f aca="false">IFERROR(IF(OR(HLOOKUP($A877,#REF!,3,FALSE())&gt;2,HLOOKUP(A877,#REF!,3,FALSE())&lt;-2),"",#REF!),"")</f>
        <v/>
      </c>
      <c r="F877" s="0" t="str">
        <f aca="false">IFERROR(IF(OR(HLOOKUP($A877,#REF!,4,FALSE())&gt;2,HLOOKUP($A877,#REF!,4,FALSE())&lt;-2),"",#REF!),"")</f>
        <v/>
      </c>
      <c r="G877" s="0" t="str">
        <f aca="false">IFERROR(IF(OR(HLOOKUP($A877,#REF!,5,FALSE())&gt;2,HLOOKUP($A877,#REF!,5,FALSE())&lt;-2),"",#REF!),"")</f>
        <v/>
      </c>
      <c r="H877" s="0" t="str">
        <f aca="false">IFERROR(IF(OR(HLOOKUP($A877,#REF!,6,FALSE())&gt;2,HLOOKUP($A877,#REF!,6,FALSE())&lt;-2),"",#REF!),"")</f>
        <v/>
      </c>
      <c r="I877" s="0" t="str">
        <f aca="false">IFERROR(IF(OR(HLOOKUP($A877,#REF!,7,FALSE())&gt;2,HLOOKUP($A877,#REF!,7,FALSE())&lt;-2),"",#REF!),"")</f>
        <v/>
      </c>
      <c r="J877" s="0" t="str">
        <f aca="false">IFERROR(IF(OR(HLOOKUP($A877,#REF!,8,FALSE())&gt;2,HLOOKUP($A877,#REF!,8,FALSE())&lt;-2),"",#REF!),"")</f>
        <v/>
      </c>
      <c r="K877" s="0" t="str">
        <f aca="false">IFERROR(IF(OR(HLOOKUP($A877,#REF!,9,FALSE())&gt;2,HLOOKUP($A877,#REF!,9,FALSE())&lt;-2),"",#REF!),"")</f>
        <v/>
      </c>
      <c r="L877" s="0" t="str">
        <f aca="false">IFERROR(IF(OR(HLOOKUP($A877,#REF!,10,FALSE())&gt;2,HLOOKUP($A877,#REF!,10,FALSE())&lt;-2),"",#REF!),"")</f>
        <v/>
      </c>
      <c r="M877" s="0" t="str">
        <f aca="false">IFERROR(IF(OR(HLOOKUP($A877,#REF!,11,FALSE())&gt;2,HLOOKUP($A877,#REF!,11,FALSE())&lt;-2),"",#REF!),"")</f>
        <v/>
      </c>
      <c r="N877" s="0" t="str">
        <f aca="false">IFERROR(IF(OR(HLOOKUP($A877,#REF!,12,FALSE())&gt;2,HLOOKUP($A877,#REF!,12,FALSE())&lt;-2),"",#REF!),"")</f>
        <v/>
      </c>
      <c r="O877" s="0" t="str">
        <f aca="false">IFERROR(IF(OR(HLOOKUP($A877,#REF!,13,FALSE())&gt;2,HLOOKUP($A877,#REF!,13,FALSE())&lt;-2),"",#REF!),"")</f>
        <v/>
      </c>
      <c r="P877" s="0" t="str">
        <f aca="false">IFERROR(IF(OR(HLOOKUP($A877,#REF!,14,FALSE())&gt;2,HLOOKUP($A877,#REF!,14,FALSE())&lt;-2),"",#REF!),"")</f>
        <v/>
      </c>
      <c r="Q877" s="0" t="str">
        <f aca="false">IFERROR(IF(OR(HLOOKUP($A877,#REF!,15,FALSE())&gt;2,HLOOKUP($A877,#REF!,15,FALSE())&lt;-2),"",#REF!),"")</f>
        <v/>
      </c>
      <c r="R877" s="0" t="str">
        <f aca="false">IFERROR(IF(OR(HLOOKUP($A877,#REF!,16,FALSE())&gt;2,HLOOKUP($A877,#REF!,16,FALSE())&lt;-2),"",#REF!),"")</f>
        <v/>
      </c>
      <c r="S877" s="0" t="str">
        <f aca="false">IFERROR(IF(OR(HLOOKUP($A877,#REF!,17,FALSE())&gt;2,HLOOKUP($A877,#REF!,17,FALSE())&lt;-2),"",#REF!),"")</f>
        <v/>
      </c>
      <c r="T877" s="0" t="str">
        <f aca="false">IFERROR(IF(OR(HLOOKUP($A877,#REF!,18,FALSE())&gt;2,HLOOKUP($A877,#REF!,18,FALSE())&lt;-2),"",#REF!),"")</f>
        <v/>
      </c>
      <c r="U877" s="0" t="str">
        <f aca="false">IFERROR(IF(OR(HLOOKUP($A877,#REF!,19,FALSE())&gt;2,HLOOKUP($A877,#REF!,19,FALSE())&lt;-2),"",#REF!),"")</f>
        <v/>
      </c>
      <c r="V877" s="0" t="n">
        <f aca="false">IFERROR(IF(AND(X877=0,Y877=0),0,1),0)</f>
        <v>1</v>
      </c>
      <c r="W877" s="3" t="str">
        <f aca="false">IFERROR(_xlfn.T.TEST(E877:M877,N877:U877,2,2),"")</f>
        <v/>
      </c>
      <c r="X877" s="0" t="str">
        <f aca="false">IFERROR(AVERAGE(E877:M877),"")</f>
        <v/>
      </c>
      <c r="Y877" s="0" t="str">
        <f aca="false">IFERROR(AVERAGE(N877:U877),"")</f>
        <v/>
      </c>
    </row>
    <row r="878" customFormat="false" ht="14.5" hidden="false" customHeight="false" outlineLevel="0" collapsed="false">
      <c r="A878" s="0" t="n">
        <v>886</v>
      </c>
      <c r="B878" s="0" t="s">
        <v>931</v>
      </c>
      <c r="C878" s="0" t="n">
        <v>26600</v>
      </c>
      <c r="D878" s="0" t="n">
        <v>254</v>
      </c>
      <c r="E878" s="0" t="str">
        <f aca="false">IFERROR(IF(OR(HLOOKUP($A878,#REF!,3,FALSE())&gt;2,HLOOKUP(A878,#REF!,3,FALSE())&lt;-2),"",#REF!),"")</f>
        <v/>
      </c>
      <c r="F878" s="0" t="str">
        <f aca="false">IFERROR(IF(OR(HLOOKUP($A878,#REF!,4,FALSE())&gt;2,HLOOKUP($A878,#REF!,4,FALSE())&lt;-2),"",#REF!),"")</f>
        <v/>
      </c>
      <c r="G878" s="0" t="str">
        <f aca="false">IFERROR(IF(OR(HLOOKUP($A878,#REF!,5,FALSE())&gt;2,HLOOKUP($A878,#REF!,5,FALSE())&lt;-2),"",#REF!),"")</f>
        <v/>
      </c>
      <c r="H878" s="0" t="str">
        <f aca="false">IFERROR(IF(OR(HLOOKUP($A878,#REF!,6,FALSE())&gt;2,HLOOKUP($A878,#REF!,6,FALSE())&lt;-2),"",#REF!),"")</f>
        <v/>
      </c>
      <c r="I878" s="0" t="str">
        <f aca="false">IFERROR(IF(OR(HLOOKUP($A878,#REF!,7,FALSE())&gt;2,HLOOKUP($A878,#REF!,7,FALSE())&lt;-2),"",#REF!),"")</f>
        <v/>
      </c>
      <c r="J878" s="0" t="str">
        <f aca="false">IFERROR(IF(OR(HLOOKUP($A878,#REF!,8,FALSE())&gt;2,HLOOKUP($A878,#REF!,8,FALSE())&lt;-2),"",#REF!),"")</f>
        <v/>
      </c>
      <c r="K878" s="0" t="str">
        <f aca="false">IFERROR(IF(OR(HLOOKUP($A878,#REF!,9,FALSE())&gt;2,HLOOKUP($A878,#REF!,9,FALSE())&lt;-2),"",#REF!),"")</f>
        <v/>
      </c>
      <c r="L878" s="0" t="str">
        <f aca="false">IFERROR(IF(OR(HLOOKUP($A878,#REF!,10,FALSE())&gt;2,HLOOKUP($A878,#REF!,10,FALSE())&lt;-2),"",#REF!),"")</f>
        <v/>
      </c>
      <c r="M878" s="0" t="str">
        <f aca="false">IFERROR(IF(OR(HLOOKUP($A878,#REF!,11,FALSE())&gt;2,HLOOKUP($A878,#REF!,11,FALSE())&lt;-2),"",#REF!),"")</f>
        <v/>
      </c>
      <c r="N878" s="0" t="str">
        <f aca="false">IFERROR(IF(OR(HLOOKUP($A878,#REF!,12,FALSE())&gt;2,HLOOKUP($A878,#REF!,12,FALSE())&lt;-2),"",#REF!),"")</f>
        <v/>
      </c>
      <c r="O878" s="0" t="str">
        <f aca="false">IFERROR(IF(OR(HLOOKUP($A878,#REF!,13,FALSE())&gt;2,HLOOKUP($A878,#REF!,13,FALSE())&lt;-2),"",#REF!),"")</f>
        <v/>
      </c>
      <c r="P878" s="0" t="str">
        <f aca="false">IFERROR(IF(OR(HLOOKUP($A878,#REF!,14,FALSE())&gt;2,HLOOKUP($A878,#REF!,14,FALSE())&lt;-2),"",#REF!),"")</f>
        <v/>
      </c>
      <c r="Q878" s="0" t="str">
        <f aca="false">IFERROR(IF(OR(HLOOKUP($A878,#REF!,15,FALSE())&gt;2,HLOOKUP($A878,#REF!,15,FALSE())&lt;-2),"",#REF!),"")</f>
        <v/>
      </c>
      <c r="R878" s="0" t="str">
        <f aca="false">IFERROR(IF(OR(HLOOKUP($A878,#REF!,16,FALSE())&gt;2,HLOOKUP($A878,#REF!,16,FALSE())&lt;-2),"",#REF!),"")</f>
        <v/>
      </c>
      <c r="S878" s="0" t="str">
        <f aca="false">IFERROR(IF(OR(HLOOKUP($A878,#REF!,17,FALSE())&gt;2,HLOOKUP($A878,#REF!,17,FALSE())&lt;-2),"",#REF!),"")</f>
        <v/>
      </c>
      <c r="T878" s="0" t="str">
        <f aca="false">IFERROR(IF(OR(HLOOKUP($A878,#REF!,18,FALSE())&gt;2,HLOOKUP($A878,#REF!,18,FALSE())&lt;-2),"",#REF!),"")</f>
        <v/>
      </c>
      <c r="U878" s="0" t="str">
        <f aca="false">IFERROR(IF(OR(HLOOKUP($A878,#REF!,19,FALSE())&gt;2,HLOOKUP($A878,#REF!,19,FALSE())&lt;-2),"",#REF!),"")</f>
        <v/>
      </c>
      <c r="V878" s="0" t="n">
        <f aca="false">IFERROR(IF(AND(X878=0,Y878=0),0,1),0)</f>
        <v>1</v>
      </c>
      <c r="W878" s="3" t="str">
        <f aca="false">IFERROR(_xlfn.T.TEST(E878:M878,N878:U878,2,2),"")</f>
        <v/>
      </c>
      <c r="X878" s="0" t="str">
        <f aca="false">IFERROR(AVERAGE(E878:M878),"")</f>
        <v/>
      </c>
      <c r="Y878" s="0" t="str">
        <f aca="false">IFERROR(AVERAGE(N878:U878),"")</f>
        <v/>
      </c>
    </row>
    <row r="879" customFormat="false" ht="14.5" hidden="false" customHeight="false" outlineLevel="0" collapsed="false">
      <c r="A879" s="0" t="n">
        <v>887</v>
      </c>
      <c r="B879" s="0" t="s">
        <v>932</v>
      </c>
      <c r="C879" s="0" t="n">
        <v>93200</v>
      </c>
      <c r="D879" s="0" t="n">
        <v>370</v>
      </c>
      <c r="E879" s="0" t="str">
        <f aca="false">IFERROR(IF(OR(HLOOKUP($A879,#REF!,3,FALSE())&gt;2,HLOOKUP(A879,#REF!,3,FALSE())&lt;-2),"",#REF!),"")</f>
        <v/>
      </c>
      <c r="F879" s="0" t="str">
        <f aca="false">IFERROR(IF(OR(HLOOKUP($A879,#REF!,4,FALSE())&gt;2,HLOOKUP($A879,#REF!,4,FALSE())&lt;-2),"",#REF!),"")</f>
        <v/>
      </c>
      <c r="G879" s="0" t="str">
        <f aca="false">IFERROR(IF(OR(HLOOKUP($A879,#REF!,5,FALSE())&gt;2,HLOOKUP($A879,#REF!,5,FALSE())&lt;-2),"",#REF!),"")</f>
        <v/>
      </c>
      <c r="H879" s="0" t="str">
        <f aca="false">IFERROR(IF(OR(HLOOKUP($A879,#REF!,6,FALSE())&gt;2,HLOOKUP($A879,#REF!,6,FALSE())&lt;-2),"",#REF!),"")</f>
        <v/>
      </c>
      <c r="I879" s="0" t="str">
        <f aca="false">IFERROR(IF(OR(HLOOKUP($A879,#REF!,7,FALSE())&gt;2,HLOOKUP($A879,#REF!,7,FALSE())&lt;-2),"",#REF!),"")</f>
        <v/>
      </c>
      <c r="J879" s="0" t="str">
        <f aca="false">IFERROR(IF(OR(HLOOKUP($A879,#REF!,8,FALSE())&gt;2,HLOOKUP($A879,#REF!,8,FALSE())&lt;-2),"",#REF!),"")</f>
        <v/>
      </c>
      <c r="K879" s="0" t="str">
        <f aca="false">IFERROR(IF(OR(HLOOKUP($A879,#REF!,9,FALSE())&gt;2,HLOOKUP($A879,#REF!,9,FALSE())&lt;-2),"",#REF!),"")</f>
        <v/>
      </c>
      <c r="L879" s="0" t="str">
        <f aca="false">IFERROR(IF(OR(HLOOKUP($A879,#REF!,10,FALSE())&gt;2,HLOOKUP($A879,#REF!,10,FALSE())&lt;-2),"",#REF!),"")</f>
        <v/>
      </c>
      <c r="M879" s="0" t="str">
        <f aca="false">IFERROR(IF(OR(HLOOKUP($A879,#REF!,11,FALSE())&gt;2,HLOOKUP($A879,#REF!,11,FALSE())&lt;-2),"",#REF!),"")</f>
        <v/>
      </c>
      <c r="N879" s="0" t="str">
        <f aca="false">IFERROR(IF(OR(HLOOKUP($A879,#REF!,12,FALSE())&gt;2,HLOOKUP($A879,#REF!,12,FALSE())&lt;-2),"",#REF!),"")</f>
        <v/>
      </c>
      <c r="O879" s="0" t="str">
        <f aca="false">IFERROR(IF(OR(HLOOKUP($A879,#REF!,13,FALSE())&gt;2,HLOOKUP($A879,#REF!,13,FALSE())&lt;-2),"",#REF!),"")</f>
        <v/>
      </c>
      <c r="P879" s="0" t="str">
        <f aca="false">IFERROR(IF(OR(HLOOKUP($A879,#REF!,14,FALSE())&gt;2,HLOOKUP($A879,#REF!,14,FALSE())&lt;-2),"",#REF!),"")</f>
        <v/>
      </c>
      <c r="Q879" s="0" t="str">
        <f aca="false">IFERROR(IF(OR(HLOOKUP($A879,#REF!,15,FALSE())&gt;2,HLOOKUP($A879,#REF!,15,FALSE())&lt;-2),"",#REF!),"")</f>
        <v/>
      </c>
      <c r="R879" s="0" t="str">
        <f aca="false">IFERROR(IF(OR(HLOOKUP($A879,#REF!,16,FALSE())&gt;2,HLOOKUP($A879,#REF!,16,FALSE())&lt;-2),"",#REF!),"")</f>
        <v/>
      </c>
      <c r="S879" s="0" t="str">
        <f aca="false">IFERROR(IF(OR(HLOOKUP($A879,#REF!,17,FALSE())&gt;2,HLOOKUP($A879,#REF!,17,FALSE())&lt;-2),"",#REF!),"")</f>
        <v/>
      </c>
      <c r="T879" s="0" t="str">
        <f aca="false">IFERROR(IF(OR(HLOOKUP($A879,#REF!,18,FALSE())&gt;2,HLOOKUP($A879,#REF!,18,FALSE())&lt;-2),"",#REF!),"")</f>
        <v/>
      </c>
      <c r="U879" s="0" t="str">
        <f aca="false">IFERROR(IF(OR(HLOOKUP($A879,#REF!,19,FALSE())&gt;2,HLOOKUP($A879,#REF!,19,FALSE())&lt;-2),"",#REF!),"")</f>
        <v/>
      </c>
      <c r="V879" s="0" t="n">
        <f aca="false">IFERROR(IF(AND(X879=0,Y879=0),0,1),0)</f>
        <v>1</v>
      </c>
      <c r="W879" s="3" t="str">
        <f aca="false">IFERROR(_xlfn.T.TEST(E879:M879,N879:U879,2,2),"")</f>
        <v/>
      </c>
      <c r="X879" s="0" t="str">
        <f aca="false">IFERROR(AVERAGE(E879:M879),"")</f>
        <v/>
      </c>
      <c r="Y879" s="0" t="str">
        <f aca="false">IFERROR(AVERAGE(N879:U879),"")</f>
        <v/>
      </c>
    </row>
    <row r="880" customFormat="false" ht="14.5" hidden="false" customHeight="false" outlineLevel="0" collapsed="false">
      <c r="A880" s="0" t="n">
        <v>888</v>
      </c>
      <c r="B880" s="0" t="s">
        <v>933</v>
      </c>
      <c r="C880" s="0" t="n">
        <v>29200</v>
      </c>
      <c r="D880" s="0" t="n">
        <v>922</v>
      </c>
      <c r="E880" s="0" t="str">
        <f aca="false">IFERROR(IF(OR(HLOOKUP($A880,#REF!,3,FALSE())&gt;2,HLOOKUP(A880,#REF!,3,FALSE())&lt;-2),"",#REF!),"")</f>
        <v/>
      </c>
      <c r="F880" s="0" t="str">
        <f aca="false">IFERROR(IF(OR(HLOOKUP($A880,#REF!,4,FALSE())&gt;2,HLOOKUP($A880,#REF!,4,FALSE())&lt;-2),"",#REF!),"")</f>
        <v/>
      </c>
      <c r="G880" s="0" t="str">
        <f aca="false">IFERROR(IF(OR(HLOOKUP($A880,#REF!,5,FALSE())&gt;2,HLOOKUP($A880,#REF!,5,FALSE())&lt;-2),"",#REF!),"")</f>
        <v/>
      </c>
      <c r="H880" s="0" t="str">
        <f aca="false">IFERROR(IF(OR(HLOOKUP($A880,#REF!,6,FALSE())&gt;2,HLOOKUP($A880,#REF!,6,FALSE())&lt;-2),"",#REF!),"")</f>
        <v/>
      </c>
      <c r="I880" s="0" t="str">
        <f aca="false">IFERROR(IF(OR(HLOOKUP($A880,#REF!,7,FALSE())&gt;2,HLOOKUP($A880,#REF!,7,FALSE())&lt;-2),"",#REF!),"")</f>
        <v/>
      </c>
      <c r="J880" s="0" t="str">
        <f aca="false">IFERROR(IF(OR(HLOOKUP($A880,#REF!,8,FALSE())&gt;2,HLOOKUP($A880,#REF!,8,FALSE())&lt;-2),"",#REF!),"")</f>
        <v/>
      </c>
      <c r="K880" s="0" t="str">
        <f aca="false">IFERROR(IF(OR(HLOOKUP($A880,#REF!,9,FALSE())&gt;2,HLOOKUP($A880,#REF!,9,FALSE())&lt;-2),"",#REF!),"")</f>
        <v/>
      </c>
      <c r="L880" s="0" t="str">
        <f aca="false">IFERROR(IF(OR(HLOOKUP($A880,#REF!,10,FALSE())&gt;2,HLOOKUP($A880,#REF!,10,FALSE())&lt;-2),"",#REF!),"")</f>
        <v/>
      </c>
      <c r="M880" s="0" t="str">
        <f aca="false">IFERROR(IF(OR(HLOOKUP($A880,#REF!,11,FALSE())&gt;2,HLOOKUP($A880,#REF!,11,FALSE())&lt;-2),"",#REF!),"")</f>
        <v/>
      </c>
      <c r="N880" s="0" t="str">
        <f aca="false">IFERROR(IF(OR(HLOOKUP($A880,#REF!,12,FALSE())&gt;2,HLOOKUP($A880,#REF!,12,FALSE())&lt;-2),"",#REF!),"")</f>
        <v/>
      </c>
      <c r="O880" s="0" t="str">
        <f aca="false">IFERROR(IF(OR(HLOOKUP($A880,#REF!,13,FALSE())&gt;2,HLOOKUP($A880,#REF!,13,FALSE())&lt;-2),"",#REF!),"")</f>
        <v/>
      </c>
      <c r="P880" s="0" t="str">
        <f aca="false">IFERROR(IF(OR(HLOOKUP($A880,#REF!,14,FALSE())&gt;2,HLOOKUP($A880,#REF!,14,FALSE())&lt;-2),"",#REF!),"")</f>
        <v/>
      </c>
      <c r="Q880" s="0" t="str">
        <f aca="false">IFERROR(IF(OR(HLOOKUP($A880,#REF!,15,FALSE())&gt;2,HLOOKUP($A880,#REF!,15,FALSE())&lt;-2),"",#REF!),"")</f>
        <v/>
      </c>
      <c r="R880" s="0" t="str">
        <f aca="false">IFERROR(IF(OR(HLOOKUP($A880,#REF!,16,FALSE())&gt;2,HLOOKUP($A880,#REF!,16,FALSE())&lt;-2),"",#REF!),"")</f>
        <v/>
      </c>
      <c r="S880" s="0" t="str">
        <f aca="false">IFERROR(IF(OR(HLOOKUP($A880,#REF!,17,FALSE())&gt;2,HLOOKUP($A880,#REF!,17,FALSE())&lt;-2),"",#REF!),"")</f>
        <v/>
      </c>
      <c r="T880" s="0" t="str">
        <f aca="false">IFERROR(IF(OR(HLOOKUP($A880,#REF!,18,FALSE())&gt;2,HLOOKUP($A880,#REF!,18,FALSE())&lt;-2),"",#REF!),"")</f>
        <v/>
      </c>
      <c r="U880" s="0" t="str">
        <f aca="false">IFERROR(IF(OR(HLOOKUP($A880,#REF!,19,FALSE())&gt;2,HLOOKUP($A880,#REF!,19,FALSE())&lt;-2),"",#REF!),"")</f>
        <v/>
      </c>
      <c r="V880" s="0" t="n">
        <f aca="false">IFERROR(IF(AND(X880=0,Y880=0),0,1),0)</f>
        <v>1</v>
      </c>
      <c r="W880" s="3" t="str">
        <f aca="false">IFERROR(_xlfn.T.TEST(E880:M880,N880:U880,2,2),"")</f>
        <v/>
      </c>
      <c r="X880" s="0" t="str">
        <f aca="false">IFERROR(AVERAGE(E880:M880),"")</f>
        <v/>
      </c>
      <c r="Y880" s="0" t="str">
        <f aca="false">IFERROR(AVERAGE(N880:U880),"")</f>
        <v/>
      </c>
    </row>
    <row r="881" customFormat="false" ht="14.5" hidden="false" customHeight="false" outlineLevel="0" collapsed="false">
      <c r="A881" s="0" t="n">
        <v>889</v>
      </c>
      <c r="B881" s="0" t="s">
        <v>934</v>
      </c>
      <c r="C881" s="0" t="n">
        <v>4000</v>
      </c>
      <c r="D881" s="0" t="n">
        <v>353</v>
      </c>
      <c r="E881" s="0" t="str">
        <f aca="false">IFERROR(IF(OR(HLOOKUP($A881,#REF!,3,FALSE())&gt;2,HLOOKUP(A881,#REF!,3,FALSE())&lt;-2),"",#REF!),"")</f>
        <v/>
      </c>
      <c r="F881" s="0" t="str">
        <f aca="false">IFERROR(IF(OR(HLOOKUP($A881,#REF!,4,FALSE())&gt;2,HLOOKUP($A881,#REF!,4,FALSE())&lt;-2),"",#REF!),"")</f>
        <v/>
      </c>
      <c r="G881" s="0" t="str">
        <f aca="false">IFERROR(IF(OR(HLOOKUP($A881,#REF!,5,FALSE())&gt;2,HLOOKUP($A881,#REF!,5,FALSE())&lt;-2),"",#REF!),"")</f>
        <v/>
      </c>
      <c r="H881" s="0" t="str">
        <f aca="false">IFERROR(IF(OR(HLOOKUP($A881,#REF!,6,FALSE())&gt;2,HLOOKUP($A881,#REF!,6,FALSE())&lt;-2),"",#REF!),"")</f>
        <v/>
      </c>
      <c r="I881" s="0" t="str">
        <f aca="false">IFERROR(IF(OR(HLOOKUP($A881,#REF!,7,FALSE())&gt;2,HLOOKUP($A881,#REF!,7,FALSE())&lt;-2),"",#REF!),"")</f>
        <v/>
      </c>
      <c r="J881" s="0" t="str">
        <f aca="false">IFERROR(IF(OR(HLOOKUP($A881,#REF!,8,FALSE())&gt;2,HLOOKUP($A881,#REF!,8,FALSE())&lt;-2),"",#REF!),"")</f>
        <v/>
      </c>
      <c r="K881" s="0" t="str">
        <f aca="false">IFERROR(IF(OR(HLOOKUP($A881,#REF!,9,FALSE())&gt;2,HLOOKUP($A881,#REF!,9,FALSE())&lt;-2),"",#REF!),"")</f>
        <v/>
      </c>
      <c r="L881" s="0" t="str">
        <f aca="false">IFERROR(IF(OR(HLOOKUP($A881,#REF!,10,FALSE())&gt;2,HLOOKUP($A881,#REF!,10,FALSE())&lt;-2),"",#REF!),"")</f>
        <v/>
      </c>
      <c r="M881" s="0" t="str">
        <f aca="false">IFERROR(IF(OR(HLOOKUP($A881,#REF!,11,FALSE())&gt;2,HLOOKUP($A881,#REF!,11,FALSE())&lt;-2),"",#REF!),"")</f>
        <v/>
      </c>
      <c r="N881" s="0" t="str">
        <f aca="false">IFERROR(IF(OR(HLOOKUP($A881,#REF!,12,FALSE())&gt;2,HLOOKUP($A881,#REF!,12,FALSE())&lt;-2),"",#REF!),"")</f>
        <v/>
      </c>
      <c r="O881" s="0" t="str">
        <f aca="false">IFERROR(IF(OR(HLOOKUP($A881,#REF!,13,FALSE())&gt;2,HLOOKUP($A881,#REF!,13,FALSE())&lt;-2),"",#REF!),"")</f>
        <v/>
      </c>
      <c r="P881" s="0" t="str">
        <f aca="false">IFERROR(IF(OR(HLOOKUP($A881,#REF!,14,FALSE())&gt;2,HLOOKUP($A881,#REF!,14,FALSE())&lt;-2),"",#REF!),"")</f>
        <v/>
      </c>
      <c r="Q881" s="0" t="str">
        <f aca="false">IFERROR(IF(OR(HLOOKUP($A881,#REF!,15,FALSE())&gt;2,HLOOKUP($A881,#REF!,15,FALSE())&lt;-2),"",#REF!),"")</f>
        <v/>
      </c>
      <c r="R881" s="0" t="str">
        <f aca="false">IFERROR(IF(OR(HLOOKUP($A881,#REF!,16,FALSE())&gt;2,HLOOKUP($A881,#REF!,16,FALSE())&lt;-2),"",#REF!),"")</f>
        <v/>
      </c>
      <c r="S881" s="0" t="str">
        <f aca="false">IFERROR(IF(OR(HLOOKUP($A881,#REF!,17,FALSE())&gt;2,HLOOKUP($A881,#REF!,17,FALSE())&lt;-2),"",#REF!),"")</f>
        <v/>
      </c>
      <c r="T881" s="0" t="str">
        <f aca="false">IFERROR(IF(OR(HLOOKUP($A881,#REF!,18,FALSE())&gt;2,HLOOKUP($A881,#REF!,18,FALSE())&lt;-2),"",#REF!),"")</f>
        <v/>
      </c>
      <c r="U881" s="0" t="str">
        <f aca="false">IFERROR(IF(OR(HLOOKUP($A881,#REF!,19,FALSE())&gt;2,HLOOKUP($A881,#REF!,19,FALSE())&lt;-2),"",#REF!),"")</f>
        <v/>
      </c>
      <c r="V881" s="0" t="n">
        <f aca="false">IFERROR(IF(AND(X881=0,Y881=0),0,1),0)</f>
        <v>1</v>
      </c>
      <c r="W881" s="3" t="str">
        <f aca="false">IFERROR(_xlfn.T.TEST(E881:M881,N881:U881,2,2),"")</f>
        <v/>
      </c>
      <c r="X881" s="0" t="str">
        <f aca="false">IFERROR(AVERAGE(E881:M881),"")</f>
        <v/>
      </c>
      <c r="Y881" s="0" t="str">
        <f aca="false">IFERROR(AVERAGE(N881:U881),"")</f>
        <v/>
      </c>
    </row>
    <row r="882" customFormat="false" ht="14.5" hidden="false" customHeight="false" outlineLevel="0" collapsed="false">
      <c r="A882" s="0" t="n">
        <v>890</v>
      </c>
      <c r="B882" s="0" t="s">
        <v>935</v>
      </c>
      <c r="C882" s="0" t="n">
        <v>86200</v>
      </c>
      <c r="D882" s="0" t="n">
        <v>867</v>
      </c>
      <c r="E882" s="0" t="str">
        <f aca="false">IFERROR(IF(OR(HLOOKUP($A882,#REF!,3,FALSE())&gt;2,HLOOKUP(A882,#REF!,3,FALSE())&lt;-2),"",#REF!),"")</f>
        <v/>
      </c>
      <c r="F882" s="0" t="str">
        <f aca="false">IFERROR(IF(OR(HLOOKUP($A882,#REF!,4,FALSE())&gt;2,HLOOKUP($A882,#REF!,4,FALSE())&lt;-2),"",#REF!),"")</f>
        <v/>
      </c>
      <c r="G882" s="0" t="str">
        <f aca="false">IFERROR(IF(OR(HLOOKUP($A882,#REF!,5,FALSE())&gt;2,HLOOKUP($A882,#REF!,5,FALSE())&lt;-2),"",#REF!),"")</f>
        <v/>
      </c>
      <c r="H882" s="0" t="str">
        <f aca="false">IFERROR(IF(OR(HLOOKUP($A882,#REF!,6,FALSE())&gt;2,HLOOKUP($A882,#REF!,6,FALSE())&lt;-2),"",#REF!),"")</f>
        <v/>
      </c>
      <c r="I882" s="0" t="str">
        <f aca="false">IFERROR(IF(OR(HLOOKUP($A882,#REF!,7,FALSE())&gt;2,HLOOKUP($A882,#REF!,7,FALSE())&lt;-2),"",#REF!),"")</f>
        <v/>
      </c>
      <c r="J882" s="0" t="str">
        <f aca="false">IFERROR(IF(OR(HLOOKUP($A882,#REF!,8,FALSE())&gt;2,HLOOKUP($A882,#REF!,8,FALSE())&lt;-2),"",#REF!),"")</f>
        <v/>
      </c>
      <c r="K882" s="0" t="str">
        <f aca="false">IFERROR(IF(OR(HLOOKUP($A882,#REF!,9,FALSE())&gt;2,HLOOKUP($A882,#REF!,9,FALSE())&lt;-2),"",#REF!),"")</f>
        <v/>
      </c>
      <c r="L882" s="0" t="str">
        <f aca="false">IFERROR(IF(OR(HLOOKUP($A882,#REF!,10,FALSE())&gt;2,HLOOKUP($A882,#REF!,10,FALSE())&lt;-2),"",#REF!),"")</f>
        <v/>
      </c>
      <c r="M882" s="0" t="str">
        <f aca="false">IFERROR(IF(OR(HLOOKUP($A882,#REF!,11,FALSE())&gt;2,HLOOKUP($A882,#REF!,11,FALSE())&lt;-2),"",#REF!),"")</f>
        <v/>
      </c>
      <c r="N882" s="0" t="str">
        <f aca="false">IFERROR(IF(OR(HLOOKUP($A882,#REF!,12,FALSE())&gt;2,HLOOKUP($A882,#REF!,12,FALSE())&lt;-2),"",#REF!),"")</f>
        <v/>
      </c>
      <c r="O882" s="0" t="str">
        <f aca="false">IFERROR(IF(OR(HLOOKUP($A882,#REF!,13,FALSE())&gt;2,HLOOKUP($A882,#REF!,13,FALSE())&lt;-2),"",#REF!),"")</f>
        <v/>
      </c>
      <c r="P882" s="0" t="str">
        <f aca="false">IFERROR(IF(OR(HLOOKUP($A882,#REF!,14,FALSE())&gt;2,HLOOKUP($A882,#REF!,14,FALSE())&lt;-2),"",#REF!),"")</f>
        <v/>
      </c>
      <c r="Q882" s="0" t="str">
        <f aca="false">IFERROR(IF(OR(HLOOKUP($A882,#REF!,15,FALSE())&gt;2,HLOOKUP($A882,#REF!,15,FALSE())&lt;-2),"",#REF!),"")</f>
        <v/>
      </c>
      <c r="R882" s="0" t="str">
        <f aca="false">IFERROR(IF(OR(HLOOKUP($A882,#REF!,16,FALSE())&gt;2,HLOOKUP($A882,#REF!,16,FALSE())&lt;-2),"",#REF!),"")</f>
        <v/>
      </c>
      <c r="S882" s="0" t="str">
        <f aca="false">IFERROR(IF(OR(HLOOKUP($A882,#REF!,17,FALSE())&gt;2,HLOOKUP($A882,#REF!,17,FALSE())&lt;-2),"",#REF!),"")</f>
        <v/>
      </c>
      <c r="T882" s="0" t="str">
        <f aca="false">IFERROR(IF(OR(HLOOKUP($A882,#REF!,18,FALSE())&gt;2,HLOOKUP($A882,#REF!,18,FALSE())&lt;-2),"",#REF!),"")</f>
        <v/>
      </c>
      <c r="U882" s="0" t="str">
        <f aca="false">IFERROR(IF(OR(HLOOKUP($A882,#REF!,19,FALSE())&gt;2,HLOOKUP($A882,#REF!,19,FALSE())&lt;-2),"",#REF!),"")</f>
        <v/>
      </c>
      <c r="V882" s="0" t="n">
        <f aca="false">IFERROR(IF(AND(X882=0,Y882=0),0,1),0)</f>
        <v>1</v>
      </c>
      <c r="W882" s="3" t="str">
        <f aca="false">IFERROR(_xlfn.T.TEST(E882:M882,N882:U882,2,2),"")</f>
        <v/>
      </c>
      <c r="X882" s="0" t="str">
        <f aca="false">IFERROR(AVERAGE(E882:M882),"")</f>
        <v/>
      </c>
      <c r="Y882" s="0" t="str">
        <f aca="false">IFERROR(AVERAGE(N882:U882),"")</f>
        <v/>
      </c>
    </row>
    <row r="883" customFormat="false" ht="14.5" hidden="false" customHeight="false" outlineLevel="0" collapsed="false">
      <c r="A883" s="0" t="n">
        <v>891</v>
      </c>
      <c r="B883" s="0" t="s">
        <v>936</v>
      </c>
      <c r="C883" s="0" t="n">
        <v>86100</v>
      </c>
      <c r="D883" s="0" t="n">
        <v>881</v>
      </c>
      <c r="E883" s="0" t="str">
        <f aca="false">IFERROR(IF(OR(HLOOKUP($A883,#REF!,3,FALSE())&gt;2,HLOOKUP(A883,#REF!,3,FALSE())&lt;-2),"",#REF!),"")</f>
        <v/>
      </c>
      <c r="F883" s="0" t="str">
        <f aca="false">IFERROR(IF(OR(HLOOKUP($A883,#REF!,4,FALSE())&gt;2,HLOOKUP($A883,#REF!,4,FALSE())&lt;-2),"",#REF!),"")</f>
        <v/>
      </c>
      <c r="G883" s="0" t="str">
        <f aca="false">IFERROR(IF(OR(HLOOKUP($A883,#REF!,5,FALSE())&gt;2,HLOOKUP($A883,#REF!,5,FALSE())&lt;-2),"",#REF!),"")</f>
        <v/>
      </c>
      <c r="H883" s="0" t="str">
        <f aca="false">IFERROR(IF(OR(HLOOKUP($A883,#REF!,6,FALSE())&gt;2,HLOOKUP($A883,#REF!,6,FALSE())&lt;-2),"",#REF!),"")</f>
        <v/>
      </c>
      <c r="I883" s="0" t="str">
        <f aca="false">IFERROR(IF(OR(HLOOKUP($A883,#REF!,7,FALSE())&gt;2,HLOOKUP($A883,#REF!,7,FALSE())&lt;-2),"",#REF!),"")</f>
        <v/>
      </c>
      <c r="J883" s="0" t="str">
        <f aca="false">IFERROR(IF(OR(HLOOKUP($A883,#REF!,8,FALSE())&gt;2,HLOOKUP($A883,#REF!,8,FALSE())&lt;-2),"",#REF!),"")</f>
        <v/>
      </c>
      <c r="K883" s="0" t="str">
        <f aca="false">IFERROR(IF(OR(HLOOKUP($A883,#REF!,9,FALSE())&gt;2,HLOOKUP($A883,#REF!,9,FALSE())&lt;-2),"",#REF!),"")</f>
        <v/>
      </c>
      <c r="L883" s="0" t="str">
        <f aca="false">IFERROR(IF(OR(HLOOKUP($A883,#REF!,10,FALSE())&gt;2,HLOOKUP($A883,#REF!,10,FALSE())&lt;-2),"",#REF!),"")</f>
        <v/>
      </c>
      <c r="M883" s="0" t="str">
        <f aca="false">IFERROR(IF(OR(HLOOKUP($A883,#REF!,11,FALSE())&gt;2,HLOOKUP($A883,#REF!,11,FALSE())&lt;-2),"",#REF!),"")</f>
        <v/>
      </c>
      <c r="N883" s="0" t="str">
        <f aca="false">IFERROR(IF(OR(HLOOKUP($A883,#REF!,12,FALSE())&gt;2,HLOOKUP($A883,#REF!,12,FALSE())&lt;-2),"",#REF!),"")</f>
        <v/>
      </c>
      <c r="O883" s="0" t="str">
        <f aca="false">IFERROR(IF(OR(HLOOKUP($A883,#REF!,13,FALSE())&gt;2,HLOOKUP($A883,#REF!,13,FALSE())&lt;-2),"",#REF!),"")</f>
        <v/>
      </c>
      <c r="P883" s="0" t="str">
        <f aca="false">IFERROR(IF(OR(HLOOKUP($A883,#REF!,14,FALSE())&gt;2,HLOOKUP($A883,#REF!,14,FALSE())&lt;-2),"",#REF!),"")</f>
        <v/>
      </c>
      <c r="Q883" s="0" t="str">
        <f aca="false">IFERROR(IF(OR(HLOOKUP($A883,#REF!,15,FALSE())&gt;2,HLOOKUP($A883,#REF!,15,FALSE())&lt;-2),"",#REF!),"")</f>
        <v/>
      </c>
      <c r="R883" s="0" t="str">
        <f aca="false">IFERROR(IF(OR(HLOOKUP($A883,#REF!,16,FALSE())&gt;2,HLOOKUP($A883,#REF!,16,FALSE())&lt;-2),"",#REF!),"")</f>
        <v/>
      </c>
      <c r="S883" s="0" t="str">
        <f aca="false">IFERROR(IF(OR(HLOOKUP($A883,#REF!,17,FALSE())&gt;2,HLOOKUP($A883,#REF!,17,FALSE())&lt;-2),"",#REF!),"")</f>
        <v/>
      </c>
      <c r="T883" s="0" t="str">
        <f aca="false">IFERROR(IF(OR(HLOOKUP($A883,#REF!,18,FALSE())&gt;2,HLOOKUP($A883,#REF!,18,FALSE())&lt;-2),"",#REF!),"")</f>
        <v/>
      </c>
      <c r="U883" s="0" t="str">
        <f aca="false">IFERROR(IF(OR(HLOOKUP($A883,#REF!,19,FALSE())&gt;2,HLOOKUP($A883,#REF!,19,FALSE())&lt;-2),"",#REF!),"")</f>
        <v/>
      </c>
      <c r="V883" s="0" t="n">
        <f aca="false">IFERROR(IF(AND(X883=0,Y883=0),0,1),0)</f>
        <v>1</v>
      </c>
      <c r="W883" s="3" t="str">
        <f aca="false">IFERROR(_xlfn.T.TEST(E883:M883,N883:U883,2,2),"")</f>
        <v/>
      </c>
      <c r="X883" s="0" t="str">
        <f aca="false">IFERROR(AVERAGE(E883:M883),"")</f>
        <v/>
      </c>
      <c r="Y883" s="0" t="str">
        <f aca="false">IFERROR(AVERAGE(N883:U883),"")</f>
        <v/>
      </c>
    </row>
    <row r="884" customFormat="false" ht="14.5" hidden="false" customHeight="false" outlineLevel="0" collapsed="false">
      <c r="A884" s="0" t="n">
        <v>892</v>
      </c>
      <c r="B884" s="0" t="s">
        <v>937</v>
      </c>
      <c r="C884" s="0" t="n">
        <v>110800</v>
      </c>
      <c r="D884" s="0" t="n">
        <v>768</v>
      </c>
      <c r="E884" s="0" t="str">
        <f aca="false">IFERROR(IF(OR(HLOOKUP($A884,#REF!,3,FALSE())&gt;2,HLOOKUP(A884,#REF!,3,FALSE())&lt;-2),"",#REF!),"")</f>
        <v/>
      </c>
      <c r="F884" s="0" t="str">
        <f aca="false">IFERROR(IF(OR(HLOOKUP($A884,#REF!,4,FALSE())&gt;2,HLOOKUP($A884,#REF!,4,FALSE())&lt;-2),"",#REF!),"")</f>
        <v/>
      </c>
      <c r="G884" s="0" t="str">
        <f aca="false">IFERROR(IF(OR(HLOOKUP($A884,#REF!,5,FALSE())&gt;2,HLOOKUP($A884,#REF!,5,FALSE())&lt;-2),"",#REF!),"")</f>
        <v/>
      </c>
      <c r="H884" s="0" t="str">
        <f aca="false">IFERROR(IF(OR(HLOOKUP($A884,#REF!,6,FALSE())&gt;2,HLOOKUP($A884,#REF!,6,FALSE())&lt;-2),"",#REF!),"")</f>
        <v/>
      </c>
      <c r="I884" s="0" t="str">
        <f aca="false">IFERROR(IF(OR(HLOOKUP($A884,#REF!,7,FALSE())&gt;2,HLOOKUP($A884,#REF!,7,FALSE())&lt;-2),"",#REF!),"")</f>
        <v/>
      </c>
      <c r="J884" s="0" t="str">
        <f aca="false">IFERROR(IF(OR(HLOOKUP($A884,#REF!,8,FALSE())&gt;2,HLOOKUP($A884,#REF!,8,FALSE())&lt;-2),"",#REF!),"")</f>
        <v/>
      </c>
      <c r="K884" s="0" t="str">
        <f aca="false">IFERROR(IF(OR(HLOOKUP($A884,#REF!,9,FALSE())&gt;2,HLOOKUP($A884,#REF!,9,FALSE())&lt;-2),"",#REF!),"")</f>
        <v/>
      </c>
      <c r="L884" s="0" t="str">
        <f aca="false">IFERROR(IF(OR(HLOOKUP($A884,#REF!,10,FALSE())&gt;2,HLOOKUP($A884,#REF!,10,FALSE())&lt;-2),"",#REF!),"")</f>
        <v/>
      </c>
      <c r="M884" s="0" t="str">
        <f aca="false">IFERROR(IF(OR(HLOOKUP($A884,#REF!,11,FALSE())&gt;2,HLOOKUP($A884,#REF!,11,FALSE())&lt;-2),"",#REF!),"")</f>
        <v/>
      </c>
      <c r="N884" s="0" t="str">
        <f aca="false">IFERROR(IF(OR(HLOOKUP($A884,#REF!,12,FALSE())&gt;2,HLOOKUP($A884,#REF!,12,FALSE())&lt;-2),"",#REF!),"")</f>
        <v/>
      </c>
      <c r="O884" s="0" t="str">
        <f aca="false">IFERROR(IF(OR(HLOOKUP($A884,#REF!,13,FALSE())&gt;2,HLOOKUP($A884,#REF!,13,FALSE())&lt;-2),"",#REF!),"")</f>
        <v/>
      </c>
      <c r="P884" s="0" t="str">
        <f aca="false">IFERROR(IF(OR(HLOOKUP($A884,#REF!,14,FALSE())&gt;2,HLOOKUP($A884,#REF!,14,FALSE())&lt;-2),"",#REF!),"")</f>
        <v/>
      </c>
      <c r="Q884" s="0" t="str">
        <f aca="false">IFERROR(IF(OR(HLOOKUP($A884,#REF!,15,FALSE())&gt;2,HLOOKUP($A884,#REF!,15,FALSE())&lt;-2),"",#REF!),"")</f>
        <v/>
      </c>
      <c r="R884" s="0" t="str">
        <f aca="false">IFERROR(IF(OR(HLOOKUP($A884,#REF!,16,FALSE())&gt;2,HLOOKUP($A884,#REF!,16,FALSE())&lt;-2),"",#REF!),"")</f>
        <v/>
      </c>
      <c r="S884" s="0" t="str">
        <f aca="false">IFERROR(IF(OR(HLOOKUP($A884,#REF!,17,FALSE())&gt;2,HLOOKUP($A884,#REF!,17,FALSE())&lt;-2),"",#REF!),"")</f>
        <v/>
      </c>
      <c r="T884" s="0" t="str">
        <f aca="false">IFERROR(IF(OR(HLOOKUP($A884,#REF!,18,FALSE())&gt;2,HLOOKUP($A884,#REF!,18,FALSE())&lt;-2),"",#REF!),"")</f>
        <v/>
      </c>
      <c r="U884" s="0" t="str">
        <f aca="false">IFERROR(IF(OR(HLOOKUP($A884,#REF!,19,FALSE())&gt;2,HLOOKUP($A884,#REF!,19,FALSE())&lt;-2),"",#REF!),"")</f>
        <v/>
      </c>
      <c r="V884" s="0" t="n">
        <f aca="false">IFERROR(IF(AND(X884=0,Y884=0),0,1),0)</f>
        <v>1</v>
      </c>
      <c r="W884" s="3" t="str">
        <f aca="false">IFERROR(_xlfn.T.TEST(E884:M884,N884:U884,2,2),"")</f>
        <v/>
      </c>
      <c r="X884" s="0" t="str">
        <f aca="false">IFERROR(AVERAGE(E884:M884),"")</f>
        <v/>
      </c>
      <c r="Y884" s="0" t="str">
        <f aca="false">IFERROR(AVERAGE(N884:U884),"")</f>
        <v/>
      </c>
    </row>
    <row r="885" customFormat="false" ht="14.5" hidden="false" customHeight="false" outlineLevel="0" collapsed="false">
      <c r="A885" s="0" t="n">
        <v>893</v>
      </c>
      <c r="B885" s="0" t="s">
        <v>938</v>
      </c>
      <c r="C885" s="0" t="n">
        <v>8300</v>
      </c>
      <c r="D885" s="0" t="n">
        <v>378</v>
      </c>
      <c r="E885" s="0" t="str">
        <f aca="false">IFERROR(IF(OR(HLOOKUP($A885,#REF!,3,FALSE())&gt;2,HLOOKUP(A885,#REF!,3,FALSE())&lt;-2),"",#REF!),"")</f>
        <v/>
      </c>
      <c r="F885" s="0" t="str">
        <f aca="false">IFERROR(IF(OR(HLOOKUP($A885,#REF!,4,FALSE())&gt;2,HLOOKUP($A885,#REF!,4,FALSE())&lt;-2),"",#REF!),"")</f>
        <v/>
      </c>
      <c r="G885" s="0" t="str">
        <f aca="false">IFERROR(IF(OR(HLOOKUP($A885,#REF!,5,FALSE())&gt;2,HLOOKUP($A885,#REF!,5,FALSE())&lt;-2),"",#REF!),"")</f>
        <v/>
      </c>
      <c r="H885" s="0" t="str">
        <f aca="false">IFERROR(IF(OR(HLOOKUP($A885,#REF!,6,FALSE())&gt;2,HLOOKUP($A885,#REF!,6,FALSE())&lt;-2),"",#REF!),"")</f>
        <v/>
      </c>
      <c r="I885" s="0" t="str">
        <f aca="false">IFERROR(IF(OR(HLOOKUP($A885,#REF!,7,FALSE())&gt;2,HLOOKUP($A885,#REF!,7,FALSE())&lt;-2),"",#REF!),"")</f>
        <v/>
      </c>
      <c r="J885" s="0" t="str">
        <f aca="false">IFERROR(IF(OR(HLOOKUP($A885,#REF!,8,FALSE())&gt;2,HLOOKUP($A885,#REF!,8,FALSE())&lt;-2),"",#REF!),"")</f>
        <v/>
      </c>
      <c r="K885" s="0" t="str">
        <f aca="false">IFERROR(IF(OR(HLOOKUP($A885,#REF!,9,FALSE())&gt;2,HLOOKUP($A885,#REF!,9,FALSE())&lt;-2),"",#REF!),"")</f>
        <v/>
      </c>
      <c r="L885" s="0" t="str">
        <f aca="false">IFERROR(IF(OR(HLOOKUP($A885,#REF!,10,FALSE())&gt;2,HLOOKUP($A885,#REF!,10,FALSE())&lt;-2),"",#REF!),"")</f>
        <v/>
      </c>
      <c r="M885" s="0" t="str">
        <f aca="false">IFERROR(IF(OR(HLOOKUP($A885,#REF!,11,FALSE())&gt;2,HLOOKUP($A885,#REF!,11,FALSE())&lt;-2),"",#REF!),"")</f>
        <v/>
      </c>
      <c r="N885" s="0" t="str">
        <f aca="false">IFERROR(IF(OR(HLOOKUP($A885,#REF!,12,FALSE())&gt;2,HLOOKUP($A885,#REF!,12,FALSE())&lt;-2),"",#REF!),"")</f>
        <v/>
      </c>
      <c r="O885" s="0" t="str">
        <f aca="false">IFERROR(IF(OR(HLOOKUP($A885,#REF!,13,FALSE())&gt;2,HLOOKUP($A885,#REF!,13,FALSE())&lt;-2),"",#REF!),"")</f>
        <v/>
      </c>
      <c r="P885" s="0" t="str">
        <f aca="false">IFERROR(IF(OR(HLOOKUP($A885,#REF!,14,FALSE())&gt;2,HLOOKUP($A885,#REF!,14,FALSE())&lt;-2),"",#REF!),"")</f>
        <v/>
      </c>
      <c r="Q885" s="0" t="str">
        <f aca="false">IFERROR(IF(OR(HLOOKUP($A885,#REF!,15,FALSE())&gt;2,HLOOKUP($A885,#REF!,15,FALSE())&lt;-2),"",#REF!),"")</f>
        <v/>
      </c>
      <c r="R885" s="0" t="str">
        <f aca="false">IFERROR(IF(OR(HLOOKUP($A885,#REF!,16,FALSE())&gt;2,HLOOKUP($A885,#REF!,16,FALSE())&lt;-2),"",#REF!),"")</f>
        <v/>
      </c>
      <c r="S885" s="0" t="str">
        <f aca="false">IFERROR(IF(OR(HLOOKUP($A885,#REF!,17,FALSE())&gt;2,HLOOKUP($A885,#REF!,17,FALSE())&lt;-2),"",#REF!),"")</f>
        <v/>
      </c>
      <c r="T885" s="0" t="str">
        <f aca="false">IFERROR(IF(OR(HLOOKUP($A885,#REF!,18,FALSE())&gt;2,HLOOKUP($A885,#REF!,18,FALSE())&lt;-2),"",#REF!),"")</f>
        <v/>
      </c>
      <c r="U885" s="0" t="str">
        <f aca="false">IFERROR(IF(OR(HLOOKUP($A885,#REF!,19,FALSE())&gt;2,HLOOKUP($A885,#REF!,19,FALSE())&lt;-2),"",#REF!),"")</f>
        <v/>
      </c>
      <c r="V885" s="0" t="n">
        <f aca="false">IFERROR(IF(AND(X885=0,Y885=0),0,1),0)</f>
        <v>1</v>
      </c>
      <c r="W885" s="3" t="str">
        <f aca="false">IFERROR(_xlfn.T.TEST(E885:M885,N885:U885,2,2),"")</f>
        <v/>
      </c>
      <c r="X885" s="0" t="str">
        <f aca="false">IFERROR(AVERAGE(E885:M885),"")</f>
        <v/>
      </c>
      <c r="Y885" s="0" t="str">
        <f aca="false">IFERROR(AVERAGE(N885:U885),"")</f>
        <v/>
      </c>
    </row>
    <row r="886" customFormat="false" ht="14.5" hidden="false" customHeight="false" outlineLevel="0" collapsed="false">
      <c r="A886" s="0" t="n">
        <v>894</v>
      </c>
      <c r="B886" s="0" t="s">
        <v>55</v>
      </c>
      <c r="C886" s="0" t="n">
        <v>25300</v>
      </c>
      <c r="D886" s="0" t="n">
        <v>254</v>
      </c>
      <c r="E886" s="0" t="str">
        <f aca="false">IFERROR(IF(OR(HLOOKUP($A886,#REF!,3,FALSE())&gt;2,HLOOKUP(A886,#REF!,3,FALSE())&lt;-2),"",#REF!),"")</f>
        <v/>
      </c>
      <c r="F886" s="0" t="str">
        <f aca="false">IFERROR(IF(OR(HLOOKUP($A886,#REF!,4,FALSE())&gt;2,HLOOKUP($A886,#REF!,4,FALSE())&lt;-2),"",#REF!),"")</f>
        <v/>
      </c>
      <c r="G886" s="0" t="str">
        <f aca="false">IFERROR(IF(OR(HLOOKUP($A886,#REF!,5,FALSE())&gt;2,HLOOKUP($A886,#REF!,5,FALSE())&lt;-2),"",#REF!),"")</f>
        <v/>
      </c>
      <c r="H886" s="0" t="str">
        <f aca="false">IFERROR(IF(OR(HLOOKUP($A886,#REF!,6,FALSE())&gt;2,HLOOKUP($A886,#REF!,6,FALSE())&lt;-2),"",#REF!),"")</f>
        <v/>
      </c>
      <c r="I886" s="0" t="str">
        <f aca="false">IFERROR(IF(OR(HLOOKUP($A886,#REF!,7,FALSE())&gt;2,HLOOKUP($A886,#REF!,7,FALSE())&lt;-2),"",#REF!),"")</f>
        <v/>
      </c>
      <c r="J886" s="0" t="str">
        <f aca="false">IFERROR(IF(OR(HLOOKUP($A886,#REF!,8,FALSE())&gt;2,HLOOKUP($A886,#REF!,8,FALSE())&lt;-2),"",#REF!),"")</f>
        <v/>
      </c>
      <c r="K886" s="0" t="str">
        <f aca="false">IFERROR(IF(OR(HLOOKUP($A886,#REF!,9,FALSE())&gt;2,HLOOKUP($A886,#REF!,9,FALSE())&lt;-2),"",#REF!),"")</f>
        <v/>
      </c>
      <c r="L886" s="0" t="str">
        <f aca="false">IFERROR(IF(OR(HLOOKUP($A886,#REF!,10,FALSE())&gt;2,HLOOKUP($A886,#REF!,10,FALSE())&lt;-2),"",#REF!),"")</f>
        <v/>
      </c>
      <c r="M886" s="0" t="str">
        <f aca="false">IFERROR(IF(OR(HLOOKUP($A886,#REF!,11,FALSE())&gt;2,HLOOKUP($A886,#REF!,11,FALSE())&lt;-2),"",#REF!),"")</f>
        <v/>
      </c>
      <c r="N886" s="0" t="str">
        <f aca="false">IFERROR(IF(OR(HLOOKUP($A886,#REF!,12,FALSE())&gt;2,HLOOKUP($A886,#REF!,12,FALSE())&lt;-2),"",#REF!),"")</f>
        <v/>
      </c>
      <c r="O886" s="0" t="str">
        <f aca="false">IFERROR(IF(OR(HLOOKUP($A886,#REF!,13,FALSE())&gt;2,HLOOKUP($A886,#REF!,13,FALSE())&lt;-2),"",#REF!),"")</f>
        <v/>
      </c>
      <c r="P886" s="0" t="str">
        <f aca="false">IFERROR(IF(OR(HLOOKUP($A886,#REF!,14,FALSE())&gt;2,HLOOKUP($A886,#REF!,14,FALSE())&lt;-2),"",#REF!),"")</f>
        <v/>
      </c>
      <c r="Q886" s="0" t="str">
        <f aca="false">IFERROR(IF(OR(HLOOKUP($A886,#REF!,15,FALSE())&gt;2,HLOOKUP($A886,#REF!,15,FALSE())&lt;-2),"",#REF!),"")</f>
        <v/>
      </c>
      <c r="R886" s="0" t="str">
        <f aca="false">IFERROR(IF(OR(HLOOKUP($A886,#REF!,16,FALSE())&gt;2,HLOOKUP($A886,#REF!,16,FALSE())&lt;-2),"",#REF!),"")</f>
        <v/>
      </c>
      <c r="S886" s="0" t="str">
        <f aca="false">IFERROR(IF(OR(HLOOKUP($A886,#REF!,17,FALSE())&gt;2,HLOOKUP($A886,#REF!,17,FALSE())&lt;-2),"",#REF!),"")</f>
        <v/>
      </c>
      <c r="T886" s="0" t="str">
        <f aca="false">IFERROR(IF(OR(HLOOKUP($A886,#REF!,18,FALSE())&gt;2,HLOOKUP($A886,#REF!,18,FALSE())&lt;-2),"",#REF!),"")</f>
        <v/>
      </c>
      <c r="U886" s="0" t="str">
        <f aca="false">IFERROR(IF(OR(HLOOKUP($A886,#REF!,19,FALSE())&gt;2,HLOOKUP($A886,#REF!,19,FALSE())&lt;-2),"",#REF!),"")</f>
        <v/>
      </c>
      <c r="V886" s="0" t="n">
        <f aca="false">IFERROR(IF(AND(X886=0,Y886=0),0,1),0)</f>
        <v>1</v>
      </c>
      <c r="W886" s="3" t="str">
        <f aca="false">IFERROR(_xlfn.T.TEST(E886:M886,N886:U886,2,2),"")</f>
        <v/>
      </c>
      <c r="X886" s="0" t="str">
        <f aca="false">IFERROR(AVERAGE(E886:M886),"")</f>
        <v/>
      </c>
      <c r="Y886" s="0" t="str">
        <f aca="false">IFERROR(AVERAGE(N886:U886),"")</f>
        <v/>
      </c>
    </row>
    <row r="887" customFormat="false" ht="14.5" hidden="false" customHeight="false" outlineLevel="0" collapsed="false">
      <c r="A887" s="0" t="n">
        <v>895</v>
      </c>
      <c r="B887" s="0" t="s">
        <v>939</v>
      </c>
      <c r="C887" s="0" t="n">
        <v>29300</v>
      </c>
      <c r="D887" s="0" t="n">
        <v>315</v>
      </c>
      <c r="E887" s="0" t="str">
        <f aca="false">IFERROR(IF(OR(HLOOKUP($A887,#REF!,3,FALSE())&gt;2,HLOOKUP(A887,#REF!,3,FALSE())&lt;-2),"",#REF!),"")</f>
        <v/>
      </c>
      <c r="F887" s="0" t="str">
        <f aca="false">IFERROR(IF(OR(HLOOKUP($A887,#REF!,4,FALSE())&gt;2,HLOOKUP($A887,#REF!,4,FALSE())&lt;-2),"",#REF!),"")</f>
        <v/>
      </c>
      <c r="G887" s="0" t="str">
        <f aca="false">IFERROR(IF(OR(HLOOKUP($A887,#REF!,5,FALSE())&gt;2,HLOOKUP($A887,#REF!,5,FALSE())&lt;-2),"",#REF!),"")</f>
        <v/>
      </c>
      <c r="H887" s="0" t="str">
        <f aca="false">IFERROR(IF(OR(HLOOKUP($A887,#REF!,6,FALSE())&gt;2,HLOOKUP($A887,#REF!,6,FALSE())&lt;-2),"",#REF!),"")</f>
        <v/>
      </c>
      <c r="I887" s="0" t="str">
        <f aca="false">IFERROR(IF(OR(HLOOKUP($A887,#REF!,7,FALSE())&gt;2,HLOOKUP($A887,#REF!,7,FALSE())&lt;-2),"",#REF!),"")</f>
        <v/>
      </c>
      <c r="J887" s="0" t="str">
        <f aca="false">IFERROR(IF(OR(HLOOKUP($A887,#REF!,8,FALSE())&gt;2,HLOOKUP($A887,#REF!,8,FALSE())&lt;-2),"",#REF!),"")</f>
        <v/>
      </c>
      <c r="K887" s="0" t="str">
        <f aca="false">IFERROR(IF(OR(HLOOKUP($A887,#REF!,9,FALSE())&gt;2,HLOOKUP($A887,#REF!,9,FALSE())&lt;-2),"",#REF!),"")</f>
        <v/>
      </c>
      <c r="L887" s="0" t="str">
        <f aca="false">IFERROR(IF(OR(HLOOKUP($A887,#REF!,10,FALSE())&gt;2,HLOOKUP($A887,#REF!,10,FALSE())&lt;-2),"",#REF!),"")</f>
        <v/>
      </c>
      <c r="M887" s="0" t="str">
        <f aca="false">IFERROR(IF(OR(HLOOKUP($A887,#REF!,11,FALSE())&gt;2,HLOOKUP($A887,#REF!,11,FALSE())&lt;-2),"",#REF!),"")</f>
        <v/>
      </c>
      <c r="N887" s="0" t="str">
        <f aca="false">IFERROR(IF(OR(HLOOKUP($A887,#REF!,12,FALSE())&gt;2,HLOOKUP($A887,#REF!,12,FALSE())&lt;-2),"",#REF!),"")</f>
        <v/>
      </c>
      <c r="O887" s="0" t="str">
        <f aca="false">IFERROR(IF(OR(HLOOKUP($A887,#REF!,13,FALSE())&gt;2,HLOOKUP($A887,#REF!,13,FALSE())&lt;-2),"",#REF!),"")</f>
        <v/>
      </c>
      <c r="P887" s="0" t="str">
        <f aca="false">IFERROR(IF(OR(HLOOKUP($A887,#REF!,14,FALSE())&gt;2,HLOOKUP($A887,#REF!,14,FALSE())&lt;-2),"",#REF!),"")</f>
        <v/>
      </c>
      <c r="Q887" s="0" t="str">
        <f aca="false">IFERROR(IF(OR(HLOOKUP($A887,#REF!,15,FALSE())&gt;2,HLOOKUP($A887,#REF!,15,FALSE())&lt;-2),"",#REF!),"")</f>
        <v/>
      </c>
      <c r="R887" s="0" t="str">
        <f aca="false">IFERROR(IF(OR(HLOOKUP($A887,#REF!,16,FALSE())&gt;2,HLOOKUP($A887,#REF!,16,FALSE())&lt;-2),"",#REF!),"")</f>
        <v/>
      </c>
      <c r="S887" s="0" t="str">
        <f aca="false">IFERROR(IF(OR(HLOOKUP($A887,#REF!,17,FALSE())&gt;2,HLOOKUP($A887,#REF!,17,FALSE())&lt;-2),"",#REF!),"")</f>
        <v/>
      </c>
      <c r="T887" s="0" t="str">
        <f aca="false">IFERROR(IF(OR(HLOOKUP($A887,#REF!,18,FALSE())&gt;2,HLOOKUP($A887,#REF!,18,FALSE())&lt;-2),"",#REF!),"")</f>
        <v/>
      </c>
      <c r="U887" s="0" t="str">
        <f aca="false">IFERROR(IF(OR(HLOOKUP($A887,#REF!,19,FALSE())&gt;2,HLOOKUP($A887,#REF!,19,FALSE())&lt;-2),"",#REF!),"")</f>
        <v/>
      </c>
      <c r="V887" s="0" t="n">
        <f aca="false">IFERROR(IF(AND(X887=0,Y887=0),0,1),0)</f>
        <v>1</v>
      </c>
      <c r="W887" s="3" t="str">
        <f aca="false">IFERROR(_xlfn.T.TEST(E887:M887,N887:U887,2,2),"")</f>
        <v/>
      </c>
      <c r="X887" s="0" t="str">
        <f aca="false">IFERROR(AVERAGE(E887:M887),"")</f>
        <v/>
      </c>
      <c r="Y887" s="0" t="str">
        <f aca="false">IFERROR(AVERAGE(N887:U887),"")</f>
        <v/>
      </c>
    </row>
    <row r="888" customFormat="false" ht="14.5" hidden="false" customHeight="false" outlineLevel="0" collapsed="false">
      <c r="A888" s="0" t="n">
        <v>896</v>
      </c>
      <c r="B888" s="0" t="s">
        <v>940</v>
      </c>
      <c r="C888" s="0" t="n">
        <v>108000</v>
      </c>
      <c r="D888" s="0" t="n">
        <v>983</v>
      </c>
      <c r="E888" s="0" t="str">
        <f aca="false">IFERROR(IF(OR(HLOOKUP($A888,#REF!,3,FALSE())&gt;2,HLOOKUP(A888,#REF!,3,FALSE())&lt;-2),"",#REF!),"")</f>
        <v/>
      </c>
      <c r="F888" s="0" t="str">
        <f aca="false">IFERROR(IF(OR(HLOOKUP($A888,#REF!,4,FALSE())&gt;2,HLOOKUP($A888,#REF!,4,FALSE())&lt;-2),"",#REF!),"")</f>
        <v/>
      </c>
      <c r="G888" s="0" t="str">
        <f aca="false">IFERROR(IF(OR(HLOOKUP($A888,#REF!,5,FALSE())&gt;2,HLOOKUP($A888,#REF!,5,FALSE())&lt;-2),"",#REF!),"")</f>
        <v/>
      </c>
      <c r="H888" s="0" t="str">
        <f aca="false">IFERROR(IF(OR(HLOOKUP($A888,#REF!,6,FALSE())&gt;2,HLOOKUP($A888,#REF!,6,FALSE())&lt;-2),"",#REF!),"")</f>
        <v/>
      </c>
      <c r="I888" s="0" t="str">
        <f aca="false">IFERROR(IF(OR(HLOOKUP($A888,#REF!,7,FALSE())&gt;2,HLOOKUP($A888,#REF!,7,FALSE())&lt;-2),"",#REF!),"")</f>
        <v/>
      </c>
      <c r="J888" s="0" t="str">
        <f aca="false">IFERROR(IF(OR(HLOOKUP($A888,#REF!,8,FALSE())&gt;2,HLOOKUP($A888,#REF!,8,FALSE())&lt;-2),"",#REF!),"")</f>
        <v/>
      </c>
      <c r="K888" s="0" t="str">
        <f aca="false">IFERROR(IF(OR(HLOOKUP($A888,#REF!,9,FALSE())&gt;2,HLOOKUP($A888,#REF!,9,FALSE())&lt;-2),"",#REF!),"")</f>
        <v/>
      </c>
      <c r="L888" s="0" t="str">
        <f aca="false">IFERROR(IF(OR(HLOOKUP($A888,#REF!,10,FALSE())&gt;2,HLOOKUP($A888,#REF!,10,FALSE())&lt;-2),"",#REF!),"")</f>
        <v/>
      </c>
      <c r="M888" s="0" t="str">
        <f aca="false">IFERROR(IF(OR(HLOOKUP($A888,#REF!,11,FALSE())&gt;2,HLOOKUP($A888,#REF!,11,FALSE())&lt;-2),"",#REF!),"")</f>
        <v/>
      </c>
      <c r="N888" s="0" t="str">
        <f aca="false">IFERROR(IF(OR(HLOOKUP($A888,#REF!,12,FALSE())&gt;2,HLOOKUP($A888,#REF!,12,FALSE())&lt;-2),"",#REF!),"")</f>
        <v/>
      </c>
      <c r="O888" s="0" t="str">
        <f aca="false">IFERROR(IF(OR(HLOOKUP($A888,#REF!,13,FALSE())&gt;2,HLOOKUP($A888,#REF!,13,FALSE())&lt;-2),"",#REF!),"")</f>
        <v/>
      </c>
      <c r="P888" s="0" t="str">
        <f aca="false">IFERROR(IF(OR(HLOOKUP($A888,#REF!,14,FALSE())&gt;2,HLOOKUP($A888,#REF!,14,FALSE())&lt;-2),"",#REF!),"")</f>
        <v/>
      </c>
      <c r="Q888" s="0" t="str">
        <f aca="false">IFERROR(IF(OR(HLOOKUP($A888,#REF!,15,FALSE())&gt;2,HLOOKUP($A888,#REF!,15,FALSE())&lt;-2),"",#REF!),"")</f>
        <v/>
      </c>
      <c r="R888" s="0" t="str">
        <f aca="false">IFERROR(IF(OR(HLOOKUP($A888,#REF!,16,FALSE())&gt;2,HLOOKUP($A888,#REF!,16,FALSE())&lt;-2),"",#REF!),"")</f>
        <v/>
      </c>
      <c r="S888" s="0" t="str">
        <f aca="false">IFERROR(IF(OR(HLOOKUP($A888,#REF!,17,FALSE())&gt;2,HLOOKUP($A888,#REF!,17,FALSE())&lt;-2),"",#REF!),"")</f>
        <v/>
      </c>
      <c r="T888" s="0" t="str">
        <f aca="false">IFERROR(IF(OR(HLOOKUP($A888,#REF!,18,FALSE())&gt;2,HLOOKUP($A888,#REF!,18,FALSE())&lt;-2),"",#REF!),"")</f>
        <v/>
      </c>
      <c r="U888" s="0" t="str">
        <f aca="false">IFERROR(IF(OR(HLOOKUP($A888,#REF!,19,FALSE())&gt;2,HLOOKUP($A888,#REF!,19,FALSE())&lt;-2),"",#REF!),"")</f>
        <v/>
      </c>
      <c r="V888" s="0" t="n">
        <f aca="false">IFERROR(IF(AND(X888=0,Y888=0),0,1),0)</f>
        <v>1</v>
      </c>
      <c r="W888" s="3" t="str">
        <f aca="false">IFERROR(_xlfn.T.TEST(E888:M888,N888:U888,2,2),"")</f>
        <v/>
      </c>
      <c r="X888" s="0" t="str">
        <f aca="false">IFERROR(AVERAGE(E888:M888),"")</f>
        <v/>
      </c>
      <c r="Y888" s="0" t="str">
        <f aca="false">IFERROR(AVERAGE(N888:U888),"")</f>
        <v/>
      </c>
    </row>
    <row r="889" customFormat="false" ht="14.5" hidden="false" customHeight="false" outlineLevel="0" collapsed="false">
      <c r="A889" s="0" t="n">
        <v>897</v>
      </c>
      <c r="B889" s="0" t="s">
        <v>941</v>
      </c>
      <c r="C889" s="0" t="n">
        <v>9900</v>
      </c>
      <c r="D889" s="0" t="n">
        <v>677</v>
      </c>
      <c r="E889" s="0" t="str">
        <f aca="false">IFERROR(IF(OR(HLOOKUP($A889,#REF!,3,FALSE())&gt;2,HLOOKUP(A889,#REF!,3,FALSE())&lt;-2),"",#REF!),"")</f>
        <v/>
      </c>
      <c r="F889" s="0" t="str">
        <f aca="false">IFERROR(IF(OR(HLOOKUP($A889,#REF!,4,FALSE())&gt;2,HLOOKUP($A889,#REF!,4,FALSE())&lt;-2),"",#REF!),"")</f>
        <v/>
      </c>
      <c r="G889" s="0" t="str">
        <f aca="false">IFERROR(IF(OR(HLOOKUP($A889,#REF!,5,FALSE())&gt;2,HLOOKUP($A889,#REF!,5,FALSE())&lt;-2),"",#REF!),"")</f>
        <v/>
      </c>
      <c r="H889" s="0" t="str">
        <f aca="false">IFERROR(IF(OR(HLOOKUP($A889,#REF!,6,FALSE())&gt;2,HLOOKUP($A889,#REF!,6,FALSE())&lt;-2),"",#REF!),"")</f>
        <v/>
      </c>
      <c r="I889" s="0" t="str">
        <f aca="false">IFERROR(IF(OR(HLOOKUP($A889,#REF!,7,FALSE())&gt;2,HLOOKUP($A889,#REF!,7,FALSE())&lt;-2),"",#REF!),"")</f>
        <v/>
      </c>
      <c r="J889" s="0" t="str">
        <f aca="false">IFERROR(IF(OR(HLOOKUP($A889,#REF!,8,FALSE())&gt;2,HLOOKUP($A889,#REF!,8,FALSE())&lt;-2),"",#REF!),"")</f>
        <v/>
      </c>
      <c r="K889" s="0" t="str">
        <f aca="false">IFERROR(IF(OR(HLOOKUP($A889,#REF!,9,FALSE())&gt;2,HLOOKUP($A889,#REF!,9,FALSE())&lt;-2),"",#REF!),"")</f>
        <v/>
      </c>
      <c r="L889" s="0" t="str">
        <f aca="false">IFERROR(IF(OR(HLOOKUP($A889,#REF!,10,FALSE())&gt;2,HLOOKUP($A889,#REF!,10,FALSE())&lt;-2),"",#REF!),"")</f>
        <v/>
      </c>
      <c r="M889" s="0" t="str">
        <f aca="false">IFERROR(IF(OR(HLOOKUP($A889,#REF!,11,FALSE())&gt;2,HLOOKUP($A889,#REF!,11,FALSE())&lt;-2),"",#REF!),"")</f>
        <v/>
      </c>
      <c r="N889" s="0" t="str">
        <f aca="false">IFERROR(IF(OR(HLOOKUP($A889,#REF!,12,FALSE())&gt;2,HLOOKUP($A889,#REF!,12,FALSE())&lt;-2),"",#REF!),"")</f>
        <v/>
      </c>
      <c r="O889" s="0" t="str">
        <f aca="false">IFERROR(IF(OR(HLOOKUP($A889,#REF!,13,FALSE())&gt;2,HLOOKUP($A889,#REF!,13,FALSE())&lt;-2),"",#REF!),"")</f>
        <v/>
      </c>
      <c r="P889" s="0" t="str">
        <f aca="false">IFERROR(IF(OR(HLOOKUP($A889,#REF!,14,FALSE())&gt;2,HLOOKUP($A889,#REF!,14,FALSE())&lt;-2),"",#REF!),"")</f>
        <v/>
      </c>
      <c r="Q889" s="0" t="str">
        <f aca="false">IFERROR(IF(OR(HLOOKUP($A889,#REF!,15,FALSE())&gt;2,HLOOKUP($A889,#REF!,15,FALSE())&lt;-2),"",#REF!),"")</f>
        <v/>
      </c>
      <c r="R889" s="0" t="str">
        <f aca="false">IFERROR(IF(OR(HLOOKUP($A889,#REF!,16,FALSE())&gt;2,HLOOKUP($A889,#REF!,16,FALSE())&lt;-2),"",#REF!),"")</f>
        <v/>
      </c>
      <c r="S889" s="0" t="str">
        <f aca="false">IFERROR(IF(OR(HLOOKUP($A889,#REF!,17,FALSE())&gt;2,HLOOKUP($A889,#REF!,17,FALSE())&lt;-2),"",#REF!),"")</f>
        <v/>
      </c>
      <c r="T889" s="0" t="str">
        <f aca="false">IFERROR(IF(OR(HLOOKUP($A889,#REF!,18,FALSE())&gt;2,HLOOKUP($A889,#REF!,18,FALSE())&lt;-2),"",#REF!),"")</f>
        <v/>
      </c>
      <c r="U889" s="0" t="str">
        <f aca="false">IFERROR(IF(OR(HLOOKUP($A889,#REF!,19,FALSE())&gt;2,HLOOKUP($A889,#REF!,19,FALSE())&lt;-2),"",#REF!),"")</f>
        <v/>
      </c>
      <c r="V889" s="0" t="n">
        <f aca="false">IFERROR(IF(AND(X889=0,Y889=0),0,1),0)</f>
        <v>1</v>
      </c>
      <c r="W889" s="3" t="str">
        <f aca="false">IFERROR(_xlfn.T.TEST(E889:M889,N889:U889,2,2),"")</f>
        <v/>
      </c>
      <c r="X889" s="0" t="str">
        <f aca="false">IFERROR(AVERAGE(E889:M889),"")</f>
        <v/>
      </c>
      <c r="Y889" s="0" t="str">
        <f aca="false">IFERROR(AVERAGE(N889:U889),"")</f>
        <v/>
      </c>
    </row>
    <row r="890" customFormat="false" ht="14.5" hidden="false" customHeight="false" outlineLevel="0" collapsed="false">
      <c r="A890" s="0" t="n">
        <v>898</v>
      </c>
      <c r="B890" s="0" t="s">
        <v>942</v>
      </c>
      <c r="C890" s="0" t="n">
        <v>87400</v>
      </c>
      <c r="D890" s="0" t="n">
        <v>987</v>
      </c>
      <c r="E890" s="0" t="str">
        <f aca="false">IFERROR(IF(OR(HLOOKUP($A890,#REF!,3,FALSE())&gt;2,HLOOKUP(A890,#REF!,3,FALSE())&lt;-2),"",#REF!),"")</f>
        <v/>
      </c>
      <c r="F890" s="0" t="str">
        <f aca="false">IFERROR(IF(OR(HLOOKUP($A890,#REF!,4,FALSE())&gt;2,HLOOKUP($A890,#REF!,4,FALSE())&lt;-2),"",#REF!),"")</f>
        <v/>
      </c>
      <c r="G890" s="0" t="str">
        <f aca="false">IFERROR(IF(OR(HLOOKUP($A890,#REF!,5,FALSE())&gt;2,HLOOKUP($A890,#REF!,5,FALSE())&lt;-2),"",#REF!),"")</f>
        <v/>
      </c>
      <c r="H890" s="0" t="str">
        <f aca="false">IFERROR(IF(OR(HLOOKUP($A890,#REF!,6,FALSE())&gt;2,HLOOKUP($A890,#REF!,6,FALSE())&lt;-2),"",#REF!),"")</f>
        <v/>
      </c>
      <c r="I890" s="0" t="str">
        <f aca="false">IFERROR(IF(OR(HLOOKUP($A890,#REF!,7,FALSE())&gt;2,HLOOKUP($A890,#REF!,7,FALSE())&lt;-2),"",#REF!),"")</f>
        <v/>
      </c>
      <c r="J890" s="0" t="str">
        <f aca="false">IFERROR(IF(OR(HLOOKUP($A890,#REF!,8,FALSE())&gt;2,HLOOKUP($A890,#REF!,8,FALSE())&lt;-2),"",#REF!),"")</f>
        <v/>
      </c>
      <c r="K890" s="0" t="str">
        <f aca="false">IFERROR(IF(OR(HLOOKUP($A890,#REF!,9,FALSE())&gt;2,HLOOKUP($A890,#REF!,9,FALSE())&lt;-2),"",#REF!),"")</f>
        <v/>
      </c>
      <c r="L890" s="0" t="str">
        <f aca="false">IFERROR(IF(OR(HLOOKUP($A890,#REF!,10,FALSE())&gt;2,HLOOKUP($A890,#REF!,10,FALSE())&lt;-2),"",#REF!),"")</f>
        <v/>
      </c>
      <c r="M890" s="0" t="str">
        <f aca="false">IFERROR(IF(OR(HLOOKUP($A890,#REF!,11,FALSE())&gt;2,HLOOKUP($A890,#REF!,11,FALSE())&lt;-2),"",#REF!),"")</f>
        <v/>
      </c>
      <c r="N890" s="0" t="str">
        <f aca="false">IFERROR(IF(OR(HLOOKUP($A890,#REF!,12,FALSE())&gt;2,HLOOKUP($A890,#REF!,12,FALSE())&lt;-2),"",#REF!),"")</f>
        <v/>
      </c>
      <c r="O890" s="0" t="str">
        <f aca="false">IFERROR(IF(OR(HLOOKUP($A890,#REF!,13,FALSE())&gt;2,HLOOKUP($A890,#REF!,13,FALSE())&lt;-2),"",#REF!),"")</f>
        <v/>
      </c>
      <c r="P890" s="0" t="str">
        <f aca="false">IFERROR(IF(OR(HLOOKUP($A890,#REF!,14,FALSE())&gt;2,HLOOKUP($A890,#REF!,14,FALSE())&lt;-2),"",#REF!),"")</f>
        <v/>
      </c>
      <c r="Q890" s="0" t="str">
        <f aca="false">IFERROR(IF(OR(HLOOKUP($A890,#REF!,15,FALSE())&gt;2,HLOOKUP($A890,#REF!,15,FALSE())&lt;-2),"",#REF!),"")</f>
        <v/>
      </c>
      <c r="R890" s="0" t="str">
        <f aca="false">IFERROR(IF(OR(HLOOKUP($A890,#REF!,16,FALSE())&gt;2,HLOOKUP($A890,#REF!,16,FALSE())&lt;-2),"",#REF!),"")</f>
        <v/>
      </c>
      <c r="S890" s="0" t="str">
        <f aca="false">IFERROR(IF(OR(HLOOKUP($A890,#REF!,17,FALSE())&gt;2,HLOOKUP($A890,#REF!,17,FALSE())&lt;-2),"",#REF!),"")</f>
        <v/>
      </c>
      <c r="T890" s="0" t="str">
        <f aca="false">IFERROR(IF(OR(HLOOKUP($A890,#REF!,18,FALSE())&gt;2,HLOOKUP($A890,#REF!,18,FALSE())&lt;-2),"",#REF!),"")</f>
        <v/>
      </c>
      <c r="U890" s="0" t="str">
        <f aca="false">IFERROR(IF(OR(HLOOKUP($A890,#REF!,19,FALSE())&gt;2,HLOOKUP($A890,#REF!,19,FALSE())&lt;-2),"",#REF!),"")</f>
        <v/>
      </c>
      <c r="V890" s="0" t="n">
        <f aca="false">IFERROR(IF(AND(X890=0,Y890=0),0,1),0)</f>
        <v>1</v>
      </c>
      <c r="W890" s="3" t="str">
        <f aca="false">IFERROR(_xlfn.T.TEST(E890:M890,N890:U890,2,2),"")</f>
        <v/>
      </c>
      <c r="X890" s="0" t="str">
        <f aca="false">IFERROR(AVERAGE(E890:M890),"")</f>
        <v/>
      </c>
      <c r="Y890" s="0" t="str">
        <f aca="false">IFERROR(AVERAGE(N890:U890),"")</f>
        <v/>
      </c>
    </row>
    <row r="891" customFormat="false" ht="14.5" hidden="false" customHeight="false" outlineLevel="0" collapsed="false">
      <c r="A891" s="0" t="n">
        <v>899</v>
      </c>
      <c r="B891" s="0" t="s">
        <v>943</v>
      </c>
      <c r="C891" s="0" t="n">
        <v>86300</v>
      </c>
      <c r="D891" s="0" t="n">
        <v>890</v>
      </c>
      <c r="E891" s="0" t="str">
        <f aca="false">IFERROR(IF(OR(HLOOKUP($A891,#REF!,3,FALSE())&gt;2,HLOOKUP(A891,#REF!,3,FALSE())&lt;-2),"",#REF!),"")</f>
        <v/>
      </c>
      <c r="F891" s="0" t="str">
        <f aca="false">IFERROR(IF(OR(HLOOKUP($A891,#REF!,4,FALSE())&gt;2,HLOOKUP($A891,#REF!,4,FALSE())&lt;-2),"",#REF!),"")</f>
        <v/>
      </c>
      <c r="G891" s="0" t="str">
        <f aca="false">IFERROR(IF(OR(HLOOKUP($A891,#REF!,5,FALSE())&gt;2,HLOOKUP($A891,#REF!,5,FALSE())&lt;-2),"",#REF!),"")</f>
        <v/>
      </c>
      <c r="H891" s="0" t="str">
        <f aca="false">IFERROR(IF(OR(HLOOKUP($A891,#REF!,6,FALSE())&gt;2,HLOOKUP($A891,#REF!,6,FALSE())&lt;-2),"",#REF!),"")</f>
        <v/>
      </c>
      <c r="I891" s="0" t="str">
        <f aca="false">IFERROR(IF(OR(HLOOKUP($A891,#REF!,7,FALSE())&gt;2,HLOOKUP($A891,#REF!,7,FALSE())&lt;-2),"",#REF!),"")</f>
        <v/>
      </c>
      <c r="J891" s="0" t="str">
        <f aca="false">IFERROR(IF(OR(HLOOKUP($A891,#REF!,8,FALSE())&gt;2,HLOOKUP($A891,#REF!,8,FALSE())&lt;-2),"",#REF!),"")</f>
        <v/>
      </c>
      <c r="K891" s="0" t="str">
        <f aca="false">IFERROR(IF(OR(HLOOKUP($A891,#REF!,9,FALSE())&gt;2,HLOOKUP($A891,#REF!,9,FALSE())&lt;-2),"",#REF!),"")</f>
        <v/>
      </c>
      <c r="L891" s="0" t="str">
        <f aca="false">IFERROR(IF(OR(HLOOKUP($A891,#REF!,10,FALSE())&gt;2,HLOOKUP($A891,#REF!,10,FALSE())&lt;-2),"",#REF!),"")</f>
        <v/>
      </c>
      <c r="M891" s="0" t="str">
        <f aca="false">IFERROR(IF(OR(HLOOKUP($A891,#REF!,11,FALSE())&gt;2,HLOOKUP($A891,#REF!,11,FALSE())&lt;-2),"",#REF!),"")</f>
        <v/>
      </c>
      <c r="N891" s="0" t="str">
        <f aca="false">IFERROR(IF(OR(HLOOKUP($A891,#REF!,12,FALSE())&gt;2,HLOOKUP($A891,#REF!,12,FALSE())&lt;-2),"",#REF!),"")</f>
        <v/>
      </c>
      <c r="O891" s="0" t="str">
        <f aca="false">IFERROR(IF(OR(HLOOKUP($A891,#REF!,13,FALSE())&gt;2,HLOOKUP($A891,#REF!,13,FALSE())&lt;-2),"",#REF!),"")</f>
        <v/>
      </c>
      <c r="P891" s="0" t="str">
        <f aca="false">IFERROR(IF(OR(HLOOKUP($A891,#REF!,14,FALSE())&gt;2,HLOOKUP($A891,#REF!,14,FALSE())&lt;-2),"",#REF!),"")</f>
        <v/>
      </c>
      <c r="Q891" s="0" t="str">
        <f aca="false">IFERROR(IF(OR(HLOOKUP($A891,#REF!,15,FALSE())&gt;2,HLOOKUP($A891,#REF!,15,FALSE())&lt;-2),"",#REF!),"")</f>
        <v/>
      </c>
      <c r="R891" s="0" t="str">
        <f aca="false">IFERROR(IF(OR(HLOOKUP($A891,#REF!,16,FALSE())&gt;2,HLOOKUP($A891,#REF!,16,FALSE())&lt;-2),"",#REF!),"")</f>
        <v/>
      </c>
      <c r="S891" s="0" t="str">
        <f aca="false">IFERROR(IF(OR(HLOOKUP($A891,#REF!,17,FALSE())&gt;2,HLOOKUP($A891,#REF!,17,FALSE())&lt;-2),"",#REF!),"")</f>
        <v/>
      </c>
      <c r="T891" s="0" t="str">
        <f aca="false">IFERROR(IF(OR(HLOOKUP($A891,#REF!,18,FALSE())&gt;2,HLOOKUP($A891,#REF!,18,FALSE())&lt;-2),"",#REF!),"")</f>
        <v/>
      </c>
      <c r="U891" s="0" t="str">
        <f aca="false">IFERROR(IF(OR(HLOOKUP($A891,#REF!,19,FALSE())&gt;2,HLOOKUP($A891,#REF!,19,FALSE())&lt;-2),"",#REF!),"")</f>
        <v/>
      </c>
      <c r="V891" s="0" t="n">
        <f aca="false">IFERROR(IF(AND(X891=0,Y891=0),0,1),0)</f>
        <v>1</v>
      </c>
      <c r="W891" s="3" t="str">
        <f aca="false">IFERROR(_xlfn.T.TEST(E891:M891,N891:U891,2,2),"")</f>
        <v/>
      </c>
      <c r="X891" s="0" t="str">
        <f aca="false">IFERROR(AVERAGE(E891:M891),"")</f>
        <v/>
      </c>
      <c r="Y891" s="0" t="str">
        <f aca="false">IFERROR(AVERAGE(N891:U891),"")</f>
        <v/>
      </c>
    </row>
    <row r="892" customFormat="false" ht="14.5" hidden="false" customHeight="false" outlineLevel="0" collapsed="false">
      <c r="A892" s="0" t="n">
        <v>900</v>
      </c>
      <c r="B892" s="0" t="s">
        <v>944</v>
      </c>
      <c r="C892" s="0" t="n">
        <v>98200</v>
      </c>
      <c r="D892" s="0" t="n">
        <v>840</v>
      </c>
      <c r="E892" s="0" t="str">
        <f aca="false">IFERROR(IF(OR(HLOOKUP($A892,#REF!,3,FALSE())&gt;2,HLOOKUP(A892,#REF!,3,FALSE())&lt;-2),"",#REF!),"")</f>
        <v/>
      </c>
      <c r="F892" s="0" t="str">
        <f aca="false">IFERROR(IF(OR(HLOOKUP($A892,#REF!,4,FALSE())&gt;2,HLOOKUP($A892,#REF!,4,FALSE())&lt;-2),"",#REF!),"")</f>
        <v/>
      </c>
      <c r="G892" s="0" t="str">
        <f aca="false">IFERROR(IF(OR(HLOOKUP($A892,#REF!,5,FALSE())&gt;2,HLOOKUP($A892,#REF!,5,FALSE())&lt;-2),"",#REF!),"")</f>
        <v/>
      </c>
      <c r="H892" s="0" t="str">
        <f aca="false">IFERROR(IF(OR(HLOOKUP($A892,#REF!,6,FALSE())&gt;2,HLOOKUP($A892,#REF!,6,FALSE())&lt;-2),"",#REF!),"")</f>
        <v/>
      </c>
      <c r="I892" s="0" t="str">
        <f aca="false">IFERROR(IF(OR(HLOOKUP($A892,#REF!,7,FALSE())&gt;2,HLOOKUP($A892,#REF!,7,FALSE())&lt;-2),"",#REF!),"")</f>
        <v/>
      </c>
      <c r="J892" s="0" t="str">
        <f aca="false">IFERROR(IF(OR(HLOOKUP($A892,#REF!,8,FALSE())&gt;2,HLOOKUP($A892,#REF!,8,FALSE())&lt;-2),"",#REF!),"")</f>
        <v/>
      </c>
      <c r="K892" s="0" t="str">
        <f aca="false">IFERROR(IF(OR(HLOOKUP($A892,#REF!,9,FALSE())&gt;2,HLOOKUP($A892,#REF!,9,FALSE())&lt;-2),"",#REF!),"")</f>
        <v/>
      </c>
      <c r="L892" s="0" t="str">
        <f aca="false">IFERROR(IF(OR(HLOOKUP($A892,#REF!,10,FALSE())&gt;2,HLOOKUP($A892,#REF!,10,FALSE())&lt;-2),"",#REF!),"")</f>
        <v/>
      </c>
      <c r="M892" s="0" t="str">
        <f aca="false">IFERROR(IF(OR(HLOOKUP($A892,#REF!,11,FALSE())&gt;2,HLOOKUP($A892,#REF!,11,FALSE())&lt;-2),"",#REF!),"")</f>
        <v/>
      </c>
      <c r="N892" s="0" t="str">
        <f aca="false">IFERROR(IF(OR(HLOOKUP($A892,#REF!,12,FALSE())&gt;2,HLOOKUP($A892,#REF!,12,FALSE())&lt;-2),"",#REF!),"")</f>
        <v/>
      </c>
      <c r="O892" s="0" t="str">
        <f aca="false">IFERROR(IF(OR(HLOOKUP($A892,#REF!,13,FALSE())&gt;2,HLOOKUP($A892,#REF!,13,FALSE())&lt;-2),"",#REF!),"")</f>
        <v/>
      </c>
      <c r="P892" s="0" t="str">
        <f aca="false">IFERROR(IF(OR(HLOOKUP($A892,#REF!,14,FALSE())&gt;2,HLOOKUP($A892,#REF!,14,FALSE())&lt;-2),"",#REF!),"")</f>
        <v/>
      </c>
      <c r="Q892" s="0" t="str">
        <f aca="false">IFERROR(IF(OR(HLOOKUP($A892,#REF!,15,FALSE())&gt;2,HLOOKUP($A892,#REF!,15,FALSE())&lt;-2),"",#REF!),"")</f>
        <v/>
      </c>
      <c r="R892" s="0" t="str">
        <f aca="false">IFERROR(IF(OR(HLOOKUP($A892,#REF!,16,FALSE())&gt;2,HLOOKUP($A892,#REF!,16,FALSE())&lt;-2),"",#REF!),"")</f>
        <v/>
      </c>
      <c r="S892" s="0" t="str">
        <f aca="false">IFERROR(IF(OR(HLOOKUP($A892,#REF!,17,FALSE())&gt;2,HLOOKUP($A892,#REF!,17,FALSE())&lt;-2),"",#REF!),"")</f>
        <v/>
      </c>
      <c r="T892" s="0" t="str">
        <f aca="false">IFERROR(IF(OR(HLOOKUP($A892,#REF!,18,FALSE())&gt;2,HLOOKUP($A892,#REF!,18,FALSE())&lt;-2),"",#REF!),"")</f>
        <v/>
      </c>
      <c r="U892" s="0" t="str">
        <f aca="false">IFERROR(IF(OR(HLOOKUP($A892,#REF!,19,FALSE())&gt;2,HLOOKUP($A892,#REF!,19,FALSE())&lt;-2),"",#REF!),"")</f>
        <v/>
      </c>
      <c r="V892" s="0" t="n">
        <f aca="false">IFERROR(IF(AND(X892=0,Y892=0),0,1),0)</f>
        <v>1</v>
      </c>
      <c r="W892" s="3" t="str">
        <f aca="false">IFERROR(_xlfn.T.TEST(E892:M892,N892:U892,2,2),"")</f>
        <v/>
      </c>
      <c r="X892" s="0" t="str">
        <f aca="false">IFERROR(AVERAGE(E892:M892),"")</f>
        <v/>
      </c>
      <c r="Y892" s="0" t="str">
        <f aca="false">IFERROR(AVERAGE(N892:U892),"")</f>
        <v/>
      </c>
    </row>
    <row r="893" customFormat="false" ht="14.5" hidden="false" customHeight="false" outlineLevel="0" collapsed="false">
      <c r="A893" s="0" t="n">
        <v>901</v>
      </c>
      <c r="B893" s="0" t="s">
        <v>945</v>
      </c>
      <c r="C893" s="0" t="n">
        <v>99600</v>
      </c>
      <c r="D893" s="0" t="n">
        <v>967</v>
      </c>
      <c r="E893" s="0" t="str">
        <f aca="false">IFERROR(IF(OR(HLOOKUP($A893,#REF!,3,FALSE())&gt;2,HLOOKUP(A893,#REF!,3,FALSE())&lt;-2),"",#REF!),"")</f>
        <v/>
      </c>
      <c r="F893" s="0" t="str">
        <f aca="false">IFERROR(IF(OR(HLOOKUP($A893,#REF!,4,FALSE())&gt;2,HLOOKUP($A893,#REF!,4,FALSE())&lt;-2),"",#REF!),"")</f>
        <v/>
      </c>
      <c r="G893" s="0" t="str">
        <f aca="false">IFERROR(IF(OR(HLOOKUP($A893,#REF!,5,FALSE())&gt;2,HLOOKUP($A893,#REF!,5,FALSE())&lt;-2),"",#REF!),"")</f>
        <v/>
      </c>
      <c r="H893" s="0" t="str">
        <f aca="false">IFERROR(IF(OR(HLOOKUP($A893,#REF!,6,FALSE())&gt;2,HLOOKUP($A893,#REF!,6,FALSE())&lt;-2),"",#REF!),"")</f>
        <v/>
      </c>
      <c r="I893" s="0" t="str">
        <f aca="false">IFERROR(IF(OR(HLOOKUP($A893,#REF!,7,FALSE())&gt;2,HLOOKUP($A893,#REF!,7,FALSE())&lt;-2),"",#REF!),"")</f>
        <v/>
      </c>
      <c r="J893" s="0" t="str">
        <f aca="false">IFERROR(IF(OR(HLOOKUP($A893,#REF!,8,FALSE())&gt;2,HLOOKUP($A893,#REF!,8,FALSE())&lt;-2),"",#REF!),"")</f>
        <v/>
      </c>
      <c r="K893" s="0" t="str">
        <f aca="false">IFERROR(IF(OR(HLOOKUP($A893,#REF!,9,FALSE())&gt;2,HLOOKUP($A893,#REF!,9,FALSE())&lt;-2),"",#REF!),"")</f>
        <v/>
      </c>
      <c r="L893" s="0" t="str">
        <f aca="false">IFERROR(IF(OR(HLOOKUP($A893,#REF!,10,FALSE())&gt;2,HLOOKUP($A893,#REF!,10,FALSE())&lt;-2),"",#REF!),"")</f>
        <v/>
      </c>
      <c r="M893" s="0" t="str">
        <f aca="false">IFERROR(IF(OR(HLOOKUP($A893,#REF!,11,FALSE())&gt;2,HLOOKUP($A893,#REF!,11,FALSE())&lt;-2),"",#REF!),"")</f>
        <v/>
      </c>
      <c r="N893" s="0" t="str">
        <f aca="false">IFERROR(IF(OR(HLOOKUP($A893,#REF!,12,FALSE())&gt;2,HLOOKUP($A893,#REF!,12,FALSE())&lt;-2),"",#REF!),"")</f>
        <v/>
      </c>
      <c r="O893" s="0" t="str">
        <f aca="false">IFERROR(IF(OR(HLOOKUP($A893,#REF!,13,FALSE())&gt;2,HLOOKUP($A893,#REF!,13,FALSE())&lt;-2),"",#REF!),"")</f>
        <v/>
      </c>
      <c r="P893" s="0" t="str">
        <f aca="false">IFERROR(IF(OR(HLOOKUP($A893,#REF!,14,FALSE())&gt;2,HLOOKUP($A893,#REF!,14,FALSE())&lt;-2),"",#REF!),"")</f>
        <v/>
      </c>
      <c r="Q893" s="0" t="str">
        <f aca="false">IFERROR(IF(OR(HLOOKUP($A893,#REF!,15,FALSE())&gt;2,HLOOKUP($A893,#REF!,15,FALSE())&lt;-2),"",#REF!),"")</f>
        <v/>
      </c>
      <c r="R893" s="0" t="str">
        <f aca="false">IFERROR(IF(OR(HLOOKUP($A893,#REF!,16,FALSE())&gt;2,HLOOKUP($A893,#REF!,16,FALSE())&lt;-2),"",#REF!),"")</f>
        <v/>
      </c>
      <c r="S893" s="0" t="str">
        <f aca="false">IFERROR(IF(OR(HLOOKUP($A893,#REF!,17,FALSE())&gt;2,HLOOKUP($A893,#REF!,17,FALSE())&lt;-2),"",#REF!),"")</f>
        <v/>
      </c>
      <c r="T893" s="0" t="str">
        <f aca="false">IFERROR(IF(OR(HLOOKUP($A893,#REF!,18,FALSE())&gt;2,HLOOKUP($A893,#REF!,18,FALSE())&lt;-2),"",#REF!),"")</f>
        <v/>
      </c>
      <c r="U893" s="0" t="str">
        <f aca="false">IFERROR(IF(OR(HLOOKUP($A893,#REF!,19,FALSE())&gt;2,HLOOKUP($A893,#REF!,19,FALSE())&lt;-2),"",#REF!),"")</f>
        <v/>
      </c>
      <c r="V893" s="0" t="n">
        <f aca="false">IFERROR(IF(AND(X893=0,Y893=0),0,1),0)</f>
        <v>1</v>
      </c>
      <c r="W893" s="3" t="str">
        <f aca="false">IFERROR(_xlfn.T.TEST(E893:M893,N893:U893,2,2),"")</f>
        <v/>
      </c>
      <c r="X893" s="0" t="str">
        <f aca="false">IFERROR(AVERAGE(E893:M893),"")</f>
        <v/>
      </c>
      <c r="Y893" s="0" t="str">
        <f aca="false">IFERROR(AVERAGE(N893:U893),"")</f>
        <v/>
      </c>
    </row>
    <row r="894" customFormat="false" ht="14.5" hidden="false" customHeight="false" outlineLevel="0" collapsed="false">
      <c r="A894" s="0" t="n">
        <v>902</v>
      </c>
      <c r="B894" s="0" t="s">
        <v>946</v>
      </c>
      <c r="C894" s="0" t="n">
        <v>17300</v>
      </c>
      <c r="D894" s="0" t="n">
        <v>425</v>
      </c>
      <c r="E894" s="0" t="str">
        <f aca="false">IFERROR(IF(OR(HLOOKUP($A894,#REF!,3,FALSE())&gt;2,HLOOKUP(A894,#REF!,3,FALSE())&lt;-2),"",#REF!),"")</f>
        <v/>
      </c>
      <c r="F894" s="0" t="str">
        <f aca="false">IFERROR(IF(OR(HLOOKUP($A894,#REF!,4,FALSE())&gt;2,HLOOKUP($A894,#REF!,4,FALSE())&lt;-2),"",#REF!),"")</f>
        <v/>
      </c>
      <c r="G894" s="0" t="str">
        <f aca="false">IFERROR(IF(OR(HLOOKUP($A894,#REF!,5,FALSE())&gt;2,HLOOKUP($A894,#REF!,5,FALSE())&lt;-2),"",#REF!),"")</f>
        <v/>
      </c>
      <c r="H894" s="0" t="str">
        <f aca="false">IFERROR(IF(OR(HLOOKUP($A894,#REF!,6,FALSE())&gt;2,HLOOKUP($A894,#REF!,6,FALSE())&lt;-2),"",#REF!),"")</f>
        <v/>
      </c>
      <c r="I894" s="0" t="str">
        <f aca="false">IFERROR(IF(OR(HLOOKUP($A894,#REF!,7,FALSE())&gt;2,HLOOKUP($A894,#REF!,7,FALSE())&lt;-2),"",#REF!),"")</f>
        <v/>
      </c>
      <c r="J894" s="0" t="str">
        <f aca="false">IFERROR(IF(OR(HLOOKUP($A894,#REF!,8,FALSE())&gt;2,HLOOKUP($A894,#REF!,8,FALSE())&lt;-2),"",#REF!),"")</f>
        <v/>
      </c>
      <c r="K894" s="0" t="str">
        <f aca="false">IFERROR(IF(OR(HLOOKUP($A894,#REF!,9,FALSE())&gt;2,HLOOKUP($A894,#REF!,9,FALSE())&lt;-2),"",#REF!),"")</f>
        <v/>
      </c>
      <c r="L894" s="0" t="str">
        <f aca="false">IFERROR(IF(OR(HLOOKUP($A894,#REF!,10,FALSE())&gt;2,HLOOKUP($A894,#REF!,10,FALSE())&lt;-2),"",#REF!),"")</f>
        <v/>
      </c>
      <c r="M894" s="0" t="str">
        <f aca="false">IFERROR(IF(OR(HLOOKUP($A894,#REF!,11,FALSE())&gt;2,HLOOKUP($A894,#REF!,11,FALSE())&lt;-2),"",#REF!),"")</f>
        <v/>
      </c>
      <c r="N894" s="0" t="str">
        <f aca="false">IFERROR(IF(OR(HLOOKUP($A894,#REF!,12,FALSE())&gt;2,HLOOKUP($A894,#REF!,12,FALSE())&lt;-2),"",#REF!),"")</f>
        <v/>
      </c>
      <c r="O894" s="0" t="str">
        <f aca="false">IFERROR(IF(OR(HLOOKUP($A894,#REF!,13,FALSE())&gt;2,HLOOKUP($A894,#REF!,13,FALSE())&lt;-2),"",#REF!),"")</f>
        <v/>
      </c>
      <c r="P894" s="0" t="str">
        <f aca="false">IFERROR(IF(OR(HLOOKUP($A894,#REF!,14,FALSE())&gt;2,HLOOKUP($A894,#REF!,14,FALSE())&lt;-2),"",#REF!),"")</f>
        <v/>
      </c>
      <c r="Q894" s="0" t="str">
        <f aca="false">IFERROR(IF(OR(HLOOKUP($A894,#REF!,15,FALSE())&gt;2,HLOOKUP($A894,#REF!,15,FALSE())&lt;-2),"",#REF!),"")</f>
        <v/>
      </c>
      <c r="R894" s="0" t="str">
        <f aca="false">IFERROR(IF(OR(HLOOKUP($A894,#REF!,16,FALSE())&gt;2,HLOOKUP($A894,#REF!,16,FALSE())&lt;-2),"",#REF!),"")</f>
        <v/>
      </c>
      <c r="S894" s="0" t="str">
        <f aca="false">IFERROR(IF(OR(HLOOKUP($A894,#REF!,17,FALSE())&gt;2,HLOOKUP($A894,#REF!,17,FALSE())&lt;-2),"",#REF!),"")</f>
        <v/>
      </c>
      <c r="T894" s="0" t="str">
        <f aca="false">IFERROR(IF(OR(HLOOKUP($A894,#REF!,18,FALSE())&gt;2,HLOOKUP($A894,#REF!,18,FALSE())&lt;-2),"",#REF!),"")</f>
        <v/>
      </c>
      <c r="U894" s="0" t="str">
        <f aca="false">IFERROR(IF(OR(HLOOKUP($A894,#REF!,19,FALSE())&gt;2,HLOOKUP($A894,#REF!,19,FALSE())&lt;-2),"",#REF!),"")</f>
        <v/>
      </c>
      <c r="V894" s="0" t="n">
        <f aca="false">IFERROR(IF(AND(X894=0,Y894=0),0,1),0)</f>
        <v>1</v>
      </c>
      <c r="W894" s="3" t="str">
        <f aca="false">IFERROR(_xlfn.T.TEST(E894:M894,N894:U894,2,2),"")</f>
        <v/>
      </c>
      <c r="X894" s="0" t="str">
        <f aca="false">IFERROR(AVERAGE(E894:M894),"")</f>
        <v/>
      </c>
      <c r="Y894" s="0" t="str">
        <f aca="false">IFERROR(AVERAGE(N894:U894),"")</f>
        <v/>
      </c>
    </row>
    <row r="895" customFormat="false" ht="14.5" hidden="false" customHeight="false" outlineLevel="0" collapsed="false">
      <c r="A895" s="0" t="n">
        <v>903</v>
      </c>
      <c r="B895" s="0" t="s">
        <v>947</v>
      </c>
      <c r="C895" s="0" t="n">
        <v>90500</v>
      </c>
      <c r="D895" s="0" t="n">
        <v>386</v>
      </c>
      <c r="E895" s="0" t="str">
        <f aca="false">IFERROR(IF(OR(HLOOKUP($A895,#REF!,3,FALSE())&gt;2,HLOOKUP(A895,#REF!,3,FALSE())&lt;-2),"",#REF!),"")</f>
        <v/>
      </c>
      <c r="F895" s="0" t="str">
        <f aca="false">IFERROR(IF(OR(HLOOKUP($A895,#REF!,4,FALSE())&gt;2,HLOOKUP($A895,#REF!,4,FALSE())&lt;-2),"",#REF!),"")</f>
        <v/>
      </c>
      <c r="G895" s="0" t="str">
        <f aca="false">IFERROR(IF(OR(HLOOKUP($A895,#REF!,5,FALSE())&gt;2,HLOOKUP($A895,#REF!,5,FALSE())&lt;-2),"",#REF!),"")</f>
        <v/>
      </c>
      <c r="H895" s="0" t="str">
        <f aca="false">IFERROR(IF(OR(HLOOKUP($A895,#REF!,6,FALSE())&gt;2,HLOOKUP($A895,#REF!,6,FALSE())&lt;-2),"",#REF!),"")</f>
        <v/>
      </c>
      <c r="I895" s="0" t="str">
        <f aca="false">IFERROR(IF(OR(HLOOKUP($A895,#REF!,7,FALSE())&gt;2,HLOOKUP($A895,#REF!,7,FALSE())&lt;-2),"",#REF!),"")</f>
        <v/>
      </c>
      <c r="J895" s="0" t="str">
        <f aca="false">IFERROR(IF(OR(HLOOKUP($A895,#REF!,8,FALSE())&gt;2,HLOOKUP($A895,#REF!,8,FALSE())&lt;-2),"",#REF!),"")</f>
        <v/>
      </c>
      <c r="K895" s="0" t="str">
        <f aca="false">IFERROR(IF(OR(HLOOKUP($A895,#REF!,9,FALSE())&gt;2,HLOOKUP($A895,#REF!,9,FALSE())&lt;-2),"",#REF!),"")</f>
        <v/>
      </c>
      <c r="L895" s="0" t="str">
        <f aca="false">IFERROR(IF(OR(HLOOKUP($A895,#REF!,10,FALSE())&gt;2,HLOOKUP($A895,#REF!,10,FALSE())&lt;-2),"",#REF!),"")</f>
        <v/>
      </c>
      <c r="M895" s="0" t="str">
        <f aca="false">IFERROR(IF(OR(HLOOKUP($A895,#REF!,11,FALSE())&gt;2,HLOOKUP($A895,#REF!,11,FALSE())&lt;-2),"",#REF!),"")</f>
        <v/>
      </c>
      <c r="N895" s="0" t="str">
        <f aca="false">IFERROR(IF(OR(HLOOKUP($A895,#REF!,12,FALSE())&gt;2,HLOOKUP($A895,#REF!,12,FALSE())&lt;-2),"",#REF!),"")</f>
        <v/>
      </c>
      <c r="O895" s="0" t="str">
        <f aca="false">IFERROR(IF(OR(HLOOKUP($A895,#REF!,13,FALSE())&gt;2,HLOOKUP($A895,#REF!,13,FALSE())&lt;-2),"",#REF!),"")</f>
        <v/>
      </c>
      <c r="P895" s="0" t="str">
        <f aca="false">IFERROR(IF(OR(HLOOKUP($A895,#REF!,14,FALSE())&gt;2,HLOOKUP($A895,#REF!,14,FALSE())&lt;-2),"",#REF!),"")</f>
        <v/>
      </c>
      <c r="Q895" s="0" t="str">
        <f aca="false">IFERROR(IF(OR(HLOOKUP($A895,#REF!,15,FALSE())&gt;2,HLOOKUP($A895,#REF!,15,FALSE())&lt;-2),"",#REF!),"")</f>
        <v/>
      </c>
      <c r="R895" s="0" t="str">
        <f aca="false">IFERROR(IF(OR(HLOOKUP($A895,#REF!,16,FALSE())&gt;2,HLOOKUP($A895,#REF!,16,FALSE())&lt;-2),"",#REF!),"")</f>
        <v/>
      </c>
      <c r="S895" s="0" t="str">
        <f aca="false">IFERROR(IF(OR(HLOOKUP($A895,#REF!,17,FALSE())&gt;2,HLOOKUP($A895,#REF!,17,FALSE())&lt;-2),"",#REF!),"")</f>
        <v/>
      </c>
      <c r="T895" s="0" t="str">
        <f aca="false">IFERROR(IF(OR(HLOOKUP($A895,#REF!,18,FALSE())&gt;2,HLOOKUP($A895,#REF!,18,FALSE())&lt;-2),"",#REF!),"")</f>
        <v/>
      </c>
      <c r="U895" s="0" t="str">
        <f aca="false">IFERROR(IF(OR(HLOOKUP($A895,#REF!,19,FALSE())&gt;2,HLOOKUP($A895,#REF!,19,FALSE())&lt;-2),"",#REF!),"")</f>
        <v/>
      </c>
      <c r="V895" s="0" t="n">
        <f aca="false">IFERROR(IF(AND(X895=0,Y895=0),0,1),0)</f>
        <v>1</v>
      </c>
      <c r="W895" s="3" t="str">
        <f aca="false">IFERROR(_xlfn.T.TEST(E895:M895,N895:U895,2,2),"")</f>
        <v/>
      </c>
      <c r="X895" s="0" t="str">
        <f aca="false">IFERROR(AVERAGE(E895:M895),"")</f>
        <v/>
      </c>
      <c r="Y895" s="0" t="str">
        <f aca="false">IFERROR(AVERAGE(N895:U895),"")</f>
        <v/>
      </c>
    </row>
    <row r="896" customFormat="false" ht="14.5" hidden="false" customHeight="false" outlineLevel="0" collapsed="false">
      <c r="A896" s="0" t="n">
        <v>904</v>
      </c>
      <c r="B896" s="0" t="s">
        <v>948</v>
      </c>
      <c r="C896" s="0" t="n">
        <v>52400</v>
      </c>
      <c r="D896" s="0" t="n">
        <v>826</v>
      </c>
      <c r="E896" s="0" t="str">
        <f aca="false">IFERROR(IF(OR(HLOOKUP($A896,#REF!,3,FALSE())&gt;2,HLOOKUP(A896,#REF!,3,FALSE())&lt;-2),"",#REF!),"")</f>
        <v/>
      </c>
      <c r="F896" s="0" t="str">
        <f aca="false">IFERROR(IF(OR(HLOOKUP($A896,#REF!,4,FALSE())&gt;2,HLOOKUP($A896,#REF!,4,FALSE())&lt;-2),"",#REF!),"")</f>
        <v/>
      </c>
      <c r="G896" s="0" t="str">
        <f aca="false">IFERROR(IF(OR(HLOOKUP($A896,#REF!,5,FALSE())&gt;2,HLOOKUP($A896,#REF!,5,FALSE())&lt;-2),"",#REF!),"")</f>
        <v/>
      </c>
      <c r="H896" s="0" t="str">
        <f aca="false">IFERROR(IF(OR(HLOOKUP($A896,#REF!,6,FALSE())&gt;2,HLOOKUP($A896,#REF!,6,FALSE())&lt;-2),"",#REF!),"")</f>
        <v/>
      </c>
      <c r="I896" s="0" t="str">
        <f aca="false">IFERROR(IF(OR(HLOOKUP($A896,#REF!,7,FALSE())&gt;2,HLOOKUP($A896,#REF!,7,FALSE())&lt;-2),"",#REF!),"")</f>
        <v/>
      </c>
      <c r="J896" s="0" t="str">
        <f aca="false">IFERROR(IF(OR(HLOOKUP($A896,#REF!,8,FALSE())&gt;2,HLOOKUP($A896,#REF!,8,FALSE())&lt;-2),"",#REF!),"")</f>
        <v/>
      </c>
      <c r="K896" s="0" t="str">
        <f aca="false">IFERROR(IF(OR(HLOOKUP($A896,#REF!,9,FALSE())&gt;2,HLOOKUP($A896,#REF!,9,FALSE())&lt;-2),"",#REF!),"")</f>
        <v/>
      </c>
      <c r="L896" s="0" t="str">
        <f aca="false">IFERROR(IF(OR(HLOOKUP($A896,#REF!,10,FALSE())&gt;2,HLOOKUP($A896,#REF!,10,FALSE())&lt;-2),"",#REF!),"")</f>
        <v/>
      </c>
      <c r="M896" s="0" t="str">
        <f aca="false">IFERROR(IF(OR(HLOOKUP($A896,#REF!,11,FALSE())&gt;2,HLOOKUP($A896,#REF!,11,FALSE())&lt;-2),"",#REF!),"")</f>
        <v/>
      </c>
      <c r="N896" s="0" t="str">
        <f aca="false">IFERROR(IF(OR(HLOOKUP($A896,#REF!,12,FALSE())&gt;2,HLOOKUP($A896,#REF!,12,FALSE())&lt;-2),"",#REF!),"")</f>
        <v/>
      </c>
      <c r="O896" s="0" t="str">
        <f aca="false">IFERROR(IF(OR(HLOOKUP($A896,#REF!,13,FALSE())&gt;2,HLOOKUP($A896,#REF!,13,FALSE())&lt;-2),"",#REF!),"")</f>
        <v/>
      </c>
      <c r="P896" s="0" t="str">
        <f aca="false">IFERROR(IF(OR(HLOOKUP($A896,#REF!,14,FALSE())&gt;2,HLOOKUP($A896,#REF!,14,FALSE())&lt;-2),"",#REF!),"")</f>
        <v/>
      </c>
      <c r="Q896" s="0" t="str">
        <f aca="false">IFERROR(IF(OR(HLOOKUP($A896,#REF!,15,FALSE())&gt;2,HLOOKUP($A896,#REF!,15,FALSE())&lt;-2),"",#REF!),"")</f>
        <v/>
      </c>
      <c r="R896" s="0" t="str">
        <f aca="false">IFERROR(IF(OR(HLOOKUP($A896,#REF!,16,FALSE())&gt;2,HLOOKUP($A896,#REF!,16,FALSE())&lt;-2),"",#REF!),"")</f>
        <v/>
      </c>
      <c r="S896" s="0" t="str">
        <f aca="false">IFERROR(IF(OR(HLOOKUP($A896,#REF!,17,FALSE())&gt;2,HLOOKUP($A896,#REF!,17,FALSE())&lt;-2),"",#REF!),"")</f>
        <v/>
      </c>
      <c r="T896" s="0" t="str">
        <f aca="false">IFERROR(IF(OR(HLOOKUP($A896,#REF!,18,FALSE())&gt;2,HLOOKUP($A896,#REF!,18,FALSE())&lt;-2),"",#REF!),"")</f>
        <v/>
      </c>
      <c r="U896" s="0" t="str">
        <f aca="false">IFERROR(IF(OR(HLOOKUP($A896,#REF!,19,FALSE())&gt;2,HLOOKUP($A896,#REF!,19,FALSE())&lt;-2),"",#REF!),"")</f>
        <v/>
      </c>
      <c r="V896" s="0" t="n">
        <f aca="false">IFERROR(IF(AND(X896=0,Y896=0),0,1),0)</f>
        <v>1</v>
      </c>
      <c r="W896" s="3" t="str">
        <f aca="false">IFERROR(_xlfn.T.TEST(E896:M896,N896:U896,2,2),"")</f>
        <v/>
      </c>
      <c r="X896" s="0" t="str">
        <f aca="false">IFERROR(AVERAGE(E896:M896),"")</f>
        <v/>
      </c>
      <c r="Y896" s="0" t="str">
        <f aca="false">IFERROR(AVERAGE(N896:U896),"")</f>
        <v/>
      </c>
    </row>
    <row r="897" customFormat="false" ht="14.5" hidden="false" customHeight="false" outlineLevel="0" collapsed="false">
      <c r="A897" s="0" t="n">
        <v>905</v>
      </c>
      <c r="B897" s="0" t="s">
        <v>949</v>
      </c>
      <c r="C897" s="0" t="n">
        <v>14300</v>
      </c>
      <c r="D897" s="0" t="n">
        <v>402</v>
      </c>
      <c r="E897" s="0" t="str">
        <f aca="false">IFERROR(IF(OR(HLOOKUP($A897,#REF!,3,FALSE())&gt;2,HLOOKUP(A897,#REF!,3,FALSE())&lt;-2),"",#REF!),"")</f>
        <v/>
      </c>
      <c r="F897" s="0" t="str">
        <f aca="false">IFERROR(IF(OR(HLOOKUP($A897,#REF!,4,FALSE())&gt;2,HLOOKUP($A897,#REF!,4,FALSE())&lt;-2),"",#REF!),"")</f>
        <v/>
      </c>
      <c r="G897" s="0" t="str">
        <f aca="false">IFERROR(IF(OR(HLOOKUP($A897,#REF!,5,FALSE())&gt;2,HLOOKUP($A897,#REF!,5,FALSE())&lt;-2),"",#REF!),"")</f>
        <v/>
      </c>
      <c r="H897" s="0" t="str">
        <f aca="false">IFERROR(IF(OR(HLOOKUP($A897,#REF!,6,FALSE())&gt;2,HLOOKUP($A897,#REF!,6,FALSE())&lt;-2),"",#REF!),"")</f>
        <v/>
      </c>
      <c r="I897" s="0" t="str">
        <f aca="false">IFERROR(IF(OR(HLOOKUP($A897,#REF!,7,FALSE())&gt;2,HLOOKUP($A897,#REF!,7,FALSE())&lt;-2),"",#REF!),"")</f>
        <v/>
      </c>
      <c r="J897" s="0" t="str">
        <f aca="false">IFERROR(IF(OR(HLOOKUP($A897,#REF!,8,FALSE())&gt;2,HLOOKUP($A897,#REF!,8,FALSE())&lt;-2),"",#REF!),"")</f>
        <v/>
      </c>
      <c r="K897" s="0" t="str">
        <f aca="false">IFERROR(IF(OR(HLOOKUP($A897,#REF!,9,FALSE())&gt;2,HLOOKUP($A897,#REF!,9,FALSE())&lt;-2),"",#REF!),"")</f>
        <v/>
      </c>
      <c r="L897" s="0" t="str">
        <f aca="false">IFERROR(IF(OR(HLOOKUP($A897,#REF!,10,FALSE())&gt;2,HLOOKUP($A897,#REF!,10,FALSE())&lt;-2),"",#REF!),"")</f>
        <v/>
      </c>
      <c r="M897" s="0" t="str">
        <f aca="false">IFERROR(IF(OR(HLOOKUP($A897,#REF!,11,FALSE())&gt;2,HLOOKUP($A897,#REF!,11,FALSE())&lt;-2),"",#REF!),"")</f>
        <v/>
      </c>
      <c r="N897" s="0" t="str">
        <f aca="false">IFERROR(IF(OR(HLOOKUP($A897,#REF!,12,FALSE())&gt;2,HLOOKUP($A897,#REF!,12,FALSE())&lt;-2),"",#REF!),"")</f>
        <v/>
      </c>
      <c r="O897" s="0" t="str">
        <f aca="false">IFERROR(IF(OR(HLOOKUP($A897,#REF!,13,FALSE())&gt;2,HLOOKUP($A897,#REF!,13,FALSE())&lt;-2),"",#REF!),"")</f>
        <v/>
      </c>
      <c r="P897" s="0" t="str">
        <f aca="false">IFERROR(IF(OR(HLOOKUP($A897,#REF!,14,FALSE())&gt;2,HLOOKUP($A897,#REF!,14,FALSE())&lt;-2),"",#REF!),"")</f>
        <v/>
      </c>
      <c r="Q897" s="0" t="str">
        <f aca="false">IFERROR(IF(OR(HLOOKUP($A897,#REF!,15,FALSE())&gt;2,HLOOKUP($A897,#REF!,15,FALSE())&lt;-2),"",#REF!),"")</f>
        <v/>
      </c>
      <c r="R897" s="0" t="str">
        <f aca="false">IFERROR(IF(OR(HLOOKUP($A897,#REF!,16,FALSE())&gt;2,HLOOKUP($A897,#REF!,16,FALSE())&lt;-2),"",#REF!),"")</f>
        <v/>
      </c>
      <c r="S897" s="0" t="str">
        <f aca="false">IFERROR(IF(OR(HLOOKUP($A897,#REF!,17,FALSE())&gt;2,HLOOKUP($A897,#REF!,17,FALSE())&lt;-2),"",#REF!),"")</f>
        <v/>
      </c>
      <c r="T897" s="0" t="str">
        <f aca="false">IFERROR(IF(OR(HLOOKUP($A897,#REF!,18,FALSE())&gt;2,HLOOKUP($A897,#REF!,18,FALSE())&lt;-2),"",#REF!),"")</f>
        <v/>
      </c>
      <c r="U897" s="0" t="str">
        <f aca="false">IFERROR(IF(OR(HLOOKUP($A897,#REF!,19,FALSE())&gt;2,HLOOKUP($A897,#REF!,19,FALSE())&lt;-2),"",#REF!),"")</f>
        <v/>
      </c>
      <c r="V897" s="0" t="n">
        <f aca="false">IFERROR(IF(AND(X897=0,Y897=0),0,1),0)</f>
        <v>1</v>
      </c>
      <c r="W897" s="3" t="str">
        <f aca="false">IFERROR(_xlfn.T.TEST(E897:M897,N897:U897,2,2),"")</f>
        <v/>
      </c>
      <c r="X897" s="0" t="str">
        <f aca="false">IFERROR(AVERAGE(E897:M897),"")</f>
        <v/>
      </c>
      <c r="Y897" s="0" t="str">
        <f aca="false">IFERROR(AVERAGE(N897:U897),"")</f>
        <v/>
      </c>
    </row>
    <row r="898" customFormat="false" ht="14.5" hidden="false" customHeight="false" outlineLevel="0" collapsed="false">
      <c r="A898" s="0" t="n">
        <v>906</v>
      </c>
      <c r="B898" s="0" t="s">
        <v>70</v>
      </c>
      <c r="C898" s="0" t="n">
        <v>25700</v>
      </c>
      <c r="D898" s="0" t="n">
        <v>894</v>
      </c>
      <c r="E898" s="0" t="str">
        <f aca="false">IFERROR(IF(OR(HLOOKUP($A898,#REF!,3,FALSE())&gt;2,HLOOKUP(A898,#REF!,3,FALSE())&lt;-2),"",#REF!),"")</f>
        <v/>
      </c>
      <c r="F898" s="0" t="str">
        <f aca="false">IFERROR(IF(OR(HLOOKUP($A898,#REF!,4,FALSE())&gt;2,HLOOKUP($A898,#REF!,4,FALSE())&lt;-2),"",#REF!),"")</f>
        <v/>
      </c>
      <c r="G898" s="0" t="str">
        <f aca="false">IFERROR(IF(OR(HLOOKUP($A898,#REF!,5,FALSE())&gt;2,HLOOKUP($A898,#REF!,5,FALSE())&lt;-2),"",#REF!),"")</f>
        <v/>
      </c>
      <c r="H898" s="0" t="str">
        <f aca="false">IFERROR(IF(OR(HLOOKUP($A898,#REF!,6,FALSE())&gt;2,HLOOKUP($A898,#REF!,6,FALSE())&lt;-2),"",#REF!),"")</f>
        <v/>
      </c>
      <c r="I898" s="0" t="str">
        <f aca="false">IFERROR(IF(OR(HLOOKUP($A898,#REF!,7,FALSE())&gt;2,HLOOKUP($A898,#REF!,7,FALSE())&lt;-2),"",#REF!),"")</f>
        <v/>
      </c>
      <c r="J898" s="0" t="str">
        <f aca="false">IFERROR(IF(OR(HLOOKUP($A898,#REF!,8,FALSE())&gt;2,HLOOKUP($A898,#REF!,8,FALSE())&lt;-2),"",#REF!),"")</f>
        <v/>
      </c>
      <c r="K898" s="0" t="str">
        <f aca="false">IFERROR(IF(OR(HLOOKUP($A898,#REF!,9,FALSE())&gt;2,HLOOKUP($A898,#REF!,9,FALSE())&lt;-2),"",#REF!),"")</f>
        <v/>
      </c>
      <c r="L898" s="0" t="str">
        <f aca="false">IFERROR(IF(OR(HLOOKUP($A898,#REF!,10,FALSE())&gt;2,HLOOKUP($A898,#REF!,10,FALSE())&lt;-2),"",#REF!),"")</f>
        <v/>
      </c>
      <c r="M898" s="0" t="str">
        <f aca="false">IFERROR(IF(OR(HLOOKUP($A898,#REF!,11,FALSE())&gt;2,HLOOKUP($A898,#REF!,11,FALSE())&lt;-2),"",#REF!),"")</f>
        <v/>
      </c>
      <c r="N898" s="0" t="str">
        <f aca="false">IFERROR(IF(OR(HLOOKUP($A898,#REF!,12,FALSE())&gt;2,HLOOKUP($A898,#REF!,12,FALSE())&lt;-2),"",#REF!),"")</f>
        <v/>
      </c>
      <c r="O898" s="0" t="str">
        <f aca="false">IFERROR(IF(OR(HLOOKUP($A898,#REF!,13,FALSE())&gt;2,HLOOKUP($A898,#REF!,13,FALSE())&lt;-2),"",#REF!),"")</f>
        <v/>
      </c>
      <c r="P898" s="0" t="str">
        <f aca="false">IFERROR(IF(OR(HLOOKUP($A898,#REF!,14,FALSE())&gt;2,HLOOKUP($A898,#REF!,14,FALSE())&lt;-2),"",#REF!),"")</f>
        <v/>
      </c>
      <c r="Q898" s="0" t="str">
        <f aca="false">IFERROR(IF(OR(HLOOKUP($A898,#REF!,15,FALSE())&gt;2,HLOOKUP($A898,#REF!,15,FALSE())&lt;-2),"",#REF!),"")</f>
        <v/>
      </c>
      <c r="R898" s="0" t="str">
        <f aca="false">IFERROR(IF(OR(HLOOKUP($A898,#REF!,16,FALSE())&gt;2,HLOOKUP($A898,#REF!,16,FALSE())&lt;-2),"",#REF!),"")</f>
        <v/>
      </c>
      <c r="S898" s="0" t="str">
        <f aca="false">IFERROR(IF(OR(HLOOKUP($A898,#REF!,17,FALSE())&gt;2,HLOOKUP($A898,#REF!,17,FALSE())&lt;-2),"",#REF!),"")</f>
        <v/>
      </c>
      <c r="T898" s="0" t="str">
        <f aca="false">IFERROR(IF(OR(HLOOKUP($A898,#REF!,18,FALSE())&gt;2,HLOOKUP($A898,#REF!,18,FALSE())&lt;-2),"",#REF!),"")</f>
        <v/>
      </c>
      <c r="U898" s="0" t="str">
        <f aca="false">IFERROR(IF(OR(HLOOKUP($A898,#REF!,19,FALSE())&gt;2,HLOOKUP($A898,#REF!,19,FALSE())&lt;-2),"",#REF!),"")</f>
        <v/>
      </c>
      <c r="V898" s="0" t="n">
        <f aca="false">IFERROR(IF(AND(X898=0,Y898=0),0,1),0)</f>
        <v>1</v>
      </c>
      <c r="W898" s="3" t="str">
        <f aca="false">IFERROR(_xlfn.T.TEST(E898:M898,N898:U898,2,2),"")</f>
        <v/>
      </c>
      <c r="X898" s="0" t="str">
        <f aca="false">IFERROR(AVERAGE(E898:M898),"")</f>
        <v/>
      </c>
      <c r="Y898" s="0" t="str">
        <f aca="false">IFERROR(AVERAGE(N898:U898),"")</f>
        <v/>
      </c>
    </row>
    <row r="899" customFormat="false" ht="14.5" hidden="false" customHeight="false" outlineLevel="0" collapsed="false">
      <c r="A899" s="0" t="n">
        <v>907</v>
      </c>
      <c r="B899" s="0" t="s">
        <v>950</v>
      </c>
      <c r="C899" s="0" t="n">
        <v>68600</v>
      </c>
      <c r="D899" s="0" t="n">
        <v>51</v>
      </c>
      <c r="E899" s="0" t="str">
        <f aca="false">IFERROR(IF(OR(HLOOKUP($A899,#REF!,3,FALSE())&gt;2,HLOOKUP(A899,#REF!,3,FALSE())&lt;-2),"",#REF!),"")</f>
        <v/>
      </c>
      <c r="F899" s="0" t="str">
        <f aca="false">IFERROR(IF(OR(HLOOKUP($A899,#REF!,4,FALSE())&gt;2,HLOOKUP($A899,#REF!,4,FALSE())&lt;-2),"",#REF!),"")</f>
        <v/>
      </c>
      <c r="G899" s="0" t="str">
        <f aca="false">IFERROR(IF(OR(HLOOKUP($A899,#REF!,5,FALSE())&gt;2,HLOOKUP($A899,#REF!,5,FALSE())&lt;-2),"",#REF!),"")</f>
        <v/>
      </c>
      <c r="H899" s="0" t="str">
        <f aca="false">IFERROR(IF(OR(HLOOKUP($A899,#REF!,6,FALSE())&gt;2,HLOOKUP($A899,#REF!,6,FALSE())&lt;-2),"",#REF!),"")</f>
        <v/>
      </c>
      <c r="I899" s="0" t="str">
        <f aca="false">IFERROR(IF(OR(HLOOKUP($A899,#REF!,7,FALSE())&gt;2,HLOOKUP($A899,#REF!,7,FALSE())&lt;-2),"",#REF!),"")</f>
        <v/>
      </c>
      <c r="J899" s="0" t="str">
        <f aca="false">IFERROR(IF(OR(HLOOKUP($A899,#REF!,8,FALSE())&gt;2,HLOOKUP($A899,#REF!,8,FALSE())&lt;-2),"",#REF!),"")</f>
        <v/>
      </c>
      <c r="K899" s="0" t="str">
        <f aca="false">IFERROR(IF(OR(HLOOKUP($A899,#REF!,9,FALSE())&gt;2,HLOOKUP($A899,#REF!,9,FALSE())&lt;-2),"",#REF!),"")</f>
        <v/>
      </c>
      <c r="L899" s="0" t="str">
        <f aca="false">IFERROR(IF(OR(HLOOKUP($A899,#REF!,10,FALSE())&gt;2,HLOOKUP($A899,#REF!,10,FALSE())&lt;-2),"",#REF!),"")</f>
        <v/>
      </c>
      <c r="M899" s="0" t="str">
        <f aca="false">IFERROR(IF(OR(HLOOKUP($A899,#REF!,11,FALSE())&gt;2,HLOOKUP($A899,#REF!,11,FALSE())&lt;-2),"",#REF!),"")</f>
        <v/>
      </c>
      <c r="N899" s="0" t="str">
        <f aca="false">IFERROR(IF(OR(HLOOKUP($A899,#REF!,12,FALSE())&gt;2,HLOOKUP($A899,#REF!,12,FALSE())&lt;-2),"",#REF!),"")</f>
        <v/>
      </c>
      <c r="O899" s="0" t="str">
        <f aca="false">IFERROR(IF(OR(HLOOKUP($A899,#REF!,13,FALSE())&gt;2,HLOOKUP($A899,#REF!,13,FALSE())&lt;-2),"",#REF!),"")</f>
        <v/>
      </c>
      <c r="P899" s="0" t="str">
        <f aca="false">IFERROR(IF(OR(HLOOKUP($A899,#REF!,14,FALSE())&gt;2,HLOOKUP($A899,#REF!,14,FALSE())&lt;-2),"",#REF!),"")</f>
        <v/>
      </c>
      <c r="Q899" s="0" t="str">
        <f aca="false">IFERROR(IF(OR(HLOOKUP($A899,#REF!,15,FALSE())&gt;2,HLOOKUP($A899,#REF!,15,FALSE())&lt;-2),"",#REF!),"")</f>
        <v/>
      </c>
      <c r="R899" s="0" t="str">
        <f aca="false">IFERROR(IF(OR(HLOOKUP($A899,#REF!,16,FALSE())&gt;2,HLOOKUP($A899,#REF!,16,FALSE())&lt;-2),"",#REF!),"")</f>
        <v/>
      </c>
      <c r="S899" s="0" t="str">
        <f aca="false">IFERROR(IF(OR(HLOOKUP($A899,#REF!,17,FALSE())&gt;2,HLOOKUP($A899,#REF!,17,FALSE())&lt;-2),"",#REF!),"")</f>
        <v/>
      </c>
      <c r="T899" s="0" t="str">
        <f aca="false">IFERROR(IF(OR(HLOOKUP($A899,#REF!,18,FALSE())&gt;2,HLOOKUP($A899,#REF!,18,FALSE())&lt;-2),"",#REF!),"")</f>
        <v/>
      </c>
      <c r="U899" s="0" t="str">
        <f aca="false">IFERROR(IF(OR(HLOOKUP($A899,#REF!,19,FALSE())&gt;2,HLOOKUP($A899,#REF!,19,FALSE())&lt;-2),"",#REF!),"")</f>
        <v/>
      </c>
      <c r="V899" s="0" t="n">
        <f aca="false">IFERROR(IF(AND(X899=0,Y899=0),0,1),0)</f>
        <v>1</v>
      </c>
      <c r="W899" s="3" t="str">
        <f aca="false">IFERROR(_xlfn.T.TEST(E899:M899,N899:U899,2,2),"")</f>
        <v/>
      </c>
      <c r="X899" s="0" t="str">
        <f aca="false">IFERROR(AVERAGE(E899:M899),"")</f>
        <v/>
      </c>
      <c r="Y899" s="0" t="str">
        <f aca="false">IFERROR(AVERAGE(N899:U899),"")</f>
        <v/>
      </c>
    </row>
    <row r="900" customFormat="false" ht="14.5" hidden="false" customHeight="false" outlineLevel="0" collapsed="false">
      <c r="A900" s="0" t="n">
        <v>908</v>
      </c>
      <c r="B900" s="0" t="s">
        <v>951</v>
      </c>
      <c r="C900" s="0" t="n">
        <v>110900</v>
      </c>
      <c r="D900" s="0" t="n">
        <v>768</v>
      </c>
      <c r="E900" s="0" t="str">
        <f aca="false">IFERROR(IF(OR(HLOOKUP($A900,#REF!,3,FALSE())&gt;2,HLOOKUP(A900,#REF!,3,FALSE())&lt;-2),"",#REF!),"")</f>
        <v/>
      </c>
      <c r="F900" s="0" t="str">
        <f aca="false">IFERROR(IF(OR(HLOOKUP($A900,#REF!,4,FALSE())&gt;2,HLOOKUP($A900,#REF!,4,FALSE())&lt;-2),"",#REF!),"")</f>
        <v/>
      </c>
      <c r="G900" s="0" t="str">
        <f aca="false">IFERROR(IF(OR(HLOOKUP($A900,#REF!,5,FALSE())&gt;2,HLOOKUP($A900,#REF!,5,FALSE())&lt;-2),"",#REF!),"")</f>
        <v/>
      </c>
      <c r="H900" s="0" t="str">
        <f aca="false">IFERROR(IF(OR(HLOOKUP($A900,#REF!,6,FALSE())&gt;2,HLOOKUP($A900,#REF!,6,FALSE())&lt;-2),"",#REF!),"")</f>
        <v/>
      </c>
      <c r="I900" s="0" t="str">
        <f aca="false">IFERROR(IF(OR(HLOOKUP($A900,#REF!,7,FALSE())&gt;2,HLOOKUP($A900,#REF!,7,FALSE())&lt;-2),"",#REF!),"")</f>
        <v/>
      </c>
      <c r="J900" s="0" t="str">
        <f aca="false">IFERROR(IF(OR(HLOOKUP($A900,#REF!,8,FALSE())&gt;2,HLOOKUP($A900,#REF!,8,FALSE())&lt;-2),"",#REF!),"")</f>
        <v/>
      </c>
      <c r="K900" s="0" t="str">
        <f aca="false">IFERROR(IF(OR(HLOOKUP($A900,#REF!,9,FALSE())&gt;2,HLOOKUP($A900,#REF!,9,FALSE())&lt;-2),"",#REF!),"")</f>
        <v/>
      </c>
      <c r="L900" s="0" t="str">
        <f aca="false">IFERROR(IF(OR(HLOOKUP($A900,#REF!,10,FALSE())&gt;2,HLOOKUP($A900,#REF!,10,FALSE())&lt;-2),"",#REF!),"")</f>
        <v/>
      </c>
      <c r="M900" s="0" t="str">
        <f aca="false">IFERROR(IF(OR(HLOOKUP($A900,#REF!,11,FALSE())&gt;2,HLOOKUP($A900,#REF!,11,FALSE())&lt;-2),"",#REF!),"")</f>
        <v/>
      </c>
      <c r="N900" s="0" t="str">
        <f aca="false">IFERROR(IF(OR(HLOOKUP($A900,#REF!,12,FALSE())&gt;2,HLOOKUP($A900,#REF!,12,FALSE())&lt;-2),"",#REF!),"")</f>
        <v/>
      </c>
      <c r="O900" s="0" t="str">
        <f aca="false">IFERROR(IF(OR(HLOOKUP($A900,#REF!,13,FALSE())&gt;2,HLOOKUP($A900,#REF!,13,FALSE())&lt;-2),"",#REF!),"")</f>
        <v/>
      </c>
      <c r="P900" s="0" t="str">
        <f aca="false">IFERROR(IF(OR(HLOOKUP($A900,#REF!,14,FALSE())&gt;2,HLOOKUP($A900,#REF!,14,FALSE())&lt;-2),"",#REF!),"")</f>
        <v/>
      </c>
      <c r="Q900" s="0" t="str">
        <f aca="false">IFERROR(IF(OR(HLOOKUP($A900,#REF!,15,FALSE())&gt;2,HLOOKUP($A900,#REF!,15,FALSE())&lt;-2),"",#REF!),"")</f>
        <v/>
      </c>
      <c r="R900" s="0" t="str">
        <f aca="false">IFERROR(IF(OR(HLOOKUP($A900,#REF!,16,FALSE())&gt;2,HLOOKUP($A900,#REF!,16,FALSE())&lt;-2),"",#REF!),"")</f>
        <v/>
      </c>
      <c r="S900" s="0" t="str">
        <f aca="false">IFERROR(IF(OR(HLOOKUP($A900,#REF!,17,FALSE())&gt;2,HLOOKUP($A900,#REF!,17,FALSE())&lt;-2),"",#REF!),"")</f>
        <v/>
      </c>
      <c r="T900" s="0" t="str">
        <f aca="false">IFERROR(IF(OR(HLOOKUP($A900,#REF!,18,FALSE())&gt;2,HLOOKUP($A900,#REF!,18,FALSE())&lt;-2),"",#REF!),"")</f>
        <v/>
      </c>
      <c r="U900" s="0" t="str">
        <f aca="false">IFERROR(IF(OR(HLOOKUP($A900,#REF!,19,FALSE())&gt;2,HLOOKUP($A900,#REF!,19,FALSE())&lt;-2),"",#REF!),"")</f>
        <v/>
      </c>
      <c r="V900" s="0" t="n">
        <f aca="false">IFERROR(IF(AND(X900=0,Y900=0),0,1),0)</f>
        <v>1</v>
      </c>
      <c r="W900" s="3" t="str">
        <f aca="false">IFERROR(_xlfn.T.TEST(E900:M900,N900:U900,2,2),"")</f>
        <v/>
      </c>
      <c r="X900" s="0" t="str">
        <f aca="false">IFERROR(AVERAGE(E900:M900),"")</f>
        <v/>
      </c>
      <c r="Y900" s="0" t="str">
        <f aca="false">IFERROR(AVERAGE(N900:U900),"")</f>
        <v/>
      </c>
    </row>
    <row r="901" customFormat="false" ht="14.5" hidden="false" customHeight="false" outlineLevel="0" collapsed="false">
      <c r="A901" s="0" t="n">
        <v>909</v>
      </c>
      <c r="B901" s="0" t="s">
        <v>952</v>
      </c>
      <c r="C901" s="0" t="n">
        <v>41300</v>
      </c>
      <c r="D901" s="0" t="n">
        <v>822</v>
      </c>
      <c r="E901" s="0" t="str">
        <f aca="false">IFERROR(IF(OR(HLOOKUP($A901,#REF!,3,FALSE())&gt;2,HLOOKUP(A901,#REF!,3,FALSE())&lt;-2),"",#REF!),"")</f>
        <v/>
      </c>
      <c r="F901" s="0" t="str">
        <f aca="false">IFERROR(IF(OR(HLOOKUP($A901,#REF!,4,FALSE())&gt;2,HLOOKUP($A901,#REF!,4,FALSE())&lt;-2),"",#REF!),"")</f>
        <v/>
      </c>
      <c r="G901" s="0" t="str">
        <f aca="false">IFERROR(IF(OR(HLOOKUP($A901,#REF!,5,FALSE())&gt;2,HLOOKUP($A901,#REF!,5,FALSE())&lt;-2),"",#REF!),"")</f>
        <v/>
      </c>
      <c r="H901" s="0" t="str">
        <f aca="false">IFERROR(IF(OR(HLOOKUP($A901,#REF!,6,FALSE())&gt;2,HLOOKUP($A901,#REF!,6,FALSE())&lt;-2),"",#REF!),"")</f>
        <v/>
      </c>
      <c r="I901" s="0" t="str">
        <f aca="false">IFERROR(IF(OR(HLOOKUP($A901,#REF!,7,FALSE())&gt;2,HLOOKUP($A901,#REF!,7,FALSE())&lt;-2),"",#REF!),"")</f>
        <v/>
      </c>
      <c r="J901" s="0" t="str">
        <f aca="false">IFERROR(IF(OR(HLOOKUP($A901,#REF!,8,FALSE())&gt;2,HLOOKUP($A901,#REF!,8,FALSE())&lt;-2),"",#REF!),"")</f>
        <v/>
      </c>
      <c r="K901" s="0" t="str">
        <f aca="false">IFERROR(IF(OR(HLOOKUP($A901,#REF!,9,FALSE())&gt;2,HLOOKUP($A901,#REF!,9,FALSE())&lt;-2),"",#REF!),"")</f>
        <v/>
      </c>
      <c r="L901" s="0" t="str">
        <f aca="false">IFERROR(IF(OR(HLOOKUP($A901,#REF!,10,FALSE())&gt;2,HLOOKUP($A901,#REF!,10,FALSE())&lt;-2),"",#REF!),"")</f>
        <v/>
      </c>
      <c r="M901" s="0" t="str">
        <f aca="false">IFERROR(IF(OR(HLOOKUP($A901,#REF!,11,FALSE())&gt;2,HLOOKUP($A901,#REF!,11,FALSE())&lt;-2),"",#REF!),"")</f>
        <v/>
      </c>
      <c r="N901" s="0" t="str">
        <f aca="false">IFERROR(IF(OR(HLOOKUP($A901,#REF!,12,FALSE())&gt;2,HLOOKUP($A901,#REF!,12,FALSE())&lt;-2),"",#REF!),"")</f>
        <v/>
      </c>
      <c r="O901" s="0" t="str">
        <f aca="false">IFERROR(IF(OR(HLOOKUP($A901,#REF!,13,FALSE())&gt;2,HLOOKUP($A901,#REF!,13,FALSE())&lt;-2),"",#REF!),"")</f>
        <v/>
      </c>
      <c r="P901" s="0" t="str">
        <f aca="false">IFERROR(IF(OR(HLOOKUP($A901,#REF!,14,FALSE())&gt;2,HLOOKUP($A901,#REF!,14,FALSE())&lt;-2),"",#REF!),"")</f>
        <v/>
      </c>
      <c r="Q901" s="0" t="str">
        <f aca="false">IFERROR(IF(OR(HLOOKUP($A901,#REF!,15,FALSE())&gt;2,HLOOKUP($A901,#REF!,15,FALSE())&lt;-2),"",#REF!),"")</f>
        <v/>
      </c>
      <c r="R901" s="0" t="str">
        <f aca="false">IFERROR(IF(OR(HLOOKUP($A901,#REF!,16,FALSE())&gt;2,HLOOKUP($A901,#REF!,16,FALSE())&lt;-2),"",#REF!),"")</f>
        <v/>
      </c>
      <c r="S901" s="0" t="str">
        <f aca="false">IFERROR(IF(OR(HLOOKUP($A901,#REF!,17,FALSE())&gt;2,HLOOKUP($A901,#REF!,17,FALSE())&lt;-2),"",#REF!),"")</f>
        <v/>
      </c>
      <c r="T901" s="0" t="str">
        <f aca="false">IFERROR(IF(OR(HLOOKUP($A901,#REF!,18,FALSE())&gt;2,HLOOKUP($A901,#REF!,18,FALSE())&lt;-2),"",#REF!),"")</f>
        <v/>
      </c>
      <c r="U901" s="0" t="str">
        <f aca="false">IFERROR(IF(OR(HLOOKUP($A901,#REF!,19,FALSE())&gt;2,HLOOKUP($A901,#REF!,19,FALSE())&lt;-2),"",#REF!),"")</f>
        <v/>
      </c>
      <c r="V901" s="0" t="n">
        <f aca="false">IFERROR(IF(AND(X901=0,Y901=0),0,1),0)</f>
        <v>1</v>
      </c>
      <c r="W901" s="3" t="str">
        <f aca="false">IFERROR(_xlfn.T.TEST(E901:M901,N901:U901,2,2),"")</f>
        <v/>
      </c>
      <c r="X901" s="0" t="str">
        <f aca="false">IFERROR(AVERAGE(E901:M901),"")</f>
        <v/>
      </c>
      <c r="Y901" s="0" t="str">
        <f aca="false">IFERROR(AVERAGE(N901:U901),"")</f>
        <v/>
      </c>
    </row>
    <row r="902" customFormat="false" ht="14.5" hidden="false" customHeight="false" outlineLevel="0" collapsed="false">
      <c r="A902" s="0" t="n">
        <v>910</v>
      </c>
      <c r="B902" s="0" t="s">
        <v>953</v>
      </c>
      <c r="C902" s="0" t="n">
        <v>22500</v>
      </c>
      <c r="D902" s="0" t="n">
        <v>731</v>
      </c>
      <c r="E902" s="0" t="str">
        <f aca="false">IFERROR(IF(OR(HLOOKUP($A902,#REF!,3,FALSE())&gt;2,HLOOKUP(A902,#REF!,3,FALSE())&lt;-2),"",#REF!),"")</f>
        <v/>
      </c>
      <c r="F902" s="0" t="str">
        <f aca="false">IFERROR(IF(OR(HLOOKUP($A902,#REF!,4,FALSE())&gt;2,HLOOKUP($A902,#REF!,4,FALSE())&lt;-2),"",#REF!),"")</f>
        <v/>
      </c>
      <c r="G902" s="0" t="str">
        <f aca="false">IFERROR(IF(OR(HLOOKUP($A902,#REF!,5,FALSE())&gt;2,HLOOKUP($A902,#REF!,5,FALSE())&lt;-2),"",#REF!),"")</f>
        <v/>
      </c>
      <c r="H902" s="0" t="str">
        <f aca="false">IFERROR(IF(OR(HLOOKUP($A902,#REF!,6,FALSE())&gt;2,HLOOKUP($A902,#REF!,6,FALSE())&lt;-2),"",#REF!),"")</f>
        <v/>
      </c>
      <c r="I902" s="0" t="str">
        <f aca="false">IFERROR(IF(OR(HLOOKUP($A902,#REF!,7,FALSE())&gt;2,HLOOKUP($A902,#REF!,7,FALSE())&lt;-2),"",#REF!),"")</f>
        <v/>
      </c>
      <c r="J902" s="0" t="str">
        <f aca="false">IFERROR(IF(OR(HLOOKUP($A902,#REF!,8,FALSE())&gt;2,HLOOKUP($A902,#REF!,8,FALSE())&lt;-2),"",#REF!),"")</f>
        <v/>
      </c>
      <c r="K902" s="0" t="str">
        <f aca="false">IFERROR(IF(OR(HLOOKUP($A902,#REF!,9,FALSE())&gt;2,HLOOKUP($A902,#REF!,9,FALSE())&lt;-2),"",#REF!),"")</f>
        <v/>
      </c>
      <c r="L902" s="0" t="str">
        <f aca="false">IFERROR(IF(OR(HLOOKUP($A902,#REF!,10,FALSE())&gt;2,HLOOKUP($A902,#REF!,10,FALSE())&lt;-2),"",#REF!),"")</f>
        <v/>
      </c>
      <c r="M902" s="0" t="str">
        <f aca="false">IFERROR(IF(OR(HLOOKUP($A902,#REF!,11,FALSE())&gt;2,HLOOKUP($A902,#REF!,11,FALSE())&lt;-2),"",#REF!),"")</f>
        <v/>
      </c>
      <c r="N902" s="0" t="str">
        <f aca="false">IFERROR(IF(OR(HLOOKUP($A902,#REF!,12,FALSE())&gt;2,HLOOKUP($A902,#REF!,12,FALSE())&lt;-2),"",#REF!),"")</f>
        <v/>
      </c>
      <c r="O902" s="0" t="str">
        <f aca="false">IFERROR(IF(OR(HLOOKUP($A902,#REF!,13,FALSE())&gt;2,HLOOKUP($A902,#REF!,13,FALSE())&lt;-2),"",#REF!),"")</f>
        <v/>
      </c>
      <c r="P902" s="0" t="str">
        <f aca="false">IFERROR(IF(OR(HLOOKUP($A902,#REF!,14,FALSE())&gt;2,HLOOKUP($A902,#REF!,14,FALSE())&lt;-2),"",#REF!),"")</f>
        <v/>
      </c>
      <c r="Q902" s="0" t="str">
        <f aca="false">IFERROR(IF(OR(HLOOKUP($A902,#REF!,15,FALSE())&gt;2,HLOOKUP($A902,#REF!,15,FALSE())&lt;-2),"",#REF!),"")</f>
        <v/>
      </c>
      <c r="R902" s="0" t="str">
        <f aca="false">IFERROR(IF(OR(HLOOKUP($A902,#REF!,16,FALSE())&gt;2,HLOOKUP($A902,#REF!,16,FALSE())&lt;-2),"",#REF!),"")</f>
        <v/>
      </c>
      <c r="S902" s="0" t="str">
        <f aca="false">IFERROR(IF(OR(HLOOKUP($A902,#REF!,17,FALSE())&gt;2,HLOOKUP($A902,#REF!,17,FALSE())&lt;-2),"",#REF!),"")</f>
        <v/>
      </c>
      <c r="T902" s="0" t="str">
        <f aca="false">IFERROR(IF(OR(HLOOKUP($A902,#REF!,18,FALSE())&gt;2,HLOOKUP($A902,#REF!,18,FALSE())&lt;-2),"",#REF!),"")</f>
        <v/>
      </c>
      <c r="U902" s="0" t="str">
        <f aca="false">IFERROR(IF(OR(HLOOKUP($A902,#REF!,19,FALSE())&gt;2,HLOOKUP($A902,#REF!,19,FALSE())&lt;-2),"",#REF!),"")</f>
        <v/>
      </c>
      <c r="V902" s="0" t="n">
        <f aca="false">IFERROR(IF(AND(X902=0,Y902=0),0,1),0)</f>
        <v>1</v>
      </c>
      <c r="W902" s="3" t="str">
        <f aca="false">IFERROR(_xlfn.T.TEST(E902:M902,N902:U902,2,2),"")</f>
        <v/>
      </c>
      <c r="X902" s="0" t="str">
        <f aca="false">IFERROR(AVERAGE(E902:M902),"")</f>
        <v/>
      </c>
      <c r="Y902" s="0" t="str">
        <f aca="false">IFERROR(AVERAGE(N902:U902),"")</f>
        <v/>
      </c>
    </row>
    <row r="903" customFormat="false" ht="14.5" hidden="false" customHeight="false" outlineLevel="0" collapsed="false">
      <c r="A903" s="0" t="n">
        <v>911</v>
      </c>
      <c r="B903" s="0" t="s">
        <v>954</v>
      </c>
      <c r="C903" s="0" t="n">
        <v>99300</v>
      </c>
      <c r="D903" s="0" t="n">
        <v>967</v>
      </c>
      <c r="E903" s="0" t="str">
        <f aca="false">IFERROR(IF(OR(HLOOKUP($A903,#REF!,3,FALSE())&gt;2,HLOOKUP(A903,#REF!,3,FALSE())&lt;-2),"",#REF!),"")</f>
        <v/>
      </c>
      <c r="F903" s="0" t="str">
        <f aca="false">IFERROR(IF(OR(HLOOKUP($A903,#REF!,4,FALSE())&gt;2,HLOOKUP($A903,#REF!,4,FALSE())&lt;-2),"",#REF!),"")</f>
        <v/>
      </c>
      <c r="G903" s="0" t="str">
        <f aca="false">IFERROR(IF(OR(HLOOKUP($A903,#REF!,5,FALSE())&gt;2,HLOOKUP($A903,#REF!,5,FALSE())&lt;-2),"",#REF!),"")</f>
        <v/>
      </c>
      <c r="H903" s="0" t="str">
        <f aca="false">IFERROR(IF(OR(HLOOKUP($A903,#REF!,6,FALSE())&gt;2,HLOOKUP($A903,#REF!,6,FALSE())&lt;-2),"",#REF!),"")</f>
        <v/>
      </c>
      <c r="I903" s="0" t="str">
        <f aca="false">IFERROR(IF(OR(HLOOKUP($A903,#REF!,7,FALSE())&gt;2,HLOOKUP($A903,#REF!,7,FALSE())&lt;-2),"",#REF!),"")</f>
        <v/>
      </c>
      <c r="J903" s="0" t="str">
        <f aca="false">IFERROR(IF(OR(HLOOKUP($A903,#REF!,8,FALSE())&gt;2,HLOOKUP($A903,#REF!,8,FALSE())&lt;-2),"",#REF!),"")</f>
        <v/>
      </c>
      <c r="K903" s="0" t="str">
        <f aca="false">IFERROR(IF(OR(HLOOKUP($A903,#REF!,9,FALSE())&gt;2,HLOOKUP($A903,#REF!,9,FALSE())&lt;-2),"",#REF!),"")</f>
        <v/>
      </c>
      <c r="L903" s="0" t="str">
        <f aca="false">IFERROR(IF(OR(HLOOKUP($A903,#REF!,10,FALSE())&gt;2,HLOOKUP($A903,#REF!,10,FALSE())&lt;-2),"",#REF!),"")</f>
        <v/>
      </c>
      <c r="M903" s="0" t="str">
        <f aca="false">IFERROR(IF(OR(HLOOKUP($A903,#REF!,11,FALSE())&gt;2,HLOOKUP($A903,#REF!,11,FALSE())&lt;-2),"",#REF!),"")</f>
        <v/>
      </c>
      <c r="N903" s="0" t="str">
        <f aca="false">IFERROR(IF(OR(HLOOKUP($A903,#REF!,12,FALSE())&gt;2,HLOOKUP($A903,#REF!,12,FALSE())&lt;-2),"",#REF!),"")</f>
        <v/>
      </c>
      <c r="O903" s="0" t="str">
        <f aca="false">IFERROR(IF(OR(HLOOKUP($A903,#REF!,13,FALSE())&gt;2,HLOOKUP($A903,#REF!,13,FALSE())&lt;-2),"",#REF!),"")</f>
        <v/>
      </c>
      <c r="P903" s="0" t="str">
        <f aca="false">IFERROR(IF(OR(HLOOKUP($A903,#REF!,14,FALSE())&gt;2,HLOOKUP($A903,#REF!,14,FALSE())&lt;-2),"",#REF!),"")</f>
        <v/>
      </c>
      <c r="Q903" s="0" t="str">
        <f aca="false">IFERROR(IF(OR(HLOOKUP($A903,#REF!,15,FALSE())&gt;2,HLOOKUP($A903,#REF!,15,FALSE())&lt;-2),"",#REF!),"")</f>
        <v/>
      </c>
      <c r="R903" s="0" t="str">
        <f aca="false">IFERROR(IF(OR(HLOOKUP($A903,#REF!,16,FALSE())&gt;2,HLOOKUP($A903,#REF!,16,FALSE())&lt;-2),"",#REF!),"")</f>
        <v/>
      </c>
      <c r="S903" s="0" t="str">
        <f aca="false">IFERROR(IF(OR(HLOOKUP($A903,#REF!,17,FALSE())&gt;2,HLOOKUP($A903,#REF!,17,FALSE())&lt;-2),"",#REF!),"")</f>
        <v/>
      </c>
      <c r="T903" s="0" t="str">
        <f aca="false">IFERROR(IF(OR(HLOOKUP($A903,#REF!,18,FALSE())&gt;2,HLOOKUP($A903,#REF!,18,FALSE())&lt;-2),"",#REF!),"")</f>
        <v/>
      </c>
      <c r="U903" s="0" t="str">
        <f aca="false">IFERROR(IF(OR(HLOOKUP($A903,#REF!,19,FALSE())&gt;2,HLOOKUP($A903,#REF!,19,FALSE())&lt;-2),"",#REF!),"")</f>
        <v/>
      </c>
      <c r="V903" s="0" t="n">
        <f aca="false">IFERROR(IF(AND(X903=0,Y903=0),0,1),0)</f>
        <v>1</v>
      </c>
      <c r="W903" s="3" t="str">
        <f aca="false">IFERROR(_xlfn.T.TEST(E903:M903,N903:U903,2,2),"")</f>
        <v/>
      </c>
      <c r="X903" s="0" t="str">
        <f aca="false">IFERROR(AVERAGE(E903:M903),"")</f>
        <v/>
      </c>
      <c r="Y903" s="0" t="str">
        <f aca="false">IFERROR(AVERAGE(N903:U903),"")</f>
        <v/>
      </c>
    </row>
    <row r="904" customFormat="false" ht="14.5" hidden="false" customHeight="false" outlineLevel="0" collapsed="false">
      <c r="A904" s="0" t="n">
        <v>912</v>
      </c>
      <c r="B904" s="0" t="s">
        <v>955</v>
      </c>
      <c r="C904" s="0" t="n">
        <v>55000</v>
      </c>
      <c r="D904" s="0" t="n">
        <v>645</v>
      </c>
      <c r="E904" s="0" t="str">
        <f aca="false">IFERROR(IF(OR(HLOOKUP($A904,#REF!,3,FALSE())&gt;2,HLOOKUP(A904,#REF!,3,FALSE())&lt;-2),"",#REF!),"")</f>
        <v/>
      </c>
      <c r="F904" s="0" t="str">
        <f aca="false">IFERROR(IF(OR(HLOOKUP($A904,#REF!,4,FALSE())&gt;2,HLOOKUP($A904,#REF!,4,FALSE())&lt;-2),"",#REF!),"")</f>
        <v/>
      </c>
      <c r="G904" s="0" t="str">
        <f aca="false">IFERROR(IF(OR(HLOOKUP($A904,#REF!,5,FALSE())&gt;2,HLOOKUP($A904,#REF!,5,FALSE())&lt;-2),"",#REF!),"")</f>
        <v/>
      </c>
      <c r="H904" s="0" t="str">
        <f aca="false">IFERROR(IF(OR(HLOOKUP($A904,#REF!,6,FALSE())&gt;2,HLOOKUP($A904,#REF!,6,FALSE())&lt;-2),"",#REF!),"")</f>
        <v/>
      </c>
      <c r="I904" s="0" t="str">
        <f aca="false">IFERROR(IF(OR(HLOOKUP($A904,#REF!,7,FALSE())&gt;2,HLOOKUP($A904,#REF!,7,FALSE())&lt;-2),"",#REF!),"")</f>
        <v/>
      </c>
      <c r="J904" s="0" t="str">
        <f aca="false">IFERROR(IF(OR(HLOOKUP($A904,#REF!,8,FALSE())&gt;2,HLOOKUP($A904,#REF!,8,FALSE())&lt;-2),"",#REF!),"")</f>
        <v/>
      </c>
      <c r="K904" s="0" t="str">
        <f aca="false">IFERROR(IF(OR(HLOOKUP($A904,#REF!,9,FALSE())&gt;2,HLOOKUP($A904,#REF!,9,FALSE())&lt;-2),"",#REF!),"")</f>
        <v/>
      </c>
      <c r="L904" s="0" t="str">
        <f aca="false">IFERROR(IF(OR(HLOOKUP($A904,#REF!,10,FALSE())&gt;2,HLOOKUP($A904,#REF!,10,FALSE())&lt;-2),"",#REF!),"")</f>
        <v/>
      </c>
      <c r="M904" s="0" t="str">
        <f aca="false">IFERROR(IF(OR(HLOOKUP($A904,#REF!,11,FALSE())&gt;2,HLOOKUP($A904,#REF!,11,FALSE())&lt;-2),"",#REF!),"")</f>
        <v/>
      </c>
      <c r="N904" s="0" t="str">
        <f aca="false">IFERROR(IF(OR(HLOOKUP($A904,#REF!,12,FALSE())&gt;2,HLOOKUP($A904,#REF!,12,FALSE())&lt;-2),"",#REF!),"")</f>
        <v/>
      </c>
      <c r="O904" s="0" t="str">
        <f aca="false">IFERROR(IF(OR(HLOOKUP($A904,#REF!,13,FALSE())&gt;2,HLOOKUP($A904,#REF!,13,FALSE())&lt;-2),"",#REF!),"")</f>
        <v/>
      </c>
      <c r="P904" s="0" t="str">
        <f aca="false">IFERROR(IF(OR(HLOOKUP($A904,#REF!,14,FALSE())&gt;2,HLOOKUP($A904,#REF!,14,FALSE())&lt;-2),"",#REF!),"")</f>
        <v/>
      </c>
      <c r="Q904" s="0" t="str">
        <f aca="false">IFERROR(IF(OR(HLOOKUP($A904,#REF!,15,FALSE())&gt;2,HLOOKUP($A904,#REF!,15,FALSE())&lt;-2),"",#REF!),"")</f>
        <v/>
      </c>
      <c r="R904" s="0" t="str">
        <f aca="false">IFERROR(IF(OR(HLOOKUP($A904,#REF!,16,FALSE())&gt;2,HLOOKUP($A904,#REF!,16,FALSE())&lt;-2),"",#REF!),"")</f>
        <v/>
      </c>
      <c r="S904" s="0" t="str">
        <f aca="false">IFERROR(IF(OR(HLOOKUP($A904,#REF!,17,FALSE())&gt;2,HLOOKUP($A904,#REF!,17,FALSE())&lt;-2),"",#REF!),"")</f>
        <v/>
      </c>
      <c r="T904" s="0" t="str">
        <f aca="false">IFERROR(IF(OR(HLOOKUP($A904,#REF!,18,FALSE())&gt;2,HLOOKUP($A904,#REF!,18,FALSE())&lt;-2),"",#REF!),"")</f>
        <v/>
      </c>
      <c r="U904" s="0" t="str">
        <f aca="false">IFERROR(IF(OR(HLOOKUP($A904,#REF!,19,FALSE())&gt;2,HLOOKUP($A904,#REF!,19,FALSE())&lt;-2),"",#REF!),"")</f>
        <v/>
      </c>
      <c r="V904" s="0" t="n">
        <f aca="false">IFERROR(IF(AND(X904=0,Y904=0),0,1),0)</f>
        <v>1</v>
      </c>
      <c r="W904" s="3" t="str">
        <f aca="false">IFERROR(_xlfn.T.TEST(E904:M904,N904:U904,2,2),"")</f>
        <v/>
      </c>
      <c r="X904" s="0" t="str">
        <f aca="false">IFERROR(AVERAGE(E904:M904),"")</f>
        <v/>
      </c>
      <c r="Y904" s="0" t="str">
        <f aca="false">IFERROR(AVERAGE(N904:U904),"")</f>
        <v/>
      </c>
    </row>
    <row r="905" customFormat="false" ht="14.5" hidden="false" customHeight="false" outlineLevel="0" collapsed="false">
      <c r="A905" s="0" t="n">
        <v>913</v>
      </c>
      <c r="B905" s="0" t="s">
        <v>956</v>
      </c>
      <c r="C905" s="0" t="n">
        <v>13700</v>
      </c>
      <c r="D905" s="0" t="n">
        <v>669</v>
      </c>
      <c r="E905" s="0" t="str">
        <f aca="false">IFERROR(IF(OR(HLOOKUP($A905,#REF!,3,FALSE())&gt;2,HLOOKUP(A905,#REF!,3,FALSE())&lt;-2),"",#REF!),"")</f>
        <v/>
      </c>
      <c r="F905" s="0" t="str">
        <f aca="false">IFERROR(IF(OR(HLOOKUP($A905,#REF!,4,FALSE())&gt;2,HLOOKUP($A905,#REF!,4,FALSE())&lt;-2),"",#REF!),"")</f>
        <v/>
      </c>
      <c r="G905" s="0" t="str">
        <f aca="false">IFERROR(IF(OR(HLOOKUP($A905,#REF!,5,FALSE())&gt;2,HLOOKUP($A905,#REF!,5,FALSE())&lt;-2),"",#REF!),"")</f>
        <v/>
      </c>
      <c r="H905" s="0" t="str">
        <f aca="false">IFERROR(IF(OR(HLOOKUP($A905,#REF!,6,FALSE())&gt;2,HLOOKUP($A905,#REF!,6,FALSE())&lt;-2),"",#REF!),"")</f>
        <v/>
      </c>
      <c r="I905" s="0" t="str">
        <f aca="false">IFERROR(IF(OR(HLOOKUP($A905,#REF!,7,FALSE())&gt;2,HLOOKUP($A905,#REF!,7,FALSE())&lt;-2),"",#REF!),"")</f>
        <v/>
      </c>
      <c r="J905" s="0" t="str">
        <f aca="false">IFERROR(IF(OR(HLOOKUP($A905,#REF!,8,FALSE())&gt;2,HLOOKUP($A905,#REF!,8,FALSE())&lt;-2),"",#REF!),"")</f>
        <v/>
      </c>
      <c r="K905" s="0" t="str">
        <f aca="false">IFERROR(IF(OR(HLOOKUP($A905,#REF!,9,FALSE())&gt;2,HLOOKUP($A905,#REF!,9,FALSE())&lt;-2),"",#REF!),"")</f>
        <v/>
      </c>
      <c r="L905" s="0" t="str">
        <f aca="false">IFERROR(IF(OR(HLOOKUP($A905,#REF!,10,FALSE())&gt;2,HLOOKUP($A905,#REF!,10,FALSE())&lt;-2),"",#REF!),"")</f>
        <v/>
      </c>
      <c r="M905" s="0" t="str">
        <f aca="false">IFERROR(IF(OR(HLOOKUP($A905,#REF!,11,FALSE())&gt;2,HLOOKUP($A905,#REF!,11,FALSE())&lt;-2),"",#REF!),"")</f>
        <v/>
      </c>
      <c r="N905" s="0" t="str">
        <f aca="false">IFERROR(IF(OR(HLOOKUP($A905,#REF!,12,FALSE())&gt;2,HLOOKUP($A905,#REF!,12,FALSE())&lt;-2),"",#REF!),"")</f>
        <v/>
      </c>
      <c r="O905" s="0" t="str">
        <f aca="false">IFERROR(IF(OR(HLOOKUP($A905,#REF!,13,FALSE())&gt;2,HLOOKUP($A905,#REF!,13,FALSE())&lt;-2),"",#REF!),"")</f>
        <v/>
      </c>
      <c r="P905" s="0" t="str">
        <f aca="false">IFERROR(IF(OR(HLOOKUP($A905,#REF!,14,FALSE())&gt;2,HLOOKUP($A905,#REF!,14,FALSE())&lt;-2),"",#REF!),"")</f>
        <v/>
      </c>
      <c r="Q905" s="0" t="str">
        <f aca="false">IFERROR(IF(OR(HLOOKUP($A905,#REF!,15,FALSE())&gt;2,HLOOKUP($A905,#REF!,15,FALSE())&lt;-2),"",#REF!),"")</f>
        <v/>
      </c>
      <c r="R905" s="0" t="str">
        <f aca="false">IFERROR(IF(OR(HLOOKUP($A905,#REF!,16,FALSE())&gt;2,HLOOKUP($A905,#REF!,16,FALSE())&lt;-2),"",#REF!),"")</f>
        <v/>
      </c>
      <c r="S905" s="0" t="str">
        <f aca="false">IFERROR(IF(OR(HLOOKUP($A905,#REF!,17,FALSE())&gt;2,HLOOKUP($A905,#REF!,17,FALSE())&lt;-2),"",#REF!),"")</f>
        <v/>
      </c>
      <c r="T905" s="0" t="str">
        <f aca="false">IFERROR(IF(OR(HLOOKUP($A905,#REF!,18,FALSE())&gt;2,HLOOKUP($A905,#REF!,18,FALSE())&lt;-2),"",#REF!),"")</f>
        <v/>
      </c>
      <c r="U905" s="0" t="str">
        <f aca="false">IFERROR(IF(OR(HLOOKUP($A905,#REF!,19,FALSE())&gt;2,HLOOKUP($A905,#REF!,19,FALSE())&lt;-2),"",#REF!),"")</f>
        <v/>
      </c>
      <c r="V905" s="0" t="n">
        <f aca="false">IFERROR(IF(AND(X905=0,Y905=0),0,1),0)</f>
        <v>1</v>
      </c>
      <c r="W905" s="3" t="str">
        <f aca="false">IFERROR(_xlfn.T.TEST(E905:M905,N905:U905,2,2),"")</f>
        <v/>
      </c>
      <c r="X905" s="0" t="str">
        <f aca="false">IFERROR(AVERAGE(E905:M905),"")</f>
        <v/>
      </c>
      <c r="Y905" s="0" t="str">
        <f aca="false">IFERROR(AVERAGE(N905:U905),"")</f>
        <v/>
      </c>
    </row>
    <row r="906" customFormat="false" ht="14.5" hidden="false" customHeight="false" outlineLevel="0" collapsed="false">
      <c r="A906" s="0" t="n">
        <v>914</v>
      </c>
      <c r="B906" s="0" t="s">
        <v>957</v>
      </c>
      <c r="C906" s="0" t="n">
        <v>73100</v>
      </c>
      <c r="D906" s="0" t="n">
        <v>141</v>
      </c>
      <c r="E906" s="0" t="str">
        <f aca="false">IFERROR(IF(OR(HLOOKUP($A906,#REF!,3,FALSE())&gt;2,HLOOKUP(A906,#REF!,3,FALSE())&lt;-2),"",#REF!),"")</f>
        <v/>
      </c>
      <c r="F906" s="0" t="str">
        <f aca="false">IFERROR(IF(OR(HLOOKUP($A906,#REF!,4,FALSE())&gt;2,HLOOKUP($A906,#REF!,4,FALSE())&lt;-2),"",#REF!),"")</f>
        <v/>
      </c>
      <c r="G906" s="0" t="str">
        <f aca="false">IFERROR(IF(OR(HLOOKUP($A906,#REF!,5,FALSE())&gt;2,HLOOKUP($A906,#REF!,5,FALSE())&lt;-2),"",#REF!),"")</f>
        <v/>
      </c>
      <c r="H906" s="0" t="str">
        <f aca="false">IFERROR(IF(OR(HLOOKUP($A906,#REF!,6,FALSE())&gt;2,HLOOKUP($A906,#REF!,6,FALSE())&lt;-2),"",#REF!),"")</f>
        <v/>
      </c>
      <c r="I906" s="0" t="str">
        <f aca="false">IFERROR(IF(OR(HLOOKUP($A906,#REF!,7,FALSE())&gt;2,HLOOKUP($A906,#REF!,7,FALSE())&lt;-2),"",#REF!),"")</f>
        <v/>
      </c>
      <c r="J906" s="0" t="str">
        <f aca="false">IFERROR(IF(OR(HLOOKUP($A906,#REF!,8,FALSE())&gt;2,HLOOKUP($A906,#REF!,8,FALSE())&lt;-2),"",#REF!),"")</f>
        <v/>
      </c>
      <c r="K906" s="0" t="str">
        <f aca="false">IFERROR(IF(OR(HLOOKUP($A906,#REF!,9,FALSE())&gt;2,HLOOKUP($A906,#REF!,9,FALSE())&lt;-2),"",#REF!),"")</f>
        <v/>
      </c>
      <c r="L906" s="0" t="str">
        <f aca="false">IFERROR(IF(OR(HLOOKUP($A906,#REF!,10,FALSE())&gt;2,HLOOKUP($A906,#REF!,10,FALSE())&lt;-2),"",#REF!),"")</f>
        <v/>
      </c>
      <c r="M906" s="0" t="str">
        <f aca="false">IFERROR(IF(OR(HLOOKUP($A906,#REF!,11,FALSE())&gt;2,HLOOKUP($A906,#REF!,11,FALSE())&lt;-2),"",#REF!),"")</f>
        <v/>
      </c>
      <c r="N906" s="0" t="str">
        <f aca="false">IFERROR(IF(OR(HLOOKUP($A906,#REF!,12,FALSE())&gt;2,HLOOKUP($A906,#REF!,12,FALSE())&lt;-2),"",#REF!),"")</f>
        <v/>
      </c>
      <c r="O906" s="0" t="str">
        <f aca="false">IFERROR(IF(OR(HLOOKUP($A906,#REF!,13,FALSE())&gt;2,HLOOKUP($A906,#REF!,13,FALSE())&lt;-2),"",#REF!),"")</f>
        <v/>
      </c>
      <c r="P906" s="0" t="str">
        <f aca="false">IFERROR(IF(OR(HLOOKUP($A906,#REF!,14,FALSE())&gt;2,HLOOKUP($A906,#REF!,14,FALSE())&lt;-2),"",#REF!),"")</f>
        <v/>
      </c>
      <c r="Q906" s="0" t="str">
        <f aca="false">IFERROR(IF(OR(HLOOKUP($A906,#REF!,15,FALSE())&gt;2,HLOOKUP($A906,#REF!,15,FALSE())&lt;-2),"",#REF!),"")</f>
        <v/>
      </c>
      <c r="R906" s="0" t="str">
        <f aca="false">IFERROR(IF(OR(HLOOKUP($A906,#REF!,16,FALSE())&gt;2,HLOOKUP($A906,#REF!,16,FALSE())&lt;-2),"",#REF!),"")</f>
        <v/>
      </c>
      <c r="S906" s="0" t="str">
        <f aca="false">IFERROR(IF(OR(HLOOKUP($A906,#REF!,17,FALSE())&gt;2,HLOOKUP($A906,#REF!,17,FALSE())&lt;-2),"",#REF!),"")</f>
        <v/>
      </c>
      <c r="T906" s="0" t="str">
        <f aca="false">IFERROR(IF(OR(HLOOKUP($A906,#REF!,18,FALSE())&gt;2,HLOOKUP($A906,#REF!,18,FALSE())&lt;-2),"",#REF!),"")</f>
        <v/>
      </c>
      <c r="U906" s="0" t="str">
        <f aca="false">IFERROR(IF(OR(HLOOKUP($A906,#REF!,19,FALSE())&gt;2,HLOOKUP($A906,#REF!,19,FALSE())&lt;-2),"",#REF!),"")</f>
        <v/>
      </c>
      <c r="V906" s="0" t="n">
        <f aca="false">IFERROR(IF(AND(X906=0,Y906=0),0,1),0)</f>
        <v>1</v>
      </c>
      <c r="W906" s="3" t="str">
        <f aca="false">IFERROR(_xlfn.T.TEST(E906:M906,N906:U906,2,2),"")</f>
        <v/>
      </c>
      <c r="X906" s="0" t="str">
        <f aca="false">IFERROR(AVERAGE(E906:M906),"")</f>
        <v/>
      </c>
      <c r="Y906" s="0" t="str">
        <f aca="false">IFERROR(AVERAGE(N906:U906),"")</f>
        <v/>
      </c>
    </row>
    <row r="907" customFormat="false" ht="14.5" hidden="false" customHeight="false" outlineLevel="0" collapsed="false">
      <c r="A907" s="0" t="n">
        <v>915</v>
      </c>
      <c r="B907" s="0" t="s">
        <v>958</v>
      </c>
      <c r="C907" s="0" t="n">
        <v>86400</v>
      </c>
      <c r="D907" s="0" t="n">
        <v>890</v>
      </c>
      <c r="E907" s="0" t="str">
        <f aca="false">IFERROR(IF(OR(HLOOKUP($A907,#REF!,3,FALSE())&gt;2,HLOOKUP(A907,#REF!,3,FALSE())&lt;-2),"",#REF!),"")</f>
        <v/>
      </c>
      <c r="F907" s="0" t="str">
        <f aca="false">IFERROR(IF(OR(HLOOKUP($A907,#REF!,4,FALSE())&gt;2,HLOOKUP($A907,#REF!,4,FALSE())&lt;-2),"",#REF!),"")</f>
        <v/>
      </c>
      <c r="G907" s="0" t="str">
        <f aca="false">IFERROR(IF(OR(HLOOKUP($A907,#REF!,5,FALSE())&gt;2,HLOOKUP($A907,#REF!,5,FALSE())&lt;-2),"",#REF!),"")</f>
        <v/>
      </c>
      <c r="H907" s="0" t="str">
        <f aca="false">IFERROR(IF(OR(HLOOKUP($A907,#REF!,6,FALSE())&gt;2,HLOOKUP($A907,#REF!,6,FALSE())&lt;-2),"",#REF!),"")</f>
        <v/>
      </c>
      <c r="I907" s="0" t="str">
        <f aca="false">IFERROR(IF(OR(HLOOKUP($A907,#REF!,7,FALSE())&gt;2,HLOOKUP($A907,#REF!,7,FALSE())&lt;-2),"",#REF!),"")</f>
        <v/>
      </c>
      <c r="J907" s="0" t="str">
        <f aca="false">IFERROR(IF(OR(HLOOKUP($A907,#REF!,8,FALSE())&gt;2,HLOOKUP($A907,#REF!,8,FALSE())&lt;-2),"",#REF!),"")</f>
        <v/>
      </c>
      <c r="K907" s="0" t="str">
        <f aca="false">IFERROR(IF(OR(HLOOKUP($A907,#REF!,9,FALSE())&gt;2,HLOOKUP($A907,#REF!,9,FALSE())&lt;-2),"",#REF!),"")</f>
        <v/>
      </c>
      <c r="L907" s="0" t="str">
        <f aca="false">IFERROR(IF(OR(HLOOKUP($A907,#REF!,10,FALSE())&gt;2,HLOOKUP($A907,#REF!,10,FALSE())&lt;-2),"",#REF!),"")</f>
        <v/>
      </c>
      <c r="M907" s="0" t="str">
        <f aca="false">IFERROR(IF(OR(HLOOKUP($A907,#REF!,11,FALSE())&gt;2,HLOOKUP($A907,#REF!,11,FALSE())&lt;-2),"",#REF!),"")</f>
        <v/>
      </c>
      <c r="N907" s="0" t="str">
        <f aca="false">IFERROR(IF(OR(HLOOKUP($A907,#REF!,12,FALSE())&gt;2,HLOOKUP($A907,#REF!,12,FALSE())&lt;-2),"",#REF!),"")</f>
        <v/>
      </c>
      <c r="O907" s="0" t="str">
        <f aca="false">IFERROR(IF(OR(HLOOKUP($A907,#REF!,13,FALSE())&gt;2,HLOOKUP($A907,#REF!,13,FALSE())&lt;-2),"",#REF!),"")</f>
        <v/>
      </c>
      <c r="P907" s="0" t="str">
        <f aca="false">IFERROR(IF(OR(HLOOKUP($A907,#REF!,14,FALSE())&gt;2,HLOOKUP($A907,#REF!,14,FALSE())&lt;-2),"",#REF!),"")</f>
        <v/>
      </c>
      <c r="Q907" s="0" t="str">
        <f aca="false">IFERROR(IF(OR(HLOOKUP($A907,#REF!,15,FALSE())&gt;2,HLOOKUP($A907,#REF!,15,FALSE())&lt;-2),"",#REF!),"")</f>
        <v/>
      </c>
      <c r="R907" s="0" t="str">
        <f aca="false">IFERROR(IF(OR(HLOOKUP($A907,#REF!,16,FALSE())&gt;2,HLOOKUP($A907,#REF!,16,FALSE())&lt;-2),"",#REF!),"")</f>
        <v/>
      </c>
      <c r="S907" s="0" t="str">
        <f aca="false">IFERROR(IF(OR(HLOOKUP($A907,#REF!,17,FALSE())&gt;2,HLOOKUP($A907,#REF!,17,FALSE())&lt;-2),"",#REF!),"")</f>
        <v/>
      </c>
      <c r="T907" s="0" t="str">
        <f aca="false">IFERROR(IF(OR(HLOOKUP($A907,#REF!,18,FALSE())&gt;2,HLOOKUP($A907,#REF!,18,FALSE())&lt;-2),"",#REF!),"")</f>
        <v/>
      </c>
      <c r="U907" s="0" t="str">
        <f aca="false">IFERROR(IF(OR(HLOOKUP($A907,#REF!,19,FALSE())&gt;2,HLOOKUP($A907,#REF!,19,FALSE())&lt;-2),"",#REF!),"")</f>
        <v/>
      </c>
      <c r="V907" s="0" t="n">
        <f aca="false">IFERROR(IF(AND(X907=0,Y907=0),0,1),0)</f>
        <v>1</v>
      </c>
      <c r="W907" s="3" t="str">
        <f aca="false">IFERROR(_xlfn.T.TEST(E907:M907,N907:U907,2,2),"")</f>
        <v/>
      </c>
      <c r="X907" s="0" t="str">
        <f aca="false">IFERROR(AVERAGE(E907:M907),"")</f>
        <v/>
      </c>
      <c r="Y907" s="0" t="str">
        <f aca="false">IFERROR(AVERAGE(N907:U907),"")</f>
        <v/>
      </c>
    </row>
    <row r="908" customFormat="false" ht="14.5" hidden="false" customHeight="false" outlineLevel="0" collapsed="false">
      <c r="A908" s="0" t="n">
        <v>916</v>
      </c>
      <c r="B908" s="0" t="s">
        <v>959</v>
      </c>
      <c r="C908" s="0" t="n">
        <v>98500</v>
      </c>
      <c r="D908" s="0" t="n">
        <v>848</v>
      </c>
      <c r="E908" s="0" t="str">
        <f aca="false">IFERROR(IF(OR(HLOOKUP($A908,#REF!,3,FALSE())&gt;2,HLOOKUP(A908,#REF!,3,FALSE())&lt;-2),"",#REF!),"")</f>
        <v/>
      </c>
      <c r="F908" s="0" t="str">
        <f aca="false">IFERROR(IF(OR(HLOOKUP($A908,#REF!,4,FALSE())&gt;2,HLOOKUP($A908,#REF!,4,FALSE())&lt;-2),"",#REF!),"")</f>
        <v/>
      </c>
      <c r="G908" s="0" t="str">
        <f aca="false">IFERROR(IF(OR(HLOOKUP($A908,#REF!,5,FALSE())&gt;2,HLOOKUP($A908,#REF!,5,FALSE())&lt;-2),"",#REF!),"")</f>
        <v/>
      </c>
      <c r="H908" s="0" t="str">
        <f aca="false">IFERROR(IF(OR(HLOOKUP($A908,#REF!,6,FALSE())&gt;2,HLOOKUP($A908,#REF!,6,FALSE())&lt;-2),"",#REF!),"")</f>
        <v/>
      </c>
      <c r="I908" s="0" t="str">
        <f aca="false">IFERROR(IF(OR(HLOOKUP($A908,#REF!,7,FALSE())&gt;2,HLOOKUP($A908,#REF!,7,FALSE())&lt;-2),"",#REF!),"")</f>
        <v/>
      </c>
      <c r="J908" s="0" t="str">
        <f aca="false">IFERROR(IF(OR(HLOOKUP($A908,#REF!,8,FALSE())&gt;2,HLOOKUP($A908,#REF!,8,FALSE())&lt;-2),"",#REF!),"")</f>
        <v/>
      </c>
      <c r="K908" s="0" t="str">
        <f aca="false">IFERROR(IF(OR(HLOOKUP($A908,#REF!,9,FALSE())&gt;2,HLOOKUP($A908,#REF!,9,FALSE())&lt;-2),"",#REF!),"")</f>
        <v/>
      </c>
      <c r="L908" s="0" t="str">
        <f aca="false">IFERROR(IF(OR(HLOOKUP($A908,#REF!,10,FALSE())&gt;2,HLOOKUP($A908,#REF!,10,FALSE())&lt;-2),"",#REF!),"")</f>
        <v/>
      </c>
      <c r="M908" s="0" t="str">
        <f aca="false">IFERROR(IF(OR(HLOOKUP($A908,#REF!,11,FALSE())&gt;2,HLOOKUP($A908,#REF!,11,FALSE())&lt;-2),"",#REF!),"")</f>
        <v/>
      </c>
      <c r="N908" s="0" t="str">
        <f aca="false">IFERROR(IF(OR(HLOOKUP($A908,#REF!,12,FALSE())&gt;2,HLOOKUP($A908,#REF!,12,FALSE())&lt;-2),"",#REF!),"")</f>
        <v/>
      </c>
      <c r="O908" s="0" t="str">
        <f aca="false">IFERROR(IF(OR(HLOOKUP($A908,#REF!,13,FALSE())&gt;2,HLOOKUP($A908,#REF!,13,FALSE())&lt;-2),"",#REF!),"")</f>
        <v/>
      </c>
      <c r="P908" s="0" t="str">
        <f aca="false">IFERROR(IF(OR(HLOOKUP($A908,#REF!,14,FALSE())&gt;2,HLOOKUP($A908,#REF!,14,FALSE())&lt;-2),"",#REF!),"")</f>
        <v/>
      </c>
      <c r="Q908" s="0" t="str">
        <f aca="false">IFERROR(IF(OR(HLOOKUP($A908,#REF!,15,FALSE())&gt;2,HLOOKUP($A908,#REF!,15,FALSE())&lt;-2),"",#REF!),"")</f>
        <v/>
      </c>
      <c r="R908" s="0" t="str">
        <f aca="false">IFERROR(IF(OR(HLOOKUP($A908,#REF!,16,FALSE())&gt;2,HLOOKUP($A908,#REF!,16,FALSE())&lt;-2),"",#REF!),"")</f>
        <v/>
      </c>
      <c r="S908" s="0" t="str">
        <f aca="false">IFERROR(IF(OR(HLOOKUP($A908,#REF!,17,FALSE())&gt;2,HLOOKUP($A908,#REF!,17,FALSE())&lt;-2),"",#REF!),"")</f>
        <v/>
      </c>
      <c r="T908" s="0" t="str">
        <f aca="false">IFERROR(IF(OR(HLOOKUP($A908,#REF!,18,FALSE())&gt;2,HLOOKUP($A908,#REF!,18,FALSE())&lt;-2),"",#REF!),"")</f>
        <v/>
      </c>
      <c r="U908" s="0" t="str">
        <f aca="false">IFERROR(IF(OR(HLOOKUP($A908,#REF!,19,FALSE())&gt;2,HLOOKUP($A908,#REF!,19,FALSE())&lt;-2),"",#REF!),"")</f>
        <v/>
      </c>
      <c r="V908" s="0" t="n">
        <f aca="false">IFERROR(IF(AND(X908=0,Y908=0),0,1),0)</f>
        <v>1</v>
      </c>
      <c r="W908" s="3" t="str">
        <f aca="false">IFERROR(_xlfn.T.TEST(E908:M908,N908:U908,2,2),"")</f>
        <v/>
      </c>
      <c r="X908" s="0" t="str">
        <f aca="false">IFERROR(AVERAGE(E908:M908),"")</f>
        <v/>
      </c>
      <c r="Y908" s="0" t="str">
        <f aca="false">IFERROR(AVERAGE(N908:U908),"")</f>
        <v/>
      </c>
    </row>
    <row r="909" customFormat="false" ht="14.5" hidden="false" customHeight="false" outlineLevel="0" collapsed="false">
      <c r="A909" s="0" t="n">
        <v>917</v>
      </c>
      <c r="B909" s="0" t="s">
        <v>960</v>
      </c>
      <c r="C909" s="0" t="n">
        <v>101500</v>
      </c>
      <c r="D909" s="0" t="n">
        <v>967</v>
      </c>
      <c r="E909" s="0" t="str">
        <f aca="false">IFERROR(IF(OR(HLOOKUP($A909,#REF!,3,FALSE())&gt;2,HLOOKUP(A909,#REF!,3,FALSE())&lt;-2),"",#REF!),"")</f>
        <v/>
      </c>
      <c r="F909" s="0" t="str">
        <f aca="false">IFERROR(IF(OR(HLOOKUP($A909,#REF!,4,FALSE())&gt;2,HLOOKUP($A909,#REF!,4,FALSE())&lt;-2),"",#REF!),"")</f>
        <v/>
      </c>
      <c r="G909" s="0" t="str">
        <f aca="false">IFERROR(IF(OR(HLOOKUP($A909,#REF!,5,FALSE())&gt;2,HLOOKUP($A909,#REF!,5,FALSE())&lt;-2),"",#REF!),"")</f>
        <v/>
      </c>
      <c r="H909" s="0" t="str">
        <f aca="false">IFERROR(IF(OR(HLOOKUP($A909,#REF!,6,FALSE())&gt;2,HLOOKUP($A909,#REF!,6,FALSE())&lt;-2),"",#REF!),"")</f>
        <v/>
      </c>
      <c r="I909" s="0" t="str">
        <f aca="false">IFERROR(IF(OR(HLOOKUP($A909,#REF!,7,FALSE())&gt;2,HLOOKUP($A909,#REF!,7,FALSE())&lt;-2),"",#REF!),"")</f>
        <v/>
      </c>
      <c r="J909" s="0" t="str">
        <f aca="false">IFERROR(IF(OR(HLOOKUP($A909,#REF!,8,FALSE())&gt;2,HLOOKUP($A909,#REF!,8,FALSE())&lt;-2),"",#REF!),"")</f>
        <v/>
      </c>
      <c r="K909" s="0" t="str">
        <f aca="false">IFERROR(IF(OR(HLOOKUP($A909,#REF!,9,FALSE())&gt;2,HLOOKUP($A909,#REF!,9,FALSE())&lt;-2),"",#REF!),"")</f>
        <v/>
      </c>
      <c r="L909" s="0" t="str">
        <f aca="false">IFERROR(IF(OR(HLOOKUP($A909,#REF!,10,FALSE())&gt;2,HLOOKUP($A909,#REF!,10,FALSE())&lt;-2),"",#REF!),"")</f>
        <v/>
      </c>
      <c r="M909" s="0" t="str">
        <f aca="false">IFERROR(IF(OR(HLOOKUP($A909,#REF!,11,FALSE())&gt;2,HLOOKUP($A909,#REF!,11,FALSE())&lt;-2),"",#REF!),"")</f>
        <v/>
      </c>
      <c r="N909" s="0" t="str">
        <f aca="false">IFERROR(IF(OR(HLOOKUP($A909,#REF!,12,FALSE())&gt;2,HLOOKUP($A909,#REF!,12,FALSE())&lt;-2),"",#REF!),"")</f>
        <v/>
      </c>
      <c r="O909" s="0" t="str">
        <f aca="false">IFERROR(IF(OR(HLOOKUP($A909,#REF!,13,FALSE())&gt;2,HLOOKUP($A909,#REF!,13,FALSE())&lt;-2),"",#REF!),"")</f>
        <v/>
      </c>
      <c r="P909" s="0" t="str">
        <f aca="false">IFERROR(IF(OR(HLOOKUP($A909,#REF!,14,FALSE())&gt;2,HLOOKUP($A909,#REF!,14,FALSE())&lt;-2),"",#REF!),"")</f>
        <v/>
      </c>
      <c r="Q909" s="0" t="str">
        <f aca="false">IFERROR(IF(OR(HLOOKUP($A909,#REF!,15,FALSE())&gt;2,HLOOKUP($A909,#REF!,15,FALSE())&lt;-2),"",#REF!),"")</f>
        <v/>
      </c>
      <c r="R909" s="0" t="str">
        <f aca="false">IFERROR(IF(OR(HLOOKUP($A909,#REF!,16,FALSE())&gt;2,HLOOKUP($A909,#REF!,16,FALSE())&lt;-2),"",#REF!),"")</f>
        <v/>
      </c>
      <c r="S909" s="0" t="str">
        <f aca="false">IFERROR(IF(OR(HLOOKUP($A909,#REF!,17,FALSE())&gt;2,HLOOKUP($A909,#REF!,17,FALSE())&lt;-2),"",#REF!),"")</f>
        <v/>
      </c>
      <c r="T909" s="0" t="str">
        <f aca="false">IFERROR(IF(OR(HLOOKUP($A909,#REF!,18,FALSE())&gt;2,HLOOKUP($A909,#REF!,18,FALSE())&lt;-2),"",#REF!),"")</f>
        <v/>
      </c>
      <c r="U909" s="0" t="str">
        <f aca="false">IFERROR(IF(OR(HLOOKUP($A909,#REF!,19,FALSE())&gt;2,HLOOKUP($A909,#REF!,19,FALSE())&lt;-2),"",#REF!),"")</f>
        <v/>
      </c>
      <c r="V909" s="0" t="n">
        <f aca="false">IFERROR(IF(AND(X909=0,Y909=0),0,1),0)</f>
        <v>1</v>
      </c>
      <c r="W909" s="3" t="str">
        <f aca="false">IFERROR(_xlfn.T.TEST(E909:M909,N909:U909,2,2),"")</f>
        <v/>
      </c>
      <c r="X909" s="0" t="str">
        <f aca="false">IFERROR(AVERAGE(E909:M909),"")</f>
        <v/>
      </c>
      <c r="Y909" s="0" t="str">
        <f aca="false">IFERROR(AVERAGE(N909:U909),"")</f>
        <v/>
      </c>
    </row>
    <row r="910" customFormat="false" ht="14.5" hidden="false" customHeight="false" outlineLevel="0" collapsed="false">
      <c r="A910" s="0" t="n">
        <v>918</v>
      </c>
      <c r="B910" s="0" t="s">
        <v>961</v>
      </c>
      <c r="C910" s="0" t="n">
        <v>41350</v>
      </c>
      <c r="D910" s="0" t="n">
        <v>909</v>
      </c>
      <c r="E910" s="0" t="str">
        <f aca="false">IFERROR(IF(OR(HLOOKUP($A910,#REF!,3,FALSE())&gt;2,HLOOKUP(A910,#REF!,3,FALSE())&lt;-2),"",#REF!),"")</f>
        <v/>
      </c>
      <c r="F910" s="0" t="str">
        <f aca="false">IFERROR(IF(OR(HLOOKUP($A910,#REF!,4,FALSE())&gt;2,HLOOKUP($A910,#REF!,4,FALSE())&lt;-2),"",#REF!),"")</f>
        <v/>
      </c>
      <c r="G910" s="0" t="str">
        <f aca="false">IFERROR(IF(OR(HLOOKUP($A910,#REF!,5,FALSE())&gt;2,HLOOKUP($A910,#REF!,5,FALSE())&lt;-2),"",#REF!),"")</f>
        <v/>
      </c>
      <c r="H910" s="0" t="str">
        <f aca="false">IFERROR(IF(OR(HLOOKUP($A910,#REF!,6,FALSE())&gt;2,HLOOKUP($A910,#REF!,6,FALSE())&lt;-2),"",#REF!),"")</f>
        <v/>
      </c>
      <c r="I910" s="0" t="str">
        <f aca="false">IFERROR(IF(OR(HLOOKUP($A910,#REF!,7,FALSE())&gt;2,HLOOKUP($A910,#REF!,7,FALSE())&lt;-2),"",#REF!),"")</f>
        <v/>
      </c>
      <c r="J910" s="0" t="str">
        <f aca="false">IFERROR(IF(OR(HLOOKUP($A910,#REF!,8,FALSE())&gt;2,HLOOKUP($A910,#REF!,8,FALSE())&lt;-2),"",#REF!),"")</f>
        <v/>
      </c>
      <c r="K910" s="0" t="str">
        <f aca="false">IFERROR(IF(OR(HLOOKUP($A910,#REF!,9,FALSE())&gt;2,HLOOKUP($A910,#REF!,9,FALSE())&lt;-2),"",#REF!),"")</f>
        <v/>
      </c>
      <c r="L910" s="0" t="str">
        <f aca="false">IFERROR(IF(OR(HLOOKUP($A910,#REF!,10,FALSE())&gt;2,HLOOKUP($A910,#REF!,10,FALSE())&lt;-2),"",#REF!),"")</f>
        <v/>
      </c>
      <c r="M910" s="0" t="str">
        <f aca="false">IFERROR(IF(OR(HLOOKUP($A910,#REF!,11,FALSE())&gt;2,HLOOKUP($A910,#REF!,11,FALSE())&lt;-2),"",#REF!),"")</f>
        <v/>
      </c>
      <c r="N910" s="0" t="str">
        <f aca="false">IFERROR(IF(OR(HLOOKUP($A910,#REF!,12,FALSE())&gt;2,HLOOKUP($A910,#REF!,12,FALSE())&lt;-2),"",#REF!),"")</f>
        <v/>
      </c>
      <c r="O910" s="0" t="str">
        <f aca="false">IFERROR(IF(OR(HLOOKUP($A910,#REF!,13,FALSE())&gt;2,HLOOKUP($A910,#REF!,13,FALSE())&lt;-2),"",#REF!),"")</f>
        <v/>
      </c>
      <c r="P910" s="0" t="str">
        <f aca="false">IFERROR(IF(OR(HLOOKUP($A910,#REF!,14,FALSE())&gt;2,HLOOKUP($A910,#REF!,14,FALSE())&lt;-2),"",#REF!),"")</f>
        <v/>
      </c>
      <c r="Q910" s="0" t="str">
        <f aca="false">IFERROR(IF(OR(HLOOKUP($A910,#REF!,15,FALSE())&gt;2,HLOOKUP($A910,#REF!,15,FALSE())&lt;-2),"",#REF!),"")</f>
        <v/>
      </c>
      <c r="R910" s="0" t="str">
        <f aca="false">IFERROR(IF(OR(HLOOKUP($A910,#REF!,16,FALSE())&gt;2,HLOOKUP($A910,#REF!,16,FALSE())&lt;-2),"",#REF!),"")</f>
        <v/>
      </c>
      <c r="S910" s="0" t="str">
        <f aca="false">IFERROR(IF(OR(HLOOKUP($A910,#REF!,17,FALSE())&gt;2,HLOOKUP($A910,#REF!,17,FALSE())&lt;-2),"",#REF!),"")</f>
        <v/>
      </c>
      <c r="T910" s="0" t="str">
        <f aca="false">IFERROR(IF(OR(HLOOKUP($A910,#REF!,18,FALSE())&gt;2,HLOOKUP($A910,#REF!,18,FALSE())&lt;-2),"",#REF!),"")</f>
        <v/>
      </c>
      <c r="U910" s="0" t="str">
        <f aca="false">IFERROR(IF(OR(HLOOKUP($A910,#REF!,19,FALSE())&gt;2,HLOOKUP($A910,#REF!,19,FALSE())&lt;-2),"",#REF!),"")</f>
        <v/>
      </c>
      <c r="V910" s="0" t="n">
        <f aca="false">IFERROR(IF(AND(X910=0,Y910=0),0,1),0)</f>
        <v>1</v>
      </c>
      <c r="W910" s="3" t="str">
        <f aca="false">IFERROR(_xlfn.T.TEST(E910:M910,N910:U910,2,2),"")</f>
        <v/>
      </c>
      <c r="X910" s="0" t="str">
        <f aca="false">IFERROR(AVERAGE(E910:M910),"")</f>
        <v/>
      </c>
      <c r="Y910" s="0" t="str">
        <f aca="false">IFERROR(AVERAGE(N910:U910),"")</f>
        <v/>
      </c>
    </row>
    <row r="911" customFormat="false" ht="14.5" hidden="false" customHeight="false" outlineLevel="0" collapsed="false">
      <c r="A911" s="0" t="n">
        <v>919</v>
      </c>
      <c r="B911" s="0" t="s">
        <v>73</v>
      </c>
      <c r="C911" s="0" t="n">
        <v>19300</v>
      </c>
      <c r="D911" s="0" t="n">
        <v>39</v>
      </c>
      <c r="E911" s="0" t="str">
        <f aca="false">IFERROR(IF(OR(HLOOKUP($A911,#REF!,3,FALSE())&gt;2,HLOOKUP(A911,#REF!,3,FALSE())&lt;-2),"",#REF!),"")</f>
        <v/>
      </c>
      <c r="F911" s="0" t="str">
        <f aca="false">IFERROR(IF(OR(HLOOKUP($A911,#REF!,4,FALSE())&gt;2,HLOOKUP($A911,#REF!,4,FALSE())&lt;-2),"",#REF!),"")</f>
        <v/>
      </c>
      <c r="G911" s="0" t="str">
        <f aca="false">IFERROR(IF(OR(HLOOKUP($A911,#REF!,5,FALSE())&gt;2,HLOOKUP($A911,#REF!,5,FALSE())&lt;-2),"",#REF!),"")</f>
        <v/>
      </c>
      <c r="H911" s="0" t="str">
        <f aca="false">IFERROR(IF(OR(HLOOKUP($A911,#REF!,6,FALSE())&gt;2,HLOOKUP($A911,#REF!,6,FALSE())&lt;-2),"",#REF!),"")</f>
        <v/>
      </c>
      <c r="I911" s="0" t="str">
        <f aca="false">IFERROR(IF(OR(HLOOKUP($A911,#REF!,7,FALSE())&gt;2,HLOOKUP($A911,#REF!,7,FALSE())&lt;-2),"",#REF!),"")</f>
        <v/>
      </c>
      <c r="J911" s="0" t="str">
        <f aca="false">IFERROR(IF(OR(HLOOKUP($A911,#REF!,8,FALSE())&gt;2,HLOOKUP($A911,#REF!,8,FALSE())&lt;-2),"",#REF!),"")</f>
        <v/>
      </c>
      <c r="K911" s="0" t="str">
        <f aca="false">IFERROR(IF(OR(HLOOKUP($A911,#REF!,9,FALSE())&gt;2,HLOOKUP($A911,#REF!,9,FALSE())&lt;-2),"",#REF!),"")</f>
        <v/>
      </c>
      <c r="L911" s="0" t="str">
        <f aca="false">IFERROR(IF(OR(HLOOKUP($A911,#REF!,10,FALSE())&gt;2,HLOOKUP($A911,#REF!,10,FALSE())&lt;-2),"",#REF!),"")</f>
        <v/>
      </c>
      <c r="M911" s="0" t="str">
        <f aca="false">IFERROR(IF(OR(HLOOKUP($A911,#REF!,11,FALSE())&gt;2,HLOOKUP($A911,#REF!,11,FALSE())&lt;-2),"",#REF!),"")</f>
        <v/>
      </c>
      <c r="N911" s="0" t="str">
        <f aca="false">IFERROR(IF(OR(HLOOKUP($A911,#REF!,12,FALSE())&gt;2,HLOOKUP($A911,#REF!,12,FALSE())&lt;-2),"",#REF!),"")</f>
        <v/>
      </c>
      <c r="O911" s="0" t="str">
        <f aca="false">IFERROR(IF(OR(HLOOKUP($A911,#REF!,13,FALSE())&gt;2,HLOOKUP($A911,#REF!,13,FALSE())&lt;-2),"",#REF!),"")</f>
        <v/>
      </c>
      <c r="P911" s="0" t="str">
        <f aca="false">IFERROR(IF(OR(HLOOKUP($A911,#REF!,14,FALSE())&gt;2,HLOOKUP($A911,#REF!,14,FALSE())&lt;-2),"",#REF!),"")</f>
        <v/>
      </c>
      <c r="Q911" s="0" t="str">
        <f aca="false">IFERROR(IF(OR(HLOOKUP($A911,#REF!,15,FALSE())&gt;2,HLOOKUP($A911,#REF!,15,FALSE())&lt;-2),"",#REF!),"")</f>
        <v/>
      </c>
      <c r="R911" s="0" t="str">
        <f aca="false">IFERROR(IF(OR(HLOOKUP($A911,#REF!,16,FALSE())&gt;2,HLOOKUP($A911,#REF!,16,FALSE())&lt;-2),"",#REF!),"")</f>
        <v/>
      </c>
      <c r="S911" s="0" t="str">
        <f aca="false">IFERROR(IF(OR(HLOOKUP($A911,#REF!,17,FALSE())&gt;2,HLOOKUP($A911,#REF!,17,FALSE())&lt;-2),"",#REF!),"")</f>
        <v/>
      </c>
      <c r="T911" s="0" t="str">
        <f aca="false">IFERROR(IF(OR(HLOOKUP($A911,#REF!,18,FALSE())&gt;2,HLOOKUP($A911,#REF!,18,FALSE())&lt;-2),"",#REF!),"")</f>
        <v/>
      </c>
      <c r="U911" s="0" t="str">
        <f aca="false">IFERROR(IF(OR(HLOOKUP($A911,#REF!,19,FALSE())&gt;2,HLOOKUP($A911,#REF!,19,FALSE())&lt;-2),"",#REF!),"")</f>
        <v/>
      </c>
      <c r="V911" s="0" t="n">
        <f aca="false">IFERROR(IF(AND(X911=0,Y911=0),0,1),0)</f>
        <v>1</v>
      </c>
      <c r="W911" s="3" t="str">
        <f aca="false">IFERROR(_xlfn.T.TEST(E911:M911,N911:U911,2,2),"")</f>
        <v/>
      </c>
      <c r="X911" s="0" t="str">
        <f aca="false">IFERROR(AVERAGE(E911:M911),"")</f>
        <v/>
      </c>
      <c r="Y911" s="0" t="str">
        <f aca="false">IFERROR(AVERAGE(N911:U911),"")</f>
        <v/>
      </c>
    </row>
    <row r="912" customFormat="false" ht="14.5" hidden="false" customHeight="false" outlineLevel="0" collapsed="false">
      <c r="A912" s="0" t="n">
        <v>920</v>
      </c>
      <c r="B912" s="0" t="s">
        <v>962</v>
      </c>
      <c r="C912" s="0" t="n">
        <v>55400</v>
      </c>
      <c r="D912" s="0" t="n">
        <v>645</v>
      </c>
      <c r="E912" s="0" t="str">
        <f aca="false">IFERROR(IF(OR(HLOOKUP($A912,#REF!,3,FALSE())&gt;2,HLOOKUP(A912,#REF!,3,FALSE())&lt;-2),"",#REF!),"")</f>
        <v/>
      </c>
      <c r="F912" s="0" t="str">
        <f aca="false">IFERROR(IF(OR(HLOOKUP($A912,#REF!,4,FALSE())&gt;2,HLOOKUP($A912,#REF!,4,FALSE())&lt;-2),"",#REF!),"")</f>
        <v/>
      </c>
      <c r="G912" s="0" t="str">
        <f aca="false">IFERROR(IF(OR(HLOOKUP($A912,#REF!,5,FALSE())&gt;2,HLOOKUP($A912,#REF!,5,FALSE())&lt;-2),"",#REF!),"")</f>
        <v/>
      </c>
      <c r="H912" s="0" t="str">
        <f aca="false">IFERROR(IF(OR(HLOOKUP($A912,#REF!,6,FALSE())&gt;2,HLOOKUP($A912,#REF!,6,FALSE())&lt;-2),"",#REF!),"")</f>
        <v/>
      </c>
      <c r="I912" s="0" t="str">
        <f aca="false">IFERROR(IF(OR(HLOOKUP($A912,#REF!,7,FALSE())&gt;2,HLOOKUP($A912,#REF!,7,FALSE())&lt;-2),"",#REF!),"")</f>
        <v/>
      </c>
      <c r="J912" s="0" t="str">
        <f aca="false">IFERROR(IF(OR(HLOOKUP($A912,#REF!,8,FALSE())&gt;2,HLOOKUP($A912,#REF!,8,FALSE())&lt;-2),"",#REF!),"")</f>
        <v/>
      </c>
      <c r="K912" s="0" t="str">
        <f aca="false">IFERROR(IF(OR(HLOOKUP($A912,#REF!,9,FALSE())&gt;2,HLOOKUP($A912,#REF!,9,FALSE())&lt;-2),"",#REF!),"")</f>
        <v/>
      </c>
      <c r="L912" s="0" t="str">
        <f aca="false">IFERROR(IF(OR(HLOOKUP($A912,#REF!,10,FALSE())&gt;2,HLOOKUP($A912,#REF!,10,FALSE())&lt;-2),"",#REF!),"")</f>
        <v/>
      </c>
      <c r="M912" s="0" t="str">
        <f aca="false">IFERROR(IF(OR(HLOOKUP($A912,#REF!,11,FALSE())&gt;2,HLOOKUP($A912,#REF!,11,FALSE())&lt;-2),"",#REF!),"")</f>
        <v/>
      </c>
      <c r="N912" s="0" t="str">
        <f aca="false">IFERROR(IF(OR(HLOOKUP($A912,#REF!,12,FALSE())&gt;2,HLOOKUP($A912,#REF!,12,FALSE())&lt;-2),"",#REF!),"")</f>
        <v/>
      </c>
      <c r="O912" s="0" t="str">
        <f aca="false">IFERROR(IF(OR(HLOOKUP($A912,#REF!,13,FALSE())&gt;2,HLOOKUP($A912,#REF!,13,FALSE())&lt;-2),"",#REF!),"")</f>
        <v/>
      </c>
      <c r="P912" s="0" t="str">
        <f aca="false">IFERROR(IF(OR(HLOOKUP($A912,#REF!,14,FALSE())&gt;2,HLOOKUP($A912,#REF!,14,FALSE())&lt;-2),"",#REF!),"")</f>
        <v/>
      </c>
      <c r="Q912" s="0" t="str">
        <f aca="false">IFERROR(IF(OR(HLOOKUP($A912,#REF!,15,FALSE())&gt;2,HLOOKUP($A912,#REF!,15,FALSE())&lt;-2),"",#REF!),"")</f>
        <v/>
      </c>
      <c r="R912" s="0" t="str">
        <f aca="false">IFERROR(IF(OR(HLOOKUP($A912,#REF!,16,FALSE())&gt;2,HLOOKUP($A912,#REF!,16,FALSE())&lt;-2),"",#REF!),"")</f>
        <v/>
      </c>
      <c r="S912" s="0" t="str">
        <f aca="false">IFERROR(IF(OR(HLOOKUP($A912,#REF!,17,FALSE())&gt;2,HLOOKUP($A912,#REF!,17,FALSE())&lt;-2),"",#REF!),"")</f>
        <v/>
      </c>
      <c r="T912" s="0" t="str">
        <f aca="false">IFERROR(IF(OR(HLOOKUP($A912,#REF!,18,FALSE())&gt;2,HLOOKUP($A912,#REF!,18,FALSE())&lt;-2),"",#REF!),"")</f>
        <v/>
      </c>
      <c r="U912" s="0" t="str">
        <f aca="false">IFERROR(IF(OR(HLOOKUP($A912,#REF!,19,FALSE())&gt;2,HLOOKUP($A912,#REF!,19,FALSE())&lt;-2),"",#REF!),"")</f>
        <v/>
      </c>
      <c r="V912" s="0" t="n">
        <f aca="false">IFERROR(IF(AND(X912=0,Y912=0),0,1),0)</f>
        <v>1</v>
      </c>
      <c r="W912" s="3" t="str">
        <f aca="false">IFERROR(_xlfn.T.TEST(E912:M912,N912:U912,2,2),"")</f>
        <v/>
      </c>
      <c r="X912" s="0" t="str">
        <f aca="false">IFERROR(AVERAGE(E912:M912),"")</f>
        <v/>
      </c>
      <c r="Y912" s="0" t="str">
        <f aca="false">IFERROR(AVERAGE(N912:U912),"")</f>
        <v/>
      </c>
    </row>
    <row r="913" customFormat="false" ht="14.5" hidden="false" customHeight="false" outlineLevel="0" collapsed="false">
      <c r="A913" s="0" t="n">
        <v>921</v>
      </c>
      <c r="B913" s="0" t="s">
        <v>963</v>
      </c>
      <c r="C913" s="0" t="n">
        <v>3200</v>
      </c>
      <c r="D913" s="0" t="n">
        <v>322</v>
      </c>
      <c r="E913" s="0" t="str">
        <f aca="false">IFERROR(IF(OR(HLOOKUP($A913,#REF!,3,FALSE())&gt;2,HLOOKUP(A913,#REF!,3,FALSE())&lt;-2),"",#REF!),"")</f>
        <v/>
      </c>
      <c r="F913" s="0" t="str">
        <f aca="false">IFERROR(IF(OR(HLOOKUP($A913,#REF!,4,FALSE())&gt;2,HLOOKUP($A913,#REF!,4,FALSE())&lt;-2),"",#REF!),"")</f>
        <v/>
      </c>
      <c r="G913" s="0" t="str">
        <f aca="false">IFERROR(IF(OR(HLOOKUP($A913,#REF!,5,FALSE())&gt;2,HLOOKUP($A913,#REF!,5,FALSE())&lt;-2),"",#REF!),"")</f>
        <v/>
      </c>
      <c r="H913" s="0" t="str">
        <f aca="false">IFERROR(IF(OR(HLOOKUP($A913,#REF!,6,FALSE())&gt;2,HLOOKUP($A913,#REF!,6,FALSE())&lt;-2),"",#REF!),"")</f>
        <v/>
      </c>
      <c r="I913" s="0" t="str">
        <f aca="false">IFERROR(IF(OR(HLOOKUP($A913,#REF!,7,FALSE())&gt;2,HLOOKUP($A913,#REF!,7,FALSE())&lt;-2),"",#REF!),"")</f>
        <v/>
      </c>
      <c r="J913" s="0" t="str">
        <f aca="false">IFERROR(IF(OR(HLOOKUP($A913,#REF!,8,FALSE())&gt;2,HLOOKUP($A913,#REF!,8,FALSE())&lt;-2),"",#REF!),"")</f>
        <v/>
      </c>
      <c r="K913" s="0" t="str">
        <f aca="false">IFERROR(IF(OR(HLOOKUP($A913,#REF!,9,FALSE())&gt;2,HLOOKUP($A913,#REF!,9,FALSE())&lt;-2),"",#REF!),"")</f>
        <v/>
      </c>
      <c r="L913" s="0" t="str">
        <f aca="false">IFERROR(IF(OR(HLOOKUP($A913,#REF!,10,FALSE())&gt;2,HLOOKUP($A913,#REF!,10,FALSE())&lt;-2),"",#REF!),"")</f>
        <v/>
      </c>
      <c r="M913" s="0" t="str">
        <f aca="false">IFERROR(IF(OR(HLOOKUP($A913,#REF!,11,FALSE())&gt;2,HLOOKUP($A913,#REF!,11,FALSE())&lt;-2),"",#REF!),"")</f>
        <v/>
      </c>
      <c r="N913" s="0" t="str">
        <f aca="false">IFERROR(IF(OR(HLOOKUP($A913,#REF!,12,FALSE())&gt;2,HLOOKUP($A913,#REF!,12,FALSE())&lt;-2),"",#REF!),"")</f>
        <v/>
      </c>
      <c r="O913" s="0" t="str">
        <f aca="false">IFERROR(IF(OR(HLOOKUP($A913,#REF!,13,FALSE())&gt;2,HLOOKUP($A913,#REF!,13,FALSE())&lt;-2),"",#REF!),"")</f>
        <v/>
      </c>
      <c r="P913" s="0" t="str">
        <f aca="false">IFERROR(IF(OR(HLOOKUP($A913,#REF!,14,FALSE())&gt;2,HLOOKUP($A913,#REF!,14,FALSE())&lt;-2),"",#REF!),"")</f>
        <v/>
      </c>
      <c r="Q913" s="0" t="str">
        <f aca="false">IFERROR(IF(OR(HLOOKUP($A913,#REF!,15,FALSE())&gt;2,HLOOKUP($A913,#REF!,15,FALSE())&lt;-2),"",#REF!),"")</f>
        <v/>
      </c>
      <c r="R913" s="0" t="str">
        <f aca="false">IFERROR(IF(OR(HLOOKUP($A913,#REF!,16,FALSE())&gt;2,HLOOKUP($A913,#REF!,16,FALSE())&lt;-2),"",#REF!),"")</f>
        <v/>
      </c>
      <c r="S913" s="0" t="str">
        <f aca="false">IFERROR(IF(OR(HLOOKUP($A913,#REF!,17,FALSE())&gt;2,HLOOKUP($A913,#REF!,17,FALSE())&lt;-2),"",#REF!),"")</f>
        <v/>
      </c>
      <c r="T913" s="0" t="str">
        <f aca="false">IFERROR(IF(OR(HLOOKUP($A913,#REF!,18,FALSE())&gt;2,HLOOKUP($A913,#REF!,18,FALSE())&lt;-2),"",#REF!),"")</f>
        <v/>
      </c>
      <c r="U913" s="0" t="str">
        <f aca="false">IFERROR(IF(OR(HLOOKUP($A913,#REF!,19,FALSE())&gt;2,HLOOKUP($A913,#REF!,19,FALSE())&lt;-2),"",#REF!),"")</f>
        <v/>
      </c>
      <c r="V913" s="0" t="n">
        <f aca="false">IFERROR(IF(AND(X913=0,Y913=0),0,1),0)</f>
        <v>1</v>
      </c>
      <c r="W913" s="3" t="str">
        <f aca="false">IFERROR(_xlfn.T.TEST(E913:M913,N913:U913,2,2),"")</f>
        <v/>
      </c>
      <c r="X913" s="0" t="str">
        <f aca="false">IFERROR(AVERAGE(E913:M913),"")</f>
        <v/>
      </c>
      <c r="Y913" s="0" t="str">
        <f aca="false">IFERROR(AVERAGE(N913:U913),"")</f>
        <v/>
      </c>
    </row>
    <row r="914" customFormat="false" ht="14.5" hidden="false" customHeight="false" outlineLevel="0" collapsed="false">
      <c r="A914" s="0" t="n">
        <v>922</v>
      </c>
      <c r="B914" s="0" t="s">
        <v>964</v>
      </c>
      <c r="C914" s="0" t="n">
        <v>28700</v>
      </c>
      <c r="D914" s="0" t="n">
        <v>315</v>
      </c>
      <c r="E914" s="0" t="str">
        <f aca="false">IFERROR(IF(OR(HLOOKUP($A914,#REF!,3,FALSE())&gt;2,HLOOKUP(A914,#REF!,3,FALSE())&lt;-2),"",#REF!),"")</f>
        <v/>
      </c>
      <c r="F914" s="0" t="str">
        <f aca="false">IFERROR(IF(OR(HLOOKUP($A914,#REF!,4,FALSE())&gt;2,HLOOKUP($A914,#REF!,4,FALSE())&lt;-2),"",#REF!),"")</f>
        <v/>
      </c>
      <c r="G914" s="0" t="str">
        <f aca="false">IFERROR(IF(OR(HLOOKUP($A914,#REF!,5,FALSE())&gt;2,HLOOKUP($A914,#REF!,5,FALSE())&lt;-2),"",#REF!),"")</f>
        <v/>
      </c>
      <c r="H914" s="0" t="str">
        <f aca="false">IFERROR(IF(OR(HLOOKUP($A914,#REF!,6,FALSE())&gt;2,HLOOKUP($A914,#REF!,6,FALSE())&lt;-2),"",#REF!),"")</f>
        <v/>
      </c>
      <c r="I914" s="0" t="str">
        <f aca="false">IFERROR(IF(OR(HLOOKUP($A914,#REF!,7,FALSE())&gt;2,HLOOKUP($A914,#REF!,7,FALSE())&lt;-2),"",#REF!),"")</f>
        <v/>
      </c>
      <c r="J914" s="0" t="str">
        <f aca="false">IFERROR(IF(OR(HLOOKUP($A914,#REF!,8,FALSE())&gt;2,HLOOKUP($A914,#REF!,8,FALSE())&lt;-2),"",#REF!),"")</f>
        <v/>
      </c>
      <c r="K914" s="0" t="str">
        <f aca="false">IFERROR(IF(OR(HLOOKUP($A914,#REF!,9,FALSE())&gt;2,HLOOKUP($A914,#REF!,9,FALSE())&lt;-2),"",#REF!),"")</f>
        <v/>
      </c>
      <c r="L914" s="0" t="str">
        <f aca="false">IFERROR(IF(OR(HLOOKUP($A914,#REF!,10,FALSE())&gt;2,HLOOKUP($A914,#REF!,10,FALSE())&lt;-2),"",#REF!),"")</f>
        <v/>
      </c>
      <c r="M914" s="0" t="str">
        <f aca="false">IFERROR(IF(OR(HLOOKUP($A914,#REF!,11,FALSE())&gt;2,HLOOKUP($A914,#REF!,11,FALSE())&lt;-2),"",#REF!),"")</f>
        <v/>
      </c>
      <c r="N914" s="0" t="str">
        <f aca="false">IFERROR(IF(OR(HLOOKUP($A914,#REF!,12,FALSE())&gt;2,HLOOKUP($A914,#REF!,12,FALSE())&lt;-2),"",#REF!),"")</f>
        <v/>
      </c>
      <c r="O914" s="0" t="str">
        <f aca="false">IFERROR(IF(OR(HLOOKUP($A914,#REF!,13,FALSE())&gt;2,HLOOKUP($A914,#REF!,13,FALSE())&lt;-2),"",#REF!),"")</f>
        <v/>
      </c>
      <c r="P914" s="0" t="str">
        <f aca="false">IFERROR(IF(OR(HLOOKUP($A914,#REF!,14,FALSE())&gt;2,HLOOKUP($A914,#REF!,14,FALSE())&lt;-2),"",#REF!),"")</f>
        <v/>
      </c>
      <c r="Q914" s="0" t="str">
        <f aca="false">IFERROR(IF(OR(HLOOKUP($A914,#REF!,15,FALSE())&gt;2,HLOOKUP($A914,#REF!,15,FALSE())&lt;-2),"",#REF!),"")</f>
        <v/>
      </c>
      <c r="R914" s="0" t="str">
        <f aca="false">IFERROR(IF(OR(HLOOKUP($A914,#REF!,16,FALSE())&gt;2,HLOOKUP($A914,#REF!,16,FALSE())&lt;-2),"",#REF!),"")</f>
        <v/>
      </c>
      <c r="S914" s="0" t="str">
        <f aca="false">IFERROR(IF(OR(HLOOKUP($A914,#REF!,17,FALSE())&gt;2,HLOOKUP($A914,#REF!,17,FALSE())&lt;-2),"",#REF!),"")</f>
        <v/>
      </c>
      <c r="T914" s="0" t="str">
        <f aca="false">IFERROR(IF(OR(HLOOKUP($A914,#REF!,18,FALSE())&gt;2,HLOOKUP($A914,#REF!,18,FALSE())&lt;-2),"",#REF!),"")</f>
        <v/>
      </c>
      <c r="U914" s="0" t="str">
        <f aca="false">IFERROR(IF(OR(HLOOKUP($A914,#REF!,19,FALSE())&gt;2,HLOOKUP($A914,#REF!,19,FALSE())&lt;-2),"",#REF!),"")</f>
        <v/>
      </c>
      <c r="V914" s="0" t="n">
        <f aca="false">IFERROR(IF(AND(X914=0,Y914=0),0,1),0)</f>
        <v>1</v>
      </c>
      <c r="W914" s="3" t="str">
        <f aca="false">IFERROR(_xlfn.T.TEST(E914:M914,N914:U914,2,2),"")</f>
        <v/>
      </c>
      <c r="X914" s="0" t="str">
        <f aca="false">IFERROR(AVERAGE(E914:M914),"")</f>
        <v/>
      </c>
      <c r="Y914" s="0" t="str">
        <f aca="false">IFERROR(AVERAGE(N914:U914),"")</f>
        <v/>
      </c>
    </row>
    <row r="915" customFormat="false" ht="14.5" hidden="false" customHeight="false" outlineLevel="0" collapsed="false">
      <c r="A915" s="0" t="n">
        <v>923</v>
      </c>
      <c r="B915" s="0" t="s">
        <v>965</v>
      </c>
      <c r="C915" s="0" t="n">
        <v>86500</v>
      </c>
      <c r="D915" s="0" t="n">
        <v>890</v>
      </c>
      <c r="E915" s="0" t="str">
        <f aca="false">IFERROR(IF(OR(HLOOKUP($A915,#REF!,3,FALSE())&gt;2,HLOOKUP(A915,#REF!,3,FALSE())&lt;-2),"",#REF!),"")</f>
        <v/>
      </c>
      <c r="F915" s="0" t="str">
        <f aca="false">IFERROR(IF(OR(HLOOKUP($A915,#REF!,4,FALSE())&gt;2,HLOOKUP($A915,#REF!,4,FALSE())&lt;-2),"",#REF!),"")</f>
        <v/>
      </c>
      <c r="G915" s="0" t="str">
        <f aca="false">IFERROR(IF(OR(HLOOKUP($A915,#REF!,5,FALSE())&gt;2,HLOOKUP($A915,#REF!,5,FALSE())&lt;-2),"",#REF!),"")</f>
        <v/>
      </c>
      <c r="H915" s="0" t="str">
        <f aca="false">IFERROR(IF(OR(HLOOKUP($A915,#REF!,6,FALSE())&gt;2,HLOOKUP($A915,#REF!,6,FALSE())&lt;-2),"",#REF!),"")</f>
        <v/>
      </c>
      <c r="I915" s="0" t="str">
        <f aca="false">IFERROR(IF(OR(HLOOKUP($A915,#REF!,7,FALSE())&gt;2,HLOOKUP($A915,#REF!,7,FALSE())&lt;-2),"",#REF!),"")</f>
        <v/>
      </c>
      <c r="J915" s="0" t="str">
        <f aca="false">IFERROR(IF(OR(HLOOKUP($A915,#REF!,8,FALSE())&gt;2,HLOOKUP($A915,#REF!,8,FALSE())&lt;-2),"",#REF!),"")</f>
        <v/>
      </c>
      <c r="K915" s="0" t="str">
        <f aca="false">IFERROR(IF(OR(HLOOKUP($A915,#REF!,9,FALSE())&gt;2,HLOOKUP($A915,#REF!,9,FALSE())&lt;-2),"",#REF!),"")</f>
        <v/>
      </c>
      <c r="L915" s="0" t="str">
        <f aca="false">IFERROR(IF(OR(HLOOKUP($A915,#REF!,10,FALSE())&gt;2,HLOOKUP($A915,#REF!,10,FALSE())&lt;-2),"",#REF!),"")</f>
        <v/>
      </c>
      <c r="M915" s="0" t="str">
        <f aca="false">IFERROR(IF(OR(HLOOKUP($A915,#REF!,11,FALSE())&gt;2,HLOOKUP($A915,#REF!,11,FALSE())&lt;-2),"",#REF!),"")</f>
        <v/>
      </c>
      <c r="N915" s="0" t="str">
        <f aca="false">IFERROR(IF(OR(HLOOKUP($A915,#REF!,12,FALSE())&gt;2,HLOOKUP($A915,#REF!,12,FALSE())&lt;-2),"",#REF!),"")</f>
        <v/>
      </c>
      <c r="O915" s="0" t="str">
        <f aca="false">IFERROR(IF(OR(HLOOKUP($A915,#REF!,13,FALSE())&gt;2,HLOOKUP($A915,#REF!,13,FALSE())&lt;-2),"",#REF!),"")</f>
        <v/>
      </c>
      <c r="P915" s="0" t="str">
        <f aca="false">IFERROR(IF(OR(HLOOKUP($A915,#REF!,14,FALSE())&gt;2,HLOOKUP($A915,#REF!,14,FALSE())&lt;-2),"",#REF!),"")</f>
        <v/>
      </c>
      <c r="Q915" s="0" t="str">
        <f aca="false">IFERROR(IF(OR(HLOOKUP($A915,#REF!,15,FALSE())&gt;2,HLOOKUP($A915,#REF!,15,FALSE())&lt;-2),"",#REF!),"")</f>
        <v/>
      </c>
      <c r="R915" s="0" t="str">
        <f aca="false">IFERROR(IF(OR(HLOOKUP($A915,#REF!,16,FALSE())&gt;2,HLOOKUP($A915,#REF!,16,FALSE())&lt;-2),"",#REF!),"")</f>
        <v/>
      </c>
      <c r="S915" s="0" t="str">
        <f aca="false">IFERROR(IF(OR(HLOOKUP($A915,#REF!,17,FALSE())&gt;2,HLOOKUP($A915,#REF!,17,FALSE())&lt;-2),"",#REF!),"")</f>
        <v/>
      </c>
      <c r="T915" s="0" t="str">
        <f aca="false">IFERROR(IF(OR(HLOOKUP($A915,#REF!,18,FALSE())&gt;2,HLOOKUP($A915,#REF!,18,FALSE())&lt;-2),"",#REF!),"")</f>
        <v/>
      </c>
      <c r="U915" s="0" t="str">
        <f aca="false">IFERROR(IF(OR(HLOOKUP($A915,#REF!,19,FALSE())&gt;2,HLOOKUP($A915,#REF!,19,FALSE())&lt;-2),"",#REF!),"")</f>
        <v/>
      </c>
      <c r="V915" s="0" t="n">
        <f aca="false">IFERROR(IF(AND(X915=0,Y915=0),0,1),0)</f>
        <v>1</v>
      </c>
      <c r="W915" s="3" t="str">
        <f aca="false">IFERROR(_xlfn.T.TEST(E915:M915,N915:U915,2,2),"")</f>
        <v/>
      </c>
      <c r="X915" s="0" t="str">
        <f aca="false">IFERROR(AVERAGE(E915:M915),"")</f>
        <v/>
      </c>
      <c r="Y915" s="0" t="str">
        <f aca="false">IFERROR(AVERAGE(N915:U915),"")</f>
        <v/>
      </c>
    </row>
    <row r="916" customFormat="false" ht="14.5" hidden="false" customHeight="false" outlineLevel="0" collapsed="false">
      <c r="A916" s="0" t="n">
        <v>924</v>
      </c>
      <c r="B916" s="0" t="s">
        <v>966</v>
      </c>
      <c r="C916" s="0" t="n">
        <v>107100</v>
      </c>
      <c r="D916" s="0" t="n">
        <v>784</v>
      </c>
      <c r="E916" s="0" t="str">
        <f aca="false">IFERROR(IF(OR(HLOOKUP($A916,#REF!,3,FALSE())&gt;2,HLOOKUP(A916,#REF!,3,FALSE())&lt;-2),"",#REF!),"")</f>
        <v/>
      </c>
      <c r="F916" s="0" t="str">
        <f aca="false">IFERROR(IF(OR(HLOOKUP($A916,#REF!,4,FALSE())&gt;2,HLOOKUP($A916,#REF!,4,FALSE())&lt;-2),"",#REF!),"")</f>
        <v/>
      </c>
      <c r="G916" s="0" t="str">
        <f aca="false">IFERROR(IF(OR(HLOOKUP($A916,#REF!,5,FALSE())&gt;2,HLOOKUP($A916,#REF!,5,FALSE())&lt;-2),"",#REF!),"")</f>
        <v/>
      </c>
      <c r="H916" s="0" t="str">
        <f aca="false">IFERROR(IF(OR(HLOOKUP($A916,#REF!,6,FALSE())&gt;2,HLOOKUP($A916,#REF!,6,FALSE())&lt;-2),"",#REF!),"")</f>
        <v/>
      </c>
      <c r="I916" s="0" t="str">
        <f aca="false">IFERROR(IF(OR(HLOOKUP($A916,#REF!,7,FALSE())&gt;2,HLOOKUP($A916,#REF!,7,FALSE())&lt;-2),"",#REF!),"")</f>
        <v/>
      </c>
      <c r="J916" s="0" t="str">
        <f aca="false">IFERROR(IF(OR(HLOOKUP($A916,#REF!,8,FALSE())&gt;2,HLOOKUP($A916,#REF!,8,FALSE())&lt;-2),"",#REF!),"")</f>
        <v/>
      </c>
      <c r="K916" s="0" t="str">
        <f aca="false">IFERROR(IF(OR(HLOOKUP($A916,#REF!,9,FALSE())&gt;2,HLOOKUP($A916,#REF!,9,FALSE())&lt;-2),"",#REF!),"")</f>
        <v/>
      </c>
      <c r="L916" s="0" t="str">
        <f aca="false">IFERROR(IF(OR(HLOOKUP($A916,#REF!,10,FALSE())&gt;2,HLOOKUP($A916,#REF!,10,FALSE())&lt;-2),"",#REF!),"")</f>
        <v/>
      </c>
      <c r="M916" s="0" t="str">
        <f aca="false">IFERROR(IF(OR(HLOOKUP($A916,#REF!,11,FALSE())&gt;2,HLOOKUP($A916,#REF!,11,FALSE())&lt;-2),"",#REF!),"")</f>
        <v/>
      </c>
      <c r="N916" s="0" t="str">
        <f aca="false">IFERROR(IF(OR(HLOOKUP($A916,#REF!,12,FALSE())&gt;2,HLOOKUP($A916,#REF!,12,FALSE())&lt;-2),"",#REF!),"")</f>
        <v/>
      </c>
      <c r="O916" s="0" t="str">
        <f aca="false">IFERROR(IF(OR(HLOOKUP($A916,#REF!,13,FALSE())&gt;2,HLOOKUP($A916,#REF!,13,FALSE())&lt;-2),"",#REF!),"")</f>
        <v/>
      </c>
      <c r="P916" s="0" t="str">
        <f aca="false">IFERROR(IF(OR(HLOOKUP($A916,#REF!,14,FALSE())&gt;2,HLOOKUP($A916,#REF!,14,FALSE())&lt;-2),"",#REF!),"")</f>
        <v/>
      </c>
      <c r="Q916" s="0" t="str">
        <f aca="false">IFERROR(IF(OR(HLOOKUP($A916,#REF!,15,FALSE())&gt;2,HLOOKUP($A916,#REF!,15,FALSE())&lt;-2),"",#REF!),"")</f>
        <v/>
      </c>
      <c r="R916" s="0" t="str">
        <f aca="false">IFERROR(IF(OR(HLOOKUP($A916,#REF!,16,FALSE())&gt;2,HLOOKUP($A916,#REF!,16,FALSE())&lt;-2),"",#REF!),"")</f>
        <v/>
      </c>
      <c r="S916" s="0" t="str">
        <f aca="false">IFERROR(IF(OR(HLOOKUP($A916,#REF!,17,FALSE())&gt;2,HLOOKUP($A916,#REF!,17,FALSE())&lt;-2),"",#REF!),"")</f>
        <v/>
      </c>
      <c r="T916" s="0" t="str">
        <f aca="false">IFERROR(IF(OR(HLOOKUP($A916,#REF!,18,FALSE())&gt;2,HLOOKUP($A916,#REF!,18,FALSE())&lt;-2),"",#REF!),"")</f>
        <v/>
      </c>
      <c r="U916" s="0" t="str">
        <f aca="false">IFERROR(IF(OR(HLOOKUP($A916,#REF!,19,FALSE())&gt;2,HLOOKUP($A916,#REF!,19,FALSE())&lt;-2),"",#REF!),"")</f>
        <v/>
      </c>
      <c r="V916" s="0" t="n">
        <f aca="false">IFERROR(IF(AND(X916=0,Y916=0),0,1),0)</f>
        <v>1</v>
      </c>
      <c r="W916" s="3" t="str">
        <f aca="false">IFERROR(_xlfn.T.TEST(E916:M916,N916:U916,2,2),"")</f>
        <v/>
      </c>
      <c r="X916" s="0" t="str">
        <f aca="false">IFERROR(AVERAGE(E916:M916),"")</f>
        <v/>
      </c>
      <c r="Y916" s="0" t="str">
        <f aca="false">IFERROR(AVERAGE(N916:U916),"")</f>
        <v/>
      </c>
    </row>
    <row r="917" customFormat="false" ht="14.5" hidden="false" customHeight="false" outlineLevel="0" collapsed="false">
      <c r="A917" s="0" t="n">
        <v>925</v>
      </c>
      <c r="B917" s="0" t="s">
        <v>967</v>
      </c>
      <c r="C917" s="0" t="n">
        <v>101900</v>
      </c>
      <c r="D917" s="0" t="n">
        <v>967</v>
      </c>
      <c r="E917" s="0" t="str">
        <f aca="false">IFERROR(IF(OR(HLOOKUP($A917,#REF!,3,FALSE())&gt;2,HLOOKUP(A917,#REF!,3,FALSE())&lt;-2),"",#REF!),"")</f>
        <v/>
      </c>
      <c r="F917" s="0" t="str">
        <f aca="false">IFERROR(IF(OR(HLOOKUP($A917,#REF!,4,FALSE())&gt;2,HLOOKUP($A917,#REF!,4,FALSE())&lt;-2),"",#REF!),"")</f>
        <v/>
      </c>
      <c r="G917" s="0" t="str">
        <f aca="false">IFERROR(IF(OR(HLOOKUP($A917,#REF!,5,FALSE())&gt;2,HLOOKUP($A917,#REF!,5,FALSE())&lt;-2),"",#REF!),"")</f>
        <v/>
      </c>
      <c r="H917" s="0" t="str">
        <f aca="false">IFERROR(IF(OR(HLOOKUP($A917,#REF!,6,FALSE())&gt;2,HLOOKUP($A917,#REF!,6,FALSE())&lt;-2),"",#REF!),"")</f>
        <v/>
      </c>
      <c r="I917" s="0" t="str">
        <f aca="false">IFERROR(IF(OR(HLOOKUP($A917,#REF!,7,FALSE())&gt;2,HLOOKUP($A917,#REF!,7,FALSE())&lt;-2),"",#REF!),"")</f>
        <v/>
      </c>
      <c r="J917" s="0" t="str">
        <f aca="false">IFERROR(IF(OR(HLOOKUP($A917,#REF!,8,FALSE())&gt;2,HLOOKUP($A917,#REF!,8,FALSE())&lt;-2),"",#REF!),"")</f>
        <v/>
      </c>
      <c r="K917" s="0" t="str">
        <f aca="false">IFERROR(IF(OR(HLOOKUP($A917,#REF!,9,FALSE())&gt;2,HLOOKUP($A917,#REF!,9,FALSE())&lt;-2),"",#REF!),"")</f>
        <v/>
      </c>
      <c r="L917" s="0" t="str">
        <f aca="false">IFERROR(IF(OR(HLOOKUP($A917,#REF!,10,FALSE())&gt;2,HLOOKUP($A917,#REF!,10,FALSE())&lt;-2),"",#REF!),"")</f>
        <v/>
      </c>
      <c r="M917" s="0" t="str">
        <f aca="false">IFERROR(IF(OR(HLOOKUP($A917,#REF!,11,FALSE())&gt;2,HLOOKUP($A917,#REF!,11,FALSE())&lt;-2),"",#REF!),"")</f>
        <v/>
      </c>
      <c r="N917" s="0" t="str">
        <f aca="false">IFERROR(IF(OR(HLOOKUP($A917,#REF!,12,FALSE())&gt;2,HLOOKUP($A917,#REF!,12,FALSE())&lt;-2),"",#REF!),"")</f>
        <v/>
      </c>
      <c r="O917" s="0" t="str">
        <f aca="false">IFERROR(IF(OR(HLOOKUP($A917,#REF!,13,FALSE())&gt;2,HLOOKUP($A917,#REF!,13,FALSE())&lt;-2),"",#REF!),"")</f>
        <v/>
      </c>
      <c r="P917" s="0" t="str">
        <f aca="false">IFERROR(IF(OR(HLOOKUP($A917,#REF!,14,FALSE())&gt;2,HLOOKUP($A917,#REF!,14,FALSE())&lt;-2),"",#REF!),"")</f>
        <v/>
      </c>
      <c r="Q917" s="0" t="str">
        <f aca="false">IFERROR(IF(OR(HLOOKUP($A917,#REF!,15,FALSE())&gt;2,HLOOKUP($A917,#REF!,15,FALSE())&lt;-2),"",#REF!),"")</f>
        <v/>
      </c>
      <c r="R917" s="0" t="str">
        <f aca="false">IFERROR(IF(OR(HLOOKUP($A917,#REF!,16,FALSE())&gt;2,HLOOKUP($A917,#REF!,16,FALSE())&lt;-2),"",#REF!),"")</f>
        <v/>
      </c>
      <c r="S917" s="0" t="str">
        <f aca="false">IFERROR(IF(OR(HLOOKUP($A917,#REF!,17,FALSE())&gt;2,HLOOKUP($A917,#REF!,17,FALSE())&lt;-2),"",#REF!),"")</f>
        <v/>
      </c>
      <c r="T917" s="0" t="str">
        <f aca="false">IFERROR(IF(OR(HLOOKUP($A917,#REF!,18,FALSE())&gt;2,HLOOKUP($A917,#REF!,18,FALSE())&lt;-2),"",#REF!),"")</f>
        <v/>
      </c>
      <c r="U917" s="0" t="str">
        <f aca="false">IFERROR(IF(OR(HLOOKUP($A917,#REF!,19,FALSE())&gt;2,HLOOKUP($A917,#REF!,19,FALSE())&lt;-2),"",#REF!),"")</f>
        <v/>
      </c>
      <c r="V917" s="0" t="n">
        <f aca="false">IFERROR(IF(AND(X917=0,Y917=0),0,1),0)</f>
        <v>1</v>
      </c>
      <c r="W917" s="3" t="str">
        <f aca="false">IFERROR(_xlfn.T.TEST(E917:M917,N917:U917,2,2),"")</f>
        <v/>
      </c>
      <c r="X917" s="0" t="str">
        <f aca="false">IFERROR(AVERAGE(E917:M917),"")</f>
        <v/>
      </c>
      <c r="Y917" s="0" t="str">
        <f aca="false">IFERROR(AVERAGE(N917:U917),"")</f>
        <v/>
      </c>
    </row>
    <row r="918" customFormat="false" ht="14.5" hidden="false" customHeight="false" outlineLevel="0" collapsed="false">
      <c r="A918" s="0" t="n">
        <v>926</v>
      </c>
      <c r="B918" s="0" t="s">
        <v>968</v>
      </c>
      <c r="C918" s="0" t="n">
        <v>42700</v>
      </c>
      <c r="D918" s="0" t="n">
        <v>909</v>
      </c>
      <c r="E918" s="0" t="str">
        <f aca="false">IFERROR(IF(OR(HLOOKUP($A918,#REF!,3,FALSE())&gt;2,HLOOKUP(A918,#REF!,3,FALSE())&lt;-2),"",#REF!),"")</f>
        <v/>
      </c>
      <c r="F918" s="0" t="str">
        <f aca="false">IFERROR(IF(OR(HLOOKUP($A918,#REF!,4,FALSE())&gt;2,HLOOKUP($A918,#REF!,4,FALSE())&lt;-2),"",#REF!),"")</f>
        <v/>
      </c>
      <c r="G918" s="0" t="str">
        <f aca="false">IFERROR(IF(OR(HLOOKUP($A918,#REF!,5,FALSE())&gt;2,HLOOKUP($A918,#REF!,5,FALSE())&lt;-2),"",#REF!),"")</f>
        <v/>
      </c>
      <c r="H918" s="0" t="str">
        <f aca="false">IFERROR(IF(OR(HLOOKUP($A918,#REF!,6,FALSE())&gt;2,HLOOKUP($A918,#REF!,6,FALSE())&lt;-2),"",#REF!),"")</f>
        <v/>
      </c>
      <c r="I918" s="0" t="str">
        <f aca="false">IFERROR(IF(OR(HLOOKUP($A918,#REF!,7,FALSE())&gt;2,HLOOKUP($A918,#REF!,7,FALSE())&lt;-2),"",#REF!),"")</f>
        <v/>
      </c>
      <c r="J918" s="0" t="str">
        <f aca="false">IFERROR(IF(OR(HLOOKUP($A918,#REF!,8,FALSE())&gt;2,HLOOKUP($A918,#REF!,8,FALSE())&lt;-2),"",#REF!),"")</f>
        <v/>
      </c>
      <c r="K918" s="0" t="str">
        <f aca="false">IFERROR(IF(OR(HLOOKUP($A918,#REF!,9,FALSE())&gt;2,HLOOKUP($A918,#REF!,9,FALSE())&lt;-2),"",#REF!),"")</f>
        <v/>
      </c>
      <c r="L918" s="0" t="str">
        <f aca="false">IFERROR(IF(OR(HLOOKUP($A918,#REF!,10,FALSE())&gt;2,HLOOKUP($A918,#REF!,10,FALSE())&lt;-2),"",#REF!),"")</f>
        <v/>
      </c>
      <c r="M918" s="0" t="str">
        <f aca="false">IFERROR(IF(OR(HLOOKUP($A918,#REF!,11,FALSE())&gt;2,HLOOKUP($A918,#REF!,11,FALSE())&lt;-2),"",#REF!),"")</f>
        <v/>
      </c>
      <c r="N918" s="0" t="str">
        <f aca="false">IFERROR(IF(OR(HLOOKUP($A918,#REF!,12,FALSE())&gt;2,HLOOKUP($A918,#REF!,12,FALSE())&lt;-2),"",#REF!),"")</f>
        <v/>
      </c>
      <c r="O918" s="0" t="str">
        <f aca="false">IFERROR(IF(OR(HLOOKUP($A918,#REF!,13,FALSE())&gt;2,HLOOKUP($A918,#REF!,13,FALSE())&lt;-2),"",#REF!),"")</f>
        <v/>
      </c>
      <c r="P918" s="0" t="str">
        <f aca="false">IFERROR(IF(OR(HLOOKUP($A918,#REF!,14,FALSE())&gt;2,HLOOKUP($A918,#REF!,14,FALSE())&lt;-2),"",#REF!),"")</f>
        <v/>
      </c>
      <c r="Q918" s="0" t="str">
        <f aca="false">IFERROR(IF(OR(HLOOKUP($A918,#REF!,15,FALSE())&gt;2,HLOOKUP($A918,#REF!,15,FALSE())&lt;-2),"",#REF!),"")</f>
        <v/>
      </c>
      <c r="R918" s="0" t="str">
        <f aca="false">IFERROR(IF(OR(HLOOKUP($A918,#REF!,16,FALSE())&gt;2,HLOOKUP($A918,#REF!,16,FALSE())&lt;-2),"",#REF!),"")</f>
        <v/>
      </c>
      <c r="S918" s="0" t="str">
        <f aca="false">IFERROR(IF(OR(HLOOKUP($A918,#REF!,17,FALSE())&gt;2,HLOOKUP($A918,#REF!,17,FALSE())&lt;-2),"",#REF!),"")</f>
        <v/>
      </c>
      <c r="T918" s="0" t="str">
        <f aca="false">IFERROR(IF(OR(HLOOKUP($A918,#REF!,18,FALSE())&gt;2,HLOOKUP($A918,#REF!,18,FALSE())&lt;-2),"",#REF!),"")</f>
        <v/>
      </c>
      <c r="U918" s="0" t="str">
        <f aca="false">IFERROR(IF(OR(HLOOKUP($A918,#REF!,19,FALSE())&gt;2,HLOOKUP($A918,#REF!,19,FALSE())&lt;-2),"",#REF!),"")</f>
        <v/>
      </c>
      <c r="V918" s="0" t="n">
        <f aca="false">IFERROR(IF(AND(X918=0,Y918=0),0,1),0)</f>
        <v>1</v>
      </c>
      <c r="W918" s="3" t="str">
        <f aca="false">IFERROR(_xlfn.T.TEST(E918:M918,N918:U918,2,2),"")</f>
        <v/>
      </c>
      <c r="X918" s="0" t="str">
        <f aca="false">IFERROR(AVERAGE(E918:M918),"")</f>
        <v/>
      </c>
      <c r="Y918" s="0" t="str">
        <f aca="false">IFERROR(AVERAGE(N918:U918),"")</f>
        <v/>
      </c>
    </row>
    <row r="919" customFormat="false" ht="14.5" hidden="false" customHeight="false" outlineLevel="0" collapsed="false">
      <c r="A919" s="0" t="n">
        <v>927</v>
      </c>
      <c r="B919" s="0" t="s">
        <v>74</v>
      </c>
      <c r="C919" s="0" t="n">
        <v>19400</v>
      </c>
      <c r="D919" s="0" t="n">
        <v>39</v>
      </c>
      <c r="E919" s="0" t="str">
        <f aca="false">IFERROR(IF(OR(HLOOKUP($A919,#REF!,3,FALSE())&gt;2,HLOOKUP(A919,#REF!,3,FALSE())&lt;-2),"",#REF!),"")</f>
        <v/>
      </c>
      <c r="F919" s="0" t="str">
        <f aca="false">IFERROR(IF(OR(HLOOKUP($A919,#REF!,4,FALSE())&gt;2,HLOOKUP($A919,#REF!,4,FALSE())&lt;-2),"",#REF!),"")</f>
        <v/>
      </c>
      <c r="G919" s="0" t="str">
        <f aca="false">IFERROR(IF(OR(HLOOKUP($A919,#REF!,5,FALSE())&gt;2,HLOOKUP($A919,#REF!,5,FALSE())&lt;-2),"",#REF!),"")</f>
        <v/>
      </c>
      <c r="H919" s="0" t="str">
        <f aca="false">IFERROR(IF(OR(HLOOKUP($A919,#REF!,6,FALSE())&gt;2,HLOOKUP($A919,#REF!,6,FALSE())&lt;-2),"",#REF!),"")</f>
        <v/>
      </c>
      <c r="I919" s="0" t="str">
        <f aca="false">IFERROR(IF(OR(HLOOKUP($A919,#REF!,7,FALSE())&gt;2,HLOOKUP($A919,#REF!,7,FALSE())&lt;-2),"",#REF!),"")</f>
        <v/>
      </c>
      <c r="J919" s="0" t="str">
        <f aca="false">IFERROR(IF(OR(HLOOKUP($A919,#REF!,8,FALSE())&gt;2,HLOOKUP($A919,#REF!,8,FALSE())&lt;-2),"",#REF!),"")</f>
        <v/>
      </c>
      <c r="K919" s="0" t="str">
        <f aca="false">IFERROR(IF(OR(HLOOKUP($A919,#REF!,9,FALSE())&gt;2,HLOOKUP($A919,#REF!,9,FALSE())&lt;-2),"",#REF!),"")</f>
        <v/>
      </c>
      <c r="L919" s="0" t="str">
        <f aca="false">IFERROR(IF(OR(HLOOKUP($A919,#REF!,10,FALSE())&gt;2,HLOOKUP($A919,#REF!,10,FALSE())&lt;-2),"",#REF!),"")</f>
        <v/>
      </c>
      <c r="M919" s="0" t="str">
        <f aca="false">IFERROR(IF(OR(HLOOKUP($A919,#REF!,11,FALSE())&gt;2,HLOOKUP($A919,#REF!,11,FALSE())&lt;-2),"",#REF!),"")</f>
        <v/>
      </c>
      <c r="N919" s="0" t="str">
        <f aca="false">IFERROR(IF(OR(HLOOKUP($A919,#REF!,12,FALSE())&gt;2,HLOOKUP($A919,#REF!,12,FALSE())&lt;-2),"",#REF!),"")</f>
        <v/>
      </c>
      <c r="O919" s="0" t="str">
        <f aca="false">IFERROR(IF(OR(HLOOKUP($A919,#REF!,13,FALSE())&gt;2,HLOOKUP($A919,#REF!,13,FALSE())&lt;-2),"",#REF!),"")</f>
        <v/>
      </c>
      <c r="P919" s="0" t="str">
        <f aca="false">IFERROR(IF(OR(HLOOKUP($A919,#REF!,14,FALSE())&gt;2,HLOOKUP($A919,#REF!,14,FALSE())&lt;-2),"",#REF!),"")</f>
        <v/>
      </c>
      <c r="Q919" s="0" t="str">
        <f aca="false">IFERROR(IF(OR(HLOOKUP($A919,#REF!,15,FALSE())&gt;2,HLOOKUP($A919,#REF!,15,FALSE())&lt;-2),"",#REF!),"")</f>
        <v/>
      </c>
      <c r="R919" s="0" t="str">
        <f aca="false">IFERROR(IF(OR(HLOOKUP($A919,#REF!,16,FALSE())&gt;2,HLOOKUP($A919,#REF!,16,FALSE())&lt;-2),"",#REF!),"")</f>
        <v/>
      </c>
      <c r="S919" s="0" t="str">
        <f aca="false">IFERROR(IF(OR(HLOOKUP($A919,#REF!,17,FALSE())&gt;2,HLOOKUP($A919,#REF!,17,FALSE())&lt;-2),"",#REF!),"")</f>
        <v/>
      </c>
      <c r="T919" s="0" t="str">
        <f aca="false">IFERROR(IF(OR(HLOOKUP($A919,#REF!,18,FALSE())&gt;2,HLOOKUP($A919,#REF!,18,FALSE())&lt;-2),"",#REF!),"")</f>
        <v/>
      </c>
      <c r="U919" s="0" t="str">
        <f aca="false">IFERROR(IF(OR(HLOOKUP($A919,#REF!,19,FALSE())&gt;2,HLOOKUP($A919,#REF!,19,FALSE())&lt;-2),"",#REF!),"")</f>
        <v/>
      </c>
      <c r="V919" s="0" t="n">
        <f aca="false">IFERROR(IF(AND(X919=0,Y919=0),0,1),0)</f>
        <v>1</v>
      </c>
      <c r="W919" s="3" t="str">
        <f aca="false">IFERROR(_xlfn.T.TEST(E919:M919,N919:U919,2,2),"")</f>
        <v/>
      </c>
      <c r="X919" s="0" t="str">
        <f aca="false">IFERROR(AVERAGE(E919:M919),"")</f>
        <v/>
      </c>
      <c r="Y919" s="0" t="str">
        <f aca="false">IFERROR(AVERAGE(N919:U919),"")</f>
        <v/>
      </c>
    </row>
    <row r="920" customFormat="false" ht="14.5" hidden="false" customHeight="false" outlineLevel="0" collapsed="false">
      <c r="A920" s="0" t="n">
        <v>928</v>
      </c>
      <c r="B920" s="0" t="s">
        <v>969</v>
      </c>
      <c r="C920" s="0" t="n">
        <v>56300</v>
      </c>
      <c r="D920" s="0" t="n">
        <v>645</v>
      </c>
      <c r="E920" s="0" t="str">
        <f aca="false">IFERROR(IF(OR(HLOOKUP($A920,#REF!,3,FALSE())&gt;2,HLOOKUP(A920,#REF!,3,FALSE())&lt;-2),"",#REF!),"")</f>
        <v/>
      </c>
      <c r="F920" s="0" t="str">
        <f aca="false">IFERROR(IF(OR(HLOOKUP($A920,#REF!,4,FALSE())&gt;2,HLOOKUP($A920,#REF!,4,FALSE())&lt;-2),"",#REF!),"")</f>
        <v/>
      </c>
      <c r="G920" s="0" t="str">
        <f aca="false">IFERROR(IF(OR(HLOOKUP($A920,#REF!,5,FALSE())&gt;2,HLOOKUP($A920,#REF!,5,FALSE())&lt;-2),"",#REF!),"")</f>
        <v/>
      </c>
      <c r="H920" s="0" t="str">
        <f aca="false">IFERROR(IF(OR(HLOOKUP($A920,#REF!,6,FALSE())&gt;2,HLOOKUP($A920,#REF!,6,FALSE())&lt;-2),"",#REF!),"")</f>
        <v/>
      </c>
      <c r="I920" s="0" t="str">
        <f aca="false">IFERROR(IF(OR(HLOOKUP($A920,#REF!,7,FALSE())&gt;2,HLOOKUP($A920,#REF!,7,FALSE())&lt;-2),"",#REF!),"")</f>
        <v/>
      </c>
      <c r="J920" s="0" t="str">
        <f aca="false">IFERROR(IF(OR(HLOOKUP($A920,#REF!,8,FALSE())&gt;2,HLOOKUP($A920,#REF!,8,FALSE())&lt;-2),"",#REF!),"")</f>
        <v/>
      </c>
      <c r="K920" s="0" t="str">
        <f aca="false">IFERROR(IF(OR(HLOOKUP($A920,#REF!,9,FALSE())&gt;2,HLOOKUP($A920,#REF!,9,FALSE())&lt;-2),"",#REF!),"")</f>
        <v/>
      </c>
      <c r="L920" s="0" t="str">
        <f aca="false">IFERROR(IF(OR(HLOOKUP($A920,#REF!,10,FALSE())&gt;2,HLOOKUP($A920,#REF!,10,FALSE())&lt;-2),"",#REF!),"")</f>
        <v/>
      </c>
      <c r="M920" s="0" t="str">
        <f aca="false">IFERROR(IF(OR(HLOOKUP($A920,#REF!,11,FALSE())&gt;2,HLOOKUP($A920,#REF!,11,FALSE())&lt;-2),"",#REF!),"")</f>
        <v/>
      </c>
      <c r="N920" s="0" t="str">
        <f aca="false">IFERROR(IF(OR(HLOOKUP($A920,#REF!,12,FALSE())&gt;2,HLOOKUP($A920,#REF!,12,FALSE())&lt;-2),"",#REF!),"")</f>
        <v/>
      </c>
      <c r="O920" s="0" t="str">
        <f aca="false">IFERROR(IF(OR(HLOOKUP($A920,#REF!,13,FALSE())&gt;2,HLOOKUP($A920,#REF!,13,FALSE())&lt;-2),"",#REF!),"")</f>
        <v/>
      </c>
      <c r="P920" s="0" t="str">
        <f aca="false">IFERROR(IF(OR(HLOOKUP($A920,#REF!,14,FALSE())&gt;2,HLOOKUP($A920,#REF!,14,FALSE())&lt;-2),"",#REF!),"")</f>
        <v/>
      </c>
      <c r="Q920" s="0" t="str">
        <f aca="false">IFERROR(IF(OR(HLOOKUP($A920,#REF!,15,FALSE())&gt;2,HLOOKUP($A920,#REF!,15,FALSE())&lt;-2),"",#REF!),"")</f>
        <v/>
      </c>
      <c r="R920" s="0" t="str">
        <f aca="false">IFERROR(IF(OR(HLOOKUP($A920,#REF!,16,FALSE())&gt;2,HLOOKUP($A920,#REF!,16,FALSE())&lt;-2),"",#REF!),"")</f>
        <v/>
      </c>
      <c r="S920" s="0" t="str">
        <f aca="false">IFERROR(IF(OR(HLOOKUP($A920,#REF!,17,FALSE())&gt;2,HLOOKUP($A920,#REF!,17,FALSE())&lt;-2),"",#REF!),"")</f>
        <v/>
      </c>
      <c r="T920" s="0" t="str">
        <f aca="false">IFERROR(IF(OR(HLOOKUP($A920,#REF!,18,FALSE())&gt;2,HLOOKUP($A920,#REF!,18,FALSE())&lt;-2),"",#REF!),"")</f>
        <v/>
      </c>
      <c r="U920" s="0" t="str">
        <f aca="false">IFERROR(IF(OR(HLOOKUP($A920,#REF!,19,FALSE())&gt;2,HLOOKUP($A920,#REF!,19,FALSE())&lt;-2),"",#REF!),"")</f>
        <v/>
      </c>
      <c r="V920" s="0" t="n">
        <f aca="false">IFERROR(IF(AND(X920=0,Y920=0),0,1),0)</f>
        <v>1</v>
      </c>
      <c r="W920" s="3" t="str">
        <f aca="false">IFERROR(_xlfn.T.TEST(E920:M920,N920:U920,2,2),"")</f>
        <v/>
      </c>
      <c r="X920" s="0" t="str">
        <f aca="false">IFERROR(AVERAGE(E920:M920),"")</f>
        <v/>
      </c>
      <c r="Y920" s="0" t="str">
        <f aca="false">IFERROR(AVERAGE(N920:U920),"")</f>
        <v/>
      </c>
    </row>
    <row r="921" customFormat="false" ht="14.5" hidden="false" customHeight="false" outlineLevel="0" collapsed="false">
      <c r="A921" s="0" t="n">
        <v>929</v>
      </c>
      <c r="B921" s="0" t="s">
        <v>970</v>
      </c>
      <c r="C921" s="0" t="n">
        <v>4100</v>
      </c>
      <c r="D921" s="0" t="n">
        <v>353</v>
      </c>
      <c r="E921" s="0" t="str">
        <f aca="false">IFERROR(IF(OR(HLOOKUP($A921,#REF!,3,FALSE())&gt;2,HLOOKUP(A921,#REF!,3,FALSE())&lt;-2),"",#REF!),"")</f>
        <v/>
      </c>
      <c r="F921" s="0" t="str">
        <f aca="false">IFERROR(IF(OR(HLOOKUP($A921,#REF!,4,FALSE())&gt;2,HLOOKUP($A921,#REF!,4,FALSE())&lt;-2),"",#REF!),"")</f>
        <v/>
      </c>
      <c r="G921" s="0" t="str">
        <f aca="false">IFERROR(IF(OR(HLOOKUP($A921,#REF!,5,FALSE())&gt;2,HLOOKUP($A921,#REF!,5,FALSE())&lt;-2),"",#REF!),"")</f>
        <v/>
      </c>
      <c r="H921" s="0" t="str">
        <f aca="false">IFERROR(IF(OR(HLOOKUP($A921,#REF!,6,FALSE())&gt;2,HLOOKUP($A921,#REF!,6,FALSE())&lt;-2),"",#REF!),"")</f>
        <v/>
      </c>
      <c r="I921" s="0" t="str">
        <f aca="false">IFERROR(IF(OR(HLOOKUP($A921,#REF!,7,FALSE())&gt;2,HLOOKUP($A921,#REF!,7,FALSE())&lt;-2),"",#REF!),"")</f>
        <v/>
      </c>
      <c r="J921" s="0" t="str">
        <f aca="false">IFERROR(IF(OR(HLOOKUP($A921,#REF!,8,FALSE())&gt;2,HLOOKUP($A921,#REF!,8,FALSE())&lt;-2),"",#REF!),"")</f>
        <v/>
      </c>
      <c r="K921" s="0" t="str">
        <f aca="false">IFERROR(IF(OR(HLOOKUP($A921,#REF!,9,FALSE())&gt;2,HLOOKUP($A921,#REF!,9,FALSE())&lt;-2),"",#REF!),"")</f>
        <v/>
      </c>
      <c r="L921" s="0" t="str">
        <f aca="false">IFERROR(IF(OR(HLOOKUP($A921,#REF!,10,FALSE())&gt;2,HLOOKUP($A921,#REF!,10,FALSE())&lt;-2),"",#REF!),"")</f>
        <v/>
      </c>
      <c r="M921" s="0" t="str">
        <f aca="false">IFERROR(IF(OR(HLOOKUP($A921,#REF!,11,FALSE())&gt;2,HLOOKUP($A921,#REF!,11,FALSE())&lt;-2),"",#REF!),"")</f>
        <v/>
      </c>
      <c r="N921" s="0" t="str">
        <f aca="false">IFERROR(IF(OR(HLOOKUP($A921,#REF!,12,FALSE())&gt;2,HLOOKUP($A921,#REF!,12,FALSE())&lt;-2),"",#REF!),"")</f>
        <v/>
      </c>
      <c r="O921" s="0" t="str">
        <f aca="false">IFERROR(IF(OR(HLOOKUP($A921,#REF!,13,FALSE())&gt;2,HLOOKUP($A921,#REF!,13,FALSE())&lt;-2),"",#REF!),"")</f>
        <v/>
      </c>
      <c r="P921" s="0" t="str">
        <f aca="false">IFERROR(IF(OR(HLOOKUP($A921,#REF!,14,FALSE())&gt;2,HLOOKUP($A921,#REF!,14,FALSE())&lt;-2),"",#REF!),"")</f>
        <v/>
      </c>
      <c r="Q921" s="0" t="str">
        <f aca="false">IFERROR(IF(OR(HLOOKUP($A921,#REF!,15,FALSE())&gt;2,HLOOKUP($A921,#REF!,15,FALSE())&lt;-2),"",#REF!),"")</f>
        <v/>
      </c>
      <c r="R921" s="0" t="str">
        <f aca="false">IFERROR(IF(OR(HLOOKUP($A921,#REF!,16,FALSE())&gt;2,HLOOKUP($A921,#REF!,16,FALSE())&lt;-2),"",#REF!),"")</f>
        <v/>
      </c>
      <c r="S921" s="0" t="str">
        <f aca="false">IFERROR(IF(OR(HLOOKUP($A921,#REF!,17,FALSE())&gt;2,HLOOKUP($A921,#REF!,17,FALSE())&lt;-2),"",#REF!),"")</f>
        <v/>
      </c>
      <c r="T921" s="0" t="str">
        <f aca="false">IFERROR(IF(OR(HLOOKUP($A921,#REF!,18,FALSE())&gt;2,HLOOKUP($A921,#REF!,18,FALSE())&lt;-2),"",#REF!),"")</f>
        <v/>
      </c>
      <c r="U921" s="0" t="str">
        <f aca="false">IFERROR(IF(OR(HLOOKUP($A921,#REF!,19,FALSE())&gt;2,HLOOKUP($A921,#REF!,19,FALSE())&lt;-2),"",#REF!),"")</f>
        <v/>
      </c>
      <c r="V921" s="0" t="n">
        <f aca="false">IFERROR(IF(AND(X921=0,Y921=0),0,1),0)</f>
        <v>1</v>
      </c>
      <c r="W921" s="3" t="str">
        <f aca="false">IFERROR(_xlfn.T.TEST(E921:M921,N921:U921,2,2),"")</f>
        <v/>
      </c>
      <c r="X921" s="0" t="str">
        <f aca="false">IFERROR(AVERAGE(E921:M921),"")</f>
        <v/>
      </c>
      <c r="Y921" s="0" t="str">
        <f aca="false">IFERROR(AVERAGE(N921:U921),"")</f>
        <v/>
      </c>
    </row>
    <row r="922" customFormat="false" ht="14.5" hidden="false" customHeight="false" outlineLevel="0" collapsed="false">
      <c r="A922" s="0" t="n">
        <v>930</v>
      </c>
      <c r="B922" s="0" t="s">
        <v>971</v>
      </c>
      <c r="C922" s="0" t="n">
        <v>68800</v>
      </c>
      <c r="D922" s="0" t="n">
        <v>51</v>
      </c>
      <c r="E922" s="0" t="str">
        <f aca="false">IFERROR(IF(OR(HLOOKUP($A922,#REF!,3,FALSE())&gt;2,HLOOKUP(A922,#REF!,3,FALSE())&lt;-2),"",#REF!),"")</f>
        <v/>
      </c>
      <c r="F922" s="0" t="str">
        <f aca="false">IFERROR(IF(OR(HLOOKUP($A922,#REF!,4,FALSE())&gt;2,HLOOKUP($A922,#REF!,4,FALSE())&lt;-2),"",#REF!),"")</f>
        <v/>
      </c>
      <c r="G922" s="0" t="str">
        <f aca="false">IFERROR(IF(OR(HLOOKUP($A922,#REF!,5,FALSE())&gt;2,HLOOKUP($A922,#REF!,5,FALSE())&lt;-2),"",#REF!),"")</f>
        <v/>
      </c>
      <c r="H922" s="0" t="str">
        <f aca="false">IFERROR(IF(OR(HLOOKUP($A922,#REF!,6,FALSE())&gt;2,HLOOKUP($A922,#REF!,6,FALSE())&lt;-2),"",#REF!),"")</f>
        <v/>
      </c>
      <c r="I922" s="0" t="str">
        <f aca="false">IFERROR(IF(OR(HLOOKUP($A922,#REF!,7,FALSE())&gt;2,HLOOKUP($A922,#REF!,7,FALSE())&lt;-2),"",#REF!),"")</f>
        <v/>
      </c>
      <c r="J922" s="0" t="str">
        <f aca="false">IFERROR(IF(OR(HLOOKUP($A922,#REF!,8,FALSE())&gt;2,HLOOKUP($A922,#REF!,8,FALSE())&lt;-2),"",#REF!),"")</f>
        <v/>
      </c>
      <c r="K922" s="0" t="str">
        <f aca="false">IFERROR(IF(OR(HLOOKUP($A922,#REF!,9,FALSE())&gt;2,HLOOKUP($A922,#REF!,9,FALSE())&lt;-2),"",#REF!),"")</f>
        <v/>
      </c>
      <c r="L922" s="0" t="str">
        <f aca="false">IFERROR(IF(OR(HLOOKUP($A922,#REF!,10,FALSE())&gt;2,HLOOKUP($A922,#REF!,10,FALSE())&lt;-2),"",#REF!),"")</f>
        <v/>
      </c>
      <c r="M922" s="0" t="str">
        <f aca="false">IFERROR(IF(OR(HLOOKUP($A922,#REF!,11,FALSE())&gt;2,HLOOKUP($A922,#REF!,11,FALSE())&lt;-2),"",#REF!),"")</f>
        <v/>
      </c>
      <c r="N922" s="0" t="str">
        <f aca="false">IFERROR(IF(OR(HLOOKUP($A922,#REF!,12,FALSE())&gt;2,HLOOKUP($A922,#REF!,12,FALSE())&lt;-2),"",#REF!),"")</f>
        <v/>
      </c>
      <c r="O922" s="0" t="str">
        <f aca="false">IFERROR(IF(OR(HLOOKUP($A922,#REF!,13,FALSE())&gt;2,HLOOKUP($A922,#REF!,13,FALSE())&lt;-2),"",#REF!),"")</f>
        <v/>
      </c>
      <c r="P922" s="0" t="str">
        <f aca="false">IFERROR(IF(OR(HLOOKUP($A922,#REF!,14,FALSE())&gt;2,HLOOKUP($A922,#REF!,14,FALSE())&lt;-2),"",#REF!),"")</f>
        <v/>
      </c>
      <c r="Q922" s="0" t="str">
        <f aca="false">IFERROR(IF(OR(HLOOKUP($A922,#REF!,15,FALSE())&gt;2,HLOOKUP($A922,#REF!,15,FALSE())&lt;-2),"",#REF!),"")</f>
        <v/>
      </c>
      <c r="R922" s="0" t="str">
        <f aca="false">IFERROR(IF(OR(HLOOKUP($A922,#REF!,16,FALSE())&gt;2,HLOOKUP($A922,#REF!,16,FALSE())&lt;-2),"",#REF!),"")</f>
        <v/>
      </c>
      <c r="S922" s="0" t="str">
        <f aca="false">IFERROR(IF(OR(HLOOKUP($A922,#REF!,17,FALSE())&gt;2,HLOOKUP($A922,#REF!,17,FALSE())&lt;-2),"",#REF!),"")</f>
        <v/>
      </c>
      <c r="T922" s="0" t="str">
        <f aca="false">IFERROR(IF(OR(HLOOKUP($A922,#REF!,18,FALSE())&gt;2,HLOOKUP($A922,#REF!,18,FALSE())&lt;-2),"",#REF!),"")</f>
        <v/>
      </c>
      <c r="U922" s="0" t="str">
        <f aca="false">IFERROR(IF(OR(HLOOKUP($A922,#REF!,19,FALSE())&gt;2,HLOOKUP($A922,#REF!,19,FALSE())&lt;-2),"",#REF!),"")</f>
        <v/>
      </c>
      <c r="V922" s="0" t="n">
        <f aca="false">IFERROR(IF(AND(X922=0,Y922=0),0,1),0)</f>
        <v>1</v>
      </c>
      <c r="W922" s="3" t="str">
        <f aca="false">IFERROR(_xlfn.T.TEST(E922:M922,N922:U922,2,2),"")</f>
        <v/>
      </c>
      <c r="X922" s="0" t="str">
        <f aca="false">IFERROR(AVERAGE(E922:M922),"")</f>
        <v/>
      </c>
      <c r="Y922" s="0" t="str">
        <f aca="false">IFERROR(AVERAGE(N922:U922),"")</f>
        <v/>
      </c>
    </row>
    <row r="923" customFormat="false" ht="14.5" hidden="false" customHeight="false" outlineLevel="0" collapsed="false">
      <c r="A923" s="0" t="n">
        <v>931</v>
      </c>
      <c r="B923" s="0" t="s">
        <v>972</v>
      </c>
      <c r="C923" s="0" t="n">
        <v>87500</v>
      </c>
      <c r="D923" s="0" t="n">
        <v>987</v>
      </c>
      <c r="E923" s="0" t="str">
        <f aca="false">IFERROR(IF(OR(HLOOKUP($A923,#REF!,3,FALSE())&gt;2,HLOOKUP(A923,#REF!,3,FALSE())&lt;-2),"",#REF!),"")</f>
        <v/>
      </c>
      <c r="F923" s="0" t="str">
        <f aca="false">IFERROR(IF(OR(HLOOKUP($A923,#REF!,4,FALSE())&gt;2,HLOOKUP($A923,#REF!,4,FALSE())&lt;-2),"",#REF!),"")</f>
        <v/>
      </c>
      <c r="G923" s="0" t="str">
        <f aca="false">IFERROR(IF(OR(HLOOKUP($A923,#REF!,5,FALSE())&gt;2,HLOOKUP($A923,#REF!,5,FALSE())&lt;-2),"",#REF!),"")</f>
        <v/>
      </c>
      <c r="H923" s="0" t="str">
        <f aca="false">IFERROR(IF(OR(HLOOKUP($A923,#REF!,6,FALSE())&gt;2,HLOOKUP($A923,#REF!,6,FALSE())&lt;-2),"",#REF!),"")</f>
        <v/>
      </c>
      <c r="I923" s="0" t="str">
        <f aca="false">IFERROR(IF(OR(HLOOKUP($A923,#REF!,7,FALSE())&gt;2,HLOOKUP($A923,#REF!,7,FALSE())&lt;-2),"",#REF!),"")</f>
        <v/>
      </c>
      <c r="J923" s="0" t="str">
        <f aca="false">IFERROR(IF(OR(HLOOKUP($A923,#REF!,8,FALSE())&gt;2,HLOOKUP($A923,#REF!,8,FALSE())&lt;-2),"",#REF!),"")</f>
        <v/>
      </c>
      <c r="K923" s="0" t="str">
        <f aca="false">IFERROR(IF(OR(HLOOKUP($A923,#REF!,9,FALSE())&gt;2,HLOOKUP($A923,#REF!,9,FALSE())&lt;-2),"",#REF!),"")</f>
        <v/>
      </c>
      <c r="L923" s="0" t="str">
        <f aca="false">IFERROR(IF(OR(HLOOKUP($A923,#REF!,10,FALSE())&gt;2,HLOOKUP($A923,#REF!,10,FALSE())&lt;-2),"",#REF!),"")</f>
        <v/>
      </c>
      <c r="M923" s="0" t="str">
        <f aca="false">IFERROR(IF(OR(HLOOKUP($A923,#REF!,11,FALSE())&gt;2,HLOOKUP($A923,#REF!,11,FALSE())&lt;-2),"",#REF!),"")</f>
        <v/>
      </c>
      <c r="N923" s="0" t="str">
        <f aca="false">IFERROR(IF(OR(HLOOKUP($A923,#REF!,12,FALSE())&gt;2,HLOOKUP($A923,#REF!,12,FALSE())&lt;-2),"",#REF!),"")</f>
        <v/>
      </c>
      <c r="O923" s="0" t="str">
        <f aca="false">IFERROR(IF(OR(HLOOKUP($A923,#REF!,13,FALSE())&gt;2,HLOOKUP($A923,#REF!,13,FALSE())&lt;-2),"",#REF!),"")</f>
        <v/>
      </c>
      <c r="P923" s="0" t="str">
        <f aca="false">IFERROR(IF(OR(HLOOKUP($A923,#REF!,14,FALSE())&gt;2,HLOOKUP($A923,#REF!,14,FALSE())&lt;-2),"",#REF!),"")</f>
        <v/>
      </c>
      <c r="Q923" s="0" t="str">
        <f aca="false">IFERROR(IF(OR(HLOOKUP($A923,#REF!,15,FALSE())&gt;2,HLOOKUP($A923,#REF!,15,FALSE())&lt;-2),"",#REF!),"")</f>
        <v/>
      </c>
      <c r="R923" s="0" t="str">
        <f aca="false">IFERROR(IF(OR(HLOOKUP($A923,#REF!,16,FALSE())&gt;2,HLOOKUP($A923,#REF!,16,FALSE())&lt;-2),"",#REF!),"")</f>
        <v/>
      </c>
      <c r="S923" s="0" t="str">
        <f aca="false">IFERROR(IF(OR(HLOOKUP($A923,#REF!,17,FALSE())&gt;2,HLOOKUP($A923,#REF!,17,FALSE())&lt;-2),"",#REF!),"")</f>
        <v/>
      </c>
      <c r="T923" s="0" t="str">
        <f aca="false">IFERROR(IF(OR(HLOOKUP($A923,#REF!,18,FALSE())&gt;2,HLOOKUP($A923,#REF!,18,FALSE())&lt;-2),"",#REF!),"")</f>
        <v/>
      </c>
      <c r="U923" s="0" t="str">
        <f aca="false">IFERROR(IF(OR(HLOOKUP($A923,#REF!,19,FALSE())&gt;2,HLOOKUP($A923,#REF!,19,FALSE())&lt;-2),"",#REF!),"")</f>
        <v/>
      </c>
      <c r="V923" s="0" t="n">
        <f aca="false">IFERROR(IF(AND(X923=0,Y923=0),0,1),0)</f>
        <v>1</v>
      </c>
      <c r="W923" s="3" t="str">
        <f aca="false">IFERROR(_xlfn.T.TEST(E923:M923,N923:U923,2,2),"")</f>
        <v/>
      </c>
      <c r="X923" s="0" t="str">
        <f aca="false">IFERROR(AVERAGE(E923:M923),"")</f>
        <v/>
      </c>
      <c r="Y923" s="0" t="str">
        <f aca="false">IFERROR(AVERAGE(N923:U923),"")</f>
        <v/>
      </c>
    </row>
    <row r="924" customFormat="false" ht="14.5" hidden="false" customHeight="false" outlineLevel="0" collapsed="false">
      <c r="A924" s="0" t="n">
        <v>932</v>
      </c>
      <c r="B924" s="0" t="s">
        <v>973</v>
      </c>
      <c r="C924" s="0" t="n">
        <v>102100</v>
      </c>
      <c r="D924" s="0" t="n">
        <v>792</v>
      </c>
      <c r="E924" s="0" t="str">
        <f aca="false">IFERROR(IF(OR(HLOOKUP($A924,#REF!,3,FALSE())&gt;2,HLOOKUP(A924,#REF!,3,FALSE())&lt;-2),"",#REF!),"")</f>
        <v/>
      </c>
      <c r="F924" s="0" t="str">
        <f aca="false">IFERROR(IF(OR(HLOOKUP($A924,#REF!,4,FALSE())&gt;2,HLOOKUP($A924,#REF!,4,FALSE())&lt;-2),"",#REF!),"")</f>
        <v/>
      </c>
      <c r="G924" s="0" t="str">
        <f aca="false">IFERROR(IF(OR(HLOOKUP($A924,#REF!,5,FALSE())&gt;2,HLOOKUP($A924,#REF!,5,FALSE())&lt;-2),"",#REF!),"")</f>
        <v/>
      </c>
      <c r="H924" s="0" t="str">
        <f aca="false">IFERROR(IF(OR(HLOOKUP($A924,#REF!,6,FALSE())&gt;2,HLOOKUP($A924,#REF!,6,FALSE())&lt;-2),"",#REF!),"")</f>
        <v/>
      </c>
      <c r="I924" s="0" t="str">
        <f aca="false">IFERROR(IF(OR(HLOOKUP($A924,#REF!,7,FALSE())&gt;2,HLOOKUP($A924,#REF!,7,FALSE())&lt;-2),"",#REF!),"")</f>
        <v/>
      </c>
      <c r="J924" s="0" t="str">
        <f aca="false">IFERROR(IF(OR(HLOOKUP($A924,#REF!,8,FALSE())&gt;2,HLOOKUP($A924,#REF!,8,FALSE())&lt;-2),"",#REF!),"")</f>
        <v/>
      </c>
      <c r="K924" s="0" t="str">
        <f aca="false">IFERROR(IF(OR(HLOOKUP($A924,#REF!,9,FALSE())&gt;2,HLOOKUP($A924,#REF!,9,FALSE())&lt;-2),"",#REF!),"")</f>
        <v/>
      </c>
      <c r="L924" s="0" t="str">
        <f aca="false">IFERROR(IF(OR(HLOOKUP($A924,#REF!,10,FALSE())&gt;2,HLOOKUP($A924,#REF!,10,FALSE())&lt;-2),"",#REF!),"")</f>
        <v/>
      </c>
      <c r="M924" s="0" t="str">
        <f aca="false">IFERROR(IF(OR(HLOOKUP($A924,#REF!,11,FALSE())&gt;2,HLOOKUP($A924,#REF!,11,FALSE())&lt;-2),"",#REF!),"")</f>
        <v/>
      </c>
      <c r="N924" s="0" t="str">
        <f aca="false">IFERROR(IF(OR(HLOOKUP($A924,#REF!,12,FALSE())&gt;2,HLOOKUP($A924,#REF!,12,FALSE())&lt;-2),"",#REF!),"")</f>
        <v/>
      </c>
      <c r="O924" s="0" t="str">
        <f aca="false">IFERROR(IF(OR(HLOOKUP($A924,#REF!,13,FALSE())&gt;2,HLOOKUP($A924,#REF!,13,FALSE())&lt;-2),"",#REF!),"")</f>
        <v/>
      </c>
      <c r="P924" s="0" t="str">
        <f aca="false">IFERROR(IF(OR(HLOOKUP($A924,#REF!,14,FALSE())&gt;2,HLOOKUP($A924,#REF!,14,FALSE())&lt;-2),"",#REF!),"")</f>
        <v/>
      </c>
      <c r="Q924" s="0" t="str">
        <f aca="false">IFERROR(IF(OR(HLOOKUP($A924,#REF!,15,FALSE())&gt;2,HLOOKUP($A924,#REF!,15,FALSE())&lt;-2),"",#REF!),"")</f>
        <v/>
      </c>
      <c r="R924" s="0" t="str">
        <f aca="false">IFERROR(IF(OR(HLOOKUP($A924,#REF!,16,FALSE())&gt;2,HLOOKUP($A924,#REF!,16,FALSE())&lt;-2),"",#REF!),"")</f>
        <v/>
      </c>
      <c r="S924" s="0" t="str">
        <f aca="false">IFERROR(IF(OR(HLOOKUP($A924,#REF!,17,FALSE())&gt;2,HLOOKUP($A924,#REF!,17,FALSE())&lt;-2),"",#REF!),"")</f>
        <v/>
      </c>
      <c r="T924" s="0" t="str">
        <f aca="false">IFERROR(IF(OR(HLOOKUP($A924,#REF!,18,FALSE())&gt;2,HLOOKUP($A924,#REF!,18,FALSE())&lt;-2),"",#REF!),"")</f>
        <v/>
      </c>
      <c r="U924" s="0" t="str">
        <f aca="false">IFERROR(IF(OR(HLOOKUP($A924,#REF!,19,FALSE())&gt;2,HLOOKUP($A924,#REF!,19,FALSE())&lt;-2),"",#REF!),"")</f>
        <v/>
      </c>
      <c r="V924" s="0" t="n">
        <f aca="false">IFERROR(IF(AND(X924=0,Y924=0),0,1),0)</f>
        <v>1</v>
      </c>
      <c r="W924" s="3" t="str">
        <f aca="false">IFERROR(_xlfn.T.TEST(E924:M924,N924:U924,2,2),"")</f>
        <v/>
      </c>
      <c r="X924" s="0" t="str">
        <f aca="false">IFERROR(AVERAGE(E924:M924),"")</f>
        <v/>
      </c>
      <c r="Y924" s="0" t="str">
        <f aca="false">IFERROR(AVERAGE(N924:U924),"")</f>
        <v/>
      </c>
    </row>
    <row r="925" customFormat="false" ht="14.5" hidden="false" customHeight="false" outlineLevel="0" collapsed="false">
      <c r="A925" s="0" t="n">
        <v>933</v>
      </c>
      <c r="B925" s="0" t="s">
        <v>974</v>
      </c>
      <c r="C925" s="0" t="n">
        <v>100400</v>
      </c>
      <c r="D925" s="0" t="n">
        <v>967</v>
      </c>
      <c r="E925" s="0" t="str">
        <f aca="false">IFERROR(IF(OR(HLOOKUP($A925,#REF!,3,FALSE())&gt;2,HLOOKUP(A925,#REF!,3,FALSE())&lt;-2),"",#REF!),"")</f>
        <v/>
      </c>
      <c r="F925" s="0" t="str">
        <f aca="false">IFERROR(IF(OR(HLOOKUP($A925,#REF!,4,FALSE())&gt;2,HLOOKUP($A925,#REF!,4,FALSE())&lt;-2),"",#REF!),"")</f>
        <v/>
      </c>
      <c r="G925" s="0" t="str">
        <f aca="false">IFERROR(IF(OR(HLOOKUP($A925,#REF!,5,FALSE())&gt;2,HLOOKUP($A925,#REF!,5,FALSE())&lt;-2),"",#REF!),"")</f>
        <v/>
      </c>
      <c r="H925" s="0" t="str">
        <f aca="false">IFERROR(IF(OR(HLOOKUP($A925,#REF!,6,FALSE())&gt;2,HLOOKUP($A925,#REF!,6,FALSE())&lt;-2),"",#REF!),"")</f>
        <v/>
      </c>
      <c r="I925" s="0" t="str">
        <f aca="false">IFERROR(IF(OR(HLOOKUP($A925,#REF!,7,FALSE())&gt;2,HLOOKUP($A925,#REF!,7,FALSE())&lt;-2),"",#REF!),"")</f>
        <v/>
      </c>
      <c r="J925" s="0" t="str">
        <f aca="false">IFERROR(IF(OR(HLOOKUP($A925,#REF!,8,FALSE())&gt;2,HLOOKUP($A925,#REF!,8,FALSE())&lt;-2),"",#REF!),"")</f>
        <v/>
      </c>
      <c r="K925" s="0" t="str">
        <f aca="false">IFERROR(IF(OR(HLOOKUP($A925,#REF!,9,FALSE())&gt;2,HLOOKUP($A925,#REF!,9,FALSE())&lt;-2),"",#REF!),"")</f>
        <v/>
      </c>
      <c r="L925" s="0" t="str">
        <f aca="false">IFERROR(IF(OR(HLOOKUP($A925,#REF!,10,FALSE())&gt;2,HLOOKUP($A925,#REF!,10,FALSE())&lt;-2),"",#REF!),"")</f>
        <v/>
      </c>
      <c r="M925" s="0" t="str">
        <f aca="false">IFERROR(IF(OR(HLOOKUP($A925,#REF!,11,FALSE())&gt;2,HLOOKUP($A925,#REF!,11,FALSE())&lt;-2),"",#REF!),"")</f>
        <v/>
      </c>
      <c r="N925" s="0" t="str">
        <f aca="false">IFERROR(IF(OR(HLOOKUP($A925,#REF!,12,FALSE())&gt;2,HLOOKUP($A925,#REF!,12,FALSE())&lt;-2),"",#REF!),"")</f>
        <v/>
      </c>
      <c r="O925" s="0" t="str">
        <f aca="false">IFERROR(IF(OR(HLOOKUP($A925,#REF!,13,FALSE())&gt;2,HLOOKUP($A925,#REF!,13,FALSE())&lt;-2),"",#REF!),"")</f>
        <v/>
      </c>
      <c r="P925" s="0" t="str">
        <f aca="false">IFERROR(IF(OR(HLOOKUP($A925,#REF!,14,FALSE())&gt;2,HLOOKUP($A925,#REF!,14,FALSE())&lt;-2),"",#REF!),"")</f>
        <v/>
      </c>
      <c r="Q925" s="0" t="str">
        <f aca="false">IFERROR(IF(OR(HLOOKUP($A925,#REF!,15,FALSE())&gt;2,HLOOKUP($A925,#REF!,15,FALSE())&lt;-2),"",#REF!),"")</f>
        <v/>
      </c>
      <c r="R925" s="0" t="str">
        <f aca="false">IFERROR(IF(OR(HLOOKUP($A925,#REF!,16,FALSE())&gt;2,HLOOKUP($A925,#REF!,16,FALSE())&lt;-2),"",#REF!),"")</f>
        <v/>
      </c>
      <c r="S925" s="0" t="str">
        <f aca="false">IFERROR(IF(OR(HLOOKUP($A925,#REF!,17,FALSE())&gt;2,HLOOKUP($A925,#REF!,17,FALSE())&lt;-2),"",#REF!),"")</f>
        <v/>
      </c>
      <c r="T925" s="0" t="str">
        <f aca="false">IFERROR(IF(OR(HLOOKUP($A925,#REF!,18,FALSE())&gt;2,HLOOKUP($A925,#REF!,18,FALSE())&lt;-2),"",#REF!),"")</f>
        <v/>
      </c>
      <c r="U925" s="0" t="str">
        <f aca="false">IFERROR(IF(OR(HLOOKUP($A925,#REF!,19,FALSE())&gt;2,HLOOKUP($A925,#REF!,19,FALSE())&lt;-2),"",#REF!),"")</f>
        <v/>
      </c>
      <c r="V925" s="0" t="n">
        <f aca="false">IFERROR(IF(AND(X925=0,Y925=0),0,1),0)</f>
        <v>1</v>
      </c>
      <c r="W925" s="3" t="str">
        <f aca="false">IFERROR(_xlfn.T.TEST(E925:M925,N925:U925,2,2),"")</f>
        <v/>
      </c>
      <c r="X925" s="0" t="str">
        <f aca="false">IFERROR(AVERAGE(E925:M925),"")</f>
        <v/>
      </c>
      <c r="Y925" s="0" t="str">
        <f aca="false">IFERROR(AVERAGE(N925:U925),"")</f>
        <v/>
      </c>
    </row>
    <row r="926" customFormat="false" ht="14.5" hidden="false" customHeight="false" outlineLevel="0" collapsed="false">
      <c r="A926" s="0" t="n">
        <v>934</v>
      </c>
      <c r="B926" s="0" t="s">
        <v>975</v>
      </c>
      <c r="C926" s="0" t="n">
        <v>43700</v>
      </c>
      <c r="D926" s="0" t="n">
        <v>909</v>
      </c>
      <c r="E926" s="0" t="str">
        <f aca="false">IFERROR(IF(OR(HLOOKUP($A926,#REF!,3,FALSE())&gt;2,HLOOKUP(A926,#REF!,3,FALSE())&lt;-2),"",#REF!),"")</f>
        <v/>
      </c>
      <c r="F926" s="0" t="str">
        <f aca="false">IFERROR(IF(OR(HLOOKUP($A926,#REF!,4,FALSE())&gt;2,HLOOKUP($A926,#REF!,4,FALSE())&lt;-2),"",#REF!),"")</f>
        <v/>
      </c>
      <c r="G926" s="0" t="str">
        <f aca="false">IFERROR(IF(OR(HLOOKUP($A926,#REF!,5,FALSE())&gt;2,HLOOKUP($A926,#REF!,5,FALSE())&lt;-2),"",#REF!),"")</f>
        <v/>
      </c>
      <c r="H926" s="0" t="str">
        <f aca="false">IFERROR(IF(OR(HLOOKUP($A926,#REF!,6,FALSE())&gt;2,HLOOKUP($A926,#REF!,6,FALSE())&lt;-2),"",#REF!),"")</f>
        <v/>
      </c>
      <c r="I926" s="0" t="str">
        <f aca="false">IFERROR(IF(OR(HLOOKUP($A926,#REF!,7,FALSE())&gt;2,HLOOKUP($A926,#REF!,7,FALSE())&lt;-2),"",#REF!),"")</f>
        <v/>
      </c>
      <c r="J926" s="0" t="str">
        <f aca="false">IFERROR(IF(OR(HLOOKUP($A926,#REF!,8,FALSE())&gt;2,HLOOKUP($A926,#REF!,8,FALSE())&lt;-2),"",#REF!),"")</f>
        <v/>
      </c>
      <c r="K926" s="0" t="str">
        <f aca="false">IFERROR(IF(OR(HLOOKUP($A926,#REF!,9,FALSE())&gt;2,HLOOKUP($A926,#REF!,9,FALSE())&lt;-2),"",#REF!),"")</f>
        <v/>
      </c>
      <c r="L926" s="0" t="str">
        <f aca="false">IFERROR(IF(OR(HLOOKUP($A926,#REF!,10,FALSE())&gt;2,HLOOKUP($A926,#REF!,10,FALSE())&lt;-2),"",#REF!),"")</f>
        <v/>
      </c>
      <c r="M926" s="0" t="str">
        <f aca="false">IFERROR(IF(OR(HLOOKUP($A926,#REF!,11,FALSE())&gt;2,HLOOKUP($A926,#REF!,11,FALSE())&lt;-2),"",#REF!),"")</f>
        <v/>
      </c>
      <c r="N926" s="0" t="str">
        <f aca="false">IFERROR(IF(OR(HLOOKUP($A926,#REF!,12,FALSE())&gt;2,HLOOKUP($A926,#REF!,12,FALSE())&lt;-2),"",#REF!),"")</f>
        <v/>
      </c>
      <c r="O926" s="0" t="str">
        <f aca="false">IFERROR(IF(OR(HLOOKUP($A926,#REF!,13,FALSE())&gt;2,HLOOKUP($A926,#REF!,13,FALSE())&lt;-2),"",#REF!),"")</f>
        <v/>
      </c>
      <c r="P926" s="0" t="str">
        <f aca="false">IFERROR(IF(OR(HLOOKUP($A926,#REF!,14,FALSE())&gt;2,HLOOKUP($A926,#REF!,14,FALSE())&lt;-2),"",#REF!),"")</f>
        <v/>
      </c>
      <c r="Q926" s="0" t="str">
        <f aca="false">IFERROR(IF(OR(HLOOKUP($A926,#REF!,15,FALSE())&gt;2,HLOOKUP($A926,#REF!,15,FALSE())&lt;-2),"",#REF!),"")</f>
        <v/>
      </c>
      <c r="R926" s="0" t="str">
        <f aca="false">IFERROR(IF(OR(HLOOKUP($A926,#REF!,16,FALSE())&gt;2,HLOOKUP($A926,#REF!,16,FALSE())&lt;-2),"",#REF!),"")</f>
        <v/>
      </c>
      <c r="S926" s="0" t="str">
        <f aca="false">IFERROR(IF(OR(HLOOKUP($A926,#REF!,17,FALSE())&gt;2,HLOOKUP($A926,#REF!,17,FALSE())&lt;-2),"",#REF!),"")</f>
        <v/>
      </c>
      <c r="T926" s="0" t="str">
        <f aca="false">IFERROR(IF(OR(HLOOKUP($A926,#REF!,18,FALSE())&gt;2,HLOOKUP($A926,#REF!,18,FALSE())&lt;-2),"",#REF!),"")</f>
        <v/>
      </c>
      <c r="U926" s="0" t="str">
        <f aca="false">IFERROR(IF(OR(HLOOKUP($A926,#REF!,19,FALSE())&gt;2,HLOOKUP($A926,#REF!,19,FALSE())&lt;-2),"",#REF!),"")</f>
        <v/>
      </c>
      <c r="V926" s="0" t="n">
        <f aca="false">IFERROR(IF(AND(X926=0,Y926=0),0,1),0)</f>
        <v>1</v>
      </c>
      <c r="W926" s="3" t="str">
        <f aca="false">IFERROR(_xlfn.T.TEST(E926:M926,N926:U926,2,2),"")</f>
        <v/>
      </c>
      <c r="X926" s="0" t="str">
        <f aca="false">IFERROR(AVERAGE(E926:M926),"")</f>
        <v/>
      </c>
      <c r="Y926" s="0" t="str">
        <f aca="false">IFERROR(AVERAGE(N926:U926),"")</f>
        <v/>
      </c>
    </row>
    <row r="927" customFormat="false" ht="14.5" hidden="false" customHeight="false" outlineLevel="0" collapsed="false">
      <c r="A927" s="0" t="n">
        <v>935</v>
      </c>
      <c r="B927" s="0" t="s">
        <v>75</v>
      </c>
      <c r="C927" s="0" t="n">
        <v>19000</v>
      </c>
      <c r="D927" s="0" t="n">
        <v>39</v>
      </c>
      <c r="E927" s="0" t="str">
        <f aca="false">IFERROR(IF(OR(HLOOKUP($A927,#REF!,3,FALSE())&gt;2,HLOOKUP(A927,#REF!,3,FALSE())&lt;-2),"",#REF!),"")</f>
        <v/>
      </c>
      <c r="F927" s="0" t="str">
        <f aca="false">IFERROR(IF(OR(HLOOKUP($A927,#REF!,4,FALSE())&gt;2,HLOOKUP($A927,#REF!,4,FALSE())&lt;-2),"",#REF!),"")</f>
        <v/>
      </c>
      <c r="G927" s="0" t="str">
        <f aca="false">IFERROR(IF(OR(HLOOKUP($A927,#REF!,5,FALSE())&gt;2,HLOOKUP($A927,#REF!,5,FALSE())&lt;-2),"",#REF!),"")</f>
        <v/>
      </c>
      <c r="H927" s="0" t="str">
        <f aca="false">IFERROR(IF(OR(HLOOKUP($A927,#REF!,6,FALSE())&gt;2,HLOOKUP($A927,#REF!,6,FALSE())&lt;-2),"",#REF!),"")</f>
        <v/>
      </c>
      <c r="I927" s="0" t="str">
        <f aca="false">IFERROR(IF(OR(HLOOKUP($A927,#REF!,7,FALSE())&gt;2,HLOOKUP($A927,#REF!,7,FALSE())&lt;-2),"",#REF!),"")</f>
        <v/>
      </c>
      <c r="J927" s="0" t="str">
        <f aca="false">IFERROR(IF(OR(HLOOKUP($A927,#REF!,8,FALSE())&gt;2,HLOOKUP($A927,#REF!,8,FALSE())&lt;-2),"",#REF!),"")</f>
        <v/>
      </c>
      <c r="K927" s="0" t="str">
        <f aca="false">IFERROR(IF(OR(HLOOKUP($A927,#REF!,9,FALSE())&gt;2,HLOOKUP($A927,#REF!,9,FALSE())&lt;-2),"",#REF!),"")</f>
        <v/>
      </c>
      <c r="L927" s="0" t="str">
        <f aca="false">IFERROR(IF(OR(HLOOKUP($A927,#REF!,10,FALSE())&gt;2,HLOOKUP($A927,#REF!,10,FALSE())&lt;-2),"",#REF!),"")</f>
        <v/>
      </c>
      <c r="M927" s="0" t="str">
        <f aca="false">IFERROR(IF(OR(HLOOKUP($A927,#REF!,11,FALSE())&gt;2,HLOOKUP($A927,#REF!,11,FALSE())&lt;-2),"",#REF!),"")</f>
        <v/>
      </c>
      <c r="N927" s="0" t="str">
        <f aca="false">IFERROR(IF(OR(HLOOKUP($A927,#REF!,12,FALSE())&gt;2,HLOOKUP($A927,#REF!,12,FALSE())&lt;-2),"",#REF!),"")</f>
        <v/>
      </c>
      <c r="O927" s="0" t="str">
        <f aca="false">IFERROR(IF(OR(HLOOKUP($A927,#REF!,13,FALSE())&gt;2,HLOOKUP($A927,#REF!,13,FALSE())&lt;-2),"",#REF!),"")</f>
        <v/>
      </c>
      <c r="P927" s="0" t="str">
        <f aca="false">IFERROR(IF(OR(HLOOKUP($A927,#REF!,14,FALSE())&gt;2,HLOOKUP($A927,#REF!,14,FALSE())&lt;-2),"",#REF!),"")</f>
        <v/>
      </c>
      <c r="Q927" s="0" t="str">
        <f aca="false">IFERROR(IF(OR(HLOOKUP($A927,#REF!,15,FALSE())&gt;2,HLOOKUP($A927,#REF!,15,FALSE())&lt;-2),"",#REF!),"")</f>
        <v/>
      </c>
      <c r="R927" s="0" t="str">
        <f aca="false">IFERROR(IF(OR(HLOOKUP($A927,#REF!,16,FALSE())&gt;2,HLOOKUP($A927,#REF!,16,FALSE())&lt;-2),"",#REF!),"")</f>
        <v/>
      </c>
      <c r="S927" s="0" t="str">
        <f aca="false">IFERROR(IF(OR(HLOOKUP($A927,#REF!,17,FALSE())&gt;2,HLOOKUP($A927,#REF!,17,FALSE())&lt;-2),"",#REF!),"")</f>
        <v/>
      </c>
      <c r="T927" s="0" t="str">
        <f aca="false">IFERROR(IF(OR(HLOOKUP($A927,#REF!,18,FALSE())&gt;2,HLOOKUP($A927,#REF!,18,FALSE())&lt;-2),"",#REF!),"")</f>
        <v/>
      </c>
      <c r="U927" s="0" t="str">
        <f aca="false">IFERROR(IF(OR(HLOOKUP($A927,#REF!,19,FALSE())&gt;2,HLOOKUP($A927,#REF!,19,FALSE())&lt;-2),"",#REF!),"")</f>
        <v/>
      </c>
      <c r="V927" s="0" t="n">
        <f aca="false">IFERROR(IF(AND(X927=0,Y927=0),0,1),0)</f>
        <v>1</v>
      </c>
      <c r="W927" s="3" t="str">
        <f aca="false">IFERROR(_xlfn.T.TEST(E927:M927,N927:U927,2,2),"")</f>
        <v/>
      </c>
      <c r="X927" s="0" t="str">
        <f aca="false">IFERROR(AVERAGE(E927:M927),"")</f>
        <v/>
      </c>
      <c r="Y927" s="0" t="str">
        <f aca="false">IFERROR(AVERAGE(N927:U927),"")</f>
        <v/>
      </c>
    </row>
    <row r="928" customFormat="false" ht="14.5" hidden="false" customHeight="false" outlineLevel="0" collapsed="false">
      <c r="A928" s="0" t="n">
        <v>936</v>
      </c>
      <c r="B928" s="0" t="s">
        <v>976</v>
      </c>
      <c r="C928" s="0" t="n">
        <v>57600</v>
      </c>
      <c r="D928" s="0" t="n">
        <v>645</v>
      </c>
      <c r="E928" s="0" t="str">
        <f aca="false">IFERROR(IF(OR(HLOOKUP($A928,#REF!,3,FALSE())&gt;2,HLOOKUP(A928,#REF!,3,FALSE())&lt;-2),"",#REF!),"")</f>
        <v/>
      </c>
      <c r="F928" s="0" t="str">
        <f aca="false">IFERROR(IF(OR(HLOOKUP($A928,#REF!,4,FALSE())&gt;2,HLOOKUP($A928,#REF!,4,FALSE())&lt;-2),"",#REF!),"")</f>
        <v/>
      </c>
      <c r="G928" s="0" t="str">
        <f aca="false">IFERROR(IF(OR(HLOOKUP($A928,#REF!,5,FALSE())&gt;2,HLOOKUP($A928,#REF!,5,FALSE())&lt;-2),"",#REF!),"")</f>
        <v/>
      </c>
      <c r="H928" s="0" t="str">
        <f aca="false">IFERROR(IF(OR(HLOOKUP($A928,#REF!,6,FALSE())&gt;2,HLOOKUP($A928,#REF!,6,FALSE())&lt;-2),"",#REF!),"")</f>
        <v/>
      </c>
      <c r="I928" s="0" t="str">
        <f aca="false">IFERROR(IF(OR(HLOOKUP($A928,#REF!,7,FALSE())&gt;2,HLOOKUP($A928,#REF!,7,FALSE())&lt;-2),"",#REF!),"")</f>
        <v/>
      </c>
      <c r="J928" s="0" t="str">
        <f aca="false">IFERROR(IF(OR(HLOOKUP($A928,#REF!,8,FALSE())&gt;2,HLOOKUP($A928,#REF!,8,FALSE())&lt;-2),"",#REF!),"")</f>
        <v/>
      </c>
      <c r="K928" s="0" t="str">
        <f aca="false">IFERROR(IF(OR(HLOOKUP($A928,#REF!,9,FALSE())&gt;2,HLOOKUP($A928,#REF!,9,FALSE())&lt;-2),"",#REF!),"")</f>
        <v/>
      </c>
      <c r="L928" s="0" t="str">
        <f aca="false">IFERROR(IF(OR(HLOOKUP($A928,#REF!,10,FALSE())&gt;2,HLOOKUP($A928,#REF!,10,FALSE())&lt;-2),"",#REF!),"")</f>
        <v/>
      </c>
      <c r="M928" s="0" t="str">
        <f aca="false">IFERROR(IF(OR(HLOOKUP($A928,#REF!,11,FALSE())&gt;2,HLOOKUP($A928,#REF!,11,FALSE())&lt;-2),"",#REF!),"")</f>
        <v/>
      </c>
      <c r="N928" s="0" t="str">
        <f aca="false">IFERROR(IF(OR(HLOOKUP($A928,#REF!,12,FALSE())&gt;2,HLOOKUP($A928,#REF!,12,FALSE())&lt;-2),"",#REF!),"")</f>
        <v/>
      </c>
      <c r="O928" s="0" t="str">
        <f aca="false">IFERROR(IF(OR(HLOOKUP($A928,#REF!,13,FALSE())&gt;2,HLOOKUP($A928,#REF!,13,FALSE())&lt;-2),"",#REF!),"")</f>
        <v/>
      </c>
      <c r="P928" s="0" t="str">
        <f aca="false">IFERROR(IF(OR(HLOOKUP($A928,#REF!,14,FALSE())&gt;2,HLOOKUP($A928,#REF!,14,FALSE())&lt;-2),"",#REF!),"")</f>
        <v/>
      </c>
      <c r="Q928" s="0" t="str">
        <f aca="false">IFERROR(IF(OR(HLOOKUP($A928,#REF!,15,FALSE())&gt;2,HLOOKUP($A928,#REF!,15,FALSE())&lt;-2),"",#REF!),"")</f>
        <v/>
      </c>
      <c r="R928" s="0" t="str">
        <f aca="false">IFERROR(IF(OR(HLOOKUP($A928,#REF!,16,FALSE())&gt;2,HLOOKUP($A928,#REF!,16,FALSE())&lt;-2),"",#REF!),"")</f>
        <v/>
      </c>
      <c r="S928" s="0" t="str">
        <f aca="false">IFERROR(IF(OR(HLOOKUP($A928,#REF!,17,FALSE())&gt;2,HLOOKUP($A928,#REF!,17,FALSE())&lt;-2),"",#REF!),"")</f>
        <v/>
      </c>
      <c r="T928" s="0" t="str">
        <f aca="false">IFERROR(IF(OR(HLOOKUP($A928,#REF!,18,FALSE())&gt;2,HLOOKUP($A928,#REF!,18,FALSE())&lt;-2),"",#REF!),"")</f>
        <v/>
      </c>
      <c r="U928" s="0" t="str">
        <f aca="false">IFERROR(IF(OR(HLOOKUP($A928,#REF!,19,FALSE())&gt;2,HLOOKUP($A928,#REF!,19,FALSE())&lt;-2),"",#REF!),"")</f>
        <v/>
      </c>
      <c r="V928" s="0" t="n">
        <f aca="false">IFERROR(IF(AND(X928=0,Y928=0),0,1),0)</f>
        <v>1</v>
      </c>
      <c r="W928" s="3" t="str">
        <f aca="false">IFERROR(_xlfn.T.TEST(E928:M928,N928:U928,2,2),"")</f>
        <v/>
      </c>
      <c r="X928" s="0" t="str">
        <f aca="false">IFERROR(AVERAGE(E928:M928),"")</f>
        <v/>
      </c>
      <c r="Y928" s="0" t="str">
        <f aca="false">IFERROR(AVERAGE(N928:U928),"")</f>
        <v/>
      </c>
    </row>
    <row r="929" customFormat="false" ht="14.5" hidden="false" customHeight="false" outlineLevel="0" collapsed="false">
      <c r="A929" s="0" t="n">
        <v>937</v>
      </c>
      <c r="B929" s="0" t="s">
        <v>977</v>
      </c>
      <c r="C929" s="0" t="n">
        <v>13800</v>
      </c>
      <c r="D929" s="0" t="n">
        <v>669</v>
      </c>
      <c r="E929" s="0" t="str">
        <f aca="false">IFERROR(IF(OR(HLOOKUP($A929,#REF!,3,FALSE())&gt;2,HLOOKUP(A929,#REF!,3,FALSE())&lt;-2),"",#REF!),"")</f>
        <v/>
      </c>
      <c r="F929" s="0" t="str">
        <f aca="false">IFERROR(IF(OR(HLOOKUP($A929,#REF!,4,FALSE())&gt;2,HLOOKUP($A929,#REF!,4,FALSE())&lt;-2),"",#REF!),"")</f>
        <v/>
      </c>
      <c r="G929" s="0" t="str">
        <f aca="false">IFERROR(IF(OR(HLOOKUP($A929,#REF!,5,FALSE())&gt;2,HLOOKUP($A929,#REF!,5,FALSE())&lt;-2),"",#REF!),"")</f>
        <v/>
      </c>
      <c r="H929" s="0" t="str">
        <f aca="false">IFERROR(IF(OR(HLOOKUP($A929,#REF!,6,FALSE())&gt;2,HLOOKUP($A929,#REF!,6,FALSE())&lt;-2),"",#REF!),"")</f>
        <v/>
      </c>
      <c r="I929" s="0" t="str">
        <f aca="false">IFERROR(IF(OR(HLOOKUP($A929,#REF!,7,FALSE())&gt;2,HLOOKUP($A929,#REF!,7,FALSE())&lt;-2),"",#REF!),"")</f>
        <v/>
      </c>
      <c r="J929" s="0" t="str">
        <f aca="false">IFERROR(IF(OR(HLOOKUP($A929,#REF!,8,FALSE())&gt;2,HLOOKUP($A929,#REF!,8,FALSE())&lt;-2),"",#REF!),"")</f>
        <v/>
      </c>
      <c r="K929" s="0" t="str">
        <f aca="false">IFERROR(IF(OR(HLOOKUP($A929,#REF!,9,FALSE())&gt;2,HLOOKUP($A929,#REF!,9,FALSE())&lt;-2),"",#REF!),"")</f>
        <v/>
      </c>
      <c r="L929" s="0" t="str">
        <f aca="false">IFERROR(IF(OR(HLOOKUP($A929,#REF!,10,FALSE())&gt;2,HLOOKUP($A929,#REF!,10,FALSE())&lt;-2),"",#REF!),"")</f>
        <v/>
      </c>
      <c r="M929" s="0" t="str">
        <f aca="false">IFERROR(IF(OR(HLOOKUP($A929,#REF!,11,FALSE())&gt;2,HLOOKUP($A929,#REF!,11,FALSE())&lt;-2),"",#REF!),"")</f>
        <v/>
      </c>
      <c r="N929" s="0" t="str">
        <f aca="false">IFERROR(IF(OR(HLOOKUP($A929,#REF!,12,FALSE())&gt;2,HLOOKUP($A929,#REF!,12,FALSE())&lt;-2),"",#REF!),"")</f>
        <v/>
      </c>
      <c r="O929" s="0" t="str">
        <f aca="false">IFERROR(IF(OR(HLOOKUP($A929,#REF!,13,FALSE())&gt;2,HLOOKUP($A929,#REF!,13,FALSE())&lt;-2),"",#REF!),"")</f>
        <v/>
      </c>
      <c r="P929" s="0" t="str">
        <f aca="false">IFERROR(IF(OR(HLOOKUP($A929,#REF!,14,FALSE())&gt;2,HLOOKUP($A929,#REF!,14,FALSE())&lt;-2),"",#REF!),"")</f>
        <v/>
      </c>
      <c r="Q929" s="0" t="str">
        <f aca="false">IFERROR(IF(OR(HLOOKUP($A929,#REF!,15,FALSE())&gt;2,HLOOKUP($A929,#REF!,15,FALSE())&lt;-2),"",#REF!),"")</f>
        <v/>
      </c>
      <c r="R929" s="0" t="str">
        <f aca="false">IFERROR(IF(OR(HLOOKUP($A929,#REF!,16,FALSE())&gt;2,HLOOKUP($A929,#REF!,16,FALSE())&lt;-2),"",#REF!),"")</f>
        <v/>
      </c>
      <c r="S929" s="0" t="str">
        <f aca="false">IFERROR(IF(OR(HLOOKUP($A929,#REF!,17,FALSE())&gt;2,HLOOKUP($A929,#REF!,17,FALSE())&lt;-2),"",#REF!),"")</f>
        <v/>
      </c>
      <c r="T929" s="0" t="str">
        <f aca="false">IFERROR(IF(OR(HLOOKUP($A929,#REF!,18,FALSE())&gt;2,HLOOKUP($A929,#REF!,18,FALSE())&lt;-2),"",#REF!),"")</f>
        <v/>
      </c>
      <c r="U929" s="0" t="str">
        <f aca="false">IFERROR(IF(OR(HLOOKUP($A929,#REF!,19,FALSE())&gt;2,HLOOKUP($A929,#REF!,19,FALSE())&lt;-2),"",#REF!),"")</f>
        <v/>
      </c>
      <c r="V929" s="0" t="n">
        <f aca="false">IFERROR(IF(AND(X929=0,Y929=0),0,1),0)</f>
        <v>1</v>
      </c>
      <c r="W929" s="3" t="str">
        <f aca="false">IFERROR(_xlfn.T.TEST(E929:M929,N929:U929,2,2),"")</f>
        <v/>
      </c>
      <c r="X929" s="0" t="str">
        <f aca="false">IFERROR(AVERAGE(E929:M929),"")</f>
        <v/>
      </c>
      <c r="Y929" s="0" t="str">
        <f aca="false">IFERROR(AVERAGE(N929:U929),"")</f>
        <v/>
      </c>
    </row>
    <row r="930" customFormat="false" ht="14.5" hidden="false" customHeight="false" outlineLevel="0" collapsed="false">
      <c r="A930" s="0" t="n">
        <v>938</v>
      </c>
      <c r="B930" s="0" t="s">
        <v>978</v>
      </c>
      <c r="C930" s="0" t="n">
        <v>94800</v>
      </c>
      <c r="D930" s="0" t="n">
        <v>370</v>
      </c>
      <c r="E930" s="0" t="str">
        <f aca="false">IFERROR(IF(OR(HLOOKUP($A930,#REF!,3,FALSE())&gt;2,HLOOKUP(A930,#REF!,3,FALSE())&lt;-2),"",#REF!),"")</f>
        <v/>
      </c>
      <c r="F930" s="0" t="str">
        <f aca="false">IFERROR(IF(OR(HLOOKUP($A930,#REF!,4,FALSE())&gt;2,HLOOKUP($A930,#REF!,4,FALSE())&lt;-2),"",#REF!),"")</f>
        <v/>
      </c>
      <c r="G930" s="0" t="str">
        <f aca="false">IFERROR(IF(OR(HLOOKUP($A930,#REF!,5,FALSE())&gt;2,HLOOKUP($A930,#REF!,5,FALSE())&lt;-2),"",#REF!),"")</f>
        <v/>
      </c>
      <c r="H930" s="0" t="str">
        <f aca="false">IFERROR(IF(OR(HLOOKUP($A930,#REF!,6,FALSE())&gt;2,HLOOKUP($A930,#REF!,6,FALSE())&lt;-2),"",#REF!),"")</f>
        <v/>
      </c>
      <c r="I930" s="0" t="str">
        <f aca="false">IFERROR(IF(OR(HLOOKUP($A930,#REF!,7,FALSE())&gt;2,HLOOKUP($A930,#REF!,7,FALSE())&lt;-2),"",#REF!),"")</f>
        <v/>
      </c>
      <c r="J930" s="0" t="str">
        <f aca="false">IFERROR(IF(OR(HLOOKUP($A930,#REF!,8,FALSE())&gt;2,HLOOKUP($A930,#REF!,8,FALSE())&lt;-2),"",#REF!),"")</f>
        <v/>
      </c>
      <c r="K930" s="0" t="str">
        <f aca="false">IFERROR(IF(OR(HLOOKUP($A930,#REF!,9,FALSE())&gt;2,HLOOKUP($A930,#REF!,9,FALSE())&lt;-2),"",#REF!),"")</f>
        <v/>
      </c>
      <c r="L930" s="0" t="str">
        <f aca="false">IFERROR(IF(OR(HLOOKUP($A930,#REF!,10,FALSE())&gt;2,HLOOKUP($A930,#REF!,10,FALSE())&lt;-2),"",#REF!),"")</f>
        <v/>
      </c>
      <c r="M930" s="0" t="str">
        <f aca="false">IFERROR(IF(OR(HLOOKUP($A930,#REF!,11,FALSE())&gt;2,HLOOKUP($A930,#REF!,11,FALSE())&lt;-2),"",#REF!),"")</f>
        <v/>
      </c>
      <c r="N930" s="0" t="str">
        <f aca="false">IFERROR(IF(OR(HLOOKUP($A930,#REF!,12,FALSE())&gt;2,HLOOKUP($A930,#REF!,12,FALSE())&lt;-2),"",#REF!),"")</f>
        <v/>
      </c>
      <c r="O930" s="0" t="str">
        <f aca="false">IFERROR(IF(OR(HLOOKUP($A930,#REF!,13,FALSE())&gt;2,HLOOKUP($A930,#REF!,13,FALSE())&lt;-2),"",#REF!),"")</f>
        <v/>
      </c>
      <c r="P930" s="0" t="str">
        <f aca="false">IFERROR(IF(OR(HLOOKUP($A930,#REF!,14,FALSE())&gt;2,HLOOKUP($A930,#REF!,14,FALSE())&lt;-2),"",#REF!),"")</f>
        <v/>
      </c>
      <c r="Q930" s="0" t="str">
        <f aca="false">IFERROR(IF(OR(HLOOKUP($A930,#REF!,15,FALSE())&gt;2,HLOOKUP($A930,#REF!,15,FALSE())&lt;-2),"",#REF!),"")</f>
        <v/>
      </c>
      <c r="R930" s="0" t="str">
        <f aca="false">IFERROR(IF(OR(HLOOKUP($A930,#REF!,16,FALSE())&gt;2,HLOOKUP($A930,#REF!,16,FALSE())&lt;-2),"",#REF!),"")</f>
        <v/>
      </c>
      <c r="S930" s="0" t="str">
        <f aca="false">IFERROR(IF(OR(HLOOKUP($A930,#REF!,17,FALSE())&gt;2,HLOOKUP($A930,#REF!,17,FALSE())&lt;-2),"",#REF!),"")</f>
        <v/>
      </c>
      <c r="T930" s="0" t="str">
        <f aca="false">IFERROR(IF(OR(HLOOKUP($A930,#REF!,18,FALSE())&gt;2,HLOOKUP($A930,#REF!,18,FALSE())&lt;-2),"",#REF!),"")</f>
        <v/>
      </c>
      <c r="U930" s="0" t="str">
        <f aca="false">IFERROR(IF(OR(HLOOKUP($A930,#REF!,19,FALSE())&gt;2,HLOOKUP($A930,#REF!,19,FALSE())&lt;-2),"",#REF!),"")</f>
        <v/>
      </c>
      <c r="V930" s="0" t="n">
        <f aca="false">IFERROR(IF(AND(X930=0,Y930=0),0,1),0)</f>
        <v>1</v>
      </c>
      <c r="W930" s="3" t="str">
        <f aca="false">IFERROR(_xlfn.T.TEST(E930:M930,N930:U930,2,2),"")</f>
        <v/>
      </c>
      <c r="X930" s="0" t="str">
        <f aca="false">IFERROR(AVERAGE(E930:M930),"")</f>
        <v/>
      </c>
      <c r="Y930" s="0" t="str">
        <f aca="false">IFERROR(AVERAGE(N930:U930),"")</f>
        <v/>
      </c>
    </row>
    <row r="931" customFormat="false" ht="14.5" hidden="false" customHeight="false" outlineLevel="0" collapsed="false">
      <c r="A931" s="0" t="n">
        <v>939</v>
      </c>
      <c r="B931" s="0" t="s">
        <v>979</v>
      </c>
      <c r="C931" s="0" t="n">
        <v>92900</v>
      </c>
      <c r="D931" s="0" t="n">
        <v>135</v>
      </c>
      <c r="E931" s="0" t="str">
        <f aca="false">IFERROR(IF(OR(HLOOKUP($A931,#REF!,3,FALSE())&gt;2,HLOOKUP(A931,#REF!,3,FALSE())&lt;-2),"",#REF!),"")</f>
        <v/>
      </c>
      <c r="F931" s="0" t="str">
        <f aca="false">IFERROR(IF(OR(HLOOKUP($A931,#REF!,4,FALSE())&gt;2,HLOOKUP($A931,#REF!,4,FALSE())&lt;-2),"",#REF!),"")</f>
        <v/>
      </c>
      <c r="G931" s="0" t="str">
        <f aca="false">IFERROR(IF(OR(HLOOKUP($A931,#REF!,5,FALSE())&gt;2,HLOOKUP($A931,#REF!,5,FALSE())&lt;-2),"",#REF!),"")</f>
        <v/>
      </c>
      <c r="H931" s="0" t="str">
        <f aca="false">IFERROR(IF(OR(HLOOKUP($A931,#REF!,6,FALSE())&gt;2,HLOOKUP($A931,#REF!,6,FALSE())&lt;-2),"",#REF!),"")</f>
        <v/>
      </c>
      <c r="I931" s="0" t="str">
        <f aca="false">IFERROR(IF(OR(HLOOKUP($A931,#REF!,7,FALSE())&gt;2,HLOOKUP($A931,#REF!,7,FALSE())&lt;-2),"",#REF!),"")</f>
        <v/>
      </c>
      <c r="J931" s="0" t="str">
        <f aca="false">IFERROR(IF(OR(HLOOKUP($A931,#REF!,8,FALSE())&gt;2,HLOOKUP($A931,#REF!,8,FALSE())&lt;-2),"",#REF!),"")</f>
        <v/>
      </c>
      <c r="K931" s="0" t="str">
        <f aca="false">IFERROR(IF(OR(HLOOKUP($A931,#REF!,9,FALSE())&gt;2,HLOOKUP($A931,#REF!,9,FALSE())&lt;-2),"",#REF!),"")</f>
        <v/>
      </c>
      <c r="L931" s="0" t="str">
        <f aca="false">IFERROR(IF(OR(HLOOKUP($A931,#REF!,10,FALSE())&gt;2,HLOOKUP($A931,#REF!,10,FALSE())&lt;-2),"",#REF!),"")</f>
        <v/>
      </c>
      <c r="M931" s="0" t="str">
        <f aca="false">IFERROR(IF(OR(HLOOKUP($A931,#REF!,11,FALSE())&gt;2,HLOOKUP($A931,#REF!,11,FALSE())&lt;-2),"",#REF!),"")</f>
        <v/>
      </c>
      <c r="N931" s="0" t="str">
        <f aca="false">IFERROR(IF(OR(HLOOKUP($A931,#REF!,12,FALSE())&gt;2,HLOOKUP($A931,#REF!,12,FALSE())&lt;-2),"",#REF!),"")</f>
        <v/>
      </c>
      <c r="O931" s="0" t="str">
        <f aca="false">IFERROR(IF(OR(HLOOKUP($A931,#REF!,13,FALSE())&gt;2,HLOOKUP($A931,#REF!,13,FALSE())&lt;-2),"",#REF!),"")</f>
        <v/>
      </c>
      <c r="P931" s="0" t="str">
        <f aca="false">IFERROR(IF(OR(HLOOKUP($A931,#REF!,14,FALSE())&gt;2,HLOOKUP($A931,#REF!,14,FALSE())&lt;-2),"",#REF!),"")</f>
        <v/>
      </c>
      <c r="Q931" s="0" t="str">
        <f aca="false">IFERROR(IF(OR(HLOOKUP($A931,#REF!,15,FALSE())&gt;2,HLOOKUP($A931,#REF!,15,FALSE())&lt;-2),"",#REF!),"")</f>
        <v/>
      </c>
      <c r="R931" s="0" t="str">
        <f aca="false">IFERROR(IF(OR(HLOOKUP($A931,#REF!,16,FALSE())&gt;2,HLOOKUP($A931,#REF!,16,FALSE())&lt;-2),"",#REF!),"")</f>
        <v/>
      </c>
      <c r="S931" s="0" t="str">
        <f aca="false">IFERROR(IF(OR(HLOOKUP($A931,#REF!,17,FALSE())&gt;2,HLOOKUP($A931,#REF!,17,FALSE())&lt;-2),"",#REF!),"")</f>
        <v/>
      </c>
      <c r="T931" s="0" t="str">
        <f aca="false">IFERROR(IF(OR(HLOOKUP($A931,#REF!,18,FALSE())&gt;2,HLOOKUP($A931,#REF!,18,FALSE())&lt;-2),"",#REF!),"")</f>
        <v/>
      </c>
      <c r="U931" s="0" t="str">
        <f aca="false">IFERROR(IF(OR(HLOOKUP($A931,#REF!,19,FALSE())&gt;2,HLOOKUP($A931,#REF!,19,FALSE())&lt;-2),"",#REF!),"")</f>
        <v/>
      </c>
      <c r="V931" s="0" t="n">
        <f aca="false">IFERROR(IF(AND(X931=0,Y931=0),0,1),0)</f>
        <v>1</v>
      </c>
      <c r="W931" s="3" t="str">
        <f aca="false">IFERROR(_xlfn.T.TEST(E931:M931,N931:U931,2,2),"")</f>
        <v/>
      </c>
      <c r="X931" s="0" t="str">
        <f aca="false">IFERROR(AVERAGE(E931:M931),"")</f>
        <v/>
      </c>
      <c r="Y931" s="0" t="str">
        <f aca="false">IFERROR(AVERAGE(N931:U931),"")</f>
        <v/>
      </c>
    </row>
    <row r="932" customFormat="false" ht="14.5" hidden="false" customHeight="false" outlineLevel="0" collapsed="false">
      <c r="A932" s="0" t="n">
        <v>940</v>
      </c>
      <c r="B932" s="0" t="s">
        <v>980</v>
      </c>
      <c r="C932" s="0" t="n">
        <v>111000</v>
      </c>
      <c r="D932" s="0" t="n">
        <v>768</v>
      </c>
      <c r="E932" s="0" t="str">
        <f aca="false">IFERROR(IF(OR(HLOOKUP($A932,#REF!,3,FALSE())&gt;2,HLOOKUP(A932,#REF!,3,FALSE())&lt;-2),"",#REF!),"")</f>
        <v/>
      </c>
      <c r="F932" s="0" t="str">
        <f aca="false">IFERROR(IF(OR(HLOOKUP($A932,#REF!,4,FALSE())&gt;2,HLOOKUP($A932,#REF!,4,FALSE())&lt;-2),"",#REF!),"")</f>
        <v/>
      </c>
      <c r="G932" s="0" t="str">
        <f aca="false">IFERROR(IF(OR(HLOOKUP($A932,#REF!,5,FALSE())&gt;2,HLOOKUP($A932,#REF!,5,FALSE())&lt;-2),"",#REF!),"")</f>
        <v/>
      </c>
      <c r="H932" s="0" t="str">
        <f aca="false">IFERROR(IF(OR(HLOOKUP($A932,#REF!,6,FALSE())&gt;2,HLOOKUP($A932,#REF!,6,FALSE())&lt;-2),"",#REF!),"")</f>
        <v/>
      </c>
      <c r="I932" s="0" t="str">
        <f aca="false">IFERROR(IF(OR(HLOOKUP($A932,#REF!,7,FALSE())&gt;2,HLOOKUP($A932,#REF!,7,FALSE())&lt;-2),"",#REF!),"")</f>
        <v/>
      </c>
      <c r="J932" s="0" t="str">
        <f aca="false">IFERROR(IF(OR(HLOOKUP($A932,#REF!,8,FALSE())&gt;2,HLOOKUP($A932,#REF!,8,FALSE())&lt;-2),"",#REF!),"")</f>
        <v/>
      </c>
      <c r="K932" s="0" t="str">
        <f aca="false">IFERROR(IF(OR(HLOOKUP($A932,#REF!,9,FALSE())&gt;2,HLOOKUP($A932,#REF!,9,FALSE())&lt;-2),"",#REF!),"")</f>
        <v/>
      </c>
      <c r="L932" s="0" t="str">
        <f aca="false">IFERROR(IF(OR(HLOOKUP($A932,#REF!,10,FALSE())&gt;2,HLOOKUP($A932,#REF!,10,FALSE())&lt;-2),"",#REF!),"")</f>
        <v/>
      </c>
      <c r="M932" s="0" t="str">
        <f aca="false">IFERROR(IF(OR(HLOOKUP($A932,#REF!,11,FALSE())&gt;2,HLOOKUP($A932,#REF!,11,FALSE())&lt;-2),"",#REF!),"")</f>
        <v/>
      </c>
      <c r="N932" s="0" t="str">
        <f aca="false">IFERROR(IF(OR(HLOOKUP($A932,#REF!,12,FALSE())&gt;2,HLOOKUP($A932,#REF!,12,FALSE())&lt;-2),"",#REF!),"")</f>
        <v/>
      </c>
      <c r="O932" s="0" t="str">
        <f aca="false">IFERROR(IF(OR(HLOOKUP($A932,#REF!,13,FALSE())&gt;2,HLOOKUP($A932,#REF!,13,FALSE())&lt;-2),"",#REF!),"")</f>
        <v/>
      </c>
      <c r="P932" s="0" t="str">
        <f aca="false">IFERROR(IF(OR(HLOOKUP($A932,#REF!,14,FALSE())&gt;2,HLOOKUP($A932,#REF!,14,FALSE())&lt;-2),"",#REF!),"")</f>
        <v/>
      </c>
      <c r="Q932" s="0" t="str">
        <f aca="false">IFERROR(IF(OR(HLOOKUP($A932,#REF!,15,FALSE())&gt;2,HLOOKUP($A932,#REF!,15,FALSE())&lt;-2),"",#REF!),"")</f>
        <v/>
      </c>
      <c r="R932" s="0" t="str">
        <f aca="false">IFERROR(IF(OR(HLOOKUP($A932,#REF!,16,FALSE())&gt;2,HLOOKUP($A932,#REF!,16,FALSE())&lt;-2),"",#REF!),"")</f>
        <v/>
      </c>
      <c r="S932" s="0" t="str">
        <f aca="false">IFERROR(IF(OR(HLOOKUP($A932,#REF!,17,FALSE())&gt;2,HLOOKUP($A932,#REF!,17,FALSE())&lt;-2),"",#REF!),"")</f>
        <v/>
      </c>
      <c r="T932" s="0" t="str">
        <f aca="false">IFERROR(IF(OR(HLOOKUP($A932,#REF!,18,FALSE())&gt;2,HLOOKUP($A932,#REF!,18,FALSE())&lt;-2),"",#REF!),"")</f>
        <v/>
      </c>
      <c r="U932" s="0" t="str">
        <f aca="false">IFERROR(IF(OR(HLOOKUP($A932,#REF!,19,FALSE())&gt;2,HLOOKUP($A932,#REF!,19,FALSE())&lt;-2),"",#REF!),"")</f>
        <v/>
      </c>
      <c r="V932" s="0" t="n">
        <f aca="false">IFERROR(IF(AND(X932=0,Y932=0),0,1),0)</f>
        <v>1</v>
      </c>
      <c r="W932" s="3" t="str">
        <f aca="false">IFERROR(_xlfn.T.TEST(E932:M932,N932:U932,2,2),"")</f>
        <v/>
      </c>
      <c r="X932" s="0" t="str">
        <f aca="false">IFERROR(AVERAGE(E932:M932),"")</f>
        <v/>
      </c>
      <c r="Y932" s="0" t="str">
        <f aca="false">IFERROR(AVERAGE(N932:U932),"")</f>
        <v/>
      </c>
    </row>
    <row r="933" customFormat="false" ht="14.5" hidden="false" customHeight="false" outlineLevel="0" collapsed="false">
      <c r="A933" s="0" t="n">
        <v>941</v>
      </c>
      <c r="B933" s="0" t="s">
        <v>981</v>
      </c>
      <c r="C933" s="0" t="n">
        <v>110400</v>
      </c>
      <c r="D933" s="0" t="n">
        <v>1000</v>
      </c>
      <c r="E933" s="0" t="str">
        <f aca="false">IFERROR(IF(OR(HLOOKUP($A933,#REF!,3,FALSE())&gt;2,HLOOKUP(A933,#REF!,3,FALSE())&lt;-2),"",#REF!),"")</f>
        <v/>
      </c>
      <c r="F933" s="0" t="str">
        <f aca="false">IFERROR(IF(OR(HLOOKUP($A933,#REF!,4,FALSE())&gt;2,HLOOKUP($A933,#REF!,4,FALSE())&lt;-2),"",#REF!),"")</f>
        <v/>
      </c>
      <c r="G933" s="0" t="str">
        <f aca="false">IFERROR(IF(OR(HLOOKUP($A933,#REF!,5,FALSE())&gt;2,HLOOKUP($A933,#REF!,5,FALSE())&lt;-2),"",#REF!),"")</f>
        <v/>
      </c>
      <c r="H933" s="0" t="str">
        <f aca="false">IFERROR(IF(OR(HLOOKUP($A933,#REF!,6,FALSE())&gt;2,HLOOKUP($A933,#REF!,6,FALSE())&lt;-2),"",#REF!),"")</f>
        <v/>
      </c>
      <c r="I933" s="0" t="str">
        <f aca="false">IFERROR(IF(OR(HLOOKUP($A933,#REF!,7,FALSE())&gt;2,HLOOKUP($A933,#REF!,7,FALSE())&lt;-2),"",#REF!),"")</f>
        <v/>
      </c>
      <c r="J933" s="0" t="str">
        <f aca="false">IFERROR(IF(OR(HLOOKUP($A933,#REF!,8,FALSE())&gt;2,HLOOKUP($A933,#REF!,8,FALSE())&lt;-2),"",#REF!),"")</f>
        <v/>
      </c>
      <c r="K933" s="0" t="str">
        <f aca="false">IFERROR(IF(OR(HLOOKUP($A933,#REF!,9,FALSE())&gt;2,HLOOKUP($A933,#REF!,9,FALSE())&lt;-2),"",#REF!),"")</f>
        <v/>
      </c>
      <c r="L933" s="0" t="str">
        <f aca="false">IFERROR(IF(OR(HLOOKUP($A933,#REF!,10,FALSE())&gt;2,HLOOKUP($A933,#REF!,10,FALSE())&lt;-2),"",#REF!),"")</f>
        <v/>
      </c>
      <c r="M933" s="0" t="str">
        <f aca="false">IFERROR(IF(OR(HLOOKUP($A933,#REF!,11,FALSE())&gt;2,HLOOKUP($A933,#REF!,11,FALSE())&lt;-2),"",#REF!),"")</f>
        <v/>
      </c>
      <c r="N933" s="0" t="str">
        <f aca="false">IFERROR(IF(OR(HLOOKUP($A933,#REF!,12,FALSE())&gt;2,HLOOKUP($A933,#REF!,12,FALSE())&lt;-2),"",#REF!),"")</f>
        <v/>
      </c>
      <c r="O933" s="0" t="str">
        <f aca="false">IFERROR(IF(OR(HLOOKUP($A933,#REF!,13,FALSE())&gt;2,HLOOKUP($A933,#REF!,13,FALSE())&lt;-2),"",#REF!),"")</f>
        <v/>
      </c>
      <c r="P933" s="0" t="str">
        <f aca="false">IFERROR(IF(OR(HLOOKUP($A933,#REF!,14,FALSE())&gt;2,HLOOKUP($A933,#REF!,14,FALSE())&lt;-2),"",#REF!),"")</f>
        <v/>
      </c>
      <c r="Q933" s="0" t="str">
        <f aca="false">IFERROR(IF(OR(HLOOKUP($A933,#REF!,15,FALSE())&gt;2,HLOOKUP($A933,#REF!,15,FALSE())&lt;-2),"",#REF!),"")</f>
        <v/>
      </c>
      <c r="R933" s="0" t="str">
        <f aca="false">IFERROR(IF(OR(HLOOKUP($A933,#REF!,16,FALSE())&gt;2,HLOOKUP($A933,#REF!,16,FALSE())&lt;-2),"",#REF!),"")</f>
        <v/>
      </c>
      <c r="S933" s="0" t="str">
        <f aca="false">IFERROR(IF(OR(HLOOKUP($A933,#REF!,17,FALSE())&gt;2,HLOOKUP($A933,#REF!,17,FALSE())&lt;-2),"",#REF!),"")</f>
        <v/>
      </c>
      <c r="T933" s="0" t="str">
        <f aca="false">IFERROR(IF(OR(HLOOKUP($A933,#REF!,18,FALSE())&gt;2,HLOOKUP($A933,#REF!,18,FALSE())&lt;-2),"",#REF!),"")</f>
        <v/>
      </c>
      <c r="U933" s="0" t="str">
        <f aca="false">IFERROR(IF(OR(HLOOKUP($A933,#REF!,19,FALSE())&gt;2,HLOOKUP($A933,#REF!,19,FALSE())&lt;-2),"",#REF!),"")</f>
        <v/>
      </c>
      <c r="V933" s="0" t="n">
        <f aca="false">IFERROR(IF(AND(X933=0,Y933=0),0,1),0)</f>
        <v>1</v>
      </c>
      <c r="W933" s="3" t="str">
        <f aca="false">IFERROR(_xlfn.T.TEST(E933:M933,N933:U933,2,2),"")</f>
        <v/>
      </c>
      <c r="X933" s="0" t="str">
        <f aca="false">IFERROR(AVERAGE(E933:M933),"")</f>
        <v/>
      </c>
      <c r="Y933" s="0" t="str">
        <f aca="false">IFERROR(AVERAGE(N933:U933),"")</f>
        <v/>
      </c>
    </row>
    <row r="934" customFormat="false" ht="14.5" hidden="false" customHeight="false" outlineLevel="0" collapsed="false">
      <c r="A934" s="0" t="n">
        <v>942</v>
      </c>
      <c r="B934" s="0" t="s">
        <v>982</v>
      </c>
      <c r="C934" s="0" t="n">
        <v>46700</v>
      </c>
      <c r="D934" s="0" t="n">
        <v>703</v>
      </c>
      <c r="E934" s="0" t="str">
        <f aca="false">IFERROR(IF(OR(HLOOKUP($A934,#REF!,3,FALSE())&gt;2,HLOOKUP(A934,#REF!,3,FALSE())&lt;-2),"",#REF!),"")</f>
        <v/>
      </c>
      <c r="F934" s="0" t="str">
        <f aca="false">IFERROR(IF(OR(HLOOKUP($A934,#REF!,4,FALSE())&gt;2,HLOOKUP($A934,#REF!,4,FALSE())&lt;-2),"",#REF!),"")</f>
        <v/>
      </c>
      <c r="G934" s="0" t="str">
        <f aca="false">IFERROR(IF(OR(HLOOKUP($A934,#REF!,5,FALSE())&gt;2,HLOOKUP($A934,#REF!,5,FALSE())&lt;-2),"",#REF!),"")</f>
        <v/>
      </c>
      <c r="H934" s="0" t="str">
        <f aca="false">IFERROR(IF(OR(HLOOKUP($A934,#REF!,6,FALSE())&gt;2,HLOOKUP($A934,#REF!,6,FALSE())&lt;-2),"",#REF!),"")</f>
        <v/>
      </c>
      <c r="I934" s="0" t="str">
        <f aca="false">IFERROR(IF(OR(HLOOKUP($A934,#REF!,7,FALSE())&gt;2,HLOOKUP($A934,#REF!,7,FALSE())&lt;-2),"",#REF!),"")</f>
        <v/>
      </c>
      <c r="J934" s="0" t="str">
        <f aca="false">IFERROR(IF(OR(HLOOKUP($A934,#REF!,8,FALSE())&gt;2,HLOOKUP($A934,#REF!,8,FALSE())&lt;-2),"",#REF!),"")</f>
        <v/>
      </c>
      <c r="K934" s="0" t="str">
        <f aca="false">IFERROR(IF(OR(HLOOKUP($A934,#REF!,9,FALSE())&gt;2,HLOOKUP($A934,#REF!,9,FALSE())&lt;-2),"",#REF!),"")</f>
        <v/>
      </c>
      <c r="L934" s="0" t="str">
        <f aca="false">IFERROR(IF(OR(HLOOKUP($A934,#REF!,10,FALSE())&gt;2,HLOOKUP($A934,#REF!,10,FALSE())&lt;-2),"",#REF!),"")</f>
        <v/>
      </c>
      <c r="M934" s="0" t="str">
        <f aca="false">IFERROR(IF(OR(HLOOKUP($A934,#REF!,11,FALSE())&gt;2,HLOOKUP($A934,#REF!,11,FALSE())&lt;-2),"",#REF!),"")</f>
        <v/>
      </c>
      <c r="N934" s="0" t="str">
        <f aca="false">IFERROR(IF(OR(HLOOKUP($A934,#REF!,12,FALSE())&gt;2,HLOOKUP($A934,#REF!,12,FALSE())&lt;-2),"",#REF!),"")</f>
        <v/>
      </c>
      <c r="O934" s="0" t="str">
        <f aca="false">IFERROR(IF(OR(HLOOKUP($A934,#REF!,13,FALSE())&gt;2,HLOOKUP($A934,#REF!,13,FALSE())&lt;-2),"",#REF!),"")</f>
        <v/>
      </c>
      <c r="P934" s="0" t="str">
        <f aca="false">IFERROR(IF(OR(HLOOKUP($A934,#REF!,14,FALSE())&gt;2,HLOOKUP($A934,#REF!,14,FALSE())&lt;-2),"",#REF!),"")</f>
        <v/>
      </c>
      <c r="Q934" s="0" t="str">
        <f aca="false">IFERROR(IF(OR(HLOOKUP($A934,#REF!,15,FALSE())&gt;2,HLOOKUP($A934,#REF!,15,FALSE())&lt;-2),"",#REF!),"")</f>
        <v/>
      </c>
      <c r="R934" s="0" t="str">
        <f aca="false">IFERROR(IF(OR(HLOOKUP($A934,#REF!,16,FALSE())&gt;2,HLOOKUP($A934,#REF!,16,FALSE())&lt;-2),"",#REF!),"")</f>
        <v/>
      </c>
      <c r="S934" s="0" t="str">
        <f aca="false">IFERROR(IF(OR(HLOOKUP($A934,#REF!,17,FALSE())&gt;2,HLOOKUP($A934,#REF!,17,FALSE())&lt;-2),"",#REF!),"")</f>
        <v/>
      </c>
      <c r="T934" s="0" t="str">
        <f aca="false">IFERROR(IF(OR(HLOOKUP($A934,#REF!,18,FALSE())&gt;2,HLOOKUP($A934,#REF!,18,FALSE())&lt;-2),"",#REF!),"")</f>
        <v/>
      </c>
      <c r="U934" s="0" t="str">
        <f aca="false">IFERROR(IF(OR(HLOOKUP($A934,#REF!,19,FALSE())&gt;2,HLOOKUP($A934,#REF!,19,FALSE())&lt;-2),"",#REF!),"")</f>
        <v/>
      </c>
      <c r="V934" s="0" t="n">
        <f aca="false">IFERROR(IF(AND(X934=0,Y934=0),0,1),0)</f>
        <v>1</v>
      </c>
      <c r="W934" s="3" t="str">
        <f aca="false">IFERROR(_xlfn.T.TEST(E934:M934,N934:U934,2,2),"")</f>
        <v/>
      </c>
      <c r="X934" s="0" t="str">
        <f aca="false">IFERROR(AVERAGE(E934:M934),"")</f>
        <v/>
      </c>
      <c r="Y934" s="0" t="str">
        <f aca="false">IFERROR(AVERAGE(N934:U934),"")</f>
        <v/>
      </c>
    </row>
    <row r="935" customFormat="false" ht="14.5" hidden="false" customHeight="false" outlineLevel="0" collapsed="false">
      <c r="A935" s="0" t="n">
        <v>943</v>
      </c>
      <c r="B935" s="0" t="s">
        <v>983</v>
      </c>
      <c r="C935" s="0" t="n">
        <v>1700</v>
      </c>
      <c r="D935" s="0" t="n">
        <v>985</v>
      </c>
      <c r="E935" s="0" t="str">
        <f aca="false">IFERROR(IF(OR(HLOOKUP($A935,#REF!,3,FALSE())&gt;2,HLOOKUP(A935,#REF!,3,FALSE())&lt;-2),"",#REF!),"")</f>
        <v/>
      </c>
      <c r="F935" s="0" t="str">
        <f aca="false">IFERROR(IF(OR(HLOOKUP($A935,#REF!,4,FALSE())&gt;2,HLOOKUP($A935,#REF!,4,FALSE())&lt;-2),"",#REF!),"")</f>
        <v/>
      </c>
      <c r="G935" s="0" t="str">
        <f aca="false">IFERROR(IF(OR(HLOOKUP($A935,#REF!,5,FALSE())&gt;2,HLOOKUP($A935,#REF!,5,FALSE())&lt;-2),"",#REF!),"")</f>
        <v/>
      </c>
      <c r="H935" s="0" t="str">
        <f aca="false">IFERROR(IF(OR(HLOOKUP($A935,#REF!,6,FALSE())&gt;2,HLOOKUP($A935,#REF!,6,FALSE())&lt;-2),"",#REF!),"")</f>
        <v/>
      </c>
      <c r="I935" s="0" t="str">
        <f aca="false">IFERROR(IF(OR(HLOOKUP($A935,#REF!,7,FALSE())&gt;2,HLOOKUP($A935,#REF!,7,FALSE())&lt;-2),"",#REF!),"")</f>
        <v/>
      </c>
      <c r="J935" s="0" t="str">
        <f aca="false">IFERROR(IF(OR(HLOOKUP($A935,#REF!,8,FALSE())&gt;2,HLOOKUP($A935,#REF!,8,FALSE())&lt;-2),"",#REF!),"")</f>
        <v/>
      </c>
      <c r="K935" s="0" t="str">
        <f aca="false">IFERROR(IF(OR(HLOOKUP($A935,#REF!,9,FALSE())&gt;2,HLOOKUP($A935,#REF!,9,FALSE())&lt;-2),"",#REF!),"")</f>
        <v/>
      </c>
      <c r="L935" s="0" t="str">
        <f aca="false">IFERROR(IF(OR(HLOOKUP($A935,#REF!,10,FALSE())&gt;2,HLOOKUP($A935,#REF!,10,FALSE())&lt;-2),"",#REF!),"")</f>
        <v/>
      </c>
      <c r="M935" s="0" t="str">
        <f aca="false">IFERROR(IF(OR(HLOOKUP($A935,#REF!,11,FALSE())&gt;2,HLOOKUP($A935,#REF!,11,FALSE())&lt;-2),"",#REF!),"")</f>
        <v/>
      </c>
      <c r="N935" s="0" t="str">
        <f aca="false">IFERROR(IF(OR(HLOOKUP($A935,#REF!,12,FALSE())&gt;2,HLOOKUP($A935,#REF!,12,FALSE())&lt;-2),"",#REF!),"")</f>
        <v/>
      </c>
      <c r="O935" s="0" t="str">
        <f aca="false">IFERROR(IF(OR(HLOOKUP($A935,#REF!,13,FALSE())&gt;2,HLOOKUP($A935,#REF!,13,FALSE())&lt;-2),"",#REF!),"")</f>
        <v/>
      </c>
      <c r="P935" s="0" t="str">
        <f aca="false">IFERROR(IF(OR(HLOOKUP($A935,#REF!,14,FALSE())&gt;2,HLOOKUP($A935,#REF!,14,FALSE())&lt;-2),"",#REF!),"")</f>
        <v/>
      </c>
      <c r="Q935" s="0" t="str">
        <f aca="false">IFERROR(IF(OR(HLOOKUP($A935,#REF!,15,FALSE())&gt;2,HLOOKUP($A935,#REF!,15,FALSE())&lt;-2),"",#REF!),"")</f>
        <v/>
      </c>
      <c r="R935" s="0" t="str">
        <f aca="false">IFERROR(IF(OR(HLOOKUP($A935,#REF!,16,FALSE())&gt;2,HLOOKUP($A935,#REF!,16,FALSE())&lt;-2),"",#REF!),"")</f>
        <v/>
      </c>
      <c r="S935" s="0" t="str">
        <f aca="false">IFERROR(IF(OR(HLOOKUP($A935,#REF!,17,FALSE())&gt;2,HLOOKUP($A935,#REF!,17,FALSE())&lt;-2),"",#REF!),"")</f>
        <v/>
      </c>
      <c r="T935" s="0" t="str">
        <f aca="false">IFERROR(IF(OR(HLOOKUP($A935,#REF!,18,FALSE())&gt;2,HLOOKUP($A935,#REF!,18,FALSE())&lt;-2),"",#REF!),"")</f>
        <v/>
      </c>
      <c r="U935" s="0" t="str">
        <f aca="false">IFERROR(IF(OR(HLOOKUP($A935,#REF!,19,FALSE())&gt;2,HLOOKUP($A935,#REF!,19,FALSE())&lt;-2),"",#REF!),"")</f>
        <v/>
      </c>
      <c r="V935" s="0" t="n">
        <f aca="false">IFERROR(IF(AND(X935=0,Y935=0),0,1),0)</f>
        <v>1</v>
      </c>
      <c r="W935" s="3" t="str">
        <f aca="false">IFERROR(_xlfn.T.TEST(E935:M935,N935:U935,2,2),"")</f>
        <v/>
      </c>
      <c r="X935" s="0" t="str">
        <f aca="false">IFERROR(AVERAGE(E935:M935),"")</f>
        <v/>
      </c>
      <c r="Y935" s="0" t="str">
        <f aca="false">IFERROR(AVERAGE(N935:U935),"")</f>
        <v/>
      </c>
    </row>
    <row r="936" customFormat="false" ht="14.5" hidden="false" customHeight="false" outlineLevel="0" collapsed="false">
      <c r="A936" s="0" t="n">
        <v>944</v>
      </c>
      <c r="B936" s="0" t="s">
        <v>984</v>
      </c>
      <c r="C936" s="0" t="n">
        <v>58000</v>
      </c>
      <c r="D936" s="0" t="n">
        <v>645</v>
      </c>
      <c r="E936" s="0" t="str">
        <f aca="false">IFERROR(IF(OR(HLOOKUP($A936,#REF!,3,FALSE())&gt;2,HLOOKUP(A936,#REF!,3,FALSE())&lt;-2),"",#REF!),"")</f>
        <v/>
      </c>
      <c r="F936" s="0" t="str">
        <f aca="false">IFERROR(IF(OR(HLOOKUP($A936,#REF!,4,FALSE())&gt;2,HLOOKUP($A936,#REF!,4,FALSE())&lt;-2),"",#REF!),"")</f>
        <v/>
      </c>
      <c r="G936" s="0" t="str">
        <f aca="false">IFERROR(IF(OR(HLOOKUP($A936,#REF!,5,FALSE())&gt;2,HLOOKUP($A936,#REF!,5,FALSE())&lt;-2),"",#REF!),"")</f>
        <v/>
      </c>
      <c r="H936" s="0" t="str">
        <f aca="false">IFERROR(IF(OR(HLOOKUP($A936,#REF!,6,FALSE())&gt;2,HLOOKUP($A936,#REF!,6,FALSE())&lt;-2),"",#REF!),"")</f>
        <v/>
      </c>
      <c r="I936" s="0" t="str">
        <f aca="false">IFERROR(IF(OR(HLOOKUP($A936,#REF!,7,FALSE())&gt;2,HLOOKUP($A936,#REF!,7,FALSE())&lt;-2),"",#REF!),"")</f>
        <v/>
      </c>
      <c r="J936" s="0" t="str">
        <f aca="false">IFERROR(IF(OR(HLOOKUP($A936,#REF!,8,FALSE())&gt;2,HLOOKUP($A936,#REF!,8,FALSE())&lt;-2),"",#REF!),"")</f>
        <v/>
      </c>
      <c r="K936" s="0" t="str">
        <f aca="false">IFERROR(IF(OR(HLOOKUP($A936,#REF!,9,FALSE())&gt;2,HLOOKUP($A936,#REF!,9,FALSE())&lt;-2),"",#REF!),"")</f>
        <v/>
      </c>
      <c r="L936" s="0" t="str">
        <f aca="false">IFERROR(IF(OR(HLOOKUP($A936,#REF!,10,FALSE())&gt;2,HLOOKUP($A936,#REF!,10,FALSE())&lt;-2),"",#REF!),"")</f>
        <v/>
      </c>
      <c r="M936" s="0" t="str">
        <f aca="false">IFERROR(IF(OR(HLOOKUP($A936,#REF!,11,FALSE())&gt;2,HLOOKUP($A936,#REF!,11,FALSE())&lt;-2),"",#REF!),"")</f>
        <v/>
      </c>
      <c r="N936" s="0" t="str">
        <f aca="false">IFERROR(IF(OR(HLOOKUP($A936,#REF!,12,FALSE())&gt;2,HLOOKUP($A936,#REF!,12,FALSE())&lt;-2),"",#REF!),"")</f>
        <v/>
      </c>
      <c r="O936" s="0" t="str">
        <f aca="false">IFERROR(IF(OR(HLOOKUP($A936,#REF!,13,FALSE())&gt;2,HLOOKUP($A936,#REF!,13,FALSE())&lt;-2),"",#REF!),"")</f>
        <v/>
      </c>
      <c r="P936" s="0" t="str">
        <f aca="false">IFERROR(IF(OR(HLOOKUP($A936,#REF!,14,FALSE())&gt;2,HLOOKUP($A936,#REF!,14,FALSE())&lt;-2),"",#REF!),"")</f>
        <v/>
      </c>
      <c r="Q936" s="0" t="str">
        <f aca="false">IFERROR(IF(OR(HLOOKUP($A936,#REF!,15,FALSE())&gt;2,HLOOKUP($A936,#REF!,15,FALSE())&lt;-2),"",#REF!),"")</f>
        <v/>
      </c>
      <c r="R936" s="0" t="str">
        <f aca="false">IFERROR(IF(OR(HLOOKUP($A936,#REF!,16,FALSE())&gt;2,HLOOKUP($A936,#REF!,16,FALSE())&lt;-2),"",#REF!),"")</f>
        <v/>
      </c>
      <c r="S936" s="0" t="str">
        <f aca="false">IFERROR(IF(OR(HLOOKUP($A936,#REF!,17,FALSE())&gt;2,HLOOKUP($A936,#REF!,17,FALSE())&lt;-2),"",#REF!),"")</f>
        <v/>
      </c>
      <c r="T936" s="0" t="str">
        <f aca="false">IFERROR(IF(OR(HLOOKUP($A936,#REF!,18,FALSE())&gt;2,HLOOKUP($A936,#REF!,18,FALSE())&lt;-2),"",#REF!),"")</f>
        <v/>
      </c>
      <c r="U936" s="0" t="str">
        <f aca="false">IFERROR(IF(OR(HLOOKUP($A936,#REF!,19,FALSE())&gt;2,HLOOKUP($A936,#REF!,19,FALSE())&lt;-2),"",#REF!),"")</f>
        <v/>
      </c>
      <c r="V936" s="0" t="n">
        <f aca="false">IFERROR(IF(AND(X936=0,Y936=0),0,1),0)</f>
        <v>1</v>
      </c>
      <c r="W936" s="3" t="str">
        <f aca="false">IFERROR(_xlfn.T.TEST(E936:M936,N936:U936,2,2),"")</f>
        <v/>
      </c>
      <c r="X936" s="0" t="str">
        <f aca="false">IFERROR(AVERAGE(E936:M936),"")</f>
        <v/>
      </c>
      <c r="Y936" s="0" t="str">
        <f aca="false">IFERROR(AVERAGE(N936:U936),"")</f>
        <v/>
      </c>
    </row>
    <row r="937" customFormat="false" ht="14.5" hidden="false" customHeight="false" outlineLevel="0" collapsed="false">
      <c r="A937" s="0" t="n">
        <v>945</v>
      </c>
      <c r="B937" s="0" t="s">
        <v>985</v>
      </c>
      <c r="C937" s="0" t="n">
        <v>6800</v>
      </c>
      <c r="D937" s="0" t="n">
        <v>369</v>
      </c>
      <c r="E937" s="0" t="str">
        <f aca="false">IFERROR(IF(OR(HLOOKUP($A937,#REF!,3,FALSE())&gt;2,HLOOKUP(A937,#REF!,3,FALSE())&lt;-2),"",#REF!),"")</f>
        <v/>
      </c>
      <c r="F937" s="0" t="str">
        <f aca="false">IFERROR(IF(OR(HLOOKUP($A937,#REF!,4,FALSE())&gt;2,HLOOKUP($A937,#REF!,4,FALSE())&lt;-2),"",#REF!),"")</f>
        <v/>
      </c>
      <c r="G937" s="0" t="str">
        <f aca="false">IFERROR(IF(OR(HLOOKUP($A937,#REF!,5,FALSE())&gt;2,HLOOKUP($A937,#REF!,5,FALSE())&lt;-2),"",#REF!),"")</f>
        <v/>
      </c>
      <c r="H937" s="0" t="str">
        <f aca="false">IFERROR(IF(OR(HLOOKUP($A937,#REF!,6,FALSE())&gt;2,HLOOKUP($A937,#REF!,6,FALSE())&lt;-2),"",#REF!),"")</f>
        <v/>
      </c>
      <c r="I937" s="0" t="str">
        <f aca="false">IFERROR(IF(OR(HLOOKUP($A937,#REF!,7,FALSE())&gt;2,HLOOKUP($A937,#REF!,7,FALSE())&lt;-2),"",#REF!),"")</f>
        <v/>
      </c>
      <c r="J937" s="0" t="str">
        <f aca="false">IFERROR(IF(OR(HLOOKUP($A937,#REF!,8,FALSE())&gt;2,HLOOKUP($A937,#REF!,8,FALSE())&lt;-2),"",#REF!),"")</f>
        <v/>
      </c>
      <c r="K937" s="0" t="str">
        <f aca="false">IFERROR(IF(OR(HLOOKUP($A937,#REF!,9,FALSE())&gt;2,HLOOKUP($A937,#REF!,9,FALSE())&lt;-2),"",#REF!),"")</f>
        <v/>
      </c>
      <c r="L937" s="0" t="str">
        <f aca="false">IFERROR(IF(OR(HLOOKUP($A937,#REF!,10,FALSE())&gt;2,HLOOKUP($A937,#REF!,10,FALSE())&lt;-2),"",#REF!),"")</f>
        <v/>
      </c>
      <c r="M937" s="0" t="str">
        <f aca="false">IFERROR(IF(OR(HLOOKUP($A937,#REF!,11,FALSE())&gt;2,HLOOKUP($A937,#REF!,11,FALSE())&lt;-2),"",#REF!),"")</f>
        <v/>
      </c>
      <c r="N937" s="0" t="str">
        <f aca="false">IFERROR(IF(OR(HLOOKUP($A937,#REF!,12,FALSE())&gt;2,HLOOKUP($A937,#REF!,12,FALSE())&lt;-2),"",#REF!),"")</f>
        <v/>
      </c>
      <c r="O937" s="0" t="str">
        <f aca="false">IFERROR(IF(OR(HLOOKUP($A937,#REF!,13,FALSE())&gt;2,HLOOKUP($A937,#REF!,13,FALSE())&lt;-2),"",#REF!),"")</f>
        <v/>
      </c>
      <c r="P937" s="0" t="str">
        <f aca="false">IFERROR(IF(OR(HLOOKUP($A937,#REF!,14,FALSE())&gt;2,HLOOKUP($A937,#REF!,14,FALSE())&lt;-2),"",#REF!),"")</f>
        <v/>
      </c>
      <c r="Q937" s="0" t="str">
        <f aca="false">IFERROR(IF(OR(HLOOKUP($A937,#REF!,15,FALSE())&gt;2,HLOOKUP($A937,#REF!,15,FALSE())&lt;-2),"",#REF!),"")</f>
        <v/>
      </c>
      <c r="R937" s="0" t="str">
        <f aca="false">IFERROR(IF(OR(HLOOKUP($A937,#REF!,16,FALSE())&gt;2,HLOOKUP($A937,#REF!,16,FALSE())&lt;-2),"",#REF!),"")</f>
        <v/>
      </c>
      <c r="S937" s="0" t="str">
        <f aca="false">IFERROR(IF(OR(HLOOKUP($A937,#REF!,17,FALSE())&gt;2,HLOOKUP($A937,#REF!,17,FALSE())&lt;-2),"",#REF!),"")</f>
        <v/>
      </c>
      <c r="T937" s="0" t="str">
        <f aca="false">IFERROR(IF(OR(HLOOKUP($A937,#REF!,18,FALSE())&gt;2,HLOOKUP($A937,#REF!,18,FALSE())&lt;-2),"",#REF!),"")</f>
        <v/>
      </c>
      <c r="U937" s="0" t="str">
        <f aca="false">IFERROR(IF(OR(HLOOKUP($A937,#REF!,19,FALSE())&gt;2,HLOOKUP($A937,#REF!,19,FALSE())&lt;-2),"",#REF!),"")</f>
        <v/>
      </c>
      <c r="V937" s="0" t="n">
        <f aca="false">IFERROR(IF(AND(X937=0,Y937=0),0,1),0)</f>
        <v>1</v>
      </c>
      <c r="W937" s="3" t="str">
        <f aca="false">IFERROR(_xlfn.T.TEST(E937:M937,N937:U937,2,2),"")</f>
        <v/>
      </c>
      <c r="X937" s="0" t="str">
        <f aca="false">IFERROR(AVERAGE(E937:M937),"")</f>
        <v/>
      </c>
      <c r="Y937" s="0" t="str">
        <f aca="false">IFERROR(AVERAGE(N937:U937),"")</f>
        <v/>
      </c>
    </row>
    <row r="938" customFormat="false" ht="14.5" hidden="false" customHeight="false" outlineLevel="0" collapsed="false">
      <c r="A938" s="0" t="n">
        <v>946</v>
      </c>
      <c r="B938" s="0" t="s">
        <v>986</v>
      </c>
      <c r="C938" s="0" t="n">
        <v>77150</v>
      </c>
      <c r="D938" s="0" t="n">
        <v>467</v>
      </c>
      <c r="E938" s="0" t="str">
        <f aca="false">IFERROR(IF(OR(HLOOKUP($A938,#REF!,3,FALSE())&gt;2,HLOOKUP(A938,#REF!,3,FALSE())&lt;-2),"",#REF!),"")</f>
        <v/>
      </c>
      <c r="F938" s="0" t="str">
        <f aca="false">IFERROR(IF(OR(HLOOKUP($A938,#REF!,4,FALSE())&gt;2,HLOOKUP($A938,#REF!,4,FALSE())&lt;-2),"",#REF!),"")</f>
        <v/>
      </c>
      <c r="G938" s="0" t="str">
        <f aca="false">IFERROR(IF(OR(HLOOKUP($A938,#REF!,5,FALSE())&gt;2,HLOOKUP($A938,#REF!,5,FALSE())&lt;-2),"",#REF!),"")</f>
        <v/>
      </c>
      <c r="H938" s="0" t="str">
        <f aca="false">IFERROR(IF(OR(HLOOKUP($A938,#REF!,6,FALSE())&gt;2,HLOOKUP($A938,#REF!,6,FALSE())&lt;-2),"",#REF!),"")</f>
        <v/>
      </c>
      <c r="I938" s="0" t="str">
        <f aca="false">IFERROR(IF(OR(HLOOKUP($A938,#REF!,7,FALSE())&gt;2,HLOOKUP($A938,#REF!,7,FALSE())&lt;-2),"",#REF!),"")</f>
        <v/>
      </c>
      <c r="J938" s="0" t="str">
        <f aca="false">IFERROR(IF(OR(HLOOKUP($A938,#REF!,8,FALSE())&gt;2,HLOOKUP($A938,#REF!,8,FALSE())&lt;-2),"",#REF!),"")</f>
        <v/>
      </c>
      <c r="K938" s="0" t="str">
        <f aca="false">IFERROR(IF(OR(HLOOKUP($A938,#REF!,9,FALSE())&gt;2,HLOOKUP($A938,#REF!,9,FALSE())&lt;-2),"",#REF!),"")</f>
        <v/>
      </c>
      <c r="L938" s="0" t="str">
        <f aca="false">IFERROR(IF(OR(HLOOKUP($A938,#REF!,10,FALSE())&gt;2,HLOOKUP($A938,#REF!,10,FALSE())&lt;-2),"",#REF!),"")</f>
        <v/>
      </c>
      <c r="M938" s="0" t="str">
        <f aca="false">IFERROR(IF(OR(HLOOKUP($A938,#REF!,11,FALSE())&gt;2,HLOOKUP($A938,#REF!,11,FALSE())&lt;-2),"",#REF!),"")</f>
        <v/>
      </c>
      <c r="N938" s="0" t="str">
        <f aca="false">IFERROR(IF(OR(HLOOKUP($A938,#REF!,12,FALSE())&gt;2,HLOOKUP($A938,#REF!,12,FALSE())&lt;-2),"",#REF!),"")</f>
        <v/>
      </c>
      <c r="O938" s="0" t="str">
        <f aca="false">IFERROR(IF(OR(HLOOKUP($A938,#REF!,13,FALSE())&gt;2,HLOOKUP($A938,#REF!,13,FALSE())&lt;-2),"",#REF!),"")</f>
        <v/>
      </c>
      <c r="P938" s="0" t="str">
        <f aca="false">IFERROR(IF(OR(HLOOKUP($A938,#REF!,14,FALSE())&gt;2,HLOOKUP($A938,#REF!,14,FALSE())&lt;-2),"",#REF!),"")</f>
        <v/>
      </c>
      <c r="Q938" s="0" t="str">
        <f aca="false">IFERROR(IF(OR(HLOOKUP($A938,#REF!,15,FALSE())&gt;2,HLOOKUP($A938,#REF!,15,FALSE())&lt;-2),"",#REF!),"")</f>
        <v/>
      </c>
      <c r="R938" s="0" t="str">
        <f aca="false">IFERROR(IF(OR(HLOOKUP($A938,#REF!,16,FALSE())&gt;2,HLOOKUP($A938,#REF!,16,FALSE())&lt;-2),"",#REF!),"")</f>
        <v/>
      </c>
      <c r="S938" s="0" t="str">
        <f aca="false">IFERROR(IF(OR(HLOOKUP($A938,#REF!,17,FALSE())&gt;2,HLOOKUP($A938,#REF!,17,FALSE())&lt;-2),"",#REF!),"")</f>
        <v/>
      </c>
      <c r="T938" s="0" t="str">
        <f aca="false">IFERROR(IF(OR(HLOOKUP($A938,#REF!,18,FALSE())&gt;2,HLOOKUP($A938,#REF!,18,FALSE())&lt;-2),"",#REF!),"")</f>
        <v/>
      </c>
      <c r="U938" s="0" t="str">
        <f aca="false">IFERROR(IF(OR(HLOOKUP($A938,#REF!,19,FALSE())&gt;2,HLOOKUP($A938,#REF!,19,FALSE())&lt;-2),"",#REF!),"")</f>
        <v/>
      </c>
      <c r="V938" s="0" t="n">
        <f aca="false">IFERROR(IF(AND(X938=0,Y938=0),0,1),0)</f>
        <v>1</v>
      </c>
      <c r="W938" s="3" t="str">
        <f aca="false">IFERROR(_xlfn.T.TEST(E938:M938,N938:U938,2,2),"")</f>
        <v/>
      </c>
      <c r="X938" s="0" t="str">
        <f aca="false">IFERROR(AVERAGE(E938:M938),"")</f>
        <v/>
      </c>
      <c r="Y938" s="0" t="str">
        <f aca="false">IFERROR(AVERAGE(N938:U938),"")</f>
        <v/>
      </c>
    </row>
    <row r="939" customFormat="false" ht="14.5" hidden="false" customHeight="false" outlineLevel="0" collapsed="false">
      <c r="A939" s="0" t="n">
        <v>947</v>
      </c>
      <c r="B939" s="0" t="s">
        <v>987</v>
      </c>
      <c r="C939" s="0" t="n">
        <v>1400</v>
      </c>
      <c r="D939" s="0" t="n">
        <v>500</v>
      </c>
      <c r="E939" s="0" t="str">
        <f aca="false">IFERROR(IF(OR(HLOOKUP($A939,#REF!,3,FALSE())&gt;2,HLOOKUP(A939,#REF!,3,FALSE())&lt;-2),"",#REF!),"")</f>
        <v/>
      </c>
      <c r="F939" s="0" t="str">
        <f aca="false">IFERROR(IF(OR(HLOOKUP($A939,#REF!,4,FALSE())&gt;2,HLOOKUP($A939,#REF!,4,FALSE())&lt;-2),"",#REF!),"")</f>
        <v/>
      </c>
      <c r="G939" s="0" t="str">
        <f aca="false">IFERROR(IF(OR(HLOOKUP($A939,#REF!,5,FALSE())&gt;2,HLOOKUP($A939,#REF!,5,FALSE())&lt;-2),"",#REF!),"")</f>
        <v/>
      </c>
      <c r="H939" s="0" t="str">
        <f aca="false">IFERROR(IF(OR(HLOOKUP($A939,#REF!,6,FALSE())&gt;2,HLOOKUP($A939,#REF!,6,FALSE())&lt;-2),"",#REF!),"")</f>
        <v/>
      </c>
      <c r="I939" s="0" t="str">
        <f aca="false">IFERROR(IF(OR(HLOOKUP($A939,#REF!,7,FALSE())&gt;2,HLOOKUP($A939,#REF!,7,FALSE())&lt;-2),"",#REF!),"")</f>
        <v/>
      </c>
      <c r="J939" s="0" t="str">
        <f aca="false">IFERROR(IF(OR(HLOOKUP($A939,#REF!,8,FALSE())&gt;2,HLOOKUP($A939,#REF!,8,FALSE())&lt;-2),"",#REF!),"")</f>
        <v/>
      </c>
      <c r="K939" s="0" t="str">
        <f aca="false">IFERROR(IF(OR(HLOOKUP($A939,#REF!,9,FALSE())&gt;2,HLOOKUP($A939,#REF!,9,FALSE())&lt;-2),"",#REF!),"")</f>
        <v/>
      </c>
      <c r="L939" s="0" t="str">
        <f aca="false">IFERROR(IF(OR(HLOOKUP($A939,#REF!,10,FALSE())&gt;2,HLOOKUP($A939,#REF!,10,FALSE())&lt;-2),"",#REF!),"")</f>
        <v/>
      </c>
      <c r="M939" s="0" t="str">
        <f aca="false">IFERROR(IF(OR(HLOOKUP($A939,#REF!,11,FALSE())&gt;2,HLOOKUP($A939,#REF!,11,FALSE())&lt;-2),"",#REF!),"")</f>
        <v/>
      </c>
      <c r="N939" s="0" t="str">
        <f aca="false">IFERROR(IF(OR(HLOOKUP($A939,#REF!,12,FALSE())&gt;2,HLOOKUP($A939,#REF!,12,FALSE())&lt;-2),"",#REF!),"")</f>
        <v/>
      </c>
      <c r="O939" s="0" t="str">
        <f aca="false">IFERROR(IF(OR(HLOOKUP($A939,#REF!,13,FALSE())&gt;2,HLOOKUP($A939,#REF!,13,FALSE())&lt;-2),"",#REF!),"")</f>
        <v/>
      </c>
      <c r="P939" s="0" t="str">
        <f aca="false">IFERROR(IF(OR(HLOOKUP($A939,#REF!,14,FALSE())&gt;2,HLOOKUP($A939,#REF!,14,FALSE())&lt;-2),"",#REF!),"")</f>
        <v/>
      </c>
      <c r="Q939" s="0" t="str">
        <f aca="false">IFERROR(IF(OR(HLOOKUP($A939,#REF!,15,FALSE())&gt;2,HLOOKUP($A939,#REF!,15,FALSE())&lt;-2),"",#REF!),"")</f>
        <v/>
      </c>
      <c r="R939" s="0" t="str">
        <f aca="false">IFERROR(IF(OR(HLOOKUP($A939,#REF!,16,FALSE())&gt;2,HLOOKUP($A939,#REF!,16,FALSE())&lt;-2),"",#REF!),"")</f>
        <v/>
      </c>
      <c r="S939" s="0" t="str">
        <f aca="false">IFERROR(IF(OR(HLOOKUP($A939,#REF!,17,FALSE())&gt;2,HLOOKUP($A939,#REF!,17,FALSE())&lt;-2),"",#REF!),"")</f>
        <v/>
      </c>
      <c r="T939" s="0" t="str">
        <f aca="false">IFERROR(IF(OR(HLOOKUP($A939,#REF!,18,FALSE())&gt;2,HLOOKUP($A939,#REF!,18,FALSE())&lt;-2),"",#REF!),"")</f>
        <v/>
      </c>
      <c r="U939" s="0" t="str">
        <f aca="false">IFERROR(IF(OR(HLOOKUP($A939,#REF!,19,FALSE())&gt;2,HLOOKUP($A939,#REF!,19,FALSE())&lt;-2),"",#REF!),"")</f>
        <v/>
      </c>
      <c r="V939" s="0" t="n">
        <f aca="false">IFERROR(IF(AND(X939=0,Y939=0),0,1),0)</f>
        <v>1</v>
      </c>
      <c r="W939" s="3" t="str">
        <f aca="false">IFERROR(_xlfn.T.TEST(E939:M939,N939:U939,2,2),"")</f>
        <v/>
      </c>
      <c r="X939" s="0" t="str">
        <f aca="false">IFERROR(AVERAGE(E939:M939),"")</f>
        <v/>
      </c>
      <c r="Y939" s="0" t="str">
        <f aca="false">IFERROR(AVERAGE(N939:U939),"")</f>
        <v/>
      </c>
    </row>
    <row r="940" customFormat="false" ht="14.5" hidden="false" customHeight="false" outlineLevel="0" collapsed="false">
      <c r="A940" s="0" t="n">
        <v>948</v>
      </c>
      <c r="B940" s="0" t="s">
        <v>988</v>
      </c>
      <c r="C940" s="0" t="n">
        <v>100700</v>
      </c>
      <c r="D940" s="0" t="n">
        <v>933</v>
      </c>
      <c r="E940" s="0" t="str">
        <f aca="false">IFERROR(IF(OR(HLOOKUP($A940,#REF!,3,FALSE())&gt;2,HLOOKUP(A940,#REF!,3,FALSE())&lt;-2),"",#REF!),"")</f>
        <v/>
      </c>
      <c r="F940" s="0" t="str">
        <f aca="false">IFERROR(IF(OR(HLOOKUP($A940,#REF!,4,FALSE())&gt;2,HLOOKUP($A940,#REF!,4,FALSE())&lt;-2),"",#REF!),"")</f>
        <v/>
      </c>
      <c r="G940" s="0" t="str">
        <f aca="false">IFERROR(IF(OR(HLOOKUP($A940,#REF!,5,FALSE())&gt;2,HLOOKUP($A940,#REF!,5,FALSE())&lt;-2),"",#REF!),"")</f>
        <v/>
      </c>
      <c r="H940" s="0" t="str">
        <f aca="false">IFERROR(IF(OR(HLOOKUP($A940,#REF!,6,FALSE())&gt;2,HLOOKUP($A940,#REF!,6,FALSE())&lt;-2),"",#REF!),"")</f>
        <v/>
      </c>
      <c r="I940" s="0" t="str">
        <f aca="false">IFERROR(IF(OR(HLOOKUP($A940,#REF!,7,FALSE())&gt;2,HLOOKUP($A940,#REF!,7,FALSE())&lt;-2),"",#REF!),"")</f>
        <v/>
      </c>
      <c r="J940" s="0" t="str">
        <f aca="false">IFERROR(IF(OR(HLOOKUP($A940,#REF!,8,FALSE())&gt;2,HLOOKUP($A940,#REF!,8,FALSE())&lt;-2),"",#REF!),"")</f>
        <v/>
      </c>
      <c r="K940" s="0" t="str">
        <f aca="false">IFERROR(IF(OR(HLOOKUP($A940,#REF!,9,FALSE())&gt;2,HLOOKUP($A940,#REF!,9,FALSE())&lt;-2),"",#REF!),"")</f>
        <v/>
      </c>
      <c r="L940" s="0" t="str">
        <f aca="false">IFERROR(IF(OR(HLOOKUP($A940,#REF!,10,FALSE())&gt;2,HLOOKUP($A940,#REF!,10,FALSE())&lt;-2),"",#REF!),"")</f>
        <v/>
      </c>
      <c r="M940" s="0" t="str">
        <f aca="false">IFERROR(IF(OR(HLOOKUP($A940,#REF!,11,FALSE())&gt;2,HLOOKUP($A940,#REF!,11,FALSE())&lt;-2),"",#REF!),"")</f>
        <v/>
      </c>
      <c r="N940" s="0" t="str">
        <f aca="false">IFERROR(IF(OR(HLOOKUP($A940,#REF!,12,FALSE())&gt;2,HLOOKUP($A940,#REF!,12,FALSE())&lt;-2),"",#REF!),"")</f>
        <v/>
      </c>
      <c r="O940" s="0" t="str">
        <f aca="false">IFERROR(IF(OR(HLOOKUP($A940,#REF!,13,FALSE())&gt;2,HLOOKUP($A940,#REF!,13,FALSE())&lt;-2),"",#REF!),"")</f>
        <v/>
      </c>
      <c r="P940" s="0" t="str">
        <f aca="false">IFERROR(IF(OR(HLOOKUP($A940,#REF!,14,FALSE())&gt;2,HLOOKUP($A940,#REF!,14,FALSE())&lt;-2),"",#REF!),"")</f>
        <v/>
      </c>
      <c r="Q940" s="0" t="str">
        <f aca="false">IFERROR(IF(OR(HLOOKUP($A940,#REF!,15,FALSE())&gt;2,HLOOKUP($A940,#REF!,15,FALSE())&lt;-2),"",#REF!),"")</f>
        <v/>
      </c>
      <c r="R940" s="0" t="str">
        <f aca="false">IFERROR(IF(OR(HLOOKUP($A940,#REF!,16,FALSE())&gt;2,HLOOKUP($A940,#REF!,16,FALSE())&lt;-2),"",#REF!),"")</f>
        <v/>
      </c>
      <c r="S940" s="0" t="str">
        <f aca="false">IFERROR(IF(OR(HLOOKUP($A940,#REF!,17,FALSE())&gt;2,HLOOKUP($A940,#REF!,17,FALSE())&lt;-2),"",#REF!),"")</f>
        <v/>
      </c>
      <c r="T940" s="0" t="str">
        <f aca="false">IFERROR(IF(OR(HLOOKUP($A940,#REF!,18,FALSE())&gt;2,HLOOKUP($A940,#REF!,18,FALSE())&lt;-2),"",#REF!),"")</f>
        <v/>
      </c>
      <c r="U940" s="0" t="str">
        <f aca="false">IFERROR(IF(OR(HLOOKUP($A940,#REF!,19,FALSE())&gt;2,HLOOKUP($A940,#REF!,19,FALSE())&lt;-2),"",#REF!),"")</f>
        <v/>
      </c>
      <c r="V940" s="0" t="n">
        <f aca="false">IFERROR(IF(AND(X940=0,Y940=0),0,1),0)</f>
        <v>1</v>
      </c>
      <c r="W940" s="3" t="str">
        <f aca="false">IFERROR(_xlfn.T.TEST(E940:M940,N940:U940,2,2),"")</f>
        <v/>
      </c>
      <c r="X940" s="0" t="str">
        <f aca="false">IFERROR(AVERAGE(E940:M940),"")</f>
        <v/>
      </c>
      <c r="Y940" s="0" t="str">
        <f aca="false">IFERROR(AVERAGE(N940:U940),"")</f>
        <v/>
      </c>
    </row>
    <row r="941" customFormat="false" ht="14.5" hidden="false" customHeight="false" outlineLevel="0" collapsed="false">
      <c r="A941" s="0" t="n">
        <v>949</v>
      </c>
      <c r="B941" s="0" t="s">
        <v>989</v>
      </c>
      <c r="C941" s="0" t="n">
        <v>97500</v>
      </c>
      <c r="D941" s="0" t="n">
        <v>967</v>
      </c>
      <c r="E941" s="0" t="str">
        <f aca="false">IFERROR(IF(OR(HLOOKUP($A941,#REF!,3,FALSE())&gt;2,HLOOKUP(A941,#REF!,3,FALSE())&lt;-2),"",#REF!),"")</f>
        <v/>
      </c>
      <c r="F941" s="0" t="str">
        <f aca="false">IFERROR(IF(OR(HLOOKUP($A941,#REF!,4,FALSE())&gt;2,HLOOKUP($A941,#REF!,4,FALSE())&lt;-2),"",#REF!),"")</f>
        <v/>
      </c>
      <c r="G941" s="0" t="str">
        <f aca="false">IFERROR(IF(OR(HLOOKUP($A941,#REF!,5,FALSE())&gt;2,HLOOKUP($A941,#REF!,5,FALSE())&lt;-2),"",#REF!),"")</f>
        <v/>
      </c>
      <c r="H941" s="0" t="str">
        <f aca="false">IFERROR(IF(OR(HLOOKUP($A941,#REF!,6,FALSE())&gt;2,HLOOKUP($A941,#REF!,6,FALSE())&lt;-2),"",#REF!),"")</f>
        <v/>
      </c>
      <c r="I941" s="0" t="str">
        <f aca="false">IFERROR(IF(OR(HLOOKUP($A941,#REF!,7,FALSE())&gt;2,HLOOKUP($A941,#REF!,7,FALSE())&lt;-2),"",#REF!),"")</f>
        <v/>
      </c>
      <c r="J941" s="0" t="str">
        <f aca="false">IFERROR(IF(OR(HLOOKUP($A941,#REF!,8,FALSE())&gt;2,HLOOKUP($A941,#REF!,8,FALSE())&lt;-2),"",#REF!),"")</f>
        <v/>
      </c>
      <c r="K941" s="0" t="str">
        <f aca="false">IFERROR(IF(OR(HLOOKUP($A941,#REF!,9,FALSE())&gt;2,HLOOKUP($A941,#REF!,9,FALSE())&lt;-2),"",#REF!),"")</f>
        <v/>
      </c>
      <c r="L941" s="0" t="str">
        <f aca="false">IFERROR(IF(OR(HLOOKUP($A941,#REF!,10,FALSE())&gt;2,HLOOKUP($A941,#REF!,10,FALSE())&lt;-2),"",#REF!),"")</f>
        <v/>
      </c>
      <c r="M941" s="0" t="str">
        <f aca="false">IFERROR(IF(OR(HLOOKUP($A941,#REF!,11,FALSE())&gt;2,HLOOKUP($A941,#REF!,11,FALSE())&lt;-2),"",#REF!),"")</f>
        <v/>
      </c>
      <c r="N941" s="0" t="str">
        <f aca="false">IFERROR(IF(OR(HLOOKUP($A941,#REF!,12,FALSE())&gt;2,HLOOKUP($A941,#REF!,12,FALSE())&lt;-2),"",#REF!),"")</f>
        <v/>
      </c>
      <c r="O941" s="0" t="str">
        <f aca="false">IFERROR(IF(OR(HLOOKUP($A941,#REF!,13,FALSE())&gt;2,HLOOKUP($A941,#REF!,13,FALSE())&lt;-2),"",#REF!),"")</f>
        <v/>
      </c>
      <c r="P941" s="0" t="str">
        <f aca="false">IFERROR(IF(OR(HLOOKUP($A941,#REF!,14,FALSE())&gt;2,HLOOKUP($A941,#REF!,14,FALSE())&lt;-2),"",#REF!),"")</f>
        <v/>
      </c>
      <c r="Q941" s="0" t="str">
        <f aca="false">IFERROR(IF(OR(HLOOKUP($A941,#REF!,15,FALSE())&gt;2,HLOOKUP($A941,#REF!,15,FALSE())&lt;-2),"",#REF!),"")</f>
        <v/>
      </c>
      <c r="R941" s="0" t="str">
        <f aca="false">IFERROR(IF(OR(HLOOKUP($A941,#REF!,16,FALSE())&gt;2,HLOOKUP($A941,#REF!,16,FALSE())&lt;-2),"",#REF!),"")</f>
        <v/>
      </c>
      <c r="S941" s="0" t="str">
        <f aca="false">IFERROR(IF(OR(HLOOKUP($A941,#REF!,17,FALSE())&gt;2,HLOOKUP($A941,#REF!,17,FALSE())&lt;-2),"",#REF!),"")</f>
        <v/>
      </c>
      <c r="T941" s="0" t="str">
        <f aca="false">IFERROR(IF(OR(HLOOKUP($A941,#REF!,18,FALSE())&gt;2,HLOOKUP($A941,#REF!,18,FALSE())&lt;-2),"",#REF!),"")</f>
        <v/>
      </c>
      <c r="U941" s="0" t="str">
        <f aca="false">IFERROR(IF(OR(HLOOKUP($A941,#REF!,19,FALSE())&gt;2,HLOOKUP($A941,#REF!,19,FALSE())&lt;-2),"",#REF!),"")</f>
        <v/>
      </c>
      <c r="V941" s="0" t="n">
        <f aca="false">IFERROR(IF(AND(X941=0,Y941=0),0,1),0)</f>
        <v>1</v>
      </c>
      <c r="W941" s="3" t="str">
        <f aca="false">IFERROR(_xlfn.T.TEST(E941:M941,N941:U941,2,2),"")</f>
        <v/>
      </c>
      <c r="X941" s="0" t="str">
        <f aca="false">IFERROR(AVERAGE(E941:M941),"")</f>
        <v/>
      </c>
      <c r="Y941" s="0" t="str">
        <f aca="false">IFERROR(AVERAGE(N941:U941),"")</f>
        <v/>
      </c>
    </row>
    <row r="942" customFormat="false" ht="14.5" hidden="false" customHeight="false" outlineLevel="0" collapsed="false">
      <c r="A942" s="0" t="n">
        <v>950</v>
      </c>
      <c r="B942" s="0" t="s">
        <v>990</v>
      </c>
      <c r="C942" s="0" t="n">
        <v>5900</v>
      </c>
      <c r="D942" s="0" t="n">
        <v>345</v>
      </c>
      <c r="E942" s="0" t="str">
        <f aca="false">IFERROR(IF(OR(HLOOKUP($A942,#REF!,3,FALSE())&gt;2,HLOOKUP(A942,#REF!,3,FALSE())&lt;-2),"",#REF!),"")</f>
        <v/>
      </c>
      <c r="F942" s="0" t="str">
        <f aca="false">IFERROR(IF(OR(HLOOKUP($A942,#REF!,4,FALSE())&gt;2,HLOOKUP($A942,#REF!,4,FALSE())&lt;-2),"",#REF!),"")</f>
        <v/>
      </c>
      <c r="G942" s="0" t="str">
        <f aca="false">IFERROR(IF(OR(HLOOKUP($A942,#REF!,5,FALSE())&gt;2,HLOOKUP($A942,#REF!,5,FALSE())&lt;-2),"",#REF!),"")</f>
        <v/>
      </c>
      <c r="H942" s="0" t="str">
        <f aca="false">IFERROR(IF(OR(HLOOKUP($A942,#REF!,6,FALSE())&gt;2,HLOOKUP($A942,#REF!,6,FALSE())&lt;-2),"",#REF!),"")</f>
        <v/>
      </c>
      <c r="I942" s="0" t="str">
        <f aca="false">IFERROR(IF(OR(HLOOKUP($A942,#REF!,7,FALSE())&gt;2,HLOOKUP($A942,#REF!,7,FALSE())&lt;-2),"",#REF!),"")</f>
        <v/>
      </c>
      <c r="J942" s="0" t="str">
        <f aca="false">IFERROR(IF(OR(HLOOKUP($A942,#REF!,8,FALSE())&gt;2,HLOOKUP($A942,#REF!,8,FALSE())&lt;-2),"",#REF!),"")</f>
        <v/>
      </c>
      <c r="K942" s="0" t="str">
        <f aca="false">IFERROR(IF(OR(HLOOKUP($A942,#REF!,9,FALSE())&gt;2,HLOOKUP($A942,#REF!,9,FALSE())&lt;-2),"",#REF!),"")</f>
        <v/>
      </c>
      <c r="L942" s="0" t="str">
        <f aca="false">IFERROR(IF(OR(HLOOKUP($A942,#REF!,10,FALSE())&gt;2,HLOOKUP($A942,#REF!,10,FALSE())&lt;-2),"",#REF!),"")</f>
        <v/>
      </c>
      <c r="M942" s="0" t="str">
        <f aca="false">IFERROR(IF(OR(HLOOKUP($A942,#REF!,11,FALSE())&gt;2,HLOOKUP($A942,#REF!,11,FALSE())&lt;-2),"",#REF!),"")</f>
        <v/>
      </c>
      <c r="N942" s="0" t="str">
        <f aca="false">IFERROR(IF(OR(HLOOKUP($A942,#REF!,12,FALSE())&gt;2,HLOOKUP($A942,#REF!,12,FALSE())&lt;-2),"",#REF!),"")</f>
        <v/>
      </c>
      <c r="O942" s="0" t="str">
        <f aca="false">IFERROR(IF(OR(HLOOKUP($A942,#REF!,13,FALSE())&gt;2,HLOOKUP($A942,#REF!,13,FALSE())&lt;-2),"",#REF!),"")</f>
        <v/>
      </c>
      <c r="P942" s="0" t="str">
        <f aca="false">IFERROR(IF(OR(HLOOKUP($A942,#REF!,14,FALSE())&gt;2,HLOOKUP($A942,#REF!,14,FALSE())&lt;-2),"",#REF!),"")</f>
        <v/>
      </c>
      <c r="Q942" s="0" t="str">
        <f aca="false">IFERROR(IF(OR(HLOOKUP($A942,#REF!,15,FALSE())&gt;2,HLOOKUP($A942,#REF!,15,FALSE())&lt;-2),"",#REF!),"")</f>
        <v/>
      </c>
      <c r="R942" s="0" t="str">
        <f aca="false">IFERROR(IF(OR(HLOOKUP($A942,#REF!,16,FALSE())&gt;2,HLOOKUP($A942,#REF!,16,FALSE())&lt;-2),"",#REF!),"")</f>
        <v/>
      </c>
      <c r="S942" s="0" t="str">
        <f aca="false">IFERROR(IF(OR(HLOOKUP($A942,#REF!,17,FALSE())&gt;2,HLOOKUP($A942,#REF!,17,FALSE())&lt;-2),"",#REF!),"")</f>
        <v/>
      </c>
      <c r="T942" s="0" t="str">
        <f aca="false">IFERROR(IF(OR(HLOOKUP($A942,#REF!,18,FALSE())&gt;2,HLOOKUP($A942,#REF!,18,FALSE())&lt;-2),"",#REF!),"")</f>
        <v/>
      </c>
      <c r="U942" s="0" t="str">
        <f aca="false">IFERROR(IF(OR(HLOOKUP($A942,#REF!,19,FALSE())&gt;2,HLOOKUP($A942,#REF!,19,FALSE())&lt;-2),"",#REF!),"")</f>
        <v/>
      </c>
      <c r="V942" s="0" t="n">
        <f aca="false">IFERROR(IF(AND(X942=0,Y942=0),0,1),0)</f>
        <v>1</v>
      </c>
      <c r="W942" s="3" t="str">
        <f aca="false">IFERROR(_xlfn.T.TEST(E942:M942,N942:U942,2,2),"")</f>
        <v/>
      </c>
      <c r="X942" s="0" t="str">
        <f aca="false">IFERROR(AVERAGE(E942:M942),"")</f>
        <v/>
      </c>
      <c r="Y942" s="0" t="str">
        <f aca="false">IFERROR(AVERAGE(N942:U942),"")</f>
        <v/>
      </c>
    </row>
    <row r="943" customFormat="false" ht="14.5" hidden="false" customHeight="false" outlineLevel="0" collapsed="false">
      <c r="A943" s="0" t="n">
        <v>951</v>
      </c>
      <c r="B943" s="0" t="s">
        <v>991</v>
      </c>
      <c r="C943" s="0" t="n">
        <v>58400</v>
      </c>
      <c r="D943" s="0" t="n">
        <v>645</v>
      </c>
      <c r="E943" s="0" t="str">
        <f aca="false">IFERROR(IF(OR(HLOOKUP($A943,#REF!,3,FALSE())&gt;2,HLOOKUP(A943,#REF!,3,FALSE())&lt;-2),"",#REF!),"")</f>
        <v/>
      </c>
      <c r="F943" s="0" t="str">
        <f aca="false">IFERROR(IF(OR(HLOOKUP($A943,#REF!,4,FALSE())&gt;2,HLOOKUP($A943,#REF!,4,FALSE())&lt;-2),"",#REF!),"")</f>
        <v/>
      </c>
      <c r="G943" s="0" t="str">
        <f aca="false">IFERROR(IF(OR(HLOOKUP($A943,#REF!,5,FALSE())&gt;2,HLOOKUP($A943,#REF!,5,FALSE())&lt;-2),"",#REF!),"")</f>
        <v/>
      </c>
      <c r="H943" s="0" t="str">
        <f aca="false">IFERROR(IF(OR(HLOOKUP($A943,#REF!,6,FALSE())&gt;2,HLOOKUP($A943,#REF!,6,FALSE())&lt;-2),"",#REF!),"")</f>
        <v/>
      </c>
      <c r="I943" s="0" t="str">
        <f aca="false">IFERROR(IF(OR(HLOOKUP($A943,#REF!,7,FALSE())&gt;2,HLOOKUP($A943,#REF!,7,FALSE())&lt;-2),"",#REF!),"")</f>
        <v/>
      </c>
      <c r="J943" s="0" t="str">
        <f aca="false">IFERROR(IF(OR(HLOOKUP($A943,#REF!,8,FALSE())&gt;2,HLOOKUP($A943,#REF!,8,FALSE())&lt;-2),"",#REF!),"")</f>
        <v/>
      </c>
      <c r="K943" s="0" t="str">
        <f aca="false">IFERROR(IF(OR(HLOOKUP($A943,#REF!,9,FALSE())&gt;2,HLOOKUP($A943,#REF!,9,FALSE())&lt;-2),"",#REF!),"")</f>
        <v/>
      </c>
      <c r="L943" s="0" t="str">
        <f aca="false">IFERROR(IF(OR(HLOOKUP($A943,#REF!,10,FALSE())&gt;2,HLOOKUP($A943,#REF!,10,FALSE())&lt;-2),"",#REF!),"")</f>
        <v/>
      </c>
      <c r="M943" s="0" t="str">
        <f aca="false">IFERROR(IF(OR(HLOOKUP($A943,#REF!,11,FALSE())&gt;2,HLOOKUP($A943,#REF!,11,FALSE())&lt;-2),"",#REF!),"")</f>
        <v/>
      </c>
      <c r="N943" s="0" t="str">
        <f aca="false">IFERROR(IF(OR(HLOOKUP($A943,#REF!,12,FALSE())&gt;2,HLOOKUP($A943,#REF!,12,FALSE())&lt;-2),"",#REF!),"")</f>
        <v/>
      </c>
      <c r="O943" s="0" t="str">
        <f aca="false">IFERROR(IF(OR(HLOOKUP($A943,#REF!,13,FALSE())&gt;2,HLOOKUP($A943,#REF!,13,FALSE())&lt;-2),"",#REF!),"")</f>
        <v/>
      </c>
      <c r="P943" s="0" t="str">
        <f aca="false">IFERROR(IF(OR(HLOOKUP($A943,#REF!,14,FALSE())&gt;2,HLOOKUP($A943,#REF!,14,FALSE())&lt;-2),"",#REF!),"")</f>
        <v/>
      </c>
      <c r="Q943" s="0" t="str">
        <f aca="false">IFERROR(IF(OR(HLOOKUP($A943,#REF!,15,FALSE())&gt;2,HLOOKUP($A943,#REF!,15,FALSE())&lt;-2),"",#REF!),"")</f>
        <v/>
      </c>
      <c r="R943" s="0" t="str">
        <f aca="false">IFERROR(IF(OR(HLOOKUP($A943,#REF!,16,FALSE())&gt;2,HLOOKUP($A943,#REF!,16,FALSE())&lt;-2),"",#REF!),"")</f>
        <v/>
      </c>
      <c r="S943" s="0" t="str">
        <f aca="false">IFERROR(IF(OR(HLOOKUP($A943,#REF!,17,FALSE())&gt;2,HLOOKUP($A943,#REF!,17,FALSE())&lt;-2),"",#REF!),"")</f>
        <v/>
      </c>
      <c r="T943" s="0" t="str">
        <f aca="false">IFERROR(IF(OR(HLOOKUP($A943,#REF!,18,FALSE())&gt;2,HLOOKUP($A943,#REF!,18,FALSE())&lt;-2),"",#REF!),"")</f>
        <v/>
      </c>
      <c r="U943" s="0" t="str">
        <f aca="false">IFERROR(IF(OR(HLOOKUP($A943,#REF!,19,FALSE())&gt;2,HLOOKUP($A943,#REF!,19,FALSE())&lt;-2),"",#REF!),"")</f>
        <v/>
      </c>
      <c r="V943" s="0" t="n">
        <f aca="false">IFERROR(IF(AND(X943=0,Y943=0),0,1),0)</f>
        <v>1</v>
      </c>
      <c r="W943" s="3" t="str">
        <f aca="false">IFERROR(_xlfn.T.TEST(E943:M943,N943:U943,2,2),"")</f>
        <v/>
      </c>
      <c r="X943" s="0" t="str">
        <f aca="false">IFERROR(AVERAGE(E943:M943),"")</f>
        <v/>
      </c>
      <c r="Y943" s="0" t="str">
        <f aca="false">IFERROR(AVERAGE(N943:U943),"")</f>
        <v/>
      </c>
    </row>
    <row r="944" customFormat="false" ht="14.5" hidden="false" customHeight="false" outlineLevel="0" collapsed="false">
      <c r="A944" s="0" t="n">
        <v>952</v>
      </c>
      <c r="B944" s="0" t="s">
        <v>992</v>
      </c>
      <c r="C944" s="0" t="n">
        <v>46800</v>
      </c>
      <c r="D944" s="0" t="n">
        <v>942</v>
      </c>
      <c r="E944" s="0" t="str">
        <f aca="false">IFERROR(IF(OR(HLOOKUP($A944,#REF!,3,FALSE())&gt;2,HLOOKUP(A944,#REF!,3,FALSE())&lt;-2),"",#REF!),"")</f>
        <v/>
      </c>
      <c r="F944" s="0" t="str">
        <f aca="false">IFERROR(IF(OR(HLOOKUP($A944,#REF!,4,FALSE())&gt;2,HLOOKUP($A944,#REF!,4,FALSE())&lt;-2),"",#REF!),"")</f>
        <v/>
      </c>
      <c r="G944" s="0" t="str">
        <f aca="false">IFERROR(IF(OR(HLOOKUP($A944,#REF!,5,FALSE())&gt;2,HLOOKUP($A944,#REF!,5,FALSE())&lt;-2),"",#REF!),"")</f>
        <v/>
      </c>
      <c r="H944" s="0" t="str">
        <f aca="false">IFERROR(IF(OR(HLOOKUP($A944,#REF!,6,FALSE())&gt;2,HLOOKUP($A944,#REF!,6,FALSE())&lt;-2),"",#REF!),"")</f>
        <v/>
      </c>
      <c r="I944" s="0" t="str">
        <f aca="false">IFERROR(IF(OR(HLOOKUP($A944,#REF!,7,FALSE())&gt;2,HLOOKUP($A944,#REF!,7,FALSE())&lt;-2),"",#REF!),"")</f>
        <v/>
      </c>
      <c r="J944" s="0" t="str">
        <f aca="false">IFERROR(IF(OR(HLOOKUP($A944,#REF!,8,FALSE())&gt;2,HLOOKUP($A944,#REF!,8,FALSE())&lt;-2),"",#REF!),"")</f>
        <v/>
      </c>
      <c r="K944" s="0" t="str">
        <f aca="false">IFERROR(IF(OR(HLOOKUP($A944,#REF!,9,FALSE())&gt;2,HLOOKUP($A944,#REF!,9,FALSE())&lt;-2),"",#REF!),"")</f>
        <v/>
      </c>
      <c r="L944" s="0" t="str">
        <f aca="false">IFERROR(IF(OR(HLOOKUP($A944,#REF!,10,FALSE())&gt;2,HLOOKUP($A944,#REF!,10,FALSE())&lt;-2),"",#REF!),"")</f>
        <v/>
      </c>
      <c r="M944" s="0" t="str">
        <f aca="false">IFERROR(IF(OR(HLOOKUP($A944,#REF!,11,FALSE())&gt;2,HLOOKUP($A944,#REF!,11,FALSE())&lt;-2),"",#REF!),"")</f>
        <v/>
      </c>
      <c r="N944" s="0" t="str">
        <f aca="false">IFERROR(IF(OR(HLOOKUP($A944,#REF!,12,FALSE())&gt;2,HLOOKUP($A944,#REF!,12,FALSE())&lt;-2),"",#REF!),"")</f>
        <v/>
      </c>
      <c r="O944" s="0" t="str">
        <f aca="false">IFERROR(IF(OR(HLOOKUP($A944,#REF!,13,FALSE())&gt;2,HLOOKUP($A944,#REF!,13,FALSE())&lt;-2),"",#REF!),"")</f>
        <v/>
      </c>
      <c r="P944" s="0" t="str">
        <f aca="false">IFERROR(IF(OR(HLOOKUP($A944,#REF!,14,FALSE())&gt;2,HLOOKUP($A944,#REF!,14,FALSE())&lt;-2),"",#REF!),"")</f>
        <v/>
      </c>
      <c r="Q944" s="0" t="str">
        <f aca="false">IFERROR(IF(OR(HLOOKUP($A944,#REF!,15,FALSE())&gt;2,HLOOKUP($A944,#REF!,15,FALSE())&lt;-2),"",#REF!),"")</f>
        <v/>
      </c>
      <c r="R944" s="0" t="str">
        <f aca="false">IFERROR(IF(OR(HLOOKUP($A944,#REF!,16,FALSE())&gt;2,HLOOKUP($A944,#REF!,16,FALSE())&lt;-2),"",#REF!),"")</f>
        <v/>
      </c>
      <c r="S944" s="0" t="str">
        <f aca="false">IFERROR(IF(OR(HLOOKUP($A944,#REF!,17,FALSE())&gt;2,HLOOKUP($A944,#REF!,17,FALSE())&lt;-2),"",#REF!),"")</f>
        <v/>
      </c>
      <c r="T944" s="0" t="str">
        <f aca="false">IFERROR(IF(OR(HLOOKUP($A944,#REF!,18,FALSE())&gt;2,HLOOKUP($A944,#REF!,18,FALSE())&lt;-2),"",#REF!),"")</f>
        <v/>
      </c>
      <c r="U944" s="0" t="str">
        <f aca="false">IFERROR(IF(OR(HLOOKUP($A944,#REF!,19,FALSE())&gt;2,HLOOKUP($A944,#REF!,19,FALSE())&lt;-2),"",#REF!),"")</f>
        <v/>
      </c>
      <c r="V944" s="0" t="n">
        <f aca="false">IFERROR(IF(AND(X944=0,Y944=0),0,1),0)</f>
        <v>1</v>
      </c>
      <c r="W944" s="3" t="str">
        <f aca="false">IFERROR(_xlfn.T.TEST(E944:M944,N944:U944,2,2),"")</f>
        <v/>
      </c>
      <c r="X944" s="0" t="str">
        <f aca="false">IFERROR(AVERAGE(E944:M944),"")</f>
        <v/>
      </c>
      <c r="Y944" s="0" t="str">
        <f aca="false">IFERROR(AVERAGE(N944:U944),"")</f>
        <v/>
      </c>
    </row>
    <row r="945" customFormat="false" ht="14.5" hidden="false" customHeight="false" outlineLevel="0" collapsed="false">
      <c r="A945" s="0" t="n">
        <v>953</v>
      </c>
      <c r="B945" s="0" t="s">
        <v>993</v>
      </c>
      <c r="C945" s="0" t="n">
        <v>69900</v>
      </c>
      <c r="D945" s="0" t="n">
        <v>958</v>
      </c>
      <c r="E945" s="0" t="str">
        <f aca="false">IFERROR(IF(OR(HLOOKUP($A945,#REF!,3,FALSE())&gt;2,HLOOKUP(A945,#REF!,3,FALSE())&lt;-2),"",#REF!),"")</f>
        <v/>
      </c>
      <c r="F945" s="0" t="str">
        <f aca="false">IFERROR(IF(OR(HLOOKUP($A945,#REF!,4,FALSE())&gt;2,HLOOKUP($A945,#REF!,4,FALSE())&lt;-2),"",#REF!),"")</f>
        <v/>
      </c>
      <c r="G945" s="0" t="str">
        <f aca="false">IFERROR(IF(OR(HLOOKUP($A945,#REF!,5,FALSE())&gt;2,HLOOKUP($A945,#REF!,5,FALSE())&lt;-2),"",#REF!),"")</f>
        <v/>
      </c>
      <c r="H945" s="0" t="str">
        <f aca="false">IFERROR(IF(OR(HLOOKUP($A945,#REF!,6,FALSE())&gt;2,HLOOKUP($A945,#REF!,6,FALSE())&lt;-2),"",#REF!),"")</f>
        <v/>
      </c>
      <c r="I945" s="0" t="str">
        <f aca="false">IFERROR(IF(OR(HLOOKUP($A945,#REF!,7,FALSE())&gt;2,HLOOKUP($A945,#REF!,7,FALSE())&lt;-2),"",#REF!),"")</f>
        <v/>
      </c>
      <c r="J945" s="0" t="str">
        <f aca="false">IFERROR(IF(OR(HLOOKUP($A945,#REF!,8,FALSE())&gt;2,HLOOKUP($A945,#REF!,8,FALSE())&lt;-2),"",#REF!),"")</f>
        <v/>
      </c>
      <c r="K945" s="0" t="str">
        <f aca="false">IFERROR(IF(OR(HLOOKUP($A945,#REF!,9,FALSE())&gt;2,HLOOKUP($A945,#REF!,9,FALSE())&lt;-2),"",#REF!),"")</f>
        <v/>
      </c>
      <c r="L945" s="0" t="str">
        <f aca="false">IFERROR(IF(OR(HLOOKUP($A945,#REF!,10,FALSE())&gt;2,HLOOKUP($A945,#REF!,10,FALSE())&lt;-2),"",#REF!),"")</f>
        <v/>
      </c>
      <c r="M945" s="0" t="str">
        <f aca="false">IFERROR(IF(OR(HLOOKUP($A945,#REF!,11,FALSE())&gt;2,HLOOKUP($A945,#REF!,11,FALSE())&lt;-2),"",#REF!),"")</f>
        <v/>
      </c>
      <c r="N945" s="0" t="str">
        <f aca="false">IFERROR(IF(OR(HLOOKUP($A945,#REF!,12,FALSE())&gt;2,HLOOKUP($A945,#REF!,12,FALSE())&lt;-2),"",#REF!),"")</f>
        <v/>
      </c>
      <c r="O945" s="0" t="str">
        <f aca="false">IFERROR(IF(OR(HLOOKUP($A945,#REF!,13,FALSE())&gt;2,HLOOKUP($A945,#REF!,13,FALSE())&lt;-2),"",#REF!),"")</f>
        <v/>
      </c>
      <c r="P945" s="0" t="str">
        <f aca="false">IFERROR(IF(OR(HLOOKUP($A945,#REF!,14,FALSE())&gt;2,HLOOKUP($A945,#REF!,14,FALSE())&lt;-2),"",#REF!),"")</f>
        <v/>
      </c>
      <c r="Q945" s="0" t="str">
        <f aca="false">IFERROR(IF(OR(HLOOKUP($A945,#REF!,15,FALSE())&gt;2,HLOOKUP($A945,#REF!,15,FALSE())&lt;-2),"",#REF!),"")</f>
        <v/>
      </c>
      <c r="R945" s="0" t="str">
        <f aca="false">IFERROR(IF(OR(HLOOKUP($A945,#REF!,16,FALSE())&gt;2,HLOOKUP($A945,#REF!,16,FALSE())&lt;-2),"",#REF!),"")</f>
        <v/>
      </c>
      <c r="S945" s="0" t="str">
        <f aca="false">IFERROR(IF(OR(HLOOKUP($A945,#REF!,17,FALSE())&gt;2,HLOOKUP($A945,#REF!,17,FALSE())&lt;-2),"",#REF!),"")</f>
        <v/>
      </c>
      <c r="T945" s="0" t="str">
        <f aca="false">IFERROR(IF(OR(HLOOKUP($A945,#REF!,18,FALSE())&gt;2,HLOOKUP($A945,#REF!,18,FALSE())&lt;-2),"",#REF!),"")</f>
        <v/>
      </c>
      <c r="U945" s="0" t="str">
        <f aca="false">IFERROR(IF(OR(HLOOKUP($A945,#REF!,19,FALSE())&gt;2,HLOOKUP($A945,#REF!,19,FALSE())&lt;-2),"",#REF!),"")</f>
        <v/>
      </c>
      <c r="V945" s="0" t="n">
        <f aca="false">IFERROR(IF(AND(X945=0,Y945=0),0,1),0)</f>
        <v>1</v>
      </c>
      <c r="W945" s="3" t="str">
        <f aca="false">IFERROR(_xlfn.T.TEST(E945:M945,N945:U945,2,2),"")</f>
        <v/>
      </c>
      <c r="X945" s="0" t="str">
        <f aca="false">IFERROR(AVERAGE(E945:M945),"")</f>
        <v/>
      </c>
      <c r="Y945" s="0" t="str">
        <f aca="false">IFERROR(AVERAGE(N945:U945),"")</f>
        <v/>
      </c>
    </row>
    <row r="946" customFormat="false" ht="14.5" hidden="false" customHeight="false" outlineLevel="0" collapsed="false">
      <c r="A946" s="0" t="n">
        <v>954</v>
      </c>
      <c r="B946" s="0" t="s">
        <v>994</v>
      </c>
      <c r="C946" s="0" t="n">
        <v>11800</v>
      </c>
      <c r="D946" s="0" t="n">
        <v>1002</v>
      </c>
      <c r="E946" s="0" t="str">
        <f aca="false">IFERROR(IF(OR(HLOOKUP($A946,#REF!,3,FALSE())&gt;2,HLOOKUP(A946,#REF!,3,FALSE())&lt;-2),"",#REF!),"")</f>
        <v/>
      </c>
      <c r="F946" s="0" t="str">
        <f aca="false">IFERROR(IF(OR(HLOOKUP($A946,#REF!,4,FALSE())&gt;2,HLOOKUP($A946,#REF!,4,FALSE())&lt;-2),"",#REF!),"")</f>
        <v/>
      </c>
      <c r="G946" s="0" t="str">
        <f aca="false">IFERROR(IF(OR(HLOOKUP($A946,#REF!,5,FALSE())&gt;2,HLOOKUP($A946,#REF!,5,FALSE())&lt;-2),"",#REF!),"")</f>
        <v/>
      </c>
      <c r="H946" s="0" t="str">
        <f aca="false">IFERROR(IF(OR(HLOOKUP($A946,#REF!,6,FALSE())&gt;2,HLOOKUP($A946,#REF!,6,FALSE())&lt;-2),"",#REF!),"")</f>
        <v/>
      </c>
      <c r="I946" s="0" t="str">
        <f aca="false">IFERROR(IF(OR(HLOOKUP($A946,#REF!,7,FALSE())&gt;2,HLOOKUP($A946,#REF!,7,FALSE())&lt;-2),"",#REF!),"")</f>
        <v/>
      </c>
      <c r="J946" s="0" t="str">
        <f aca="false">IFERROR(IF(OR(HLOOKUP($A946,#REF!,8,FALSE())&gt;2,HLOOKUP($A946,#REF!,8,FALSE())&lt;-2),"",#REF!),"")</f>
        <v/>
      </c>
      <c r="K946" s="0" t="str">
        <f aca="false">IFERROR(IF(OR(HLOOKUP($A946,#REF!,9,FALSE())&gt;2,HLOOKUP($A946,#REF!,9,FALSE())&lt;-2),"",#REF!),"")</f>
        <v/>
      </c>
      <c r="L946" s="0" t="str">
        <f aca="false">IFERROR(IF(OR(HLOOKUP($A946,#REF!,10,FALSE())&gt;2,HLOOKUP($A946,#REF!,10,FALSE())&lt;-2),"",#REF!),"")</f>
        <v/>
      </c>
      <c r="M946" s="0" t="str">
        <f aca="false">IFERROR(IF(OR(HLOOKUP($A946,#REF!,11,FALSE())&gt;2,HLOOKUP($A946,#REF!,11,FALSE())&lt;-2),"",#REF!),"")</f>
        <v/>
      </c>
      <c r="N946" s="0" t="str">
        <f aca="false">IFERROR(IF(OR(HLOOKUP($A946,#REF!,12,FALSE())&gt;2,HLOOKUP($A946,#REF!,12,FALSE())&lt;-2),"",#REF!),"")</f>
        <v/>
      </c>
      <c r="O946" s="0" t="str">
        <f aca="false">IFERROR(IF(OR(HLOOKUP($A946,#REF!,13,FALSE())&gt;2,HLOOKUP($A946,#REF!,13,FALSE())&lt;-2),"",#REF!),"")</f>
        <v/>
      </c>
      <c r="P946" s="0" t="str">
        <f aca="false">IFERROR(IF(OR(HLOOKUP($A946,#REF!,14,FALSE())&gt;2,HLOOKUP($A946,#REF!,14,FALSE())&lt;-2),"",#REF!),"")</f>
        <v/>
      </c>
      <c r="Q946" s="0" t="str">
        <f aca="false">IFERROR(IF(OR(HLOOKUP($A946,#REF!,15,FALSE())&gt;2,HLOOKUP($A946,#REF!,15,FALSE())&lt;-2),"",#REF!),"")</f>
        <v/>
      </c>
      <c r="R946" s="0" t="str">
        <f aca="false">IFERROR(IF(OR(HLOOKUP($A946,#REF!,16,FALSE())&gt;2,HLOOKUP($A946,#REF!,16,FALSE())&lt;-2),"",#REF!),"")</f>
        <v/>
      </c>
      <c r="S946" s="0" t="str">
        <f aca="false">IFERROR(IF(OR(HLOOKUP($A946,#REF!,17,FALSE())&gt;2,HLOOKUP($A946,#REF!,17,FALSE())&lt;-2),"",#REF!),"")</f>
        <v/>
      </c>
      <c r="T946" s="0" t="str">
        <f aca="false">IFERROR(IF(OR(HLOOKUP($A946,#REF!,18,FALSE())&gt;2,HLOOKUP($A946,#REF!,18,FALSE())&lt;-2),"",#REF!),"")</f>
        <v/>
      </c>
      <c r="U946" s="0" t="str">
        <f aca="false">IFERROR(IF(OR(HLOOKUP($A946,#REF!,19,FALSE())&gt;2,HLOOKUP($A946,#REF!,19,FALSE())&lt;-2),"",#REF!),"")</f>
        <v/>
      </c>
      <c r="V946" s="0" t="n">
        <f aca="false">IFERROR(IF(AND(X946=0,Y946=0),0,1),0)</f>
        <v>1</v>
      </c>
      <c r="W946" s="3" t="str">
        <f aca="false">IFERROR(_xlfn.T.TEST(E946:M946,N946:U946,2,2),"")</f>
        <v/>
      </c>
      <c r="X946" s="0" t="str">
        <f aca="false">IFERROR(AVERAGE(E946:M946),"")</f>
        <v/>
      </c>
      <c r="Y946" s="0" t="str">
        <f aca="false">IFERROR(AVERAGE(N946:U946),"")</f>
        <v/>
      </c>
    </row>
    <row r="947" customFormat="false" ht="14.5" hidden="false" customHeight="false" outlineLevel="0" collapsed="false">
      <c r="A947" s="0" t="n">
        <v>955</v>
      </c>
      <c r="B947" s="0" t="s">
        <v>995</v>
      </c>
      <c r="C947" s="0" t="n">
        <v>94000</v>
      </c>
      <c r="D947" s="0" t="n">
        <v>235</v>
      </c>
      <c r="E947" s="0" t="str">
        <f aca="false">IFERROR(IF(OR(HLOOKUP($A947,#REF!,3,FALSE())&gt;2,HLOOKUP(A947,#REF!,3,FALSE())&lt;-2),"",#REF!),"")</f>
        <v/>
      </c>
      <c r="F947" s="0" t="str">
        <f aca="false">IFERROR(IF(OR(HLOOKUP($A947,#REF!,4,FALSE())&gt;2,HLOOKUP($A947,#REF!,4,FALSE())&lt;-2),"",#REF!),"")</f>
        <v/>
      </c>
      <c r="G947" s="0" t="str">
        <f aca="false">IFERROR(IF(OR(HLOOKUP($A947,#REF!,5,FALSE())&gt;2,HLOOKUP($A947,#REF!,5,FALSE())&lt;-2),"",#REF!),"")</f>
        <v/>
      </c>
      <c r="H947" s="0" t="str">
        <f aca="false">IFERROR(IF(OR(HLOOKUP($A947,#REF!,6,FALSE())&gt;2,HLOOKUP($A947,#REF!,6,FALSE())&lt;-2),"",#REF!),"")</f>
        <v/>
      </c>
      <c r="I947" s="0" t="str">
        <f aca="false">IFERROR(IF(OR(HLOOKUP($A947,#REF!,7,FALSE())&gt;2,HLOOKUP($A947,#REF!,7,FALSE())&lt;-2),"",#REF!),"")</f>
        <v/>
      </c>
      <c r="J947" s="0" t="str">
        <f aca="false">IFERROR(IF(OR(HLOOKUP($A947,#REF!,8,FALSE())&gt;2,HLOOKUP($A947,#REF!,8,FALSE())&lt;-2),"",#REF!),"")</f>
        <v/>
      </c>
      <c r="K947" s="0" t="str">
        <f aca="false">IFERROR(IF(OR(HLOOKUP($A947,#REF!,9,FALSE())&gt;2,HLOOKUP($A947,#REF!,9,FALSE())&lt;-2),"",#REF!),"")</f>
        <v/>
      </c>
      <c r="L947" s="0" t="str">
        <f aca="false">IFERROR(IF(OR(HLOOKUP($A947,#REF!,10,FALSE())&gt;2,HLOOKUP($A947,#REF!,10,FALSE())&lt;-2),"",#REF!),"")</f>
        <v/>
      </c>
      <c r="M947" s="0" t="str">
        <f aca="false">IFERROR(IF(OR(HLOOKUP($A947,#REF!,11,FALSE())&gt;2,HLOOKUP($A947,#REF!,11,FALSE())&lt;-2),"",#REF!),"")</f>
        <v/>
      </c>
      <c r="N947" s="0" t="str">
        <f aca="false">IFERROR(IF(OR(HLOOKUP($A947,#REF!,12,FALSE())&gt;2,HLOOKUP($A947,#REF!,12,FALSE())&lt;-2),"",#REF!),"")</f>
        <v/>
      </c>
      <c r="O947" s="0" t="str">
        <f aca="false">IFERROR(IF(OR(HLOOKUP($A947,#REF!,13,FALSE())&gt;2,HLOOKUP($A947,#REF!,13,FALSE())&lt;-2),"",#REF!),"")</f>
        <v/>
      </c>
      <c r="P947" s="0" t="str">
        <f aca="false">IFERROR(IF(OR(HLOOKUP($A947,#REF!,14,FALSE())&gt;2,HLOOKUP($A947,#REF!,14,FALSE())&lt;-2),"",#REF!),"")</f>
        <v/>
      </c>
      <c r="Q947" s="0" t="str">
        <f aca="false">IFERROR(IF(OR(HLOOKUP($A947,#REF!,15,FALSE())&gt;2,HLOOKUP($A947,#REF!,15,FALSE())&lt;-2),"",#REF!),"")</f>
        <v/>
      </c>
      <c r="R947" s="0" t="str">
        <f aca="false">IFERROR(IF(OR(HLOOKUP($A947,#REF!,16,FALSE())&gt;2,HLOOKUP($A947,#REF!,16,FALSE())&lt;-2),"",#REF!),"")</f>
        <v/>
      </c>
      <c r="S947" s="0" t="str">
        <f aca="false">IFERROR(IF(OR(HLOOKUP($A947,#REF!,17,FALSE())&gt;2,HLOOKUP($A947,#REF!,17,FALSE())&lt;-2),"",#REF!),"")</f>
        <v/>
      </c>
      <c r="T947" s="0" t="str">
        <f aca="false">IFERROR(IF(OR(HLOOKUP($A947,#REF!,18,FALSE())&gt;2,HLOOKUP($A947,#REF!,18,FALSE())&lt;-2),"",#REF!),"")</f>
        <v/>
      </c>
      <c r="U947" s="0" t="str">
        <f aca="false">IFERROR(IF(OR(HLOOKUP($A947,#REF!,19,FALSE())&gt;2,HLOOKUP($A947,#REF!,19,FALSE())&lt;-2),"",#REF!),"")</f>
        <v/>
      </c>
      <c r="V947" s="0" t="n">
        <f aca="false">IFERROR(IF(AND(X947=0,Y947=0),0,1),0)</f>
        <v>1</v>
      </c>
      <c r="W947" s="3" t="str">
        <f aca="false">IFERROR(_xlfn.T.TEST(E947:M947,N947:U947,2,2),"")</f>
        <v/>
      </c>
      <c r="X947" s="0" t="str">
        <f aca="false">IFERROR(AVERAGE(E947:M947),"")</f>
        <v/>
      </c>
      <c r="Y947" s="0" t="str">
        <f aca="false">IFERROR(AVERAGE(N947:U947),"")</f>
        <v/>
      </c>
    </row>
    <row r="948" customFormat="false" ht="14.5" hidden="false" customHeight="false" outlineLevel="0" collapsed="false">
      <c r="A948" s="0" t="n">
        <v>956</v>
      </c>
      <c r="B948" s="0" t="s">
        <v>996</v>
      </c>
      <c r="C948" s="0" t="n">
        <v>106200</v>
      </c>
      <c r="D948" s="0" t="n">
        <v>776</v>
      </c>
      <c r="E948" s="0" t="str">
        <f aca="false">IFERROR(IF(OR(HLOOKUP($A948,#REF!,3,FALSE())&gt;2,HLOOKUP(A948,#REF!,3,FALSE())&lt;-2),"",#REF!),"")</f>
        <v/>
      </c>
      <c r="F948" s="0" t="str">
        <f aca="false">IFERROR(IF(OR(HLOOKUP($A948,#REF!,4,FALSE())&gt;2,HLOOKUP($A948,#REF!,4,FALSE())&lt;-2),"",#REF!),"")</f>
        <v/>
      </c>
      <c r="G948" s="0" t="str">
        <f aca="false">IFERROR(IF(OR(HLOOKUP($A948,#REF!,5,FALSE())&gt;2,HLOOKUP($A948,#REF!,5,FALSE())&lt;-2),"",#REF!),"")</f>
        <v/>
      </c>
      <c r="H948" s="0" t="str">
        <f aca="false">IFERROR(IF(OR(HLOOKUP($A948,#REF!,6,FALSE())&gt;2,HLOOKUP($A948,#REF!,6,FALSE())&lt;-2),"",#REF!),"")</f>
        <v/>
      </c>
      <c r="I948" s="0" t="str">
        <f aca="false">IFERROR(IF(OR(HLOOKUP($A948,#REF!,7,FALSE())&gt;2,HLOOKUP($A948,#REF!,7,FALSE())&lt;-2),"",#REF!),"")</f>
        <v/>
      </c>
      <c r="J948" s="0" t="str">
        <f aca="false">IFERROR(IF(OR(HLOOKUP($A948,#REF!,8,FALSE())&gt;2,HLOOKUP($A948,#REF!,8,FALSE())&lt;-2),"",#REF!),"")</f>
        <v/>
      </c>
      <c r="K948" s="0" t="str">
        <f aca="false">IFERROR(IF(OR(HLOOKUP($A948,#REF!,9,FALSE())&gt;2,HLOOKUP($A948,#REF!,9,FALSE())&lt;-2),"",#REF!),"")</f>
        <v/>
      </c>
      <c r="L948" s="0" t="str">
        <f aca="false">IFERROR(IF(OR(HLOOKUP($A948,#REF!,10,FALSE())&gt;2,HLOOKUP($A948,#REF!,10,FALSE())&lt;-2),"",#REF!),"")</f>
        <v/>
      </c>
      <c r="M948" s="0" t="str">
        <f aca="false">IFERROR(IF(OR(HLOOKUP($A948,#REF!,11,FALSE())&gt;2,HLOOKUP($A948,#REF!,11,FALSE())&lt;-2),"",#REF!),"")</f>
        <v/>
      </c>
      <c r="N948" s="0" t="str">
        <f aca="false">IFERROR(IF(OR(HLOOKUP($A948,#REF!,12,FALSE())&gt;2,HLOOKUP($A948,#REF!,12,FALSE())&lt;-2),"",#REF!),"")</f>
        <v/>
      </c>
      <c r="O948" s="0" t="str">
        <f aca="false">IFERROR(IF(OR(HLOOKUP($A948,#REF!,13,FALSE())&gt;2,HLOOKUP($A948,#REF!,13,FALSE())&lt;-2),"",#REF!),"")</f>
        <v/>
      </c>
      <c r="P948" s="0" t="str">
        <f aca="false">IFERROR(IF(OR(HLOOKUP($A948,#REF!,14,FALSE())&gt;2,HLOOKUP($A948,#REF!,14,FALSE())&lt;-2),"",#REF!),"")</f>
        <v/>
      </c>
      <c r="Q948" s="0" t="str">
        <f aca="false">IFERROR(IF(OR(HLOOKUP($A948,#REF!,15,FALSE())&gt;2,HLOOKUP($A948,#REF!,15,FALSE())&lt;-2),"",#REF!),"")</f>
        <v/>
      </c>
      <c r="R948" s="0" t="str">
        <f aca="false">IFERROR(IF(OR(HLOOKUP($A948,#REF!,16,FALSE())&gt;2,HLOOKUP($A948,#REF!,16,FALSE())&lt;-2),"",#REF!),"")</f>
        <v/>
      </c>
      <c r="S948" s="0" t="str">
        <f aca="false">IFERROR(IF(OR(HLOOKUP($A948,#REF!,17,FALSE())&gt;2,HLOOKUP($A948,#REF!,17,FALSE())&lt;-2),"",#REF!),"")</f>
        <v/>
      </c>
      <c r="T948" s="0" t="str">
        <f aca="false">IFERROR(IF(OR(HLOOKUP($A948,#REF!,18,FALSE())&gt;2,HLOOKUP($A948,#REF!,18,FALSE())&lt;-2),"",#REF!),"")</f>
        <v/>
      </c>
      <c r="U948" s="0" t="str">
        <f aca="false">IFERROR(IF(OR(HLOOKUP($A948,#REF!,19,FALSE())&gt;2,HLOOKUP($A948,#REF!,19,FALSE())&lt;-2),"",#REF!),"")</f>
        <v/>
      </c>
      <c r="V948" s="0" t="n">
        <f aca="false">IFERROR(IF(AND(X948=0,Y948=0),0,1),0)</f>
        <v>1</v>
      </c>
      <c r="W948" s="3" t="str">
        <f aca="false">IFERROR(_xlfn.T.TEST(E948:M948,N948:U948,2,2),"")</f>
        <v/>
      </c>
      <c r="X948" s="0" t="str">
        <f aca="false">IFERROR(AVERAGE(E948:M948),"")</f>
        <v/>
      </c>
      <c r="Y948" s="0" t="str">
        <f aca="false">IFERROR(AVERAGE(N948:U948),"")</f>
        <v/>
      </c>
    </row>
    <row r="949" customFormat="false" ht="14.5" hidden="false" customHeight="false" outlineLevel="0" collapsed="false">
      <c r="A949" s="0" t="n">
        <v>957</v>
      </c>
      <c r="B949" s="0" t="s">
        <v>997</v>
      </c>
      <c r="C949" s="0" t="n">
        <v>58800</v>
      </c>
      <c r="D949" s="0" t="n">
        <v>645</v>
      </c>
      <c r="E949" s="0" t="str">
        <f aca="false">IFERROR(IF(OR(HLOOKUP($A949,#REF!,3,FALSE())&gt;2,HLOOKUP(A949,#REF!,3,FALSE())&lt;-2),"",#REF!),"")</f>
        <v/>
      </c>
      <c r="F949" s="0" t="str">
        <f aca="false">IFERROR(IF(OR(HLOOKUP($A949,#REF!,4,FALSE())&gt;2,HLOOKUP($A949,#REF!,4,FALSE())&lt;-2),"",#REF!),"")</f>
        <v/>
      </c>
      <c r="G949" s="0" t="str">
        <f aca="false">IFERROR(IF(OR(HLOOKUP($A949,#REF!,5,FALSE())&gt;2,HLOOKUP($A949,#REF!,5,FALSE())&lt;-2),"",#REF!),"")</f>
        <v/>
      </c>
      <c r="H949" s="0" t="str">
        <f aca="false">IFERROR(IF(OR(HLOOKUP($A949,#REF!,6,FALSE())&gt;2,HLOOKUP($A949,#REF!,6,FALSE())&lt;-2),"",#REF!),"")</f>
        <v/>
      </c>
      <c r="I949" s="0" t="str">
        <f aca="false">IFERROR(IF(OR(HLOOKUP($A949,#REF!,7,FALSE())&gt;2,HLOOKUP($A949,#REF!,7,FALSE())&lt;-2),"",#REF!),"")</f>
        <v/>
      </c>
      <c r="J949" s="0" t="str">
        <f aca="false">IFERROR(IF(OR(HLOOKUP($A949,#REF!,8,FALSE())&gt;2,HLOOKUP($A949,#REF!,8,FALSE())&lt;-2),"",#REF!),"")</f>
        <v/>
      </c>
      <c r="K949" s="0" t="str">
        <f aca="false">IFERROR(IF(OR(HLOOKUP($A949,#REF!,9,FALSE())&gt;2,HLOOKUP($A949,#REF!,9,FALSE())&lt;-2),"",#REF!),"")</f>
        <v/>
      </c>
      <c r="L949" s="0" t="str">
        <f aca="false">IFERROR(IF(OR(HLOOKUP($A949,#REF!,10,FALSE())&gt;2,HLOOKUP($A949,#REF!,10,FALSE())&lt;-2),"",#REF!),"")</f>
        <v/>
      </c>
      <c r="M949" s="0" t="str">
        <f aca="false">IFERROR(IF(OR(HLOOKUP($A949,#REF!,11,FALSE())&gt;2,HLOOKUP($A949,#REF!,11,FALSE())&lt;-2),"",#REF!),"")</f>
        <v/>
      </c>
      <c r="N949" s="0" t="str">
        <f aca="false">IFERROR(IF(OR(HLOOKUP($A949,#REF!,12,FALSE())&gt;2,HLOOKUP($A949,#REF!,12,FALSE())&lt;-2),"",#REF!),"")</f>
        <v/>
      </c>
      <c r="O949" s="0" t="str">
        <f aca="false">IFERROR(IF(OR(HLOOKUP($A949,#REF!,13,FALSE())&gt;2,HLOOKUP($A949,#REF!,13,FALSE())&lt;-2),"",#REF!),"")</f>
        <v/>
      </c>
      <c r="P949" s="0" t="str">
        <f aca="false">IFERROR(IF(OR(HLOOKUP($A949,#REF!,14,FALSE())&gt;2,HLOOKUP($A949,#REF!,14,FALSE())&lt;-2),"",#REF!),"")</f>
        <v/>
      </c>
      <c r="Q949" s="0" t="str">
        <f aca="false">IFERROR(IF(OR(HLOOKUP($A949,#REF!,15,FALSE())&gt;2,HLOOKUP($A949,#REF!,15,FALSE())&lt;-2),"",#REF!),"")</f>
        <v/>
      </c>
      <c r="R949" s="0" t="str">
        <f aca="false">IFERROR(IF(OR(HLOOKUP($A949,#REF!,16,FALSE())&gt;2,HLOOKUP($A949,#REF!,16,FALSE())&lt;-2),"",#REF!),"")</f>
        <v/>
      </c>
      <c r="S949" s="0" t="str">
        <f aca="false">IFERROR(IF(OR(HLOOKUP($A949,#REF!,17,FALSE())&gt;2,HLOOKUP($A949,#REF!,17,FALSE())&lt;-2),"",#REF!),"")</f>
        <v/>
      </c>
      <c r="T949" s="0" t="str">
        <f aca="false">IFERROR(IF(OR(HLOOKUP($A949,#REF!,18,FALSE())&gt;2,HLOOKUP($A949,#REF!,18,FALSE())&lt;-2),"",#REF!),"")</f>
        <v/>
      </c>
      <c r="U949" s="0" t="str">
        <f aca="false">IFERROR(IF(OR(HLOOKUP($A949,#REF!,19,FALSE())&gt;2,HLOOKUP($A949,#REF!,19,FALSE())&lt;-2),"",#REF!),"")</f>
        <v/>
      </c>
      <c r="V949" s="0" t="n">
        <f aca="false">IFERROR(IF(AND(X949=0,Y949=0),0,1),0)</f>
        <v>1</v>
      </c>
      <c r="W949" s="3" t="str">
        <f aca="false">IFERROR(_xlfn.T.TEST(E949:M949,N949:U949,2,2),"")</f>
        <v/>
      </c>
      <c r="X949" s="0" t="str">
        <f aca="false">IFERROR(AVERAGE(E949:M949),"")</f>
        <v/>
      </c>
      <c r="Y949" s="0" t="str">
        <f aca="false">IFERROR(AVERAGE(N949:U949),"")</f>
        <v/>
      </c>
    </row>
    <row r="950" customFormat="false" ht="14.5" hidden="false" customHeight="false" outlineLevel="0" collapsed="false">
      <c r="A950" s="0" t="n">
        <v>958</v>
      </c>
      <c r="B950" s="0" t="s">
        <v>998</v>
      </c>
      <c r="C950" s="0" t="n">
        <v>69600</v>
      </c>
      <c r="D950" s="0" t="n">
        <v>856</v>
      </c>
      <c r="E950" s="0" t="str">
        <f aca="false">IFERROR(IF(OR(HLOOKUP($A950,#REF!,3,FALSE())&gt;2,HLOOKUP(A950,#REF!,3,FALSE())&lt;-2),"",#REF!),"")</f>
        <v/>
      </c>
      <c r="F950" s="0" t="str">
        <f aca="false">IFERROR(IF(OR(HLOOKUP($A950,#REF!,4,FALSE())&gt;2,HLOOKUP($A950,#REF!,4,FALSE())&lt;-2),"",#REF!),"")</f>
        <v/>
      </c>
      <c r="G950" s="0" t="str">
        <f aca="false">IFERROR(IF(OR(HLOOKUP($A950,#REF!,5,FALSE())&gt;2,HLOOKUP($A950,#REF!,5,FALSE())&lt;-2),"",#REF!),"")</f>
        <v/>
      </c>
      <c r="H950" s="0" t="str">
        <f aca="false">IFERROR(IF(OR(HLOOKUP($A950,#REF!,6,FALSE())&gt;2,HLOOKUP($A950,#REF!,6,FALSE())&lt;-2),"",#REF!),"")</f>
        <v/>
      </c>
      <c r="I950" s="0" t="str">
        <f aca="false">IFERROR(IF(OR(HLOOKUP($A950,#REF!,7,FALSE())&gt;2,HLOOKUP($A950,#REF!,7,FALSE())&lt;-2),"",#REF!),"")</f>
        <v/>
      </c>
      <c r="J950" s="0" t="str">
        <f aca="false">IFERROR(IF(OR(HLOOKUP($A950,#REF!,8,FALSE())&gt;2,HLOOKUP($A950,#REF!,8,FALSE())&lt;-2),"",#REF!),"")</f>
        <v/>
      </c>
      <c r="K950" s="0" t="str">
        <f aca="false">IFERROR(IF(OR(HLOOKUP($A950,#REF!,9,FALSE())&gt;2,HLOOKUP($A950,#REF!,9,FALSE())&lt;-2),"",#REF!),"")</f>
        <v/>
      </c>
      <c r="L950" s="0" t="str">
        <f aca="false">IFERROR(IF(OR(HLOOKUP($A950,#REF!,10,FALSE())&gt;2,HLOOKUP($A950,#REF!,10,FALSE())&lt;-2),"",#REF!),"")</f>
        <v/>
      </c>
      <c r="M950" s="0" t="str">
        <f aca="false">IFERROR(IF(OR(HLOOKUP($A950,#REF!,11,FALSE())&gt;2,HLOOKUP($A950,#REF!,11,FALSE())&lt;-2),"",#REF!),"")</f>
        <v/>
      </c>
      <c r="N950" s="0" t="str">
        <f aca="false">IFERROR(IF(OR(HLOOKUP($A950,#REF!,12,FALSE())&gt;2,HLOOKUP($A950,#REF!,12,FALSE())&lt;-2),"",#REF!),"")</f>
        <v/>
      </c>
      <c r="O950" s="0" t="str">
        <f aca="false">IFERROR(IF(OR(HLOOKUP($A950,#REF!,13,FALSE())&gt;2,HLOOKUP($A950,#REF!,13,FALSE())&lt;-2),"",#REF!),"")</f>
        <v/>
      </c>
      <c r="P950" s="0" t="str">
        <f aca="false">IFERROR(IF(OR(HLOOKUP($A950,#REF!,14,FALSE())&gt;2,HLOOKUP($A950,#REF!,14,FALSE())&lt;-2),"",#REF!),"")</f>
        <v/>
      </c>
      <c r="Q950" s="0" t="str">
        <f aca="false">IFERROR(IF(OR(HLOOKUP($A950,#REF!,15,FALSE())&gt;2,HLOOKUP($A950,#REF!,15,FALSE())&lt;-2),"",#REF!),"")</f>
        <v/>
      </c>
      <c r="R950" s="0" t="str">
        <f aca="false">IFERROR(IF(OR(HLOOKUP($A950,#REF!,16,FALSE())&gt;2,HLOOKUP($A950,#REF!,16,FALSE())&lt;-2),"",#REF!),"")</f>
        <v/>
      </c>
      <c r="S950" s="0" t="str">
        <f aca="false">IFERROR(IF(OR(HLOOKUP($A950,#REF!,17,FALSE())&gt;2,HLOOKUP($A950,#REF!,17,FALSE())&lt;-2),"",#REF!),"")</f>
        <v/>
      </c>
      <c r="T950" s="0" t="str">
        <f aca="false">IFERROR(IF(OR(HLOOKUP($A950,#REF!,18,FALSE())&gt;2,HLOOKUP($A950,#REF!,18,FALSE())&lt;-2),"",#REF!),"")</f>
        <v/>
      </c>
      <c r="U950" s="0" t="str">
        <f aca="false">IFERROR(IF(OR(HLOOKUP($A950,#REF!,19,FALSE())&gt;2,HLOOKUP($A950,#REF!,19,FALSE())&lt;-2),"",#REF!),"")</f>
        <v/>
      </c>
      <c r="V950" s="0" t="n">
        <f aca="false">IFERROR(IF(AND(X950=0,Y950=0),0,1),0)</f>
        <v>1</v>
      </c>
      <c r="W950" s="3" t="str">
        <f aca="false">IFERROR(_xlfn.T.TEST(E950:M950,N950:U950,2,2),"")</f>
        <v/>
      </c>
      <c r="X950" s="0" t="str">
        <f aca="false">IFERROR(AVERAGE(E950:M950),"")</f>
        <v/>
      </c>
      <c r="Y950" s="0" t="str">
        <f aca="false">IFERROR(AVERAGE(N950:U950),"")</f>
        <v/>
      </c>
    </row>
    <row r="951" customFormat="false" ht="14.5" hidden="false" customHeight="false" outlineLevel="0" collapsed="false">
      <c r="A951" s="0" t="n">
        <v>959</v>
      </c>
      <c r="B951" s="0" t="s">
        <v>999</v>
      </c>
      <c r="C951" s="0" t="n">
        <v>12800</v>
      </c>
      <c r="D951" s="0" t="n">
        <v>1018</v>
      </c>
      <c r="E951" s="0" t="str">
        <f aca="false">IFERROR(IF(OR(HLOOKUP($A951,#REF!,3,FALSE())&gt;2,HLOOKUP(A951,#REF!,3,FALSE())&lt;-2),"",#REF!),"")</f>
        <v/>
      </c>
      <c r="F951" s="0" t="str">
        <f aca="false">IFERROR(IF(OR(HLOOKUP($A951,#REF!,4,FALSE())&gt;2,HLOOKUP($A951,#REF!,4,FALSE())&lt;-2),"",#REF!),"")</f>
        <v/>
      </c>
      <c r="G951" s="0" t="str">
        <f aca="false">IFERROR(IF(OR(HLOOKUP($A951,#REF!,5,FALSE())&gt;2,HLOOKUP($A951,#REF!,5,FALSE())&lt;-2),"",#REF!),"")</f>
        <v/>
      </c>
      <c r="H951" s="0" t="str">
        <f aca="false">IFERROR(IF(OR(HLOOKUP($A951,#REF!,6,FALSE())&gt;2,HLOOKUP($A951,#REF!,6,FALSE())&lt;-2),"",#REF!),"")</f>
        <v/>
      </c>
      <c r="I951" s="0" t="str">
        <f aca="false">IFERROR(IF(OR(HLOOKUP($A951,#REF!,7,FALSE())&gt;2,HLOOKUP($A951,#REF!,7,FALSE())&lt;-2),"",#REF!),"")</f>
        <v/>
      </c>
      <c r="J951" s="0" t="str">
        <f aca="false">IFERROR(IF(OR(HLOOKUP($A951,#REF!,8,FALSE())&gt;2,HLOOKUP($A951,#REF!,8,FALSE())&lt;-2),"",#REF!),"")</f>
        <v/>
      </c>
      <c r="K951" s="0" t="str">
        <f aca="false">IFERROR(IF(OR(HLOOKUP($A951,#REF!,9,FALSE())&gt;2,HLOOKUP($A951,#REF!,9,FALSE())&lt;-2),"",#REF!),"")</f>
        <v/>
      </c>
      <c r="L951" s="0" t="str">
        <f aca="false">IFERROR(IF(OR(HLOOKUP($A951,#REF!,10,FALSE())&gt;2,HLOOKUP($A951,#REF!,10,FALSE())&lt;-2),"",#REF!),"")</f>
        <v/>
      </c>
      <c r="M951" s="0" t="str">
        <f aca="false">IFERROR(IF(OR(HLOOKUP($A951,#REF!,11,FALSE())&gt;2,HLOOKUP($A951,#REF!,11,FALSE())&lt;-2),"",#REF!),"")</f>
        <v/>
      </c>
      <c r="N951" s="0" t="str">
        <f aca="false">IFERROR(IF(OR(HLOOKUP($A951,#REF!,12,FALSE())&gt;2,HLOOKUP($A951,#REF!,12,FALSE())&lt;-2),"",#REF!),"")</f>
        <v/>
      </c>
      <c r="O951" s="0" t="str">
        <f aca="false">IFERROR(IF(OR(HLOOKUP($A951,#REF!,13,FALSE())&gt;2,HLOOKUP($A951,#REF!,13,FALSE())&lt;-2),"",#REF!),"")</f>
        <v/>
      </c>
      <c r="P951" s="0" t="str">
        <f aca="false">IFERROR(IF(OR(HLOOKUP($A951,#REF!,14,FALSE())&gt;2,HLOOKUP($A951,#REF!,14,FALSE())&lt;-2),"",#REF!),"")</f>
        <v/>
      </c>
      <c r="Q951" s="0" t="str">
        <f aca="false">IFERROR(IF(OR(HLOOKUP($A951,#REF!,15,FALSE())&gt;2,HLOOKUP($A951,#REF!,15,FALSE())&lt;-2),"",#REF!),"")</f>
        <v/>
      </c>
      <c r="R951" s="0" t="str">
        <f aca="false">IFERROR(IF(OR(HLOOKUP($A951,#REF!,16,FALSE())&gt;2,HLOOKUP($A951,#REF!,16,FALSE())&lt;-2),"",#REF!),"")</f>
        <v/>
      </c>
      <c r="S951" s="0" t="str">
        <f aca="false">IFERROR(IF(OR(HLOOKUP($A951,#REF!,17,FALSE())&gt;2,HLOOKUP($A951,#REF!,17,FALSE())&lt;-2),"",#REF!),"")</f>
        <v/>
      </c>
      <c r="T951" s="0" t="str">
        <f aca="false">IFERROR(IF(OR(HLOOKUP($A951,#REF!,18,FALSE())&gt;2,HLOOKUP($A951,#REF!,18,FALSE())&lt;-2),"",#REF!),"")</f>
        <v/>
      </c>
      <c r="U951" s="0" t="str">
        <f aca="false">IFERROR(IF(OR(HLOOKUP($A951,#REF!,19,FALSE())&gt;2,HLOOKUP($A951,#REF!,19,FALSE())&lt;-2),"",#REF!),"")</f>
        <v/>
      </c>
      <c r="V951" s="0" t="n">
        <f aca="false">IFERROR(IF(AND(X951=0,Y951=0),0,1),0)</f>
        <v>1</v>
      </c>
      <c r="W951" s="3" t="str">
        <f aca="false">IFERROR(_xlfn.T.TEST(E951:M951,N951:U951,2,2),"")</f>
        <v/>
      </c>
      <c r="X951" s="0" t="str">
        <f aca="false">IFERROR(AVERAGE(E951:M951),"")</f>
        <v/>
      </c>
      <c r="Y951" s="0" t="str">
        <f aca="false">IFERROR(AVERAGE(N951:U951),"")</f>
        <v/>
      </c>
    </row>
    <row r="952" customFormat="false" ht="14.5" hidden="false" customHeight="false" outlineLevel="0" collapsed="false">
      <c r="A952" s="0" t="n">
        <v>960</v>
      </c>
      <c r="B952" s="0" t="s">
        <v>1000</v>
      </c>
      <c r="C952" s="0" t="n">
        <v>104200</v>
      </c>
      <c r="D952" s="0" t="n">
        <v>1009</v>
      </c>
      <c r="E952" s="0" t="str">
        <f aca="false">IFERROR(IF(OR(HLOOKUP($A952,#REF!,3,FALSE())&gt;2,HLOOKUP(A952,#REF!,3,FALSE())&lt;-2),"",#REF!),"")</f>
        <v/>
      </c>
      <c r="F952" s="0" t="str">
        <f aca="false">IFERROR(IF(OR(HLOOKUP($A952,#REF!,4,FALSE())&gt;2,HLOOKUP($A952,#REF!,4,FALSE())&lt;-2),"",#REF!),"")</f>
        <v/>
      </c>
      <c r="G952" s="0" t="str">
        <f aca="false">IFERROR(IF(OR(HLOOKUP($A952,#REF!,5,FALSE())&gt;2,HLOOKUP($A952,#REF!,5,FALSE())&lt;-2),"",#REF!),"")</f>
        <v/>
      </c>
      <c r="H952" s="0" t="str">
        <f aca="false">IFERROR(IF(OR(HLOOKUP($A952,#REF!,6,FALSE())&gt;2,HLOOKUP($A952,#REF!,6,FALSE())&lt;-2),"",#REF!),"")</f>
        <v/>
      </c>
      <c r="I952" s="0" t="str">
        <f aca="false">IFERROR(IF(OR(HLOOKUP($A952,#REF!,7,FALSE())&gt;2,HLOOKUP($A952,#REF!,7,FALSE())&lt;-2),"",#REF!),"")</f>
        <v/>
      </c>
      <c r="J952" s="0" t="str">
        <f aca="false">IFERROR(IF(OR(HLOOKUP($A952,#REF!,8,FALSE())&gt;2,HLOOKUP($A952,#REF!,8,FALSE())&lt;-2),"",#REF!),"")</f>
        <v/>
      </c>
      <c r="K952" s="0" t="str">
        <f aca="false">IFERROR(IF(OR(HLOOKUP($A952,#REF!,9,FALSE())&gt;2,HLOOKUP($A952,#REF!,9,FALSE())&lt;-2),"",#REF!),"")</f>
        <v/>
      </c>
      <c r="L952" s="0" t="str">
        <f aca="false">IFERROR(IF(OR(HLOOKUP($A952,#REF!,10,FALSE())&gt;2,HLOOKUP($A952,#REF!,10,FALSE())&lt;-2),"",#REF!),"")</f>
        <v/>
      </c>
      <c r="M952" s="0" t="str">
        <f aca="false">IFERROR(IF(OR(HLOOKUP($A952,#REF!,11,FALSE())&gt;2,HLOOKUP($A952,#REF!,11,FALSE())&lt;-2),"",#REF!),"")</f>
        <v/>
      </c>
      <c r="N952" s="0" t="str">
        <f aca="false">IFERROR(IF(OR(HLOOKUP($A952,#REF!,12,FALSE())&gt;2,HLOOKUP($A952,#REF!,12,FALSE())&lt;-2),"",#REF!),"")</f>
        <v/>
      </c>
      <c r="O952" s="0" t="str">
        <f aca="false">IFERROR(IF(OR(HLOOKUP($A952,#REF!,13,FALSE())&gt;2,HLOOKUP($A952,#REF!,13,FALSE())&lt;-2),"",#REF!),"")</f>
        <v/>
      </c>
      <c r="P952" s="0" t="str">
        <f aca="false">IFERROR(IF(OR(HLOOKUP($A952,#REF!,14,FALSE())&gt;2,HLOOKUP($A952,#REF!,14,FALSE())&lt;-2),"",#REF!),"")</f>
        <v/>
      </c>
      <c r="Q952" s="0" t="str">
        <f aca="false">IFERROR(IF(OR(HLOOKUP($A952,#REF!,15,FALSE())&gt;2,HLOOKUP($A952,#REF!,15,FALSE())&lt;-2),"",#REF!),"")</f>
        <v/>
      </c>
      <c r="R952" s="0" t="str">
        <f aca="false">IFERROR(IF(OR(HLOOKUP($A952,#REF!,16,FALSE())&gt;2,HLOOKUP($A952,#REF!,16,FALSE())&lt;-2),"",#REF!),"")</f>
        <v/>
      </c>
      <c r="S952" s="0" t="str">
        <f aca="false">IFERROR(IF(OR(HLOOKUP($A952,#REF!,17,FALSE())&gt;2,HLOOKUP($A952,#REF!,17,FALSE())&lt;-2),"",#REF!),"")</f>
        <v/>
      </c>
      <c r="T952" s="0" t="str">
        <f aca="false">IFERROR(IF(OR(HLOOKUP($A952,#REF!,18,FALSE())&gt;2,HLOOKUP($A952,#REF!,18,FALSE())&lt;-2),"",#REF!),"")</f>
        <v/>
      </c>
      <c r="U952" s="0" t="str">
        <f aca="false">IFERROR(IF(OR(HLOOKUP($A952,#REF!,19,FALSE())&gt;2,HLOOKUP($A952,#REF!,19,FALSE())&lt;-2),"",#REF!),"")</f>
        <v/>
      </c>
      <c r="V952" s="0" t="n">
        <f aca="false">IFERROR(IF(AND(X952=0,Y952=0),0,1),0)</f>
        <v>1</v>
      </c>
      <c r="W952" s="3" t="str">
        <f aca="false">IFERROR(_xlfn.T.TEST(E952:M952,N952:U952,2,2),"")</f>
        <v/>
      </c>
      <c r="X952" s="0" t="str">
        <f aca="false">IFERROR(AVERAGE(E952:M952),"")</f>
        <v/>
      </c>
      <c r="Y952" s="0" t="str">
        <f aca="false">IFERROR(AVERAGE(N952:U952),"")</f>
        <v/>
      </c>
    </row>
    <row r="953" customFormat="false" ht="14.5" hidden="false" customHeight="false" outlineLevel="0" collapsed="false">
      <c r="A953" s="0" t="n">
        <v>961</v>
      </c>
      <c r="B953" s="0" t="s">
        <v>1001</v>
      </c>
      <c r="C953" s="0" t="n">
        <v>33600</v>
      </c>
      <c r="D953" s="0" t="n">
        <v>698</v>
      </c>
      <c r="E953" s="0" t="str">
        <f aca="false">IFERROR(IF(OR(HLOOKUP($A953,#REF!,3,FALSE())&gt;2,HLOOKUP(A953,#REF!,3,FALSE())&lt;-2),"",#REF!),"")</f>
        <v/>
      </c>
      <c r="F953" s="0" t="str">
        <f aca="false">IFERROR(IF(OR(HLOOKUP($A953,#REF!,4,FALSE())&gt;2,HLOOKUP($A953,#REF!,4,FALSE())&lt;-2),"",#REF!),"")</f>
        <v/>
      </c>
      <c r="G953" s="0" t="str">
        <f aca="false">IFERROR(IF(OR(HLOOKUP($A953,#REF!,5,FALSE())&gt;2,HLOOKUP($A953,#REF!,5,FALSE())&lt;-2),"",#REF!),"")</f>
        <v/>
      </c>
      <c r="H953" s="0" t="str">
        <f aca="false">IFERROR(IF(OR(HLOOKUP($A953,#REF!,6,FALSE())&gt;2,HLOOKUP($A953,#REF!,6,FALSE())&lt;-2),"",#REF!),"")</f>
        <v/>
      </c>
      <c r="I953" s="0" t="str">
        <f aca="false">IFERROR(IF(OR(HLOOKUP($A953,#REF!,7,FALSE())&gt;2,HLOOKUP($A953,#REF!,7,FALSE())&lt;-2),"",#REF!),"")</f>
        <v/>
      </c>
      <c r="J953" s="0" t="str">
        <f aca="false">IFERROR(IF(OR(HLOOKUP($A953,#REF!,8,FALSE())&gt;2,HLOOKUP($A953,#REF!,8,FALSE())&lt;-2),"",#REF!),"")</f>
        <v/>
      </c>
      <c r="K953" s="0" t="str">
        <f aca="false">IFERROR(IF(OR(HLOOKUP($A953,#REF!,9,FALSE())&gt;2,HLOOKUP($A953,#REF!,9,FALSE())&lt;-2),"",#REF!),"")</f>
        <v/>
      </c>
      <c r="L953" s="0" t="str">
        <f aca="false">IFERROR(IF(OR(HLOOKUP($A953,#REF!,10,FALSE())&gt;2,HLOOKUP($A953,#REF!,10,FALSE())&lt;-2),"",#REF!),"")</f>
        <v/>
      </c>
      <c r="M953" s="0" t="str">
        <f aca="false">IFERROR(IF(OR(HLOOKUP($A953,#REF!,11,FALSE())&gt;2,HLOOKUP($A953,#REF!,11,FALSE())&lt;-2),"",#REF!),"")</f>
        <v/>
      </c>
      <c r="N953" s="0" t="str">
        <f aca="false">IFERROR(IF(OR(HLOOKUP($A953,#REF!,12,FALSE())&gt;2,HLOOKUP($A953,#REF!,12,FALSE())&lt;-2),"",#REF!),"")</f>
        <v/>
      </c>
      <c r="O953" s="0" t="str">
        <f aca="false">IFERROR(IF(OR(HLOOKUP($A953,#REF!,13,FALSE())&gt;2,HLOOKUP($A953,#REF!,13,FALSE())&lt;-2),"",#REF!),"")</f>
        <v/>
      </c>
      <c r="P953" s="0" t="str">
        <f aca="false">IFERROR(IF(OR(HLOOKUP($A953,#REF!,14,FALSE())&gt;2,HLOOKUP($A953,#REF!,14,FALSE())&lt;-2),"",#REF!),"")</f>
        <v/>
      </c>
      <c r="Q953" s="0" t="str">
        <f aca="false">IFERROR(IF(OR(HLOOKUP($A953,#REF!,15,FALSE())&gt;2,HLOOKUP($A953,#REF!,15,FALSE())&lt;-2),"",#REF!),"")</f>
        <v/>
      </c>
      <c r="R953" s="0" t="str">
        <f aca="false">IFERROR(IF(OR(HLOOKUP($A953,#REF!,16,FALSE())&gt;2,HLOOKUP($A953,#REF!,16,FALSE())&lt;-2),"",#REF!),"")</f>
        <v/>
      </c>
      <c r="S953" s="0" t="str">
        <f aca="false">IFERROR(IF(OR(HLOOKUP($A953,#REF!,17,FALSE())&gt;2,HLOOKUP($A953,#REF!,17,FALSE())&lt;-2),"",#REF!),"")</f>
        <v/>
      </c>
      <c r="T953" s="0" t="str">
        <f aca="false">IFERROR(IF(OR(HLOOKUP($A953,#REF!,18,FALSE())&gt;2,HLOOKUP($A953,#REF!,18,FALSE())&lt;-2),"",#REF!),"")</f>
        <v/>
      </c>
      <c r="U953" s="0" t="str">
        <f aca="false">IFERROR(IF(OR(HLOOKUP($A953,#REF!,19,FALSE())&gt;2,HLOOKUP($A953,#REF!,19,FALSE())&lt;-2),"",#REF!),"")</f>
        <v/>
      </c>
      <c r="V953" s="0" t="n">
        <f aca="false">IFERROR(IF(AND(X953=0,Y953=0),0,1),0)</f>
        <v>1</v>
      </c>
      <c r="W953" s="3" t="str">
        <f aca="false">IFERROR(_xlfn.T.TEST(E953:M953,N953:U953,2,2),"")</f>
        <v/>
      </c>
      <c r="X953" s="0" t="str">
        <f aca="false">IFERROR(AVERAGE(E953:M953),"")</f>
        <v/>
      </c>
      <c r="Y953" s="0" t="str">
        <f aca="false">IFERROR(AVERAGE(N953:U953),"")</f>
        <v/>
      </c>
    </row>
    <row r="954" customFormat="false" ht="14.5" hidden="false" customHeight="false" outlineLevel="0" collapsed="false">
      <c r="A954" s="0" t="n">
        <v>962</v>
      </c>
      <c r="B954" s="0" t="s">
        <v>1002</v>
      </c>
      <c r="C954" s="0" t="n">
        <v>2300</v>
      </c>
      <c r="D954" s="0" t="n">
        <v>993</v>
      </c>
      <c r="E954" s="0" t="str">
        <f aca="false">IFERROR(IF(OR(HLOOKUP($A954,#REF!,3,FALSE())&gt;2,HLOOKUP(A954,#REF!,3,FALSE())&lt;-2),"",#REF!),"")</f>
        <v/>
      </c>
      <c r="F954" s="0" t="str">
        <f aca="false">IFERROR(IF(OR(HLOOKUP($A954,#REF!,4,FALSE())&gt;2,HLOOKUP($A954,#REF!,4,FALSE())&lt;-2),"",#REF!),"")</f>
        <v/>
      </c>
      <c r="G954" s="0" t="str">
        <f aca="false">IFERROR(IF(OR(HLOOKUP($A954,#REF!,5,FALSE())&gt;2,HLOOKUP($A954,#REF!,5,FALSE())&lt;-2),"",#REF!),"")</f>
        <v/>
      </c>
      <c r="H954" s="0" t="str">
        <f aca="false">IFERROR(IF(OR(HLOOKUP($A954,#REF!,6,FALSE())&gt;2,HLOOKUP($A954,#REF!,6,FALSE())&lt;-2),"",#REF!),"")</f>
        <v/>
      </c>
      <c r="I954" s="0" t="str">
        <f aca="false">IFERROR(IF(OR(HLOOKUP($A954,#REF!,7,FALSE())&gt;2,HLOOKUP($A954,#REF!,7,FALSE())&lt;-2),"",#REF!),"")</f>
        <v/>
      </c>
      <c r="J954" s="0" t="str">
        <f aca="false">IFERROR(IF(OR(HLOOKUP($A954,#REF!,8,FALSE())&gt;2,HLOOKUP($A954,#REF!,8,FALSE())&lt;-2),"",#REF!),"")</f>
        <v/>
      </c>
      <c r="K954" s="0" t="str">
        <f aca="false">IFERROR(IF(OR(HLOOKUP($A954,#REF!,9,FALSE())&gt;2,HLOOKUP($A954,#REF!,9,FALSE())&lt;-2),"",#REF!),"")</f>
        <v/>
      </c>
      <c r="L954" s="0" t="str">
        <f aca="false">IFERROR(IF(OR(HLOOKUP($A954,#REF!,10,FALSE())&gt;2,HLOOKUP($A954,#REF!,10,FALSE())&lt;-2),"",#REF!),"")</f>
        <v/>
      </c>
      <c r="M954" s="0" t="str">
        <f aca="false">IFERROR(IF(OR(HLOOKUP($A954,#REF!,11,FALSE())&gt;2,HLOOKUP($A954,#REF!,11,FALSE())&lt;-2),"",#REF!),"")</f>
        <v/>
      </c>
      <c r="N954" s="0" t="str">
        <f aca="false">IFERROR(IF(OR(HLOOKUP($A954,#REF!,12,FALSE())&gt;2,HLOOKUP($A954,#REF!,12,FALSE())&lt;-2),"",#REF!),"")</f>
        <v/>
      </c>
      <c r="O954" s="0" t="str">
        <f aca="false">IFERROR(IF(OR(HLOOKUP($A954,#REF!,13,FALSE())&gt;2,HLOOKUP($A954,#REF!,13,FALSE())&lt;-2),"",#REF!),"")</f>
        <v/>
      </c>
      <c r="P954" s="0" t="str">
        <f aca="false">IFERROR(IF(OR(HLOOKUP($A954,#REF!,14,FALSE())&gt;2,HLOOKUP($A954,#REF!,14,FALSE())&lt;-2),"",#REF!),"")</f>
        <v/>
      </c>
      <c r="Q954" s="0" t="str">
        <f aca="false">IFERROR(IF(OR(HLOOKUP($A954,#REF!,15,FALSE())&gt;2,HLOOKUP($A954,#REF!,15,FALSE())&lt;-2),"",#REF!),"")</f>
        <v/>
      </c>
      <c r="R954" s="0" t="str">
        <f aca="false">IFERROR(IF(OR(HLOOKUP($A954,#REF!,16,FALSE())&gt;2,HLOOKUP($A954,#REF!,16,FALSE())&lt;-2),"",#REF!),"")</f>
        <v/>
      </c>
      <c r="S954" s="0" t="str">
        <f aca="false">IFERROR(IF(OR(HLOOKUP($A954,#REF!,17,FALSE())&gt;2,HLOOKUP($A954,#REF!,17,FALSE())&lt;-2),"",#REF!),"")</f>
        <v/>
      </c>
      <c r="T954" s="0" t="str">
        <f aca="false">IFERROR(IF(OR(HLOOKUP($A954,#REF!,18,FALSE())&gt;2,HLOOKUP($A954,#REF!,18,FALSE())&lt;-2),"",#REF!),"")</f>
        <v/>
      </c>
      <c r="U954" s="0" t="str">
        <f aca="false">IFERROR(IF(OR(HLOOKUP($A954,#REF!,19,FALSE())&gt;2,HLOOKUP($A954,#REF!,19,FALSE())&lt;-2),"",#REF!),"")</f>
        <v/>
      </c>
      <c r="V954" s="0" t="n">
        <f aca="false">IFERROR(IF(AND(X954=0,Y954=0),0,1),0)</f>
        <v>1</v>
      </c>
      <c r="W954" s="3" t="str">
        <f aca="false">IFERROR(_xlfn.T.TEST(E954:M954,N954:U954,2,2),"")</f>
        <v/>
      </c>
      <c r="X954" s="0" t="str">
        <f aca="false">IFERROR(AVERAGE(E954:M954),"")</f>
        <v/>
      </c>
      <c r="Y954" s="0" t="str">
        <f aca="false">IFERROR(AVERAGE(N954:U954),"")</f>
        <v/>
      </c>
    </row>
    <row r="955" customFormat="false" ht="14.5" hidden="false" customHeight="false" outlineLevel="0" collapsed="false">
      <c r="A955" s="0" t="n">
        <v>963</v>
      </c>
      <c r="B955" s="0" t="s">
        <v>1003</v>
      </c>
      <c r="C955" s="0" t="n">
        <v>94100</v>
      </c>
      <c r="D955" s="0" t="n">
        <v>235</v>
      </c>
      <c r="E955" s="0" t="str">
        <f aca="false">IFERROR(IF(OR(HLOOKUP($A955,#REF!,3,FALSE())&gt;2,HLOOKUP(A955,#REF!,3,FALSE())&lt;-2),"",#REF!),"")</f>
        <v/>
      </c>
      <c r="F955" s="0" t="str">
        <f aca="false">IFERROR(IF(OR(HLOOKUP($A955,#REF!,4,FALSE())&gt;2,HLOOKUP($A955,#REF!,4,FALSE())&lt;-2),"",#REF!),"")</f>
        <v/>
      </c>
      <c r="G955" s="0" t="str">
        <f aca="false">IFERROR(IF(OR(HLOOKUP($A955,#REF!,5,FALSE())&gt;2,HLOOKUP($A955,#REF!,5,FALSE())&lt;-2),"",#REF!),"")</f>
        <v/>
      </c>
      <c r="H955" s="0" t="str">
        <f aca="false">IFERROR(IF(OR(HLOOKUP($A955,#REF!,6,FALSE())&gt;2,HLOOKUP($A955,#REF!,6,FALSE())&lt;-2),"",#REF!),"")</f>
        <v/>
      </c>
      <c r="I955" s="0" t="str">
        <f aca="false">IFERROR(IF(OR(HLOOKUP($A955,#REF!,7,FALSE())&gt;2,HLOOKUP($A955,#REF!,7,FALSE())&lt;-2),"",#REF!),"")</f>
        <v/>
      </c>
      <c r="J955" s="0" t="str">
        <f aca="false">IFERROR(IF(OR(HLOOKUP($A955,#REF!,8,FALSE())&gt;2,HLOOKUP($A955,#REF!,8,FALSE())&lt;-2),"",#REF!),"")</f>
        <v/>
      </c>
      <c r="K955" s="0" t="str">
        <f aca="false">IFERROR(IF(OR(HLOOKUP($A955,#REF!,9,FALSE())&gt;2,HLOOKUP($A955,#REF!,9,FALSE())&lt;-2),"",#REF!),"")</f>
        <v/>
      </c>
      <c r="L955" s="0" t="str">
        <f aca="false">IFERROR(IF(OR(HLOOKUP($A955,#REF!,10,FALSE())&gt;2,HLOOKUP($A955,#REF!,10,FALSE())&lt;-2),"",#REF!),"")</f>
        <v/>
      </c>
      <c r="M955" s="0" t="str">
        <f aca="false">IFERROR(IF(OR(HLOOKUP($A955,#REF!,11,FALSE())&gt;2,HLOOKUP($A955,#REF!,11,FALSE())&lt;-2),"",#REF!),"")</f>
        <v/>
      </c>
      <c r="N955" s="0" t="str">
        <f aca="false">IFERROR(IF(OR(HLOOKUP($A955,#REF!,12,FALSE())&gt;2,HLOOKUP($A955,#REF!,12,FALSE())&lt;-2),"",#REF!),"")</f>
        <v/>
      </c>
      <c r="O955" s="0" t="str">
        <f aca="false">IFERROR(IF(OR(HLOOKUP($A955,#REF!,13,FALSE())&gt;2,HLOOKUP($A955,#REF!,13,FALSE())&lt;-2),"",#REF!),"")</f>
        <v/>
      </c>
      <c r="P955" s="0" t="str">
        <f aca="false">IFERROR(IF(OR(HLOOKUP($A955,#REF!,14,FALSE())&gt;2,HLOOKUP($A955,#REF!,14,FALSE())&lt;-2),"",#REF!),"")</f>
        <v/>
      </c>
      <c r="Q955" s="0" t="str">
        <f aca="false">IFERROR(IF(OR(HLOOKUP($A955,#REF!,15,FALSE())&gt;2,HLOOKUP($A955,#REF!,15,FALSE())&lt;-2),"",#REF!),"")</f>
        <v/>
      </c>
      <c r="R955" s="0" t="str">
        <f aca="false">IFERROR(IF(OR(HLOOKUP($A955,#REF!,16,FALSE())&gt;2,HLOOKUP($A955,#REF!,16,FALSE())&lt;-2),"",#REF!),"")</f>
        <v/>
      </c>
      <c r="S955" s="0" t="str">
        <f aca="false">IFERROR(IF(OR(HLOOKUP($A955,#REF!,17,FALSE())&gt;2,HLOOKUP($A955,#REF!,17,FALSE())&lt;-2),"",#REF!),"")</f>
        <v/>
      </c>
      <c r="T955" s="0" t="str">
        <f aca="false">IFERROR(IF(OR(HLOOKUP($A955,#REF!,18,FALSE())&gt;2,HLOOKUP($A955,#REF!,18,FALSE())&lt;-2),"",#REF!),"")</f>
        <v/>
      </c>
      <c r="U955" s="0" t="str">
        <f aca="false">IFERROR(IF(OR(HLOOKUP($A955,#REF!,19,FALSE())&gt;2,HLOOKUP($A955,#REF!,19,FALSE())&lt;-2),"",#REF!),"")</f>
        <v/>
      </c>
      <c r="V955" s="0" t="n">
        <f aca="false">IFERROR(IF(AND(X955=0,Y955=0),0,1),0)</f>
        <v>1</v>
      </c>
      <c r="W955" s="3" t="str">
        <f aca="false">IFERROR(_xlfn.T.TEST(E955:M955,N955:U955,2,2),"")</f>
        <v/>
      </c>
      <c r="X955" s="0" t="str">
        <f aca="false">IFERROR(AVERAGE(E955:M955),"")</f>
        <v/>
      </c>
      <c r="Y955" s="0" t="str">
        <f aca="false">IFERROR(AVERAGE(N955:U955),"")</f>
        <v/>
      </c>
    </row>
    <row r="956" customFormat="false" ht="14.5" hidden="false" customHeight="false" outlineLevel="0" collapsed="false">
      <c r="A956" s="0" t="n">
        <v>964</v>
      </c>
      <c r="B956" s="0" t="s">
        <v>1004</v>
      </c>
      <c r="C956" s="0" t="n">
        <v>106400</v>
      </c>
      <c r="D956" s="0" t="n">
        <v>776</v>
      </c>
      <c r="E956" s="0" t="str">
        <f aca="false">IFERROR(IF(OR(HLOOKUP($A956,#REF!,3,FALSE())&gt;2,HLOOKUP(A956,#REF!,3,FALSE())&lt;-2),"",#REF!),"")</f>
        <v/>
      </c>
      <c r="F956" s="0" t="str">
        <f aca="false">IFERROR(IF(OR(HLOOKUP($A956,#REF!,4,FALSE())&gt;2,HLOOKUP($A956,#REF!,4,FALSE())&lt;-2),"",#REF!),"")</f>
        <v/>
      </c>
      <c r="G956" s="0" t="str">
        <f aca="false">IFERROR(IF(OR(HLOOKUP($A956,#REF!,5,FALSE())&gt;2,HLOOKUP($A956,#REF!,5,FALSE())&lt;-2),"",#REF!),"")</f>
        <v/>
      </c>
      <c r="H956" s="0" t="str">
        <f aca="false">IFERROR(IF(OR(HLOOKUP($A956,#REF!,6,FALSE())&gt;2,HLOOKUP($A956,#REF!,6,FALSE())&lt;-2),"",#REF!),"")</f>
        <v/>
      </c>
      <c r="I956" s="0" t="str">
        <f aca="false">IFERROR(IF(OR(HLOOKUP($A956,#REF!,7,FALSE())&gt;2,HLOOKUP($A956,#REF!,7,FALSE())&lt;-2),"",#REF!),"")</f>
        <v/>
      </c>
      <c r="J956" s="0" t="str">
        <f aca="false">IFERROR(IF(OR(HLOOKUP($A956,#REF!,8,FALSE())&gt;2,HLOOKUP($A956,#REF!,8,FALSE())&lt;-2),"",#REF!),"")</f>
        <v/>
      </c>
      <c r="K956" s="0" t="str">
        <f aca="false">IFERROR(IF(OR(HLOOKUP($A956,#REF!,9,FALSE())&gt;2,HLOOKUP($A956,#REF!,9,FALSE())&lt;-2),"",#REF!),"")</f>
        <v/>
      </c>
      <c r="L956" s="0" t="str">
        <f aca="false">IFERROR(IF(OR(HLOOKUP($A956,#REF!,10,FALSE())&gt;2,HLOOKUP($A956,#REF!,10,FALSE())&lt;-2),"",#REF!),"")</f>
        <v/>
      </c>
      <c r="M956" s="0" t="str">
        <f aca="false">IFERROR(IF(OR(HLOOKUP($A956,#REF!,11,FALSE())&gt;2,HLOOKUP($A956,#REF!,11,FALSE())&lt;-2),"",#REF!),"")</f>
        <v/>
      </c>
      <c r="N956" s="0" t="str">
        <f aca="false">IFERROR(IF(OR(HLOOKUP($A956,#REF!,12,FALSE())&gt;2,HLOOKUP($A956,#REF!,12,FALSE())&lt;-2),"",#REF!),"")</f>
        <v/>
      </c>
      <c r="O956" s="0" t="str">
        <f aca="false">IFERROR(IF(OR(HLOOKUP($A956,#REF!,13,FALSE())&gt;2,HLOOKUP($A956,#REF!,13,FALSE())&lt;-2),"",#REF!),"")</f>
        <v/>
      </c>
      <c r="P956" s="0" t="str">
        <f aca="false">IFERROR(IF(OR(HLOOKUP($A956,#REF!,14,FALSE())&gt;2,HLOOKUP($A956,#REF!,14,FALSE())&lt;-2),"",#REF!),"")</f>
        <v/>
      </c>
      <c r="Q956" s="0" t="str">
        <f aca="false">IFERROR(IF(OR(HLOOKUP($A956,#REF!,15,FALSE())&gt;2,HLOOKUP($A956,#REF!,15,FALSE())&lt;-2),"",#REF!),"")</f>
        <v/>
      </c>
      <c r="R956" s="0" t="str">
        <f aca="false">IFERROR(IF(OR(HLOOKUP($A956,#REF!,16,FALSE())&gt;2,HLOOKUP($A956,#REF!,16,FALSE())&lt;-2),"",#REF!),"")</f>
        <v/>
      </c>
      <c r="S956" s="0" t="str">
        <f aca="false">IFERROR(IF(OR(HLOOKUP($A956,#REF!,17,FALSE())&gt;2,HLOOKUP($A956,#REF!,17,FALSE())&lt;-2),"",#REF!),"")</f>
        <v/>
      </c>
      <c r="T956" s="0" t="str">
        <f aca="false">IFERROR(IF(OR(HLOOKUP($A956,#REF!,18,FALSE())&gt;2,HLOOKUP($A956,#REF!,18,FALSE())&lt;-2),"",#REF!),"")</f>
        <v/>
      </c>
      <c r="U956" s="0" t="str">
        <f aca="false">IFERROR(IF(OR(HLOOKUP($A956,#REF!,19,FALSE())&gt;2,HLOOKUP($A956,#REF!,19,FALSE())&lt;-2),"",#REF!),"")</f>
        <v/>
      </c>
      <c r="V956" s="0" t="n">
        <f aca="false">IFERROR(IF(AND(X956=0,Y956=0),0,1),0)</f>
        <v>1</v>
      </c>
      <c r="W956" s="3" t="str">
        <f aca="false">IFERROR(_xlfn.T.TEST(E956:M956,N956:U956,2,2),"")</f>
        <v/>
      </c>
      <c r="X956" s="0" t="str">
        <f aca="false">IFERROR(AVERAGE(E956:M956),"")</f>
        <v/>
      </c>
      <c r="Y956" s="0" t="str">
        <f aca="false">IFERROR(AVERAGE(N956:U956),"")</f>
        <v/>
      </c>
    </row>
    <row r="957" customFormat="false" ht="14.5" hidden="false" customHeight="false" outlineLevel="0" collapsed="false">
      <c r="A957" s="0" t="n">
        <v>965</v>
      </c>
      <c r="B957" s="0" t="s">
        <v>71</v>
      </c>
      <c r="C957" s="0" t="n">
        <v>25500</v>
      </c>
      <c r="D957" s="0" t="n">
        <v>894</v>
      </c>
      <c r="E957" s="0" t="str">
        <f aca="false">IFERROR(IF(OR(HLOOKUP($A957,#REF!,3,FALSE())&gt;2,HLOOKUP(A957,#REF!,3,FALSE())&lt;-2),"",#REF!),"")</f>
        <v/>
      </c>
      <c r="F957" s="0" t="str">
        <f aca="false">IFERROR(IF(OR(HLOOKUP($A957,#REF!,4,FALSE())&gt;2,HLOOKUP($A957,#REF!,4,FALSE())&lt;-2),"",#REF!),"")</f>
        <v/>
      </c>
      <c r="G957" s="0" t="str">
        <f aca="false">IFERROR(IF(OR(HLOOKUP($A957,#REF!,5,FALSE())&gt;2,HLOOKUP($A957,#REF!,5,FALSE())&lt;-2),"",#REF!),"")</f>
        <v/>
      </c>
      <c r="H957" s="0" t="str">
        <f aca="false">IFERROR(IF(OR(HLOOKUP($A957,#REF!,6,FALSE())&gt;2,HLOOKUP($A957,#REF!,6,FALSE())&lt;-2),"",#REF!),"")</f>
        <v/>
      </c>
      <c r="I957" s="0" t="str">
        <f aca="false">IFERROR(IF(OR(HLOOKUP($A957,#REF!,7,FALSE())&gt;2,HLOOKUP($A957,#REF!,7,FALSE())&lt;-2),"",#REF!),"")</f>
        <v/>
      </c>
      <c r="J957" s="0" t="str">
        <f aca="false">IFERROR(IF(OR(HLOOKUP($A957,#REF!,8,FALSE())&gt;2,HLOOKUP($A957,#REF!,8,FALSE())&lt;-2),"",#REF!),"")</f>
        <v/>
      </c>
      <c r="K957" s="0" t="str">
        <f aca="false">IFERROR(IF(OR(HLOOKUP($A957,#REF!,9,FALSE())&gt;2,HLOOKUP($A957,#REF!,9,FALSE())&lt;-2),"",#REF!),"")</f>
        <v/>
      </c>
      <c r="L957" s="0" t="str">
        <f aca="false">IFERROR(IF(OR(HLOOKUP($A957,#REF!,10,FALSE())&gt;2,HLOOKUP($A957,#REF!,10,FALSE())&lt;-2),"",#REF!),"")</f>
        <v/>
      </c>
      <c r="M957" s="0" t="str">
        <f aca="false">IFERROR(IF(OR(HLOOKUP($A957,#REF!,11,FALSE())&gt;2,HLOOKUP($A957,#REF!,11,FALSE())&lt;-2),"",#REF!),"")</f>
        <v/>
      </c>
      <c r="N957" s="0" t="str">
        <f aca="false">IFERROR(IF(OR(HLOOKUP($A957,#REF!,12,FALSE())&gt;2,HLOOKUP($A957,#REF!,12,FALSE())&lt;-2),"",#REF!),"")</f>
        <v/>
      </c>
      <c r="O957" s="0" t="str">
        <f aca="false">IFERROR(IF(OR(HLOOKUP($A957,#REF!,13,FALSE())&gt;2,HLOOKUP($A957,#REF!,13,FALSE())&lt;-2),"",#REF!),"")</f>
        <v/>
      </c>
      <c r="P957" s="0" t="str">
        <f aca="false">IFERROR(IF(OR(HLOOKUP($A957,#REF!,14,FALSE())&gt;2,HLOOKUP($A957,#REF!,14,FALSE())&lt;-2),"",#REF!),"")</f>
        <v/>
      </c>
      <c r="Q957" s="0" t="str">
        <f aca="false">IFERROR(IF(OR(HLOOKUP($A957,#REF!,15,FALSE())&gt;2,HLOOKUP($A957,#REF!,15,FALSE())&lt;-2),"",#REF!),"")</f>
        <v/>
      </c>
      <c r="R957" s="0" t="str">
        <f aca="false">IFERROR(IF(OR(HLOOKUP($A957,#REF!,16,FALSE())&gt;2,HLOOKUP($A957,#REF!,16,FALSE())&lt;-2),"",#REF!),"")</f>
        <v/>
      </c>
      <c r="S957" s="0" t="str">
        <f aca="false">IFERROR(IF(OR(HLOOKUP($A957,#REF!,17,FALSE())&gt;2,HLOOKUP($A957,#REF!,17,FALSE())&lt;-2),"",#REF!),"")</f>
        <v/>
      </c>
      <c r="T957" s="0" t="str">
        <f aca="false">IFERROR(IF(OR(HLOOKUP($A957,#REF!,18,FALSE())&gt;2,HLOOKUP($A957,#REF!,18,FALSE())&lt;-2),"",#REF!),"")</f>
        <v/>
      </c>
      <c r="U957" s="0" t="str">
        <f aca="false">IFERROR(IF(OR(HLOOKUP($A957,#REF!,19,FALSE())&gt;2,HLOOKUP($A957,#REF!,19,FALSE())&lt;-2),"",#REF!),"")</f>
        <v/>
      </c>
      <c r="V957" s="0" t="n">
        <f aca="false">IFERROR(IF(AND(X957=0,Y957=0),0,1),0)</f>
        <v>1</v>
      </c>
      <c r="W957" s="3" t="str">
        <f aca="false">IFERROR(_xlfn.T.TEST(E957:M957,N957:U957,2,2),"")</f>
        <v/>
      </c>
      <c r="X957" s="0" t="str">
        <f aca="false">IFERROR(AVERAGE(E957:M957),"")</f>
        <v/>
      </c>
      <c r="Y957" s="0" t="str">
        <f aca="false">IFERROR(AVERAGE(N957:U957),"")</f>
        <v/>
      </c>
    </row>
    <row r="958" customFormat="false" ht="14.5" hidden="false" customHeight="false" outlineLevel="0" collapsed="false">
      <c r="A958" s="0" t="n">
        <v>966</v>
      </c>
      <c r="B958" s="0" t="s">
        <v>1005</v>
      </c>
      <c r="C958" s="0" t="n">
        <v>46900</v>
      </c>
      <c r="D958" s="0" t="n">
        <v>942</v>
      </c>
      <c r="E958" s="0" t="str">
        <f aca="false">IFERROR(IF(OR(HLOOKUP($A958,#REF!,3,FALSE())&gt;2,HLOOKUP(A958,#REF!,3,FALSE())&lt;-2),"",#REF!),"")</f>
        <v/>
      </c>
      <c r="F958" s="0" t="str">
        <f aca="false">IFERROR(IF(OR(HLOOKUP($A958,#REF!,4,FALSE())&gt;2,HLOOKUP($A958,#REF!,4,FALSE())&lt;-2),"",#REF!),"")</f>
        <v/>
      </c>
      <c r="G958" s="0" t="str">
        <f aca="false">IFERROR(IF(OR(HLOOKUP($A958,#REF!,5,FALSE())&gt;2,HLOOKUP($A958,#REF!,5,FALSE())&lt;-2),"",#REF!),"")</f>
        <v/>
      </c>
      <c r="H958" s="0" t="str">
        <f aca="false">IFERROR(IF(OR(HLOOKUP($A958,#REF!,6,FALSE())&gt;2,HLOOKUP($A958,#REF!,6,FALSE())&lt;-2),"",#REF!),"")</f>
        <v/>
      </c>
      <c r="I958" s="0" t="str">
        <f aca="false">IFERROR(IF(OR(HLOOKUP($A958,#REF!,7,FALSE())&gt;2,HLOOKUP($A958,#REF!,7,FALSE())&lt;-2),"",#REF!),"")</f>
        <v/>
      </c>
      <c r="J958" s="0" t="str">
        <f aca="false">IFERROR(IF(OR(HLOOKUP($A958,#REF!,8,FALSE())&gt;2,HLOOKUP($A958,#REF!,8,FALSE())&lt;-2),"",#REF!),"")</f>
        <v/>
      </c>
      <c r="K958" s="0" t="str">
        <f aca="false">IFERROR(IF(OR(HLOOKUP($A958,#REF!,9,FALSE())&gt;2,HLOOKUP($A958,#REF!,9,FALSE())&lt;-2),"",#REF!),"")</f>
        <v/>
      </c>
      <c r="L958" s="0" t="str">
        <f aca="false">IFERROR(IF(OR(HLOOKUP($A958,#REF!,10,FALSE())&gt;2,HLOOKUP($A958,#REF!,10,FALSE())&lt;-2),"",#REF!),"")</f>
        <v/>
      </c>
      <c r="M958" s="0" t="str">
        <f aca="false">IFERROR(IF(OR(HLOOKUP($A958,#REF!,11,FALSE())&gt;2,HLOOKUP($A958,#REF!,11,FALSE())&lt;-2),"",#REF!),"")</f>
        <v/>
      </c>
      <c r="N958" s="0" t="str">
        <f aca="false">IFERROR(IF(OR(HLOOKUP($A958,#REF!,12,FALSE())&gt;2,HLOOKUP($A958,#REF!,12,FALSE())&lt;-2),"",#REF!),"")</f>
        <v/>
      </c>
      <c r="O958" s="0" t="str">
        <f aca="false">IFERROR(IF(OR(HLOOKUP($A958,#REF!,13,FALSE())&gt;2,HLOOKUP($A958,#REF!,13,FALSE())&lt;-2),"",#REF!),"")</f>
        <v/>
      </c>
      <c r="P958" s="0" t="str">
        <f aca="false">IFERROR(IF(OR(HLOOKUP($A958,#REF!,14,FALSE())&gt;2,HLOOKUP($A958,#REF!,14,FALSE())&lt;-2),"",#REF!),"")</f>
        <v/>
      </c>
      <c r="Q958" s="0" t="str">
        <f aca="false">IFERROR(IF(OR(HLOOKUP($A958,#REF!,15,FALSE())&gt;2,HLOOKUP($A958,#REF!,15,FALSE())&lt;-2),"",#REF!),"")</f>
        <v/>
      </c>
      <c r="R958" s="0" t="str">
        <f aca="false">IFERROR(IF(OR(HLOOKUP($A958,#REF!,16,FALSE())&gt;2,HLOOKUP($A958,#REF!,16,FALSE())&lt;-2),"",#REF!),"")</f>
        <v/>
      </c>
      <c r="S958" s="0" t="str">
        <f aca="false">IFERROR(IF(OR(HLOOKUP($A958,#REF!,17,FALSE())&gt;2,HLOOKUP($A958,#REF!,17,FALSE())&lt;-2),"",#REF!),"")</f>
        <v/>
      </c>
      <c r="T958" s="0" t="str">
        <f aca="false">IFERROR(IF(OR(HLOOKUP($A958,#REF!,18,FALSE())&gt;2,HLOOKUP($A958,#REF!,18,FALSE())&lt;-2),"",#REF!),"")</f>
        <v/>
      </c>
      <c r="U958" s="0" t="str">
        <f aca="false">IFERROR(IF(OR(HLOOKUP($A958,#REF!,19,FALSE())&gt;2,HLOOKUP($A958,#REF!,19,FALSE())&lt;-2),"",#REF!),"")</f>
        <v/>
      </c>
      <c r="V958" s="0" t="n">
        <f aca="false">IFERROR(IF(AND(X958=0,Y958=0),0,1),0)</f>
        <v>1</v>
      </c>
      <c r="W958" s="3" t="str">
        <f aca="false">IFERROR(_xlfn.T.TEST(E958:M958,N958:U958,2,2),"")</f>
        <v/>
      </c>
      <c r="X958" s="0" t="str">
        <f aca="false">IFERROR(AVERAGE(E958:M958),"")</f>
        <v/>
      </c>
      <c r="Y958" s="0" t="str">
        <f aca="false">IFERROR(AVERAGE(N958:U958),"")</f>
        <v/>
      </c>
    </row>
    <row r="959" customFormat="false" ht="14.5" hidden="false" customHeight="false" outlineLevel="0" collapsed="false">
      <c r="A959" s="0" t="n">
        <v>967</v>
      </c>
      <c r="B959" s="0" t="s">
        <v>1006</v>
      </c>
      <c r="C959" s="0" t="n">
        <v>97300</v>
      </c>
      <c r="D959" s="0" t="n">
        <v>1009</v>
      </c>
      <c r="E959" s="0" t="str">
        <f aca="false">IFERROR(IF(OR(HLOOKUP($A959,#REF!,3,FALSE())&gt;2,HLOOKUP(A959,#REF!,3,FALSE())&lt;-2),"",#REF!),"")</f>
        <v/>
      </c>
      <c r="F959" s="0" t="str">
        <f aca="false">IFERROR(IF(OR(HLOOKUP($A959,#REF!,4,FALSE())&gt;2,HLOOKUP($A959,#REF!,4,FALSE())&lt;-2),"",#REF!),"")</f>
        <v/>
      </c>
      <c r="G959" s="0" t="str">
        <f aca="false">IFERROR(IF(OR(HLOOKUP($A959,#REF!,5,FALSE())&gt;2,HLOOKUP($A959,#REF!,5,FALSE())&lt;-2),"",#REF!),"")</f>
        <v/>
      </c>
      <c r="H959" s="0" t="str">
        <f aca="false">IFERROR(IF(OR(HLOOKUP($A959,#REF!,6,FALSE())&gt;2,HLOOKUP($A959,#REF!,6,FALSE())&lt;-2),"",#REF!),"")</f>
        <v/>
      </c>
      <c r="I959" s="0" t="str">
        <f aca="false">IFERROR(IF(OR(HLOOKUP($A959,#REF!,7,FALSE())&gt;2,HLOOKUP($A959,#REF!,7,FALSE())&lt;-2),"",#REF!),"")</f>
        <v/>
      </c>
      <c r="J959" s="0" t="str">
        <f aca="false">IFERROR(IF(OR(HLOOKUP($A959,#REF!,8,FALSE())&gt;2,HLOOKUP($A959,#REF!,8,FALSE())&lt;-2),"",#REF!),"")</f>
        <v/>
      </c>
      <c r="K959" s="0" t="str">
        <f aca="false">IFERROR(IF(OR(HLOOKUP($A959,#REF!,9,FALSE())&gt;2,HLOOKUP($A959,#REF!,9,FALSE())&lt;-2),"",#REF!),"")</f>
        <v/>
      </c>
      <c r="L959" s="0" t="str">
        <f aca="false">IFERROR(IF(OR(HLOOKUP($A959,#REF!,10,FALSE())&gt;2,HLOOKUP($A959,#REF!,10,FALSE())&lt;-2),"",#REF!),"")</f>
        <v/>
      </c>
      <c r="M959" s="0" t="str">
        <f aca="false">IFERROR(IF(OR(HLOOKUP($A959,#REF!,11,FALSE())&gt;2,HLOOKUP($A959,#REF!,11,FALSE())&lt;-2),"",#REF!),"")</f>
        <v/>
      </c>
      <c r="N959" s="0" t="str">
        <f aca="false">IFERROR(IF(OR(HLOOKUP($A959,#REF!,12,FALSE())&gt;2,HLOOKUP($A959,#REF!,12,FALSE())&lt;-2),"",#REF!),"")</f>
        <v/>
      </c>
      <c r="O959" s="0" t="str">
        <f aca="false">IFERROR(IF(OR(HLOOKUP($A959,#REF!,13,FALSE())&gt;2,HLOOKUP($A959,#REF!,13,FALSE())&lt;-2),"",#REF!),"")</f>
        <v/>
      </c>
      <c r="P959" s="0" t="str">
        <f aca="false">IFERROR(IF(OR(HLOOKUP($A959,#REF!,14,FALSE())&gt;2,HLOOKUP($A959,#REF!,14,FALSE())&lt;-2),"",#REF!),"")</f>
        <v/>
      </c>
      <c r="Q959" s="0" t="str">
        <f aca="false">IFERROR(IF(OR(HLOOKUP($A959,#REF!,15,FALSE())&gt;2,HLOOKUP($A959,#REF!,15,FALSE())&lt;-2),"",#REF!),"")</f>
        <v/>
      </c>
      <c r="R959" s="0" t="str">
        <f aca="false">IFERROR(IF(OR(HLOOKUP($A959,#REF!,16,FALSE())&gt;2,HLOOKUP($A959,#REF!,16,FALSE())&lt;-2),"",#REF!),"")</f>
        <v/>
      </c>
      <c r="S959" s="0" t="str">
        <f aca="false">IFERROR(IF(OR(HLOOKUP($A959,#REF!,17,FALSE())&gt;2,HLOOKUP($A959,#REF!,17,FALSE())&lt;-2),"",#REF!),"")</f>
        <v/>
      </c>
      <c r="T959" s="0" t="str">
        <f aca="false">IFERROR(IF(OR(HLOOKUP($A959,#REF!,18,FALSE())&gt;2,HLOOKUP($A959,#REF!,18,FALSE())&lt;-2),"",#REF!),"")</f>
        <v/>
      </c>
      <c r="U959" s="0" t="str">
        <f aca="false">IFERROR(IF(OR(HLOOKUP($A959,#REF!,19,FALSE())&gt;2,HLOOKUP($A959,#REF!,19,FALSE())&lt;-2),"",#REF!),"")</f>
        <v/>
      </c>
      <c r="V959" s="0" t="n">
        <f aca="false">IFERROR(IF(AND(X959=0,Y959=0),0,1),0)</f>
        <v>1</v>
      </c>
      <c r="W959" s="3" t="str">
        <f aca="false">IFERROR(_xlfn.T.TEST(E959:M959,N959:U959,2,2),"")</f>
        <v/>
      </c>
      <c r="X959" s="0" t="str">
        <f aca="false">IFERROR(AVERAGE(E959:M959),"")</f>
        <v/>
      </c>
      <c r="Y959" s="0" t="str">
        <f aca="false">IFERROR(AVERAGE(N959:U959),"")</f>
        <v/>
      </c>
    </row>
    <row r="960" customFormat="false" ht="14.5" hidden="false" customHeight="false" outlineLevel="0" collapsed="false">
      <c r="A960" s="0" t="n">
        <v>968</v>
      </c>
      <c r="B960" s="0" t="s">
        <v>1007</v>
      </c>
      <c r="C960" s="0" t="n">
        <v>59200</v>
      </c>
      <c r="D960" s="0" t="n">
        <v>645</v>
      </c>
      <c r="E960" s="0" t="str">
        <f aca="false">IFERROR(IF(OR(HLOOKUP($A960,#REF!,3,FALSE())&gt;2,HLOOKUP(A960,#REF!,3,FALSE())&lt;-2),"",#REF!),"")</f>
        <v/>
      </c>
      <c r="F960" s="0" t="str">
        <f aca="false">IFERROR(IF(OR(HLOOKUP($A960,#REF!,4,FALSE())&gt;2,HLOOKUP($A960,#REF!,4,FALSE())&lt;-2),"",#REF!),"")</f>
        <v/>
      </c>
      <c r="G960" s="0" t="str">
        <f aca="false">IFERROR(IF(OR(HLOOKUP($A960,#REF!,5,FALSE())&gt;2,HLOOKUP($A960,#REF!,5,FALSE())&lt;-2),"",#REF!),"")</f>
        <v/>
      </c>
      <c r="H960" s="0" t="str">
        <f aca="false">IFERROR(IF(OR(HLOOKUP($A960,#REF!,6,FALSE())&gt;2,HLOOKUP($A960,#REF!,6,FALSE())&lt;-2),"",#REF!),"")</f>
        <v/>
      </c>
      <c r="I960" s="0" t="str">
        <f aca="false">IFERROR(IF(OR(HLOOKUP($A960,#REF!,7,FALSE())&gt;2,HLOOKUP($A960,#REF!,7,FALSE())&lt;-2),"",#REF!),"")</f>
        <v/>
      </c>
      <c r="J960" s="0" t="str">
        <f aca="false">IFERROR(IF(OR(HLOOKUP($A960,#REF!,8,FALSE())&gt;2,HLOOKUP($A960,#REF!,8,FALSE())&lt;-2),"",#REF!),"")</f>
        <v/>
      </c>
      <c r="K960" s="0" t="str">
        <f aca="false">IFERROR(IF(OR(HLOOKUP($A960,#REF!,9,FALSE())&gt;2,HLOOKUP($A960,#REF!,9,FALSE())&lt;-2),"",#REF!),"")</f>
        <v/>
      </c>
      <c r="L960" s="0" t="str">
        <f aca="false">IFERROR(IF(OR(HLOOKUP($A960,#REF!,10,FALSE())&gt;2,HLOOKUP($A960,#REF!,10,FALSE())&lt;-2),"",#REF!),"")</f>
        <v/>
      </c>
      <c r="M960" s="0" t="str">
        <f aca="false">IFERROR(IF(OR(HLOOKUP($A960,#REF!,11,FALSE())&gt;2,HLOOKUP($A960,#REF!,11,FALSE())&lt;-2),"",#REF!),"")</f>
        <v/>
      </c>
      <c r="N960" s="0" t="str">
        <f aca="false">IFERROR(IF(OR(HLOOKUP($A960,#REF!,12,FALSE())&gt;2,HLOOKUP($A960,#REF!,12,FALSE())&lt;-2),"",#REF!),"")</f>
        <v/>
      </c>
      <c r="O960" s="0" t="str">
        <f aca="false">IFERROR(IF(OR(HLOOKUP($A960,#REF!,13,FALSE())&gt;2,HLOOKUP($A960,#REF!,13,FALSE())&lt;-2),"",#REF!),"")</f>
        <v/>
      </c>
      <c r="P960" s="0" t="str">
        <f aca="false">IFERROR(IF(OR(HLOOKUP($A960,#REF!,14,FALSE())&gt;2,HLOOKUP($A960,#REF!,14,FALSE())&lt;-2),"",#REF!),"")</f>
        <v/>
      </c>
      <c r="Q960" s="0" t="str">
        <f aca="false">IFERROR(IF(OR(HLOOKUP($A960,#REF!,15,FALSE())&gt;2,HLOOKUP($A960,#REF!,15,FALSE())&lt;-2),"",#REF!),"")</f>
        <v/>
      </c>
      <c r="R960" s="0" t="str">
        <f aca="false">IFERROR(IF(OR(HLOOKUP($A960,#REF!,16,FALSE())&gt;2,HLOOKUP($A960,#REF!,16,FALSE())&lt;-2),"",#REF!),"")</f>
        <v/>
      </c>
      <c r="S960" s="0" t="str">
        <f aca="false">IFERROR(IF(OR(HLOOKUP($A960,#REF!,17,FALSE())&gt;2,HLOOKUP($A960,#REF!,17,FALSE())&lt;-2),"",#REF!),"")</f>
        <v/>
      </c>
      <c r="T960" s="0" t="str">
        <f aca="false">IFERROR(IF(OR(HLOOKUP($A960,#REF!,18,FALSE())&gt;2,HLOOKUP($A960,#REF!,18,FALSE())&lt;-2),"",#REF!),"")</f>
        <v/>
      </c>
      <c r="U960" s="0" t="str">
        <f aca="false">IFERROR(IF(OR(HLOOKUP($A960,#REF!,19,FALSE())&gt;2,HLOOKUP($A960,#REF!,19,FALSE())&lt;-2),"",#REF!),"")</f>
        <v/>
      </c>
      <c r="V960" s="0" t="n">
        <f aca="false">IFERROR(IF(AND(X960=0,Y960=0),0,1),0)</f>
        <v>1</v>
      </c>
      <c r="W960" s="3" t="str">
        <f aca="false">IFERROR(_xlfn.T.TEST(E960:M960,N960:U960,2,2),"")</f>
        <v/>
      </c>
      <c r="X960" s="0" t="str">
        <f aca="false">IFERROR(AVERAGE(E960:M960),"")</f>
        <v/>
      </c>
      <c r="Y960" s="0" t="str">
        <f aca="false">IFERROR(AVERAGE(N960:U960),"")</f>
        <v/>
      </c>
    </row>
    <row r="961" customFormat="false" ht="14.5" hidden="false" customHeight="false" outlineLevel="0" collapsed="false">
      <c r="A961" s="0" t="n">
        <v>969</v>
      </c>
      <c r="B961" s="0" t="s">
        <v>1008</v>
      </c>
      <c r="C961" s="0" t="n">
        <v>22800</v>
      </c>
      <c r="D961" s="0" t="n">
        <v>746</v>
      </c>
      <c r="E961" s="0" t="str">
        <f aca="false">IFERROR(IF(OR(HLOOKUP($A961,#REF!,3,FALSE())&gt;2,HLOOKUP(A961,#REF!,3,FALSE())&lt;-2),"",#REF!),"")</f>
        <v/>
      </c>
      <c r="F961" s="0" t="str">
        <f aca="false">IFERROR(IF(OR(HLOOKUP($A961,#REF!,4,FALSE())&gt;2,HLOOKUP($A961,#REF!,4,FALSE())&lt;-2),"",#REF!),"")</f>
        <v/>
      </c>
      <c r="G961" s="0" t="str">
        <f aca="false">IFERROR(IF(OR(HLOOKUP($A961,#REF!,5,FALSE())&gt;2,HLOOKUP($A961,#REF!,5,FALSE())&lt;-2),"",#REF!),"")</f>
        <v/>
      </c>
      <c r="H961" s="0" t="str">
        <f aca="false">IFERROR(IF(OR(HLOOKUP($A961,#REF!,6,FALSE())&gt;2,HLOOKUP($A961,#REF!,6,FALSE())&lt;-2),"",#REF!),"")</f>
        <v/>
      </c>
      <c r="I961" s="0" t="str">
        <f aca="false">IFERROR(IF(OR(HLOOKUP($A961,#REF!,7,FALSE())&gt;2,HLOOKUP($A961,#REF!,7,FALSE())&lt;-2),"",#REF!),"")</f>
        <v/>
      </c>
      <c r="J961" s="0" t="str">
        <f aca="false">IFERROR(IF(OR(HLOOKUP($A961,#REF!,8,FALSE())&gt;2,HLOOKUP($A961,#REF!,8,FALSE())&lt;-2),"",#REF!),"")</f>
        <v/>
      </c>
      <c r="K961" s="0" t="str">
        <f aca="false">IFERROR(IF(OR(HLOOKUP($A961,#REF!,9,FALSE())&gt;2,HLOOKUP($A961,#REF!,9,FALSE())&lt;-2),"",#REF!),"")</f>
        <v/>
      </c>
      <c r="L961" s="0" t="str">
        <f aca="false">IFERROR(IF(OR(HLOOKUP($A961,#REF!,10,FALSE())&gt;2,HLOOKUP($A961,#REF!,10,FALSE())&lt;-2),"",#REF!),"")</f>
        <v/>
      </c>
      <c r="M961" s="0" t="str">
        <f aca="false">IFERROR(IF(OR(HLOOKUP($A961,#REF!,11,FALSE())&gt;2,HLOOKUP($A961,#REF!,11,FALSE())&lt;-2),"",#REF!),"")</f>
        <v/>
      </c>
      <c r="N961" s="0" t="str">
        <f aca="false">IFERROR(IF(OR(HLOOKUP($A961,#REF!,12,FALSE())&gt;2,HLOOKUP($A961,#REF!,12,FALSE())&lt;-2),"",#REF!),"")</f>
        <v/>
      </c>
      <c r="O961" s="0" t="str">
        <f aca="false">IFERROR(IF(OR(HLOOKUP($A961,#REF!,13,FALSE())&gt;2,HLOOKUP($A961,#REF!,13,FALSE())&lt;-2),"",#REF!),"")</f>
        <v/>
      </c>
      <c r="P961" s="0" t="str">
        <f aca="false">IFERROR(IF(OR(HLOOKUP($A961,#REF!,14,FALSE())&gt;2,HLOOKUP($A961,#REF!,14,FALSE())&lt;-2),"",#REF!),"")</f>
        <v/>
      </c>
      <c r="Q961" s="0" t="str">
        <f aca="false">IFERROR(IF(OR(HLOOKUP($A961,#REF!,15,FALSE())&gt;2,HLOOKUP($A961,#REF!,15,FALSE())&lt;-2),"",#REF!),"")</f>
        <v/>
      </c>
      <c r="R961" s="0" t="str">
        <f aca="false">IFERROR(IF(OR(HLOOKUP($A961,#REF!,16,FALSE())&gt;2,HLOOKUP($A961,#REF!,16,FALSE())&lt;-2),"",#REF!),"")</f>
        <v/>
      </c>
      <c r="S961" s="0" t="str">
        <f aca="false">IFERROR(IF(OR(HLOOKUP($A961,#REF!,17,FALSE())&gt;2,HLOOKUP($A961,#REF!,17,FALSE())&lt;-2),"",#REF!),"")</f>
        <v/>
      </c>
      <c r="T961" s="0" t="str">
        <f aca="false">IFERROR(IF(OR(HLOOKUP($A961,#REF!,18,FALSE())&gt;2,HLOOKUP($A961,#REF!,18,FALSE())&lt;-2),"",#REF!),"")</f>
        <v/>
      </c>
      <c r="U961" s="0" t="str">
        <f aca="false">IFERROR(IF(OR(HLOOKUP($A961,#REF!,19,FALSE())&gt;2,HLOOKUP($A961,#REF!,19,FALSE())&lt;-2),"",#REF!),"")</f>
        <v/>
      </c>
      <c r="V961" s="0" t="n">
        <f aca="false">IFERROR(IF(AND(X961=0,Y961=0),0,1),0)</f>
        <v>1</v>
      </c>
      <c r="W961" s="3" t="str">
        <f aca="false">IFERROR(_xlfn.T.TEST(E961:M961,N961:U961,2,2),"")</f>
        <v/>
      </c>
      <c r="X961" s="0" t="str">
        <f aca="false">IFERROR(AVERAGE(E961:M961),"")</f>
        <v/>
      </c>
      <c r="Y961" s="0" t="str">
        <f aca="false">IFERROR(AVERAGE(N961:U961),"")</f>
        <v/>
      </c>
    </row>
    <row r="962" customFormat="false" ht="14.5" hidden="false" customHeight="false" outlineLevel="0" collapsed="false">
      <c r="A962" s="0" t="n">
        <v>970</v>
      </c>
      <c r="B962" s="0" t="s">
        <v>1009</v>
      </c>
      <c r="C962" s="0" t="n">
        <v>94900</v>
      </c>
      <c r="D962" s="0" t="n">
        <v>938</v>
      </c>
      <c r="E962" s="0" t="str">
        <f aca="false">IFERROR(IF(OR(HLOOKUP($A962,#REF!,3,FALSE())&gt;2,HLOOKUP(A962,#REF!,3,FALSE())&lt;-2),"",#REF!),"")</f>
        <v/>
      </c>
      <c r="F962" s="0" t="str">
        <f aca="false">IFERROR(IF(OR(HLOOKUP($A962,#REF!,4,FALSE())&gt;2,HLOOKUP($A962,#REF!,4,FALSE())&lt;-2),"",#REF!),"")</f>
        <v/>
      </c>
      <c r="G962" s="0" t="str">
        <f aca="false">IFERROR(IF(OR(HLOOKUP($A962,#REF!,5,FALSE())&gt;2,HLOOKUP($A962,#REF!,5,FALSE())&lt;-2),"",#REF!),"")</f>
        <v/>
      </c>
      <c r="H962" s="0" t="str">
        <f aca="false">IFERROR(IF(OR(HLOOKUP($A962,#REF!,6,FALSE())&gt;2,HLOOKUP($A962,#REF!,6,FALSE())&lt;-2),"",#REF!),"")</f>
        <v/>
      </c>
      <c r="I962" s="0" t="str">
        <f aca="false">IFERROR(IF(OR(HLOOKUP($A962,#REF!,7,FALSE())&gt;2,HLOOKUP($A962,#REF!,7,FALSE())&lt;-2),"",#REF!),"")</f>
        <v/>
      </c>
      <c r="J962" s="0" t="str">
        <f aca="false">IFERROR(IF(OR(HLOOKUP($A962,#REF!,8,FALSE())&gt;2,HLOOKUP($A962,#REF!,8,FALSE())&lt;-2),"",#REF!),"")</f>
        <v/>
      </c>
      <c r="K962" s="0" t="str">
        <f aca="false">IFERROR(IF(OR(HLOOKUP($A962,#REF!,9,FALSE())&gt;2,HLOOKUP($A962,#REF!,9,FALSE())&lt;-2),"",#REF!),"")</f>
        <v/>
      </c>
      <c r="L962" s="0" t="str">
        <f aca="false">IFERROR(IF(OR(HLOOKUP($A962,#REF!,10,FALSE())&gt;2,HLOOKUP($A962,#REF!,10,FALSE())&lt;-2),"",#REF!),"")</f>
        <v/>
      </c>
      <c r="M962" s="0" t="str">
        <f aca="false">IFERROR(IF(OR(HLOOKUP($A962,#REF!,11,FALSE())&gt;2,HLOOKUP($A962,#REF!,11,FALSE())&lt;-2),"",#REF!),"")</f>
        <v/>
      </c>
      <c r="N962" s="0" t="str">
        <f aca="false">IFERROR(IF(OR(HLOOKUP($A962,#REF!,12,FALSE())&gt;2,HLOOKUP($A962,#REF!,12,FALSE())&lt;-2),"",#REF!),"")</f>
        <v/>
      </c>
      <c r="O962" s="0" t="str">
        <f aca="false">IFERROR(IF(OR(HLOOKUP($A962,#REF!,13,FALSE())&gt;2,HLOOKUP($A962,#REF!,13,FALSE())&lt;-2),"",#REF!),"")</f>
        <v/>
      </c>
      <c r="P962" s="0" t="str">
        <f aca="false">IFERROR(IF(OR(HLOOKUP($A962,#REF!,14,FALSE())&gt;2,HLOOKUP($A962,#REF!,14,FALSE())&lt;-2),"",#REF!),"")</f>
        <v/>
      </c>
      <c r="Q962" s="0" t="str">
        <f aca="false">IFERROR(IF(OR(HLOOKUP($A962,#REF!,15,FALSE())&gt;2,HLOOKUP($A962,#REF!,15,FALSE())&lt;-2),"",#REF!),"")</f>
        <v/>
      </c>
      <c r="R962" s="0" t="str">
        <f aca="false">IFERROR(IF(OR(HLOOKUP($A962,#REF!,16,FALSE())&gt;2,HLOOKUP($A962,#REF!,16,FALSE())&lt;-2),"",#REF!),"")</f>
        <v/>
      </c>
      <c r="S962" s="0" t="str">
        <f aca="false">IFERROR(IF(OR(HLOOKUP($A962,#REF!,17,FALSE())&gt;2,HLOOKUP($A962,#REF!,17,FALSE())&lt;-2),"",#REF!),"")</f>
        <v/>
      </c>
      <c r="T962" s="0" t="str">
        <f aca="false">IFERROR(IF(OR(HLOOKUP($A962,#REF!,18,FALSE())&gt;2,HLOOKUP($A962,#REF!,18,FALSE())&lt;-2),"",#REF!),"")</f>
        <v/>
      </c>
      <c r="U962" s="0" t="str">
        <f aca="false">IFERROR(IF(OR(HLOOKUP($A962,#REF!,19,FALSE())&gt;2,HLOOKUP($A962,#REF!,19,FALSE())&lt;-2),"",#REF!),"")</f>
        <v/>
      </c>
      <c r="V962" s="0" t="n">
        <f aca="false">IFERROR(IF(AND(X962=0,Y962=0),0,1),0)</f>
        <v>1</v>
      </c>
      <c r="W962" s="3" t="str">
        <f aca="false">IFERROR(_xlfn.T.TEST(E962:M962,N962:U962,2,2),"")</f>
        <v/>
      </c>
      <c r="X962" s="0" t="str">
        <f aca="false">IFERROR(AVERAGE(E962:M962),"")</f>
        <v/>
      </c>
      <c r="Y962" s="0" t="str">
        <f aca="false">IFERROR(AVERAGE(N962:U962),"")</f>
        <v/>
      </c>
    </row>
    <row r="963" customFormat="false" ht="14.5" hidden="false" customHeight="false" outlineLevel="0" collapsed="false">
      <c r="A963" s="0" t="n">
        <v>971</v>
      </c>
      <c r="B963" s="0" t="s">
        <v>1010</v>
      </c>
      <c r="C963" s="0" t="n">
        <v>106600</v>
      </c>
      <c r="D963" s="0" t="n">
        <v>776</v>
      </c>
      <c r="E963" s="0" t="str">
        <f aca="false">IFERROR(IF(OR(HLOOKUP($A963,#REF!,3,FALSE())&gt;2,HLOOKUP(A963,#REF!,3,FALSE())&lt;-2),"",#REF!),"")</f>
        <v/>
      </c>
      <c r="F963" s="0" t="str">
        <f aca="false">IFERROR(IF(OR(HLOOKUP($A963,#REF!,4,FALSE())&gt;2,HLOOKUP($A963,#REF!,4,FALSE())&lt;-2),"",#REF!),"")</f>
        <v/>
      </c>
      <c r="G963" s="0" t="str">
        <f aca="false">IFERROR(IF(OR(HLOOKUP($A963,#REF!,5,FALSE())&gt;2,HLOOKUP($A963,#REF!,5,FALSE())&lt;-2),"",#REF!),"")</f>
        <v/>
      </c>
      <c r="H963" s="0" t="str">
        <f aca="false">IFERROR(IF(OR(HLOOKUP($A963,#REF!,6,FALSE())&gt;2,HLOOKUP($A963,#REF!,6,FALSE())&lt;-2),"",#REF!),"")</f>
        <v/>
      </c>
      <c r="I963" s="0" t="str">
        <f aca="false">IFERROR(IF(OR(HLOOKUP($A963,#REF!,7,FALSE())&gt;2,HLOOKUP($A963,#REF!,7,FALSE())&lt;-2),"",#REF!),"")</f>
        <v/>
      </c>
      <c r="J963" s="0" t="str">
        <f aca="false">IFERROR(IF(OR(HLOOKUP($A963,#REF!,8,FALSE())&gt;2,HLOOKUP($A963,#REF!,8,FALSE())&lt;-2),"",#REF!),"")</f>
        <v/>
      </c>
      <c r="K963" s="0" t="str">
        <f aca="false">IFERROR(IF(OR(HLOOKUP($A963,#REF!,9,FALSE())&gt;2,HLOOKUP($A963,#REF!,9,FALSE())&lt;-2),"",#REF!),"")</f>
        <v/>
      </c>
      <c r="L963" s="0" t="str">
        <f aca="false">IFERROR(IF(OR(HLOOKUP($A963,#REF!,10,FALSE())&gt;2,HLOOKUP($A963,#REF!,10,FALSE())&lt;-2),"",#REF!),"")</f>
        <v/>
      </c>
      <c r="M963" s="0" t="str">
        <f aca="false">IFERROR(IF(OR(HLOOKUP($A963,#REF!,11,FALSE())&gt;2,HLOOKUP($A963,#REF!,11,FALSE())&lt;-2),"",#REF!),"")</f>
        <v/>
      </c>
      <c r="N963" s="0" t="str">
        <f aca="false">IFERROR(IF(OR(HLOOKUP($A963,#REF!,12,FALSE())&gt;2,HLOOKUP($A963,#REF!,12,FALSE())&lt;-2),"",#REF!),"")</f>
        <v/>
      </c>
      <c r="O963" s="0" t="str">
        <f aca="false">IFERROR(IF(OR(HLOOKUP($A963,#REF!,13,FALSE())&gt;2,HLOOKUP($A963,#REF!,13,FALSE())&lt;-2),"",#REF!),"")</f>
        <v/>
      </c>
      <c r="P963" s="0" t="str">
        <f aca="false">IFERROR(IF(OR(HLOOKUP($A963,#REF!,14,FALSE())&gt;2,HLOOKUP($A963,#REF!,14,FALSE())&lt;-2),"",#REF!),"")</f>
        <v/>
      </c>
      <c r="Q963" s="0" t="str">
        <f aca="false">IFERROR(IF(OR(HLOOKUP($A963,#REF!,15,FALSE())&gt;2,HLOOKUP($A963,#REF!,15,FALSE())&lt;-2),"",#REF!),"")</f>
        <v/>
      </c>
      <c r="R963" s="0" t="str">
        <f aca="false">IFERROR(IF(OR(HLOOKUP($A963,#REF!,16,FALSE())&gt;2,HLOOKUP($A963,#REF!,16,FALSE())&lt;-2),"",#REF!),"")</f>
        <v/>
      </c>
      <c r="S963" s="0" t="str">
        <f aca="false">IFERROR(IF(OR(HLOOKUP($A963,#REF!,17,FALSE())&gt;2,HLOOKUP($A963,#REF!,17,FALSE())&lt;-2),"",#REF!),"")</f>
        <v/>
      </c>
      <c r="T963" s="0" t="str">
        <f aca="false">IFERROR(IF(OR(HLOOKUP($A963,#REF!,18,FALSE())&gt;2,HLOOKUP($A963,#REF!,18,FALSE())&lt;-2),"",#REF!),"")</f>
        <v/>
      </c>
      <c r="U963" s="0" t="str">
        <f aca="false">IFERROR(IF(OR(HLOOKUP($A963,#REF!,19,FALSE())&gt;2,HLOOKUP($A963,#REF!,19,FALSE())&lt;-2),"",#REF!),"")</f>
        <v/>
      </c>
      <c r="V963" s="0" t="n">
        <f aca="false">IFERROR(IF(AND(X963=0,Y963=0),0,1),0)</f>
        <v>1</v>
      </c>
      <c r="W963" s="3" t="str">
        <f aca="false">IFERROR(_xlfn.T.TEST(E963:M963,N963:U963,2,2),"")</f>
        <v/>
      </c>
      <c r="X963" s="0" t="str">
        <f aca="false">IFERROR(AVERAGE(E963:M963),"")</f>
        <v/>
      </c>
      <c r="Y963" s="0" t="str">
        <f aca="false">IFERROR(AVERAGE(N963:U963),"")</f>
        <v/>
      </c>
    </row>
    <row r="964" customFormat="false" ht="14.5" hidden="false" customHeight="false" outlineLevel="0" collapsed="false">
      <c r="A964" s="0" t="n">
        <v>972</v>
      </c>
      <c r="B964" s="0" t="s">
        <v>43</v>
      </c>
      <c r="C964" s="0" t="n">
        <v>20100</v>
      </c>
      <c r="D964" s="0" t="n">
        <v>315</v>
      </c>
      <c r="E964" s="0" t="str">
        <f aca="false">IFERROR(IF(OR(HLOOKUP($A964,#REF!,3,FALSE())&gt;2,HLOOKUP(A964,#REF!,3,FALSE())&lt;-2),"",#REF!),"")</f>
        <v/>
      </c>
      <c r="F964" s="0" t="str">
        <f aca="false">IFERROR(IF(OR(HLOOKUP($A964,#REF!,4,FALSE())&gt;2,HLOOKUP($A964,#REF!,4,FALSE())&lt;-2),"",#REF!),"")</f>
        <v/>
      </c>
      <c r="G964" s="0" t="str">
        <f aca="false">IFERROR(IF(OR(HLOOKUP($A964,#REF!,5,FALSE())&gt;2,HLOOKUP($A964,#REF!,5,FALSE())&lt;-2),"",#REF!),"")</f>
        <v/>
      </c>
      <c r="H964" s="0" t="str">
        <f aca="false">IFERROR(IF(OR(HLOOKUP($A964,#REF!,6,FALSE())&gt;2,HLOOKUP($A964,#REF!,6,FALSE())&lt;-2),"",#REF!),"")</f>
        <v/>
      </c>
      <c r="I964" s="0" t="str">
        <f aca="false">IFERROR(IF(OR(HLOOKUP($A964,#REF!,7,FALSE())&gt;2,HLOOKUP($A964,#REF!,7,FALSE())&lt;-2),"",#REF!),"")</f>
        <v/>
      </c>
      <c r="J964" s="0" t="str">
        <f aca="false">IFERROR(IF(OR(HLOOKUP($A964,#REF!,8,FALSE())&gt;2,HLOOKUP($A964,#REF!,8,FALSE())&lt;-2),"",#REF!),"")</f>
        <v/>
      </c>
      <c r="K964" s="0" t="str">
        <f aca="false">IFERROR(IF(OR(HLOOKUP($A964,#REF!,9,FALSE())&gt;2,HLOOKUP($A964,#REF!,9,FALSE())&lt;-2),"",#REF!),"")</f>
        <v/>
      </c>
      <c r="L964" s="0" t="str">
        <f aca="false">IFERROR(IF(OR(HLOOKUP($A964,#REF!,10,FALSE())&gt;2,HLOOKUP($A964,#REF!,10,FALSE())&lt;-2),"",#REF!),"")</f>
        <v/>
      </c>
      <c r="M964" s="0" t="str">
        <f aca="false">IFERROR(IF(OR(HLOOKUP($A964,#REF!,11,FALSE())&gt;2,HLOOKUP($A964,#REF!,11,FALSE())&lt;-2),"",#REF!),"")</f>
        <v/>
      </c>
      <c r="N964" s="0" t="str">
        <f aca="false">IFERROR(IF(OR(HLOOKUP($A964,#REF!,12,FALSE())&gt;2,HLOOKUP($A964,#REF!,12,FALSE())&lt;-2),"",#REF!),"")</f>
        <v/>
      </c>
      <c r="O964" s="0" t="str">
        <f aca="false">IFERROR(IF(OR(HLOOKUP($A964,#REF!,13,FALSE())&gt;2,HLOOKUP($A964,#REF!,13,FALSE())&lt;-2),"",#REF!),"")</f>
        <v/>
      </c>
      <c r="P964" s="0" t="str">
        <f aca="false">IFERROR(IF(OR(HLOOKUP($A964,#REF!,14,FALSE())&gt;2,HLOOKUP($A964,#REF!,14,FALSE())&lt;-2),"",#REF!),"")</f>
        <v/>
      </c>
      <c r="Q964" s="0" t="str">
        <f aca="false">IFERROR(IF(OR(HLOOKUP($A964,#REF!,15,FALSE())&gt;2,HLOOKUP($A964,#REF!,15,FALSE())&lt;-2),"",#REF!),"")</f>
        <v/>
      </c>
      <c r="R964" s="0" t="str">
        <f aca="false">IFERROR(IF(OR(HLOOKUP($A964,#REF!,16,FALSE())&gt;2,HLOOKUP($A964,#REF!,16,FALSE())&lt;-2),"",#REF!),"")</f>
        <v/>
      </c>
      <c r="S964" s="0" t="str">
        <f aca="false">IFERROR(IF(OR(HLOOKUP($A964,#REF!,17,FALSE())&gt;2,HLOOKUP($A964,#REF!,17,FALSE())&lt;-2),"",#REF!),"")</f>
        <v/>
      </c>
      <c r="T964" s="0" t="str">
        <f aca="false">IFERROR(IF(OR(HLOOKUP($A964,#REF!,18,FALSE())&gt;2,HLOOKUP($A964,#REF!,18,FALSE())&lt;-2),"",#REF!),"")</f>
        <v/>
      </c>
      <c r="U964" s="0" t="str">
        <f aca="false">IFERROR(IF(OR(HLOOKUP($A964,#REF!,19,FALSE())&gt;2,HLOOKUP($A964,#REF!,19,FALSE())&lt;-2),"",#REF!),"")</f>
        <v/>
      </c>
      <c r="V964" s="0" t="n">
        <f aca="false">IFERROR(IF(AND(X964=0,Y964=0),0,1),0)</f>
        <v>1</v>
      </c>
      <c r="W964" s="3" t="str">
        <f aca="false">IFERROR(_xlfn.T.TEST(E964:M964,N964:U964,2,2),"")</f>
        <v/>
      </c>
      <c r="X964" s="0" t="str">
        <f aca="false">IFERROR(AVERAGE(E964:M964),"")</f>
        <v/>
      </c>
      <c r="Y964" s="0" t="str">
        <f aca="false">IFERROR(AVERAGE(N964:U964),"")</f>
        <v/>
      </c>
    </row>
    <row r="965" customFormat="false" ht="14.5" hidden="false" customHeight="false" outlineLevel="0" collapsed="false">
      <c r="A965" s="0" t="n">
        <v>973</v>
      </c>
      <c r="B965" s="0" t="s">
        <v>1011</v>
      </c>
      <c r="C965" s="0" t="n">
        <v>15700</v>
      </c>
      <c r="D965" s="0" t="n">
        <v>409</v>
      </c>
      <c r="E965" s="0" t="str">
        <f aca="false">IFERROR(IF(OR(HLOOKUP($A965,#REF!,3,FALSE())&gt;2,HLOOKUP(A965,#REF!,3,FALSE())&lt;-2),"",#REF!),"")</f>
        <v/>
      </c>
      <c r="F965" s="0" t="str">
        <f aca="false">IFERROR(IF(OR(HLOOKUP($A965,#REF!,4,FALSE())&gt;2,HLOOKUP($A965,#REF!,4,FALSE())&lt;-2),"",#REF!),"")</f>
        <v/>
      </c>
      <c r="G965" s="0" t="str">
        <f aca="false">IFERROR(IF(OR(HLOOKUP($A965,#REF!,5,FALSE())&gt;2,HLOOKUP($A965,#REF!,5,FALSE())&lt;-2),"",#REF!),"")</f>
        <v/>
      </c>
      <c r="H965" s="0" t="str">
        <f aca="false">IFERROR(IF(OR(HLOOKUP($A965,#REF!,6,FALSE())&gt;2,HLOOKUP($A965,#REF!,6,FALSE())&lt;-2),"",#REF!),"")</f>
        <v/>
      </c>
      <c r="I965" s="0" t="str">
        <f aca="false">IFERROR(IF(OR(HLOOKUP($A965,#REF!,7,FALSE())&gt;2,HLOOKUP($A965,#REF!,7,FALSE())&lt;-2),"",#REF!),"")</f>
        <v/>
      </c>
      <c r="J965" s="0" t="str">
        <f aca="false">IFERROR(IF(OR(HLOOKUP($A965,#REF!,8,FALSE())&gt;2,HLOOKUP($A965,#REF!,8,FALSE())&lt;-2),"",#REF!),"")</f>
        <v/>
      </c>
      <c r="K965" s="0" t="str">
        <f aca="false">IFERROR(IF(OR(HLOOKUP($A965,#REF!,9,FALSE())&gt;2,HLOOKUP($A965,#REF!,9,FALSE())&lt;-2),"",#REF!),"")</f>
        <v/>
      </c>
      <c r="L965" s="0" t="str">
        <f aca="false">IFERROR(IF(OR(HLOOKUP($A965,#REF!,10,FALSE())&gt;2,HLOOKUP($A965,#REF!,10,FALSE())&lt;-2),"",#REF!),"")</f>
        <v/>
      </c>
      <c r="M965" s="0" t="str">
        <f aca="false">IFERROR(IF(OR(HLOOKUP($A965,#REF!,11,FALSE())&gt;2,HLOOKUP($A965,#REF!,11,FALSE())&lt;-2),"",#REF!),"")</f>
        <v/>
      </c>
      <c r="N965" s="0" t="str">
        <f aca="false">IFERROR(IF(OR(HLOOKUP($A965,#REF!,12,FALSE())&gt;2,HLOOKUP($A965,#REF!,12,FALSE())&lt;-2),"",#REF!),"")</f>
        <v/>
      </c>
      <c r="O965" s="0" t="str">
        <f aca="false">IFERROR(IF(OR(HLOOKUP($A965,#REF!,13,FALSE())&gt;2,HLOOKUP($A965,#REF!,13,FALSE())&lt;-2),"",#REF!),"")</f>
        <v/>
      </c>
      <c r="P965" s="0" t="str">
        <f aca="false">IFERROR(IF(OR(HLOOKUP($A965,#REF!,14,FALSE())&gt;2,HLOOKUP($A965,#REF!,14,FALSE())&lt;-2),"",#REF!),"")</f>
        <v/>
      </c>
      <c r="Q965" s="0" t="str">
        <f aca="false">IFERROR(IF(OR(HLOOKUP($A965,#REF!,15,FALSE())&gt;2,HLOOKUP($A965,#REF!,15,FALSE())&lt;-2),"",#REF!),"")</f>
        <v/>
      </c>
      <c r="R965" s="0" t="str">
        <f aca="false">IFERROR(IF(OR(HLOOKUP($A965,#REF!,16,FALSE())&gt;2,HLOOKUP($A965,#REF!,16,FALSE())&lt;-2),"",#REF!),"")</f>
        <v/>
      </c>
      <c r="S965" s="0" t="str">
        <f aca="false">IFERROR(IF(OR(HLOOKUP($A965,#REF!,17,FALSE())&gt;2,HLOOKUP($A965,#REF!,17,FALSE())&lt;-2),"",#REF!),"")</f>
        <v/>
      </c>
      <c r="T965" s="0" t="str">
        <f aca="false">IFERROR(IF(OR(HLOOKUP($A965,#REF!,18,FALSE())&gt;2,HLOOKUP($A965,#REF!,18,FALSE())&lt;-2),"",#REF!),"")</f>
        <v/>
      </c>
      <c r="U965" s="0" t="str">
        <f aca="false">IFERROR(IF(OR(HLOOKUP($A965,#REF!,19,FALSE())&gt;2,HLOOKUP($A965,#REF!,19,FALSE())&lt;-2),"",#REF!),"")</f>
        <v/>
      </c>
      <c r="V965" s="0" t="n">
        <f aca="false">IFERROR(IF(AND(X965=0,Y965=0),0,1),0)</f>
        <v>1</v>
      </c>
      <c r="W965" s="3" t="str">
        <f aca="false">IFERROR(_xlfn.T.TEST(E965:M965,N965:U965,2,2),"")</f>
        <v/>
      </c>
      <c r="X965" s="0" t="str">
        <f aca="false">IFERROR(AVERAGE(E965:M965),"")</f>
        <v/>
      </c>
      <c r="Y965" s="0" t="str">
        <f aca="false">IFERROR(AVERAGE(N965:U965),"")</f>
        <v/>
      </c>
    </row>
    <row r="966" customFormat="false" ht="14.5" hidden="false" customHeight="false" outlineLevel="0" collapsed="false">
      <c r="A966" s="0" t="n">
        <v>974</v>
      </c>
      <c r="B966" s="0" t="s">
        <v>1012</v>
      </c>
      <c r="C966" s="0" t="n">
        <v>6000</v>
      </c>
      <c r="D966" s="0" t="n">
        <v>345</v>
      </c>
      <c r="E966" s="0" t="str">
        <f aca="false">IFERROR(IF(OR(HLOOKUP($A966,#REF!,3,FALSE())&gt;2,HLOOKUP(A966,#REF!,3,FALSE())&lt;-2),"",#REF!),"")</f>
        <v/>
      </c>
      <c r="F966" s="0" t="str">
        <f aca="false">IFERROR(IF(OR(HLOOKUP($A966,#REF!,4,FALSE())&gt;2,HLOOKUP($A966,#REF!,4,FALSE())&lt;-2),"",#REF!),"")</f>
        <v/>
      </c>
      <c r="G966" s="0" t="str">
        <f aca="false">IFERROR(IF(OR(HLOOKUP($A966,#REF!,5,FALSE())&gt;2,HLOOKUP($A966,#REF!,5,FALSE())&lt;-2),"",#REF!),"")</f>
        <v/>
      </c>
      <c r="H966" s="0" t="str">
        <f aca="false">IFERROR(IF(OR(HLOOKUP($A966,#REF!,6,FALSE())&gt;2,HLOOKUP($A966,#REF!,6,FALSE())&lt;-2),"",#REF!),"")</f>
        <v/>
      </c>
      <c r="I966" s="0" t="str">
        <f aca="false">IFERROR(IF(OR(HLOOKUP($A966,#REF!,7,FALSE())&gt;2,HLOOKUP($A966,#REF!,7,FALSE())&lt;-2),"",#REF!),"")</f>
        <v/>
      </c>
      <c r="J966" s="0" t="str">
        <f aca="false">IFERROR(IF(OR(HLOOKUP($A966,#REF!,8,FALSE())&gt;2,HLOOKUP($A966,#REF!,8,FALSE())&lt;-2),"",#REF!),"")</f>
        <v/>
      </c>
      <c r="K966" s="0" t="str">
        <f aca="false">IFERROR(IF(OR(HLOOKUP($A966,#REF!,9,FALSE())&gt;2,HLOOKUP($A966,#REF!,9,FALSE())&lt;-2),"",#REF!),"")</f>
        <v/>
      </c>
      <c r="L966" s="0" t="str">
        <f aca="false">IFERROR(IF(OR(HLOOKUP($A966,#REF!,10,FALSE())&gt;2,HLOOKUP($A966,#REF!,10,FALSE())&lt;-2),"",#REF!),"")</f>
        <v/>
      </c>
      <c r="M966" s="0" t="str">
        <f aca="false">IFERROR(IF(OR(HLOOKUP($A966,#REF!,11,FALSE())&gt;2,HLOOKUP($A966,#REF!,11,FALSE())&lt;-2),"",#REF!),"")</f>
        <v/>
      </c>
      <c r="N966" s="0" t="str">
        <f aca="false">IFERROR(IF(OR(HLOOKUP($A966,#REF!,12,FALSE())&gt;2,HLOOKUP($A966,#REF!,12,FALSE())&lt;-2),"",#REF!),"")</f>
        <v/>
      </c>
      <c r="O966" s="0" t="str">
        <f aca="false">IFERROR(IF(OR(HLOOKUP($A966,#REF!,13,FALSE())&gt;2,HLOOKUP($A966,#REF!,13,FALSE())&lt;-2),"",#REF!),"")</f>
        <v/>
      </c>
      <c r="P966" s="0" t="str">
        <f aca="false">IFERROR(IF(OR(HLOOKUP($A966,#REF!,14,FALSE())&gt;2,HLOOKUP($A966,#REF!,14,FALSE())&lt;-2),"",#REF!),"")</f>
        <v/>
      </c>
      <c r="Q966" s="0" t="str">
        <f aca="false">IFERROR(IF(OR(HLOOKUP($A966,#REF!,15,FALSE())&gt;2,HLOOKUP($A966,#REF!,15,FALSE())&lt;-2),"",#REF!),"")</f>
        <v/>
      </c>
      <c r="R966" s="0" t="str">
        <f aca="false">IFERROR(IF(OR(HLOOKUP($A966,#REF!,16,FALSE())&gt;2,HLOOKUP($A966,#REF!,16,FALSE())&lt;-2),"",#REF!),"")</f>
        <v/>
      </c>
      <c r="S966" s="0" t="str">
        <f aca="false">IFERROR(IF(OR(HLOOKUP($A966,#REF!,17,FALSE())&gt;2,HLOOKUP($A966,#REF!,17,FALSE())&lt;-2),"",#REF!),"")</f>
        <v/>
      </c>
      <c r="T966" s="0" t="str">
        <f aca="false">IFERROR(IF(OR(HLOOKUP($A966,#REF!,18,FALSE())&gt;2,HLOOKUP($A966,#REF!,18,FALSE())&lt;-2),"",#REF!),"")</f>
        <v/>
      </c>
      <c r="U966" s="0" t="str">
        <f aca="false">IFERROR(IF(OR(HLOOKUP($A966,#REF!,19,FALSE())&gt;2,HLOOKUP($A966,#REF!,19,FALSE())&lt;-2),"",#REF!),"")</f>
        <v/>
      </c>
      <c r="V966" s="0" t="n">
        <f aca="false">IFERROR(IF(AND(X966=0,Y966=0),0,1),0)</f>
        <v>1</v>
      </c>
      <c r="W966" s="3" t="str">
        <f aca="false">IFERROR(_xlfn.T.TEST(E966:M966,N966:U966,2,2),"")</f>
        <v/>
      </c>
      <c r="X966" s="0" t="str">
        <f aca="false">IFERROR(AVERAGE(E966:M966),"")</f>
        <v/>
      </c>
      <c r="Y966" s="0" t="str">
        <f aca="false">IFERROR(AVERAGE(N966:U966),"")</f>
        <v/>
      </c>
    </row>
    <row r="967" customFormat="false" ht="14.5" hidden="false" customHeight="false" outlineLevel="0" collapsed="false">
      <c r="A967" s="0" t="n">
        <v>975</v>
      </c>
      <c r="B967" s="0" t="s">
        <v>1013</v>
      </c>
      <c r="C967" s="0" t="n">
        <v>82900</v>
      </c>
      <c r="D967" s="0" t="n">
        <v>323</v>
      </c>
      <c r="E967" s="0" t="str">
        <f aca="false">IFERROR(IF(OR(HLOOKUP($A967,#REF!,3,FALSE())&gt;2,HLOOKUP(A967,#REF!,3,FALSE())&lt;-2),"",#REF!),"")</f>
        <v/>
      </c>
      <c r="F967" s="0" t="str">
        <f aca="false">IFERROR(IF(OR(HLOOKUP($A967,#REF!,4,FALSE())&gt;2,HLOOKUP($A967,#REF!,4,FALSE())&lt;-2),"",#REF!),"")</f>
        <v/>
      </c>
      <c r="G967" s="0" t="str">
        <f aca="false">IFERROR(IF(OR(HLOOKUP($A967,#REF!,5,FALSE())&gt;2,HLOOKUP($A967,#REF!,5,FALSE())&lt;-2),"",#REF!),"")</f>
        <v/>
      </c>
      <c r="H967" s="0" t="str">
        <f aca="false">IFERROR(IF(OR(HLOOKUP($A967,#REF!,6,FALSE())&gt;2,HLOOKUP($A967,#REF!,6,FALSE())&lt;-2),"",#REF!),"")</f>
        <v/>
      </c>
      <c r="I967" s="0" t="str">
        <f aca="false">IFERROR(IF(OR(HLOOKUP($A967,#REF!,7,FALSE())&gt;2,HLOOKUP($A967,#REF!,7,FALSE())&lt;-2),"",#REF!),"")</f>
        <v/>
      </c>
      <c r="J967" s="0" t="str">
        <f aca="false">IFERROR(IF(OR(HLOOKUP($A967,#REF!,8,FALSE())&gt;2,HLOOKUP($A967,#REF!,8,FALSE())&lt;-2),"",#REF!),"")</f>
        <v/>
      </c>
      <c r="K967" s="0" t="str">
        <f aca="false">IFERROR(IF(OR(HLOOKUP($A967,#REF!,9,FALSE())&gt;2,HLOOKUP($A967,#REF!,9,FALSE())&lt;-2),"",#REF!),"")</f>
        <v/>
      </c>
      <c r="L967" s="0" t="str">
        <f aca="false">IFERROR(IF(OR(HLOOKUP($A967,#REF!,10,FALSE())&gt;2,HLOOKUP($A967,#REF!,10,FALSE())&lt;-2),"",#REF!),"")</f>
        <v/>
      </c>
      <c r="M967" s="0" t="str">
        <f aca="false">IFERROR(IF(OR(HLOOKUP($A967,#REF!,11,FALSE())&gt;2,HLOOKUP($A967,#REF!,11,FALSE())&lt;-2),"",#REF!),"")</f>
        <v/>
      </c>
      <c r="N967" s="0" t="str">
        <f aca="false">IFERROR(IF(OR(HLOOKUP($A967,#REF!,12,FALSE())&gt;2,HLOOKUP($A967,#REF!,12,FALSE())&lt;-2),"",#REF!),"")</f>
        <v/>
      </c>
      <c r="O967" s="0" t="str">
        <f aca="false">IFERROR(IF(OR(HLOOKUP($A967,#REF!,13,FALSE())&gt;2,HLOOKUP($A967,#REF!,13,FALSE())&lt;-2),"",#REF!),"")</f>
        <v/>
      </c>
      <c r="P967" s="0" t="str">
        <f aca="false">IFERROR(IF(OR(HLOOKUP($A967,#REF!,14,FALSE())&gt;2,HLOOKUP($A967,#REF!,14,FALSE())&lt;-2),"",#REF!),"")</f>
        <v/>
      </c>
      <c r="Q967" s="0" t="str">
        <f aca="false">IFERROR(IF(OR(HLOOKUP($A967,#REF!,15,FALSE())&gt;2,HLOOKUP($A967,#REF!,15,FALSE())&lt;-2),"",#REF!),"")</f>
        <v/>
      </c>
      <c r="R967" s="0" t="str">
        <f aca="false">IFERROR(IF(OR(HLOOKUP($A967,#REF!,16,FALSE())&gt;2,HLOOKUP($A967,#REF!,16,FALSE())&lt;-2),"",#REF!),"")</f>
        <v/>
      </c>
      <c r="S967" s="0" t="str">
        <f aca="false">IFERROR(IF(OR(HLOOKUP($A967,#REF!,17,FALSE())&gt;2,HLOOKUP($A967,#REF!,17,FALSE())&lt;-2),"",#REF!),"")</f>
        <v/>
      </c>
      <c r="T967" s="0" t="str">
        <f aca="false">IFERROR(IF(OR(HLOOKUP($A967,#REF!,18,FALSE())&gt;2,HLOOKUP($A967,#REF!,18,FALSE())&lt;-2),"",#REF!),"")</f>
        <v/>
      </c>
      <c r="U967" s="0" t="str">
        <f aca="false">IFERROR(IF(OR(HLOOKUP($A967,#REF!,19,FALSE())&gt;2,HLOOKUP($A967,#REF!,19,FALSE())&lt;-2),"",#REF!),"")</f>
        <v/>
      </c>
      <c r="V967" s="0" t="n">
        <f aca="false">IFERROR(IF(AND(X967=0,Y967=0),0,1),0)</f>
        <v>1</v>
      </c>
      <c r="W967" s="3" t="str">
        <f aca="false">IFERROR(_xlfn.T.TEST(E967:M967,N967:U967,2,2),"")</f>
        <v/>
      </c>
      <c r="X967" s="0" t="str">
        <f aca="false">IFERROR(AVERAGE(E967:M967),"")</f>
        <v/>
      </c>
      <c r="Y967" s="0" t="str">
        <f aca="false">IFERROR(AVERAGE(N967:U967),"")</f>
        <v/>
      </c>
    </row>
    <row r="968" customFormat="false" ht="14.5" hidden="false" customHeight="false" outlineLevel="0" collapsed="false">
      <c r="A968" s="0" t="n">
        <v>976</v>
      </c>
      <c r="B968" s="0" t="s">
        <v>1014</v>
      </c>
      <c r="C968" s="0" t="n">
        <v>55500</v>
      </c>
      <c r="D968" s="0" t="n">
        <v>920</v>
      </c>
      <c r="E968" s="0" t="str">
        <f aca="false">IFERROR(IF(OR(HLOOKUP($A968,#REF!,3,FALSE())&gt;2,HLOOKUP(A968,#REF!,3,FALSE())&lt;-2),"",#REF!),"")</f>
        <v/>
      </c>
      <c r="F968" s="0" t="str">
        <f aca="false">IFERROR(IF(OR(HLOOKUP($A968,#REF!,4,FALSE())&gt;2,HLOOKUP($A968,#REF!,4,FALSE())&lt;-2),"",#REF!),"")</f>
        <v/>
      </c>
      <c r="G968" s="0" t="str">
        <f aca="false">IFERROR(IF(OR(HLOOKUP($A968,#REF!,5,FALSE())&gt;2,HLOOKUP($A968,#REF!,5,FALSE())&lt;-2),"",#REF!),"")</f>
        <v/>
      </c>
      <c r="H968" s="0" t="str">
        <f aca="false">IFERROR(IF(OR(HLOOKUP($A968,#REF!,6,FALSE())&gt;2,HLOOKUP($A968,#REF!,6,FALSE())&lt;-2),"",#REF!),"")</f>
        <v/>
      </c>
      <c r="I968" s="0" t="str">
        <f aca="false">IFERROR(IF(OR(HLOOKUP($A968,#REF!,7,FALSE())&gt;2,HLOOKUP($A968,#REF!,7,FALSE())&lt;-2),"",#REF!),"")</f>
        <v/>
      </c>
      <c r="J968" s="0" t="str">
        <f aca="false">IFERROR(IF(OR(HLOOKUP($A968,#REF!,8,FALSE())&gt;2,HLOOKUP($A968,#REF!,8,FALSE())&lt;-2),"",#REF!),"")</f>
        <v/>
      </c>
      <c r="K968" s="0" t="str">
        <f aca="false">IFERROR(IF(OR(HLOOKUP($A968,#REF!,9,FALSE())&gt;2,HLOOKUP($A968,#REF!,9,FALSE())&lt;-2),"",#REF!),"")</f>
        <v/>
      </c>
      <c r="L968" s="0" t="str">
        <f aca="false">IFERROR(IF(OR(HLOOKUP($A968,#REF!,10,FALSE())&gt;2,HLOOKUP($A968,#REF!,10,FALSE())&lt;-2),"",#REF!),"")</f>
        <v/>
      </c>
      <c r="M968" s="0" t="str">
        <f aca="false">IFERROR(IF(OR(HLOOKUP($A968,#REF!,11,FALSE())&gt;2,HLOOKUP($A968,#REF!,11,FALSE())&lt;-2),"",#REF!),"")</f>
        <v/>
      </c>
      <c r="N968" s="0" t="str">
        <f aca="false">IFERROR(IF(OR(HLOOKUP($A968,#REF!,12,FALSE())&gt;2,HLOOKUP($A968,#REF!,12,FALSE())&lt;-2),"",#REF!),"")</f>
        <v/>
      </c>
      <c r="O968" s="0" t="str">
        <f aca="false">IFERROR(IF(OR(HLOOKUP($A968,#REF!,13,FALSE())&gt;2,HLOOKUP($A968,#REF!,13,FALSE())&lt;-2),"",#REF!),"")</f>
        <v/>
      </c>
      <c r="P968" s="0" t="str">
        <f aca="false">IFERROR(IF(OR(HLOOKUP($A968,#REF!,14,FALSE())&gt;2,HLOOKUP($A968,#REF!,14,FALSE())&lt;-2),"",#REF!),"")</f>
        <v/>
      </c>
      <c r="Q968" s="0" t="str">
        <f aca="false">IFERROR(IF(OR(HLOOKUP($A968,#REF!,15,FALSE())&gt;2,HLOOKUP($A968,#REF!,15,FALSE())&lt;-2),"",#REF!),"")</f>
        <v/>
      </c>
      <c r="R968" s="0" t="str">
        <f aca="false">IFERROR(IF(OR(HLOOKUP($A968,#REF!,16,FALSE())&gt;2,HLOOKUP($A968,#REF!,16,FALSE())&lt;-2),"",#REF!),"")</f>
        <v/>
      </c>
      <c r="S968" s="0" t="str">
        <f aca="false">IFERROR(IF(OR(HLOOKUP($A968,#REF!,17,FALSE())&gt;2,HLOOKUP($A968,#REF!,17,FALSE())&lt;-2),"",#REF!),"")</f>
        <v/>
      </c>
      <c r="T968" s="0" t="str">
        <f aca="false">IFERROR(IF(OR(HLOOKUP($A968,#REF!,18,FALSE())&gt;2,HLOOKUP($A968,#REF!,18,FALSE())&lt;-2),"",#REF!),"")</f>
        <v/>
      </c>
      <c r="U968" s="0" t="str">
        <f aca="false">IFERROR(IF(OR(HLOOKUP($A968,#REF!,19,FALSE())&gt;2,HLOOKUP($A968,#REF!,19,FALSE())&lt;-2),"",#REF!),"")</f>
        <v/>
      </c>
      <c r="V968" s="0" t="n">
        <f aca="false">IFERROR(IF(AND(X968=0,Y968=0),0,1),0)</f>
        <v>1</v>
      </c>
      <c r="W968" s="3" t="str">
        <f aca="false">IFERROR(_xlfn.T.TEST(E968:M968,N968:U968,2,2),"")</f>
        <v/>
      </c>
      <c r="X968" s="0" t="str">
        <f aca="false">IFERROR(AVERAGE(E968:M968),"")</f>
        <v/>
      </c>
      <c r="Y968" s="0" t="str">
        <f aca="false">IFERROR(AVERAGE(N968:U968),"")</f>
        <v/>
      </c>
    </row>
    <row r="969" customFormat="false" ht="14.5" hidden="false" customHeight="false" outlineLevel="0" collapsed="false">
      <c r="A969" s="0" t="n">
        <v>977</v>
      </c>
      <c r="B969" s="0" t="s">
        <v>1015</v>
      </c>
      <c r="C969" s="0" t="n">
        <v>29700</v>
      </c>
      <c r="D969" s="0" t="n">
        <v>895</v>
      </c>
      <c r="E969" s="0" t="str">
        <f aca="false">IFERROR(IF(OR(HLOOKUP($A969,#REF!,3,FALSE())&gt;2,HLOOKUP(A969,#REF!,3,FALSE())&lt;-2),"",#REF!),"")</f>
        <v/>
      </c>
      <c r="F969" s="0" t="str">
        <f aca="false">IFERROR(IF(OR(HLOOKUP($A969,#REF!,4,FALSE())&gt;2,HLOOKUP($A969,#REF!,4,FALSE())&lt;-2),"",#REF!),"")</f>
        <v/>
      </c>
      <c r="G969" s="0" t="str">
        <f aca="false">IFERROR(IF(OR(HLOOKUP($A969,#REF!,5,FALSE())&gt;2,HLOOKUP($A969,#REF!,5,FALSE())&lt;-2),"",#REF!),"")</f>
        <v/>
      </c>
      <c r="H969" s="0" t="str">
        <f aca="false">IFERROR(IF(OR(HLOOKUP($A969,#REF!,6,FALSE())&gt;2,HLOOKUP($A969,#REF!,6,FALSE())&lt;-2),"",#REF!),"")</f>
        <v/>
      </c>
      <c r="I969" s="0" t="str">
        <f aca="false">IFERROR(IF(OR(HLOOKUP($A969,#REF!,7,FALSE())&gt;2,HLOOKUP($A969,#REF!,7,FALSE())&lt;-2),"",#REF!),"")</f>
        <v/>
      </c>
      <c r="J969" s="0" t="str">
        <f aca="false">IFERROR(IF(OR(HLOOKUP($A969,#REF!,8,FALSE())&gt;2,HLOOKUP($A969,#REF!,8,FALSE())&lt;-2),"",#REF!),"")</f>
        <v/>
      </c>
      <c r="K969" s="0" t="str">
        <f aca="false">IFERROR(IF(OR(HLOOKUP($A969,#REF!,9,FALSE())&gt;2,HLOOKUP($A969,#REF!,9,FALSE())&lt;-2),"",#REF!),"")</f>
        <v/>
      </c>
      <c r="L969" s="0" t="str">
        <f aca="false">IFERROR(IF(OR(HLOOKUP($A969,#REF!,10,FALSE())&gt;2,HLOOKUP($A969,#REF!,10,FALSE())&lt;-2),"",#REF!),"")</f>
        <v/>
      </c>
      <c r="M969" s="0" t="str">
        <f aca="false">IFERROR(IF(OR(HLOOKUP($A969,#REF!,11,FALSE())&gt;2,HLOOKUP($A969,#REF!,11,FALSE())&lt;-2),"",#REF!),"")</f>
        <v/>
      </c>
      <c r="N969" s="0" t="str">
        <f aca="false">IFERROR(IF(OR(HLOOKUP($A969,#REF!,12,FALSE())&gt;2,HLOOKUP($A969,#REF!,12,FALSE())&lt;-2),"",#REF!),"")</f>
        <v/>
      </c>
      <c r="O969" s="0" t="str">
        <f aca="false">IFERROR(IF(OR(HLOOKUP($A969,#REF!,13,FALSE())&gt;2,HLOOKUP($A969,#REF!,13,FALSE())&lt;-2),"",#REF!),"")</f>
        <v/>
      </c>
      <c r="P969" s="0" t="str">
        <f aca="false">IFERROR(IF(OR(HLOOKUP($A969,#REF!,14,FALSE())&gt;2,HLOOKUP($A969,#REF!,14,FALSE())&lt;-2),"",#REF!),"")</f>
        <v/>
      </c>
      <c r="Q969" s="0" t="str">
        <f aca="false">IFERROR(IF(OR(HLOOKUP($A969,#REF!,15,FALSE())&gt;2,HLOOKUP($A969,#REF!,15,FALSE())&lt;-2),"",#REF!),"")</f>
        <v/>
      </c>
      <c r="R969" s="0" t="str">
        <f aca="false">IFERROR(IF(OR(HLOOKUP($A969,#REF!,16,FALSE())&gt;2,HLOOKUP($A969,#REF!,16,FALSE())&lt;-2),"",#REF!),"")</f>
        <v/>
      </c>
      <c r="S969" s="0" t="str">
        <f aca="false">IFERROR(IF(OR(HLOOKUP($A969,#REF!,17,FALSE())&gt;2,HLOOKUP($A969,#REF!,17,FALSE())&lt;-2),"",#REF!),"")</f>
        <v/>
      </c>
      <c r="T969" s="0" t="str">
        <f aca="false">IFERROR(IF(OR(HLOOKUP($A969,#REF!,18,FALSE())&gt;2,HLOOKUP($A969,#REF!,18,FALSE())&lt;-2),"",#REF!),"")</f>
        <v/>
      </c>
      <c r="U969" s="0" t="str">
        <f aca="false">IFERROR(IF(OR(HLOOKUP($A969,#REF!,19,FALSE())&gt;2,HLOOKUP($A969,#REF!,19,FALSE())&lt;-2),"",#REF!),"")</f>
        <v/>
      </c>
      <c r="V969" s="0" t="n">
        <f aca="false">IFERROR(IF(AND(X969=0,Y969=0),0,1),0)</f>
        <v>1</v>
      </c>
      <c r="W969" s="3" t="str">
        <f aca="false">IFERROR(_xlfn.T.TEST(E969:M969,N969:U969,2,2),"")</f>
        <v/>
      </c>
      <c r="X969" s="0" t="str">
        <f aca="false">IFERROR(AVERAGE(E969:M969),"")</f>
        <v/>
      </c>
      <c r="Y969" s="0" t="str">
        <f aca="false">IFERROR(AVERAGE(N969:U969),"")</f>
        <v/>
      </c>
    </row>
    <row r="970" customFormat="false" ht="14.5" hidden="false" customHeight="false" outlineLevel="0" collapsed="false">
      <c r="A970" s="0" t="n">
        <v>978</v>
      </c>
      <c r="B970" s="0" t="s">
        <v>1016</v>
      </c>
      <c r="C970" s="0" t="n">
        <v>95000</v>
      </c>
      <c r="D970" s="0" t="n">
        <v>938</v>
      </c>
      <c r="E970" s="0" t="str">
        <f aca="false">IFERROR(IF(OR(HLOOKUP($A970,#REF!,3,FALSE())&gt;2,HLOOKUP(A970,#REF!,3,FALSE())&lt;-2),"",#REF!),"")</f>
        <v/>
      </c>
      <c r="F970" s="0" t="str">
        <f aca="false">IFERROR(IF(OR(HLOOKUP($A970,#REF!,4,FALSE())&gt;2,HLOOKUP($A970,#REF!,4,FALSE())&lt;-2),"",#REF!),"")</f>
        <v/>
      </c>
      <c r="G970" s="0" t="str">
        <f aca="false">IFERROR(IF(OR(HLOOKUP($A970,#REF!,5,FALSE())&gt;2,HLOOKUP($A970,#REF!,5,FALSE())&lt;-2),"",#REF!),"")</f>
        <v/>
      </c>
      <c r="H970" s="0" t="str">
        <f aca="false">IFERROR(IF(OR(HLOOKUP($A970,#REF!,6,FALSE())&gt;2,HLOOKUP($A970,#REF!,6,FALSE())&lt;-2),"",#REF!),"")</f>
        <v/>
      </c>
      <c r="I970" s="0" t="str">
        <f aca="false">IFERROR(IF(OR(HLOOKUP($A970,#REF!,7,FALSE())&gt;2,HLOOKUP($A970,#REF!,7,FALSE())&lt;-2),"",#REF!),"")</f>
        <v/>
      </c>
      <c r="J970" s="0" t="str">
        <f aca="false">IFERROR(IF(OR(HLOOKUP($A970,#REF!,8,FALSE())&gt;2,HLOOKUP($A970,#REF!,8,FALSE())&lt;-2),"",#REF!),"")</f>
        <v/>
      </c>
      <c r="K970" s="0" t="str">
        <f aca="false">IFERROR(IF(OR(HLOOKUP($A970,#REF!,9,FALSE())&gt;2,HLOOKUP($A970,#REF!,9,FALSE())&lt;-2),"",#REF!),"")</f>
        <v/>
      </c>
      <c r="L970" s="0" t="str">
        <f aca="false">IFERROR(IF(OR(HLOOKUP($A970,#REF!,10,FALSE())&gt;2,HLOOKUP($A970,#REF!,10,FALSE())&lt;-2),"",#REF!),"")</f>
        <v/>
      </c>
      <c r="M970" s="0" t="str">
        <f aca="false">IFERROR(IF(OR(HLOOKUP($A970,#REF!,11,FALSE())&gt;2,HLOOKUP($A970,#REF!,11,FALSE())&lt;-2),"",#REF!),"")</f>
        <v/>
      </c>
      <c r="N970" s="0" t="str">
        <f aca="false">IFERROR(IF(OR(HLOOKUP($A970,#REF!,12,FALSE())&gt;2,HLOOKUP($A970,#REF!,12,FALSE())&lt;-2),"",#REF!),"")</f>
        <v/>
      </c>
      <c r="O970" s="0" t="str">
        <f aca="false">IFERROR(IF(OR(HLOOKUP($A970,#REF!,13,FALSE())&gt;2,HLOOKUP($A970,#REF!,13,FALSE())&lt;-2),"",#REF!),"")</f>
        <v/>
      </c>
      <c r="P970" s="0" t="str">
        <f aca="false">IFERROR(IF(OR(HLOOKUP($A970,#REF!,14,FALSE())&gt;2,HLOOKUP($A970,#REF!,14,FALSE())&lt;-2),"",#REF!),"")</f>
        <v/>
      </c>
      <c r="Q970" s="0" t="str">
        <f aca="false">IFERROR(IF(OR(HLOOKUP($A970,#REF!,15,FALSE())&gt;2,HLOOKUP($A970,#REF!,15,FALSE())&lt;-2),"",#REF!),"")</f>
        <v/>
      </c>
      <c r="R970" s="0" t="str">
        <f aca="false">IFERROR(IF(OR(HLOOKUP($A970,#REF!,16,FALSE())&gt;2,HLOOKUP($A970,#REF!,16,FALSE())&lt;-2),"",#REF!),"")</f>
        <v/>
      </c>
      <c r="S970" s="0" t="str">
        <f aca="false">IFERROR(IF(OR(HLOOKUP($A970,#REF!,17,FALSE())&gt;2,HLOOKUP($A970,#REF!,17,FALSE())&lt;-2),"",#REF!),"")</f>
        <v/>
      </c>
      <c r="T970" s="0" t="str">
        <f aca="false">IFERROR(IF(OR(HLOOKUP($A970,#REF!,18,FALSE())&gt;2,HLOOKUP($A970,#REF!,18,FALSE())&lt;-2),"",#REF!),"")</f>
        <v/>
      </c>
      <c r="U970" s="0" t="str">
        <f aca="false">IFERROR(IF(OR(HLOOKUP($A970,#REF!,19,FALSE())&gt;2,HLOOKUP($A970,#REF!,19,FALSE())&lt;-2),"",#REF!),"")</f>
        <v/>
      </c>
      <c r="V970" s="0" t="n">
        <f aca="false">IFERROR(IF(AND(X970=0,Y970=0),0,1),0)</f>
        <v>1</v>
      </c>
      <c r="W970" s="3" t="str">
        <f aca="false">IFERROR(_xlfn.T.TEST(E970:M970,N970:U970,2,2),"")</f>
        <v/>
      </c>
      <c r="X970" s="0" t="str">
        <f aca="false">IFERROR(AVERAGE(E970:M970),"")</f>
        <v/>
      </c>
      <c r="Y970" s="0" t="str">
        <f aca="false">IFERROR(AVERAGE(N970:U970),"")</f>
        <v/>
      </c>
    </row>
    <row r="971" customFormat="false" ht="14.5" hidden="false" customHeight="false" outlineLevel="0" collapsed="false">
      <c r="A971" s="0" t="n">
        <v>979</v>
      </c>
      <c r="B971" s="0" t="s">
        <v>1017</v>
      </c>
      <c r="C971" s="0" t="n">
        <v>106700</v>
      </c>
      <c r="D971" s="0" t="n">
        <v>776</v>
      </c>
      <c r="E971" s="0" t="str">
        <f aca="false">IFERROR(IF(OR(HLOOKUP($A971,#REF!,3,FALSE())&gt;2,HLOOKUP(A971,#REF!,3,FALSE())&lt;-2),"",#REF!),"")</f>
        <v/>
      </c>
      <c r="F971" s="0" t="str">
        <f aca="false">IFERROR(IF(OR(HLOOKUP($A971,#REF!,4,FALSE())&gt;2,HLOOKUP($A971,#REF!,4,FALSE())&lt;-2),"",#REF!),"")</f>
        <v/>
      </c>
      <c r="G971" s="0" t="str">
        <f aca="false">IFERROR(IF(OR(HLOOKUP($A971,#REF!,5,FALSE())&gt;2,HLOOKUP($A971,#REF!,5,FALSE())&lt;-2),"",#REF!),"")</f>
        <v/>
      </c>
      <c r="H971" s="0" t="str">
        <f aca="false">IFERROR(IF(OR(HLOOKUP($A971,#REF!,6,FALSE())&gt;2,HLOOKUP($A971,#REF!,6,FALSE())&lt;-2),"",#REF!),"")</f>
        <v/>
      </c>
      <c r="I971" s="0" t="str">
        <f aca="false">IFERROR(IF(OR(HLOOKUP($A971,#REF!,7,FALSE())&gt;2,HLOOKUP($A971,#REF!,7,FALSE())&lt;-2),"",#REF!),"")</f>
        <v/>
      </c>
      <c r="J971" s="0" t="str">
        <f aca="false">IFERROR(IF(OR(HLOOKUP($A971,#REF!,8,FALSE())&gt;2,HLOOKUP($A971,#REF!,8,FALSE())&lt;-2),"",#REF!),"")</f>
        <v/>
      </c>
      <c r="K971" s="0" t="str">
        <f aca="false">IFERROR(IF(OR(HLOOKUP($A971,#REF!,9,FALSE())&gt;2,HLOOKUP($A971,#REF!,9,FALSE())&lt;-2),"",#REF!),"")</f>
        <v/>
      </c>
      <c r="L971" s="0" t="str">
        <f aca="false">IFERROR(IF(OR(HLOOKUP($A971,#REF!,10,FALSE())&gt;2,HLOOKUP($A971,#REF!,10,FALSE())&lt;-2),"",#REF!),"")</f>
        <v/>
      </c>
      <c r="M971" s="0" t="str">
        <f aca="false">IFERROR(IF(OR(HLOOKUP($A971,#REF!,11,FALSE())&gt;2,HLOOKUP($A971,#REF!,11,FALSE())&lt;-2),"",#REF!),"")</f>
        <v/>
      </c>
      <c r="N971" s="0" t="str">
        <f aca="false">IFERROR(IF(OR(HLOOKUP($A971,#REF!,12,FALSE())&gt;2,HLOOKUP($A971,#REF!,12,FALSE())&lt;-2),"",#REF!),"")</f>
        <v/>
      </c>
      <c r="O971" s="0" t="str">
        <f aca="false">IFERROR(IF(OR(HLOOKUP($A971,#REF!,13,FALSE())&gt;2,HLOOKUP($A971,#REF!,13,FALSE())&lt;-2),"",#REF!),"")</f>
        <v/>
      </c>
      <c r="P971" s="0" t="str">
        <f aca="false">IFERROR(IF(OR(HLOOKUP($A971,#REF!,14,FALSE())&gt;2,HLOOKUP($A971,#REF!,14,FALSE())&lt;-2),"",#REF!),"")</f>
        <v/>
      </c>
      <c r="Q971" s="0" t="str">
        <f aca="false">IFERROR(IF(OR(HLOOKUP($A971,#REF!,15,FALSE())&gt;2,HLOOKUP($A971,#REF!,15,FALSE())&lt;-2),"",#REF!),"")</f>
        <v/>
      </c>
      <c r="R971" s="0" t="str">
        <f aca="false">IFERROR(IF(OR(HLOOKUP($A971,#REF!,16,FALSE())&gt;2,HLOOKUP($A971,#REF!,16,FALSE())&lt;-2),"",#REF!),"")</f>
        <v/>
      </c>
      <c r="S971" s="0" t="str">
        <f aca="false">IFERROR(IF(OR(HLOOKUP($A971,#REF!,17,FALSE())&gt;2,HLOOKUP($A971,#REF!,17,FALSE())&lt;-2),"",#REF!),"")</f>
        <v/>
      </c>
      <c r="T971" s="0" t="str">
        <f aca="false">IFERROR(IF(OR(HLOOKUP($A971,#REF!,18,FALSE())&gt;2,HLOOKUP($A971,#REF!,18,FALSE())&lt;-2),"",#REF!),"")</f>
        <v/>
      </c>
      <c r="U971" s="0" t="str">
        <f aca="false">IFERROR(IF(OR(HLOOKUP($A971,#REF!,19,FALSE())&gt;2,HLOOKUP($A971,#REF!,19,FALSE())&lt;-2),"",#REF!),"")</f>
        <v/>
      </c>
      <c r="V971" s="0" t="n">
        <f aca="false">IFERROR(IF(AND(X971=0,Y971=0),0,1),0)</f>
        <v>1</v>
      </c>
      <c r="W971" s="3" t="str">
        <f aca="false">IFERROR(_xlfn.T.TEST(E971:M971,N971:U971,2,2),"")</f>
        <v/>
      </c>
      <c r="X971" s="0" t="str">
        <f aca="false">IFERROR(AVERAGE(E971:M971),"")</f>
        <v/>
      </c>
      <c r="Y971" s="0" t="str">
        <f aca="false">IFERROR(AVERAGE(N971:U971),"")</f>
        <v/>
      </c>
    </row>
    <row r="972" customFormat="false" ht="14.5" hidden="false" customHeight="false" outlineLevel="0" collapsed="false">
      <c r="A972" s="0" t="n">
        <v>980</v>
      </c>
      <c r="B972" s="0" t="s">
        <v>1018</v>
      </c>
      <c r="C972" s="0" t="n">
        <v>76000</v>
      </c>
      <c r="D972" s="0" t="n">
        <v>467</v>
      </c>
      <c r="E972" s="0" t="str">
        <f aca="false">IFERROR(IF(OR(HLOOKUP($A972,#REF!,3,FALSE())&gt;2,HLOOKUP(A972,#REF!,3,FALSE())&lt;-2),"",#REF!),"")</f>
        <v/>
      </c>
      <c r="F972" s="0" t="str">
        <f aca="false">IFERROR(IF(OR(HLOOKUP($A972,#REF!,4,FALSE())&gt;2,HLOOKUP($A972,#REF!,4,FALSE())&lt;-2),"",#REF!),"")</f>
        <v/>
      </c>
      <c r="G972" s="0" t="str">
        <f aca="false">IFERROR(IF(OR(HLOOKUP($A972,#REF!,5,FALSE())&gt;2,HLOOKUP($A972,#REF!,5,FALSE())&lt;-2),"",#REF!),"")</f>
        <v/>
      </c>
      <c r="H972" s="0" t="str">
        <f aca="false">IFERROR(IF(OR(HLOOKUP($A972,#REF!,6,FALSE())&gt;2,HLOOKUP($A972,#REF!,6,FALSE())&lt;-2),"",#REF!),"")</f>
        <v/>
      </c>
      <c r="I972" s="0" t="str">
        <f aca="false">IFERROR(IF(OR(HLOOKUP($A972,#REF!,7,FALSE())&gt;2,HLOOKUP($A972,#REF!,7,FALSE())&lt;-2),"",#REF!),"")</f>
        <v/>
      </c>
      <c r="J972" s="0" t="str">
        <f aca="false">IFERROR(IF(OR(HLOOKUP($A972,#REF!,8,FALSE())&gt;2,HLOOKUP($A972,#REF!,8,FALSE())&lt;-2),"",#REF!),"")</f>
        <v/>
      </c>
      <c r="K972" s="0" t="str">
        <f aca="false">IFERROR(IF(OR(HLOOKUP($A972,#REF!,9,FALSE())&gt;2,HLOOKUP($A972,#REF!,9,FALSE())&lt;-2),"",#REF!),"")</f>
        <v/>
      </c>
      <c r="L972" s="0" t="str">
        <f aca="false">IFERROR(IF(OR(HLOOKUP($A972,#REF!,10,FALSE())&gt;2,HLOOKUP($A972,#REF!,10,FALSE())&lt;-2),"",#REF!),"")</f>
        <v/>
      </c>
      <c r="M972" s="0" t="str">
        <f aca="false">IFERROR(IF(OR(HLOOKUP($A972,#REF!,11,FALSE())&gt;2,HLOOKUP($A972,#REF!,11,FALSE())&lt;-2),"",#REF!),"")</f>
        <v/>
      </c>
      <c r="N972" s="0" t="str">
        <f aca="false">IFERROR(IF(OR(HLOOKUP($A972,#REF!,12,FALSE())&gt;2,HLOOKUP($A972,#REF!,12,FALSE())&lt;-2),"",#REF!),"")</f>
        <v/>
      </c>
      <c r="O972" s="0" t="str">
        <f aca="false">IFERROR(IF(OR(HLOOKUP($A972,#REF!,13,FALSE())&gt;2,HLOOKUP($A972,#REF!,13,FALSE())&lt;-2),"",#REF!),"")</f>
        <v/>
      </c>
      <c r="P972" s="0" t="str">
        <f aca="false">IFERROR(IF(OR(HLOOKUP($A972,#REF!,14,FALSE())&gt;2,HLOOKUP($A972,#REF!,14,FALSE())&lt;-2),"",#REF!),"")</f>
        <v/>
      </c>
      <c r="Q972" s="0" t="str">
        <f aca="false">IFERROR(IF(OR(HLOOKUP($A972,#REF!,15,FALSE())&gt;2,HLOOKUP($A972,#REF!,15,FALSE())&lt;-2),"",#REF!),"")</f>
        <v/>
      </c>
      <c r="R972" s="0" t="str">
        <f aca="false">IFERROR(IF(OR(HLOOKUP($A972,#REF!,16,FALSE())&gt;2,HLOOKUP($A972,#REF!,16,FALSE())&lt;-2),"",#REF!),"")</f>
        <v/>
      </c>
      <c r="S972" s="0" t="str">
        <f aca="false">IFERROR(IF(OR(HLOOKUP($A972,#REF!,17,FALSE())&gt;2,HLOOKUP($A972,#REF!,17,FALSE())&lt;-2),"",#REF!),"")</f>
        <v/>
      </c>
      <c r="T972" s="0" t="str">
        <f aca="false">IFERROR(IF(OR(HLOOKUP($A972,#REF!,18,FALSE())&gt;2,HLOOKUP($A972,#REF!,18,FALSE())&lt;-2),"",#REF!),"")</f>
        <v/>
      </c>
      <c r="U972" s="0" t="str">
        <f aca="false">IFERROR(IF(OR(HLOOKUP($A972,#REF!,19,FALSE())&gt;2,HLOOKUP($A972,#REF!,19,FALSE())&lt;-2),"",#REF!),"")</f>
        <v/>
      </c>
      <c r="V972" s="0" t="n">
        <f aca="false">IFERROR(IF(AND(X972=0,Y972=0),0,1),0)</f>
        <v>1</v>
      </c>
      <c r="W972" s="3" t="str">
        <f aca="false">IFERROR(_xlfn.T.TEST(E972:M972,N972:U972,2,2),"")</f>
        <v/>
      </c>
      <c r="X972" s="0" t="str">
        <f aca="false">IFERROR(AVERAGE(E972:M972),"")</f>
        <v/>
      </c>
      <c r="Y972" s="0" t="str">
        <f aca="false">IFERROR(AVERAGE(N972:U972),"")</f>
        <v/>
      </c>
    </row>
    <row r="973" customFormat="false" ht="14.5" hidden="false" customHeight="false" outlineLevel="0" collapsed="false">
      <c r="A973" s="0" t="n">
        <v>981</v>
      </c>
      <c r="B973" s="0" t="s">
        <v>1019</v>
      </c>
      <c r="C973" s="0" t="n">
        <v>4300</v>
      </c>
      <c r="D973" s="0" t="n">
        <v>329</v>
      </c>
      <c r="E973" s="0" t="str">
        <f aca="false">IFERROR(IF(OR(HLOOKUP($A973,#REF!,3,FALSE())&gt;2,HLOOKUP(A973,#REF!,3,FALSE())&lt;-2),"",#REF!),"")</f>
        <v/>
      </c>
      <c r="F973" s="0" t="str">
        <f aca="false">IFERROR(IF(OR(HLOOKUP($A973,#REF!,4,FALSE())&gt;2,HLOOKUP($A973,#REF!,4,FALSE())&lt;-2),"",#REF!),"")</f>
        <v/>
      </c>
      <c r="G973" s="0" t="str">
        <f aca="false">IFERROR(IF(OR(HLOOKUP($A973,#REF!,5,FALSE())&gt;2,HLOOKUP($A973,#REF!,5,FALSE())&lt;-2),"",#REF!),"")</f>
        <v/>
      </c>
      <c r="H973" s="0" t="str">
        <f aca="false">IFERROR(IF(OR(HLOOKUP($A973,#REF!,6,FALSE())&gt;2,HLOOKUP($A973,#REF!,6,FALSE())&lt;-2),"",#REF!),"")</f>
        <v/>
      </c>
      <c r="I973" s="0" t="str">
        <f aca="false">IFERROR(IF(OR(HLOOKUP($A973,#REF!,7,FALSE())&gt;2,HLOOKUP($A973,#REF!,7,FALSE())&lt;-2),"",#REF!),"")</f>
        <v/>
      </c>
      <c r="J973" s="0" t="str">
        <f aca="false">IFERROR(IF(OR(HLOOKUP($A973,#REF!,8,FALSE())&gt;2,HLOOKUP($A973,#REF!,8,FALSE())&lt;-2),"",#REF!),"")</f>
        <v/>
      </c>
      <c r="K973" s="0" t="str">
        <f aca="false">IFERROR(IF(OR(HLOOKUP($A973,#REF!,9,FALSE())&gt;2,HLOOKUP($A973,#REF!,9,FALSE())&lt;-2),"",#REF!),"")</f>
        <v/>
      </c>
      <c r="L973" s="0" t="str">
        <f aca="false">IFERROR(IF(OR(HLOOKUP($A973,#REF!,10,FALSE())&gt;2,HLOOKUP($A973,#REF!,10,FALSE())&lt;-2),"",#REF!),"")</f>
        <v/>
      </c>
      <c r="M973" s="0" t="str">
        <f aca="false">IFERROR(IF(OR(HLOOKUP($A973,#REF!,11,FALSE())&gt;2,HLOOKUP($A973,#REF!,11,FALSE())&lt;-2),"",#REF!),"")</f>
        <v/>
      </c>
      <c r="N973" s="0" t="str">
        <f aca="false">IFERROR(IF(OR(HLOOKUP($A973,#REF!,12,FALSE())&gt;2,HLOOKUP($A973,#REF!,12,FALSE())&lt;-2),"",#REF!),"")</f>
        <v/>
      </c>
      <c r="O973" s="0" t="str">
        <f aca="false">IFERROR(IF(OR(HLOOKUP($A973,#REF!,13,FALSE())&gt;2,HLOOKUP($A973,#REF!,13,FALSE())&lt;-2),"",#REF!),"")</f>
        <v/>
      </c>
      <c r="P973" s="0" t="str">
        <f aca="false">IFERROR(IF(OR(HLOOKUP($A973,#REF!,14,FALSE())&gt;2,HLOOKUP($A973,#REF!,14,FALSE())&lt;-2),"",#REF!),"")</f>
        <v/>
      </c>
      <c r="Q973" s="0" t="str">
        <f aca="false">IFERROR(IF(OR(HLOOKUP($A973,#REF!,15,FALSE())&gt;2,HLOOKUP($A973,#REF!,15,FALSE())&lt;-2),"",#REF!),"")</f>
        <v/>
      </c>
      <c r="R973" s="0" t="str">
        <f aca="false">IFERROR(IF(OR(HLOOKUP($A973,#REF!,16,FALSE())&gt;2,HLOOKUP($A973,#REF!,16,FALSE())&lt;-2),"",#REF!),"")</f>
        <v/>
      </c>
      <c r="S973" s="0" t="str">
        <f aca="false">IFERROR(IF(OR(HLOOKUP($A973,#REF!,17,FALSE())&gt;2,HLOOKUP($A973,#REF!,17,FALSE())&lt;-2),"",#REF!),"")</f>
        <v/>
      </c>
      <c r="T973" s="0" t="str">
        <f aca="false">IFERROR(IF(OR(HLOOKUP($A973,#REF!,18,FALSE())&gt;2,HLOOKUP($A973,#REF!,18,FALSE())&lt;-2),"",#REF!),"")</f>
        <v/>
      </c>
      <c r="U973" s="0" t="str">
        <f aca="false">IFERROR(IF(OR(HLOOKUP($A973,#REF!,19,FALSE())&gt;2,HLOOKUP($A973,#REF!,19,FALSE())&lt;-2),"",#REF!),"")</f>
        <v/>
      </c>
      <c r="V973" s="0" t="n">
        <f aca="false">IFERROR(IF(AND(X973=0,Y973=0),0,1),0)</f>
        <v>1</v>
      </c>
      <c r="W973" s="3" t="str">
        <f aca="false">IFERROR(_xlfn.T.TEST(E973:M973,N973:U973,2,2),"")</f>
        <v/>
      </c>
      <c r="X973" s="0" t="str">
        <f aca="false">IFERROR(AVERAGE(E973:M973),"")</f>
        <v/>
      </c>
      <c r="Y973" s="0" t="str">
        <f aca="false">IFERROR(AVERAGE(N973:U973),"")</f>
        <v/>
      </c>
    </row>
    <row r="974" customFormat="false" ht="14.5" hidden="false" customHeight="false" outlineLevel="0" collapsed="false">
      <c r="A974" s="0" t="n">
        <v>982</v>
      </c>
      <c r="B974" s="0" t="s">
        <v>1020</v>
      </c>
      <c r="C974" s="0" t="n">
        <v>41000</v>
      </c>
      <c r="D974" s="0" t="n">
        <v>1080</v>
      </c>
      <c r="E974" s="0" t="str">
        <f aca="false">IFERROR(IF(OR(HLOOKUP($A974,#REF!,3,FALSE())&gt;2,HLOOKUP(A974,#REF!,3,FALSE())&lt;-2),"",#REF!),"")</f>
        <v/>
      </c>
      <c r="F974" s="0" t="str">
        <f aca="false">IFERROR(IF(OR(HLOOKUP($A974,#REF!,4,FALSE())&gt;2,HLOOKUP($A974,#REF!,4,FALSE())&lt;-2),"",#REF!),"")</f>
        <v/>
      </c>
      <c r="G974" s="0" t="str">
        <f aca="false">IFERROR(IF(OR(HLOOKUP($A974,#REF!,5,FALSE())&gt;2,HLOOKUP($A974,#REF!,5,FALSE())&lt;-2),"",#REF!),"")</f>
        <v/>
      </c>
      <c r="H974" s="0" t="str">
        <f aca="false">IFERROR(IF(OR(HLOOKUP($A974,#REF!,6,FALSE())&gt;2,HLOOKUP($A974,#REF!,6,FALSE())&lt;-2),"",#REF!),"")</f>
        <v/>
      </c>
      <c r="I974" s="0" t="str">
        <f aca="false">IFERROR(IF(OR(HLOOKUP($A974,#REF!,7,FALSE())&gt;2,HLOOKUP($A974,#REF!,7,FALSE())&lt;-2),"",#REF!),"")</f>
        <v/>
      </c>
      <c r="J974" s="0" t="str">
        <f aca="false">IFERROR(IF(OR(HLOOKUP($A974,#REF!,8,FALSE())&gt;2,HLOOKUP($A974,#REF!,8,FALSE())&lt;-2),"",#REF!),"")</f>
        <v/>
      </c>
      <c r="K974" s="0" t="str">
        <f aca="false">IFERROR(IF(OR(HLOOKUP($A974,#REF!,9,FALSE())&gt;2,HLOOKUP($A974,#REF!,9,FALSE())&lt;-2),"",#REF!),"")</f>
        <v/>
      </c>
      <c r="L974" s="0" t="str">
        <f aca="false">IFERROR(IF(OR(HLOOKUP($A974,#REF!,10,FALSE())&gt;2,HLOOKUP($A974,#REF!,10,FALSE())&lt;-2),"",#REF!),"")</f>
        <v/>
      </c>
      <c r="M974" s="0" t="str">
        <f aca="false">IFERROR(IF(OR(HLOOKUP($A974,#REF!,11,FALSE())&gt;2,HLOOKUP($A974,#REF!,11,FALSE())&lt;-2),"",#REF!),"")</f>
        <v/>
      </c>
      <c r="N974" s="0" t="str">
        <f aca="false">IFERROR(IF(OR(HLOOKUP($A974,#REF!,12,FALSE())&gt;2,HLOOKUP($A974,#REF!,12,FALSE())&lt;-2),"",#REF!),"")</f>
        <v/>
      </c>
      <c r="O974" s="0" t="str">
        <f aca="false">IFERROR(IF(OR(HLOOKUP($A974,#REF!,13,FALSE())&gt;2,HLOOKUP($A974,#REF!,13,FALSE())&lt;-2),"",#REF!),"")</f>
        <v/>
      </c>
      <c r="P974" s="0" t="str">
        <f aca="false">IFERROR(IF(OR(HLOOKUP($A974,#REF!,14,FALSE())&gt;2,HLOOKUP($A974,#REF!,14,FALSE())&lt;-2),"",#REF!),"")</f>
        <v/>
      </c>
      <c r="Q974" s="0" t="str">
        <f aca="false">IFERROR(IF(OR(HLOOKUP($A974,#REF!,15,FALSE())&gt;2,HLOOKUP($A974,#REF!,15,FALSE())&lt;-2),"",#REF!),"")</f>
        <v/>
      </c>
      <c r="R974" s="0" t="str">
        <f aca="false">IFERROR(IF(OR(HLOOKUP($A974,#REF!,16,FALSE())&gt;2,HLOOKUP($A974,#REF!,16,FALSE())&lt;-2),"",#REF!),"")</f>
        <v/>
      </c>
      <c r="S974" s="0" t="str">
        <f aca="false">IFERROR(IF(OR(HLOOKUP($A974,#REF!,17,FALSE())&gt;2,HLOOKUP($A974,#REF!,17,FALSE())&lt;-2),"",#REF!),"")</f>
        <v/>
      </c>
      <c r="T974" s="0" t="str">
        <f aca="false">IFERROR(IF(OR(HLOOKUP($A974,#REF!,18,FALSE())&gt;2,HLOOKUP($A974,#REF!,18,FALSE())&lt;-2),"",#REF!),"")</f>
        <v/>
      </c>
      <c r="U974" s="0" t="str">
        <f aca="false">IFERROR(IF(OR(HLOOKUP($A974,#REF!,19,FALSE())&gt;2,HLOOKUP($A974,#REF!,19,FALSE())&lt;-2),"",#REF!),"")</f>
        <v/>
      </c>
      <c r="V974" s="0" t="n">
        <f aca="false">IFERROR(IF(AND(X974=0,Y974=0),0,1),0)</f>
        <v>1</v>
      </c>
      <c r="W974" s="3" t="str">
        <f aca="false">IFERROR(_xlfn.T.TEST(E974:M974,N974:U974,2,2),"")</f>
        <v/>
      </c>
      <c r="X974" s="0" t="str">
        <f aca="false">IFERROR(AVERAGE(E974:M974),"")</f>
        <v/>
      </c>
      <c r="Y974" s="0" t="str">
        <f aca="false">IFERROR(AVERAGE(N974:U974),"")</f>
        <v/>
      </c>
    </row>
    <row r="975" customFormat="false" ht="14.5" hidden="false" customHeight="false" outlineLevel="0" collapsed="false">
      <c r="A975" s="0" t="n">
        <v>983</v>
      </c>
      <c r="B975" s="0" t="s">
        <v>1021</v>
      </c>
      <c r="C975" s="0" t="n">
        <v>106000</v>
      </c>
      <c r="D975" s="0" t="n">
        <v>1009</v>
      </c>
      <c r="E975" s="0" t="str">
        <f aca="false">IFERROR(IF(OR(HLOOKUP($A975,#REF!,3,FALSE())&gt;2,HLOOKUP(A975,#REF!,3,FALSE())&lt;-2),"",#REF!),"")</f>
        <v/>
      </c>
      <c r="F975" s="0" t="str">
        <f aca="false">IFERROR(IF(OR(HLOOKUP($A975,#REF!,4,FALSE())&gt;2,HLOOKUP($A975,#REF!,4,FALSE())&lt;-2),"",#REF!),"")</f>
        <v/>
      </c>
      <c r="G975" s="0" t="str">
        <f aca="false">IFERROR(IF(OR(HLOOKUP($A975,#REF!,5,FALSE())&gt;2,HLOOKUP($A975,#REF!,5,FALSE())&lt;-2),"",#REF!),"")</f>
        <v/>
      </c>
      <c r="H975" s="0" t="str">
        <f aca="false">IFERROR(IF(OR(HLOOKUP($A975,#REF!,6,FALSE())&gt;2,HLOOKUP($A975,#REF!,6,FALSE())&lt;-2),"",#REF!),"")</f>
        <v/>
      </c>
      <c r="I975" s="0" t="str">
        <f aca="false">IFERROR(IF(OR(HLOOKUP($A975,#REF!,7,FALSE())&gt;2,HLOOKUP($A975,#REF!,7,FALSE())&lt;-2),"",#REF!),"")</f>
        <v/>
      </c>
      <c r="J975" s="0" t="str">
        <f aca="false">IFERROR(IF(OR(HLOOKUP($A975,#REF!,8,FALSE())&gt;2,HLOOKUP($A975,#REF!,8,FALSE())&lt;-2),"",#REF!),"")</f>
        <v/>
      </c>
      <c r="K975" s="0" t="str">
        <f aca="false">IFERROR(IF(OR(HLOOKUP($A975,#REF!,9,FALSE())&gt;2,HLOOKUP($A975,#REF!,9,FALSE())&lt;-2),"",#REF!),"")</f>
        <v/>
      </c>
      <c r="L975" s="0" t="str">
        <f aca="false">IFERROR(IF(OR(HLOOKUP($A975,#REF!,10,FALSE())&gt;2,HLOOKUP($A975,#REF!,10,FALSE())&lt;-2),"",#REF!),"")</f>
        <v/>
      </c>
      <c r="M975" s="0" t="str">
        <f aca="false">IFERROR(IF(OR(HLOOKUP($A975,#REF!,11,FALSE())&gt;2,HLOOKUP($A975,#REF!,11,FALSE())&lt;-2),"",#REF!),"")</f>
        <v/>
      </c>
      <c r="N975" s="0" t="str">
        <f aca="false">IFERROR(IF(OR(HLOOKUP($A975,#REF!,12,FALSE())&gt;2,HLOOKUP($A975,#REF!,12,FALSE())&lt;-2),"",#REF!),"")</f>
        <v/>
      </c>
      <c r="O975" s="0" t="str">
        <f aca="false">IFERROR(IF(OR(HLOOKUP($A975,#REF!,13,FALSE())&gt;2,HLOOKUP($A975,#REF!,13,FALSE())&lt;-2),"",#REF!),"")</f>
        <v/>
      </c>
      <c r="P975" s="0" t="str">
        <f aca="false">IFERROR(IF(OR(HLOOKUP($A975,#REF!,14,FALSE())&gt;2,HLOOKUP($A975,#REF!,14,FALSE())&lt;-2),"",#REF!),"")</f>
        <v/>
      </c>
      <c r="Q975" s="0" t="str">
        <f aca="false">IFERROR(IF(OR(HLOOKUP($A975,#REF!,15,FALSE())&gt;2,HLOOKUP($A975,#REF!,15,FALSE())&lt;-2),"",#REF!),"")</f>
        <v/>
      </c>
      <c r="R975" s="0" t="str">
        <f aca="false">IFERROR(IF(OR(HLOOKUP($A975,#REF!,16,FALSE())&gt;2,HLOOKUP($A975,#REF!,16,FALSE())&lt;-2),"",#REF!),"")</f>
        <v/>
      </c>
      <c r="S975" s="0" t="str">
        <f aca="false">IFERROR(IF(OR(HLOOKUP($A975,#REF!,17,FALSE())&gt;2,HLOOKUP($A975,#REF!,17,FALSE())&lt;-2),"",#REF!),"")</f>
        <v/>
      </c>
      <c r="T975" s="0" t="str">
        <f aca="false">IFERROR(IF(OR(HLOOKUP($A975,#REF!,18,FALSE())&gt;2,HLOOKUP($A975,#REF!,18,FALSE())&lt;-2),"",#REF!),"")</f>
        <v/>
      </c>
      <c r="U975" s="0" t="str">
        <f aca="false">IFERROR(IF(OR(HLOOKUP($A975,#REF!,19,FALSE())&gt;2,HLOOKUP($A975,#REF!,19,FALSE())&lt;-2),"",#REF!),"")</f>
        <v/>
      </c>
      <c r="V975" s="0" t="n">
        <f aca="false">IFERROR(IF(AND(X975=0,Y975=0),0,1),0)</f>
        <v>1</v>
      </c>
      <c r="W975" s="3" t="str">
        <f aca="false">IFERROR(_xlfn.T.TEST(E975:M975,N975:U975,2,2),"")</f>
        <v/>
      </c>
      <c r="X975" s="0" t="str">
        <f aca="false">IFERROR(AVERAGE(E975:M975),"")</f>
        <v/>
      </c>
      <c r="Y975" s="0" t="str">
        <f aca="false">IFERROR(AVERAGE(N975:U975),"")</f>
        <v/>
      </c>
    </row>
    <row r="976" customFormat="false" ht="14.5" hidden="false" customHeight="false" outlineLevel="0" collapsed="false">
      <c r="A976" s="0" t="n">
        <v>984</v>
      </c>
      <c r="B976" s="0" t="s">
        <v>1022</v>
      </c>
      <c r="C976" s="0" t="n">
        <v>55900</v>
      </c>
      <c r="D976" s="0" t="n">
        <v>920</v>
      </c>
      <c r="E976" s="0" t="str">
        <f aca="false">IFERROR(IF(OR(HLOOKUP($A976,#REF!,3,FALSE())&gt;2,HLOOKUP(A976,#REF!,3,FALSE())&lt;-2),"",#REF!),"")</f>
        <v/>
      </c>
      <c r="F976" s="0" t="str">
        <f aca="false">IFERROR(IF(OR(HLOOKUP($A976,#REF!,4,FALSE())&gt;2,HLOOKUP($A976,#REF!,4,FALSE())&lt;-2),"",#REF!),"")</f>
        <v/>
      </c>
      <c r="G976" s="0" t="str">
        <f aca="false">IFERROR(IF(OR(HLOOKUP($A976,#REF!,5,FALSE())&gt;2,HLOOKUP($A976,#REF!,5,FALSE())&lt;-2),"",#REF!),"")</f>
        <v/>
      </c>
      <c r="H976" s="0" t="str">
        <f aca="false">IFERROR(IF(OR(HLOOKUP($A976,#REF!,6,FALSE())&gt;2,HLOOKUP($A976,#REF!,6,FALSE())&lt;-2),"",#REF!),"")</f>
        <v/>
      </c>
      <c r="I976" s="0" t="str">
        <f aca="false">IFERROR(IF(OR(HLOOKUP($A976,#REF!,7,FALSE())&gt;2,HLOOKUP($A976,#REF!,7,FALSE())&lt;-2),"",#REF!),"")</f>
        <v/>
      </c>
      <c r="J976" s="0" t="str">
        <f aca="false">IFERROR(IF(OR(HLOOKUP($A976,#REF!,8,FALSE())&gt;2,HLOOKUP($A976,#REF!,8,FALSE())&lt;-2),"",#REF!),"")</f>
        <v/>
      </c>
      <c r="K976" s="0" t="str">
        <f aca="false">IFERROR(IF(OR(HLOOKUP($A976,#REF!,9,FALSE())&gt;2,HLOOKUP($A976,#REF!,9,FALSE())&lt;-2),"",#REF!),"")</f>
        <v/>
      </c>
      <c r="L976" s="0" t="str">
        <f aca="false">IFERROR(IF(OR(HLOOKUP($A976,#REF!,10,FALSE())&gt;2,HLOOKUP($A976,#REF!,10,FALSE())&lt;-2),"",#REF!),"")</f>
        <v/>
      </c>
      <c r="M976" s="0" t="str">
        <f aca="false">IFERROR(IF(OR(HLOOKUP($A976,#REF!,11,FALSE())&gt;2,HLOOKUP($A976,#REF!,11,FALSE())&lt;-2),"",#REF!),"")</f>
        <v/>
      </c>
      <c r="N976" s="0" t="str">
        <f aca="false">IFERROR(IF(OR(HLOOKUP($A976,#REF!,12,FALSE())&gt;2,HLOOKUP($A976,#REF!,12,FALSE())&lt;-2),"",#REF!),"")</f>
        <v/>
      </c>
      <c r="O976" s="0" t="str">
        <f aca="false">IFERROR(IF(OR(HLOOKUP($A976,#REF!,13,FALSE())&gt;2,HLOOKUP($A976,#REF!,13,FALSE())&lt;-2),"",#REF!),"")</f>
        <v/>
      </c>
      <c r="P976" s="0" t="str">
        <f aca="false">IFERROR(IF(OR(HLOOKUP($A976,#REF!,14,FALSE())&gt;2,HLOOKUP($A976,#REF!,14,FALSE())&lt;-2),"",#REF!),"")</f>
        <v/>
      </c>
      <c r="Q976" s="0" t="str">
        <f aca="false">IFERROR(IF(OR(HLOOKUP($A976,#REF!,15,FALSE())&gt;2,HLOOKUP($A976,#REF!,15,FALSE())&lt;-2),"",#REF!),"")</f>
        <v/>
      </c>
      <c r="R976" s="0" t="str">
        <f aca="false">IFERROR(IF(OR(HLOOKUP($A976,#REF!,16,FALSE())&gt;2,HLOOKUP($A976,#REF!,16,FALSE())&lt;-2),"",#REF!),"")</f>
        <v/>
      </c>
      <c r="S976" s="0" t="str">
        <f aca="false">IFERROR(IF(OR(HLOOKUP($A976,#REF!,17,FALSE())&gt;2,HLOOKUP($A976,#REF!,17,FALSE())&lt;-2),"",#REF!),"")</f>
        <v/>
      </c>
      <c r="T976" s="0" t="str">
        <f aca="false">IFERROR(IF(OR(HLOOKUP($A976,#REF!,18,FALSE())&gt;2,HLOOKUP($A976,#REF!,18,FALSE())&lt;-2),"",#REF!),"")</f>
        <v/>
      </c>
      <c r="U976" s="0" t="str">
        <f aca="false">IFERROR(IF(OR(HLOOKUP($A976,#REF!,19,FALSE())&gt;2,HLOOKUP($A976,#REF!,19,FALSE())&lt;-2),"",#REF!),"")</f>
        <v/>
      </c>
      <c r="V976" s="0" t="n">
        <f aca="false">IFERROR(IF(AND(X976=0,Y976=0),0,1),0)</f>
        <v>1</v>
      </c>
      <c r="W976" s="3" t="str">
        <f aca="false">IFERROR(_xlfn.T.TEST(E976:M976,N976:U976,2,2),"")</f>
        <v/>
      </c>
      <c r="X976" s="0" t="str">
        <f aca="false">IFERROR(AVERAGE(E976:M976),"")</f>
        <v/>
      </c>
      <c r="Y976" s="0" t="str">
        <f aca="false">IFERROR(AVERAGE(N976:U976),"")</f>
        <v/>
      </c>
    </row>
    <row r="977" customFormat="false" ht="14.5" hidden="false" customHeight="false" outlineLevel="0" collapsed="false">
      <c r="A977" s="0" t="n">
        <v>985</v>
      </c>
      <c r="B977" s="0" t="s">
        <v>1023</v>
      </c>
      <c r="C977" s="0" t="n">
        <v>1500</v>
      </c>
      <c r="D977" s="0" t="n">
        <v>500</v>
      </c>
      <c r="E977" s="0" t="str">
        <f aca="false">IFERROR(IF(OR(HLOOKUP($A977,#REF!,3,FALSE())&gt;2,HLOOKUP(A977,#REF!,3,FALSE())&lt;-2),"",#REF!),"")</f>
        <v/>
      </c>
      <c r="F977" s="0" t="str">
        <f aca="false">IFERROR(IF(OR(HLOOKUP($A977,#REF!,4,FALSE())&gt;2,HLOOKUP($A977,#REF!,4,FALSE())&lt;-2),"",#REF!),"")</f>
        <v/>
      </c>
      <c r="G977" s="0" t="str">
        <f aca="false">IFERROR(IF(OR(HLOOKUP($A977,#REF!,5,FALSE())&gt;2,HLOOKUP($A977,#REF!,5,FALSE())&lt;-2),"",#REF!),"")</f>
        <v/>
      </c>
      <c r="H977" s="0" t="str">
        <f aca="false">IFERROR(IF(OR(HLOOKUP($A977,#REF!,6,FALSE())&gt;2,HLOOKUP($A977,#REF!,6,FALSE())&lt;-2),"",#REF!),"")</f>
        <v/>
      </c>
      <c r="I977" s="0" t="str">
        <f aca="false">IFERROR(IF(OR(HLOOKUP($A977,#REF!,7,FALSE())&gt;2,HLOOKUP($A977,#REF!,7,FALSE())&lt;-2),"",#REF!),"")</f>
        <v/>
      </c>
      <c r="J977" s="0" t="str">
        <f aca="false">IFERROR(IF(OR(HLOOKUP($A977,#REF!,8,FALSE())&gt;2,HLOOKUP($A977,#REF!,8,FALSE())&lt;-2),"",#REF!),"")</f>
        <v/>
      </c>
      <c r="K977" s="0" t="str">
        <f aca="false">IFERROR(IF(OR(HLOOKUP($A977,#REF!,9,FALSE())&gt;2,HLOOKUP($A977,#REF!,9,FALSE())&lt;-2),"",#REF!),"")</f>
        <v/>
      </c>
      <c r="L977" s="0" t="str">
        <f aca="false">IFERROR(IF(OR(HLOOKUP($A977,#REF!,10,FALSE())&gt;2,HLOOKUP($A977,#REF!,10,FALSE())&lt;-2),"",#REF!),"")</f>
        <v/>
      </c>
      <c r="M977" s="0" t="str">
        <f aca="false">IFERROR(IF(OR(HLOOKUP($A977,#REF!,11,FALSE())&gt;2,HLOOKUP($A977,#REF!,11,FALSE())&lt;-2),"",#REF!),"")</f>
        <v/>
      </c>
      <c r="N977" s="0" t="str">
        <f aca="false">IFERROR(IF(OR(HLOOKUP($A977,#REF!,12,FALSE())&gt;2,HLOOKUP($A977,#REF!,12,FALSE())&lt;-2),"",#REF!),"")</f>
        <v/>
      </c>
      <c r="O977" s="0" t="str">
        <f aca="false">IFERROR(IF(OR(HLOOKUP($A977,#REF!,13,FALSE())&gt;2,HLOOKUP($A977,#REF!,13,FALSE())&lt;-2),"",#REF!),"")</f>
        <v/>
      </c>
      <c r="P977" s="0" t="str">
        <f aca="false">IFERROR(IF(OR(HLOOKUP($A977,#REF!,14,FALSE())&gt;2,HLOOKUP($A977,#REF!,14,FALSE())&lt;-2),"",#REF!),"")</f>
        <v/>
      </c>
      <c r="Q977" s="0" t="str">
        <f aca="false">IFERROR(IF(OR(HLOOKUP($A977,#REF!,15,FALSE())&gt;2,HLOOKUP($A977,#REF!,15,FALSE())&lt;-2),"",#REF!),"")</f>
        <v/>
      </c>
      <c r="R977" s="0" t="str">
        <f aca="false">IFERROR(IF(OR(HLOOKUP($A977,#REF!,16,FALSE())&gt;2,HLOOKUP($A977,#REF!,16,FALSE())&lt;-2),"",#REF!),"")</f>
        <v/>
      </c>
      <c r="S977" s="0" t="str">
        <f aca="false">IFERROR(IF(OR(HLOOKUP($A977,#REF!,17,FALSE())&gt;2,HLOOKUP($A977,#REF!,17,FALSE())&lt;-2),"",#REF!),"")</f>
        <v/>
      </c>
      <c r="T977" s="0" t="str">
        <f aca="false">IFERROR(IF(OR(HLOOKUP($A977,#REF!,18,FALSE())&gt;2,HLOOKUP($A977,#REF!,18,FALSE())&lt;-2),"",#REF!),"")</f>
        <v/>
      </c>
      <c r="U977" s="0" t="str">
        <f aca="false">IFERROR(IF(OR(HLOOKUP($A977,#REF!,19,FALSE())&gt;2,HLOOKUP($A977,#REF!,19,FALSE())&lt;-2),"",#REF!),"")</f>
        <v/>
      </c>
      <c r="V977" s="0" t="n">
        <f aca="false">IFERROR(IF(AND(X977=0,Y977=0),0,1),0)</f>
        <v>1</v>
      </c>
      <c r="W977" s="3" t="str">
        <f aca="false">IFERROR(_xlfn.T.TEST(E977:M977,N977:U977,2,2),"")</f>
        <v/>
      </c>
      <c r="X977" s="0" t="str">
        <f aca="false">IFERROR(AVERAGE(E977:M977),"")</f>
        <v/>
      </c>
      <c r="Y977" s="0" t="str">
        <f aca="false">IFERROR(AVERAGE(N977:U977),"")</f>
        <v/>
      </c>
    </row>
    <row r="978" customFormat="false" ht="14.5" hidden="false" customHeight="false" outlineLevel="0" collapsed="false">
      <c r="A978" s="0" t="n">
        <v>986</v>
      </c>
      <c r="B978" s="0" t="s">
        <v>1024</v>
      </c>
      <c r="C978" s="0" t="n">
        <v>106800</v>
      </c>
      <c r="D978" s="0" t="n">
        <v>776</v>
      </c>
      <c r="E978" s="0" t="str">
        <f aca="false">IFERROR(IF(OR(HLOOKUP($A978,#REF!,3,FALSE())&gt;2,HLOOKUP(A978,#REF!,3,FALSE())&lt;-2),"",#REF!),"")</f>
        <v/>
      </c>
      <c r="F978" s="0" t="str">
        <f aca="false">IFERROR(IF(OR(HLOOKUP($A978,#REF!,4,FALSE())&gt;2,HLOOKUP($A978,#REF!,4,FALSE())&lt;-2),"",#REF!),"")</f>
        <v/>
      </c>
      <c r="G978" s="0" t="str">
        <f aca="false">IFERROR(IF(OR(HLOOKUP($A978,#REF!,5,FALSE())&gt;2,HLOOKUP($A978,#REF!,5,FALSE())&lt;-2),"",#REF!),"")</f>
        <v/>
      </c>
      <c r="H978" s="0" t="str">
        <f aca="false">IFERROR(IF(OR(HLOOKUP($A978,#REF!,6,FALSE())&gt;2,HLOOKUP($A978,#REF!,6,FALSE())&lt;-2),"",#REF!),"")</f>
        <v/>
      </c>
      <c r="I978" s="0" t="str">
        <f aca="false">IFERROR(IF(OR(HLOOKUP($A978,#REF!,7,FALSE())&gt;2,HLOOKUP($A978,#REF!,7,FALSE())&lt;-2),"",#REF!),"")</f>
        <v/>
      </c>
      <c r="J978" s="0" t="str">
        <f aca="false">IFERROR(IF(OR(HLOOKUP($A978,#REF!,8,FALSE())&gt;2,HLOOKUP($A978,#REF!,8,FALSE())&lt;-2),"",#REF!),"")</f>
        <v/>
      </c>
      <c r="K978" s="0" t="str">
        <f aca="false">IFERROR(IF(OR(HLOOKUP($A978,#REF!,9,FALSE())&gt;2,HLOOKUP($A978,#REF!,9,FALSE())&lt;-2),"",#REF!),"")</f>
        <v/>
      </c>
      <c r="L978" s="0" t="str">
        <f aca="false">IFERROR(IF(OR(HLOOKUP($A978,#REF!,10,FALSE())&gt;2,HLOOKUP($A978,#REF!,10,FALSE())&lt;-2),"",#REF!),"")</f>
        <v/>
      </c>
      <c r="M978" s="0" t="str">
        <f aca="false">IFERROR(IF(OR(HLOOKUP($A978,#REF!,11,FALSE())&gt;2,HLOOKUP($A978,#REF!,11,FALSE())&lt;-2),"",#REF!),"")</f>
        <v/>
      </c>
      <c r="N978" s="0" t="str">
        <f aca="false">IFERROR(IF(OR(HLOOKUP($A978,#REF!,12,FALSE())&gt;2,HLOOKUP($A978,#REF!,12,FALSE())&lt;-2),"",#REF!),"")</f>
        <v/>
      </c>
      <c r="O978" s="0" t="str">
        <f aca="false">IFERROR(IF(OR(HLOOKUP($A978,#REF!,13,FALSE())&gt;2,HLOOKUP($A978,#REF!,13,FALSE())&lt;-2),"",#REF!),"")</f>
        <v/>
      </c>
      <c r="P978" s="0" t="str">
        <f aca="false">IFERROR(IF(OR(HLOOKUP($A978,#REF!,14,FALSE())&gt;2,HLOOKUP($A978,#REF!,14,FALSE())&lt;-2),"",#REF!),"")</f>
        <v/>
      </c>
      <c r="Q978" s="0" t="str">
        <f aca="false">IFERROR(IF(OR(HLOOKUP($A978,#REF!,15,FALSE())&gt;2,HLOOKUP($A978,#REF!,15,FALSE())&lt;-2),"",#REF!),"")</f>
        <v/>
      </c>
      <c r="R978" s="0" t="str">
        <f aca="false">IFERROR(IF(OR(HLOOKUP($A978,#REF!,16,FALSE())&gt;2,HLOOKUP($A978,#REF!,16,FALSE())&lt;-2),"",#REF!),"")</f>
        <v/>
      </c>
      <c r="S978" s="0" t="str">
        <f aca="false">IFERROR(IF(OR(HLOOKUP($A978,#REF!,17,FALSE())&gt;2,HLOOKUP($A978,#REF!,17,FALSE())&lt;-2),"",#REF!),"")</f>
        <v/>
      </c>
      <c r="T978" s="0" t="str">
        <f aca="false">IFERROR(IF(OR(HLOOKUP($A978,#REF!,18,FALSE())&gt;2,HLOOKUP($A978,#REF!,18,FALSE())&lt;-2),"",#REF!),"")</f>
        <v/>
      </c>
      <c r="U978" s="0" t="str">
        <f aca="false">IFERROR(IF(OR(HLOOKUP($A978,#REF!,19,FALSE())&gt;2,HLOOKUP($A978,#REF!,19,FALSE())&lt;-2),"",#REF!),"")</f>
        <v/>
      </c>
      <c r="V978" s="0" t="n">
        <f aca="false">IFERROR(IF(AND(X978=0,Y978=0),0,1),0)</f>
        <v>1</v>
      </c>
      <c r="W978" s="3" t="str">
        <f aca="false">IFERROR(_xlfn.T.TEST(E978:M978,N978:U978,2,2),"")</f>
        <v/>
      </c>
      <c r="X978" s="0" t="str">
        <f aca="false">IFERROR(AVERAGE(E978:M978),"")</f>
        <v/>
      </c>
      <c r="Y978" s="0" t="str">
        <f aca="false">IFERROR(AVERAGE(N978:U978),"")</f>
        <v/>
      </c>
    </row>
    <row r="979" customFormat="false" ht="14.5" hidden="false" customHeight="false" outlineLevel="0" collapsed="false">
      <c r="A979" s="0" t="n">
        <v>987</v>
      </c>
      <c r="B979" s="0" t="s">
        <v>1025</v>
      </c>
      <c r="C979" s="0" t="n">
        <v>87000</v>
      </c>
      <c r="D979" s="0" t="n">
        <v>771</v>
      </c>
      <c r="E979" s="0" t="str">
        <f aca="false">IFERROR(IF(OR(HLOOKUP($A979,#REF!,3,FALSE())&gt;2,HLOOKUP(A979,#REF!,3,FALSE())&lt;-2),"",#REF!),"")</f>
        <v/>
      </c>
      <c r="F979" s="0" t="str">
        <f aca="false">IFERROR(IF(OR(HLOOKUP($A979,#REF!,4,FALSE())&gt;2,HLOOKUP($A979,#REF!,4,FALSE())&lt;-2),"",#REF!),"")</f>
        <v/>
      </c>
      <c r="G979" s="0" t="str">
        <f aca="false">IFERROR(IF(OR(HLOOKUP($A979,#REF!,5,FALSE())&gt;2,HLOOKUP($A979,#REF!,5,FALSE())&lt;-2),"",#REF!),"")</f>
        <v/>
      </c>
      <c r="H979" s="0" t="str">
        <f aca="false">IFERROR(IF(OR(HLOOKUP($A979,#REF!,6,FALSE())&gt;2,HLOOKUP($A979,#REF!,6,FALSE())&lt;-2),"",#REF!),"")</f>
        <v/>
      </c>
      <c r="I979" s="0" t="str">
        <f aca="false">IFERROR(IF(OR(HLOOKUP($A979,#REF!,7,FALSE())&gt;2,HLOOKUP($A979,#REF!,7,FALSE())&lt;-2),"",#REF!),"")</f>
        <v/>
      </c>
      <c r="J979" s="0" t="str">
        <f aca="false">IFERROR(IF(OR(HLOOKUP($A979,#REF!,8,FALSE())&gt;2,HLOOKUP($A979,#REF!,8,FALSE())&lt;-2),"",#REF!),"")</f>
        <v/>
      </c>
      <c r="K979" s="0" t="str">
        <f aca="false">IFERROR(IF(OR(HLOOKUP($A979,#REF!,9,FALSE())&gt;2,HLOOKUP($A979,#REF!,9,FALSE())&lt;-2),"",#REF!),"")</f>
        <v/>
      </c>
      <c r="L979" s="0" t="str">
        <f aca="false">IFERROR(IF(OR(HLOOKUP($A979,#REF!,10,FALSE())&gt;2,HLOOKUP($A979,#REF!,10,FALSE())&lt;-2),"",#REF!),"")</f>
        <v/>
      </c>
      <c r="M979" s="0" t="str">
        <f aca="false">IFERROR(IF(OR(HLOOKUP($A979,#REF!,11,FALSE())&gt;2,HLOOKUP($A979,#REF!,11,FALSE())&lt;-2),"",#REF!),"")</f>
        <v/>
      </c>
      <c r="N979" s="0" t="str">
        <f aca="false">IFERROR(IF(OR(HLOOKUP($A979,#REF!,12,FALSE())&gt;2,HLOOKUP($A979,#REF!,12,FALSE())&lt;-2),"",#REF!),"")</f>
        <v/>
      </c>
      <c r="O979" s="0" t="str">
        <f aca="false">IFERROR(IF(OR(HLOOKUP($A979,#REF!,13,FALSE())&gt;2,HLOOKUP($A979,#REF!,13,FALSE())&lt;-2),"",#REF!),"")</f>
        <v/>
      </c>
      <c r="P979" s="0" t="str">
        <f aca="false">IFERROR(IF(OR(HLOOKUP($A979,#REF!,14,FALSE())&gt;2,HLOOKUP($A979,#REF!,14,FALSE())&lt;-2),"",#REF!),"")</f>
        <v/>
      </c>
      <c r="Q979" s="0" t="str">
        <f aca="false">IFERROR(IF(OR(HLOOKUP($A979,#REF!,15,FALSE())&gt;2,HLOOKUP($A979,#REF!,15,FALSE())&lt;-2),"",#REF!),"")</f>
        <v/>
      </c>
      <c r="R979" s="0" t="str">
        <f aca="false">IFERROR(IF(OR(HLOOKUP($A979,#REF!,16,FALSE())&gt;2,HLOOKUP($A979,#REF!,16,FALSE())&lt;-2),"",#REF!),"")</f>
        <v/>
      </c>
      <c r="S979" s="0" t="str">
        <f aca="false">IFERROR(IF(OR(HLOOKUP($A979,#REF!,17,FALSE())&gt;2,HLOOKUP($A979,#REF!,17,FALSE())&lt;-2),"",#REF!),"")</f>
        <v/>
      </c>
      <c r="T979" s="0" t="str">
        <f aca="false">IFERROR(IF(OR(HLOOKUP($A979,#REF!,18,FALSE())&gt;2,HLOOKUP($A979,#REF!,18,FALSE())&lt;-2),"",#REF!),"")</f>
        <v/>
      </c>
      <c r="U979" s="0" t="str">
        <f aca="false">IFERROR(IF(OR(HLOOKUP($A979,#REF!,19,FALSE())&gt;2,HLOOKUP($A979,#REF!,19,FALSE())&lt;-2),"",#REF!),"")</f>
        <v/>
      </c>
      <c r="V979" s="0" t="n">
        <f aca="false">IFERROR(IF(AND(X979=0,Y979=0),0,1),0)</f>
        <v>1</v>
      </c>
      <c r="W979" s="3" t="str">
        <f aca="false">IFERROR(_xlfn.T.TEST(E979:M979,N979:U979,2,2),"")</f>
        <v/>
      </c>
      <c r="X979" s="0" t="str">
        <f aca="false">IFERROR(AVERAGE(E979:M979),"")</f>
        <v/>
      </c>
      <c r="Y979" s="0" t="str">
        <f aca="false">IFERROR(AVERAGE(N979:U979),"")</f>
        <v/>
      </c>
    </row>
    <row r="980" customFormat="false" ht="14.5" hidden="false" customHeight="false" outlineLevel="0" collapsed="false">
      <c r="A980" s="0" t="n">
        <v>988</v>
      </c>
      <c r="B980" s="0" t="s">
        <v>1026</v>
      </c>
      <c r="C980" s="0" t="n">
        <v>29600</v>
      </c>
      <c r="D980" s="0" t="n">
        <v>895</v>
      </c>
      <c r="E980" s="0" t="str">
        <f aca="false">IFERROR(IF(OR(HLOOKUP($A980,#REF!,3,FALSE())&gt;2,HLOOKUP(A980,#REF!,3,FALSE())&lt;-2),"",#REF!),"")</f>
        <v/>
      </c>
      <c r="F980" s="0" t="str">
        <f aca="false">IFERROR(IF(OR(HLOOKUP($A980,#REF!,4,FALSE())&gt;2,HLOOKUP($A980,#REF!,4,FALSE())&lt;-2),"",#REF!),"")</f>
        <v/>
      </c>
      <c r="G980" s="0" t="str">
        <f aca="false">IFERROR(IF(OR(HLOOKUP($A980,#REF!,5,FALSE())&gt;2,HLOOKUP($A980,#REF!,5,FALSE())&lt;-2),"",#REF!),"")</f>
        <v/>
      </c>
      <c r="H980" s="0" t="str">
        <f aca="false">IFERROR(IF(OR(HLOOKUP($A980,#REF!,6,FALSE())&gt;2,HLOOKUP($A980,#REF!,6,FALSE())&lt;-2),"",#REF!),"")</f>
        <v/>
      </c>
      <c r="I980" s="0" t="str">
        <f aca="false">IFERROR(IF(OR(HLOOKUP($A980,#REF!,7,FALSE())&gt;2,HLOOKUP($A980,#REF!,7,FALSE())&lt;-2),"",#REF!),"")</f>
        <v/>
      </c>
      <c r="J980" s="0" t="str">
        <f aca="false">IFERROR(IF(OR(HLOOKUP($A980,#REF!,8,FALSE())&gt;2,HLOOKUP($A980,#REF!,8,FALSE())&lt;-2),"",#REF!),"")</f>
        <v/>
      </c>
      <c r="K980" s="0" t="str">
        <f aca="false">IFERROR(IF(OR(HLOOKUP($A980,#REF!,9,FALSE())&gt;2,HLOOKUP($A980,#REF!,9,FALSE())&lt;-2),"",#REF!),"")</f>
        <v/>
      </c>
      <c r="L980" s="0" t="str">
        <f aca="false">IFERROR(IF(OR(HLOOKUP($A980,#REF!,10,FALSE())&gt;2,HLOOKUP($A980,#REF!,10,FALSE())&lt;-2),"",#REF!),"")</f>
        <v/>
      </c>
      <c r="M980" s="0" t="str">
        <f aca="false">IFERROR(IF(OR(HLOOKUP($A980,#REF!,11,FALSE())&gt;2,HLOOKUP($A980,#REF!,11,FALSE())&lt;-2),"",#REF!),"")</f>
        <v/>
      </c>
      <c r="N980" s="0" t="str">
        <f aca="false">IFERROR(IF(OR(HLOOKUP($A980,#REF!,12,FALSE())&gt;2,HLOOKUP($A980,#REF!,12,FALSE())&lt;-2),"",#REF!),"")</f>
        <v/>
      </c>
      <c r="O980" s="0" t="str">
        <f aca="false">IFERROR(IF(OR(HLOOKUP($A980,#REF!,13,FALSE())&gt;2,HLOOKUP($A980,#REF!,13,FALSE())&lt;-2),"",#REF!),"")</f>
        <v/>
      </c>
      <c r="P980" s="0" t="str">
        <f aca="false">IFERROR(IF(OR(HLOOKUP($A980,#REF!,14,FALSE())&gt;2,HLOOKUP($A980,#REF!,14,FALSE())&lt;-2),"",#REF!),"")</f>
        <v/>
      </c>
      <c r="Q980" s="0" t="str">
        <f aca="false">IFERROR(IF(OR(HLOOKUP($A980,#REF!,15,FALSE())&gt;2,HLOOKUP($A980,#REF!,15,FALSE())&lt;-2),"",#REF!),"")</f>
        <v/>
      </c>
      <c r="R980" s="0" t="str">
        <f aca="false">IFERROR(IF(OR(HLOOKUP($A980,#REF!,16,FALSE())&gt;2,HLOOKUP($A980,#REF!,16,FALSE())&lt;-2),"",#REF!),"")</f>
        <v/>
      </c>
      <c r="S980" s="0" t="str">
        <f aca="false">IFERROR(IF(OR(HLOOKUP($A980,#REF!,17,FALSE())&gt;2,HLOOKUP($A980,#REF!,17,FALSE())&lt;-2),"",#REF!),"")</f>
        <v/>
      </c>
      <c r="T980" s="0" t="str">
        <f aca="false">IFERROR(IF(OR(HLOOKUP($A980,#REF!,18,FALSE())&gt;2,HLOOKUP($A980,#REF!,18,FALSE())&lt;-2),"",#REF!),"")</f>
        <v/>
      </c>
      <c r="U980" s="0" t="str">
        <f aca="false">IFERROR(IF(OR(HLOOKUP($A980,#REF!,19,FALSE())&gt;2,HLOOKUP($A980,#REF!,19,FALSE())&lt;-2),"",#REF!),"")</f>
        <v/>
      </c>
      <c r="V980" s="0" t="n">
        <f aca="false">IFERROR(IF(AND(X980=0,Y980=0),0,1),0)</f>
        <v>1</v>
      </c>
      <c r="W980" s="3" t="str">
        <f aca="false">IFERROR(_xlfn.T.TEST(E980:M980,N980:U980,2,2),"")</f>
        <v/>
      </c>
      <c r="X980" s="0" t="str">
        <f aca="false">IFERROR(AVERAGE(E980:M980),"")</f>
        <v/>
      </c>
      <c r="Y980" s="0" t="str">
        <f aca="false">IFERROR(AVERAGE(N980:U980),"")</f>
        <v/>
      </c>
    </row>
    <row r="981" customFormat="false" ht="14.5" hidden="false" customHeight="false" outlineLevel="0" collapsed="false">
      <c r="A981" s="0" t="n">
        <v>989</v>
      </c>
      <c r="B981" s="0" t="s">
        <v>1027</v>
      </c>
      <c r="C981" s="0" t="n">
        <v>63000</v>
      </c>
      <c r="D981" s="0" t="n">
        <v>519</v>
      </c>
      <c r="E981" s="0" t="str">
        <f aca="false">IFERROR(IF(OR(HLOOKUP($A981,#REF!,3,FALSE())&gt;2,HLOOKUP(A981,#REF!,3,FALSE())&lt;-2),"",#REF!),"")</f>
        <v/>
      </c>
      <c r="F981" s="0" t="str">
        <f aca="false">IFERROR(IF(OR(HLOOKUP($A981,#REF!,4,FALSE())&gt;2,HLOOKUP($A981,#REF!,4,FALSE())&lt;-2),"",#REF!),"")</f>
        <v/>
      </c>
      <c r="G981" s="0" t="str">
        <f aca="false">IFERROR(IF(OR(HLOOKUP($A981,#REF!,5,FALSE())&gt;2,HLOOKUP($A981,#REF!,5,FALSE())&lt;-2),"",#REF!),"")</f>
        <v/>
      </c>
      <c r="H981" s="0" t="str">
        <f aca="false">IFERROR(IF(OR(HLOOKUP($A981,#REF!,6,FALSE())&gt;2,HLOOKUP($A981,#REF!,6,FALSE())&lt;-2),"",#REF!),"")</f>
        <v/>
      </c>
      <c r="I981" s="0" t="str">
        <f aca="false">IFERROR(IF(OR(HLOOKUP($A981,#REF!,7,FALSE())&gt;2,HLOOKUP($A981,#REF!,7,FALSE())&lt;-2),"",#REF!),"")</f>
        <v/>
      </c>
      <c r="J981" s="0" t="str">
        <f aca="false">IFERROR(IF(OR(HLOOKUP($A981,#REF!,8,FALSE())&gt;2,HLOOKUP($A981,#REF!,8,FALSE())&lt;-2),"",#REF!),"")</f>
        <v/>
      </c>
      <c r="K981" s="0" t="str">
        <f aca="false">IFERROR(IF(OR(HLOOKUP($A981,#REF!,9,FALSE())&gt;2,HLOOKUP($A981,#REF!,9,FALSE())&lt;-2),"",#REF!),"")</f>
        <v/>
      </c>
      <c r="L981" s="0" t="str">
        <f aca="false">IFERROR(IF(OR(HLOOKUP($A981,#REF!,10,FALSE())&gt;2,HLOOKUP($A981,#REF!,10,FALSE())&lt;-2),"",#REF!),"")</f>
        <v/>
      </c>
      <c r="M981" s="0" t="str">
        <f aca="false">IFERROR(IF(OR(HLOOKUP($A981,#REF!,11,FALSE())&gt;2,HLOOKUP($A981,#REF!,11,FALSE())&lt;-2),"",#REF!),"")</f>
        <v/>
      </c>
      <c r="N981" s="0" t="str">
        <f aca="false">IFERROR(IF(OR(HLOOKUP($A981,#REF!,12,FALSE())&gt;2,HLOOKUP($A981,#REF!,12,FALSE())&lt;-2),"",#REF!),"")</f>
        <v/>
      </c>
      <c r="O981" s="0" t="str">
        <f aca="false">IFERROR(IF(OR(HLOOKUP($A981,#REF!,13,FALSE())&gt;2,HLOOKUP($A981,#REF!,13,FALSE())&lt;-2),"",#REF!),"")</f>
        <v/>
      </c>
      <c r="P981" s="0" t="str">
        <f aca="false">IFERROR(IF(OR(HLOOKUP($A981,#REF!,14,FALSE())&gt;2,HLOOKUP($A981,#REF!,14,FALSE())&lt;-2),"",#REF!),"")</f>
        <v/>
      </c>
      <c r="Q981" s="0" t="str">
        <f aca="false">IFERROR(IF(OR(HLOOKUP($A981,#REF!,15,FALSE())&gt;2,HLOOKUP($A981,#REF!,15,FALSE())&lt;-2),"",#REF!),"")</f>
        <v/>
      </c>
      <c r="R981" s="0" t="str">
        <f aca="false">IFERROR(IF(OR(HLOOKUP($A981,#REF!,16,FALSE())&gt;2,HLOOKUP($A981,#REF!,16,FALSE())&lt;-2),"",#REF!),"")</f>
        <v/>
      </c>
      <c r="S981" s="0" t="str">
        <f aca="false">IFERROR(IF(OR(HLOOKUP($A981,#REF!,17,FALSE())&gt;2,HLOOKUP($A981,#REF!,17,FALSE())&lt;-2),"",#REF!),"")</f>
        <v/>
      </c>
      <c r="T981" s="0" t="str">
        <f aca="false">IFERROR(IF(OR(HLOOKUP($A981,#REF!,18,FALSE())&gt;2,HLOOKUP($A981,#REF!,18,FALSE())&lt;-2),"",#REF!),"")</f>
        <v/>
      </c>
      <c r="U981" s="0" t="str">
        <f aca="false">IFERROR(IF(OR(HLOOKUP($A981,#REF!,19,FALSE())&gt;2,HLOOKUP($A981,#REF!,19,FALSE())&lt;-2),"",#REF!),"")</f>
        <v/>
      </c>
      <c r="V981" s="0" t="n">
        <f aca="false">IFERROR(IF(AND(X981=0,Y981=0),0,1),0)</f>
        <v>1</v>
      </c>
      <c r="W981" s="3" t="str">
        <f aca="false">IFERROR(_xlfn.T.TEST(E981:M981,N981:U981,2,2),"")</f>
        <v/>
      </c>
      <c r="X981" s="0" t="str">
        <f aca="false">IFERROR(AVERAGE(E981:M981),"")</f>
        <v/>
      </c>
      <c r="Y981" s="0" t="str">
        <f aca="false">IFERROR(AVERAGE(N981:U981),"")</f>
        <v/>
      </c>
    </row>
    <row r="982" customFormat="false" ht="14.5" hidden="false" customHeight="false" outlineLevel="0" collapsed="false">
      <c r="A982" s="0" t="n">
        <v>990</v>
      </c>
      <c r="B982" s="0" t="s">
        <v>1028</v>
      </c>
      <c r="C982" s="0" t="n">
        <v>13000</v>
      </c>
      <c r="D982" s="0" t="n">
        <v>1018</v>
      </c>
      <c r="E982" s="0" t="str">
        <f aca="false">IFERROR(IF(OR(HLOOKUP($A982,#REF!,3,FALSE())&gt;2,HLOOKUP(A982,#REF!,3,FALSE())&lt;-2),"",#REF!),"")</f>
        <v/>
      </c>
      <c r="F982" s="0" t="str">
        <f aca="false">IFERROR(IF(OR(HLOOKUP($A982,#REF!,4,FALSE())&gt;2,HLOOKUP($A982,#REF!,4,FALSE())&lt;-2),"",#REF!),"")</f>
        <v/>
      </c>
      <c r="G982" s="0" t="str">
        <f aca="false">IFERROR(IF(OR(HLOOKUP($A982,#REF!,5,FALSE())&gt;2,HLOOKUP($A982,#REF!,5,FALSE())&lt;-2),"",#REF!),"")</f>
        <v/>
      </c>
      <c r="H982" s="0" t="str">
        <f aca="false">IFERROR(IF(OR(HLOOKUP($A982,#REF!,6,FALSE())&gt;2,HLOOKUP($A982,#REF!,6,FALSE())&lt;-2),"",#REF!),"")</f>
        <v/>
      </c>
      <c r="I982" s="0" t="str">
        <f aca="false">IFERROR(IF(OR(HLOOKUP($A982,#REF!,7,FALSE())&gt;2,HLOOKUP($A982,#REF!,7,FALSE())&lt;-2),"",#REF!),"")</f>
        <v/>
      </c>
      <c r="J982" s="0" t="str">
        <f aca="false">IFERROR(IF(OR(HLOOKUP($A982,#REF!,8,FALSE())&gt;2,HLOOKUP($A982,#REF!,8,FALSE())&lt;-2),"",#REF!),"")</f>
        <v/>
      </c>
      <c r="K982" s="0" t="str">
        <f aca="false">IFERROR(IF(OR(HLOOKUP($A982,#REF!,9,FALSE())&gt;2,HLOOKUP($A982,#REF!,9,FALSE())&lt;-2),"",#REF!),"")</f>
        <v/>
      </c>
      <c r="L982" s="0" t="str">
        <f aca="false">IFERROR(IF(OR(HLOOKUP($A982,#REF!,10,FALSE())&gt;2,HLOOKUP($A982,#REF!,10,FALSE())&lt;-2),"",#REF!),"")</f>
        <v/>
      </c>
      <c r="M982" s="0" t="str">
        <f aca="false">IFERROR(IF(OR(HLOOKUP($A982,#REF!,11,FALSE())&gt;2,HLOOKUP($A982,#REF!,11,FALSE())&lt;-2),"",#REF!),"")</f>
        <v/>
      </c>
      <c r="N982" s="0" t="str">
        <f aca="false">IFERROR(IF(OR(HLOOKUP($A982,#REF!,12,FALSE())&gt;2,HLOOKUP($A982,#REF!,12,FALSE())&lt;-2),"",#REF!),"")</f>
        <v/>
      </c>
      <c r="O982" s="0" t="str">
        <f aca="false">IFERROR(IF(OR(HLOOKUP($A982,#REF!,13,FALSE())&gt;2,HLOOKUP($A982,#REF!,13,FALSE())&lt;-2),"",#REF!),"")</f>
        <v/>
      </c>
      <c r="P982" s="0" t="str">
        <f aca="false">IFERROR(IF(OR(HLOOKUP($A982,#REF!,14,FALSE())&gt;2,HLOOKUP($A982,#REF!,14,FALSE())&lt;-2),"",#REF!),"")</f>
        <v/>
      </c>
      <c r="Q982" s="0" t="str">
        <f aca="false">IFERROR(IF(OR(HLOOKUP($A982,#REF!,15,FALSE())&gt;2,HLOOKUP($A982,#REF!,15,FALSE())&lt;-2),"",#REF!),"")</f>
        <v/>
      </c>
      <c r="R982" s="0" t="str">
        <f aca="false">IFERROR(IF(OR(HLOOKUP($A982,#REF!,16,FALSE())&gt;2,HLOOKUP($A982,#REF!,16,FALSE())&lt;-2),"",#REF!),"")</f>
        <v/>
      </c>
      <c r="S982" s="0" t="str">
        <f aca="false">IFERROR(IF(OR(HLOOKUP($A982,#REF!,17,FALSE())&gt;2,HLOOKUP($A982,#REF!,17,FALSE())&lt;-2),"",#REF!),"")</f>
        <v/>
      </c>
      <c r="T982" s="0" t="str">
        <f aca="false">IFERROR(IF(OR(HLOOKUP($A982,#REF!,18,FALSE())&gt;2,HLOOKUP($A982,#REF!,18,FALSE())&lt;-2),"",#REF!),"")</f>
        <v/>
      </c>
      <c r="U982" s="0" t="str">
        <f aca="false">IFERROR(IF(OR(HLOOKUP($A982,#REF!,19,FALSE())&gt;2,HLOOKUP($A982,#REF!,19,FALSE())&lt;-2),"",#REF!),"")</f>
        <v/>
      </c>
      <c r="V982" s="0" t="n">
        <f aca="false">IFERROR(IF(AND(X982=0,Y982=0),0,1),0)</f>
        <v>1</v>
      </c>
      <c r="W982" s="3" t="str">
        <f aca="false">IFERROR(_xlfn.T.TEST(E982:M982,N982:U982,2,2),"")</f>
        <v/>
      </c>
      <c r="X982" s="0" t="str">
        <f aca="false">IFERROR(AVERAGE(E982:M982),"")</f>
        <v/>
      </c>
      <c r="Y982" s="0" t="str">
        <f aca="false">IFERROR(AVERAGE(N982:U982),"")</f>
        <v/>
      </c>
    </row>
    <row r="983" customFormat="false" ht="14.5" hidden="false" customHeight="false" outlineLevel="0" collapsed="false">
      <c r="A983" s="0" t="n">
        <v>991</v>
      </c>
      <c r="B983" s="0" t="s">
        <v>1029</v>
      </c>
      <c r="C983" s="0" t="n">
        <v>110500</v>
      </c>
      <c r="D983" s="0" t="n">
        <v>1009</v>
      </c>
      <c r="E983" s="0" t="str">
        <f aca="false">IFERROR(IF(OR(HLOOKUP($A983,#REF!,3,FALSE())&gt;2,HLOOKUP(A983,#REF!,3,FALSE())&lt;-2),"",#REF!),"")</f>
        <v/>
      </c>
      <c r="F983" s="0" t="str">
        <f aca="false">IFERROR(IF(OR(HLOOKUP($A983,#REF!,4,FALSE())&gt;2,HLOOKUP($A983,#REF!,4,FALSE())&lt;-2),"",#REF!),"")</f>
        <v/>
      </c>
      <c r="G983" s="0" t="str">
        <f aca="false">IFERROR(IF(OR(HLOOKUP($A983,#REF!,5,FALSE())&gt;2,HLOOKUP($A983,#REF!,5,FALSE())&lt;-2),"",#REF!),"")</f>
        <v/>
      </c>
      <c r="H983" s="0" t="str">
        <f aca="false">IFERROR(IF(OR(HLOOKUP($A983,#REF!,6,FALSE())&gt;2,HLOOKUP($A983,#REF!,6,FALSE())&lt;-2),"",#REF!),"")</f>
        <v/>
      </c>
      <c r="I983" s="0" t="str">
        <f aca="false">IFERROR(IF(OR(HLOOKUP($A983,#REF!,7,FALSE())&gt;2,HLOOKUP($A983,#REF!,7,FALSE())&lt;-2),"",#REF!),"")</f>
        <v/>
      </c>
      <c r="J983" s="0" t="str">
        <f aca="false">IFERROR(IF(OR(HLOOKUP($A983,#REF!,8,FALSE())&gt;2,HLOOKUP($A983,#REF!,8,FALSE())&lt;-2),"",#REF!),"")</f>
        <v/>
      </c>
      <c r="K983" s="0" t="str">
        <f aca="false">IFERROR(IF(OR(HLOOKUP($A983,#REF!,9,FALSE())&gt;2,HLOOKUP($A983,#REF!,9,FALSE())&lt;-2),"",#REF!),"")</f>
        <v/>
      </c>
      <c r="L983" s="0" t="str">
        <f aca="false">IFERROR(IF(OR(HLOOKUP($A983,#REF!,10,FALSE())&gt;2,HLOOKUP($A983,#REF!,10,FALSE())&lt;-2),"",#REF!),"")</f>
        <v/>
      </c>
      <c r="M983" s="0" t="str">
        <f aca="false">IFERROR(IF(OR(HLOOKUP($A983,#REF!,11,FALSE())&gt;2,HLOOKUP($A983,#REF!,11,FALSE())&lt;-2),"",#REF!),"")</f>
        <v/>
      </c>
      <c r="N983" s="0" t="str">
        <f aca="false">IFERROR(IF(OR(HLOOKUP($A983,#REF!,12,FALSE())&gt;2,HLOOKUP($A983,#REF!,12,FALSE())&lt;-2),"",#REF!),"")</f>
        <v/>
      </c>
      <c r="O983" s="0" t="str">
        <f aca="false">IFERROR(IF(OR(HLOOKUP($A983,#REF!,13,FALSE())&gt;2,HLOOKUP($A983,#REF!,13,FALSE())&lt;-2),"",#REF!),"")</f>
        <v/>
      </c>
      <c r="P983" s="0" t="str">
        <f aca="false">IFERROR(IF(OR(HLOOKUP($A983,#REF!,14,FALSE())&gt;2,HLOOKUP($A983,#REF!,14,FALSE())&lt;-2),"",#REF!),"")</f>
        <v/>
      </c>
      <c r="Q983" s="0" t="str">
        <f aca="false">IFERROR(IF(OR(HLOOKUP($A983,#REF!,15,FALSE())&gt;2,HLOOKUP($A983,#REF!,15,FALSE())&lt;-2),"",#REF!),"")</f>
        <v/>
      </c>
      <c r="R983" s="0" t="str">
        <f aca="false">IFERROR(IF(OR(HLOOKUP($A983,#REF!,16,FALSE())&gt;2,HLOOKUP($A983,#REF!,16,FALSE())&lt;-2),"",#REF!),"")</f>
        <v/>
      </c>
      <c r="S983" s="0" t="str">
        <f aca="false">IFERROR(IF(OR(HLOOKUP($A983,#REF!,17,FALSE())&gt;2,HLOOKUP($A983,#REF!,17,FALSE())&lt;-2),"",#REF!),"")</f>
        <v/>
      </c>
      <c r="T983" s="0" t="str">
        <f aca="false">IFERROR(IF(OR(HLOOKUP($A983,#REF!,18,FALSE())&gt;2,HLOOKUP($A983,#REF!,18,FALSE())&lt;-2),"",#REF!),"")</f>
        <v/>
      </c>
      <c r="U983" s="0" t="str">
        <f aca="false">IFERROR(IF(OR(HLOOKUP($A983,#REF!,19,FALSE())&gt;2,HLOOKUP($A983,#REF!,19,FALSE())&lt;-2),"",#REF!),"")</f>
        <v/>
      </c>
      <c r="V983" s="0" t="n">
        <f aca="false">IFERROR(IF(AND(X983=0,Y983=0),0,1),0)</f>
        <v>1</v>
      </c>
      <c r="W983" s="3" t="str">
        <f aca="false">IFERROR(_xlfn.T.TEST(E983:M983,N983:U983,2,2),"")</f>
        <v/>
      </c>
      <c r="X983" s="0" t="str">
        <f aca="false">IFERROR(AVERAGE(E983:M983),"")</f>
        <v/>
      </c>
      <c r="Y983" s="0" t="str">
        <f aca="false">IFERROR(AVERAGE(N983:U983),"")</f>
        <v/>
      </c>
    </row>
    <row r="984" customFormat="false" ht="14.5" hidden="false" customHeight="false" outlineLevel="0" collapsed="false">
      <c r="A984" s="0" t="n">
        <v>992</v>
      </c>
      <c r="B984" s="0" t="s">
        <v>1030</v>
      </c>
      <c r="C984" s="0" t="n">
        <v>56400</v>
      </c>
      <c r="D984" s="0" t="n">
        <v>928</v>
      </c>
      <c r="E984" s="0" t="str">
        <f aca="false">IFERROR(IF(OR(HLOOKUP($A984,#REF!,3,FALSE())&gt;2,HLOOKUP(A984,#REF!,3,FALSE())&lt;-2),"",#REF!),"")</f>
        <v/>
      </c>
      <c r="F984" s="0" t="str">
        <f aca="false">IFERROR(IF(OR(HLOOKUP($A984,#REF!,4,FALSE())&gt;2,HLOOKUP($A984,#REF!,4,FALSE())&lt;-2),"",#REF!),"")</f>
        <v/>
      </c>
      <c r="G984" s="0" t="str">
        <f aca="false">IFERROR(IF(OR(HLOOKUP($A984,#REF!,5,FALSE())&gt;2,HLOOKUP($A984,#REF!,5,FALSE())&lt;-2),"",#REF!),"")</f>
        <v/>
      </c>
      <c r="H984" s="0" t="str">
        <f aca="false">IFERROR(IF(OR(HLOOKUP($A984,#REF!,6,FALSE())&gt;2,HLOOKUP($A984,#REF!,6,FALSE())&lt;-2),"",#REF!),"")</f>
        <v/>
      </c>
      <c r="I984" s="0" t="str">
        <f aca="false">IFERROR(IF(OR(HLOOKUP($A984,#REF!,7,FALSE())&gt;2,HLOOKUP($A984,#REF!,7,FALSE())&lt;-2),"",#REF!),"")</f>
        <v/>
      </c>
      <c r="J984" s="0" t="str">
        <f aca="false">IFERROR(IF(OR(HLOOKUP($A984,#REF!,8,FALSE())&gt;2,HLOOKUP($A984,#REF!,8,FALSE())&lt;-2),"",#REF!),"")</f>
        <v/>
      </c>
      <c r="K984" s="0" t="str">
        <f aca="false">IFERROR(IF(OR(HLOOKUP($A984,#REF!,9,FALSE())&gt;2,HLOOKUP($A984,#REF!,9,FALSE())&lt;-2),"",#REF!),"")</f>
        <v/>
      </c>
      <c r="L984" s="0" t="str">
        <f aca="false">IFERROR(IF(OR(HLOOKUP($A984,#REF!,10,FALSE())&gt;2,HLOOKUP($A984,#REF!,10,FALSE())&lt;-2),"",#REF!),"")</f>
        <v/>
      </c>
      <c r="M984" s="0" t="str">
        <f aca="false">IFERROR(IF(OR(HLOOKUP($A984,#REF!,11,FALSE())&gt;2,HLOOKUP($A984,#REF!,11,FALSE())&lt;-2),"",#REF!),"")</f>
        <v/>
      </c>
      <c r="N984" s="0" t="str">
        <f aca="false">IFERROR(IF(OR(HLOOKUP($A984,#REF!,12,FALSE())&gt;2,HLOOKUP($A984,#REF!,12,FALSE())&lt;-2),"",#REF!),"")</f>
        <v/>
      </c>
      <c r="O984" s="0" t="str">
        <f aca="false">IFERROR(IF(OR(HLOOKUP($A984,#REF!,13,FALSE())&gt;2,HLOOKUP($A984,#REF!,13,FALSE())&lt;-2),"",#REF!),"")</f>
        <v/>
      </c>
      <c r="P984" s="0" t="str">
        <f aca="false">IFERROR(IF(OR(HLOOKUP($A984,#REF!,14,FALSE())&gt;2,HLOOKUP($A984,#REF!,14,FALSE())&lt;-2),"",#REF!),"")</f>
        <v/>
      </c>
      <c r="Q984" s="0" t="str">
        <f aca="false">IFERROR(IF(OR(HLOOKUP($A984,#REF!,15,FALSE())&gt;2,HLOOKUP($A984,#REF!,15,FALSE())&lt;-2),"",#REF!),"")</f>
        <v/>
      </c>
      <c r="R984" s="0" t="str">
        <f aca="false">IFERROR(IF(OR(HLOOKUP($A984,#REF!,16,FALSE())&gt;2,HLOOKUP($A984,#REF!,16,FALSE())&lt;-2),"",#REF!),"")</f>
        <v/>
      </c>
      <c r="S984" s="0" t="str">
        <f aca="false">IFERROR(IF(OR(HLOOKUP($A984,#REF!,17,FALSE())&gt;2,HLOOKUP($A984,#REF!,17,FALSE())&lt;-2),"",#REF!),"")</f>
        <v/>
      </c>
      <c r="T984" s="0" t="str">
        <f aca="false">IFERROR(IF(OR(HLOOKUP($A984,#REF!,18,FALSE())&gt;2,HLOOKUP($A984,#REF!,18,FALSE())&lt;-2),"",#REF!),"")</f>
        <v/>
      </c>
      <c r="U984" s="0" t="str">
        <f aca="false">IFERROR(IF(OR(HLOOKUP($A984,#REF!,19,FALSE())&gt;2,HLOOKUP($A984,#REF!,19,FALSE())&lt;-2),"",#REF!),"")</f>
        <v/>
      </c>
      <c r="V984" s="0" t="n">
        <f aca="false">IFERROR(IF(AND(X984=0,Y984=0),0,1),0)</f>
        <v>1</v>
      </c>
      <c r="W984" s="3" t="str">
        <f aca="false">IFERROR(_xlfn.T.TEST(E984:M984,N984:U984,2,2),"")</f>
        <v/>
      </c>
      <c r="X984" s="0" t="str">
        <f aca="false">IFERROR(AVERAGE(E984:M984),"")</f>
        <v/>
      </c>
      <c r="Y984" s="0" t="str">
        <f aca="false">IFERROR(AVERAGE(N984:U984),"")</f>
        <v/>
      </c>
    </row>
    <row r="985" customFormat="false" ht="14.5" hidden="false" customHeight="false" outlineLevel="0" collapsed="false">
      <c r="A985" s="0" t="n">
        <v>993</v>
      </c>
      <c r="B985" s="0" t="s">
        <v>1031</v>
      </c>
      <c r="C985" s="0" t="n">
        <v>2100</v>
      </c>
      <c r="D985" s="0" t="n">
        <v>500</v>
      </c>
      <c r="E985" s="0" t="str">
        <f aca="false">IFERROR(IF(OR(HLOOKUP($A985,#REF!,3,FALSE())&gt;2,HLOOKUP(A985,#REF!,3,FALSE())&lt;-2),"",#REF!),"")</f>
        <v/>
      </c>
      <c r="F985" s="0" t="str">
        <f aca="false">IFERROR(IF(OR(HLOOKUP($A985,#REF!,4,FALSE())&gt;2,HLOOKUP($A985,#REF!,4,FALSE())&lt;-2),"",#REF!),"")</f>
        <v/>
      </c>
      <c r="G985" s="0" t="str">
        <f aca="false">IFERROR(IF(OR(HLOOKUP($A985,#REF!,5,FALSE())&gt;2,HLOOKUP($A985,#REF!,5,FALSE())&lt;-2),"",#REF!),"")</f>
        <v/>
      </c>
      <c r="H985" s="0" t="str">
        <f aca="false">IFERROR(IF(OR(HLOOKUP($A985,#REF!,6,FALSE())&gt;2,HLOOKUP($A985,#REF!,6,FALSE())&lt;-2),"",#REF!),"")</f>
        <v/>
      </c>
      <c r="I985" s="0" t="str">
        <f aca="false">IFERROR(IF(OR(HLOOKUP($A985,#REF!,7,FALSE())&gt;2,HLOOKUP($A985,#REF!,7,FALSE())&lt;-2),"",#REF!),"")</f>
        <v/>
      </c>
      <c r="J985" s="0" t="str">
        <f aca="false">IFERROR(IF(OR(HLOOKUP($A985,#REF!,8,FALSE())&gt;2,HLOOKUP($A985,#REF!,8,FALSE())&lt;-2),"",#REF!),"")</f>
        <v/>
      </c>
      <c r="K985" s="0" t="str">
        <f aca="false">IFERROR(IF(OR(HLOOKUP($A985,#REF!,9,FALSE())&gt;2,HLOOKUP($A985,#REF!,9,FALSE())&lt;-2),"",#REF!),"")</f>
        <v/>
      </c>
      <c r="L985" s="0" t="str">
        <f aca="false">IFERROR(IF(OR(HLOOKUP($A985,#REF!,10,FALSE())&gt;2,HLOOKUP($A985,#REF!,10,FALSE())&lt;-2),"",#REF!),"")</f>
        <v/>
      </c>
      <c r="M985" s="0" t="str">
        <f aca="false">IFERROR(IF(OR(HLOOKUP($A985,#REF!,11,FALSE())&gt;2,HLOOKUP($A985,#REF!,11,FALSE())&lt;-2),"",#REF!),"")</f>
        <v/>
      </c>
      <c r="N985" s="0" t="str">
        <f aca="false">IFERROR(IF(OR(HLOOKUP($A985,#REF!,12,FALSE())&gt;2,HLOOKUP($A985,#REF!,12,FALSE())&lt;-2),"",#REF!),"")</f>
        <v/>
      </c>
      <c r="O985" s="0" t="str">
        <f aca="false">IFERROR(IF(OR(HLOOKUP($A985,#REF!,13,FALSE())&gt;2,HLOOKUP($A985,#REF!,13,FALSE())&lt;-2),"",#REF!),"")</f>
        <v/>
      </c>
      <c r="P985" s="0" t="str">
        <f aca="false">IFERROR(IF(OR(HLOOKUP($A985,#REF!,14,FALSE())&gt;2,HLOOKUP($A985,#REF!,14,FALSE())&lt;-2),"",#REF!),"")</f>
        <v/>
      </c>
      <c r="Q985" s="0" t="str">
        <f aca="false">IFERROR(IF(OR(HLOOKUP($A985,#REF!,15,FALSE())&gt;2,HLOOKUP($A985,#REF!,15,FALSE())&lt;-2),"",#REF!),"")</f>
        <v/>
      </c>
      <c r="R985" s="0" t="str">
        <f aca="false">IFERROR(IF(OR(HLOOKUP($A985,#REF!,16,FALSE())&gt;2,HLOOKUP($A985,#REF!,16,FALSE())&lt;-2),"",#REF!),"")</f>
        <v/>
      </c>
      <c r="S985" s="0" t="str">
        <f aca="false">IFERROR(IF(OR(HLOOKUP($A985,#REF!,17,FALSE())&gt;2,HLOOKUP($A985,#REF!,17,FALSE())&lt;-2),"",#REF!),"")</f>
        <v/>
      </c>
      <c r="T985" s="0" t="str">
        <f aca="false">IFERROR(IF(OR(HLOOKUP($A985,#REF!,18,FALSE())&gt;2,HLOOKUP($A985,#REF!,18,FALSE())&lt;-2),"",#REF!),"")</f>
        <v/>
      </c>
      <c r="U985" s="0" t="str">
        <f aca="false">IFERROR(IF(OR(HLOOKUP($A985,#REF!,19,FALSE())&gt;2,HLOOKUP($A985,#REF!,19,FALSE())&lt;-2),"",#REF!),"")</f>
        <v/>
      </c>
      <c r="V985" s="0" t="n">
        <f aca="false">IFERROR(IF(AND(X985=0,Y985=0),0,1),0)</f>
        <v>1</v>
      </c>
      <c r="W985" s="3" t="str">
        <f aca="false">IFERROR(_xlfn.T.TEST(E985:M985,N985:U985,2,2),"")</f>
        <v/>
      </c>
      <c r="X985" s="0" t="str">
        <f aca="false">IFERROR(AVERAGE(E985:M985),"")</f>
        <v/>
      </c>
      <c r="Y985" s="0" t="str">
        <f aca="false">IFERROR(AVERAGE(N985:U985),"")</f>
        <v/>
      </c>
    </row>
    <row r="986" customFormat="false" ht="14.5" hidden="false" customHeight="false" outlineLevel="0" collapsed="false">
      <c r="A986" s="0" t="n">
        <v>994</v>
      </c>
      <c r="B986" s="0" t="s">
        <v>1032</v>
      </c>
      <c r="C986" s="0" t="n">
        <v>107500</v>
      </c>
      <c r="D986" s="0" t="n">
        <v>784</v>
      </c>
      <c r="E986" s="0" t="str">
        <f aca="false">IFERROR(IF(OR(HLOOKUP($A986,#REF!,3,FALSE())&gt;2,HLOOKUP(A986,#REF!,3,FALSE())&lt;-2),"",#REF!),"")</f>
        <v/>
      </c>
      <c r="F986" s="0" t="str">
        <f aca="false">IFERROR(IF(OR(HLOOKUP($A986,#REF!,4,FALSE())&gt;2,HLOOKUP($A986,#REF!,4,FALSE())&lt;-2),"",#REF!),"")</f>
        <v/>
      </c>
      <c r="G986" s="0" t="str">
        <f aca="false">IFERROR(IF(OR(HLOOKUP($A986,#REF!,5,FALSE())&gt;2,HLOOKUP($A986,#REF!,5,FALSE())&lt;-2),"",#REF!),"")</f>
        <v/>
      </c>
      <c r="H986" s="0" t="str">
        <f aca="false">IFERROR(IF(OR(HLOOKUP($A986,#REF!,6,FALSE())&gt;2,HLOOKUP($A986,#REF!,6,FALSE())&lt;-2),"",#REF!),"")</f>
        <v/>
      </c>
      <c r="I986" s="0" t="str">
        <f aca="false">IFERROR(IF(OR(HLOOKUP($A986,#REF!,7,FALSE())&gt;2,HLOOKUP($A986,#REF!,7,FALSE())&lt;-2),"",#REF!),"")</f>
        <v/>
      </c>
      <c r="J986" s="0" t="str">
        <f aca="false">IFERROR(IF(OR(HLOOKUP($A986,#REF!,8,FALSE())&gt;2,HLOOKUP($A986,#REF!,8,FALSE())&lt;-2),"",#REF!),"")</f>
        <v/>
      </c>
      <c r="K986" s="0" t="str">
        <f aca="false">IFERROR(IF(OR(HLOOKUP($A986,#REF!,9,FALSE())&gt;2,HLOOKUP($A986,#REF!,9,FALSE())&lt;-2),"",#REF!),"")</f>
        <v/>
      </c>
      <c r="L986" s="0" t="str">
        <f aca="false">IFERROR(IF(OR(HLOOKUP($A986,#REF!,10,FALSE())&gt;2,HLOOKUP($A986,#REF!,10,FALSE())&lt;-2),"",#REF!),"")</f>
        <v/>
      </c>
      <c r="M986" s="0" t="str">
        <f aca="false">IFERROR(IF(OR(HLOOKUP($A986,#REF!,11,FALSE())&gt;2,HLOOKUP($A986,#REF!,11,FALSE())&lt;-2),"",#REF!),"")</f>
        <v/>
      </c>
      <c r="N986" s="0" t="str">
        <f aca="false">IFERROR(IF(OR(HLOOKUP($A986,#REF!,12,FALSE())&gt;2,HLOOKUP($A986,#REF!,12,FALSE())&lt;-2),"",#REF!),"")</f>
        <v/>
      </c>
      <c r="O986" s="0" t="str">
        <f aca="false">IFERROR(IF(OR(HLOOKUP($A986,#REF!,13,FALSE())&gt;2,HLOOKUP($A986,#REF!,13,FALSE())&lt;-2),"",#REF!),"")</f>
        <v/>
      </c>
      <c r="P986" s="0" t="str">
        <f aca="false">IFERROR(IF(OR(HLOOKUP($A986,#REF!,14,FALSE())&gt;2,HLOOKUP($A986,#REF!,14,FALSE())&lt;-2),"",#REF!),"")</f>
        <v/>
      </c>
      <c r="Q986" s="0" t="str">
        <f aca="false">IFERROR(IF(OR(HLOOKUP($A986,#REF!,15,FALSE())&gt;2,HLOOKUP($A986,#REF!,15,FALSE())&lt;-2),"",#REF!),"")</f>
        <v/>
      </c>
      <c r="R986" s="0" t="str">
        <f aca="false">IFERROR(IF(OR(HLOOKUP($A986,#REF!,16,FALSE())&gt;2,HLOOKUP($A986,#REF!,16,FALSE())&lt;-2),"",#REF!),"")</f>
        <v/>
      </c>
      <c r="S986" s="0" t="str">
        <f aca="false">IFERROR(IF(OR(HLOOKUP($A986,#REF!,17,FALSE())&gt;2,HLOOKUP($A986,#REF!,17,FALSE())&lt;-2),"",#REF!),"")</f>
        <v/>
      </c>
      <c r="T986" s="0" t="str">
        <f aca="false">IFERROR(IF(OR(HLOOKUP($A986,#REF!,18,FALSE())&gt;2,HLOOKUP($A986,#REF!,18,FALSE())&lt;-2),"",#REF!),"")</f>
        <v/>
      </c>
      <c r="U986" s="0" t="str">
        <f aca="false">IFERROR(IF(OR(HLOOKUP($A986,#REF!,19,FALSE())&gt;2,HLOOKUP($A986,#REF!,19,FALSE())&lt;-2),"",#REF!),"")</f>
        <v/>
      </c>
      <c r="V986" s="0" t="n">
        <f aca="false">IFERROR(IF(AND(X986=0,Y986=0),0,1),0)</f>
        <v>1</v>
      </c>
      <c r="W986" s="3" t="str">
        <f aca="false">IFERROR(_xlfn.T.TEST(E986:M986,N986:U986,2,2),"")</f>
        <v/>
      </c>
      <c r="X986" s="0" t="str">
        <f aca="false">IFERROR(AVERAGE(E986:M986),"")</f>
        <v/>
      </c>
      <c r="Y986" s="0" t="str">
        <f aca="false">IFERROR(AVERAGE(N986:U986),"")</f>
        <v/>
      </c>
    </row>
    <row r="987" customFormat="false" ht="14.5" hidden="false" customHeight="false" outlineLevel="0" collapsed="false">
      <c r="A987" s="0" t="n">
        <v>995</v>
      </c>
      <c r="B987" s="0" t="s">
        <v>1033</v>
      </c>
      <c r="C987" s="0" t="n">
        <v>95500</v>
      </c>
      <c r="D987" s="0" t="n">
        <v>370</v>
      </c>
      <c r="E987" s="0" t="str">
        <f aca="false">IFERROR(IF(OR(HLOOKUP($A987,#REF!,3,FALSE())&gt;2,HLOOKUP(A987,#REF!,3,FALSE())&lt;-2),"",#REF!),"")</f>
        <v/>
      </c>
      <c r="F987" s="0" t="str">
        <f aca="false">IFERROR(IF(OR(HLOOKUP($A987,#REF!,4,FALSE())&gt;2,HLOOKUP($A987,#REF!,4,FALSE())&lt;-2),"",#REF!),"")</f>
        <v/>
      </c>
      <c r="G987" s="0" t="str">
        <f aca="false">IFERROR(IF(OR(HLOOKUP($A987,#REF!,5,FALSE())&gt;2,HLOOKUP($A987,#REF!,5,FALSE())&lt;-2),"",#REF!),"")</f>
        <v/>
      </c>
      <c r="H987" s="0" t="str">
        <f aca="false">IFERROR(IF(OR(HLOOKUP($A987,#REF!,6,FALSE())&gt;2,HLOOKUP($A987,#REF!,6,FALSE())&lt;-2),"",#REF!),"")</f>
        <v/>
      </c>
      <c r="I987" s="0" t="str">
        <f aca="false">IFERROR(IF(OR(HLOOKUP($A987,#REF!,7,FALSE())&gt;2,HLOOKUP($A987,#REF!,7,FALSE())&lt;-2),"",#REF!),"")</f>
        <v/>
      </c>
      <c r="J987" s="0" t="str">
        <f aca="false">IFERROR(IF(OR(HLOOKUP($A987,#REF!,8,FALSE())&gt;2,HLOOKUP($A987,#REF!,8,FALSE())&lt;-2),"",#REF!),"")</f>
        <v/>
      </c>
      <c r="K987" s="0" t="str">
        <f aca="false">IFERROR(IF(OR(HLOOKUP($A987,#REF!,9,FALSE())&gt;2,HLOOKUP($A987,#REF!,9,FALSE())&lt;-2),"",#REF!),"")</f>
        <v/>
      </c>
      <c r="L987" s="0" t="str">
        <f aca="false">IFERROR(IF(OR(HLOOKUP($A987,#REF!,10,FALSE())&gt;2,HLOOKUP($A987,#REF!,10,FALSE())&lt;-2),"",#REF!),"")</f>
        <v/>
      </c>
      <c r="M987" s="0" t="str">
        <f aca="false">IFERROR(IF(OR(HLOOKUP($A987,#REF!,11,FALSE())&gt;2,HLOOKUP($A987,#REF!,11,FALSE())&lt;-2),"",#REF!),"")</f>
        <v/>
      </c>
      <c r="N987" s="0" t="str">
        <f aca="false">IFERROR(IF(OR(HLOOKUP($A987,#REF!,12,FALSE())&gt;2,HLOOKUP($A987,#REF!,12,FALSE())&lt;-2),"",#REF!),"")</f>
        <v/>
      </c>
      <c r="O987" s="0" t="str">
        <f aca="false">IFERROR(IF(OR(HLOOKUP($A987,#REF!,13,FALSE())&gt;2,HLOOKUP($A987,#REF!,13,FALSE())&lt;-2),"",#REF!),"")</f>
        <v/>
      </c>
      <c r="P987" s="0" t="str">
        <f aca="false">IFERROR(IF(OR(HLOOKUP($A987,#REF!,14,FALSE())&gt;2,HLOOKUP($A987,#REF!,14,FALSE())&lt;-2),"",#REF!),"")</f>
        <v/>
      </c>
      <c r="Q987" s="0" t="str">
        <f aca="false">IFERROR(IF(OR(HLOOKUP($A987,#REF!,15,FALSE())&gt;2,HLOOKUP($A987,#REF!,15,FALSE())&lt;-2),"",#REF!),"")</f>
        <v/>
      </c>
      <c r="R987" s="0" t="str">
        <f aca="false">IFERROR(IF(OR(HLOOKUP($A987,#REF!,16,FALSE())&gt;2,HLOOKUP($A987,#REF!,16,FALSE())&lt;-2),"",#REF!),"")</f>
        <v/>
      </c>
      <c r="S987" s="0" t="str">
        <f aca="false">IFERROR(IF(OR(HLOOKUP($A987,#REF!,17,FALSE())&gt;2,HLOOKUP($A987,#REF!,17,FALSE())&lt;-2),"",#REF!),"")</f>
        <v/>
      </c>
      <c r="T987" s="0" t="str">
        <f aca="false">IFERROR(IF(OR(HLOOKUP($A987,#REF!,18,FALSE())&gt;2,HLOOKUP($A987,#REF!,18,FALSE())&lt;-2),"",#REF!),"")</f>
        <v/>
      </c>
      <c r="U987" s="0" t="str">
        <f aca="false">IFERROR(IF(OR(HLOOKUP($A987,#REF!,19,FALSE())&gt;2,HLOOKUP($A987,#REF!,19,FALSE())&lt;-2),"",#REF!),"")</f>
        <v/>
      </c>
      <c r="V987" s="0" t="n">
        <f aca="false">IFERROR(IF(AND(X987=0,Y987=0),0,1),0)</f>
        <v>1</v>
      </c>
      <c r="W987" s="3" t="str">
        <f aca="false">IFERROR(_xlfn.T.TEST(E987:M987,N987:U987,2,2),"")</f>
        <v/>
      </c>
      <c r="X987" s="0" t="str">
        <f aca="false">IFERROR(AVERAGE(E987:M987),"")</f>
        <v/>
      </c>
      <c r="Y987" s="0" t="str">
        <f aca="false">IFERROR(AVERAGE(N987:U987),"")</f>
        <v/>
      </c>
    </row>
    <row r="988" customFormat="false" ht="14.5" hidden="false" customHeight="false" outlineLevel="0" collapsed="false">
      <c r="A988" s="0" t="n">
        <v>996</v>
      </c>
      <c r="B988" s="0" t="s">
        <v>1034</v>
      </c>
      <c r="C988" s="0" t="n">
        <v>23500</v>
      </c>
      <c r="D988" s="0" t="n">
        <v>104</v>
      </c>
      <c r="E988" s="0" t="str">
        <f aca="false">IFERROR(IF(OR(HLOOKUP($A988,#REF!,3,FALSE())&gt;2,HLOOKUP(A988,#REF!,3,FALSE())&lt;-2),"",#REF!),"")</f>
        <v/>
      </c>
      <c r="F988" s="0" t="str">
        <f aca="false">IFERROR(IF(OR(HLOOKUP($A988,#REF!,4,FALSE())&gt;2,HLOOKUP($A988,#REF!,4,FALSE())&lt;-2),"",#REF!),"")</f>
        <v/>
      </c>
      <c r="G988" s="0" t="str">
        <f aca="false">IFERROR(IF(OR(HLOOKUP($A988,#REF!,5,FALSE())&gt;2,HLOOKUP($A988,#REF!,5,FALSE())&lt;-2),"",#REF!),"")</f>
        <v/>
      </c>
      <c r="H988" s="0" t="str">
        <f aca="false">IFERROR(IF(OR(HLOOKUP($A988,#REF!,6,FALSE())&gt;2,HLOOKUP($A988,#REF!,6,FALSE())&lt;-2),"",#REF!),"")</f>
        <v/>
      </c>
      <c r="I988" s="0" t="str">
        <f aca="false">IFERROR(IF(OR(HLOOKUP($A988,#REF!,7,FALSE())&gt;2,HLOOKUP($A988,#REF!,7,FALSE())&lt;-2),"",#REF!),"")</f>
        <v/>
      </c>
      <c r="J988" s="0" t="str">
        <f aca="false">IFERROR(IF(OR(HLOOKUP($A988,#REF!,8,FALSE())&gt;2,HLOOKUP($A988,#REF!,8,FALSE())&lt;-2),"",#REF!),"")</f>
        <v/>
      </c>
      <c r="K988" s="0" t="str">
        <f aca="false">IFERROR(IF(OR(HLOOKUP($A988,#REF!,9,FALSE())&gt;2,HLOOKUP($A988,#REF!,9,FALSE())&lt;-2),"",#REF!),"")</f>
        <v/>
      </c>
      <c r="L988" s="0" t="str">
        <f aca="false">IFERROR(IF(OR(HLOOKUP($A988,#REF!,10,FALSE())&gt;2,HLOOKUP($A988,#REF!,10,FALSE())&lt;-2),"",#REF!),"")</f>
        <v/>
      </c>
      <c r="M988" s="0" t="str">
        <f aca="false">IFERROR(IF(OR(HLOOKUP($A988,#REF!,11,FALSE())&gt;2,HLOOKUP($A988,#REF!,11,FALSE())&lt;-2),"",#REF!),"")</f>
        <v/>
      </c>
      <c r="N988" s="0" t="str">
        <f aca="false">IFERROR(IF(OR(HLOOKUP($A988,#REF!,12,FALSE())&gt;2,HLOOKUP($A988,#REF!,12,FALSE())&lt;-2),"",#REF!),"")</f>
        <v/>
      </c>
      <c r="O988" s="0" t="str">
        <f aca="false">IFERROR(IF(OR(HLOOKUP($A988,#REF!,13,FALSE())&gt;2,HLOOKUP($A988,#REF!,13,FALSE())&lt;-2),"",#REF!),"")</f>
        <v/>
      </c>
      <c r="P988" s="0" t="str">
        <f aca="false">IFERROR(IF(OR(HLOOKUP($A988,#REF!,14,FALSE())&gt;2,HLOOKUP($A988,#REF!,14,FALSE())&lt;-2),"",#REF!),"")</f>
        <v/>
      </c>
      <c r="Q988" s="0" t="str">
        <f aca="false">IFERROR(IF(OR(HLOOKUP($A988,#REF!,15,FALSE())&gt;2,HLOOKUP($A988,#REF!,15,FALSE())&lt;-2),"",#REF!),"")</f>
        <v/>
      </c>
      <c r="R988" s="0" t="str">
        <f aca="false">IFERROR(IF(OR(HLOOKUP($A988,#REF!,16,FALSE())&gt;2,HLOOKUP($A988,#REF!,16,FALSE())&lt;-2),"",#REF!),"")</f>
        <v/>
      </c>
      <c r="S988" s="0" t="str">
        <f aca="false">IFERROR(IF(OR(HLOOKUP($A988,#REF!,17,FALSE())&gt;2,HLOOKUP($A988,#REF!,17,FALSE())&lt;-2),"",#REF!),"")</f>
        <v/>
      </c>
      <c r="T988" s="0" t="str">
        <f aca="false">IFERROR(IF(OR(HLOOKUP($A988,#REF!,18,FALSE())&gt;2,HLOOKUP($A988,#REF!,18,FALSE())&lt;-2),"",#REF!),"")</f>
        <v/>
      </c>
      <c r="U988" s="0" t="str">
        <f aca="false">IFERROR(IF(OR(HLOOKUP($A988,#REF!,19,FALSE())&gt;2,HLOOKUP($A988,#REF!,19,FALSE())&lt;-2),"",#REF!),"")</f>
        <v/>
      </c>
      <c r="V988" s="0" t="n">
        <f aca="false">IFERROR(IF(AND(X988=0,Y988=0),0,1),0)</f>
        <v>1</v>
      </c>
      <c r="W988" s="3" t="str">
        <f aca="false">IFERROR(_xlfn.T.TEST(E988:M988,N988:U988,2,2),"")</f>
        <v/>
      </c>
      <c r="X988" s="0" t="str">
        <f aca="false">IFERROR(AVERAGE(E988:M988),"")</f>
        <v/>
      </c>
      <c r="Y988" s="0" t="str">
        <f aca="false">IFERROR(AVERAGE(N988:U988),"")</f>
        <v/>
      </c>
    </row>
    <row r="989" customFormat="false" ht="14.5" hidden="false" customHeight="false" outlineLevel="0" collapsed="false">
      <c r="A989" s="0" t="n">
        <v>997</v>
      </c>
      <c r="B989" s="0" t="s">
        <v>1035</v>
      </c>
      <c r="C989" s="0" t="n">
        <v>0</v>
      </c>
      <c r="E989" s="0" t="str">
        <f aca="false">IFERROR(IF(OR(HLOOKUP($A989,#REF!,3,FALSE())&gt;2,HLOOKUP(A989,#REF!,3,FALSE())&lt;-2),"",#REF!),"")</f>
        <v/>
      </c>
      <c r="F989" s="0" t="str">
        <f aca="false">IFERROR(IF(OR(HLOOKUP($A989,#REF!,4,FALSE())&gt;2,HLOOKUP($A989,#REF!,4,FALSE())&lt;-2),"",#REF!),"")</f>
        <v/>
      </c>
      <c r="G989" s="0" t="str">
        <f aca="false">IFERROR(IF(OR(HLOOKUP($A989,#REF!,5,FALSE())&gt;2,HLOOKUP($A989,#REF!,5,FALSE())&lt;-2),"",#REF!),"")</f>
        <v/>
      </c>
      <c r="H989" s="0" t="str">
        <f aca="false">IFERROR(IF(OR(HLOOKUP($A989,#REF!,6,FALSE())&gt;2,HLOOKUP($A989,#REF!,6,FALSE())&lt;-2),"",#REF!),"")</f>
        <v/>
      </c>
      <c r="I989" s="0" t="str">
        <f aca="false">IFERROR(IF(OR(HLOOKUP($A989,#REF!,7,FALSE())&gt;2,HLOOKUP($A989,#REF!,7,FALSE())&lt;-2),"",#REF!),"")</f>
        <v/>
      </c>
      <c r="J989" s="0" t="str">
        <f aca="false">IFERROR(IF(OR(HLOOKUP($A989,#REF!,8,FALSE())&gt;2,HLOOKUP($A989,#REF!,8,FALSE())&lt;-2),"",#REF!),"")</f>
        <v/>
      </c>
      <c r="K989" s="0" t="str">
        <f aca="false">IFERROR(IF(OR(HLOOKUP($A989,#REF!,9,FALSE())&gt;2,HLOOKUP($A989,#REF!,9,FALSE())&lt;-2),"",#REF!),"")</f>
        <v/>
      </c>
      <c r="L989" s="0" t="str">
        <f aca="false">IFERROR(IF(OR(HLOOKUP($A989,#REF!,10,FALSE())&gt;2,HLOOKUP($A989,#REF!,10,FALSE())&lt;-2),"",#REF!),"")</f>
        <v/>
      </c>
      <c r="M989" s="0" t="str">
        <f aca="false">IFERROR(IF(OR(HLOOKUP($A989,#REF!,11,FALSE())&gt;2,HLOOKUP($A989,#REF!,11,FALSE())&lt;-2),"",#REF!),"")</f>
        <v/>
      </c>
      <c r="N989" s="0" t="str">
        <f aca="false">IFERROR(IF(OR(HLOOKUP($A989,#REF!,12,FALSE())&gt;2,HLOOKUP($A989,#REF!,12,FALSE())&lt;-2),"",#REF!),"")</f>
        <v/>
      </c>
      <c r="O989" s="0" t="str">
        <f aca="false">IFERROR(IF(OR(HLOOKUP($A989,#REF!,13,FALSE())&gt;2,HLOOKUP($A989,#REF!,13,FALSE())&lt;-2),"",#REF!),"")</f>
        <v/>
      </c>
      <c r="P989" s="0" t="str">
        <f aca="false">IFERROR(IF(OR(HLOOKUP($A989,#REF!,14,FALSE())&gt;2,HLOOKUP($A989,#REF!,14,FALSE())&lt;-2),"",#REF!),"")</f>
        <v/>
      </c>
      <c r="Q989" s="0" t="str">
        <f aca="false">IFERROR(IF(OR(HLOOKUP($A989,#REF!,15,FALSE())&gt;2,HLOOKUP($A989,#REF!,15,FALSE())&lt;-2),"",#REF!),"")</f>
        <v/>
      </c>
      <c r="R989" s="0" t="str">
        <f aca="false">IFERROR(IF(OR(HLOOKUP($A989,#REF!,16,FALSE())&gt;2,HLOOKUP($A989,#REF!,16,FALSE())&lt;-2),"",#REF!),"")</f>
        <v/>
      </c>
      <c r="S989" s="0" t="str">
        <f aca="false">IFERROR(IF(OR(HLOOKUP($A989,#REF!,17,FALSE())&gt;2,HLOOKUP($A989,#REF!,17,FALSE())&lt;-2),"",#REF!),"")</f>
        <v/>
      </c>
      <c r="T989" s="0" t="str">
        <f aca="false">IFERROR(IF(OR(HLOOKUP($A989,#REF!,18,FALSE())&gt;2,HLOOKUP($A989,#REF!,18,FALSE())&lt;-2),"",#REF!),"")</f>
        <v/>
      </c>
      <c r="U989" s="0" t="str">
        <f aca="false">IFERROR(IF(OR(HLOOKUP($A989,#REF!,19,FALSE())&gt;2,HLOOKUP($A989,#REF!,19,FALSE())&lt;-2),"",#REF!),"")</f>
        <v/>
      </c>
      <c r="V989" s="0" t="n">
        <f aca="false">IFERROR(IF(AND(X989=0,Y989=0),0,1),0)</f>
        <v>1</v>
      </c>
      <c r="W989" s="3" t="str">
        <f aca="false">IFERROR(_xlfn.T.TEST(E989:M989,N989:U989,2,2),"")</f>
        <v/>
      </c>
      <c r="X989" s="0" t="str">
        <f aca="false">IFERROR(AVERAGE(E989:M989),"")</f>
        <v/>
      </c>
      <c r="Y989" s="0" t="str">
        <f aca="false">IFERROR(AVERAGE(N989:U989),"")</f>
        <v/>
      </c>
    </row>
    <row r="990" customFormat="false" ht="14.5" hidden="false" customHeight="false" outlineLevel="0" collapsed="false">
      <c r="A990" s="0" t="n">
        <v>998</v>
      </c>
      <c r="B990" s="0" t="s">
        <v>1036</v>
      </c>
      <c r="C990" s="0" t="n">
        <v>48500</v>
      </c>
      <c r="D990" s="0" t="n">
        <v>493</v>
      </c>
      <c r="E990" s="0" t="str">
        <f aca="false">IFERROR(IF(OR(HLOOKUP($A990,#REF!,3,FALSE())&gt;2,HLOOKUP(A990,#REF!,3,FALSE())&lt;-2),"",#REF!),"")</f>
        <v/>
      </c>
      <c r="F990" s="0" t="str">
        <f aca="false">IFERROR(IF(OR(HLOOKUP($A990,#REF!,4,FALSE())&gt;2,HLOOKUP($A990,#REF!,4,FALSE())&lt;-2),"",#REF!),"")</f>
        <v/>
      </c>
      <c r="G990" s="0" t="str">
        <f aca="false">IFERROR(IF(OR(HLOOKUP($A990,#REF!,5,FALSE())&gt;2,HLOOKUP($A990,#REF!,5,FALSE())&lt;-2),"",#REF!),"")</f>
        <v/>
      </c>
      <c r="H990" s="0" t="str">
        <f aca="false">IFERROR(IF(OR(HLOOKUP($A990,#REF!,6,FALSE())&gt;2,HLOOKUP($A990,#REF!,6,FALSE())&lt;-2),"",#REF!),"")</f>
        <v/>
      </c>
      <c r="I990" s="0" t="str">
        <f aca="false">IFERROR(IF(OR(HLOOKUP($A990,#REF!,7,FALSE())&gt;2,HLOOKUP($A990,#REF!,7,FALSE())&lt;-2),"",#REF!),"")</f>
        <v/>
      </c>
      <c r="J990" s="0" t="str">
        <f aca="false">IFERROR(IF(OR(HLOOKUP($A990,#REF!,8,FALSE())&gt;2,HLOOKUP($A990,#REF!,8,FALSE())&lt;-2),"",#REF!),"")</f>
        <v/>
      </c>
      <c r="K990" s="0" t="str">
        <f aca="false">IFERROR(IF(OR(HLOOKUP($A990,#REF!,9,FALSE())&gt;2,HLOOKUP($A990,#REF!,9,FALSE())&lt;-2),"",#REF!),"")</f>
        <v/>
      </c>
      <c r="L990" s="0" t="str">
        <f aca="false">IFERROR(IF(OR(HLOOKUP($A990,#REF!,10,FALSE())&gt;2,HLOOKUP($A990,#REF!,10,FALSE())&lt;-2),"",#REF!),"")</f>
        <v/>
      </c>
      <c r="M990" s="0" t="str">
        <f aca="false">IFERROR(IF(OR(HLOOKUP($A990,#REF!,11,FALSE())&gt;2,HLOOKUP($A990,#REF!,11,FALSE())&lt;-2),"",#REF!),"")</f>
        <v/>
      </c>
      <c r="N990" s="0" t="str">
        <f aca="false">IFERROR(IF(OR(HLOOKUP($A990,#REF!,12,FALSE())&gt;2,HLOOKUP($A990,#REF!,12,FALSE())&lt;-2),"",#REF!),"")</f>
        <v/>
      </c>
      <c r="O990" s="0" t="str">
        <f aca="false">IFERROR(IF(OR(HLOOKUP($A990,#REF!,13,FALSE())&gt;2,HLOOKUP($A990,#REF!,13,FALSE())&lt;-2),"",#REF!),"")</f>
        <v/>
      </c>
      <c r="P990" s="0" t="str">
        <f aca="false">IFERROR(IF(OR(HLOOKUP($A990,#REF!,14,FALSE())&gt;2,HLOOKUP($A990,#REF!,14,FALSE())&lt;-2),"",#REF!),"")</f>
        <v/>
      </c>
      <c r="Q990" s="0" t="str">
        <f aca="false">IFERROR(IF(OR(HLOOKUP($A990,#REF!,15,FALSE())&gt;2,HLOOKUP($A990,#REF!,15,FALSE())&lt;-2),"",#REF!),"")</f>
        <v/>
      </c>
      <c r="R990" s="0" t="str">
        <f aca="false">IFERROR(IF(OR(HLOOKUP($A990,#REF!,16,FALSE())&gt;2,HLOOKUP($A990,#REF!,16,FALSE())&lt;-2),"",#REF!),"")</f>
        <v/>
      </c>
      <c r="S990" s="0" t="str">
        <f aca="false">IFERROR(IF(OR(HLOOKUP($A990,#REF!,17,FALSE())&gt;2,HLOOKUP($A990,#REF!,17,FALSE())&lt;-2),"",#REF!),"")</f>
        <v/>
      </c>
      <c r="T990" s="0" t="str">
        <f aca="false">IFERROR(IF(OR(HLOOKUP($A990,#REF!,18,FALSE())&gt;2,HLOOKUP($A990,#REF!,18,FALSE())&lt;-2),"",#REF!),"")</f>
        <v/>
      </c>
      <c r="U990" s="0" t="str">
        <f aca="false">IFERROR(IF(OR(HLOOKUP($A990,#REF!,19,FALSE())&gt;2,HLOOKUP($A990,#REF!,19,FALSE())&lt;-2),"",#REF!),"")</f>
        <v/>
      </c>
      <c r="V990" s="0" t="n">
        <f aca="false">IFERROR(IF(AND(X990=0,Y990=0),0,1),0)</f>
        <v>1</v>
      </c>
      <c r="W990" s="3" t="str">
        <f aca="false">IFERROR(_xlfn.T.TEST(E990:M990,N990:U990,2,2),"")</f>
        <v/>
      </c>
      <c r="X990" s="0" t="str">
        <f aca="false">IFERROR(AVERAGE(E990:M990),"")</f>
        <v/>
      </c>
      <c r="Y990" s="0" t="str">
        <f aca="false">IFERROR(AVERAGE(N990:U990),"")</f>
        <v/>
      </c>
    </row>
    <row r="991" customFormat="false" ht="14.5" hidden="false" customHeight="false" outlineLevel="0" collapsed="false">
      <c r="A991" s="0" t="n">
        <v>999</v>
      </c>
      <c r="B991" s="0" t="s">
        <v>1037</v>
      </c>
      <c r="C991" s="0" t="n">
        <v>41600</v>
      </c>
      <c r="D991" s="0" t="n">
        <v>918</v>
      </c>
      <c r="E991" s="0" t="str">
        <f aca="false">IFERROR(IF(OR(HLOOKUP($A991,#REF!,3,FALSE())&gt;2,HLOOKUP(A991,#REF!,3,FALSE())&lt;-2),"",#REF!),"")</f>
        <v/>
      </c>
      <c r="F991" s="0" t="str">
        <f aca="false">IFERROR(IF(OR(HLOOKUP($A991,#REF!,4,FALSE())&gt;2,HLOOKUP($A991,#REF!,4,FALSE())&lt;-2),"",#REF!),"")</f>
        <v/>
      </c>
      <c r="G991" s="0" t="str">
        <f aca="false">IFERROR(IF(OR(HLOOKUP($A991,#REF!,5,FALSE())&gt;2,HLOOKUP($A991,#REF!,5,FALSE())&lt;-2),"",#REF!),"")</f>
        <v/>
      </c>
      <c r="H991" s="0" t="str">
        <f aca="false">IFERROR(IF(OR(HLOOKUP($A991,#REF!,6,FALSE())&gt;2,HLOOKUP($A991,#REF!,6,FALSE())&lt;-2),"",#REF!),"")</f>
        <v/>
      </c>
      <c r="I991" s="0" t="str">
        <f aca="false">IFERROR(IF(OR(HLOOKUP($A991,#REF!,7,FALSE())&gt;2,HLOOKUP($A991,#REF!,7,FALSE())&lt;-2),"",#REF!),"")</f>
        <v/>
      </c>
      <c r="J991" s="0" t="str">
        <f aca="false">IFERROR(IF(OR(HLOOKUP($A991,#REF!,8,FALSE())&gt;2,HLOOKUP($A991,#REF!,8,FALSE())&lt;-2),"",#REF!),"")</f>
        <v/>
      </c>
      <c r="K991" s="0" t="str">
        <f aca="false">IFERROR(IF(OR(HLOOKUP($A991,#REF!,9,FALSE())&gt;2,HLOOKUP($A991,#REF!,9,FALSE())&lt;-2),"",#REF!),"")</f>
        <v/>
      </c>
      <c r="L991" s="0" t="str">
        <f aca="false">IFERROR(IF(OR(HLOOKUP($A991,#REF!,10,FALSE())&gt;2,HLOOKUP($A991,#REF!,10,FALSE())&lt;-2),"",#REF!),"")</f>
        <v/>
      </c>
      <c r="M991" s="0" t="str">
        <f aca="false">IFERROR(IF(OR(HLOOKUP($A991,#REF!,11,FALSE())&gt;2,HLOOKUP($A991,#REF!,11,FALSE())&lt;-2),"",#REF!),"")</f>
        <v/>
      </c>
      <c r="N991" s="0" t="str">
        <f aca="false">IFERROR(IF(OR(HLOOKUP($A991,#REF!,12,FALSE())&gt;2,HLOOKUP($A991,#REF!,12,FALSE())&lt;-2),"",#REF!),"")</f>
        <v/>
      </c>
      <c r="O991" s="0" t="str">
        <f aca="false">IFERROR(IF(OR(HLOOKUP($A991,#REF!,13,FALSE())&gt;2,HLOOKUP($A991,#REF!,13,FALSE())&lt;-2),"",#REF!),"")</f>
        <v/>
      </c>
      <c r="P991" s="0" t="str">
        <f aca="false">IFERROR(IF(OR(HLOOKUP($A991,#REF!,14,FALSE())&gt;2,HLOOKUP($A991,#REF!,14,FALSE())&lt;-2),"",#REF!),"")</f>
        <v/>
      </c>
      <c r="Q991" s="0" t="str">
        <f aca="false">IFERROR(IF(OR(HLOOKUP($A991,#REF!,15,FALSE())&gt;2,HLOOKUP($A991,#REF!,15,FALSE())&lt;-2),"",#REF!),"")</f>
        <v/>
      </c>
      <c r="R991" s="0" t="str">
        <f aca="false">IFERROR(IF(OR(HLOOKUP($A991,#REF!,16,FALSE())&gt;2,HLOOKUP($A991,#REF!,16,FALSE())&lt;-2),"",#REF!),"")</f>
        <v/>
      </c>
      <c r="S991" s="0" t="str">
        <f aca="false">IFERROR(IF(OR(HLOOKUP($A991,#REF!,17,FALSE())&gt;2,HLOOKUP($A991,#REF!,17,FALSE())&lt;-2),"",#REF!),"")</f>
        <v/>
      </c>
      <c r="T991" s="0" t="str">
        <f aca="false">IFERROR(IF(OR(HLOOKUP($A991,#REF!,18,FALSE())&gt;2,HLOOKUP($A991,#REF!,18,FALSE())&lt;-2),"",#REF!),"")</f>
        <v/>
      </c>
      <c r="U991" s="0" t="str">
        <f aca="false">IFERROR(IF(OR(HLOOKUP($A991,#REF!,19,FALSE())&gt;2,HLOOKUP($A991,#REF!,19,FALSE())&lt;-2),"",#REF!),"")</f>
        <v/>
      </c>
      <c r="V991" s="0" t="n">
        <f aca="false">IFERROR(IF(AND(X991=0,Y991=0),0,1),0)</f>
        <v>1</v>
      </c>
      <c r="W991" s="3" t="str">
        <f aca="false">IFERROR(_xlfn.T.TEST(E991:M991,N991:U991,2,2),"")</f>
        <v/>
      </c>
      <c r="X991" s="0" t="str">
        <f aca="false">IFERROR(AVERAGE(E991:M991),"")</f>
        <v/>
      </c>
      <c r="Y991" s="0" t="str">
        <f aca="false">IFERROR(AVERAGE(N991:U991),"")</f>
        <v/>
      </c>
    </row>
    <row r="992" customFormat="false" ht="14.5" hidden="false" customHeight="false" outlineLevel="0" collapsed="false">
      <c r="A992" s="0" t="n">
        <v>1000</v>
      </c>
      <c r="B992" s="0" t="s">
        <v>1038</v>
      </c>
      <c r="C992" s="0" t="n">
        <v>108500</v>
      </c>
      <c r="D992" s="0" t="n">
        <v>1009</v>
      </c>
      <c r="E992" s="0" t="str">
        <f aca="false">IFERROR(IF(OR(HLOOKUP($A992,#REF!,3,FALSE())&gt;2,HLOOKUP(A992,#REF!,3,FALSE())&lt;-2),"",#REF!),"")</f>
        <v/>
      </c>
      <c r="F992" s="0" t="str">
        <f aca="false">IFERROR(IF(OR(HLOOKUP($A992,#REF!,4,FALSE())&gt;2,HLOOKUP($A992,#REF!,4,FALSE())&lt;-2),"",#REF!),"")</f>
        <v/>
      </c>
      <c r="G992" s="0" t="str">
        <f aca="false">IFERROR(IF(OR(HLOOKUP($A992,#REF!,5,FALSE())&gt;2,HLOOKUP($A992,#REF!,5,FALSE())&lt;-2),"",#REF!),"")</f>
        <v/>
      </c>
      <c r="H992" s="0" t="str">
        <f aca="false">IFERROR(IF(OR(HLOOKUP($A992,#REF!,6,FALSE())&gt;2,HLOOKUP($A992,#REF!,6,FALSE())&lt;-2),"",#REF!),"")</f>
        <v/>
      </c>
      <c r="I992" s="0" t="str">
        <f aca="false">IFERROR(IF(OR(HLOOKUP($A992,#REF!,7,FALSE())&gt;2,HLOOKUP($A992,#REF!,7,FALSE())&lt;-2),"",#REF!),"")</f>
        <v/>
      </c>
      <c r="J992" s="0" t="str">
        <f aca="false">IFERROR(IF(OR(HLOOKUP($A992,#REF!,8,FALSE())&gt;2,HLOOKUP($A992,#REF!,8,FALSE())&lt;-2),"",#REF!),"")</f>
        <v/>
      </c>
      <c r="K992" s="0" t="str">
        <f aca="false">IFERROR(IF(OR(HLOOKUP($A992,#REF!,9,FALSE())&gt;2,HLOOKUP($A992,#REF!,9,FALSE())&lt;-2),"",#REF!),"")</f>
        <v/>
      </c>
      <c r="L992" s="0" t="str">
        <f aca="false">IFERROR(IF(OR(HLOOKUP($A992,#REF!,10,FALSE())&gt;2,HLOOKUP($A992,#REF!,10,FALSE())&lt;-2),"",#REF!),"")</f>
        <v/>
      </c>
      <c r="M992" s="0" t="str">
        <f aca="false">IFERROR(IF(OR(HLOOKUP($A992,#REF!,11,FALSE())&gt;2,HLOOKUP($A992,#REF!,11,FALSE())&lt;-2),"",#REF!),"")</f>
        <v/>
      </c>
      <c r="N992" s="0" t="str">
        <f aca="false">IFERROR(IF(OR(HLOOKUP($A992,#REF!,12,FALSE())&gt;2,HLOOKUP($A992,#REF!,12,FALSE())&lt;-2),"",#REF!),"")</f>
        <v/>
      </c>
      <c r="O992" s="0" t="str">
        <f aca="false">IFERROR(IF(OR(HLOOKUP($A992,#REF!,13,FALSE())&gt;2,HLOOKUP($A992,#REF!,13,FALSE())&lt;-2),"",#REF!),"")</f>
        <v/>
      </c>
      <c r="P992" s="0" t="str">
        <f aca="false">IFERROR(IF(OR(HLOOKUP($A992,#REF!,14,FALSE())&gt;2,HLOOKUP($A992,#REF!,14,FALSE())&lt;-2),"",#REF!),"")</f>
        <v/>
      </c>
      <c r="Q992" s="0" t="str">
        <f aca="false">IFERROR(IF(OR(HLOOKUP($A992,#REF!,15,FALSE())&gt;2,HLOOKUP($A992,#REF!,15,FALSE())&lt;-2),"",#REF!),"")</f>
        <v/>
      </c>
      <c r="R992" s="0" t="str">
        <f aca="false">IFERROR(IF(OR(HLOOKUP($A992,#REF!,16,FALSE())&gt;2,HLOOKUP($A992,#REF!,16,FALSE())&lt;-2),"",#REF!),"")</f>
        <v/>
      </c>
      <c r="S992" s="0" t="str">
        <f aca="false">IFERROR(IF(OR(HLOOKUP($A992,#REF!,17,FALSE())&gt;2,HLOOKUP($A992,#REF!,17,FALSE())&lt;-2),"",#REF!),"")</f>
        <v/>
      </c>
      <c r="T992" s="0" t="str">
        <f aca="false">IFERROR(IF(OR(HLOOKUP($A992,#REF!,18,FALSE())&gt;2,HLOOKUP($A992,#REF!,18,FALSE())&lt;-2),"",#REF!),"")</f>
        <v/>
      </c>
      <c r="U992" s="0" t="str">
        <f aca="false">IFERROR(IF(OR(HLOOKUP($A992,#REF!,19,FALSE())&gt;2,HLOOKUP($A992,#REF!,19,FALSE())&lt;-2),"",#REF!),"")</f>
        <v/>
      </c>
      <c r="V992" s="0" t="n">
        <f aca="false">IFERROR(IF(AND(X992=0,Y992=0),0,1),0)</f>
        <v>1</v>
      </c>
      <c r="W992" s="3" t="str">
        <f aca="false">IFERROR(_xlfn.T.TEST(E992:M992,N992:U992,2,2),"")</f>
        <v/>
      </c>
      <c r="X992" s="0" t="str">
        <f aca="false">IFERROR(AVERAGE(E992:M992),"")</f>
        <v/>
      </c>
      <c r="Y992" s="0" t="str">
        <f aca="false">IFERROR(AVERAGE(N992:U992),"")</f>
        <v/>
      </c>
    </row>
    <row r="993" customFormat="false" ht="14.5" hidden="false" customHeight="false" outlineLevel="0" collapsed="false">
      <c r="A993" s="0" t="n">
        <v>1001</v>
      </c>
      <c r="B993" s="0" t="s">
        <v>1039</v>
      </c>
      <c r="C993" s="0" t="n">
        <v>56800</v>
      </c>
      <c r="D993" s="0" t="n">
        <v>928</v>
      </c>
      <c r="E993" s="0" t="str">
        <f aca="false">IFERROR(IF(OR(HLOOKUP($A993,#REF!,3,FALSE())&gt;2,HLOOKUP(A993,#REF!,3,FALSE())&lt;-2),"",#REF!),"")</f>
        <v/>
      </c>
      <c r="F993" s="0" t="str">
        <f aca="false">IFERROR(IF(OR(HLOOKUP($A993,#REF!,4,FALSE())&gt;2,HLOOKUP($A993,#REF!,4,FALSE())&lt;-2),"",#REF!),"")</f>
        <v/>
      </c>
      <c r="G993" s="0" t="str">
        <f aca="false">IFERROR(IF(OR(HLOOKUP($A993,#REF!,5,FALSE())&gt;2,HLOOKUP($A993,#REF!,5,FALSE())&lt;-2),"",#REF!),"")</f>
        <v/>
      </c>
      <c r="H993" s="0" t="str">
        <f aca="false">IFERROR(IF(OR(HLOOKUP($A993,#REF!,6,FALSE())&gt;2,HLOOKUP($A993,#REF!,6,FALSE())&lt;-2),"",#REF!),"")</f>
        <v/>
      </c>
      <c r="I993" s="0" t="str">
        <f aca="false">IFERROR(IF(OR(HLOOKUP($A993,#REF!,7,FALSE())&gt;2,HLOOKUP($A993,#REF!,7,FALSE())&lt;-2),"",#REF!),"")</f>
        <v/>
      </c>
      <c r="J993" s="0" t="str">
        <f aca="false">IFERROR(IF(OR(HLOOKUP($A993,#REF!,8,FALSE())&gt;2,HLOOKUP($A993,#REF!,8,FALSE())&lt;-2),"",#REF!),"")</f>
        <v/>
      </c>
      <c r="K993" s="0" t="str">
        <f aca="false">IFERROR(IF(OR(HLOOKUP($A993,#REF!,9,FALSE())&gt;2,HLOOKUP($A993,#REF!,9,FALSE())&lt;-2),"",#REF!),"")</f>
        <v/>
      </c>
      <c r="L993" s="0" t="str">
        <f aca="false">IFERROR(IF(OR(HLOOKUP($A993,#REF!,10,FALSE())&gt;2,HLOOKUP($A993,#REF!,10,FALSE())&lt;-2),"",#REF!),"")</f>
        <v/>
      </c>
      <c r="M993" s="0" t="str">
        <f aca="false">IFERROR(IF(OR(HLOOKUP($A993,#REF!,11,FALSE())&gt;2,HLOOKUP($A993,#REF!,11,FALSE())&lt;-2),"",#REF!),"")</f>
        <v/>
      </c>
      <c r="N993" s="0" t="str">
        <f aca="false">IFERROR(IF(OR(HLOOKUP($A993,#REF!,12,FALSE())&gt;2,HLOOKUP($A993,#REF!,12,FALSE())&lt;-2),"",#REF!),"")</f>
        <v/>
      </c>
      <c r="O993" s="0" t="str">
        <f aca="false">IFERROR(IF(OR(HLOOKUP($A993,#REF!,13,FALSE())&gt;2,HLOOKUP($A993,#REF!,13,FALSE())&lt;-2),"",#REF!),"")</f>
        <v/>
      </c>
      <c r="P993" s="0" t="str">
        <f aca="false">IFERROR(IF(OR(HLOOKUP($A993,#REF!,14,FALSE())&gt;2,HLOOKUP($A993,#REF!,14,FALSE())&lt;-2),"",#REF!),"")</f>
        <v/>
      </c>
      <c r="Q993" s="0" t="str">
        <f aca="false">IFERROR(IF(OR(HLOOKUP($A993,#REF!,15,FALSE())&gt;2,HLOOKUP($A993,#REF!,15,FALSE())&lt;-2),"",#REF!),"")</f>
        <v/>
      </c>
      <c r="R993" s="0" t="str">
        <f aca="false">IFERROR(IF(OR(HLOOKUP($A993,#REF!,16,FALSE())&gt;2,HLOOKUP($A993,#REF!,16,FALSE())&lt;-2),"",#REF!),"")</f>
        <v/>
      </c>
      <c r="S993" s="0" t="str">
        <f aca="false">IFERROR(IF(OR(HLOOKUP($A993,#REF!,17,FALSE())&gt;2,HLOOKUP($A993,#REF!,17,FALSE())&lt;-2),"",#REF!),"")</f>
        <v/>
      </c>
      <c r="T993" s="0" t="str">
        <f aca="false">IFERROR(IF(OR(HLOOKUP($A993,#REF!,18,FALSE())&gt;2,HLOOKUP($A993,#REF!,18,FALSE())&lt;-2),"",#REF!),"")</f>
        <v/>
      </c>
      <c r="U993" s="0" t="str">
        <f aca="false">IFERROR(IF(OR(HLOOKUP($A993,#REF!,19,FALSE())&gt;2,HLOOKUP($A993,#REF!,19,FALSE())&lt;-2),"",#REF!),"")</f>
        <v/>
      </c>
      <c r="V993" s="0" t="n">
        <f aca="false">IFERROR(IF(AND(X993=0,Y993=0),0,1),0)</f>
        <v>1</v>
      </c>
      <c r="W993" s="3" t="str">
        <f aca="false">IFERROR(_xlfn.T.TEST(E993:M993,N993:U993,2,2),"")</f>
        <v/>
      </c>
      <c r="X993" s="0" t="str">
        <f aca="false">IFERROR(AVERAGE(E993:M993),"")</f>
        <v/>
      </c>
      <c r="Y993" s="0" t="str">
        <f aca="false">IFERROR(AVERAGE(N993:U993),"")</f>
        <v/>
      </c>
    </row>
    <row r="994" customFormat="false" ht="14.5" hidden="false" customHeight="false" outlineLevel="0" collapsed="false">
      <c r="A994" s="0" t="n">
        <v>1002</v>
      </c>
      <c r="B994" s="0" t="s">
        <v>1040</v>
      </c>
      <c r="C994" s="0" t="n">
        <v>11300</v>
      </c>
      <c r="D994" s="0" t="n">
        <v>247</v>
      </c>
      <c r="E994" s="0" t="str">
        <f aca="false">IFERROR(IF(OR(HLOOKUP($A994,#REF!,3,FALSE())&gt;2,HLOOKUP(A994,#REF!,3,FALSE())&lt;-2),"",#REF!),"")</f>
        <v/>
      </c>
      <c r="F994" s="0" t="str">
        <f aca="false">IFERROR(IF(OR(HLOOKUP($A994,#REF!,4,FALSE())&gt;2,HLOOKUP($A994,#REF!,4,FALSE())&lt;-2),"",#REF!),"")</f>
        <v/>
      </c>
      <c r="G994" s="0" t="str">
        <f aca="false">IFERROR(IF(OR(HLOOKUP($A994,#REF!,5,FALSE())&gt;2,HLOOKUP($A994,#REF!,5,FALSE())&lt;-2),"",#REF!),"")</f>
        <v/>
      </c>
      <c r="H994" s="0" t="str">
        <f aca="false">IFERROR(IF(OR(HLOOKUP($A994,#REF!,6,FALSE())&gt;2,HLOOKUP($A994,#REF!,6,FALSE())&lt;-2),"",#REF!),"")</f>
        <v/>
      </c>
      <c r="I994" s="0" t="str">
        <f aca="false">IFERROR(IF(OR(HLOOKUP($A994,#REF!,7,FALSE())&gt;2,HLOOKUP($A994,#REF!,7,FALSE())&lt;-2),"",#REF!),"")</f>
        <v/>
      </c>
      <c r="J994" s="0" t="str">
        <f aca="false">IFERROR(IF(OR(HLOOKUP($A994,#REF!,8,FALSE())&gt;2,HLOOKUP($A994,#REF!,8,FALSE())&lt;-2),"",#REF!),"")</f>
        <v/>
      </c>
      <c r="K994" s="0" t="str">
        <f aca="false">IFERROR(IF(OR(HLOOKUP($A994,#REF!,9,FALSE())&gt;2,HLOOKUP($A994,#REF!,9,FALSE())&lt;-2),"",#REF!),"")</f>
        <v/>
      </c>
      <c r="L994" s="0" t="str">
        <f aca="false">IFERROR(IF(OR(HLOOKUP($A994,#REF!,10,FALSE())&gt;2,HLOOKUP($A994,#REF!,10,FALSE())&lt;-2),"",#REF!),"")</f>
        <v/>
      </c>
      <c r="M994" s="0" t="str">
        <f aca="false">IFERROR(IF(OR(HLOOKUP($A994,#REF!,11,FALSE())&gt;2,HLOOKUP($A994,#REF!,11,FALSE())&lt;-2),"",#REF!),"")</f>
        <v/>
      </c>
      <c r="N994" s="0" t="str">
        <f aca="false">IFERROR(IF(OR(HLOOKUP($A994,#REF!,12,FALSE())&gt;2,HLOOKUP($A994,#REF!,12,FALSE())&lt;-2),"",#REF!),"")</f>
        <v/>
      </c>
      <c r="O994" s="0" t="str">
        <f aca="false">IFERROR(IF(OR(HLOOKUP($A994,#REF!,13,FALSE())&gt;2,HLOOKUP($A994,#REF!,13,FALSE())&lt;-2),"",#REF!),"")</f>
        <v/>
      </c>
      <c r="P994" s="0" t="str">
        <f aca="false">IFERROR(IF(OR(HLOOKUP($A994,#REF!,14,FALSE())&gt;2,HLOOKUP($A994,#REF!,14,FALSE())&lt;-2),"",#REF!),"")</f>
        <v/>
      </c>
      <c r="Q994" s="0" t="str">
        <f aca="false">IFERROR(IF(OR(HLOOKUP($A994,#REF!,15,FALSE())&gt;2,HLOOKUP($A994,#REF!,15,FALSE())&lt;-2),"",#REF!),"")</f>
        <v/>
      </c>
      <c r="R994" s="0" t="str">
        <f aca="false">IFERROR(IF(OR(HLOOKUP($A994,#REF!,16,FALSE())&gt;2,HLOOKUP($A994,#REF!,16,FALSE())&lt;-2),"",#REF!),"")</f>
        <v/>
      </c>
      <c r="S994" s="0" t="str">
        <f aca="false">IFERROR(IF(OR(HLOOKUP($A994,#REF!,17,FALSE())&gt;2,HLOOKUP($A994,#REF!,17,FALSE())&lt;-2),"",#REF!),"")</f>
        <v/>
      </c>
      <c r="T994" s="0" t="str">
        <f aca="false">IFERROR(IF(OR(HLOOKUP($A994,#REF!,18,FALSE())&gt;2,HLOOKUP($A994,#REF!,18,FALSE())&lt;-2),"",#REF!),"")</f>
        <v/>
      </c>
      <c r="U994" s="0" t="str">
        <f aca="false">IFERROR(IF(OR(HLOOKUP($A994,#REF!,19,FALSE())&gt;2,HLOOKUP($A994,#REF!,19,FALSE())&lt;-2),"",#REF!),"")</f>
        <v/>
      </c>
      <c r="V994" s="0" t="n">
        <f aca="false">IFERROR(IF(AND(X994=0,Y994=0),0,1),0)</f>
        <v>1</v>
      </c>
      <c r="W994" s="3" t="str">
        <f aca="false">IFERROR(_xlfn.T.TEST(E994:M994,N994:U994,2,2),"")</f>
        <v/>
      </c>
      <c r="X994" s="0" t="str">
        <f aca="false">IFERROR(AVERAGE(E994:M994),"")</f>
        <v/>
      </c>
      <c r="Y994" s="0" t="str">
        <f aca="false">IFERROR(AVERAGE(N994:U994),"")</f>
        <v/>
      </c>
    </row>
    <row r="995" customFormat="false" ht="14.5" hidden="false" customHeight="false" outlineLevel="0" collapsed="false">
      <c r="A995" s="0" t="n">
        <v>1003</v>
      </c>
      <c r="B995" s="0" t="s">
        <v>1041</v>
      </c>
      <c r="C995" s="0" t="n">
        <v>107400</v>
      </c>
      <c r="D995" s="0" t="n">
        <v>784</v>
      </c>
      <c r="E995" s="0" t="str">
        <f aca="false">IFERROR(IF(OR(HLOOKUP($A995,#REF!,3,FALSE())&gt;2,HLOOKUP(A995,#REF!,3,FALSE())&lt;-2),"",#REF!),"")</f>
        <v/>
      </c>
      <c r="F995" s="0" t="str">
        <f aca="false">IFERROR(IF(OR(HLOOKUP($A995,#REF!,4,FALSE())&gt;2,HLOOKUP($A995,#REF!,4,FALSE())&lt;-2),"",#REF!),"")</f>
        <v/>
      </c>
      <c r="G995" s="0" t="str">
        <f aca="false">IFERROR(IF(OR(HLOOKUP($A995,#REF!,5,FALSE())&gt;2,HLOOKUP($A995,#REF!,5,FALSE())&lt;-2),"",#REF!),"")</f>
        <v/>
      </c>
      <c r="H995" s="0" t="str">
        <f aca="false">IFERROR(IF(OR(HLOOKUP($A995,#REF!,6,FALSE())&gt;2,HLOOKUP($A995,#REF!,6,FALSE())&lt;-2),"",#REF!),"")</f>
        <v/>
      </c>
      <c r="I995" s="0" t="str">
        <f aca="false">IFERROR(IF(OR(HLOOKUP($A995,#REF!,7,FALSE())&gt;2,HLOOKUP($A995,#REF!,7,FALSE())&lt;-2),"",#REF!),"")</f>
        <v/>
      </c>
      <c r="J995" s="0" t="str">
        <f aca="false">IFERROR(IF(OR(HLOOKUP($A995,#REF!,8,FALSE())&gt;2,HLOOKUP($A995,#REF!,8,FALSE())&lt;-2),"",#REF!),"")</f>
        <v/>
      </c>
      <c r="K995" s="0" t="str">
        <f aca="false">IFERROR(IF(OR(HLOOKUP($A995,#REF!,9,FALSE())&gt;2,HLOOKUP($A995,#REF!,9,FALSE())&lt;-2),"",#REF!),"")</f>
        <v/>
      </c>
      <c r="L995" s="0" t="str">
        <f aca="false">IFERROR(IF(OR(HLOOKUP($A995,#REF!,10,FALSE())&gt;2,HLOOKUP($A995,#REF!,10,FALSE())&lt;-2),"",#REF!),"")</f>
        <v/>
      </c>
      <c r="M995" s="0" t="str">
        <f aca="false">IFERROR(IF(OR(HLOOKUP($A995,#REF!,11,FALSE())&gt;2,HLOOKUP($A995,#REF!,11,FALSE())&lt;-2),"",#REF!),"")</f>
        <v/>
      </c>
      <c r="N995" s="0" t="str">
        <f aca="false">IFERROR(IF(OR(HLOOKUP($A995,#REF!,12,FALSE())&gt;2,HLOOKUP($A995,#REF!,12,FALSE())&lt;-2),"",#REF!),"")</f>
        <v/>
      </c>
      <c r="O995" s="0" t="str">
        <f aca="false">IFERROR(IF(OR(HLOOKUP($A995,#REF!,13,FALSE())&gt;2,HLOOKUP($A995,#REF!,13,FALSE())&lt;-2),"",#REF!),"")</f>
        <v/>
      </c>
      <c r="P995" s="0" t="str">
        <f aca="false">IFERROR(IF(OR(HLOOKUP($A995,#REF!,14,FALSE())&gt;2,HLOOKUP($A995,#REF!,14,FALSE())&lt;-2),"",#REF!),"")</f>
        <v/>
      </c>
      <c r="Q995" s="0" t="str">
        <f aca="false">IFERROR(IF(OR(HLOOKUP($A995,#REF!,15,FALSE())&gt;2,HLOOKUP($A995,#REF!,15,FALSE())&lt;-2),"",#REF!),"")</f>
        <v/>
      </c>
      <c r="R995" s="0" t="str">
        <f aca="false">IFERROR(IF(OR(HLOOKUP($A995,#REF!,16,FALSE())&gt;2,HLOOKUP($A995,#REF!,16,FALSE())&lt;-2),"",#REF!),"")</f>
        <v/>
      </c>
      <c r="S995" s="0" t="str">
        <f aca="false">IFERROR(IF(OR(HLOOKUP($A995,#REF!,17,FALSE())&gt;2,HLOOKUP($A995,#REF!,17,FALSE())&lt;-2),"",#REF!),"")</f>
        <v/>
      </c>
      <c r="T995" s="0" t="str">
        <f aca="false">IFERROR(IF(OR(HLOOKUP($A995,#REF!,18,FALSE())&gt;2,HLOOKUP($A995,#REF!,18,FALSE())&lt;-2),"",#REF!),"")</f>
        <v/>
      </c>
      <c r="U995" s="0" t="str">
        <f aca="false">IFERROR(IF(OR(HLOOKUP($A995,#REF!,19,FALSE())&gt;2,HLOOKUP($A995,#REF!,19,FALSE())&lt;-2),"",#REF!),"")</f>
        <v/>
      </c>
      <c r="V995" s="0" t="n">
        <f aca="false">IFERROR(IF(AND(X995=0,Y995=0),0,1),0)</f>
        <v>1</v>
      </c>
      <c r="W995" s="3" t="str">
        <f aca="false">IFERROR(_xlfn.T.TEST(E995:M995,N995:U995,2,2),"")</f>
        <v/>
      </c>
      <c r="X995" s="0" t="str">
        <f aca="false">IFERROR(AVERAGE(E995:M995),"")</f>
        <v/>
      </c>
      <c r="Y995" s="0" t="str">
        <f aca="false">IFERROR(AVERAGE(N995:U995),"")</f>
        <v/>
      </c>
    </row>
    <row r="996" customFormat="false" ht="14.5" hidden="false" customHeight="false" outlineLevel="0" collapsed="false">
      <c r="A996" s="0" t="n">
        <v>1004</v>
      </c>
      <c r="B996" s="0" t="s">
        <v>1042</v>
      </c>
      <c r="C996" s="0" t="n">
        <v>76100</v>
      </c>
      <c r="D996" s="0" t="n">
        <v>467</v>
      </c>
      <c r="E996" s="0" t="str">
        <f aca="false">IFERROR(IF(OR(HLOOKUP($A996,#REF!,3,FALSE())&gt;2,HLOOKUP(A996,#REF!,3,FALSE())&lt;-2),"",#REF!),"")</f>
        <v/>
      </c>
      <c r="F996" s="0" t="str">
        <f aca="false">IFERROR(IF(OR(HLOOKUP($A996,#REF!,4,FALSE())&gt;2,HLOOKUP($A996,#REF!,4,FALSE())&lt;-2),"",#REF!),"")</f>
        <v/>
      </c>
      <c r="G996" s="0" t="str">
        <f aca="false">IFERROR(IF(OR(HLOOKUP($A996,#REF!,5,FALSE())&gt;2,HLOOKUP($A996,#REF!,5,FALSE())&lt;-2),"",#REF!),"")</f>
        <v/>
      </c>
      <c r="H996" s="0" t="str">
        <f aca="false">IFERROR(IF(OR(HLOOKUP($A996,#REF!,6,FALSE())&gt;2,HLOOKUP($A996,#REF!,6,FALSE())&lt;-2),"",#REF!),"")</f>
        <v/>
      </c>
      <c r="I996" s="0" t="str">
        <f aca="false">IFERROR(IF(OR(HLOOKUP($A996,#REF!,7,FALSE())&gt;2,HLOOKUP($A996,#REF!,7,FALSE())&lt;-2),"",#REF!),"")</f>
        <v/>
      </c>
      <c r="J996" s="0" t="str">
        <f aca="false">IFERROR(IF(OR(HLOOKUP($A996,#REF!,8,FALSE())&gt;2,HLOOKUP($A996,#REF!,8,FALSE())&lt;-2),"",#REF!),"")</f>
        <v/>
      </c>
      <c r="K996" s="0" t="str">
        <f aca="false">IFERROR(IF(OR(HLOOKUP($A996,#REF!,9,FALSE())&gt;2,HLOOKUP($A996,#REF!,9,FALSE())&lt;-2),"",#REF!),"")</f>
        <v/>
      </c>
      <c r="L996" s="0" t="str">
        <f aca="false">IFERROR(IF(OR(HLOOKUP($A996,#REF!,10,FALSE())&gt;2,HLOOKUP($A996,#REF!,10,FALSE())&lt;-2),"",#REF!),"")</f>
        <v/>
      </c>
      <c r="M996" s="0" t="str">
        <f aca="false">IFERROR(IF(OR(HLOOKUP($A996,#REF!,11,FALSE())&gt;2,HLOOKUP($A996,#REF!,11,FALSE())&lt;-2),"",#REF!),"")</f>
        <v/>
      </c>
      <c r="N996" s="0" t="str">
        <f aca="false">IFERROR(IF(OR(HLOOKUP($A996,#REF!,12,FALSE())&gt;2,HLOOKUP($A996,#REF!,12,FALSE())&lt;-2),"",#REF!),"")</f>
        <v/>
      </c>
      <c r="O996" s="0" t="str">
        <f aca="false">IFERROR(IF(OR(HLOOKUP($A996,#REF!,13,FALSE())&gt;2,HLOOKUP($A996,#REF!,13,FALSE())&lt;-2),"",#REF!),"")</f>
        <v/>
      </c>
      <c r="P996" s="0" t="str">
        <f aca="false">IFERROR(IF(OR(HLOOKUP($A996,#REF!,14,FALSE())&gt;2,HLOOKUP($A996,#REF!,14,FALSE())&lt;-2),"",#REF!),"")</f>
        <v/>
      </c>
      <c r="Q996" s="0" t="str">
        <f aca="false">IFERROR(IF(OR(HLOOKUP($A996,#REF!,15,FALSE())&gt;2,HLOOKUP($A996,#REF!,15,FALSE())&lt;-2),"",#REF!),"")</f>
        <v/>
      </c>
      <c r="R996" s="0" t="str">
        <f aca="false">IFERROR(IF(OR(HLOOKUP($A996,#REF!,16,FALSE())&gt;2,HLOOKUP($A996,#REF!,16,FALSE())&lt;-2),"",#REF!),"")</f>
        <v/>
      </c>
      <c r="S996" s="0" t="str">
        <f aca="false">IFERROR(IF(OR(HLOOKUP($A996,#REF!,17,FALSE())&gt;2,HLOOKUP($A996,#REF!,17,FALSE())&lt;-2),"",#REF!),"")</f>
        <v/>
      </c>
      <c r="T996" s="0" t="str">
        <f aca="false">IFERROR(IF(OR(HLOOKUP($A996,#REF!,18,FALSE())&gt;2,HLOOKUP($A996,#REF!,18,FALSE())&lt;-2),"",#REF!),"")</f>
        <v/>
      </c>
      <c r="U996" s="0" t="str">
        <f aca="false">IFERROR(IF(OR(HLOOKUP($A996,#REF!,19,FALSE())&gt;2,HLOOKUP($A996,#REF!,19,FALSE())&lt;-2),"",#REF!),"")</f>
        <v/>
      </c>
      <c r="V996" s="0" t="n">
        <f aca="false">IFERROR(IF(AND(X996=0,Y996=0),0,1),0)</f>
        <v>1</v>
      </c>
      <c r="W996" s="3" t="str">
        <f aca="false">IFERROR(_xlfn.T.TEST(E996:M996,N996:U996,2,2),"")</f>
        <v/>
      </c>
      <c r="X996" s="0" t="str">
        <f aca="false">IFERROR(AVERAGE(E996:M996),"")</f>
        <v/>
      </c>
      <c r="Y996" s="0" t="str">
        <f aca="false">IFERROR(AVERAGE(N996:U996),"")</f>
        <v/>
      </c>
    </row>
    <row r="997" customFormat="false" ht="14.5" hidden="false" customHeight="false" outlineLevel="0" collapsed="false">
      <c r="A997" s="0" t="n">
        <v>1005</v>
      </c>
      <c r="B997" s="0" t="s">
        <v>1043</v>
      </c>
      <c r="C997" s="0" t="n">
        <v>11900</v>
      </c>
      <c r="D997" s="0" t="n">
        <v>1002</v>
      </c>
      <c r="E997" s="0" t="str">
        <f aca="false">IFERROR(IF(OR(HLOOKUP($A997,#REF!,3,FALSE())&gt;2,HLOOKUP(A997,#REF!,3,FALSE())&lt;-2),"",#REF!),"")</f>
        <v/>
      </c>
      <c r="F997" s="0" t="str">
        <f aca="false">IFERROR(IF(OR(HLOOKUP($A997,#REF!,4,FALSE())&gt;2,HLOOKUP($A997,#REF!,4,FALSE())&lt;-2),"",#REF!),"")</f>
        <v/>
      </c>
      <c r="G997" s="0" t="str">
        <f aca="false">IFERROR(IF(OR(HLOOKUP($A997,#REF!,5,FALSE())&gt;2,HLOOKUP($A997,#REF!,5,FALSE())&lt;-2),"",#REF!),"")</f>
        <v/>
      </c>
      <c r="H997" s="0" t="str">
        <f aca="false">IFERROR(IF(OR(HLOOKUP($A997,#REF!,6,FALSE())&gt;2,HLOOKUP($A997,#REF!,6,FALSE())&lt;-2),"",#REF!),"")</f>
        <v/>
      </c>
      <c r="I997" s="0" t="str">
        <f aca="false">IFERROR(IF(OR(HLOOKUP($A997,#REF!,7,FALSE())&gt;2,HLOOKUP($A997,#REF!,7,FALSE())&lt;-2),"",#REF!),"")</f>
        <v/>
      </c>
      <c r="J997" s="0" t="str">
        <f aca="false">IFERROR(IF(OR(HLOOKUP($A997,#REF!,8,FALSE())&gt;2,HLOOKUP($A997,#REF!,8,FALSE())&lt;-2),"",#REF!),"")</f>
        <v/>
      </c>
      <c r="K997" s="0" t="str">
        <f aca="false">IFERROR(IF(OR(HLOOKUP($A997,#REF!,9,FALSE())&gt;2,HLOOKUP($A997,#REF!,9,FALSE())&lt;-2),"",#REF!),"")</f>
        <v/>
      </c>
      <c r="L997" s="0" t="str">
        <f aca="false">IFERROR(IF(OR(HLOOKUP($A997,#REF!,10,FALSE())&gt;2,HLOOKUP($A997,#REF!,10,FALSE())&lt;-2),"",#REF!),"")</f>
        <v/>
      </c>
      <c r="M997" s="0" t="str">
        <f aca="false">IFERROR(IF(OR(HLOOKUP($A997,#REF!,11,FALSE())&gt;2,HLOOKUP($A997,#REF!,11,FALSE())&lt;-2),"",#REF!),"")</f>
        <v/>
      </c>
      <c r="N997" s="0" t="str">
        <f aca="false">IFERROR(IF(OR(HLOOKUP($A997,#REF!,12,FALSE())&gt;2,HLOOKUP($A997,#REF!,12,FALSE())&lt;-2),"",#REF!),"")</f>
        <v/>
      </c>
      <c r="O997" s="0" t="str">
        <f aca="false">IFERROR(IF(OR(HLOOKUP($A997,#REF!,13,FALSE())&gt;2,HLOOKUP($A997,#REF!,13,FALSE())&lt;-2),"",#REF!),"")</f>
        <v/>
      </c>
      <c r="P997" s="0" t="str">
        <f aca="false">IFERROR(IF(OR(HLOOKUP($A997,#REF!,14,FALSE())&gt;2,HLOOKUP($A997,#REF!,14,FALSE())&lt;-2),"",#REF!),"")</f>
        <v/>
      </c>
      <c r="Q997" s="0" t="str">
        <f aca="false">IFERROR(IF(OR(HLOOKUP($A997,#REF!,15,FALSE())&gt;2,HLOOKUP($A997,#REF!,15,FALSE())&lt;-2),"",#REF!),"")</f>
        <v/>
      </c>
      <c r="R997" s="0" t="str">
        <f aca="false">IFERROR(IF(OR(HLOOKUP($A997,#REF!,16,FALSE())&gt;2,HLOOKUP($A997,#REF!,16,FALSE())&lt;-2),"",#REF!),"")</f>
        <v/>
      </c>
      <c r="S997" s="0" t="str">
        <f aca="false">IFERROR(IF(OR(HLOOKUP($A997,#REF!,17,FALSE())&gt;2,HLOOKUP($A997,#REF!,17,FALSE())&lt;-2),"",#REF!),"")</f>
        <v/>
      </c>
      <c r="T997" s="0" t="str">
        <f aca="false">IFERROR(IF(OR(HLOOKUP($A997,#REF!,18,FALSE())&gt;2,HLOOKUP($A997,#REF!,18,FALSE())&lt;-2),"",#REF!),"")</f>
        <v/>
      </c>
      <c r="U997" s="0" t="str">
        <f aca="false">IFERROR(IF(OR(HLOOKUP($A997,#REF!,19,FALSE())&gt;2,HLOOKUP($A997,#REF!,19,FALSE())&lt;-2),"",#REF!),"")</f>
        <v/>
      </c>
      <c r="V997" s="0" t="n">
        <f aca="false">IFERROR(IF(AND(X997=0,Y997=0),0,1),0)</f>
        <v>1</v>
      </c>
      <c r="W997" s="3" t="str">
        <f aca="false">IFERROR(_xlfn.T.TEST(E997:M997,N997:U997,2,2),"")</f>
        <v/>
      </c>
      <c r="X997" s="0" t="str">
        <f aca="false">IFERROR(AVERAGE(E997:M997),"")</f>
        <v/>
      </c>
      <c r="Y997" s="0" t="str">
        <f aca="false">IFERROR(AVERAGE(N997:U997),"")</f>
        <v/>
      </c>
    </row>
    <row r="998" customFormat="false" ht="14.5" hidden="false" customHeight="false" outlineLevel="0" collapsed="false">
      <c r="A998" s="0" t="n">
        <v>1006</v>
      </c>
      <c r="B998" s="0" t="s">
        <v>1044</v>
      </c>
      <c r="C998" s="0" t="n">
        <v>7100</v>
      </c>
      <c r="D998" s="0" t="n">
        <v>361</v>
      </c>
      <c r="E998" s="0" t="str">
        <f aca="false">IFERROR(IF(OR(HLOOKUP($A998,#REF!,3,FALSE())&gt;2,HLOOKUP(A998,#REF!,3,FALSE())&lt;-2),"",#REF!),"")</f>
        <v/>
      </c>
      <c r="F998" s="0" t="str">
        <f aca="false">IFERROR(IF(OR(HLOOKUP($A998,#REF!,4,FALSE())&gt;2,HLOOKUP($A998,#REF!,4,FALSE())&lt;-2),"",#REF!),"")</f>
        <v/>
      </c>
      <c r="G998" s="0" t="str">
        <f aca="false">IFERROR(IF(OR(HLOOKUP($A998,#REF!,5,FALSE())&gt;2,HLOOKUP($A998,#REF!,5,FALSE())&lt;-2),"",#REF!),"")</f>
        <v/>
      </c>
      <c r="H998" s="0" t="str">
        <f aca="false">IFERROR(IF(OR(HLOOKUP($A998,#REF!,6,FALSE())&gt;2,HLOOKUP($A998,#REF!,6,FALSE())&lt;-2),"",#REF!),"")</f>
        <v/>
      </c>
      <c r="I998" s="0" t="str">
        <f aca="false">IFERROR(IF(OR(HLOOKUP($A998,#REF!,7,FALSE())&gt;2,HLOOKUP($A998,#REF!,7,FALSE())&lt;-2),"",#REF!),"")</f>
        <v/>
      </c>
      <c r="J998" s="0" t="str">
        <f aca="false">IFERROR(IF(OR(HLOOKUP($A998,#REF!,8,FALSE())&gt;2,HLOOKUP($A998,#REF!,8,FALSE())&lt;-2),"",#REF!),"")</f>
        <v/>
      </c>
      <c r="K998" s="0" t="str">
        <f aca="false">IFERROR(IF(OR(HLOOKUP($A998,#REF!,9,FALSE())&gt;2,HLOOKUP($A998,#REF!,9,FALSE())&lt;-2),"",#REF!),"")</f>
        <v/>
      </c>
      <c r="L998" s="0" t="str">
        <f aca="false">IFERROR(IF(OR(HLOOKUP($A998,#REF!,10,FALSE())&gt;2,HLOOKUP($A998,#REF!,10,FALSE())&lt;-2),"",#REF!),"")</f>
        <v/>
      </c>
      <c r="M998" s="0" t="str">
        <f aca="false">IFERROR(IF(OR(HLOOKUP($A998,#REF!,11,FALSE())&gt;2,HLOOKUP($A998,#REF!,11,FALSE())&lt;-2),"",#REF!),"")</f>
        <v/>
      </c>
      <c r="N998" s="0" t="str">
        <f aca="false">IFERROR(IF(OR(HLOOKUP($A998,#REF!,12,FALSE())&gt;2,HLOOKUP($A998,#REF!,12,FALSE())&lt;-2),"",#REF!),"")</f>
        <v/>
      </c>
      <c r="O998" s="0" t="str">
        <f aca="false">IFERROR(IF(OR(HLOOKUP($A998,#REF!,13,FALSE())&gt;2,HLOOKUP($A998,#REF!,13,FALSE())&lt;-2),"",#REF!),"")</f>
        <v/>
      </c>
      <c r="P998" s="0" t="str">
        <f aca="false">IFERROR(IF(OR(HLOOKUP($A998,#REF!,14,FALSE())&gt;2,HLOOKUP($A998,#REF!,14,FALSE())&lt;-2),"",#REF!),"")</f>
        <v/>
      </c>
      <c r="Q998" s="0" t="str">
        <f aca="false">IFERROR(IF(OR(HLOOKUP($A998,#REF!,15,FALSE())&gt;2,HLOOKUP($A998,#REF!,15,FALSE())&lt;-2),"",#REF!),"")</f>
        <v/>
      </c>
      <c r="R998" s="0" t="str">
        <f aca="false">IFERROR(IF(OR(HLOOKUP($A998,#REF!,16,FALSE())&gt;2,HLOOKUP($A998,#REF!,16,FALSE())&lt;-2),"",#REF!),"")</f>
        <v/>
      </c>
      <c r="S998" s="0" t="str">
        <f aca="false">IFERROR(IF(OR(HLOOKUP($A998,#REF!,17,FALSE())&gt;2,HLOOKUP($A998,#REF!,17,FALSE())&lt;-2),"",#REF!),"")</f>
        <v/>
      </c>
      <c r="T998" s="0" t="str">
        <f aca="false">IFERROR(IF(OR(HLOOKUP($A998,#REF!,18,FALSE())&gt;2,HLOOKUP($A998,#REF!,18,FALSE())&lt;-2),"",#REF!),"")</f>
        <v/>
      </c>
      <c r="U998" s="0" t="str">
        <f aca="false">IFERROR(IF(OR(HLOOKUP($A998,#REF!,19,FALSE())&gt;2,HLOOKUP($A998,#REF!,19,FALSE())&lt;-2),"",#REF!),"")</f>
        <v/>
      </c>
      <c r="V998" s="0" t="n">
        <f aca="false">IFERROR(IF(AND(X998=0,Y998=0),0,1),0)</f>
        <v>1</v>
      </c>
      <c r="W998" s="3" t="str">
        <f aca="false">IFERROR(_xlfn.T.TEST(E998:M998,N998:U998,2,2),"")</f>
        <v/>
      </c>
      <c r="X998" s="0" t="str">
        <f aca="false">IFERROR(AVERAGE(E998:M998),"")</f>
        <v/>
      </c>
      <c r="Y998" s="0" t="str">
        <f aca="false">IFERROR(AVERAGE(N998:U998),"")</f>
        <v/>
      </c>
    </row>
    <row r="999" customFormat="false" ht="14.5" hidden="false" customHeight="false" outlineLevel="0" collapsed="false">
      <c r="A999" s="0" t="n">
        <v>1007</v>
      </c>
      <c r="B999" s="0" t="s">
        <v>1045</v>
      </c>
      <c r="C999" s="0" t="n">
        <v>59700</v>
      </c>
      <c r="D999" s="0" t="n">
        <v>1073</v>
      </c>
      <c r="E999" s="0" t="str">
        <f aca="false">IFERROR(IF(OR(HLOOKUP($A999,#REF!,3,FALSE())&gt;2,HLOOKUP(A999,#REF!,3,FALSE())&lt;-2),"",#REF!),"")</f>
        <v/>
      </c>
      <c r="F999" s="0" t="str">
        <f aca="false">IFERROR(IF(OR(HLOOKUP($A999,#REF!,4,FALSE())&gt;2,HLOOKUP($A999,#REF!,4,FALSE())&lt;-2),"",#REF!),"")</f>
        <v/>
      </c>
      <c r="G999" s="0" t="str">
        <f aca="false">IFERROR(IF(OR(HLOOKUP($A999,#REF!,5,FALSE())&gt;2,HLOOKUP($A999,#REF!,5,FALSE())&lt;-2),"",#REF!),"")</f>
        <v/>
      </c>
      <c r="H999" s="0" t="str">
        <f aca="false">IFERROR(IF(OR(HLOOKUP($A999,#REF!,6,FALSE())&gt;2,HLOOKUP($A999,#REF!,6,FALSE())&lt;-2),"",#REF!),"")</f>
        <v/>
      </c>
      <c r="I999" s="0" t="str">
        <f aca="false">IFERROR(IF(OR(HLOOKUP($A999,#REF!,7,FALSE())&gt;2,HLOOKUP($A999,#REF!,7,FALSE())&lt;-2),"",#REF!),"")</f>
        <v/>
      </c>
      <c r="J999" s="0" t="str">
        <f aca="false">IFERROR(IF(OR(HLOOKUP($A999,#REF!,8,FALSE())&gt;2,HLOOKUP($A999,#REF!,8,FALSE())&lt;-2),"",#REF!),"")</f>
        <v/>
      </c>
      <c r="K999" s="0" t="str">
        <f aca="false">IFERROR(IF(OR(HLOOKUP($A999,#REF!,9,FALSE())&gt;2,HLOOKUP($A999,#REF!,9,FALSE())&lt;-2),"",#REF!),"")</f>
        <v/>
      </c>
      <c r="L999" s="0" t="str">
        <f aca="false">IFERROR(IF(OR(HLOOKUP($A999,#REF!,10,FALSE())&gt;2,HLOOKUP($A999,#REF!,10,FALSE())&lt;-2),"",#REF!),"")</f>
        <v/>
      </c>
      <c r="M999" s="0" t="str">
        <f aca="false">IFERROR(IF(OR(HLOOKUP($A999,#REF!,11,FALSE())&gt;2,HLOOKUP($A999,#REF!,11,FALSE())&lt;-2),"",#REF!),"")</f>
        <v/>
      </c>
      <c r="N999" s="0" t="str">
        <f aca="false">IFERROR(IF(OR(HLOOKUP($A999,#REF!,12,FALSE())&gt;2,HLOOKUP($A999,#REF!,12,FALSE())&lt;-2),"",#REF!),"")</f>
        <v/>
      </c>
      <c r="O999" s="0" t="str">
        <f aca="false">IFERROR(IF(OR(HLOOKUP($A999,#REF!,13,FALSE())&gt;2,HLOOKUP($A999,#REF!,13,FALSE())&lt;-2),"",#REF!),"")</f>
        <v/>
      </c>
      <c r="P999" s="0" t="str">
        <f aca="false">IFERROR(IF(OR(HLOOKUP($A999,#REF!,14,FALSE())&gt;2,HLOOKUP($A999,#REF!,14,FALSE())&lt;-2),"",#REF!),"")</f>
        <v/>
      </c>
      <c r="Q999" s="0" t="str">
        <f aca="false">IFERROR(IF(OR(HLOOKUP($A999,#REF!,15,FALSE())&gt;2,HLOOKUP($A999,#REF!,15,FALSE())&lt;-2),"",#REF!),"")</f>
        <v/>
      </c>
      <c r="R999" s="0" t="str">
        <f aca="false">IFERROR(IF(OR(HLOOKUP($A999,#REF!,16,FALSE())&gt;2,HLOOKUP($A999,#REF!,16,FALSE())&lt;-2),"",#REF!),"")</f>
        <v/>
      </c>
      <c r="S999" s="0" t="str">
        <f aca="false">IFERROR(IF(OR(HLOOKUP($A999,#REF!,17,FALSE())&gt;2,HLOOKUP($A999,#REF!,17,FALSE())&lt;-2),"",#REF!),"")</f>
        <v/>
      </c>
      <c r="T999" s="0" t="str">
        <f aca="false">IFERROR(IF(OR(HLOOKUP($A999,#REF!,18,FALSE())&gt;2,HLOOKUP($A999,#REF!,18,FALSE())&lt;-2),"",#REF!),"")</f>
        <v/>
      </c>
      <c r="U999" s="0" t="str">
        <f aca="false">IFERROR(IF(OR(HLOOKUP($A999,#REF!,19,FALSE())&gt;2,HLOOKUP($A999,#REF!,19,FALSE())&lt;-2),"",#REF!),"")</f>
        <v/>
      </c>
      <c r="V999" s="0" t="n">
        <f aca="false">IFERROR(IF(AND(X999=0,Y999=0),0,1),0)</f>
        <v>1</v>
      </c>
      <c r="W999" s="3" t="str">
        <f aca="false">IFERROR(_xlfn.T.TEST(E999:M999,N999:U999,2,2),"")</f>
        <v/>
      </c>
      <c r="X999" s="0" t="str">
        <f aca="false">IFERROR(AVERAGE(E999:M999),"")</f>
        <v/>
      </c>
      <c r="Y999" s="0" t="str">
        <f aca="false">IFERROR(AVERAGE(N999:U999),"")</f>
        <v/>
      </c>
    </row>
    <row r="1000" customFormat="false" ht="14.5" hidden="false" customHeight="false" outlineLevel="0" collapsed="false">
      <c r="A1000" s="0" t="n">
        <v>1008</v>
      </c>
      <c r="B1000" s="0" t="s">
        <v>1046</v>
      </c>
      <c r="C1000" s="0" t="n">
        <v>65000</v>
      </c>
      <c r="D1000" s="0" t="n">
        <v>864</v>
      </c>
      <c r="E1000" s="0" t="str">
        <f aca="false">IFERROR(IF(OR(HLOOKUP($A1000,#REF!,3,FALSE())&gt;2,HLOOKUP(A1000,#REF!,3,FALSE())&lt;-2),"",#REF!),"")</f>
        <v/>
      </c>
      <c r="F1000" s="0" t="str">
        <f aca="false">IFERROR(IF(OR(HLOOKUP($A1000,#REF!,4,FALSE())&gt;2,HLOOKUP($A1000,#REF!,4,FALSE())&lt;-2),"",#REF!),"")</f>
        <v/>
      </c>
      <c r="G1000" s="0" t="str">
        <f aca="false">IFERROR(IF(OR(HLOOKUP($A1000,#REF!,5,FALSE())&gt;2,HLOOKUP($A1000,#REF!,5,FALSE())&lt;-2),"",#REF!),"")</f>
        <v/>
      </c>
      <c r="H1000" s="0" t="str">
        <f aca="false">IFERROR(IF(OR(HLOOKUP($A1000,#REF!,6,FALSE())&gt;2,HLOOKUP($A1000,#REF!,6,FALSE())&lt;-2),"",#REF!),"")</f>
        <v/>
      </c>
      <c r="I1000" s="0" t="str">
        <f aca="false">IFERROR(IF(OR(HLOOKUP($A1000,#REF!,7,FALSE())&gt;2,HLOOKUP($A1000,#REF!,7,FALSE())&lt;-2),"",#REF!),"")</f>
        <v/>
      </c>
      <c r="J1000" s="0" t="str">
        <f aca="false">IFERROR(IF(OR(HLOOKUP($A1000,#REF!,8,FALSE())&gt;2,HLOOKUP($A1000,#REF!,8,FALSE())&lt;-2),"",#REF!),"")</f>
        <v/>
      </c>
      <c r="K1000" s="0" t="str">
        <f aca="false">IFERROR(IF(OR(HLOOKUP($A1000,#REF!,9,FALSE())&gt;2,HLOOKUP($A1000,#REF!,9,FALSE())&lt;-2),"",#REF!),"")</f>
        <v/>
      </c>
      <c r="L1000" s="0" t="str">
        <f aca="false">IFERROR(IF(OR(HLOOKUP($A1000,#REF!,10,FALSE())&gt;2,HLOOKUP($A1000,#REF!,10,FALSE())&lt;-2),"",#REF!),"")</f>
        <v/>
      </c>
      <c r="M1000" s="0" t="str">
        <f aca="false">IFERROR(IF(OR(HLOOKUP($A1000,#REF!,11,FALSE())&gt;2,HLOOKUP($A1000,#REF!,11,FALSE())&lt;-2),"",#REF!),"")</f>
        <v/>
      </c>
      <c r="N1000" s="0" t="str">
        <f aca="false">IFERROR(IF(OR(HLOOKUP($A1000,#REF!,12,FALSE())&gt;2,HLOOKUP($A1000,#REF!,12,FALSE())&lt;-2),"",#REF!),"")</f>
        <v/>
      </c>
      <c r="O1000" s="0" t="str">
        <f aca="false">IFERROR(IF(OR(HLOOKUP($A1000,#REF!,13,FALSE())&gt;2,HLOOKUP($A1000,#REF!,13,FALSE())&lt;-2),"",#REF!),"")</f>
        <v/>
      </c>
      <c r="P1000" s="0" t="str">
        <f aca="false">IFERROR(IF(OR(HLOOKUP($A1000,#REF!,14,FALSE())&gt;2,HLOOKUP($A1000,#REF!,14,FALSE())&lt;-2),"",#REF!),"")</f>
        <v/>
      </c>
      <c r="Q1000" s="0" t="str">
        <f aca="false">IFERROR(IF(OR(HLOOKUP($A1000,#REF!,15,FALSE())&gt;2,HLOOKUP($A1000,#REF!,15,FALSE())&lt;-2),"",#REF!),"")</f>
        <v/>
      </c>
      <c r="R1000" s="0" t="str">
        <f aca="false">IFERROR(IF(OR(HLOOKUP($A1000,#REF!,16,FALSE())&gt;2,HLOOKUP($A1000,#REF!,16,FALSE())&lt;-2),"",#REF!),"")</f>
        <v/>
      </c>
      <c r="S1000" s="0" t="str">
        <f aca="false">IFERROR(IF(OR(HLOOKUP($A1000,#REF!,17,FALSE())&gt;2,HLOOKUP($A1000,#REF!,17,FALSE())&lt;-2),"",#REF!),"")</f>
        <v/>
      </c>
      <c r="T1000" s="0" t="str">
        <f aca="false">IFERROR(IF(OR(HLOOKUP($A1000,#REF!,18,FALSE())&gt;2,HLOOKUP($A1000,#REF!,18,FALSE())&lt;-2),"",#REF!),"")</f>
        <v/>
      </c>
      <c r="U1000" s="0" t="str">
        <f aca="false">IFERROR(IF(OR(HLOOKUP($A1000,#REF!,19,FALSE())&gt;2,HLOOKUP($A1000,#REF!,19,FALSE())&lt;-2),"",#REF!),"")</f>
        <v/>
      </c>
      <c r="V1000" s="0" t="n">
        <f aca="false">IFERROR(IF(AND(X1000=0,Y1000=0),0,1),0)</f>
        <v>1</v>
      </c>
      <c r="W1000" s="3" t="str">
        <f aca="false">IFERROR(_xlfn.T.TEST(E1000:M1000,N1000:U1000,2,2),"")</f>
        <v/>
      </c>
      <c r="X1000" s="0" t="str">
        <f aca="false">IFERROR(AVERAGE(E1000:M1000),"")</f>
        <v/>
      </c>
      <c r="Y1000" s="0" t="str">
        <f aca="false">IFERROR(AVERAGE(N1000:U1000),"")</f>
        <v/>
      </c>
    </row>
    <row r="1001" customFormat="false" ht="14.5" hidden="false" customHeight="false" outlineLevel="0" collapsed="false">
      <c r="A1001" s="0" t="n">
        <v>1009</v>
      </c>
      <c r="B1001" s="0" t="s">
        <v>1047</v>
      </c>
      <c r="C1001" s="0" t="n">
        <v>97200</v>
      </c>
      <c r="D1001" s="0" t="n">
        <v>997</v>
      </c>
      <c r="E1001" s="0" t="str">
        <f aca="false">IFERROR(IF(OR(HLOOKUP($A1001,#REF!,3,FALSE())&gt;2,HLOOKUP(A1001,#REF!,3,FALSE())&lt;-2),"",#REF!),"")</f>
        <v/>
      </c>
      <c r="F1001" s="0" t="str">
        <f aca="false">IFERROR(IF(OR(HLOOKUP($A1001,#REF!,4,FALSE())&gt;2,HLOOKUP($A1001,#REF!,4,FALSE())&lt;-2),"",#REF!),"")</f>
        <v/>
      </c>
      <c r="G1001" s="0" t="str">
        <f aca="false">IFERROR(IF(OR(HLOOKUP($A1001,#REF!,5,FALSE())&gt;2,HLOOKUP($A1001,#REF!,5,FALSE())&lt;-2),"",#REF!),"")</f>
        <v/>
      </c>
      <c r="H1001" s="0" t="str">
        <f aca="false">IFERROR(IF(OR(HLOOKUP($A1001,#REF!,6,FALSE())&gt;2,HLOOKUP($A1001,#REF!,6,FALSE())&lt;-2),"",#REF!),"")</f>
        <v/>
      </c>
      <c r="I1001" s="0" t="str">
        <f aca="false">IFERROR(IF(OR(HLOOKUP($A1001,#REF!,7,FALSE())&gt;2,HLOOKUP($A1001,#REF!,7,FALSE())&lt;-2),"",#REF!),"")</f>
        <v/>
      </c>
      <c r="J1001" s="0" t="str">
        <f aca="false">IFERROR(IF(OR(HLOOKUP($A1001,#REF!,8,FALSE())&gt;2,HLOOKUP($A1001,#REF!,8,FALSE())&lt;-2),"",#REF!),"")</f>
        <v/>
      </c>
      <c r="K1001" s="0" t="str">
        <f aca="false">IFERROR(IF(OR(HLOOKUP($A1001,#REF!,9,FALSE())&gt;2,HLOOKUP($A1001,#REF!,9,FALSE())&lt;-2),"",#REF!),"")</f>
        <v/>
      </c>
      <c r="L1001" s="0" t="str">
        <f aca="false">IFERROR(IF(OR(HLOOKUP($A1001,#REF!,10,FALSE())&gt;2,HLOOKUP($A1001,#REF!,10,FALSE())&lt;-2),"",#REF!),"")</f>
        <v/>
      </c>
      <c r="M1001" s="0" t="str">
        <f aca="false">IFERROR(IF(OR(HLOOKUP($A1001,#REF!,11,FALSE())&gt;2,HLOOKUP($A1001,#REF!,11,FALSE())&lt;-2),"",#REF!),"")</f>
        <v/>
      </c>
      <c r="N1001" s="0" t="str">
        <f aca="false">IFERROR(IF(OR(HLOOKUP($A1001,#REF!,12,FALSE())&gt;2,HLOOKUP($A1001,#REF!,12,FALSE())&lt;-2),"",#REF!),"")</f>
        <v/>
      </c>
      <c r="O1001" s="0" t="str">
        <f aca="false">IFERROR(IF(OR(HLOOKUP($A1001,#REF!,13,FALSE())&gt;2,HLOOKUP($A1001,#REF!,13,FALSE())&lt;-2),"",#REF!),"")</f>
        <v/>
      </c>
      <c r="P1001" s="0" t="str">
        <f aca="false">IFERROR(IF(OR(HLOOKUP($A1001,#REF!,14,FALSE())&gt;2,HLOOKUP($A1001,#REF!,14,FALSE())&lt;-2),"",#REF!),"")</f>
        <v/>
      </c>
      <c r="Q1001" s="0" t="str">
        <f aca="false">IFERROR(IF(OR(HLOOKUP($A1001,#REF!,15,FALSE())&gt;2,HLOOKUP($A1001,#REF!,15,FALSE())&lt;-2),"",#REF!),"")</f>
        <v/>
      </c>
      <c r="R1001" s="0" t="str">
        <f aca="false">IFERROR(IF(OR(HLOOKUP($A1001,#REF!,16,FALSE())&gt;2,HLOOKUP($A1001,#REF!,16,FALSE())&lt;-2),"",#REF!),"")</f>
        <v/>
      </c>
      <c r="S1001" s="0" t="str">
        <f aca="false">IFERROR(IF(OR(HLOOKUP($A1001,#REF!,17,FALSE())&gt;2,HLOOKUP($A1001,#REF!,17,FALSE())&lt;-2),"",#REF!),"")</f>
        <v/>
      </c>
      <c r="T1001" s="0" t="str">
        <f aca="false">IFERROR(IF(OR(HLOOKUP($A1001,#REF!,18,FALSE())&gt;2,HLOOKUP($A1001,#REF!,18,FALSE())&lt;-2),"",#REF!),"")</f>
        <v/>
      </c>
      <c r="U1001" s="0" t="str">
        <f aca="false">IFERROR(IF(OR(HLOOKUP($A1001,#REF!,19,FALSE())&gt;2,HLOOKUP($A1001,#REF!,19,FALSE())&lt;-2),"",#REF!),"")</f>
        <v/>
      </c>
      <c r="V1001" s="0" t="n">
        <f aca="false">IFERROR(IF(AND(X1001=0,Y1001=0),0,1),0)</f>
        <v>1</v>
      </c>
      <c r="W1001" s="3" t="str">
        <f aca="false">IFERROR(_xlfn.T.TEST(E1001:M1001,N1001:U1001,2,2),"")</f>
        <v/>
      </c>
      <c r="X1001" s="0" t="str">
        <f aca="false">IFERROR(AVERAGE(E1001:M1001),"")</f>
        <v/>
      </c>
      <c r="Y1001" s="0" t="str">
        <f aca="false">IFERROR(AVERAGE(N1001:U1001),"")</f>
        <v/>
      </c>
    </row>
    <row r="1002" customFormat="false" ht="14.5" hidden="false" customHeight="false" outlineLevel="0" collapsed="false">
      <c r="A1002" s="0" t="n">
        <v>1010</v>
      </c>
      <c r="B1002" s="0" t="s">
        <v>1048</v>
      </c>
      <c r="C1002" s="0" t="n">
        <v>10100</v>
      </c>
      <c r="D1002" s="0" t="n">
        <v>677</v>
      </c>
      <c r="E1002" s="0" t="str">
        <f aca="false">IFERROR(IF(OR(HLOOKUP($A1002,#REF!,3,FALSE())&gt;2,HLOOKUP(A1002,#REF!,3,FALSE())&lt;-2),"",#REF!),"")</f>
        <v/>
      </c>
      <c r="F1002" s="0" t="str">
        <f aca="false">IFERROR(IF(OR(HLOOKUP($A1002,#REF!,4,FALSE())&gt;2,HLOOKUP($A1002,#REF!,4,FALSE())&lt;-2),"",#REF!),"")</f>
        <v/>
      </c>
      <c r="G1002" s="0" t="str">
        <f aca="false">IFERROR(IF(OR(HLOOKUP($A1002,#REF!,5,FALSE())&gt;2,HLOOKUP($A1002,#REF!,5,FALSE())&lt;-2),"",#REF!),"")</f>
        <v/>
      </c>
      <c r="H1002" s="0" t="str">
        <f aca="false">IFERROR(IF(OR(HLOOKUP($A1002,#REF!,6,FALSE())&gt;2,HLOOKUP($A1002,#REF!,6,FALSE())&lt;-2),"",#REF!),"")</f>
        <v/>
      </c>
      <c r="I1002" s="0" t="str">
        <f aca="false">IFERROR(IF(OR(HLOOKUP($A1002,#REF!,7,FALSE())&gt;2,HLOOKUP($A1002,#REF!,7,FALSE())&lt;-2),"",#REF!),"")</f>
        <v/>
      </c>
      <c r="J1002" s="0" t="str">
        <f aca="false">IFERROR(IF(OR(HLOOKUP($A1002,#REF!,8,FALSE())&gt;2,HLOOKUP($A1002,#REF!,8,FALSE())&lt;-2),"",#REF!),"")</f>
        <v/>
      </c>
      <c r="K1002" s="0" t="str">
        <f aca="false">IFERROR(IF(OR(HLOOKUP($A1002,#REF!,9,FALSE())&gt;2,HLOOKUP($A1002,#REF!,9,FALSE())&lt;-2),"",#REF!),"")</f>
        <v/>
      </c>
      <c r="L1002" s="0" t="str">
        <f aca="false">IFERROR(IF(OR(HLOOKUP($A1002,#REF!,10,FALSE())&gt;2,HLOOKUP($A1002,#REF!,10,FALSE())&lt;-2),"",#REF!),"")</f>
        <v/>
      </c>
      <c r="M1002" s="0" t="str">
        <f aca="false">IFERROR(IF(OR(HLOOKUP($A1002,#REF!,11,FALSE())&gt;2,HLOOKUP($A1002,#REF!,11,FALSE())&lt;-2),"",#REF!),"")</f>
        <v/>
      </c>
      <c r="N1002" s="0" t="str">
        <f aca="false">IFERROR(IF(OR(HLOOKUP($A1002,#REF!,12,FALSE())&gt;2,HLOOKUP($A1002,#REF!,12,FALSE())&lt;-2),"",#REF!),"")</f>
        <v/>
      </c>
      <c r="O1002" s="0" t="str">
        <f aca="false">IFERROR(IF(OR(HLOOKUP($A1002,#REF!,13,FALSE())&gt;2,HLOOKUP($A1002,#REF!,13,FALSE())&lt;-2),"",#REF!),"")</f>
        <v/>
      </c>
      <c r="P1002" s="0" t="str">
        <f aca="false">IFERROR(IF(OR(HLOOKUP($A1002,#REF!,14,FALSE())&gt;2,HLOOKUP($A1002,#REF!,14,FALSE())&lt;-2),"",#REF!),"")</f>
        <v/>
      </c>
      <c r="Q1002" s="0" t="str">
        <f aca="false">IFERROR(IF(OR(HLOOKUP($A1002,#REF!,15,FALSE())&gt;2,HLOOKUP($A1002,#REF!,15,FALSE())&lt;-2),"",#REF!),"")</f>
        <v/>
      </c>
      <c r="R1002" s="0" t="str">
        <f aca="false">IFERROR(IF(OR(HLOOKUP($A1002,#REF!,16,FALSE())&gt;2,HLOOKUP($A1002,#REF!,16,FALSE())&lt;-2),"",#REF!),"")</f>
        <v/>
      </c>
      <c r="S1002" s="0" t="str">
        <f aca="false">IFERROR(IF(OR(HLOOKUP($A1002,#REF!,17,FALSE())&gt;2,HLOOKUP($A1002,#REF!,17,FALSE())&lt;-2),"",#REF!),"")</f>
        <v/>
      </c>
      <c r="T1002" s="0" t="str">
        <f aca="false">IFERROR(IF(OR(HLOOKUP($A1002,#REF!,18,FALSE())&gt;2,HLOOKUP($A1002,#REF!,18,FALSE())&lt;-2),"",#REF!),"")</f>
        <v/>
      </c>
      <c r="U1002" s="0" t="str">
        <f aca="false">IFERROR(IF(OR(HLOOKUP($A1002,#REF!,19,FALSE())&gt;2,HLOOKUP($A1002,#REF!,19,FALSE())&lt;-2),"",#REF!),"")</f>
        <v/>
      </c>
      <c r="V1002" s="0" t="n">
        <f aca="false">IFERROR(IF(AND(X1002=0,Y1002=0),0,1),0)</f>
        <v>1</v>
      </c>
      <c r="W1002" s="3" t="str">
        <f aca="false">IFERROR(_xlfn.T.TEST(E1002:M1002,N1002:U1002,2,2),"")</f>
        <v/>
      </c>
      <c r="X1002" s="0" t="str">
        <f aca="false">IFERROR(AVERAGE(E1002:M1002),"")</f>
        <v/>
      </c>
      <c r="Y1002" s="0" t="str">
        <f aca="false">IFERROR(AVERAGE(N1002:U1002),"")</f>
        <v/>
      </c>
    </row>
    <row r="1003" customFormat="false" ht="14.5" hidden="false" customHeight="false" outlineLevel="0" collapsed="false">
      <c r="A1003" s="0" t="n">
        <v>1011</v>
      </c>
      <c r="B1003" s="0" t="s">
        <v>1049</v>
      </c>
      <c r="C1003" s="0" t="n">
        <v>10600</v>
      </c>
      <c r="D1003" s="0" t="n">
        <v>247</v>
      </c>
      <c r="E1003" s="0" t="str">
        <f aca="false">IFERROR(IF(OR(HLOOKUP($A1003,#REF!,3,FALSE())&gt;2,HLOOKUP(A1003,#REF!,3,FALSE())&lt;-2),"",#REF!),"")</f>
        <v/>
      </c>
      <c r="F1003" s="0" t="str">
        <f aca="false">IFERROR(IF(OR(HLOOKUP($A1003,#REF!,4,FALSE())&gt;2,HLOOKUP($A1003,#REF!,4,FALSE())&lt;-2),"",#REF!),"")</f>
        <v/>
      </c>
      <c r="G1003" s="0" t="str">
        <f aca="false">IFERROR(IF(OR(HLOOKUP($A1003,#REF!,5,FALSE())&gt;2,HLOOKUP($A1003,#REF!,5,FALSE())&lt;-2),"",#REF!),"")</f>
        <v/>
      </c>
      <c r="H1003" s="0" t="str">
        <f aca="false">IFERROR(IF(OR(HLOOKUP($A1003,#REF!,6,FALSE())&gt;2,HLOOKUP($A1003,#REF!,6,FALSE())&lt;-2),"",#REF!),"")</f>
        <v/>
      </c>
      <c r="I1003" s="0" t="str">
        <f aca="false">IFERROR(IF(OR(HLOOKUP($A1003,#REF!,7,FALSE())&gt;2,HLOOKUP($A1003,#REF!,7,FALSE())&lt;-2),"",#REF!),"")</f>
        <v/>
      </c>
      <c r="J1003" s="0" t="str">
        <f aca="false">IFERROR(IF(OR(HLOOKUP($A1003,#REF!,8,FALSE())&gt;2,HLOOKUP($A1003,#REF!,8,FALSE())&lt;-2),"",#REF!),"")</f>
        <v/>
      </c>
      <c r="K1003" s="0" t="str">
        <f aca="false">IFERROR(IF(OR(HLOOKUP($A1003,#REF!,9,FALSE())&gt;2,HLOOKUP($A1003,#REF!,9,FALSE())&lt;-2),"",#REF!),"")</f>
        <v/>
      </c>
      <c r="L1003" s="0" t="str">
        <f aca="false">IFERROR(IF(OR(HLOOKUP($A1003,#REF!,10,FALSE())&gt;2,HLOOKUP($A1003,#REF!,10,FALSE())&lt;-2),"",#REF!),"")</f>
        <v/>
      </c>
      <c r="M1003" s="0" t="str">
        <f aca="false">IFERROR(IF(OR(HLOOKUP($A1003,#REF!,11,FALSE())&gt;2,HLOOKUP($A1003,#REF!,11,FALSE())&lt;-2),"",#REF!),"")</f>
        <v/>
      </c>
      <c r="N1003" s="0" t="str">
        <f aca="false">IFERROR(IF(OR(HLOOKUP($A1003,#REF!,12,FALSE())&gt;2,HLOOKUP($A1003,#REF!,12,FALSE())&lt;-2),"",#REF!),"")</f>
        <v/>
      </c>
      <c r="O1003" s="0" t="str">
        <f aca="false">IFERROR(IF(OR(HLOOKUP($A1003,#REF!,13,FALSE())&gt;2,HLOOKUP($A1003,#REF!,13,FALSE())&lt;-2),"",#REF!),"")</f>
        <v/>
      </c>
      <c r="P1003" s="0" t="str">
        <f aca="false">IFERROR(IF(OR(HLOOKUP($A1003,#REF!,14,FALSE())&gt;2,HLOOKUP($A1003,#REF!,14,FALSE())&lt;-2),"",#REF!),"")</f>
        <v/>
      </c>
      <c r="Q1003" s="0" t="str">
        <f aca="false">IFERROR(IF(OR(HLOOKUP($A1003,#REF!,15,FALSE())&gt;2,HLOOKUP($A1003,#REF!,15,FALSE())&lt;-2),"",#REF!),"")</f>
        <v/>
      </c>
      <c r="R1003" s="0" t="str">
        <f aca="false">IFERROR(IF(OR(HLOOKUP($A1003,#REF!,16,FALSE())&gt;2,HLOOKUP($A1003,#REF!,16,FALSE())&lt;-2),"",#REF!),"")</f>
        <v/>
      </c>
      <c r="S1003" s="0" t="str">
        <f aca="false">IFERROR(IF(OR(HLOOKUP($A1003,#REF!,17,FALSE())&gt;2,HLOOKUP($A1003,#REF!,17,FALSE())&lt;-2),"",#REF!),"")</f>
        <v/>
      </c>
      <c r="T1003" s="0" t="str">
        <f aca="false">IFERROR(IF(OR(HLOOKUP($A1003,#REF!,18,FALSE())&gt;2,HLOOKUP($A1003,#REF!,18,FALSE())&lt;-2),"",#REF!),"")</f>
        <v/>
      </c>
      <c r="U1003" s="0" t="str">
        <f aca="false">IFERROR(IF(OR(HLOOKUP($A1003,#REF!,19,FALSE())&gt;2,HLOOKUP($A1003,#REF!,19,FALSE())&lt;-2),"",#REF!),"")</f>
        <v/>
      </c>
      <c r="V1003" s="0" t="n">
        <f aca="false">IFERROR(IF(AND(X1003=0,Y1003=0),0,1),0)</f>
        <v>1</v>
      </c>
      <c r="W1003" s="3" t="str">
        <f aca="false">IFERROR(_xlfn.T.TEST(E1003:M1003,N1003:U1003,2,2),"")</f>
        <v/>
      </c>
      <c r="X1003" s="0" t="str">
        <f aca="false">IFERROR(AVERAGE(E1003:M1003),"")</f>
        <v/>
      </c>
      <c r="Y1003" s="0" t="str">
        <f aca="false">IFERROR(AVERAGE(N1003:U1003),"")</f>
        <v/>
      </c>
    </row>
    <row r="1004" customFormat="false" ht="14.5" hidden="false" customHeight="false" outlineLevel="0" collapsed="false">
      <c r="A1004" s="0" t="n">
        <v>1012</v>
      </c>
      <c r="B1004" s="0" t="s">
        <v>1050</v>
      </c>
      <c r="C1004" s="0" t="n">
        <v>107300</v>
      </c>
      <c r="D1004" s="0" t="n">
        <v>784</v>
      </c>
      <c r="E1004" s="0" t="str">
        <f aca="false">IFERROR(IF(OR(HLOOKUP($A1004,#REF!,3,FALSE())&gt;2,HLOOKUP(A1004,#REF!,3,FALSE())&lt;-2),"",#REF!),"")</f>
        <v/>
      </c>
      <c r="F1004" s="0" t="str">
        <f aca="false">IFERROR(IF(OR(HLOOKUP($A1004,#REF!,4,FALSE())&gt;2,HLOOKUP($A1004,#REF!,4,FALSE())&lt;-2),"",#REF!),"")</f>
        <v/>
      </c>
      <c r="G1004" s="0" t="str">
        <f aca="false">IFERROR(IF(OR(HLOOKUP($A1004,#REF!,5,FALSE())&gt;2,HLOOKUP($A1004,#REF!,5,FALSE())&lt;-2),"",#REF!),"")</f>
        <v/>
      </c>
      <c r="H1004" s="0" t="str">
        <f aca="false">IFERROR(IF(OR(HLOOKUP($A1004,#REF!,6,FALSE())&gt;2,HLOOKUP($A1004,#REF!,6,FALSE())&lt;-2),"",#REF!),"")</f>
        <v/>
      </c>
      <c r="I1004" s="0" t="str">
        <f aca="false">IFERROR(IF(OR(HLOOKUP($A1004,#REF!,7,FALSE())&gt;2,HLOOKUP($A1004,#REF!,7,FALSE())&lt;-2),"",#REF!),"")</f>
        <v/>
      </c>
      <c r="J1004" s="0" t="str">
        <f aca="false">IFERROR(IF(OR(HLOOKUP($A1004,#REF!,8,FALSE())&gt;2,HLOOKUP($A1004,#REF!,8,FALSE())&lt;-2),"",#REF!),"")</f>
        <v/>
      </c>
      <c r="K1004" s="0" t="str">
        <f aca="false">IFERROR(IF(OR(HLOOKUP($A1004,#REF!,9,FALSE())&gt;2,HLOOKUP($A1004,#REF!,9,FALSE())&lt;-2),"",#REF!),"")</f>
        <v/>
      </c>
      <c r="L1004" s="0" t="str">
        <f aca="false">IFERROR(IF(OR(HLOOKUP($A1004,#REF!,10,FALSE())&gt;2,HLOOKUP($A1004,#REF!,10,FALSE())&lt;-2),"",#REF!),"")</f>
        <v/>
      </c>
      <c r="M1004" s="0" t="str">
        <f aca="false">IFERROR(IF(OR(HLOOKUP($A1004,#REF!,11,FALSE())&gt;2,HLOOKUP($A1004,#REF!,11,FALSE())&lt;-2),"",#REF!),"")</f>
        <v/>
      </c>
      <c r="N1004" s="0" t="str">
        <f aca="false">IFERROR(IF(OR(HLOOKUP($A1004,#REF!,12,FALSE())&gt;2,HLOOKUP($A1004,#REF!,12,FALSE())&lt;-2),"",#REF!),"")</f>
        <v/>
      </c>
      <c r="O1004" s="0" t="str">
        <f aca="false">IFERROR(IF(OR(HLOOKUP($A1004,#REF!,13,FALSE())&gt;2,HLOOKUP($A1004,#REF!,13,FALSE())&lt;-2),"",#REF!),"")</f>
        <v/>
      </c>
      <c r="P1004" s="0" t="str">
        <f aca="false">IFERROR(IF(OR(HLOOKUP($A1004,#REF!,14,FALSE())&gt;2,HLOOKUP($A1004,#REF!,14,FALSE())&lt;-2),"",#REF!),"")</f>
        <v/>
      </c>
      <c r="Q1004" s="0" t="str">
        <f aca="false">IFERROR(IF(OR(HLOOKUP($A1004,#REF!,15,FALSE())&gt;2,HLOOKUP($A1004,#REF!,15,FALSE())&lt;-2),"",#REF!),"")</f>
        <v/>
      </c>
      <c r="R1004" s="0" t="str">
        <f aca="false">IFERROR(IF(OR(HLOOKUP($A1004,#REF!,16,FALSE())&gt;2,HLOOKUP($A1004,#REF!,16,FALSE())&lt;-2),"",#REF!),"")</f>
        <v/>
      </c>
      <c r="S1004" s="0" t="str">
        <f aca="false">IFERROR(IF(OR(HLOOKUP($A1004,#REF!,17,FALSE())&gt;2,HLOOKUP($A1004,#REF!,17,FALSE())&lt;-2),"",#REF!),"")</f>
        <v/>
      </c>
      <c r="T1004" s="0" t="str">
        <f aca="false">IFERROR(IF(OR(HLOOKUP($A1004,#REF!,18,FALSE())&gt;2,HLOOKUP($A1004,#REF!,18,FALSE())&lt;-2),"",#REF!),"")</f>
        <v/>
      </c>
      <c r="U1004" s="0" t="str">
        <f aca="false">IFERROR(IF(OR(HLOOKUP($A1004,#REF!,19,FALSE())&gt;2,HLOOKUP($A1004,#REF!,19,FALSE())&lt;-2),"",#REF!),"")</f>
        <v/>
      </c>
      <c r="V1004" s="0" t="n">
        <f aca="false">IFERROR(IF(AND(X1004=0,Y1004=0),0,1),0)</f>
        <v>1</v>
      </c>
      <c r="W1004" s="3" t="str">
        <f aca="false">IFERROR(_xlfn.T.TEST(E1004:M1004,N1004:U1004,2,2),"")</f>
        <v/>
      </c>
      <c r="X1004" s="0" t="str">
        <f aca="false">IFERROR(AVERAGE(E1004:M1004),"")</f>
        <v/>
      </c>
      <c r="Y1004" s="0" t="str">
        <f aca="false">IFERROR(AVERAGE(N1004:U1004),"")</f>
        <v/>
      </c>
    </row>
    <row r="1005" customFormat="false" ht="14.5" hidden="false" customHeight="false" outlineLevel="0" collapsed="false">
      <c r="A1005" s="0" t="n">
        <v>1014</v>
      </c>
      <c r="B1005" s="0" t="s">
        <v>1051</v>
      </c>
      <c r="C1005" s="0" t="n">
        <v>69000</v>
      </c>
      <c r="D1005" s="0" t="n">
        <v>856</v>
      </c>
      <c r="E1005" s="0" t="str">
        <f aca="false">IFERROR(IF(OR(HLOOKUP($A1005,#REF!,3,FALSE())&gt;2,HLOOKUP(A1005,#REF!,3,FALSE())&lt;-2),"",#REF!),"")</f>
        <v/>
      </c>
      <c r="F1005" s="0" t="str">
        <f aca="false">IFERROR(IF(OR(HLOOKUP($A1005,#REF!,4,FALSE())&gt;2,HLOOKUP($A1005,#REF!,4,FALSE())&lt;-2),"",#REF!),"")</f>
        <v/>
      </c>
      <c r="G1005" s="0" t="str">
        <f aca="false">IFERROR(IF(OR(HLOOKUP($A1005,#REF!,5,FALSE())&gt;2,HLOOKUP($A1005,#REF!,5,FALSE())&lt;-2),"",#REF!),"")</f>
        <v/>
      </c>
      <c r="H1005" s="0" t="str">
        <f aca="false">IFERROR(IF(OR(HLOOKUP($A1005,#REF!,6,FALSE())&gt;2,HLOOKUP($A1005,#REF!,6,FALSE())&lt;-2),"",#REF!),"")</f>
        <v/>
      </c>
      <c r="I1005" s="0" t="str">
        <f aca="false">IFERROR(IF(OR(HLOOKUP($A1005,#REF!,7,FALSE())&gt;2,HLOOKUP($A1005,#REF!,7,FALSE())&lt;-2),"",#REF!),"")</f>
        <v/>
      </c>
      <c r="J1005" s="0" t="str">
        <f aca="false">IFERROR(IF(OR(HLOOKUP($A1005,#REF!,8,FALSE())&gt;2,HLOOKUP($A1005,#REF!,8,FALSE())&lt;-2),"",#REF!),"")</f>
        <v/>
      </c>
      <c r="K1005" s="0" t="str">
        <f aca="false">IFERROR(IF(OR(HLOOKUP($A1005,#REF!,9,FALSE())&gt;2,HLOOKUP($A1005,#REF!,9,FALSE())&lt;-2),"",#REF!),"")</f>
        <v/>
      </c>
      <c r="L1005" s="0" t="str">
        <f aca="false">IFERROR(IF(OR(HLOOKUP($A1005,#REF!,10,FALSE())&gt;2,HLOOKUP($A1005,#REF!,10,FALSE())&lt;-2),"",#REF!),"")</f>
        <v/>
      </c>
      <c r="M1005" s="0" t="str">
        <f aca="false">IFERROR(IF(OR(HLOOKUP($A1005,#REF!,11,FALSE())&gt;2,HLOOKUP($A1005,#REF!,11,FALSE())&lt;-2),"",#REF!),"")</f>
        <v/>
      </c>
      <c r="N1005" s="0" t="str">
        <f aca="false">IFERROR(IF(OR(HLOOKUP($A1005,#REF!,12,FALSE())&gt;2,HLOOKUP($A1005,#REF!,12,FALSE())&lt;-2),"",#REF!),"")</f>
        <v/>
      </c>
      <c r="O1005" s="0" t="str">
        <f aca="false">IFERROR(IF(OR(HLOOKUP($A1005,#REF!,13,FALSE())&gt;2,HLOOKUP($A1005,#REF!,13,FALSE())&lt;-2),"",#REF!),"")</f>
        <v/>
      </c>
      <c r="P1005" s="0" t="str">
        <f aca="false">IFERROR(IF(OR(HLOOKUP($A1005,#REF!,14,FALSE())&gt;2,HLOOKUP($A1005,#REF!,14,FALSE())&lt;-2),"",#REF!),"")</f>
        <v/>
      </c>
      <c r="Q1005" s="0" t="str">
        <f aca="false">IFERROR(IF(OR(HLOOKUP($A1005,#REF!,15,FALSE())&gt;2,HLOOKUP($A1005,#REF!,15,FALSE())&lt;-2),"",#REF!),"")</f>
        <v/>
      </c>
      <c r="R1005" s="0" t="str">
        <f aca="false">IFERROR(IF(OR(HLOOKUP($A1005,#REF!,16,FALSE())&gt;2,HLOOKUP($A1005,#REF!,16,FALSE())&lt;-2),"",#REF!),"")</f>
        <v/>
      </c>
      <c r="S1005" s="0" t="str">
        <f aca="false">IFERROR(IF(OR(HLOOKUP($A1005,#REF!,17,FALSE())&gt;2,HLOOKUP($A1005,#REF!,17,FALSE())&lt;-2),"",#REF!),"")</f>
        <v/>
      </c>
      <c r="T1005" s="0" t="str">
        <f aca="false">IFERROR(IF(OR(HLOOKUP($A1005,#REF!,18,FALSE())&gt;2,HLOOKUP($A1005,#REF!,18,FALSE())&lt;-2),"",#REF!),"")</f>
        <v/>
      </c>
      <c r="U1005" s="0" t="str">
        <f aca="false">IFERROR(IF(OR(HLOOKUP($A1005,#REF!,19,FALSE())&gt;2,HLOOKUP($A1005,#REF!,19,FALSE())&lt;-2),"",#REF!),"")</f>
        <v/>
      </c>
      <c r="V1005" s="0" t="n">
        <f aca="false">IFERROR(IF(AND(X1005=0,Y1005=0),0,1),0)</f>
        <v>1</v>
      </c>
      <c r="W1005" s="3" t="str">
        <f aca="false">IFERROR(_xlfn.T.TEST(E1005:M1005,N1005:U1005,2,2),"")</f>
        <v/>
      </c>
      <c r="X1005" s="0" t="str">
        <f aca="false">IFERROR(AVERAGE(E1005:M1005),"")</f>
        <v/>
      </c>
      <c r="Y1005" s="0" t="str">
        <f aca="false">IFERROR(AVERAGE(N1005:U1005),"")</f>
        <v/>
      </c>
    </row>
    <row r="1006" customFormat="false" ht="14.5" hidden="false" customHeight="false" outlineLevel="0" collapsed="false">
      <c r="A1006" s="0" t="n">
        <v>1015</v>
      </c>
      <c r="B1006" s="0" t="s">
        <v>76</v>
      </c>
      <c r="C1006" s="0" t="n">
        <v>19200</v>
      </c>
      <c r="D1006" s="0" t="n">
        <v>39</v>
      </c>
      <c r="E1006" s="0" t="str">
        <f aca="false">IFERROR(IF(OR(HLOOKUP($A1006,#REF!,3,FALSE())&gt;2,HLOOKUP(A1006,#REF!,3,FALSE())&lt;-2),"",#REF!),"")</f>
        <v/>
      </c>
      <c r="F1006" s="0" t="str">
        <f aca="false">IFERROR(IF(OR(HLOOKUP($A1006,#REF!,4,FALSE())&gt;2,HLOOKUP($A1006,#REF!,4,FALSE())&lt;-2),"",#REF!),"")</f>
        <v/>
      </c>
      <c r="G1006" s="0" t="str">
        <f aca="false">IFERROR(IF(OR(HLOOKUP($A1006,#REF!,5,FALSE())&gt;2,HLOOKUP($A1006,#REF!,5,FALSE())&lt;-2),"",#REF!),"")</f>
        <v/>
      </c>
      <c r="H1006" s="0" t="str">
        <f aca="false">IFERROR(IF(OR(HLOOKUP($A1006,#REF!,6,FALSE())&gt;2,HLOOKUP($A1006,#REF!,6,FALSE())&lt;-2),"",#REF!),"")</f>
        <v/>
      </c>
      <c r="I1006" s="0" t="str">
        <f aca="false">IFERROR(IF(OR(HLOOKUP($A1006,#REF!,7,FALSE())&gt;2,HLOOKUP($A1006,#REF!,7,FALSE())&lt;-2),"",#REF!),"")</f>
        <v/>
      </c>
      <c r="J1006" s="0" t="str">
        <f aca="false">IFERROR(IF(OR(HLOOKUP($A1006,#REF!,8,FALSE())&gt;2,HLOOKUP($A1006,#REF!,8,FALSE())&lt;-2),"",#REF!),"")</f>
        <v/>
      </c>
      <c r="K1006" s="0" t="str">
        <f aca="false">IFERROR(IF(OR(HLOOKUP($A1006,#REF!,9,FALSE())&gt;2,HLOOKUP($A1006,#REF!,9,FALSE())&lt;-2),"",#REF!),"")</f>
        <v/>
      </c>
      <c r="L1006" s="0" t="str">
        <f aca="false">IFERROR(IF(OR(HLOOKUP($A1006,#REF!,10,FALSE())&gt;2,HLOOKUP($A1006,#REF!,10,FALSE())&lt;-2),"",#REF!),"")</f>
        <v/>
      </c>
      <c r="M1006" s="0" t="str">
        <f aca="false">IFERROR(IF(OR(HLOOKUP($A1006,#REF!,11,FALSE())&gt;2,HLOOKUP($A1006,#REF!,11,FALSE())&lt;-2),"",#REF!),"")</f>
        <v/>
      </c>
      <c r="N1006" s="0" t="str">
        <f aca="false">IFERROR(IF(OR(HLOOKUP($A1006,#REF!,12,FALSE())&gt;2,HLOOKUP($A1006,#REF!,12,FALSE())&lt;-2),"",#REF!),"")</f>
        <v/>
      </c>
      <c r="O1006" s="0" t="str">
        <f aca="false">IFERROR(IF(OR(HLOOKUP($A1006,#REF!,13,FALSE())&gt;2,HLOOKUP($A1006,#REF!,13,FALSE())&lt;-2),"",#REF!),"")</f>
        <v/>
      </c>
      <c r="P1006" s="0" t="str">
        <f aca="false">IFERROR(IF(OR(HLOOKUP($A1006,#REF!,14,FALSE())&gt;2,HLOOKUP($A1006,#REF!,14,FALSE())&lt;-2),"",#REF!),"")</f>
        <v/>
      </c>
      <c r="Q1006" s="0" t="str">
        <f aca="false">IFERROR(IF(OR(HLOOKUP($A1006,#REF!,15,FALSE())&gt;2,HLOOKUP($A1006,#REF!,15,FALSE())&lt;-2),"",#REF!),"")</f>
        <v/>
      </c>
      <c r="R1006" s="0" t="str">
        <f aca="false">IFERROR(IF(OR(HLOOKUP($A1006,#REF!,16,FALSE())&gt;2,HLOOKUP($A1006,#REF!,16,FALSE())&lt;-2),"",#REF!),"")</f>
        <v/>
      </c>
      <c r="S1006" s="0" t="str">
        <f aca="false">IFERROR(IF(OR(HLOOKUP($A1006,#REF!,17,FALSE())&gt;2,HLOOKUP($A1006,#REF!,17,FALSE())&lt;-2),"",#REF!),"")</f>
        <v/>
      </c>
      <c r="T1006" s="0" t="str">
        <f aca="false">IFERROR(IF(OR(HLOOKUP($A1006,#REF!,18,FALSE())&gt;2,HLOOKUP($A1006,#REF!,18,FALSE())&lt;-2),"",#REF!),"")</f>
        <v/>
      </c>
      <c r="U1006" s="0" t="str">
        <f aca="false">IFERROR(IF(OR(HLOOKUP($A1006,#REF!,19,FALSE())&gt;2,HLOOKUP($A1006,#REF!,19,FALSE())&lt;-2),"",#REF!),"")</f>
        <v/>
      </c>
      <c r="V1006" s="0" t="n">
        <f aca="false">IFERROR(IF(AND(X1006=0,Y1006=0),0,1),0)</f>
        <v>1</v>
      </c>
      <c r="W1006" s="3" t="str">
        <f aca="false">IFERROR(_xlfn.T.TEST(E1006:M1006,N1006:U1006,2,2),"")</f>
        <v/>
      </c>
      <c r="X1006" s="0" t="str">
        <f aca="false">IFERROR(AVERAGE(E1006:M1006),"")</f>
        <v/>
      </c>
      <c r="Y1006" s="0" t="str">
        <f aca="false">IFERROR(AVERAGE(N1006:U1006),"")</f>
        <v/>
      </c>
    </row>
    <row r="1007" customFormat="false" ht="14.5" hidden="false" customHeight="false" outlineLevel="0" collapsed="false">
      <c r="A1007" s="0" t="n">
        <v>1016</v>
      </c>
      <c r="B1007" s="0" t="s">
        <v>1052</v>
      </c>
      <c r="C1007" s="0" t="n">
        <v>97700</v>
      </c>
      <c r="D1007" s="0" t="n">
        <v>840</v>
      </c>
      <c r="E1007" s="0" t="str">
        <f aca="false">IFERROR(IF(OR(HLOOKUP($A1007,#REF!,3,FALSE())&gt;2,HLOOKUP(A1007,#REF!,3,FALSE())&lt;-2),"",#REF!),"")</f>
        <v/>
      </c>
      <c r="F1007" s="0" t="str">
        <f aca="false">IFERROR(IF(OR(HLOOKUP($A1007,#REF!,4,FALSE())&gt;2,HLOOKUP($A1007,#REF!,4,FALSE())&lt;-2),"",#REF!),"")</f>
        <v/>
      </c>
      <c r="G1007" s="0" t="str">
        <f aca="false">IFERROR(IF(OR(HLOOKUP($A1007,#REF!,5,FALSE())&gt;2,HLOOKUP($A1007,#REF!,5,FALSE())&lt;-2),"",#REF!),"")</f>
        <v/>
      </c>
      <c r="H1007" s="0" t="str">
        <f aca="false">IFERROR(IF(OR(HLOOKUP($A1007,#REF!,6,FALSE())&gt;2,HLOOKUP($A1007,#REF!,6,FALSE())&lt;-2),"",#REF!),"")</f>
        <v/>
      </c>
      <c r="I1007" s="0" t="str">
        <f aca="false">IFERROR(IF(OR(HLOOKUP($A1007,#REF!,7,FALSE())&gt;2,HLOOKUP($A1007,#REF!,7,FALSE())&lt;-2),"",#REF!),"")</f>
        <v/>
      </c>
      <c r="J1007" s="0" t="str">
        <f aca="false">IFERROR(IF(OR(HLOOKUP($A1007,#REF!,8,FALSE())&gt;2,HLOOKUP($A1007,#REF!,8,FALSE())&lt;-2),"",#REF!),"")</f>
        <v/>
      </c>
      <c r="K1007" s="0" t="str">
        <f aca="false">IFERROR(IF(OR(HLOOKUP($A1007,#REF!,9,FALSE())&gt;2,HLOOKUP($A1007,#REF!,9,FALSE())&lt;-2),"",#REF!),"")</f>
        <v/>
      </c>
      <c r="L1007" s="0" t="str">
        <f aca="false">IFERROR(IF(OR(HLOOKUP($A1007,#REF!,10,FALSE())&gt;2,HLOOKUP($A1007,#REF!,10,FALSE())&lt;-2),"",#REF!),"")</f>
        <v/>
      </c>
      <c r="M1007" s="0" t="str">
        <f aca="false">IFERROR(IF(OR(HLOOKUP($A1007,#REF!,11,FALSE())&gt;2,HLOOKUP($A1007,#REF!,11,FALSE())&lt;-2),"",#REF!),"")</f>
        <v/>
      </c>
      <c r="N1007" s="0" t="str">
        <f aca="false">IFERROR(IF(OR(HLOOKUP($A1007,#REF!,12,FALSE())&gt;2,HLOOKUP($A1007,#REF!,12,FALSE())&lt;-2),"",#REF!),"")</f>
        <v/>
      </c>
      <c r="O1007" s="0" t="str">
        <f aca="false">IFERROR(IF(OR(HLOOKUP($A1007,#REF!,13,FALSE())&gt;2,HLOOKUP($A1007,#REF!,13,FALSE())&lt;-2),"",#REF!),"")</f>
        <v/>
      </c>
      <c r="P1007" s="0" t="str">
        <f aca="false">IFERROR(IF(OR(HLOOKUP($A1007,#REF!,14,FALSE())&gt;2,HLOOKUP($A1007,#REF!,14,FALSE())&lt;-2),"",#REF!),"")</f>
        <v/>
      </c>
      <c r="Q1007" s="0" t="str">
        <f aca="false">IFERROR(IF(OR(HLOOKUP($A1007,#REF!,15,FALSE())&gt;2,HLOOKUP($A1007,#REF!,15,FALSE())&lt;-2),"",#REF!),"")</f>
        <v/>
      </c>
      <c r="R1007" s="0" t="str">
        <f aca="false">IFERROR(IF(OR(HLOOKUP($A1007,#REF!,16,FALSE())&gt;2,HLOOKUP($A1007,#REF!,16,FALSE())&lt;-2),"",#REF!),"")</f>
        <v/>
      </c>
      <c r="S1007" s="0" t="str">
        <f aca="false">IFERROR(IF(OR(HLOOKUP($A1007,#REF!,17,FALSE())&gt;2,HLOOKUP($A1007,#REF!,17,FALSE())&lt;-2),"",#REF!),"")</f>
        <v/>
      </c>
      <c r="T1007" s="0" t="str">
        <f aca="false">IFERROR(IF(OR(HLOOKUP($A1007,#REF!,18,FALSE())&gt;2,HLOOKUP($A1007,#REF!,18,FALSE())&lt;-2),"",#REF!),"")</f>
        <v/>
      </c>
      <c r="U1007" s="0" t="str">
        <f aca="false">IFERROR(IF(OR(HLOOKUP($A1007,#REF!,19,FALSE())&gt;2,HLOOKUP($A1007,#REF!,19,FALSE())&lt;-2),"",#REF!),"")</f>
        <v/>
      </c>
      <c r="V1007" s="0" t="n">
        <f aca="false">IFERROR(IF(AND(X1007=0,Y1007=0),0,1),0)</f>
        <v>1</v>
      </c>
      <c r="W1007" s="3" t="str">
        <f aca="false">IFERROR(_xlfn.T.TEST(E1007:M1007,N1007:U1007,2,2),"")</f>
        <v/>
      </c>
      <c r="X1007" s="0" t="str">
        <f aca="false">IFERROR(AVERAGE(E1007:M1007),"")</f>
        <v/>
      </c>
      <c r="Y1007" s="0" t="str">
        <f aca="false">IFERROR(AVERAGE(N1007:U1007),"")</f>
        <v/>
      </c>
    </row>
    <row r="1008" customFormat="false" ht="14.5" hidden="false" customHeight="false" outlineLevel="0" collapsed="false">
      <c r="A1008" s="0" t="n">
        <v>1017</v>
      </c>
      <c r="B1008" s="0" t="s">
        <v>1053</v>
      </c>
      <c r="C1008" s="0" t="n">
        <v>60100</v>
      </c>
      <c r="D1008" s="0" t="n">
        <v>1073</v>
      </c>
      <c r="E1008" s="0" t="str">
        <f aca="false">IFERROR(IF(OR(HLOOKUP($A1008,#REF!,3,FALSE())&gt;2,HLOOKUP(A1008,#REF!,3,FALSE())&lt;-2),"",#REF!),"")</f>
        <v/>
      </c>
      <c r="F1008" s="0" t="str">
        <f aca="false">IFERROR(IF(OR(HLOOKUP($A1008,#REF!,4,FALSE())&gt;2,HLOOKUP($A1008,#REF!,4,FALSE())&lt;-2),"",#REF!),"")</f>
        <v/>
      </c>
      <c r="G1008" s="0" t="str">
        <f aca="false">IFERROR(IF(OR(HLOOKUP($A1008,#REF!,5,FALSE())&gt;2,HLOOKUP($A1008,#REF!,5,FALSE())&lt;-2),"",#REF!),"")</f>
        <v/>
      </c>
      <c r="H1008" s="0" t="str">
        <f aca="false">IFERROR(IF(OR(HLOOKUP($A1008,#REF!,6,FALSE())&gt;2,HLOOKUP($A1008,#REF!,6,FALSE())&lt;-2),"",#REF!),"")</f>
        <v/>
      </c>
      <c r="I1008" s="0" t="str">
        <f aca="false">IFERROR(IF(OR(HLOOKUP($A1008,#REF!,7,FALSE())&gt;2,HLOOKUP($A1008,#REF!,7,FALSE())&lt;-2),"",#REF!),"")</f>
        <v/>
      </c>
      <c r="J1008" s="0" t="str">
        <f aca="false">IFERROR(IF(OR(HLOOKUP($A1008,#REF!,8,FALSE())&gt;2,HLOOKUP($A1008,#REF!,8,FALSE())&lt;-2),"",#REF!),"")</f>
        <v/>
      </c>
      <c r="K1008" s="0" t="str">
        <f aca="false">IFERROR(IF(OR(HLOOKUP($A1008,#REF!,9,FALSE())&gt;2,HLOOKUP($A1008,#REF!,9,FALSE())&lt;-2),"",#REF!),"")</f>
        <v/>
      </c>
      <c r="L1008" s="0" t="str">
        <f aca="false">IFERROR(IF(OR(HLOOKUP($A1008,#REF!,10,FALSE())&gt;2,HLOOKUP($A1008,#REF!,10,FALSE())&lt;-2),"",#REF!),"")</f>
        <v/>
      </c>
      <c r="M1008" s="0" t="str">
        <f aca="false">IFERROR(IF(OR(HLOOKUP($A1008,#REF!,11,FALSE())&gt;2,HLOOKUP($A1008,#REF!,11,FALSE())&lt;-2),"",#REF!),"")</f>
        <v/>
      </c>
      <c r="N1008" s="0" t="str">
        <f aca="false">IFERROR(IF(OR(HLOOKUP($A1008,#REF!,12,FALSE())&gt;2,HLOOKUP($A1008,#REF!,12,FALSE())&lt;-2),"",#REF!),"")</f>
        <v/>
      </c>
      <c r="O1008" s="0" t="str">
        <f aca="false">IFERROR(IF(OR(HLOOKUP($A1008,#REF!,13,FALSE())&gt;2,HLOOKUP($A1008,#REF!,13,FALSE())&lt;-2),"",#REF!),"")</f>
        <v/>
      </c>
      <c r="P1008" s="0" t="str">
        <f aca="false">IFERROR(IF(OR(HLOOKUP($A1008,#REF!,14,FALSE())&gt;2,HLOOKUP($A1008,#REF!,14,FALSE())&lt;-2),"",#REF!),"")</f>
        <v/>
      </c>
      <c r="Q1008" s="0" t="str">
        <f aca="false">IFERROR(IF(OR(HLOOKUP($A1008,#REF!,15,FALSE())&gt;2,HLOOKUP($A1008,#REF!,15,FALSE())&lt;-2),"",#REF!),"")</f>
        <v/>
      </c>
      <c r="R1008" s="0" t="str">
        <f aca="false">IFERROR(IF(OR(HLOOKUP($A1008,#REF!,16,FALSE())&gt;2,HLOOKUP($A1008,#REF!,16,FALSE())&lt;-2),"",#REF!),"")</f>
        <v/>
      </c>
      <c r="S1008" s="0" t="str">
        <f aca="false">IFERROR(IF(OR(HLOOKUP($A1008,#REF!,17,FALSE())&gt;2,HLOOKUP($A1008,#REF!,17,FALSE())&lt;-2),"",#REF!),"")</f>
        <v/>
      </c>
      <c r="T1008" s="0" t="str">
        <f aca="false">IFERROR(IF(OR(HLOOKUP($A1008,#REF!,18,FALSE())&gt;2,HLOOKUP($A1008,#REF!,18,FALSE())&lt;-2),"",#REF!),"")</f>
        <v/>
      </c>
      <c r="U1008" s="0" t="str">
        <f aca="false">IFERROR(IF(OR(HLOOKUP($A1008,#REF!,19,FALSE())&gt;2,HLOOKUP($A1008,#REF!,19,FALSE())&lt;-2),"",#REF!),"")</f>
        <v/>
      </c>
      <c r="V1008" s="0" t="n">
        <f aca="false">IFERROR(IF(AND(X1008=0,Y1008=0),0,1),0)</f>
        <v>1</v>
      </c>
      <c r="W1008" s="3" t="str">
        <f aca="false">IFERROR(_xlfn.T.TEST(E1008:M1008,N1008:U1008,2,2),"")</f>
        <v/>
      </c>
      <c r="X1008" s="0" t="str">
        <f aca="false">IFERROR(AVERAGE(E1008:M1008),"")</f>
        <v/>
      </c>
      <c r="Y1008" s="0" t="str">
        <f aca="false">IFERROR(AVERAGE(N1008:U1008),"")</f>
        <v/>
      </c>
    </row>
    <row r="1009" customFormat="false" ht="14.5" hidden="false" customHeight="false" outlineLevel="0" collapsed="false">
      <c r="A1009" s="0" t="n">
        <v>1018</v>
      </c>
      <c r="B1009" s="0" t="s">
        <v>1054</v>
      </c>
      <c r="C1009" s="0" t="n">
        <v>12700</v>
      </c>
      <c r="D1009" s="0" t="n">
        <v>247</v>
      </c>
      <c r="E1009" s="0" t="str">
        <f aca="false">IFERROR(IF(OR(HLOOKUP($A1009,#REF!,3,FALSE())&gt;2,HLOOKUP(A1009,#REF!,3,FALSE())&lt;-2),"",#REF!),"")</f>
        <v/>
      </c>
      <c r="F1009" s="0" t="str">
        <f aca="false">IFERROR(IF(OR(HLOOKUP($A1009,#REF!,4,FALSE())&gt;2,HLOOKUP($A1009,#REF!,4,FALSE())&lt;-2),"",#REF!),"")</f>
        <v/>
      </c>
      <c r="G1009" s="0" t="str">
        <f aca="false">IFERROR(IF(OR(HLOOKUP($A1009,#REF!,5,FALSE())&gt;2,HLOOKUP($A1009,#REF!,5,FALSE())&lt;-2),"",#REF!),"")</f>
        <v/>
      </c>
      <c r="H1009" s="0" t="str">
        <f aca="false">IFERROR(IF(OR(HLOOKUP($A1009,#REF!,6,FALSE())&gt;2,HLOOKUP($A1009,#REF!,6,FALSE())&lt;-2),"",#REF!),"")</f>
        <v/>
      </c>
      <c r="I1009" s="0" t="str">
        <f aca="false">IFERROR(IF(OR(HLOOKUP($A1009,#REF!,7,FALSE())&gt;2,HLOOKUP($A1009,#REF!,7,FALSE())&lt;-2),"",#REF!),"")</f>
        <v/>
      </c>
      <c r="J1009" s="0" t="str">
        <f aca="false">IFERROR(IF(OR(HLOOKUP($A1009,#REF!,8,FALSE())&gt;2,HLOOKUP($A1009,#REF!,8,FALSE())&lt;-2),"",#REF!),"")</f>
        <v/>
      </c>
      <c r="K1009" s="0" t="str">
        <f aca="false">IFERROR(IF(OR(HLOOKUP($A1009,#REF!,9,FALSE())&gt;2,HLOOKUP($A1009,#REF!,9,FALSE())&lt;-2),"",#REF!),"")</f>
        <v/>
      </c>
      <c r="L1009" s="0" t="str">
        <f aca="false">IFERROR(IF(OR(HLOOKUP($A1009,#REF!,10,FALSE())&gt;2,HLOOKUP($A1009,#REF!,10,FALSE())&lt;-2),"",#REF!),"")</f>
        <v/>
      </c>
      <c r="M1009" s="0" t="str">
        <f aca="false">IFERROR(IF(OR(HLOOKUP($A1009,#REF!,11,FALSE())&gt;2,HLOOKUP($A1009,#REF!,11,FALSE())&lt;-2),"",#REF!),"")</f>
        <v/>
      </c>
      <c r="N1009" s="0" t="str">
        <f aca="false">IFERROR(IF(OR(HLOOKUP($A1009,#REF!,12,FALSE())&gt;2,HLOOKUP($A1009,#REF!,12,FALSE())&lt;-2),"",#REF!),"")</f>
        <v/>
      </c>
      <c r="O1009" s="0" t="str">
        <f aca="false">IFERROR(IF(OR(HLOOKUP($A1009,#REF!,13,FALSE())&gt;2,HLOOKUP($A1009,#REF!,13,FALSE())&lt;-2),"",#REF!),"")</f>
        <v/>
      </c>
      <c r="P1009" s="0" t="str">
        <f aca="false">IFERROR(IF(OR(HLOOKUP($A1009,#REF!,14,FALSE())&gt;2,HLOOKUP($A1009,#REF!,14,FALSE())&lt;-2),"",#REF!),"")</f>
        <v/>
      </c>
      <c r="Q1009" s="0" t="str">
        <f aca="false">IFERROR(IF(OR(HLOOKUP($A1009,#REF!,15,FALSE())&gt;2,HLOOKUP($A1009,#REF!,15,FALSE())&lt;-2),"",#REF!),"")</f>
        <v/>
      </c>
      <c r="R1009" s="0" t="str">
        <f aca="false">IFERROR(IF(OR(HLOOKUP($A1009,#REF!,16,FALSE())&gt;2,HLOOKUP($A1009,#REF!,16,FALSE())&lt;-2),"",#REF!),"")</f>
        <v/>
      </c>
      <c r="S1009" s="0" t="str">
        <f aca="false">IFERROR(IF(OR(HLOOKUP($A1009,#REF!,17,FALSE())&gt;2,HLOOKUP($A1009,#REF!,17,FALSE())&lt;-2),"",#REF!),"")</f>
        <v/>
      </c>
      <c r="T1009" s="0" t="str">
        <f aca="false">IFERROR(IF(OR(HLOOKUP($A1009,#REF!,18,FALSE())&gt;2,HLOOKUP($A1009,#REF!,18,FALSE())&lt;-2),"",#REF!),"")</f>
        <v/>
      </c>
      <c r="U1009" s="0" t="str">
        <f aca="false">IFERROR(IF(OR(HLOOKUP($A1009,#REF!,19,FALSE())&gt;2,HLOOKUP($A1009,#REF!,19,FALSE())&lt;-2),"",#REF!),"")</f>
        <v/>
      </c>
      <c r="V1009" s="0" t="n">
        <f aca="false">IFERROR(IF(AND(X1009=0,Y1009=0),0,1),0)</f>
        <v>1</v>
      </c>
      <c r="W1009" s="3" t="str">
        <f aca="false">IFERROR(_xlfn.T.TEST(E1009:M1009,N1009:U1009,2,2),"")</f>
        <v/>
      </c>
      <c r="X1009" s="0" t="str">
        <f aca="false">IFERROR(AVERAGE(E1009:M1009),"")</f>
        <v/>
      </c>
      <c r="Y1009" s="0" t="str">
        <f aca="false">IFERROR(AVERAGE(N1009:U1009),"")</f>
        <v/>
      </c>
    </row>
    <row r="1010" customFormat="false" ht="14.5" hidden="false" customHeight="false" outlineLevel="0" collapsed="false">
      <c r="A1010" s="0" t="n">
        <v>1019</v>
      </c>
      <c r="B1010" s="0" t="s">
        <v>1055</v>
      </c>
      <c r="C1010" s="0" t="n">
        <v>107800</v>
      </c>
      <c r="D1010" s="0" t="n">
        <v>784</v>
      </c>
      <c r="E1010" s="0" t="str">
        <f aca="false">IFERROR(IF(OR(HLOOKUP($A1010,#REF!,3,FALSE())&gt;2,HLOOKUP(A1010,#REF!,3,FALSE())&lt;-2),"",#REF!),"")</f>
        <v/>
      </c>
      <c r="F1010" s="0" t="str">
        <f aca="false">IFERROR(IF(OR(HLOOKUP($A1010,#REF!,4,FALSE())&gt;2,HLOOKUP($A1010,#REF!,4,FALSE())&lt;-2),"",#REF!),"")</f>
        <v/>
      </c>
      <c r="G1010" s="0" t="str">
        <f aca="false">IFERROR(IF(OR(HLOOKUP($A1010,#REF!,5,FALSE())&gt;2,HLOOKUP($A1010,#REF!,5,FALSE())&lt;-2),"",#REF!),"")</f>
        <v/>
      </c>
      <c r="H1010" s="0" t="str">
        <f aca="false">IFERROR(IF(OR(HLOOKUP($A1010,#REF!,6,FALSE())&gt;2,HLOOKUP($A1010,#REF!,6,FALSE())&lt;-2),"",#REF!),"")</f>
        <v/>
      </c>
      <c r="I1010" s="0" t="str">
        <f aca="false">IFERROR(IF(OR(HLOOKUP($A1010,#REF!,7,FALSE())&gt;2,HLOOKUP($A1010,#REF!,7,FALSE())&lt;-2),"",#REF!),"")</f>
        <v/>
      </c>
      <c r="J1010" s="0" t="str">
        <f aca="false">IFERROR(IF(OR(HLOOKUP($A1010,#REF!,8,FALSE())&gt;2,HLOOKUP($A1010,#REF!,8,FALSE())&lt;-2),"",#REF!),"")</f>
        <v/>
      </c>
      <c r="K1010" s="0" t="str">
        <f aca="false">IFERROR(IF(OR(HLOOKUP($A1010,#REF!,9,FALSE())&gt;2,HLOOKUP($A1010,#REF!,9,FALSE())&lt;-2),"",#REF!),"")</f>
        <v/>
      </c>
      <c r="L1010" s="0" t="str">
        <f aca="false">IFERROR(IF(OR(HLOOKUP($A1010,#REF!,10,FALSE())&gt;2,HLOOKUP($A1010,#REF!,10,FALSE())&lt;-2),"",#REF!),"")</f>
        <v/>
      </c>
      <c r="M1010" s="0" t="str">
        <f aca="false">IFERROR(IF(OR(HLOOKUP($A1010,#REF!,11,FALSE())&gt;2,HLOOKUP($A1010,#REF!,11,FALSE())&lt;-2),"",#REF!),"")</f>
        <v/>
      </c>
      <c r="N1010" s="0" t="str">
        <f aca="false">IFERROR(IF(OR(HLOOKUP($A1010,#REF!,12,FALSE())&gt;2,HLOOKUP($A1010,#REF!,12,FALSE())&lt;-2),"",#REF!),"")</f>
        <v/>
      </c>
      <c r="O1010" s="0" t="str">
        <f aca="false">IFERROR(IF(OR(HLOOKUP($A1010,#REF!,13,FALSE())&gt;2,HLOOKUP($A1010,#REF!,13,FALSE())&lt;-2),"",#REF!),"")</f>
        <v/>
      </c>
      <c r="P1010" s="0" t="str">
        <f aca="false">IFERROR(IF(OR(HLOOKUP($A1010,#REF!,14,FALSE())&gt;2,HLOOKUP($A1010,#REF!,14,FALSE())&lt;-2),"",#REF!),"")</f>
        <v/>
      </c>
      <c r="Q1010" s="0" t="str">
        <f aca="false">IFERROR(IF(OR(HLOOKUP($A1010,#REF!,15,FALSE())&gt;2,HLOOKUP($A1010,#REF!,15,FALSE())&lt;-2),"",#REF!),"")</f>
        <v/>
      </c>
      <c r="R1010" s="0" t="str">
        <f aca="false">IFERROR(IF(OR(HLOOKUP($A1010,#REF!,16,FALSE())&gt;2,HLOOKUP($A1010,#REF!,16,FALSE())&lt;-2),"",#REF!),"")</f>
        <v/>
      </c>
      <c r="S1010" s="0" t="str">
        <f aca="false">IFERROR(IF(OR(HLOOKUP($A1010,#REF!,17,FALSE())&gt;2,HLOOKUP($A1010,#REF!,17,FALSE())&lt;-2),"",#REF!),"")</f>
        <v/>
      </c>
      <c r="T1010" s="0" t="str">
        <f aca="false">IFERROR(IF(OR(HLOOKUP($A1010,#REF!,18,FALSE())&gt;2,HLOOKUP($A1010,#REF!,18,FALSE())&lt;-2),"",#REF!),"")</f>
        <v/>
      </c>
      <c r="U1010" s="0" t="str">
        <f aca="false">IFERROR(IF(OR(HLOOKUP($A1010,#REF!,19,FALSE())&gt;2,HLOOKUP($A1010,#REF!,19,FALSE())&lt;-2),"",#REF!),"")</f>
        <v/>
      </c>
      <c r="V1010" s="0" t="n">
        <f aca="false">IFERROR(IF(AND(X1010=0,Y1010=0),0,1),0)</f>
        <v>1</v>
      </c>
      <c r="W1010" s="3" t="str">
        <f aca="false">IFERROR(_xlfn.T.TEST(E1010:M1010,N1010:U1010,2,2),"")</f>
        <v/>
      </c>
      <c r="X1010" s="0" t="str">
        <f aca="false">IFERROR(AVERAGE(E1010:M1010),"")</f>
        <v/>
      </c>
      <c r="Y1010" s="0" t="str">
        <f aca="false">IFERROR(AVERAGE(N1010:U1010),"")</f>
        <v/>
      </c>
    </row>
    <row r="1011" customFormat="false" ht="14.5" hidden="false" customHeight="false" outlineLevel="0" collapsed="false">
      <c r="A1011" s="0" t="n">
        <v>1020</v>
      </c>
      <c r="B1011" s="0" t="s">
        <v>1056</v>
      </c>
      <c r="C1011" s="0" t="n">
        <v>65900</v>
      </c>
      <c r="D1011" s="0" t="n">
        <v>138</v>
      </c>
      <c r="E1011" s="0" t="str">
        <f aca="false">IFERROR(IF(OR(HLOOKUP($A1011,#REF!,3,FALSE())&gt;2,HLOOKUP(A1011,#REF!,3,FALSE())&lt;-2),"",#REF!),"")</f>
        <v/>
      </c>
      <c r="F1011" s="0" t="str">
        <f aca="false">IFERROR(IF(OR(HLOOKUP($A1011,#REF!,4,FALSE())&gt;2,HLOOKUP($A1011,#REF!,4,FALSE())&lt;-2),"",#REF!),"")</f>
        <v/>
      </c>
      <c r="G1011" s="0" t="str">
        <f aca="false">IFERROR(IF(OR(HLOOKUP($A1011,#REF!,5,FALSE())&gt;2,HLOOKUP($A1011,#REF!,5,FALSE())&lt;-2),"",#REF!),"")</f>
        <v/>
      </c>
      <c r="H1011" s="0" t="str">
        <f aca="false">IFERROR(IF(OR(HLOOKUP($A1011,#REF!,6,FALSE())&gt;2,HLOOKUP($A1011,#REF!,6,FALSE())&lt;-2),"",#REF!),"")</f>
        <v/>
      </c>
      <c r="I1011" s="0" t="str">
        <f aca="false">IFERROR(IF(OR(HLOOKUP($A1011,#REF!,7,FALSE())&gt;2,HLOOKUP($A1011,#REF!,7,FALSE())&lt;-2),"",#REF!),"")</f>
        <v/>
      </c>
      <c r="J1011" s="0" t="str">
        <f aca="false">IFERROR(IF(OR(HLOOKUP($A1011,#REF!,8,FALSE())&gt;2,HLOOKUP($A1011,#REF!,8,FALSE())&lt;-2),"",#REF!),"")</f>
        <v/>
      </c>
      <c r="K1011" s="0" t="str">
        <f aca="false">IFERROR(IF(OR(HLOOKUP($A1011,#REF!,9,FALSE())&gt;2,HLOOKUP($A1011,#REF!,9,FALSE())&lt;-2),"",#REF!),"")</f>
        <v/>
      </c>
      <c r="L1011" s="0" t="str">
        <f aca="false">IFERROR(IF(OR(HLOOKUP($A1011,#REF!,10,FALSE())&gt;2,HLOOKUP($A1011,#REF!,10,FALSE())&lt;-2),"",#REF!),"")</f>
        <v/>
      </c>
      <c r="M1011" s="0" t="str">
        <f aca="false">IFERROR(IF(OR(HLOOKUP($A1011,#REF!,11,FALSE())&gt;2,HLOOKUP($A1011,#REF!,11,FALSE())&lt;-2),"",#REF!),"")</f>
        <v/>
      </c>
      <c r="N1011" s="0" t="str">
        <f aca="false">IFERROR(IF(OR(HLOOKUP($A1011,#REF!,12,FALSE())&gt;2,HLOOKUP($A1011,#REF!,12,FALSE())&lt;-2),"",#REF!),"")</f>
        <v/>
      </c>
      <c r="O1011" s="0" t="str">
        <f aca="false">IFERROR(IF(OR(HLOOKUP($A1011,#REF!,13,FALSE())&gt;2,HLOOKUP($A1011,#REF!,13,FALSE())&lt;-2),"",#REF!),"")</f>
        <v/>
      </c>
      <c r="P1011" s="0" t="str">
        <f aca="false">IFERROR(IF(OR(HLOOKUP($A1011,#REF!,14,FALSE())&gt;2,HLOOKUP($A1011,#REF!,14,FALSE())&lt;-2),"",#REF!),"")</f>
        <v/>
      </c>
      <c r="Q1011" s="0" t="str">
        <f aca="false">IFERROR(IF(OR(HLOOKUP($A1011,#REF!,15,FALSE())&gt;2,HLOOKUP($A1011,#REF!,15,FALSE())&lt;-2),"",#REF!),"")</f>
        <v/>
      </c>
      <c r="R1011" s="0" t="str">
        <f aca="false">IFERROR(IF(OR(HLOOKUP($A1011,#REF!,16,FALSE())&gt;2,HLOOKUP($A1011,#REF!,16,FALSE())&lt;-2),"",#REF!),"")</f>
        <v/>
      </c>
      <c r="S1011" s="0" t="str">
        <f aca="false">IFERROR(IF(OR(HLOOKUP($A1011,#REF!,17,FALSE())&gt;2,HLOOKUP($A1011,#REF!,17,FALSE())&lt;-2),"",#REF!),"")</f>
        <v/>
      </c>
      <c r="T1011" s="0" t="str">
        <f aca="false">IFERROR(IF(OR(HLOOKUP($A1011,#REF!,18,FALSE())&gt;2,HLOOKUP($A1011,#REF!,18,FALSE())&lt;-2),"",#REF!),"")</f>
        <v/>
      </c>
      <c r="U1011" s="0" t="str">
        <f aca="false">IFERROR(IF(OR(HLOOKUP($A1011,#REF!,19,FALSE())&gt;2,HLOOKUP($A1011,#REF!,19,FALSE())&lt;-2),"",#REF!),"")</f>
        <v/>
      </c>
      <c r="V1011" s="0" t="n">
        <f aca="false">IFERROR(IF(AND(X1011=0,Y1011=0),0,1),0)</f>
        <v>1</v>
      </c>
      <c r="W1011" s="3" t="str">
        <f aca="false">IFERROR(_xlfn.T.TEST(E1011:M1011,N1011:U1011,2,2),"")</f>
        <v/>
      </c>
      <c r="X1011" s="0" t="str">
        <f aca="false">IFERROR(AVERAGE(E1011:M1011),"")</f>
        <v/>
      </c>
      <c r="Y1011" s="0" t="str">
        <f aca="false">IFERROR(AVERAGE(N1011:U1011),"")</f>
        <v/>
      </c>
    </row>
    <row r="1012" customFormat="false" ht="14.5" hidden="false" customHeight="false" outlineLevel="0" collapsed="false">
      <c r="A1012" s="0" t="n">
        <v>1021</v>
      </c>
      <c r="B1012" s="0" t="s">
        <v>1057</v>
      </c>
      <c r="C1012" s="0" t="n">
        <v>2500</v>
      </c>
      <c r="D1012" s="0" t="n">
        <v>993</v>
      </c>
      <c r="E1012" s="0" t="str">
        <f aca="false">IFERROR(IF(OR(HLOOKUP($A1012,#REF!,3,FALSE())&gt;2,HLOOKUP(A1012,#REF!,3,FALSE())&lt;-2),"",#REF!),"")</f>
        <v/>
      </c>
      <c r="F1012" s="0" t="str">
        <f aca="false">IFERROR(IF(OR(HLOOKUP($A1012,#REF!,4,FALSE())&gt;2,HLOOKUP($A1012,#REF!,4,FALSE())&lt;-2),"",#REF!),"")</f>
        <v/>
      </c>
      <c r="G1012" s="0" t="str">
        <f aca="false">IFERROR(IF(OR(HLOOKUP($A1012,#REF!,5,FALSE())&gt;2,HLOOKUP($A1012,#REF!,5,FALSE())&lt;-2),"",#REF!),"")</f>
        <v/>
      </c>
      <c r="H1012" s="0" t="str">
        <f aca="false">IFERROR(IF(OR(HLOOKUP($A1012,#REF!,6,FALSE())&gt;2,HLOOKUP($A1012,#REF!,6,FALSE())&lt;-2),"",#REF!),"")</f>
        <v/>
      </c>
      <c r="I1012" s="0" t="str">
        <f aca="false">IFERROR(IF(OR(HLOOKUP($A1012,#REF!,7,FALSE())&gt;2,HLOOKUP($A1012,#REF!,7,FALSE())&lt;-2),"",#REF!),"")</f>
        <v/>
      </c>
      <c r="J1012" s="0" t="str">
        <f aca="false">IFERROR(IF(OR(HLOOKUP($A1012,#REF!,8,FALSE())&gt;2,HLOOKUP($A1012,#REF!,8,FALSE())&lt;-2),"",#REF!),"")</f>
        <v/>
      </c>
      <c r="K1012" s="0" t="str">
        <f aca="false">IFERROR(IF(OR(HLOOKUP($A1012,#REF!,9,FALSE())&gt;2,HLOOKUP($A1012,#REF!,9,FALSE())&lt;-2),"",#REF!),"")</f>
        <v/>
      </c>
      <c r="L1012" s="0" t="str">
        <f aca="false">IFERROR(IF(OR(HLOOKUP($A1012,#REF!,10,FALSE())&gt;2,HLOOKUP($A1012,#REF!,10,FALSE())&lt;-2),"",#REF!),"")</f>
        <v/>
      </c>
      <c r="M1012" s="0" t="str">
        <f aca="false">IFERROR(IF(OR(HLOOKUP($A1012,#REF!,11,FALSE())&gt;2,HLOOKUP($A1012,#REF!,11,FALSE())&lt;-2),"",#REF!),"")</f>
        <v/>
      </c>
      <c r="N1012" s="0" t="str">
        <f aca="false">IFERROR(IF(OR(HLOOKUP($A1012,#REF!,12,FALSE())&gt;2,HLOOKUP($A1012,#REF!,12,FALSE())&lt;-2),"",#REF!),"")</f>
        <v/>
      </c>
      <c r="O1012" s="0" t="str">
        <f aca="false">IFERROR(IF(OR(HLOOKUP($A1012,#REF!,13,FALSE())&gt;2,HLOOKUP($A1012,#REF!,13,FALSE())&lt;-2),"",#REF!),"")</f>
        <v/>
      </c>
      <c r="P1012" s="0" t="str">
        <f aca="false">IFERROR(IF(OR(HLOOKUP($A1012,#REF!,14,FALSE())&gt;2,HLOOKUP($A1012,#REF!,14,FALSE())&lt;-2),"",#REF!),"")</f>
        <v/>
      </c>
      <c r="Q1012" s="0" t="str">
        <f aca="false">IFERROR(IF(OR(HLOOKUP($A1012,#REF!,15,FALSE())&gt;2,HLOOKUP($A1012,#REF!,15,FALSE())&lt;-2),"",#REF!),"")</f>
        <v/>
      </c>
      <c r="R1012" s="0" t="str">
        <f aca="false">IFERROR(IF(OR(HLOOKUP($A1012,#REF!,16,FALSE())&gt;2,HLOOKUP($A1012,#REF!,16,FALSE())&lt;-2),"",#REF!),"")</f>
        <v/>
      </c>
      <c r="S1012" s="0" t="str">
        <f aca="false">IFERROR(IF(OR(HLOOKUP($A1012,#REF!,17,FALSE())&gt;2,HLOOKUP($A1012,#REF!,17,FALSE())&lt;-2),"",#REF!),"")</f>
        <v/>
      </c>
      <c r="T1012" s="0" t="str">
        <f aca="false">IFERROR(IF(OR(HLOOKUP($A1012,#REF!,18,FALSE())&gt;2,HLOOKUP($A1012,#REF!,18,FALSE())&lt;-2),"",#REF!),"")</f>
        <v/>
      </c>
      <c r="U1012" s="0" t="str">
        <f aca="false">IFERROR(IF(OR(HLOOKUP($A1012,#REF!,19,FALSE())&gt;2,HLOOKUP($A1012,#REF!,19,FALSE())&lt;-2),"",#REF!),"")</f>
        <v/>
      </c>
      <c r="V1012" s="0" t="n">
        <f aca="false">IFERROR(IF(AND(X1012=0,Y1012=0),0,1),0)</f>
        <v>1</v>
      </c>
      <c r="W1012" s="3" t="str">
        <f aca="false">IFERROR(_xlfn.T.TEST(E1012:M1012,N1012:U1012,2,2),"")</f>
        <v/>
      </c>
      <c r="X1012" s="0" t="str">
        <f aca="false">IFERROR(AVERAGE(E1012:M1012),"")</f>
        <v/>
      </c>
      <c r="Y1012" s="0" t="str">
        <f aca="false">IFERROR(AVERAGE(N1012:U1012),"")</f>
        <v/>
      </c>
    </row>
    <row r="1013" customFormat="false" ht="14.5" hidden="false" customHeight="false" outlineLevel="0" collapsed="false">
      <c r="A1013" s="0" t="n">
        <v>1022</v>
      </c>
      <c r="B1013" s="0" t="s">
        <v>1058</v>
      </c>
      <c r="C1013" s="0" t="n">
        <v>51800</v>
      </c>
      <c r="D1013" s="0" t="n">
        <v>818</v>
      </c>
      <c r="E1013" s="0" t="str">
        <f aca="false">IFERROR(IF(OR(HLOOKUP($A1013,#REF!,3,FALSE())&gt;2,HLOOKUP(A1013,#REF!,3,FALSE())&lt;-2),"",#REF!),"")</f>
        <v/>
      </c>
      <c r="F1013" s="0" t="str">
        <f aca="false">IFERROR(IF(OR(HLOOKUP($A1013,#REF!,4,FALSE())&gt;2,HLOOKUP($A1013,#REF!,4,FALSE())&lt;-2),"",#REF!),"")</f>
        <v/>
      </c>
      <c r="G1013" s="0" t="str">
        <f aca="false">IFERROR(IF(OR(HLOOKUP($A1013,#REF!,5,FALSE())&gt;2,HLOOKUP($A1013,#REF!,5,FALSE())&lt;-2),"",#REF!),"")</f>
        <v/>
      </c>
      <c r="H1013" s="0" t="str">
        <f aca="false">IFERROR(IF(OR(HLOOKUP($A1013,#REF!,6,FALSE())&gt;2,HLOOKUP($A1013,#REF!,6,FALSE())&lt;-2),"",#REF!),"")</f>
        <v/>
      </c>
      <c r="I1013" s="0" t="str">
        <f aca="false">IFERROR(IF(OR(HLOOKUP($A1013,#REF!,7,FALSE())&gt;2,HLOOKUP($A1013,#REF!,7,FALSE())&lt;-2),"",#REF!),"")</f>
        <v/>
      </c>
      <c r="J1013" s="0" t="str">
        <f aca="false">IFERROR(IF(OR(HLOOKUP($A1013,#REF!,8,FALSE())&gt;2,HLOOKUP($A1013,#REF!,8,FALSE())&lt;-2),"",#REF!),"")</f>
        <v/>
      </c>
      <c r="K1013" s="0" t="str">
        <f aca="false">IFERROR(IF(OR(HLOOKUP($A1013,#REF!,9,FALSE())&gt;2,HLOOKUP($A1013,#REF!,9,FALSE())&lt;-2),"",#REF!),"")</f>
        <v/>
      </c>
      <c r="L1013" s="0" t="str">
        <f aca="false">IFERROR(IF(OR(HLOOKUP($A1013,#REF!,10,FALSE())&gt;2,HLOOKUP($A1013,#REF!,10,FALSE())&lt;-2),"",#REF!),"")</f>
        <v/>
      </c>
      <c r="M1013" s="0" t="str">
        <f aca="false">IFERROR(IF(OR(HLOOKUP($A1013,#REF!,11,FALSE())&gt;2,HLOOKUP($A1013,#REF!,11,FALSE())&lt;-2),"",#REF!),"")</f>
        <v/>
      </c>
      <c r="N1013" s="0" t="str">
        <f aca="false">IFERROR(IF(OR(HLOOKUP($A1013,#REF!,12,FALSE())&gt;2,HLOOKUP($A1013,#REF!,12,FALSE())&lt;-2),"",#REF!),"")</f>
        <v/>
      </c>
      <c r="O1013" s="0" t="str">
        <f aca="false">IFERROR(IF(OR(HLOOKUP($A1013,#REF!,13,FALSE())&gt;2,HLOOKUP($A1013,#REF!,13,FALSE())&lt;-2),"",#REF!),"")</f>
        <v/>
      </c>
      <c r="P1013" s="0" t="str">
        <f aca="false">IFERROR(IF(OR(HLOOKUP($A1013,#REF!,14,FALSE())&gt;2,HLOOKUP($A1013,#REF!,14,FALSE())&lt;-2),"",#REF!),"")</f>
        <v/>
      </c>
      <c r="Q1013" s="0" t="str">
        <f aca="false">IFERROR(IF(OR(HLOOKUP($A1013,#REF!,15,FALSE())&gt;2,HLOOKUP($A1013,#REF!,15,FALSE())&lt;-2),"",#REF!),"")</f>
        <v/>
      </c>
      <c r="R1013" s="0" t="str">
        <f aca="false">IFERROR(IF(OR(HLOOKUP($A1013,#REF!,16,FALSE())&gt;2,HLOOKUP($A1013,#REF!,16,FALSE())&lt;-2),"",#REF!),"")</f>
        <v/>
      </c>
      <c r="S1013" s="0" t="str">
        <f aca="false">IFERROR(IF(OR(HLOOKUP($A1013,#REF!,17,FALSE())&gt;2,HLOOKUP($A1013,#REF!,17,FALSE())&lt;-2),"",#REF!),"")</f>
        <v/>
      </c>
      <c r="T1013" s="0" t="str">
        <f aca="false">IFERROR(IF(OR(HLOOKUP($A1013,#REF!,18,FALSE())&gt;2,HLOOKUP($A1013,#REF!,18,FALSE())&lt;-2),"",#REF!),"")</f>
        <v/>
      </c>
      <c r="U1013" s="0" t="str">
        <f aca="false">IFERROR(IF(OR(HLOOKUP($A1013,#REF!,19,FALSE())&gt;2,HLOOKUP($A1013,#REF!,19,FALSE())&lt;-2),"",#REF!),"")</f>
        <v/>
      </c>
      <c r="V1013" s="0" t="n">
        <f aca="false">IFERROR(IF(AND(X1013=0,Y1013=0),0,1),0)</f>
        <v>1</v>
      </c>
      <c r="W1013" s="3" t="str">
        <f aca="false">IFERROR(_xlfn.T.TEST(E1013:M1013,N1013:U1013,2,2),"")</f>
        <v/>
      </c>
      <c r="X1013" s="0" t="str">
        <f aca="false">IFERROR(AVERAGE(E1013:M1013),"")</f>
        <v/>
      </c>
      <c r="Y1013" s="0" t="str">
        <f aca="false">IFERROR(AVERAGE(N1013:U1013),"")</f>
        <v/>
      </c>
    </row>
    <row r="1014" customFormat="false" ht="14.5" hidden="false" customHeight="false" outlineLevel="0" collapsed="false">
      <c r="A1014" s="0" t="n">
        <v>1023</v>
      </c>
      <c r="B1014" s="0" t="s">
        <v>1059</v>
      </c>
      <c r="C1014" s="0" t="n">
        <v>13100</v>
      </c>
      <c r="D1014" s="0" t="n">
        <v>1018</v>
      </c>
      <c r="E1014" s="0" t="str">
        <f aca="false">IFERROR(IF(OR(HLOOKUP($A1014,#REF!,3,FALSE())&gt;2,HLOOKUP(A1014,#REF!,3,FALSE())&lt;-2),"",#REF!),"")</f>
        <v/>
      </c>
      <c r="F1014" s="0" t="str">
        <f aca="false">IFERROR(IF(OR(HLOOKUP($A1014,#REF!,4,FALSE())&gt;2,HLOOKUP($A1014,#REF!,4,FALSE())&lt;-2),"",#REF!),"")</f>
        <v/>
      </c>
      <c r="G1014" s="0" t="str">
        <f aca="false">IFERROR(IF(OR(HLOOKUP($A1014,#REF!,5,FALSE())&gt;2,HLOOKUP($A1014,#REF!,5,FALSE())&lt;-2),"",#REF!),"")</f>
        <v/>
      </c>
      <c r="H1014" s="0" t="str">
        <f aca="false">IFERROR(IF(OR(HLOOKUP($A1014,#REF!,6,FALSE())&gt;2,HLOOKUP($A1014,#REF!,6,FALSE())&lt;-2),"",#REF!),"")</f>
        <v/>
      </c>
      <c r="I1014" s="0" t="str">
        <f aca="false">IFERROR(IF(OR(HLOOKUP($A1014,#REF!,7,FALSE())&gt;2,HLOOKUP($A1014,#REF!,7,FALSE())&lt;-2),"",#REF!),"")</f>
        <v/>
      </c>
      <c r="J1014" s="0" t="str">
        <f aca="false">IFERROR(IF(OR(HLOOKUP($A1014,#REF!,8,FALSE())&gt;2,HLOOKUP($A1014,#REF!,8,FALSE())&lt;-2),"",#REF!),"")</f>
        <v/>
      </c>
      <c r="K1014" s="0" t="str">
        <f aca="false">IFERROR(IF(OR(HLOOKUP($A1014,#REF!,9,FALSE())&gt;2,HLOOKUP($A1014,#REF!,9,FALSE())&lt;-2),"",#REF!),"")</f>
        <v/>
      </c>
      <c r="L1014" s="0" t="str">
        <f aca="false">IFERROR(IF(OR(HLOOKUP($A1014,#REF!,10,FALSE())&gt;2,HLOOKUP($A1014,#REF!,10,FALSE())&lt;-2),"",#REF!),"")</f>
        <v/>
      </c>
      <c r="M1014" s="0" t="str">
        <f aca="false">IFERROR(IF(OR(HLOOKUP($A1014,#REF!,11,FALSE())&gt;2,HLOOKUP($A1014,#REF!,11,FALSE())&lt;-2),"",#REF!),"")</f>
        <v/>
      </c>
      <c r="N1014" s="0" t="str">
        <f aca="false">IFERROR(IF(OR(HLOOKUP($A1014,#REF!,12,FALSE())&gt;2,HLOOKUP($A1014,#REF!,12,FALSE())&lt;-2),"",#REF!),"")</f>
        <v/>
      </c>
      <c r="O1014" s="0" t="str">
        <f aca="false">IFERROR(IF(OR(HLOOKUP($A1014,#REF!,13,FALSE())&gt;2,HLOOKUP($A1014,#REF!,13,FALSE())&lt;-2),"",#REF!),"")</f>
        <v/>
      </c>
      <c r="P1014" s="0" t="str">
        <f aca="false">IFERROR(IF(OR(HLOOKUP($A1014,#REF!,14,FALSE())&gt;2,HLOOKUP($A1014,#REF!,14,FALSE())&lt;-2),"",#REF!),"")</f>
        <v/>
      </c>
      <c r="Q1014" s="0" t="str">
        <f aca="false">IFERROR(IF(OR(HLOOKUP($A1014,#REF!,15,FALSE())&gt;2,HLOOKUP($A1014,#REF!,15,FALSE())&lt;-2),"",#REF!),"")</f>
        <v/>
      </c>
      <c r="R1014" s="0" t="str">
        <f aca="false">IFERROR(IF(OR(HLOOKUP($A1014,#REF!,16,FALSE())&gt;2,HLOOKUP($A1014,#REF!,16,FALSE())&lt;-2),"",#REF!),"")</f>
        <v/>
      </c>
      <c r="S1014" s="0" t="str">
        <f aca="false">IFERROR(IF(OR(HLOOKUP($A1014,#REF!,17,FALSE())&gt;2,HLOOKUP($A1014,#REF!,17,FALSE())&lt;-2),"",#REF!),"")</f>
        <v/>
      </c>
      <c r="T1014" s="0" t="str">
        <f aca="false">IFERROR(IF(OR(HLOOKUP($A1014,#REF!,18,FALSE())&gt;2,HLOOKUP($A1014,#REF!,18,FALSE())&lt;-2),"",#REF!),"")</f>
        <v/>
      </c>
      <c r="U1014" s="0" t="str">
        <f aca="false">IFERROR(IF(OR(HLOOKUP($A1014,#REF!,19,FALSE())&gt;2,HLOOKUP($A1014,#REF!,19,FALSE())&lt;-2),"",#REF!),"")</f>
        <v/>
      </c>
      <c r="V1014" s="0" t="n">
        <f aca="false">IFERROR(IF(AND(X1014=0,Y1014=0),0,1),0)</f>
        <v>1</v>
      </c>
      <c r="W1014" s="3" t="str">
        <f aca="false">IFERROR(_xlfn.T.TEST(E1014:M1014,N1014:U1014,2,2),"")</f>
        <v/>
      </c>
      <c r="X1014" s="0" t="str">
        <f aca="false">IFERROR(AVERAGE(E1014:M1014),"")</f>
        <v/>
      </c>
      <c r="Y1014" s="0" t="str">
        <f aca="false">IFERROR(AVERAGE(N1014:U1014),"")</f>
        <v/>
      </c>
    </row>
    <row r="1015" customFormat="false" ht="14.5" hidden="false" customHeight="false" outlineLevel="0" collapsed="false">
      <c r="A1015" s="0" t="n">
        <v>1024</v>
      </c>
      <c r="B1015" s="0" t="s">
        <v>1060</v>
      </c>
      <c r="C1015" s="0" t="n">
        <v>117000</v>
      </c>
      <c r="D1015" s="0" t="n">
        <v>997</v>
      </c>
      <c r="E1015" s="0" t="str">
        <f aca="false">IFERROR(IF(OR(HLOOKUP($A1015,#REF!,3,FALSE())&gt;2,HLOOKUP(A1015,#REF!,3,FALSE())&lt;-2),"",#REF!),"")</f>
        <v/>
      </c>
      <c r="F1015" s="0" t="str">
        <f aca="false">IFERROR(IF(OR(HLOOKUP($A1015,#REF!,4,FALSE())&gt;2,HLOOKUP($A1015,#REF!,4,FALSE())&lt;-2),"",#REF!),"")</f>
        <v/>
      </c>
      <c r="G1015" s="0" t="str">
        <f aca="false">IFERROR(IF(OR(HLOOKUP($A1015,#REF!,5,FALSE())&gt;2,HLOOKUP($A1015,#REF!,5,FALSE())&lt;-2),"",#REF!),"")</f>
        <v/>
      </c>
      <c r="H1015" s="0" t="str">
        <f aca="false">IFERROR(IF(OR(HLOOKUP($A1015,#REF!,6,FALSE())&gt;2,HLOOKUP($A1015,#REF!,6,FALSE())&lt;-2),"",#REF!),"")</f>
        <v/>
      </c>
      <c r="I1015" s="0" t="str">
        <f aca="false">IFERROR(IF(OR(HLOOKUP($A1015,#REF!,7,FALSE())&gt;2,HLOOKUP($A1015,#REF!,7,FALSE())&lt;-2),"",#REF!),"")</f>
        <v/>
      </c>
      <c r="J1015" s="0" t="str">
        <f aca="false">IFERROR(IF(OR(HLOOKUP($A1015,#REF!,8,FALSE())&gt;2,HLOOKUP($A1015,#REF!,8,FALSE())&lt;-2),"",#REF!),"")</f>
        <v/>
      </c>
      <c r="K1015" s="0" t="str">
        <f aca="false">IFERROR(IF(OR(HLOOKUP($A1015,#REF!,9,FALSE())&gt;2,HLOOKUP($A1015,#REF!,9,FALSE())&lt;-2),"",#REF!),"")</f>
        <v/>
      </c>
      <c r="L1015" s="0" t="str">
        <f aca="false">IFERROR(IF(OR(HLOOKUP($A1015,#REF!,10,FALSE())&gt;2,HLOOKUP($A1015,#REF!,10,FALSE())&lt;-2),"",#REF!),"")</f>
        <v/>
      </c>
      <c r="M1015" s="0" t="str">
        <f aca="false">IFERROR(IF(OR(HLOOKUP($A1015,#REF!,11,FALSE())&gt;2,HLOOKUP($A1015,#REF!,11,FALSE())&lt;-2),"",#REF!),"")</f>
        <v/>
      </c>
      <c r="N1015" s="0" t="str">
        <f aca="false">IFERROR(IF(OR(HLOOKUP($A1015,#REF!,12,FALSE())&gt;2,HLOOKUP($A1015,#REF!,12,FALSE())&lt;-2),"",#REF!),"")</f>
        <v/>
      </c>
      <c r="O1015" s="0" t="str">
        <f aca="false">IFERROR(IF(OR(HLOOKUP($A1015,#REF!,13,FALSE())&gt;2,HLOOKUP($A1015,#REF!,13,FALSE())&lt;-2),"",#REF!),"")</f>
        <v/>
      </c>
      <c r="P1015" s="0" t="str">
        <f aca="false">IFERROR(IF(OR(HLOOKUP($A1015,#REF!,14,FALSE())&gt;2,HLOOKUP($A1015,#REF!,14,FALSE())&lt;-2),"",#REF!),"")</f>
        <v/>
      </c>
      <c r="Q1015" s="0" t="str">
        <f aca="false">IFERROR(IF(OR(HLOOKUP($A1015,#REF!,15,FALSE())&gt;2,HLOOKUP($A1015,#REF!,15,FALSE())&lt;-2),"",#REF!),"")</f>
        <v/>
      </c>
      <c r="R1015" s="0" t="str">
        <f aca="false">IFERROR(IF(OR(HLOOKUP($A1015,#REF!,16,FALSE())&gt;2,HLOOKUP($A1015,#REF!,16,FALSE())&lt;-2),"",#REF!),"")</f>
        <v/>
      </c>
      <c r="S1015" s="0" t="str">
        <f aca="false">IFERROR(IF(OR(HLOOKUP($A1015,#REF!,17,FALSE())&gt;2,HLOOKUP($A1015,#REF!,17,FALSE())&lt;-2),"",#REF!),"")</f>
        <v/>
      </c>
      <c r="T1015" s="0" t="str">
        <f aca="false">IFERROR(IF(OR(HLOOKUP($A1015,#REF!,18,FALSE())&gt;2,HLOOKUP($A1015,#REF!,18,FALSE())&lt;-2),"",#REF!),"")</f>
        <v/>
      </c>
      <c r="U1015" s="0" t="str">
        <f aca="false">IFERROR(IF(OR(HLOOKUP($A1015,#REF!,19,FALSE())&gt;2,HLOOKUP($A1015,#REF!,19,FALSE())&lt;-2),"",#REF!),"")</f>
        <v/>
      </c>
      <c r="V1015" s="0" t="n">
        <f aca="false">IFERROR(IF(AND(X1015=0,Y1015=0),0,1),0)</f>
        <v>1</v>
      </c>
      <c r="W1015" s="3" t="str">
        <f aca="false">IFERROR(_xlfn.T.TEST(E1015:M1015,N1015:U1015,2,2),"")</f>
        <v/>
      </c>
      <c r="X1015" s="0" t="str">
        <f aca="false">IFERROR(AVERAGE(E1015:M1015),"")</f>
        <v/>
      </c>
      <c r="Y1015" s="0" t="str">
        <f aca="false">IFERROR(AVERAGE(N1015:U1015),"")</f>
        <v/>
      </c>
    </row>
    <row r="1016" customFormat="false" ht="14.5" hidden="false" customHeight="false" outlineLevel="0" collapsed="false">
      <c r="A1016" s="0" t="n">
        <v>1025</v>
      </c>
      <c r="B1016" s="0" t="s">
        <v>1061</v>
      </c>
      <c r="C1016" s="0" t="n">
        <v>61000</v>
      </c>
      <c r="D1016" s="0" t="n">
        <v>1073</v>
      </c>
      <c r="E1016" s="0" t="str">
        <f aca="false">IFERROR(IF(OR(HLOOKUP($A1016,#REF!,3,FALSE())&gt;2,HLOOKUP(A1016,#REF!,3,FALSE())&lt;-2),"",#REF!),"")</f>
        <v/>
      </c>
      <c r="F1016" s="0" t="str">
        <f aca="false">IFERROR(IF(OR(HLOOKUP($A1016,#REF!,4,FALSE())&gt;2,HLOOKUP($A1016,#REF!,4,FALSE())&lt;-2),"",#REF!),"")</f>
        <v/>
      </c>
      <c r="G1016" s="0" t="str">
        <f aca="false">IFERROR(IF(OR(HLOOKUP($A1016,#REF!,5,FALSE())&gt;2,HLOOKUP($A1016,#REF!,5,FALSE())&lt;-2),"",#REF!),"")</f>
        <v/>
      </c>
      <c r="H1016" s="0" t="str">
        <f aca="false">IFERROR(IF(OR(HLOOKUP($A1016,#REF!,6,FALSE())&gt;2,HLOOKUP($A1016,#REF!,6,FALSE())&lt;-2),"",#REF!),"")</f>
        <v/>
      </c>
      <c r="I1016" s="0" t="str">
        <f aca="false">IFERROR(IF(OR(HLOOKUP($A1016,#REF!,7,FALSE())&gt;2,HLOOKUP($A1016,#REF!,7,FALSE())&lt;-2),"",#REF!),"")</f>
        <v/>
      </c>
      <c r="J1016" s="0" t="str">
        <f aca="false">IFERROR(IF(OR(HLOOKUP($A1016,#REF!,8,FALSE())&gt;2,HLOOKUP($A1016,#REF!,8,FALSE())&lt;-2),"",#REF!),"")</f>
        <v/>
      </c>
      <c r="K1016" s="0" t="str">
        <f aca="false">IFERROR(IF(OR(HLOOKUP($A1016,#REF!,9,FALSE())&gt;2,HLOOKUP($A1016,#REF!,9,FALSE())&lt;-2),"",#REF!),"")</f>
        <v/>
      </c>
      <c r="L1016" s="0" t="str">
        <f aca="false">IFERROR(IF(OR(HLOOKUP($A1016,#REF!,10,FALSE())&gt;2,HLOOKUP($A1016,#REF!,10,FALSE())&lt;-2),"",#REF!),"")</f>
        <v/>
      </c>
      <c r="M1016" s="0" t="str">
        <f aca="false">IFERROR(IF(OR(HLOOKUP($A1016,#REF!,11,FALSE())&gt;2,HLOOKUP($A1016,#REF!,11,FALSE())&lt;-2),"",#REF!),"")</f>
        <v/>
      </c>
      <c r="N1016" s="0" t="str">
        <f aca="false">IFERROR(IF(OR(HLOOKUP($A1016,#REF!,12,FALSE())&gt;2,HLOOKUP($A1016,#REF!,12,FALSE())&lt;-2),"",#REF!),"")</f>
        <v/>
      </c>
      <c r="O1016" s="0" t="str">
        <f aca="false">IFERROR(IF(OR(HLOOKUP($A1016,#REF!,13,FALSE())&gt;2,HLOOKUP($A1016,#REF!,13,FALSE())&lt;-2),"",#REF!),"")</f>
        <v/>
      </c>
      <c r="P1016" s="0" t="str">
        <f aca="false">IFERROR(IF(OR(HLOOKUP($A1016,#REF!,14,FALSE())&gt;2,HLOOKUP($A1016,#REF!,14,FALSE())&lt;-2),"",#REF!),"")</f>
        <v/>
      </c>
      <c r="Q1016" s="0" t="str">
        <f aca="false">IFERROR(IF(OR(HLOOKUP($A1016,#REF!,15,FALSE())&gt;2,HLOOKUP($A1016,#REF!,15,FALSE())&lt;-2),"",#REF!),"")</f>
        <v/>
      </c>
      <c r="R1016" s="0" t="str">
        <f aca="false">IFERROR(IF(OR(HLOOKUP($A1016,#REF!,16,FALSE())&gt;2,HLOOKUP($A1016,#REF!,16,FALSE())&lt;-2),"",#REF!),"")</f>
        <v/>
      </c>
      <c r="S1016" s="0" t="str">
        <f aca="false">IFERROR(IF(OR(HLOOKUP($A1016,#REF!,17,FALSE())&gt;2,HLOOKUP($A1016,#REF!,17,FALSE())&lt;-2),"",#REF!),"")</f>
        <v/>
      </c>
      <c r="T1016" s="0" t="str">
        <f aca="false">IFERROR(IF(OR(HLOOKUP($A1016,#REF!,18,FALSE())&gt;2,HLOOKUP($A1016,#REF!,18,FALSE())&lt;-2),"",#REF!),"")</f>
        <v/>
      </c>
      <c r="U1016" s="0" t="str">
        <f aca="false">IFERROR(IF(OR(HLOOKUP($A1016,#REF!,19,FALSE())&gt;2,HLOOKUP($A1016,#REF!,19,FALSE())&lt;-2),"",#REF!),"")</f>
        <v/>
      </c>
      <c r="V1016" s="0" t="n">
        <f aca="false">IFERROR(IF(AND(X1016=0,Y1016=0),0,1),0)</f>
        <v>1</v>
      </c>
      <c r="W1016" s="3" t="str">
        <f aca="false">IFERROR(_xlfn.T.TEST(E1016:M1016,N1016:U1016,2,2),"")</f>
        <v/>
      </c>
      <c r="X1016" s="0" t="str">
        <f aca="false">IFERROR(AVERAGE(E1016:M1016),"")</f>
        <v/>
      </c>
      <c r="Y1016" s="0" t="str">
        <f aca="false">IFERROR(AVERAGE(N1016:U1016),"")</f>
        <v/>
      </c>
    </row>
    <row r="1017" customFormat="false" ht="14.5" hidden="false" customHeight="false" outlineLevel="0" collapsed="false">
      <c r="A1017" s="0" t="n">
        <v>1026</v>
      </c>
      <c r="B1017" s="0" t="s">
        <v>1062</v>
      </c>
      <c r="C1017" s="0" t="n">
        <v>6900</v>
      </c>
      <c r="D1017" s="0" t="n">
        <v>369</v>
      </c>
      <c r="E1017" s="0" t="str">
        <f aca="false">IFERROR(IF(OR(HLOOKUP($A1017,#REF!,3,FALSE())&gt;2,HLOOKUP(A1017,#REF!,3,FALSE())&lt;-2),"",#REF!),"")</f>
        <v/>
      </c>
      <c r="F1017" s="0" t="str">
        <f aca="false">IFERROR(IF(OR(HLOOKUP($A1017,#REF!,4,FALSE())&gt;2,HLOOKUP($A1017,#REF!,4,FALSE())&lt;-2),"",#REF!),"")</f>
        <v/>
      </c>
      <c r="G1017" s="0" t="str">
        <f aca="false">IFERROR(IF(OR(HLOOKUP($A1017,#REF!,5,FALSE())&gt;2,HLOOKUP($A1017,#REF!,5,FALSE())&lt;-2),"",#REF!),"")</f>
        <v/>
      </c>
      <c r="H1017" s="0" t="str">
        <f aca="false">IFERROR(IF(OR(HLOOKUP($A1017,#REF!,6,FALSE())&gt;2,HLOOKUP($A1017,#REF!,6,FALSE())&lt;-2),"",#REF!),"")</f>
        <v/>
      </c>
      <c r="I1017" s="0" t="str">
        <f aca="false">IFERROR(IF(OR(HLOOKUP($A1017,#REF!,7,FALSE())&gt;2,HLOOKUP($A1017,#REF!,7,FALSE())&lt;-2),"",#REF!),"")</f>
        <v/>
      </c>
      <c r="J1017" s="0" t="str">
        <f aca="false">IFERROR(IF(OR(HLOOKUP($A1017,#REF!,8,FALSE())&gt;2,HLOOKUP($A1017,#REF!,8,FALSE())&lt;-2),"",#REF!),"")</f>
        <v/>
      </c>
      <c r="K1017" s="0" t="str">
        <f aca="false">IFERROR(IF(OR(HLOOKUP($A1017,#REF!,9,FALSE())&gt;2,HLOOKUP($A1017,#REF!,9,FALSE())&lt;-2),"",#REF!),"")</f>
        <v/>
      </c>
      <c r="L1017" s="0" t="str">
        <f aca="false">IFERROR(IF(OR(HLOOKUP($A1017,#REF!,10,FALSE())&gt;2,HLOOKUP($A1017,#REF!,10,FALSE())&lt;-2),"",#REF!),"")</f>
        <v/>
      </c>
      <c r="M1017" s="0" t="str">
        <f aca="false">IFERROR(IF(OR(HLOOKUP($A1017,#REF!,11,FALSE())&gt;2,HLOOKUP($A1017,#REF!,11,FALSE())&lt;-2),"",#REF!),"")</f>
        <v/>
      </c>
      <c r="N1017" s="0" t="str">
        <f aca="false">IFERROR(IF(OR(HLOOKUP($A1017,#REF!,12,FALSE())&gt;2,HLOOKUP($A1017,#REF!,12,FALSE())&lt;-2),"",#REF!),"")</f>
        <v/>
      </c>
      <c r="O1017" s="0" t="str">
        <f aca="false">IFERROR(IF(OR(HLOOKUP($A1017,#REF!,13,FALSE())&gt;2,HLOOKUP($A1017,#REF!,13,FALSE())&lt;-2),"",#REF!),"")</f>
        <v/>
      </c>
      <c r="P1017" s="0" t="str">
        <f aca="false">IFERROR(IF(OR(HLOOKUP($A1017,#REF!,14,FALSE())&gt;2,HLOOKUP($A1017,#REF!,14,FALSE())&lt;-2),"",#REF!),"")</f>
        <v/>
      </c>
      <c r="Q1017" s="0" t="str">
        <f aca="false">IFERROR(IF(OR(HLOOKUP($A1017,#REF!,15,FALSE())&gt;2,HLOOKUP($A1017,#REF!,15,FALSE())&lt;-2),"",#REF!),"")</f>
        <v/>
      </c>
      <c r="R1017" s="0" t="str">
        <f aca="false">IFERROR(IF(OR(HLOOKUP($A1017,#REF!,16,FALSE())&gt;2,HLOOKUP($A1017,#REF!,16,FALSE())&lt;-2),"",#REF!),"")</f>
        <v/>
      </c>
      <c r="S1017" s="0" t="str">
        <f aca="false">IFERROR(IF(OR(HLOOKUP($A1017,#REF!,17,FALSE())&gt;2,HLOOKUP($A1017,#REF!,17,FALSE())&lt;-2),"",#REF!),"")</f>
        <v/>
      </c>
      <c r="T1017" s="0" t="str">
        <f aca="false">IFERROR(IF(OR(HLOOKUP($A1017,#REF!,18,FALSE())&gt;2,HLOOKUP($A1017,#REF!,18,FALSE())&lt;-2),"",#REF!),"")</f>
        <v/>
      </c>
      <c r="U1017" s="0" t="str">
        <f aca="false">IFERROR(IF(OR(HLOOKUP($A1017,#REF!,19,FALSE())&gt;2,HLOOKUP($A1017,#REF!,19,FALSE())&lt;-2),"",#REF!),"")</f>
        <v/>
      </c>
      <c r="V1017" s="0" t="n">
        <f aca="false">IFERROR(IF(AND(X1017=0,Y1017=0),0,1),0)</f>
        <v>1</v>
      </c>
      <c r="W1017" s="3" t="str">
        <f aca="false">IFERROR(_xlfn.T.TEST(E1017:M1017,N1017:U1017,2,2),"")</f>
        <v/>
      </c>
      <c r="X1017" s="0" t="str">
        <f aca="false">IFERROR(AVERAGE(E1017:M1017),"")</f>
        <v/>
      </c>
      <c r="Y1017" s="0" t="str">
        <f aca="false">IFERROR(AVERAGE(N1017:U1017),"")</f>
        <v/>
      </c>
    </row>
    <row r="1018" customFormat="false" ht="14.5" hidden="false" customHeight="false" outlineLevel="0" collapsed="false">
      <c r="A1018" s="0" t="n">
        <v>1027</v>
      </c>
      <c r="B1018" s="0" t="s">
        <v>1063</v>
      </c>
      <c r="C1018" s="0" t="n">
        <v>12000</v>
      </c>
      <c r="D1018" s="0" t="n">
        <v>247</v>
      </c>
      <c r="E1018" s="0" t="str">
        <f aca="false">IFERROR(IF(OR(HLOOKUP($A1018,#REF!,3,FALSE())&gt;2,HLOOKUP(A1018,#REF!,3,FALSE())&lt;-2),"",#REF!),"")</f>
        <v/>
      </c>
      <c r="F1018" s="0" t="str">
        <f aca="false">IFERROR(IF(OR(HLOOKUP($A1018,#REF!,4,FALSE())&gt;2,HLOOKUP($A1018,#REF!,4,FALSE())&lt;-2),"",#REF!),"")</f>
        <v/>
      </c>
      <c r="G1018" s="0" t="str">
        <f aca="false">IFERROR(IF(OR(HLOOKUP($A1018,#REF!,5,FALSE())&gt;2,HLOOKUP($A1018,#REF!,5,FALSE())&lt;-2),"",#REF!),"")</f>
        <v/>
      </c>
      <c r="H1018" s="0" t="str">
        <f aca="false">IFERROR(IF(OR(HLOOKUP($A1018,#REF!,6,FALSE())&gt;2,HLOOKUP($A1018,#REF!,6,FALSE())&lt;-2),"",#REF!),"")</f>
        <v/>
      </c>
      <c r="I1018" s="0" t="str">
        <f aca="false">IFERROR(IF(OR(HLOOKUP($A1018,#REF!,7,FALSE())&gt;2,HLOOKUP($A1018,#REF!,7,FALSE())&lt;-2),"",#REF!),"")</f>
        <v/>
      </c>
      <c r="J1018" s="0" t="str">
        <f aca="false">IFERROR(IF(OR(HLOOKUP($A1018,#REF!,8,FALSE())&gt;2,HLOOKUP($A1018,#REF!,8,FALSE())&lt;-2),"",#REF!),"")</f>
        <v/>
      </c>
      <c r="K1018" s="0" t="str">
        <f aca="false">IFERROR(IF(OR(HLOOKUP($A1018,#REF!,9,FALSE())&gt;2,HLOOKUP($A1018,#REF!,9,FALSE())&lt;-2),"",#REF!),"")</f>
        <v/>
      </c>
      <c r="L1018" s="0" t="str">
        <f aca="false">IFERROR(IF(OR(HLOOKUP($A1018,#REF!,10,FALSE())&gt;2,HLOOKUP($A1018,#REF!,10,FALSE())&lt;-2),"",#REF!),"")</f>
        <v/>
      </c>
      <c r="M1018" s="0" t="str">
        <f aca="false">IFERROR(IF(OR(HLOOKUP($A1018,#REF!,11,FALSE())&gt;2,HLOOKUP($A1018,#REF!,11,FALSE())&lt;-2),"",#REF!),"")</f>
        <v/>
      </c>
      <c r="N1018" s="0" t="str">
        <f aca="false">IFERROR(IF(OR(HLOOKUP($A1018,#REF!,12,FALSE())&gt;2,HLOOKUP($A1018,#REF!,12,FALSE())&lt;-2),"",#REF!),"")</f>
        <v/>
      </c>
      <c r="O1018" s="0" t="str">
        <f aca="false">IFERROR(IF(OR(HLOOKUP($A1018,#REF!,13,FALSE())&gt;2,HLOOKUP($A1018,#REF!,13,FALSE())&lt;-2),"",#REF!),"")</f>
        <v/>
      </c>
      <c r="P1018" s="0" t="str">
        <f aca="false">IFERROR(IF(OR(HLOOKUP($A1018,#REF!,14,FALSE())&gt;2,HLOOKUP($A1018,#REF!,14,FALSE())&lt;-2),"",#REF!),"")</f>
        <v/>
      </c>
      <c r="Q1018" s="0" t="str">
        <f aca="false">IFERROR(IF(OR(HLOOKUP($A1018,#REF!,15,FALSE())&gt;2,HLOOKUP($A1018,#REF!,15,FALSE())&lt;-2),"",#REF!),"")</f>
        <v/>
      </c>
      <c r="R1018" s="0" t="str">
        <f aca="false">IFERROR(IF(OR(HLOOKUP($A1018,#REF!,16,FALSE())&gt;2,HLOOKUP($A1018,#REF!,16,FALSE())&lt;-2),"",#REF!),"")</f>
        <v/>
      </c>
      <c r="S1018" s="0" t="str">
        <f aca="false">IFERROR(IF(OR(HLOOKUP($A1018,#REF!,17,FALSE())&gt;2,HLOOKUP($A1018,#REF!,17,FALSE())&lt;-2),"",#REF!),"")</f>
        <v/>
      </c>
      <c r="T1018" s="0" t="str">
        <f aca="false">IFERROR(IF(OR(HLOOKUP($A1018,#REF!,18,FALSE())&gt;2,HLOOKUP($A1018,#REF!,18,FALSE())&lt;-2),"",#REF!),"")</f>
        <v/>
      </c>
      <c r="U1018" s="0" t="str">
        <f aca="false">IFERROR(IF(OR(HLOOKUP($A1018,#REF!,19,FALSE())&gt;2,HLOOKUP($A1018,#REF!,19,FALSE())&lt;-2),"",#REF!),"")</f>
        <v/>
      </c>
      <c r="V1018" s="0" t="n">
        <f aca="false">IFERROR(IF(AND(X1018=0,Y1018=0),0,1),0)</f>
        <v>1</v>
      </c>
      <c r="W1018" s="3" t="str">
        <f aca="false">IFERROR(_xlfn.T.TEST(E1018:M1018,N1018:U1018,2,2),"")</f>
        <v/>
      </c>
      <c r="X1018" s="0" t="str">
        <f aca="false">IFERROR(AVERAGE(E1018:M1018),"")</f>
        <v/>
      </c>
      <c r="Y1018" s="0" t="str">
        <f aca="false">IFERROR(AVERAGE(N1018:U1018),"")</f>
        <v/>
      </c>
    </row>
    <row r="1019" customFormat="false" ht="14.5" hidden="false" customHeight="false" outlineLevel="0" collapsed="false">
      <c r="A1019" s="0" t="n">
        <v>1028</v>
      </c>
      <c r="B1019" s="0" t="s">
        <v>1064</v>
      </c>
      <c r="C1019" s="0" t="n">
        <v>107900</v>
      </c>
      <c r="D1019" s="0" t="n">
        <v>784</v>
      </c>
      <c r="E1019" s="0" t="str">
        <f aca="false">IFERROR(IF(OR(HLOOKUP($A1019,#REF!,3,FALSE())&gt;2,HLOOKUP(A1019,#REF!,3,FALSE())&lt;-2),"",#REF!),"")</f>
        <v/>
      </c>
      <c r="F1019" s="0" t="str">
        <f aca="false">IFERROR(IF(OR(HLOOKUP($A1019,#REF!,4,FALSE())&gt;2,HLOOKUP($A1019,#REF!,4,FALSE())&lt;-2),"",#REF!),"")</f>
        <v/>
      </c>
      <c r="G1019" s="0" t="str">
        <f aca="false">IFERROR(IF(OR(HLOOKUP($A1019,#REF!,5,FALSE())&gt;2,HLOOKUP($A1019,#REF!,5,FALSE())&lt;-2),"",#REF!),"")</f>
        <v/>
      </c>
      <c r="H1019" s="0" t="str">
        <f aca="false">IFERROR(IF(OR(HLOOKUP($A1019,#REF!,6,FALSE())&gt;2,HLOOKUP($A1019,#REF!,6,FALSE())&lt;-2),"",#REF!),"")</f>
        <v/>
      </c>
      <c r="I1019" s="0" t="str">
        <f aca="false">IFERROR(IF(OR(HLOOKUP($A1019,#REF!,7,FALSE())&gt;2,HLOOKUP($A1019,#REF!,7,FALSE())&lt;-2),"",#REF!),"")</f>
        <v/>
      </c>
      <c r="J1019" s="0" t="str">
        <f aca="false">IFERROR(IF(OR(HLOOKUP($A1019,#REF!,8,FALSE())&gt;2,HLOOKUP($A1019,#REF!,8,FALSE())&lt;-2),"",#REF!),"")</f>
        <v/>
      </c>
      <c r="K1019" s="0" t="str">
        <f aca="false">IFERROR(IF(OR(HLOOKUP($A1019,#REF!,9,FALSE())&gt;2,HLOOKUP($A1019,#REF!,9,FALSE())&lt;-2),"",#REF!),"")</f>
        <v/>
      </c>
      <c r="L1019" s="0" t="str">
        <f aca="false">IFERROR(IF(OR(HLOOKUP($A1019,#REF!,10,FALSE())&gt;2,HLOOKUP($A1019,#REF!,10,FALSE())&lt;-2),"",#REF!),"")</f>
        <v/>
      </c>
      <c r="M1019" s="0" t="str">
        <f aca="false">IFERROR(IF(OR(HLOOKUP($A1019,#REF!,11,FALSE())&gt;2,HLOOKUP($A1019,#REF!,11,FALSE())&lt;-2),"",#REF!),"")</f>
        <v/>
      </c>
      <c r="N1019" s="0" t="str">
        <f aca="false">IFERROR(IF(OR(HLOOKUP($A1019,#REF!,12,FALSE())&gt;2,HLOOKUP($A1019,#REF!,12,FALSE())&lt;-2),"",#REF!),"")</f>
        <v/>
      </c>
      <c r="O1019" s="0" t="str">
        <f aca="false">IFERROR(IF(OR(HLOOKUP($A1019,#REF!,13,FALSE())&gt;2,HLOOKUP($A1019,#REF!,13,FALSE())&lt;-2),"",#REF!),"")</f>
        <v/>
      </c>
      <c r="P1019" s="0" t="str">
        <f aca="false">IFERROR(IF(OR(HLOOKUP($A1019,#REF!,14,FALSE())&gt;2,HLOOKUP($A1019,#REF!,14,FALSE())&lt;-2),"",#REF!),"")</f>
        <v/>
      </c>
      <c r="Q1019" s="0" t="str">
        <f aca="false">IFERROR(IF(OR(HLOOKUP($A1019,#REF!,15,FALSE())&gt;2,HLOOKUP($A1019,#REF!,15,FALSE())&lt;-2),"",#REF!),"")</f>
        <v/>
      </c>
      <c r="R1019" s="0" t="str">
        <f aca="false">IFERROR(IF(OR(HLOOKUP($A1019,#REF!,16,FALSE())&gt;2,HLOOKUP($A1019,#REF!,16,FALSE())&lt;-2),"",#REF!),"")</f>
        <v/>
      </c>
      <c r="S1019" s="0" t="str">
        <f aca="false">IFERROR(IF(OR(HLOOKUP($A1019,#REF!,17,FALSE())&gt;2,HLOOKUP($A1019,#REF!,17,FALSE())&lt;-2),"",#REF!),"")</f>
        <v/>
      </c>
      <c r="T1019" s="0" t="str">
        <f aca="false">IFERROR(IF(OR(HLOOKUP($A1019,#REF!,18,FALSE())&gt;2,HLOOKUP($A1019,#REF!,18,FALSE())&lt;-2),"",#REF!),"")</f>
        <v/>
      </c>
      <c r="U1019" s="0" t="str">
        <f aca="false">IFERROR(IF(OR(HLOOKUP($A1019,#REF!,19,FALSE())&gt;2,HLOOKUP($A1019,#REF!,19,FALSE())&lt;-2),"",#REF!),"")</f>
        <v/>
      </c>
      <c r="V1019" s="0" t="n">
        <f aca="false">IFERROR(IF(AND(X1019=0,Y1019=0),0,1),0)</f>
        <v>1</v>
      </c>
      <c r="W1019" s="3" t="str">
        <f aca="false">IFERROR(_xlfn.T.TEST(E1019:M1019,N1019:U1019,2,2),"")</f>
        <v/>
      </c>
      <c r="X1019" s="0" t="str">
        <f aca="false">IFERROR(AVERAGE(E1019:M1019),"")</f>
        <v/>
      </c>
      <c r="Y1019" s="0" t="str">
        <f aca="false">IFERROR(AVERAGE(N1019:U1019),"")</f>
        <v/>
      </c>
    </row>
    <row r="1020" customFormat="false" ht="14.5" hidden="false" customHeight="false" outlineLevel="0" collapsed="false">
      <c r="A1020" s="0" t="n">
        <v>1029</v>
      </c>
      <c r="B1020" s="0" t="s">
        <v>1065</v>
      </c>
      <c r="C1020" s="0" t="n">
        <v>66000</v>
      </c>
      <c r="D1020" s="0" t="n">
        <v>138</v>
      </c>
      <c r="E1020" s="0" t="str">
        <f aca="false">IFERROR(IF(OR(HLOOKUP($A1020,#REF!,3,FALSE())&gt;2,HLOOKUP(A1020,#REF!,3,FALSE())&lt;-2),"",#REF!),"")</f>
        <v/>
      </c>
      <c r="F1020" s="0" t="str">
        <f aca="false">IFERROR(IF(OR(HLOOKUP($A1020,#REF!,4,FALSE())&gt;2,HLOOKUP($A1020,#REF!,4,FALSE())&lt;-2),"",#REF!),"")</f>
        <v/>
      </c>
      <c r="G1020" s="0" t="str">
        <f aca="false">IFERROR(IF(OR(HLOOKUP($A1020,#REF!,5,FALSE())&gt;2,HLOOKUP($A1020,#REF!,5,FALSE())&lt;-2),"",#REF!),"")</f>
        <v/>
      </c>
      <c r="H1020" s="0" t="str">
        <f aca="false">IFERROR(IF(OR(HLOOKUP($A1020,#REF!,6,FALSE())&gt;2,HLOOKUP($A1020,#REF!,6,FALSE())&lt;-2),"",#REF!),"")</f>
        <v/>
      </c>
      <c r="I1020" s="0" t="str">
        <f aca="false">IFERROR(IF(OR(HLOOKUP($A1020,#REF!,7,FALSE())&gt;2,HLOOKUP($A1020,#REF!,7,FALSE())&lt;-2),"",#REF!),"")</f>
        <v/>
      </c>
      <c r="J1020" s="0" t="str">
        <f aca="false">IFERROR(IF(OR(HLOOKUP($A1020,#REF!,8,FALSE())&gt;2,HLOOKUP($A1020,#REF!,8,FALSE())&lt;-2),"",#REF!),"")</f>
        <v/>
      </c>
      <c r="K1020" s="0" t="str">
        <f aca="false">IFERROR(IF(OR(HLOOKUP($A1020,#REF!,9,FALSE())&gt;2,HLOOKUP($A1020,#REF!,9,FALSE())&lt;-2),"",#REF!),"")</f>
        <v/>
      </c>
      <c r="L1020" s="0" t="str">
        <f aca="false">IFERROR(IF(OR(HLOOKUP($A1020,#REF!,10,FALSE())&gt;2,HLOOKUP($A1020,#REF!,10,FALSE())&lt;-2),"",#REF!),"")</f>
        <v/>
      </c>
      <c r="M1020" s="0" t="str">
        <f aca="false">IFERROR(IF(OR(HLOOKUP($A1020,#REF!,11,FALSE())&gt;2,HLOOKUP($A1020,#REF!,11,FALSE())&lt;-2),"",#REF!),"")</f>
        <v/>
      </c>
      <c r="N1020" s="0" t="str">
        <f aca="false">IFERROR(IF(OR(HLOOKUP($A1020,#REF!,12,FALSE())&gt;2,HLOOKUP($A1020,#REF!,12,FALSE())&lt;-2),"",#REF!),"")</f>
        <v/>
      </c>
      <c r="O1020" s="0" t="str">
        <f aca="false">IFERROR(IF(OR(HLOOKUP($A1020,#REF!,13,FALSE())&gt;2,HLOOKUP($A1020,#REF!,13,FALSE())&lt;-2),"",#REF!),"")</f>
        <v/>
      </c>
      <c r="P1020" s="0" t="str">
        <f aca="false">IFERROR(IF(OR(HLOOKUP($A1020,#REF!,14,FALSE())&gt;2,HLOOKUP($A1020,#REF!,14,FALSE())&lt;-2),"",#REF!),"")</f>
        <v/>
      </c>
      <c r="Q1020" s="0" t="str">
        <f aca="false">IFERROR(IF(OR(HLOOKUP($A1020,#REF!,15,FALSE())&gt;2,HLOOKUP($A1020,#REF!,15,FALSE())&lt;-2),"",#REF!),"")</f>
        <v/>
      </c>
      <c r="R1020" s="0" t="str">
        <f aca="false">IFERROR(IF(OR(HLOOKUP($A1020,#REF!,16,FALSE())&gt;2,HLOOKUP($A1020,#REF!,16,FALSE())&lt;-2),"",#REF!),"")</f>
        <v/>
      </c>
      <c r="S1020" s="0" t="str">
        <f aca="false">IFERROR(IF(OR(HLOOKUP($A1020,#REF!,17,FALSE())&gt;2,HLOOKUP($A1020,#REF!,17,FALSE())&lt;-2),"",#REF!),"")</f>
        <v/>
      </c>
      <c r="T1020" s="0" t="str">
        <f aca="false">IFERROR(IF(OR(HLOOKUP($A1020,#REF!,18,FALSE())&gt;2,HLOOKUP($A1020,#REF!,18,FALSE())&lt;-2),"",#REF!),"")</f>
        <v/>
      </c>
      <c r="U1020" s="0" t="str">
        <f aca="false">IFERROR(IF(OR(HLOOKUP($A1020,#REF!,19,FALSE())&gt;2,HLOOKUP($A1020,#REF!,19,FALSE())&lt;-2),"",#REF!),"")</f>
        <v/>
      </c>
      <c r="V1020" s="0" t="n">
        <f aca="false">IFERROR(IF(AND(X1020=0,Y1020=0),0,1),0)</f>
        <v>1</v>
      </c>
      <c r="W1020" s="3" t="str">
        <f aca="false">IFERROR(_xlfn.T.TEST(E1020:M1020,N1020:U1020,2,2),"")</f>
        <v/>
      </c>
      <c r="X1020" s="0" t="str">
        <f aca="false">IFERROR(AVERAGE(E1020:M1020),"")</f>
        <v/>
      </c>
      <c r="Y1020" s="0" t="str">
        <f aca="false">IFERROR(AVERAGE(N1020:U1020),"")</f>
        <v/>
      </c>
    </row>
    <row r="1021" customFormat="false" ht="14.5" hidden="false" customHeight="false" outlineLevel="0" collapsed="false">
      <c r="A1021" s="0" t="n">
        <v>1030</v>
      </c>
      <c r="B1021" s="0" t="s">
        <v>1066</v>
      </c>
      <c r="C1021" s="0" t="n">
        <v>5000</v>
      </c>
      <c r="D1021" s="0" t="n">
        <v>337</v>
      </c>
      <c r="E1021" s="0" t="str">
        <f aca="false">IFERROR(IF(OR(HLOOKUP($A1021,#REF!,3,FALSE())&gt;2,HLOOKUP(A1021,#REF!,3,FALSE())&lt;-2),"",#REF!),"")</f>
        <v/>
      </c>
      <c r="F1021" s="0" t="str">
        <f aca="false">IFERROR(IF(OR(HLOOKUP($A1021,#REF!,4,FALSE())&gt;2,HLOOKUP($A1021,#REF!,4,FALSE())&lt;-2),"",#REF!),"")</f>
        <v/>
      </c>
      <c r="G1021" s="0" t="str">
        <f aca="false">IFERROR(IF(OR(HLOOKUP($A1021,#REF!,5,FALSE())&gt;2,HLOOKUP($A1021,#REF!,5,FALSE())&lt;-2),"",#REF!),"")</f>
        <v/>
      </c>
      <c r="H1021" s="0" t="str">
        <f aca="false">IFERROR(IF(OR(HLOOKUP($A1021,#REF!,6,FALSE())&gt;2,HLOOKUP($A1021,#REF!,6,FALSE())&lt;-2),"",#REF!),"")</f>
        <v/>
      </c>
      <c r="I1021" s="0" t="str">
        <f aca="false">IFERROR(IF(OR(HLOOKUP($A1021,#REF!,7,FALSE())&gt;2,HLOOKUP($A1021,#REF!,7,FALSE())&lt;-2),"",#REF!),"")</f>
        <v/>
      </c>
      <c r="J1021" s="0" t="str">
        <f aca="false">IFERROR(IF(OR(HLOOKUP($A1021,#REF!,8,FALSE())&gt;2,HLOOKUP($A1021,#REF!,8,FALSE())&lt;-2),"",#REF!),"")</f>
        <v/>
      </c>
      <c r="K1021" s="0" t="str">
        <f aca="false">IFERROR(IF(OR(HLOOKUP($A1021,#REF!,9,FALSE())&gt;2,HLOOKUP($A1021,#REF!,9,FALSE())&lt;-2),"",#REF!),"")</f>
        <v/>
      </c>
      <c r="L1021" s="0" t="str">
        <f aca="false">IFERROR(IF(OR(HLOOKUP($A1021,#REF!,10,FALSE())&gt;2,HLOOKUP($A1021,#REF!,10,FALSE())&lt;-2),"",#REF!),"")</f>
        <v/>
      </c>
      <c r="M1021" s="0" t="str">
        <f aca="false">IFERROR(IF(OR(HLOOKUP($A1021,#REF!,11,FALSE())&gt;2,HLOOKUP($A1021,#REF!,11,FALSE())&lt;-2),"",#REF!),"")</f>
        <v/>
      </c>
      <c r="N1021" s="0" t="str">
        <f aca="false">IFERROR(IF(OR(HLOOKUP($A1021,#REF!,12,FALSE())&gt;2,HLOOKUP($A1021,#REF!,12,FALSE())&lt;-2),"",#REF!),"")</f>
        <v/>
      </c>
      <c r="O1021" s="0" t="str">
        <f aca="false">IFERROR(IF(OR(HLOOKUP($A1021,#REF!,13,FALSE())&gt;2,HLOOKUP($A1021,#REF!,13,FALSE())&lt;-2),"",#REF!),"")</f>
        <v/>
      </c>
      <c r="P1021" s="0" t="str">
        <f aca="false">IFERROR(IF(OR(HLOOKUP($A1021,#REF!,14,FALSE())&gt;2,HLOOKUP($A1021,#REF!,14,FALSE())&lt;-2),"",#REF!),"")</f>
        <v/>
      </c>
      <c r="Q1021" s="0" t="str">
        <f aca="false">IFERROR(IF(OR(HLOOKUP($A1021,#REF!,15,FALSE())&gt;2,HLOOKUP($A1021,#REF!,15,FALSE())&lt;-2),"",#REF!),"")</f>
        <v/>
      </c>
      <c r="R1021" s="0" t="str">
        <f aca="false">IFERROR(IF(OR(HLOOKUP($A1021,#REF!,16,FALSE())&gt;2,HLOOKUP($A1021,#REF!,16,FALSE())&lt;-2),"",#REF!),"")</f>
        <v/>
      </c>
      <c r="S1021" s="0" t="str">
        <f aca="false">IFERROR(IF(OR(HLOOKUP($A1021,#REF!,17,FALSE())&gt;2,HLOOKUP($A1021,#REF!,17,FALSE())&lt;-2),"",#REF!),"")</f>
        <v/>
      </c>
      <c r="T1021" s="0" t="str">
        <f aca="false">IFERROR(IF(OR(HLOOKUP($A1021,#REF!,18,FALSE())&gt;2,HLOOKUP($A1021,#REF!,18,FALSE())&lt;-2),"",#REF!),"")</f>
        <v/>
      </c>
      <c r="U1021" s="0" t="str">
        <f aca="false">IFERROR(IF(OR(HLOOKUP($A1021,#REF!,19,FALSE())&gt;2,HLOOKUP($A1021,#REF!,19,FALSE())&lt;-2),"",#REF!),"")</f>
        <v/>
      </c>
      <c r="V1021" s="0" t="n">
        <f aca="false">IFERROR(IF(AND(X1021=0,Y1021=0),0,1),0)</f>
        <v>1</v>
      </c>
      <c r="W1021" s="3" t="str">
        <f aca="false">IFERROR(_xlfn.T.TEST(E1021:M1021,N1021:U1021,2,2),"")</f>
        <v/>
      </c>
      <c r="X1021" s="0" t="str">
        <f aca="false">IFERROR(AVERAGE(E1021:M1021),"")</f>
        <v/>
      </c>
      <c r="Y1021" s="0" t="str">
        <f aca="false">IFERROR(AVERAGE(N1021:U1021),"")</f>
        <v/>
      </c>
    </row>
    <row r="1022" customFormat="false" ht="14.5" hidden="false" customHeight="false" outlineLevel="0" collapsed="false">
      <c r="A1022" s="0" t="n">
        <v>1031</v>
      </c>
      <c r="B1022" s="0" t="s">
        <v>1067</v>
      </c>
      <c r="C1022" s="0" t="n">
        <v>51900</v>
      </c>
      <c r="D1022" s="0" t="n">
        <v>818</v>
      </c>
      <c r="E1022" s="0" t="str">
        <f aca="false">IFERROR(IF(OR(HLOOKUP($A1022,#REF!,3,FALSE())&gt;2,HLOOKUP(A1022,#REF!,3,FALSE())&lt;-2),"",#REF!),"")</f>
        <v/>
      </c>
      <c r="F1022" s="0" t="str">
        <f aca="false">IFERROR(IF(OR(HLOOKUP($A1022,#REF!,4,FALSE())&gt;2,HLOOKUP($A1022,#REF!,4,FALSE())&lt;-2),"",#REF!),"")</f>
        <v/>
      </c>
      <c r="G1022" s="0" t="str">
        <f aca="false">IFERROR(IF(OR(HLOOKUP($A1022,#REF!,5,FALSE())&gt;2,HLOOKUP($A1022,#REF!,5,FALSE())&lt;-2),"",#REF!),"")</f>
        <v/>
      </c>
      <c r="H1022" s="0" t="str">
        <f aca="false">IFERROR(IF(OR(HLOOKUP($A1022,#REF!,6,FALSE())&gt;2,HLOOKUP($A1022,#REF!,6,FALSE())&lt;-2),"",#REF!),"")</f>
        <v/>
      </c>
      <c r="I1022" s="0" t="str">
        <f aca="false">IFERROR(IF(OR(HLOOKUP($A1022,#REF!,7,FALSE())&gt;2,HLOOKUP($A1022,#REF!,7,FALSE())&lt;-2),"",#REF!),"")</f>
        <v/>
      </c>
      <c r="J1022" s="0" t="str">
        <f aca="false">IFERROR(IF(OR(HLOOKUP($A1022,#REF!,8,FALSE())&gt;2,HLOOKUP($A1022,#REF!,8,FALSE())&lt;-2),"",#REF!),"")</f>
        <v/>
      </c>
      <c r="K1022" s="0" t="str">
        <f aca="false">IFERROR(IF(OR(HLOOKUP($A1022,#REF!,9,FALSE())&gt;2,HLOOKUP($A1022,#REF!,9,FALSE())&lt;-2),"",#REF!),"")</f>
        <v/>
      </c>
      <c r="L1022" s="0" t="str">
        <f aca="false">IFERROR(IF(OR(HLOOKUP($A1022,#REF!,10,FALSE())&gt;2,HLOOKUP($A1022,#REF!,10,FALSE())&lt;-2),"",#REF!),"")</f>
        <v/>
      </c>
      <c r="M1022" s="0" t="str">
        <f aca="false">IFERROR(IF(OR(HLOOKUP($A1022,#REF!,11,FALSE())&gt;2,HLOOKUP($A1022,#REF!,11,FALSE())&lt;-2),"",#REF!),"")</f>
        <v/>
      </c>
      <c r="N1022" s="0" t="str">
        <f aca="false">IFERROR(IF(OR(HLOOKUP($A1022,#REF!,12,FALSE())&gt;2,HLOOKUP($A1022,#REF!,12,FALSE())&lt;-2),"",#REF!),"")</f>
        <v/>
      </c>
      <c r="O1022" s="0" t="str">
        <f aca="false">IFERROR(IF(OR(HLOOKUP($A1022,#REF!,13,FALSE())&gt;2,HLOOKUP($A1022,#REF!,13,FALSE())&lt;-2),"",#REF!),"")</f>
        <v/>
      </c>
      <c r="P1022" s="0" t="str">
        <f aca="false">IFERROR(IF(OR(HLOOKUP($A1022,#REF!,14,FALSE())&gt;2,HLOOKUP($A1022,#REF!,14,FALSE())&lt;-2),"",#REF!),"")</f>
        <v/>
      </c>
      <c r="Q1022" s="0" t="str">
        <f aca="false">IFERROR(IF(OR(HLOOKUP($A1022,#REF!,15,FALSE())&gt;2,HLOOKUP($A1022,#REF!,15,FALSE())&lt;-2),"",#REF!),"")</f>
        <v/>
      </c>
      <c r="R1022" s="0" t="str">
        <f aca="false">IFERROR(IF(OR(HLOOKUP($A1022,#REF!,16,FALSE())&gt;2,HLOOKUP($A1022,#REF!,16,FALSE())&lt;-2),"",#REF!),"")</f>
        <v/>
      </c>
      <c r="S1022" s="0" t="str">
        <f aca="false">IFERROR(IF(OR(HLOOKUP($A1022,#REF!,17,FALSE())&gt;2,HLOOKUP($A1022,#REF!,17,FALSE())&lt;-2),"",#REF!),"")</f>
        <v/>
      </c>
      <c r="T1022" s="0" t="str">
        <f aca="false">IFERROR(IF(OR(HLOOKUP($A1022,#REF!,18,FALSE())&gt;2,HLOOKUP($A1022,#REF!,18,FALSE())&lt;-2),"",#REF!),"")</f>
        <v/>
      </c>
      <c r="U1022" s="0" t="str">
        <f aca="false">IFERROR(IF(OR(HLOOKUP($A1022,#REF!,19,FALSE())&gt;2,HLOOKUP($A1022,#REF!,19,FALSE())&lt;-2),"",#REF!),"")</f>
        <v/>
      </c>
      <c r="V1022" s="0" t="n">
        <f aca="false">IFERROR(IF(AND(X1022=0,Y1022=0),0,1),0)</f>
        <v>1</v>
      </c>
      <c r="W1022" s="3" t="str">
        <f aca="false">IFERROR(_xlfn.T.TEST(E1022:M1022,N1022:U1022,2,2),"")</f>
        <v/>
      </c>
      <c r="X1022" s="0" t="str">
        <f aca="false">IFERROR(AVERAGE(E1022:M1022),"")</f>
        <v/>
      </c>
      <c r="Y1022" s="0" t="str">
        <f aca="false">IFERROR(AVERAGE(N1022:U1022),"")</f>
        <v/>
      </c>
    </row>
    <row r="1023" customFormat="false" ht="14.5" hidden="false" customHeight="false" outlineLevel="0" collapsed="false">
      <c r="A1023" s="0" t="n">
        <v>1032</v>
      </c>
      <c r="B1023" s="0" t="s">
        <v>1068</v>
      </c>
      <c r="C1023" s="0" t="n">
        <v>117100</v>
      </c>
      <c r="D1023" s="0" t="n">
        <v>1024</v>
      </c>
      <c r="E1023" s="0" t="str">
        <f aca="false">IFERROR(IF(OR(HLOOKUP($A1023,#REF!,3,FALSE())&gt;2,HLOOKUP(A1023,#REF!,3,FALSE())&lt;-2),"",#REF!),"")</f>
        <v/>
      </c>
      <c r="F1023" s="0" t="str">
        <f aca="false">IFERROR(IF(OR(HLOOKUP($A1023,#REF!,4,FALSE())&gt;2,HLOOKUP($A1023,#REF!,4,FALSE())&lt;-2),"",#REF!),"")</f>
        <v/>
      </c>
      <c r="G1023" s="0" t="str">
        <f aca="false">IFERROR(IF(OR(HLOOKUP($A1023,#REF!,5,FALSE())&gt;2,HLOOKUP($A1023,#REF!,5,FALSE())&lt;-2),"",#REF!),"")</f>
        <v/>
      </c>
      <c r="H1023" s="0" t="str">
        <f aca="false">IFERROR(IF(OR(HLOOKUP($A1023,#REF!,6,FALSE())&gt;2,HLOOKUP($A1023,#REF!,6,FALSE())&lt;-2),"",#REF!),"")</f>
        <v/>
      </c>
      <c r="I1023" s="0" t="str">
        <f aca="false">IFERROR(IF(OR(HLOOKUP($A1023,#REF!,7,FALSE())&gt;2,HLOOKUP($A1023,#REF!,7,FALSE())&lt;-2),"",#REF!),"")</f>
        <v/>
      </c>
      <c r="J1023" s="0" t="str">
        <f aca="false">IFERROR(IF(OR(HLOOKUP($A1023,#REF!,8,FALSE())&gt;2,HLOOKUP($A1023,#REF!,8,FALSE())&lt;-2),"",#REF!),"")</f>
        <v/>
      </c>
      <c r="K1023" s="0" t="str">
        <f aca="false">IFERROR(IF(OR(HLOOKUP($A1023,#REF!,9,FALSE())&gt;2,HLOOKUP($A1023,#REF!,9,FALSE())&lt;-2),"",#REF!),"")</f>
        <v/>
      </c>
      <c r="L1023" s="0" t="str">
        <f aca="false">IFERROR(IF(OR(HLOOKUP($A1023,#REF!,10,FALSE())&gt;2,HLOOKUP($A1023,#REF!,10,FALSE())&lt;-2),"",#REF!),"")</f>
        <v/>
      </c>
      <c r="M1023" s="0" t="str">
        <f aca="false">IFERROR(IF(OR(HLOOKUP($A1023,#REF!,11,FALSE())&gt;2,HLOOKUP($A1023,#REF!,11,FALSE())&lt;-2),"",#REF!),"")</f>
        <v/>
      </c>
      <c r="N1023" s="0" t="str">
        <f aca="false">IFERROR(IF(OR(HLOOKUP($A1023,#REF!,12,FALSE())&gt;2,HLOOKUP($A1023,#REF!,12,FALSE())&lt;-2),"",#REF!),"")</f>
        <v/>
      </c>
      <c r="O1023" s="0" t="str">
        <f aca="false">IFERROR(IF(OR(HLOOKUP($A1023,#REF!,13,FALSE())&gt;2,HLOOKUP($A1023,#REF!,13,FALSE())&lt;-2),"",#REF!),"")</f>
        <v/>
      </c>
      <c r="P1023" s="0" t="str">
        <f aca="false">IFERROR(IF(OR(HLOOKUP($A1023,#REF!,14,FALSE())&gt;2,HLOOKUP($A1023,#REF!,14,FALSE())&lt;-2),"",#REF!),"")</f>
        <v/>
      </c>
      <c r="Q1023" s="0" t="str">
        <f aca="false">IFERROR(IF(OR(HLOOKUP($A1023,#REF!,15,FALSE())&gt;2,HLOOKUP($A1023,#REF!,15,FALSE())&lt;-2),"",#REF!),"")</f>
        <v/>
      </c>
      <c r="R1023" s="0" t="str">
        <f aca="false">IFERROR(IF(OR(HLOOKUP($A1023,#REF!,16,FALSE())&gt;2,HLOOKUP($A1023,#REF!,16,FALSE())&lt;-2),"",#REF!),"")</f>
        <v/>
      </c>
      <c r="S1023" s="0" t="str">
        <f aca="false">IFERROR(IF(OR(HLOOKUP($A1023,#REF!,17,FALSE())&gt;2,HLOOKUP($A1023,#REF!,17,FALSE())&lt;-2),"",#REF!),"")</f>
        <v/>
      </c>
      <c r="T1023" s="0" t="str">
        <f aca="false">IFERROR(IF(OR(HLOOKUP($A1023,#REF!,18,FALSE())&gt;2,HLOOKUP($A1023,#REF!,18,FALSE())&lt;-2),"",#REF!),"")</f>
        <v/>
      </c>
      <c r="U1023" s="0" t="str">
        <f aca="false">IFERROR(IF(OR(HLOOKUP($A1023,#REF!,19,FALSE())&gt;2,HLOOKUP($A1023,#REF!,19,FALSE())&lt;-2),"",#REF!),"")</f>
        <v/>
      </c>
      <c r="V1023" s="0" t="n">
        <f aca="false">IFERROR(IF(AND(X1023=0,Y1023=0),0,1),0)</f>
        <v>1</v>
      </c>
      <c r="W1023" s="3" t="str">
        <f aca="false">IFERROR(_xlfn.T.TEST(E1023:M1023,N1023:U1023,2,2),"")</f>
        <v/>
      </c>
      <c r="X1023" s="0" t="str">
        <f aca="false">IFERROR(AVERAGE(E1023:M1023),"")</f>
        <v/>
      </c>
      <c r="Y1023" s="0" t="str">
        <f aca="false">IFERROR(AVERAGE(N1023:U1023),"")</f>
        <v/>
      </c>
    </row>
    <row r="1024" customFormat="false" ht="14.5" hidden="false" customHeight="false" outlineLevel="0" collapsed="false">
      <c r="A1024" s="0" t="n">
        <v>1033</v>
      </c>
      <c r="B1024" s="0" t="s">
        <v>1069</v>
      </c>
      <c r="C1024" s="0" t="n">
        <v>61400</v>
      </c>
      <c r="D1024" s="0" t="n">
        <v>1073</v>
      </c>
      <c r="E1024" s="0" t="str">
        <f aca="false">IFERROR(IF(OR(HLOOKUP($A1024,#REF!,3,FALSE())&gt;2,HLOOKUP(A1024,#REF!,3,FALSE())&lt;-2),"",#REF!),"")</f>
        <v/>
      </c>
      <c r="F1024" s="0" t="str">
        <f aca="false">IFERROR(IF(OR(HLOOKUP($A1024,#REF!,4,FALSE())&gt;2,HLOOKUP($A1024,#REF!,4,FALSE())&lt;-2),"",#REF!),"")</f>
        <v/>
      </c>
      <c r="G1024" s="0" t="str">
        <f aca="false">IFERROR(IF(OR(HLOOKUP($A1024,#REF!,5,FALSE())&gt;2,HLOOKUP($A1024,#REF!,5,FALSE())&lt;-2),"",#REF!),"")</f>
        <v/>
      </c>
      <c r="H1024" s="0" t="str">
        <f aca="false">IFERROR(IF(OR(HLOOKUP($A1024,#REF!,6,FALSE())&gt;2,HLOOKUP($A1024,#REF!,6,FALSE())&lt;-2),"",#REF!),"")</f>
        <v/>
      </c>
      <c r="I1024" s="0" t="str">
        <f aca="false">IFERROR(IF(OR(HLOOKUP($A1024,#REF!,7,FALSE())&gt;2,HLOOKUP($A1024,#REF!,7,FALSE())&lt;-2),"",#REF!),"")</f>
        <v/>
      </c>
      <c r="J1024" s="0" t="str">
        <f aca="false">IFERROR(IF(OR(HLOOKUP($A1024,#REF!,8,FALSE())&gt;2,HLOOKUP($A1024,#REF!,8,FALSE())&lt;-2),"",#REF!),"")</f>
        <v/>
      </c>
      <c r="K1024" s="0" t="str">
        <f aca="false">IFERROR(IF(OR(HLOOKUP($A1024,#REF!,9,FALSE())&gt;2,HLOOKUP($A1024,#REF!,9,FALSE())&lt;-2),"",#REF!),"")</f>
        <v/>
      </c>
      <c r="L1024" s="0" t="str">
        <f aca="false">IFERROR(IF(OR(HLOOKUP($A1024,#REF!,10,FALSE())&gt;2,HLOOKUP($A1024,#REF!,10,FALSE())&lt;-2),"",#REF!),"")</f>
        <v/>
      </c>
      <c r="M1024" s="0" t="str">
        <f aca="false">IFERROR(IF(OR(HLOOKUP($A1024,#REF!,11,FALSE())&gt;2,HLOOKUP($A1024,#REF!,11,FALSE())&lt;-2),"",#REF!),"")</f>
        <v/>
      </c>
      <c r="N1024" s="0" t="str">
        <f aca="false">IFERROR(IF(OR(HLOOKUP($A1024,#REF!,12,FALSE())&gt;2,HLOOKUP($A1024,#REF!,12,FALSE())&lt;-2),"",#REF!),"")</f>
        <v/>
      </c>
      <c r="O1024" s="0" t="str">
        <f aca="false">IFERROR(IF(OR(HLOOKUP($A1024,#REF!,13,FALSE())&gt;2,HLOOKUP($A1024,#REF!,13,FALSE())&lt;-2),"",#REF!),"")</f>
        <v/>
      </c>
      <c r="P1024" s="0" t="str">
        <f aca="false">IFERROR(IF(OR(HLOOKUP($A1024,#REF!,14,FALSE())&gt;2,HLOOKUP($A1024,#REF!,14,FALSE())&lt;-2),"",#REF!),"")</f>
        <v/>
      </c>
      <c r="Q1024" s="0" t="str">
        <f aca="false">IFERROR(IF(OR(HLOOKUP($A1024,#REF!,15,FALSE())&gt;2,HLOOKUP($A1024,#REF!,15,FALSE())&lt;-2),"",#REF!),"")</f>
        <v/>
      </c>
      <c r="R1024" s="0" t="str">
        <f aca="false">IFERROR(IF(OR(HLOOKUP($A1024,#REF!,16,FALSE())&gt;2,HLOOKUP($A1024,#REF!,16,FALSE())&lt;-2),"",#REF!),"")</f>
        <v/>
      </c>
      <c r="S1024" s="0" t="str">
        <f aca="false">IFERROR(IF(OR(HLOOKUP($A1024,#REF!,17,FALSE())&gt;2,HLOOKUP($A1024,#REF!,17,FALSE())&lt;-2),"",#REF!),"")</f>
        <v/>
      </c>
      <c r="T1024" s="0" t="str">
        <f aca="false">IFERROR(IF(OR(HLOOKUP($A1024,#REF!,18,FALSE())&gt;2,HLOOKUP($A1024,#REF!,18,FALSE())&lt;-2),"",#REF!),"")</f>
        <v/>
      </c>
      <c r="U1024" s="0" t="str">
        <f aca="false">IFERROR(IF(OR(HLOOKUP($A1024,#REF!,19,FALSE())&gt;2,HLOOKUP($A1024,#REF!,19,FALSE())&lt;-2),"",#REF!),"")</f>
        <v/>
      </c>
      <c r="V1024" s="0" t="n">
        <f aca="false">IFERROR(IF(AND(X1024=0,Y1024=0),0,1),0)</f>
        <v>1</v>
      </c>
      <c r="W1024" s="3" t="str">
        <f aca="false">IFERROR(_xlfn.T.TEST(E1024:M1024,N1024:U1024,2,2),"")</f>
        <v/>
      </c>
      <c r="X1024" s="0" t="str">
        <f aca="false">IFERROR(AVERAGE(E1024:M1024),"")</f>
        <v/>
      </c>
      <c r="Y1024" s="0" t="str">
        <f aca="false">IFERROR(AVERAGE(N1024:U1024),"")</f>
        <v/>
      </c>
    </row>
    <row r="1025" customFormat="false" ht="14.5" hidden="false" customHeight="false" outlineLevel="0" collapsed="false">
      <c r="A1025" s="0" t="n">
        <v>1034</v>
      </c>
      <c r="B1025" s="0" t="s">
        <v>1070</v>
      </c>
      <c r="C1025" s="0" t="n">
        <v>32100</v>
      </c>
      <c r="D1025" s="0" t="n">
        <v>589</v>
      </c>
      <c r="E1025" s="0" t="str">
        <f aca="false">IFERROR(IF(OR(HLOOKUP($A1025,#REF!,3,FALSE())&gt;2,HLOOKUP(A1025,#REF!,3,FALSE())&lt;-2),"",#REF!),"")</f>
        <v/>
      </c>
      <c r="F1025" s="0" t="str">
        <f aca="false">IFERROR(IF(OR(HLOOKUP($A1025,#REF!,4,FALSE())&gt;2,HLOOKUP($A1025,#REF!,4,FALSE())&lt;-2),"",#REF!),"")</f>
        <v/>
      </c>
      <c r="G1025" s="0" t="str">
        <f aca="false">IFERROR(IF(OR(HLOOKUP($A1025,#REF!,5,FALSE())&gt;2,HLOOKUP($A1025,#REF!,5,FALSE())&lt;-2),"",#REF!),"")</f>
        <v/>
      </c>
      <c r="H1025" s="0" t="str">
        <f aca="false">IFERROR(IF(OR(HLOOKUP($A1025,#REF!,6,FALSE())&gt;2,HLOOKUP($A1025,#REF!,6,FALSE())&lt;-2),"",#REF!),"")</f>
        <v/>
      </c>
      <c r="I1025" s="0" t="str">
        <f aca="false">IFERROR(IF(OR(HLOOKUP($A1025,#REF!,7,FALSE())&gt;2,HLOOKUP($A1025,#REF!,7,FALSE())&lt;-2),"",#REF!),"")</f>
        <v/>
      </c>
      <c r="J1025" s="0" t="str">
        <f aca="false">IFERROR(IF(OR(HLOOKUP($A1025,#REF!,8,FALSE())&gt;2,HLOOKUP($A1025,#REF!,8,FALSE())&lt;-2),"",#REF!),"")</f>
        <v/>
      </c>
      <c r="K1025" s="0" t="str">
        <f aca="false">IFERROR(IF(OR(HLOOKUP($A1025,#REF!,9,FALSE())&gt;2,HLOOKUP($A1025,#REF!,9,FALSE())&lt;-2),"",#REF!),"")</f>
        <v/>
      </c>
      <c r="L1025" s="0" t="str">
        <f aca="false">IFERROR(IF(OR(HLOOKUP($A1025,#REF!,10,FALSE())&gt;2,HLOOKUP($A1025,#REF!,10,FALSE())&lt;-2),"",#REF!),"")</f>
        <v/>
      </c>
      <c r="M1025" s="0" t="str">
        <f aca="false">IFERROR(IF(OR(HLOOKUP($A1025,#REF!,11,FALSE())&gt;2,HLOOKUP($A1025,#REF!,11,FALSE())&lt;-2),"",#REF!),"")</f>
        <v/>
      </c>
      <c r="N1025" s="0" t="str">
        <f aca="false">IFERROR(IF(OR(HLOOKUP($A1025,#REF!,12,FALSE())&gt;2,HLOOKUP($A1025,#REF!,12,FALSE())&lt;-2),"",#REF!),"")</f>
        <v/>
      </c>
      <c r="O1025" s="0" t="str">
        <f aca="false">IFERROR(IF(OR(HLOOKUP($A1025,#REF!,13,FALSE())&gt;2,HLOOKUP($A1025,#REF!,13,FALSE())&lt;-2),"",#REF!),"")</f>
        <v/>
      </c>
      <c r="P1025" s="0" t="str">
        <f aca="false">IFERROR(IF(OR(HLOOKUP($A1025,#REF!,14,FALSE())&gt;2,HLOOKUP($A1025,#REF!,14,FALSE())&lt;-2),"",#REF!),"")</f>
        <v/>
      </c>
      <c r="Q1025" s="0" t="str">
        <f aca="false">IFERROR(IF(OR(HLOOKUP($A1025,#REF!,15,FALSE())&gt;2,HLOOKUP($A1025,#REF!,15,FALSE())&lt;-2),"",#REF!),"")</f>
        <v/>
      </c>
      <c r="R1025" s="0" t="str">
        <f aca="false">IFERROR(IF(OR(HLOOKUP($A1025,#REF!,16,FALSE())&gt;2,HLOOKUP($A1025,#REF!,16,FALSE())&lt;-2),"",#REF!),"")</f>
        <v/>
      </c>
      <c r="S1025" s="0" t="str">
        <f aca="false">IFERROR(IF(OR(HLOOKUP($A1025,#REF!,17,FALSE())&gt;2,HLOOKUP($A1025,#REF!,17,FALSE())&lt;-2),"",#REF!),"")</f>
        <v/>
      </c>
      <c r="T1025" s="0" t="str">
        <f aca="false">IFERROR(IF(OR(HLOOKUP($A1025,#REF!,18,FALSE())&gt;2,HLOOKUP($A1025,#REF!,18,FALSE())&lt;-2),"",#REF!),"")</f>
        <v/>
      </c>
      <c r="U1025" s="0" t="str">
        <f aca="false">IFERROR(IF(OR(HLOOKUP($A1025,#REF!,19,FALSE())&gt;2,HLOOKUP($A1025,#REF!,19,FALSE())&lt;-2),"",#REF!),"")</f>
        <v/>
      </c>
      <c r="V1025" s="0" t="n">
        <f aca="false">IFERROR(IF(AND(X1025=0,Y1025=0),0,1),0)</f>
        <v>1</v>
      </c>
      <c r="W1025" s="3" t="str">
        <f aca="false">IFERROR(_xlfn.T.TEST(E1025:M1025,N1025:U1025,2,2),"")</f>
        <v/>
      </c>
      <c r="X1025" s="0" t="str">
        <f aca="false">IFERROR(AVERAGE(E1025:M1025),"")</f>
        <v/>
      </c>
      <c r="Y1025" s="0" t="str">
        <f aca="false">IFERROR(AVERAGE(N1025:U1025),"")</f>
        <v/>
      </c>
    </row>
    <row r="1026" customFormat="false" ht="14.5" hidden="false" customHeight="false" outlineLevel="0" collapsed="false">
      <c r="A1026" s="0" t="n">
        <v>1035</v>
      </c>
      <c r="B1026" s="0" t="s">
        <v>1071</v>
      </c>
      <c r="C1026" s="0" t="n">
        <v>8000</v>
      </c>
      <c r="D1026" s="0" t="n">
        <v>378</v>
      </c>
      <c r="E1026" s="0" t="str">
        <f aca="false">IFERROR(IF(OR(HLOOKUP($A1026,#REF!,3,FALSE())&gt;2,HLOOKUP(A1026,#REF!,3,FALSE())&lt;-2),"",#REF!),"")</f>
        <v/>
      </c>
      <c r="F1026" s="0" t="str">
        <f aca="false">IFERROR(IF(OR(HLOOKUP($A1026,#REF!,4,FALSE())&gt;2,HLOOKUP($A1026,#REF!,4,FALSE())&lt;-2),"",#REF!),"")</f>
        <v/>
      </c>
      <c r="G1026" s="0" t="str">
        <f aca="false">IFERROR(IF(OR(HLOOKUP($A1026,#REF!,5,FALSE())&gt;2,HLOOKUP($A1026,#REF!,5,FALSE())&lt;-2),"",#REF!),"")</f>
        <v/>
      </c>
      <c r="H1026" s="0" t="str">
        <f aca="false">IFERROR(IF(OR(HLOOKUP($A1026,#REF!,6,FALSE())&gt;2,HLOOKUP($A1026,#REF!,6,FALSE())&lt;-2),"",#REF!),"")</f>
        <v/>
      </c>
      <c r="I1026" s="0" t="str">
        <f aca="false">IFERROR(IF(OR(HLOOKUP($A1026,#REF!,7,FALSE())&gt;2,HLOOKUP($A1026,#REF!,7,FALSE())&lt;-2),"",#REF!),"")</f>
        <v/>
      </c>
      <c r="J1026" s="0" t="str">
        <f aca="false">IFERROR(IF(OR(HLOOKUP($A1026,#REF!,8,FALSE())&gt;2,HLOOKUP($A1026,#REF!,8,FALSE())&lt;-2),"",#REF!),"")</f>
        <v/>
      </c>
      <c r="K1026" s="0" t="str">
        <f aca="false">IFERROR(IF(OR(HLOOKUP($A1026,#REF!,9,FALSE())&gt;2,HLOOKUP($A1026,#REF!,9,FALSE())&lt;-2),"",#REF!),"")</f>
        <v/>
      </c>
      <c r="L1026" s="0" t="str">
        <f aca="false">IFERROR(IF(OR(HLOOKUP($A1026,#REF!,10,FALSE())&gt;2,HLOOKUP($A1026,#REF!,10,FALSE())&lt;-2),"",#REF!),"")</f>
        <v/>
      </c>
      <c r="M1026" s="0" t="str">
        <f aca="false">IFERROR(IF(OR(HLOOKUP($A1026,#REF!,11,FALSE())&gt;2,HLOOKUP($A1026,#REF!,11,FALSE())&lt;-2),"",#REF!),"")</f>
        <v/>
      </c>
      <c r="N1026" s="0" t="str">
        <f aca="false">IFERROR(IF(OR(HLOOKUP($A1026,#REF!,12,FALSE())&gt;2,HLOOKUP($A1026,#REF!,12,FALSE())&lt;-2),"",#REF!),"")</f>
        <v/>
      </c>
      <c r="O1026" s="0" t="str">
        <f aca="false">IFERROR(IF(OR(HLOOKUP($A1026,#REF!,13,FALSE())&gt;2,HLOOKUP($A1026,#REF!,13,FALSE())&lt;-2),"",#REF!),"")</f>
        <v/>
      </c>
      <c r="P1026" s="0" t="str">
        <f aca="false">IFERROR(IF(OR(HLOOKUP($A1026,#REF!,14,FALSE())&gt;2,HLOOKUP($A1026,#REF!,14,FALSE())&lt;-2),"",#REF!),"")</f>
        <v/>
      </c>
      <c r="Q1026" s="0" t="str">
        <f aca="false">IFERROR(IF(OR(HLOOKUP($A1026,#REF!,15,FALSE())&gt;2,HLOOKUP($A1026,#REF!,15,FALSE())&lt;-2),"",#REF!),"")</f>
        <v/>
      </c>
      <c r="R1026" s="0" t="str">
        <f aca="false">IFERROR(IF(OR(HLOOKUP($A1026,#REF!,16,FALSE())&gt;2,HLOOKUP($A1026,#REF!,16,FALSE())&lt;-2),"",#REF!),"")</f>
        <v/>
      </c>
      <c r="S1026" s="0" t="str">
        <f aca="false">IFERROR(IF(OR(HLOOKUP($A1026,#REF!,17,FALSE())&gt;2,HLOOKUP($A1026,#REF!,17,FALSE())&lt;-2),"",#REF!),"")</f>
        <v/>
      </c>
      <c r="T1026" s="0" t="str">
        <f aca="false">IFERROR(IF(OR(HLOOKUP($A1026,#REF!,18,FALSE())&gt;2,HLOOKUP($A1026,#REF!,18,FALSE())&lt;-2),"",#REF!),"")</f>
        <v/>
      </c>
      <c r="U1026" s="0" t="str">
        <f aca="false">IFERROR(IF(OR(HLOOKUP($A1026,#REF!,19,FALSE())&gt;2,HLOOKUP($A1026,#REF!,19,FALSE())&lt;-2),"",#REF!),"")</f>
        <v/>
      </c>
      <c r="V1026" s="0" t="n">
        <f aca="false">IFERROR(IF(AND(X1026=0,Y1026=0),0,1),0)</f>
        <v>1</v>
      </c>
      <c r="W1026" s="3" t="str">
        <f aca="false">IFERROR(_xlfn.T.TEST(E1026:M1026,N1026:U1026,2,2),"")</f>
        <v/>
      </c>
      <c r="X1026" s="0" t="str">
        <f aca="false">IFERROR(AVERAGE(E1026:M1026),"")</f>
        <v/>
      </c>
      <c r="Y1026" s="0" t="str">
        <f aca="false">IFERROR(AVERAGE(N1026:U1026),"")</f>
        <v/>
      </c>
    </row>
    <row r="1027" customFormat="false" ht="14.5" hidden="false" customHeight="false" outlineLevel="0" collapsed="false">
      <c r="A1027" s="0" t="n">
        <v>1036</v>
      </c>
      <c r="B1027" s="0" t="s">
        <v>1072</v>
      </c>
      <c r="C1027" s="0" t="n">
        <v>107200</v>
      </c>
      <c r="D1027" s="0" t="n">
        <v>784</v>
      </c>
      <c r="E1027" s="0" t="str">
        <f aca="false">IFERROR(IF(OR(HLOOKUP($A1027,#REF!,3,FALSE())&gt;2,HLOOKUP(A1027,#REF!,3,FALSE())&lt;-2),"",#REF!),"")</f>
        <v/>
      </c>
      <c r="F1027" s="0" t="str">
        <f aca="false">IFERROR(IF(OR(HLOOKUP($A1027,#REF!,4,FALSE())&gt;2,HLOOKUP($A1027,#REF!,4,FALSE())&lt;-2),"",#REF!),"")</f>
        <v/>
      </c>
      <c r="G1027" s="0" t="str">
        <f aca="false">IFERROR(IF(OR(HLOOKUP($A1027,#REF!,5,FALSE())&gt;2,HLOOKUP($A1027,#REF!,5,FALSE())&lt;-2),"",#REF!),"")</f>
        <v/>
      </c>
      <c r="H1027" s="0" t="str">
        <f aca="false">IFERROR(IF(OR(HLOOKUP($A1027,#REF!,6,FALSE())&gt;2,HLOOKUP($A1027,#REF!,6,FALSE())&lt;-2),"",#REF!),"")</f>
        <v/>
      </c>
      <c r="I1027" s="0" t="str">
        <f aca="false">IFERROR(IF(OR(HLOOKUP($A1027,#REF!,7,FALSE())&gt;2,HLOOKUP($A1027,#REF!,7,FALSE())&lt;-2),"",#REF!),"")</f>
        <v/>
      </c>
      <c r="J1027" s="0" t="str">
        <f aca="false">IFERROR(IF(OR(HLOOKUP($A1027,#REF!,8,FALSE())&gt;2,HLOOKUP($A1027,#REF!,8,FALSE())&lt;-2),"",#REF!),"")</f>
        <v/>
      </c>
      <c r="K1027" s="0" t="str">
        <f aca="false">IFERROR(IF(OR(HLOOKUP($A1027,#REF!,9,FALSE())&gt;2,HLOOKUP($A1027,#REF!,9,FALSE())&lt;-2),"",#REF!),"")</f>
        <v/>
      </c>
      <c r="L1027" s="0" t="str">
        <f aca="false">IFERROR(IF(OR(HLOOKUP($A1027,#REF!,10,FALSE())&gt;2,HLOOKUP($A1027,#REF!,10,FALSE())&lt;-2),"",#REF!),"")</f>
        <v/>
      </c>
      <c r="M1027" s="0" t="str">
        <f aca="false">IFERROR(IF(OR(HLOOKUP($A1027,#REF!,11,FALSE())&gt;2,HLOOKUP($A1027,#REF!,11,FALSE())&lt;-2),"",#REF!),"")</f>
        <v/>
      </c>
      <c r="N1027" s="0" t="str">
        <f aca="false">IFERROR(IF(OR(HLOOKUP($A1027,#REF!,12,FALSE())&gt;2,HLOOKUP($A1027,#REF!,12,FALSE())&lt;-2),"",#REF!),"")</f>
        <v/>
      </c>
      <c r="O1027" s="0" t="str">
        <f aca="false">IFERROR(IF(OR(HLOOKUP($A1027,#REF!,13,FALSE())&gt;2,HLOOKUP($A1027,#REF!,13,FALSE())&lt;-2),"",#REF!),"")</f>
        <v/>
      </c>
      <c r="P1027" s="0" t="str">
        <f aca="false">IFERROR(IF(OR(HLOOKUP($A1027,#REF!,14,FALSE())&gt;2,HLOOKUP($A1027,#REF!,14,FALSE())&lt;-2),"",#REF!),"")</f>
        <v/>
      </c>
      <c r="Q1027" s="0" t="str">
        <f aca="false">IFERROR(IF(OR(HLOOKUP($A1027,#REF!,15,FALSE())&gt;2,HLOOKUP($A1027,#REF!,15,FALSE())&lt;-2),"",#REF!),"")</f>
        <v/>
      </c>
      <c r="R1027" s="0" t="str">
        <f aca="false">IFERROR(IF(OR(HLOOKUP($A1027,#REF!,16,FALSE())&gt;2,HLOOKUP($A1027,#REF!,16,FALSE())&lt;-2),"",#REF!),"")</f>
        <v/>
      </c>
      <c r="S1027" s="0" t="str">
        <f aca="false">IFERROR(IF(OR(HLOOKUP($A1027,#REF!,17,FALSE())&gt;2,HLOOKUP($A1027,#REF!,17,FALSE())&lt;-2),"",#REF!),"")</f>
        <v/>
      </c>
      <c r="T1027" s="0" t="str">
        <f aca="false">IFERROR(IF(OR(HLOOKUP($A1027,#REF!,18,FALSE())&gt;2,HLOOKUP($A1027,#REF!,18,FALSE())&lt;-2),"",#REF!),"")</f>
        <v/>
      </c>
      <c r="U1027" s="0" t="str">
        <f aca="false">IFERROR(IF(OR(HLOOKUP($A1027,#REF!,19,FALSE())&gt;2,HLOOKUP($A1027,#REF!,19,FALSE())&lt;-2),"",#REF!),"")</f>
        <v/>
      </c>
      <c r="V1027" s="0" t="n">
        <f aca="false">IFERROR(IF(AND(X1027=0,Y1027=0),0,1),0)</f>
        <v>1</v>
      </c>
      <c r="W1027" s="3" t="str">
        <f aca="false">IFERROR(_xlfn.T.TEST(E1027:M1027,N1027:U1027,2,2),"")</f>
        <v/>
      </c>
      <c r="X1027" s="0" t="str">
        <f aca="false">IFERROR(AVERAGE(E1027:M1027),"")</f>
        <v/>
      </c>
      <c r="Y1027" s="0" t="str">
        <f aca="false">IFERROR(AVERAGE(N1027:U1027),"")</f>
        <v/>
      </c>
    </row>
    <row r="1028" customFormat="false" ht="14.5" hidden="false" customHeight="false" outlineLevel="0" collapsed="false">
      <c r="A1028" s="0" t="n">
        <v>1037</v>
      </c>
      <c r="B1028" s="0" t="s">
        <v>1073</v>
      </c>
      <c r="C1028" s="0" t="n">
        <v>44700</v>
      </c>
      <c r="D1028" s="0" t="n">
        <v>822</v>
      </c>
      <c r="E1028" s="0" t="str">
        <f aca="false">IFERROR(IF(OR(HLOOKUP($A1028,#REF!,3,FALSE())&gt;2,HLOOKUP(A1028,#REF!,3,FALSE())&lt;-2),"",#REF!),"")</f>
        <v/>
      </c>
      <c r="F1028" s="0" t="str">
        <f aca="false">IFERROR(IF(OR(HLOOKUP($A1028,#REF!,4,FALSE())&gt;2,HLOOKUP($A1028,#REF!,4,FALSE())&lt;-2),"",#REF!),"")</f>
        <v/>
      </c>
      <c r="G1028" s="0" t="str">
        <f aca="false">IFERROR(IF(OR(HLOOKUP($A1028,#REF!,5,FALSE())&gt;2,HLOOKUP($A1028,#REF!,5,FALSE())&lt;-2),"",#REF!),"")</f>
        <v/>
      </c>
      <c r="H1028" s="0" t="str">
        <f aca="false">IFERROR(IF(OR(HLOOKUP($A1028,#REF!,6,FALSE())&gt;2,HLOOKUP($A1028,#REF!,6,FALSE())&lt;-2),"",#REF!),"")</f>
        <v/>
      </c>
      <c r="I1028" s="0" t="str">
        <f aca="false">IFERROR(IF(OR(HLOOKUP($A1028,#REF!,7,FALSE())&gt;2,HLOOKUP($A1028,#REF!,7,FALSE())&lt;-2),"",#REF!),"")</f>
        <v/>
      </c>
      <c r="J1028" s="0" t="str">
        <f aca="false">IFERROR(IF(OR(HLOOKUP($A1028,#REF!,8,FALSE())&gt;2,HLOOKUP($A1028,#REF!,8,FALSE())&lt;-2),"",#REF!),"")</f>
        <v/>
      </c>
      <c r="K1028" s="0" t="str">
        <f aca="false">IFERROR(IF(OR(HLOOKUP($A1028,#REF!,9,FALSE())&gt;2,HLOOKUP($A1028,#REF!,9,FALSE())&lt;-2),"",#REF!),"")</f>
        <v/>
      </c>
      <c r="L1028" s="0" t="str">
        <f aca="false">IFERROR(IF(OR(HLOOKUP($A1028,#REF!,10,FALSE())&gt;2,HLOOKUP($A1028,#REF!,10,FALSE())&lt;-2),"",#REF!),"")</f>
        <v/>
      </c>
      <c r="M1028" s="0" t="str">
        <f aca="false">IFERROR(IF(OR(HLOOKUP($A1028,#REF!,11,FALSE())&gt;2,HLOOKUP($A1028,#REF!,11,FALSE())&lt;-2),"",#REF!),"")</f>
        <v/>
      </c>
      <c r="N1028" s="0" t="str">
        <f aca="false">IFERROR(IF(OR(HLOOKUP($A1028,#REF!,12,FALSE())&gt;2,HLOOKUP($A1028,#REF!,12,FALSE())&lt;-2),"",#REF!),"")</f>
        <v/>
      </c>
      <c r="O1028" s="0" t="str">
        <f aca="false">IFERROR(IF(OR(HLOOKUP($A1028,#REF!,13,FALSE())&gt;2,HLOOKUP($A1028,#REF!,13,FALSE())&lt;-2),"",#REF!),"")</f>
        <v/>
      </c>
      <c r="P1028" s="0" t="str">
        <f aca="false">IFERROR(IF(OR(HLOOKUP($A1028,#REF!,14,FALSE())&gt;2,HLOOKUP($A1028,#REF!,14,FALSE())&lt;-2),"",#REF!),"")</f>
        <v/>
      </c>
      <c r="Q1028" s="0" t="str">
        <f aca="false">IFERROR(IF(OR(HLOOKUP($A1028,#REF!,15,FALSE())&gt;2,HLOOKUP($A1028,#REF!,15,FALSE())&lt;-2),"",#REF!),"")</f>
        <v/>
      </c>
      <c r="R1028" s="0" t="str">
        <f aca="false">IFERROR(IF(OR(HLOOKUP($A1028,#REF!,16,FALSE())&gt;2,HLOOKUP($A1028,#REF!,16,FALSE())&lt;-2),"",#REF!),"")</f>
        <v/>
      </c>
      <c r="S1028" s="0" t="str">
        <f aca="false">IFERROR(IF(OR(HLOOKUP($A1028,#REF!,17,FALSE())&gt;2,HLOOKUP($A1028,#REF!,17,FALSE())&lt;-2),"",#REF!),"")</f>
        <v/>
      </c>
      <c r="T1028" s="0" t="str">
        <f aca="false">IFERROR(IF(OR(HLOOKUP($A1028,#REF!,18,FALSE())&gt;2,HLOOKUP($A1028,#REF!,18,FALSE())&lt;-2),"",#REF!),"")</f>
        <v/>
      </c>
      <c r="U1028" s="0" t="str">
        <f aca="false">IFERROR(IF(OR(HLOOKUP($A1028,#REF!,19,FALSE())&gt;2,HLOOKUP($A1028,#REF!,19,FALSE())&lt;-2),"",#REF!),"")</f>
        <v/>
      </c>
      <c r="V1028" s="0" t="n">
        <f aca="false">IFERROR(IF(AND(X1028=0,Y1028=0),0,1),0)</f>
        <v>1</v>
      </c>
      <c r="W1028" s="3" t="str">
        <f aca="false">IFERROR(_xlfn.T.TEST(E1028:M1028,N1028:U1028,2,2),"")</f>
        <v/>
      </c>
      <c r="X1028" s="0" t="str">
        <f aca="false">IFERROR(AVERAGE(E1028:M1028),"")</f>
        <v/>
      </c>
      <c r="Y1028" s="0" t="str">
        <f aca="false">IFERROR(AVERAGE(N1028:U1028),"")</f>
        <v/>
      </c>
    </row>
    <row r="1029" customFormat="false" ht="14.5" hidden="false" customHeight="false" outlineLevel="0" collapsed="false">
      <c r="A1029" s="0" t="n">
        <v>1038</v>
      </c>
      <c r="B1029" s="0" t="s">
        <v>1074</v>
      </c>
      <c r="C1029" s="0" t="n">
        <v>4700</v>
      </c>
      <c r="D1029" s="0" t="n">
        <v>329</v>
      </c>
      <c r="E1029" s="0" t="str">
        <f aca="false">IFERROR(IF(OR(HLOOKUP($A1029,#REF!,3,FALSE())&gt;2,HLOOKUP(A1029,#REF!,3,FALSE())&lt;-2),"",#REF!),"")</f>
        <v/>
      </c>
      <c r="F1029" s="0" t="str">
        <f aca="false">IFERROR(IF(OR(HLOOKUP($A1029,#REF!,4,FALSE())&gt;2,HLOOKUP($A1029,#REF!,4,FALSE())&lt;-2),"",#REF!),"")</f>
        <v/>
      </c>
      <c r="G1029" s="0" t="str">
        <f aca="false">IFERROR(IF(OR(HLOOKUP($A1029,#REF!,5,FALSE())&gt;2,HLOOKUP($A1029,#REF!,5,FALSE())&lt;-2),"",#REF!),"")</f>
        <v/>
      </c>
      <c r="H1029" s="0" t="str">
        <f aca="false">IFERROR(IF(OR(HLOOKUP($A1029,#REF!,6,FALSE())&gt;2,HLOOKUP($A1029,#REF!,6,FALSE())&lt;-2),"",#REF!),"")</f>
        <v/>
      </c>
      <c r="I1029" s="0" t="str">
        <f aca="false">IFERROR(IF(OR(HLOOKUP($A1029,#REF!,7,FALSE())&gt;2,HLOOKUP($A1029,#REF!,7,FALSE())&lt;-2),"",#REF!),"")</f>
        <v/>
      </c>
      <c r="J1029" s="0" t="str">
        <f aca="false">IFERROR(IF(OR(HLOOKUP($A1029,#REF!,8,FALSE())&gt;2,HLOOKUP($A1029,#REF!,8,FALSE())&lt;-2),"",#REF!),"")</f>
        <v/>
      </c>
      <c r="K1029" s="0" t="str">
        <f aca="false">IFERROR(IF(OR(HLOOKUP($A1029,#REF!,9,FALSE())&gt;2,HLOOKUP($A1029,#REF!,9,FALSE())&lt;-2),"",#REF!),"")</f>
        <v/>
      </c>
      <c r="L1029" s="0" t="str">
        <f aca="false">IFERROR(IF(OR(HLOOKUP($A1029,#REF!,10,FALSE())&gt;2,HLOOKUP($A1029,#REF!,10,FALSE())&lt;-2),"",#REF!),"")</f>
        <v/>
      </c>
      <c r="M1029" s="0" t="str">
        <f aca="false">IFERROR(IF(OR(HLOOKUP($A1029,#REF!,11,FALSE())&gt;2,HLOOKUP($A1029,#REF!,11,FALSE())&lt;-2),"",#REF!),"")</f>
        <v/>
      </c>
      <c r="N1029" s="0" t="str">
        <f aca="false">IFERROR(IF(OR(HLOOKUP($A1029,#REF!,12,FALSE())&gt;2,HLOOKUP($A1029,#REF!,12,FALSE())&lt;-2),"",#REF!),"")</f>
        <v/>
      </c>
      <c r="O1029" s="0" t="str">
        <f aca="false">IFERROR(IF(OR(HLOOKUP($A1029,#REF!,13,FALSE())&gt;2,HLOOKUP($A1029,#REF!,13,FALSE())&lt;-2),"",#REF!),"")</f>
        <v/>
      </c>
      <c r="P1029" s="0" t="str">
        <f aca="false">IFERROR(IF(OR(HLOOKUP($A1029,#REF!,14,FALSE())&gt;2,HLOOKUP($A1029,#REF!,14,FALSE())&lt;-2),"",#REF!),"")</f>
        <v/>
      </c>
      <c r="Q1029" s="0" t="str">
        <f aca="false">IFERROR(IF(OR(HLOOKUP($A1029,#REF!,15,FALSE())&gt;2,HLOOKUP($A1029,#REF!,15,FALSE())&lt;-2),"",#REF!),"")</f>
        <v/>
      </c>
      <c r="R1029" s="0" t="str">
        <f aca="false">IFERROR(IF(OR(HLOOKUP($A1029,#REF!,16,FALSE())&gt;2,HLOOKUP($A1029,#REF!,16,FALSE())&lt;-2),"",#REF!),"")</f>
        <v/>
      </c>
      <c r="S1029" s="0" t="str">
        <f aca="false">IFERROR(IF(OR(HLOOKUP($A1029,#REF!,17,FALSE())&gt;2,HLOOKUP($A1029,#REF!,17,FALSE())&lt;-2),"",#REF!),"")</f>
        <v/>
      </c>
      <c r="T1029" s="0" t="str">
        <f aca="false">IFERROR(IF(OR(HLOOKUP($A1029,#REF!,18,FALSE())&gt;2,HLOOKUP($A1029,#REF!,18,FALSE())&lt;-2),"",#REF!),"")</f>
        <v/>
      </c>
      <c r="U1029" s="0" t="str">
        <f aca="false">IFERROR(IF(OR(HLOOKUP($A1029,#REF!,19,FALSE())&gt;2,HLOOKUP($A1029,#REF!,19,FALSE())&lt;-2),"",#REF!),"")</f>
        <v/>
      </c>
      <c r="V1029" s="0" t="n">
        <f aca="false">IFERROR(IF(AND(X1029=0,Y1029=0),0,1),0)</f>
        <v>1</v>
      </c>
      <c r="W1029" s="3" t="str">
        <f aca="false">IFERROR(_xlfn.T.TEST(E1029:M1029,N1029:U1029,2,2),"")</f>
        <v/>
      </c>
      <c r="X1029" s="0" t="str">
        <f aca="false">IFERROR(AVERAGE(E1029:M1029),"")</f>
        <v/>
      </c>
      <c r="Y1029" s="0" t="str">
        <f aca="false">IFERROR(AVERAGE(N1029:U1029),"")</f>
        <v/>
      </c>
    </row>
    <row r="1030" customFormat="false" ht="14.5" hidden="false" customHeight="false" outlineLevel="0" collapsed="false">
      <c r="A1030" s="0" t="n">
        <v>1039</v>
      </c>
      <c r="B1030" s="0" t="s">
        <v>1075</v>
      </c>
      <c r="C1030" s="0" t="n">
        <v>90400</v>
      </c>
      <c r="D1030" s="0" t="n">
        <v>720</v>
      </c>
      <c r="E1030" s="0" t="str">
        <f aca="false">IFERROR(IF(OR(HLOOKUP($A1030,#REF!,3,FALSE())&gt;2,HLOOKUP(A1030,#REF!,3,FALSE())&lt;-2),"",#REF!),"")</f>
        <v/>
      </c>
      <c r="F1030" s="0" t="str">
        <f aca="false">IFERROR(IF(OR(HLOOKUP($A1030,#REF!,4,FALSE())&gt;2,HLOOKUP($A1030,#REF!,4,FALSE())&lt;-2),"",#REF!),"")</f>
        <v/>
      </c>
      <c r="G1030" s="0" t="str">
        <f aca="false">IFERROR(IF(OR(HLOOKUP($A1030,#REF!,5,FALSE())&gt;2,HLOOKUP($A1030,#REF!,5,FALSE())&lt;-2),"",#REF!),"")</f>
        <v/>
      </c>
      <c r="H1030" s="0" t="str">
        <f aca="false">IFERROR(IF(OR(HLOOKUP($A1030,#REF!,6,FALSE())&gt;2,HLOOKUP($A1030,#REF!,6,FALSE())&lt;-2),"",#REF!),"")</f>
        <v/>
      </c>
      <c r="I1030" s="0" t="str">
        <f aca="false">IFERROR(IF(OR(HLOOKUP($A1030,#REF!,7,FALSE())&gt;2,HLOOKUP($A1030,#REF!,7,FALSE())&lt;-2),"",#REF!),"")</f>
        <v/>
      </c>
      <c r="J1030" s="0" t="str">
        <f aca="false">IFERROR(IF(OR(HLOOKUP($A1030,#REF!,8,FALSE())&gt;2,HLOOKUP($A1030,#REF!,8,FALSE())&lt;-2),"",#REF!),"")</f>
        <v/>
      </c>
      <c r="K1030" s="0" t="str">
        <f aca="false">IFERROR(IF(OR(HLOOKUP($A1030,#REF!,9,FALSE())&gt;2,HLOOKUP($A1030,#REF!,9,FALSE())&lt;-2),"",#REF!),"")</f>
        <v/>
      </c>
      <c r="L1030" s="0" t="str">
        <f aca="false">IFERROR(IF(OR(HLOOKUP($A1030,#REF!,10,FALSE())&gt;2,HLOOKUP($A1030,#REF!,10,FALSE())&lt;-2),"",#REF!),"")</f>
        <v/>
      </c>
      <c r="M1030" s="0" t="str">
        <f aca="false">IFERROR(IF(OR(HLOOKUP($A1030,#REF!,11,FALSE())&gt;2,HLOOKUP($A1030,#REF!,11,FALSE())&lt;-2),"",#REF!),"")</f>
        <v/>
      </c>
      <c r="N1030" s="0" t="str">
        <f aca="false">IFERROR(IF(OR(HLOOKUP($A1030,#REF!,12,FALSE())&gt;2,HLOOKUP($A1030,#REF!,12,FALSE())&lt;-2),"",#REF!),"")</f>
        <v/>
      </c>
      <c r="O1030" s="0" t="str">
        <f aca="false">IFERROR(IF(OR(HLOOKUP($A1030,#REF!,13,FALSE())&gt;2,HLOOKUP($A1030,#REF!,13,FALSE())&lt;-2),"",#REF!),"")</f>
        <v/>
      </c>
      <c r="P1030" s="0" t="str">
        <f aca="false">IFERROR(IF(OR(HLOOKUP($A1030,#REF!,14,FALSE())&gt;2,HLOOKUP($A1030,#REF!,14,FALSE())&lt;-2),"",#REF!),"")</f>
        <v/>
      </c>
      <c r="Q1030" s="0" t="str">
        <f aca="false">IFERROR(IF(OR(HLOOKUP($A1030,#REF!,15,FALSE())&gt;2,HLOOKUP($A1030,#REF!,15,FALSE())&lt;-2),"",#REF!),"")</f>
        <v/>
      </c>
      <c r="R1030" s="0" t="str">
        <f aca="false">IFERROR(IF(OR(HLOOKUP($A1030,#REF!,16,FALSE())&gt;2,HLOOKUP($A1030,#REF!,16,FALSE())&lt;-2),"",#REF!),"")</f>
        <v/>
      </c>
      <c r="S1030" s="0" t="str">
        <f aca="false">IFERROR(IF(OR(HLOOKUP($A1030,#REF!,17,FALSE())&gt;2,HLOOKUP($A1030,#REF!,17,FALSE())&lt;-2),"",#REF!),"")</f>
        <v/>
      </c>
      <c r="T1030" s="0" t="str">
        <f aca="false">IFERROR(IF(OR(HLOOKUP($A1030,#REF!,18,FALSE())&gt;2,HLOOKUP($A1030,#REF!,18,FALSE())&lt;-2),"",#REF!),"")</f>
        <v/>
      </c>
      <c r="U1030" s="0" t="str">
        <f aca="false">IFERROR(IF(OR(HLOOKUP($A1030,#REF!,19,FALSE())&gt;2,HLOOKUP($A1030,#REF!,19,FALSE())&lt;-2),"",#REF!),"")</f>
        <v/>
      </c>
      <c r="V1030" s="0" t="n">
        <f aca="false">IFERROR(IF(AND(X1030=0,Y1030=0),0,1),0)</f>
        <v>1</v>
      </c>
      <c r="W1030" s="3" t="str">
        <f aca="false">IFERROR(_xlfn.T.TEST(E1030:M1030,N1030:U1030,2,2),"")</f>
        <v/>
      </c>
      <c r="X1030" s="0" t="str">
        <f aca="false">IFERROR(AVERAGE(E1030:M1030),"")</f>
        <v/>
      </c>
      <c r="Y1030" s="0" t="str">
        <f aca="false">IFERROR(AVERAGE(N1030:U1030),"")</f>
        <v/>
      </c>
    </row>
    <row r="1031" customFormat="false" ht="14.5" hidden="false" customHeight="false" outlineLevel="0" collapsed="false">
      <c r="A1031" s="0" t="n">
        <v>1040</v>
      </c>
      <c r="B1031" s="0" t="s">
        <v>1076</v>
      </c>
      <c r="C1031" s="0" t="n">
        <v>117600</v>
      </c>
      <c r="D1031" s="0" t="n">
        <v>1024</v>
      </c>
      <c r="E1031" s="0" t="str">
        <f aca="false">IFERROR(IF(OR(HLOOKUP($A1031,#REF!,3,FALSE())&gt;2,HLOOKUP(A1031,#REF!,3,FALSE())&lt;-2),"",#REF!),"")</f>
        <v/>
      </c>
      <c r="F1031" s="0" t="str">
        <f aca="false">IFERROR(IF(OR(HLOOKUP($A1031,#REF!,4,FALSE())&gt;2,HLOOKUP($A1031,#REF!,4,FALSE())&lt;-2),"",#REF!),"")</f>
        <v/>
      </c>
      <c r="G1031" s="0" t="str">
        <f aca="false">IFERROR(IF(OR(HLOOKUP($A1031,#REF!,5,FALSE())&gt;2,HLOOKUP($A1031,#REF!,5,FALSE())&lt;-2),"",#REF!),"")</f>
        <v/>
      </c>
      <c r="H1031" s="0" t="str">
        <f aca="false">IFERROR(IF(OR(HLOOKUP($A1031,#REF!,6,FALSE())&gt;2,HLOOKUP($A1031,#REF!,6,FALSE())&lt;-2),"",#REF!),"")</f>
        <v/>
      </c>
      <c r="I1031" s="0" t="str">
        <f aca="false">IFERROR(IF(OR(HLOOKUP($A1031,#REF!,7,FALSE())&gt;2,HLOOKUP($A1031,#REF!,7,FALSE())&lt;-2),"",#REF!),"")</f>
        <v/>
      </c>
      <c r="J1031" s="0" t="str">
        <f aca="false">IFERROR(IF(OR(HLOOKUP($A1031,#REF!,8,FALSE())&gt;2,HLOOKUP($A1031,#REF!,8,FALSE())&lt;-2),"",#REF!),"")</f>
        <v/>
      </c>
      <c r="K1031" s="0" t="str">
        <f aca="false">IFERROR(IF(OR(HLOOKUP($A1031,#REF!,9,FALSE())&gt;2,HLOOKUP($A1031,#REF!,9,FALSE())&lt;-2),"",#REF!),"")</f>
        <v/>
      </c>
      <c r="L1031" s="0" t="str">
        <f aca="false">IFERROR(IF(OR(HLOOKUP($A1031,#REF!,10,FALSE())&gt;2,HLOOKUP($A1031,#REF!,10,FALSE())&lt;-2),"",#REF!),"")</f>
        <v/>
      </c>
      <c r="M1031" s="0" t="str">
        <f aca="false">IFERROR(IF(OR(HLOOKUP($A1031,#REF!,11,FALSE())&gt;2,HLOOKUP($A1031,#REF!,11,FALSE())&lt;-2),"",#REF!),"")</f>
        <v/>
      </c>
      <c r="N1031" s="0" t="str">
        <f aca="false">IFERROR(IF(OR(HLOOKUP($A1031,#REF!,12,FALSE())&gt;2,HLOOKUP($A1031,#REF!,12,FALSE())&lt;-2),"",#REF!),"")</f>
        <v/>
      </c>
      <c r="O1031" s="0" t="str">
        <f aca="false">IFERROR(IF(OR(HLOOKUP($A1031,#REF!,13,FALSE())&gt;2,HLOOKUP($A1031,#REF!,13,FALSE())&lt;-2),"",#REF!),"")</f>
        <v/>
      </c>
      <c r="P1031" s="0" t="str">
        <f aca="false">IFERROR(IF(OR(HLOOKUP($A1031,#REF!,14,FALSE())&gt;2,HLOOKUP($A1031,#REF!,14,FALSE())&lt;-2),"",#REF!),"")</f>
        <v/>
      </c>
      <c r="Q1031" s="0" t="str">
        <f aca="false">IFERROR(IF(OR(HLOOKUP($A1031,#REF!,15,FALSE())&gt;2,HLOOKUP($A1031,#REF!,15,FALSE())&lt;-2),"",#REF!),"")</f>
        <v/>
      </c>
      <c r="R1031" s="0" t="str">
        <f aca="false">IFERROR(IF(OR(HLOOKUP($A1031,#REF!,16,FALSE())&gt;2,HLOOKUP($A1031,#REF!,16,FALSE())&lt;-2),"",#REF!),"")</f>
        <v/>
      </c>
      <c r="S1031" s="0" t="str">
        <f aca="false">IFERROR(IF(OR(HLOOKUP($A1031,#REF!,17,FALSE())&gt;2,HLOOKUP($A1031,#REF!,17,FALSE())&lt;-2),"",#REF!),"")</f>
        <v/>
      </c>
      <c r="T1031" s="0" t="str">
        <f aca="false">IFERROR(IF(OR(HLOOKUP($A1031,#REF!,18,FALSE())&gt;2,HLOOKUP($A1031,#REF!,18,FALSE())&lt;-2),"",#REF!),"")</f>
        <v/>
      </c>
      <c r="U1031" s="0" t="str">
        <f aca="false">IFERROR(IF(OR(HLOOKUP($A1031,#REF!,19,FALSE())&gt;2,HLOOKUP($A1031,#REF!,19,FALSE())&lt;-2),"",#REF!),"")</f>
        <v/>
      </c>
      <c r="V1031" s="0" t="n">
        <f aca="false">IFERROR(IF(AND(X1031=0,Y1031=0),0,1),0)</f>
        <v>1</v>
      </c>
      <c r="W1031" s="3" t="str">
        <f aca="false">IFERROR(_xlfn.T.TEST(E1031:M1031,N1031:U1031,2,2),"")</f>
        <v/>
      </c>
      <c r="X1031" s="0" t="str">
        <f aca="false">IFERROR(AVERAGE(E1031:M1031),"")</f>
        <v/>
      </c>
      <c r="Y1031" s="0" t="str">
        <f aca="false">IFERROR(AVERAGE(N1031:U1031),"")</f>
        <v/>
      </c>
    </row>
    <row r="1032" customFormat="false" ht="14.5" hidden="false" customHeight="false" outlineLevel="0" collapsed="false">
      <c r="A1032" s="0" t="n">
        <v>1041</v>
      </c>
      <c r="B1032" s="0" t="s">
        <v>1077</v>
      </c>
      <c r="C1032" s="0" t="n">
        <v>61800</v>
      </c>
      <c r="D1032" s="0" t="n">
        <v>1073</v>
      </c>
      <c r="E1032" s="0" t="str">
        <f aca="false">IFERROR(IF(OR(HLOOKUP($A1032,#REF!,3,FALSE())&gt;2,HLOOKUP(A1032,#REF!,3,FALSE())&lt;-2),"",#REF!),"")</f>
        <v/>
      </c>
      <c r="F1032" s="0" t="str">
        <f aca="false">IFERROR(IF(OR(HLOOKUP($A1032,#REF!,4,FALSE())&gt;2,HLOOKUP($A1032,#REF!,4,FALSE())&lt;-2),"",#REF!),"")</f>
        <v/>
      </c>
      <c r="G1032" s="0" t="str">
        <f aca="false">IFERROR(IF(OR(HLOOKUP($A1032,#REF!,5,FALSE())&gt;2,HLOOKUP($A1032,#REF!,5,FALSE())&lt;-2),"",#REF!),"")</f>
        <v/>
      </c>
      <c r="H1032" s="0" t="str">
        <f aca="false">IFERROR(IF(OR(HLOOKUP($A1032,#REF!,6,FALSE())&gt;2,HLOOKUP($A1032,#REF!,6,FALSE())&lt;-2),"",#REF!),"")</f>
        <v/>
      </c>
      <c r="I1032" s="0" t="str">
        <f aca="false">IFERROR(IF(OR(HLOOKUP($A1032,#REF!,7,FALSE())&gt;2,HLOOKUP($A1032,#REF!,7,FALSE())&lt;-2),"",#REF!),"")</f>
        <v/>
      </c>
      <c r="J1032" s="0" t="str">
        <f aca="false">IFERROR(IF(OR(HLOOKUP($A1032,#REF!,8,FALSE())&gt;2,HLOOKUP($A1032,#REF!,8,FALSE())&lt;-2),"",#REF!),"")</f>
        <v/>
      </c>
      <c r="K1032" s="0" t="str">
        <f aca="false">IFERROR(IF(OR(HLOOKUP($A1032,#REF!,9,FALSE())&gt;2,HLOOKUP($A1032,#REF!,9,FALSE())&lt;-2),"",#REF!),"")</f>
        <v/>
      </c>
      <c r="L1032" s="0" t="str">
        <f aca="false">IFERROR(IF(OR(HLOOKUP($A1032,#REF!,10,FALSE())&gt;2,HLOOKUP($A1032,#REF!,10,FALSE())&lt;-2),"",#REF!),"")</f>
        <v/>
      </c>
      <c r="M1032" s="0" t="str">
        <f aca="false">IFERROR(IF(OR(HLOOKUP($A1032,#REF!,11,FALSE())&gt;2,HLOOKUP($A1032,#REF!,11,FALSE())&lt;-2),"",#REF!),"")</f>
        <v/>
      </c>
      <c r="N1032" s="0" t="str">
        <f aca="false">IFERROR(IF(OR(HLOOKUP($A1032,#REF!,12,FALSE())&gt;2,HLOOKUP($A1032,#REF!,12,FALSE())&lt;-2),"",#REF!),"")</f>
        <v/>
      </c>
      <c r="O1032" s="0" t="str">
        <f aca="false">IFERROR(IF(OR(HLOOKUP($A1032,#REF!,13,FALSE())&gt;2,HLOOKUP($A1032,#REF!,13,FALSE())&lt;-2),"",#REF!),"")</f>
        <v/>
      </c>
      <c r="P1032" s="0" t="str">
        <f aca="false">IFERROR(IF(OR(HLOOKUP($A1032,#REF!,14,FALSE())&gt;2,HLOOKUP($A1032,#REF!,14,FALSE())&lt;-2),"",#REF!),"")</f>
        <v/>
      </c>
      <c r="Q1032" s="0" t="str">
        <f aca="false">IFERROR(IF(OR(HLOOKUP($A1032,#REF!,15,FALSE())&gt;2,HLOOKUP($A1032,#REF!,15,FALSE())&lt;-2),"",#REF!),"")</f>
        <v/>
      </c>
      <c r="R1032" s="0" t="str">
        <f aca="false">IFERROR(IF(OR(HLOOKUP($A1032,#REF!,16,FALSE())&gt;2,HLOOKUP($A1032,#REF!,16,FALSE())&lt;-2),"",#REF!),"")</f>
        <v/>
      </c>
      <c r="S1032" s="0" t="str">
        <f aca="false">IFERROR(IF(OR(HLOOKUP($A1032,#REF!,17,FALSE())&gt;2,HLOOKUP($A1032,#REF!,17,FALSE())&lt;-2),"",#REF!),"")</f>
        <v/>
      </c>
      <c r="T1032" s="0" t="str">
        <f aca="false">IFERROR(IF(OR(HLOOKUP($A1032,#REF!,18,FALSE())&gt;2,HLOOKUP($A1032,#REF!,18,FALSE())&lt;-2),"",#REF!),"")</f>
        <v/>
      </c>
      <c r="U1032" s="0" t="str">
        <f aca="false">IFERROR(IF(OR(HLOOKUP($A1032,#REF!,19,FALSE())&gt;2,HLOOKUP($A1032,#REF!,19,FALSE())&lt;-2),"",#REF!),"")</f>
        <v/>
      </c>
      <c r="V1032" s="0" t="n">
        <f aca="false">IFERROR(IF(AND(X1032=0,Y1032=0),0,1),0)</f>
        <v>1</v>
      </c>
      <c r="W1032" s="3" t="str">
        <f aca="false">IFERROR(_xlfn.T.TEST(E1032:M1032,N1032:U1032,2,2),"")</f>
        <v/>
      </c>
      <c r="X1032" s="0" t="str">
        <f aca="false">IFERROR(AVERAGE(E1032:M1032),"")</f>
        <v/>
      </c>
      <c r="Y1032" s="0" t="str">
        <f aca="false">IFERROR(AVERAGE(N1032:U1032),"")</f>
        <v/>
      </c>
    </row>
    <row r="1033" customFormat="false" ht="14.5" hidden="false" customHeight="false" outlineLevel="0" collapsed="false">
      <c r="A1033" s="0" t="n">
        <v>1042</v>
      </c>
      <c r="B1033" s="0" t="s">
        <v>1078</v>
      </c>
      <c r="C1033" s="0" t="n">
        <v>32200</v>
      </c>
      <c r="D1033" s="0" t="n">
        <v>589</v>
      </c>
      <c r="E1033" s="0" t="str">
        <f aca="false">IFERROR(IF(OR(HLOOKUP($A1033,#REF!,3,FALSE())&gt;2,HLOOKUP(A1033,#REF!,3,FALSE())&lt;-2),"",#REF!),"")</f>
        <v/>
      </c>
      <c r="F1033" s="0" t="str">
        <f aca="false">IFERROR(IF(OR(HLOOKUP($A1033,#REF!,4,FALSE())&gt;2,HLOOKUP($A1033,#REF!,4,FALSE())&lt;-2),"",#REF!),"")</f>
        <v/>
      </c>
      <c r="G1033" s="0" t="str">
        <f aca="false">IFERROR(IF(OR(HLOOKUP($A1033,#REF!,5,FALSE())&gt;2,HLOOKUP($A1033,#REF!,5,FALSE())&lt;-2),"",#REF!),"")</f>
        <v/>
      </c>
      <c r="H1033" s="0" t="str">
        <f aca="false">IFERROR(IF(OR(HLOOKUP($A1033,#REF!,6,FALSE())&gt;2,HLOOKUP($A1033,#REF!,6,FALSE())&lt;-2),"",#REF!),"")</f>
        <v/>
      </c>
      <c r="I1033" s="0" t="str">
        <f aca="false">IFERROR(IF(OR(HLOOKUP($A1033,#REF!,7,FALSE())&gt;2,HLOOKUP($A1033,#REF!,7,FALSE())&lt;-2),"",#REF!),"")</f>
        <v/>
      </c>
      <c r="J1033" s="0" t="str">
        <f aca="false">IFERROR(IF(OR(HLOOKUP($A1033,#REF!,8,FALSE())&gt;2,HLOOKUP($A1033,#REF!,8,FALSE())&lt;-2),"",#REF!),"")</f>
        <v/>
      </c>
      <c r="K1033" s="0" t="str">
        <f aca="false">IFERROR(IF(OR(HLOOKUP($A1033,#REF!,9,FALSE())&gt;2,HLOOKUP($A1033,#REF!,9,FALSE())&lt;-2),"",#REF!),"")</f>
        <v/>
      </c>
      <c r="L1033" s="0" t="str">
        <f aca="false">IFERROR(IF(OR(HLOOKUP($A1033,#REF!,10,FALSE())&gt;2,HLOOKUP($A1033,#REF!,10,FALSE())&lt;-2),"",#REF!),"")</f>
        <v/>
      </c>
      <c r="M1033" s="0" t="str">
        <f aca="false">IFERROR(IF(OR(HLOOKUP($A1033,#REF!,11,FALSE())&gt;2,HLOOKUP($A1033,#REF!,11,FALSE())&lt;-2),"",#REF!),"")</f>
        <v/>
      </c>
      <c r="N1033" s="0" t="str">
        <f aca="false">IFERROR(IF(OR(HLOOKUP($A1033,#REF!,12,FALSE())&gt;2,HLOOKUP($A1033,#REF!,12,FALSE())&lt;-2),"",#REF!),"")</f>
        <v/>
      </c>
      <c r="O1033" s="0" t="str">
        <f aca="false">IFERROR(IF(OR(HLOOKUP($A1033,#REF!,13,FALSE())&gt;2,HLOOKUP($A1033,#REF!,13,FALSE())&lt;-2),"",#REF!),"")</f>
        <v/>
      </c>
      <c r="P1033" s="0" t="str">
        <f aca="false">IFERROR(IF(OR(HLOOKUP($A1033,#REF!,14,FALSE())&gt;2,HLOOKUP($A1033,#REF!,14,FALSE())&lt;-2),"",#REF!),"")</f>
        <v/>
      </c>
      <c r="Q1033" s="0" t="str">
        <f aca="false">IFERROR(IF(OR(HLOOKUP($A1033,#REF!,15,FALSE())&gt;2,HLOOKUP($A1033,#REF!,15,FALSE())&lt;-2),"",#REF!),"")</f>
        <v/>
      </c>
      <c r="R1033" s="0" t="str">
        <f aca="false">IFERROR(IF(OR(HLOOKUP($A1033,#REF!,16,FALSE())&gt;2,HLOOKUP($A1033,#REF!,16,FALSE())&lt;-2),"",#REF!),"")</f>
        <v/>
      </c>
      <c r="S1033" s="0" t="str">
        <f aca="false">IFERROR(IF(OR(HLOOKUP($A1033,#REF!,17,FALSE())&gt;2,HLOOKUP($A1033,#REF!,17,FALSE())&lt;-2),"",#REF!),"")</f>
        <v/>
      </c>
      <c r="T1033" s="0" t="str">
        <f aca="false">IFERROR(IF(OR(HLOOKUP($A1033,#REF!,18,FALSE())&gt;2,HLOOKUP($A1033,#REF!,18,FALSE())&lt;-2),"",#REF!),"")</f>
        <v/>
      </c>
      <c r="U1033" s="0" t="str">
        <f aca="false">IFERROR(IF(OR(HLOOKUP($A1033,#REF!,19,FALSE())&gt;2,HLOOKUP($A1033,#REF!,19,FALSE())&lt;-2),"",#REF!),"")</f>
        <v/>
      </c>
      <c r="V1033" s="0" t="n">
        <f aca="false">IFERROR(IF(AND(X1033=0,Y1033=0),0,1),0)</f>
        <v>1</v>
      </c>
      <c r="W1033" s="3" t="str">
        <f aca="false">IFERROR(_xlfn.T.TEST(E1033:M1033,N1033:U1033,2,2),"")</f>
        <v/>
      </c>
      <c r="X1033" s="0" t="str">
        <f aca="false">IFERROR(AVERAGE(E1033:M1033),"")</f>
        <v/>
      </c>
      <c r="Y1033" s="0" t="str">
        <f aca="false">IFERROR(AVERAGE(N1033:U1033),"")</f>
        <v/>
      </c>
    </row>
    <row r="1034" customFormat="false" ht="14.5" hidden="false" customHeight="false" outlineLevel="0" collapsed="false">
      <c r="A1034" s="0" t="n">
        <v>1043</v>
      </c>
      <c r="B1034" s="0" t="s">
        <v>1079</v>
      </c>
      <c r="C1034" s="0" t="n">
        <v>109600</v>
      </c>
      <c r="D1034" s="0" t="n">
        <v>877</v>
      </c>
      <c r="E1034" s="0" t="str">
        <f aca="false">IFERROR(IF(OR(HLOOKUP($A1034,#REF!,3,FALSE())&gt;2,HLOOKUP(A1034,#REF!,3,FALSE())&lt;-2),"",#REF!),"")</f>
        <v/>
      </c>
      <c r="F1034" s="0" t="str">
        <f aca="false">IFERROR(IF(OR(HLOOKUP($A1034,#REF!,4,FALSE())&gt;2,HLOOKUP($A1034,#REF!,4,FALSE())&lt;-2),"",#REF!),"")</f>
        <v/>
      </c>
      <c r="G1034" s="0" t="str">
        <f aca="false">IFERROR(IF(OR(HLOOKUP($A1034,#REF!,5,FALSE())&gt;2,HLOOKUP($A1034,#REF!,5,FALSE())&lt;-2),"",#REF!),"")</f>
        <v/>
      </c>
      <c r="H1034" s="0" t="str">
        <f aca="false">IFERROR(IF(OR(HLOOKUP($A1034,#REF!,6,FALSE())&gt;2,HLOOKUP($A1034,#REF!,6,FALSE())&lt;-2),"",#REF!),"")</f>
        <v/>
      </c>
      <c r="I1034" s="0" t="str">
        <f aca="false">IFERROR(IF(OR(HLOOKUP($A1034,#REF!,7,FALSE())&gt;2,HLOOKUP($A1034,#REF!,7,FALSE())&lt;-2),"",#REF!),"")</f>
        <v/>
      </c>
      <c r="J1034" s="0" t="str">
        <f aca="false">IFERROR(IF(OR(HLOOKUP($A1034,#REF!,8,FALSE())&gt;2,HLOOKUP($A1034,#REF!,8,FALSE())&lt;-2),"",#REF!),"")</f>
        <v/>
      </c>
      <c r="K1034" s="0" t="str">
        <f aca="false">IFERROR(IF(OR(HLOOKUP($A1034,#REF!,9,FALSE())&gt;2,HLOOKUP($A1034,#REF!,9,FALSE())&lt;-2),"",#REF!),"")</f>
        <v/>
      </c>
      <c r="L1034" s="0" t="str">
        <f aca="false">IFERROR(IF(OR(HLOOKUP($A1034,#REF!,10,FALSE())&gt;2,HLOOKUP($A1034,#REF!,10,FALSE())&lt;-2),"",#REF!),"")</f>
        <v/>
      </c>
      <c r="M1034" s="0" t="str">
        <f aca="false">IFERROR(IF(OR(HLOOKUP($A1034,#REF!,11,FALSE())&gt;2,HLOOKUP($A1034,#REF!,11,FALSE())&lt;-2),"",#REF!),"")</f>
        <v/>
      </c>
      <c r="N1034" s="0" t="str">
        <f aca="false">IFERROR(IF(OR(HLOOKUP($A1034,#REF!,12,FALSE())&gt;2,HLOOKUP($A1034,#REF!,12,FALSE())&lt;-2),"",#REF!),"")</f>
        <v/>
      </c>
      <c r="O1034" s="0" t="str">
        <f aca="false">IFERROR(IF(OR(HLOOKUP($A1034,#REF!,13,FALSE())&gt;2,HLOOKUP($A1034,#REF!,13,FALSE())&lt;-2),"",#REF!),"")</f>
        <v/>
      </c>
      <c r="P1034" s="0" t="str">
        <f aca="false">IFERROR(IF(OR(HLOOKUP($A1034,#REF!,14,FALSE())&gt;2,HLOOKUP($A1034,#REF!,14,FALSE())&lt;-2),"",#REF!),"")</f>
        <v/>
      </c>
      <c r="Q1034" s="0" t="str">
        <f aca="false">IFERROR(IF(OR(HLOOKUP($A1034,#REF!,15,FALSE())&gt;2,HLOOKUP($A1034,#REF!,15,FALSE())&lt;-2),"",#REF!),"")</f>
        <v/>
      </c>
      <c r="R1034" s="0" t="str">
        <f aca="false">IFERROR(IF(OR(HLOOKUP($A1034,#REF!,16,FALSE())&gt;2,HLOOKUP($A1034,#REF!,16,FALSE())&lt;-2),"",#REF!),"")</f>
        <v/>
      </c>
      <c r="S1034" s="0" t="str">
        <f aca="false">IFERROR(IF(OR(HLOOKUP($A1034,#REF!,17,FALSE())&gt;2,HLOOKUP($A1034,#REF!,17,FALSE())&lt;-2),"",#REF!),"")</f>
        <v/>
      </c>
      <c r="T1034" s="0" t="str">
        <f aca="false">IFERROR(IF(OR(HLOOKUP($A1034,#REF!,18,FALSE())&gt;2,HLOOKUP($A1034,#REF!,18,FALSE())&lt;-2),"",#REF!),"")</f>
        <v/>
      </c>
      <c r="U1034" s="0" t="str">
        <f aca="false">IFERROR(IF(OR(HLOOKUP($A1034,#REF!,19,FALSE())&gt;2,HLOOKUP($A1034,#REF!,19,FALSE())&lt;-2),"",#REF!),"")</f>
        <v/>
      </c>
      <c r="V1034" s="0" t="n">
        <f aca="false">IFERROR(IF(AND(X1034=0,Y1034=0),0,1),0)</f>
        <v>1</v>
      </c>
      <c r="W1034" s="3" t="str">
        <f aca="false">IFERROR(_xlfn.T.TEST(E1034:M1034,N1034:U1034,2,2),"")</f>
        <v/>
      </c>
      <c r="X1034" s="0" t="str">
        <f aca="false">IFERROR(AVERAGE(E1034:M1034),"")</f>
        <v/>
      </c>
      <c r="Y1034" s="0" t="str">
        <f aca="false">IFERROR(AVERAGE(N1034:U1034),"")</f>
        <v/>
      </c>
    </row>
    <row r="1035" customFormat="false" ht="14.5" hidden="false" customHeight="false" outlineLevel="0" collapsed="false">
      <c r="A1035" s="0" t="n">
        <v>1044</v>
      </c>
      <c r="B1035" s="0" t="s">
        <v>1080</v>
      </c>
      <c r="C1035" s="0" t="n">
        <v>64900</v>
      </c>
      <c r="D1035" s="0" t="n">
        <v>864</v>
      </c>
      <c r="E1035" s="0" t="str">
        <f aca="false">IFERROR(IF(OR(HLOOKUP($A1035,#REF!,3,FALSE())&gt;2,HLOOKUP(A1035,#REF!,3,FALSE())&lt;-2),"",#REF!),"")</f>
        <v/>
      </c>
      <c r="F1035" s="0" t="str">
        <f aca="false">IFERROR(IF(OR(HLOOKUP($A1035,#REF!,4,FALSE())&gt;2,HLOOKUP($A1035,#REF!,4,FALSE())&lt;-2),"",#REF!),"")</f>
        <v/>
      </c>
      <c r="G1035" s="0" t="str">
        <f aca="false">IFERROR(IF(OR(HLOOKUP($A1035,#REF!,5,FALSE())&gt;2,HLOOKUP($A1035,#REF!,5,FALSE())&lt;-2),"",#REF!),"")</f>
        <v/>
      </c>
      <c r="H1035" s="0" t="str">
        <f aca="false">IFERROR(IF(OR(HLOOKUP($A1035,#REF!,6,FALSE())&gt;2,HLOOKUP($A1035,#REF!,6,FALSE())&lt;-2),"",#REF!),"")</f>
        <v/>
      </c>
      <c r="I1035" s="0" t="str">
        <f aca="false">IFERROR(IF(OR(HLOOKUP($A1035,#REF!,7,FALSE())&gt;2,HLOOKUP($A1035,#REF!,7,FALSE())&lt;-2),"",#REF!),"")</f>
        <v/>
      </c>
      <c r="J1035" s="0" t="str">
        <f aca="false">IFERROR(IF(OR(HLOOKUP($A1035,#REF!,8,FALSE())&gt;2,HLOOKUP($A1035,#REF!,8,FALSE())&lt;-2),"",#REF!),"")</f>
        <v/>
      </c>
      <c r="K1035" s="0" t="str">
        <f aca="false">IFERROR(IF(OR(HLOOKUP($A1035,#REF!,9,FALSE())&gt;2,HLOOKUP($A1035,#REF!,9,FALSE())&lt;-2),"",#REF!),"")</f>
        <v/>
      </c>
      <c r="L1035" s="0" t="str">
        <f aca="false">IFERROR(IF(OR(HLOOKUP($A1035,#REF!,10,FALSE())&gt;2,HLOOKUP($A1035,#REF!,10,FALSE())&lt;-2),"",#REF!),"")</f>
        <v/>
      </c>
      <c r="M1035" s="0" t="str">
        <f aca="false">IFERROR(IF(OR(HLOOKUP($A1035,#REF!,11,FALSE())&gt;2,HLOOKUP($A1035,#REF!,11,FALSE())&lt;-2),"",#REF!),"")</f>
        <v/>
      </c>
      <c r="N1035" s="0" t="str">
        <f aca="false">IFERROR(IF(OR(HLOOKUP($A1035,#REF!,12,FALSE())&gt;2,HLOOKUP($A1035,#REF!,12,FALSE())&lt;-2),"",#REF!),"")</f>
        <v/>
      </c>
      <c r="O1035" s="0" t="str">
        <f aca="false">IFERROR(IF(OR(HLOOKUP($A1035,#REF!,13,FALSE())&gt;2,HLOOKUP($A1035,#REF!,13,FALSE())&lt;-2),"",#REF!),"")</f>
        <v/>
      </c>
      <c r="P1035" s="0" t="str">
        <f aca="false">IFERROR(IF(OR(HLOOKUP($A1035,#REF!,14,FALSE())&gt;2,HLOOKUP($A1035,#REF!,14,FALSE())&lt;-2),"",#REF!),"")</f>
        <v/>
      </c>
      <c r="Q1035" s="0" t="str">
        <f aca="false">IFERROR(IF(OR(HLOOKUP($A1035,#REF!,15,FALSE())&gt;2,HLOOKUP($A1035,#REF!,15,FALSE())&lt;-2),"",#REF!),"")</f>
        <v/>
      </c>
      <c r="R1035" s="0" t="str">
        <f aca="false">IFERROR(IF(OR(HLOOKUP($A1035,#REF!,16,FALSE())&gt;2,HLOOKUP($A1035,#REF!,16,FALSE())&lt;-2),"",#REF!),"")</f>
        <v/>
      </c>
      <c r="S1035" s="0" t="str">
        <f aca="false">IFERROR(IF(OR(HLOOKUP($A1035,#REF!,17,FALSE())&gt;2,HLOOKUP($A1035,#REF!,17,FALSE())&lt;-2),"",#REF!),"")</f>
        <v/>
      </c>
      <c r="T1035" s="0" t="str">
        <f aca="false">IFERROR(IF(OR(HLOOKUP($A1035,#REF!,18,FALSE())&gt;2,HLOOKUP($A1035,#REF!,18,FALSE())&lt;-2),"",#REF!),"")</f>
        <v/>
      </c>
      <c r="U1035" s="0" t="str">
        <f aca="false">IFERROR(IF(OR(HLOOKUP($A1035,#REF!,19,FALSE())&gt;2,HLOOKUP($A1035,#REF!,19,FALSE())&lt;-2),"",#REF!),"")</f>
        <v/>
      </c>
      <c r="V1035" s="0" t="n">
        <f aca="false">IFERROR(IF(AND(X1035=0,Y1035=0),0,1),0)</f>
        <v>1</v>
      </c>
      <c r="W1035" s="3" t="str">
        <f aca="false">IFERROR(_xlfn.T.TEST(E1035:M1035,N1035:U1035,2,2),"")</f>
        <v/>
      </c>
      <c r="X1035" s="0" t="str">
        <f aca="false">IFERROR(AVERAGE(E1035:M1035),"")</f>
        <v/>
      </c>
      <c r="Y1035" s="0" t="str">
        <f aca="false">IFERROR(AVERAGE(N1035:U1035),"")</f>
        <v/>
      </c>
    </row>
    <row r="1036" customFormat="false" ht="14.5" hidden="false" customHeight="false" outlineLevel="0" collapsed="false">
      <c r="A1036" s="0" t="n">
        <v>1045</v>
      </c>
      <c r="B1036" s="0" t="s">
        <v>1081</v>
      </c>
      <c r="C1036" s="0" t="n">
        <v>29800</v>
      </c>
      <c r="D1036" s="0" t="n">
        <v>895</v>
      </c>
      <c r="E1036" s="0" t="str">
        <f aca="false">IFERROR(IF(OR(HLOOKUP($A1036,#REF!,3,FALSE())&gt;2,HLOOKUP(A1036,#REF!,3,FALSE())&lt;-2),"",#REF!),"")</f>
        <v/>
      </c>
      <c r="F1036" s="0" t="str">
        <f aca="false">IFERROR(IF(OR(HLOOKUP($A1036,#REF!,4,FALSE())&gt;2,HLOOKUP($A1036,#REF!,4,FALSE())&lt;-2),"",#REF!),"")</f>
        <v/>
      </c>
      <c r="G1036" s="0" t="str">
        <f aca="false">IFERROR(IF(OR(HLOOKUP($A1036,#REF!,5,FALSE())&gt;2,HLOOKUP($A1036,#REF!,5,FALSE())&lt;-2),"",#REF!),"")</f>
        <v/>
      </c>
      <c r="H1036" s="0" t="str">
        <f aca="false">IFERROR(IF(OR(HLOOKUP($A1036,#REF!,6,FALSE())&gt;2,HLOOKUP($A1036,#REF!,6,FALSE())&lt;-2),"",#REF!),"")</f>
        <v/>
      </c>
      <c r="I1036" s="0" t="str">
        <f aca="false">IFERROR(IF(OR(HLOOKUP($A1036,#REF!,7,FALSE())&gt;2,HLOOKUP($A1036,#REF!,7,FALSE())&lt;-2),"",#REF!),"")</f>
        <v/>
      </c>
      <c r="J1036" s="0" t="str">
        <f aca="false">IFERROR(IF(OR(HLOOKUP($A1036,#REF!,8,FALSE())&gt;2,HLOOKUP($A1036,#REF!,8,FALSE())&lt;-2),"",#REF!),"")</f>
        <v/>
      </c>
      <c r="K1036" s="0" t="str">
        <f aca="false">IFERROR(IF(OR(HLOOKUP($A1036,#REF!,9,FALSE())&gt;2,HLOOKUP($A1036,#REF!,9,FALSE())&lt;-2),"",#REF!),"")</f>
        <v/>
      </c>
      <c r="L1036" s="0" t="str">
        <f aca="false">IFERROR(IF(OR(HLOOKUP($A1036,#REF!,10,FALSE())&gt;2,HLOOKUP($A1036,#REF!,10,FALSE())&lt;-2),"",#REF!),"")</f>
        <v/>
      </c>
      <c r="M1036" s="0" t="str">
        <f aca="false">IFERROR(IF(OR(HLOOKUP($A1036,#REF!,11,FALSE())&gt;2,HLOOKUP($A1036,#REF!,11,FALSE())&lt;-2),"",#REF!),"")</f>
        <v/>
      </c>
      <c r="N1036" s="0" t="str">
        <f aca="false">IFERROR(IF(OR(HLOOKUP($A1036,#REF!,12,FALSE())&gt;2,HLOOKUP($A1036,#REF!,12,FALSE())&lt;-2),"",#REF!),"")</f>
        <v/>
      </c>
      <c r="O1036" s="0" t="str">
        <f aca="false">IFERROR(IF(OR(HLOOKUP($A1036,#REF!,13,FALSE())&gt;2,HLOOKUP($A1036,#REF!,13,FALSE())&lt;-2),"",#REF!),"")</f>
        <v/>
      </c>
      <c r="P1036" s="0" t="str">
        <f aca="false">IFERROR(IF(OR(HLOOKUP($A1036,#REF!,14,FALSE())&gt;2,HLOOKUP($A1036,#REF!,14,FALSE())&lt;-2),"",#REF!),"")</f>
        <v/>
      </c>
      <c r="Q1036" s="0" t="str">
        <f aca="false">IFERROR(IF(OR(HLOOKUP($A1036,#REF!,15,FALSE())&gt;2,HLOOKUP($A1036,#REF!,15,FALSE())&lt;-2),"",#REF!),"")</f>
        <v/>
      </c>
      <c r="R1036" s="0" t="str">
        <f aca="false">IFERROR(IF(OR(HLOOKUP($A1036,#REF!,16,FALSE())&gt;2,HLOOKUP($A1036,#REF!,16,FALSE())&lt;-2),"",#REF!),"")</f>
        <v/>
      </c>
      <c r="S1036" s="0" t="str">
        <f aca="false">IFERROR(IF(OR(HLOOKUP($A1036,#REF!,17,FALSE())&gt;2,HLOOKUP($A1036,#REF!,17,FALSE())&lt;-2),"",#REF!),"")</f>
        <v/>
      </c>
      <c r="T1036" s="0" t="str">
        <f aca="false">IFERROR(IF(OR(HLOOKUP($A1036,#REF!,18,FALSE())&gt;2,HLOOKUP($A1036,#REF!,18,FALSE())&lt;-2),"",#REF!),"")</f>
        <v/>
      </c>
      <c r="U1036" s="0" t="str">
        <f aca="false">IFERROR(IF(OR(HLOOKUP($A1036,#REF!,19,FALSE())&gt;2,HLOOKUP($A1036,#REF!,19,FALSE())&lt;-2),"",#REF!),"")</f>
        <v/>
      </c>
      <c r="V1036" s="0" t="n">
        <f aca="false">IFERROR(IF(AND(X1036=0,Y1036=0),0,1),0)</f>
        <v>1</v>
      </c>
      <c r="W1036" s="3" t="str">
        <f aca="false">IFERROR(_xlfn.T.TEST(E1036:M1036,N1036:U1036,2,2),"")</f>
        <v/>
      </c>
      <c r="X1036" s="0" t="str">
        <f aca="false">IFERROR(AVERAGE(E1036:M1036),"")</f>
        <v/>
      </c>
      <c r="Y1036" s="0" t="str">
        <f aca="false">IFERROR(AVERAGE(N1036:U1036),"")</f>
        <v/>
      </c>
    </row>
    <row r="1037" customFormat="false" ht="14.5" hidden="false" customHeight="false" outlineLevel="0" collapsed="false">
      <c r="A1037" s="0" t="n">
        <v>1046</v>
      </c>
      <c r="B1037" s="0" t="s">
        <v>1082</v>
      </c>
      <c r="C1037" s="0" t="n">
        <v>15300</v>
      </c>
      <c r="D1037" s="0" t="n">
        <v>394</v>
      </c>
      <c r="E1037" s="0" t="str">
        <f aca="false">IFERROR(IF(OR(HLOOKUP($A1037,#REF!,3,FALSE())&gt;2,HLOOKUP(A1037,#REF!,3,FALSE())&lt;-2),"",#REF!),"")</f>
        <v/>
      </c>
      <c r="F1037" s="0" t="str">
        <f aca="false">IFERROR(IF(OR(HLOOKUP($A1037,#REF!,4,FALSE())&gt;2,HLOOKUP($A1037,#REF!,4,FALSE())&lt;-2),"",#REF!),"")</f>
        <v/>
      </c>
      <c r="G1037" s="0" t="str">
        <f aca="false">IFERROR(IF(OR(HLOOKUP($A1037,#REF!,5,FALSE())&gt;2,HLOOKUP($A1037,#REF!,5,FALSE())&lt;-2),"",#REF!),"")</f>
        <v/>
      </c>
      <c r="H1037" s="0" t="str">
        <f aca="false">IFERROR(IF(OR(HLOOKUP($A1037,#REF!,6,FALSE())&gt;2,HLOOKUP($A1037,#REF!,6,FALSE())&lt;-2),"",#REF!),"")</f>
        <v/>
      </c>
      <c r="I1037" s="0" t="str">
        <f aca="false">IFERROR(IF(OR(HLOOKUP($A1037,#REF!,7,FALSE())&gt;2,HLOOKUP($A1037,#REF!,7,FALSE())&lt;-2),"",#REF!),"")</f>
        <v/>
      </c>
      <c r="J1037" s="0" t="str">
        <f aca="false">IFERROR(IF(OR(HLOOKUP($A1037,#REF!,8,FALSE())&gt;2,HLOOKUP($A1037,#REF!,8,FALSE())&lt;-2),"",#REF!),"")</f>
        <v/>
      </c>
      <c r="K1037" s="0" t="str">
        <f aca="false">IFERROR(IF(OR(HLOOKUP($A1037,#REF!,9,FALSE())&gt;2,HLOOKUP($A1037,#REF!,9,FALSE())&lt;-2),"",#REF!),"")</f>
        <v/>
      </c>
      <c r="L1037" s="0" t="str">
        <f aca="false">IFERROR(IF(OR(HLOOKUP($A1037,#REF!,10,FALSE())&gt;2,HLOOKUP($A1037,#REF!,10,FALSE())&lt;-2),"",#REF!),"")</f>
        <v/>
      </c>
      <c r="M1037" s="0" t="str">
        <f aca="false">IFERROR(IF(OR(HLOOKUP($A1037,#REF!,11,FALSE())&gt;2,HLOOKUP($A1037,#REF!,11,FALSE())&lt;-2),"",#REF!),"")</f>
        <v/>
      </c>
      <c r="N1037" s="0" t="str">
        <f aca="false">IFERROR(IF(OR(HLOOKUP($A1037,#REF!,12,FALSE())&gt;2,HLOOKUP($A1037,#REF!,12,FALSE())&lt;-2),"",#REF!),"")</f>
        <v/>
      </c>
      <c r="O1037" s="0" t="str">
        <f aca="false">IFERROR(IF(OR(HLOOKUP($A1037,#REF!,13,FALSE())&gt;2,HLOOKUP($A1037,#REF!,13,FALSE())&lt;-2),"",#REF!),"")</f>
        <v/>
      </c>
      <c r="P1037" s="0" t="str">
        <f aca="false">IFERROR(IF(OR(HLOOKUP($A1037,#REF!,14,FALSE())&gt;2,HLOOKUP($A1037,#REF!,14,FALSE())&lt;-2),"",#REF!),"")</f>
        <v/>
      </c>
      <c r="Q1037" s="0" t="str">
        <f aca="false">IFERROR(IF(OR(HLOOKUP($A1037,#REF!,15,FALSE())&gt;2,HLOOKUP($A1037,#REF!,15,FALSE())&lt;-2),"",#REF!),"")</f>
        <v/>
      </c>
      <c r="R1037" s="0" t="str">
        <f aca="false">IFERROR(IF(OR(HLOOKUP($A1037,#REF!,16,FALSE())&gt;2,HLOOKUP($A1037,#REF!,16,FALSE())&lt;-2),"",#REF!),"")</f>
        <v/>
      </c>
      <c r="S1037" s="0" t="str">
        <f aca="false">IFERROR(IF(OR(HLOOKUP($A1037,#REF!,17,FALSE())&gt;2,HLOOKUP($A1037,#REF!,17,FALSE())&lt;-2),"",#REF!),"")</f>
        <v/>
      </c>
      <c r="T1037" s="0" t="str">
        <f aca="false">IFERROR(IF(OR(HLOOKUP($A1037,#REF!,18,FALSE())&gt;2,HLOOKUP($A1037,#REF!,18,FALSE())&lt;-2),"",#REF!),"")</f>
        <v/>
      </c>
      <c r="U1037" s="0" t="str">
        <f aca="false">IFERROR(IF(OR(HLOOKUP($A1037,#REF!,19,FALSE())&gt;2,HLOOKUP($A1037,#REF!,19,FALSE())&lt;-2),"",#REF!),"")</f>
        <v/>
      </c>
      <c r="V1037" s="0" t="n">
        <f aca="false">IFERROR(IF(AND(X1037=0,Y1037=0),0,1),0)</f>
        <v>1</v>
      </c>
      <c r="W1037" s="3" t="str">
        <f aca="false">IFERROR(_xlfn.T.TEST(E1037:M1037,N1037:U1037,2,2),"")</f>
        <v/>
      </c>
      <c r="X1037" s="0" t="str">
        <f aca="false">IFERROR(AVERAGE(E1037:M1037),"")</f>
        <v/>
      </c>
      <c r="Y1037" s="0" t="str">
        <f aca="false">IFERROR(AVERAGE(N1037:U1037),"")</f>
        <v/>
      </c>
    </row>
    <row r="1038" customFormat="false" ht="14.5" hidden="false" customHeight="false" outlineLevel="0" collapsed="false">
      <c r="A1038" s="0" t="n">
        <v>1047</v>
      </c>
      <c r="B1038" s="0" t="s">
        <v>1083</v>
      </c>
      <c r="C1038" s="0" t="n">
        <v>4500</v>
      </c>
      <c r="D1038" s="0" t="n">
        <v>329</v>
      </c>
      <c r="E1038" s="0" t="str">
        <f aca="false">IFERROR(IF(OR(HLOOKUP($A1038,#REF!,3,FALSE())&gt;2,HLOOKUP(A1038,#REF!,3,FALSE())&lt;-2),"",#REF!),"")</f>
        <v/>
      </c>
      <c r="F1038" s="0" t="str">
        <f aca="false">IFERROR(IF(OR(HLOOKUP($A1038,#REF!,4,FALSE())&gt;2,HLOOKUP($A1038,#REF!,4,FALSE())&lt;-2),"",#REF!),"")</f>
        <v/>
      </c>
      <c r="G1038" s="0" t="str">
        <f aca="false">IFERROR(IF(OR(HLOOKUP($A1038,#REF!,5,FALSE())&gt;2,HLOOKUP($A1038,#REF!,5,FALSE())&lt;-2),"",#REF!),"")</f>
        <v/>
      </c>
      <c r="H1038" s="0" t="str">
        <f aca="false">IFERROR(IF(OR(HLOOKUP($A1038,#REF!,6,FALSE())&gt;2,HLOOKUP($A1038,#REF!,6,FALSE())&lt;-2),"",#REF!),"")</f>
        <v/>
      </c>
      <c r="I1038" s="0" t="str">
        <f aca="false">IFERROR(IF(OR(HLOOKUP($A1038,#REF!,7,FALSE())&gt;2,HLOOKUP($A1038,#REF!,7,FALSE())&lt;-2),"",#REF!),"")</f>
        <v/>
      </c>
      <c r="J1038" s="0" t="str">
        <f aca="false">IFERROR(IF(OR(HLOOKUP($A1038,#REF!,8,FALSE())&gt;2,HLOOKUP($A1038,#REF!,8,FALSE())&lt;-2),"",#REF!),"")</f>
        <v/>
      </c>
      <c r="K1038" s="0" t="str">
        <f aca="false">IFERROR(IF(OR(HLOOKUP($A1038,#REF!,9,FALSE())&gt;2,HLOOKUP($A1038,#REF!,9,FALSE())&lt;-2),"",#REF!),"")</f>
        <v/>
      </c>
      <c r="L1038" s="0" t="str">
        <f aca="false">IFERROR(IF(OR(HLOOKUP($A1038,#REF!,10,FALSE())&gt;2,HLOOKUP($A1038,#REF!,10,FALSE())&lt;-2),"",#REF!),"")</f>
        <v/>
      </c>
      <c r="M1038" s="0" t="str">
        <f aca="false">IFERROR(IF(OR(HLOOKUP($A1038,#REF!,11,FALSE())&gt;2,HLOOKUP($A1038,#REF!,11,FALSE())&lt;-2),"",#REF!),"")</f>
        <v/>
      </c>
      <c r="N1038" s="0" t="str">
        <f aca="false">IFERROR(IF(OR(HLOOKUP($A1038,#REF!,12,FALSE())&gt;2,HLOOKUP($A1038,#REF!,12,FALSE())&lt;-2),"",#REF!),"")</f>
        <v/>
      </c>
      <c r="O1038" s="0" t="str">
        <f aca="false">IFERROR(IF(OR(HLOOKUP($A1038,#REF!,13,FALSE())&gt;2,HLOOKUP($A1038,#REF!,13,FALSE())&lt;-2),"",#REF!),"")</f>
        <v/>
      </c>
      <c r="P1038" s="0" t="str">
        <f aca="false">IFERROR(IF(OR(HLOOKUP($A1038,#REF!,14,FALSE())&gt;2,HLOOKUP($A1038,#REF!,14,FALSE())&lt;-2),"",#REF!),"")</f>
        <v/>
      </c>
      <c r="Q1038" s="0" t="str">
        <f aca="false">IFERROR(IF(OR(HLOOKUP($A1038,#REF!,15,FALSE())&gt;2,HLOOKUP($A1038,#REF!,15,FALSE())&lt;-2),"",#REF!),"")</f>
        <v/>
      </c>
      <c r="R1038" s="0" t="str">
        <f aca="false">IFERROR(IF(OR(HLOOKUP($A1038,#REF!,16,FALSE())&gt;2,HLOOKUP($A1038,#REF!,16,FALSE())&lt;-2),"",#REF!),"")</f>
        <v/>
      </c>
      <c r="S1038" s="0" t="str">
        <f aca="false">IFERROR(IF(OR(HLOOKUP($A1038,#REF!,17,FALSE())&gt;2,HLOOKUP($A1038,#REF!,17,FALSE())&lt;-2),"",#REF!),"")</f>
        <v/>
      </c>
      <c r="T1038" s="0" t="str">
        <f aca="false">IFERROR(IF(OR(HLOOKUP($A1038,#REF!,18,FALSE())&gt;2,HLOOKUP($A1038,#REF!,18,FALSE())&lt;-2),"",#REF!),"")</f>
        <v/>
      </c>
      <c r="U1038" s="0" t="str">
        <f aca="false">IFERROR(IF(OR(HLOOKUP($A1038,#REF!,19,FALSE())&gt;2,HLOOKUP($A1038,#REF!,19,FALSE())&lt;-2),"",#REF!),"")</f>
        <v/>
      </c>
      <c r="V1038" s="0" t="n">
        <f aca="false">IFERROR(IF(AND(X1038=0,Y1038=0),0,1),0)</f>
        <v>1</v>
      </c>
      <c r="W1038" s="3" t="str">
        <f aca="false">IFERROR(_xlfn.T.TEST(E1038:M1038,N1038:U1038,2,2),"")</f>
        <v/>
      </c>
      <c r="X1038" s="0" t="str">
        <f aca="false">IFERROR(AVERAGE(E1038:M1038),"")</f>
        <v/>
      </c>
      <c r="Y1038" s="0" t="str">
        <f aca="false">IFERROR(AVERAGE(N1038:U1038),"")</f>
        <v/>
      </c>
    </row>
    <row r="1039" customFormat="false" ht="14.5" hidden="false" customHeight="false" outlineLevel="0" collapsed="false">
      <c r="A1039" s="0" t="n">
        <v>1048</v>
      </c>
      <c r="B1039" s="0" t="s">
        <v>1084</v>
      </c>
      <c r="C1039" s="0" t="n">
        <v>93300</v>
      </c>
      <c r="D1039" s="0" t="n">
        <v>370</v>
      </c>
      <c r="E1039" s="0" t="str">
        <f aca="false">IFERROR(IF(OR(HLOOKUP($A1039,#REF!,3,FALSE())&gt;2,HLOOKUP(A1039,#REF!,3,FALSE())&lt;-2),"",#REF!),"")</f>
        <v/>
      </c>
      <c r="F1039" s="0" t="str">
        <f aca="false">IFERROR(IF(OR(HLOOKUP($A1039,#REF!,4,FALSE())&gt;2,HLOOKUP($A1039,#REF!,4,FALSE())&lt;-2),"",#REF!),"")</f>
        <v/>
      </c>
      <c r="G1039" s="0" t="str">
        <f aca="false">IFERROR(IF(OR(HLOOKUP($A1039,#REF!,5,FALSE())&gt;2,HLOOKUP($A1039,#REF!,5,FALSE())&lt;-2),"",#REF!),"")</f>
        <v/>
      </c>
      <c r="H1039" s="0" t="str">
        <f aca="false">IFERROR(IF(OR(HLOOKUP($A1039,#REF!,6,FALSE())&gt;2,HLOOKUP($A1039,#REF!,6,FALSE())&lt;-2),"",#REF!),"")</f>
        <v/>
      </c>
      <c r="I1039" s="0" t="str">
        <f aca="false">IFERROR(IF(OR(HLOOKUP($A1039,#REF!,7,FALSE())&gt;2,HLOOKUP($A1039,#REF!,7,FALSE())&lt;-2),"",#REF!),"")</f>
        <v/>
      </c>
      <c r="J1039" s="0" t="str">
        <f aca="false">IFERROR(IF(OR(HLOOKUP($A1039,#REF!,8,FALSE())&gt;2,HLOOKUP($A1039,#REF!,8,FALSE())&lt;-2),"",#REF!),"")</f>
        <v/>
      </c>
      <c r="K1039" s="0" t="str">
        <f aca="false">IFERROR(IF(OR(HLOOKUP($A1039,#REF!,9,FALSE())&gt;2,HLOOKUP($A1039,#REF!,9,FALSE())&lt;-2),"",#REF!),"")</f>
        <v/>
      </c>
      <c r="L1039" s="0" t="str">
        <f aca="false">IFERROR(IF(OR(HLOOKUP($A1039,#REF!,10,FALSE())&gt;2,HLOOKUP($A1039,#REF!,10,FALSE())&lt;-2),"",#REF!),"")</f>
        <v/>
      </c>
      <c r="M1039" s="0" t="str">
        <f aca="false">IFERROR(IF(OR(HLOOKUP($A1039,#REF!,11,FALSE())&gt;2,HLOOKUP($A1039,#REF!,11,FALSE())&lt;-2),"",#REF!),"")</f>
        <v/>
      </c>
      <c r="N1039" s="0" t="str">
        <f aca="false">IFERROR(IF(OR(HLOOKUP($A1039,#REF!,12,FALSE())&gt;2,HLOOKUP($A1039,#REF!,12,FALSE())&lt;-2),"",#REF!),"")</f>
        <v/>
      </c>
      <c r="O1039" s="0" t="str">
        <f aca="false">IFERROR(IF(OR(HLOOKUP($A1039,#REF!,13,FALSE())&gt;2,HLOOKUP($A1039,#REF!,13,FALSE())&lt;-2),"",#REF!),"")</f>
        <v/>
      </c>
      <c r="P1039" s="0" t="str">
        <f aca="false">IFERROR(IF(OR(HLOOKUP($A1039,#REF!,14,FALSE())&gt;2,HLOOKUP($A1039,#REF!,14,FALSE())&lt;-2),"",#REF!),"")</f>
        <v/>
      </c>
      <c r="Q1039" s="0" t="str">
        <f aca="false">IFERROR(IF(OR(HLOOKUP($A1039,#REF!,15,FALSE())&gt;2,HLOOKUP($A1039,#REF!,15,FALSE())&lt;-2),"",#REF!),"")</f>
        <v/>
      </c>
      <c r="R1039" s="0" t="str">
        <f aca="false">IFERROR(IF(OR(HLOOKUP($A1039,#REF!,16,FALSE())&gt;2,HLOOKUP($A1039,#REF!,16,FALSE())&lt;-2),"",#REF!),"")</f>
        <v/>
      </c>
      <c r="S1039" s="0" t="str">
        <f aca="false">IFERROR(IF(OR(HLOOKUP($A1039,#REF!,17,FALSE())&gt;2,HLOOKUP($A1039,#REF!,17,FALSE())&lt;-2),"",#REF!),"")</f>
        <v/>
      </c>
      <c r="T1039" s="0" t="str">
        <f aca="false">IFERROR(IF(OR(HLOOKUP($A1039,#REF!,18,FALSE())&gt;2,HLOOKUP($A1039,#REF!,18,FALSE())&lt;-2),"",#REF!),"")</f>
        <v/>
      </c>
      <c r="U1039" s="0" t="str">
        <f aca="false">IFERROR(IF(OR(HLOOKUP($A1039,#REF!,19,FALSE())&gt;2,HLOOKUP($A1039,#REF!,19,FALSE())&lt;-2),"",#REF!),"")</f>
        <v/>
      </c>
      <c r="V1039" s="0" t="n">
        <f aca="false">IFERROR(IF(AND(X1039=0,Y1039=0),0,1),0)</f>
        <v>1</v>
      </c>
      <c r="W1039" s="3" t="str">
        <f aca="false">IFERROR(_xlfn.T.TEST(E1039:M1039,N1039:U1039,2,2),"")</f>
        <v/>
      </c>
      <c r="X1039" s="0" t="str">
        <f aca="false">IFERROR(AVERAGE(E1039:M1039),"")</f>
        <v/>
      </c>
      <c r="Y1039" s="0" t="str">
        <f aca="false">IFERROR(AVERAGE(N1039:U1039),"")</f>
        <v/>
      </c>
    </row>
    <row r="1040" customFormat="false" ht="14.5" hidden="false" customHeight="false" outlineLevel="0" collapsed="false">
      <c r="A1040" s="0" t="n">
        <v>1049</v>
      </c>
      <c r="B1040" s="0" t="s">
        <v>1085</v>
      </c>
      <c r="C1040" s="0" t="n">
        <v>62200</v>
      </c>
      <c r="D1040" s="0" t="n">
        <v>1073</v>
      </c>
      <c r="E1040" s="0" t="str">
        <f aca="false">IFERROR(IF(OR(HLOOKUP($A1040,#REF!,3,FALSE())&gt;2,HLOOKUP(A1040,#REF!,3,FALSE())&lt;-2),"",#REF!),"")</f>
        <v/>
      </c>
      <c r="F1040" s="0" t="str">
        <f aca="false">IFERROR(IF(OR(HLOOKUP($A1040,#REF!,4,FALSE())&gt;2,HLOOKUP($A1040,#REF!,4,FALSE())&lt;-2),"",#REF!),"")</f>
        <v/>
      </c>
      <c r="G1040" s="0" t="str">
        <f aca="false">IFERROR(IF(OR(HLOOKUP($A1040,#REF!,5,FALSE())&gt;2,HLOOKUP($A1040,#REF!,5,FALSE())&lt;-2),"",#REF!),"")</f>
        <v/>
      </c>
      <c r="H1040" s="0" t="str">
        <f aca="false">IFERROR(IF(OR(HLOOKUP($A1040,#REF!,6,FALSE())&gt;2,HLOOKUP($A1040,#REF!,6,FALSE())&lt;-2),"",#REF!),"")</f>
        <v/>
      </c>
      <c r="I1040" s="0" t="str">
        <f aca="false">IFERROR(IF(OR(HLOOKUP($A1040,#REF!,7,FALSE())&gt;2,HLOOKUP($A1040,#REF!,7,FALSE())&lt;-2),"",#REF!),"")</f>
        <v/>
      </c>
      <c r="J1040" s="0" t="str">
        <f aca="false">IFERROR(IF(OR(HLOOKUP($A1040,#REF!,8,FALSE())&gt;2,HLOOKUP($A1040,#REF!,8,FALSE())&lt;-2),"",#REF!),"")</f>
        <v/>
      </c>
      <c r="K1040" s="0" t="str">
        <f aca="false">IFERROR(IF(OR(HLOOKUP($A1040,#REF!,9,FALSE())&gt;2,HLOOKUP($A1040,#REF!,9,FALSE())&lt;-2),"",#REF!),"")</f>
        <v/>
      </c>
      <c r="L1040" s="0" t="str">
        <f aca="false">IFERROR(IF(OR(HLOOKUP($A1040,#REF!,10,FALSE())&gt;2,HLOOKUP($A1040,#REF!,10,FALSE())&lt;-2),"",#REF!),"")</f>
        <v/>
      </c>
      <c r="M1040" s="0" t="str">
        <f aca="false">IFERROR(IF(OR(HLOOKUP($A1040,#REF!,11,FALSE())&gt;2,HLOOKUP($A1040,#REF!,11,FALSE())&lt;-2),"",#REF!),"")</f>
        <v/>
      </c>
      <c r="N1040" s="0" t="str">
        <f aca="false">IFERROR(IF(OR(HLOOKUP($A1040,#REF!,12,FALSE())&gt;2,HLOOKUP($A1040,#REF!,12,FALSE())&lt;-2),"",#REF!),"")</f>
        <v/>
      </c>
      <c r="O1040" s="0" t="str">
        <f aca="false">IFERROR(IF(OR(HLOOKUP($A1040,#REF!,13,FALSE())&gt;2,HLOOKUP($A1040,#REF!,13,FALSE())&lt;-2),"",#REF!),"")</f>
        <v/>
      </c>
      <c r="P1040" s="0" t="str">
        <f aca="false">IFERROR(IF(OR(HLOOKUP($A1040,#REF!,14,FALSE())&gt;2,HLOOKUP($A1040,#REF!,14,FALSE())&lt;-2),"",#REF!),"")</f>
        <v/>
      </c>
      <c r="Q1040" s="0" t="str">
        <f aca="false">IFERROR(IF(OR(HLOOKUP($A1040,#REF!,15,FALSE())&gt;2,HLOOKUP($A1040,#REF!,15,FALSE())&lt;-2),"",#REF!),"")</f>
        <v/>
      </c>
      <c r="R1040" s="0" t="str">
        <f aca="false">IFERROR(IF(OR(HLOOKUP($A1040,#REF!,16,FALSE())&gt;2,HLOOKUP($A1040,#REF!,16,FALSE())&lt;-2),"",#REF!),"")</f>
        <v/>
      </c>
      <c r="S1040" s="0" t="str">
        <f aca="false">IFERROR(IF(OR(HLOOKUP($A1040,#REF!,17,FALSE())&gt;2,HLOOKUP($A1040,#REF!,17,FALSE())&lt;-2),"",#REF!),"")</f>
        <v/>
      </c>
      <c r="T1040" s="0" t="str">
        <f aca="false">IFERROR(IF(OR(HLOOKUP($A1040,#REF!,18,FALSE())&gt;2,HLOOKUP($A1040,#REF!,18,FALSE())&lt;-2),"",#REF!),"")</f>
        <v/>
      </c>
      <c r="U1040" s="0" t="str">
        <f aca="false">IFERROR(IF(OR(HLOOKUP($A1040,#REF!,19,FALSE())&gt;2,HLOOKUP($A1040,#REF!,19,FALSE())&lt;-2),"",#REF!),"")</f>
        <v/>
      </c>
      <c r="V1040" s="0" t="n">
        <f aca="false">IFERROR(IF(AND(X1040=0,Y1040=0),0,1),0)</f>
        <v>1</v>
      </c>
      <c r="W1040" s="3" t="str">
        <f aca="false">IFERROR(_xlfn.T.TEST(E1040:M1040,N1040:U1040,2,2),"")</f>
        <v/>
      </c>
      <c r="X1040" s="0" t="str">
        <f aca="false">IFERROR(AVERAGE(E1040:M1040),"")</f>
        <v/>
      </c>
      <c r="Y1040" s="0" t="str">
        <f aca="false">IFERROR(AVERAGE(N1040:U1040),"")</f>
        <v/>
      </c>
    </row>
    <row r="1041" customFormat="false" ht="14.5" hidden="false" customHeight="false" outlineLevel="0" collapsed="false">
      <c r="A1041" s="0" t="n">
        <v>1050</v>
      </c>
      <c r="B1041" s="0" t="s">
        <v>1086</v>
      </c>
      <c r="C1041" s="0" t="n">
        <v>32300</v>
      </c>
      <c r="D1041" s="0" t="n">
        <v>589</v>
      </c>
      <c r="E1041" s="0" t="str">
        <f aca="false">IFERROR(IF(OR(HLOOKUP($A1041,#REF!,3,FALSE())&gt;2,HLOOKUP(A1041,#REF!,3,FALSE())&lt;-2),"",#REF!),"")</f>
        <v/>
      </c>
      <c r="F1041" s="0" t="str">
        <f aca="false">IFERROR(IF(OR(HLOOKUP($A1041,#REF!,4,FALSE())&gt;2,HLOOKUP($A1041,#REF!,4,FALSE())&lt;-2),"",#REF!),"")</f>
        <v/>
      </c>
      <c r="G1041" s="0" t="str">
        <f aca="false">IFERROR(IF(OR(HLOOKUP($A1041,#REF!,5,FALSE())&gt;2,HLOOKUP($A1041,#REF!,5,FALSE())&lt;-2),"",#REF!),"")</f>
        <v/>
      </c>
      <c r="H1041" s="0" t="str">
        <f aca="false">IFERROR(IF(OR(HLOOKUP($A1041,#REF!,6,FALSE())&gt;2,HLOOKUP($A1041,#REF!,6,FALSE())&lt;-2),"",#REF!),"")</f>
        <v/>
      </c>
      <c r="I1041" s="0" t="str">
        <f aca="false">IFERROR(IF(OR(HLOOKUP($A1041,#REF!,7,FALSE())&gt;2,HLOOKUP($A1041,#REF!,7,FALSE())&lt;-2),"",#REF!),"")</f>
        <v/>
      </c>
      <c r="J1041" s="0" t="str">
        <f aca="false">IFERROR(IF(OR(HLOOKUP($A1041,#REF!,8,FALSE())&gt;2,HLOOKUP($A1041,#REF!,8,FALSE())&lt;-2),"",#REF!),"")</f>
        <v/>
      </c>
      <c r="K1041" s="0" t="str">
        <f aca="false">IFERROR(IF(OR(HLOOKUP($A1041,#REF!,9,FALSE())&gt;2,HLOOKUP($A1041,#REF!,9,FALSE())&lt;-2),"",#REF!),"")</f>
        <v/>
      </c>
      <c r="L1041" s="0" t="str">
        <f aca="false">IFERROR(IF(OR(HLOOKUP($A1041,#REF!,10,FALSE())&gt;2,HLOOKUP($A1041,#REF!,10,FALSE())&lt;-2),"",#REF!),"")</f>
        <v/>
      </c>
      <c r="M1041" s="0" t="str">
        <f aca="false">IFERROR(IF(OR(HLOOKUP($A1041,#REF!,11,FALSE())&gt;2,HLOOKUP($A1041,#REF!,11,FALSE())&lt;-2),"",#REF!),"")</f>
        <v/>
      </c>
      <c r="N1041" s="0" t="str">
        <f aca="false">IFERROR(IF(OR(HLOOKUP($A1041,#REF!,12,FALSE())&gt;2,HLOOKUP($A1041,#REF!,12,FALSE())&lt;-2),"",#REF!),"")</f>
        <v/>
      </c>
      <c r="O1041" s="0" t="str">
        <f aca="false">IFERROR(IF(OR(HLOOKUP($A1041,#REF!,13,FALSE())&gt;2,HLOOKUP($A1041,#REF!,13,FALSE())&lt;-2),"",#REF!),"")</f>
        <v/>
      </c>
      <c r="P1041" s="0" t="str">
        <f aca="false">IFERROR(IF(OR(HLOOKUP($A1041,#REF!,14,FALSE())&gt;2,HLOOKUP($A1041,#REF!,14,FALSE())&lt;-2),"",#REF!),"")</f>
        <v/>
      </c>
      <c r="Q1041" s="0" t="str">
        <f aca="false">IFERROR(IF(OR(HLOOKUP($A1041,#REF!,15,FALSE())&gt;2,HLOOKUP($A1041,#REF!,15,FALSE())&lt;-2),"",#REF!),"")</f>
        <v/>
      </c>
      <c r="R1041" s="0" t="str">
        <f aca="false">IFERROR(IF(OR(HLOOKUP($A1041,#REF!,16,FALSE())&gt;2,HLOOKUP($A1041,#REF!,16,FALSE())&lt;-2),"",#REF!),"")</f>
        <v/>
      </c>
      <c r="S1041" s="0" t="str">
        <f aca="false">IFERROR(IF(OR(HLOOKUP($A1041,#REF!,17,FALSE())&gt;2,HLOOKUP($A1041,#REF!,17,FALSE())&lt;-2),"",#REF!),"")</f>
        <v/>
      </c>
      <c r="T1041" s="0" t="str">
        <f aca="false">IFERROR(IF(OR(HLOOKUP($A1041,#REF!,18,FALSE())&gt;2,HLOOKUP($A1041,#REF!,18,FALSE())&lt;-2),"",#REF!),"")</f>
        <v/>
      </c>
      <c r="U1041" s="0" t="str">
        <f aca="false">IFERROR(IF(OR(HLOOKUP($A1041,#REF!,19,FALSE())&gt;2,HLOOKUP($A1041,#REF!,19,FALSE())&lt;-2),"",#REF!),"")</f>
        <v/>
      </c>
      <c r="V1041" s="0" t="n">
        <f aca="false">IFERROR(IF(AND(X1041=0,Y1041=0),0,1),0)</f>
        <v>1</v>
      </c>
      <c r="W1041" s="3" t="str">
        <f aca="false">IFERROR(_xlfn.T.TEST(E1041:M1041,N1041:U1041,2,2),"")</f>
        <v/>
      </c>
      <c r="X1041" s="0" t="str">
        <f aca="false">IFERROR(AVERAGE(E1041:M1041),"")</f>
        <v/>
      </c>
      <c r="Y1041" s="0" t="str">
        <f aca="false">IFERROR(AVERAGE(N1041:U1041),"")</f>
        <v/>
      </c>
    </row>
    <row r="1042" customFormat="false" ht="14.5" hidden="false" customHeight="false" outlineLevel="0" collapsed="false">
      <c r="A1042" s="0" t="n">
        <v>1051</v>
      </c>
      <c r="B1042" s="0" t="s">
        <v>1087</v>
      </c>
      <c r="C1042" s="0" t="n">
        <v>109400</v>
      </c>
      <c r="D1042" s="0" t="n">
        <v>877</v>
      </c>
      <c r="E1042" s="0" t="str">
        <f aca="false">IFERROR(IF(OR(HLOOKUP($A1042,#REF!,3,FALSE())&gt;2,HLOOKUP(A1042,#REF!,3,FALSE())&lt;-2),"",#REF!),"")</f>
        <v/>
      </c>
      <c r="F1042" s="0" t="str">
        <f aca="false">IFERROR(IF(OR(HLOOKUP($A1042,#REF!,4,FALSE())&gt;2,HLOOKUP($A1042,#REF!,4,FALSE())&lt;-2),"",#REF!),"")</f>
        <v/>
      </c>
      <c r="G1042" s="0" t="str">
        <f aca="false">IFERROR(IF(OR(HLOOKUP($A1042,#REF!,5,FALSE())&gt;2,HLOOKUP($A1042,#REF!,5,FALSE())&lt;-2),"",#REF!),"")</f>
        <v/>
      </c>
      <c r="H1042" s="0" t="str">
        <f aca="false">IFERROR(IF(OR(HLOOKUP($A1042,#REF!,6,FALSE())&gt;2,HLOOKUP($A1042,#REF!,6,FALSE())&lt;-2),"",#REF!),"")</f>
        <v/>
      </c>
      <c r="I1042" s="0" t="str">
        <f aca="false">IFERROR(IF(OR(HLOOKUP($A1042,#REF!,7,FALSE())&gt;2,HLOOKUP($A1042,#REF!,7,FALSE())&lt;-2),"",#REF!),"")</f>
        <v/>
      </c>
      <c r="J1042" s="0" t="str">
        <f aca="false">IFERROR(IF(OR(HLOOKUP($A1042,#REF!,8,FALSE())&gt;2,HLOOKUP($A1042,#REF!,8,FALSE())&lt;-2),"",#REF!),"")</f>
        <v/>
      </c>
      <c r="K1042" s="0" t="str">
        <f aca="false">IFERROR(IF(OR(HLOOKUP($A1042,#REF!,9,FALSE())&gt;2,HLOOKUP($A1042,#REF!,9,FALSE())&lt;-2),"",#REF!),"")</f>
        <v/>
      </c>
      <c r="L1042" s="0" t="str">
        <f aca="false">IFERROR(IF(OR(HLOOKUP($A1042,#REF!,10,FALSE())&gt;2,HLOOKUP($A1042,#REF!,10,FALSE())&lt;-2),"",#REF!),"")</f>
        <v/>
      </c>
      <c r="M1042" s="0" t="str">
        <f aca="false">IFERROR(IF(OR(HLOOKUP($A1042,#REF!,11,FALSE())&gt;2,HLOOKUP($A1042,#REF!,11,FALSE())&lt;-2),"",#REF!),"")</f>
        <v/>
      </c>
      <c r="N1042" s="0" t="str">
        <f aca="false">IFERROR(IF(OR(HLOOKUP($A1042,#REF!,12,FALSE())&gt;2,HLOOKUP($A1042,#REF!,12,FALSE())&lt;-2),"",#REF!),"")</f>
        <v/>
      </c>
      <c r="O1042" s="0" t="str">
        <f aca="false">IFERROR(IF(OR(HLOOKUP($A1042,#REF!,13,FALSE())&gt;2,HLOOKUP($A1042,#REF!,13,FALSE())&lt;-2),"",#REF!),"")</f>
        <v/>
      </c>
      <c r="P1042" s="0" t="str">
        <f aca="false">IFERROR(IF(OR(HLOOKUP($A1042,#REF!,14,FALSE())&gt;2,HLOOKUP($A1042,#REF!,14,FALSE())&lt;-2),"",#REF!),"")</f>
        <v/>
      </c>
      <c r="Q1042" s="0" t="str">
        <f aca="false">IFERROR(IF(OR(HLOOKUP($A1042,#REF!,15,FALSE())&gt;2,HLOOKUP($A1042,#REF!,15,FALSE())&lt;-2),"",#REF!),"")</f>
        <v/>
      </c>
      <c r="R1042" s="0" t="str">
        <f aca="false">IFERROR(IF(OR(HLOOKUP($A1042,#REF!,16,FALSE())&gt;2,HLOOKUP($A1042,#REF!,16,FALSE())&lt;-2),"",#REF!),"")</f>
        <v/>
      </c>
      <c r="S1042" s="0" t="str">
        <f aca="false">IFERROR(IF(OR(HLOOKUP($A1042,#REF!,17,FALSE())&gt;2,HLOOKUP($A1042,#REF!,17,FALSE())&lt;-2),"",#REF!),"")</f>
        <v/>
      </c>
      <c r="T1042" s="0" t="str">
        <f aca="false">IFERROR(IF(OR(HLOOKUP($A1042,#REF!,18,FALSE())&gt;2,HLOOKUP($A1042,#REF!,18,FALSE())&lt;-2),"",#REF!),"")</f>
        <v/>
      </c>
      <c r="U1042" s="0" t="str">
        <f aca="false">IFERROR(IF(OR(HLOOKUP($A1042,#REF!,19,FALSE())&gt;2,HLOOKUP($A1042,#REF!,19,FALSE())&lt;-2),"",#REF!),"")</f>
        <v/>
      </c>
      <c r="V1042" s="0" t="n">
        <f aca="false">IFERROR(IF(AND(X1042=0,Y1042=0),0,1),0)</f>
        <v>1</v>
      </c>
      <c r="W1042" s="3" t="str">
        <f aca="false">IFERROR(_xlfn.T.TEST(E1042:M1042,N1042:U1042,2,2),"")</f>
        <v/>
      </c>
      <c r="X1042" s="0" t="str">
        <f aca="false">IFERROR(AVERAGE(E1042:M1042),"")</f>
        <v/>
      </c>
      <c r="Y1042" s="0" t="str">
        <f aca="false">IFERROR(AVERAGE(N1042:U1042),"")</f>
        <v/>
      </c>
    </row>
    <row r="1043" customFormat="false" ht="14.5" hidden="false" customHeight="false" outlineLevel="0" collapsed="false">
      <c r="A1043" s="0" t="n">
        <v>1052</v>
      </c>
      <c r="B1043" s="0" t="s">
        <v>1088</v>
      </c>
      <c r="C1043" s="0" t="n">
        <v>83900</v>
      </c>
      <c r="D1043" s="0" t="n">
        <v>348</v>
      </c>
      <c r="E1043" s="0" t="str">
        <f aca="false">IFERROR(IF(OR(HLOOKUP($A1043,#REF!,3,FALSE())&gt;2,HLOOKUP(A1043,#REF!,3,FALSE())&lt;-2),"",#REF!),"")</f>
        <v/>
      </c>
      <c r="F1043" s="0" t="str">
        <f aca="false">IFERROR(IF(OR(HLOOKUP($A1043,#REF!,4,FALSE())&gt;2,HLOOKUP($A1043,#REF!,4,FALSE())&lt;-2),"",#REF!),"")</f>
        <v/>
      </c>
      <c r="G1043" s="0" t="str">
        <f aca="false">IFERROR(IF(OR(HLOOKUP($A1043,#REF!,5,FALSE())&gt;2,HLOOKUP($A1043,#REF!,5,FALSE())&lt;-2),"",#REF!),"")</f>
        <v/>
      </c>
      <c r="H1043" s="0" t="str">
        <f aca="false">IFERROR(IF(OR(HLOOKUP($A1043,#REF!,6,FALSE())&gt;2,HLOOKUP($A1043,#REF!,6,FALSE())&lt;-2),"",#REF!),"")</f>
        <v/>
      </c>
      <c r="I1043" s="0" t="str">
        <f aca="false">IFERROR(IF(OR(HLOOKUP($A1043,#REF!,7,FALSE())&gt;2,HLOOKUP($A1043,#REF!,7,FALSE())&lt;-2),"",#REF!),"")</f>
        <v/>
      </c>
      <c r="J1043" s="0" t="str">
        <f aca="false">IFERROR(IF(OR(HLOOKUP($A1043,#REF!,8,FALSE())&gt;2,HLOOKUP($A1043,#REF!,8,FALSE())&lt;-2),"",#REF!),"")</f>
        <v/>
      </c>
      <c r="K1043" s="0" t="str">
        <f aca="false">IFERROR(IF(OR(HLOOKUP($A1043,#REF!,9,FALSE())&gt;2,HLOOKUP($A1043,#REF!,9,FALSE())&lt;-2),"",#REF!),"")</f>
        <v/>
      </c>
      <c r="L1043" s="0" t="str">
        <f aca="false">IFERROR(IF(OR(HLOOKUP($A1043,#REF!,10,FALSE())&gt;2,HLOOKUP($A1043,#REF!,10,FALSE())&lt;-2),"",#REF!),"")</f>
        <v/>
      </c>
      <c r="M1043" s="0" t="str">
        <f aca="false">IFERROR(IF(OR(HLOOKUP($A1043,#REF!,11,FALSE())&gt;2,HLOOKUP($A1043,#REF!,11,FALSE())&lt;-2),"",#REF!),"")</f>
        <v/>
      </c>
      <c r="N1043" s="0" t="str">
        <f aca="false">IFERROR(IF(OR(HLOOKUP($A1043,#REF!,12,FALSE())&gt;2,HLOOKUP($A1043,#REF!,12,FALSE())&lt;-2),"",#REF!),"")</f>
        <v/>
      </c>
      <c r="O1043" s="0" t="str">
        <f aca="false">IFERROR(IF(OR(HLOOKUP($A1043,#REF!,13,FALSE())&gt;2,HLOOKUP($A1043,#REF!,13,FALSE())&lt;-2),"",#REF!),"")</f>
        <v/>
      </c>
      <c r="P1043" s="0" t="str">
        <f aca="false">IFERROR(IF(OR(HLOOKUP($A1043,#REF!,14,FALSE())&gt;2,HLOOKUP($A1043,#REF!,14,FALSE())&lt;-2),"",#REF!),"")</f>
        <v/>
      </c>
      <c r="Q1043" s="0" t="str">
        <f aca="false">IFERROR(IF(OR(HLOOKUP($A1043,#REF!,15,FALSE())&gt;2,HLOOKUP($A1043,#REF!,15,FALSE())&lt;-2),"",#REF!),"")</f>
        <v/>
      </c>
      <c r="R1043" s="0" t="str">
        <f aca="false">IFERROR(IF(OR(HLOOKUP($A1043,#REF!,16,FALSE())&gt;2,HLOOKUP($A1043,#REF!,16,FALSE())&lt;-2),"",#REF!),"")</f>
        <v/>
      </c>
      <c r="S1043" s="0" t="str">
        <f aca="false">IFERROR(IF(OR(HLOOKUP($A1043,#REF!,17,FALSE())&gt;2,HLOOKUP($A1043,#REF!,17,FALSE())&lt;-2),"",#REF!),"")</f>
        <v/>
      </c>
      <c r="T1043" s="0" t="str">
        <f aca="false">IFERROR(IF(OR(HLOOKUP($A1043,#REF!,18,FALSE())&gt;2,HLOOKUP($A1043,#REF!,18,FALSE())&lt;-2),"",#REF!),"")</f>
        <v/>
      </c>
      <c r="U1043" s="0" t="str">
        <f aca="false">IFERROR(IF(OR(HLOOKUP($A1043,#REF!,19,FALSE())&gt;2,HLOOKUP($A1043,#REF!,19,FALSE())&lt;-2),"",#REF!),"")</f>
        <v/>
      </c>
      <c r="V1043" s="0" t="n">
        <f aca="false">IFERROR(IF(AND(X1043=0,Y1043=0),0,1),0)</f>
        <v>1</v>
      </c>
      <c r="W1043" s="3" t="str">
        <f aca="false">IFERROR(_xlfn.T.TEST(E1043:M1043,N1043:U1043,2,2),"")</f>
        <v/>
      </c>
      <c r="X1043" s="0" t="str">
        <f aca="false">IFERROR(AVERAGE(E1043:M1043),"")</f>
        <v/>
      </c>
      <c r="Y1043" s="0" t="str">
        <f aca="false">IFERROR(AVERAGE(N1043:U1043),"")</f>
        <v/>
      </c>
    </row>
    <row r="1044" customFormat="false" ht="14.5" hidden="false" customHeight="false" outlineLevel="0" collapsed="false">
      <c r="A1044" s="0" t="n">
        <v>1053</v>
      </c>
      <c r="B1044" s="0" t="s">
        <v>1089</v>
      </c>
      <c r="C1044" s="0" t="n">
        <v>18500</v>
      </c>
      <c r="D1044" s="0" t="n">
        <v>31</v>
      </c>
      <c r="E1044" s="0" t="str">
        <f aca="false">IFERROR(IF(OR(HLOOKUP($A1044,#REF!,3,FALSE())&gt;2,HLOOKUP(A1044,#REF!,3,FALSE())&lt;-2),"",#REF!),"")</f>
        <v/>
      </c>
      <c r="F1044" s="0" t="str">
        <f aca="false">IFERROR(IF(OR(HLOOKUP($A1044,#REF!,4,FALSE())&gt;2,HLOOKUP($A1044,#REF!,4,FALSE())&lt;-2),"",#REF!),"")</f>
        <v/>
      </c>
      <c r="G1044" s="0" t="str">
        <f aca="false">IFERROR(IF(OR(HLOOKUP($A1044,#REF!,5,FALSE())&gt;2,HLOOKUP($A1044,#REF!,5,FALSE())&lt;-2),"",#REF!),"")</f>
        <v/>
      </c>
      <c r="H1044" s="0" t="str">
        <f aca="false">IFERROR(IF(OR(HLOOKUP($A1044,#REF!,6,FALSE())&gt;2,HLOOKUP($A1044,#REF!,6,FALSE())&lt;-2),"",#REF!),"")</f>
        <v/>
      </c>
      <c r="I1044" s="0" t="str">
        <f aca="false">IFERROR(IF(OR(HLOOKUP($A1044,#REF!,7,FALSE())&gt;2,HLOOKUP($A1044,#REF!,7,FALSE())&lt;-2),"",#REF!),"")</f>
        <v/>
      </c>
      <c r="J1044" s="0" t="str">
        <f aca="false">IFERROR(IF(OR(HLOOKUP($A1044,#REF!,8,FALSE())&gt;2,HLOOKUP($A1044,#REF!,8,FALSE())&lt;-2),"",#REF!),"")</f>
        <v/>
      </c>
      <c r="K1044" s="0" t="str">
        <f aca="false">IFERROR(IF(OR(HLOOKUP($A1044,#REF!,9,FALSE())&gt;2,HLOOKUP($A1044,#REF!,9,FALSE())&lt;-2),"",#REF!),"")</f>
        <v/>
      </c>
      <c r="L1044" s="0" t="str">
        <f aca="false">IFERROR(IF(OR(HLOOKUP($A1044,#REF!,10,FALSE())&gt;2,HLOOKUP($A1044,#REF!,10,FALSE())&lt;-2),"",#REF!),"")</f>
        <v/>
      </c>
      <c r="M1044" s="0" t="str">
        <f aca="false">IFERROR(IF(OR(HLOOKUP($A1044,#REF!,11,FALSE())&gt;2,HLOOKUP($A1044,#REF!,11,FALSE())&lt;-2),"",#REF!),"")</f>
        <v/>
      </c>
      <c r="N1044" s="0" t="str">
        <f aca="false">IFERROR(IF(OR(HLOOKUP($A1044,#REF!,12,FALSE())&gt;2,HLOOKUP($A1044,#REF!,12,FALSE())&lt;-2),"",#REF!),"")</f>
        <v/>
      </c>
      <c r="O1044" s="0" t="str">
        <f aca="false">IFERROR(IF(OR(HLOOKUP($A1044,#REF!,13,FALSE())&gt;2,HLOOKUP($A1044,#REF!,13,FALSE())&lt;-2),"",#REF!),"")</f>
        <v/>
      </c>
      <c r="P1044" s="0" t="str">
        <f aca="false">IFERROR(IF(OR(HLOOKUP($A1044,#REF!,14,FALSE())&gt;2,HLOOKUP($A1044,#REF!,14,FALSE())&lt;-2),"",#REF!),"")</f>
        <v/>
      </c>
      <c r="Q1044" s="0" t="str">
        <f aca="false">IFERROR(IF(OR(HLOOKUP($A1044,#REF!,15,FALSE())&gt;2,HLOOKUP($A1044,#REF!,15,FALSE())&lt;-2),"",#REF!),"")</f>
        <v/>
      </c>
      <c r="R1044" s="0" t="str">
        <f aca="false">IFERROR(IF(OR(HLOOKUP($A1044,#REF!,16,FALSE())&gt;2,HLOOKUP($A1044,#REF!,16,FALSE())&lt;-2),"",#REF!),"")</f>
        <v/>
      </c>
      <c r="S1044" s="0" t="str">
        <f aca="false">IFERROR(IF(OR(HLOOKUP($A1044,#REF!,17,FALSE())&gt;2,HLOOKUP($A1044,#REF!,17,FALSE())&lt;-2),"",#REF!),"")</f>
        <v/>
      </c>
      <c r="T1044" s="0" t="str">
        <f aca="false">IFERROR(IF(OR(HLOOKUP($A1044,#REF!,18,FALSE())&gt;2,HLOOKUP($A1044,#REF!,18,FALSE())&lt;-2),"",#REF!),"")</f>
        <v/>
      </c>
      <c r="U1044" s="0" t="str">
        <f aca="false">IFERROR(IF(OR(HLOOKUP($A1044,#REF!,19,FALSE())&gt;2,HLOOKUP($A1044,#REF!,19,FALSE())&lt;-2),"",#REF!),"")</f>
        <v/>
      </c>
      <c r="V1044" s="0" t="n">
        <f aca="false">IFERROR(IF(AND(X1044=0,Y1044=0),0,1),0)</f>
        <v>1</v>
      </c>
      <c r="W1044" s="3" t="str">
        <f aca="false">IFERROR(_xlfn.T.TEST(E1044:M1044,N1044:U1044,2,2),"")</f>
        <v/>
      </c>
      <c r="X1044" s="0" t="str">
        <f aca="false">IFERROR(AVERAGE(E1044:M1044),"")</f>
        <v/>
      </c>
      <c r="Y1044" s="0" t="str">
        <f aca="false">IFERROR(AVERAGE(N1044:U1044),"")</f>
        <v/>
      </c>
    </row>
    <row r="1045" customFormat="false" ht="14.5" hidden="false" customHeight="false" outlineLevel="0" collapsed="false">
      <c r="A1045" s="0" t="n">
        <v>1054</v>
      </c>
      <c r="B1045" s="0" t="s">
        <v>90</v>
      </c>
      <c r="C1045" s="0" t="n">
        <v>8900</v>
      </c>
      <c r="D1045" s="0" t="n">
        <v>44</v>
      </c>
      <c r="E1045" s="0" t="str">
        <f aca="false">IFERROR(IF(OR(HLOOKUP($A1045,#REF!,3,FALSE())&gt;2,HLOOKUP(A1045,#REF!,3,FALSE())&lt;-2),"",#REF!),"")</f>
        <v/>
      </c>
      <c r="F1045" s="0" t="str">
        <f aca="false">IFERROR(IF(OR(HLOOKUP($A1045,#REF!,4,FALSE())&gt;2,HLOOKUP($A1045,#REF!,4,FALSE())&lt;-2),"",#REF!),"")</f>
        <v/>
      </c>
      <c r="G1045" s="0" t="str">
        <f aca="false">IFERROR(IF(OR(HLOOKUP($A1045,#REF!,5,FALSE())&gt;2,HLOOKUP($A1045,#REF!,5,FALSE())&lt;-2),"",#REF!),"")</f>
        <v/>
      </c>
      <c r="H1045" s="0" t="str">
        <f aca="false">IFERROR(IF(OR(HLOOKUP($A1045,#REF!,6,FALSE())&gt;2,HLOOKUP($A1045,#REF!,6,FALSE())&lt;-2),"",#REF!),"")</f>
        <v/>
      </c>
      <c r="I1045" s="0" t="str">
        <f aca="false">IFERROR(IF(OR(HLOOKUP($A1045,#REF!,7,FALSE())&gt;2,HLOOKUP($A1045,#REF!,7,FALSE())&lt;-2),"",#REF!),"")</f>
        <v/>
      </c>
      <c r="J1045" s="0" t="str">
        <f aca="false">IFERROR(IF(OR(HLOOKUP($A1045,#REF!,8,FALSE())&gt;2,HLOOKUP($A1045,#REF!,8,FALSE())&lt;-2),"",#REF!),"")</f>
        <v/>
      </c>
      <c r="K1045" s="0" t="str">
        <f aca="false">IFERROR(IF(OR(HLOOKUP($A1045,#REF!,9,FALSE())&gt;2,HLOOKUP($A1045,#REF!,9,FALSE())&lt;-2),"",#REF!),"")</f>
        <v/>
      </c>
      <c r="L1045" s="0" t="str">
        <f aca="false">IFERROR(IF(OR(HLOOKUP($A1045,#REF!,10,FALSE())&gt;2,HLOOKUP($A1045,#REF!,10,FALSE())&lt;-2),"",#REF!),"")</f>
        <v/>
      </c>
      <c r="M1045" s="0" t="str">
        <f aca="false">IFERROR(IF(OR(HLOOKUP($A1045,#REF!,11,FALSE())&gt;2,HLOOKUP($A1045,#REF!,11,FALSE())&lt;-2),"",#REF!),"")</f>
        <v/>
      </c>
      <c r="N1045" s="0" t="str">
        <f aca="false">IFERROR(IF(OR(HLOOKUP($A1045,#REF!,12,FALSE())&gt;2,HLOOKUP($A1045,#REF!,12,FALSE())&lt;-2),"",#REF!),"")</f>
        <v/>
      </c>
      <c r="O1045" s="0" t="str">
        <f aca="false">IFERROR(IF(OR(HLOOKUP($A1045,#REF!,13,FALSE())&gt;2,HLOOKUP($A1045,#REF!,13,FALSE())&lt;-2),"",#REF!),"")</f>
        <v/>
      </c>
      <c r="P1045" s="0" t="str">
        <f aca="false">IFERROR(IF(OR(HLOOKUP($A1045,#REF!,14,FALSE())&gt;2,HLOOKUP($A1045,#REF!,14,FALSE())&lt;-2),"",#REF!),"")</f>
        <v/>
      </c>
      <c r="Q1045" s="0" t="str">
        <f aca="false">IFERROR(IF(OR(HLOOKUP($A1045,#REF!,15,FALSE())&gt;2,HLOOKUP($A1045,#REF!,15,FALSE())&lt;-2),"",#REF!),"")</f>
        <v/>
      </c>
      <c r="R1045" s="0" t="str">
        <f aca="false">IFERROR(IF(OR(HLOOKUP($A1045,#REF!,16,FALSE())&gt;2,HLOOKUP($A1045,#REF!,16,FALSE())&lt;-2),"",#REF!),"")</f>
        <v/>
      </c>
      <c r="S1045" s="0" t="str">
        <f aca="false">IFERROR(IF(OR(HLOOKUP($A1045,#REF!,17,FALSE())&gt;2,HLOOKUP($A1045,#REF!,17,FALSE())&lt;-2),"",#REF!),"")</f>
        <v/>
      </c>
      <c r="T1045" s="0" t="str">
        <f aca="false">IFERROR(IF(OR(HLOOKUP($A1045,#REF!,18,FALSE())&gt;2,HLOOKUP($A1045,#REF!,18,FALSE())&lt;-2),"",#REF!),"")</f>
        <v/>
      </c>
      <c r="U1045" s="0" t="str">
        <f aca="false">IFERROR(IF(OR(HLOOKUP($A1045,#REF!,19,FALSE())&gt;2,HLOOKUP($A1045,#REF!,19,FALSE())&lt;-2),"",#REF!),"")</f>
        <v/>
      </c>
      <c r="V1045" s="0" t="n">
        <f aca="false">IFERROR(IF(AND(X1045=0,Y1045=0),0,1),0)</f>
        <v>1</v>
      </c>
      <c r="W1045" s="3" t="str">
        <f aca="false">IFERROR(_xlfn.T.TEST(E1045:M1045,N1045:U1045,2,2),"")</f>
        <v/>
      </c>
      <c r="X1045" s="0" t="str">
        <f aca="false">IFERROR(AVERAGE(E1045:M1045),"")</f>
        <v/>
      </c>
      <c r="Y1045" s="0" t="str">
        <f aca="false">IFERROR(AVERAGE(N1045:U1045),"")</f>
        <v/>
      </c>
    </row>
    <row r="1046" customFormat="false" ht="14.5" hidden="false" customHeight="false" outlineLevel="0" collapsed="false">
      <c r="A1046" s="0" t="n">
        <v>1055</v>
      </c>
      <c r="B1046" s="0" t="s">
        <v>1090</v>
      </c>
      <c r="C1046" s="0" t="n">
        <v>117200</v>
      </c>
      <c r="D1046" s="0" t="n">
        <v>1032</v>
      </c>
      <c r="E1046" s="0" t="str">
        <f aca="false">IFERROR(IF(OR(HLOOKUP($A1046,#REF!,3,FALSE())&gt;2,HLOOKUP(A1046,#REF!,3,FALSE())&lt;-2),"",#REF!),"")</f>
        <v/>
      </c>
      <c r="F1046" s="0" t="str">
        <f aca="false">IFERROR(IF(OR(HLOOKUP($A1046,#REF!,4,FALSE())&gt;2,HLOOKUP($A1046,#REF!,4,FALSE())&lt;-2),"",#REF!),"")</f>
        <v/>
      </c>
      <c r="G1046" s="0" t="str">
        <f aca="false">IFERROR(IF(OR(HLOOKUP($A1046,#REF!,5,FALSE())&gt;2,HLOOKUP($A1046,#REF!,5,FALSE())&lt;-2),"",#REF!),"")</f>
        <v/>
      </c>
      <c r="H1046" s="0" t="str">
        <f aca="false">IFERROR(IF(OR(HLOOKUP($A1046,#REF!,6,FALSE())&gt;2,HLOOKUP($A1046,#REF!,6,FALSE())&lt;-2),"",#REF!),"")</f>
        <v/>
      </c>
      <c r="I1046" s="0" t="str">
        <f aca="false">IFERROR(IF(OR(HLOOKUP($A1046,#REF!,7,FALSE())&gt;2,HLOOKUP($A1046,#REF!,7,FALSE())&lt;-2),"",#REF!),"")</f>
        <v/>
      </c>
      <c r="J1046" s="0" t="str">
        <f aca="false">IFERROR(IF(OR(HLOOKUP($A1046,#REF!,8,FALSE())&gt;2,HLOOKUP($A1046,#REF!,8,FALSE())&lt;-2),"",#REF!),"")</f>
        <v/>
      </c>
      <c r="K1046" s="0" t="str">
        <f aca="false">IFERROR(IF(OR(HLOOKUP($A1046,#REF!,9,FALSE())&gt;2,HLOOKUP($A1046,#REF!,9,FALSE())&lt;-2),"",#REF!),"")</f>
        <v/>
      </c>
      <c r="L1046" s="0" t="str">
        <f aca="false">IFERROR(IF(OR(HLOOKUP($A1046,#REF!,10,FALSE())&gt;2,HLOOKUP($A1046,#REF!,10,FALSE())&lt;-2),"",#REF!),"")</f>
        <v/>
      </c>
      <c r="M1046" s="0" t="str">
        <f aca="false">IFERROR(IF(OR(HLOOKUP($A1046,#REF!,11,FALSE())&gt;2,HLOOKUP($A1046,#REF!,11,FALSE())&lt;-2),"",#REF!),"")</f>
        <v/>
      </c>
      <c r="N1046" s="0" t="str">
        <f aca="false">IFERROR(IF(OR(HLOOKUP($A1046,#REF!,12,FALSE())&gt;2,HLOOKUP($A1046,#REF!,12,FALSE())&lt;-2),"",#REF!),"")</f>
        <v/>
      </c>
      <c r="O1046" s="0" t="str">
        <f aca="false">IFERROR(IF(OR(HLOOKUP($A1046,#REF!,13,FALSE())&gt;2,HLOOKUP($A1046,#REF!,13,FALSE())&lt;-2),"",#REF!),"")</f>
        <v/>
      </c>
      <c r="P1046" s="0" t="str">
        <f aca="false">IFERROR(IF(OR(HLOOKUP($A1046,#REF!,14,FALSE())&gt;2,HLOOKUP($A1046,#REF!,14,FALSE())&lt;-2),"",#REF!),"")</f>
        <v/>
      </c>
      <c r="Q1046" s="0" t="str">
        <f aca="false">IFERROR(IF(OR(HLOOKUP($A1046,#REF!,15,FALSE())&gt;2,HLOOKUP($A1046,#REF!,15,FALSE())&lt;-2),"",#REF!),"")</f>
        <v/>
      </c>
      <c r="R1046" s="0" t="str">
        <f aca="false">IFERROR(IF(OR(HLOOKUP($A1046,#REF!,16,FALSE())&gt;2,HLOOKUP($A1046,#REF!,16,FALSE())&lt;-2),"",#REF!),"")</f>
        <v/>
      </c>
      <c r="S1046" s="0" t="str">
        <f aca="false">IFERROR(IF(OR(HLOOKUP($A1046,#REF!,17,FALSE())&gt;2,HLOOKUP($A1046,#REF!,17,FALSE())&lt;-2),"",#REF!),"")</f>
        <v/>
      </c>
      <c r="T1046" s="0" t="str">
        <f aca="false">IFERROR(IF(OR(HLOOKUP($A1046,#REF!,18,FALSE())&gt;2,HLOOKUP($A1046,#REF!,18,FALSE())&lt;-2),"",#REF!),"")</f>
        <v/>
      </c>
      <c r="U1046" s="0" t="str">
        <f aca="false">IFERROR(IF(OR(HLOOKUP($A1046,#REF!,19,FALSE())&gt;2,HLOOKUP($A1046,#REF!,19,FALSE())&lt;-2),"",#REF!),"")</f>
        <v/>
      </c>
      <c r="V1046" s="0" t="n">
        <f aca="false">IFERROR(IF(AND(X1046=0,Y1046=0),0,1),0)</f>
        <v>1</v>
      </c>
      <c r="W1046" s="3" t="str">
        <f aca="false">IFERROR(_xlfn.T.TEST(E1046:M1046,N1046:U1046,2,2),"")</f>
        <v/>
      </c>
      <c r="X1046" s="0" t="str">
        <f aca="false">IFERROR(AVERAGE(E1046:M1046),"")</f>
        <v/>
      </c>
      <c r="Y1046" s="0" t="str">
        <f aca="false">IFERROR(AVERAGE(N1046:U1046),"")</f>
        <v/>
      </c>
    </row>
    <row r="1047" customFormat="false" ht="14.5" hidden="false" customHeight="false" outlineLevel="0" collapsed="false">
      <c r="A1047" s="0" t="n">
        <v>1056</v>
      </c>
      <c r="B1047" s="0" t="s">
        <v>1091</v>
      </c>
      <c r="C1047" s="0" t="n">
        <v>60200</v>
      </c>
      <c r="D1047" s="0" t="n">
        <v>1017</v>
      </c>
      <c r="E1047" s="0" t="str">
        <f aca="false">IFERROR(IF(OR(HLOOKUP($A1047,#REF!,3,FALSE())&gt;2,HLOOKUP(A1047,#REF!,3,FALSE())&lt;-2),"",#REF!),"")</f>
        <v/>
      </c>
      <c r="F1047" s="0" t="str">
        <f aca="false">IFERROR(IF(OR(HLOOKUP($A1047,#REF!,4,FALSE())&gt;2,HLOOKUP($A1047,#REF!,4,FALSE())&lt;-2),"",#REF!),"")</f>
        <v/>
      </c>
      <c r="G1047" s="0" t="str">
        <f aca="false">IFERROR(IF(OR(HLOOKUP($A1047,#REF!,5,FALSE())&gt;2,HLOOKUP($A1047,#REF!,5,FALSE())&lt;-2),"",#REF!),"")</f>
        <v/>
      </c>
      <c r="H1047" s="0" t="str">
        <f aca="false">IFERROR(IF(OR(HLOOKUP($A1047,#REF!,6,FALSE())&gt;2,HLOOKUP($A1047,#REF!,6,FALSE())&lt;-2),"",#REF!),"")</f>
        <v/>
      </c>
      <c r="I1047" s="0" t="str">
        <f aca="false">IFERROR(IF(OR(HLOOKUP($A1047,#REF!,7,FALSE())&gt;2,HLOOKUP($A1047,#REF!,7,FALSE())&lt;-2),"",#REF!),"")</f>
        <v/>
      </c>
      <c r="J1047" s="0" t="str">
        <f aca="false">IFERROR(IF(OR(HLOOKUP($A1047,#REF!,8,FALSE())&gt;2,HLOOKUP($A1047,#REF!,8,FALSE())&lt;-2),"",#REF!),"")</f>
        <v/>
      </c>
      <c r="K1047" s="0" t="str">
        <f aca="false">IFERROR(IF(OR(HLOOKUP($A1047,#REF!,9,FALSE())&gt;2,HLOOKUP($A1047,#REF!,9,FALSE())&lt;-2),"",#REF!),"")</f>
        <v/>
      </c>
      <c r="L1047" s="0" t="str">
        <f aca="false">IFERROR(IF(OR(HLOOKUP($A1047,#REF!,10,FALSE())&gt;2,HLOOKUP($A1047,#REF!,10,FALSE())&lt;-2),"",#REF!),"")</f>
        <v/>
      </c>
      <c r="M1047" s="0" t="str">
        <f aca="false">IFERROR(IF(OR(HLOOKUP($A1047,#REF!,11,FALSE())&gt;2,HLOOKUP($A1047,#REF!,11,FALSE())&lt;-2),"",#REF!),"")</f>
        <v/>
      </c>
      <c r="N1047" s="0" t="str">
        <f aca="false">IFERROR(IF(OR(HLOOKUP($A1047,#REF!,12,FALSE())&gt;2,HLOOKUP($A1047,#REF!,12,FALSE())&lt;-2),"",#REF!),"")</f>
        <v/>
      </c>
      <c r="O1047" s="0" t="str">
        <f aca="false">IFERROR(IF(OR(HLOOKUP($A1047,#REF!,13,FALSE())&gt;2,HLOOKUP($A1047,#REF!,13,FALSE())&lt;-2),"",#REF!),"")</f>
        <v/>
      </c>
      <c r="P1047" s="0" t="str">
        <f aca="false">IFERROR(IF(OR(HLOOKUP($A1047,#REF!,14,FALSE())&gt;2,HLOOKUP($A1047,#REF!,14,FALSE())&lt;-2),"",#REF!),"")</f>
        <v/>
      </c>
      <c r="Q1047" s="0" t="str">
        <f aca="false">IFERROR(IF(OR(HLOOKUP($A1047,#REF!,15,FALSE())&gt;2,HLOOKUP($A1047,#REF!,15,FALSE())&lt;-2),"",#REF!),"")</f>
        <v/>
      </c>
      <c r="R1047" s="0" t="str">
        <f aca="false">IFERROR(IF(OR(HLOOKUP($A1047,#REF!,16,FALSE())&gt;2,HLOOKUP($A1047,#REF!,16,FALSE())&lt;-2),"",#REF!),"")</f>
        <v/>
      </c>
      <c r="S1047" s="0" t="str">
        <f aca="false">IFERROR(IF(OR(HLOOKUP($A1047,#REF!,17,FALSE())&gt;2,HLOOKUP($A1047,#REF!,17,FALSE())&lt;-2),"",#REF!),"")</f>
        <v/>
      </c>
      <c r="T1047" s="0" t="str">
        <f aca="false">IFERROR(IF(OR(HLOOKUP($A1047,#REF!,18,FALSE())&gt;2,HLOOKUP($A1047,#REF!,18,FALSE())&lt;-2),"",#REF!),"")</f>
        <v/>
      </c>
      <c r="U1047" s="0" t="str">
        <f aca="false">IFERROR(IF(OR(HLOOKUP($A1047,#REF!,19,FALSE())&gt;2,HLOOKUP($A1047,#REF!,19,FALSE())&lt;-2),"",#REF!),"")</f>
        <v/>
      </c>
      <c r="V1047" s="0" t="n">
        <f aca="false">IFERROR(IF(AND(X1047=0,Y1047=0),0,1),0)</f>
        <v>1</v>
      </c>
      <c r="W1047" s="3" t="str">
        <f aca="false">IFERROR(_xlfn.T.TEST(E1047:M1047,N1047:U1047,2,2),"")</f>
        <v/>
      </c>
      <c r="X1047" s="0" t="str">
        <f aca="false">IFERROR(AVERAGE(E1047:M1047),"")</f>
        <v/>
      </c>
      <c r="Y1047" s="0" t="str">
        <f aca="false">IFERROR(AVERAGE(N1047:U1047),"")</f>
        <v/>
      </c>
    </row>
    <row r="1048" customFormat="false" ht="14.5" hidden="false" customHeight="false" outlineLevel="0" collapsed="false">
      <c r="A1048" s="0" t="n">
        <v>1057</v>
      </c>
      <c r="B1048" s="0" t="s">
        <v>1092</v>
      </c>
      <c r="C1048" s="0" t="n">
        <v>9100</v>
      </c>
      <c r="D1048" s="0" t="n">
        <v>315</v>
      </c>
      <c r="E1048" s="0" t="str">
        <f aca="false">IFERROR(IF(OR(HLOOKUP($A1048,#REF!,3,FALSE())&gt;2,HLOOKUP(A1048,#REF!,3,FALSE())&lt;-2),"",#REF!),"")</f>
        <v/>
      </c>
      <c r="F1048" s="0" t="str">
        <f aca="false">IFERROR(IF(OR(HLOOKUP($A1048,#REF!,4,FALSE())&gt;2,HLOOKUP($A1048,#REF!,4,FALSE())&lt;-2),"",#REF!),"")</f>
        <v/>
      </c>
      <c r="G1048" s="0" t="str">
        <f aca="false">IFERROR(IF(OR(HLOOKUP($A1048,#REF!,5,FALSE())&gt;2,HLOOKUP($A1048,#REF!,5,FALSE())&lt;-2),"",#REF!),"")</f>
        <v/>
      </c>
      <c r="H1048" s="0" t="str">
        <f aca="false">IFERROR(IF(OR(HLOOKUP($A1048,#REF!,6,FALSE())&gt;2,HLOOKUP($A1048,#REF!,6,FALSE())&lt;-2),"",#REF!),"")</f>
        <v/>
      </c>
      <c r="I1048" s="0" t="str">
        <f aca="false">IFERROR(IF(OR(HLOOKUP($A1048,#REF!,7,FALSE())&gt;2,HLOOKUP($A1048,#REF!,7,FALSE())&lt;-2),"",#REF!),"")</f>
        <v/>
      </c>
      <c r="J1048" s="0" t="str">
        <f aca="false">IFERROR(IF(OR(HLOOKUP($A1048,#REF!,8,FALSE())&gt;2,HLOOKUP($A1048,#REF!,8,FALSE())&lt;-2),"",#REF!),"")</f>
        <v/>
      </c>
      <c r="K1048" s="0" t="str">
        <f aca="false">IFERROR(IF(OR(HLOOKUP($A1048,#REF!,9,FALSE())&gt;2,HLOOKUP($A1048,#REF!,9,FALSE())&lt;-2),"",#REF!),"")</f>
        <v/>
      </c>
      <c r="L1048" s="0" t="str">
        <f aca="false">IFERROR(IF(OR(HLOOKUP($A1048,#REF!,10,FALSE())&gt;2,HLOOKUP($A1048,#REF!,10,FALSE())&lt;-2),"",#REF!),"")</f>
        <v/>
      </c>
      <c r="M1048" s="0" t="str">
        <f aca="false">IFERROR(IF(OR(HLOOKUP($A1048,#REF!,11,FALSE())&gt;2,HLOOKUP($A1048,#REF!,11,FALSE())&lt;-2),"",#REF!),"")</f>
        <v/>
      </c>
      <c r="N1048" s="0" t="str">
        <f aca="false">IFERROR(IF(OR(HLOOKUP($A1048,#REF!,12,FALSE())&gt;2,HLOOKUP($A1048,#REF!,12,FALSE())&lt;-2),"",#REF!),"")</f>
        <v/>
      </c>
      <c r="O1048" s="0" t="str">
        <f aca="false">IFERROR(IF(OR(HLOOKUP($A1048,#REF!,13,FALSE())&gt;2,HLOOKUP($A1048,#REF!,13,FALSE())&lt;-2),"",#REF!),"")</f>
        <v/>
      </c>
      <c r="P1048" s="0" t="str">
        <f aca="false">IFERROR(IF(OR(HLOOKUP($A1048,#REF!,14,FALSE())&gt;2,HLOOKUP($A1048,#REF!,14,FALSE())&lt;-2),"",#REF!),"")</f>
        <v/>
      </c>
      <c r="Q1048" s="0" t="str">
        <f aca="false">IFERROR(IF(OR(HLOOKUP($A1048,#REF!,15,FALSE())&gt;2,HLOOKUP($A1048,#REF!,15,FALSE())&lt;-2),"",#REF!),"")</f>
        <v/>
      </c>
      <c r="R1048" s="0" t="str">
        <f aca="false">IFERROR(IF(OR(HLOOKUP($A1048,#REF!,16,FALSE())&gt;2,HLOOKUP($A1048,#REF!,16,FALSE())&lt;-2),"",#REF!),"")</f>
        <v/>
      </c>
      <c r="S1048" s="0" t="str">
        <f aca="false">IFERROR(IF(OR(HLOOKUP($A1048,#REF!,17,FALSE())&gt;2,HLOOKUP($A1048,#REF!,17,FALSE())&lt;-2),"",#REF!),"")</f>
        <v/>
      </c>
      <c r="T1048" s="0" t="str">
        <f aca="false">IFERROR(IF(OR(HLOOKUP($A1048,#REF!,18,FALSE())&gt;2,HLOOKUP($A1048,#REF!,18,FALSE())&lt;-2),"",#REF!),"")</f>
        <v/>
      </c>
      <c r="U1048" s="0" t="str">
        <f aca="false">IFERROR(IF(OR(HLOOKUP($A1048,#REF!,19,FALSE())&gt;2,HLOOKUP($A1048,#REF!,19,FALSE())&lt;-2),"",#REF!),"")</f>
        <v/>
      </c>
      <c r="V1048" s="0" t="n">
        <f aca="false">IFERROR(IF(AND(X1048=0,Y1048=0),0,1),0)</f>
        <v>1</v>
      </c>
      <c r="W1048" s="3" t="str">
        <f aca="false">IFERROR(_xlfn.T.TEST(E1048:M1048,N1048:U1048,2,2),"")</f>
        <v/>
      </c>
      <c r="X1048" s="0" t="str">
        <f aca="false">IFERROR(AVERAGE(E1048:M1048),"")</f>
        <v/>
      </c>
      <c r="Y1048" s="0" t="str">
        <f aca="false">IFERROR(AVERAGE(N1048:U1048),"")</f>
        <v/>
      </c>
    </row>
    <row r="1049" customFormat="false" ht="14.5" hidden="false" customHeight="false" outlineLevel="0" collapsed="false">
      <c r="A1049" s="0" t="n">
        <v>1058</v>
      </c>
      <c r="B1049" s="0" t="s">
        <v>1093</v>
      </c>
      <c r="C1049" s="0" t="n">
        <v>10200</v>
      </c>
      <c r="D1049" s="0" t="n">
        <v>677</v>
      </c>
      <c r="E1049" s="0" t="str">
        <f aca="false">IFERROR(IF(OR(HLOOKUP($A1049,#REF!,3,FALSE())&gt;2,HLOOKUP(A1049,#REF!,3,FALSE())&lt;-2),"",#REF!),"")</f>
        <v/>
      </c>
      <c r="F1049" s="0" t="str">
        <f aca="false">IFERROR(IF(OR(HLOOKUP($A1049,#REF!,4,FALSE())&gt;2,HLOOKUP($A1049,#REF!,4,FALSE())&lt;-2),"",#REF!),"")</f>
        <v/>
      </c>
      <c r="G1049" s="0" t="str">
        <f aca="false">IFERROR(IF(OR(HLOOKUP($A1049,#REF!,5,FALSE())&gt;2,HLOOKUP($A1049,#REF!,5,FALSE())&lt;-2),"",#REF!),"")</f>
        <v/>
      </c>
      <c r="H1049" s="0" t="str">
        <f aca="false">IFERROR(IF(OR(HLOOKUP($A1049,#REF!,6,FALSE())&gt;2,HLOOKUP($A1049,#REF!,6,FALSE())&lt;-2),"",#REF!),"")</f>
        <v/>
      </c>
      <c r="I1049" s="0" t="str">
        <f aca="false">IFERROR(IF(OR(HLOOKUP($A1049,#REF!,7,FALSE())&gt;2,HLOOKUP($A1049,#REF!,7,FALSE())&lt;-2),"",#REF!),"")</f>
        <v/>
      </c>
      <c r="J1049" s="0" t="str">
        <f aca="false">IFERROR(IF(OR(HLOOKUP($A1049,#REF!,8,FALSE())&gt;2,HLOOKUP($A1049,#REF!,8,FALSE())&lt;-2),"",#REF!),"")</f>
        <v/>
      </c>
      <c r="K1049" s="0" t="str">
        <f aca="false">IFERROR(IF(OR(HLOOKUP($A1049,#REF!,9,FALSE())&gt;2,HLOOKUP($A1049,#REF!,9,FALSE())&lt;-2),"",#REF!),"")</f>
        <v/>
      </c>
      <c r="L1049" s="0" t="str">
        <f aca="false">IFERROR(IF(OR(HLOOKUP($A1049,#REF!,10,FALSE())&gt;2,HLOOKUP($A1049,#REF!,10,FALSE())&lt;-2),"",#REF!),"")</f>
        <v/>
      </c>
      <c r="M1049" s="0" t="str">
        <f aca="false">IFERROR(IF(OR(HLOOKUP($A1049,#REF!,11,FALSE())&gt;2,HLOOKUP($A1049,#REF!,11,FALSE())&lt;-2),"",#REF!),"")</f>
        <v/>
      </c>
      <c r="N1049" s="0" t="str">
        <f aca="false">IFERROR(IF(OR(HLOOKUP($A1049,#REF!,12,FALSE())&gt;2,HLOOKUP($A1049,#REF!,12,FALSE())&lt;-2),"",#REF!),"")</f>
        <v/>
      </c>
      <c r="O1049" s="0" t="str">
        <f aca="false">IFERROR(IF(OR(HLOOKUP($A1049,#REF!,13,FALSE())&gt;2,HLOOKUP($A1049,#REF!,13,FALSE())&lt;-2),"",#REF!),"")</f>
        <v/>
      </c>
      <c r="P1049" s="0" t="str">
        <f aca="false">IFERROR(IF(OR(HLOOKUP($A1049,#REF!,14,FALSE())&gt;2,HLOOKUP($A1049,#REF!,14,FALSE())&lt;-2),"",#REF!),"")</f>
        <v/>
      </c>
      <c r="Q1049" s="0" t="str">
        <f aca="false">IFERROR(IF(OR(HLOOKUP($A1049,#REF!,15,FALSE())&gt;2,HLOOKUP($A1049,#REF!,15,FALSE())&lt;-2),"",#REF!),"")</f>
        <v/>
      </c>
      <c r="R1049" s="0" t="str">
        <f aca="false">IFERROR(IF(OR(HLOOKUP($A1049,#REF!,16,FALSE())&gt;2,HLOOKUP($A1049,#REF!,16,FALSE())&lt;-2),"",#REF!),"")</f>
        <v/>
      </c>
      <c r="S1049" s="0" t="str">
        <f aca="false">IFERROR(IF(OR(HLOOKUP($A1049,#REF!,17,FALSE())&gt;2,HLOOKUP($A1049,#REF!,17,FALSE())&lt;-2),"",#REF!),"")</f>
        <v/>
      </c>
      <c r="T1049" s="0" t="str">
        <f aca="false">IFERROR(IF(OR(HLOOKUP($A1049,#REF!,18,FALSE())&gt;2,HLOOKUP($A1049,#REF!,18,FALSE())&lt;-2),"",#REF!),"")</f>
        <v/>
      </c>
      <c r="U1049" s="0" t="str">
        <f aca="false">IFERROR(IF(OR(HLOOKUP($A1049,#REF!,19,FALSE())&gt;2,HLOOKUP($A1049,#REF!,19,FALSE())&lt;-2),"",#REF!),"")</f>
        <v/>
      </c>
      <c r="V1049" s="0" t="n">
        <f aca="false">IFERROR(IF(AND(X1049=0,Y1049=0),0,1),0)</f>
        <v>1</v>
      </c>
      <c r="W1049" s="3" t="str">
        <f aca="false">IFERROR(_xlfn.T.TEST(E1049:M1049,N1049:U1049,2,2),"")</f>
        <v/>
      </c>
      <c r="X1049" s="0" t="str">
        <f aca="false">IFERROR(AVERAGE(E1049:M1049),"")</f>
        <v/>
      </c>
      <c r="Y1049" s="0" t="str">
        <f aca="false">IFERROR(AVERAGE(N1049:U1049),"")</f>
        <v/>
      </c>
    </row>
    <row r="1050" customFormat="false" ht="14.5" hidden="false" customHeight="false" outlineLevel="0" collapsed="false">
      <c r="A1050" s="0" t="n">
        <v>1059</v>
      </c>
      <c r="B1050" s="0" t="s">
        <v>1094</v>
      </c>
      <c r="C1050" s="0" t="n">
        <v>32400</v>
      </c>
      <c r="D1050" s="0" t="n">
        <v>589</v>
      </c>
      <c r="E1050" s="0" t="str">
        <f aca="false">IFERROR(IF(OR(HLOOKUP($A1050,#REF!,3,FALSE())&gt;2,HLOOKUP(A1050,#REF!,3,FALSE())&lt;-2),"",#REF!),"")</f>
        <v/>
      </c>
      <c r="F1050" s="0" t="str">
        <f aca="false">IFERROR(IF(OR(HLOOKUP($A1050,#REF!,4,FALSE())&gt;2,HLOOKUP($A1050,#REF!,4,FALSE())&lt;-2),"",#REF!),"")</f>
        <v/>
      </c>
      <c r="G1050" s="0" t="str">
        <f aca="false">IFERROR(IF(OR(HLOOKUP($A1050,#REF!,5,FALSE())&gt;2,HLOOKUP($A1050,#REF!,5,FALSE())&lt;-2),"",#REF!),"")</f>
        <v/>
      </c>
      <c r="H1050" s="0" t="str">
        <f aca="false">IFERROR(IF(OR(HLOOKUP($A1050,#REF!,6,FALSE())&gt;2,HLOOKUP($A1050,#REF!,6,FALSE())&lt;-2),"",#REF!),"")</f>
        <v/>
      </c>
      <c r="I1050" s="0" t="str">
        <f aca="false">IFERROR(IF(OR(HLOOKUP($A1050,#REF!,7,FALSE())&gt;2,HLOOKUP($A1050,#REF!,7,FALSE())&lt;-2),"",#REF!),"")</f>
        <v/>
      </c>
      <c r="J1050" s="0" t="str">
        <f aca="false">IFERROR(IF(OR(HLOOKUP($A1050,#REF!,8,FALSE())&gt;2,HLOOKUP($A1050,#REF!,8,FALSE())&lt;-2),"",#REF!),"")</f>
        <v/>
      </c>
      <c r="K1050" s="0" t="str">
        <f aca="false">IFERROR(IF(OR(HLOOKUP($A1050,#REF!,9,FALSE())&gt;2,HLOOKUP($A1050,#REF!,9,FALSE())&lt;-2),"",#REF!),"")</f>
        <v/>
      </c>
      <c r="L1050" s="0" t="str">
        <f aca="false">IFERROR(IF(OR(HLOOKUP($A1050,#REF!,10,FALSE())&gt;2,HLOOKUP($A1050,#REF!,10,FALSE())&lt;-2),"",#REF!),"")</f>
        <v/>
      </c>
      <c r="M1050" s="0" t="str">
        <f aca="false">IFERROR(IF(OR(HLOOKUP($A1050,#REF!,11,FALSE())&gt;2,HLOOKUP($A1050,#REF!,11,FALSE())&lt;-2),"",#REF!),"")</f>
        <v/>
      </c>
      <c r="N1050" s="0" t="str">
        <f aca="false">IFERROR(IF(OR(HLOOKUP($A1050,#REF!,12,FALSE())&gt;2,HLOOKUP($A1050,#REF!,12,FALSE())&lt;-2),"",#REF!),"")</f>
        <v/>
      </c>
      <c r="O1050" s="0" t="str">
        <f aca="false">IFERROR(IF(OR(HLOOKUP($A1050,#REF!,13,FALSE())&gt;2,HLOOKUP($A1050,#REF!,13,FALSE())&lt;-2),"",#REF!),"")</f>
        <v/>
      </c>
      <c r="P1050" s="0" t="str">
        <f aca="false">IFERROR(IF(OR(HLOOKUP($A1050,#REF!,14,FALSE())&gt;2,HLOOKUP($A1050,#REF!,14,FALSE())&lt;-2),"",#REF!),"")</f>
        <v/>
      </c>
      <c r="Q1050" s="0" t="str">
        <f aca="false">IFERROR(IF(OR(HLOOKUP($A1050,#REF!,15,FALSE())&gt;2,HLOOKUP($A1050,#REF!,15,FALSE())&lt;-2),"",#REF!),"")</f>
        <v/>
      </c>
      <c r="R1050" s="0" t="str">
        <f aca="false">IFERROR(IF(OR(HLOOKUP($A1050,#REF!,16,FALSE())&gt;2,HLOOKUP($A1050,#REF!,16,FALSE())&lt;-2),"",#REF!),"")</f>
        <v/>
      </c>
      <c r="S1050" s="0" t="str">
        <f aca="false">IFERROR(IF(OR(HLOOKUP($A1050,#REF!,17,FALSE())&gt;2,HLOOKUP($A1050,#REF!,17,FALSE())&lt;-2),"",#REF!),"")</f>
        <v/>
      </c>
      <c r="T1050" s="0" t="str">
        <f aca="false">IFERROR(IF(OR(HLOOKUP($A1050,#REF!,18,FALSE())&gt;2,HLOOKUP($A1050,#REF!,18,FALSE())&lt;-2),"",#REF!),"")</f>
        <v/>
      </c>
      <c r="U1050" s="0" t="str">
        <f aca="false">IFERROR(IF(OR(HLOOKUP($A1050,#REF!,19,FALSE())&gt;2,HLOOKUP($A1050,#REF!,19,FALSE())&lt;-2),"",#REF!),"")</f>
        <v/>
      </c>
      <c r="V1050" s="0" t="n">
        <f aca="false">IFERROR(IF(AND(X1050=0,Y1050=0),0,1),0)</f>
        <v>1</v>
      </c>
      <c r="W1050" s="3" t="str">
        <f aca="false">IFERROR(_xlfn.T.TEST(E1050:M1050,N1050:U1050,2,2),"")</f>
        <v/>
      </c>
      <c r="X1050" s="0" t="str">
        <f aca="false">IFERROR(AVERAGE(E1050:M1050),"")</f>
        <v/>
      </c>
      <c r="Y1050" s="0" t="str">
        <f aca="false">IFERROR(AVERAGE(N1050:U1050),"")</f>
        <v/>
      </c>
    </row>
    <row r="1051" customFormat="false" ht="14.5" hidden="false" customHeight="false" outlineLevel="0" collapsed="false">
      <c r="A1051" s="0" t="n">
        <v>1060</v>
      </c>
      <c r="B1051" s="0" t="s">
        <v>1095</v>
      </c>
      <c r="C1051" s="0" t="n">
        <v>109500</v>
      </c>
      <c r="D1051" s="0" t="n">
        <v>877</v>
      </c>
      <c r="E1051" s="0" t="str">
        <f aca="false">IFERROR(IF(OR(HLOOKUP($A1051,#REF!,3,FALSE())&gt;2,HLOOKUP(A1051,#REF!,3,FALSE())&lt;-2),"",#REF!),"")</f>
        <v/>
      </c>
      <c r="F1051" s="0" t="str">
        <f aca="false">IFERROR(IF(OR(HLOOKUP($A1051,#REF!,4,FALSE())&gt;2,HLOOKUP($A1051,#REF!,4,FALSE())&lt;-2),"",#REF!),"")</f>
        <v/>
      </c>
      <c r="G1051" s="0" t="str">
        <f aca="false">IFERROR(IF(OR(HLOOKUP($A1051,#REF!,5,FALSE())&gt;2,HLOOKUP($A1051,#REF!,5,FALSE())&lt;-2),"",#REF!),"")</f>
        <v/>
      </c>
      <c r="H1051" s="0" t="str">
        <f aca="false">IFERROR(IF(OR(HLOOKUP($A1051,#REF!,6,FALSE())&gt;2,HLOOKUP($A1051,#REF!,6,FALSE())&lt;-2),"",#REF!),"")</f>
        <v/>
      </c>
      <c r="I1051" s="0" t="str">
        <f aca="false">IFERROR(IF(OR(HLOOKUP($A1051,#REF!,7,FALSE())&gt;2,HLOOKUP($A1051,#REF!,7,FALSE())&lt;-2),"",#REF!),"")</f>
        <v/>
      </c>
      <c r="J1051" s="0" t="str">
        <f aca="false">IFERROR(IF(OR(HLOOKUP($A1051,#REF!,8,FALSE())&gt;2,HLOOKUP($A1051,#REF!,8,FALSE())&lt;-2),"",#REF!),"")</f>
        <v/>
      </c>
      <c r="K1051" s="0" t="str">
        <f aca="false">IFERROR(IF(OR(HLOOKUP($A1051,#REF!,9,FALSE())&gt;2,HLOOKUP($A1051,#REF!,9,FALSE())&lt;-2),"",#REF!),"")</f>
        <v/>
      </c>
      <c r="L1051" s="0" t="str">
        <f aca="false">IFERROR(IF(OR(HLOOKUP($A1051,#REF!,10,FALSE())&gt;2,HLOOKUP($A1051,#REF!,10,FALSE())&lt;-2),"",#REF!),"")</f>
        <v/>
      </c>
      <c r="M1051" s="0" t="str">
        <f aca="false">IFERROR(IF(OR(HLOOKUP($A1051,#REF!,11,FALSE())&gt;2,HLOOKUP($A1051,#REF!,11,FALSE())&lt;-2),"",#REF!),"")</f>
        <v/>
      </c>
      <c r="N1051" s="0" t="str">
        <f aca="false">IFERROR(IF(OR(HLOOKUP($A1051,#REF!,12,FALSE())&gt;2,HLOOKUP($A1051,#REF!,12,FALSE())&lt;-2),"",#REF!),"")</f>
        <v/>
      </c>
      <c r="O1051" s="0" t="str">
        <f aca="false">IFERROR(IF(OR(HLOOKUP($A1051,#REF!,13,FALSE())&gt;2,HLOOKUP($A1051,#REF!,13,FALSE())&lt;-2),"",#REF!),"")</f>
        <v/>
      </c>
      <c r="P1051" s="0" t="str">
        <f aca="false">IFERROR(IF(OR(HLOOKUP($A1051,#REF!,14,FALSE())&gt;2,HLOOKUP($A1051,#REF!,14,FALSE())&lt;-2),"",#REF!),"")</f>
        <v/>
      </c>
      <c r="Q1051" s="0" t="str">
        <f aca="false">IFERROR(IF(OR(HLOOKUP($A1051,#REF!,15,FALSE())&gt;2,HLOOKUP($A1051,#REF!,15,FALSE())&lt;-2),"",#REF!),"")</f>
        <v/>
      </c>
      <c r="R1051" s="0" t="str">
        <f aca="false">IFERROR(IF(OR(HLOOKUP($A1051,#REF!,16,FALSE())&gt;2,HLOOKUP($A1051,#REF!,16,FALSE())&lt;-2),"",#REF!),"")</f>
        <v/>
      </c>
      <c r="S1051" s="0" t="str">
        <f aca="false">IFERROR(IF(OR(HLOOKUP($A1051,#REF!,17,FALSE())&gt;2,HLOOKUP($A1051,#REF!,17,FALSE())&lt;-2),"",#REF!),"")</f>
        <v/>
      </c>
      <c r="T1051" s="0" t="str">
        <f aca="false">IFERROR(IF(OR(HLOOKUP($A1051,#REF!,18,FALSE())&gt;2,HLOOKUP($A1051,#REF!,18,FALSE())&lt;-2),"",#REF!),"")</f>
        <v/>
      </c>
      <c r="U1051" s="0" t="str">
        <f aca="false">IFERROR(IF(OR(HLOOKUP($A1051,#REF!,19,FALSE())&gt;2,HLOOKUP($A1051,#REF!,19,FALSE())&lt;-2),"",#REF!),"")</f>
        <v/>
      </c>
      <c r="V1051" s="0" t="n">
        <f aca="false">IFERROR(IF(AND(X1051=0,Y1051=0),0,1),0)</f>
        <v>1</v>
      </c>
      <c r="W1051" s="3" t="str">
        <f aca="false">IFERROR(_xlfn.T.TEST(E1051:M1051,N1051:U1051,2,2),"")</f>
        <v/>
      </c>
      <c r="X1051" s="0" t="str">
        <f aca="false">IFERROR(AVERAGE(E1051:M1051),"")</f>
        <v/>
      </c>
      <c r="Y1051" s="0" t="str">
        <f aca="false">IFERROR(AVERAGE(N1051:U1051),"")</f>
        <v/>
      </c>
    </row>
    <row r="1052" customFormat="false" ht="14.5" hidden="false" customHeight="false" outlineLevel="0" collapsed="false">
      <c r="A1052" s="0" t="n">
        <v>1061</v>
      </c>
      <c r="B1052" s="0" t="s">
        <v>1096</v>
      </c>
      <c r="C1052" s="0" t="n">
        <v>82500</v>
      </c>
      <c r="D1052" s="0" t="n">
        <v>1100</v>
      </c>
      <c r="E1052" s="0" t="str">
        <f aca="false">IFERROR(IF(OR(HLOOKUP($A1052,#REF!,3,FALSE())&gt;2,HLOOKUP(A1052,#REF!,3,FALSE())&lt;-2),"",#REF!),"")</f>
        <v/>
      </c>
      <c r="F1052" s="0" t="str">
        <f aca="false">IFERROR(IF(OR(HLOOKUP($A1052,#REF!,4,FALSE())&gt;2,HLOOKUP($A1052,#REF!,4,FALSE())&lt;-2),"",#REF!),"")</f>
        <v/>
      </c>
      <c r="G1052" s="0" t="str">
        <f aca="false">IFERROR(IF(OR(HLOOKUP($A1052,#REF!,5,FALSE())&gt;2,HLOOKUP($A1052,#REF!,5,FALSE())&lt;-2),"",#REF!),"")</f>
        <v/>
      </c>
      <c r="H1052" s="0" t="str">
        <f aca="false">IFERROR(IF(OR(HLOOKUP($A1052,#REF!,6,FALSE())&gt;2,HLOOKUP($A1052,#REF!,6,FALSE())&lt;-2),"",#REF!),"")</f>
        <v/>
      </c>
      <c r="I1052" s="0" t="str">
        <f aca="false">IFERROR(IF(OR(HLOOKUP($A1052,#REF!,7,FALSE())&gt;2,HLOOKUP($A1052,#REF!,7,FALSE())&lt;-2),"",#REF!),"")</f>
        <v/>
      </c>
      <c r="J1052" s="0" t="str">
        <f aca="false">IFERROR(IF(OR(HLOOKUP($A1052,#REF!,8,FALSE())&gt;2,HLOOKUP($A1052,#REF!,8,FALSE())&lt;-2),"",#REF!),"")</f>
        <v/>
      </c>
      <c r="K1052" s="0" t="str">
        <f aca="false">IFERROR(IF(OR(HLOOKUP($A1052,#REF!,9,FALSE())&gt;2,HLOOKUP($A1052,#REF!,9,FALSE())&lt;-2),"",#REF!),"")</f>
        <v/>
      </c>
      <c r="L1052" s="0" t="str">
        <f aca="false">IFERROR(IF(OR(HLOOKUP($A1052,#REF!,10,FALSE())&gt;2,HLOOKUP($A1052,#REF!,10,FALSE())&lt;-2),"",#REF!),"")</f>
        <v/>
      </c>
      <c r="M1052" s="0" t="str">
        <f aca="false">IFERROR(IF(OR(HLOOKUP($A1052,#REF!,11,FALSE())&gt;2,HLOOKUP($A1052,#REF!,11,FALSE())&lt;-2),"",#REF!),"")</f>
        <v/>
      </c>
      <c r="N1052" s="0" t="str">
        <f aca="false">IFERROR(IF(OR(HLOOKUP($A1052,#REF!,12,FALSE())&gt;2,HLOOKUP($A1052,#REF!,12,FALSE())&lt;-2),"",#REF!),"")</f>
        <v/>
      </c>
      <c r="O1052" s="0" t="str">
        <f aca="false">IFERROR(IF(OR(HLOOKUP($A1052,#REF!,13,FALSE())&gt;2,HLOOKUP($A1052,#REF!,13,FALSE())&lt;-2),"",#REF!),"")</f>
        <v/>
      </c>
      <c r="P1052" s="0" t="str">
        <f aca="false">IFERROR(IF(OR(HLOOKUP($A1052,#REF!,14,FALSE())&gt;2,HLOOKUP($A1052,#REF!,14,FALSE())&lt;-2),"",#REF!),"")</f>
        <v/>
      </c>
      <c r="Q1052" s="0" t="str">
        <f aca="false">IFERROR(IF(OR(HLOOKUP($A1052,#REF!,15,FALSE())&gt;2,HLOOKUP($A1052,#REF!,15,FALSE())&lt;-2),"",#REF!),"")</f>
        <v/>
      </c>
      <c r="R1052" s="0" t="str">
        <f aca="false">IFERROR(IF(OR(HLOOKUP($A1052,#REF!,16,FALSE())&gt;2,HLOOKUP($A1052,#REF!,16,FALSE())&lt;-2),"",#REF!),"")</f>
        <v/>
      </c>
      <c r="S1052" s="0" t="str">
        <f aca="false">IFERROR(IF(OR(HLOOKUP($A1052,#REF!,17,FALSE())&gt;2,HLOOKUP($A1052,#REF!,17,FALSE())&lt;-2),"",#REF!),"")</f>
        <v/>
      </c>
      <c r="T1052" s="0" t="str">
        <f aca="false">IFERROR(IF(OR(HLOOKUP($A1052,#REF!,18,FALSE())&gt;2,HLOOKUP($A1052,#REF!,18,FALSE())&lt;-2),"",#REF!),"")</f>
        <v/>
      </c>
      <c r="U1052" s="0" t="str">
        <f aca="false">IFERROR(IF(OR(HLOOKUP($A1052,#REF!,19,FALSE())&gt;2,HLOOKUP($A1052,#REF!,19,FALSE())&lt;-2),"",#REF!),"")</f>
        <v/>
      </c>
      <c r="V1052" s="0" t="n">
        <f aca="false">IFERROR(IF(AND(X1052=0,Y1052=0),0,1),0)</f>
        <v>1</v>
      </c>
      <c r="W1052" s="3" t="str">
        <f aca="false">IFERROR(_xlfn.T.TEST(E1052:M1052,N1052:U1052,2,2),"")</f>
        <v/>
      </c>
      <c r="X1052" s="0" t="str">
        <f aca="false">IFERROR(AVERAGE(E1052:M1052),"")</f>
        <v/>
      </c>
      <c r="Y1052" s="0" t="str">
        <f aca="false">IFERROR(AVERAGE(N1052:U1052),"")</f>
        <v/>
      </c>
    </row>
    <row r="1053" customFormat="false" ht="14.5" hidden="false" customHeight="false" outlineLevel="0" collapsed="false">
      <c r="A1053" s="0" t="n">
        <v>1062</v>
      </c>
      <c r="B1053" s="0" t="s">
        <v>1097</v>
      </c>
      <c r="C1053" s="0" t="n">
        <v>4800</v>
      </c>
      <c r="D1053" s="0" t="n">
        <v>329</v>
      </c>
      <c r="E1053" s="0" t="str">
        <f aca="false">IFERROR(IF(OR(HLOOKUP($A1053,#REF!,3,FALSE())&gt;2,HLOOKUP(A1053,#REF!,3,FALSE())&lt;-2),"",#REF!),"")</f>
        <v/>
      </c>
      <c r="F1053" s="0" t="str">
        <f aca="false">IFERROR(IF(OR(HLOOKUP($A1053,#REF!,4,FALSE())&gt;2,HLOOKUP($A1053,#REF!,4,FALSE())&lt;-2),"",#REF!),"")</f>
        <v/>
      </c>
      <c r="G1053" s="0" t="str">
        <f aca="false">IFERROR(IF(OR(HLOOKUP($A1053,#REF!,5,FALSE())&gt;2,HLOOKUP($A1053,#REF!,5,FALSE())&lt;-2),"",#REF!),"")</f>
        <v/>
      </c>
      <c r="H1053" s="0" t="str">
        <f aca="false">IFERROR(IF(OR(HLOOKUP($A1053,#REF!,6,FALSE())&gt;2,HLOOKUP($A1053,#REF!,6,FALSE())&lt;-2),"",#REF!),"")</f>
        <v/>
      </c>
      <c r="I1053" s="0" t="str">
        <f aca="false">IFERROR(IF(OR(HLOOKUP($A1053,#REF!,7,FALSE())&gt;2,HLOOKUP($A1053,#REF!,7,FALSE())&lt;-2),"",#REF!),"")</f>
        <v/>
      </c>
      <c r="J1053" s="0" t="str">
        <f aca="false">IFERROR(IF(OR(HLOOKUP($A1053,#REF!,8,FALSE())&gt;2,HLOOKUP($A1053,#REF!,8,FALSE())&lt;-2),"",#REF!),"")</f>
        <v/>
      </c>
      <c r="K1053" s="0" t="str">
        <f aca="false">IFERROR(IF(OR(HLOOKUP($A1053,#REF!,9,FALSE())&gt;2,HLOOKUP($A1053,#REF!,9,FALSE())&lt;-2),"",#REF!),"")</f>
        <v/>
      </c>
      <c r="L1053" s="0" t="str">
        <f aca="false">IFERROR(IF(OR(HLOOKUP($A1053,#REF!,10,FALSE())&gt;2,HLOOKUP($A1053,#REF!,10,FALSE())&lt;-2),"",#REF!),"")</f>
        <v/>
      </c>
      <c r="M1053" s="0" t="str">
        <f aca="false">IFERROR(IF(OR(HLOOKUP($A1053,#REF!,11,FALSE())&gt;2,HLOOKUP($A1053,#REF!,11,FALSE())&lt;-2),"",#REF!),"")</f>
        <v/>
      </c>
      <c r="N1053" s="0" t="str">
        <f aca="false">IFERROR(IF(OR(HLOOKUP($A1053,#REF!,12,FALSE())&gt;2,HLOOKUP($A1053,#REF!,12,FALSE())&lt;-2),"",#REF!),"")</f>
        <v/>
      </c>
      <c r="O1053" s="0" t="str">
        <f aca="false">IFERROR(IF(OR(HLOOKUP($A1053,#REF!,13,FALSE())&gt;2,HLOOKUP($A1053,#REF!,13,FALSE())&lt;-2),"",#REF!),"")</f>
        <v/>
      </c>
      <c r="P1053" s="0" t="str">
        <f aca="false">IFERROR(IF(OR(HLOOKUP($A1053,#REF!,14,FALSE())&gt;2,HLOOKUP($A1053,#REF!,14,FALSE())&lt;-2),"",#REF!),"")</f>
        <v/>
      </c>
      <c r="Q1053" s="0" t="str">
        <f aca="false">IFERROR(IF(OR(HLOOKUP($A1053,#REF!,15,FALSE())&gt;2,HLOOKUP($A1053,#REF!,15,FALSE())&lt;-2),"",#REF!),"")</f>
        <v/>
      </c>
      <c r="R1053" s="0" t="str">
        <f aca="false">IFERROR(IF(OR(HLOOKUP($A1053,#REF!,16,FALSE())&gt;2,HLOOKUP($A1053,#REF!,16,FALSE())&lt;-2),"",#REF!),"")</f>
        <v/>
      </c>
      <c r="S1053" s="0" t="str">
        <f aca="false">IFERROR(IF(OR(HLOOKUP($A1053,#REF!,17,FALSE())&gt;2,HLOOKUP($A1053,#REF!,17,FALSE())&lt;-2),"",#REF!),"")</f>
        <v/>
      </c>
      <c r="T1053" s="0" t="str">
        <f aca="false">IFERROR(IF(OR(HLOOKUP($A1053,#REF!,18,FALSE())&gt;2,HLOOKUP($A1053,#REF!,18,FALSE())&lt;-2),"",#REF!),"")</f>
        <v/>
      </c>
      <c r="U1053" s="0" t="str">
        <f aca="false">IFERROR(IF(OR(HLOOKUP($A1053,#REF!,19,FALSE())&gt;2,HLOOKUP($A1053,#REF!,19,FALSE())&lt;-2),"",#REF!),"")</f>
        <v/>
      </c>
      <c r="V1053" s="0" t="n">
        <f aca="false">IFERROR(IF(AND(X1053=0,Y1053=0),0,1),0)</f>
        <v>1</v>
      </c>
      <c r="W1053" s="3" t="str">
        <f aca="false">IFERROR(_xlfn.T.TEST(E1053:M1053,N1053:U1053,2,2),"")</f>
        <v/>
      </c>
      <c r="X1053" s="0" t="str">
        <f aca="false">IFERROR(AVERAGE(E1053:M1053),"")</f>
        <v/>
      </c>
      <c r="Y1053" s="0" t="str">
        <f aca="false">IFERROR(AVERAGE(N1053:U1053),"")</f>
        <v/>
      </c>
    </row>
    <row r="1054" customFormat="false" ht="14.5" hidden="false" customHeight="false" outlineLevel="0" collapsed="false">
      <c r="A1054" s="0" t="n">
        <v>1063</v>
      </c>
      <c r="B1054" s="0" t="s">
        <v>1098</v>
      </c>
      <c r="C1054" s="0" t="n">
        <v>117300</v>
      </c>
      <c r="D1054" s="0" t="n">
        <v>1032</v>
      </c>
      <c r="E1054" s="0" t="str">
        <f aca="false">IFERROR(IF(OR(HLOOKUP($A1054,#REF!,3,FALSE())&gt;2,HLOOKUP(A1054,#REF!,3,FALSE())&lt;-2),"",#REF!),"")</f>
        <v/>
      </c>
      <c r="F1054" s="0" t="str">
        <f aca="false">IFERROR(IF(OR(HLOOKUP($A1054,#REF!,4,FALSE())&gt;2,HLOOKUP($A1054,#REF!,4,FALSE())&lt;-2),"",#REF!),"")</f>
        <v/>
      </c>
      <c r="G1054" s="0" t="str">
        <f aca="false">IFERROR(IF(OR(HLOOKUP($A1054,#REF!,5,FALSE())&gt;2,HLOOKUP($A1054,#REF!,5,FALSE())&lt;-2),"",#REF!),"")</f>
        <v/>
      </c>
      <c r="H1054" s="0" t="str">
        <f aca="false">IFERROR(IF(OR(HLOOKUP($A1054,#REF!,6,FALSE())&gt;2,HLOOKUP($A1054,#REF!,6,FALSE())&lt;-2),"",#REF!),"")</f>
        <v/>
      </c>
      <c r="I1054" s="0" t="str">
        <f aca="false">IFERROR(IF(OR(HLOOKUP($A1054,#REF!,7,FALSE())&gt;2,HLOOKUP($A1054,#REF!,7,FALSE())&lt;-2),"",#REF!),"")</f>
        <v/>
      </c>
      <c r="J1054" s="0" t="str">
        <f aca="false">IFERROR(IF(OR(HLOOKUP($A1054,#REF!,8,FALSE())&gt;2,HLOOKUP($A1054,#REF!,8,FALSE())&lt;-2),"",#REF!),"")</f>
        <v/>
      </c>
      <c r="K1054" s="0" t="str">
        <f aca="false">IFERROR(IF(OR(HLOOKUP($A1054,#REF!,9,FALSE())&gt;2,HLOOKUP($A1054,#REF!,9,FALSE())&lt;-2),"",#REF!),"")</f>
        <v/>
      </c>
      <c r="L1054" s="0" t="str">
        <f aca="false">IFERROR(IF(OR(HLOOKUP($A1054,#REF!,10,FALSE())&gt;2,HLOOKUP($A1054,#REF!,10,FALSE())&lt;-2),"",#REF!),"")</f>
        <v/>
      </c>
      <c r="M1054" s="0" t="str">
        <f aca="false">IFERROR(IF(OR(HLOOKUP($A1054,#REF!,11,FALSE())&gt;2,HLOOKUP($A1054,#REF!,11,FALSE())&lt;-2),"",#REF!),"")</f>
        <v/>
      </c>
      <c r="N1054" s="0" t="str">
        <f aca="false">IFERROR(IF(OR(HLOOKUP($A1054,#REF!,12,FALSE())&gt;2,HLOOKUP($A1054,#REF!,12,FALSE())&lt;-2),"",#REF!),"")</f>
        <v/>
      </c>
      <c r="O1054" s="0" t="str">
        <f aca="false">IFERROR(IF(OR(HLOOKUP($A1054,#REF!,13,FALSE())&gt;2,HLOOKUP($A1054,#REF!,13,FALSE())&lt;-2),"",#REF!),"")</f>
        <v/>
      </c>
      <c r="P1054" s="0" t="str">
        <f aca="false">IFERROR(IF(OR(HLOOKUP($A1054,#REF!,14,FALSE())&gt;2,HLOOKUP($A1054,#REF!,14,FALSE())&lt;-2),"",#REF!),"")</f>
        <v/>
      </c>
      <c r="Q1054" s="0" t="str">
        <f aca="false">IFERROR(IF(OR(HLOOKUP($A1054,#REF!,15,FALSE())&gt;2,HLOOKUP($A1054,#REF!,15,FALSE())&lt;-2),"",#REF!),"")</f>
        <v/>
      </c>
      <c r="R1054" s="0" t="str">
        <f aca="false">IFERROR(IF(OR(HLOOKUP($A1054,#REF!,16,FALSE())&gt;2,HLOOKUP($A1054,#REF!,16,FALSE())&lt;-2),"",#REF!),"")</f>
        <v/>
      </c>
      <c r="S1054" s="0" t="str">
        <f aca="false">IFERROR(IF(OR(HLOOKUP($A1054,#REF!,17,FALSE())&gt;2,HLOOKUP($A1054,#REF!,17,FALSE())&lt;-2),"",#REF!),"")</f>
        <v/>
      </c>
      <c r="T1054" s="0" t="str">
        <f aca="false">IFERROR(IF(OR(HLOOKUP($A1054,#REF!,18,FALSE())&gt;2,HLOOKUP($A1054,#REF!,18,FALSE())&lt;-2),"",#REF!),"")</f>
        <v/>
      </c>
      <c r="U1054" s="0" t="str">
        <f aca="false">IFERROR(IF(OR(HLOOKUP($A1054,#REF!,19,FALSE())&gt;2,HLOOKUP($A1054,#REF!,19,FALSE())&lt;-2),"",#REF!),"")</f>
        <v/>
      </c>
      <c r="V1054" s="0" t="n">
        <f aca="false">IFERROR(IF(AND(X1054=0,Y1054=0),0,1),0)</f>
        <v>1</v>
      </c>
      <c r="W1054" s="3" t="str">
        <f aca="false">IFERROR(_xlfn.T.TEST(E1054:M1054,N1054:U1054,2,2),"")</f>
        <v/>
      </c>
      <c r="X1054" s="0" t="str">
        <f aca="false">IFERROR(AVERAGE(E1054:M1054),"")</f>
        <v/>
      </c>
      <c r="Y1054" s="0" t="str">
        <f aca="false">IFERROR(AVERAGE(N1054:U1054),"")</f>
        <v/>
      </c>
    </row>
    <row r="1055" customFormat="false" ht="14.5" hidden="false" customHeight="false" outlineLevel="0" collapsed="false">
      <c r="A1055" s="0" t="n">
        <v>1064</v>
      </c>
      <c r="B1055" s="0" t="s">
        <v>1099</v>
      </c>
      <c r="C1055" s="0" t="n">
        <v>60600</v>
      </c>
      <c r="D1055" s="0" t="n">
        <v>1017</v>
      </c>
      <c r="E1055" s="0" t="str">
        <f aca="false">IFERROR(IF(OR(HLOOKUP($A1055,#REF!,3,FALSE())&gt;2,HLOOKUP(A1055,#REF!,3,FALSE())&lt;-2),"",#REF!),"")</f>
        <v/>
      </c>
      <c r="F1055" s="0" t="str">
        <f aca="false">IFERROR(IF(OR(HLOOKUP($A1055,#REF!,4,FALSE())&gt;2,HLOOKUP($A1055,#REF!,4,FALSE())&lt;-2),"",#REF!),"")</f>
        <v/>
      </c>
      <c r="G1055" s="0" t="str">
        <f aca="false">IFERROR(IF(OR(HLOOKUP($A1055,#REF!,5,FALSE())&gt;2,HLOOKUP($A1055,#REF!,5,FALSE())&lt;-2),"",#REF!),"")</f>
        <v/>
      </c>
      <c r="H1055" s="0" t="str">
        <f aca="false">IFERROR(IF(OR(HLOOKUP($A1055,#REF!,6,FALSE())&gt;2,HLOOKUP($A1055,#REF!,6,FALSE())&lt;-2),"",#REF!),"")</f>
        <v/>
      </c>
      <c r="I1055" s="0" t="str">
        <f aca="false">IFERROR(IF(OR(HLOOKUP($A1055,#REF!,7,FALSE())&gt;2,HLOOKUP($A1055,#REF!,7,FALSE())&lt;-2),"",#REF!),"")</f>
        <v/>
      </c>
      <c r="J1055" s="0" t="str">
        <f aca="false">IFERROR(IF(OR(HLOOKUP($A1055,#REF!,8,FALSE())&gt;2,HLOOKUP($A1055,#REF!,8,FALSE())&lt;-2),"",#REF!),"")</f>
        <v/>
      </c>
      <c r="K1055" s="0" t="str">
        <f aca="false">IFERROR(IF(OR(HLOOKUP($A1055,#REF!,9,FALSE())&gt;2,HLOOKUP($A1055,#REF!,9,FALSE())&lt;-2),"",#REF!),"")</f>
        <v/>
      </c>
      <c r="L1055" s="0" t="str">
        <f aca="false">IFERROR(IF(OR(HLOOKUP($A1055,#REF!,10,FALSE())&gt;2,HLOOKUP($A1055,#REF!,10,FALSE())&lt;-2),"",#REF!),"")</f>
        <v/>
      </c>
      <c r="M1055" s="0" t="str">
        <f aca="false">IFERROR(IF(OR(HLOOKUP($A1055,#REF!,11,FALSE())&gt;2,HLOOKUP($A1055,#REF!,11,FALSE())&lt;-2),"",#REF!),"")</f>
        <v/>
      </c>
      <c r="N1055" s="0" t="str">
        <f aca="false">IFERROR(IF(OR(HLOOKUP($A1055,#REF!,12,FALSE())&gt;2,HLOOKUP($A1055,#REF!,12,FALSE())&lt;-2),"",#REF!),"")</f>
        <v/>
      </c>
      <c r="O1055" s="0" t="str">
        <f aca="false">IFERROR(IF(OR(HLOOKUP($A1055,#REF!,13,FALSE())&gt;2,HLOOKUP($A1055,#REF!,13,FALSE())&lt;-2),"",#REF!),"")</f>
        <v/>
      </c>
      <c r="P1055" s="0" t="str">
        <f aca="false">IFERROR(IF(OR(HLOOKUP($A1055,#REF!,14,FALSE())&gt;2,HLOOKUP($A1055,#REF!,14,FALSE())&lt;-2),"",#REF!),"")</f>
        <v/>
      </c>
      <c r="Q1055" s="0" t="str">
        <f aca="false">IFERROR(IF(OR(HLOOKUP($A1055,#REF!,15,FALSE())&gt;2,HLOOKUP($A1055,#REF!,15,FALSE())&lt;-2),"",#REF!),"")</f>
        <v/>
      </c>
      <c r="R1055" s="0" t="str">
        <f aca="false">IFERROR(IF(OR(HLOOKUP($A1055,#REF!,16,FALSE())&gt;2,HLOOKUP($A1055,#REF!,16,FALSE())&lt;-2),"",#REF!),"")</f>
        <v/>
      </c>
      <c r="S1055" s="0" t="str">
        <f aca="false">IFERROR(IF(OR(HLOOKUP($A1055,#REF!,17,FALSE())&gt;2,HLOOKUP($A1055,#REF!,17,FALSE())&lt;-2),"",#REF!),"")</f>
        <v/>
      </c>
      <c r="T1055" s="0" t="str">
        <f aca="false">IFERROR(IF(OR(HLOOKUP($A1055,#REF!,18,FALSE())&gt;2,HLOOKUP($A1055,#REF!,18,FALSE())&lt;-2),"",#REF!),"")</f>
        <v/>
      </c>
      <c r="U1055" s="0" t="str">
        <f aca="false">IFERROR(IF(OR(HLOOKUP($A1055,#REF!,19,FALSE())&gt;2,HLOOKUP($A1055,#REF!,19,FALSE())&lt;-2),"",#REF!),"")</f>
        <v/>
      </c>
      <c r="V1055" s="0" t="n">
        <f aca="false">IFERROR(IF(AND(X1055=0,Y1055=0),0,1),0)</f>
        <v>1</v>
      </c>
      <c r="W1055" s="3" t="str">
        <f aca="false">IFERROR(_xlfn.T.TEST(E1055:M1055,N1055:U1055,2,2),"")</f>
        <v/>
      </c>
      <c r="X1055" s="0" t="str">
        <f aca="false">IFERROR(AVERAGE(E1055:M1055),"")</f>
        <v/>
      </c>
      <c r="Y1055" s="0" t="str">
        <f aca="false">IFERROR(AVERAGE(N1055:U1055),"")</f>
        <v/>
      </c>
    </row>
    <row r="1056" customFormat="false" ht="14.5" hidden="false" customHeight="false" outlineLevel="0" collapsed="false">
      <c r="A1056" s="0" t="n">
        <v>1065</v>
      </c>
      <c r="B1056" s="0" t="s">
        <v>1100</v>
      </c>
      <c r="C1056" s="0" t="n">
        <v>84600</v>
      </c>
      <c r="D1056" s="0" t="n">
        <v>343</v>
      </c>
      <c r="E1056" s="0" t="str">
        <f aca="false">IFERROR(IF(OR(HLOOKUP($A1056,#REF!,3,FALSE())&gt;2,HLOOKUP(A1056,#REF!,3,FALSE())&lt;-2),"",#REF!),"")</f>
        <v/>
      </c>
      <c r="F1056" s="0" t="str">
        <f aca="false">IFERROR(IF(OR(HLOOKUP($A1056,#REF!,4,FALSE())&gt;2,HLOOKUP($A1056,#REF!,4,FALSE())&lt;-2),"",#REF!),"")</f>
        <v/>
      </c>
      <c r="G1056" s="0" t="str">
        <f aca="false">IFERROR(IF(OR(HLOOKUP($A1056,#REF!,5,FALSE())&gt;2,HLOOKUP($A1056,#REF!,5,FALSE())&lt;-2),"",#REF!),"")</f>
        <v/>
      </c>
      <c r="H1056" s="0" t="str">
        <f aca="false">IFERROR(IF(OR(HLOOKUP($A1056,#REF!,6,FALSE())&gt;2,HLOOKUP($A1056,#REF!,6,FALSE())&lt;-2),"",#REF!),"")</f>
        <v/>
      </c>
      <c r="I1056" s="0" t="str">
        <f aca="false">IFERROR(IF(OR(HLOOKUP($A1056,#REF!,7,FALSE())&gt;2,HLOOKUP($A1056,#REF!,7,FALSE())&lt;-2),"",#REF!),"")</f>
        <v/>
      </c>
      <c r="J1056" s="0" t="str">
        <f aca="false">IFERROR(IF(OR(HLOOKUP($A1056,#REF!,8,FALSE())&gt;2,HLOOKUP($A1056,#REF!,8,FALSE())&lt;-2),"",#REF!),"")</f>
        <v/>
      </c>
      <c r="K1056" s="0" t="str">
        <f aca="false">IFERROR(IF(OR(HLOOKUP($A1056,#REF!,9,FALSE())&gt;2,HLOOKUP($A1056,#REF!,9,FALSE())&lt;-2),"",#REF!),"")</f>
        <v/>
      </c>
      <c r="L1056" s="0" t="str">
        <f aca="false">IFERROR(IF(OR(HLOOKUP($A1056,#REF!,10,FALSE())&gt;2,HLOOKUP($A1056,#REF!,10,FALSE())&lt;-2),"",#REF!),"")</f>
        <v/>
      </c>
      <c r="M1056" s="0" t="str">
        <f aca="false">IFERROR(IF(OR(HLOOKUP($A1056,#REF!,11,FALSE())&gt;2,HLOOKUP($A1056,#REF!,11,FALSE())&lt;-2),"",#REF!),"")</f>
        <v/>
      </c>
      <c r="N1056" s="0" t="str">
        <f aca="false">IFERROR(IF(OR(HLOOKUP($A1056,#REF!,12,FALSE())&gt;2,HLOOKUP($A1056,#REF!,12,FALSE())&lt;-2),"",#REF!),"")</f>
        <v/>
      </c>
      <c r="O1056" s="0" t="str">
        <f aca="false">IFERROR(IF(OR(HLOOKUP($A1056,#REF!,13,FALSE())&gt;2,HLOOKUP($A1056,#REF!,13,FALSE())&lt;-2),"",#REF!),"")</f>
        <v/>
      </c>
      <c r="P1056" s="0" t="str">
        <f aca="false">IFERROR(IF(OR(HLOOKUP($A1056,#REF!,14,FALSE())&gt;2,HLOOKUP($A1056,#REF!,14,FALSE())&lt;-2),"",#REF!),"")</f>
        <v/>
      </c>
      <c r="Q1056" s="0" t="str">
        <f aca="false">IFERROR(IF(OR(HLOOKUP($A1056,#REF!,15,FALSE())&gt;2,HLOOKUP($A1056,#REF!,15,FALSE())&lt;-2),"",#REF!),"")</f>
        <v/>
      </c>
      <c r="R1056" s="0" t="str">
        <f aca="false">IFERROR(IF(OR(HLOOKUP($A1056,#REF!,16,FALSE())&gt;2,HLOOKUP($A1056,#REF!,16,FALSE())&lt;-2),"",#REF!),"")</f>
        <v/>
      </c>
      <c r="S1056" s="0" t="str">
        <f aca="false">IFERROR(IF(OR(HLOOKUP($A1056,#REF!,17,FALSE())&gt;2,HLOOKUP($A1056,#REF!,17,FALSE())&lt;-2),"",#REF!),"")</f>
        <v/>
      </c>
      <c r="T1056" s="0" t="str">
        <f aca="false">IFERROR(IF(OR(HLOOKUP($A1056,#REF!,18,FALSE())&gt;2,HLOOKUP($A1056,#REF!,18,FALSE())&lt;-2),"",#REF!),"")</f>
        <v/>
      </c>
      <c r="U1056" s="0" t="str">
        <f aca="false">IFERROR(IF(OR(HLOOKUP($A1056,#REF!,19,FALSE())&gt;2,HLOOKUP($A1056,#REF!,19,FALSE())&lt;-2),"",#REF!),"")</f>
        <v/>
      </c>
      <c r="V1056" s="0" t="n">
        <f aca="false">IFERROR(IF(AND(X1056=0,Y1056=0),0,1),0)</f>
        <v>1</v>
      </c>
      <c r="W1056" s="3" t="str">
        <f aca="false">IFERROR(_xlfn.T.TEST(E1056:M1056,N1056:U1056,2,2),"")</f>
        <v/>
      </c>
      <c r="X1056" s="0" t="str">
        <f aca="false">IFERROR(AVERAGE(E1056:M1056),"")</f>
        <v/>
      </c>
      <c r="Y1056" s="0" t="str">
        <f aca="false">IFERROR(AVERAGE(N1056:U1056),"")</f>
        <v/>
      </c>
    </row>
    <row r="1057" customFormat="false" ht="14.5" hidden="false" customHeight="false" outlineLevel="0" collapsed="false">
      <c r="A1057" s="0" t="n">
        <v>1066</v>
      </c>
      <c r="B1057" s="0" t="s">
        <v>1101</v>
      </c>
      <c r="C1057" s="0" t="n">
        <v>15000</v>
      </c>
      <c r="D1057" s="0" t="n">
        <v>394</v>
      </c>
      <c r="E1057" s="0" t="str">
        <f aca="false">IFERROR(IF(OR(HLOOKUP($A1057,#REF!,3,FALSE())&gt;2,HLOOKUP(A1057,#REF!,3,FALSE())&lt;-2),"",#REF!),"")</f>
        <v/>
      </c>
      <c r="F1057" s="0" t="str">
        <f aca="false">IFERROR(IF(OR(HLOOKUP($A1057,#REF!,4,FALSE())&gt;2,HLOOKUP($A1057,#REF!,4,FALSE())&lt;-2),"",#REF!),"")</f>
        <v/>
      </c>
      <c r="G1057" s="0" t="str">
        <f aca="false">IFERROR(IF(OR(HLOOKUP($A1057,#REF!,5,FALSE())&gt;2,HLOOKUP($A1057,#REF!,5,FALSE())&lt;-2),"",#REF!),"")</f>
        <v/>
      </c>
      <c r="H1057" s="0" t="str">
        <f aca="false">IFERROR(IF(OR(HLOOKUP($A1057,#REF!,6,FALSE())&gt;2,HLOOKUP($A1057,#REF!,6,FALSE())&lt;-2),"",#REF!),"")</f>
        <v/>
      </c>
      <c r="I1057" s="0" t="str">
        <f aca="false">IFERROR(IF(OR(HLOOKUP($A1057,#REF!,7,FALSE())&gt;2,HLOOKUP($A1057,#REF!,7,FALSE())&lt;-2),"",#REF!),"")</f>
        <v/>
      </c>
      <c r="J1057" s="0" t="str">
        <f aca="false">IFERROR(IF(OR(HLOOKUP($A1057,#REF!,8,FALSE())&gt;2,HLOOKUP($A1057,#REF!,8,FALSE())&lt;-2),"",#REF!),"")</f>
        <v/>
      </c>
      <c r="K1057" s="0" t="str">
        <f aca="false">IFERROR(IF(OR(HLOOKUP($A1057,#REF!,9,FALSE())&gt;2,HLOOKUP($A1057,#REF!,9,FALSE())&lt;-2),"",#REF!),"")</f>
        <v/>
      </c>
      <c r="L1057" s="0" t="str">
        <f aca="false">IFERROR(IF(OR(HLOOKUP($A1057,#REF!,10,FALSE())&gt;2,HLOOKUP($A1057,#REF!,10,FALSE())&lt;-2),"",#REF!),"")</f>
        <v/>
      </c>
      <c r="M1057" s="0" t="str">
        <f aca="false">IFERROR(IF(OR(HLOOKUP($A1057,#REF!,11,FALSE())&gt;2,HLOOKUP($A1057,#REF!,11,FALSE())&lt;-2),"",#REF!),"")</f>
        <v/>
      </c>
      <c r="N1057" s="0" t="str">
        <f aca="false">IFERROR(IF(OR(HLOOKUP($A1057,#REF!,12,FALSE())&gt;2,HLOOKUP($A1057,#REF!,12,FALSE())&lt;-2),"",#REF!),"")</f>
        <v/>
      </c>
      <c r="O1057" s="0" t="str">
        <f aca="false">IFERROR(IF(OR(HLOOKUP($A1057,#REF!,13,FALSE())&gt;2,HLOOKUP($A1057,#REF!,13,FALSE())&lt;-2),"",#REF!),"")</f>
        <v/>
      </c>
      <c r="P1057" s="0" t="str">
        <f aca="false">IFERROR(IF(OR(HLOOKUP($A1057,#REF!,14,FALSE())&gt;2,HLOOKUP($A1057,#REF!,14,FALSE())&lt;-2),"",#REF!),"")</f>
        <v/>
      </c>
      <c r="Q1057" s="0" t="str">
        <f aca="false">IFERROR(IF(OR(HLOOKUP($A1057,#REF!,15,FALSE())&gt;2,HLOOKUP($A1057,#REF!,15,FALSE())&lt;-2),"",#REF!),"")</f>
        <v/>
      </c>
      <c r="R1057" s="0" t="str">
        <f aca="false">IFERROR(IF(OR(HLOOKUP($A1057,#REF!,16,FALSE())&gt;2,HLOOKUP($A1057,#REF!,16,FALSE())&lt;-2),"",#REF!),"")</f>
        <v/>
      </c>
      <c r="S1057" s="0" t="str">
        <f aca="false">IFERROR(IF(OR(HLOOKUP($A1057,#REF!,17,FALSE())&gt;2,HLOOKUP($A1057,#REF!,17,FALSE())&lt;-2),"",#REF!),"")</f>
        <v/>
      </c>
      <c r="T1057" s="0" t="str">
        <f aca="false">IFERROR(IF(OR(HLOOKUP($A1057,#REF!,18,FALSE())&gt;2,HLOOKUP($A1057,#REF!,18,FALSE())&lt;-2),"",#REF!),"")</f>
        <v/>
      </c>
      <c r="U1057" s="0" t="str">
        <f aca="false">IFERROR(IF(OR(HLOOKUP($A1057,#REF!,19,FALSE())&gt;2,HLOOKUP($A1057,#REF!,19,FALSE())&lt;-2),"",#REF!),"")</f>
        <v/>
      </c>
      <c r="V1057" s="0" t="n">
        <f aca="false">IFERROR(IF(AND(X1057=0,Y1057=0),0,1),0)</f>
        <v>1</v>
      </c>
      <c r="W1057" s="3" t="str">
        <f aca="false">IFERROR(_xlfn.T.TEST(E1057:M1057,N1057:U1057,2,2),"")</f>
        <v/>
      </c>
      <c r="X1057" s="0" t="str">
        <f aca="false">IFERROR(AVERAGE(E1057:M1057),"")</f>
        <v/>
      </c>
      <c r="Y1057" s="0" t="str">
        <f aca="false">IFERROR(AVERAGE(N1057:U1057),"")</f>
        <v/>
      </c>
    </row>
    <row r="1058" customFormat="false" ht="14.5" hidden="false" customHeight="false" outlineLevel="0" collapsed="false">
      <c r="A1058" s="0" t="n">
        <v>1067</v>
      </c>
      <c r="B1058" s="0" t="s">
        <v>1102</v>
      </c>
      <c r="C1058" s="0" t="n">
        <v>32700</v>
      </c>
      <c r="D1058" s="0" t="n">
        <v>589</v>
      </c>
      <c r="E1058" s="0" t="str">
        <f aca="false">IFERROR(IF(OR(HLOOKUP($A1058,#REF!,3,FALSE())&gt;2,HLOOKUP(A1058,#REF!,3,FALSE())&lt;-2),"",#REF!),"")</f>
        <v/>
      </c>
      <c r="F1058" s="0" t="str">
        <f aca="false">IFERROR(IF(OR(HLOOKUP($A1058,#REF!,4,FALSE())&gt;2,HLOOKUP($A1058,#REF!,4,FALSE())&lt;-2),"",#REF!),"")</f>
        <v/>
      </c>
      <c r="G1058" s="0" t="str">
        <f aca="false">IFERROR(IF(OR(HLOOKUP($A1058,#REF!,5,FALSE())&gt;2,HLOOKUP($A1058,#REF!,5,FALSE())&lt;-2),"",#REF!),"")</f>
        <v/>
      </c>
      <c r="H1058" s="0" t="str">
        <f aca="false">IFERROR(IF(OR(HLOOKUP($A1058,#REF!,6,FALSE())&gt;2,HLOOKUP($A1058,#REF!,6,FALSE())&lt;-2),"",#REF!),"")</f>
        <v/>
      </c>
      <c r="I1058" s="0" t="str">
        <f aca="false">IFERROR(IF(OR(HLOOKUP($A1058,#REF!,7,FALSE())&gt;2,HLOOKUP($A1058,#REF!,7,FALSE())&lt;-2),"",#REF!),"")</f>
        <v/>
      </c>
      <c r="J1058" s="0" t="str">
        <f aca="false">IFERROR(IF(OR(HLOOKUP($A1058,#REF!,8,FALSE())&gt;2,HLOOKUP($A1058,#REF!,8,FALSE())&lt;-2),"",#REF!),"")</f>
        <v/>
      </c>
      <c r="K1058" s="0" t="str">
        <f aca="false">IFERROR(IF(OR(HLOOKUP($A1058,#REF!,9,FALSE())&gt;2,HLOOKUP($A1058,#REF!,9,FALSE())&lt;-2),"",#REF!),"")</f>
        <v/>
      </c>
      <c r="L1058" s="0" t="str">
        <f aca="false">IFERROR(IF(OR(HLOOKUP($A1058,#REF!,10,FALSE())&gt;2,HLOOKUP($A1058,#REF!,10,FALSE())&lt;-2),"",#REF!),"")</f>
        <v/>
      </c>
      <c r="M1058" s="0" t="str">
        <f aca="false">IFERROR(IF(OR(HLOOKUP($A1058,#REF!,11,FALSE())&gt;2,HLOOKUP($A1058,#REF!,11,FALSE())&lt;-2),"",#REF!),"")</f>
        <v/>
      </c>
      <c r="N1058" s="0" t="str">
        <f aca="false">IFERROR(IF(OR(HLOOKUP($A1058,#REF!,12,FALSE())&gt;2,HLOOKUP($A1058,#REF!,12,FALSE())&lt;-2),"",#REF!),"")</f>
        <v/>
      </c>
      <c r="O1058" s="0" t="str">
        <f aca="false">IFERROR(IF(OR(HLOOKUP($A1058,#REF!,13,FALSE())&gt;2,HLOOKUP($A1058,#REF!,13,FALSE())&lt;-2),"",#REF!),"")</f>
        <v/>
      </c>
      <c r="P1058" s="0" t="str">
        <f aca="false">IFERROR(IF(OR(HLOOKUP($A1058,#REF!,14,FALSE())&gt;2,HLOOKUP($A1058,#REF!,14,FALSE())&lt;-2),"",#REF!),"")</f>
        <v/>
      </c>
      <c r="Q1058" s="0" t="str">
        <f aca="false">IFERROR(IF(OR(HLOOKUP($A1058,#REF!,15,FALSE())&gt;2,HLOOKUP($A1058,#REF!,15,FALSE())&lt;-2),"",#REF!),"")</f>
        <v/>
      </c>
      <c r="R1058" s="0" t="str">
        <f aca="false">IFERROR(IF(OR(HLOOKUP($A1058,#REF!,16,FALSE())&gt;2,HLOOKUP($A1058,#REF!,16,FALSE())&lt;-2),"",#REF!),"")</f>
        <v/>
      </c>
      <c r="S1058" s="0" t="str">
        <f aca="false">IFERROR(IF(OR(HLOOKUP($A1058,#REF!,17,FALSE())&gt;2,HLOOKUP($A1058,#REF!,17,FALSE())&lt;-2),"",#REF!),"")</f>
        <v/>
      </c>
      <c r="T1058" s="0" t="str">
        <f aca="false">IFERROR(IF(OR(HLOOKUP($A1058,#REF!,18,FALSE())&gt;2,HLOOKUP($A1058,#REF!,18,FALSE())&lt;-2),"",#REF!),"")</f>
        <v/>
      </c>
      <c r="U1058" s="0" t="str">
        <f aca="false">IFERROR(IF(OR(HLOOKUP($A1058,#REF!,19,FALSE())&gt;2,HLOOKUP($A1058,#REF!,19,FALSE())&lt;-2),"",#REF!),"")</f>
        <v/>
      </c>
      <c r="V1058" s="0" t="n">
        <f aca="false">IFERROR(IF(AND(X1058=0,Y1058=0),0,1),0)</f>
        <v>1</v>
      </c>
      <c r="W1058" s="3" t="str">
        <f aca="false">IFERROR(_xlfn.T.TEST(E1058:M1058,N1058:U1058,2,2),"")</f>
        <v/>
      </c>
      <c r="X1058" s="0" t="str">
        <f aca="false">IFERROR(AVERAGE(E1058:M1058),"")</f>
        <v/>
      </c>
      <c r="Y1058" s="0" t="str">
        <f aca="false">IFERROR(AVERAGE(N1058:U1058),"")</f>
        <v/>
      </c>
    </row>
    <row r="1059" customFormat="false" ht="14.5" hidden="false" customHeight="false" outlineLevel="0" collapsed="false">
      <c r="A1059" s="0" t="n">
        <v>1068</v>
      </c>
      <c r="B1059" s="0" t="s">
        <v>1103</v>
      </c>
      <c r="C1059" s="0" t="n">
        <v>114800</v>
      </c>
      <c r="D1059" s="0" t="n">
        <v>824</v>
      </c>
      <c r="E1059" s="0" t="str">
        <f aca="false">IFERROR(IF(OR(HLOOKUP($A1059,#REF!,3,FALSE())&gt;2,HLOOKUP(A1059,#REF!,3,FALSE())&lt;-2),"",#REF!),"")</f>
        <v/>
      </c>
      <c r="F1059" s="0" t="str">
        <f aca="false">IFERROR(IF(OR(HLOOKUP($A1059,#REF!,4,FALSE())&gt;2,HLOOKUP($A1059,#REF!,4,FALSE())&lt;-2),"",#REF!),"")</f>
        <v/>
      </c>
      <c r="G1059" s="0" t="str">
        <f aca="false">IFERROR(IF(OR(HLOOKUP($A1059,#REF!,5,FALSE())&gt;2,HLOOKUP($A1059,#REF!,5,FALSE())&lt;-2),"",#REF!),"")</f>
        <v/>
      </c>
      <c r="H1059" s="0" t="str">
        <f aca="false">IFERROR(IF(OR(HLOOKUP($A1059,#REF!,6,FALSE())&gt;2,HLOOKUP($A1059,#REF!,6,FALSE())&lt;-2),"",#REF!),"")</f>
        <v/>
      </c>
      <c r="I1059" s="0" t="str">
        <f aca="false">IFERROR(IF(OR(HLOOKUP($A1059,#REF!,7,FALSE())&gt;2,HLOOKUP($A1059,#REF!,7,FALSE())&lt;-2),"",#REF!),"")</f>
        <v/>
      </c>
      <c r="J1059" s="0" t="str">
        <f aca="false">IFERROR(IF(OR(HLOOKUP($A1059,#REF!,8,FALSE())&gt;2,HLOOKUP($A1059,#REF!,8,FALSE())&lt;-2),"",#REF!),"")</f>
        <v/>
      </c>
      <c r="K1059" s="0" t="str">
        <f aca="false">IFERROR(IF(OR(HLOOKUP($A1059,#REF!,9,FALSE())&gt;2,HLOOKUP($A1059,#REF!,9,FALSE())&lt;-2),"",#REF!),"")</f>
        <v/>
      </c>
      <c r="L1059" s="0" t="str">
        <f aca="false">IFERROR(IF(OR(HLOOKUP($A1059,#REF!,10,FALSE())&gt;2,HLOOKUP($A1059,#REF!,10,FALSE())&lt;-2),"",#REF!),"")</f>
        <v/>
      </c>
      <c r="M1059" s="0" t="str">
        <f aca="false">IFERROR(IF(OR(HLOOKUP($A1059,#REF!,11,FALSE())&gt;2,HLOOKUP($A1059,#REF!,11,FALSE())&lt;-2),"",#REF!),"")</f>
        <v/>
      </c>
      <c r="N1059" s="0" t="str">
        <f aca="false">IFERROR(IF(OR(HLOOKUP($A1059,#REF!,12,FALSE())&gt;2,HLOOKUP($A1059,#REF!,12,FALSE())&lt;-2),"",#REF!),"")</f>
        <v/>
      </c>
      <c r="O1059" s="0" t="str">
        <f aca="false">IFERROR(IF(OR(HLOOKUP($A1059,#REF!,13,FALSE())&gt;2,HLOOKUP($A1059,#REF!,13,FALSE())&lt;-2),"",#REF!),"")</f>
        <v/>
      </c>
      <c r="P1059" s="0" t="str">
        <f aca="false">IFERROR(IF(OR(HLOOKUP($A1059,#REF!,14,FALSE())&gt;2,HLOOKUP($A1059,#REF!,14,FALSE())&lt;-2),"",#REF!),"")</f>
        <v/>
      </c>
      <c r="Q1059" s="0" t="str">
        <f aca="false">IFERROR(IF(OR(HLOOKUP($A1059,#REF!,15,FALSE())&gt;2,HLOOKUP($A1059,#REF!,15,FALSE())&lt;-2),"",#REF!),"")</f>
        <v/>
      </c>
      <c r="R1059" s="0" t="str">
        <f aca="false">IFERROR(IF(OR(HLOOKUP($A1059,#REF!,16,FALSE())&gt;2,HLOOKUP($A1059,#REF!,16,FALSE())&lt;-2),"",#REF!),"")</f>
        <v/>
      </c>
      <c r="S1059" s="0" t="str">
        <f aca="false">IFERROR(IF(OR(HLOOKUP($A1059,#REF!,17,FALSE())&gt;2,HLOOKUP($A1059,#REF!,17,FALSE())&lt;-2),"",#REF!),"")</f>
        <v/>
      </c>
      <c r="T1059" s="0" t="str">
        <f aca="false">IFERROR(IF(OR(HLOOKUP($A1059,#REF!,18,FALSE())&gt;2,HLOOKUP($A1059,#REF!,18,FALSE())&lt;-2),"",#REF!),"")</f>
        <v/>
      </c>
      <c r="U1059" s="0" t="str">
        <f aca="false">IFERROR(IF(OR(HLOOKUP($A1059,#REF!,19,FALSE())&gt;2,HLOOKUP($A1059,#REF!,19,FALSE())&lt;-2),"",#REF!),"")</f>
        <v/>
      </c>
      <c r="V1059" s="0" t="n">
        <f aca="false">IFERROR(IF(AND(X1059=0,Y1059=0),0,1),0)</f>
        <v>1</v>
      </c>
      <c r="W1059" s="3" t="str">
        <f aca="false">IFERROR(_xlfn.T.TEST(E1059:M1059,N1059:U1059,2,2),"")</f>
        <v/>
      </c>
      <c r="X1059" s="0" t="str">
        <f aca="false">IFERROR(AVERAGE(E1059:M1059),"")</f>
        <v/>
      </c>
      <c r="Y1059" s="0" t="str">
        <f aca="false">IFERROR(AVERAGE(N1059:U1059),"")</f>
        <v/>
      </c>
    </row>
    <row r="1060" customFormat="false" ht="14.5" hidden="false" customHeight="false" outlineLevel="0" collapsed="false">
      <c r="A1060" s="0" t="n">
        <v>1069</v>
      </c>
      <c r="B1060" s="0" t="s">
        <v>1104</v>
      </c>
      <c r="C1060" s="0" t="n">
        <v>95600</v>
      </c>
      <c r="D1060" s="0" t="n">
        <v>370</v>
      </c>
      <c r="E1060" s="0" t="str">
        <f aca="false">IFERROR(IF(OR(HLOOKUP($A1060,#REF!,3,FALSE())&gt;2,HLOOKUP(A1060,#REF!,3,FALSE())&lt;-2),"",#REF!),"")</f>
        <v/>
      </c>
      <c r="F1060" s="0" t="str">
        <f aca="false">IFERROR(IF(OR(HLOOKUP($A1060,#REF!,4,FALSE())&gt;2,HLOOKUP($A1060,#REF!,4,FALSE())&lt;-2),"",#REF!),"")</f>
        <v/>
      </c>
      <c r="G1060" s="0" t="str">
        <f aca="false">IFERROR(IF(OR(HLOOKUP($A1060,#REF!,5,FALSE())&gt;2,HLOOKUP($A1060,#REF!,5,FALSE())&lt;-2),"",#REF!),"")</f>
        <v/>
      </c>
      <c r="H1060" s="0" t="str">
        <f aca="false">IFERROR(IF(OR(HLOOKUP($A1060,#REF!,6,FALSE())&gt;2,HLOOKUP($A1060,#REF!,6,FALSE())&lt;-2),"",#REF!),"")</f>
        <v/>
      </c>
      <c r="I1060" s="0" t="str">
        <f aca="false">IFERROR(IF(OR(HLOOKUP($A1060,#REF!,7,FALSE())&gt;2,HLOOKUP($A1060,#REF!,7,FALSE())&lt;-2),"",#REF!),"")</f>
        <v/>
      </c>
      <c r="J1060" s="0" t="str">
        <f aca="false">IFERROR(IF(OR(HLOOKUP($A1060,#REF!,8,FALSE())&gt;2,HLOOKUP($A1060,#REF!,8,FALSE())&lt;-2),"",#REF!),"")</f>
        <v/>
      </c>
      <c r="K1060" s="0" t="str">
        <f aca="false">IFERROR(IF(OR(HLOOKUP($A1060,#REF!,9,FALSE())&gt;2,HLOOKUP($A1060,#REF!,9,FALSE())&lt;-2),"",#REF!),"")</f>
        <v/>
      </c>
      <c r="L1060" s="0" t="str">
        <f aca="false">IFERROR(IF(OR(HLOOKUP($A1060,#REF!,10,FALSE())&gt;2,HLOOKUP($A1060,#REF!,10,FALSE())&lt;-2),"",#REF!),"")</f>
        <v/>
      </c>
      <c r="M1060" s="0" t="str">
        <f aca="false">IFERROR(IF(OR(HLOOKUP($A1060,#REF!,11,FALSE())&gt;2,HLOOKUP($A1060,#REF!,11,FALSE())&lt;-2),"",#REF!),"")</f>
        <v/>
      </c>
      <c r="N1060" s="0" t="str">
        <f aca="false">IFERROR(IF(OR(HLOOKUP($A1060,#REF!,12,FALSE())&gt;2,HLOOKUP($A1060,#REF!,12,FALSE())&lt;-2),"",#REF!),"")</f>
        <v/>
      </c>
      <c r="O1060" s="0" t="str">
        <f aca="false">IFERROR(IF(OR(HLOOKUP($A1060,#REF!,13,FALSE())&gt;2,HLOOKUP($A1060,#REF!,13,FALSE())&lt;-2),"",#REF!),"")</f>
        <v/>
      </c>
      <c r="P1060" s="0" t="str">
        <f aca="false">IFERROR(IF(OR(HLOOKUP($A1060,#REF!,14,FALSE())&gt;2,HLOOKUP($A1060,#REF!,14,FALSE())&lt;-2),"",#REF!),"")</f>
        <v/>
      </c>
      <c r="Q1060" s="0" t="str">
        <f aca="false">IFERROR(IF(OR(HLOOKUP($A1060,#REF!,15,FALSE())&gt;2,HLOOKUP($A1060,#REF!,15,FALSE())&lt;-2),"",#REF!),"")</f>
        <v/>
      </c>
      <c r="R1060" s="0" t="str">
        <f aca="false">IFERROR(IF(OR(HLOOKUP($A1060,#REF!,16,FALSE())&gt;2,HLOOKUP($A1060,#REF!,16,FALSE())&lt;-2),"",#REF!),"")</f>
        <v/>
      </c>
      <c r="S1060" s="0" t="str">
        <f aca="false">IFERROR(IF(OR(HLOOKUP($A1060,#REF!,17,FALSE())&gt;2,HLOOKUP($A1060,#REF!,17,FALSE())&lt;-2),"",#REF!),"")</f>
        <v/>
      </c>
      <c r="T1060" s="0" t="str">
        <f aca="false">IFERROR(IF(OR(HLOOKUP($A1060,#REF!,18,FALSE())&gt;2,HLOOKUP($A1060,#REF!,18,FALSE())&lt;-2),"",#REF!),"")</f>
        <v/>
      </c>
      <c r="U1060" s="0" t="str">
        <f aca="false">IFERROR(IF(OR(HLOOKUP($A1060,#REF!,19,FALSE())&gt;2,HLOOKUP($A1060,#REF!,19,FALSE())&lt;-2),"",#REF!),"")</f>
        <v/>
      </c>
      <c r="V1060" s="0" t="n">
        <f aca="false">IFERROR(IF(AND(X1060=0,Y1060=0),0,1),0)</f>
        <v>1</v>
      </c>
      <c r="W1060" s="3" t="str">
        <f aca="false">IFERROR(_xlfn.T.TEST(E1060:M1060,N1060:U1060,2,2),"")</f>
        <v/>
      </c>
      <c r="X1060" s="0" t="str">
        <f aca="false">IFERROR(AVERAGE(E1060:M1060),"")</f>
        <v/>
      </c>
      <c r="Y1060" s="0" t="str">
        <f aca="false">IFERROR(AVERAGE(N1060:U1060),"")</f>
        <v/>
      </c>
    </row>
    <row r="1061" customFormat="false" ht="14.5" hidden="false" customHeight="false" outlineLevel="0" collapsed="false">
      <c r="A1061" s="0" t="n">
        <v>1070</v>
      </c>
      <c r="B1061" s="0" t="s">
        <v>1105</v>
      </c>
      <c r="C1061" s="0" t="n">
        <v>4600</v>
      </c>
      <c r="D1061" s="0" t="n">
        <v>329</v>
      </c>
      <c r="E1061" s="0" t="str">
        <f aca="false">IFERROR(IF(OR(HLOOKUP($A1061,#REF!,3,FALSE())&gt;2,HLOOKUP(A1061,#REF!,3,FALSE())&lt;-2),"",#REF!),"")</f>
        <v/>
      </c>
      <c r="F1061" s="0" t="str">
        <f aca="false">IFERROR(IF(OR(HLOOKUP($A1061,#REF!,4,FALSE())&gt;2,HLOOKUP($A1061,#REF!,4,FALSE())&lt;-2),"",#REF!),"")</f>
        <v/>
      </c>
      <c r="G1061" s="0" t="str">
        <f aca="false">IFERROR(IF(OR(HLOOKUP($A1061,#REF!,5,FALSE())&gt;2,HLOOKUP($A1061,#REF!,5,FALSE())&lt;-2),"",#REF!),"")</f>
        <v/>
      </c>
      <c r="H1061" s="0" t="str">
        <f aca="false">IFERROR(IF(OR(HLOOKUP($A1061,#REF!,6,FALSE())&gt;2,HLOOKUP($A1061,#REF!,6,FALSE())&lt;-2),"",#REF!),"")</f>
        <v/>
      </c>
      <c r="I1061" s="0" t="str">
        <f aca="false">IFERROR(IF(OR(HLOOKUP($A1061,#REF!,7,FALSE())&gt;2,HLOOKUP($A1061,#REF!,7,FALSE())&lt;-2),"",#REF!),"")</f>
        <v/>
      </c>
      <c r="J1061" s="0" t="str">
        <f aca="false">IFERROR(IF(OR(HLOOKUP($A1061,#REF!,8,FALSE())&gt;2,HLOOKUP($A1061,#REF!,8,FALSE())&lt;-2),"",#REF!),"")</f>
        <v/>
      </c>
      <c r="K1061" s="0" t="str">
        <f aca="false">IFERROR(IF(OR(HLOOKUP($A1061,#REF!,9,FALSE())&gt;2,HLOOKUP($A1061,#REF!,9,FALSE())&lt;-2),"",#REF!),"")</f>
        <v/>
      </c>
      <c r="L1061" s="0" t="str">
        <f aca="false">IFERROR(IF(OR(HLOOKUP($A1061,#REF!,10,FALSE())&gt;2,HLOOKUP($A1061,#REF!,10,FALSE())&lt;-2),"",#REF!),"")</f>
        <v/>
      </c>
      <c r="M1061" s="0" t="str">
        <f aca="false">IFERROR(IF(OR(HLOOKUP($A1061,#REF!,11,FALSE())&gt;2,HLOOKUP($A1061,#REF!,11,FALSE())&lt;-2),"",#REF!),"")</f>
        <v/>
      </c>
      <c r="N1061" s="0" t="str">
        <f aca="false">IFERROR(IF(OR(HLOOKUP($A1061,#REF!,12,FALSE())&gt;2,HLOOKUP($A1061,#REF!,12,FALSE())&lt;-2),"",#REF!),"")</f>
        <v/>
      </c>
      <c r="O1061" s="0" t="str">
        <f aca="false">IFERROR(IF(OR(HLOOKUP($A1061,#REF!,13,FALSE())&gt;2,HLOOKUP($A1061,#REF!,13,FALSE())&lt;-2),"",#REF!),"")</f>
        <v/>
      </c>
      <c r="P1061" s="0" t="str">
        <f aca="false">IFERROR(IF(OR(HLOOKUP($A1061,#REF!,14,FALSE())&gt;2,HLOOKUP($A1061,#REF!,14,FALSE())&lt;-2),"",#REF!),"")</f>
        <v/>
      </c>
      <c r="Q1061" s="0" t="str">
        <f aca="false">IFERROR(IF(OR(HLOOKUP($A1061,#REF!,15,FALSE())&gt;2,HLOOKUP($A1061,#REF!,15,FALSE())&lt;-2),"",#REF!),"")</f>
        <v/>
      </c>
      <c r="R1061" s="0" t="str">
        <f aca="false">IFERROR(IF(OR(HLOOKUP($A1061,#REF!,16,FALSE())&gt;2,HLOOKUP($A1061,#REF!,16,FALSE())&lt;-2),"",#REF!),"")</f>
        <v/>
      </c>
      <c r="S1061" s="0" t="str">
        <f aca="false">IFERROR(IF(OR(HLOOKUP($A1061,#REF!,17,FALSE())&gt;2,HLOOKUP($A1061,#REF!,17,FALSE())&lt;-2),"",#REF!),"")</f>
        <v/>
      </c>
      <c r="T1061" s="0" t="str">
        <f aca="false">IFERROR(IF(OR(HLOOKUP($A1061,#REF!,18,FALSE())&gt;2,HLOOKUP($A1061,#REF!,18,FALSE())&lt;-2),"",#REF!),"")</f>
        <v/>
      </c>
      <c r="U1061" s="0" t="str">
        <f aca="false">IFERROR(IF(OR(HLOOKUP($A1061,#REF!,19,FALSE())&gt;2,HLOOKUP($A1061,#REF!,19,FALSE())&lt;-2),"",#REF!),"")</f>
        <v/>
      </c>
      <c r="V1061" s="0" t="n">
        <f aca="false">IFERROR(IF(AND(X1061=0,Y1061=0),0,1),0)</f>
        <v>1</v>
      </c>
      <c r="W1061" s="3" t="str">
        <f aca="false">IFERROR(_xlfn.T.TEST(E1061:M1061,N1061:U1061,2,2),"")</f>
        <v/>
      </c>
      <c r="X1061" s="0" t="str">
        <f aca="false">IFERROR(AVERAGE(E1061:M1061),"")</f>
        <v/>
      </c>
      <c r="Y1061" s="0" t="str">
        <f aca="false">IFERROR(AVERAGE(N1061:U1061),"")</f>
        <v/>
      </c>
    </row>
    <row r="1062" customFormat="false" ht="14.5" hidden="false" customHeight="false" outlineLevel="0" collapsed="false">
      <c r="A1062" s="0" t="n">
        <v>1071</v>
      </c>
      <c r="B1062" s="0" t="s">
        <v>1106</v>
      </c>
      <c r="C1062" s="0" t="n">
        <v>117400</v>
      </c>
      <c r="D1062" s="0" t="n">
        <v>1032</v>
      </c>
      <c r="E1062" s="0" t="str">
        <f aca="false">IFERROR(IF(OR(HLOOKUP($A1062,#REF!,3,FALSE())&gt;2,HLOOKUP(A1062,#REF!,3,FALSE())&lt;-2),"",#REF!),"")</f>
        <v/>
      </c>
      <c r="F1062" s="0" t="str">
        <f aca="false">IFERROR(IF(OR(HLOOKUP($A1062,#REF!,4,FALSE())&gt;2,HLOOKUP($A1062,#REF!,4,FALSE())&lt;-2),"",#REF!),"")</f>
        <v/>
      </c>
      <c r="G1062" s="0" t="str">
        <f aca="false">IFERROR(IF(OR(HLOOKUP($A1062,#REF!,5,FALSE())&gt;2,HLOOKUP($A1062,#REF!,5,FALSE())&lt;-2),"",#REF!),"")</f>
        <v/>
      </c>
      <c r="H1062" s="0" t="str">
        <f aca="false">IFERROR(IF(OR(HLOOKUP($A1062,#REF!,6,FALSE())&gt;2,HLOOKUP($A1062,#REF!,6,FALSE())&lt;-2),"",#REF!),"")</f>
        <v/>
      </c>
      <c r="I1062" s="0" t="str">
        <f aca="false">IFERROR(IF(OR(HLOOKUP($A1062,#REF!,7,FALSE())&gt;2,HLOOKUP($A1062,#REF!,7,FALSE())&lt;-2),"",#REF!),"")</f>
        <v/>
      </c>
      <c r="J1062" s="0" t="str">
        <f aca="false">IFERROR(IF(OR(HLOOKUP($A1062,#REF!,8,FALSE())&gt;2,HLOOKUP($A1062,#REF!,8,FALSE())&lt;-2),"",#REF!),"")</f>
        <v/>
      </c>
      <c r="K1062" s="0" t="str">
        <f aca="false">IFERROR(IF(OR(HLOOKUP($A1062,#REF!,9,FALSE())&gt;2,HLOOKUP($A1062,#REF!,9,FALSE())&lt;-2),"",#REF!),"")</f>
        <v/>
      </c>
      <c r="L1062" s="0" t="str">
        <f aca="false">IFERROR(IF(OR(HLOOKUP($A1062,#REF!,10,FALSE())&gt;2,HLOOKUP($A1062,#REF!,10,FALSE())&lt;-2),"",#REF!),"")</f>
        <v/>
      </c>
      <c r="M1062" s="0" t="str">
        <f aca="false">IFERROR(IF(OR(HLOOKUP($A1062,#REF!,11,FALSE())&gt;2,HLOOKUP($A1062,#REF!,11,FALSE())&lt;-2),"",#REF!),"")</f>
        <v/>
      </c>
      <c r="N1062" s="0" t="str">
        <f aca="false">IFERROR(IF(OR(HLOOKUP($A1062,#REF!,12,FALSE())&gt;2,HLOOKUP($A1062,#REF!,12,FALSE())&lt;-2),"",#REF!),"")</f>
        <v/>
      </c>
      <c r="O1062" s="0" t="str">
        <f aca="false">IFERROR(IF(OR(HLOOKUP($A1062,#REF!,13,FALSE())&gt;2,HLOOKUP($A1062,#REF!,13,FALSE())&lt;-2),"",#REF!),"")</f>
        <v/>
      </c>
      <c r="P1062" s="0" t="str">
        <f aca="false">IFERROR(IF(OR(HLOOKUP($A1062,#REF!,14,FALSE())&gt;2,HLOOKUP($A1062,#REF!,14,FALSE())&lt;-2),"",#REF!),"")</f>
        <v/>
      </c>
      <c r="Q1062" s="0" t="str">
        <f aca="false">IFERROR(IF(OR(HLOOKUP($A1062,#REF!,15,FALSE())&gt;2,HLOOKUP($A1062,#REF!,15,FALSE())&lt;-2),"",#REF!),"")</f>
        <v/>
      </c>
      <c r="R1062" s="0" t="str">
        <f aca="false">IFERROR(IF(OR(HLOOKUP($A1062,#REF!,16,FALSE())&gt;2,HLOOKUP($A1062,#REF!,16,FALSE())&lt;-2),"",#REF!),"")</f>
        <v/>
      </c>
      <c r="S1062" s="0" t="str">
        <f aca="false">IFERROR(IF(OR(HLOOKUP($A1062,#REF!,17,FALSE())&gt;2,HLOOKUP($A1062,#REF!,17,FALSE())&lt;-2),"",#REF!),"")</f>
        <v/>
      </c>
      <c r="T1062" s="0" t="str">
        <f aca="false">IFERROR(IF(OR(HLOOKUP($A1062,#REF!,18,FALSE())&gt;2,HLOOKUP($A1062,#REF!,18,FALSE())&lt;-2),"",#REF!),"")</f>
        <v/>
      </c>
      <c r="U1062" s="0" t="str">
        <f aca="false">IFERROR(IF(OR(HLOOKUP($A1062,#REF!,19,FALSE())&gt;2,HLOOKUP($A1062,#REF!,19,FALSE())&lt;-2),"",#REF!),"")</f>
        <v/>
      </c>
      <c r="V1062" s="0" t="n">
        <f aca="false">IFERROR(IF(AND(X1062=0,Y1062=0),0,1),0)</f>
        <v>1</v>
      </c>
      <c r="W1062" s="3" t="str">
        <f aca="false">IFERROR(_xlfn.T.TEST(E1062:M1062,N1062:U1062,2,2),"")</f>
        <v/>
      </c>
      <c r="X1062" s="0" t="str">
        <f aca="false">IFERROR(AVERAGE(E1062:M1062),"")</f>
        <v/>
      </c>
      <c r="Y1062" s="0" t="str">
        <f aca="false">IFERROR(AVERAGE(N1062:U1062),"")</f>
        <v/>
      </c>
    </row>
    <row r="1063" customFormat="false" ht="14.5" hidden="false" customHeight="false" outlineLevel="0" collapsed="false">
      <c r="A1063" s="0" t="n">
        <v>1072</v>
      </c>
      <c r="B1063" s="0" t="s">
        <v>1107</v>
      </c>
      <c r="C1063" s="0" t="n">
        <v>65200</v>
      </c>
      <c r="D1063" s="0" t="n">
        <v>475</v>
      </c>
      <c r="E1063" s="0" t="str">
        <f aca="false">IFERROR(IF(OR(HLOOKUP($A1063,#REF!,3,FALSE())&gt;2,HLOOKUP(A1063,#REF!,3,FALSE())&lt;-2),"",#REF!),"")</f>
        <v/>
      </c>
      <c r="F1063" s="0" t="str">
        <f aca="false">IFERROR(IF(OR(HLOOKUP($A1063,#REF!,4,FALSE())&gt;2,HLOOKUP($A1063,#REF!,4,FALSE())&lt;-2),"",#REF!),"")</f>
        <v/>
      </c>
      <c r="G1063" s="0" t="str">
        <f aca="false">IFERROR(IF(OR(HLOOKUP($A1063,#REF!,5,FALSE())&gt;2,HLOOKUP($A1063,#REF!,5,FALSE())&lt;-2),"",#REF!),"")</f>
        <v/>
      </c>
      <c r="H1063" s="0" t="str">
        <f aca="false">IFERROR(IF(OR(HLOOKUP($A1063,#REF!,6,FALSE())&gt;2,HLOOKUP($A1063,#REF!,6,FALSE())&lt;-2),"",#REF!),"")</f>
        <v/>
      </c>
      <c r="I1063" s="0" t="str">
        <f aca="false">IFERROR(IF(OR(HLOOKUP($A1063,#REF!,7,FALSE())&gt;2,HLOOKUP($A1063,#REF!,7,FALSE())&lt;-2),"",#REF!),"")</f>
        <v/>
      </c>
      <c r="J1063" s="0" t="str">
        <f aca="false">IFERROR(IF(OR(HLOOKUP($A1063,#REF!,8,FALSE())&gt;2,HLOOKUP($A1063,#REF!,8,FALSE())&lt;-2),"",#REF!),"")</f>
        <v/>
      </c>
      <c r="K1063" s="0" t="str">
        <f aca="false">IFERROR(IF(OR(HLOOKUP($A1063,#REF!,9,FALSE())&gt;2,HLOOKUP($A1063,#REF!,9,FALSE())&lt;-2),"",#REF!),"")</f>
        <v/>
      </c>
      <c r="L1063" s="0" t="str">
        <f aca="false">IFERROR(IF(OR(HLOOKUP($A1063,#REF!,10,FALSE())&gt;2,HLOOKUP($A1063,#REF!,10,FALSE())&lt;-2),"",#REF!),"")</f>
        <v/>
      </c>
      <c r="M1063" s="0" t="str">
        <f aca="false">IFERROR(IF(OR(HLOOKUP($A1063,#REF!,11,FALSE())&gt;2,HLOOKUP($A1063,#REF!,11,FALSE())&lt;-2),"",#REF!),"")</f>
        <v/>
      </c>
      <c r="N1063" s="0" t="str">
        <f aca="false">IFERROR(IF(OR(HLOOKUP($A1063,#REF!,12,FALSE())&gt;2,HLOOKUP($A1063,#REF!,12,FALSE())&lt;-2),"",#REF!),"")</f>
        <v/>
      </c>
      <c r="O1063" s="0" t="str">
        <f aca="false">IFERROR(IF(OR(HLOOKUP($A1063,#REF!,13,FALSE())&gt;2,HLOOKUP($A1063,#REF!,13,FALSE())&lt;-2),"",#REF!),"")</f>
        <v/>
      </c>
      <c r="P1063" s="0" t="str">
        <f aca="false">IFERROR(IF(OR(HLOOKUP($A1063,#REF!,14,FALSE())&gt;2,HLOOKUP($A1063,#REF!,14,FALSE())&lt;-2),"",#REF!),"")</f>
        <v/>
      </c>
      <c r="Q1063" s="0" t="str">
        <f aca="false">IFERROR(IF(OR(HLOOKUP($A1063,#REF!,15,FALSE())&gt;2,HLOOKUP($A1063,#REF!,15,FALSE())&lt;-2),"",#REF!),"")</f>
        <v/>
      </c>
      <c r="R1063" s="0" t="str">
        <f aca="false">IFERROR(IF(OR(HLOOKUP($A1063,#REF!,16,FALSE())&gt;2,HLOOKUP($A1063,#REF!,16,FALSE())&lt;-2),"",#REF!),"")</f>
        <v/>
      </c>
      <c r="S1063" s="0" t="str">
        <f aca="false">IFERROR(IF(OR(HLOOKUP($A1063,#REF!,17,FALSE())&gt;2,HLOOKUP($A1063,#REF!,17,FALSE())&lt;-2),"",#REF!),"")</f>
        <v/>
      </c>
      <c r="T1063" s="0" t="str">
        <f aca="false">IFERROR(IF(OR(HLOOKUP($A1063,#REF!,18,FALSE())&gt;2,HLOOKUP($A1063,#REF!,18,FALSE())&lt;-2),"",#REF!),"")</f>
        <v/>
      </c>
      <c r="U1063" s="0" t="str">
        <f aca="false">IFERROR(IF(OR(HLOOKUP($A1063,#REF!,19,FALSE())&gt;2,HLOOKUP($A1063,#REF!,19,FALSE())&lt;-2),"",#REF!),"")</f>
        <v/>
      </c>
      <c r="V1063" s="0" t="n">
        <f aca="false">IFERROR(IF(AND(X1063=0,Y1063=0),0,1),0)</f>
        <v>1</v>
      </c>
      <c r="W1063" s="3" t="str">
        <f aca="false">IFERROR(_xlfn.T.TEST(E1063:M1063,N1063:U1063,2,2),"")</f>
        <v/>
      </c>
      <c r="X1063" s="0" t="str">
        <f aca="false">IFERROR(AVERAGE(E1063:M1063),"")</f>
        <v/>
      </c>
      <c r="Y1063" s="0" t="str">
        <f aca="false">IFERROR(AVERAGE(N1063:U1063),"")</f>
        <v/>
      </c>
    </row>
    <row r="1064" customFormat="false" ht="14.5" hidden="false" customHeight="false" outlineLevel="0" collapsed="false">
      <c r="A1064" s="0" t="n">
        <v>1073</v>
      </c>
      <c r="B1064" s="0" t="s">
        <v>1108</v>
      </c>
      <c r="C1064" s="0" t="n">
        <v>59600</v>
      </c>
      <c r="D1064" s="0" t="n">
        <v>528</v>
      </c>
      <c r="E1064" s="0" t="str">
        <f aca="false">IFERROR(IF(OR(HLOOKUP($A1064,#REF!,3,FALSE())&gt;2,HLOOKUP(A1064,#REF!,3,FALSE())&lt;-2),"",#REF!),"")</f>
        <v/>
      </c>
      <c r="F1064" s="0" t="str">
        <f aca="false">IFERROR(IF(OR(HLOOKUP($A1064,#REF!,4,FALSE())&gt;2,HLOOKUP($A1064,#REF!,4,FALSE())&lt;-2),"",#REF!),"")</f>
        <v/>
      </c>
      <c r="G1064" s="0" t="str">
        <f aca="false">IFERROR(IF(OR(HLOOKUP($A1064,#REF!,5,FALSE())&gt;2,HLOOKUP($A1064,#REF!,5,FALSE())&lt;-2),"",#REF!),"")</f>
        <v/>
      </c>
      <c r="H1064" s="0" t="str">
        <f aca="false">IFERROR(IF(OR(HLOOKUP($A1064,#REF!,6,FALSE())&gt;2,HLOOKUP($A1064,#REF!,6,FALSE())&lt;-2),"",#REF!),"")</f>
        <v/>
      </c>
      <c r="I1064" s="0" t="str">
        <f aca="false">IFERROR(IF(OR(HLOOKUP($A1064,#REF!,7,FALSE())&gt;2,HLOOKUP($A1064,#REF!,7,FALSE())&lt;-2),"",#REF!),"")</f>
        <v/>
      </c>
      <c r="J1064" s="0" t="str">
        <f aca="false">IFERROR(IF(OR(HLOOKUP($A1064,#REF!,8,FALSE())&gt;2,HLOOKUP($A1064,#REF!,8,FALSE())&lt;-2),"",#REF!),"")</f>
        <v/>
      </c>
      <c r="K1064" s="0" t="str">
        <f aca="false">IFERROR(IF(OR(HLOOKUP($A1064,#REF!,9,FALSE())&gt;2,HLOOKUP($A1064,#REF!,9,FALSE())&lt;-2),"",#REF!),"")</f>
        <v/>
      </c>
      <c r="L1064" s="0" t="str">
        <f aca="false">IFERROR(IF(OR(HLOOKUP($A1064,#REF!,10,FALSE())&gt;2,HLOOKUP($A1064,#REF!,10,FALSE())&lt;-2),"",#REF!),"")</f>
        <v/>
      </c>
      <c r="M1064" s="0" t="str">
        <f aca="false">IFERROR(IF(OR(HLOOKUP($A1064,#REF!,11,FALSE())&gt;2,HLOOKUP($A1064,#REF!,11,FALSE())&lt;-2),"",#REF!),"")</f>
        <v/>
      </c>
      <c r="N1064" s="0" t="str">
        <f aca="false">IFERROR(IF(OR(HLOOKUP($A1064,#REF!,12,FALSE())&gt;2,HLOOKUP($A1064,#REF!,12,FALSE())&lt;-2),"",#REF!),"")</f>
        <v/>
      </c>
      <c r="O1064" s="0" t="str">
        <f aca="false">IFERROR(IF(OR(HLOOKUP($A1064,#REF!,13,FALSE())&gt;2,HLOOKUP($A1064,#REF!,13,FALSE())&lt;-2),"",#REF!),"")</f>
        <v/>
      </c>
      <c r="P1064" s="0" t="str">
        <f aca="false">IFERROR(IF(OR(HLOOKUP($A1064,#REF!,14,FALSE())&gt;2,HLOOKUP($A1064,#REF!,14,FALSE())&lt;-2),"",#REF!),"")</f>
        <v/>
      </c>
      <c r="Q1064" s="0" t="str">
        <f aca="false">IFERROR(IF(OR(HLOOKUP($A1064,#REF!,15,FALSE())&gt;2,HLOOKUP($A1064,#REF!,15,FALSE())&lt;-2),"",#REF!),"")</f>
        <v/>
      </c>
      <c r="R1064" s="0" t="str">
        <f aca="false">IFERROR(IF(OR(HLOOKUP($A1064,#REF!,16,FALSE())&gt;2,HLOOKUP($A1064,#REF!,16,FALSE())&lt;-2),"",#REF!),"")</f>
        <v/>
      </c>
      <c r="S1064" s="0" t="str">
        <f aca="false">IFERROR(IF(OR(HLOOKUP($A1064,#REF!,17,FALSE())&gt;2,HLOOKUP($A1064,#REF!,17,FALSE())&lt;-2),"",#REF!),"")</f>
        <v/>
      </c>
      <c r="T1064" s="0" t="str">
        <f aca="false">IFERROR(IF(OR(HLOOKUP($A1064,#REF!,18,FALSE())&gt;2,HLOOKUP($A1064,#REF!,18,FALSE())&lt;-2),"",#REF!),"")</f>
        <v/>
      </c>
      <c r="U1064" s="0" t="str">
        <f aca="false">IFERROR(IF(OR(HLOOKUP($A1064,#REF!,19,FALSE())&gt;2,HLOOKUP($A1064,#REF!,19,FALSE())&lt;-2),"",#REF!),"")</f>
        <v/>
      </c>
      <c r="V1064" s="0" t="n">
        <f aca="false">IFERROR(IF(AND(X1064=0,Y1064=0),0,1),0)</f>
        <v>1</v>
      </c>
      <c r="W1064" s="3" t="str">
        <f aca="false">IFERROR(_xlfn.T.TEST(E1064:M1064,N1064:U1064,2,2),"")</f>
        <v/>
      </c>
      <c r="X1064" s="0" t="str">
        <f aca="false">IFERROR(AVERAGE(E1064:M1064),"")</f>
        <v/>
      </c>
      <c r="Y1064" s="0" t="str">
        <f aca="false">IFERROR(AVERAGE(N1064:U1064),"")</f>
        <v/>
      </c>
    </row>
    <row r="1065" customFormat="false" ht="14.5" hidden="false" customHeight="false" outlineLevel="0" collapsed="false">
      <c r="A1065" s="0" t="n">
        <v>1074</v>
      </c>
      <c r="B1065" s="0" t="s">
        <v>1109</v>
      </c>
      <c r="C1065" s="0" t="n">
        <v>14200</v>
      </c>
      <c r="D1065" s="0" t="n">
        <v>402</v>
      </c>
      <c r="E1065" s="0" t="str">
        <f aca="false">IFERROR(IF(OR(HLOOKUP($A1065,#REF!,3,FALSE())&gt;2,HLOOKUP(A1065,#REF!,3,FALSE())&lt;-2),"",#REF!),"")</f>
        <v/>
      </c>
      <c r="F1065" s="0" t="str">
        <f aca="false">IFERROR(IF(OR(HLOOKUP($A1065,#REF!,4,FALSE())&gt;2,HLOOKUP($A1065,#REF!,4,FALSE())&lt;-2),"",#REF!),"")</f>
        <v/>
      </c>
      <c r="G1065" s="0" t="str">
        <f aca="false">IFERROR(IF(OR(HLOOKUP($A1065,#REF!,5,FALSE())&gt;2,HLOOKUP($A1065,#REF!,5,FALSE())&lt;-2),"",#REF!),"")</f>
        <v/>
      </c>
      <c r="H1065" s="0" t="str">
        <f aca="false">IFERROR(IF(OR(HLOOKUP($A1065,#REF!,6,FALSE())&gt;2,HLOOKUP($A1065,#REF!,6,FALSE())&lt;-2),"",#REF!),"")</f>
        <v/>
      </c>
      <c r="I1065" s="0" t="str">
        <f aca="false">IFERROR(IF(OR(HLOOKUP($A1065,#REF!,7,FALSE())&gt;2,HLOOKUP($A1065,#REF!,7,FALSE())&lt;-2),"",#REF!),"")</f>
        <v/>
      </c>
      <c r="J1065" s="0" t="str">
        <f aca="false">IFERROR(IF(OR(HLOOKUP($A1065,#REF!,8,FALSE())&gt;2,HLOOKUP($A1065,#REF!,8,FALSE())&lt;-2),"",#REF!),"")</f>
        <v/>
      </c>
      <c r="K1065" s="0" t="str">
        <f aca="false">IFERROR(IF(OR(HLOOKUP($A1065,#REF!,9,FALSE())&gt;2,HLOOKUP($A1065,#REF!,9,FALSE())&lt;-2),"",#REF!),"")</f>
        <v/>
      </c>
      <c r="L1065" s="0" t="str">
        <f aca="false">IFERROR(IF(OR(HLOOKUP($A1065,#REF!,10,FALSE())&gt;2,HLOOKUP($A1065,#REF!,10,FALSE())&lt;-2),"",#REF!),"")</f>
        <v/>
      </c>
      <c r="M1065" s="0" t="str">
        <f aca="false">IFERROR(IF(OR(HLOOKUP($A1065,#REF!,11,FALSE())&gt;2,HLOOKUP($A1065,#REF!,11,FALSE())&lt;-2),"",#REF!),"")</f>
        <v/>
      </c>
      <c r="N1065" s="0" t="str">
        <f aca="false">IFERROR(IF(OR(HLOOKUP($A1065,#REF!,12,FALSE())&gt;2,HLOOKUP($A1065,#REF!,12,FALSE())&lt;-2),"",#REF!),"")</f>
        <v/>
      </c>
      <c r="O1065" s="0" t="str">
        <f aca="false">IFERROR(IF(OR(HLOOKUP($A1065,#REF!,13,FALSE())&gt;2,HLOOKUP($A1065,#REF!,13,FALSE())&lt;-2),"",#REF!),"")</f>
        <v/>
      </c>
      <c r="P1065" s="0" t="str">
        <f aca="false">IFERROR(IF(OR(HLOOKUP($A1065,#REF!,14,FALSE())&gt;2,HLOOKUP($A1065,#REF!,14,FALSE())&lt;-2),"",#REF!),"")</f>
        <v/>
      </c>
      <c r="Q1065" s="0" t="str">
        <f aca="false">IFERROR(IF(OR(HLOOKUP($A1065,#REF!,15,FALSE())&gt;2,HLOOKUP($A1065,#REF!,15,FALSE())&lt;-2),"",#REF!),"")</f>
        <v/>
      </c>
      <c r="R1065" s="0" t="str">
        <f aca="false">IFERROR(IF(OR(HLOOKUP($A1065,#REF!,16,FALSE())&gt;2,HLOOKUP($A1065,#REF!,16,FALSE())&lt;-2),"",#REF!),"")</f>
        <v/>
      </c>
      <c r="S1065" s="0" t="str">
        <f aca="false">IFERROR(IF(OR(HLOOKUP($A1065,#REF!,17,FALSE())&gt;2,HLOOKUP($A1065,#REF!,17,FALSE())&lt;-2),"",#REF!),"")</f>
        <v/>
      </c>
      <c r="T1065" s="0" t="str">
        <f aca="false">IFERROR(IF(OR(HLOOKUP($A1065,#REF!,18,FALSE())&gt;2,HLOOKUP($A1065,#REF!,18,FALSE())&lt;-2),"",#REF!),"")</f>
        <v/>
      </c>
      <c r="U1065" s="0" t="str">
        <f aca="false">IFERROR(IF(OR(HLOOKUP($A1065,#REF!,19,FALSE())&gt;2,HLOOKUP($A1065,#REF!,19,FALSE())&lt;-2),"",#REF!),"")</f>
        <v/>
      </c>
      <c r="V1065" s="0" t="n">
        <f aca="false">IFERROR(IF(AND(X1065=0,Y1065=0),0,1),0)</f>
        <v>1</v>
      </c>
      <c r="W1065" s="3" t="str">
        <f aca="false">IFERROR(_xlfn.T.TEST(E1065:M1065,N1065:U1065,2,2),"")</f>
        <v/>
      </c>
      <c r="X1065" s="0" t="str">
        <f aca="false">IFERROR(AVERAGE(E1065:M1065),"")</f>
        <v/>
      </c>
      <c r="Y1065" s="0" t="str">
        <f aca="false">IFERROR(AVERAGE(N1065:U1065),"")</f>
        <v/>
      </c>
    </row>
    <row r="1066" customFormat="false" ht="14.5" hidden="false" customHeight="false" outlineLevel="0" collapsed="false">
      <c r="A1066" s="0" t="n">
        <v>1075</v>
      </c>
      <c r="B1066" s="0" t="s">
        <v>1110</v>
      </c>
      <c r="C1066" s="0" t="n">
        <v>32800</v>
      </c>
      <c r="D1066" s="0" t="n">
        <v>589</v>
      </c>
      <c r="E1066" s="0" t="str">
        <f aca="false">IFERROR(IF(OR(HLOOKUP($A1066,#REF!,3,FALSE())&gt;2,HLOOKUP(A1066,#REF!,3,FALSE())&lt;-2),"",#REF!),"")</f>
        <v/>
      </c>
      <c r="F1066" s="0" t="str">
        <f aca="false">IFERROR(IF(OR(HLOOKUP($A1066,#REF!,4,FALSE())&gt;2,HLOOKUP($A1066,#REF!,4,FALSE())&lt;-2),"",#REF!),"")</f>
        <v/>
      </c>
      <c r="G1066" s="0" t="str">
        <f aca="false">IFERROR(IF(OR(HLOOKUP($A1066,#REF!,5,FALSE())&gt;2,HLOOKUP($A1066,#REF!,5,FALSE())&lt;-2),"",#REF!),"")</f>
        <v/>
      </c>
      <c r="H1066" s="0" t="str">
        <f aca="false">IFERROR(IF(OR(HLOOKUP($A1066,#REF!,6,FALSE())&gt;2,HLOOKUP($A1066,#REF!,6,FALSE())&lt;-2),"",#REF!),"")</f>
        <v/>
      </c>
      <c r="I1066" s="0" t="str">
        <f aca="false">IFERROR(IF(OR(HLOOKUP($A1066,#REF!,7,FALSE())&gt;2,HLOOKUP($A1066,#REF!,7,FALSE())&lt;-2),"",#REF!),"")</f>
        <v/>
      </c>
      <c r="J1066" s="0" t="str">
        <f aca="false">IFERROR(IF(OR(HLOOKUP($A1066,#REF!,8,FALSE())&gt;2,HLOOKUP($A1066,#REF!,8,FALSE())&lt;-2),"",#REF!),"")</f>
        <v/>
      </c>
      <c r="K1066" s="0" t="str">
        <f aca="false">IFERROR(IF(OR(HLOOKUP($A1066,#REF!,9,FALSE())&gt;2,HLOOKUP($A1066,#REF!,9,FALSE())&lt;-2),"",#REF!),"")</f>
        <v/>
      </c>
      <c r="L1066" s="0" t="str">
        <f aca="false">IFERROR(IF(OR(HLOOKUP($A1066,#REF!,10,FALSE())&gt;2,HLOOKUP($A1066,#REF!,10,FALSE())&lt;-2),"",#REF!),"")</f>
        <v/>
      </c>
      <c r="M1066" s="0" t="str">
        <f aca="false">IFERROR(IF(OR(HLOOKUP($A1066,#REF!,11,FALSE())&gt;2,HLOOKUP($A1066,#REF!,11,FALSE())&lt;-2),"",#REF!),"")</f>
        <v/>
      </c>
      <c r="N1066" s="0" t="str">
        <f aca="false">IFERROR(IF(OR(HLOOKUP($A1066,#REF!,12,FALSE())&gt;2,HLOOKUP($A1066,#REF!,12,FALSE())&lt;-2),"",#REF!),"")</f>
        <v/>
      </c>
      <c r="O1066" s="0" t="str">
        <f aca="false">IFERROR(IF(OR(HLOOKUP($A1066,#REF!,13,FALSE())&gt;2,HLOOKUP($A1066,#REF!,13,FALSE())&lt;-2),"",#REF!),"")</f>
        <v/>
      </c>
      <c r="P1066" s="0" t="str">
        <f aca="false">IFERROR(IF(OR(HLOOKUP($A1066,#REF!,14,FALSE())&gt;2,HLOOKUP($A1066,#REF!,14,FALSE())&lt;-2),"",#REF!),"")</f>
        <v/>
      </c>
      <c r="Q1066" s="0" t="str">
        <f aca="false">IFERROR(IF(OR(HLOOKUP($A1066,#REF!,15,FALSE())&gt;2,HLOOKUP($A1066,#REF!,15,FALSE())&lt;-2),"",#REF!),"")</f>
        <v/>
      </c>
      <c r="R1066" s="0" t="str">
        <f aca="false">IFERROR(IF(OR(HLOOKUP($A1066,#REF!,16,FALSE())&gt;2,HLOOKUP($A1066,#REF!,16,FALSE())&lt;-2),"",#REF!),"")</f>
        <v/>
      </c>
      <c r="S1066" s="0" t="str">
        <f aca="false">IFERROR(IF(OR(HLOOKUP($A1066,#REF!,17,FALSE())&gt;2,HLOOKUP($A1066,#REF!,17,FALSE())&lt;-2),"",#REF!),"")</f>
        <v/>
      </c>
      <c r="T1066" s="0" t="str">
        <f aca="false">IFERROR(IF(OR(HLOOKUP($A1066,#REF!,18,FALSE())&gt;2,HLOOKUP($A1066,#REF!,18,FALSE())&lt;-2),"",#REF!),"")</f>
        <v/>
      </c>
      <c r="U1066" s="0" t="str">
        <f aca="false">IFERROR(IF(OR(HLOOKUP($A1066,#REF!,19,FALSE())&gt;2,HLOOKUP($A1066,#REF!,19,FALSE())&lt;-2),"",#REF!),"")</f>
        <v/>
      </c>
      <c r="V1066" s="0" t="n">
        <f aca="false">IFERROR(IF(AND(X1066=0,Y1066=0),0,1),0)</f>
        <v>1</v>
      </c>
      <c r="W1066" s="3" t="str">
        <f aca="false">IFERROR(_xlfn.T.TEST(E1066:M1066,N1066:U1066,2,2),"")</f>
        <v/>
      </c>
      <c r="X1066" s="0" t="str">
        <f aca="false">IFERROR(AVERAGE(E1066:M1066),"")</f>
        <v/>
      </c>
      <c r="Y1066" s="0" t="str">
        <f aca="false">IFERROR(AVERAGE(N1066:U1066),"")</f>
        <v/>
      </c>
    </row>
    <row r="1067" customFormat="false" ht="14.5" hidden="false" customHeight="false" outlineLevel="0" collapsed="false">
      <c r="A1067" s="0" t="n">
        <v>1076</v>
      </c>
      <c r="B1067" s="0" t="s">
        <v>1111</v>
      </c>
      <c r="C1067" s="0" t="n">
        <v>100500</v>
      </c>
      <c r="D1067" s="0" t="n">
        <v>933</v>
      </c>
      <c r="E1067" s="0" t="str">
        <f aca="false">IFERROR(IF(OR(HLOOKUP($A1067,#REF!,3,FALSE())&gt;2,HLOOKUP(A1067,#REF!,3,FALSE())&lt;-2),"",#REF!),"")</f>
        <v/>
      </c>
      <c r="F1067" s="0" t="str">
        <f aca="false">IFERROR(IF(OR(HLOOKUP($A1067,#REF!,4,FALSE())&gt;2,HLOOKUP($A1067,#REF!,4,FALSE())&lt;-2),"",#REF!),"")</f>
        <v/>
      </c>
      <c r="G1067" s="0" t="str">
        <f aca="false">IFERROR(IF(OR(HLOOKUP($A1067,#REF!,5,FALSE())&gt;2,HLOOKUP($A1067,#REF!,5,FALSE())&lt;-2),"",#REF!),"")</f>
        <v/>
      </c>
      <c r="H1067" s="0" t="str">
        <f aca="false">IFERROR(IF(OR(HLOOKUP($A1067,#REF!,6,FALSE())&gt;2,HLOOKUP($A1067,#REF!,6,FALSE())&lt;-2),"",#REF!),"")</f>
        <v/>
      </c>
      <c r="I1067" s="0" t="str">
        <f aca="false">IFERROR(IF(OR(HLOOKUP($A1067,#REF!,7,FALSE())&gt;2,HLOOKUP($A1067,#REF!,7,FALSE())&lt;-2),"",#REF!),"")</f>
        <v/>
      </c>
      <c r="J1067" s="0" t="str">
        <f aca="false">IFERROR(IF(OR(HLOOKUP($A1067,#REF!,8,FALSE())&gt;2,HLOOKUP($A1067,#REF!,8,FALSE())&lt;-2),"",#REF!),"")</f>
        <v/>
      </c>
      <c r="K1067" s="0" t="str">
        <f aca="false">IFERROR(IF(OR(HLOOKUP($A1067,#REF!,9,FALSE())&gt;2,HLOOKUP($A1067,#REF!,9,FALSE())&lt;-2),"",#REF!),"")</f>
        <v/>
      </c>
      <c r="L1067" s="0" t="str">
        <f aca="false">IFERROR(IF(OR(HLOOKUP($A1067,#REF!,10,FALSE())&gt;2,HLOOKUP($A1067,#REF!,10,FALSE())&lt;-2),"",#REF!),"")</f>
        <v/>
      </c>
      <c r="M1067" s="0" t="str">
        <f aca="false">IFERROR(IF(OR(HLOOKUP($A1067,#REF!,11,FALSE())&gt;2,HLOOKUP($A1067,#REF!,11,FALSE())&lt;-2),"",#REF!),"")</f>
        <v/>
      </c>
      <c r="N1067" s="0" t="str">
        <f aca="false">IFERROR(IF(OR(HLOOKUP($A1067,#REF!,12,FALSE())&gt;2,HLOOKUP($A1067,#REF!,12,FALSE())&lt;-2),"",#REF!),"")</f>
        <v/>
      </c>
      <c r="O1067" s="0" t="str">
        <f aca="false">IFERROR(IF(OR(HLOOKUP($A1067,#REF!,13,FALSE())&gt;2,HLOOKUP($A1067,#REF!,13,FALSE())&lt;-2),"",#REF!),"")</f>
        <v/>
      </c>
      <c r="P1067" s="0" t="str">
        <f aca="false">IFERROR(IF(OR(HLOOKUP($A1067,#REF!,14,FALSE())&gt;2,HLOOKUP($A1067,#REF!,14,FALSE())&lt;-2),"",#REF!),"")</f>
        <v/>
      </c>
      <c r="Q1067" s="0" t="str">
        <f aca="false">IFERROR(IF(OR(HLOOKUP($A1067,#REF!,15,FALSE())&gt;2,HLOOKUP($A1067,#REF!,15,FALSE())&lt;-2),"",#REF!),"")</f>
        <v/>
      </c>
      <c r="R1067" s="0" t="str">
        <f aca="false">IFERROR(IF(OR(HLOOKUP($A1067,#REF!,16,FALSE())&gt;2,HLOOKUP($A1067,#REF!,16,FALSE())&lt;-2),"",#REF!),"")</f>
        <v/>
      </c>
      <c r="S1067" s="0" t="str">
        <f aca="false">IFERROR(IF(OR(HLOOKUP($A1067,#REF!,17,FALSE())&gt;2,HLOOKUP($A1067,#REF!,17,FALSE())&lt;-2),"",#REF!),"")</f>
        <v/>
      </c>
      <c r="T1067" s="0" t="str">
        <f aca="false">IFERROR(IF(OR(HLOOKUP($A1067,#REF!,18,FALSE())&gt;2,HLOOKUP($A1067,#REF!,18,FALSE())&lt;-2),"",#REF!),"")</f>
        <v/>
      </c>
      <c r="U1067" s="0" t="str">
        <f aca="false">IFERROR(IF(OR(HLOOKUP($A1067,#REF!,19,FALSE())&gt;2,HLOOKUP($A1067,#REF!,19,FALSE())&lt;-2),"",#REF!),"")</f>
        <v/>
      </c>
      <c r="V1067" s="0" t="n">
        <f aca="false">IFERROR(IF(AND(X1067=0,Y1067=0),0,1),0)</f>
        <v>1</v>
      </c>
      <c r="W1067" s="3" t="str">
        <f aca="false">IFERROR(_xlfn.T.TEST(E1067:M1067,N1067:U1067,2,2),"")</f>
        <v/>
      </c>
      <c r="X1067" s="0" t="str">
        <f aca="false">IFERROR(AVERAGE(E1067:M1067),"")</f>
        <v/>
      </c>
      <c r="Y1067" s="0" t="str">
        <f aca="false">IFERROR(AVERAGE(N1067:U1067),"")</f>
        <v/>
      </c>
    </row>
    <row r="1068" customFormat="false" ht="14.5" hidden="false" customHeight="false" outlineLevel="0" collapsed="false">
      <c r="A1068" s="0" t="n">
        <v>1077</v>
      </c>
      <c r="B1068" s="0" t="s">
        <v>1112</v>
      </c>
      <c r="C1068" s="0" t="n">
        <v>67800</v>
      </c>
      <c r="D1068" s="0" t="n">
        <v>444</v>
      </c>
      <c r="E1068" s="0" t="str">
        <f aca="false">IFERROR(IF(OR(HLOOKUP($A1068,#REF!,3,FALSE())&gt;2,HLOOKUP(A1068,#REF!,3,FALSE())&lt;-2),"",#REF!),"")</f>
        <v/>
      </c>
      <c r="F1068" s="0" t="str">
        <f aca="false">IFERROR(IF(OR(HLOOKUP($A1068,#REF!,4,FALSE())&gt;2,HLOOKUP($A1068,#REF!,4,FALSE())&lt;-2),"",#REF!),"")</f>
        <v/>
      </c>
      <c r="G1068" s="0" t="str">
        <f aca="false">IFERROR(IF(OR(HLOOKUP($A1068,#REF!,5,FALSE())&gt;2,HLOOKUP($A1068,#REF!,5,FALSE())&lt;-2),"",#REF!),"")</f>
        <v/>
      </c>
      <c r="H1068" s="0" t="str">
        <f aca="false">IFERROR(IF(OR(HLOOKUP($A1068,#REF!,6,FALSE())&gt;2,HLOOKUP($A1068,#REF!,6,FALSE())&lt;-2),"",#REF!),"")</f>
        <v/>
      </c>
      <c r="I1068" s="0" t="str">
        <f aca="false">IFERROR(IF(OR(HLOOKUP($A1068,#REF!,7,FALSE())&gt;2,HLOOKUP($A1068,#REF!,7,FALSE())&lt;-2),"",#REF!),"")</f>
        <v/>
      </c>
      <c r="J1068" s="0" t="str">
        <f aca="false">IFERROR(IF(OR(HLOOKUP($A1068,#REF!,8,FALSE())&gt;2,HLOOKUP($A1068,#REF!,8,FALSE())&lt;-2),"",#REF!),"")</f>
        <v/>
      </c>
      <c r="K1068" s="0" t="str">
        <f aca="false">IFERROR(IF(OR(HLOOKUP($A1068,#REF!,9,FALSE())&gt;2,HLOOKUP($A1068,#REF!,9,FALSE())&lt;-2),"",#REF!),"")</f>
        <v/>
      </c>
      <c r="L1068" s="0" t="str">
        <f aca="false">IFERROR(IF(OR(HLOOKUP($A1068,#REF!,10,FALSE())&gt;2,HLOOKUP($A1068,#REF!,10,FALSE())&lt;-2),"",#REF!),"")</f>
        <v/>
      </c>
      <c r="M1068" s="0" t="str">
        <f aca="false">IFERROR(IF(OR(HLOOKUP($A1068,#REF!,11,FALSE())&gt;2,HLOOKUP($A1068,#REF!,11,FALSE())&lt;-2),"",#REF!),"")</f>
        <v/>
      </c>
      <c r="N1068" s="0" t="str">
        <f aca="false">IFERROR(IF(OR(HLOOKUP($A1068,#REF!,12,FALSE())&gt;2,HLOOKUP($A1068,#REF!,12,FALSE())&lt;-2),"",#REF!),"")</f>
        <v/>
      </c>
      <c r="O1068" s="0" t="str">
        <f aca="false">IFERROR(IF(OR(HLOOKUP($A1068,#REF!,13,FALSE())&gt;2,HLOOKUP($A1068,#REF!,13,FALSE())&lt;-2),"",#REF!),"")</f>
        <v/>
      </c>
      <c r="P1068" s="0" t="str">
        <f aca="false">IFERROR(IF(OR(HLOOKUP($A1068,#REF!,14,FALSE())&gt;2,HLOOKUP($A1068,#REF!,14,FALSE())&lt;-2),"",#REF!),"")</f>
        <v/>
      </c>
      <c r="Q1068" s="0" t="str">
        <f aca="false">IFERROR(IF(OR(HLOOKUP($A1068,#REF!,15,FALSE())&gt;2,HLOOKUP($A1068,#REF!,15,FALSE())&lt;-2),"",#REF!),"")</f>
        <v/>
      </c>
      <c r="R1068" s="0" t="str">
        <f aca="false">IFERROR(IF(OR(HLOOKUP($A1068,#REF!,16,FALSE())&gt;2,HLOOKUP($A1068,#REF!,16,FALSE())&lt;-2),"",#REF!),"")</f>
        <v/>
      </c>
      <c r="S1068" s="0" t="str">
        <f aca="false">IFERROR(IF(OR(HLOOKUP($A1068,#REF!,17,FALSE())&gt;2,HLOOKUP($A1068,#REF!,17,FALSE())&lt;-2),"",#REF!),"")</f>
        <v/>
      </c>
      <c r="T1068" s="0" t="str">
        <f aca="false">IFERROR(IF(OR(HLOOKUP($A1068,#REF!,18,FALSE())&gt;2,HLOOKUP($A1068,#REF!,18,FALSE())&lt;-2),"",#REF!),"")</f>
        <v/>
      </c>
      <c r="U1068" s="0" t="str">
        <f aca="false">IFERROR(IF(OR(HLOOKUP($A1068,#REF!,19,FALSE())&gt;2,HLOOKUP($A1068,#REF!,19,FALSE())&lt;-2),"",#REF!),"")</f>
        <v/>
      </c>
      <c r="V1068" s="0" t="n">
        <f aca="false">IFERROR(IF(AND(X1068=0,Y1068=0),0,1),0)</f>
        <v>1</v>
      </c>
      <c r="W1068" s="3" t="str">
        <f aca="false">IFERROR(_xlfn.T.TEST(E1068:M1068,N1068:U1068,2,2),"")</f>
        <v/>
      </c>
      <c r="X1068" s="0" t="str">
        <f aca="false">IFERROR(AVERAGE(E1068:M1068),"")</f>
        <v/>
      </c>
      <c r="Y1068" s="0" t="str">
        <f aca="false">IFERROR(AVERAGE(N1068:U1068),"")</f>
        <v/>
      </c>
    </row>
    <row r="1069" customFormat="false" ht="14.5" hidden="false" customHeight="false" outlineLevel="0" collapsed="false">
      <c r="A1069" s="0" t="n">
        <v>1078</v>
      </c>
      <c r="B1069" s="0" t="s">
        <v>1113</v>
      </c>
      <c r="C1069" s="0" t="n">
        <v>117500</v>
      </c>
      <c r="D1069" s="0" t="n">
        <v>1032</v>
      </c>
      <c r="E1069" s="0" t="str">
        <f aca="false">IFERROR(IF(OR(HLOOKUP($A1069,#REF!,3,FALSE())&gt;2,HLOOKUP(A1069,#REF!,3,FALSE())&lt;-2),"",#REF!),"")</f>
        <v/>
      </c>
      <c r="F1069" s="0" t="str">
        <f aca="false">IFERROR(IF(OR(HLOOKUP($A1069,#REF!,4,FALSE())&gt;2,HLOOKUP($A1069,#REF!,4,FALSE())&lt;-2),"",#REF!),"")</f>
        <v/>
      </c>
      <c r="G1069" s="0" t="str">
        <f aca="false">IFERROR(IF(OR(HLOOKUP($A1069,#REF!,5,FALSE())&gt;2,HLOOKUP($A1069,#REF!,5,FALSE())&lt;-2),"",#REF!),"")</f>
        <v/>
      </c>
      <c r="H1069" s="0" t="str">
        <f aca="false">IFERROR(IF(OR(HLOOKUP($A1069,#REF!,6,FALSE())&gt;2,HLOOKUP($A1069,#REF!,6,FALSE())&lt;-2),"",#REF!),"")</f>
        <v/>
      </c>
      <c r="I1069" s="0" t="str">
        <f aca="false">IFERROR(IF(OR(HLOOKUP($A1069,#REF!,7,FALSE())&gt;2,HLOOKUP($A1069,#REF!,7,FALSE())&lt;-2),"",#REF!),"")</f>
        <v/>
      </c>
      <c r="J1069" s="0" t="str">
        <f aca="false">IFERROR(IF(OR(HLOOKUP($A1069,#REF!,8,FALSE())&gt;2,HLOOKUP($A1069,#REF!,8,FALSE())&lt;-2),"",#REF!),"")</f>
        <v/>
      </c>
      <c r="K1069" s="0" t="str">
        <f aca="false">IFERROR(IF(OR(HLOOKUP($A1069,#REF!,9,FALSE())&gt;2,HLOOKUP($A1069,#REF!,9,FALSE())&lt;-2),"",#REF!),"")</f>
        <v/>
      </c>
      <c r="L1069" s="0" t="str">
        <f aca="false">IFERROR(IF(OR(HLOOKUP($A1069,#REF!,10,FALSE())&gt;2,HLOOKUP($A1069,#REF!,10,FALSE())&lt;-2),"",#REF!),"")</f>
        <v/>
      </c>
      <c r="M1069" s="0" t="str">
        <f aca="false">IFERROR(IF(OR(HLOOKUP($A1069,#REF!,11,FALSE())&gt;2,HLOOKUP($A1069,#REF!,11,FALSE())&lt;-2),"",#REF!),"")</f>
        <v/>
      </c>
      <c r="N1069" s="0" t="str">
        <f aca="false">IFERROR(IF(OR(HLOOKUP($A1069,#REF!,12,FALSE())&gt;2,HLOOKUP($A1069,#REF!,12,FALSE())&lt;-2),"",#REF!),"")</f>
        <v/>
      </c>
      <c r="O1069" s="0" t="str">
        <f aca="false">IFERROR(IF(OR(HLOOKUP($A1069,#REF!,13,FALSE())&gt;2,HLOOKUP($A1069,#REF!,13,FALSE())&lt;-2),"",#REF!),"")</f>
        <v/>
      </c>
      <c r="P1069" s="0" t="str">
        <f aca="false">IFERROR(IF(OR(HLOOKUP($A1069,#REF!,14,FALSE())&gt;2,HLOOKUP($A1069,#REF!,14,FALSE())&lt;-2),"",#REF!),"")</f>
        <v/>
      </c>
      <c r="Q1069" s="0" t="str">
        <f aca="false">IFERROR(IF(OR(HLOOKUP($A1069,#REF!,15,FALSE())&gt;2,HLOOKUP($A1069,#REF!,15,FALSE())&lt;-2),"",#REF!),"")</f>
        <v/>
      </c>
      <c r="R1069" s="0" t="str">
        <f aca="false">IFERROR(IF(OR(HLOOKUP($A1069,#REF!,16,FALSE())&gt;2,HLOOKUP($A1069,#REF!,16,FALSE())&lt;-2),"",#REF!),"")</f>
        <v/>
      </c>
      <c r="S1069" s="0" t="str">
        <f aca="false">IFERROR(IF(OR(HLOOKUP($A1069,#REF!,17,FALSE())&gt;2,HLOOKUP($A1069,#REF!,17,FALSE())&lt;-2),"",#REF!),"")</f>
        <v/>
      </c>
      <c r="T1069" s="0" t="str">
        <f aca="false">IFERROR(IF(OR(HLOOKUP($A1069,#REF!,18,FALSE())&gt;2,HLOOKUP($A1069,#REF!,18,FALSE())&lt;-2),"",#REF!),"")</f>
        <v/>
      </c>
      <c r="U1069" s="0" t="str">
        <f aca="false">IFERROR(IF(OR(HLOOKUP($A1069,#REF!,19,FALSE())&gt;2,HLOOKUP($A1069,#REF!,19,FALSE())&lt;-2),"",#REF!),"")</f>
        <v/>
      </c>
      <c r="V1069" s="0" t="n">
        <f aca="false">IFERROR(IF(AND(X1069=0,Y1069=0),0,1),0)</f>
        <v>1</v>
      </c>
      <c r="W1069" s="3" t="str">
        <f aca="false">IFERROR(_xlfn.T.TEST(E1069:M1069,N1069:U1069,2,2),"")</f>
        <v/>
      </c>
      <c r="X1069" s="0" t="str">
        <f aca="false">IFERROR(AVERAGE(E1069:M1069),"")</f>
        <v/>
      </c>
      <c r="Y1069" s="0" t="str">
        <f aca="false">IFERROR(AVERAGE(N1069:U1069),"")</f>
        <v/>
      </c>
    </row>
    <row r="1070" customFormat="false" ht="14.5" hidden="false" customHeight="false" outlineLevel="0" collapsed="false">
      <c r="A1070" s="0" t="n">
        <v>1079</v>
      </c>
      <c r="B1070" s="0" t="s">
        <v>1114</v>
      </c>
      <c r="C1070" s="0" t="n">
        <v>65300</v>
      </c>
      <c r="D1070" s="0" t="n">
        <v>475</v>
      </c>
      <c r="E1070" s="0" t="str">
        <f aca="false">IFERROR(IF(OR(HLOOKUP($A1070,#REF!,3,FALSE())&gt;2,HLOOKUP(A1070,#REF!,3,FALSE())&lt;-2),"",#REF!),"")</f>
        <v/>
      </c>
      <c r="F1070" s="0" t="str">
        <f aca="false">IFERROR(IF(OR(HLOOKUP($A1070,#REF!,4,FALSE())&gt;2,HLOOKUP($A1070,#REF!,4,FALSE())&lt;-2),"",#REF!),"")</f>
        <v/>
      </c>
      <c r="G1070" s="0" t="str">
        <f aca="false">IFERROR(IF(OR(HLOOKUP($A1070,#REF!,5,FALSE())&gt;2,HLOOKUP($A1070,#REF!,5,FALSE())&lt;-2),"",#REF!),"")</f>
        <v/>
      </c>
      <c r="H1070" s="0" t="str">
        <f aca="false">IFERROR(IF(OR(HLOOKUP($A1070,#REF!,6,FALSE())&gt;2,HLOOKUP($A1070,#REF!,6,FALSE())&lt;-2),"",#REF!),"")</f>
        <v/>
      </c>
      <c r="I1070" s="0" t="str">
        <f aca="false">IFERROR(IF(OR(HLOOKUP($A1070,#REF!,7,FALSE())&gt;2,HLOOKUP($A1070,#REF!,7,FALSE())&lt;-2),"",#REF!),"")</f>
        <v/>
      </c>
      <c r="J1070" s="0" t="str">
        <f aca="false">IFERROR(IF(OR(HLOOKUP($A1070,#REF!,8,FALSE())&gt;2,HLOOKUP($A1070,#REF!,8,FALSE())&lt;-2),"",#REF!),"")</f>
        <v/>
      </c>
      <c r="K1070" s="0" t="str">
        <f aca="false">IFERROR(IF(OR(HLOOKUP($A1070,#REF!,9,FALSE())&gt;2,HLOOKUP($A1070,#REF!,9,FALSE())&lt;-2),"",#REF!),"")</f>
        <v/>
      </c>
      <c r="L1070" s="0" t="str">
        <f aca="false">IFERROR(IF(OR(HLOOKUP($A1070,#REF!,10,FALSE())&gt;2,HLOOKUP($A1070,#REF!,10,FALSE())&lt;-2),"",#REF!),"")</f>
        <v/>
      </c>
      <c r="M1070" s="0" t="str">
        <f aca="false">IFERROR(IF(OR(HLOOKUP($A1070,#REF!,11,FALSE())&gt;2,HLOOKUP($A1070,#REF!,11,FALSE())&lt;-2),"",#REF!),"")</f>
        <v/>
      </c>
      <c r="N1070" s="0" t="str">
        <f aca="false">IFERROR(IF(OR(HLOOKUP($A1070,#REF!,12,FALSE())&gt;2,HLOOKUP($A1070,#REF!,12,FALSE())&lt;-2),"",#REF!),"")</f>
        <v/>
      </c>
      <c r="O1070" s="0" t="str">
        <f aca="false">IFERROR(IF(OR(HLOOKUP($A1070,#REF!,13,FALSE())&gt;2,HLOOKUP($A1070,#REF!,13,FALSE())&lt;-2),"",#REF!),"")</f>
        <v/>
      </c>
      <c r="P1070" s="0" t="str">
        <f aca="false">IFERROR(IF(OR(HLOOKUP($A1070,#REF!,14,FALSE())&gt;2,HLOOKUP($A1070,#REF!,14,FALSE())&lt;-2),"",#REF!),"")</f>
        <v/>
      </c>
      <c r="Q1070" s="0" t="str">
        <f aca="false">IFERROR(IF(OR(HLOOKUP($A1070,#REF!,15,FALSE())&gt;2,HLOOKUP($A1070,#REF!,15,FALSE())&lt;-2),"",#REF!),"")</f>
        <v/>
      </c>
      <c r="R1070" s="0" t="str">
        <f aca="false">IFERROR(IF(OR(HLOOKUP($A1070,#REF!,16,FALSE())&gt;2,HLOOKUP($A1070,#REF!,16,FALSE())&lt;-2),"",#REF!),"")</f>
        <v/>
      </c>
      <c r="S1070" s="0" t="str">
        <f aca="false">IFERROR(IF(OR(HLOOKUP($A1070,#REF!,17,FALSE())&gt;2,HLOOKUP($A1070,#REF!,17,FALSE())&lt;-2),"",#REF!),"")</f>
        <v/>
      </c>
      <c r="T1070" s="0" t="str">
        <f aca="false">IFERROR(IF(OR(HLOOKUP($A1070,#REF!,18,FALSE())&gt;2,HLOOKUP($A1070,#REF!,18,FALSE())&lt;-2),"",#REF!),"")</f>
        <v/>
      </c>
      <c r="U1070" s="0" t="str">
        <f aca="false">IFERROR(IF(OR(HLOOKUP($A1070,#REF!,19,FALSE())&gt;2,HLOOKUP($A1070,#REF!,19,FALSE())&lt;-2),"",#REF!),"")</f>
        <v/>
      </c>
      <c r="V1070" s="0" t="n">
        <f aca="false">IFERROR(IF(AND(X1070=0,Y1070=0),0,1),0)</f>
        <v>1</v>
      </c>
      <c r="W1070" s="3" t="str">
        <f aca="false">IFERROR(_xlfn.T.TEST(E1070:M1070,N1070:U1070,2,2),"")</f>
        <v/>
      </c>
      <c r="X1070" s="0" t="str">
        <f aca="false">IFERROR(AVERAGE(E1070:M1070),"")</f>
        <v/>
      </c>
      <c r="Y1070" s="0" t="str">
        <f aca="false">IFERROR(AVERAGE(N1070:U1070),"")</f>
        <v/>
      </c>
    </row>
    <row r="1071" customFormat="false" ht="14.5" hidden="false" customHeight="false" outlineLevel="0" collapsed="false">
      <c r="A1071" s="0" t="n">
        <v>1080</v>
      </c>
      <c r="B1071" s="0" t="s">
        <v>1115</v>
      </c>
      <c r="C1071" s="0" t="n">
        <v>37500</v>
      </c>
      <c r="D1071" s="0" t="n">
        <v>1089</v>
      </c>
      <c r="E1071" s="0" t="str">
        <f aca="false">IFERROR(IF(OR(HLOOKUP($A1071,#REF!,3,FALSE())&gt;2,HLOOKUP(A1071,#REF!,3,FALSE())&lt;-2),"",#REF!),"")</f>
        <v/>
      </c>
      <c r="F1071" s="0" t="str">
        <f aca="false">IFERROR(IF(OR(HLOOKUP($A1071,#REF!,4,FALSE())&gt;2,HLOOKUP($A1071,#REF!,4,FALSE())&lt;-2),"",#REF!),"")</f>
        <v/>
      </c>
      <c r="G1071" s="0" t="str">
        <f aca="false">IFERROR(IF(OR(HLOOKUP($A1071,#REF!,5,FALSE())&gt;2,HLOOKUP($A1071,#REF!,5,FALSE())&lt;-2),"",#REF!),"")</f>
        <v/>
      </c>
      <c r="H1071" s="0" t="str">
        <f aca="false">IFERROR(IF(OR(HLOOKUP($A1071,#REF!,6,FALSE())&gt;2,HLOOKUP($A1071,#REF!,6,FALSE())&lt;-2),"",#REF!),"")</f>
        <v/>
      </c>
      <c r="I1071" s="0" t="str">
        <f aca="false">IFERROR(IF(OR(HLOOKUP($A1071,#REF!,7,FALSE())&gt;2,HLOOKUP($A1071,#REF!,7,FALSE())&lt;-2),"",#REF!),"")</f>
        <v/>
      </c>
      <c r="J1071" s="0" t="str">
        <f aca="false">IFERROR(IF(OR(HLOOKUP($A1071,#REF!,8,FALSE())&gt;2,HLOOKUP($A1071,#REF!,8,FALSE())&lt;-2),"",#REF!),"")</f>
        <v/>
      </c>
      <c r="K1071" s="0" t="str">
        <f aca="false">IFERROR(IF(OR(HLOOKUP($A1071,#REF!,9,FALSE())&gt;2,HLOOKUP($A1071,#REF!,9,FALSE())&lt;-2),"",#REF!),"")</f>
        <v/>
      </c>
      <c r="L1071" s="0" t="str">
        <f aca="false">IFERROR(IF(OR(HLOOKUP($A1071,#REF!,10,FALSE())&gt;2,HLOOKUP($A1071,#REF!,10,FALSE())&lt;-2),"",#REF!),"")</f>
        <v/>
      </c>
      <c r="M1071" s="0" t="str">
        <f aca="false">IFERROR(IF(OR(HLOOKUP($A1071,#REF!,11,FALSE())&gt;2,HLOOKUP($A1071,#REF!,11,FALSE())&lt;-2),"",#REF!),"")</f>
        <v/>
      </c>
      <c r="N1071" s="0" t="str">
        <f aca="false">IFERROR(IF(OR(HLOOKUP($A1071,#REF!,12,FALSE())&gt;2,HLOOKUP($A1071,#REF!,12,FALSE())&lt;-2),"",#REF!),"")</f>
        <v/>
      </c>
      <c r="O1071" s="0" t="str">
        <f aca="false">IFERROR(IF(OR(HLOOKUP($A1071,#REF!,13,FALSE())&gt;2,HLOOKUP($A1071,#REF!,13,FALSE())&lt;-2),"",#REF!),"")</f>
        <v/>
      </c>
      <c r="P1071" s="0" t="str">
        <f aca="false">IFERROR(IF(OR(HLOOKUP($A1071,#REF!,14,FALSE())&gt;2,HLOOKUP($A1071,#REF!,14,FALSE())&lt;-2),"",#REF!),"")</f>
        <v/>
      </c>
      <c r="Q1071" s="0" t="str">
        <f aca="false">IFERROR(IF(OR(HLOOKUP($A1071,#REF!,15,FALSE())&gt;2,HLOOKUP($A1071,#REF!,15,FALSE())&lt;-2),"",#REF!),"")</f>
        <v/>
      </c>
      <c r="R1071" s="0" t="str">
        <f aca="false">IFERROR(IF(OR(HLOOKUP($A1071,#REF!,16,FALSE())&gt;2,HLOOKUP($A1071,#REF!,16,FALSE())&lt;-2),"",#REF!),"")</f>
        <v/>
      </c>
      <c r="S1071" s="0" t="str">
        <f aca="false">IFERROR(IF(OR(HLOOKUP($A1071,#REF!,17,FALSE())&gt;2,HLOOKUP($A1071,#REF!,17,FALSE())&lt;-2),"",#REF!),"")</f>
        <v/>
      </c>
      <c r="T1071" s="0" t="str">
        <f aca="false">IFERROR(IF(OR(HLOOKUP($A1071,#REF!,18,FALSE())&gt;2,HLOOKUP($A1071,#REF!,18,FALSE())&lt;-2),"",#REF!),"")</f>
        <v/>
      </c>
      <c r="U1071" s="0" t="str">
        <f aca="false">IFERROR(IF(OR(HLOOKUP($A1071,#REF!,19,FALSE())&gt;2,HLOOKUP($A1071,#REF!,19,FALSE())&lt;-2),"",#REF!),"")</f>
        <v/>
      </c>
      <c r="V1071" s="0" t="n">
        <f aca="false">IFERROR(IF(AND(X1071=0,Y1071=0),0,1),0)</f>
        <v>1</v>
      </c>
      <c r="W1071" s="3" t="str">
        <f aca="false">IFERROR(_xlfn.T.TEST(E1071:M1071,N1071:U1071,2,2),"")</f>
        <v/>
      </c>
      <c r="X1071" s="0" t="str">
        <f aca="false">IFERROR(AVERAGE(E1071:M1071),"")</f>
        <v/>
      </c>
      <c r="Y1071" s="0" t="str">
        <f aca="false">IFERROR(AVERAGE(N1071:U1071),"")</f>
        <v/>
      </c>
    </row>
    <row r="1072" customFormat="false" ht="14.5" hidden="false" customHeight="false" outlineLevel="0" collapsed="false">
      <c r="A1072" s="0" t="n">
        <v>1081</v>
      </c>
      <c r="B1072" s="0" t="s">
        <v>91</v>
      </c>
      <c r="C1072" s="0" t="n">
        <v>9000</v>
      </c>
      <c r="D1072" s="0" t="n">
        <v>44</v>
      </c>
      <c r="E1072" s="0" t="str">
        <f aca="false">IFERROR(IF(OR(HLOOKUP($A1072,#REF!,3,FALSE())&gt;2,HLOOKUP(A1072,#REF!,3,FALSE())&lt;-2),"",#REF!),"")</f>
        <v/>
      </c>
      <c r="F1072" s="0" t="str">
        <f aca="false">IFERROR(IF(OR(HLOOKUP($A1072,#REF!,4,FALSE())&gt;2,HLOOKUP($A1072,#REF!,4,FALSE())&lt;-2),"",#REF!),"")</f>
        <v/>
      </c>
      <c r="G1072" s="0" t="str">
        <f aca="false">IFERROR(IF(OR(HLOOKUP($A1072,#REF!,5,FALSE())&gt;2,HLOOKUP($A1072,#REF!,5,FALSE())&lt;-2),"",#REF!),"")</f>
        <v/>
      </c>
      <c r="H1072" s="0" t="str">
        <f aca="false">IFERROR(IF(OR(HLOOKUP($A1072,#REF!,6,FALSE())&gt;2,HLOOKUP($A1072,#REF!,6,FALSE())&lt;-2),"",#REF!),"")</f>
        <v/>
      </c>
      <c r="I1072" s="0" t="str">
        <f aca="false">IFERROR(IF(OR(HLOOKUP($A1072,#REF!,7,FALSE())&gt;2,HLOOKUP($A1072,#REF!,7,FALSE())&lt;-2),"",#REF!),"")</f>
        <v/>
      </c>
      <c r="J1072" s="0" t="str">
        <f aca="false">IFERROR(IF(OR(HLOOKUP($A1072,#REF!,8,FALSE())&gt;2,HLOOKUP($A1072,#REF!,8,FALSE())&lt;-2),"",#REF!),"")</f>
        <v/>
      </c>
      <c r="K1072" s="0" t="str">
        <f aca="false">IFERROR(IF(OR(HLOOKUP($A1072,#REF!,9,FALSE())&gt;2,HLOOKUP($A1072,#REF!,9,FALSE())&lt;-2),"",#REF!),"")</f>
        <v/>
      </c>
      <c r="L1072" s="0" t="str">
        <f aca="false">IFERROR(IF(OR(HLOOKUP($A1072,#REF!,10,FALSE())&gt;2,HLOOKUP($A1072,#REF!,10,FALSE())&lt;-2),"",#REF!),"")</f>
        <v/>
      </c>
      <c r="M1072" s="0" t="str">
        <f aca="false">IFERROR(IF(OR(HLOOKUP($A1072,#REF!,11,FALSE())&gt;2,HLOOKUP($A1072,#REF!,11,FALSE())&lt;-2),"",#REF!),"")</f>
        <v/>
      </c>
      <c r="N1072" s="0" t="str">
        <f aca="false">IFERROR(IF(OR(HLOOKUP($A1072,#REF!,12,FALSE())&gt;2,HLOOKUP($A1072,#REF!,12,FALSE())&lt;-2),"",#REF!),"")</f>
        <v/>
      </c>
      <c r="O1072" s="0" t="str">
        <f aca="false">IFERROR(IF(OR(HLOOKUP($A1072,#REF!,13,FALSE())&gt;2,HLOOKUP($A1072,#REF!,13,FALSE())&lt;-2),"",#REF!),"")</f>
        <v/>
      </c>
      <c r="P1072" s="0" t="str">
        <f aca="false">IFERROR(IF(OR(HLOOKUP($A1072,#REF!,14,FALSE())&gt;2,HLOOKUP($A1072,#REF!,14,FALSE())&lt;-2),"",#REF!),"")</f>
        <v/>
      </c>
      <c r="Q1072" s="0" t="str">
        <f aca="false">IFERROR(IF(OR(HLOOKUP($A1072,#REF!,15,FALSE())&gt;2,HLOOKUP($A1072,#REF!,15,FALSE())&lt;-2),"",#REF!),"")</f>
        <v/>
      </c>
      <c r="R1072" s="0" t="str">
        <f aca="false">IFERROR(IF(OR(HLOOKUP($A1072,#REF!,16,FALSE())&gt;2,HLOOKUP($A1072,#REF!,16,FALSE())&lt;-2),"",#REF!),"")</f>
        <v/>
      </c>
      <c r="S1072" s="0" t="str">
        <f aca="false">IFERROR(IF(OR(HLOOKUP($A1072,#REF!,17,FALSE())&gt;2,HLOOKUP($A1072,#REF!,17,FALSE())&lt;-2),"",#REF!),"")</f>
        <v/>
      </c>
      <c r="T1072" s="0" t="str">
        <f aca="false">IFERROR(IF(OR(HLOOKUP($A1072,#REF!,18,FALSE())&gt;2,HLOOKUP($A1072,#REF!,18,FALSE())&lt;-2),"",#REF!),"")</f>
        <v/>
      </c>
      <c r="U1072" s="0" t="str">
        <f aca="false">IFERROR(IF(OR(HLOOKUP($A1072,#REF!,19,FALSE())&gt;2,HLOOKUP($A1072,#REF!,19,FALSE())&lt;-2),"",#REF!),"")</f>
        <v/>
      </c>
      <c r="V1072" s="0" t="n">
        <f aca="false">IFERROR(IF(AND(X1072=0,Y1072=0),0,1),0)</f>
        <v>1</v>
      </c>
      <c r="W1072" s="3" t="str">
        <f aca="false">IFERROR(_xlfn.T.TEST(E1072:M1072,N1072:U1072,2,2),"")</f>
        <v/>
      </c>
      <c r="X1072" s="0" t="str">
        <f aca="false">IFERROR(AVERAGE(E1072:M1072),"")</f>
        <v/>
      </c>
      <c r="Y1072" s="0" t="str">
        <f aca="false">IFERROR(AVERAGE(N1072:U1072),"")</f>
        <v/>
      </c>
    </row>
    <row r="1073" customFormat="false" ht="14.5" hidden="false" customHeight="false" outlineLevel="0" collapsed="false">
      <c r="A1073" s="0" t="n">
        <v>1082</v>
      </c>
      <c r="B1073" s="0" t="s">
        <v>1116</v>
      </c>
      <c r="C1073" s="0" t="n">
        <v>32900</v>
      </c>
      <c r="D1073" s="0" t="n">
        <v>589</v>
      </c>
      <c r="E1073" s="0" t="str">
        <f aca="false">IFERROR(IF(OR(HLOOKUP($A1073,#REF!,3,FALSE())&gt;2,HLOOKUP(A1073,#REF!,3,FALSE())&lt;-2),"",#REF!),"")</f>
        <v/>
      </c>
      <c r="F1073" s="0" t="str">
        <f aca="false">IFERROR(IF(OR(HLOOKUP($A1073,#REF!,4,FALSE())&gt;2,HLOOKUP($A1073,#REF!,4,FALSE())&lt;-2),"",#REF!),"")</f>
        <v/>
      </c>
      <c r="G1073" s="0" t="str">
        <f aca="false">IFERROR(IF(OR(HLOOKUP($A1073,#REF!,5,FALSE())&gt;2,HLOOKUP($A1073,#REF!,5,FALSE())&lt;-2),"",#REF!),"")</f>
        <v/>
      </c>
      <c r="H1073" s="0" t="str">
        <f aca="false">IFERROR(IF(OR(HLOOKUP($A1073,#REF!,6,FALSE())&gt;2,HLOOKUP($A1073,#REF!,6,FALSE())&lt;-2),"",#REF!),"")</f>
        <v/>
      </c>
      <c r="I1073" s="0" t="str">
        <f aca="false">IFERROR(IF(OR(HLOOKUP($A1073,#REF!,7,FALSE())&gt;2,HLOOKUP($A1073,#REF!,7,FALSE())&lt;-2),"",#REF!),"")</f>
        <v/>
      </c>
      <c r="J1073" s="0" t="str">
        <f aca="false">IFERROR(IF(OR(HLOOKUP($A1073,#REF!,8,FALSE())&gt;2,HLOOKUP($A1073,#REF!,8,FALSE())&lt;-2),"",#REF!),"")</f>
        <v/>
      </c>
      <c r="K1073" s="0" t="str">
        <f aca="false">IFERROR(IF(OR(HLOOKUP($A1073,#REF!,9,FALSE())&gt;2,HLOOKUP($A1073,#REF!,9,FALSE())&lt;-2),"",#REF!),"")</f>
        <v/>
      </c>
      <c r="L1073" s="0" t="str">
        <f aca="false">IFERROR(IF(OR(HLOOKUP($A1073,#REF!,10,FALSE())&gt;2,HLOOKUP($A1073,#REF!,10,FALSE())&lt;-2),"",#REF!),"")</f>
        <v/>
      </c>
      <c r="M1073" s="0" t="str">
        <f aca="false">IFERROR(IF(OR(HLOOKUP($A1073,#REF!,11,FALSE())&gt;2,HLOOKUP($A1073,#REF!,11,FALSE())&lt;-2),"",#REF!),"")</f>
        <v/>
      </c>
      <c r="N1073" s="0" t="str">
        <f aca="false">IFERROR(IF(OR(HLOOKUP($A1073,#REF!,12,FALSE())&gt;2,HLOOKUP($A1073,#REF!,12,FALSE())&lt;-2),"",#REF!),"")</f>
        <v/>
      </c>
      <c r="O1073" s="0" t="str">
        <f aca="false">IFERROR(IF(OR(HLOOKUP($A1073,#REF!,13,FALSE())&gt;2,HLOOKUP($A1073,#REF!,13,FALSE())&lt;-2),"",#REF!),"")</f>
        <v/>
      </c>
      <c r="P1073" s="0" t="str">
        <f aca="false">IFERROR(IF(OR(HLOOKUP($A1073,#REF!,14,FALSE())&gt;2,HLOOKUP($A1073,#REF!,14,FALSE())&lt;-2),"",#REF!),"")</f>
        <v/>
      </c>
      <c r="Q1073" s="0" t="str">
        <f aca="false">IFERROR(IF(OR(HLOOKUP($A1073,#REF!,15,FALSE())&gt;2,HLOOKUP($A1073,#REF!,15,FALSE())&lt;-2),"",#REF!),"")</f>
        <v/>
      </c>
      <c r="R1073" s="0" t="str">
        <f aca="false">IFERROR(IF(OR(HLOOKUP($A1073,#REF!,16,FALSE())&gt;2,HLOOKUP($A1073,#REF!,16,FALSE())&lt;-2),"",#REF!),"")</f>
        <v/>
      </c>
      <c r="S1073" s="0" t="str">
        <f aca="false">IFERROR(IF(OR(HLOOKUP($A1073,#REF!,17,FALSE())&gt;2,HLOOKUP($A1073,#REF!,17,FALSE())&lt;-2),"",#REF!),"")</f>
        <v/>
      </c>
      <c r="T1073" s="0" t="str">
        <f aca="false">IFERROR(IF(OR(HLOOKUP($A1073,#REF!,18,FALSE())&gt;2,HLOOKUP($A1073,#REF!,18,FALSE())&lt;-2),"",#REF!),"")</f>
        <v/>
      </c>
      <c r="U1073" s="0" t="str">
        <f aca="false">IFERROR(IF(OR(HLOOKUP($A1073,#REF!,19,FALSE())&gt;2,HLOOKUP($A1073,#REF!,19,FALSE())&lt;-2),"",#REF!),"")</f>
        <v/>
      </c>
      <c r="V1073" s="0" t="n">
        <f aca="false">IFERROR(IF(AND(X1073=0,Y1073=0),0,1),0)</f>
        <v>1</v>
      </c>
      <c r="W1073" s="3" t="str">
        <f aca="false">IFERROR(_xlfn.T.TEST(E1073:M1073,N1073:U1073,2,2),"")</f>
        <v/>
      </c>
      <c r="X1073" s="0" t="str">
        <f aca="false">IFERROR(AVERAGE(E1073:M1073),"")</f>
        <v/>
      </c>
      <c r="Y1073" s="0" t="str">
        <f aca="false">IFERROR(AVERAGE(N1073:U1073),"")</f>
        <v/>
      </c>
    </row>
    <row r="1074" customFormat="false" ht="14.5" hidden="false" customHeight="false" outlineLevel="0" collapsed="false">
      <c r="A1074" s="0" t="n">
        <v>1083</v>
      </c>
      <c r="B1074" s="0" t="s">
        <v>1117</v>
      </c>
      <c r="C1074" s="0" t="n">
        <v>115000</v>
      </c>
      <c r="D1074" s="0" t="n">
        <v>824</v>
      </c>
      <c r="E1074" s="0" t="str">
        <f aca="false">IFERROR(IF(OR(HLOOKUP($A1074,#REF!,3,FALSE())&gt;2,HLOOKUP(A1074,#REF!,3,FALSE())&lt;-2),"",#REF!),"")</f>
        <v/>
      </c>
      <c r="F1074" s="0" t="str">
        <f aca="false">IFERROR(IF(OR(HLOOKUP($A1074,#REF!,4,FALSE())&gt;2,HLOOKUP($A1074,#REF!,4,FALSE())&lt;-2),"",#REF!),"")</f>
        <v/>
      </c>
      <c r="G1074" s="0" t="str">
        <f aca="false">IFERROR(IF(OR(HLOOKUP($A1074,#REF!,5,FALSE())&gt;2,HLOOKUP($A1074,#REF!,5,FALSE())&lt;-2),"",#REF!),"")</f>
        <v/>
      </c>
      <c r="H1074" s="0" t="str">
        <f aca="false">IFERROR(IF(OR(HLOOKUP($A1074,#REF!,6,FALSE())&gt;2,HLOOKUP($A1074,#REF!,6,FALSE())&lt;-2),"",#REF!),"")</f>
        <v/>
      </c>
      <c r="I1074" s="0" t="str">
        <f aca="false">IFERROR(IF(OR(HLOOKUP($A1074,#REF!,7,FALSE())&gt;2,HLOOKUP($A1074,#REF!,7,FALSE())&lt;-2),"",#REF!),"")</f>
        <v/>
      </c>
      <c r="J1074" s="0" t="str">
        <f aca="false">IFERROR(IF(OR(HLOOKUP($A1074,#REF!,8,FALSE())&gt;2,HLOOKUP($A1074,#REF!,8,FALSE())&lt;-2),"",#REF!),"")</f>
        <v/>
      </c>
      <c r="K1074" s="0" t="str">
        <f aca="false">IFERROR(IF(OR(HLOOKUP($A1074,#REF!,9,FALSE())&gt;2,HLOOKUP($A1074,#REF!,9,FALSE())&lt;-2),"",#REF!),"")</f>
        <v/>
      </c>
      <c r="L1074" s="0" t="str">
        <f aca="false">IFERROR(IF(OR(HLOOKUP($A1074,#REF!,10,FALSE())&gt;2,HLOOKUP($A1074,#REF!,10,FALSE())&lt;-2),"",#REF!),"")</f>
        <v/>
      </c>
      <c r="M1074" s="0" t="str">
        <f aca="false">IFERROR(IF(OR(HLOOKUP($A1074,#REF!,11,FALSE())&gt;2,HLOOKUP($A1074,#REF!,11,FALSE())&lt;-2),"",#REF!),"")</f>
        <v/>
      </c>
      <c r="N1074" s="0" t="str">
        <f aca="false">IFERROR(IF(OR(HLOOKUP($A1074,#REF!,12,FALSE())&gt;2,HLOOKUP($A1074,#REF!,12,FALSE())&lt;-2),"",#REF!),"")</f>
        <v/>
      </c>
      <c r="O1074" s="0" t="str">
        <f aca="false">IFERROR(IF(OR(HLOOKUP($A1074,#REF!,13,FALSE())&gt;2,HLOOKUP($A1074,#REF!,13,FALSE())&lt;-2),"",#REF!),"")</f>
        <v/>
      </c>
      <c r="P1074" s="0" t="str">
        <f aca="false">IFERROR(IF(OR(HLOOKUP($A1074,#REF!,14,FALSE())&gt;2,HLOOKUP($A1074,#REF!,14,FALSE())&lt;-2),"",#REF!),"")</f>
        <v/>
      </c>
      <c r="Q1074" s="0" t="str">
        <f aca="false">IFERROR(IF(OR(HLOOKUP($A1074,#REF!,15,FALSE())&gt;2,HLOOKUP($A1074,#REF!,15,FALSE())&lt;-2),"",#REF!),"")</f>
        <v/>
      </c>
      <c r="R1074" s="0" t="str">
        <f aca="false">IFERROR(IF(OR(HLOOKUP($A1074,#REF!,16,FALSE())&gt;2,HLOOKUP($A1074,#REF!,16,FALSE())&lt;-2),"",#REF!),"")</f>
        <v/>
      </c>
      <c r="S1074" s="0" t="str">
        <f aca="false">IFERROR(IF(OR(HLOOKUP($A1074,#REF!,17,FALSE())&gt;2,HLOOKUP($A1074,#REF!,17,FALSE())&lt;-2),"",#REF!),"")</f>
        <v/>
      </c>
      <c r="T1074" s="0" t="str">
        <f aca="false">IFERROR(IF(OR(HLOOKUP($A1074,#REF!,18,FALSE())&gt;2,HLOOKUP($A1074,#REF!,18,FALSE())&lt;-2),"",#REF!),"")</f>
        <v/>
      </c>
      <c r="U1074" s="0" t="str">
        <f aca="false">IFERROR(IF(OR(HLOOKUP($A1074,#REF!,19,FALSE())&gt;2,HLOOKUP($A1074,#REF!,19,FALSE())&lt;-2),"",#REF!),"")</f>
        <v/>
      </c>
      <c r="V1074" s="0" t="n">
        <f aca="false">IFERROR(IF(AND(X1074=0,Y1074=0),0,1),0)</f>
        <v>1</v>
      </c>
      <c r="W1074" s="3" t="str">
        <f aca="false">IFERROR(_xlfn.T.TEST(E1074:M1074,N1074:U1074,2,2),"")</f>
        <v/>
      </c>
      <c r="X1074" s="0" t="str">
        <f aca="false">IFERROR(AVERAGE(E1074:M1074),"")</f>
        <v/>
      </c>
      <c r="Y1074" s="0" t="str">
        <f aca="false">IFERROR(AVERAGE(N1074:U1074),"")</f>
        <v/>
      </c>
    </row>
    <row r="1075" customFormat="false" ht="14.5" hidden="false" customHeight="false" outlineLevel="0" collapsed="false">
      <c r="A1075" s="0" t="n">
        <v>1084</v>
      </c>
      <c r="B1075" s="0" t="s">
        <v>1118</v>
      </c>
      <c r="C1075" s="0" t="n">
        <v>45100</v>
      </c>
      <c r="D1075" s="0" t="n">
        <v>822</v>
      </c>
      <c r="E1075" s="0" t="str">
        <f aca="false">IFERROR(IF(OR(HLOOKUP($A1075,#REF!,3,FALSE())&gt;2,HLOOKUP(A1075,#REF!,3,FALSE())&lt;-2),"",#REF!),"")</f>
        <v/>
      </c>
      <c r="F1075" s="0" t="str">
        <f aca="false">IFERROR(IF(OR(HLOOKUP($A1075,#REF!,4,FALSE())&gt;2,HLOOKUP($A1075,#REF!,4,FALSE())&lt;-2),"",#REF!),"")</f>
        <v/>
      </c>
      <c r="G1075" s="0" t="str">
        <f aca="false">IFERROR(IF(OR(HLOOKUP($A1075,#REF!,5,FALSE())&gt;2,HLOOKUP($A1075,#REF!,5,FALSE())&lt;-2),"",#REF!),"")</f>
        <v/>
      </c>
      <c r="H1075" s="0" t="str">
        <f aca="false">IFERROR(IF(OR(HLOOKUP($A1075,#REF!,6,FALSE())&gt;2,HLOOKUP($A1075,#REF!,6,FALSE())&lt;-2),"",#REF!),"")</f>
        <v/>
      </c>
      <c r="I1075" s="0" t="str">
        <f aca="false">IFERROR(IF(OR(HLOOKUP($A1075,#REF!,7,FALSE())&gt;2,HLOOKUP($A1075,#REF!,7,FALSE())&lt;-2),"",#REF!),"")</f>
        <v/>
      </c>
      <c r="J1075" s="0" t="str">
        <f aca="false">IFERROR(IF(OR(HLOOKUP($A1075,#REF!,8,FALSE())&gt;2,HLOOKUP($A1075,#REF!,8,FALSE())&lt;-2),"",#REF!),"")</f>
        <v/>
      </c>
      <c r="K1075" s="0" t="str">
        <f aca="false">IFERROR(IF(OR(HLOOKUP($A1075,#REF!,9,FALSE())&gt;2,HLOOKUP($A1075,#REF!,9,FALSE())&lt;-2),"",#REF!),"")</f>
        <v/>
      </c>
      <c r="L1075" s="0" t="str">
        <f aca="false">IFERROR(IF(OR(HLOOKUP($A1075,#REF!,10,FALSE())&gt;2,HLOOKUP($A1075,#REF!,10,FALSE())&lt;-2),"",#REF!),"")</f>
        <v/>
      </c>
      <c r="M1075" s="0" t="str">
        <f aca="false">IFERROR(IF(OR(HLOOKUP($A1075,#REF!,11,FALSE())&gt;2,HLOOKUP($A1075,#REF!,11,FALSE())&lt;-2),"",#REF!),"")</f>
        <v/>
      </c>
      <c r="N1075" s="0" t="str">
        <f aca="false">IFERROR(IF(OR(HLOOKUP($A1075,#REF!,12,FALSE())&gt;2,HLOOKUP($A1075,#REF!,12,FALSE())&lt;-2),"",#REF!),"")</f>
        <v/>
      </c>
      <c r="O1075" s="0" t="str">
        <f aca="false">IFERROR(IF(OR(HLOOKUP($A1075,#REF!,13,FALSE())&gt;2,HLOOKUP($A1075,#REF!,13,FALSE())&lt;-2),"",#REF!),"")</f>
        <v/>
      </c>
      <c r="P1075" s="0" t="str">
        <f aca="false">IFERROR(IF(OR(HLOOKUP($A1075,#REF!,14,FALSE())&gt;2,HLOOKUP($A1075,#REF!,14,FALSE())&lt;-2),"",#REF!),"")</f>
        <v/>
      </c>
      <c r="Q1075" s="0" t="str">
        <f aca="false">IFERROR(IF(OR(HLOOKUP($A1075,#REF!,15,FALSE())&gt;2,HLOOKUP($A1075,#REF!,15,FALSE())&lt;-2),"",#REF!),"")</f>
        <v/>
      </c>
      <c r="R1075" s="0" t="str">
        <f aca="false">IFERROR(IF(OR(HLOOKUP($A1075,#REF!,16,FALSE())&gt;2,HLOOKUP($A1075,#REF!,16,FALSE())&lt;-2),"",#REF!),"")</f>
        <v/>
      </c>
      <c r="S1075" s="0" t="str">
        <f aca="false">IFERROR(IF(OR(HLOOKUP($A1075,#REF!,17,FALSE())&gt;2,HLOOKUP($A1075,#REF!,17,FALSE())&lt;-2),"",#REF!),"")</f>
        <v/>
      </c>
      <c r="T1075" s="0" t="str">
        <f aca="false">IFERROR(IF(OR(HLOOKUP($A1075,#REF!,18,FALSE())&gt;2,HLOOKUP($A1075,#REF!,18,FALSE())&lt;-2),"",#REF!),"")</f>
        <v/>
      </c>
      <c r="U1075" s="0" t="str">
        <f aca="false">IFERROR(IF(OR(HLOOKUP($A1075,#REF!,19,FALSE())&gt;2,HLOOKUP($A1075,#REF!,19,FALSE())&lt;-2),"",#REF!),"")</f>
        <v/>
      </c>
      <c r="V1075" s="0" t="n">
        <f aca="false">IFERROR(IF(AND(X1075=0,Y1075=0),0,1),0)</f>
        <v>1</v>
      </c>
      <c r="W1075" s="3" t="str">
        <f aca="false">IFERROR(_xlfn.T.TEST(E1075:M1075,N1075:U1075,2,2),"")</f>
        <v/>
      </c>
      <c r="X1075" s="0" t="str">
        <f aca="false">IFERROR(AVERAGE(E1075:M1075),"")</f>
        <v/>
      </c>
      <c r="Y1075" s="0" t="str">
        <f aca="false">IFERROR(AVERAGE(N1075:U1075),"")</f>
        <v/>
      </c>
    </row>
    <row r="1076" customFormat="false" ht="14.5" hidden="false" customHeight="false" outlineLevel="0" collapsed="false">
      <c r="A1076" s="0" t="n">
        <v>1085</v>
      </c>
      <c r="B1076" s="0" t="s">
        <v>1119</v>
      </c>
      <c r="C1076" s="0" t="n">
        <v>2600</v>
      </c>
      <c r="D1076" s="0" t="n">
        <v>993</v>
      </c>
      <c r="E1076" s="0" t="str">
        <f aca="false">IFERROR(IF(OR(HLOOKUP($A1076,#REF!,3,FALSE())&gt;2,HLOOKUP(A1076,#REF!,3,FALSE())&lt;-2),"",#REF!),"")</f>
        <v/>
      </c>
      <c r="F1076" s="0" t="str">
        <f aca="false">IFERROR(IF(OR(HLOOKUP($A1076,#REF!,4,FALSE())&gt;2,HLOOKUP($A1076,#REF!,4,FALSE())&lt;-2),"",#REF!),"")</f>
        <v/>
      </c>
      <c r="G1076" s="0" t="str">
        <f aca="false">IFERROR(IF(OR(HLOOKUP($A1076,#REF!,5,FALSE())&gt;2,HLOOKUP($A1076,#REF!,5,FALSE())&lt;-2),"",#REF!),"")</f>
        <v/>
      </c>
      <c r="H1076" s="0" t="str">
        <f aca="false">IFERROR(IF(OR(HLOOKUP($A1076,#REF!,6,FALSE())&gt;2,HLOOKUP($A1076,#REF!,6,FALSE())&lt;-2),"",#REF!),"")</f>
        <v/>
      </c>
      <c r="I1076" s="0" t="str">
        <f aca="false">IFERROR(IF(OR(HLOOKUP($A1076,#REF!,7,FALSE())&gt;2,HLOOKUP($A1076,#REF!,7,FALSE())&lt;-2),"",#REF!),"")</f>
        <v/>
      </c>
      <c r="J1076" s="0" t="str">
        <f aca="false">IFERROR(IF(OR(HLOOKUP($A1076,#REF!,8,FALSE())&gt;2,HLOOKUP($A1076,#REF!,8,FALSE())&lt;-2),"",#REF!),"")</f>
        <v/>
      </c>
      <c r="K1076" s="0" t="str">
        <f aca="false">IFERROR(IF(OR(HLOOKUP($A1076,#REF!,9,FALSE())&gt;2,HLOOKUP($A1076,#REF!,9,FALSE())&lt;-2),"",#REF!),"")</f>
        <v/>
      </c>
      <c r="L1076" s="0" t="str">
        <f aca="false">IFERROR(IF(OR(HLOOKUP($A1076,#REF!,10,FALSE())&gt;2,HLOOKUP($A1076,#REF!,10,FALSE())&lt;-2),"",#REF!),"")</f>
        <v/>
      </c>
      <c r="M1076" s="0" t="str">
        <f aca="false">IFERROR(IF(OR(HLOOKUP($A1076,#REF!,11,FALSE())&gt;2,HLOOKUP($A1076,#REF!,11,FALSE())&lt;-2),"",#REF!),"")</f>
        <v/>
      </c>
      <c r="N1076" s="0" t="str">
        <f aca="false">IFERROR(IF(OR(HLOOKUP($A1076,#REF!,12,FALSE())&gt;2,HLOOKUP($A1076,#REF!,12,FALSE())&lt;-2),"",#REF!),"")</f>
        <v/>
      </c>
      <c r="O1076" s="0" t="str">
        <f aca="false">IFERROR(IF(OR(HLOOKUP($A1076,#REF!,13,FALSE())&gt;2,HLOOKUP($A1076,#REF!,13,FALSE())&lt;-2),"",#REF!),"")</f>
        <v/>
      </c>
      <c r="P1076" s="0" t="str">
        <f aca="false">IFERROR(IF(OR(HLOOKUP($A1076,#REF!,14,FALSE())&gt;2,HLOOKUP($A1076,#REF!,14,FALSE())&lt;-2),"",#REF!),"")</f>
        <v/>
      </c>
      <c r="Q1076" s="0" t="str">
        <f aca="false">IFERROR(IF(OR(HLOOKUP($A1076,#REF!,15,FALSE())&gt;2,HLOOKUP($A1076,#REF!,15,FALSE())&lt;-2),"",#REF!),"")</f>
        <v/>
      </c>
      <c r="R1076" s="0" t="str">
        <f aca="false">IFERROR(IF(OR(HLOOKUP($A1076,#REF!,16,FALSE())&gt;2,HLOOKUP($A1076,#REF!,16,FALSE())&lt;-2),"",#REF!),"")</f>
        <v/>
      </c>
      <c r="S1076" s="0" t="str">
        <f aca="false">IFERROR(IF(OR(HLOOKUP($A1076,#REF!,17,FALSE())&gt;2,HLOOKUP($A1076,#REF!,17,FALSE())&lt;-2),"",#REF!),"")</f>
        <v/>
      </c>
      <c r="T1076" s="0" t="str">
        <f aca="false">IFERROR(IF(OR(HLOOKUP($A1076,#REF!,18,FALSE())&gt;2,HLOOKUP($A1076,#REF!,18,FALSE())&lt;-2),"",#REF!),"")</f>
        <v/>
      </c>
      <c r="U1076" s="0" t="str">
        <f aca="false">IFERROR(IF(OR(HLOOKUP($A1076,#REF!,19,FALSE())&gt;2,HLOOKUP($A1076,#REF!,19,FALSE())&lt;-2),"",#REF!),"")</f>
        <v/>
      </c>
      <c r="V1076" s="0" t="n">
        <f aca="false">IFERROR(IF(AND(X1076=0,Y1076=0),0,1),0)</f>
        <v>1</v>
      </c>
      <c r="W1076" s="3" t="str">
        <f aca="false">IFERROR(_xlfn.T.TEST(E1076:M1076,N1076:U1076,2,2),"")</f>
        <v/>
      </c>
      <c r="X1076" s="0" t="str">
        <f aca="false">IFERROR(AVERAGE(E1076:M1076),"")</f>
        <v/>
      </c>
      <c r="Y1076" s="0" t="str">
        <f aca="false">IFERROR(AVERAGE(N1076:U1076),"")</f>
        <v/>
      </c>
    </row>
    <row r="1077" customFormat="false" ht="14.5" hidden="false" customHeight="false" outlineLevel="0" collapsed="false">
      <c r="A1077" s="0" t="n">
        <v>1086</v>
      </c>
      <c r="B1077" s="0" t="s">
        <v>1120</v>
      </c>
      <c r="C1077" s="0" t="n">
        <v>7300</v>
      </c>
      <c r="D1077" s="0" t="n">
        <v>361</v>
      </c>
      <c r="E1077" s="0" t="str">
        <f aca="false">IFERROR(IF(OR(HLOOKUP($A1077,#REF!,3,FALSE())&gt;2,HLOOKUP(A1077,#REF!,3,FALSE())&lt;-2),"",#REF!),"")</f>
        <v/>
      </c>
      <c r="F1077" s="0" t="str">
        <f aca="false">IFERROR(IF(OR(HLOOKUP($A1077,#REF!,4,FALSE())&gt;2,HLOOKUP($A1077,#REF!,4,FALSE())&lt;-2),"",#REF!),"")</f>
        <v/>
      </c>
      <c r="G1077" s="0" t="str">
        <f aca="false">IFERROR(IF(OR(HLOOKUP($A1077,#REF!,5,FALSE())&gt;2,HLOOKUP($A1077,#REF!,5,FALSE())&lt;-2),"",#REF!),"")</f>
        <v/>
      </c>
      <c r="H1077" s="0" t="str">
        <f aca="false">IFERROR(IF(OR(HLOOKUP($A1077,#REF!,6,FALSE())&gt;2,HLOOKUP($A1077,#REF!,6,FALSE())&lt;-2),"",#REF!),"")</f>
        <v/>
      </c>
      <c r="I1077" s="0" t="str">
        <f aca="false">IFERROR(IF(OR(HLOOKUP($A1077,#REF!,7,FALSE())&gt;2,HLOOKUP($A1077,#REF!,7,FALSE())&lt;-2),"",#REF!),"")</f>
        <v/>
      </c>
      <c r="J1077" s="0" t="str">
        <f aca="false">IFERROR(IF(OR(HLOOKUP($A1077,#REF!,8,FALSE())&gt;2,HLOOKUP($A1077,#REF!,8,FALSE())&lt;-2),"",#REF!),"")</f>
        <v/>
      </c>
      <c r="K1077" s="0" t="str">
        <f aca="false">IFERROR(IF(OR(HLOOKUP($A1077,#REF!,9,FALSE())&gt;2,HLOOKUP($A1077,#REF!,9,FALSE())&lt;-2),"",#REF!),"")</f>
        <v/>
      </c>
      <c r="L1077" s="0" t="str">
        <f aca="false">IFERROR(IF(OR(HLOOKUP($A1077,#REF!,10,FALSE())&gt;2,HLOOKUP($A1077,#REF!,10,FALSE())&lt;-2),"",#REF!),"")</f>
        <v/>
      </c>
      <c r="M1077" s="0" t="str">
        <f aca="false">IFERROR(IF(OR(HLOOKUP($A1077,#REF!,11,FALSE())&gt;2,HLOOKUP($A1077,#REF!,11,FALSE())&lt;-2),"",#REF!),"")</f>
        <v/>
      </c>
      <c r="N1077" s="0" t="str">
        <f aca="false">IFERROR(IF(OR(HLOOKUP($A1077,#REF!,12,FALSE())&gt;2,HLOOKUP($A1077,#REF!,12,FALSE())&lt;-2),"",#REF!),"")</f>
        <v/>
      </c>
      <c r="O1077" s="0" t="str">
        <f aca="false">IFERROR(IF(OR(HLOOKUP($A1077,#REF!,13,FALSE())&gt;2,HLOOKUP($A1077,#REF!,13,FALSE())&lt;-2),"",#REF!),"")</f>
        <v/>
      </c>
      <c r="P1077" s="0" t="str">
        <f aca="false">IFERROR(IF(OR(HLOOKUP($A1077,#REF!,14,FALSE())&gt;2,HLOOKUP($A1077,#REF!,14,FALSE())&lt;-2),"",#REF!),"")</f>
        <v/>
      </c>
      <c r="Q1077" s="0" t="str">
        <f aca="false">IFERROR(IF(OR(HLOOKUP($A1077,#REF!,15,FALSE())&gt;2,HLOOKUP($A1077,#REF!,15,FALSE())&lt;-2),"",#REF!),"")</f>
        <v/>
      </c>
      <c r="R1077" s="0" t="str">
        <f aca="false">IFERROR(IF(OR(HLOOKUP($A1077,#REF!,16,FALSE())&gt;2,HLOOKUP($A1077,#REF!,16,FALSE())&lt;-2),"",#REF!),"")</f>
        <v/>
      </c>
      <c r="S1077" s="0" t="str">
        <f aca="false">IFERROR(IF(OR(HLOOKUP($A1077,#REF!,17,FALSE())&gt;2,HLOOKUP($A1077,#REF!,17,FALSE())&lt;-2),"",#REF!),"")</f>
        <v/>
      </c>
      <c r="T1077" s="0" t="str">
        <f aca="false">IFERROR(IF(OR(HLOOKUP($A1077,#REF!,18,FALSE())&gt;2,HLOOKUP($A1077,#REF!,18,FALSE())&lt;-2),"",#REF!),"")</f>
        <v/>
      </c>
      <c r="U1077" s="0" t="str">
        <f aca="false">IFERROR(IF(OR(HLOOKUP($A1077,#REF!,19,FALSE())&gt;2,HLOOKUP($A1077,#REF!,19,FALSE())&lt;-2),"",#REF!),"")</f>
        <v/>
      </c>
      <c r="V1077" s="0" t="n">
        <f aca="false">IFERROR(IF(AND(X1077=0,Y1077=0),0,1),0)</f>
        <v>1</v>
      </c>
      <c r="W1077" s="3" t="str">
        <f aca="false">IFERROR(_xlfn.T.TEST(E1077:M1077,N1077:U1077,2,2),"")</f>
        <v/>
      </c>
      <c r="X1077" s="0" t="str">
        <f aca="false">IFERROR(AVERAGE(E1077:M1077),"")</f>
        <v/>
      </c>
      <c r="Y1077" s="0" t="str">
        <f aca="false">IFERROR(AVERAGE(N1077:U1077),"")</f>
        <v/>
      </c>
    </row>
    <row r="1078" customFormat="false" ht="14.5" hidden="false" customHeight="false" outlineLevel="0" collapsed="false">
      <c r="A1078" s="0" t="n">
        <v>1087</v>
      </c>
      <c r="B1078" s="0" t="s">
        <v>1121</v>
      </c>
      <c r="C1078" s="0" t="n">
        <v>117700</v>
      </c>
      <c r="D1078" s="0" t="n">
        <v>1040</v>
      </c>
      <c r="E1078" s="0" t="str">
        <f aca="false">IFERROR(IF(OR(HLOOKUP($A1078,#REF!,3,FALSE())&gt;2,HLOOKUP(A1078,#REF!,3,FALSE())&lt;-2),"",#REF!),"")</f>
        <v/>
      </c>
      <c r="F1078" s="0" t="str">
        <f aca="false">IFERROR(IF(OR(HLOOKUP($A1078,#REF!,4,FALSE())&gt;2,HLOOKUP($A1078,#REF!,4,FALSE())&lt;-2),"",#REF!),"")</f>
        <v/>
      </c>
      <c r="G1078" s="0" t="str">
        <f aca="false">IFERROR(IF(OR(HLOOKUP($A1078,#REF!,5,FALSE())&gt;2,HLOOKUP($A1078,#REF!,5,FALSE())&lt;-2),"",#REF!),"")</f>
        <v/>
      </c>
      <c r="H1078" s="0" t="str">
        <f aca="false">IFERROR(IF(OR(HLOOKUP($A1078,#REF!,6,FALSE())&gt;2,HLOOKUP($A1078,#REF!,6,FALSE())&lt;-2),"",#REF!),"")</f>
        <v/>
      </c>
      <c r="I1078" s="0" t="str">
        <f aca="false">IFERROR(IF(OR(HLOOKUP($A1078,#REF!,7,FALSE())&gt;2,HLOOKUP($A1078,#REF!,7,FALSE())&lt;-2),"",#REF!),"")</f>
        <v/>
      </c>
      <c r="J1078" s="0" t="str">
        <f aca="false">IFERROR(IF(OR(HLOOKUP($A1078,#REF!,8,FALSE())&gt;2,HLOOKUP($A1078,#REF!,8,FALSE())&lt;-2),"",#REF!),"")</f>
        <v/>
      </c>
      <c r="K1078" s="0" t="str">
        <f aca="false">IFERROR(IF(OR(HLOOKUP($A1078,#REF!,9,FALSE())&gt;2,HLOOKUP($A1078,#REF!,9,FALSE())&lt;-2),"",#REF!),"")</f>
        <v/>
      </c>
      <c r="L1078" s="0" t="str">
        <f aca="false">IFERROR(IF(OR(HLOOKUP($A1078,#REF!,10,FALSE())&gt;2,HLOOKUP($A1078,#REF!,10,FALSE())&lt;-2),"",#REF!),"")</f>
        <v/>
      </c>
      <c r="M1078" s="0" t="str">
        <f aca="false">IFERROR(IF(OR(HLOOKUP($A1078,#REF!,11,FALSE())&gt;2,HLOOKUP($A1078,#REF!,11,FALSE())&lt;-2),"",#REF!),"")</f>
        <v/>
      </c>
      <c r="N1078" s="0" t="str">
        <f aca="false">IFERROR(IF(OR(HLOOKUP($A1078,#REF!,12,FALSE())&gt;2,HLOOKUP($A1078,#REF!,12,FALSE())&lt;-2),"",#REF!),"")</f>
        <v/>
      </c>
      <c r="O1078" s="0" t="str">
        <f aca="false">IFERROR(IF(OR(HLOOKUP($A1078,#REF!,13,FALSE())&gt;2,HLOOKUP($A1078,#REF!,13,FALSE())&lt;-2),"",#REF!),"")</f>
        <v/>
      </c>
      <c r="P1078" s="0" t="str">
        <f aca="false">IFERROR(IF(OR(HLOOKUP($A1078,#REF!,14,FALSE())&gt;2,HLOOKUP($A1078,#REF!,14,FALSE())&lt;-2),"",#REF!),"")</f>
        <v/>
      </c>
      <c r="Q1078" s="0" t="str">
        <f aca="false">IFERROR(IF(OR(HLOOKUP($A1078,#REF!,15,FALSE())&gt;2,HLOOKUP($A1078,#REF!,15,FALSE())&lt;-2),"",#REF!),"")</f>
        <v/>
      </c>
      <c r="R1078" s="0" t="str">
        <f aca="false">IFERROR(IF(OR(HLOOKUP($A1078,#REF!,16,FALSE())&gt;2,HLOOKUP($A1078,#REF!,16,FALSE())&lt;-2),"",#REF!),"")</f>
        <v/>
      </c>
      <c r="S1078" s="0" t="str">
        <f aca="false">IFERROR(IF(OR(HLOOKUP($A1078,#REF!,17,FALSE())&gt;2,HLOOKUP($A1078,#REF!,17,FALSE())&lt;-2),"",#REF!),"")</f>
        <v/>
      </c>
      <c r="T1078" s="0" t="str">
        <f aca="false">IFERROR(IF(OR(HLOOKUP($A1078,#REF!,18,FALSE())&gt;2,HLOOKUP($A1078,#REF!,18,FALSE())&lt;-2),"",#REF!),"")</f>
        <v/>
      </c>
      <c r="U1078" s="0" t="str">
        <f aca="false">IFERROR(IF(OR(HLOOKUP($A1078,#REF!,19,FALSE())&gt;2,HLOOKUP($A1078,#REF!,19,FALSE())&lt;-2),"",#REF!),"")</f>
        <v/>
      </c>
      <c r="V1078" s="0" t="n">
        <f aca="false">IFERROR(IF(AND(X1078=0,Y1078=0),0,1),0)</f>
        <v>1</v>
      </c>
      <c r="W1078" s="3" t="str">
        <f aca="false">IFERROR(_xlfn.T.TEST(E1078:M1078,N1078:U1078,2,2),"")</f>
        <v/>
      </c>
      <c r="X1078" s="0" t="str">
        <f aca="false">IFERROR(AVERAGE(E1078:M1078),"")</f>
        <v/>
      </c>
      <c r="Y1078" s="0" t="str">
        <f aca="false">IFERROR(AVERAGE(N1078:U1078),"")</f>
        <v/>
      </c>
    </row>
    <row r="1079" customFormat="false" ht="14.5" hidden="false" customHeight="false" outlineLevel="0" collapsed="false">
      <c r="A1079" s="0" t="n">
        <v>1088</v>
      </c>
      <c r="B1079" s="0" t="s">
        <v>1122</v>
      </c>
      <c r="C1079" s="0" t="n">
        <v>65400</v>
      </c>
      <c r="D1079" s="0" t="n">
        <v>475</v>
      </c>
      <c r="E1079" s="0" t="str">
        <f aca="false">IFERROR(IF(OR(HLOOKUP($A1079,#REF!,3,FALSE())&gt;2,HLOOKUP(A1079,#REF!,3,FALSE())&lt;-2),"",#REF!),"")</f>
        <v/>
      </c>
      <c r="F1079" s="0" t="str">
        <f aca="false">IFERROR(IF(OR(HLOOKUP($A1079,#REF!,4,FALSE())&gt;2,HLOOKUP($A1079,#REF!,4,FALSE())&lt;-2),"",#REF!),"")</f>
        <v/>
      </c>
      <c r="G1079" s="0" t="str">
        <f aca="false">IFERROR(IF(OR(HLOOKUP($A1079,#REF!,5,FALSE())&gt;2,HLOOKUP($A1079,#REF!,5,FALSE())&lt;-2),"",#REF!),"")</f>
        <v/>
      </c>
      <c r="H1079" s="0" t="str">
        <f aca="false">IFERROR(IF(OR(HLOOKUP($A1079,#REF!,6,FALSE())&gt;2,HLOOKUP($A1079,#REF!,6,FALSE())&lt;-2),"",#REF!),"")</f>
        <v/>
      </c>
      <c r="I1079" s="0" t="str">
        <f aca="false">IFERROR(IF(OR(HLOOKUP($A1079,#REF!,7,FALSE())&gt;2,HLOOKUP($A1079,#REF!,7,FALSE())&lt;-2),"",#REF!),"")</f>
        <v/>
      </c>
      <c r="J1079" s="0" t="str">
        <f aca="false">IFERROR(IF(OR(HLOOKUP($A1079,#REF!,8,FALSE())&gt;2,HLOOKUP($A1079,#REF!,8,FALSE())&lt;-2),"",#REF!),"")</f>
        <v/>
      </c>
      <c r="K1079" s="0" t="str">
        <f aca="false">IFERROR(IF(OR(HLOOKUP($A1079,#REF!,9,FALSE())&gt;2,HLOOKUP($A1079,#REF!,9,FALSE())&lt;-2),"",#REF!),"")</f>
        <v/>
      </c>
      <c r="L1079" s="0" t="str">
        <f aca="false">IFERROR(IF(OR(HLOOKUP($A1079,#REF!,10,FALSE())&gt;2,HLOOKUP($A1079,#REF!,10,FALSE())&lt;-2),"",#REF!),"")</f>
        <v/>
      </c>
      <c r="M1079" s="0" t="str">
        <f aca="false">IFERROR(IF(OR(HLOOKUP($A1079,#REF!,11,FALSE())&gt;2,HLOOKUP($A1079,#REF!,11,FALSE())&lt;-2),"",#REF!),"")</f>
        <v/>
      </c>
      <c r="N1079" s="0" t="str">
        <f aca="false">IFERROR(IF(OR(HLOOKUP($A1079,#REF!,12,FALSE())&gt;2,HLOOKUP($A1079,#REF!,12,FALSE())&lt;-2),"",#REF!),"")</f>
        <v/>
      </c>
      <c r="O1079" s="0" t="str">
        <f aca="false">IFERROR(IF(OR(HLOOKUP($A1079,#REF!,13,FALSE())&gt;2,HLOOKUP($A1079,#REF!,13,FALSE())&lt;-2),"",#REF!),"")</f>
        <v/>
      </c>
      <c r="P1079" s="0" t="str">
        <f aca="false">IFERROR(IF(OR(HLOOKUP($A1079,#REF!,14,FALSE())&gt;2,HLOOKUP($A1079,#REF!,14,FALSE())&lt;-2),"",#REF!),"")</f>
        <v/>
      </c>
      <c r="Q1079" s="0" t="str">
        <f aca="false">IFERROR(IF(OR(HLOOKUP($A1079,#REF!,15,FALSE())&gt;2,HLOOKUP($A1079,#REF!,15,FALSE())&lt;-2),"",#REF!),"")</f>
        <v/>
      </c>
      <c r="R1079" s="0" t="str">
        <f aca="false">IFERROR(IF(OR(HLOOKUP($A1079,#REF!,16,FALSE())&gt;2,HLOOKUP($A1079,#REF!,16,FALSE())&lt;-2),"",#REF!),"")</f>
        <v/>
      </c>
      <c r="S1079" s="0" t="str">
        <f aca="false">IFERROR(IF(OR(HLOOKUP($A1079,#REF!,17,FALSE())&gt;2,HLOOKUP($A1079,#REF!,17,FALSE())&lt;-2),"",#REF!),"")</f>
        <v/>
      </c>
      <c r="T1079" s="0" t="str">
        <f aca="false">IFERROR(IF(OR(HLOOKUP($A1079,#REF!,18,FALSE())&gt;2,HLOOKUP($A1079,#REF!,18,FALSE())&lt;-2),"",#REF!),"")</f>
        <v/>
      </c>
      <c r="U1079" s="0" t="str">
        <f aca="false">IFERROR(IF(OR(HLOOKUP($A1079,#REF!,19,FALSE())&gt;2,HLOOKUP($A1079,#REF!,19,FALSE())&lt;-2),"",#REF!),"")</f>
        <v/>
      </c>
      <c r="V1079" s="0" t="n">
        <f aca="false">IFERROR(IF(AND(X1079=0,Y1079=0),0,1),0)</f>
        <v>1</v>
      </c>
      <c r="W1079" s="3" t="str">
        <f aca="false">IFERROR(_xlfn.T.TEST(E1079:M1079,N1079:U1079,2,2),"")</f>
        <v/>
      </c>
      <c r="X1079" s="0" t="str">
        <f aca="false">IFERROR(AVERAGE(E1079:M1079),"")</f>
        <v/>
      </c>
      <c r="Y1079" s="0" t="str">
        <f aca="false">IFERROR(AVERAGE(N1079:U1079),"")</f>
        <v/>
      </c>
    </row>
    <row r="1080" customFormat="false" ht="14.5" hidden="false" customHeight="false" outlineLevel="0" collapsed="false">
      <c r="A1080" s="0" t="n">
        <v>1089</v>
      </c>
      <c r="B1080" s="0" t="s">
        <v>1123</v>
      </c>
      <c r="C1080" s="0" t="n">
        <v>37400</v>
      </c>
      <c r="D1080" s="0" t="n">
        <v>695</v>
      </c>
      <c r="E1080" s="0" t="str">
        <f aca="false">IFERROR(IF(OR(HLOOKUP($A1080,#REF!,3,FALSE())&gt;2,HLOOKUP(A1080,#REF!,3,FALSE())&lt;-2),"",#REF!),"")</f>
        <v/>
      </c>
      <c r="F1080" s="0" t="str">
        <f aca="false">IFERROR(IF(OR(HLOOKUP($A1080,#REF!,4,FALSE())&gt;2,HLOOKUP($A1080,#REF!,4,FALSE())&lt;-2),"",#REF!),"")</f>
        <v/>
      </c>
      <c r="G1080" s="0" t="str">
        <f aca="false">IFERROR(IF(OR(HLOOKUP($A1080,#REF!,5,FALSE())&gt;2,HLOOKUP($A1080,#REF!,5,FALSE())&lt;-2),"",#REF!),"")</f>
        <v/>
      </c>
      <c r="H1080" s="0" t="str">
        <f aca="false">IFERROR(IF(OR(HLOOKUP($A1080,#REF!,6,FALSE())&gt;2,HLOOKUP($A1080,#REF!,6,FALSE())&lt;-2),"",#REF!),"")</f>
        <v/>
      </c>
      <c r="I1080" s="0" t="str">
        <f aca="false">IFERROR(IF(OR(HLOOKUP($A1080,#REF!,7,FALSE())&gt;2,HLOOKUP($A1080,#REF!,7,FALSE())&lt;-2),"",#REF!),"")</f>
        <v/>
      </c>
      <c r="J1080" s="0" t="str">
        <f aca="false">IFERROR(IF(OR(HLOOKUP($A1080,#REF!,8,FALSE())&gt;2,HLOOKUP($A1080,#REF!,8,FALSE())&lt;-2),"",#REF!),"")</f>
        <v/>
      </c>
      <c r="K1080" s="0" t="str">
        <f aca="false">IFERROR(IF(OR(HLOOKUP($A1080,#REF!,9,FALSE())&gt;2,HLOOKUP($A1080,#REF!,9,FALSE())&lt;-2),"",#REF!),"")</f>
        <v/>
      </c>
      <c r="L1080" s="0" t="str">
        <f aca="false">IFERROR(IF(OR(HLOOKUP($A1080,#REF!,10,FALSE())&gt;2,HLOOKUP($A1080,#REF!,10,FALSE())&lt;-2),"",#REF!),"")</f>
        <v/>
      </c>
      <c r="M1080" s="0" t="str">
        <f aca="false">IFERROR(IF(OR(HLOOKUP($A1080,#REF!,11,FALSE())&gt;2,HLOOKUP($A1080,#REF!,11,FALSE())&lt;-2),"",#REF!),"")</f>
        <v/>
      </c>
      <c r="N1080" s="0" t="str">
        <f aca="false">IFERROR(IF(OR(HLOOKUP($A1080,#REF!,12,FALSE())&gt;2,HLOOKUP($A1080,#REF!,12,FALSE())&lt;-2),"",#REF!),"")</f>
        <v/>
      </c>
      <c r="O1080" s="0" t="str">
        <f aca="false">IFERROR(IF(OR(HLOOKUP($A1080,#REF!,13,FALSE())&gt;2,HLOOKUP($A1080,#REF!,13,FALSE())&lt;-2),"",#REF!),"")</f>
        <v/>
      </c>
      <c r="P1080" s="0" t="str">
        <f aca="false">IFERROR(IF(OR(HLOOKUP($A1080,#REF!,14,FALSE())&gt;2,HLOOKUP($A1080,#REF!,14,FALSE())&lt;-2),"",#REF!),"")</f>
        <v/>
      </c>
      <c r="Q1080" s="0" t="str">
        <f aca="false">IFERROR(IF(OR(HLOOKUP($A1080,#REF!,15,FALSE())&gt;2,HLOOKUP($A1080,#REF!,15,FALSE())&lt;-2),"",#REF!),"")</f>
        <v/>
      </c>
      <c r="R1080" s="0" t="str">
        <f aca="false">IFERROR(IF(OR(HLOOKUP($A1080,#REF!,16,FALSE())&gt;2,HLOOKUP($A1080,#REF!,16,FALSE())&lt;-2),"",#REF!),"")</f>
        <v/>
      </c>
      <c r="S1080" s="0" t="str">
        <f aca="false">IFERROR(IF(OR(HLOOKUP($A1080,#REF!,17,FALSE())&gt;2,HLOOKUP($A1080,#REF!,17,FALSE())&lt;-2),"",#REF!),"")</f>
        <v/>
      </c>
      <c r="T1080" s="0" t="str">
        <f aca="false">IFERROR(IF(OR(HLOOKUP($A1080,#REF!,18,FALSE())&gt;2,HLOOKUP($A1080,#REF!,18,FALSE())&lt;-2),"",#REF!),"")</f>
        <v/>
      </c>
      <c r="U1080" s="0" t="str">
        <f aca="false">IFERROR(IF(OR(HLOOKUP($A1080,#REF!,19,FALSE())&gt;2,HLOOKUP($A1080,#REF!,19,FALSE())&lt;-2),"",#REF!),"")</f>
        <v/>
      </c>
      <c r="V1080" s="0" t="n">
        <f aca="false">IFERROR(IF(AND(X1080=0,Y1080=0),0,1),0)</f>
        <v>1</v>
      </c>
      <c r="W1080" s="3" t="str">
        <f aca="false">IFERROR(_xlfn.T.TEST(E1080:M1080,N1080:U1080,2,2),"")</f>
        <v/>
      </c>
      <c r="X1080" s="0" t="str">
        <f aca="false">IFERROR(AVERAGE(E1080:M1080),"")</f>
        <v/>
      </c>
      <c r="Y1080" s="0" t="str">
        <f aca="false">IFERROR(AVERAGE(N1080:U1080),"")</f>
        <v/>
      </c>
    </row>
    <row r="1081" customFormat="false" ht="14.5" hidden="false" customHeight="false" outlineLevel="0" collapsed="false">
      <c r="A1081" s="0" t="n">
        <v>1090</v>
      </c>
      <c r="B1081" s="0" t="s">
        <v>1124</v>
      </c>
      <c r="C1081" s="0" t="n">
        <v>8100</v>
      </c>
      <c r="D1081" s="0" t="n">
        <v>378</v>
      </c>
      <c r="E1081" s="0" t="str">
        <f aca="false">IFERROR(IF(OR(HLOOKUP($A1081,#REF!,3,FALSE())&gt;2,HLOOKUP(A1081,#REF!,3,FALSE())&lt;-2),"",#REF!),"")</f>
        <v/>
      </c>
      <c r="F1081" s="0" t="str">
        <f aca="false">IFERROR(IF(OR(HLOOKUP($A1081,#REF!,4,FALSE())&gt;2,HLOOKUP($A1081,#REF!,4,FALSE())&lt;-2),"",#REF!),"")</f>
        <v/>
      </c>
      <c r="G1081" s="0" t="str">
        <f aca="false">IFERROR(IF(OR(HLOOKUP($A1081,#REF!,5,FALSE())&gt;2,HLOOKUP($A1081,#REF!,5,FALSE())&lt;-2),"",#REF!),"")</f>
        <v/>
      </c>
      <c r="H1081" s="0" t="str">
        <f aca="false">IFERROR(IF(OR(HLOOKUP($A1081,#REF!,6,FALSE())&gt;2,HLOOKUP($A1081,#REF!,6,FALSE())&lt;-2),"",#REF!),"")</f>
        <v/>
      </c>
      <c r="I1081" s="0" t="str">
        <f aca="false">IFERROR(IF(OR(HLOOKUP($A1081,#REF!,7,FALSE())&gt;2,HLOOKUP($A1081,#REF!,7,FALSE())&lt;-2),"",#REF!),"")</f>
        <v/>
      </c>
      <c r="J1081" s="0" t="str">
        <f aca="false">IFERROR(IF(OR(HLOOKUP($A1081,#REF!,8,FALSE())&gt;2,HLOOKUP($A1081,#REF!,8,FALSE())&lt;-2),"",#REF!),"")</f>
        <v/>
      </c>
      <c r="K1081" s="0" t="str">
        <f aca="false">IFERROR(IF(OR(HLOOKUP($A1081,#REF!,9,FALSE())&gt;2,HLOOKUP($A1081,#REF!,9,FALSE())&lt;-2),"",#REF!),"")</f>
        <v/>
      </c>
      <c r="L1081" s="0" t="str">
        <f aca="false">IFERROR(IF(OR(HLOOKUP($A1081,#REF!,10,FALSE())&gt;2,HLOOKUP($A1081,#REF!,10,FALSE())&lt;-2),"",#REF!),"")</f>
        <v/>
      </c>
      <c r="M1081" s="0" t="str">
        <f aca="false">IFERROR(IF(OR(HLOOKUP($A1081,#REF!,11,FALSE())&gt;2,HLOOKUP($A1081,#REF!,11,FALSE())&lt;-2),"",#REF!),"")</f>
        <v/>
      </c>
      <c r="N1081" s="0" t="str">
        <f aca="false">IFERROR(IF(OR(HLOOKUP($A1081,#REF!,12,FALSE())&gt;2,HLOOKUP($A1081,#REF!,12,FALSE())&lt;-2),"",#REF!),"")</f>
        <v/>
      </c>
      <c r="O1081" s="0" t="str">
        <f aca="false">IFERROR(IF(OR(HLOOKUP($A1081,#REF!,13,FALSE())&gt;2,HLOOKUP($A1081,#REF!,13,FALSE())&lt;-2),"",#REF!),"")</f>
        <v/>
      </c>
      <c r="P1081" s="0" t="str">
        <f aca="false">IFERROR(IF(OR(HLOOKUP($A1081,#REF!,14,FALSE())&gt;2,HLOOKUP($A1081,#REF!,14,FALSE())&lt;-2),"",#REF!),"")</f>
        <v/>
      </c>
      <c r="Q1081" s="0" t="str">
        <f aca="false">IFERROR(IF(OR(HLOOKUP($A1081,#REF!,15,FALSE())&gt;2,HLOOKUP($A1081,#REF!,15,FALSE())&lt;-2),"",#REF!),"")</f>
        <v/>
      </c>
      <c r="R1081" s="0" t="str">
        <f aca="false">IFERROR(IF(OR(HLOOKUP($A1081,#REF!,16,FALSE())&gt;2,HLOOKUP($A1081,#REF!,16,FALSE())&lt;-2),"",#REF!),"")</f>
        <v/>
      </c>
      <c r="S1081" s="0" t="str">
        <f aca="false">IFERROR(IF(OR(HLOOKUP($A1081,#REF!,17,FALSE())&gt;2,HLOOKUP($A1081,#REF!,17,FALSE())&lt;-2),"",#REF!),"")</f>
        <v/>
      </c>
      <c r="T1081" s="0" t="str">
        <f aca="false">IFERROR(IF(OR(HLOOKUP($A1081,#REF!,18,FALSE())&gt;2,HLOOKUP($A1081,#REF!,18,FALSE())&lt;-2),"",#REF!),"")</f>
        <v/>
      </c>
      <c r="U1081" s="0" t="str">
        <f aca="false">IFERROR(IF(OR(HLOOKUP($A1081,#REF!,19,FALSE())&gt;2,HLOOKUP($A1081,#REF!,19,FALSE())&lt;-2),"",#REF!),"")</f>
        <v/>
      </c>
      <c r="V1081" s="0" t="n">
        <f aca="false">IFERROR(IF(AND(X1081=0,Y1081=0),0,1),0)</f>
        <v>1</v>
      </c>
      <c r="W1081" s="3" t="str">
        <f aca="false">IFERROR(_xlfn.T.TEST(E1081:M1081,N1081:U1081,2,2),"")</f>
        <v/>
      </c>
      <c r="X1081" s="0" t="str">
        <f aca="false">IFERROR(AVERAGE(E1081:M1081),"")</f>
        <v/>
      </c>
      <c r="Y1081" s="0" t="str">
        <f aca="false">IFERROR(AVERAGE(N1081:U1081),"")</f>
        <v/>
      </c>
    </row>
    <row r="1082" customFormat="false" ht="14.5" hidden="false" customHeight="false" outlineLevel="0" collapsed="false">
      <c r="A1082" s="0" t="n">
        <v>1091</v>
      </c>
      <c r="B1082" s="0" t="s">
        <v>1125</v>
      </c>
      <c r="C1082" s="0" t="n">
        <v>57200</v>
      </c>
      <c r="D1082" s="0" t="n">
        <v>928</v>
      </c>
      <c r="E1082" s="0" t="str">
        <f aca="false">IFERROR(IF(OR(HLOOKUP($A1082,#REF!,3,FALSE())&gt;2,HLOOKUP(A1082,#REF!,3,FALSE())&lt;-2),"",#REF!),"")</f>
        <v/>
      </c>
      <c r="F1082" s="0" t="str">
        <f aca="false">IFERROR(IF(OR(HLOOKUP($A1082,#REF!,4,FALSE())&gt;2,HLOOKUP($A1082,#REF!,4,FALSE())&lt;-2),"",#REF!),"")</f>
        <v/>
      </c>
      <c r="G1082" s="0" t="str">
        <f aca="false">IFERROR(IF(OR(HLOOKUP($A1082,#REF!,5,FALSE())&gt;2,HLOOKUP($A1082,#REF!,5,FALSE())&lt;-2),"",#REF!),"")</f>
        <v/>
      </c>
      <c r="H1082" s="0" t="str">
        <f aca="false">IFERROR(IF(OR(HLOOKUP($A1082,#REF!,6,FALSE())&gt;2,HLOOKUP($A1082,#REF!,6,FALSE())&lt;-2),"",#REF!),"")</f>
        <v/>
      </c>
      <c r="I1082" s="0" t="str">
        <f aca="false">IFERROR(IF(OR(HLOOKUP($A1082,#REF!,7,FALSE())&gt;2,HLOOKUP($A1082,#REF!,7,FALSE())&lt;-2),"",#REF!),"")</f>
        <v/>
      </c>
      <c r="J1082" s="0" t="str">
        <f aca="false">IFERROR(IF(OR(HLOOKUP($A1082,#REF!,8,FALSE())&gt;2,HLOOKUP($A1082,#REF!,8,FALSE())&lt;-2),"",#REF!),"")</f>
        <v/>
      </c>
      <c r="K1082" s="0" t="str">
        <f aca="false">IFERROR(IF(OR(HLOOKUP($A1082,#REF!,9,FALSE())&gt;2,HLOOKUP($A1082,#REF!,9,FALSE())&lt;-2),"",#REF!),"")</f>
        <v/>
      </c>
      <c r="L1082" s="0" t="str">
        <f aca="false">IFERROR(IF(OR(HLOOKUP($A1082,#REF!,10,FALSE())&gt;2,HLOOKUP($A1082,#REF!,10,FALSE())&lt;-2),"",#REF!),"")</f>
        <v/>
      </c>
      <c r="M1082" s="0" t="str">
        <f aca="false">IFERROR(IF(OR(HLOOKUP($A1082,#REF!,11,FALSE())&gt;2,HLOOKUP($A1082,#REF!,11,FALSE())&lt;-2),"",#REF!),"")</f>
        <v/>
      </c>
      <c r="N1082" s="0" t="str">
        <f aca="false">IFERROR(IF(OR(HLOOKUP($A1082,#REF!,12,FALSE())&gt;2,HLOOKUP($A1082,#REF!,12,FALSE())&lt;-2),"",#REF!),"")</f>
        <v/>
      </c>
      <c r="O1082" s="0" t="str">
        <f aca="false">IFERROR(IF(OR(HLOOKUP($A1082,#REF!,13,FALSE())&gt;2,HLOOKUP($A1082,#REF!,13,FALSE())&lt;-2),"",#REF!),"")</f>
        <v/>
      </c>
      <c r="P1082" s="0" t="str">
        <f aca="false">IFERROR(IF(OR(HLOOKUP($A1082,#REF!,14,FALSE())&gt;2,HLOOKUP($A1082,#REF!,14,FALSE())&lt;-2),"",#REF!),"")</f>
        <v/>
      </c>
      <c r="Q1082" s="0" t="str">
        <f aca="false">IFERROR(IF(OR(HLOOKUP($A1082,#REF!,15,FALSE())&gt;2,HLOOKUP($A1082,#REF!,15,FALSE())&lt;-2),"",#REF!),"")</f>
        <v/>
      </c>
      <c r="R1082" s="0" t="str">
        <f aca="false">IFERROR(IF(OR(HLOOKUP($A1082,#REF!,16,FALSE())&gt;2,HLOOKUP($A1082,#REF!,16,FALSE())&lt;-2),"",#REF!),"")</f>
        <v/>
      </c>
      <c r="S1082" s="0" t="str">
        <f aca="false">IFERROR(IF(OR(HLOOKUP($A1082,#REF!,17,FALSE())&gt;2,HLOOKUP($A1082,#REF!,17,FALSE())&lt;-2),"",#REF!),"")</f>
        <v/>
      </c>
      <c r="T1082" s="0" t="str">
        <f aca="false">IFERROR(IF(OR(HLOOKUP($A1082,#REF!,18,FALSE())&gt;2,HLOOKUP($A1082,#REF!,18,FALSE())&lt;-2),"",#REF!),"")</f>
        <v/>
      </c>
      <c r="U1082" s="0" t="str">
        <f aca="false">IFERROR(IF(OR(HLOOKUP($A1082,#REF!,19,FALSE())&gt;2,HLOOKUP($A1082,#REF!,19,FALSE())&lt;-2),"",#REF!),"")</f>
        <v/>
      </c>
      <c r="V1082" s="0" t="n">
        <f aca="false">IFERROR(IF(AND(X1082=0,Y1082=0),0,1),0)</f>
        <v>1</v>
      </c>
      <c r="W1082" s="3" t="str">
        <f aca="false">IFERROR(_xlfn.T.TEST(E1082:M1082,N1082:U1082,2,2),"")</f>
        <v/>
      </c>
      <c r="X1082" s="0" t="str">
        <f aca="false">IFERROR(AVERAGE(E1082:M1082),"")</f>
        <v/>
      </c>
      <c r="Y1082" s="0" t="str">
        <f aca="false">IFERROR(AVERAGE(N1082:U1082),"")</f>
        <v/>
      </c>
    </row>
    <row r="1083" customFormat="false" ht="14.5" hidden="false" customHeight="false" outlineLevel="0" collapsed="false">
      <c r="A1083" s="0" t="n">
        <v>1092</v>
      </c>
      <c r="B1083" s="0" t="s">
        <v>1126</v>
      </c>
      <c r="C1083" s="0" t="n">
        <v>108100</v>
      </c>
      <c r="D1083" s="0" t="n">
        <v>896</v>
      </c>
      <c r="E1083" s="0" t="str">
        <f aca="false">IFERROR(IF(OR(HLOOKUP($A1083,#REF!,3,FALSE())&gt;2,HLOOKUP(A1083,#REF!,3,FALSE())&lt;-2),"",#REF!),"")</f>
        <v/>
      </c>
      <c r="F1083" s="0" t="str">
        <f aca="false">IFERROR(IF(OR(HLOOKUP($A1083,#REF!,4,FALSE())&gt;2,HLOOKUP($A1083,#REF!,4,FALSE())&lt;-2),"",#REF!),"")</f>
        <v/>
      </c>
      <c r="G1083" s="0" t="str">
        <f aca="false">IFERROR(IF(OR(HLOOKUP($A1083,#REF!,5,FALSE())&gt;2,HLOOKUP($A1083,#REF!,5,FALSE())&lt;-2),"",#REF!),"")</f>
        <v/>
      </c>
      <c r="H1083" s="0" t="str">
        <f aca="false">IFERROR(IF(OR(HLOOKUP($A1083,#REF!,6,FALSE())&gt;2,HLOOKUP($A1083,#REF!,6,FALSE())&lt;-2),"",#REF!),"")</f>
        <v/>
      </c>
      <c r="I1083" s="0" t="str">
        <f aca="false">IFERROR(IF(OR(HLOOKUP($A1083,#REF!,7,FALSE())&gt;2,HLOOKUP($A1083,#REF!,7,FALSE())&lt;-2),"",#REF!),"")</f>
        <v/>
      </c>
      <c r="J1083" s="0" t="str">
        <f aca="false">IFERROR(IF(OR(HLOOKUP($A1083,#REF!,8,FALSE())&gt;2,HLOOKUP($A1083,#REF!,8,FALSE())&lt;-2),"",#REF!),"")</f>
        <v/>
      </c>
      <c r="K1083" s="0" t="str">
        <f aca="false">IFERROR(IF(OR(HLOOKUP($A1083,#REF!,9,FALSE())&gt;2,HLOOKUP($A1083,#REF!,9,FALSE())&lt;-2),"",#REF!),"")</f>
        <v/>
      </c>
      <c r="L1083" s="0" t="str">
        <f aca="false">IFERROR(IF(OR(HLOOKUP($A1083,#REF!,10,FALSE())&gt;2,HLOOKUP($A1083,#REF!,10,FALSE())&lt;-2),"",#REF!),"")</f>
        <v/>
      </c>
      <c r="M1083" s="0" t="str">
        <f aca="false">IFERROR(IF(OR(HLOOKUP($A1083,#REF!,11,FALSE())&gt;2,HLOOKUP($A1083,#REF!,11,FALSE())&lt;-2),"",#REF!),"")</f>
        <v/>
      </c>
      <c r="N1083" s="0" t="str">
        <f aca="false">IFERROR(IF(OR(HLOOKUP($A1083,#REF!,12,FALSE())&gt;2,HLOOKUP($A1083,#REF!,12,FALSE())&lt;-2),"",#REF!),"")</f>
        <v/>
      </c>
      <c r="O1083" s="0" t="str">
        <f aca="false">IFERROR(IF(OR(HLOOKUP($A1083,#REF!,13,FALSE())&gt;2,HLOOKUP($A1083,#REF!,13,FALSE())&lt;-2),"",#REF!),"")</f>
        <v/>
      </c>
      <c r="P1083" s="0" t="str">
        <f aca="false">IFERROR(IF(OR(HLOOKUP($A1083,#REF!,14,FALSE())&gt;2,HLOOKUP($A1083,#REF!,14,FALSE())&lt;-2),"",#REF!),"")</f>
        <v/>
      </c>
      <c r="Q1083" s="0" t="str">
        <f aca="false">IFERROR(IF(OR(HLOOKUP($A1083,#REF!,15,FALSE())&gt;2,HLOOKUP($A1083,#REF!,15,FALSE())&lt;-2),"",#REF!),"")</f>
        <v/>
      </c>
      <c r="R1083" s="0" t="str">
        <f aca="false">IFERROR(IF(OR(HLOOKUP($A1083,#REF!,16,FALSE())&gt;2,HLOOKUP($A1083,#REF!,16,FALSE())&lt;-2),"",#REF!),"")</f>
        <v/>
      </c>
      <c r="S1083" s="0" t="str">
        <f aca="false">IFERROR(IF(OR(HLOOKUP($A1083,#REF!,17,FALSE())&gt;2,HLOOKUP($A1083,#REF!,17,FALSE())&lt;-2),"",#REF!),"")</f>
        <v/>
      </c>
      <c r="T1083" s="0" t="str">
        <f aca="false">IFERROR(IF(OR(HLOOKUP($A1083,#REF!,18,FALSE())&gt;2,HLOOKUP($A1083,#REF!,18,FALSE())&lt;-2),"",#REF!),"")</f>
        <v/>
      </c>
      <c r="U1083" s="0" t="str">
        <f aca="false">IFERROR(IF(OR(HLOOKUP($A1083,#REF!,19,FALSE())&gt;2,HLOOKUP($A1083,#REF!,19,FALSE())&lt;-2),"",#REF!),"")</f>
        <v/>
      </c>
      <c r="V1083" s="0" t="n">
        <f aca="false">IFERROR(IF(AND(X1083=0,Y1083=0),0,1),0)</f>
        <v>1</v>
      </c>
      <c r="W1083" s="3" t="str">
        <f aca="false">IFERROR(_xlfn.T.TEST(E1083:M1083,N1083:U1083,2,2),"")</f>
        <v/>
      </c>
      <c r="X1083" s="0" t="str">
        <f aca="false">IFERROR(AVERAGE(E1083:M1083),"")</f>
        <v/>
      </c>
      <c r="Y1083" s="0" t="str">
        <f aca="false">IFERROR(AVERAGE(N1083:U1083),"")</f>
        <v/>
      </c>
    </row>
    <row r="1084" customFormat="false" ht="14.5" hidden="false" customHeight="false" outlineLevel="0" collapsed="false">
      <c r="A1084" s="0" t="n">
        <v>1093</v>
      </c>
      <c r="B1084" s="0" t="s">
        <v>1127</v>
      </c>
      <c r="C1084" s="0" t="n">
        <v>87600</v>
      </c>
      <c r="D1084" s="0" t="n">
        <v>987</v>
      </c>
      <c r="E1084" s="0" t="str">
        <f aca="false">IFERROR(IF(OR(HLOOKUP($A1084,#REF!,3,FALSE())&gt;2,HLOOKUP(A1084,#REF!,3,FALSE())&lt;-2),"",#REF!),"")</f>
        <v/>
      </c>
      <c r="F1084" s="0" t="str">
        <f aca="false">IFERROR(IF(OR(HLOOKUP($A1084,#REF!,4,FALSE())&gt;2,HLOOKUP($A1084,#REF!,4,FALSE())&lt;-2),"",#REF!),"")</f>
        <v/>
      </c>
      <c r="G1084" s="0" t="str">
        <f aca="false">IFERROR(IF(OR(HLOOKUP($A1084,#REF!,5,FALSE())&gt;2,HLOOKUP($A1084,#REF!,5,FALSE())&lt;-2),"",#REF!),"")</f>
        <v/>
      </c>
      <c r="H1084" s="0" t="str">
        <f aca="false">IFERROR(IF(OR(HLOOKUP($A1084,#REF!,6,FALSE())&gt;2,HLOOKUP($A1084,#REF!,6,FALSE())&lt;-2),"",#REF!),"")</f>
        <v/>
      </c>
      <c r="I1084" s="0" t="str">
        <f aca="false">IFERROR(IF(OR(HLOOKUP($A1084,#REF!,7,FALSE())&gt;2,HLOOKUP($A1084,#REF!,7,FALSE())&lt;-2),"",#REF!),"")</f>
        <v/>
      </c>
      <c r="J1084" s="0" t="str">
        <f aca="false">IFERROR(IF(OR(HLOOKUP($A1084,#REF!,8,FALSE())&gt;2,HLOOKUP($A1084,#REF!,8,FALSE())&lt;-2),"",#REF!),"")</f>
        <v/>
      </c>
      <c r="K1084" s="0" t="str">
        <f aca="false">IFERROR(IF(OR(HLOOKUP($A1084,#REF!,9,FALSE())&gt;2,HLOOKUP($A1084,#REF!,9,FALSE())&lt;-2),"",#REF!),"")</f>
        <v/>
      </c>
      <c r="L1084" s="0" t="str">
        <f aca="false">IFERROR(IF(OR(HLOOKUP($A1084,#REF!,10,FALSE())&gt;2,HLOOKUP($A1084,#REF!,10,FALSE())&lt;-2),"",#REF!),"")</f>
        <v/>
      </c>
      <c r="M1084" s="0" t="str">
        <f aca="false">IFERROR(IF(OR(HLOOKUP($A1084,#REF!,11,FALSE())&gt;2,HLOOKUP($A1084,#REF!,11,FALSE())&lt;-2),"",#REF!),"")</f>
        <v/>
      </c>
      <c r="N1084" s="0" t="str">
        <f aca="false">IFERROR(IF(OR(HLOOKUP($A1084,#REF!,12,FALSE())&gt;2,HLOOKUP($A1084,#REF!,12,FALSE())&lt;-2),"",#REF!),"")</f>
        <v/>
      </c>
      <c r="O1084" s="0" t="str">
        <f aca="false">IFERROR(IF(OR(HLOOKUP($A1084,#REF!,13,FALSE())&gt;2,HLOOKUP($A1084,#REF!,13,FALSE())&lt;-2),"",#REF!),"")</f>
        <v/>
      </c>
      <c r="P1084" s="0" t="str">
        <f aca="false">IFERROR(IF(OR(HLOOKUP($A1084,#REF!,14,FALSE())&gt;2,HLOOKUP($A1084,#REF!,14,FALSE())&lt;-2),"",#REF!),"")</f>
        <v/>
      </c>
      <c r="Q1084" s="0" t="str">
        <f aca="false">IFERROR(IF(OR(HLOOKUP($A1084,#REF!,15,FALSE())&gt;2,HLOOKUP($A1084,#REF!,15,FALSE())&lt;-2),"",#REF!),"")</f>
        <v/>
      </c>
      <c r="R1084" s="0" t="str">
        <f aca="false">IFERROR(IF(OR(HLOOKUP($A1084,#REF!,16,FALSE())&gt;2,HLOOKUP($A1084,#REF!,16,FALSE())&lt;-2),"",#REF!),"")</f>
        <v/>
      </c>
      <c r="S1084" s="0" t="str">
        <f aca="false">IFERROR(IF(OR(HLOOKUP($A1084,#REF!,17,FALSE())&gt;2,HLOOKUP($A1084,#REF!,17,FALSE())&lt;-2),"",#REF!),"")</f>
        <v/>
      </c>
      <c r="T1084" s="0" t="str">
        <f aca="false">IFERROR(IF(OR(HLOOKUP($A1084,#REF!,18,FALSE())&gt;2,HLOOKUP($A1084,#REF!,18,FALSE())&lt;-2),"",#REF!),"")</f>
        <v/>
      </c>
      <c r="U1084" s="0" t="str">
        <f aca="false">IFERROR(IF(OR(HLOOKUP($A1084,#REF!,19,FALSE())&gt;2,HLOOKUP($A1084,#REF!,19,FALSE())&lt;-2),"",#REF!),"")</f>
        <v/>
      </c>
      <c r="V1084" s="0" t="n">
        <f aca="false">IFERROR(IF(AND(X1084=0,Y1084=0),0,1),0)</f>
        <v>1</v>
      </c>
      <c r="W1084" s="3" t="str">
        <f aca="false">IFERROR(_xlfn.T.TEST(E1084:M1084,N1084:U1084,2,2),"")</f>
        <v/>
      </c>
      <c r="X1084" s="0" t="str">
        <f aca="false">IFERROR(AVERAGE(E1084:M1084),"")</f>
        <v/>
      </c>
      <c r="Y1084" s="0" t="str">
        <f aca="false">IFERROR(AVERAGE(N1084:U1084),"")</f>
        <v/>
      </c>
    </row>
    <row r="1085" customFormat="false" ht="14.5" hidden="false" customHeight="false" outlineLevel="0" collapsed="false">
      <c r="A1085" s="0" t="n">
        <v>1094</v>
      </c>
      <c r="B1085" s="0" t="s">
        <v>1128</v>
      </c>
      <c r="C1085" s="0" t="n">
        <v>5200</v>
      </c>
      <c r="D1085" s="0" t="n">
        <v>337</v>
      </c>
      <c r="E1085" s="0" t="str">
        <f aca="false">IFERROR(IF(OR(HLOOKUP($A1085,#REF!,3,FALSE())&gt;2,HLOOKUP(A1085,#REF!,3,FALSE())&lt;-2),"",#REF!),"")</f>
        <v/>
      </c>
      <c r="F1085" s="0" t="str">
        <f aca="false">IFERROR(IF(OR(HLOOKUP($A1085,#REF!,4,FALSE())&gt;2,HLOOKUP($A1085,#REF!,4,FALSE())&lt;-2),"",#REF!),"")</f>
        <v/>
      </c>
      <c r="G1085" s="0" t="str">
        <f aca="false">IFERROR(IF(OR(HLOOKUP($A1085,#REF!,5,FALSE())&gt;2,HLOOKUP($A1085,#REF!,5,FALSE())&lt;-2),"",#REF!),"")</f>
        <v/>
      </c>
      <c r="H1085" s="0" t="str">
        <f aca="false">IFERROR(IF(OR(HLOOKUP($A1085,#REF!,6,FALSE())&gt;2,HLOOKUP($A1085,#REF!,6,FALSE())&lt;-2),"",#REF!),"")</f>
        <v/>
      </c>
      <c r="I1085" s="0" t="str">
        <f aca="false">IFERROR(IF(OR(HLOOKUP($A1085,#REF!,7,FALSE())&gt;2,HLOOKUP($A1085,#REF!,7,FALSE())&lt;-2),"",#REF!),"")</f>
        <v/>
      </c>
      <c r="J1085" s="0" t="str">
        <f aca="false">IFERROR(IF(OR(HLOOKUP($A1085,#REF!,8,FALSE())&gt;2,HLOOKUP($A1085,#REF!,8,FALSE())&lt;-2),"",#REF!),"")</f>
        <v/>
      </c>
      <c r="K1085" s="0" t="str">
        <f aca="false">IFERROR(IF(OR(HLOOKUP($A1085,#REF!,9,FALSE())&gt;2,HLOOKUP($A1085,#REF!,9,FALSE())&lt;-2),"",#REF!),"")</f>
        <v/>
      </c>
      <c r="L1085" s="0" t="str">
        <f aca="false">IFERROR(IF(OR(HLOOKUP($A1085,#REF!,10,FALSE())&gt;2,HLOOKUP($A1085,#REF!,10,FALSE())&lt;-2),"",#REF!),"")</f>
        <v/>
      </c>
      <c r="M1085" s="0" t="str">
        <f aca="false">IFERROR(IF(OR(HLOOKUP($A1085,#REF!,11,FALSE())&gt;2,HLOOKUP($A1085,#REF!,11,FALSE())&lt;-2),"",#REF!),"")</f>
        <v/>
      </c>
      <c r="N1085" s="0" t="str">
        <f aca="false">IFERROR(IF(OR(HLOOKUP($A1085,#REF!,12,FALSE())&gt;2,HLOOKUP($A1085,#REF!,12,FALSE())&lt;-2),"",#REF!),"")</f>
        <v/>
      </c>
      <c r="O1085" s="0" t="str">
        <f aca="false">IFERROR(IF(OR(HLOOKUP($A1085,#REF!,13,FALSE())&gt;2,HLOOKUP($A1085,#REF!,13,FALSE())&lt;-2),"",#REF!),"")</f>
        <v/>
      </c>
      <c r="P1085" s="0" t="str">
        <f aca="false">IFERROR(IF(OR(HLOOKUP($A1085,#REF!,14,FALSE())&gt;2,HLOOKUP($A1085,#REF!,14,FALSE())&lt;-2),"",#REF!),"")</f>
        <v/>
      </c>
      <c r="Q1085" s="0" t="str">
        <f aca="false">IFERROR(IF(OR(HLOOKUP($A1085,#REF!,15,FALSE())&gt;2,HLOOKUP($A1085,#REF!,15,FALSE())&lt;-2),"",#REF!),"")</f>
        <v/>
      </c>
      <c r="R1085" s="0" t="str">
        <f aca="false">IFERROR(IF(OR(HLOOKUP($A1085,#REF!,16,FALSE())&gt;2,HLOOKUP($A1085,#REF!,16,FALSE())&lt;-2),"",#REF!),"")</f>
        <v/>
      </c>
      <c r="S1085" s="0" t="str">
        <f aca="false">IFERROR(IF(OR(HLOOKUP($A1085,#REF!,17,FALSE())&gt;2,HLOOKUP($A1085,#REF!,17,FALSE())&lt;-2),"",#REF!),"")</f>
        <v/>
      </c>
      <c r="T1085" s="0" t="str">
        <f aca="false">IFERROR(IF(OR(HLOOKUP($A1085,#REF!,18,FALSE())&gt;2,HLOOKUP($A1085,#REF!,18,FALSE())&lt;-2),"",#REF!),"")</f>
        <v/>
      </c>
      <c r="U1085" s="0" t="str">
        <f aca="false">IFERROR(IF(OR(HLOOKUP($A1085,#REF!,19,FALSE())&gt;2,HLOOKUP($A1085,#REF!,19,FALSE())&lt;-2),"",#REF!),"")</f>
        <v/>
      </c>
      <c r="V1085" s="0" t="n">
        <f aca="false">IFERROR(IF(AND(X1085=0,Y1085=0),0,1),0)</f>
        <v>1</v>
      </c>
      <c r="W1085" s="3" t="str">
        <f aca="false">IFERROR(_xlfn.T.TEST(E1085:M1085,N1085:U1085,2,2),"")</f>
        <v/>
      </c>
      <c r="X1085" s="0" t="str">
        <f aca="false">IFERROR(AVERAGE(E1085:M1085),"")</f>
        <v/>
      </c>
      <c r="Y1085" s="0" t="str">
        <f aca="false">IFERROR(AVERAGE(N1085:U1085),"")</f>
        <v/>
      </c>
    </row>
    <row r="1086" customFormat="false" ht="14.5" hidden="false" customHeight="false" outlineLevel="0" collapsed="false">
      <c r="A1086" s="0" t="n">
        <v>1095</v>
      </c>
      <c r="B1086" s="0" t="s">
        <v>1129</v>
      </c>
      <c r="C1086" s="0" t="n">
        <v>117800</v>
      </c>
      <c r="D1086" s="0" t="n">
        <v>1040</v>
      </c>
      <c r="E1086" s="0" t="str">
        <f aca="false">IFERROR(IF(OR(HLOOKUP($A1086,#REF!,3,FALSE())&gt;2,HLOOKUP(A1086,#REF!,3,FALSE())&lt;-2),"",#REF!),"")</f>
        <v/>
      </c>
      <c r="F1086" s="0" t="str">
        <f aca="false">IFERROR(IF(OR(HLOOKUP($A1086,#REF!,4,FALSE())&gt;2,HLOOKUP($A1086,#REF!,4,FALSE())&lt;-2),"",#REF!),"")</f>
        <v/>
      </c>
      <c r="G1086" s="0" t="str">
        <f aca="false">IFERROR(IF(OR(HLOOKUP($A1086,#REF!,5,FALSE())&gt;2,HLOOKUP($A1086,#REF!,5,FALSE())&lt;-2),"",#REF!),"")</f>
        <v/>
      </c>
      <c r="H1086" s="0" t="str">
        <f aca="false">IFERROR(IF(OR(HLOOKUP($A1086,#REF!,6,FALSE())&gt;2,HLOOKUP($A1086,#REF!,6,FALSE())&lt;-2),"",#REF!),"")</f>
        <v/>
      </c>
      <c r="I1086" s="0" t="str">
        <f aca="false">IFERROR(IF(OR(HLOOKUP($A1086,#REF!,7,FALSE())&gt;2,HLOOKUP($A1086,#REF!,7,FALSE())&lt;-2),"",#REF!),"")</f>
        <v/>
      </c>
      <c r="J1086" s="0" t="str">
        <f aca="false">IFERROR(IF(OR(HLOOKUP($A1086,#REF!,8,FALSE())&gt;2,HLOOKUP($A1086,#REF!,8,FALSE())&lt;-2),"",#REF!),"")</f>
        <v/>
      </c>
      <c r="K1086" s="0" t="str">
        <f aca="false">IFERROR(IF(OR(HLOOKUP($A1086,#REF!,9,FALSE())&gt;2,HLOOKUP($A1086,#REF!,9,FALSE())&lt;-2),"",#REF!),"")</f>
        <v/>
      </c>
      <c r="L1086" s="0" t="str">
        <f aca="false">IFERROR(IF(OR(HLOOKUP($A1086,#REF!,10,FALSE())&gt;2,HLOOKUP($A1086,#REF!,10,FALSE())&lt;-2),"",#REF!),"")</f>
        <v/>
      </c>
      <c r="M1086" s="0" t="str">
        <f aca="false">IFERROR(IF(OR(HLOOKUP($A1086,#REF!,11,FALSE())&gt;2,HLOOKUP($A1086,#REF!,11,FALSE())&lt;-2),"",#REF!),"")</f>
        <v/>
      </c>
      <c r="N1086" s="0" t="str">
        <f aca="false">IFERROR(IF(OR(HLOOKUP($A1086,#REF!,12,FALSE())&gt;2,HLOOKUP($A1086,#REF!,12,FALSE())&lt;-2),"",#REF!),"")</f>
        <v/>
      </c>
      <c r="O1086" s="0" t="str">
        <f aca="false">IFERROR(IF(OR(HLOOKUP($A1086,#REF!,13,FALSE())&gt;2,HLOOKUP($A1086,#REF!,13,FALSE())&lt;-2),"",#REF!),"")</f>
        <v/>
      </c>
      <c r="P1086" s="0" t="str">
        <f aca="false">IFERROR(IF(OR(HLOOKUP($A1086,#REF!,14,FALSE())&gt;2,HLOOKUP($A1086,#REF!,14,FALSE())&lt;-2),"",#REF!),"")</f>
        <v/>
      </c>
      <c r="Q1086" s="0" t="str">
        <f aca="false">IFERROR(IF(OR(HLOOKUP($A1086,#REF!,15,FALSE())&gt;2,HLOOKUP($A1086,#REF!,15,FALSE())&lt;-2),"",#REF!),"")</f>
        <v/>
      </c>
      <c r="R1086" s="0" t="str">
        <f aca="false">IFERROR(IF(OR(HLOOKUP($A1086,#REF!,16,FALSE())&gt;2,HLOOKUP($A1086,#REF!,16,FALSE())&lt;-2),"",#REF!),"")</f>
        <v/>
      </c>
      <c r="S1086" s="0" t="str">
        <f aca="false">IFERROR(IF(OR(HLOOKUP($A1086,#REF!,17,FALSE())&gt;2,HLOOKUP($A1086,#REF!,17,FALSE())&lt;-2),"",#REF!),"")</f>
        <v/>
      </c>
      <c r="T1086" s="0" t="str">
        <f aca="false">IFERROR(IF(OR(HLOOKUP($A1086,#REF!,18,FALSE())&gt;2,HLOOKUP($A1086,#REF!,18,FALSE())&lt;-2),"",#REF!),"")</f>
        <v/>
      </c>
      <c r="U1086" s="0" t="str">
        <f aca="false">IFERROR(IF(OR(HLOOKUP($A1086,#REF!,19,FALSE())&gt;2,HLOOKUP($A1086,#REF!,19,FALSE())&lt;-2),"",#REF!),"")</f>
        <v/>
      </c>
      <c r="V1086" s="0" t="n">
        <f aca="false">IFERROR(IF(AND(X1086=0,Y1086=0),0,1),0)</f>
        <v>1</v>
      </c>
      <c r="W1086" s="3" t="str">
        <f aca="false">IFERROR(_xlfn.T.TEST(E1086:M1086,N1086:U1086,2,2),"")</f>
        <v/>
      </c>
      <c r="X1086" s="0" t="str">
        <f aca="false">IFERROR(AVERAGE(E1086:M1086),"")</f>
        <v/>
      </c>
      <c r="Y1086" s="0" t="str">
        <f aca="false">IFERROR(AVERAGE(N1086:U1086),"")</f>
        <v/>
      </c>
    </row>
    <row r="1087" customFormat="false" ht="14.5" hidden="false" customHeight="false" outlineLevel="0" collapsed="false">
      <c r="A1087" s="0" t="n">
        <v>1096</v>
      </c>
      <c r="B1087" s="0" t="s">
        <v>1130</v>
      </c>
      <c r="C1087" s="0" t="n">
        <v>66500</v>
      </c>
      <c r="D1087" s="0" t="n">
        <v>127</v>
      </c>
      <c r="E1087" s="0" t="str">
        <f aca="false">IFERROR(IF(OR(HLOOKUP($A1087,#REF!,3,FALSE())&gt;2,HLOOKUP(A1087,#REF!,3,FALSE())&lt;-2),"",#REF!),"")</f>
        <v/>
      </c>
      <c r="F1087" s="0" t="str">
        <f aca="false">IFERROR(IF(OR(HLOOKUP($A1087,#REF!,4,FALSE())&gt;2,HLOOKUP($A1087,#REF!,4,FALSE())&lt;-2),"",#REF!),"")</f>
        <v/>
      </c>
      <c r="G1087" s="0" t="str">
        <f aca="false">IFERROR(IF(OR(HLOOKUP($A1087,#REF!,5,FALSE())&gt;2,HLOOKUP($A1087,#REF!,5,FALSE())&lt;-2),"",#REF!),"")</f>
        <v/>
      </c>
      <c r="H1087" s="0" t="str">
        <f aca="false">IFERROR(IF(OR(HLOOKUP($A1087,#REF!,6,FALSE())&gt;2,HLOOKUP($A1087,#REF!,6,FALSE())&lt;-2),"",#REF!),"")</f>
        <v/>
      </c>
      <c r="I1087" s="0" t="str">
        <f aca="false">IFERROR(IF(OR(HLOOKUP($A1087,#REF!,7,FALSE())&gt;2,HLOOKUP($A1087,#REF!,7,FALSE())&lt;-2),"",#REF!),"")</f>
        <v/>
      </c>
      <c r="J1087" s="0" t="str">
        <f aca="false">IFERROR(IF(OR(HLOOKUP($A1087,#REF!,8,FALSE())&gt;2,HLOOKUP($A1087,#REF!,8,FALSE())&lt;-2),"",#REF!),"")</f>
        <v/>
      </c>
      <c r="K1087" s="0" t="str">
        <f aca="false">IFERROR(IF(OR(HLOOKUP($A1087,#REF!,9,FALSE())&gt;2,HLOOKUP($A1087,#REF!,9,FALSE())&lt;-2),"",#REF!),"")</f>
        <v/>
      </c>
      <c r="L1087" s="0" t="str">
        <f aca="false">IFERROR(IF(OR(HLOOKUP($A1087,#REF!,10,FALSE())&gt;2,HLOOKUP($A1087,#REF!,10,FALSE())&lt;-2),"",#REF!),"")</f>
        <v/>
      </c>
      <c r="M1087" s="0" t="str">
        <f aca="false">IFERROR(IF(OR(HLOOKUP($A1087,#REF!,11,FALSE())&gt;2,HLOOKUP($A1087,#REF!,11,FALSE())&lt;-2),"",#REF!),"")</f>
        <v/>
      </c>
      <c r="N1087" s="0" t="str">
        <f aca="false">IFERROR(IF(OR(HLOOKUP($A1087,#REF!,12,FALSE())&gt;2,HLOOKUP($A1087,#REF!,12,FALSE())&lt;-2),"",#REF!),"")</f>
        <v/>
      </c>
      <c r="O1087" s="0" t="str">
        <f aca="false">IFERROR(IF(OR(HLOOKUP($A1087,#REF!,13,FALSE())&gt;2,HLOOKUP($A1087,#REF!,13,FALSE())&lt;-2),"",#REF!),"")</f>
        <v/>
      </c>
      <c r="P1087" s="0" t="str">
        <f aca="false">IFERROR(IF(OR(HLOOKUP($A1087,#REF!,14,FALSE())&gt;2,HLOOKUP($A1087,#REF!,14,FALSE())&lt;-2),"",#REF!),"")</f>
        <v/>
      </c>
      <c r="Q1087" s="0" t="str">
        <f aca="false">IFERROR(IF(OR(HLOOKUP($A1087,#REF!,15,FALSE())&gt;2,HLOOKUP($A1087,#REF!,15,FALSE())&lt;-2),"",#REF!),"")</f>
        <v/>
      </c>
      <c r="R1087" s="0" t="str">
        <f aca="false">IFERROR(IF(OR(HLOOKUP($A1087,#REF!,16,FALSE())&gt;2,HLOOKUP($A1087,#REF!,16,FALSE())&lt;-2),"",#REF!),"")</f>
        <v/>
      </c>
      <c r="S1087" s="0" t="str">
        <f aca="false">IFERROR(IF(OR(HLOOKUP($A1087,#REF!,17,FALSE())&gt;2,HLOOKUP($A1087,#REF!,17,FALSE())&lt;-2),"",#REF!),"")</f>
        <v/>
      </c>
      <c r="T1087" s="0" t="str">
        <f aca="false">IFERROR(IF(OR(HLOOKUP($A1087,#REF!,18,FALSE())&gt;2,HLOOKUP($A1087,#REF!,18,FALSE())&lt;-2),"",#REF!),"")</f>
        <v/>
      </c>
      <c r="U1087" s="0" t="str">
        <f aca="false">IFERROR(IF(OR(HLOOKUP($A1087,#REF!,19,FALSE())&gt;2,HLOOKUP($A1087,#REF!,19,FALSE())&lt;-2),"",#REF!),"")</f>
        <v/>
      </c>
      <c r="V1087" s="0" t="n">
        <f aca="false">IFERROR(IF(AND(X1087=0,Y1087=0),0,1),0)</f>
        <v>1</v>
      </c>
      <c r="W1087" s="3" t="str">
        <f aca="false">IFERROR(_xlfn.T.TEST(E1087:M1087,N1087:U1087,2,2),"")</f>
        <v/>
      </c>
      <c r="X1087" s="0" t="str">
        <f aca="false">IFERROR(AVERAGE(E1087:M1087),"")</f>
        <v/>
      </c>
      <c r="Y1087" s="0" t="str">
        <f aca="false">IFERROR(AVERAGE(N1087:U1087),"")</f>
        <v/>
      </c>
    </row>
    <row r="1088" customFormat="false" ht="14.5" hidden="false" customHeight="false" outlineLevel="0" collapsed="false">
      <c r="A1088" s="0" t="n">
        <v>1097</v>
      </c>
      <c r="B1088" s="0" t="s">
        <v>1131</v>
      </c>
      <c r="C1088" s="0" t="n">
        <v>70000</v>
      </c>
      <c r="D1088" s="0" t="n">
        <v>1129</v>
      </c>
      <c r="E1088" s="0" t="str">
        <f aca="false">IFERROR(IF(OR(HLOOKUP($A1088,#REF!,3,FALSE())&gt;2,HLOOKUP(A1088,#REF!,3,FALSE())&lt;-2),"",#REF!),"")</f>
        <v/>
      </c>
      <c r="F1088" s="0" t="str">
        <f aca="false">IFERROR(IF(OR(HLOOKUP($A1088,#REF!,4,FALSE())&gt;2,HLOOKUP($A1088,#REF!,4,FALSE())&lt;-2),"",#REF!),"")</f>
        <v/>
      </c>
      <c r="G1088" s="0" t="str">
        <f aca="false">IFERROR(IF(OR(HLOOKUP($A1088,#REF!,5,FALSE())&gt;2,HLOOKUP($A1088,#REF!,5,FALSE())&lt;-2),"",#REF!),"")</f>
        <v/>
      </c>
      <c r="H1088" s="0" t="str">
        <f aca="false">IFERROR(IF(OR(HLOOKUP($A1088,#REF!,6,FALSE())&gt;2,HLOOKUP($A1088,#REF!,6,FALSE())&lt;-2),"",#REF!),"")</f>
        <v/>
      </c>
      <c r="I1088" s="0" t="str">
        <f aca="false">IFERROR(IF(OR(HLOOKUP($A1088,#REF!,7,FALSE())&gt;2,HLOOKUP($A1088,#REF!,7,FALSE())&lt;-2),"",#REF!),"")</f>
        <v/>
      </c>
      <c r="J1088" s="0" t="str">
        <f aca="false">IFERROR(IF(OR(HLOOKUP($A1088,#REF!,8,FALSE())&gt;2,HLOOKUP($A1088,#REF!,8,FALSE())&lt;-2),"",#REF!),"")</f>
        <v/>
      </c>
      <c r="K1088" s="0" t="str">
        <f aca="false">IFERROR(IF(OR(HLOOKUP($A1088,#REF!,9,FALSE())&gt;2,HLOOKUP($A1088,#REF!,9,FALSE())&lt;-2),"",#REF!),"")</f>
        <v/>
      </c>
      <c r="L1088" s="0" t="str">
        <f aca="false">IFERROR(IF(OR(HLOOKUP($A1088,#REF!,10,FALSE())&gt;2,HLOOKUP($A1088,#REF!,10,FALSE())&lt;-2),"",#REF!),"")</f>
        <v/>
      </c>
      <c r="M1088" s="0" t="str">
        <f aca="false">IFERROR(IF(OR(HLOOKUP($A1088,#REF!,11,FALSE())&gt;2,HLOOKUP($A1088,#REF!,11,FALSE())&lt;-2),"",#REF!),"")</f>
        <v/>
      </c>
      <c r="N1088" s="0" t="str">
        <f aca="false">IFERROR(IF(OR(HLOOKUP($A1088,#REF!,12,FALSE())&gt;2,HLOOKUP($A1088,#REF!,12,FALSE())&lt;-2),"",#REF!),"")</f>
        <v/>
      </c>
      <c r="O1088" s="0" t="str">
        <f aca="false">IFERROR(IF(OR(HLOOKUP($A1088,#REF!,13,FALSE())&gt;2,HLOOKUP($A1088,#REF!,13,FALSE())&lt;-2),"",#REF!),"")</f>
        <v/>
      </c>
      <c r="P1088" s="0" t="str">
        <f aca="false">IFERROR(IF(OR(HLOOKUP($A1088,#REF!,14,FALSE())&gt;2,HLOOKUP($A1088,#REF!,14,FALSE())&lt;-2),"",#REF!),"")</f>
        <v/>
      </c>
      <c r="Q1088" s="0" t="str">
        <f aca="false">IFERROR(IF(OR(HLOOKUP($A1088,#REF!,15,FALSE())&gt;2,HLOOKUP($A1088,#REF!,15,FALSE())&lt;-2),"",#REF!),"")</f>
        <v/>
      </c>
      <c r="R1088" s="0" t="str">
        <f aca="false">IFERROR(IF(OR(HLOOKUP($A1088,#REF!,16,FALSE())&gt;2,HLOOKUP($A1088,#REF!,16,FALSE())&lt;-2),"",#REF!),"")</f>
        <v/>
      </c>
      <c r="S1088" s="0" t="str">
        <f aca="false">IFERROR(IF(OR(HLOOKUP($A1088,#REF!,17,FALSE())&gt;2,HLOOKUP($A1088,#REF!,17,FALSE())&lt;-2),"",#REF!),"")</f>
        <v/>
      </c>
      <c r="T1088" s="0" t="str">
        <f aca="false">IFERROR(IF(OR(HLOOKUP($A1088,#REF!,18,FALSE())&gt;2,HLOOKUP($A1088,#REF!,18,FALSE())&lt;-2),"",#REF!),"")</f>
        <v/>
      </c>
      <c r="U1088" s="0" t="str">
        <f aca="false">IFERROR(IF(OR(HLOOKUP($A1088,#REF!,19,FALSE())&gt;2,HLOOKUP($A1088,#REF!,19,FALSE())&lt;-2),"",#REF!),"")</f>
        <v/>
      </c>
      <c r="V1088" s="0" t="n">
        <f aca="false">IFERROR(IF(AND(X1088=0,Y1088=0),0,1),0)</f>
        <v>1</v>
      </c>
      <c r="W1088" s="3" t="str">
        <f aca="false">IFERROR(_xlfn.T.TEST(E1088:M1088,N1088:U1088,2,2),"")</f>
        <v/>
      </c>
      <c r="X1088" s="0" t="str">
        <f aca="false">IFERROR(AVERAGE(E1088:M1088),"")</f>
        <v/>
      </c>
      <c r="Y1088" s="0" t="str">
        <f aca="false">IFERROR(AVERAGE(N1088:U1088),"")</f>
        <v/>
      </c>
    </row>
    <row r="1089" customFormat="false" ht="14.5" hidden="false" customHeight="false" outlineLevel="0" collapsed="false">
      <c r="A1089" s="0" t="n">
        <v>1098</v>
      </c>
      <c r="B1089" s="0" t="s">
        <v>1132</v>
      </c>
      <c r="C1089" s="0" t="n">
        <v>94400</v>
      </c>
      <c r="D1089" s="0" t="n">
        <v>395</v>
      </c>
      <c r="E1089" s="0" t="str">
        <f aca="false">IFERROR(IF(OR(HLOOKUP($A1089,#REF!,3,FALSE())&gt;2,HLOOKUP(A1089,#REF!,3,FALSE())&lt;-2),"",#REF!),"")</f>
        <v/>
      </c>
      <c r="F1089" s="0" t="str">
        <f aca="false">IFERROR(IF(OR(HLOOKUP($A1089,#REF!,4,FALSE())&gt;2,HLOOKUP($A1089,#REF!,4,FALSE())&lt;-2),"",#REF!),"")</f>
        <v/>
      </c>
      <c r="G1089" s="0" t="str">
        <f aca="false">IFERROR(IF(OR(HLOOKUP($A1089,#REF!,5,FALSE())&gt;2,HLOOKUP($A1089,#REF!,5,FALSE())&lt;-2),"",#REF!),"")</f>
        <v/>
      </c>
      <c r="H1089" s="0" t="str">
        <f aca="false">IFERROR(IF(OR(HLOOKUP($A1089,#REF!,6,FALSE())&gt;2,HLOOKUP($A1089,#REF!,6,FALSE())&lt;-2),"",#REF!),"")</f>
        <v/>
      </c>
      <c r="I1089" s="0" t="str">
        <f aca="false">IFERROR(IF(OR(HLOOKUP($A1089,#REF!,7,FALSE())&gt;2,HLOOKUP($A1089,#REF!,7,FALSE())&lt;-2),"",#REF!),"")</f>
        <v/>
      </c>
      <c r="J1089" s="0" t="str">
        <f aca="false">IFERROR(IF(OR(HLOOKUP($A1089,#REF!,8,FALSE())&gt;2,HLOOKUP($A1089,#REF!,8,FALSE())&lt;-2),"",#REF!),"")</f>
        <v/>
      </c>
      <c r="K1089" s="0" t="str">
        <f aca="false">IFERROR(IF(OR(HLOOKUP($A1089,#REF!,9,FALSE())&gt;2,HLOOKUP($A1089,#REF!,9,FALSE())&lt;-2),"",#REF!),"")</f>
        <v/>
      </c>
      <c r="L1089" s="0" t="str">
        <f aca="false">IFERROR(IF(OR(HLOOKUP($A1089,#REF!,10,FALSE())&gt;2,HLOOKUP($A1089,#REF!,10,FALSE())&lt;-2),"",#REF!),"")</f>
        <v/>
      </c>
      <c r="M1089" s="0" t="str">
        <f aca="false">IFERROR(IF(OR(HLOOKUP($A1089,#REF!,11,FALSE())&gt;2,HLOOKUP($A1089,#REF!,11,FALSE())&lt;-2),"",#REF!),"")</f>
        <v/>
      </c>
      <c r="N1089" s="0" t="str">
        <f aca="false">IFERROR(IF(OR(HLOOKUP($A1089,#REF!,12,FALSE())&gt;2,HLOOKUP($A1089,#REF!,12,FALSE())&lt;-2),"",#REF!),"")</f>
        <v/>
      </c>
      <c r="O1089" s="0" t="str">
        <f aca="false">IFERROR(IF(OR(HLOOKUP($A1089,#REF!,13,FALSE())&gt;2,HLOOKUP($A1089,#REF!,13,FALSE())&lt;-2),"",#REF!),"")</f>
        <v/>
      </c>
      <c r="P1089" s="0" t="str">
        <f aca="false">IFERROR(IF(OR(HLOOKUP($A1089,#REF!,14,FALSE())&gt;2,HLOOKUP($A1089,#REF!,14,FALSE())&lt;-2),"",#REF!),"")</f>
        <v/>
      </c>
      <c r="Q1089" s="0" t="str">
        <f aca="false">IFERROR(IF(OR(HLOOKUP($A1089,#REF!,15,FALSE())&gt;2,HLOOKUP($A1089,#REF!,15,FALSE())&lt;-2),"",#REF!),"")</f>
        <v/>
      </c>
      <c r="R1089" s="0" t="str">
        <f aca="false">IFERROR(IF(OR(HLOOKUP($A1089,#REF!,16,FALSE())&gt;2,HLOOKUP($A1089,#REF!,16,FALSE())&lt;-2),"",#REF!),"")</f>
        <v/>
      </c>
      <c r="S1089" s="0" t="str">
        <f aca="false">IFERROR(IF(OR(HLOOKUP($A1089,#REF!,17,FALSE())&gt;2,HLOOKUP($A1089,#REF!,17,FALSE())&lt;-2),"",#REF!),"")</f>
        <v/>
      </c>
      <c r="T1089" s="0" t="str">
        <f aca="false">IFERROR(IF(OR(HLOOKUP($A1089,#REF!,18,FALSE())&gt;2,HLOOKUP($A1089,#REF!,18,FALSE())&lt;-2),"",#REF!),"")</f>
        <v/>
      </c>
      <c r="U1089" s="0" t="str">
        <f aca="false">IFERROR(IF(OR(HLOOKUP($A1089,#REF!,19,FALSE())&gt;2,HLOOKUP($A1089,#REF!,19,FALSE())&lt;-2),"",#REF!),"")</f>
        <v/>
      </c>
      <c r="V1089" s="0" t="n">
        <f aca="false">IFERROR(IF(AND(X1089=0,Y1089=0),0,1),0)</f>
        <v>1</v>
      </c>
      <c r="W1089" s="3" t="str">
        <f aca="false">IFERROR(_xlfn.T.TEST(E1089:M1089,N1089:U1089,2,2),"")</f>
        <v/>
      </c>
      <c r="X1089" s="0" t="str">
        <f aca="false">IFERROR(AVERAGE(E1089:M1089),"")</f>
        <v/>
      </c>
      <c r="Y1089" s="0" t="str">
        <f aca="false">IFERROR(AVERAGE(N1089:U1089),"")</f>
        <v/>
      </c>
    </row>
    <row r="1090" customFormat="false" ht="14.5" hidden="false" customHeight="false" outlineLevel="0" collapsed="false">
      <c r="A1090" s="0" t="n">
        <v>1099</v>
      </c>
      <c r="B1090" s="0" t="s">
        <v>1133</v>
      </c>
      <c r="C1090" s="0" t="n">
        <v>111100</v>
      </c>
      <c r="D1090" s="0" t="n">
        <v>768</v>
      </c>
      <c r="E1090" s="0" t="str">
        <f aca="false">IFERROR(IF(OR(HLOOKUP($A1090,#REF!,3,FALSE())&gt;2,HLOOKUP(A1090,#REF!,3,FALSE())&lt;-2),"",#REF!),"")</f>
        <v/>
      </c>
      <c r="F1090" s="0" t="str">
        <f aca="false">IFERROR(IF(OR(HLOOKUP($A1090,#REF!,4,FALSE())&gt;2,HLOOKUP($A1090,#REF!,4,FALSE())&lt;-2),"",#REF!),"")</f>
        <v/>
      </c>
      <c r="G1090" s="0" t="str">
        <f aca="false">IFERROR(IF(OR(HLOOKUP($A1090,#REF!,5,FALSE())&gt;2,HLOOKUP($A1090,#REF!,5,FALSE())&lt;-2),"",#REF!),"")</f>
        <v/>
      </c>
      <c r="H1090" s="0" t="str">
        <f aca="false">IFERROR(IF(OR(HLOOKUP($A1090,#REF!,6,FALSE())&gt;2,HLOOKUP($A1090,#REF!,6,FALSE())&lt;-2),"",#REF!),"")</f>
        <v/>
      </c>
      <c r="I1090" s="0" t="str">
        <f aca="false">IFERROR(IF(OR(HLOOKUP($A1090,#REF!,7,FALSE())&gt;2,HLOOKUP($A1090,#REF!,7,FALSE())&lt;-2),"",#REF!),"")</f>
        <v/>
      </c>
      <c r="J1090" s="0" t="str">
        <f aca="false">IFERROR(IF(OR(HLOOKUP($A1090,#REF!,8,FALSE())&gt;2,HLOOKUP($A1090,#REF!,8,FALSE())&lt;-2),"",#REF!),"")</f>
        <v/>
      </c>
      <c r="K1090" s="0" t="str">
        <f aca="false">IFERROR(IF(OR(HLOOKUP($A1090,#REF!,9,FALSE())&gt;2,HLOOKUP($A1090,#REF!,9,FALSE())&lt;-2),"",#REF!),"")</f>
        <v/>
      </c>
      <c r="L1090" s="0" t="str">
        <f aca="false">IFERROR(IF(OR(HLOOKUP($A1090,#REF!,10,FALSE())&gt;2,HLOOKUP($A1090,#REF!,10,FALSE())&lt;-2),"",#REF!),"")</f>
        <v/>
      </c>
      <c r="M1090" s="0" t="str">
        <f aca="false">IFERROR(IF(OR(HLOOKUP($A1090,#REF!,11,FALSE())&gt;2,HLOOKUP($A1090,#REF!,11,FALSE())&lt;-2),"",#REF!),"")</f>
        <v/>
      </c>
      <c r="N1090" s="0" t="str">
        <f aca="false">IFERROR(IF(OR(HLOOKUP($A1090,#REF!,12,FALSE())&gt;2,HLOOKUP($A1090,#REF!,12,FALSE())&lt;-2),"",#REF!),"")</f>
        <v/>
      </c>
      <c r="O1090" s="0" t="str">
        <f aca="false">IFERROR(IF(OR(HLOOKUP($A1090,#REF!,13,FALSE())&gt;2,HLOOKUP($A1090,#REF!,13,FALSE())&lt;-2),"",#REF!),"")</f>
        <v/>
      </c>
      <c r="P1090" s="0" t="str">
        <f aca="false">IFERROR(IF(OR(HLOOKUP($A1090,#REF!,14,FALSE())&gt;2,HLOOKUP($A1090,#REF!,14,FALSE())&lt;-2),"",#REF!),"")</f>
        <v/>
      </c>
      <c r="Q1090" s="0" t="str">
        <f aca="false">IFERROR(IF(OR(HLOOKUP($A1090,#REF!,15,FALSE())&gt;2,HLOOKUP($A1090,#REF!,15,FALSE())&lt;-2),"",#REF!),"")</f>
        <v/>
      </c>
      <c r="R1090" s="0" t="str">
        <f aca="false">IFERROR(IF(OR(HLOOKUP($A1090,#REF!,16,FALSE())&gt;2,HLOOKUP($A1090,#REF!,16,FALSE())&lt;-2),"",#REF!),"")</f>
        <v/>
      </c>
      <c r="S1090" s="0" t="str">
        <f aca="false">IFERROR(IF(OR(HLOOKUP($A1090,#REF!,17,FALSE())&gt;2,HLOOKUP($A1090,#REF!,17,FALSE())&lt;-2),"",#REF!),"")</f>
        <v/>
      </c>
      <c r="T1090" s="0" t="str">
        <f aca="false">IFERROR(IF(OR(HLOOKUP($A1090,#REF!,18,FALSE())&gt;2,HLOOKUP($A1090,#REF!,18,FALSE())&lt;-2),"",#REF!),"")</f>
        <v/>
      </c>
      <c r="U1090" s="0" t="str">
        <f aca="false">IFERROR(IF(OR(HLOOKUP($A1090,#REF!,19,FALSE())&gt;2,HLOOKUP($A1090,#REF!,19,FALSE())&lt;-2),"",#REF!),"")</f>
        <v/>
      </c>
      <c r="V1090" s="0" t="n">
        <f aca="false">IFERROR(IF(AND(X1090=0,Y1090=0),0,1),0)</f>
        <v>1</v>
      </c>
      <c r="W1090" s="3" t="str">
        <f aca="false">IFERROR(_xlfn.T.TEST(E1090:M1090,N1090:U1090,2,2),"")</f>
        <v/>
      </c>
      <c r="X1090" s="0" t="str">
        <f aca="false">IFERROR(AVERAGE(E1090:M1090),"")</f>
        <v/>
      </c>
      <c r="Y1090" s="0" t="str">
        <f aca="false">IFERROR(AVERAGE(N1090:U1090),"")</f>
        <v/>
      </c>
    </row>
    <row r="1091" customFormat="false" ht="14.5" hidden="false" customHeight="false" outlineLevel="0" collapsed="false">
      <c r="A1091" s="0" t="n">
        <v>1100</v>
      </c>
      <c r="B1091" s="0" t="s">
        <v>1134</v>
      </c>
      <c r="C1091" s="0" t="n">
        <v>81900</v>
      </c>
      <c r="D1091" s="0" t="n">
        <v>323</v>
      </c>
      <c r="E1091" s="0" t="str">
        <f aca="false">IFERROR(IF(OR(HLOOKUP($A1091,#REF!,3,FALSE())&gt;2,HLOOKUP(A1091,#REF!,3,FALSE())&lt;-2),"",#REF!),"")</f>
        <v/>
      </c>
      <c r="F1091" s="0" t="str">
        <f aca="false">IFERROR(IF(OR(HLOOKUP($A1091,#REF!,4,FALSE())&gt;2,HLOOKUP($A1091,#REF!,4,FALSE())&lt;-2),"",#REF!),"")</f>
        <v/>
      </c>
      <c r="G1091" s="0" t="str">
        <f aca="false">IFERROR(IF(OR(HLOOKUP($A1091,#REF!,5,FALSE())&gt;2,HLOOKUP($A1091,#REF!,5,FALSE())&lt;-2),"",#REF!),"")</f>
        <v/>
      </c>
      <c r="H1091" s="0" t="str">
        <f aca="false">IFERROR(IF(OR(HLOOKUP($A1091,#REF!,6,FALSE())&gt;2,HLOOKUP($A1091,#REF!,6,FALSE())&lt;-2),"",#REF!),"")</f>
        <v/>
      </c>
      <c r="I1091" s="0" t="str">
        <f aca="false">IFERROR(IF(OR(HLOOKUP($A1091,#REF!,7,FALSE())&gt;2,HLOOKUP($A1091,#REF!,7,FALSE())&lt;-2),"",#REF!),"")</f>
        <v/>
      </c>
      <c r="J1091" s="0" t="str">
        <f aca="false">IFERROR(IF(OR(HLOOKUP($A1091,#REF!,8,FALSE())&gt;2,HLOOKUP($A1091,#REF!,8,FALSE())&lt;-2),"",#REF!),"")</f>
        <v/>
      </c>
      <c r="K1091" s="0" t="str">
        <f aca="false">IFERROR(IF(OR(HLOOKUP($A1091,#REF!,9,FALSE())&gt;2,HLOOKUP($A1091,#REF!,9,FALSE())&lt;-2),"",#REF!),"")</f>
        <v/>
      </c>
      <c r="L1091" s="0" t="str">
        <f aca="false">IFERROR(IF(OR(HLOOKUP($A1091,#REF!,10,FALSE())&gt;2,HLOOKUP($A1091,#REF!,10,FALSE())&lt;-2),"",#REF!),"")</f>
        <v/>
      </c>
      <c r="M1091" s="0" t="str">
        <f aca="false">IFERROR(IF(OR(HLOOKUP($A1091,#REF!,11,FALSE())&gt;2,HLOOKUP($A1091,#REF!,11,FALSE())&lt;-2),"",#REF!),"")</f>
        <v/>
      </c>
      <c r="N1091" s="0" t="str">
        <f aca="false">IFERROR(IF(OR(HLOOKUP($A1091,#REF!,12,FALSE())&gt;2,HLOOKUP($A1091,#REF!,12,FALSE())&lt;-2),"",#REF!),"")</f>
        <v/>
      </c>
      <c r="O1091" s="0" t="str">
        <f aca="false">IFERROR(IF(OR(HLOOKUP($A1091,#REF!,13,FALSE())&gt;2,HLOOKUP($A1091,#REF!,13,FALSE())&lt;-2),"",#REF!),"")</f>
        <v/>
      </c>
      <c r="P1091" s="0" t="str">
        <f aca="false">IFERROR(IF(OR(HLOOKUP($A1091,#REF!,14,FALSE())&gt;2,HLOOKUP($A1091,#REF!,14,FALSE())&lt;-2),"",#REF!),"")</f>
        <v/>
      </c>
      <c r="Q1091" s="0" t="str">
        <f aca="false">IFERROR(IF(OR(HLOOKUP($A1091,#REF!,15,FALSE())&gt;2,HLOOKUP($A1091,#REF!,15,FALSE())&lt;-2),"",#REF!),"")</f>
        <v/>
      </c>
      <c r="R1091" s="0" t="str">
        <f aca="false">IFERROR(IF(OR(HLOOKUP($A1091,#REF!,16,FALSE())&gt;2,HLOOKUP($A1091,#REF!,16,FALSE())&lt;-2),"",#REF!),"")</f>
        <v/>
      </c>
      <c r="S1091" s="0" t="str">
        <f aca="false">IFERROR(IF(OR(HLOOKUP($A1091,#REF!,17,FALSE())&gt;2,HLOOKUP($A1091,#REF!,17,FALSE())&lt;-2),"",#REF!),"")</f>
        <v/>
      </c>
      <c r="T1091" s="0" t="str">
        <f aca="false">IFERROR(IF(OR(HLOOKUP($A1091,#REF!,18,FALSE())&gt;2,HLOOKUP($A1091,#REF!,18,FALSE())&lt;-2),"",#REF!),"")</f>
        <v/>
      </c>
      <c r="U1091" s="0" t="str">
        <f aca="false">IFERROR(IF(OR(HLOOKUP($A1091,#REF!,19,FALSE())&gt;2,HLOOKUP($A1091,#REF!,19,FALSE())&lt;-2),"",#REF!),"")</f>
        <v/>
      </c>
      <c r="V1091" s="0" t="n">
        <f aca="false">IFERROR(IF(AND(X1091=0,Y1091=0),0,1),0)</f>
        <v>1</v>
      </c>
      <c r="W1091" s="3" t="str">
        <f aca="false">IFERROR(_xlfn.T.TEST(E1091:M1091,N1091:U1091,2,2),"")</f>
        <v/>
      </c>
      <c r="X1091" s="0" t="str">
        <f aca="false">IFERROR(AVERAGE(E1091:M1091),"")</f>
        <v/>
      </c>
      <c r="Y1091" s="0" t="str">
        <f aca="false">IFERROR(AVERAGE(N1091:U1091),"")</f>
        <v/>
      </c>
    </row>
    <row r="1092" customFormat="false" ht="14.5" hidden="false" customHeight="false" outlineLevel="0" collapsed="false">
      <c r="A1092" s="0" t="n">
        <v>1101</v>
      </c>
      <c r="B1092" s="0" t="s">
        <v>1135</v>
      </c>
      <c r="C1092" s="0" t="n">
        <v>23700</v>
      </c>
      <c r="D1092" s="0" t="n">
        <v>104</v>
      </c>
      <c r="E1092" s="0" t="str">
        <f aca="false">IFERROR(IF(OR(HLOOKUP($A1092,#REF!,3,FALSE())&gt;2,HLOOKUP(A1092,#REF!,3,FALSE())&lt;-2),"",#REF!),"")</f>
        <v/>
      </c>
      <c r="F1092" s="0" t="str">
        <f aca="false">IFERROR(IF(OR(HLOOKUP($A1092,#REF!,4,FALSE())&gt;2,HLOOKUP($A1092,#REF!,4,FALSE())&lt;-2),"",#REF!),"")</f>
        <v/>
      </c>
      <c r="G1092" s="0" t="str">
        <f aca="false">IFERROR(IF(OR(HLOOKUP($A1092,#REF!,5,FALSE())&gt;2,HLOOKUP($A1092,#REF!,5,FALSE())&lt;-2),"",#REF!),"")</f>
        <v/>
      </c>
      <c r="H1092" s="0" t="str">
        <f aca="false">IFERROR(IF(OR(HLOOKUP($A1092,#REF!,6,FALSE())&gt;2,HLOOKUP($A1092,#REF!,6,FALSE())&lt;-2),"",#REF!),"")</f>
        <v/>
      </c>
      <c r="I1092" s="0" t="str">
        <f aca="false">IFERROR(IF(OR(HLOOKUP($A1092,#REF!,7,FALSE())&gt;2,HLOOKUP($A1092,#REF!,7,FALSE())&lt;-2),"",#REF!),"")</f>
        <v/>
      </c>
      <c r="J1092" s="0" t="str">
        <f aca="false">IFERROR(IF(OR(HLOOKUP($A1092,#REF!,8,FALSE())&gt;2,HLOOKUP($A1092,#REF!,8,FALSE())&lt;-2),"",#REF!),"")</f>
        <v/>
      </c>
      <c r="K1092" s="0" t="str">
        <f aca="false">IFERROR(IF(OR(HLOOKUP($A1092,#REF!,9,FALSE())&gt;2,HLOOKUP($A1092,#REF!,9,FALSE())&lt;-2),"",#REF!),"")</f>
        <v/>
      </c>
      <c r="L1092" s="0" t="str">
        <f aca="false">IFERROR(IF(OR(HLOOKUP($A1092,#REF!,10,FALSE())&gt;2,HLOOKUP($A1092,#REF!,10,FALSE())&lt;-2),"",#REF!),"")</f>
        <v/>
      </c>
      <c r="M1092" s="0" t="str">
        <f aca="false">IFERROR(IF(OR(HLOOKUP($A1092,#REF!,11,FALSE())&gt;2,HLOOKUP($A1092,#REF!,11,FALSE())&lt;-2),"",#REF!),"")</f>
        <v/>
      </c>
      <c r="N1092" s="0" t="str">
        <f aca="false">IFERROR(IF(OR(HLOOKUP($A1092,#REF!,12,FALSE())&gt;2,HLOOKUP($A1092,#REF!,12,FALSE())&lt;-2),"",#REF!),"")</f>
        <v/>
      </c>
      <c r="O1092" s="0" t="str">
        <f aca="false">IFERROR(IF(OR(HLOOKUP($A1092,#REF!,13,FALSE())&gt;2,HLOOKUP($A1092,#REF!,13,FALSE())&lt;-2),"",#REF!),"")</f>
        <v/>
      </c>
      <c r="P1092" s="0" t="str">
        <f aca="false">IFERROR(IF(OR(HLOOKUP($A1092,#REF!,14,FALSE())&gt;2,HLOOKUP($A1092,#REF!,14,FALSE())&lt;-2),"",#REF!),"")</f>
        <v/>
      </c>
      <c r="Q1092" s="0" t="str">
        <f aca="false">IFERROR(IF(OR(HLOOKUP($A1092,#REF!,15,FALSE())&gt;2,HLOOKUP($A1092,#REF!,15,FALSE())&lt;-2),"",#REF!),"")</f>
        <v/>
      </c>
      <c r="R1092" s="0" t="str">
        <f aca="false">IFERROR(IF(OR(HLOOKUP($A1092,#REF!,16,FALSE())&gt;2,HLOOKUP($A1092,#REF!,16,FALSE())&lt;-2),"",#REF!),"")</f>
        <v/>
      </c>
      <c r="S1092" s="0" t="str">
        <f aca="false">IFERROR(IF(OR(HLOOKUP($A1092,#REF!,17,FALSE())&gt;2,HLOOKUP($A1092,#REF!,17,FALSE())&lt;-2),"",#REF!),"")</f>
        <v/>
      </c>
      <c r="T1092" s="0" t="str">
        <f aca="false">IFERROR(IF(OR(HLOOKUP($A1092,#REF!,18,FALSE())&gt;2,HLOOKUP($A1092,#REF!,18,FALSE())&lt;-2),"",#REF!),"")</f>
        <v/>
      </c>
      <c r="U1092" s="0" t="str">
        <f aca="false">IFERROR(IF(OR(HLOOKUP($A1092,#REF!,19,FALSE())&gt;2,HLOOKUP($A1092,#REF!,19,FALSE())&lt;-2),"",#REF!),"")</f>
        <v/>
      </c>
      <c r="V1092" s="0" t="n">
        <f aca="false">IFERROR(IF(AND(X1092=0,Y1092=0),0,1),0)</f>
        <v>1</v>
      </c>
      <c r="W1092" s="3" t="str">
        <f aca="false">IFERROR(_xlfn.T.TEST(E1092:M1092,N1092:U1092,2,2),"")</f>
        <v/>
      </c>
      <c r="X1092" s="0" t="str">
        <f aca="false">IFERROR(AVERAGE(E1092:M1092),"")</f>
        <v/>
      </c>
      <c r="Y1092" s="0" t="str">
        <f aca="false">IFERROR(AVERAGE(N1092:U1092),"")</f>
        <v/>
      </c>
    </row>
    <row r="1093" customFormat="false" ht="14.5" hidden="false" customHeight="false" outlineLevel="0" collapsed="false">
      <c r="A1093" s="0" t="n">
        <v>1102</v>
      </c>
      <c r="B1093" s="0" t="s">
        <v>1136</v>
      </c>
      <c r="C1093" s="0" t="n">
        <v>6100</v>
      </c>
      <c r="D1093" s="0" t="n">
        <v>345</v>
      </c>
      <c r="E1093" s="0" t="str">
        <f aca="false">IFERROR(IF(OR(HLOOKUP($A1093,#REF!,3,FALSE())&gt;2,HLOOKUP(A1093,#REF!,3,FALSE())&lt;-2),"",#REF!),"")</f>
        <v/>
      </c>
      <c r="F1093" s="0" t="str">
        <f aca="false">IFERROR(IF(OR(HLOOKUP($A1093,#REF!,4,FALSE())&gt;2,HLOOKUP($A1093,#REF!,4,FALSE())&lt;-2),"",#REF!),"")</f>
        <v/>
      </c>
      <c r="G1093" s="0" t="str">
        <f aca="false">IFERROR(IF(OR(HLOOKUP($A1093,#REF!,5,FALSE())&gt;2,HLOOKUP($A1093,#REF!,5,FALSE())&lt;-2),"",#REF!),"")</f>
        <v/>
      </c>
      <c r="H1093" s="0" t="str">
        <f aca="false">IFERROR(IF(OR(HLOOKUP($A1093,#REF!,6,FALSE())&gt;2,HLOOKUP($A1093,#REF!,6,FALSE())&lt;-2),"",#REF!),"")</f>
        <v/>
      </c>
      <c r="I1093" s="0" t="str">
        <f aca="false">IFERROR(IF(OR(HLOOKUP($A1093,#REF!,7,FALSE())&gt;2,HLOOKUP($A1093,#REF!,7,FALSE())&lt;-2),"",#REF!),"")</f>
        <v/>
      </c>
      <c r="J1093" s="0" t="str">
        <f aca="false">IFERROR(IF(OR(HLOOKUP($A1093,#REF!,8,FALSE())&gt;2,HLOOKUP($A1093,#REF!,8,FALSE())&lt;-2),"",#REF!),"")</f>
        <v/>
      </c>
      <c r="K1093" s="0" t="str">
        <f aca="false">IFERROR(IF(OR(HLOOKUP($A1093,#REF!,9,FALSE())&gt;2,HLOOKUP($A1093,#REF!,9,FALSE())&lt;-2),"",#REF!),"")</f>
        <v/>
      </c>
      <c r="L1093" s="0" t="str">
        <f aca="false">IFERROR(IF(OR(HLOOKUP($A1093,#REF!,10,FALSE())&gt;2,HLOOKUP($A1093,#REF!,10,FALSE())&lt;-2),"",#REF!),"")</f>
        <v/>
      </c>
      <c r="M1093" s="0" t="str">
        <f aca="false">IFERROR(IF(OR(HLOOKUP($A1093,#REF!,11,FALSE())&gt;2,HLOOKUP($A1093,#REF!,11,FALSE())&lt;-2),"",#REF!),"")</f>
        <v/>
      </c>
      <c r="N1093" s="0" t="str">
        <f aca="false">IFERROR(IF(OR(HLOOKUP($A1093,#REF!,12,FALSE())&gt;2,HLOOKUP($A1093,#REF!,12,FALSE())&lt;-2),"",#REF!),"")</f>
        <v/>
      </c>
      <c r="O1093" s="0" t="str">
        <f aca="false">IFERROR(IF(OR(HLOOKUP($A1093,#REF!,13,FALSE())&gt;2,HLOOKUP($A1093,#REF!,13,FALSE())&lt;-2),"",#REF!),"")</f>
        <v/>
      </c>
      <c r="P1093" s="0" t="str">
        <f aca="false">IFERROR(IF(OR(HLOOKUP($A1093,#REF!,14,FALSE())&gt;2,HLOOKUP($A1093,#REF!,14,FALSE())&lt;-2),"",#REF!),"")</f>
        <v/>
      </c>
      <c r="Q1093" s="0" t="str">
        <f aca="false">IFERROR(IF(OR(HLOOKUP($A1093,#REF!,15,FALSE())&gt;2,HLOOKUP($A1093,#REF!,15,FALSE())&lt;-2),"",#REF!),"")</f>
        <v/>
      </c>
      <c r="R1093" s="0" t="str">
        <f aca="false">IFERROR(IF(OR(HLOOKUP($A1093,#REF!,16,FALSE())&gt;2,HLOOKUP($A1093,#REF!,16,FALSE())&lt;-2),"",#REF!),"")</f>
        <v/>
      </c>
      <c r="S1093" s="0" t="str">
        <f aca="false">IFERROR(IF(OR(HLOOKUP($A1093,#REF!,17,FALSE())&gt;2,HLOOKUP($A1093,#REF!,17,FALSE())&lt;-2),"",#REF!),"")</f>
        <v/>
      </c>
      <c r="T1093" s="0" t="str">
        <f aca="false">IFERROR(IF(OR(HLOOKUP($A1093,#REF!,18,FALSE())&gt;2,HLOOKUP($A1093,#REF!,18,FALSE())&lt;-2),"",#REF!),"")</f>
        <v/>
      </c>
      <c r="U1093" s="0" t="str">
        <f aca="false">IFERROR(IF(OR(HLOOKUP($A1093,#REF!,19,FALSE())&gt;2,HLOOKUP($A1093,#REF!,19,FALSE())&lt;-2),"",#REF!),"")</f>
        <v/>
      </c>
      <c r="V1093" s="0" t="n">
        <f aca="false">IFERROR(IF(AND(X1093=0,Y1093=0),0,1),0)</f>
        <v>1</v>
      </c>
      <c r="W1093" s="3" t="str">
        <f aca="false">IFERROR(_xlfn.T.TEST(E1093:M1093,N1093:U1093,2,2),"")</f>
        <v/>
      </c>
      <c r="X1093" s="0" t="str">
        <f aca="false">IFERROR(AVERAGE(E1093:M1093),"")</f>
        <v/>
      </c>
      <c r="Y1093" s="0" t="str">
        <f aca="false">IFERROR(AVERAGE(N1093:U1093),"")</f>
        <v/>
      </c>
    </row>
    <row r="1094" customFormat="false" ht="14.5" hidden="false" customHeight="false" outlineLevel="0" collapsed="false">
      <c r="A1094" s="0" t="n">
        <v>1103</v>
      </c>
      <c r="B1094" s="0" t="s">
        <v>1137</v>
      </c>
      <c r="C1094" s="0" t="n">
        <v>117900</v>
      </c>
      <c r="D1094" s="0" t="n">
        <v>1040</v>
      </c>
      <c r="E1094" s="0" t="str">
        <f aca="false">IFERROR(IF(OR(HLOOKUP($A1094,#REF!,3,FALSE())&gt;2,HLOOKUP(A1094,#REF!,3,FALSE())&lt;-2),"",#REF!),"")</f>
        <v/>
      </c>
      <c r="F1094" s="0" t="str">
        <f aca="false">IFERROR(IF(OR(HLOOKUP($A1094,#REF!,4,FALSE())&gt;2,HLOOKUP($A1094,#REF!,4,FALSE())&lt;-2),"",#REF!),"")</f>
        <v/>
      </c>
      <c r="G1094" s="0" t="str">
        <f aca="false">IFERROR(IF(OR(HLOOKUP($A1094,#REF!,5,FALSE())&gt;2,HLOOKUP($A1094,#REF!,5,FALSE())&lt;-2),"",#REF!),"")</f>
        <v/>
      </c>
      <c r="H1094" s="0" t="str">
        <f aca="false">IFERROR(IF(OR(HLOOKUP($A1094,#REF!,6,FALSE())&gt;2,HLOOKUP($A1094,#REF!,6,FALSE())&lt;-2),"",#REF!),"")</f>
        <v/>
      </c>
      <c r="I1094" s="0" t="str">
        <f aca="false">IFERROR(IF(OR(HLOOKUP($A1094,#REF!,7,FALSE())&gt;2,HLOOKUP($A1094,#REF!,7,FALSE())&lt;-2),"",#REF!),"")</f>
        <v/>
      </c>
      <c r="J1094" s="0" t="str">
        <f aca="false">IFERROR(IF(OR(HLOOKUP($A1094,#REF!,8,FALSE())&gt;2,HLOOKUP($A1094,#REF!,8,FALSE())&lt;-2),"",#REF!),"")</f>
        <v/>
      </c>
      <c r="K1094" s="0" t="str">
        <f aca="false">IFERROR(IF(OR(HLOOKUP($A1094,#REF!,9,FALSE())&gt;2,HLOOKUP($A1094,#REF!,9,FALSE())&lt;-2),"",#REF!),"")</f>
        <v/>
      </c>
      <c r="L1094" s="0" t="str">
        <f aca="false">IFERROR(IF(OR(HLOOKUP($A1094,#REF!,10,FALSE())&gt;2,HLOOKUP($A1094,#REF!,10,FALSE())&lt;-2),"",#REF!),"")</f>
        <v/>
      </c>
      <c r="M1094" s="0" t="str">
        <f aca="false">IFERROR(IF(OR(HLOOKUP($A1094,#REF!,11,FALSE())&gt;2,HLOOKUP($A1094,#REF!,11,FALSE())&lt;-2),"",#REF!),"")</f>
        <v/>
      </c>
      <c r="N1094" s="0" t="str">
        <f aca="false">IFERROR(IF(OR(HLOOKUP($A1094,#REF!,12,FALSE())&gt;2,HLOOKUP($A1094,#REF!,12,FALSE())&lt;-2),"",#REF!),"")</f>
        <v/>
      </c>
      <c r="O1094" s="0" t="str">
        <f aca="false">IFERROR(IF(OR(HLOOKUP($A1094,#REF!,13,FALSE())&gt;2,HLOOKUP($A1094,#REF!,13,FALSE())&lt;-2),"",#REF!),"")</f>
        <v/>
      </c>
      <c r="P1094" s="0" t="str">
        <f aca="false">IFERROR(IF(OR(HLOOKUP($A1094,#REF!,14,FALSE())&gt;2,HLOOKUP($A1094,#REF!,14,FALSE())&lt;-2),"",#REF!),"")</f>
        <v/>
      </c>
      <c r="Q1094" s="0" t="str">
        <f aca="false">IFERROR(IF(OR(HLOOKUP($A1094,#REF!,15,FALSE())&gt;2,HLOOKUP($A1094,#REF!,15,FALSE())&lt;-2),"",#REF!),"")</f>
        <v/>
      </c>
      <c r="R1094" s="0" t="str">
        <f aca="false">IFERROR(IF(OR(HLOOKUP($A1094,#REF!,16,FALSE())&gt;2,HLOOKUP($A1094,#REF!,16,FALSE())&lt;-2),"",#REF!),"")</f>
        <v/>
      </c>
      <c r="S1094" s="0" t="str">
        <f aca="false">IFERROR(IF(OR(HLOOKUP($A1094,#REF!,17,FALSE())&gt;2,HLOOKUP($A1094,#REF!,17,FALSE())&lt;-2),"",#REF!),"")</f>
        <v/>
      </c>
      <c r="T1094" s="0" t="str">
        <f aca="false">IFERROR(IF(OR(HLOOKUP($A1094,#REF!,18,FALSE())&gt;2,HLOOKUP($A1094,#REF!,18,FALSE())&lt;-2),"",#REF!),"")</f>
        <v/>
      </c>
      <c r="U1094" s="0" t="str">
        <f aca="false">IFERROR(IF(OR(HLOOKUP($A1094,#REF!,19,FALSE())&gt;2,HLOOKUP($A1094,#REF!,19,FALSE())&lt;-2),"",#REF!),"")</f>
        <v/>
      </c>
      <c r="V1094" s="0" t="n">
        <f aca="false">IFERROR(IF(AND(X1094=0,Y1094=0),0,1),0)</f>
        <v>1</v>
      </c>
      <c r="W1094" s="3" t="str">
        <f aca="false">IFERROR(_xlfn.T.TEST(E1094:M1094,N1094:U1094,2,2),"")</f>
        <v/>
      </c>
      <c r="X1094" s="0" t="str">
        <f aca="false">IFERROR(AVERAGE(E1094:M1094),"")</f>
        <v/>
      </c>
      <c r="Y1094" s="0" t="str">
        <f aca="false">IFERROR(AVERAGE(N1094:U1094),"")</f>
        <v/>
      </c>
    </row>
    <row r="1095" customFormat="false" ht="14.5" hidden="false" customHeight="false" outlineLevel="0" collapsed="false">
      <c r="A1095" s="0" t="n">
        <v>1104</v>
      </c>
      <c r="B1095" s="0" t="s">
        <v>1138</v>
      </c>
      <c r="C1095" s="0" t="n">
        <v>66600</v>
      </c>
      <c r="D1095" s="0" t="n">
        <v>127</v>
      </c>
      <c r="E1095" s="0" t="str">
        <f aca="false">IFERROR(IF(OR(HLOOKUP($A1095,#REF!,3,FALSE())&gt;2,HLOOKUP(A1095,#REF!,3,FALSE())&lt;-2),"",#REF!),"")</f>
        <v/>
      </c>
      <c r="F1095" s="0" t="str">
        <f aca="false">IFERROR(IF(OR(HLOOKUP($A1095,#REF!,4,FALSE())&gt;2,HLOOKUP($A1095,#REF!,4,FALSE())&lt;-2),"",#REF!),"")</f>
        <v/>
      </c>
      <c r="G1095" s="0" t="str">
        <f aca="false">IFERROR(IF(OR(HLOOKUP($A1095,#REF!,5,FALSE())&gt;2,HLOOKUP($A1095,#REF!,5,FALSE())&lt;-2),"",#REF!),"")</f>
        <v/>
      </c>
      <c r="H1095" s="0" t="str">
        <f aca="false">IFERROR(IF(OR(HLOOKUP($A1095,#REF!,6,FALSE())&gt;2,HLOOKUP($A1095,#REF!,6,FALSE())&lt;-2),"",#REF!),"")</f>
        <v/>
      </c>
      <c r="I1095" s="0" t="str">
        <f aca="false">IFERROR(IF(OR(HLOOKUP($A1095,#REF!,7,FALSE())&gt;2,HLOOKUP($A1095,#REF!,7,FALSE())&lt;-2),"",#REF!),"")</f>
        <v/>
      </c>
      <c r="J1095" s="0" t="str">
        <f aca="false">IFERROR(IF(OR(HLOOKUP($A1095,#REF!,8,FALSE())&gt;2,HLOOKUP($A1095,#REF!,8,FALSE())&lt;-2),"",#REF!),"")</f>
        <v/>
      </c>
      <c r="K1095" s="0" t="str">
        <f aca="false">IFERROR(IF(OR(HLOOKUP($A1095,#REF!,9,FALSE())&gt;2,HLOOKUP($A1095,#REF!,9,FALSE())&lt;-2),"",#REF!),"")</f>
        <v/>
      </c>
      <c r="L1095" s="0" t="str">
        <f aca="false">IFERROR(IF(OR(HLOOKUP($A1095,#REF!,10,FALSE())&gt;2,HLOOKUP($A1095,#REF!,10,FALSE())&lt;-2),"",#REF!),"")</f>
        <v/>
      </c>
      <c r="M1095" s="0" t="str">
        <f aca="false">IFERROR(IF(OR(HLOOKUP($A1095,#REF!,11,FALSE())&gt;2,HLOOKUP($A1095,#REF!,11,FALSE())&lt;-2),"",#REF!),"")</f>
        <v/>
      </c>
      <c r="N1095" s="0" t="str">
        <f aca="false">IFERROR(IF(OR(HLOOKUP($A1095,#REF!,12,FALSE())&gt;2,HLOOKUP($A1095,#REF!,12,FALSE())&lt;-2),"",#REF!),"")</f>
        <v/>
      </c>
      <c r="O1095" s="0" t="str">
        <f aca="false">IFERROR(IF(OR(HLOOKUP($A1095,#REF!,13,FALSE())&gt;2,HLOOKUP($A1095,#REF!,13,FALSE())&lt;-2),"",#REF!),"")</f>
        <v/>
      </c>
      <c r="P1095" s="0" t="str">
        <f aca="false">IFERROR(IF(OR(HLOOKUP($A1095,#REF!,14,FALSE())&gt;2,HLOOKUP($A1095,#REF!,14,FALSE())&lt;-2),"",#REF!),"")</f>
        <v/>
      </c>
      <c r="Q1095" s="0" t="str">
        <f aca="false">IFERROR(IF(OR(HLOOKUP($A1095,#REF!,15,FALSE())&gt;2,HLOOKUP($A1095,#REF!,15,FALSE())&lt;-2),"",#REF!),"")</f>
        <v/>
      </c>
      <c r="R1095" s="0" t="str">
        <f aca="false">IFERROR(IF(OR(HLOOKUP($A1095,#REF!,16,FALSE())&gt;2,HLOOKUP($A1095,#REF!,16,FALSE())&lt;-2),"",#REF!),"")</f>
        <v/>
      </c>
      <c r="S1095" s="0" t="str">
        <f aca="false">IFERROR(IF(OR(HLOOKUP($A1095,#REF!,17,FALSE())&gt;2,HLOOKUP($A1095,#REF!,17,FALSE())&lt;-2),"",#REF!),"")</f>
        <v/>
      </c>
      <c r="T1095" s="0" t="str">
        <f aca="false">IFERROR(IF(OR(HLOOKUP($A1095,#REF!,18,FALSE())&gt;2,HLOOKUP($A1095,#REF!,18,FALSE())&lt;-2),"",#REF!),"")</f>
        <v/>
      </c>
      <c r="U1095" s="0" t="str">
        <f aca="false">IFERROR(IF(OR(HLOOKUP($A1095,#REF!,19,FALSE())&gt;2,HLOOKUP($A1095,#REF!,19,FALSE())&lt;-2),"",#REF!),"")</f>
        <v/>
      </c>
      <c r="V1095" s="0" t="n">
        <f aca="false">IFERROR(IF(AND(X1095=0,Y1095=0),0,1),0)</f>
        <v>1</v>
      </c>
      <c r="W1095" s="3" t="str">
        <f aca="false">IFERROR(_xlfn.T.TEST(E1095:M1095,N1095:U1095,2,2),"")</f>
        <v/>
      </c>
      <c r="X1095" s="0" t="str">
        <f aca="false">IFERROR(AVERAGE(E1095:M1095),"")</f>
        <v/>
      </c>
      <c r="Y1095" s="0" t="str">
        <f aca="false">IFERROR(AVERAGE(N1095:U1095),"")</f>
        <v/>
      </c>
    </row>
    <row r="1096" customFormat="false" ht="14.5" hidden="false" customHeight="false" outlineLevel="0" collapsed="false">
      <c r="A1096" s="0" t="n">
        <v>1105</v>
      </c>
      <c r="B1096" s="0" t="s">
        <v>1139</v>
      </c>
      <c r="C1096" s="0" t="n">
        <v>50700</v>
      </c>
      <c r="D1096" s="0" t="n">
        <v>278</v>
      </c>
      <c r="E1096" s="0" t="str">
        <f aca="false">IFERROR(IF(OR(HLOOKUP($A1096,#REF!,3,FALSE())&gt;2,HLOOKUP(A1096,#REF!,3,FALSE())&lt;-2),"",#REF!),"")</f>
        <v/>
      </c>
      <c r="F1096" s="0" t="str">
        <f aca="false">IFERROR(IF(OR(HLOOKUP($A1096,#REF!,4,FALSE())&gt;2,HLOOKUP($A1096,#REF!,4,FALSE())&lt;-2),"",#REF!),"")</f>
        <v/>
      </c>
      <c r="G1096" s="0" t="str">
        <f aca="false">IFERROR(IF(OR(HLOOKUP($A1096,#REF!,5,FALSE())&gt;2,HLOOKUP($A1096,#REF!,5,FALSE())&lt;-2),"",#REF!),"")</f>
        <v/>
      </c>
      <c r="H1096" s="0" t="str">
        <f aca="false">IFERROR(IF(OR(HLOOKUP($A1096,#REF!,6,FALSE())&gt;2,HLOOKUP($A1096,#REF!,6,FALSE())&lt;-2),"",#REF!),"")</f>
        <v/>
      </c>
      <c r="I1096" s="0" t="str">
        <f aca="false">IFERROR(IF(OR(HLOOKUP($A1096,#REF!,7,FALSE())&gt;2,HLOOKUP($A1096,#REF!,7,FALSE())&lt;-2),"",#REF!),"")</f>
        <v/>
      </c>
      <c r="J1096" s="0" t="str">
        <f aca="false">IFERROR(IF(OR(HLOOKUP($A1096,#REF!,8,FALSE())&gt;2,HLOOKUP($A1096,#REF!,8,FALSE())&lt;-2),"",#REF!),"")</f>
        <v/>
      </c>
      <c r="K1096" s="0" t="str">
        <f aca="false">IFERROR(IF(OR(HLOOKUP($A1096,#REF!,9,FALSE())&gt;2,HLOOKUP($A1096,#REF!,9,FALSE())&lt;-2),"",#REF!),"")</f>
        <v/>
      </c>
      <c r="L1096" s="0" t="str">
        <f aca="false">IFERROR(IF(OR(HLOOKUP($A1096,#REF!,10,FALSE())&gt;2,HLOOKUP($A1096,#REF!,10,FALSE())&lt;-2),"",#REF!),"")</f>
        <v/>
      </c>
      <c r="M1096" s="0" t="str">
        <f aca="false">IFERROR(IF(OR(HLOOKUP($A1096,#REF!,11,FALSE())&gt;2,HLOOKUP($A1096,#REF!,11,FALSE())&lt;-2),"",#REF!),"")</f>
        <v/>
      </c>
      <c r="N1096" s="0" t="str">
        <f aca="false">IFERROR(IF(OR(HLOOKUP($A1096,#REF!,12,FALSE())&gt;2,HLOOKUP($A1096,#REF!,12,FALSE())&lt;-2),"",#REF!),"")</f>
        <v/>
      </c>
      <c r="O1096" s="0" t="str">
        <f aca="false">IFERROR(IF(OR(HLOOKUP($A1096,#REF!,13,FALSE())&gt;2,HLOOKUP($A1096,#REF!,13,FALSE())&lt;-2),"",#REF!),"")</f>
        <v/>
      </c>
      <c r="P1096" s="0" t="str">
        <f aca="false">IFERROR(IF(OR(HLOOKUP($A1096,#REF!,14,FALSE())&gt;2,HLOOKUP($A1096,#REF!,14,FALSE())&lt;-2),"",#REF!),"")</f>
        <v/>
      </c>
      <c r="Q1096" s="0" t="str">
        <f aca="false">IFERROR(IF(OR(HLOOKUP($A1096,#REF!,15,FALSE())&gt;2,HLOOKUP($A1096,#REF!,15,FALSE())&lt;-2),"",#REF!),"")</f>
        <v/>
      </c>
      <c r="R1096" s="0" t="str">
        <f aca="false">IFERROR(IF(OR(HLOOKUP($A1096,#REF!,16,FALSE())&gt;2,HLOOKUP($A1096,#REF!,16,FALSE())&lt;-2),"",#REF!),"")</f>
        <v/>
      </c>
      <c r="S1096" s="0" t="str">
        <f aca="false">IFERROR(IF(OR(HLOOKUP($A1096,#REF!,17,FALSE())&gt;2,HLOOKUP($A1096,#REF!,17,FALSE())&lt;-2),"",#REF!),"")</f>
        <v/>
      </c>
      <c r="T1096" s="0" t="str">
        <f aca="false">IFERROR(IF(OR(HLOOKUP($A1096,#REF!,18,FALSE())&gt;2,HLOOKUP($A1096,#REF!,18,FALSE())&lt;-2),"",#REF!),"")</f>
        <v/>
      </c>
      <c r="U1096" s="0" t="str">
        <f aca="false">IFERROR(IF(OR(HLOOKUP($A1096,#REF!,19,FALSE())&gt;2,HLOOKUP($A1096,#REF!,19,FALSE())&lt;-2),"",#REF!),"")</f>
        <v/>
      </c>
      <c r="V1096" s="0" t="n">
        <f aca="false">IFERROR(IF(AND(X1096=0,Y1096=0),0,1),0)</f>
        <v>1</v>
      </c>
      <c r="W1096" s="3" t="str">
        <f aca="false">IFERROR(_xlfn.T.TEST(E1096:M1096,N1096:U1096,2,2),"")</f>
        <v/>
      </c>
      <c r="X1096" s="0" t="str">
        <f aca="false">IFERROR(AVERAGE(E1096:M1096),"")</f>
        <v/>
      </c>
      <c r="Y1096" s="0" t="str">
        <f aca="false">IFERROR(AVERAGE(N1096:U1096),"")</f>
        <v/>
      </c>
    </row>
    <row r="1097" customFormat="false" ht="14.5" hidden="false" customHeight="false" outlineLevel="0" collapsed="false">
      <c r="A1097" s="0" t="n">
        <v>1106</v>
      </c>
      <c r="B1097" s="0" t="s">
        <v>1140</v>
      </c>
      <c r="C1097" s="0" t="n">
        <v>10000</v>
      </c>
      <c r="D1097" s="0" t="n">
        <v>677</v>
      </c>
      <c r="E1097" s="0" t="str">
        <f aca="false">IFERROR(IF(OR(HLOOKUP($A1097,#REF!,3,FALSE())&gt;2,HLOOKUP(A1097,#REF!,3,FALSE())&lt;-2),"",#REF!),"")</f>
        <v/>
      </c>
      <c r="F1097" s="0" t="str">
        <f aca="false">IFERROR(IF(OR(HLOOKUP($A1097,#REF!,4,FALSE())&gt;2,HLOOKUP($A1097,#REF!,4,FALSE())&lt;-2),"",#REF!),"")</f>
        <v/>
      </c>
      <c r="G1097" s="0" t="str">
        <f aca="false">IFERROR(IF(OR(HLOOKUP($A1097,#REF!,5,FALSE())&gt;2,HLOOKUP($A1097,#REF!,5,FALSE())&lt;-2),"",#REF!),"")</f>
        <v/>
      </c>
      <c r="H1097" s="0" t="str">
        <f aca="false">IFERROR(IF(OR(HLOOKUP($A1097,#REF!,6,FALSE())&gt;2,HLOOKUP($A1097,#REF!,6,FALSE())&lt;-2),"",#REF!),"")</f>
        <v/>
      </c>
      <c r="I1097" s="0" t="str">
        <f aca="false">IFERROR(IF(OR(HLOOKUP($A1097,#REF!,7,FALSE())&gt;2,HLOOKUP($A1097,#REF!,7,FALSE())&lt;-2),"",#REF!),"")</f>
        <v/>
      </c>
      <c r="J1097" s="0" t="str">
        <f aca="false">IFERROR(IF(OR(HLOOKUP($A1097,#REF!,8,FALSE())&gt;2,HLOOKUP($A1097,#REF!,8,FALSE())&lt;-2),"",#REF!),"")</f>
        <v/>
      </c>
      <c r="K1097" s="0" t="str">
        <f aca="false">IFERROR(IF(OR(HLOOKUP($A1097,#REF!,9,FALSE())&gt;2,HLOOKUP($A1097,#REF!,9,FALSE())&lt;-2),"",#REF!),"")</f>
        <v/>
      </c>
      <c r="L1097" s="0" t="str">
        <f aca="false">IFERROR(IF(OR(HLOOKUP($A1097,#REF!,10,FALSE())&gt;2,HLOOKUP($A1097,#REF!,10,FALSE())&lt;-2),"",#REF!),"")</f>
        <v/>
      </c>
      <c r="M1097" s="0" t="str">
        <f aca="false">IFERROR(IF(OR(HLOOKUP($A1097,#REF!,11,FALSE())&gt;2,HLOOKUP($A1097,#REF!,11,FALSE())&lt;-2),"",#REF!),"")</f>
        <v/>
      </c>
      <c r="N1097" s="0" t="str">
        <f aca="false">IFERROR(IF(OR(HLOOKUP($A1097,#REF!,12,FALSE())&gt;2,HLOOKUP($A1097,#REF!,12,FALSE())&lt;-2),"",#REF!),"")</f>
        <v/>
      </c>
      <c r="O1097" s="0" t="str">
        <f aca="false">IFERROR(IF(OR(HLOOKUP($A1097,#REF!,13,FALSE())&gt;2,HLOOKUP($A1097,#REF!,13,FALSE())&lt;-2),"",#REF!),"")</f>
        <v/>
      </c>
      <c r="P1097" s="0" t="str">
        <f aca="false">IFERROR(IF(OR(HLOOKUP($A1097,#REF!,14,FALSE())&gt;2,HLOOKUP($A1097,#REF!,14,FALSE())&lt;-2),"",#REF!),"")</f>
        <v/>
      </c>
      <c r="Q1097" s="0" t="str">
        <f aca="false">IFERROR(IF(OR(HLOOKUP($A1097,#REF!,15,FALSE())&gt;2,HLOOKUP($A1097,#REF!,15,FALSE())&lt;-2),"",#REF!),"")</f>
        <v/>
      </c>
      <c r="R1097" s="0" t="str">
        <f aca="false">IFERROR(IF(OR(HLOOKUP($A1097,#REF!,16,FALSE())&gt;2,HLOOKUP($A1097,#REF!,16,FALSE())&lt;-2),"",#REF!),"")</f>
        <v/>
      </c>
      <c r="S1097" s="0" t="str">
        <f aca="false">IFERROR(IF(OR(HLOOKUP($A1097,#REF!,17,FALSE())&gt;2,HLOOKUP($A1097,#REF!,17,FALSE())&lt;-2),"",#REF!),"")</f>
        <v/>
      </c>
      <c r="T1097" s="0" t="str">
        <f aca="false">IFERROR(IF(OR(HLOOKUP($A1097,#REF!,18,FALSE())&gt;2,HLOOKUP($A1097,#REF!,18,FALSE())&lt;-2),"",#REF!),"")</f>
        <v/>
      </c>
      <c r="U1097" s="0" t="str">
        <f aca="false">IFERROR(IF(OR(HLOOKUP($A1097,#REF!,19,FALSE())&gt;2,HLOOKUP($A1097,#REF!,19,FALSE())&lt;-2),"",#REF!),"")</f>
        <v/>
      </c>
      <c r="V1097" s="0" t="n">
        <f aca="false">IFERROR(IF(AND(X1097=0,Y1097=0),0,1),0)</f>
        <v>1</v>
      </c>
      <c r="W1097" s="3" t="str">
        <f aca="false">IFERROR(_xlfn.T.TEST(E1097:M1097,N1097:U1097,2,2),"")</f>
        <v/>
      </c>
      <c r="X1097" s="0" t="str">
        <f aca="false">IFERROR(AVERAGE(E1097:M1097),"")</f>
        <v/>
      </c>
      <c r="Y1097" s="0" t="str">
        <f aca="false">IFERROR(AVERAGE(N1097:U1097),"")</f>
        <v/>
      </c>
    </row>
    <row r="1098" customFormat="false" ht="14.5" hidden="false" customHeight="false" outlineLevel="0" collapsed="false">
      <c r="A1098" s="0" t="n">
        <v>1107</v>
      </c>
      <c r="B1098" s="0" t="s">
        <v>1141</v>
      </c>
      <c r="C1098" s="0" t="n">
        <v>94500</v>
      </c>
      <c r="D1098" s="0" t="n">
        <v>395</v>
      </c>
      <c r="E1098" s="0" t="str">
        <f aca="false">IFERROR(IF(OR(HLOOKUP($A1098,#REF!,3,FALSE())&gt;2,HLOOKUP(A1098,#REF!,3,FALSE())&lt;-2),"",#REF!),"")</f>
        <v/>
      </c>
      <c r="F1098" s="0" t="str">
        <f aca="false">IFERROR(IF(OR(HLOOKUP($A1098,#REF!,4,FALSE())&gt;2,HLOOKUP($A1098,#REF!,4,FALSE())&lt;-2),"",#REF!),"")</f>
        <v/>
      </c>
      <c r="G1098" s="0" t="str">
        <f aca="false">IFERROR(IF(OR(HLOOKUP($A1098,#REF!,5,FALSE())&gt;2,HLOOKUP($A1098,#REF!,5,FALSE())&lt;-2),"",#REF!),"")</f>
        <v/>
      </c>
      <c r="H1098" s="0" t="str">
        <f aca="false">IFERROR(IF(OR(HLOOKUP($A1098,#REF!,6,FALSE())&gt;2,HLOOKUP($A1098,#REF!,6,FALSE())&lt;-2),"",#REF!),"")</f>
        <v/>
      </c>
      <c r="I1098" s="0" t="str">
        <f aca="false">IFERROR(IF(OR(HLOOKUP($A1098,#REF!,7,FALSE())&gt;2,HLOOKUP($A1098,#REF!,7,FALSE())&lt;-2),"",#REF!),"")</f>
        <v/>
      </c>
      <c r="J1098" s="0" t="str">
        <f aca="false">IFERROR(IF(OR(HLOOKUP($A1098,#REF!,8,FALSE())&gt;2,HLOOKUP($A1098,#REF!,8,FALSE())&lt;-2),"",#REF!),"")</f>
        <v/>
      </c>
      <c r="K1098" s="0" t="str">
        <f aca="false">IFERROR(IF(OR(HLOOKUP($A1098,#REF!,9,FALSE())&gt;2,HLOOKUP($A1098,#REF!,9,FALSE())&lt;-2),"",#REF!),"")</f>
        <v/>
      </c>
      <c r="L1098" s="0" t="str">
        <f aca="false">IFERROR(IF(OR(HLOOKUP($A1098,#REF!,10,FALSE())&gt;2,HLOOKUP($A1098,#REF!,10,FALSE())&lt;-2),"",#REF!),"")</f>
        <v/>
      </c>
      <c r="M1098" s="0" t="str">
        <f aca="false">IFERROR(IF(OR(HLOOKUP($A1098,#REF!,11,FALSE())&gt;2,HLOOKUP($A1098,#REF!,11,FALSE())&lt;-2),"",#REF!),"")</f>
        <v/>
      </c>
      <c r="N1098" s="0" t="str">
        <f aca="false">IFERROR(IF(OR(HLOOKUP($A1098,#REF!,12,FALSE())&gt;2,HLOOKUP($A1098,#REF!,12,FALSE())&lt;-2),"",#REF!),"")</f>
        <v/>
      </c>
      <c r="O1098" s="0" t="str">
        <f aca="false">IFERROR(IF(OR(HLOOKUP($A1098,#REF!,13,FALSE())&gt;2,HLOOKUP($A1098,#REF!,13,FALSE())&lt;-2),"",#REF!),"")</f>
        <v/>
      </c>
      <c r="P1098" s="0" t="str">
        <f aca="false">IFERROR(IF(OR(HLOOKUP($A1098,#REF!,14,FALSE())&gt;2,HLOOKUP($A1098,#REF!,14,FALSE())&lt;-2),"",#REF!),"")</f>
        <v/>
      </c>
      <c r="Q1098" s="0" t="str">
        <f aca="false">IFERROR(IF(OR(HLOOKUP($A1098,#REF!,15,FALSE())&gt;2,HLOOKUP($A1098,#REF!,15,FALSE())&lt;-2),"",#REF!),"")</f>
        <v/>
      </c>
      <c r="R1098" s="0" t="str">
        <f aca="false">IFERROR(IF(OR(HLOOKUP($A1098,#REF!,16,FALSE())&gt;2,HLOOKUP($A1098,#REF!,16,FALSE())&lt;-2),"",#REF!),"")</f>
        <v/>
      </c>
      <c r="S1098" s="0" t="str">
        <f aca="false">IFERROR(IF(OR(HLOOKUP($A1098,#REF!,17,FALSE())&gt;2,HLOOKUP($A1098,#REF!,17,FALSE())&lt;-2),"",#REF!),"")</f>
        <v/>
      </c>
      <c r="T1098" s="0" t="str">
        <f aca="false">IFERROR(IF(OR(HLOOKUP($A1098,#REF!,18,FALSE())&gt;2,HLOOKUP($A1098,#REF!,18,FALSE())&lt;-2),"",#REF!),"")</f>
        <v/>
      </c>
      <c r="U1098" s="0" t="str">
        <f aca="false">IFERROR(IF(OR(HLOOKUP($A1098,#REF!,19,FALSE())&gt;2,HLOOKUP($A1098,#REF!,19,FALSE())&lt;-2),"",#REF!),"")</f>
        <v/>
      </c>
      <c r="V1098" s="0" t="n">
        <f aca="false">IFERROR(IF(AND(X1098=0,Y1098=0),0,1),0)</f>
        <v>1</v>
      </c>
      <c r="W1098" s="3" t="str">
        <f aca="false">IFERROR(_xlfn.T.TEST(E1098:M1098,N1098:U1098,2,2),"")</f>
        <v/>
      </c>
      <c r="X1098" s="0" t="str">
        <f aca="false">IFERROR(AVERAGE(E1098:M1098),"")</f>
        <v/>
      </c>
      <c r="Y1098" s="0" t="str">
        <f aca="false">IFERROR(AVERAGE(N1098:U1098),"")</f>
        <v/>
      </c>
    </row>
    <row r="1099" customFormat="false" ht="14.5" hidden="false" customHeight="false" outlineLevel="0" collapsed="false">
      <c r="A1099" s="0" t="n">
        <v>1108</v>
      </c>
      <c r="B1099" s="0" t="s">
        <v>1142</v>
      </c>
      <c r="C1099" s="0" t="n">
        <v>106500</v>
      </c>
      <c r="D1099" s="0" t="n">
        <v>776</v>
      </c>
      <c r="E1099" s="0" t="str">
        <f aca="false">IFERROR(IF(OR(HLOOKUP($A1099,#REF!,3,FALSE())&gt;2,HLOOKUP(A1099,#REF!,3,FALSE())&lt;-2),"",#REF!),"")</f>
        <v/>
      </c>
      <c r="F1099" s="0" t="str">
        <f aca="false">IFERROR(IF(OR(HLOOKUP($A1099,#REF!,4,FALSE())&gt;2,HLOOKUP($A1099,#REF!,4,FALSE())&lt;-2),"",#REF!),"")</f>
        <v/>
      </c>
      <c r="G1099" s="0" t="str">
        <f aca="false">IFERROR(IF(OR(HLOOKUP($A1099,#REF!,5,FALSE())&gt;2,HLOOKUP($A1099,#REF!,5,FALSE())&lt;-2),"",#REF!),"")</f>
        <v/>
      </c>
      <c r="H1099" s="0" t="str">
        <f aca="false">IFERROR(IF(OR(HLOOKUP($A1099,#REF!,6,FALSE())&gt;2,HLOOKUP($A1099,#REF!,6,FALSE())&lt;-2),"",#REF!),"")</f>
        <v/>
      </c>
      <c r="I1099" s="0" t="str">
        <f aca="false">IFERROR(IF(OR(HLOOKUP($A1099,#REF!,7,FALSE())&gt;2,HLOOKUP($A1099,#REF!,7,FALSE())&lt;-2),"",#REF!),"")</f>
        <v/>
      </c>
      <c r="J1099" s="0" t="str">
        <f aca="false">IFERROR(IF(OR(HLOOKUP($A1099,#REF!,8,FALSE())&gt;2,HLOOKUP($A1099,#REF!,8,FALSE())&lt;-2),"",#REF!),"")</f>
        <v/>
      </c>
      <c r="K1099" s="0" t="str">
        <f aca="false">IFERROR(IF(OR(HLOOKUP($A1099,#REF!,9,FALSE())&gt;2,HLOOKUP($A1099,#REF!,9,FALSE())&lt;-2),"",#REF!),"")</f>
        <v/>
      </c>
      <c r="L1099" s="0" t="str">
        <f aca="false">IFERROR(IF(OR(HLOOKUP($A1099,#REF!,10,FALSE())&gt;2,HLOOKUP($A1099,#REF!,10,FALSE())&lt;-2),"",#REF!),"")</f>
        <v/>
      </c>
      <c r="M1099" s="0" t="str">
        <f aca="false">IFERROR(IF(OR(HLOOKUP($A1099,#REF!,11,FALSE())&gt;2,HLOOKUP($A1099,#REF!,11,FALSE())&lt;-2),"",#REF!),"")</f>
        <v/>
      </c>
      <c r="N1099" s="0" t="str">
        <f aca="false">IFERROR(IF(OR(HLOOKUP($A1099,#REF!,12,FALSE())&gt;2,HLOOKUP($A1099,#REF!,12,FALSE())&lt;-2),"",#REF!),"")</f>
        <v/>
      </c>
      <c r="O1099" s="0" t="str">
        <f aca="false">IFERROR(IF(OR(HLOOKUP($A1099,#REF!,13,FALSE())&gt;2,HLOOKUP($A1099,#REF!,13,FALSE())&lt;-2),"",#REF!),"")</f>
        <v/>
      </c>
      <c r="P1099" s="0" t="str">
        <f aca="false">IFERROR(IF(OR(HLOOKUP($A1099,#REF!,14,FALSE())&gt;2,HLOOKUP($A1099,#REF!,14,FALSE())&lt;-2),"",#REF!),"")</f>
        <v/>
      </c>
      <c r="Q1099" s="0" t="str">
        <f aca="false">IFERROR(IF(OR(HLOOKUP($A1099,#REF!,15,FALSE())&gt;2,HLOOKUP($A1099,#REF!,15,FALSE())&lt;-2),"",#REF!),"")</f>
        <v/>
      </c>
      <c r="R1099" s="0" t="str">
        <f aca="false">IFERROR(IF(OR(HLOOKUP($A1099,#REF!,16,FALSE())&gt;2,HLOOKUP($A1099,#REF!,16,FALSE())&lt;-2),"",#REF!),"")</f>
        <v/>
      </c>
      <c r="S1099" s="0" t="str">
        <f aca="false">IFERROR(IF(OR(HLOOKUP($A1099,#REF!,17,FALSE())&gt;2,HLOOKUP($A1099,#REF!,17,FALSE())&lt;-2),"",#REF!),"")</f>
        <v/>
      </c>
      <c r="T1099" s="0" t="str">
        <f aca="false">IFERROR(IF(OR(HLOOKUP($A1099,#REF!,18,FALSE())&gt;2,HLOOKUP($A1099,#REF!,18,FALSE())&lt;-2),"",#REF!),"")</f>
        <v/>
      </c>
      <c r="U1099" s="0" t="str">
        <f aca="false">IFERROR(IF(OR(HLOOKUP($A1099,#REF!,19,FALSE())&gt;2,HLOOKUP($A1099,#REF!,19,FALSE())&lt;-2),"",#REF!),"")</f>
        <v/>
      </c>
      <c r="V1099" s="0" t="n">
        <f aca="false">IFERROR(IF(AND(X1099=0,Y1099=0),0,1),0)</f>
        <v>1</v>
      </c>
      <c r="W1099" s="3" t="str">
        <f aca="false">IFERROR(_xlfn.T.TEST(E1099:M1099,N1099:U1099,2,2),"")</f>
        <v/>
      </c>
      <c r="X1099" s="0" t="str">
        <f aca="false">IFERROR(AVERAGE(E1099:M1099),"")</f>
        <v/>
      </c>
      <c r="Y1099" s="0" t="str">
        <f aca="false">IFERROR(AVERAGE(N1099:U1099),"")</f>
        <v/>
      </c>
    </row>
    <row r="1100" customFormat="false" ht="14.5" hidden="false" customHeight="false" outlineLevel="0" collapsed="false">
      <c r="A1100" s="0" t="n">
        <v>1109</v>
      </c>
      <c r="B1100" s="0" t="s">
        <v>1143</v>
      </c>
      <c r="C1100" s="0" t="n">
        <v>73200</v>
      </c>
      <c r="D1100" s="0" t="n">
        <v>141</v>
      </c>
      <c r="E1100" s="0" t="str">
        <f aca="false">IFERROR(IF(OR(HLOOKUP($A1100,#REF!,3,FALSE())&gt;2,HLOOKUP(A1100,#REF!,3,FALSE())&lt;-2),"",#REF!),"")</f>
        <v/>
      </c>
      <c r="F1100" s="0" t="str">
        <f aca="false">IFERROR(IF(OR(HLOOKUP($A1100,#REF!,4,FALSE())&gt;2,HLOOKUP($A1100,#REF!,4,FALSE())&lt;-2),"",#REF!),"")</f>
        <v/>
      </c>
      <c r="G1100" s="0" t="str">
        <f aca="false">IFERROR(IF(OR(HLOOKUP($A1100,#REF!,5,FALSE())&gt;2,HLOOKUP($A1100,#REF!,5,FALSE())&lt;-2),"",#REF!),"")</f>
        <v/>
      </c>
      <c r="H1100" s="0" t="str">
        <f aca="false">IFERROR(IF(OR(HLOOKUP($A1100,#REF!,6,FALSE())&gt;2,HLOOKUP($A1100,#REF!,6,FALSE())&lt;-2),"",#REF!),"")</f>
        <v/>
      </c>
      <c r="I1100" s="0" t="str">
        <f aca="false">IFERROR(IF(OR(HLOOKUP($A1100,#REF!,7,FALSE())&gt;2,HLOOKUP($A1100,#REF!,7,FALSE())&lt;-2),"",#REF!),"")</f>
        <v/>
      </c>
      <c r="J1100" s="0" t="str">
        <f aca="false">IFERROR(IF(OR(HLOOKUP($A1100,#REF!,8,FALSE())&gt;2,HLOOKUP($A1100,#REF!,8,FALSE())&lt;-2),"",#REF!),"")</f>
        <v/>
      </c>
      <c r="K1100" s="0" t="str">
        <f aca="false">IFERROR(IF(OR(HLOOKUP($A1100,#REF!,9,FALSE())&gt;2,HLOOKUP($A1100,#REF!,9,FALSE())&lt;-2),"",#REF!),"")</f>
        <v/>
      </c>
      <c r="L1100" s="0" t="str">
        <f aca="false">IFERROR(IF(OR(HLOOKUP($A1100,#REF!,10,FALSE())&gt;2,HLOOKUP($A1100,#REF!,10,FALSE())&lt;-2),"",#REF!),"")</f>
        <v/>
      </c>
      <c r="M1100" s="0" t="str">
        <f aca="false">IFERROR(IF(OR(HLOOKUP($A1100,#REF!,11,FALSE())&gt;2,HLOOKUP($A1100,#REF!,11,FALSE())&lt;-2),"",#REF!),"")</f>
        <v/>
      </c>
      <c r="N1100" s="0" t="str">
        <f aca="false">IFERROR(IF(OR(HLOOKUP($A1100,#REF!,12,FALSE())&gt;2,HLOOKUP($A1100,#REF!,12,FALSE())&lt;-2),"",#REF!),"")</f>
        <v/>
      </c>
      <c r="O1100" s="0" t="str">
        <f aca="false">IFERROR(IF(OR(HLOOKUP($A1100,#REF!,13,FALSE())&gt;2,HLOOKUP($A1100,#REF!,13,FALSE())&lt;-2),"",#REF!),"")</f>
        <v/>
      </c>
      <c r="P1100" s="0" t="str">
        <f aca="false">IFERROR(IF(OR(HLOOKUP($A1100,#REF!,14,FALSE())&gt;2,HLOOKUP($A1100,#REF!,14,FALSE())&lt;-2),"",#REF!),"")</f>
        <v/>
      </c>
      <c r="Q1100" s="0" t="str">
        <f aca="false">IFERROR(IF(OR(HLOOKUP($A1100,#REF!,15,FALSE())&gt;2,HLOOKUP($A1100,#REF!,15,FALSE())&lt;-2),"",#REF!),"")</f>
        <v/>
      </c>
      <c r="R1100" s="0" t="str">
        <f aca="false">IFERROR(IF(OR(HLOOKUP($A1100,#REF!,16,FALSE())&gt;2,HLOOKUP($A1100,#REF!,16,FALSE())&lt;-2),"",#REF!),"")</f>
        <v/>
      </c>
      <c r="S1100" s="0" t="str">
        <f aca="false">IFERROR(IF(OR(HLOOKUP($A1100,#REF!,17,FALSE())&gt;2,HLOOKUP($A1100,#REF!,17,FALSE())&lt;-2),"",#REF!),"")</f>
        <v/>
      </c>
      <c r="T1100" s="0" t="str">
        <f aca="false">IFERROR(IF(OR(HLOOKUP($A1100,#REF!,18,FALSE())&gt;2,HLOOKUP($A1100,#REF!,18,FALSE())&lt;-2),"",#REF!),"")</f>
        <v/>
      </c>
      <c r="U1100" s="0" t="str">
        <f aca="false">IFERROR(IF(OR(HLOOKUP($A1100,#REF!,19,FALSE())&gt;2,HLOOKUP($A1100,#REF!,19,FALSE())&lt;-2),"",#REF!),"")</f>
        <v/>
      </c>
      <c r="V1100" s="0" t="n">
        <f aca="false">IFERROR(IF(AND(X1100=0,Y1100=0),0,1),0)</f>
        <v>1</v>
      </c>
      <c r="W1100" s="3" t="str">
        <f aca="false">IFERROR(_xlfn.T.TEST(E1100:M1100,N1100:U1100,2,2),"")</f>
        <v/>
      </c>
      <c r="X1100" s="0" t="str">
        <f aca="false">IFERROR(AVERAGE(E1100:M1100),"")</f>
        <v/>
      </c>
      <c r="Y1100" s="0" t="str">
        <f aca="false">IFERROR(AVERAGE(N1100:U1100),"")</f>
        <v/>
      </c>
    </row>
    <row r="1101" customFormat="false" ht="14.5" hidden="false" customHeight="false" outlineLevel="0" collapsed="false">
      <c r="A1101" s="0" t="n">
        <v>1110</v>
      </c>
      <c r="B1101" s="0" t="s">
        <v>1144</v>
      </c>
      <c r="C1101" s="0" t="n">
        <v>75100</v>
      </c>
      <c r="D1101" s="0" t="n">
        <v>525</v>
      </c>
      <c r="E1101" s="0" t="str">
        <f aca="false">IFERROR(IF(OR(HLOOKUP($A1101,#REF!,3,FALSE())&gt;2,HLOOKUP(A1101,#REF!,3,FALSE())&lt;-2),"",#REF!),"")</f>
        <v/>
      </c>
      <c r="F1101" s="0" t="str">
        <f aca="false">IFERROR(IF(OR(HLOOKUP($A1101,#REF!,4,FALSE())&gt;2,HLOOKUP($A1101,#REF!,4,FALSE())&lt;-2),"",#REF!),"")</f>
        <v/>
      </c>
      <c r="G1101" s="0" t="str">
        <f aca="false">IFERROR(IF(OR(HLOOKUP($A1101,#REF!,5,FALSE())&gt;2,HLOOKUP($A1101,#REF!,5,FALSE())&lt;-2),"",#REF!),"")</f>
        <v/>
      </c>
      <c r="H1101" s="0" t="str">
        <f aca="false">IFERROR(IF(OR(HLOOKUP($A1101,#REF!,6,FALSE())&gt;2,HLOOKUP($A1101,#REF!,6,FALSE())&lt;-2),"",#REF!),"")</f>
        <v/>
      </c>
      <c r="I1101" s="0" t="str">
        <f aca="false">IFERROR(IF(OR(HLOOKUP($A1101,#REF!,7,FALSE())&gt;2,HLOOKUP($A1101,#REF!,7,FALSE())&lt;-2),"",#REF!),"")</f>
        <v/>
      </c>
      <c r="J1101" s="0" t="str">
        <f aca="false">IFERROR(IF(OR(HLOOKUP($A1101,#REF!,8,FALSE())&gt;2,HLOOKUP($A1101,#REF!,8,FALSE())&lt;-2),"",#REF!),"")</f>
        <v/>
      </c>
      <c r="K1101" s="0" t="str">
        <f aca="false">IFERROR(IF(OR(HLOOKUP($A1101,#REF!,9,FALSE())&gt;2,HLOOKUP($A1101,#REF!,9,FALSE())&lt;-2),"",#REF!),"")</f>
        <v/>
      </c>
      <c r="L1101" s="0" t="str">
        <f aca="false">IFERROR(IF(OR(HLOOKUP($A1101,#REF!,10,FALSE())&gt;2,HLOOKUP($A1101,#REF!,10,FALSE())&lt;-2),"",#REF!),"")</f>
        <v/>
      </c>
      <c r="M1101" s="0" t="str">
        <f aca="false">IFERROR(IF(OR(HLOOKUP($A1101,#REF!,11,FALSE())&gt;2,HLOOKUP($A1101,#REF!,11,FALSE())&lt;-2),"",#REF!),"")</f>
        <v/>
      </c>
      <c r="N1101" s="0" t="str">
        <f aca="false">IFERROR(IF(OR(HLOOKUP($A1101,#REF!,12,FALSE())&gt;2,HLOOKUP($A1101,#REF!,12,FALSE())&lt;-2),"",#REF!),"")</f>
        <v/>
      </c>
      <c r="O1101" s="0" t="str">
        <f aca="false">IFERROR(IF(OR(HLOOKUP($A1101,#REF!,13,FALSE())&gt;2,HLOOKUP($A1101,#REF!,13,FALSE())&lt;-2),"",#REF!),"")</f>
        <v/>
      </c>
      <c r="P1101" s="0" t="str">
        <f aca="false">IFERROR(IF(OR(HLOOKUP($A1101,#REF!,14,FALSE())&gt;2,HLOOKUP($A1101,#REF!,14,FALSE())&lt;-2),"",#REF!),"")</f>
        <v/>
      </c>
      <c r="Q1101" s="0" t="str">
        <f aca="false">IFERROR(IF(OR(HLOOKUP($A1101,#REF!,15,FALSE())&gt;2,HLOOKUP($A1101,#REF!,15,FALSE())&lt;-2),"",#REF!),"")</f>
        <v/>
      </c>
      <c r="R1101" s="0" t="str">
        <f aca="false">IFERROR(IF(OR(HLOOKUP($A1101,#REF!,16,FALSE())&gt;2,HLOOKUP($A1101,#REF!,16,FALSE())&lt;-2),"",#REF!),"")</f>
        <v/>
      </c>
      <c r="S1101" s="0" t="str">
        <f aca="false">IFERROR(IF(OR(HLOOKUP($A1101,#REF!,17,FALSE())&gt;2,HLOOKUP($A1101,#REF!,17,FALSE())&lt;-2),"",#REF!),"")</f>
        <v/>
      </c>
      <c r="T1101" s="0" t="str">
        <f aca="false">IFERROR(IF(OR(HLOOKUP($A1101,#REF!,18,FALSE())&gt;2,HLOOKUP($A1101,#REF!,18,FALSE())&lt;-2),"",#REF!),"")</f>
        <v/>
      </c>
      <c r="U1101" s="0" t="str">
        <f aca="false">IFERROR(IF(OR(HLOOKUP($A1101,#REF!,19,FALSE())&gt;2,HLOOKUP($A1101,#REF!,19,FALSE())&lt;-2),"",#REF!),"")</f>
        <v/>
      </c>
      <c r="V1101" s="0" t="n">
        <f aca="false">IFERROR(IF(AND(X1101=0,Y1101=0),0,1),0)</f>
        <v>1</v>
      </c>
      <c r="W1101" s="3" t="str">
        <f aca="false">IFERROR(_xlfn.T.TEST(E1101:M1101,N1101:U1101,2,2),"")</f>
        <v/>
      </c>
      <c r="X1101" s="0" t="str">
        <f aca="false">IFERROR(AVERAGE(E1101:M1101),"")</f>
        <v/>
      </c>
      <c r="Y1101" s="0" t="str">
        <f aca="false">IFERROR(AVERAGE(N1101:U1101),"")</f>
        <v/>
      </c>
    </row>
    <row r="1102" customFormat="false" ht="14.5" hidden="false" customHeight="false" outlineLevel="0" collapsed="false">
      <c r="A1102" s="0" t="n">
        <v>1111</v>
      </c>
      <c r="B1102" s="0" t="s">
        <v>1145</v>
      </c>
      <c r="C1102" s="0" t="n">
        <v>7400</v>
      </c>
      <c r="D1102" s="0" t="n">
        <v>361</v>
      </c>
      <c r="E1102" s="0" t="str">
        <f aca="false">IFERROR(IF(OR(HLOOKUP($A1102,#REF!,3,FALSE())&gt;2,HLOOKUP(A1102,#REF!,3,FALSE())&lt;-2),"",#REF!),"")</f>
        <v/>
      </c>
      <c r="F1102" s="0" t="str">
        <f aca="false">IFERROR(IF(OR(HLOOKUP($A1102,#REF!,4,FALSE())&gt;2,HLOOKUP($A1102,#REF!,4,FALSE())&lt;-2),"",#REF!),"")</f>
        <v/>
      </c>
      <c r="G1102" s="0" t="str">
        <f aca="false">IFERROR(IF(OR(HLOOKUP($A1102,#REF!,5,FALSE())&gt;2,HLOOKUP($A1102,#REF!,5,FALSE())&lt;-2),"",#REF!),"")</f>
        <v/>
      </c>
      <c r="H1102" s="0" t="str">
        <f aca="false">IFERROR(IF(OR(HLOOKUP($A1102,#REF!,6,FALSE())&gt;2,HLOOKUP($A1102,#REF!,6,FALSE())&lt;-2),"",#REF!),"")</f>
        <v/>
      </c>
      <c r="I1102" s="0" t="str">
        <f aca="false">IFERROR(IF(OR(HLOOKUP($A1102,#REF!,7,FALSE())&gt;2,HLOOKUP($A1102,#REF!,7,FALSE())&lt;-2),"",#REF!),"")</f>
        <v/>
      </c>
      <c r="J1102" s="0" t="str">
        <f aca="false">IFERROR(IF(OR(HLOOKUP($A1102,#REF!,8,FALSE())&gt;2,HLOOKUP($A1102,#REF!,8,FALSE())&lt;-2),"",#REF!),"")</f>
        <v/>
      </c>
      <c r="K1102" s="0" t="str">
        <f aca="false">IFERROR(IF(OR(HLOOKUP($A1102,#REF!,9,FALSE())&gt;2,HLOOKUP($A1102,#REF!,9,FALSE())&lt;-2),"",#REF!),"")</f>
        <v/>
      </c>
      <c r="L1102" s="0" t="str">
        <f aca="false">IFERROR(IF(OR(HLOOKUP($A1102,#REF!,10,FALSE())&gt;2,HLOOKUP($A1102,#REF!,10,FALSE())&lt;-2),"",#REF!),"")</f>
        <v/>
      </c>
      <c r="M1102" s="0" t="str">
        <f aca="false">IFERROR(IF(OR(HLOOKUP($A1102,#REF!,11,FALSE())&gt;2,HLOOKUP($A1102,#REF!,11,FALSE())&lt;-2),"",#REF!),"")</f>
        <v/>
      </c>
      <c r="N1102" s="0" t="str">
        <f aca="false">IFERROR(IF(OR(HLOOKUP($A1102,#REF!,12,FALSE())&gt;2,HLOOKUP($A1102,#REF!,12,FALSE())&lt;-2),"",#REF!),"")</f>
        <v/>
      </c>
      <c r="O1102" s="0" t="str">
        <f aca="false">IFERROR(IF(OR(HLOOKUP($A1102,#REF!,13,FALSE())&gt;2,HLOOKUP($A1102,#REF!,13,FALSE())&lt;-2),"",#REF!),"")</f>
        <v/>
      </c>
      <c r="P1102" s="0" t="str">
        <f aca="false">IFERROR(IF(OR(HLOOKUP($A1102,#REF!,14,FALSE())&gt;2,HLOOKUP($A1102,#REF!,14,FALSE())&lt;-2),"",#REF!),"")</f>
        <v/>
      </c>
      <c r="Q1102" s="0" t="str">
        <f aca="false">IFERROR(IF(OR(HLOOKUP($A1102,#REF!,15,FALSE())&gt;2,HLOOKUP($A1102,#REF!,15,FALSE())&lt;-2),"",#REF!),"")</f>
        <v/>
      </c>
      <c r="R1102" s="0" t="str">
        <f aca="false">IFERROR(IF(OR(HLOOKUP($A1102,#REF!,16,FALSE())&gt;2,HLOOKUP($A1102,#REF!,16,FALSE())&lt;-2),"",#REF!),"")</f>
        <v/>
      </c>
      <c r="S1102" s="0" t="str">
        <f aca="false">IFERROR(IF(OR(HLOOKUP($A1102,#REF!,17,FALSE())&gt;2,HLOOKUP($A1102,#REF!,17,FALSE())&lt;-2),"",#REF!),"")</f>
        <v/>
      </c>
      <c r="T1102" s="0" t="str">
        <f aca="false">IFERROR(IF(OR(HLOOKUP($A1102,#REF!,18,FALSE())&gt;2,HLOOKUP($A1102,#REF!,18,FALSE())&lt;-2),"",#REF!),"")</f>
        <v/>
      </c>
      <c r="U1102" s="0" t="str">
        <f aca="false">IFERROR(IF(OR(HLOOKUP($A1102,#REF!,19,FALSE())&gt;2,HLOOKUP($A1102,#REF!,19,FALSE())&lt;-2),"",#REF!),"")</f>
        <v/>
      </c>
      <c r="V1102" s="0" t="n">
        <f aca="false">IFERROR(IF(AND(X1102=0,Y1102=0),0,1),0)</f>
        <v>1</v>
      </c>
      <c r="W1102" s="3" t="str">
        <f aca="false">IFERROR(_xlfn.T.TEST(E1102:M1102,N1102:U1102,2,2),"")</f>
        <v/>
      </c>
      <c r="X1102" s="0" t="str">
        <f aca="false">IFERROR(AVERAGE(E1102:M1102),"")</f>
        <v/>
      </c>
      <c r="Y1102" s="0" t="str">
        <f aca="false">IFERROR(AVERAGE(N1102:U1102),"")</f>
        <v/>
      </c>
    </row>
    <row r="1103" customFormat="false" ht="14.5" hidden="false" customHeight="false" outlineLevel="0" collapsed="false">
      <c r="A1103" s="0" t="n">
        <v>1112</v>
      </c>
      <c r="B1103" s="0" t="s">
        <v>1146</v>
      </c>
      <c r="C1103" s="0" t="n">
        <v>118000</v>
      </c>
      <c r="D1103" s="0" t="n">
        <v>1040</v>
      </c>
      <c r="E1103" s="0" t="str">
        <f aca="false">IFERROR(IF(OR(HLOOKUP($A1103,#REF!,3,FALSE())&gt;2,HLOOKUP(A1103,#REF!,3,FALSE())&lt;-2),"",#REF!),"")</f>
        <v/>
      </c>
      <c r="F1103" s="0" t="str">
        <f aca="false">IFERROR(IF(OR(HLOOKUP($A1103,#REF!,4,FALSE())&gt;2,HLOOKUP($A1103,#REF!,4,FALSE())&lt;-2),"",#REF!),"")</f>
        <v/>
      </c>
      <c r="G1103" s="0" t="str">
        <f aca="false">IFERROR(IF(OR(HLOOKUP($A1103,#REF!,5,FALSE())&gt;2,HLOOKUP($A1103,#REF!,5,FALSE())&lt;-2),"",#REF!),"")</f>
        <v/>
      </c>
      <c r="H1103" s="0" t="str">
        <f aca="false">IFERROR(IF(OR(HLOOKUP($A1103,#REF!,6,FALSE())&gt;2,HLOOKUP($A1103,#REF!,6,FALSE())&lt;-2),"",#REF!),"")</f>
        <v/>
      </c>
      <c r="I1103" s="0" t="str">
        <f aca="false">IFERROR(IF(OR(HLOOKUP($A1103,#REF!,7,FALSE())&gt;2,HLOOKUP($A1103,#REF!,7,FALSE())&lt;-2),"",#REF!),"")</f>
        <v/>
      </c>
      <c r="J1103" s="0" t="str">
        <f aca="false">IFERROR(IF(OR(HLOOKUP($A1103,#REF!,8,FALSE())&gt;2,HLOOKUP($A1103,#REF!,8,FALSE())&lt;-2),"",#REF!),"")</f>
        <v/>
      </c>
      <c r="K1103" s="0" t="str">
        <f aca="false">IFERROR(IF(OR(HLOOKUP($A1103,#REF!,9,FALSE())&gt;2,HLOOKUP($A1103,#REF!,9,FALSE())&lt;-2),"",#REF!),"")</f>
        <v/>
      </c>
      <c r="L1103" s="0" t="str">
        <f aca="false">IFERROR(IF(OR(HLOOKUP($A1103,#REF!,10,FALSE())&gt;2,HLOOKUP($A1103,#REF!,10,FALSE())&lt;-2),"",#REF!),"")</f>
        <v/>
      </c>
      <c r="M1103" s="0" t="str">
        <f aca="false">IFERROR(IF(OR(HLOOKUP($A1103,#REF!,11,FALSE())&gt;2,HLOOKUP($A1103,#REF!,11,FALSE())&lt;-2),"",#REF!),"")</f>
        <v/>
      </c>
      <c r="N1103" s="0" t="str">
        <f aca="false">IFERROR(IF(OR(HLOOKUP($A1103,#REF!,12,FALSE())&gt;2,HLOOKUP($A1103,#REF!,12,FALSE())&lt;-2),"",#REF!),"")</f>
        <v/>
      </c>
      <c r="O1103" s="0" t="str">
        <f aca="false">IFERROR(IF(OR(HLOOKUP($A1103,#REF!,13,FALSE())&gt;2,HLOOKUP($A1103,#REF!,13,FALSE())&lt;-2),"",#REF!),"")</f>
        <v/>
      </c>
      <c r="P1103" s="0" t="str">
        <f aca="false">IFERROR(IF(OR(HLOOKUP($A1103,#REF!,14,FALSE())&gt;2,HLOOKUP($A1103,#REF!,14,FALSE())&lt;-2),"",#REF!),"")</f>
        <v/>
      </c>
      <c r="Q1103" s="0" t="str">
        <f aca="false">IFERROR(IF(OR(HLOOKUP($A1103,#REF!,15,FALSE())&gt;2,HLOOKUP($A1103,#REF!,15,FALSE())&lt;-2),"",#REF!),"")</f>
        <v/>
      </c>
      <c r="R1103" s="0" t="str">
        <f aca="false">IFERROR(IF(OR(HLOOKUP($A1103,#REF!,16,FALSE())&gt;2,HLOOKUP($A1103,#REF!,16,FALSE())&lt;-2),"",#REF!),"")</f>
        <v/>
      </c>
      <c r="S1103" s="0" t="str">
        <f aca="false">IFERROR(IF(OR(HLOOKUP($A1103,#REF!,17,FALSE())&gt;2,HLOOKUP($A1103,#REF!,17,FALSE())&lt;-2),"",#REF!),"")</f>
        <v/>
      </c>
      <c r="T1103" s="0" t="str">
        <f aca="false">IFERROR(IF(OR(HLOOKUP($A1103,#REF!,18,FALSE())&gt;2,HLOOKUP($A1103,#REF!,18,FALSE())&lt;-2),"",#REF!),"")</f>
        <v/>
      </c>
      <c r="U1103" s="0" t="str">
        <f aca="false">IFERROR(IF(OR(HLOOKUP($A1103,#REF!,19,FALSE())&gt;2,HLOOKUP($A1103,#REF!,19,FALSE())&lt;-2),"",#REF!),"")</f>
        <v/>
      </c>
      <c r="V1103" s="0" t="n">
        <f aca="false">IFERROR(IF(AND(X1103=0,Y1103=0),0,1),0)</f>
        <v>1</v>
      </c>
      <c r="W1103" s="3" t="str">
        <f aca="false">IFERROR(_xlfn.T.TEST(E1103:M1103,N1103:U1103,2,2),"")</f>
        <v/>
      </c>
      <c r="X1103" s="0" t="str">
        <f aca="false">IFERROR(AVERAGE(E1103:M1103),"")</f>
        <v/>
      </c>
      <c r="Y1103" s="0" t="str">
        <f aca="false">IFERROR(AVERAGE(N1103:U1103),"")</f>
        <v/>
      </c>
    </row>
    <row r="1104" customFormat="false" ht="14.5" hidden="false" customHeight="false" outlineLevel="0" collapsed="false">
      <c r="A1104" s="0" t="n">
        <v>1113</v>
      </c>
      <c r="B1104" s="0" t="s">
        <v>1147</v>
      </c>
      <c r="C1104" s="0" t="n">
        <v>66900</v>
      </c>
      <c r="D1104" s="0" t="n">
        <v>239</v>
      </c>
      <c r="E1104" s="0" t="str">
        <f aca="false">IFERROR(IF(OR(HLOOKUP($A1104,#REF!,3,FALSE())&gt;2,HLOOKUP(A1104,#REF!,3,FALSE())&lt;-2),"",#REF!),"")</f>
        <v/>
      </c>
      <c r="F1104" s="0" t="str">
        <f aca="false">IFERROR(IF(OR(HLOOKUP($A1104,#REF!,4,FALSE())&gt;2,HLOOKUP($A1104,#REF!,4,FALSE())&lt;-2),"",#REF!),"")</f>
        <v/>
      </c>
      <c r="G1104" s="0" t="str">
        <f aca="false">IFERROR(IF(OR(HLOOKUP($A1104,#REF!,5,FALSE())&gt;2,HLOOKUP($A1104,#REF!,5,FALSE())&lt;-2),"",#REF!),"")</f>
        <v/>
      </c>
      <c r="H1104" s="0" t="str">
        <f aca="false">IFERROR(IF(OR(HLOOKUP($A1104,#REF!,6,FALSE())&gt;2,HLOOKUP($A1104,#REF!,6,FALSE())&lt;-2),"",#REF!),"")</f>
        <v/>
      </c>
      <c r="I1104" s="0" t="str">
        <f aca="false">IFERROR(IF(OR(HLOOKUP($A1104,#REF!,7,FALSE())&gt;2,HLOOKUP($A1104,#REF!,7,FALSE())&lt;-2),"",#REF!),"")</f>
        <v/>
      </c>
      <c r="J1104" s="0" t="str">
        <f aca="false">IFERROR(IF(OR(HLOOKUP($A1104,#REF!,8,FALSE())&gt;2,HLOOKUP($A1104,#REF!,8,FALSE())&lt;-2),"",#REF!),"")</f>
        <v/>
      </c>
      <c r="K1104" s="0" t="str">
        <f aca="false">IFERROR(IF(OR(HLOOKUP($A1104,#REF!,9,FALSE())&gt;2,HLOOKUP($A1104,#REF!,9,FALSE())&lt;-2),"",#REF!),"")</f>
        <v/>
      </c>
      <c r="L1104" s="0" t="str">
        <f aca="false">IFERROR(IF(OR(HLOOKUP($A1104,#REF!,10,FALSE())&gt;2,HLOOKUP($A1104,#REF!,10,FALSE())&lt;-2),"",#REF!),"")</f>
        <v/>
      </c>
      <c r="M1104" s="0" t="str">
        <f aca="false">IFERROR(IF(OR(HLOOKUP($A1104,#REF!,11,FALSE())&gt;2,HLOOKUP($A1104,#REF!,11,FALSE())&lt;-2),"",#REF!),"")</f>
        <v/>
      </c>
      <c r="N1104" s="0" t="str">
        <f aca="false">IFERROR(IF(OR(HLOOKUP($A1104,#REF!,12,FALSE())&gt;2,HLOOKUP($A1104,#REF!,12,FALSE())&lt;-2),"",#REF!),"")</f>
        <v/>
      </c>
      <c r="O1104" s="0" t="str">
        <f aca="false">IFERROR(IF(OR(HLOOKUP($A1104,#REF!,13,FALSE())&gt;2,HLOOKUP($A1104,#REF!,13,FALSE())&lt;-2),"",#REF!),"")</f>
        <v/>
      </c>
      <c r="P1104" s="0" t="str">
        <f aca="false">IFERROR(IF(OR(HLOOKUP($A1104,#REF!,14,FALSE())&gt;2,HLOOKUP($A1104,#REF!,14,FALSE())&lt;-2),"",#REF!),"")</f>
        <v/>
      </c>
      <c r="Q1104" s="0" t="str">
        <f aca="false">IFERROR(IF(OR(HLOOKUP($A1104,#REF!,15,FALSE())&gt;2,HLOOKUP($A1104,#REF!,15,FALSE())&lt;-2),"",#REF!),"")</f>
        <v/>
      </c>
      <c r="R1104" s="0" t="str">
        <f aca="false">IFERROR(IF(OR(HLOOKUP($A1104,#REF!,16,FALSE())&gt;2,HLOOKUP($A1104,#REF!,16,FALSE())&lt;-2),"",#REF!),"")</f>
        <v/>
      </c>
      <c r="S1104" s="0" t="str">
        <f aca="false">IFERROR(IF(OR(HLOOKUP($A1104,#REF!,17,FALSE())&gt;2,HLOOKUP($A1104,#REF!,17,FALSE())&lt;-2),"",#REF!),"")</f>
        <v/>
      </c>
      <c r="T1104" s="0" t="str">
        <f aca="false">IFERROR(IF(OR(HLOOKUP($A1104,#REF!,18,FALSE())&gt;2,HLOOKUP($A1104,#REF!,18,FALSE())&lt;-2),"",#REF!),"")</f>
        <v/>
      </c>
      <c r="U1104" s="0" t="str">
        <f aca="false">IFERROR(IF(OR(HLOOKUP($A1104,#REF!,19,FALSE())&gt;2,HLOOKUP($A1104,#REF!,19,FALSE())&lt;-2),"",#REF!),"")</f>
        <v/>
      </c>
      <c r="V1104" s="0" t="n">
        <f aca="false">IFERROR(IF(AND(X1104=0,Y1104=0),0,1),0)</f>
        <v>1</v>
      </c>
      <c r="W1104" s="3" t="str">
        <f aca="false">IFERROR(_xlfn.T.TEST(E1104:M1104,N1104:U1104,2,2),"")</f>
        <v/>
      </c>
      <c r="X1104" s="0" t="str">
        <f aca="false">IFERROR(AVERAGE(E1104:M1104),"")</f>
        <v/>
      </c>
      <c r="Y1104" s="0" t="str">
        <f aca="false">IFERROR(AVERAGE(N1104:U1104),"")</f>
        <v/>
      </c>
    </row>
    <row r="1105" customFormat="false" ht="14.5" hidden="false" customHeight="false" outlineLevel="0" collapsed="false">
      <c r="A1105" s="0" t="n">
        <v>1114</v>
      </c>
      <c r="B1105" s="0" t="s">
        <v>1148</v>
      </c>
      <c r="C1105" s="0" t="n">
        <v>14400</v>
      </c>
      <c r="D1105" s="0" t="n">
        <v>402</v>
      </c>
      <c r="E1105" s="0" t="str">
        <f aca="false">IFERROR(IF(OR(HLOOKUP($A1105,#REF!,3,FALSE())&gt;2,HLOOKUP(A1105,#REF!,3,FALSE())&lt;-2),"",#REF!),"")</f>
        <v/>
      </c>
      <c r="F1105" s="0" t="str">
        <f aca="false">IFERROR(IF(OR(HLOOKUP($A1105,#REF!,4,FALSE())&gt;2,HLOOKUP($A1105,#REF!,4,FALSE())&lt;-2),"",#REF!),"")</f>
        <v/>
      </c>
      <c r="G1105" s="0" t="str">
        <f aca="false">IFERROR(IF(OR(HLOOKUP($A1105,#REF!,5,FALSE())&gt;2,HLOOKUP($A1105,#REF!,5,FALSE())&lt;-2),"",#REF!),"")</f>
        <v/>
      </c>
      <c r="H1105" s="0" t="str">
        <f aca="false">IFERROR(IF(OR(HLOOKUP($A1105,#REF!,6,FALSE())&gt;2,HLOOKUP($A1105,#REF!,6,FALSE())&lt;-2),"",#REF!),"")</f>
        <v/>
      </c>
      <c r="I1105" s="0" t="str">
        <f aca="false">IFERROR(IF(OR(HLOOKUP($A1105,#REF!,7,FALSE())&gt;2,HLOOKUP($A1105,#REF!,7,FALSE())&lt;-2),"",#REF!),"")</f>
        <v/>
      </c>
      <c r="J1105" s="0" t="str">
        <f aca="false">IFERROR(IF(OR(HLOOKUP($A1105,#REF!,8,FALSE())&gt;2,HLOOKUP($A1105,#REF!,8,FALSE())&lt;-2),"",#REF!),"")</f>
        <v/>
      </c>
      <c r="K1105" s="0" t="str">
        <f aca="false">IFERROR(IF(OR(HLOOKUP($A1105,#REF!,9,FALSE())&gt;2,HLOOKUP($A1105,#REF!,9,FALSE())&lt;-2),"",#REF!),"")</f>
        <v/>
      </c>
      <c r="L1105" s="0" t="str">
        <f aca="false">IFERROR(IF(OR(HLOOKUP($A1105,#REF!,10,FALSE())&gt;2,HLOOKUP($A1105,#REF!,10,FALSE())&lt;-2),"",#REF!),"")</f>
        <v/>
      </c>
      <c r="M1105" s="0" t="str">
        <f aca="false">IFERROR(IF(OR(HLOOKUP($A1105,#REF!,11,FALSE())&gt;2,HLOOKUP($A1105,#REF!,11,FALSE())&lt;-2),"",#REF!),"")</f>
        <v/>
      </c>
      <c r="N1105" s="0" t="str">
        <f aca="false">IFERROR(IF(OR(HLOOKUP($A1105,#REF!,12,FALSE())&gt;2,HLOOKUP($A1105,#REF!,12,FALSE())&lt;-2),"",#REF!),"")</f>
        <v/>
      </c>
      <c r="O1105" s="0" t="str">
        <f aca="false">IFERROR(IF(OR(HLOOKUP($A1105,#REF!,13,FALSE())&gt;2,HLOOKUP($A1105,#REF!,13,FALSE())&lt;-2),"",#REF!),"")</f>
        <v/>
      </c>
      <c r="P1105" s="0" t="str">
        <f aca="false">IFERROR(IF(OR(HLOOKUP($A1105,#REF!,14,FALSE())&gt;2,HLOOKUP($A1105,#REF!,14,FALSE())&lt;-2),"",#REF!),"")</f>
        <v/>
      </c>
      <c r="Q1105" s="0" t="str">
        <f aca="false">IFERROR(IF(OR(HLOOKUP($A1105,#REF!,15,FALSE())&gt;2,HLOOKUP($A1105,#REF!,15,FALSE())&lt;-2),"",#REF!),"")</f>
        <v/>
      </c>
      <c r="R1105" s="0" t="str">
        <f aca="false">IFERROR(IF(OR(HLOOKUP($A1105,#REF!,16,FALSE())&gt;2,HLOOKUP($A1105,#REF!,16,FALSE())&lt;-2),"",#REF!),"")</f>
        <v/>
      </c>
      <c r="S1105" s="0" t="str">
        <f aca="false">IFERROR(IF(OR(HLOOKUP($A1105,#REF!,17,FALSE())&gt;2,HLOOKUP($A1105,#REF!,17,FALSE())&lt;-2),"",#REF!),"")</f>
        <v/>
      </c>
      <c r="T1105" s="0" t="str">
        <f aca="false">IFERROR(IF(OR(HLOOKUP($A1105,#REF!,18,FALSE())&gt;2,HLOOKUP($A1105,#REF!,18,FALSE())&lt;-2),"",#REF!),"")</f>
        <v/>
      </c>
      <c r="U1105" s="0" t="str">
        <f aca="false">IFERROR(IF(OR(HLOOKUP($A1105,#REF!,19,FALSE())&gt;2,HLOOKUP($A1105,#REF!,19,FALSE())&lt;-2),"",#REF!),"")</f>
        <v/>
      </c>
      <c r="V1105" s="0" t="n">
        <f aca="false">IFERROR(IF(AND(X1105=0,Y1105=0),0,1),0)</f>
        <v>1</v>
      </c>
      <c r="W1105" s="3" t="str">
        <f aca="false">IFERROR(_xlfn.T.TEST(E1105:M1105,N1105:U1105,2,2),"")</f>
        <v/>
      </c>
      <c r="X1105" s="0" t="str">
        <f aca="false">IFERROR(AVERAGE(E1105:M1105),"")</f>
        <v/>
      </c>
      <c r="Y1105" s="0" t="str">
        <f aca="false">IFERROR(AVERAGE(N1105:U1105),"")</f>
        <v/>
      </c>
    </row>
    <row r="1106" customFormat="false" ht="14.5" hidden="false" customHeight="false" outlineLevel="0" collapsed="false">
      <c r="A1106" s="0" t="n">
        <v>1116</v>
      </c>
      <c r="B1106" s="0" t="s">
        <v>1149</v>
      </c>
      <c r="C1106" s="0" t="n">
        <v>100300</v>
      </c>
      <c r="D1106" s="0" t="n">
        <v>798</v>
      </c>
      <c r="E1106" s="0" t="str">
        <f aca="false">IFERROR(IF(OR(HLOOKUP($A1106,#REF!,3,FALSE())&gt;2,HLOOKUP(A1106,#REF!,3,FALSE())&lt;-2),"",#REF!),"")</f>
        <v/>
      </c>
      <c r="F1106" s="0" t="str">
        <f aca="false">IFERROR(IF(OR(HLOOKUP($A1106,#REF!,4,FALSE())&gt;2,HLOOKUP($A1106,#REF!,4,FALSE())&lt;-2),"",#REF!),"")</f>
        <v/>
      </c>
      <c r="G1106" s="0" t="str">
        <f aca="false">IFERROR(IF(OR(HLOOKUP($A1106,#REF!,5,FALSE())&gt;2,HLOOKUP($A1106,#REF!,5,FALSE())&lt;-2),"",#REF!),"")</f>
        <v/>
      </c>
      <c r="H1106" s="0" t="str">
        <f aca="false">IFERROR(IF(OR(HLOOKUP($A1106,#REF!,6,FALSE())&gt;2,HLOOKUP($A1106,#REF!,6,FALSE())&lt;-2),"",#REF!),"")</f>
        <v/>
      </c>
      <c r="I1106" s="0" t="str">
        <f aca="false">IFERROR(IF(OR(HLOOKUP($A1106,#REF!,7,FALSE())&gt;2,HLOOKUP($A1106,#REF!,7,FALSE())&lt;-2),"",#REF!),"")</f>
        <v/>
      </c>
      <c r="J1106" s="0" t="str">
        <f aca="false">IFERROR(IF(OR(HLOOKUP($A1106,#REF!,8,FALSE())&gt;2,HLOOKUP($A1106,#REF!,8,FALSE())&lt;-2),"",#REF!),"")</f>
        <v/>
      </c>
      <c r="K1106" s="0" t="str">
        <f aca="false">IFERROR(IF(OR(HLOOKUP($A1106,#REF!,9,FALSE())&gt;2,HLOOKUP($A1106,#REF!,9,FALSE())&lt;-2),"",#REF!),"")</f>
        <v/>
      </c>
      <c r="L1106" s="0" t="str">
        <f aca="false">IFERROR(IF(OR(HLOOKUP($A1106,#REF!,10,FALSE())&gt;2,HLOOKUP($A1106,#REF!,10,FALSE())&lt;-2),"",#REF!),"")</f>
        <v/>
      </c>
      <c r="M1106" s="0" t="str">
        <f aca="false">IFERROR(IF(OR(HLOOKUP($A1106,#REF!,11,FALSE())&gt;2,HLOOKUP($A1106,#REF!,11,FALSE())&lt;-2),"",#REF!),"")</f>
        <v/>
      </c>
      <c r="N1106" s="0" t="str">
        <f aca="false">IFERROR(IF(OR(HLOOKUP($A1106,#REF!,12,FALSE())&gt;2,HLOOKUP($A1106,#REF!,12,FALSE())&lt;-2),"",#REF!),"")</f>
        <v/>
      </c>
      <c r="O1106" s="0" t="str">
        <f aca="false">IFERROR(IF(OR(HLOOKUP($A1106,#REF!,13,FALSE())&gt;2,HLOOKUP($A1106,#REF!,13,FALSE())&lt;-2),"",#REF!),"")</f>
        <v/>
      </c>
      <c r="P1106" s="0" t="str">
        <f aca="false">IFERROR(IF(OR(HLOOKUP($A1106,#REF!,14,FALSE())&gt;2,HLOOKUP($A1106,#REF!,14,FALSE())&lt;-2),"",#REF!),"")</f>
        <v/>
      </c>
      <c r="Q1106" s="0" t="str">
        <f aca="false">IFERROR(IF(OR(HLOOKUP($A1106,#REF!,15,FALSE())&gt;2,HLOOKUP($A1106,#REF!,15,FALSE())&lt;-2),"",#REF!),"")</f>
        <v/>
      </c>
      <c r="R1106" s="0" t="str">
        <f aca="false">IFERROR(IF(OR(HLOOKUP($A1106,#REF!,16,FALSE())&gt;2,HLOOKUP($A1106,#REF!,16,FALSE())&lt;-2),"",#REF!),"")</f>
        <v/>
      </c>
      <c r="S1106" s="0" t="str">
        <f aca="false">IFERROR(IF(OR(HLOOKUP($A1106,#REF!,17,FALSE())&gt;2,HLOOKUP($A1106,#REF!,17,FALSE())&lt;-2),"",#REF!),"")</f>
        <v/>
      </c>
      <c r="T1106" s="0" t="str">
        <f aca="false">IFERROR(IF(OR(HLOOKUP($A1106,#REF!,18,FALSE())&gt;2,HLOOKUP($A1106,#REF!,18,FALSE())&lt;-2),"",#REF!),"")</f>
        <v/>
      </c>
      <c r="U1106" s="0" t="str">
        <f aca="false">IFERROR(IF(OR(HLOOKUP($A1106,#REF!,19,FALSE())&gt;2,HLOOKUP($A1106,#REF!,19,FALSE())&lt;-2),"",#REF!),"")</f>
        <v/>
      </c>
      <c r="V1106" s="0" t="n">
        <f aca="false">IFERROR(IF(AND(X1106=0,Y1106=0),0,1),0)</f>
        <v>1</v>
      </c>
      <c r="W1106" s="3" t="str">
        <f aca="false">IFERROR(_xlfn.T.TEST(E1106:M1106,N1106:U1106,2,2),"")</f>
        <v/>
      </c>
      <c r="X1106" s="0" t="str">
        <f aca="false">IFERROR(AVERAGE(E1106:M1106),"")</f>
        <v/>
      </c>
      <c r="Y1106" s="0" t="str">
        <f aca="false">IFERROR(AVERAGE(N1106:U1106),"")</f>
        <v/>
      </c>
    </row>
    <row r="1107" customFormat="false" ht="14.5" hidden="false" customHeight="false" outlineLevel="0" collapsed="false">
      <c r="A1107" s="0" t="n">
        <v>1117</v>
      </c>
      <c r="B1107" s="0" t="s">
        <v>1150</v>
      </c>
      <c r="C1107" s="0" t="n">
        <v>88300</v>
      </c>
      <c r="D1107" s="0" t="n">
        <v>771</v>
      </c>
      <c r="E1107" s="0" t="str">
        <f aca="false">IFERROR(IF(OR(HLOOKUP($A1107,#REF!,3,FALSE())&gt;2,HLOOKUP(A1107,#REF!,3,FALSE())&lt;-2),"",#REF!),"")</f>
        <v/>
      </c>
      <c r="F1107" s="0" t="str">
        <f aca="false">IFERROR(IF(OR(HLOOKUP($A1107,#REF!,4,FALSE())&gt;2,HLOOKUP($A1107,#REF!,4,FALSE())&lt;-2),"",#REF!),"")</f>
        <v/>
      </c>
      <c r="G1107" s="0" t="str">
        <f aca="false">IFERROR(IF(OR(HLOOKUP($A1107,#REF!,5,FALSE())&gt;2,HLOOKUP($A1107,#REF!,5,FALSE())&lt;-2),"",#REF!),"")</f>
        <v/>
      </c>
      <c r="H1107" s="0" t="str">
        <f aca="false">IFERROR(IF(OR(HLOOKUP($A1107,#REF!,6,FALSE())&gt;2,HLOOKUP($A1107,#REF!,6,FALSE())&lt;-2),"",#REF!),"")</f>
        <v/>
      </c>
      <c r="I1107" s="0" t="str">
        <f aca="false">IFERROR(IF(OR(HLOOKUP($A1107,#REF!,7,FALSE())&gt;2,HLOOKUP($A1107,#REF!,7,FALSE())&lt;-2),"",#REF!),"")</f>
        <v/>
      </c>
      <c r="J1107" s="0" t="str">
        <f aca="false">IFERROR(IF(OR(HLOOKUP($A1107,#REF!,8,FALSE())&gt;2,HLOOKUP($A1107,#REF!,8,FALSE())&lt;-2),"",#REF!),"")</f>
        <v/>
      </c>
      <c r="K1107" s="0" t="str">
        <f aca="false">IFERROR(IF(OR(HLOOKUP($A1107,#REF!,9,FALSE())&gt;2,HLOOKUP($A1107,#REF!,9,FALSE())&lt;-2),"",#REF!),"")</f>
        <v/>
      </c>
      <c r="L1107" s="0" t="str">
        <f aca="false">IFERROR(IF(OR(HLOOKUP($A1107,#REF!,10,FALSE())&gt;2,HLOOKUP($A1107,#REF!,10,FALSE())&lt;-2),"",#REF!),"")</f>
        <v/>
      </c>
      <c r="M1107" s="0" t="str">
        <f aca="false">IFERROR(IF(OR(HLOOKUP($A1107,#REF!,11,FALSE())&gt;2,HLOOKUP($A1107,#REF!,11,FALSE())&lt;-2),"",#REF!),"")</f>
        <v/>
      </c>
      <c r="N1107" s="0" t="str">
        <f aca="false">IFERROR(IF(OR(HLOOKUP($A1107,#REF!,12,FALSE())&gt;2,HLOOKUP($A1107,#REF!,12,FALSE())&lt;-2),"",#REF!),"")</f>
        <v/>
      </c>
      <c r="O1107" s="0" t="str">
        <f aca="false">IFERROR(IF(OR(HLOOKUP($A1107,#REF!,13,FALSE())&gt;2,HLOOKUP($A1107,#REF!,13,FALSE())&lt;-2),"",#REF!),"")</f>
        <v/>
      </c>
      <c r="P1107" s="0" t="str">
        <f aca="false">IFERROR(IF(OR(HLOOKUP($A1107,#REF!,14,FALSE())&gt;2,HLOOKUP($A1107,#REF!,14,FALSE())&lt;-2),"",#REF!),"")</f>
        <v/>
      </c>
      <c r="Q1107" s="0" t="str">
        <f aca="false">IFERROR(IF(OR(HLOOKUP($A1107,#REF!,15,FALSE())&gt;2,HLOOKUP($A1107,#REF!,15,FALSE())&lt;-2),"",#REF!),"")</f>
        <v/>
      </c>
      <c r="R1107" s="0" t="str">
        <f aca="false">IFERROR(IF(OR(HLOOKUP($A1107,#REF!,16,FALSE())&gt;2,HLOOKUP($A1107,#REF!,16,FALSE())&lt;-2),"",#REF!),"")</f>
        <v/>
      </c>
      <c r="S1107" s="0" t="str">
        <f aca="false">IFERROR(IF(OR(HLOOKUP($A1107,#REF!,17,FALSE())&gt;2,HLOOKUP($A1107,#REF!,17,FALSE())&lt;-2),"",#REF!),"")</f>
        <v/>
      </c>
      <c r="T1107" s="0" t="str">
        <f aca="false">IFERROR(IF(OR(HLOOKUP($A1107,#REF!,18,FALSE())&gt;2,HLOOKUP($A1107,#REF!,18,FALSE())&lt;-2),"",#REF!),"")</f>
        <v/>
      </c>
      <c r="U1107" s="0" t="str">
        <f aca="false">IFERROR(IF(OR(HLOOKUP($A1107,#REF!,19,FALSE())&gt;2,HLOOKUP($A1107,#REF!,19,FALSE())&lt;-2),"",#REF!),"")</f>
        <v/>
      </c>
      <c r="V1107" s="0" t="n">
        <f aca="false">IFERROR(IF(AND(X1107=0,Y1107=0),0,1),0)</f>
        <v>1</v>
      </c>
      <c r="W1107" s="3" t="str">
        <f aca="false">IFERROR(_xlfn.T.TEST(E1107:M1107,N1107:U1107,2,2),"")</f>
        <v/>
      </c>
      <c r="X1107" s="0" t="str">
        <f aca="false">IFERROR(AVERAGE(E1107:M1107),"")</f>
        <v/>
      </c>
      <c r="Y1107" s="0" t="str">
        <f aca="false">IFERROR(AVERAGE(N1107:U1107),"")</f>
        <v/>
      </c>
    </row>
    <row r="1108" customFormat="false" ht="14.5" hidden="false" customHeight="false" outlineLevel="0" collapsed="false">
      <c r="A1108" s="0" t="n">
        <v>1118</v>
      </c>
      <c r="B1108" s="0" t="s">
        <v>1151</v>
      </c>
      <c r="C1108" s="0" t="n">
        <v>75200</v>
      </c>
      <c r="D1108" s="0" t="n">
        <v>525</v>
      </c>
      <c r="E1108" s="0" t="str">
        <f aca="false">IFERROR(IF(OR(HLOOKUP($A1108,#REF!,3,FALSE())&gt;2,HLOOKUP(A1108,#REF!,3,FALSE())&lt;-2),"",#REF!),"")</f>
        <v/>
      </c>
      <c r="F1108" s="0" t="str">
        <f aca="false">IFERROR(IF(OR(HLOOKUP($A1108,#REF!,4,FALSE())&gt;2,HLOOKUP($A1108,#REF!,4,FALSE())&lt;-2),"",#REF!),"")</f>
        <v/>
      </c>
      <c r="G1108" s="0" t="str">
        <f aca="false">IFERROR(IF(OR(HLOOKUP($A1108,#REF!,5,FALSE())&gt;2,HLOOKUP($A1108,#REF!,5,FALSE())&lt;-2),"",#REF!),"")</f>
        <v/>
      </c>
      <c r="H1108" s="0" t="str">
        <f aca="false">IFERROR(IF(OR(HLOOKUP($A1108,#REF!,6,FALSE())&gt;2,HLOOKUP($A1108,#REF!,6,FALSE())&lt;-2),"",#REF!),"")</f>
        <v/>
      </c>
      <c r="I1108" s="0" t="str">
        <f aca="false">IFERROR(IF(OR(HLOOKUP($A1108,#REF!,7,FALSE())&gt;2,HLOOKUP($A1108,#REF!,7,FALSE())&lt;-2),"",#REF!),"")</f>
        <v/>
      </c>
      <c r="J1108" s="0" t="str">
        <f aca="false">IFERROR(IF(OR(HLOOKUP($A1108,#REF!,8,FALSE())&gt;2,HLOOKUP($A1108,#REF!,8,FALSE())&lt;-2),"",#REF!),"")</f>
        <v/>
      </c>
      <c r="K1108" s="0" t="str">
        <f aca="false">IFERROR(IF(OR(HLOOKUP($A1108,#REF!,9,FALSE())&gt;2,HLOOKUP($A1108,#REF!,9,FALSE())&lt;-2),"",#REF!),"")</f>
        <v/>
      </c>
      <c r="L1108" s="0" t="str">
        <f aca="false">IFERROR(IF(OR(HLOOKUP($A1108,#REF!,10,FALSE())&gt;2,HLOOKUP($A1108,#REF!,10,FALSE())&lt;-2),"",#REF!),"")</f>
        <v/>
      </c>
      <c r="M1108" s="0" t="str">
        <f aca="false">IFERROR(IF(OR(HLOOKUP($A1108,#REF!,11,FALSE())&gt;2,HLOOKUP($A1108,#REF!,11,FALSE())&lt;-2),"",#REF!),"")</f>
        <v/>
      </c>
      <c r="N1108" s="0" t="str">
        <f aca="false">IFERROR(IF(OR(HLOOKUP($A1108,#REF!,12,FALSE())&gt;2,HLOOKUP($A1108,#REF!,12,FALSE())&lt;-2),"",#REF!),"")</f>
        <v/>
      </c>
      <c r="O1108" s="0" t="str">
        <f aca="false">IFERROR(IF(OR(HLOOKUP($A1108,#REF!,13,FALSE())&gt;2,HLOOKUP($A1108,#REF!,13,FALSE())&lt;-2),"",#REF!),"")</f>
        <v/>
      </c>
      <c r="P1108" s="0" t="str">
        <f aca="false">IFERROR(IF(OR(HLOOKUP($A1108,#REF!,14,FALSE())&gt;2,HLOOKUP($A1108,#REF!,14,FALSE())&lt;-2),"",#REF!),"")</f>
        <v/>
      </c>
      <c r="Q1108" s="0" t="str">
        <f aca="false">IFERROR(IF(OR(HLOOKUP($A1108,#REF!,15,FALSE())&gt;2,HLOOKUP($A1108,#REF!,15,FALSE())&lt;-2),"",#REF!),"")</f>
        <v/>
      </c>
      <c r="R1108" s="0" t="str">
        <f aca="false">IFERROR(IF(OR(HLOOKUP($A1108,#REF!,16,FALSE())&gt;2,HLOOKUP($A1108,#REF!,16,FALSE())&lt;-2),"",#REF!),"")</f>
        <v/>
      </c>
      <c r="S1108" s="0" t="str">
        <f aca="false">IFERROR(IF(OR(HLOOKUP($A1108,#REF!,17,FALSE())&gt;2,HLOOKUP($A1108,#REF!,17,FALSE())&lt;-2),"",#REF!),"")</f>
        <v/>
      </c>
      <c r="T1108" s="0" t="str">
        <f aca="false">IFERROR(IF(OR(HLOOKUP($A1108,#REF!,18,FALSE())&gt;2,HLOOKUP($A1108,#REF!,18,FALSE())&lt;-2),"",#REF!),"")</f>
        <v/>
      </c>
      <c r="U1108" s="0" t="str">
        <f aca="false">IFERROR(IF(OR(HLOOKUP($A1108,#REF!,19,FALSE())&gt;2,HLOOKUP($A1108,#REF!,19,FALSE())&lt;-2),"",#REF!),"")</f>
        <v/>
      </c>
      <c r="V1108" s="0" t="n">
        <f aca="false">IFERROR(IF(AND(X1108=0,Y1108=0),0,1),0)</f>
        <v>1</v>
      </c>
      <c r="W1108" s="3" t="str">
        <f aca="false">IFERROR(_xlfn.T.TEST(E1108:M1108,N1108:U1108,2,2),"")</f>
        <v/>
      </c>
      <c r="X1108" s="0" t="str">
        <f aca="false">IFERROR(AVERAGE(E1108:M1108),"")</f>
        <v/>
      </c>
      <c r="Y1108" s="0" t="str">
        <f aca="false">IFERROR(AVERAGE(N1108:U1108),"")</f>
        <v/>
      </c>
    </row>
    <row r="1109" customFormat="false" ht="14.5" hidden="false" customHeight="false" outlineLevel="0" collapsed="false">
      <c r="A1109" s="0" t="n">
        <v>1119</v>
      </c>
      <c r="B1109" s="0" t="s">
        <v>1152</v>
      </c>
      <c r="C1109" s="0" t="n">
        <v>118100</v>
      </c>
      <c r="D1109" s="0" t="n">
        <v>1040</v>
      </c>
      <c r="E1109" s="0" t="str">
        <f aca="false">IFERROR(IF(OR(HLOOKUP($A1109,#REF!,3,FALSE())&gt;2,HLOOKUP(A1109,#REF!,3,FALSE())&lt;-2),"",#REF!),"")</f>
        <v/>
      </c>
      <c r="F1109" s="0" t="str">
        <f aca="false">IFERROR(IF(OR(HLOOKUP($A1109,#REF!,4,FALSE())&gt;2,HLOOKUP($A1109,#REF!,4,FALSE())&lt;-2),"",#REF!),"")</f>
        <v/>
      </c>
      <c r="G1109" s="0" t="str">
        <f aca="false">IFERROR(IF(OR(HLOOKUP($A1109,#REF!,5,FALSE())&gt;2,HLOOKUP($A1109,#REF!,5,FALSE())&lt;-2),"",#REF!),"")</f>
        <v/>
      </c>
      <c r="H1109" s="0" t="str">
        <f aca="false">IFERROR(IF(OR(HLOOKUP($A1109,#REF!,6,FALSE())&gt;2,HLOOKUP($A1109,#REF!,6,FALSE())&lt;-2),"",#REF!),"")</f>
        <v/>
      </c>
      <c r="I1109" s="0" t="str">
        <f aca="false">IFERROR(IF(OR(HLOOKUP($A1109,#REF!,7,FALSE())&gt;2,HLOOKUP($A1109,#REF!,7,FALSE())&lt;-2),"",#REF!),"")</f>
        <v/>
      </c>
      <c r="J1109" s="0" t="str">
        <f aca="false">IFERROR(IF(OR(HLOOKUP($A1109,#REF!,8,FALSE())&gt;2,HLOOKUP($A1109,#REF!,8,FALSE())&lt;-2),"",#REF!),"")</f>
        <v/>
      </c>
      <c r="K1109" s="0" t="str">
        <f aca="false">IFERROR(IF(OR(HLOOKUP($A1109,#REF!,9,FALSE())&gt;2,HLOOKUP($A1109,#REF!,9,FALSE())&lt;-2),"",#REF!),"")</f>
        <v/>
      </c>
      <c r="L1109" s="0" t="str">
        <f aca="false">IFERROR(IF(OR(HLOOKUP($A1109,#REF!,10,FALSE())&gt;2,HLOOKUP($A1109,#REF!,10,FALSE())&lt;-2),"",#REF!),"")</f>
        <v/>
      </c>
      <c r="M1109" s="0" t="str">
        <f aca="false">IFERROR(IF(OR(HLOOKUP($A1109,#REF!,11,FALSE())&gt;2,HLOOKUP($A1109,#REF!,11,FALSE())&lt;-2),"",#REF!),"")</f>
        <v/>
      </c>
      <c r="N1109" s="0" t="str">
        <f aca="false">IFERROR(IF(OR(HLOOKUP($A1109,#REF!,12,FALSE())&gt;2,HLOOKUP($A1109,#REF!,12,FALSE())&lt;-2),"",#REF!),"")</f>
        <v/>
      </c>
      <c r="O1109" s="0" t="str">
        <f aca="false">IFERROR(IF(OR(HLOOKUP($A1109,#REF!,13,FALSE())&gt;2,HLOOKUP($A1109,#REF!,13,FALSE())&lt;-2),"",#REF!),"")</f>
        <v/>
      </c>
      <c r="P1109" s="0" t="str">
        <f aca="false">IFERROR(IF(OR(HLOOKUP($A1109,#REF!,14,FALSE())&gt;2,HLOOKUP($A1109,#REF!,14,FALSE())&lt;-2),"",#REF!),"")</f>
        <v/>
      </c>
      <c r="Q1109" s="0" t="str">
        <f aca="false">IFERROR(IF(OR(HLOOKUP($A1109,#REF!,15,FALSE())&gt;2,HLOOKUP($A1109,#REF!,15,FALSE())&lt;-2),"",#REF!),"")</f>
        <v/>
      </c>
      <c r="R1109" s="0" t="str">
        <f aca="false">IFERROR(IF(OR(HLOOKUP($A1109,#REF!,16,FALSE())&gt;2,HLOOKUP($A1109,#REF!,16,FALSE())&lt;-2),"",#REF!),"")</f>
        <v/>
      </c>
      <c r="S1109" s="0" t="str">
        <f aca="false">IFERROR(IF(OR(HLOOKUP($A1109,#REF!,17,FALSE())&gt;2,HLOOKUP($A1109,#REF!,17,FALSE())&lt;-2),"",#REF!),"")</f>
        <v/>
      </c>
      <c r="T1109" s="0" t="str">
        <f aca="false">IFERROR(IF(OR(HLOOKUP($A1109,#REF!,18,FALSE())&gt;2,HLOOKUP($A1109,#REF!,18,FALSE())&lt;-2),"",#REF!),"")</f>
        <v/>
      </c>
      <c r="U1109" s="0" t="str">
        <f aca="false">IFERROR(IF(OR(HLOOKUP($A1109,#REF!,19,FALSE())&gt;2,HLOOKUP($A1109,#REF!,19,FALSE())&lt;-2),"",#REF!),"")</f>
        <v/>
      </c>
      <c r="V1109" s="0" t="n">
        <f aca="false">IFERROR(IF(AND(X1109=0,Y1109=0),0,1),0)</f>
        <v>1</v>
      </c>
      <c r="W1109" s="3" t="str">
        <f aca="false">IFERROR(_xlfn.T.TEST(E1109:M1109,N1109:U1109,2,2),"")</f>
        <v/>
      </c>
      <c r="X1109" s="0" t="str">
        <f aca="false">IFERROR(AVERAGE(E1109:M1109),"")</f>
        <v/>
      </c>
      <c r="Y1109" s="0" t="str">
        <f aca="false">IFERROR(AVERAGE(N1109:U1109),"")</f>
        <v/>
      </c>
    </row>
    <row r="1110" customFormat="false" ht="14.5" hidden="false" customHeight="false" outlineLevel="0" collapsed="false">
      <c r="A1110" s="0" t="n">
        <v>1120</v>
      </c>
      <c r="B1110" s="0" t="s">
        <v>1153</v>
      </c>
      <c r="C1110" s="0" t="n">
        <v>66800</v>
      </c>
      <c r="D1110" s="0" t="n">
        <v>239</v>
      </c>
      <c r="E1110" s="0" t="str">
        <f aca="false">IFERROR(IF(OR(HLOOKUP($A1110,#REF!,3,FALSE())&gt;2,HLOOKUP(A1110,#REF!,3,FALSE())&lt;-2),"",#REF!),"")</f>
        <v/>
      </c>
      <c r="F1110" s="0" t="str">
        <f aca="false">IFERROR(IF(OR(HLOOKUP($A1110,#REF!,4,FALSE())&gt;2,HLOOKUP($A1110,#REF!,4,FALSE())&lt;-2),"",#REF!),"")</f>
        <v/>
      </c>
      <c r="G1110" s="0" t="str">
        <f aca="false">IFERROR(IF(OR(HLOOKUP($A1110,#REF!,5,FALSE())&gt;2,HLOOKUP($A1110,#REF!,5,FALSE())&lt;-2),"",#REF!),"")</f>
        <v/>
      </c>
      <c r="H1110" s="0" t="str">
        <f aca="false">IFERROR(IF(OR(HLOOKUP($A1110,#REF!,6,FALSE())&gt;2,HLOOKUP($A1110,#REF!,6,FALSE())&lt;-2),"",#REF!),"")</f>
        <v/>
      </c>
      <c r="I1110" s="0" t="str">
        <f aca="false">IFERROR(IF(OR(HLOOKUP($A1110,#REF!,7,FALSE())&gt;2,HLOOKUP($A1110,#REF!,7,FALSE())&lt;-2),"",#REF!),"")</f>
        <v/>
      </c>
      <c r="J1110" s="0" t="str">
        <f aca="false">IFERROR(IF(OR(HLOOKUP($A1110,#REF!,8,FALSE())&gt;2,HLOOKUP($A1110,#REF!,8,FALSE())&lt;-2),"",#REF!),"")</f>
        <v/>
      </c>
      <c r="K1110" s="0" t="str">
        <f aca="false">IFERROR(IF(OR(HLOOKUP($A1110,#REF!,9,FALSE())&gt;2,HLOOKUP($A1110,#REF!,9,FALSE())&lt;-2),"",#REF!),"")</f>
        <v/>
      </c>
      <c r="L1110" s="0" t="str">
        <f aca="false">IFERROR(IF(OR(HLOOKUP($A1110,#REF!,10,FALSE())&gt;2,HLOOKUP($A1110,#REF!,10,FALSE())&lt;-2),"",#REF!),"")</f>
        <v/>
      </c>
      <c r="M1110" s="0" t="str">
        <f aca="false">IFERROR(IF(OR(HLOOKUP($A1110,#REF!,11,FALSE())&gt;2,HLOOKUP($A1110,#REF!,11,FALSE())&lt;-2),"",#REF!),"")</f>
        <v/>
      </c>
      <c r="N1110" s="0" t="str">
        <f aca="false">IFERROR(IF(OR(HLOOKUP($A1110,#REF!,12,FALSE())&gt;2,HLOOKUP($A1110,#REF!,12,FALSE())&lt;-2),"",#REF!),"")</f>
        <v/>
      </c>
      <c r="O1110" s="0" t="str">
        <f aca="false">IFERROR(IF(OR(HLOOKUP($A1110,#REF!,13,FALSE())&gt;2,HLOOKUP($A1110,#REF!,13,FALSE())&lt;-2),"",#REF!),"")</f>
        <v/>
      </c>
      <c r="P1110" s="0" t="str">
        <f aca="false">IFERROR(IF(OR(HLOOKUP($A1110,#REF!,14,FALSE())&gt;2,HLOOKUP($A1110,#REF!,14,FALSE())&lt;-2),"",#REF!),"")</f>
        <v/>
      </c>
      <c r="Q1110" s="0" t="str">
        <f aca="false">IFERROR(IF(OR(HLOOKUP($A1110,#REF!,15,FALSE())&gt;2,HLOOKUP($A1110,#REF!,15,FALSE())&lt;-2),"",#REF!),"")</f>
        <v/>
      </c>
      <c r="R1110" s="0" t="str">
        <f aca="false">IFERROR(IF(OR(HLOOKUP($A1110,#REF!,16,FALSE())&gt;2,HLOOKUP($A1110,#REF!,16,FALSE())&lt;-2),"",#REF!),"")</f>
        <v/>
      </c>
      <c r="S1110" s="0" t="str">
        <f aca="false">IFERROR(IF(OR(HLOOKUP($A1110,#REF!,17,FALSE())&gt;2,HLOOKUP($A1110,#REF!,17,FALSE())&lt;-2),"",#REF!),"")</f>
        <v/>
      </c>
      <c r="T1110" s="0" t="str">
        <f aca="false">IFERROR(IF(OR(HLOOKUP($A1110,#REF!,18,FALSE())&gt;2,HLOOKUP($A1110,#REF!,18,FALSE())&lt;-2),"",#REF!),"")</f>
        <v/>
      </c>
      <c r="U1110" s="0" t="str">
        <f aca="false">IFERROR(IF(OR(HLOOKUP($A1110,#REF!,19,FALSE())&gt;2,HLOOKUP($A1110,#REF!,19,FALSE())&lt;-2),"",#REF!),"")</f>
        <v/>
      </c>
      <c r="V1110" s="0" t="n">
        <f aca="false">IFERROR(IF(AND(X1110=0,Y1110=0),0,1),0)</f>
        <v>1</v>
      </c>
      <c r="W1110" s="3" t="str">
        <f aca="false">IFERROR(_xlfn.T.TEST(E1110:M1110,N1110:U1110,2,2),"")</f>
        <v/>
      </c>
      <c r="X1110" s="0" t="str">
        <f aca="false">IFERROR(AVERAGE(E1110:M1110),"")</f>
        <v/>
      </c>
      <c r="Y1110" s="0" t="str">
        <f aca="false">IFERROR(AVERAGE(N1110:U1110),"")</f>
        <v/>
      </c>
    </row>
    <row r="1111" customFormat="false" ht="14.5" hidden="false" customHeight="false" outlineLevel="0" collapsed="false">
      <c r="A1111" s="0" t="n">
        <v>1121</v>
      </c>
      <c r="B1111" s="0" t="s">
        <v>1154</v>
      </c>
      <c r="C1111" s="0" t="n">
        <v>41400</v>
      </c>
      <c r="D1111" s="0" t="n">
        <v>918</v>
      </c>
      <c r="E1111" s="0" t="str">
        <f aca="false">IFERROR(IF(OR(HLOOKUP($A1111,#REF!,3,FALSE())&gt;2,HLOOKUP(A1111,#REF!,3,FALSE())&lt;-2),"",#REF!),"")</f>
        <v/>
      </c>
      <c r="F1111" s="0" t="str">
        <f aca="false">IFERROR(IF(OR(HLOOKUP($A1111,#REF!,4,FALSE())&gt;2,HLOOKUP($A1111,#REF!,4,FALSE())&lt;-2),"",#REF!),"")</f>
        <v/>
      </c>
      <c r="G1111" s="0" t="str">
        <f aca="false">IFERROR(IF(OR(HLOOKUP($A1111,#REF!,5,FALSE())&gt;2,HLOOKUP($A1111,#REF!,5,FALSE())&lt;-2),"",#REF!),"")</f>
        <v/>
      </c>
      <c r="H1111" s="0" t="str">
        <f aca="false">IFERROR(IF(OR(HLOOKUP($A1111,#REF!,6,FALSE())&gt;2,HLOOKUP($A1111,#REF!,6,FALSE())&lt;-2),"",#REF!),"")</f>
        <v/>
      </c>
      <c r="I1111" s="0" t="str">
        <f aca="false">IFERROR(IF(OR(HLOOKUP($A1111,#REF!,7,FALSE())&gt;2,HLOOKUP($A1111,#REF!,7,FALSE())&lt;-2),"",#REF!),"")</f>
        <v/>
      </c>
      <c r="J1111" s="0" t="str">
        <f aca="false">IFERROR(IF(OR(HLOOKUP($A1111,#REF!,8,FALSE())&gt;2,HLOOKUP($A1111,#REF!,8,FALSE())&lt;-2),"",#REF!),"")</f>
        <v/>
      </c>
      <c r="K1111" s="0" t="str">
        <f aca="false">IFERROR(IF(OR(HLOOKUP($A1111,#REF!,9,FALSE())&gt;2,HLOOKUP($A1111,#REF!,9,FALSE())&lt;-2),"",#REF!),"")</f>
        <v/>
      </c>
      <c r="L1111" s="0" t="str">
        <f aca="false">IFERROR(IF(OR(HLOOKUP($A1111,#REF!,10,FALSE())&gt;2,HLOOKUP($A1111,#REF!,10,FALSE())&lt;-2),"",#REF!),"")</f>
        <v/>
      </c>
      <c r="M1111" s="0" t="str">
        <f aca="false">IFERROR(IF(OR(HLOOKUP($A1111,#REF!,11,FALSE())&gt;2,HLOOKUP($A1111,#REF!,11,FALSE())&lt;-2),"",#REF!),"")</f>
        <v/>
      </c>
      <c r="N1111" s="0" t="str">
        <f aca="false">IFERROR(IF(OR(HLOOKUP($A1111,#REF!,12,FALSE())&gt;2,HLOOKUP($A1111,#REF!,12,FALSE())&lt;-2),"",#REF!),"")</f>
        <v/>
      </c>
      <c r="O1111" s="0" t="str">
        <f aca="false">IFERROR(IF(OR(HLOOKUP($A1111,#REF!,13,FALSE())&gt;2,HLOOKUP($A1111,#REF!,13,FALSE())&lt;-2),"",#REF!),"")</f>
        <v/>
      </c>
      <c r="P1111" s="0" t="str">
        <f aca="false">IFERROR(IF(OR(HLOOKUP($A1111,#REF!,14,FALSE())&gt;2,HLOOKUP($A1111,#REF!,14,FALSE())&lt;-2),"",#REF!),"")</f>
        <v/>
      </c>
      <c r="Q1111" s="0" t="str">
        <f aca="false">IFERROR(IF(OR(HLOOKUP($A1111,#REF!,15,FALSE())&gt;2,HLOOKUP($A1111,#REF!,15,FALSE())&lt;-2),"",#REF!),"")</f>
        <v/>
      </c>
      <c r="R1111" s="0" t="str">
        <f aca="false">IFERROR(IF(OR(HLOOKUP($A1111,#REF!,16,FALSE())&gt;2,HLOOKUP($A1111,#REF!,16,FALSE())&lt;-2),"",#REF!),"")</f>
        <v/>
      </c>
      <c r="S1111" s="0" t="str">
        <f aca="false">IFERROR(IF(OR(HLOOKUP($A1111,#REF!,17,FALSE())&gt;2,HLOOKUP($A1111,#REF!,17,FALSE())&lt;-2),"",#REF!),"")</f>
        <v/>
      </c>
      <c r="T1111" s="0" t="str">
        <f aca="false">IFERROR(IF(OR(HLOOKUP($A1111,#REF!,18,FALSE())&gt;2,HLOOKUP($A1111,#REF!,18,FALSE())&lt;-2),"",#REF!),"")</f>
        <v/>
      </c>
      <c r="U1111" s="0" t="str">
        <f aca="false">IFERROR(IF(OR(HLOOKUP($A1111,#REF!,19,FALSE())&gt;2,HLOOKUP($A1111,#REF!,19,FALSE())&lt;-2),"",#REF!),"")</f>
        <v/>
      </c>
      <c r="V1111" s="0" t="n">
        <f aca="false">IFERROR(IF(AND(X1111=0,Y1111=0),0,1),0)</f>
        <v>1</v>
      </c>
      <c r="W1111" s="3" t="str">
        <f aca="false">IFERROR(_xlfn.T.TEST(E1111:M1111,N1111:U1111,2,2),"")</f>
        <v/>
      </c>
      <c r="X1111" s="0" t="str">
        <f aca="false">IFERROR(AVERAGE(E1111:M1111),"")</f>
        <v/>
      </c>
      <c r="Y1111" s="0" t="str">
        <f aca="false">IFERROR(AVERAGE(N1111:U1111),"")</f>
        <v/>
      </c>
    </row>
    <row r="1112" customFormat="false" ht="14.5" hidden="false" customHeight="false" outlineLevel="0" collapsed="false">
      <c r="A1112" s="0" t="n">
        <v>1123</v>
      </c>
      <c r="B1112" s="0" t="s">
        <v>1155</v>
      </c>
      <c r="C1112" s="0" t="n">
        <v>105100</v>
      </c>
      <c r="D1112" s="0" t="n">
        <v>752</v>
      </c>
      <c r="E1112" s="0" t="str">
        <f aca="false">IFERROR(IF(OR(HLOOKUP($A1112,#REF!,3,FALSE())&gt;2,HLOOKUP(A1112,#REF!,3,FALSE())&lt;-2),"",#REF!),"")</f>
        <v/>
      </c>
      <c r="F1112" s="0" t="str">
        <f aca="false">IFERROR(IF(OR(HLOOKUP($A1112,#REF!,4,FALSE())&gt;2,HLOOKUP($A1112,#REF!,4,FALSE())&lt;-2),"",#REF!),"")</f>
        <v/>
      </c>
      <c r="G1112" s="0" t="str">
        <f aca="false">IFERROR(IF(OR(HLOOKUP($A1112,#REF!,5,FALSE())&gt;2,HLOOKUP($A1112,#REF!,5,FALSE())&lt;-2),"",#REF!),"")</f>
        <v/>
      </c>
      <c r="H1112" s="0" t="str">
        <f aca="false">IFERROR(IF(OR(HLOOKUP($A1112,#REF!,6,FALSE())&gt;2,HLOOKUP($A1112,#REF!,6,FALSE())&lt;-2),"",#REF!),"")</f>
        <v/>
      </c>
      <c r="I1112" s="0" t="str">
        <f aca="false">IFERROR(IF(OR(HLOOKUP($A1112,#REF!,7,FALSE())&gt;2,HLOOKUP($A1112,#REF!,7,FALSE())&lt;-2),"",#REF!),"")</f>
        <v/>
      </c>
      <c r="J1112" s="0" t="str">
        <f aca="false">IFERROR(IF(OR(HLOOKUP($A1112,#REF!,8,FALSE())&gt;2,HLOOKUP($A1112,#REF!,8,FALSE())&lt;-2),"",#REF!),"")</f>
        <v/>
      </c>
      <c r="K1112" s="0" t="str">
        <f aca="false">IFERROR(IF(OR(HLOOKUP($A1112,#REF!,9,FALSE())&gt;2,HLOOKUP($A1112,#REF!,9,FALSE())&lt;-2),"",#REF!),"")</f>
        <v/>
      </c>
      <c r="L1112" s="0" t="str">
        <f aca="false">IFERROR(IF(OR(HLOOKUP($A1112,#REF!,10,FALSE())&gt;2,HLOOKUP($A1112,#REF!,10,FALSE())&lt;-2),"",#REF!),"")</f>
        <v/>
      </c>
      <c r="M1112" s="0" t="str">
        <f aca="false">IFERROR(IF(OR(HLOOKUP($A1112,#REF!,11,FALSE())&gt;2,HLOOKUP($A1112,#REF!,11,FALSE())&lt;-2),"",#REF!),"")</f>
        <v/>
      </c>
      <c r="N1112" s="0" t="str">
        <f aca="false">IFERROR(IF(OR(HLOOKUP($A1112,#REF!,12,FALSE())&gt;2,HLOOKUP($A1112,#REF!,12,FALSE())&lt;-2),"",#REF!),"")</f>
        <v/>
      </c>
      <c r="O1112" s="0" t="str">
        <f aca="false">IFERROR(IF(OR(HLOOKUP($A1112,#REF!,13,FALSE())&gt;2,HLOOKUP($A1112,#REF!,13,FALSE())&lt;-2),"",#REF!),"")</f>
        <v/>
      </c>
      <c r="P1112" s="0" t="str">
        <f aca="false">IFERROR(IF(OR(HLOOKUP($A1112,#REF!,14,FALSE())&gt;2,HLOOKUP($A1112,#REF!,14,FALSE())&lt;-2),"",#REF!),"")</f>
        <v/>
      </c>
      <c r="Q1112" s="0" t="str">
        <f aca="false">IFERROR(IF(OR(HLOOKUP($A1112,#REF!,15,FALSE())&gt;2,HLOOKUP($A1112,#REF!,15,FALSE())&lt;-2),"",#REF!),"")</f>
        <v/>
      </c>
      <c r="R1112" s="0" t="str">
        <f aca="false">IFERROR(IF(OR(HLOOKUP($A1112,#REF!,16,FALSE())&gt;2,HLOOKUP($A1112,#REF!,16,FALSE())&lt;-2),"",#REF!),"")</f>
        <v/>
      </c>
      <c r="S1112" s="0" t="str">
        <f aca="false">IFERROR(IF(OR(HLOOKUP($A1112,#REF!,17,FALSE())&gt;2,HLOOKUP($A1112,#REF!,17,FALSE())&lt;-2),"",#REF!),"")</f>
        <v/>
      </c>
      <c r="T1112" s="0" t="str">
        <f aca="false">IFERROR(IF(OR(HLOOKUP($A1112,#REF!,18,FALSE())&gt;2,HLOOKUP($A1112,#REF!,18,FALSE())&lt;-2),"",#REF!),"")</f>
        <v/>
      </c>
      <c r="U1112" s="0" t="str">
        <f aca="false">IFERROR(IF(OR(HLOOKUP($A1112,#REF!,19,FALSE())&gt;2,HLOOKUP($A1112,#REF!,19,FALSE())&lt;-2),"",#REF!),"")</f>
        <v/>
      </c>
      <c r="V1112" s="0" t="n">
        <f aca="false">IFERROR(IF(AND(X1112=0,Y1112=0),0,1),0)</f>
        <v>1</v>
      </c>
      <c r="W1112" s="3" t="str">
        <f aca="false">IFERROR(_xlfn.T.TEST(E1112:M1112,N1112:U1112,2,2),"")</f>
        <v/>
      </c>
      <c r="X1112" s="0" t="str">
        <f aca="false">IFERROR(AVERAGE(E1112:M1112),"")</f>
        <v/>
      </c>
      <c r="Y1112" s="0" t="str">
        <f aca="false">IFERROR(AVERAGE(N1112:U1112),"")</f>
        <v/>
      </c>
    </row>
    <row r="1113" customFormat="false" ht="14.5" hidden="false" customHeight="false" outlineLevel="0" collapsed="false">
      <c r="A1113" s="0" t="n">
        <v>1124</v>
      </c>
      <c r="B1113" s="0" t="s">
        <v>1156</v>
      </c>
      <c r="C1113" s="0" t="n">
        <v>73300</v>
      </c>
      <c r="D1113" s="0" t="n">
        <v>141</v>
      </c>
      <c r="E1113" s="0" t="str">
        <f aca="false">IFERROR(IF(OR(HLOOKUP($A1113,#REF!,3,FALSE())&gt;2,HLOOKUP(A1113,#REF!,3,FALSE())&lt;-2),"",#REF!),"")</f>
        <v/>
      </c>
      <c r="F1113" s="0" t="str">
        <f aca="false">IFERROR(IF(OR(HLOOKUP($A1113,#REF!,4,FALSE())&gt;2,HLOOKUP($A1113,#REF!,4,FALSE())&lt;-2),"",#REF!),"")</f>
        <v/>
      </c>
      <c r="G1113" s="0" t="str">
        <f aca="false">IFERROR(IF(OR(HLOOKUP($A1113,#REF!,5,FALSE())&gt;2,HLOOKUP($A1113,#REF!,5,FALSE())&lt;-2),"",#REF!),"")</f>
        <v/>
      </c>
      <c r="H1113" s="0" t="str">
        <f aca="false">IFERROR(IF(OR(HLOOKUP($A1113,#REF!,6,FALSE())&gt;2,HLOOKUP($A1113,#REF!,6,FALSE())&lt;-2),"",#REF!),"")</f>
        <v/>
      </c>
      <c r="I1113" s="0" t="str">
        <f aca="false">IFERROR(IF(OR(HLOOKUP($A1113,#REF!,7,FALSE())&gt;2,HLOOKUP($A1113,#REF!,7,FALSE())&lt;-2),"",#REF!),"")</f>
        <v/>
      </c>
      <c r="J1113" s="0" t="str">
        <f aca="false">IFERROR(IF(OR(HLOOKUP($A1113,#REF!,8,FALSE())&gt;2,HLOOKUP($A1113,#REF!,8,FALSE())&lt;-2),"",#REF!),"")</f>
        <v/>
      </c>
      <c r="K1113" s="0" t="str">
        <f aca="false">IFERROR(IF(OR(HLOOKUP($A1113,#REF!,9,FALSE())&gt;2,HLOOKUP($A1113,#REF!,9,FALSE())&lt;-2),"",#REF!),"")</f>
        <v/>
      </c>
      <c r="L1113" s="0" t="str">
        <f aca="false">IFERROR(IF(OR(HLOOKUP($A1113,#REF!,10,FALSE())&gt;2,HLOOKUP($A1113,#REF!,10,FALSE())&lt;-2),"",#REF!),"")</f>
        <v/>
      </c>
      <c r="M1113" s="0" t="str">
        <f aca="false">IFERROR(IF(OR(HLOOKUP($A1113,#REF!,11,FALSE())&gt;2,HLOOKUP($A1113,#REF!,11,FALSE())&lt;-2),"",#REF!),"")</f>
        <v/>
      </c>
      <c r="N1113" s="0" t="str">
        <f aca="false">IFERROR(IF(OR(HLOOKUP($A1113,#REF!,12,FALSE())&gt;2,HLOOKUP($A1113,#REF!,12,FALSE())&lt;-2),"",#REF!),"")</f>
        <v/>
      </c>
      <c r="O1113" s="0" t="str">
        <f aca="false">IFERROR(IF(OR(HLOOKUP($A1113,#REF!,13,FALSE())&gt;2,HLOOKUP($A1113,#REF!,13,FALSE())&lt;-2),"",#REF!),"")</f>
        <v/>
      </c>
      <c r="P1113" s="0" t="str">
        <f aca="false">IFERROR(IF(OR(HLOOKUP($A1113,#REF!,14,FALSE())&gt;2,HLOOKUP($A1113,#REF!,14,FALSE())&lt;-2),"",#REF!),"")</f>
        <v/>
      </c>
      <c r="Q1113" s="0" t="str">
        <f aca="false">IFERROR(IF(OR(HLOOKUP($A1113,#REF!,15,FALSE())&gt;2,HLOOKUP($A1113,#REF!,15,FALSE())&lt;-2),"",#REF!),"")</f>
        <v/>
      </c>
      <c r="R1113" s="0" t="str">
        <f aca="false">IFERROR(IF(OR(HLOOKUP($A1113,#REF!,16,FALSE())&gt;2,HLOOKUP($A1113,#REF!,16,FALSE())&lt;-2),"",#REF!),"")</f>
        <v/>
      </c>
      <c r="S1113" s="0" t="str">
        <f aca="false">IFERROR(IF(OR(HLOOKUP($A1113,#REF!,17,FALSE())&gt;2,HLOOKUP($A1113,#REF!,17,FALSE())&lt;-2),"",#REF!),"")</f>
        <v/>
      </c>
      <c r="T1113" s="0" t="str">
        <f aca="false">IFERROR(IF(OR(HLOOKUP($A1113,#REF!,18,FALSE())&gt;2,HLOOKUP($A1113,#REF!,18,FALSE())&lt;-2),"",#REF!),"")</f>
        <v/>
      </c>
      <c r="U1113" s="0" t="str">
        <f aca="false">IFERROR(IF(OR(HLOOKUP($A1113,#REF!,19,FALSE())&gt;2,HLOOKUP($A1113,#REF!,19,FALSE())&lt;-2),"",#REF!),"")</f>
        <v/>
      </c>
      <c r="V1113" s="0" t="n">
        <f aca="false">IFERROR(IF(AND(X1113=0,Y1113=0),0,1),0)</f>
        <v>1</v>
      </c>
      <c r="W1113" s="3" t="str">
        <f aca="false">IFERROR(_xlfn.T.TEST(E1113:M1113,N1113:U1113,2,2),"")</f>
        <v/>
      </c>
      <c r="X1113" s="0" t="str">
        <f aca="false">IFERROR(AVERAGE(E1113:M1113),"")</f>
        <v/>
      </c>
      <c r="Y1113" s="0" t="str">
        <f aca="false">IFERROR(AVERAGE(N1113:U1113),"")</f>
        <v/>
      </c>
    </row>
    <row r="1114" customFormat="false" ht="14.5" hidden="false" customHeight="false" outlineLevel="0" collapsed="false">
      <c r="A1114" s="0" t="n">
        <v>1125</v>
      </c>
      <c r="B1114" s="0" t="s">
        <v>1157</v>
      </c>
      <c r="C1114" s="0" t="n">
        <v>23000</v>
      </c>
      <c r="D1114" s="0" t="n">
        <v>746</v>
      </c>
      <c r="E1114" s="0" t="str">
        <f aca="false">IFERROR(IF(OR(HLOOKUP($A1114,#REF!,3,FALSE())&gt;2,HLOOKUP(A1114,#REF!,3,FALSE())&lt;-2),"",#REF!),"")</f>
        <v/>
      </c>
      <c r="F1114" s="0" t="str">
        <f aca="false">IFERROR(IF(OR(HLOOKUP($A1114,#REF!,4,FALSE())&gt;2,HLOOKUP($A1114,#REF!,4,FALSE())&lt;-2),"",#REF!),"")</f>
        <v/>
      </c>
      <c r="G1114" s="0" t="str">
        <f aca="false">IFERROR(IF(OR(HLOOKUP($A1114,#REF!,5,FALSE())&gt;2,HLOOKUP($A1114,#REF!,5,FALSE())&lt;-2),"",#REF!),"")</f>
        <v/>
      </c>
      <c r="H1114" s="0" t="str">
        <f aca="false">IFERROR(IF(OR(HLOOKUP($A1114,#REF!,6,FALSE())&gt;2,HLOOKUP($A1114,#REF!,6,FALSE())&lt;-2),"",#REF!),"")</f>
        <v/>
      </c>
      <c r="I1114" s="0" t="str">
        <f aca="false">IFERROR(IF(OR(HLOOKUP($A1114,#REF!,7,FALSE())&gt;2,HLOOKUP($A1114,#REF!,7,FALSE())&lt;-2),"",#REF!),"")</f>
        <v/>
      </c>
      <c r="J1114" s="0" t="str">
        <f aca="false">IFERROR(IF(OR(HLOOKUP($A1114,#REF!,8,FALSE())&gt;2,HLOOKUP($A1114,#REF!,8,FALSE())&lt;-2),"",#REF!),"")</f>
        <v/>
      </c>
      <c r="K1114" s="0" t="str">
        <f aca="false">IFERROR(IF(OR(HLOOKUP($A1114,#REF!,9,FALSE())&gt;2,HLOOKUP($A1114,#REF!,9,FALSE())&lt;-2),"",#REF!),"")</f>
        <v/>
      </c>
      <c r="L1114" s="0" t="str">
        <f aca="false">IFERROR(IF(OR(HLOOKUP($A1114,#REF!,10,FALSE())&gt;2,HLOOKUP($A1114,#REF!,10,FALSE())&lt;-2),"",#REF!),"")</f>
        <v/>
      </c>
      <c r="M1114" s="0" t="str">
        <f aca="false">IFERROR(IF(OR(HLOOKUP($A1114,#REF!,11,FALSE())&gt;2,HLOOKUP($A1114,#REF!,11,FALSE())&lt;-2),"",#REF!),"")</f>
        <v/>
      </c>
      <c r="N1114" s="0" t="str">
        <f aca="false">IFERROR(IF(OR(HLOOKUP($A1114,#REF!,12,FALSE())&gt;2,HLOOKUP($A1114,#REF!,12,FALSE())&lt;-2),"",#REF!),"")</f>
        <v/>
      </c>
      <c r="O1114" s="0" t="str">
        <f aca="false">IFERROR(IF(OR(HLOOKUP($A1114,#REF!,13,FALSE())&gt;2,HLOOKUP($A1114,#REF!,13,FALSE())&lt;-2),"",#REF!),"")</f>
        <v/>
      </c>
      <c r="P1114" s="0" t="str">
        <f aca="false">IFERROR(IF(OR(HLOOKUP($A1114,#REF!,14,FALSE())&gt;2,HLOOKUP($A1114,#REF!,14,FALSE())&lt;-2),"",#REF!),"")</f>
        <v/>
      </c>
      <c r="Q1114" s="0" t="str">
        <f aca="false">IFERROR(IF(OR(HLOOKUP($A1114,#REF!,15,FALSE())&gt;2,HLOOKUP($A1114,#REF!,15,FALSE())&lt;-2),"",#REF!),"")</f>
        <v/>
      </c>
      <c r="R1114" s="0" t="str">
        <f aca="false">IFERROR(IF(OR(HLOOKUP($A1114,#REF!,16,FALSE())&gt;2,HLOOKUP($A1114,#REF!,16,FALSE())&lt;-2),"",#REF!),"")</f>
        <v/>
      </c>
      <c r="S1114" s="0" t="str">
        <f aca="false">IFERROR(IF(OR(HLOOKUP($A1114,#REF!,17,FALSE())&gt;2,HLOOKUP($A1114,#REF!,17,FALSE())&lt;-2),"",#REF!),"")</f>
        <v/>
      </c>
      <c r="T1114" s="0" t="str">
        <f aca="false">IFERROR(IF(OR(HLOOKUP($A1114,#REF!,18,FALSE())&gt;2,HLOOKUP($A1114,#REF!,18,FALSE())&lt;-2),"",#REF!),"")</f>
        <v/>
      </c>
      <c r="U1114" s="0" t="str">
        <f aca="false">IFERROR(IF(OR(HLOOKUP($A1114,#REF!,19,FALSE())&gt;2,HLOOKUP($A1114,#REF!,19,FALSE())&lt;-2),"",#REF!),"")</f>
        <v/>
      </c>
      <c r="V1114" s="0" t="n">
        <f aca="false">IFERROR(IF(AND(X1114=0,Y1114=0),0,1),0)</f>
        <v>1</v>
      </c>
      <c r="W1114" s="3" t="str">
        <f aca="false">IFERROR(_xlfn.T.TEST(E1114:M1114,N1114:U1114,2,2),"")</f>
        <v/>
      </c>
      <c r="X1114" s="0" t="str">
        <f aca="false">IFERROR(AVERAGE(E1114:M1114),"")</f>
        <v/>
      </c>
      <c r="Y1114" s="0" t="str">
        <f aca="false">IFERROR(AVERAGE(N1114:U1114),"")</f>
        <v/>
      </c>
    </row>
    <row r="1115" customFormat="false" ht="14.5" hidden="false" customHeight="false" outlineLevel="0" collapsed="false">
      <c r="A1115" s="0" t="n">
        <v>1126</v>
      </c>
      <c r="B1115" s="0" t="s">
        <v>1158</v>
      </c>
      <c r="C1115" s="0" t="n">
        <v>75400</v>
      </c>
      <c r="D1115" s="0" t="n">
        <v>557</v>
      </c>
      <c r="E1115" s="0" t="str">
        <f aca="false">IFERROR(IF(OR(HLOOKUP($A1115,#REF!,3,FALSE())&gt;2,HLOOKUP(A1115,#REF!,3,FALSE())&lt;-2),"",#REF!),"")</f>
        <v/>
      </c>
      <c r="F1115" s="0" t="str">
        <f aca="false">IFERROR(IF(OR(HLOOKUP($A1115,#REF!,4,FALSE())&gt;2,HLOOKUP($A1115,#REF!,4,FALSE())&lt;-2),"",#REF!),"")</f>
        <v/>
      </c>
      <c r="G1115" s="0" t="str">
        <f aca="false">IFERROR(IF(OR(HLOOKUP($A1115,#REF!,5,FALSE())&gt;2,HLOOKUP($A1115,#REF!,5,FALSE())&lt;-2),"",#REF!),"")</f>
        <v/>
      </c>
      <c r="H1115" s="0" t="str">
        <f aca="false">IFERROR(IF(OR(HLOOKUP($A1115,#REF!,6,FALSE())&gt;2,HLOOKUP($A1115,#REF!,6,FALSE())&lt;-2),"",#REF!),"")</f>
        <v/>
      </c>
      <c r="I1115" s="0" t="str">
        <f aca="false">IFERROR(IF(OR(HLOOKUP($A1115,#REF!,7,FALSE())&gt;2,HLOOKUP($A1115,#REF!,7,FALSE())&lt;-2),"",#REF!),"")</f>
        <v/>
      </c>
      <c r="J1115" s="0" t="str">
        <f aca="false">IFERROR(IF(OR(HLOOKUP($A1115,#REF!,8,FALSE())&gt;2,HLOOKUP($A1115,#REF!,8,FALSE())&lt;-2),"",#REF!),"")</f>
        <v/>
      </c>
      <c r="K1115" s="0" t="str">
        <f aca="false">IFERROR(IF(OR(HLOOKUP($A1115,#REF!,9,FALSE())&gt;2,HLOOKUP($A1115,#REF!,9,FALSE())&lt;-2),"",#REF!),"")</f>
        <v/>
      </c>
      <c r="L1115" s="0" t="str">
        <f aca="false">IFERROR(IF(OR(HLOOKUP($A1115,#REF!,10,FALSE())&gt;2,HLOOKUP($A1115,#REF!,10,FALSE())&lt;-2),"",#REF!),"")</f>
        <v/>
      </c>
      <c r="M1115" s="0" t="str">
        <f aca="false">IFERROR(IF(OR(HLOOKUP($A1115,#REF!,11,FALSE())&gt;2,HLOOKUP($A1115,#REF!,11,FALSE())&lt;-2),"",#REF!),"")</f>
        <v/>
      </c>
      <c r="N1115" s="0" t="str">
        <f aca="false">IFERROR(IF(OR(HLOOKUP($A1115,#REF!,12,FALSE())&gt;2,HLOOKUP($A1115,#REF!,12,FALSE())&lt;-2),"",#REF!),"")</f>
        <v/>
      </c>
      <c r="O1115" s="0" t="str">
        <f aca="false">IFERROR(IF(OR(HLOOKUP($A1115,#REF!,13,FALSE())&gt;2,HLOOKUP($A1115,#REF!,13,FALSE())&lt;-2),"",#REF!),"")</f>
        <v/>
      </c>
      <c r="P1115" s="0" t="str">
        <f aca="false">IFERROR(IF(OR(HLOOKUP($A1115,#REF!,14,FALSE())&gt;2,HLOOKUP($A1115,#REF!,14,FALSE())&lt;-2),"",#REF!),"")</f>
        <v/>
      </c>
      <c r="Q1115" s="0" t="str">
        <f aca="false">IFERROR(IF(OR(HLOOKUP($A1115,#REF!,15,FALSE())&gt;2,HLOOKUP($A1115,#REF!,15,FALSE())&lt;-2),"",#REF!),"")</f>
        <v/>
      </c>
      <c r="R1115" s="0" t="str">
        <f aca="false">IFERROR(IF(OR(HLOOKUP($A1115,#REF!,16,FALSE())&gt;2,HLOOKUP($A1115,#REF!,16,FALSE())&lt;-2),"",#REF!),"")</f>
        <v/>
      </c>
      <c r="S1115" s="0" t="str">
        <f aca="false">IFERROR(IF(OR(HLOOKUP($A1115,#REF!,17,FALSE())&gt;2,HLOOKUP($A1115,#REF!,17,FALSE())&lt;-2),"",#REF!),"")</f>
        <v/>
      </c>
      <c r="T1115" s="0" t="str">
        <f aca="false">IFERROR(IF(OR(HLOOKUP($A1115,#REF!,18,FALSE())&gt;2,HLOOKUP($A1115,#REF!,18,FALSE())&lt;-2),"",#REF!),"")</f>
        <v/>
      </c>
      <c r="U1115" s="0" t="str">
        <f aca="false">IFERROR(IF(OR(HLOOKUP($A1115,#REF!,19,FALSE())&gt;2,HLOOKUP($A1115,#REF!,19,FALSE())&lt;-2),"",#REF!),"")</f>
        <v/>
      </c>
      <c r="V1115" s="0" t="n">
        <f aca="false">IFERROR(IF(AND(X1115=0,Y1115=0),0,1),0)</f>
        <v>1</v>
      </c>
      <c r="W1115" s="3" t="str">
        <f aca="false">IFERROR(_xlfn.T.TEST(E1115:M1115,N1115:U1115,2,2),"")</f>
        <v/>
      </c>
      <c r="X1115" s="0" t="str">
        <f aca="false">IFERROR(AVERAGE(E1115:M1115),"")</f>
        <v/>
      </c>
      <c r="Y1115" s="0" t="str">
        <f aca="false">IFERROR(AVERAGE(N1115:U1115),"")</f>
        <v/>
      </c>
    </row>
    <row r="1116" customFormat="false" ht="14.5" hidden="false" customHeight="false" outlineLevel="0" collapsed="false">
      <c r="A1116" s="0" t="n">
        <v>1127</v>
      </c>
      <c r="B1116" s="0" t="s">
        <v>1159</v>
      </c>
      <c r="C1116" s="0" t="n">
        <v>28200</v>
      </c>
      <c r="D1116" s="0" t="n">
        <v>541</v>
      </c>
      <c r="E1116" s="0" t="str">
        <f aca="false">IFERROR(IF(OR(HLOOKUP($A1116,#REF!,3,FALSE())&gt;2,HLOOKUP(A1116,#REF!,3,FALSE())&lt;-2),"",#REF!),"")</f>
        <v/>
      </c>
      <c r="F1116" s="0" t="str">
        <f aca="false">IFERROR(IF(OR(HLOOKUP($A1116,#REF!,4,FALSE())&gt;2,HLOOKUP($A1116,#REF!,4,FALSE())&lt;-2),"",#REF!),"")</f>
        <v/>
      </c>
      <c r="G1116" s="0" t="str">
        <f aca="false">IFERROR(IF(OR(HLOOKUP($A1116,#REF!,5,FALSE())&gt;2,HLOOKUP($A1116,#REF!,5,FALSE())&lt;-2),"",#REF!),"")</f>
        <v/>
      </c>
      <c r="H1116" s="0" t="str">
        <f aca="false">IFERROR(IF(OR(HLOOKUP($A1116,#REF!,6,FALSE())&gt;2,HLOOKUP($A1116,#REF!,6,FALSE())&lt;-2),"",#REF!),"")</f>
        <v/>
      </c>
      <c r="I1116" s="0" t="str">
        <f aca="false">IFERROR(IF(OR(HLOOKUP($A1116,#REF!,7,FALSE())&gt;2,HLOOKUP($A1116,#REF!,7,FALSE())&lt;-2),"",#REF!),"")</f>
        <v/>
      </c>
      <c r="J1116" s="0" t="str">
        <f aca="false">IFERROR(IF(OR(HLOOKUP($A1116,#REF!,8,FALSE())&gt;2,HLOOKUP($A1116,#REF!,8,FALSE())&lt;-2),"",#REF!),"")</f>
        <v/>
      </c>
      <c r="K1116" s="0" t="str">
        <f aca="false">IFERROR(IF(OR(HLOOKUP($A1116,#REF!,9,FALSE())&gt;2,HLOOKUP($A1116,#REF!,9,FALSE())&lt;-2),"",#REF!),"")</f>
        <v/>
      </c>
      <c r="L1116" s="0" t="str">
        <f aca="false">IFERROR(IF(OR(HLOOKUP($A1116,#REF!,10,FALSE())&gt;2,HLOOKUP($A1116,#REF!,10,FALSE())&lt;-2),"",#REF!),"")</f>
        <v/>
      </c>
      <c r="M1116" s="0" t="str">
        <f aca="false">IFERROR(IF(OR(HLOOKUP($A1116,#REF!,11,FALSE())&gt;2,HLOOKUP($A1116,#REF!,11,FALSE())&lt;-2),"",#REF!),"")</f>
        <v/>
      </c>
      <c r="N1116" s="0" t="str">
        <f aca="false">IFERROR(IF(OR(HLOOKUP($A1116,#REF!,12,FALSE())&gt;2,HLOOKUP($A1116,#REF!,12,FALSE())&lt;-2),"",#REF!),"")</f>
        <v/>
      </c>
      <c r="O1116" s="0" t="str">
        <f aca="false">IFERROR(IF(OR(HLOOKUP($A1116,#REF!,13,FALSE())&gt;2,HLOOKUP($A1116,#REF!,13,FALSE())&lt;-2),"",#REF!),"")</f>
        <v/>
      </c>
      <c r="P1116" s="0" t="str">
        <f aca="false">IFERROR(IF(OR(HLOOKUP($A1116,#REF!,14,FALSE())&gt;2,HLOOKUP($A1116,#REF!,14,FALSE())&lt;-2),"",#REF!),"")</f>
        <v/>
      </c>
      <c r="Q1116" s="0" t="str">
        <f aca="false">IFERROR(IF(OR(HLOOKUP($A1116,#REF!,15,FALSE())&gt;2,HLOOKUP($A1116,#REF!,15,FALSE())&lt;-2),"",#REF!),"")</f>
        <v/>
      </c>
      <c r="R1116" s="0" t="str">
        <f aca="false">IFERROR(IF(OR(HLOOKUP($A1116,#REF!,16,FALSE())&gt;2,HLOOKUP($A1116,#REF!,16,FALSE())&lt;-2),"",#REF!),"")</f>
        <v/>
      </c>
      <c r="S1116" s="0" t="str">
        <f aca="false">IFERROR(IF(OR(HLOOKUP($A1116,#REF!,17,FALSE())&gt;2,HLOOKUP($A1116,#REF!,17,FALSE())&lt;-2),"",#REF!),"")</f>
        <v/>
      </c>
      <c r="T1116" s="0" t="str">
        <f aca="false">IFERROR(IF(OR(HLOOKUP($A1116,#REF!,18,FALSE())&gt;2,HLOOKUP($A1116,#REF!,18,FALSE())&lt;-2),"",#REF!),"")</f>
        <v/>
      </c>
      <c r="U1116" s="0" t="str">
        <f aca="false">IFERROR(IF(OR(HLOOKUP($A1116,#REF!,19,FALSE())&gt;2,HLOOKUP($A1116,#REF!,19,FALSE())&lt;-2),"",#REF!),"")</f>
        <v/>
      </c>
      <c r="V1116" s="0" t="n">
        <f aca="false">IFERROR(IF(AND(X1116=0,Y1116=0),0,1),0)</f>
        <v>1</v>
      </c>
      <c r="W1116" s="3" t="str">
        <f aca="false">IFERROR(_xlfn.T.TEST(E1116:M1116,N1116:U1116,2,2),"")</f>
        <v/>
      </c>
      <c r="X1116" s="0" t="str">
        <f aca="false">IFERROR(AVERAGE(E1116:M1116),"")</f>
        <v/>
      </c>
      <c r="Y1116" s="0" t="str">
        <f aca="false">IFERROR(AVERAGE(N1116:U1116),"")</f>
        <v/>
      </c>
    </row>
    <row r="1117" customFormat="false" ht="14.5" hidden="false" customHeight="false" outlineLevel="0" collapsed="false">
      <c r="A1117" s="0" t="n">
        <v>1128</v>
      </c>
      <c r="B1117" s="0" t="s">
        <v>1160</v>
      </c>
      <c r="C1117" s="0" t="n">
        <v>5300</v>
      </c>
      <c r="D1117" s="0" t="n">
        <v>337</v>
      </c>
      <c r="E1117" s="0" t="str">
        <f aca="false">IFERROR(IF(OR(HLOOKUP($A1117,#REF!,3,FALSE())&gt;2,HLOOKUP(A1117,#REF!,3,FALSE())&lt;-2),"",#REF!),"")</f>
        <v/>
      </c>
      <c r="F1117" s="0" t="str">
        <f aca="false">IFERROR(IF(OR(HLOOKUP($A1117,#REF!,4,FALSE())&gt;2,HLOOKUP($A1117,#REF!,4,FALSE())&lt;-2),"",#REF!),"")</f>
        <v/>
      </c>
      <c r="G1117" s="0" t="str">
        <f aca="false">IFERROR(IF(OR(HLOOKUP($A1117,#REF!,5,FALSE())&gt;2,HLOOKUP($A1117,#REF!,5,FALSE())&lt;-2),"",#REF!),"")</f>
        <v/>
      </c>
      <c r="H1117" s="0" t="str">
        <f aca="false">IFERROR(IF(OR(HLOOKUP($A1117,#REF!,6,FALSE())&gt;2,HLOOKUP($A1117,#REF!,6,FALSE())&lt;-2),"",#REF!),"")</f>
        <v/>
      </c>
      <c r="I1117" s="0" t="str">
        <f aca="false">IFERROR(IF(OR(HLOOKUP($A1117,#REF!,7,FALSE())&gt;2,HLOOKUP($A1117,#REF!,7,FALSE())&lt;-2),"",#REF!),"")</f>
        <v/>
      </c>
      <c r="J1117" s="0" t="str">
        <f aca="false">IFERROR(IF(OR(HLOOKUP($A1117,#REF!,8,FALSE())&gt;2,HLOOKUP($A1117,#REF!,8,FALSE())&lt;-2),"",#REF!),"")</f>
        <v/>
      </c>
      <c r="K1117" s="0" t="str">
        <f aca="false">IFERROR(IF(OR(HLOOKUP($A1117,#REF!,9,FALSE())&gt;2,HLOOKUP($A1117,#REF!,9,FALSE())&lt;-2),"",#REF!),"")</f>
        <v/>
      </c>
      <c r="L1117" s="0" t="str">
        <f aca="false">IFERROR(IF(OR(HLOOKUP($A1117,#REF!,10,FALSE())&gt;2,HLOOKUP($A1117,#REF!,10,FALSE())&lt;-2),"",#REF!),"")</f>
        <v/>
      </c>
      <c r="M1117" s="0" t="str">
        <f aca="false">IFERROR(IF(OR(HLOOKUP($A1117,#REF!,11,FALSE())&gt;2,HLOOKUP($A1117,#REF!,11,FALSE())&lt;-2),"",#REF!),"")</f>
        <v/>
      </c>
      <c r="N1117" s="0" t="str">
        <f aca="false">IFERROR(IF(OR(HLOOKUP($A1117,#REF!,12,FALSE())&gt;2,HLOOKUP($A1117,#REF!,12,FALSE())&lt;-2),"",#REF!),"")</f>
        <v/>
      </c>
      <c r="O1117" s="0" t="str">
        <f aca="false">IFERROR(IF(OR(HLOOKUP($A1117,#REF!,13,FALSE())&gt;2,HLOOKUP($A1117,#REF!,13,FALSE())&lt;-2),"",#REF!),"")</f>
        <v/>
      </c>
      <c r="P1117" s="0" t="str">
        <f aca="false">IFERROR(IF(OR(HLOOKUP($A1117,#REF!,14,FALSE())&gt;2,HLOOKUP($A1117,#REF!,14,FALSE())&lt;-2),"",#REF!),"")</f>
        <v/>
      </c>
      <c r="Q1117" s="0" t="str">
        <f aca="false">IFERROR(IF(OR(HLOOKUP($A1117,#REF!,15,FALSE())&gt;2,HLOOKUP($A1117,#REF!,15,FALSE())&lt;-2),"",#REF!),"")</f>
        <v/>
      </c>
      <c r="R1117" s="0" t="str">
        <f aca="false">IFERROR(IF(OR(HLOOKUP($A1117,#REF!,16,FALSE())&gt;2,HLOOKUP($A1117,#REF!,16,FALSE())&lt;-2),"",#REF!),"")</f>
        <v/>
      </c>
      <c r="S1117" s="0" t="str">
        <f aca="false">IFERROR(IF(OR(HLOOKUP($A1117,#REF!,17,FALSE())&gt;2,HLOOKUP($A1117,#REF!,17,FALSE())&lt;-2),"",#REF!),"")</f>
        <v/>
      </c>
      <c r="T1117" s="0" t="str">
        <f aca="false">IFERROR(IF(OR(HLOOKUP($A1117,#REF!,18,FALSE())&gt;2,HLOOKUP($A1117,#REF!,18,FALSE())&lt;-2),"",#REF!),"")</f>
        <v/>
      </c>
      <c r="U1117" s="0" t="str">
        <f aca="false">IFERROR(IF(OR(HLOOKUP($A1117,#REF!,19,FALSE())&gt;2,HLOOKUP($A1117,#REF!,19,FALSE())&lt;-2),"",#REF!),"")</f>
        <v/>
      </c>
      <c r="V1117" s="0" t="n">
        <f aca="false">IFERROR(IF(AND(X1117=0,Y1117=0),0,1),0)</f>
        <v>1</v>
      </c>
      <c r="W1117" s="3" t="str">
        <f aca="false">IFERROR(_xlfn.T.TEST(E1117:M1117,N1117:U1117,2,2),"")</f>
        <v/>
      </c>
      <c r="X1117" s="0" t="str">
        <f aca="false">IFERROR(AVERAGE(E1117:M1117),"")</f>
        <v/>
      </c>
      <c r="Y1117" s="0" t="str">
        <f aca="false">IFERROR(AVERAGE(N1117:U1117),"")</f>
        <v/>
      </c>
    </row>
    <row r="1118" customFormat="false" ht="14.5" hidden="false" customHeight="false" outlineLevel="0" collapsed="false">
      <c r="A1118" s="0" t="n">
        <v>1129</v>
      </c>
      <c r="B1118" s="0" t="s">
        <v>1161</v>
      </c>
      <c r="C1118" s="0" t="n">
        <v>63400</v>
      </c>
      <c r="D1118" s="0" t="n">
        <v>343</v>
      </c>
      <c r="E1118" s="0" t="str">
        <f aca="false">IFERROR(IF(OR(HLOOKUP($A1118,#REF!,3,FALSE())&gt;2,HLOOKUP(A1118,#REF!,3,FALSE())&lt;-2),"",#REF!),"")</f>
        <v/>
      </c>
      <c r="F1118" s="0" t="str">
        <f aca="false">IFERROR(IF(OR(HLOOKUP($A1118,#REF!,4,FALSE())&gt;2,HLOOKUP($A1118,#REF!,4,FALSE())&lt;-2),"",#REF!),"")</f>
        <v/>
      </c>
      <c r="G1118" s="0" t="str">
        <f aca="false">IFERROR(IF(OR(HLOOKUP($A1118,#REF!,5,FALSE())&gt;2,HLOOKUP($A1118,#REF!,5,FALSE())&lt;-2),"",#REF!),"")</f>
        <v/>
      </c>
      <c r="H1118" s="0" t="str">
        <f aca="false">IFERROR(IF(OR(HLOOKUP($A1118,#REF!,6,FALSE())&gt;2,HLOOKUP($A1118,#REF!,6,FALSE())&lt;-2),"",#REF!),"")</f>
        <v/>
      </c>
      <c r="I1118" s="0" t="str">
        <f aca="false">IFERROR(IF(OR(HLOOKUP($A1118,#REF!,7,FALSE())&gt;2,HLOOKUP($A1118,#REF!,7,FALSE())&lt;-2),"",#REF!),"")</f>
        <v/>
      </c>
      <c r="J1118" s="0" t="str">
        <f aca="false">IFERROR(IF(OR(HLOOKUP($A1118,#REF!,8,FALSE())&gt;2,HLOOKUP($A1118,#REF!,8,FALSE())&lt;-2),"",#REF!),"")</f>
        <v/>
      </c>
      <c r="K1118" s="0" t="str">
        <f aca="false">IFERROR(IF(OR(HLOOKUP($A1118,#REF!,9,FALSE())&gt;2,HLOOKUP($A1118,#REF!,9,FALSE())&lt;-2),"",#REF!),"")</f>
        <v/>
      </c>
      <c r="L1118" s="0" t="str">
        <f aca="false">IFERROR(IF(OR(HLOOKUP($A1118,#REF!,10,FALSE())&gt;2,HLOOKUP($A1118,#REF!,10,FALSE())&lt;-2),"",#REF!),"")</f>
        <v/>
      </c>
      <c r="M1118" s="0" t="str">
        <f aca="false">IFERROR(IF(OR(HLOOKUP($A1118,#REF!,11,FALSE())&gt;2,HLOOKUP($A1118,#REF!,11,FALSE())&lt;-2),"",#REF!),"")</f>
        <v/>
      </c>
      <c r="N1118" s="0" t="str">
        <f aca="false">IFERROR(IF(OR(HLOOKUP($A1118,#REF!,12,FALSE())&gt;2,HLOOKUP($A1118,#REF!,12,FALSE())&lt;-2),"",#REF!),"")</f>
        <v/>
      </c>
      <c r="O1118" s="0" t="str">
        <f aca="false">IFERROR(IF(OR(HLOOKUP($A1118,#REF!,13,FALSE())&gt;2,HLOOKUP($A1118,#REF!,13,FALSE())&lt;-2),"",#REF!),"")</f>
        <v/>
      </c>
      <c r="P1118" s="0" t="str">
        <f aca="false">IFERROR(IF(OR(HLOOKUP($A1118,#REF!,14,FALSE())&gt;2,HLOOKUP($A1118,#REF!,14,FALSE())&lt;-2),"",#REF!),"")</f>
        <v/>
      </c>
      <c r="Q1118" s="0" t="str">
        <f aca="false">IFERROR(IF(OR(HLOOKUP($A1118,#REF!,15,FALSE())&gt;2,HLOOKUP($A1118,#REF!,15,FALSE())&lt;-2),"",#REF!),"")</f>
        <v/>
      </c>
      <c r="R1118" s="0" t="str">
        <f aca="false">IFERROR(IF(OR(HLOOKUP($A1118,#REF!,16,FALSE())&gt;2,HLOOKUP($A1118,#REF!,16,FALSE())&lt;-2),"",#REF!),"")</f>
        <v/>
      </c>
      <c r="S1118" s="0" t="str">
        <f aca="false">IFERROR(IF(OR(HLOOKUP($A1118,#REF!,17,FALSE())&gt;2,HLOOKUP($A1118,#REF!,17,FALSE())&lt;-2),"",#REF!),"")</f>
        <v/>
      </c>
      <c r="T1118" s="0" t="str">
        <f aca="false">IFERROR(IF(OR(HLOOKUP($A1118,#REF!,18,FALSE())&gt;2,HLOOKUP($A1118,#REF!,18,FALSE())&lt;-2),"",#REF!),"")</f>
        <v/>
      </c>
      <c r="U1118" s="0" t="str">
        <f aca="false">IFERROR(IF(OR(HLOOKUP($A1118,#REF!,19,FALSE())&gt;2,HLOOKUP($A1118,#REF!,19,FALSE())&lt;-2),"",#REF!),"")</f>
        <v/>
      </c>
      <c r="V1118" s="0" t="n">
        <f aca="false">IFERROR(IF(AND(X1118=0,Y1118=0),0,1),0)</f>
        <v>1</v>
      </c>
      <c r="W1118" s="3" t="str">
        <f aca="false">IFERROR(_xlfn.T.TEST(E1118:M1118,N1118:U1118,2,2),"")</f>
        <v/>
      </c>
      <c r="X1118" s="0" t="str">
        <f aca="false">IFERROR(AVERAGE(E1118:M1118),"")</f>
        <v/>
      </c>
      <c r="Y1118" s="0" t="str">
        <f aca="false">IFERROR(AVERAGE(N1118:U1118),"")</f>
        <v/>
      </c>
    </row>
    <row r="1119" customFormat="false" ht="14.5" hidden="false" customHeight="false" outlineLevel="0" collapsed="false">
      <c r="A1119" s="0" t="n">
        <v>1131</v>
      </c>
      <c r="B1119" s="0" t="s">
        <v>1162</v>
      </c>
      <c r="C1119" s="0" t="n">
        <v>100200</v>
      </c>
      <c r="D1119" s="0" t="n">
        <v>798</v>
      </c>
      <c r="E1119" s="0" t="str">
        <f aca="false">IFERROR(IF(OR(HLOOKUP($A1119,#REF!,3,FALSE())&gt;2,HLOOKUP(A1119,#REF!,3,FALSE())&lt;-2),"",#REF!),"")</f>
        <v/>
      </c>
      <c r="F1119" s="0" t="str">
        <f aca="false">IFERROR(IF(OR(HLOOKUP($A1119,#REF!,4,FALSE())&gt;2,HLOOKUP($A1119,#REF!,4,FALSE())&lt;-2),"",#REF!),"")</f>
        <v/>
      </c>
      <c r="G1119" s="0" t="str">
        <f aca="false">IFERROR(IF(OR(HLOOKUP($A1119,#REF!,5,FALSE())&gt;2,HLOOKUP($A1119,#REF!,5,FALSE())&lt;-2),"",#REF!),"")</f>
        <v/>
      </c>
      <c r="H1119" s="0" t="str">
        <f aca="false">IFERROR(IF(OR(HLOOKUP($A1119,#REF!,6,FALSE())&gt;2,HLOOKUP($A1119,#REF!,6,FALSE())&lt;-2),"",#REF!),"")</f>
        <v/>
      </c>
      <c r="I1119" s="0" t="str">
        <f aca="false">IFERROR(IF(OR(HLOOKUP($A1119,#REF!,7,FALSE())&gt;2,HLOOKUP($A1119,#REF!,7,FALSE())&lt;-2),"",#REF!),"")</f>
        <v/>
      </c>
      <c r="J1119" s="0" t="str">
        <f aca="false">IFERROR(IF(OR(HLOOKUP($A1119,#REF!,8,FALSE())&gt;2,HLOOKUP($A1119,#REF!,8,FALSE())&lt;-2),"",#REF!),"")</f>
        <v/>
      </c>
      <c r="K1119" s="0" t="str">
        <f aca="false">IFERROR(IF(OR(HLOOKUP($A1119,#REF!,9,FALSE())&gt;2,HLOOKUP($A1119,#REF!,9,FALSE())&lt;-2),"",#REF!),"")</f>
        <v/>
      </c>
      <c r="L1119" s="0" t="str">
        <f aca="false">IFERROR(IF(OR(HLOOKUP($A1119,#REF!,10,FALSE())&gt;2,HLOOKUP($A1119,#REF!,10,FALSE())&lt;-2),"",#REF!),"")</f>
        <v/>
      </c>
      <c r="M1119" s="0" t="str">
        <f aca="false">IFERROR(IF(OR(HLOOKUP($A1119,#REF!,11,FALSE())&gt;2,HLOOKUP($A1119,#REF!,11,FALSE())&lt;-2),"",#REF!),"")</f>
        <v/>
      </c>
      <c r="N1119" s="0" t="str">
        <f aca="false">IFERROR(IF(OR(HLOOKUP($A1119,#REF!,12,FALSE())&gt;2,HLOOKUP($A1119,#REF!,12,FALSE())&lt;-2),"",#REF!),"")</f>
        <v/>
      </c>
      <c r="O1119" s="0" t="str">
        <f aca="false">IFERROR(IF(OR(HLOOKUP($A1119,#REF!,13,FALSE())&gt;2,HLOOKUP($A1119,#REF!,13,FALSE())&lt;-2),"",#REF!),"")</f>
        <v/>
      </c>
      <c r="P1119" s="0" t="str">
        <f aca="false">IFERROR(IF(OR(HLOOKUP($A1119,#REF!,14,FALSE())&gt;2,HLOOKUP($A1119,#REF!,14,FALSE())&lt;-2),"",#REF!),"")</f>
        <v/>
      </c>
      <c r="Q1119" s="0" t="str">
        <f aca="false">IFERROR(IF(OR(HLOOKUP($A1119,#REF!,15,FALSE())&gt;2,HLOOKUP($A1119,#REF!,15,FALSE())&lt;-2),"",#REF!),"")</f>
        <v/>
      </c>
      <c r="R1119" s="0" t="str">
        <f aca="false">IFERROR(IF(OR(HLOOKUP($A1119,#REF!,16,FALSE())&gt;2,HLOOKUP($A1119,#REF!,16,FALSE())&lt;-2),"",#REF!),"")</f>
        <v/>
      </c>
      <c r="S1119" s="0" t="str">
        <f aca="false">IFERROR(IF(OR(HLOOKUP($A1119,#REF!,17,FALSE())&gt;2,HLOOKUP($A1119,#REF!,17,FALSE())&lt;-2),"",#REF!),"")</f>
        <v/>
      </c>
      <c r="T1119" s="0" t="str">
        <f aca="false">IFERROR(IF(OR(HLOOKUP($A1119,#REF!,18,FALSE())&gt;2,HLOOKUP($A1119,#REF!,18,FALSE())&lt;-2),"",#REF!),"")</f>
        <v/>
      </c>
      <c r="U1119" s="0" t="str">
        <f aca="false">IFERROR(IF(OR(HLOOKUP($A1119,#REF!,19,FALSE())&gt;2,HLOOKUP($A1119,#REF!,19,FALSE())&lt;-2),"",#REF!),"")</f>
        <v/>
      </c>
      <c r="V1119" s="0" t="n">
        <f aca="false">IFERROR(IF(AND(X1119=0,Y1119=0),0,1),0)</f>
        <v>1</v>
      </c>
      <c r="W1119" s="3" t="str">
        <f aca="false">IFERROR(_xlfn.T.TEST(E1119:M1119,N1119:U1119,2,2),"")</f>
        <v/>
      </c>
      <c r="X1119" s="0" t="str">
        <f aca="false">IFERROR(AVERAGE(E1119:M1119),"")</f>
        <v/>
      </c>
      <c r="Y1119" s="0" t="str">
        <f aca="false">IFERROR(AVERAGE(N1119:U1119),"")</f>
        <v/>
      </c>
    </row>
    <row r="1120" customFormat="false" ht="14.5" hidden="false" customHeight="false" outlineLevel="0" collapsed="false">
      <c r="A1120" s="0" t="n">
        <v>1132</v>
      </c>
      <c r="B1120" s="0" t="s">
        <v>1163</v>
      </c>
      <c r="C1120" s="0" t="n">
        <v>84800</v>
      </c>
      <c r="D1120" s="0" t="n">
        <v>771</v>
      </c>
      <c r="E1120" s="0" t="str">
        <f aca="false">IFERROR(IF(OR(HLOOKUP($A1120,#REF!,3,FALSE())&gt;2,HLOOKUP(A1120,#REF!,3,FALSE())&lt;-2),"",#REF!),"")</f>
        <v/>
      </c>
      <c r="F1120" s="0" t="str">
        <f aca="false">IFERROR(IF(OR(HLOOKUP($A1120,#REF!,4,FALSE())&gt;2,HLOOKUP($A1120,#REF!,4,FALSE())&lt;-2),"",#REF!),"")</f>
        <v/>
      </c>
      <c r="G1120" s="0" t="str">
        <f aca="false">IFERROR(IF(OR(HLOOKUP($A1120,#REF!,5,FALSE())&gt;2,HLOOKUP($A1120,#REF!,5,FALSE())&lt;-2),"",#REF!),"")</f>
        <v/>
      </c>
      <c r="H1120" s="0" t="str">
        <f aca="false">IFERROR(IF(OR(HLOOKUP($A1120,#REF!,6,FALSE())&gt;2,HLOOKUP($A1120,#REF!,6,FALSE())&lt;-2),"",#REF!),"")</f>
        <v/>
      </c>
      <c r="I1120" s="0" t="str">
        <f aca="false">IFERROR(IF(OR(HLOOKUP($A1120,#REF!,7,FALSE())&gt;2,HLOOKUP($A1120,#REF!,7,FALSE())&lt;-2),"",#REF!),"")</f>
        <v/>
      </c>
      <c r="J1120" s="0" t="str">
        <f aca="false">IFERROR(IF(OR(HLOOKUP($A1120,#REF!,8,FALSE())&gt;2,HLOOKUP($A1120,#REF!,8,FALSE())&lt;-2),"",#REF!),"")</f>
        <v/>
      </c>
      <c r="K1120" s="0" t="str">
        <f aca="false">IFERROR(IF(OR(HLOOKUP($A1120,#REF!,9,FALSE())&gt;2,HLOOKUP($A1120,#REF!,9,FALSE())&lt;-2),"",#REF!),"")</f>
        <v/>
      </c>
      <c r="L1120" s="0" t="str">
        <f aca="false">IFERROR(IF(OR(HLOOKUP($A1120,#REF!,10,FALSE())&gt;2,HLOOKUP($A1120,#REF!,10,FALSE())&lt;-2),"",#REF!),"")</f>
        <v/>
      </c>
      <c r="M1120" s="0" t="str">
        <f aca="false">IFERROR(IF(OR(HLOOKUP($A1120,#REF!,11,FALSE())&gt;2,HLOOKUP($A1120,#REF!,11,FALSE())&lt;-2),"",#REF!),"")</f>
        <v/>
      </c>
      <c r="N1120" s="0" t="str">
        <f aca="false">IFERROR(IF(OR(HLOOKUP($A1120,#REF!,12,FALSE())&gt;2,HLOOKUP($A1120,#REF!,12,FALSE())&lt;-2),"",#REF!),"")</f>
        <v/>
      </c>
      <c r="O1120" s="0" t="str">
        <f aca="false">IFERROR(IF(OR(HLOOKUP($A1120,#REF!,13,FALSE())&gt;2,HLOOKUP($A1120,#REF!,13,FALSE())&lt;-2),"",#REF!),"")</f>
        <v/>
      </c>
      <c r="P1120" s="0" t="str">
        <f aca="false">IFERROR(IF(OR(HLOOKUP($A1120,#REF!,14,FALSE())&gt;2,HLOOKUP($A1120,#REF!,14,FALSE())&lt;-2),"",#REF!),"")</f>
        <v/>
      </c>
      <c r="Q1120" s="0" t="str">
        <f aca="false">IFERROR(IF(OR(HLOOKUP($A1120,#REF!,15,FALSE())&gt;2,HLOOKUP($A1120,#REF!,15,FALSE())&lt;-2),"",#REF!),"")</f>
        <v/>
      </c>
      <c r="R1120" s="0" t="str">
        <f aca="false">IFERROR(IF(OR(HLOOKUP($A1120,#REF!,16,FALSE())&gt;2,HLOOKUP($A1120,#REF!,16,FALSE())&lt;-2),"",#REF!),"")</f>
        <v/>
      </c>
      <c r="S1120" s="0" t="str">
        <f aca="false">IFERROR(IF(OR(HLOOKUP($A1120,#REF!,17,FALSE())&gt;2,HLOOKUP($A1120,#REF!,17,FALSE())&lt;-2),"",#REF!),"")</f>
        <v/>
      </c>
      <c r="T1120" s="0" t="str">
        <f aca="false">IFERROR(IF(OR(HLOOKUP($A1120,#REF!,18,FALSE())&gt;2,HLOOKUP($A1120,#REF!,18,FALSE())&lt;-2),"",#REF!),"")</f>
        <v/>
      </c>
      <c r="U1120" s="0" t="str">
        <f aca="false">IFERROR(IF(OR(HLOOKUP($A1120,#REF!,19,FALSE())&gt;2,HLOOKUP($A1120,#REF!,19,FALSE())&lt;-2),"",#REF!),"")</f>
        <v/>
      </c>
      <c r="V1120" s="0" t="n">
        <f aca="false">IFERROR(IF(AND(X1120=0,Y1120=0),0,1),0)</f>
        <v>1</v>
      </c>
      <c r="W1120" s="3" t="str">
        <f aca="false">IFERROR(_xlfn.T.TEST(E1120:M1120,N1120:U1120,2,2),"")</f>
        <v/>
      </c>
      <c r="X1120" s="0" t="str">
        <f aca="false">IFERROR(AVERAGE(E1120:M1120),"")</f>
        <v/>
      </c>
      <c r="Y1120" s="0" t="str">
        <f aca="false">IFERROR(AVERAGE(N1120:U1120),"")</f>
        <v/>
      </c>
    </row>
    <row r="1121" customFormat="false" ht="14.5" hidden="false" customHeight="false" outlineLevel="0" collapsed="false">
      <c r="A1121" s="0" t="n">
        <v>1133</v>
      </c>
      <c r="B1121" s="0" t="s">
        <v>1164</v>
      </c>
      <c r="C1121" s="0" t="n">
        <v>44200</v>
      </c>
      <c r="D1121" s="0" t="n">
        <v>934</v>
      </c>
      <c r="E1121" s="0" t="str">
        <f aca="false">IFERROR(IF(OR(HLOOKUP($A1121,#REF!,3,FALSE())&gt;2,HLOOKUP(A1121,#REF!,3,FALSE())&lt;-2),"",#REF!),"")</f>
        <v/>
      </c>
      <c r="F1121" s="0" t="str">
        <f aca="false">IFERROR(IF(OR(HLOOKUP($A1121,#REF!,4,FALSE())&gt;2,HLOOKUP($A1121,#REF!,4,FALSE())&lt;-2),"",#REF!),"")</f>
        <v/>
      </c>
      <c r="G1121" s="0" t="str">
        <f aca="false">IFERROR(IF(OR(HLOOKUP($A1121,#REF!,5,FALSE())&gt;2,HLOOKUP($A1121,#REF!,5,FALSE())&lt;-2),"",#REF!),"")</f>
        <v/>
      </c>
      <c r="H1121" s="0" t="str">
        <f aca="false">IFERROR(IF(OR(HLOOKUP($A1121,#REF!,6,FALSE())&gt;2,HLOOKUP($A1121,#REF!,6,FALSE())&lt;-2),"",#REF!),"")</f>
        <v/>
      </c>
      <c r="I1121" s="0" t="str">
        <f aca="false">IFERROR(IF(OR(HLOOKUP($A1121,#REF!,7,FALSE())&gt;2,HLOOKUP($A1121,#REF!,7,FALSE())&lt;-2),"",#REF!),"")</f>
        <v/>
      </c>
      <c r="J1121" s="0" t="str">
        <f aca="false">IFERROR(IF(OR(HLOOKUP($A1121,#REF!,8,FALSE())&gt;2,HLOOKUP($A1121,#REF!,8,FALSE())&lt;-2),"",#REF!),"")</f>
        <v/>
      </c>
      <c r="K1121" s="0" t="str">
        <f aca="false">IFERROR(IF(OR(HLOOKUP($A1121,#REF!,9,FALSE())&gt;2,HLOOKUP($A1121,#REF!,9,FALSE())&lt;-2),"",#REF!),"")</f>
        <v/>
      </c>
      <c r="L1121" s="0" t="str">
        <f aca="false">IFERROR(IF(OR(HLOOKUP($A1121,#REF!,10,FALSE())&gt;2,HLOOKUP($A1121,#REF!,10,FALSE())&lt;-2),"",#REF!),"")</f>
        <v/>
      </c>
      <c r="M1121" s="0" t="str">
        <f aca="false">IFERROR(IF(OR(HLOOKUP($A1121,#REF!,11,FALSE())&gt;2,HLOOKUP($A1121,#REF!,11,FALSE())&lt;-2),"",#REF!),"")</f>
        <v/>
      </c>
      <c r="N1121" s="0" t="str">
        <f aca="false">IFERROR(IF(OR(HLOOKUP($A1121,#REF!,12,FALSE())&gt;2,HLOOKUP($A1121,#REF!,12,FALSE())&lt;-2),"",#REF!),"")</f>
        <v/>
      </c>
      <c r="O1121" s="0" t="str">
        <f aca="false">IFERROR(IF(OR(HLOOKUP($A1121,#REF!,13,FALSE())&gt;2,HLOOKUP($A1121,#REF!,13,FALSE())&lt;-2),"",#REF!),"")</f>
        <v/>
      </c>
      <c r="P1121" s="0" t="str">
        <f aca="false">IFERROR(IF(OR(HLOOKUP($A1121,#REF!,14,FALSE())&gt;2,HLOOKUP($A1121,#REF!,14,FALSE())&lt;-2),"",#REF!),"")</f>
        <v/>
      </c>
      <c r="Q1121" s="0" t="str">
        <f aca="false">IFERROR(IF(OR(HLOOKUP($A1121,#REF!,15,FALSE())&gt;2,HLOOKUP($A1121,#REF!,15,FALSE())&lt;-2),"",#REF!),"")</f>
        <v/>
      </c>
      <c r="R1121" s="0" t="str">
        <f aca="false">IFERROR(IF(OR(HLOOKUP($A1121,#REF!,16,FALSE())&gt;2,HLOOKUP($A1121,#REF!,16,FALSE())&lt;-2),"",#REF!),"")</f>
        <v/>
      </c>
      <c r="S1121" s="0" t="str">
        <f aca="false">IFERROR(IF(OR(HLOOKUP($A1121,#REF!,17,FALSE())&gt;2,HLOOKUP($A1121,#REF!,17,FALSE())&lt;-2),"",#REF!),"")</f>
        <v/>
      </c>
      <c r="T1121" s="0" t="str">
        <f aca="false">IFERROR(IF(OR(HLOOKUP($A1121,#REF!,18,FALSE())&gt;2,HLOOKUP($A1121,#REF!,18,FALSE())&lt;-2),"",#REF!),"")</f>
        <v/>
      </c>
      <c r="U1121" s="0" t="str">
        <f aca="false">IFERROR(IF(OR(HLOOKUP($A1121,#REF!,19,FALSE())&gt;2,HLOOKUP($A1121,#REF!,19,FALSE())&lt;-2),"",#REF!),"")</f>
        <v/>
      </c>
      <c r="V1121" s="0" t="n">
        <f aca="false">IFERROR(IF(AND(X1121=0,Y1121=0),0,1),0)</f>
        <v>1</v>
      </c>
      <c r="W1121" s="3" t="str">
        <f aca="false">IFERROR(_xlfn.T.TEST(E1121:M1121,N1121:U1121,2,2),"")</f>
        <v/>
      </c>
      <c r="X1121" s="0" t="str">
        <f aca="false">IFERROR(AVERAGE(E1121:M1121),"")</f>
        <v/>
      </c>
      <c r="Y1121" s="0" t="str">
        <f aca="false">IFERROR(AVERAGE(N1121:U1121),"")</f>
        <v/>
      </c>
    </row>
    <row r="1122" customFormat="false" ht="14.5" hidden="false" customHeight="false" outlineLevel="0" collapsed="false">
      <c r="A1122" s="0" t="n">
        <v>1139</v>
      </c>
      <c r="B1122" s="0" t="s">
        <v>1165</v>
      </c>
      <c r="C1122" s="0" t="n">
        <v>34500</v>
      </c>
      <c r="D1122" s="0" t="n">
        <v>619</v>
      </c>
      <c r="E1122" s="0" t="str">
        <f aca="false">IFERROR(IF(OR(HLOOKUP($A1122,#REF!,3,FALSE())&gt;2,HLOOKUP(A1122,#REF!,3,FALSE())&lt;-2),"",#REF!),"")</f>
        <v/>
      </c>
      <c r="F1122" s="0" t="str">
        <f aca="false">IFERROR(IF(OR(HLOOKUP($A1122,#REF!,4,FALSE())&gt;2,HLOOKUP($A1122,#REF!,4,FALSE())&lt;-2),"",#REF!),"")</f>
        <v/>
      </c>
      <c r="G1122" s="0" t="str">
        <f aca="false">IFERROR(IF(OR(HLOOKUP($A1122,#REF!,5,FALSE())&gt;2,HLOOKUP($A1122,#REF!,5,FALSE())&lt;-2),"",#REF!),"")</f>
        <v/>
      </c>
      <c r="H1122" s="0" t="str">
        <f aca="false">IFERROR(IF(OR(HLOOKUP($A1122,#REF!,6,FALSE())&gt;2,HLOOKUP($A1122,#REF!,6,FALSE())&lt;-2),"",#REF!),"")</f>
        <v/>
      </c>
      <c r="I1122" s="0" t="str">
        <f aca="false">IFERROR(IF(OR(HLOOKUP($A1122,#REF!,7,FALSE())&gt;2,HLOOKUP($A1122,#REF!,7,FALSE())&lt;-2),"",#REF!),"")</f>
        <v/>
      </c>
      <c r="J1122" s="0" t="str">
        <f aca="false">IFERROR(IF(OR(HLOOKUP($A1122,#REF!,8,FALSE())&gt;2,HLOOKUP($A1122,#REF!,8,FALSE())&lt;-2),"",#REF!),"")</f>
        <v/>
      </c>
      <c r="K1122" s="0" t="str">
        <f aca="false">IFERROR(IF(OR(HLOOKUP($A1122,#REF!,9,FALSE())&gt;2,HLOOKUP($A1122,#REF!,9,FALSE())&lt;-2),"",#REF!),"")</f>
        <v/>
      </c>
      <c r="L1122" s="0" t="str">
        <f aca="false">IFERROR(IF(OR(HLOOKUP($A1122,#REF!,10,FALSE())&gt;2,HLOOKUP($A1122,#REF!,10,FALSE())&lt;-2),"",#REF!),"")</f>
        <v/>
      </c>
      <c r="M1122" s="0" t="str">
        <f aca="false">IFERROR(IF(OR(HLOOKUP($A1122,#REF!,11,FALSE())&gt;2,HLOOKUP($A1122,#REF!,11,FALSE())&lt;-2),"",#REF!),"")</f>
        <v/>
      </c>
      <c r="N1122" s="0" t="str">
        <f aca="false">IFERROR(IF(OR(HLOOKUP($A1122,#REF!,12,FALSE())&gt;2,HLOOKUP($A1122,#REF!,12,FALSE())&lt;-2),"",#REF!),"")</f>
        <v/>
      </c>
      <c r="O1122" s="0" t="str">
        <f aca="false">IFERROR(IF(OR(HLOOKUP($A1122,#REF!,13,FALSE())&gt;2,HLOOKUP($A1122,#REF!,13,FALSE())&lt;-2),"",#REF!),"")</f>
        <v/>
      </c>
      <c r="P1122" s="0" t="str">
        <f aca="false">IFERROR(IF(OR(HLOOKUP($A1122,#REF!,14,FALSE())&gt;2,HLOOKUP($A1122,#REF!,14,FALSE())&lt;-2),"",#REF!),"")</f>
        <v/>
      </c>
      <c r="Q1122" s="0" t="str">
        <f aca="false">IFERROR(IF(OR(HLOOKUP($A1122,#REF!,15,FALSE())&gt;2,HLOOKUP($A1122,#REF!,15,FALSE())&lt;-2),"",#REF!),"")</f>
        <v/>
      </c>
      <c r="R1122" s="0" t="str">
        <f aca="false">IFERROR(IF(OR(HLOOKUP($A1122,#REF!,16,FALSE())&gt;2,HLOOKUP($A1122,#REF!,16,FALSE())&lt;-2),"",#REF!),"")</f>
        <v/>
      </c>
      <c r="S1122" s="0" t="str">
        <f aca="false">IFERROR(IF(OR(HLOOKUP($A1122,#REF!,17,FALSE())&gt;2,HLOOKUP($A1122,#REF!,17,FALSE())&lt;-2),"",#REF!),"")</f>
        <v/>
      </c>
      <c r="T1122" s="0" t="str">
        <f aca="false">IFERROR(IF(OR(HLOOKUP($A1122,#REF!,18,FALSE())&gt;2,HLOOKUP($A1122,#REF!,18,FALSE())&lt;-2),"",#REF!),"")</f>
        <v/>
      </c>
      <c r="U1122" s="0" t="str">
        <f aca="false">IFERROR(IF(OR(HLOOKUP($A1122,#REF!,19,FALSE())&gt;2,HLOOKUP($A1122,#REF!,19,FALSE())&lt;-2),"",#REF!),"")</f>
        <v/>
      </c>
      <c r="V1122" s="0" t="n">
        <f aca="false">IFERROR(IF(AND(X1122=0,Y1122=0),0,1),0)</f>
        <v>1</v>
      </c>
      <c r="W1122" s="3" t="str">
        <f aca="false">IFERROR(_xlfn.T.TEST(E1122:M1122,N1122:U1122,2,2),"")</f>
        <v/>
      </c>
      <c r="X1122" s="0" t="str">
        <f aca="false">IFERROR(AVERAGE(E1122:M1122),"")</f>
        <v/>
      </c>
      <c r="Y1122" s="0" t="str">
        <f aca="false">IFERROR(AVERAGE(N1122:U1122),"")</f>
        <v/>
      </c>
    </row>
    <row r="1123" customFormat="false" ht="14.5" hidden="false" customHeight="false" outlineLevel="0" collapsed="false">
      <c r="A1123" s="0" t="n">
        <v>1140</v>
      </c>
      <c r="B1123" s="0" t="s">
        <v>1166</v>
      </c>
      <c r="C1123" s="0" t="n">
        <v>37100</v>
      </c>
      <c r="D1123" s="0" t="n">
        <v>566</v>
      </c>
      <c r="E1123" s="0" t="str">
        <f aca="false">IFERROR(IF(OR(HLOOKUP($A1123,#REF!,3,FALSE())&gt;2,HLOOKUP(A1123,#REF!,3,FALSE())&lt;-2),"",#REF!),"")</f>
        <v/>
      </c>
      <c r="F1123" s="0" t="str">
        <f aca="false">IFERROR(IF(OR(HLOOKUP($A1123,#REF!,4,FALSE())&gt;2,HLOOKUP($A1123,#REF!,4,FALSE())&lt;-2),"",#REF!),"")</f>
        <v/>
      </c>
      <c r="G1123" s="0" t="str">
        <f aca="false">IFERROR(IF(OR(HLOOKUP($A1123,#REF!,5,FALSE())&gt;2,HLOOKUP($A1123,#REF!,5,FALSE())&lt;-2),"",#REF!),"")</f>
        <v/>
      </c>
      <c r="H1123" s="0" t="str">
        <f aca="false">IFERROR(IF(OR(HLOOKUP($A1123,#REF!,6,FALSE())&gt;2,HLOOKUP($A1123,#REF!,6,FALSE())&lt;-2),"",#REF!),"")</f>
        <v/>
      </c>
      <c r="I1123" s="0" t="str">
        <f aca="false">IFERROR(IF(OR(HLOOKUP($A1123,#REF!,7,FALSE())&gt;2,HLOOKUP($A1123,#REF!,7,FALSE())&lt;-2),"",#REF!),"")</f>
        <v/>
      </c>
      <c r="J1123" s="0" t="str">
        <f aca="false">IFERROR(IF(OR(HLOOKUP($A1123,#REF!,8,FALSE())&gt;2,HLOOKUP($A1123,#REF!,8,FALSE())&lt;-2),"",#REF!),"")</f>
        <v/>
      </c>
      <c r="K1123" s="0" t="str">
        <f aca="false">IFERROR(IF(OR(HLOOKUP($A1123,#REF!,9,FALSE())&gt;2,HLOOKUP($A1123,#REF!,9,FALSE())&lt;-2),"",#REF!),"")</f>
        <v/>
      </c>
      <c r="L1123" s="0" t="str">
        <f aca="false">IFERROR(IF(OR(HLOOKUP($A1123,#REF!,10,FALSE())&gt;2,HLOOKUP($A1123,#REF!,10,FALSE())&lt;-2),"",#REF!),"")</f>
        <v/>
      </c>
      <c r="M1123" s="0" t="str">
        <f aca="false">IFERROR(IF(OR(HLOOKUP($A1123,#REF!,11,FALSE())&gt;2,HLOOKUP($A1123,#REF!,11,FALSE())&lt;-2),"",#REF!),"")</f>
        <v/>
      </c>
      <c r="N1123" s="0" t="str">
        <f aca="false">IFERROR(IF(OR(HLOOKUP($A1123,#REF!,12,FALSE())&gt;2,HLOOKUP($A1123,#REF!,12,FALSE())&lt;-2),"",#REF!),"")</f>
        <v/>
      </c>
      <c r="O1123" s="0" t="str">
        <f aca="false">IFERROR(IF(OR(HLOOKUP($A1123,#REF!,13,FALSE())&gt;2,HLOOKUP($A1123,#REF!,13,FALSE())&lt;-2),"",#REF!),"")</f>
        <v/>
      </c>
      <c r="P1123" s="0" t="str">
        <f aca="false">IFERROR(IF(OR(HLOOKUP($A1123,#REF!,14,FALSE())&gt;2,HLOOKUP($A1123,#REF!,14,FALSE())&lt;-2),"",#REF!),"")</f>
        <v/>
      </c>
      <c r="Q1123" s="0" t="str">
        <f aca="false">IFERROR(IF(OR(HLOOKUP($A1123,#REF!,15,FALSE())&gt;2,HLOOKUP($A1123,#REF!,15,FALSE())&lt;-2),"",#REF!),"")</f>
        <v/>
      </c>
      <c r="R1123" s="0" t="str">
        <f aca="false">IFERROR(IF(OR(HLOOKUP($A1123,#REF!,16,FALSE())&gt;2,HLOOKUP($A1123,#REF!,16,FALSE())&lt;-2),"",#REF!),"")</f>
        <v/>
      </c>
      <c r="S1123" s="0" t="str">
        <f aca="false">IFERROR(IF(OR(HLOOKUP($A1123,#REF!,17,FALSE())&gt;2,HLOOKUP($A1123,#REF!,17,FALSE())&lt;-2),"",#REF!),"")</f>
        <v/>
      </c>
      <c r="T1123" s="0" t="str">
        <f aca="false">IFERROR(IF(OR(HLOOKUP($A1123,#REF!,18,FALSE())&gt;2,HLOOKUP($A1123,#REF!,18,FALSE())&lt;-2),"",#REF!),"")</f>
        <v/>
      </c>
      <c r="U1123" s="0" t="str">
        <f aca="false">IFERROR(IF(OR(HLOOKUP($A1123,#REF!,19,FALSE())&gt;2,HLOOKUP($A1123,#REF!,19,FALSE())&lt;-2),"",#REF!),"")</f>
        <v/>
      </c>
      <c r="V1123" s="0" t="n">
        <f aca="false">IFERROR(IF(AND(X1123=0,Y1123=0),0,1),0)</f>
        <v>1</v>
      </c>
      <c r="W1123" s="3" t="str">
        <f aca="false">IFERROR(_xlfn.T.TEST(E1123:M1123,N1123:U1123,2,2),"")</f>
        <v/>
      </c>
      <c r="X1123" s="0" t="str">
        <f aca="false">IFERROR(AVERAGE(E1123:M1123),"")</f>
        <v/>
      </c>
      <c r="Y1123" s="0" t="str">
        <f aca="false">IFERROR(AVERAGE(N1123:U1123),"")</f>
        <v/>
      </c>
    </row>
    <row r="1124" customFormat="false" ht="14.5" hidden="false" customHeight="false" outlineLevel="0" collapsed="false">
      <c r="A1124" s="0" t="n">
        <v>1141</v>
      </c>
      <c r="B1124" s="0" t="s">
        <v>1167</v>
      </c>
      <c r="C1124" s="0" t="n">
        <v>37200</v>
      </c>
      <c r="D1124" s="0" t="n">
        <v>566</v>
      </c>
      <c r="E1124" s="0" t="str">
        <f aca="false">IFERROR(IF(OR(HLOOKUP($A1124,#REF!,3,FALSE())&gt;2,HLOOKUP(A1124,#REF!,3,FALSE())&lt;-2),"",#REF!),"")</f>
        <v/>
      </c>
      <c r="F1124" s="0" t="str">
        <f aca="false">IFERROR(IF(OR(HLOOKUP($A1124,#REF!,4,FALSE())&gt;2,HLOOKUP($A1124,#REF!,4,FALSE())&lt;-2),"",#REF!),"")</f>
        <v/>
      </c>
      <c r="G1124" s="0" t="str">
        <f aca="false">IFERROR(IF(OR(HLOOKUP($A1124,#REF!,5,FALSE())&gt;2,HLOOKUP($A1124,#REF!,5,FALSE())&lt;-2),"",#REF!),"")</f>
        <v/>
      </c>
      <c r="H1124" s="0" t="str">
        <f aca="false">IFERROR(IF(OR(HLOOKUP($A1124,#REF!,6,FALSE())&gt;2,HLOOKUP($A1124,#REF!,6,FALSE())&lt;-2),"",#REF!),"")</f>
        <v/>
      </c>
      <c r="I1124" s="0" t="str">
        <f aca="false">IFERROR(IF(OR(HLOOKUP($A1124,#REF!,7,FALSE())&gt;2,HLOOKUP($A1124,#REF!,7,FALSE())&lt;-2),"",#REF!),"")</f>
        <v/>
      </c>
      <c r="J1124" s="0" t="str">
        <f aca="false">IFERROR(IF(OR(HLOOKUP($A1124,#REF!,8,FALSE())&gt;2,HLOOKUP($A1124,#REF!,8,FALSE())&lt;-2),"",#REF!),"")</f>
        <v/>
      </c>
      <c r="K1124" s="0" t="str">
        <f aca="false">IFERROR(IF(OR(HLOOKUP($A1124,#REF!,9,FALSE())&gt;2,HLOOKUP($A1124,#REF!,9,FALSE())&lt;-2),"",#REF!),"")</f>
        <v/>
      </c>
      <c r="L1124" s="0" t="str">
        <f aca="false">IFERROR(IF(OR(HLOOKUP($A1124,#REF!,10,FALSE())&gt;2,HLOOKUP($A1124,#REF!,10,FALSE())&lt;-2),"",#REF!),"")</f>
        <v/>
      </c>
      <c r="M1124" s="0" t="str">
        <f aca="false">IFERROR(IF(OR(HLOOKUP($A1124,#REF!,11,FALSE())&gt;2,HLOOKUP($A1124,#REF!,11,FALSE())&lt;-2),"",#REF!),"")</f>
        <v/>
      </c>
      <c r="N1124" s="0" t="str">
        <f aca="false">IFERROR(IF(OR(HLOOKUP($A1124,#REF!,12,FALSE())&gt;2,HLOOKUP($A1124,#REF!,12,FALSE())&lt;-2),"",#REF!),"")</f>
        <v/>
      </c>
      <c r="O1124" s="0" t="str">
        <f aca="false">IFERROR(IF(OR(HLOOKUP($A1124,#REF!,13,FALSE())&gt;2,HLOOKUP($A1124,#REF!,13,FALSE())&lt;-2),"",#REF!),"")</f>
        <v/>
      </c>
      <c r="P1124" s="0" t="str">
        <f aca="false">IFERROR(IF(OR(HLOOKUP($A1124,#REF!,14,FALSE())&gt;2,HLOOKUP($A1124,#REF!,14,FALSE())&lt;-2),"",#REF!),"")</f>
        <v/>
      </c>
      <c r="Q1124" s="0" t="str">
        <f aca="false">IFERROR(IF(OR(HLOOKUP($A1124,#REF!,15,FALSE())&gt;2,HLOOKUP($A1124,#REF!,15,FALSE())&lt;-2),"",#REF!),"")</f>
        <v/>
      </c>
      <c r="R1124" s="0" t="str">
        <f aca="false">IFERROR(IF(OR(HLOOKUP($A1124,#REF!,16,FALSE())&gt;2,HLOOKUP($A1124,#REF!,16,FALSE())&lt;-2),"",#REF!),"")</f>
        <v/>
      </c>
      <c r="S1124" s="0" t="str">
        <f aca="false">IFERROR(IF(OR(HLOOKUP($A1124,#REF!,17,FALSE())&gt;2,HLOOKUP($A1124,#REF!,17,FALSE())&lt;-2),"",#REF!),"")</f>
        <v/>
      </c>
      <c r="T1124" s="0" t="str">
        <f aca="false">IFERROR(IF(OR(HLOOKUP($A1124,#REF!,18,FALSE())&gt;2,HLOOKUP($A1124,#REF!,18,FALSE())&lt;-2),"",#REF!),"")</f>
        <v/>
      </c>
      <c r="U1124" s="0" t="str">
        <f aca="false">IFERROR(IF(OR(HLOOKUP($A1124,#REF!,19,FALSE())&gt;2,HLOOKUP($A1124,#REF!,19,FALSE())&lt;-2),"",#REF!),"")</f>
        <v/>
      </c>
      <c r="V1124" s="0" t="n">
        <f aca="false">IFERROR(IF(AND(X1124=0,Y1124=0),0,1),0)</f>
        <v>1</v>
      </c>
      <c r="W1124" s="3" t="str">
        <f aca="false">IFERROR(_xlfn.T.TEST(E1124:M1124,N1124:U1124,2,2),"")</f>
        <v/>
      </c>
      <c r="X1124" s="0" t="str">
        <f aca="false">IFERROR(AVERAGE(E1124:M1124),"")</f>
        <v/>
      </c>
      <c r="Y1124" s="0" t="str">
        <f aca="false">IFERROR(AVERAGE(N1124:U1124),"")</f>
        <v/>
      </c>
    </row>
    <row r="1125" customFormat="false" ht="14.5" hidden="false" customHeight="false" outlineLevel="0" collapsed="false">
      <c r="A1125" s="0" t="n">
        <v>1142</v>
      </c>
      <c r="B1125" s="0" t="s">
        <v>1168</v>
      </c>
      <c r="C1125" s="0" t="n">
        <v>37300</v>
      </c>
      <c r="D1125" s="0" t="n">
        <v>566</v>
      </c>
      <c r="E1125" s="0" t="str">
        <f aca="false">IFERROR(IF(OR(HLOOKUP($A1125,#REF!,3,FALSE())&gt;2,HLOOKUP(A1125,#REF!,3,FALSE())&lt;-2),"",#REF!),"")</f>
        <v/>
      </c>
      <c r="F1125" s="0" t="str">
        <f aca="false">IFERROR(IF(OR(HLOOKUP($A1125,#REF!,4,FALSE())&gt;2,HLOOKUP($A1125,#REF!,4,FALSE())&lt;-2),"",#REF!),"")</f>
        <v/>
      </c>
      <c r="G1125" s="0" t="str">
        <f aca="false">IFERROR(IF(OR(HLOOKUP($A1125,#REF!,5,FALSE())&gt;2,HLOOKUP($A1125,#REF!,5,FALSE())&lt;-2),"",#REF!),"")</f>
        <v/>
      </c>
      <c r="H1125" s="0" t="str">
        <f aca="false">IFERROR(IF(OR(HLOOKUP($A1125,#REF!,6,FALSE())&gt;2,HLOOKUP($A1125,#REF!,6,FALSE())&lt;-2),"",#REF!),"")</f>
        <v/>
      </c>
      <c r="I1125" s="0" t="str">
        <f aca="false">IFERROR(IF(OR(HLOOKUP($A1125,#REF!,7,FALSE())&gt;2,HLOOKUP($A1125,#REF!,7,FALSE())&lt;-2),"",#REF!),"")</f>
        <v/>
      </c>
      <c r="J1125" s="0" t="str">
        <f aca="false">IFERROR(IF(OR(HLOOKUP($A1125,#REF!,8,FALSE())&gt;2,HLOOKUP($A1125,#REF!,8,FALSE())&lt;-2),"",#REF!),"")</f>
        <v/>
      </c>
      <c r="K1125" s="0" t="str">
        <f aca="false">IFERROR(IF(OR(HLOOKUP($A1125,#REF!,9,FALSE())&gt;2,HLOOKUP($A1125,#REF!,9,FALSE())&lt;-2),"",#REF!),"")</f>
        <v/>
      </c>
      <c r="L1125" s="0" t="str">
        <f aca="false">IFERROR(IF(OR(HLOOKUP($A1125,#REF!,10,FALSE())&gt;2,HLOOKUP($A1125,#REF!,10,FALSE())&lt;-2),"",#REF!),"")</f>
        <v/>
      </c>
      <c r="M1125" s="0" t="str">
        <f aca="false">IFERROR(IF(OR(HLOOKUP($A1125,#REF!,11,FALSE())&gt;2,HLOOKUP($A1125,#REF!,11,FALSE())&lt;-2),"",#REF!),"")</f>
        <v/>
      </c>
      <c r="N1125" s="0" t="str">
        <f aca="false">IFERROR(IF(OR(HLOOKUP($A1125,#REF!,12,FALSE())&gt;2,HLOOKUP($A1125,#REF!,12,FALSE())&lt;-2),"",#REF!),"")</f>
        <v/>
      </c>
      <c r="O1125" s="0" t="str">
        <f aca="false">IFERROR(IF(OR(HLOOKUP($A1125,#REF!,13,FALSE())&gt;2,HLOOKUP($A1125,#REF!,13,FALSE())&lt;-2),"",#REF!),"")</f>
        <v/>
      </c>
      <c r="P1125" s="0" t="str">
        <f aca="false">IFERROR(IF(OR(HLOOKUP($A1125,#REF!,14,FALSE())&gt;2,HLOOKUP($A1125,#REF!,14,FALSE())&lt;-2),"",#REF!),"")</f>
        <v/>
      </c>
      <c r="Q1125" s="0" t="str">
        <f aca="false">IFERROR(IF(OR(HLOOKUP($A1125,#REF!,15,FALSE())&gt;2,HLOOKUP($A1125,#REF!,15,FALSE())&lt;-2),"",#REF!),"")</f>
        <v/>
      </c>
      <c r="R1125" s="0" t="str">
        <f aca="false">IFERROR(IF(OR(HLOOKUP($A1125,#REF!,16,FALSE())&gt;2,HLOOKUP($A1125,#REF!,16,FALSE())&lt;-2),"",#REF!),"")</f>
        <v/>
      </c>
      <c r="S1125" s="0" t="str">
        <f aca="false">IFERROR(IF(OR(HLOOKUP($A1125,#REF!,17,FALSE())&gt;2,HLOOKUP($A1125,#REF!,17,FALSE())&lt;-2),"",#REF!),"")</f>
        <v/>
      </c>
      <c r="T1125" s="0" t="str">
        <f aca="false">IFERROR(IF(OR(HLOOKUP($A1125,#REF!,18,FALSE())&gt;2,HLOOKUP($A1125,#REF!,18,FALSE())&lt;-2),"",#REF!),"")</f>
        <v/>
      </c>
      <c r="U1125" s="0" t="str">
        <f aca="false">IFERROR(IF(OR(HLOOKUP($A1125,#REF!,19,FALSE())&gt;2,HLOOKUP($A1125,#REF!,19,FALSE())&lt;-2),"",#REF!),"")</f>
        <v/>
      </c>
      <c r="V1125" s="0" t="n">
        <f aca="false">IFERROR(IF(AND(X1125=0,Y1125=0),0,1),0)</f>
        <v>1</v>
      </c>
      <c r="W1125" s="3" t="str">
        <f aca="false">IFERROR(_xlfn.T.TEST(E1125:M1125,N1125:U1125,2,2),"")</f>
        <v/>
      </c>
      <c r="X1125" s="0" t="str">
        <f aca="false">IFERROR(AVERAGE(E1125:M1125),"")</f>
        <v/>
      </c>
      <c r="Y1125" s="0" t="str">
        <f aca="false">IFERROR(AVERAGE(N1125:U1125),"")</f>
        <v/>
      </c>
    </row>
    <row r="1126" customFormat="false" ht="14.5" hidden="false" customHeight="false" outlineLevel="0" collapsed="false">
      <c r="A1126" s="0" t="n">
        <v>1143</v>
      </c>
      <c r="B1126" s="0" t="s">
        <v>1169</v>
      </c>
      <c r="C1126" s="0" t="n">
        <v>62800</v>
      </c>
      <c r="D1126" s="0" t="n">
        <v>528</v>
      </c>
      <c r="E1126" s="0" t="str">
        <f aca="false">IFERROR(IF(OR(HLOOKUP($A1126,#REF!,3,FALSE())&gt;2,HLOOKUP(A1126,#REF!,3,FALSE())&lt;-2),"",#REF!),"")</f>
        <v/>
      </c>
      <c r="F1126" s="0" t="str">
        <f aca="false">IFERROR(IF(OR(HLOOKUP($A1126,#REF!,4,FALSE())&gt;2,HLOOKUP($A1126,#REF!,4,FALSE())&lt;-2),"",#REF!),"")</f>
        <v/>
      </c>
      <c r="G1126" s="0" t="str">
        <f aca="false">IFERROR(IF(OR(HLOOKUP($A1126,#REF!,5,FALSE())&gt;2,HLOOKUP($A1126,#REF!,5,FALSE())&lt;-2),"",#REF!),"")</f>
        <v/>
      </c>
      <c r="H1126" s="0" t="str">
        <f aca="false">IFERROR(IF(OR(HLOOKUP($A1126,#REF!,6,FALSE())&gt;2,HLOOKUP($A1126,#REF!,6,FALSE())&lt;-2),"",#REF!),"")</f>
        <v/>
      </c>
      <c r="I1126" s="0" t="str">
        <f aca="false">IFERROR(IF(OR(HLOOKUP($A1126,#REF!,7,FALSE())&gt;2,HLOOKUP($A1126,#REF!,7,FALSE())&lt;-2),"",#REF!),"")</f>
        <v/>
      </c>
      <c r="J1126" s="0" t="str">
        <f aca="false">IFERROR(IF(OR(HLOOKUP($A1126,#REF!,8,FALSE())&gt;2,HLOOKUP($A1126,#REF!,8,FALSE())&lt;-2),"",#REF!),"")</f>
        <v/>
      </c>
      <c r="K1126" s="0" t="str">
        <f aca="false">IFERROR(IF(OR(HLOOKUP($A1126,#REF!,9,FALSE())&gt;2,HLOOKUP($A1126,#REF!,9,FALSE())&lt;-2),"",#REF!),"")</f>
        <v/>
      </c>
      <c r="L1126" s="0" t="str">
        <f aca="false">IFERROR(IF(OR(HLOOKUP($A1126,#REF!,10,FALSE())&gt;2,HLOOKUP($A1126,#REF!,10,FALSE())&lt;-2),"",#REF!),"")</f>
        <v/>
      </c>
      <c r="M1126" s="0" t="str">
        <f aca="false">IFERROR(IF(OR(HLOOKUP($A1126,#REF!,11,FALSE())&gt;2,HLOOKUP($A1126,#REF!,11,FALSE())&lt;-2),"",#REF!),"")</f>
        <v/>
      </c>
      <c r="N1126" s="0" t="str">
        <f aca="false">IFERROR(IF(OR(HLOOKUP($A1126,#REF!,12,FALSE())&gt;2,HLOOKUP($A1126,#REF!,12,FALSE())&lt;-2),"",#REF!),"")</f>
        <v/>
      </c>
      <c r="O1126" s="0" t="str">
        <f aca="false">IFERROR(IF(OR(HLOOKUP($A1126,#REF!,13,FALSE())&gt;2,HLOOKUP($A1126,#REF!,13,FALSE())&lt;-2),"",#REF!),"")</f>
        <v/>
      </c>
      <c r="P1126" s="0" t="str">
        <f aca="false">IFERROR(IF(OR(HLOOKUP($A1126,#REF!,14,FALSE())&gt;2,HLOOKUP($A1126,#REF!,14,FALSE())&lt;-2),"",#REF!),"")</f>
        <v/>
      </c>
      <c r="Q1126" s="0" t="str">
        <f aca="false">IFERROR(IF(OR(HLOOKUP($A1126,#REF!,15,FALSE())&gt;2,HLOOKUP($A1126,#REF!,15,FALSE())&lt;-2),"",#REF!),"")</f>
        <v/>
      </c>
      <c r="R1126" s="0" t="str">
        <f aca="false">IFERROR(IF(OR(HLOOKUP($A1126,#REF!,16,FALSE())&gt;2,HLOOKUP($A1126,#REF!,16,FALSE())&lt;-2),"",#REF!),"")</f>
        <v/>
      </c>
      <c r="S1126" s="0" t="str">
        <f aca="false">IFERROR(IF(OR(HLOOKUP($A1126,#REF!,17,FALSE())&gt;2,HLOOKUP($A1126,#REF!,17,FALSE())&lt;-2),"",#REF!),"")</f>
        <v/>
      </c>
      <c r="T1126" s="0" t="str">
        <f aca="false">IFERROR(IF(OR(HLOOKUP($A1126,#REF!,18,FALSE())&gt;2,HLOOKUP($A1126,#REF!,18,FALSE())&lt;-2),"",#REF!),"")</f>
        <v/>
      </c>
      <c r="U1126" s="0" t="str">
        <f aca="false">IFERROR(IF(OR(HLOOKUP($A1126,#REF!,19,FALSE())&gt;2,HLOOKUP($A1126,#REF!,19,FALSE())&lt;-2),"",#REF!),"")</f>
        <v/>
      </c>
      <c r="V1126" s="0" t="n">
        <f aca="false">IFERROR(IF(AND(X1126=0,Y1126=0),0,1),0)</f>
        <v>1</v>
      </c>
      <c r="W1126" s="3" t="str">
        <f aca="false">IFERROR(_xlfn.T.TEST(E1126:M1126,N1126:U1126,2,2),"")</f>
        <v/>
      </c>
      <c r="X1126" s="0" t="str">
        <f aca="false">IFERROR(AVERAGE(E1126:M1126),"")</f>
        <v/>
      </c>
      <c r="Y1126" s="0" t="str">
        <f aca="false">IFERROR(AVERAGE(N1126:U1126),"")</f>
        <v/>
      </c>
    </row>
    <row r="1127" customFormat="false" ht="14.5" hidden="false" customHeight="false" outlineLevel="0" collapsed="false">
      <c r="A1127" s="0" t="n">
        <v>1144</v>
      </c>
      <c r="B1127" s="0" t="s">
        <v>1170</v>
      </c>
      <c r="C1127" s="0" t="n">
        <v>62600</v>
      </c>
      <c r="D1127" s="0" t="n">
        <v>528</v>
      </c>
      <c r="E1127" s="0" t="str">
        <f aca="false">IFERROR(IF(OR(HLOOKUP($A1127,#REF!,3,FALSE())&gt;2,HLOOKUP(A1127,#REF!,3,FALSE())&lt;-2),"",#REF!),"")</f>
        <v/>
      </c>
      <c r="F1127" s="0" t="str">
        <f aca="false">IFERROR(IF(OR(HLOOKUP($A1127,#REF!,4,FALSE())&gt;2,HLOOKUP($A1127,#REF!,4,FALSE())&lt;-2),"",#REF!),"")</f>
        <v/>
      </c>
      <c r="G1127" s="0" t="str">
        <f aca="false">IFERROR(IF(OR(HLOOKUP($A1127,#REF!,5,FALSE())&gt;2,HLOOKUP($A1127,#REF!,5,FALSE())&lt;-2),"",#REF!),"")</f>
        <v/>
      </c>
      <c r="H1127" s="0" t="str">
        <f aca="false">IFERROR(IF(OR(HLOOKUP($A1127,#REF!,6,FALSE())&gt;2,HLOOKUP($A1127,#REF!,6,FALSE())&lt;-2),"",#REF!),"")</f>
        <v/>
      </c>
      <c r="I1127" s="0" t="str">
        <f aca="false">IFERROR(IF(OR(HLOOKUP($A1127,#REF!,7,FALSE())&gt;2,HLOOKUP($A1127,#REF!,7,FALSE())&lt;-2),"",#REF!),"")</f>
        <v/>
      </c>
      <c r="J1127" s="0" t="str">
        <f aca="false">IFERROR(IF(OR(HLOOKUP($A1127,#REF!,8,FALSE())&gt;2,HLOOKUP($A1127,#REF!,8,FALSE())&lt;-2),"",#REF!),"")</f>
        <v/>
      </c>
      <c r="K1127" s="0" t="str">
        <f aca="false">IFERROR(IF(OR(HLOOKUP($A1127,#REF!,9,FALSE())&gt;2,HLOOKUP($A1127,#REF!,9,FALSE())&lt;-2),"",#REF!),"")</f>
        <v/>
      </c>
      <c r="L1127" s="0" t="str">
        <f aca="false">IFERROR(IF(OR(HLOOKUP($A1127,#REF!,10,FALSE())&gt;2,HLOOKUP($A1127,#REF!,10,FALSE())&lt;-2),"",#REF!),"")</f>
        <v/>
      </c>
      <c r="M1127" s="0" t="str">
        <f aca="false">IFERROR(IF(OR(HLOOKUP($A1127,#REF!,11,FALSE())&gt;2,HLOOKUP($A1127,#REF!,11,FALSE())&lt;-2),"",#REF!),"")</f>
        <v/>
      </c>
      <c r="N1127" s="0" t="str">
        <f aca="false">IFERROR(IF(OR(HLOOKUP($A1127,#REF!,12,FALSE())&gt;2,HLOOKUP($A1127,#REF!,12,FALSE())&lt;-2),"",#REF!),"")</f>
        <v/>
      </c>
      <c r="O1127" s="0" t="str">
        <f aca="false">IFERROR(IF(OR(HLOOKUP($A1127,#REF!,13,FALSE())&gt;2,HLOOKUP($A1127,#REF!,13,FALSE())&lt;-2),"",#REF!),"")</f>
        <v/>
      </c>
      <c r="P1127" s="0" t="str">
        <f aca="false">IFERROR(IF(OR(HLOOKUP($A1127,#REF!,14,FALSE())&gt;2,HLOOKUP($A1127,#REF!,14,FALSE())&lt;-2),"",#REF!),"")</f>
        <v/>
      </c>
      <c r="Q1127" s="0" t="str">
        <f aca="false">IFERROR(IF(OR(HLOOKUP($A1127,#REF!,15,FALSE())&gt;2,HLOOKUP($A1127,#REF!,15,FALSE())&lt;-2),"",#REF!),"")</f>
        <v/>
      </c>
      <c r="R1127" s="0" t="str">
        <f aca="false">IFERROR(IF(OR(HLOOKUP($A1127,#REF!,16,FALSE())&gt;2,HLOOKUP($A1127,#REF!,16,FALSE())&lt;-2),"",#REF!),"")</f>
        <v/>
      </c>
      <c r="S1127" s="0" t="str">
        <f aca="false">IFERROR(IF(OR(HLOOKUP($A1127,#REF!,17,FALSE())&gt;2,HLOOKUP($A1127,#REF!,17,FALSE())&lt;-2),"",#REF!),"")</f>
        <v/>
      </c>
      <c r="T1127" s="0" t="str">
        <f aca="false">IFERROR(IF(OR(HLOOKUP($A1127,#REF!,18,FALSE())&gt;2,HLOOKUP($A1127,#REF!,18,FALSE())&lt;-2),"",#REF!),"")</f>
        <v/>
      </c>
      <c r="U1127" s="0" t="str">
        <f aca="false">IFERROR(IF(OR(HLOOKUP($A1127,#REF!,19,FALSE())&gt;2,HLOOKUP($A1127,#REF!,19,FALSE())&lt;-2),"",#REF!),"")</f>
        <v/>
      </c>
      <c r="V1127" s="0" t="n">
        <f aca="false">IFERROR(IF(AND(X1127=0,Y1127=0),0,1),0)</f>
        <v>1</v>
      </c>
      <c r="W1127" s="3" t="str">
        <f aca="false">IFERROR(_xlfn.T.TEST(E1127:M1127,N1127:U1127,2,2),"")</f>
        <v/>
      </c>
      <c r="X1127" s="0" t="str">
        <f aca="false">IFERROR(AVERAGE(E1127:M1127),"")</f>
        <v/>
      </c>
      <c r="Y1127" s="0" t="str">
        <f aca="false">IFERROR(AVERAGE(N1127:U1127),"")</f>
        <v/>
      </c>
    </row>
    <row r="1128" customFormat="false" ht="14.5" hidden="false" customHeight="false" outlineLevel="0" collapsed="false">
      <c r="A1128" s="0" t="n">
        <v>1145</v>
      </c>
      <c r="B1128" s="0" t="s">
        <v>1171</v>
      </c>
      <c r="C1128" s="0" t="n">
        <v>62700</v>
      </c>
      <c r="D1128" s="0" t="n">
        <v>528</v>
      </c>
      <c r="E1128" s="0" t="str">
        <f aca="false">IFERROR(IF(OR(HLOOKUP($A1128,#REF!,3,FALSE())&gt;2,HLOOKUP(A1128,#REF!,3,FALSE())&lt;-2),"",#REF!),"")</f>
        <v/>
      </c>
      <c r="F1128" s="0" t="str">
        <f aca="false">IFERROR(IF(OR(HLOOKUP($A1128,#REF!,4,FALSE())&gt;2,HLOOKUP($A1128,#REF!,4,FALSE())&lt;-2),"",#REF!),"")</f>
        <v/>
      </c>
      <c r="G1128" s="0" t="str">
        <f aca="false">IFERROR(IF(OR(HLOOKUP($A1128,#REF!,5,FALSE())&gt;2,HLOOKUP($A1128,#REF!,5,FALSE())&lt;-2),"",#REF!),"")</f>
        <v/>
      </c>
      <c r="H1128" s="0" t="str">
        <f aca="false">IFERROR(IF(OR(HLOOKUP($A1128,#REF!,6,FALSE())&gt;2,HLOOKUP($A1128,#REF!,6,FALSE())&lt;-2),"",#REF!),"")</f>
        <v/>
      </c>
      <c r="I1128" s="0" t="str">
        <f aca="false">IFERROR(IF(OR(HLOOKUP($A1128,#REF!,7,FALSE())&gt;2,HLOOKUP($A1128,#REF!,7,FALSE())&lt;-2),"",#REF!),"")</f>
        <v/>
      </c>
      <c r="J1128" s="0" t="str">
        <f aca="false">IFERROR(IF(OR(HLOOKUP($A1128,#REF!,8,FALSE())&gt;2,HLOOKUP($A1128,#REF!,8,FALSE())&lt;-2),"",#REF!),"")</f>
        <v/>
      </c>
      <c r="K1128" s="0" t="str">
        <f aca="false">IFERROR(IF(OR(HLOOKUP($A1128,#REF!,9,FALSE())&gt;2,HLOOKUP($A1128,#REF!,9,FALSE())&lt;-2),"",#REF!),"")</f>
        <v/>
      </c>
      <c r="L1128" s="0" t="str">
        <f aca="false">IFERROR(IF(OR(HLOOKUP($A1128,#REF!,10,FALSE())&gt;2,HLOOKUP($A1128,#REF!,10,FALSE())&lt;-2),"",#REF!),"")</f>
        <v/>
      </c>
      <c r="M1128" s="0" t="str">
        <f aca="false">IFERROR(IF(OR(HLOOKUP($A1128,#REF!,11,FALSE())&gt;2,HLOOKUP($A1128,#REF!,11,FALSE())&lt;-2),"",#REF!),"")</f>
        <v/>
      </c>
      <c r="N1128" s="0" t="str">
        <f aca="false">IFERROR(IF(OR(HLOOKUP($A1128,#REF!,12,FALSE())&gt;2,HLOOKUP($A1128,#REF!,12,FALSE())&lt;-2),"",#REF!),"")</f>
        <v/>
      </c>
      <c r="O1128" s="0" t="str">
        <f aca="false">IFERROR(IF(OR(HLOOKUP($A1128,#REF!,13,FALSE())&gt;2,HLOOKUP($A1128,#REF!,13,FALSE())&lt;-2),"",#REF!),"")</f>
        <v/>
      </c>
      <c r="P1128" s="0" t="str">
        <f aca="false">IFERROR(IF(OR(HLOOKUP($A1128,#REF!,14,FALSE())&gt;2,HLOOKUP($A1128,#REF!,14,FALSE())&lt;-2),"",#REF!),"")</f>
        <v/>
      </c>
      <c r="Q1128" s="0" t="str">
        <f aca="false">IFERROR(IF(OR(HLOOKUP($A1128,#REF!,15,FALSE())&gt;2,HLOOKUP($A1128,#REF!,15,FALSE())&lt;-2),"",#REF!),"")</f>
        <v/>
      </c>
      <c r="R1128" s="0" t="str">
        <f aca="false">IFERROR(IF(OR(HLOOKUP($A1128,#REF!,16,FALSE())&gt;2,HLOOKUP($A1128,#REF!,16,FALSE())&lt;-2),"",#REF!),"")</f>
        <v/>
      </c>
      <c r="S1128" s="0" t="str">
        <f aca="false">IFERROR(IF(OR(HLOOKUP($A1128,#REF!,17,FALSE())&gt;2,HLOOKUP($A1128,#REF!,17,FALSE())&lt;-2),"",#REF!),"")</f>
        <v/>
      </c>
      <c r="T1128" s="0" t="str">
        <f aca="false">IFERROR(IF(OR(HLOOKUP($A1128,#REF!,18,FALSE())&gt;2,HLOOKUP($A1128,#REF!,18,FALSE())&lt;-2),"",#REF!),"")</f>
        <v/>
      </c>
      <c r="U1128" s="0" t="str">
        <f aca="false">IFERROR(IF(OR(HLOOKUP($A1128,#REF!,19,FALSE())&gt;2,HLOOKUP($A1128,#REF!,19,FALSE())&lt;-2),"",#REF!),"")</f>
        <v/>
      </c>
      <c r="V1128" s="0" t="n">
        <f aca="false">IFERROR(IF(AND(X1128=0,Y1128=0),0,1),0)</f>
        <v>1</v>
      </c>
      <c r="W1128" s="3" t="str">
        <f aca="false">IFERROR(_xlfn.T.TEST(E1128:M1128,N1128:U1128,2,2),"")</f>
        <v/>
      </c>
      <c r="X1128" s="0" t="str">
        <f aca="false">IFERROR(AVERAGE(E1128:M1128),"")</f>
        <v/>
      </c>
      <c r="Y1128" s="0" t="str">
        <f aca="false">IFERROR(AVERAGE(N1128:U1128),"")</f>
        <v/>
      </c>
    </row>
    <row r="1129" customFormat="false" ht="14.5" hidden="false" customHeight="false" outlineLevel="0" collapsed="false">
      <c r="A1129" s="0" t="n">
        <v>10671</v>
      </c>
      <c r="B1129" s="0" t="s">
        <v>1172</v>
      </c>
      <c r="C1129" s="0" t="n">
        <v>78400</v>
      </c>
      <c r="D1129" s="0" t="n">
        <v>1097</v>
      </c>
      <c r="E1129" s="0" t="str">
        <f aca="false">IFERROR(IF(OR(HLOOKUP($A1129,#REF!,3,FALSE())&gt;2,HLOOKUP(A1129,#REF!,3,FALSE())&lt;-2),"",#REF!),"")</f>
        <v/>
      </c>
      <c r="F1129" s="0" t="str">
        <f aca="false">IFERROR(IF(OR(HLOOKUP($A1129,#REF!,4,FALSE())&gt;2,HLOOKUP($A1129,#REF!,4,FALSE())&lt;-2),"",#REF!),"")</f>
        <v/>
      </c>
      <c r="G1129" s="0" t="str">
        <f aca="false">IFERROR(IF(OR(HLOOKUP($A1129,#REF!,5,FALSE())&gt;2,HLOOKUP($A1129,#REF!,5,FALSE())&lt;-2),"",#REF!),"")</f>
        <v/>
      </c>
      <c r="H1129" s="0" t="str">
        <f aca="false">IFERROR(IF(OR(HLOOKUP($A1129,#REF!,6,FALSE())&gt;2,HLOOKUP($A1129,#REF!,6,FALSE())&lt;-2),"",#REF!),"")</f>
        <v/>
      </c>
      <c r="I1129" s="0" t="str">
        <f aca="false">IFERROR(IF(OR(HLOOKUP($A1129,#REF!,7,FALSE())&gt;2,HLOOKUP($A1129,#REF!,7,FALSE())&lt;-2),"",#REF!),"")</f>
        <v/>
      </c>
      <c r="J1129" s="0" t="str">
        <f aca="false">IFERROR(IF(OR(HLOOKUP($A1129,#REF!,8,FALSE())&gt;2,HLOOKUP($A1129,#REF!,8,FALSE())&lt;-2),"",#REF!),"")</f>
        <v/>
      </c>
      <c r="K1129" s="0" t="str">
        <f aca="false">IFERROR(IF(OR(HLOOKUP($A1129,#REF!,9,FALSE())&gt;2,HLOOKUP($A1129,#REF!,9,FALSE())&lt;-2),"",#REF!),"")</f>
        <v/>
      </c>
      <c r="L1129" s="0" t="str">
        <f aca="false">IFERROR(IF(OR(HLOOKUP($A1129,#REF!,10,FALSE())&gt;2,HLOOKUP($A1129,#REF!,10,FALSE())&lt;-2),"",#REF!),"")</f>
        <v/>
      </c>
      <c r="M1129" s="0" t="str">
        <f aca="false">IFERROR(IF(OR(HLOOKUP($A1129,#REF!,11,FALSE())&gt;2,HLOOKUP($A1129,#REF!,11,FALSE())&lt;-2),"",#REF!),"")</f>
        <v/>
      </c>
      <c r="N1129" s="0" t="str">
        <f aca="false">IFERROR(IF(OR(HLOOKUP($A1129,#REF!,12,FALSE())&gt;2,HLOOKUP($A1129,#REF!,12,FALSE())&lt;-2),"",#REF!),"")</f>
        <v/>
      </c>
      <c r="O1129" s="0" t="str">
        <f aca="false">IFERROR(IF(OR(HLOOKUP($A1129,#REF!,13,FALSE())&gt;2,HLOOKUP($A1129,#REF!,13,FALSE())&lt;-2),"",#REF!),"")</f>
        <v/>
      </c>
      <c r="P1129" s="0" t="str">
        <f aca="false">IFERROR(IF(OR(HLOOKUP($A1129,#REF!,14,FALSE())&gt;2,HLOOKUP($A1129,#REF!,14,FALSE())&lt;-2),"",#REF!),"")</f>
        <v/>
      </c>
      <c r="Q1129" s="0" t="str">
        <f aca="false">IFERROR(IF(OR(HLOOKUP($A1129,#REF!,15,FALSE())&gt;2,HLOOKUP($A1129,#REF!,15,FALSE())&lt;-2),"",#REF!),"")</f>
        <v/>
      </c>
      <c r="R1129" s="0" t="str">
        <f aca="false">IFERROR(IF(OR(HLOOKUP($A1129,#REF!,16,FALSE())&gt;2,HLOOKUP($A1129,#REF!,16,FALSE())&lt;-2),"",#REF!),"")</f>
        <v/>
      </c>
      <c r="S1129" s="0" t="str">
        <f aca="false">IFERROR(IF(OR(HLOOKUP($A1129,#REF!,17,FALSE())&gt;2,HLOOKUP($A1129,#REF!,17,FALSE())&lt;-2),"",#REF!),"")</f>
        <v/>
      </c>
      <c r="T1129" s="0" t="str">
        <f aca="false">IFERROR(IF(OR(HLOOKUP($A1129,#REF!,18,FALSE())&gt;2,HLOOKUP($A1129,#REF!,18,FALSE())&lt;-2),"",#REF!),"")</f>
        <v/>
      </c>
      <c r="U1129" s="0" t="str">
        <f aca="false">IFERROR(IF(OR(HLOOKUP($A1129,#REF!,19,FALSE())&gt;2,HLOOKUP($A1129,#REF!,19,FALSE())&lt;-2),"",#REF!),"")</f>
        <v/>
      </c>
      <c r="V1129" s="0" t="n">
        <f aca="false">IFERROR(IF(AND(X1129=0,Y1129=0),0,1),0)</f>
        <v>1</v>
      </c>
      <c r="W1129" s="3" t="str">
        <f aca="false">IFERROR(_xlfn.T.TEST(E1129:M1129,N1129:U1129,2,2),"")</f>
        <v/>
      </c>
      <c r="X1129" s="0" t="str">
        <f aca="false">IFERROR(AVERAGE(E1129:M1129),"")</f>
        <v/>
      </c>
      <c r="Y1129" s="0" t="str">
        <f aca="false">IFERROR(AVERAGE(N1129:U1129),"")</f>
        <v/>
      </c>
    </row>
    <row r="1130" customFormat="false" ht="14.5" hidden="false" customHeight="false" outlineLevel="0" collapsed="false">
      <c r="A1130" s="0" t="n">
        <v>10672</v>
      </c>
      <c r="B1130" s="0" t="s">
        <v>1173</v>
      </c>
      <c r="C1130" s="0" t="n">
        <v>60000</v>
      </c>
      <c r="D1130" s="0" t="n">
        <v>1007</v>
      </c>
      <c r="E1130" s="0" t="str">
        <f aca="false">IFERROR(IF(OR(HLOOKUP($A1130,#REF!,3,FALSE())&gt;2,HLOOKUP(A1130,#REF!,3,FALSE())&lt;-2),"",#REF!),"")</f>
        <v/>
      </c>
      <c r="F1130" s="0" t="str">
        <f aca="false">IFERROR(IF(OR(HLOOKUP($A1130,#REF!,4,FALSE())&gt;2,HLOOKUP($A1130,#REF!,4,FALSE())&lt;-2),"",#REF!),"")</f>
        <v/>
      </c>
      <c r="G1130" s="0" t="str">
        <f aca="false">IFERROR(IF(OR(HLOOKUP($A1130,#REF!,5,FALSE())&gt;2,HLOOKUP($A1130,#REF!,5,FALSE())&lt;-2),"",#REF!),"")</f>
        <v/>
      </c>
      <c r="H1130" s="0" t="str">
        <f aca="false">IFERROR(IF(OR(HLOOKUP($A1130,#REF!,6,FALSE())&gt;2,HLOOKUP($A1130,#REF!,6,FALSE())&lt;-2),"",#REF!),"")</f>
        <v/>
      </c>
      <c r="I1130" s="0" t="str">
        <f aca="false">IFERROR(IF(OR(HLOOKUP($A1130,#REF!,7,FALSE())&gt;2,HLOOKUP($A1130,#REF!,7,FALSE())&lt;-2),"",#REF!),"")</f>
        <v/>
      </c>
      <c r="J1130" s="0" t="str">
        <f aca="false">IFERROR(IF(OR(HLOOKUP($A1130,#REF!,8,FALSE())&gt;2,HLOOKUP($A1130,#REF!,8,FALSE())&lt;-2),"",#REF!),"")</f>
        <v/>
      </c>
      <c r="K1130" s="0" t="str">
        <f aca="false">IFERROR(IF(OR(HLOOKUP($A1130,#REF!,9,FALSE())&gt;2,HLOOKUP($A1130,#REF!,9,FALSE())&lt;-2),"",#REF!),"")</f>
        <v/>
      </c>
      <c r="L1130" s="0" t="str">
        <f aca="false">IFERROR(IF(OR(HLOOKUP($A1130,#REF!,10,FALSE())&gt;2,HLOOKUP($A1130,#REF!,10,FALSE())&lt;-2),"",#REF!),"")</f>
        <v/>
      </c>
      <c r="M1130" s="0" t="str">
        <f aca="false">IFERROR(IF(OR(HLOOKUP($A1130,#REF!,11,FALSE())&gt;2,HLOOKUP($A1130,#REF!,11,FALSE())&lt;-2),"",#REF!),"")</f>
        <v/>
      </c>
      <c r="N1130" s="0" t="str">
        <f aca="false">IFERROR(IF(OR(HLOOKUP($A1130,#REF!,12,FALSE())&gt;2,HLOOKUP($A1130,#REF!,12,FALSE())&lt;-2),"",#REF!),"")</f>
        <v/>
      </c>
      <c r="O1130" s="0" t="str">
        <f aca="false">IFERROR(IF(OR(HLOOKUP($A1130,#REF!,13,FALSE())&gt;2,HLOOKUP($A1130,#REF!,13,FALSE())&lt;-2),"",#REF!),"")</f>
        <v/>
      </c>
      <c r="P1130" s="0" t="str">
        <f aca="false">IFERROR(IF(OR(HLOOKUP($A1130,#REF!,14,FALSE())&gt;2,HLOOKUP($A1130,#REF!,14,FALSE())&lt;-2),"",#REF!),"")</f>
        <v/>
      </c>
      <c r="Q1130" s="0" t="str">
        <f aca="false">IFERROR(IF(OR(HLOOKUP($A1130,#REF!,15,FALSE())&gt;2,HLOOKUP($A1130,#REF!,15,FALSE())&lt;-2),"",#REF!),"")</f>
        <v/>
      </c>
      <c r="R1130" s="0" t="str">
        <f aca="false">IFERROR(IF(OR(HLOOKUP($A1130,#REF!,16,FALSE())&gt;2,HLOOKUP($A1130,#REF!,16,FALSE())&lt;-2),"",#REF!),"")</f>
        <v/>
      </c>
      <c r="S1130" s="0" t="str">
        <f aca="false">IFERROR(IF(OR(HLOOKUP($A1130,#REF!,17,FALSE())&gt;2,HLOOKUP($A1130,#REF!,17,FALSE())&lt;-2),"",#REF!),"")</f>
        <v/>
      </c>
      <c r="T1130" s="0" t="str">
        <f aca="false">IFERROR(IF(OR(HLOOKUP($A1130,#REF!,18,FALSE())&gt;2,HLOOKUP($A1130,#REF!,18,FALSE())&lt;-2),"",#REF!),"")</f>
        <v/>
      </c>
      <c r="U1130" s="0" t="str">
        <f aca="false">IFERROR(IF(OR(HLOOKUP($A1130,#REF!,19,FALSE())&gt;2,HLOOKUP($A1130,#REF!,19,FALSE())&lt;-2),"",#REF!),"")</f>
        <v/>
      </c>
      <c r="V1130" s="0" t="n">
        <f aca="false">IFERROR(IF(AND(X1130=0,Y1130=0),0,1),0)</f>
        <v>1</v>
      </c>
      <c r="W1130" s="3" t="str">
        <f aca="false">IFERROR(_xlfn.T.TEST(E1130:M1130,N1130:U1130,2,2),"")</f>
        <v/>
      </c>
      <c r="X1130" s="0" t="str">
        <f aca="false">IFERROR(AVERAGE(E1130:M1130),"")</f>
        <v/>
      </c>
      <c r="Y1130" s="0" t="str">
        <f aca="false">IFERROR(AVERAGE(N1130:U1130),"")</f>
        <v/>
      </c>
    </row>
    <row r="1131" customFormat="false" ht="14.5" hidden="false" customHeight="false" outlineLevel="0" collapsed="false">
      <c r="A1131" s="0" t="n">
        <v>10673</v>
      </c>
      <c r="B1131" s="0" t="s">
        <v>1174</v>
      </c>
      <c r="C1131" s="0" t="n">
        <v>59900</v>
      </c>
      <c r="D1131" s="0" t="n">
        <v>1007</v>
      </c>
      <c r="E1131" s="0" t="str">
        <f aca="false">IFERROR(IF(OR(HLOOKUP($A1131,#REF!,3,FALSE())&gt;2,HLOOKUP(A1131,#REF!,3,FALSE())&lt;-2),"",#REF!),"")</f>
        <v/>
      </c>
      <c r="F1131" s="0" t="str">
        <f aca="false">IFERROR(IF(OR(HLOOKUP($A1131,#REF!,4,FALSE())&gt;2,HLOOKUP($A1131,#REF!,4,FALSE())&lt;-2),"",#REF!),"")</f>
        <v/>
      </c>
      <c r="G1131" s="0" t="str">
        <f aca="false">IFERROR(IF(OR(HLOOKUP($A1131,#REF!,5,FALSE())&gt;2,HLOOKUP($A1131,#REF!,5,FALSE())&lt;-2),"",#REF!),"")</f>
        <v/>
      </c>
      <c r="H1131" s="0" t="str">
        <f aca="false">IFERROR(IF(OR(HLOOKUP($A1131,#REF!,6,FALSE())&gt;2,HLOOKUP($A1131,#REF!,6,FALSE())&lt;-2),"",#REF!),"")</f>
        <v/>
      </c>
      <c r="I1131" s="0" t="str">
        <f aca="false">IFERROR(IF(OR(HLOOKUP($A1131,#REF!,7,FALSE())&gt;2,HLOOKUP($A1131,#REF!,7,FALSE())&lt;-2),"",#REF!),"")</f>
        <v/>
      </c>
      <c r="J1131" s="0" t="str">
        <f aca="false">IFERROR(IF(OR(HLOOKUP($A1131,#REF!,8,FALSE())&gt;2,HLOOKUP($A1131,#REF!,8,FALSE())&lt;-2),"",#REF!),"")</f>
        <v/>
      </c>
      <c r="K1131" s="0" t="str">
        <f aca="false">IFERROR(IF(OR(HLOOKUP($A1131,#REF!,9,FALSE())&gt;2,HLOOKUP($A1131,#REF!,9,FALSE())&lt;-2),"",#REF!),"")</f>
        <v/>
      </c>
      <c r="L1131" s="0" t="str">
        <f aca="false">IFERROR(IF(OR(HLOOKUP($A1131,#REF!,10,FALSE())&gt;2,HLOOKUP($A1131,#REF!,10,FALSE())&lt;-2),"",#REF!),"")</f>
        <v/>
      </c>
      <c r="M1131" s="0" t="str">
        <f aca="false">IFERROR(IF(OR(HLOOKUP($A1131,#REF!,11,FALSE())&gt;2,HLOOKUP($A1131,#REF!,11,FALSE())&lt;-2),"",#REF!),"")</f>
        <v/>
      </c>
      <c r="N1131" s="0" t="str">
        <f aca="false">IFERROR(IF(OR(HLOOKUP($A1131,#REF!,12,FALSE())&gt;2,HLOOKUP($A1131,#REF!,12,FALSE())&lt;-2),"",#REF!),"")</f>
        <v/>
      </c>
      <c r="O1131" s="0" t="str">
        <f aca="false">IFERROR(IF(OR(HLOOKUP($A1131,#REF!,13,FALSE())&gt;2,HLOOKUP($A1131,#REF!,13,FALSE())&lt;-2),"",#REF!),"")</f>
        <v/>
      </c>
      <c r="P1131" s="0" t="str">
        <f aca="false">IFERROR(IF(OR(HLOOKUP($A1131,#REF!,14,FALSE())&gt;2,HLOOKUP($A1131,#REF!,14,FALSE())&lt;-2),"",#REF!),"")</f>
        <v/>
      </c>
      <c r="Q1131" s="0" t="str">
        <f aca="false">IFERROR(IF(OR(HLOOKUP($A1131,#REF!,15,FALSE())&gt;2,HLOOKUP($A1131,#REF!,15,FALSE())&lt;-2),"",#REF!),"")</f>
        <v/>
      </c>
      <c r="R1131" s="0" t="str">
        <f aca="false">IFERROR(IF(OR(HLOOKUP($A1131,#REF!,16,FALSE())&gt;2,HLOOKUP($A1131,#REF!,16,FALSE())&lt;-2),"",#REF!),"")</f>
        <v/>
      </c>
      <c r="S1131" s="0" t="str">
        <f aca="false">IFERROR(IF(OR(HLOOKUP($A1131,#REF!,17,FALSE())&gt;2,HLOOKUP($A1131,#REF!,17,FALSE())&lt;-2),"",#REF!),"")</f>
        <v/>
      </c>
      <c r="T1131" s="0" t="str">
        <f aca="false">IFERROR(IF(OR(HLOOKUP($A1131,#REF!,18,FALSE())&gt;2,HLOOKUP($A1131,#REF!,18,FALSE())&lt;-2),"",#REF!),"")</f>
        <v/>
      </c>
      <c r="U1131" s="0" t="str">
        <f aca="false">IFERROR(IF(OR(HLOOKUP($A1131,#REF!,19,FALSE())&gt;2,HLOOKUP($A1131,#REF!,19,FALSE())&lt;-2),"",#REF!),"")</f>
        <v/>
      </c>
      <c r="V1131" s="0" t="n">
        <f aca="false">IFERROR(IF(AND(X1131=0,Y1131=0),0,1),0)</f>
        <v>1</v>
      </c>
      <c r="W1131" s="3" t="str">
        <f aca="false">IFERROR(_xlfn.T.TEST(E1131:M1131,N1131:U1131,2,2),"")</f>
        <v/>
      </c>
      <c r="X1131" s="0" t="str">
        <f aca="false">IFERROR(AVERAGE(E1131:M1131),"")</f>
        <v/>
      </c>
      <c r="Y1131" s="0" t="str">
        <f aca="false">IFERROR(AVERAGE(N1131:U1131),"")</f>
        <v/>
      </c>
    </row>
    <row r="1132" customFormat="false" ht="14.5" hidden="false" customHeight="false" outlineLevel="0" collapsed="false">
      <c r="A1132" s="0" t="n">
        <v>10674</v>
      </c>
      <c r="B1132" s="0" t="s">
        <v>1175</v>
      </c>
      <c r="C1132" s="0" t="n">
        <v>59800</v>
      </c>
      <c r="D1132" s="0" t="n">
        <v>1007</v>
      </c>
      <c r="E1132" s="0" t="str">
        <f aca="false">IFERROR(IF(OR(HLOOKUP($A1132,#REF!,3,FALSE())&gt;2,HLOOKUP(A1132,#REF!,3,FALSE())&lt;-2),"",#REF!),"")</f>
        <v/>
      </c>
      <c r="F1132" s="0" t="str">
        <f aca="false">IFERROR(IF(OR(HLOOKUP($A1132,#REF!,4,FALSE())&gt;2,HLOOKUP($A1132,#REF!,4,FALSE())&lt;-2),"",#REF!),"")</f>
        <v/>
      </c>
      <c r="G1132" s="0" t="str">
        <f aca="false">IFERROR(IF(OR(HLOOKUP($A1132,#REF!,5,FALSE())&gt;2,HLOOKUP($A1132,#REF!,5,FALSE())&lt;-2),"",#REF!),"")</f>
        <v/>
      </c>
      <c r="H1132" s="0" t="str">
        <f aca="false">IFERROR(IF(OR(HLOOKUP($A1132,#REF!,6,FALSE())&gt;2,HLOOKUP($A1132,#REF!,6,FALSE())&lt;-2),"",#REF!),"")</f>
        <v/>
      </c>
      <c r="I1132" s="0" t="str">
        <f aca="false">IFERROR(IF(OR(HLOOKUP($A1132,#REF!,7,FALSE())&gt;2,HLOOKUP($A1132,#REF!,7,FALSE())&lt;-2),"",#REF!),"")</f>
        <v/>
      </c>
      <c r="J1132" s="0" t="str">
        <f aca="false">IFERROR(IF(OR(HLOOKUP($A1132,#REF!,8,FALSE())&gt;2,HLOOKUP($A1132,#REF!,8,FALSE())&lt;-2),"",#REF!),"")</f>
        <v/>
      </c>
      <c r="K1132" s="0" t="str">
        <f aca="false">IFERROR(IF(OR(HLOOKUP($A1132,#REF!,9,FALSE())&gt;2,HLOOKUP($A1132,#REF!,9,FALSE())&lt;-2),"",#REF!),"")</f>
        <v/>
      </c>
      <c r="L1132" s="0" t="str">
        <f aca="false">IFERROR(IF(OR(HLOOKUP($A1132,#REF!,10,FALSE())&gt;2,HLOOKUP($A1132,#REF!,10,FALSE())&lt;-2),"",#REF!),"")</f>
        <v/>
      </c>
      <c r="M1132" s="0" t="str">
        <f aca="false">IFERROR(IF(OR(HLOOKUP($A1132,#REF!,11,FALSE())&gt;2,HLOOKUP($A1132,#REF!,11,FALSE())&lt;-2),"",#REF!),"")</f>
        <v/>
      </c>
      <c r="N1132" s="0" t="str">
        <f aca="false">IFERROR(IF(OR(HLOOKUP($A1132,#REF!,12,FALSE())&gt;2,HLOOKUP($A1132,#REF!,12,FALSE())&lt;-2),"",#REF!),"")</f>
        <v/>
      </c>
      <c r="O1132" s="0" t="str">
        <f aca="false">IFERROR(IF(OR(HLOOKUP($A1132,#REF!,13,FALSE())&gt;2,HLOOKUP($A1132,#REF!,13,FALSE())&lt;-2),"",#REF!),"")</f>
        <v/>
      </c>
      <c r="P1132" s="0" t="str">
        <f aca="false">IFERROR(IF(OR(HLOOKUP($A1132,#REF!,14,FALSE())&gt;2,HLOOKUP($A1132,#REF!,14,FALSE())&lt;-2),"",#REF!),"")</f>
        <v/>
      </c>
      <c r="Q1132" s="0" t="str">
        <f aca="false">IFERROR(IF(OR(HLOOKUP($A1132,#REF!,15,FALSE())&gt;2,HLOOKUP($A1132,#REF!,15,FALSE())&lt;-2),"",#REF!),"")</f>
        <v/>
      </c>
      <c r="R1132" s="0" t="str">
        <f aca="false">IFERROR(IF(OR(HLOOKUP($A1132,#REF!,16,FALSE())&gt;2,HLOOKUP($A1132,#REF!,16,FALSE())&lt;-2),"",#REF!),"")</f>
        <v/>
      </c>
      <c r="S1132" s="0" t="str">
        <f aca="false">IFERROR(IF(OR(HLOOKUP($A1132,#REF!,17,FALSE())&gt;2,HLOOKUP($A1132,#REF!,17,FALSE())&lt;-2),"",#REF!),"")</f>
        <v/>
      </c>
      <c r="T1132" s="0" t="str">
        <f aca="false">IFERROR(IF(OR(HLOOKUP($A1132,#REF!,18,FALSE())&gt;2,HLOOKUP($A1132,#REF!,18,FALSE())&lt;-2),"",#REF!),"")</f>
        <v/>
      </c>
      <c r="U1132" s="0" t="str">
        <f aca="false">IFERROR(IF(OR(HLOOKUP($A1132,#REF!,19,FALSE())&gt;2,HLOOKUP($A1132,#REF!,19,FALSE())&lt;-2),"",#REF!),"")</f>
        <v/>
      </c>
      <c r="V1132" s="0" t="n">
        <f aca="false">IFERROR(IF(AND(X1132=0,Y1132=0),0,1),0)</f>
        <v>1</v>
      </c>
      <c r="W1132" s="3" t="str">
        <f aca="false">IFERROR(_xlfn.T.TEST(E1132:M1132,N1132:U1132,2,2),"")</f>
        <v/>
      </c>
      <c r="X1132" s="0" t="str">
        <f aca="false">IFERROR(AVERAGE(E1132:M1132),"")</f>
        <v/>
      </c>
      <c r="Y1132" s="0" t="str">
        <f aca="false">IFERROR(AVERAGE(N1132:U1132),"")</f>
        <v/>
      </c>
    </row>
    <row r="1133" customFormat="false" ht="14.5" hidden="false" customHeight="false" outlineLevel="0" collapsed="false">
      <c r="A1133" s="0" t="n">
        <v>10675</v>
      </c>
      <c r="B1133" s="0" t="s">
        <v>1176</v>
      </c>
      <c r="C1133" s="0" t="n">
        <v>60500</v>
      </c>
      <c r="D1133" s="0" t="n">
        <v>1056</v>
      </c>
      <c r="E1133" s="0" t="str">
        <f aca="false">IFERROR(IF(OR(HLOOKUP($A1133,#REF!,3,FALSE())&gt;2,HLOOKUP(A1133,#REF!,3,FALSE())&lt;-2),"",#REF!),"")</f>
        <v/>
      </c>
      <c r="F1133" s="0" t="str">
        <f aca="false">IFERROR(IF(OR(HLOOKUP($A1133,#REF!,4,FALSE())&gt;2,HLOOKUP($A1133,#REF!,4,FALSE())&lt;-2),"",#REF!),"")</f>
        <v/>
      </c>
      <c r="G1133" s="0" t="str">
        <f aca="false">IFERROR(IF(OR(HLOOKUP($A1133,#REF!,5,FALSE())&gt;2,HLOOKUP($A1133,#REF!,5,FALSE())&lt;-2),"",#REF!),"")</f>
        <v/>
      </c>
      <c r="H1133" s="0" t="str">
        <f aca="false">IFERROR(IF(OR(HLOOKUP($A1133,#REF!,6,FALSE())&gt;2,HLOOKUP($A1133,#REF!,6,FALSE())&lt;-2),"",#REF!),"")</f>
        <v/>
      </c>
      <c r="I1133" s="0" t="str">
        <f aca="false">IFERROR(IF(OR(HLOOKUP($A1133,#REF!,7,FALSE())&gt;2,HLOOKUP($A1133,#REF!,7,FALSE())&lt;-2),"",#REF!),"")</f>
        <v/>
      </c>
      <c r="J1133" s="0" t="str">
        <f aca="false">IFERROR(IF(OR(HLOOKUP($A1133,#REF!,8,FALSE())&gt;2,HLOOKUP($A1133,#REF!,8,FALSE())&lt;-2),"",#REF!),"")</f>
        <v/>
      </c>
      <c r="K1133" s="0" t="str">
        <f aca="false">IFERROR(IF(OR(HLOOKUP($A1133,#REF!,9,FALSE())&gt;2,HLOOKUP($A1133,#REF!,9,FALSE())&lt;-2),"",#REF!),"")</f>
        <v/>
      </c>
      <c r="L1133" s="0" t="str">
        <f aca="false">IFERROR(IF(OR(HLOOKUP($A1133,#REF!,10,FALSE())&gt;2,HLOOKUP($A1133,#REF!,10,FALSE())&lt;-2),"",#REF!),"")</f>
        <v/>
      </c>
      <c r="M1133" s="0" t="str">
        <f aca="false">IFERROR(IF(OR(HLOOKUP($A1133,#REF!,11,FALSE())&gt;2,HLOOKUP($A1133,#REF!,11,FALSE())&lt;-2),"",#REF!),"")</f>
        <v/>
      </c>
      <c r="N1133" s="0" t="str">
        <f aca="false">IFERROR(IF(OR(HLOOKUP($A1133,#REF!,12,FALSE())&gt;2,HLOOKUP($A1133,#REF!,12,FALSE())&lt;-2),"",#REF!),"")</f>
        <v/>
      </c>
      <c r="O1133" s="0" t="str">
        <f aca="false">IFERROR(IF(OR(HLOOKUP($A1133,#REF!,13,FALSE())&gt;2,HLOOKUP($A1133,#REF!,13,FALSE())&lt;-2),"",#REF!),"")</f>
        <v/>
      </c>
      <c r="P1133" s="0" t="str">
        <f aca="false">IFERROR(IF(OR(HLOOKUP($A1133,#REF!,14,FALSE())&gt;2,HLOOKUP($A1133,#REF!,14,FALSE())&lt;-2),"",#REF!),"")</f>
        <v/>
      </c>
      <c r="Q1133" s="0" t="str">
        <f aca="false">IFERROR(IF(OR(HLOOKUP($A1133,#REF!,15,FALSE())&gt;2,HLOOKUP($A1133,#REF!,15,FALSE())&lt;-2),"",#REF!),"")</f>
        <v/>
      </c>
      <c r="R1133" s="0" t="str">
        <f aca="false">IFERROR(IF(OR(HLOOKUP($A1133,#REF!,16,FALSE())&gt;2,HLOOKUP($A1133,#REF!,16,FALSE())&lt;-2),"",#REF!),"")</f>
        <v/>
      </c>
      <c r="S1133" s="0" t="str">
        <f aca="false">IFERROR(IF(OR(HLOOKUP($A1133,#REF!,17,FALSE())&gt;2,HLOOKUP($A1133,#REF!,17,FALSE())&lt;-2),"",#REF!),"")</f>
        <v/>
      </c>
      <c r="T1133" s="0" t="str">
        <f aca="false">IFERROR(IF(OR(HLOOKUP($A1133,#REF!,18,FALSE())&gt;2,HLOOKUP($A1133,#REF!,18,FALSE())&lt;-2),"",#REF!),"")</f>
        <v/>
      </c>
      <c r="U1133" s="0" t="str">
        <f aca="false">IFERROR(IF(OR(HLOOKUP($A1133,#REF!,19,FALSE())&gt;2,HLOOKUP($A1133,#REF!,19,FALSE())&lt;-2),"",#REF!),"")</f>
        <v/>
      </c>
      <c r="V1133" s="0" t="n">
        <f aca="false">IFERROR(IF(AND(X1133=0,Y1133=0),0,1),0)</f>
        <v>1</v>
      </c>
      <c r="W1133" s="3" t="str">
        <f aca="false">IFERROR(_xlfn.T.TEST(E1133:M1133,N1133:U1133,2,2),"")</f>
        <v/>
      </c>
      <c r="X1133" s="0" t="str">
        <f aca="false">IFERROR(AVERAGE(E1133:M1133),"")</f>
        <v/>
      </c>
      <c r="Y1133" s="0" t="str">
        <f aca="false">IFERROR(AVERAGE(N1133:U1133),"")</f>
        <v/>
      </c>
    </row>
    <row r="1134" customFormat="false" ht="14.5" hidden="false" customHeight="false" outlineLevel="0" collapsed="false">
      <c r="A1134" s="0" t="n">
        <v>10676</v>
      </c>
      <c r="B1134" s="0" t="s">
        <v>1177</v>
      </c>
      <c r="C1134" s="0" t="n">
        <v>60400</v>
      </c>
      <c r="D1134" s="0" t="n">
        <v>1056</v>
      </c>
      <c r="E1134" s="0" t="str">
        <f aca="false">IFERROR(IF(OR(HLOOKUP($A1134,#REF!,3,FALSE())&gt;2,HLOOKUP(A1134,#REF!,3,FALSE())&lt;-2),"",#REF!),"")</f>
        <v/>
      </c>
      <c r="F1134" s="0" t="str">
        <f aca="false">IFERROR(IF(OR(HLOOKUP($A1134,#REF!,4,FALSE())&gt;2,HLOOKUP($A1134,#REF!,4,FALSE())&lt;-2),"",#REF!),"")</f>
        <v/>
      </c>
      <c r="G1134" s="0" t="str">
        <f aca="false">IFERROR(IF(OR(HLOOKUP($A1134,#REF!,5,FALSE())&gt;2,HLOOKUP($A1134,#REF!,5,FALSE())&lt;-2),"",#REF!),"")</f>
        <v/>
      </c>
      <c r="H1134" s="0" t="str">
        <f aca="false">IFERROR(IF(OR(HLOOKUP($A1134,#REF!,6,FALSE())&gt;2,HLOOKUP($A1134,#REF!,6,FALSE())&lt;-2),"",#REF!),"")</f>
        <v/>
      </c>
      <c r="I1134" s="0" t="str">
        <f aca="false">IFERROR(IF(OR(HLOOKUP($A1134,#REF!,7,FALSE())&gt;2,HLOOKUP($A1134,#REF!,7,FALSE())&lt;-2),"",#REF!),"")</f>
        <v/>
      </c>
      <c r="J1134" s="0" t="str">
        <f aca="false">IFERROR(IF(OR(HLOOKUP($A1134,#REF!,8,FALSE())&gt;2,HLOOKUP($A1134,#REF!,8,FALSE())&lt;-2),"",#REF!),"")</f>
        <v/>
      </c>
      <c r="K1134" s="0" t="str">
        <f aca="false">IFERROR(IF(OR(HLOOKUP($A1134,#REF!,9,FALSE())&gt;2,HLOOKUP($A1134,#REF!,9,FALSE())&lt;-2),"",#REF!),"")</f>
        <v/>
      </c>
      <c r="L1134" s="0" t="str">
        <f aca="false">IFERROR(IF(OR(HLOOKUP($A1134,#REF!,10,FALSE())&gt;2,HLOOKUP($A1134,#REF!,10,FALSE())&lt;-2),"",#REF!),"")</f>
        <v/>
      </c>
      <c r="M1134" s="0" t="str">
        <f aca="false">IFERROR(IF(OR(HLOOKUP($A1134,#REF!,11,FALSE())&gt;2,HLOOKUP($A1134,#REF!,11,FALSE())&lt;-2),"",#REF!),"")</f>
        <v/>
      </c>
      <c r="N1134" s="0" t="str">
        <f aca="false">IFERROR(IF(OR(HLOOKUP($A1134,#REF!,12,FALSE())&gt;2,HLOOKUP($A1134,#REF!,12,FALSE())&lt;-2),"",#REF!),"")</f>
        <v/>
      </c>
      <c r="O1134" s="0" t="str">
        <f aca="false">IFERROR(IF(OR(HLOOKUP($A1134,#REF!,13,FALSE())&gt;2,HLOOKUP($A1134,#REF!,13,FALSE())&lt;-2),"",#REF!),"")</f>
        <v/>
      </c>
      <c r="P1134" s="0" t="str">
        <f aca="false">IFERROR(IF(OR(HLOOKUP($A1134,#REF!,14,FALSE())&gt;2,HLOOKUP($A1134,#REF!,14,FALSE())&lt;-2),"",#REF!),"")</f>
        <v/>
      </c>
      <c r="Q1134" s="0" t="str">
        <f aca="false">IFERROR(IF(OR(HLOOKUP($A1134,#REF!,15,FALSE())&gt;2,HLOOKUP($A1134,#REF!,15,FALSE())&lt;-2),"",#REF!),"")</f>
        <v/>
      </c>
      <c r="R1134" s="0" t="str">
        <f aca="false">IFERROR(IF(OR(HLOOKUP($A1134,#REF!,16,FALSE())&gt;2,HLOOKUP($A1134,#REF!,16,FALSE())&lt;-2),"",#REF!),"")</f>
        <v/>
      </c>
      <c r="S1134" s="0" t="str">
        <f aca="false">IFERROR(IF(OR(HLOOKUP($A1134,#REF!,17,FALSE())&gt;2,HLOOKUP($A1134,#REF!,17,FALSE())&lt;-2),"",#REF!),"")</f>
        <v/>
      </c>
      <c r="T1134" s="0" t="str">
        <f aca="false">IFERROR(IF(OR(HLOOKUP($A1134,#REF!,18,FALSE())&gt;2,HLOOKUP($A1134,#REF!,18,FALSE())&lt;-2),"",#REF!),"")</f>
        <v/>
      </c>
      <c r="U1134" s="0" t="str">
        <f aca="false">IFERROR(IF(OR(HLOOKUP($A1134,#REF!,19,FALSE())&gt;2,HLOOKUP($A1134,#REF!,19,FALSE())&lt;-2),"",#REF!),"")</f>
        <v/>
      </c>
      <c r="V1134" s="0" t="n">
        <f aca="false">IFERROR(IF(AND(X1134=0,Y1134=0),0,1),0)</f>
        <v>1</v>
      </c>
      <c r="W1134" s="3" t="str">
        <f aca="false">IFERROR(_xlfn.T.TEST(E1134:M1134,N1134:U1134,2,2),"")</f>
        <v/>
      </c>
      <c r="X1134" s="0" t="str">
        <f aca="false">IFERROR(AVERAGE(E1134:M1134),"")</f>
        <v/>
      </c>
      <c r="Y1134" s="0" t="str">
        <f aca="false">IFERROR(AVERAGE(N1134:U1134),"")</f>
        <v/>
      </c>
    </row>
    <row r="1135" customFormat="false" ht="14.5" hidden="false" customHeight="false" outlineLevel="0" collapsed="false">
      <c r="A1135" s="0" t="n">
        <v>10677</v>
      </c>
      <c r="B1135" s="0" t="s">
        <v>1178</v>
      </c>
      <c r="C1135" s="0" t="n">
        <v>60300</v>
      </c>
      <c r="D1135" s="0" t="n">
        <v>1056</v>
      </c>
      <c r="E1135" s="0" t="str">
        <f aca="false">IFERROR(IF(OR(HLOOKUP($A1135,#REF!,3,FALSE())&gt;2,HLOOKUP(A1135,#REF!,3,FALSE())&lt;-2),"",#REF!),"")</f>
        <v/>
      </c>
      <c r="F1135" s="0" t="str">
        <f aca="false">IFERROR(IF(OR(HLOOKUP($A1135,#REF!,4,FALSE())&gt;2,HLOOKUP($A1135,#REF!,4,FALSE())&lt;-2),"",#REF!),"")</f>
        <v/>
      </c>
      <c r="G1135" s="0" t="str">
        <f aca="false">IFERROR(IF(OR(HLOOKUP($A1135,#REF!,5,FALSE())&gt;2,HLOOKUP($A1135,#REF!,5,FALSE())&lt;-2),"",#REF!),"")</f>
        <v/>
      </c>
      <c r="H1135" s="0" t="str">
        <f aca="false">IFERROR(IF(OR(HLOOKUP($A1135,#REF!,6,FALSE())&gt;2,HLOOKUP($A1135,#REF!,6,FALSE())&lt;-2),"",#REF!),"")</f>
        <v/>
      </c>
      <c r="I1135" s="0" t="str">
        <f aca="false">IFERROR(IF(OR(HLOOKUP($A1135,#REF!,7,FALSE())&gt;2,HLOOKUP($A1135,#REF!,7,FALSE())&lt;-2),"",#REF!),"")</f>
        <v/>
      </c>
      <c r="J1135" s="0" t="str">
        <f aca="false">IFERROR(IF(OR(HLOOKUP($A1135,#REF!,8,FALSE())&gt;2,HLOOKUP($A1135,#REF!,8,FALSE())&lt;-2),"",#REF!),"")</f>
        <v/>
      </c>
      <c r="K1135" s="0" t="str">
        <f aca="false">IFERROR(IF(OR(HLOOKUP($A1135,#REF!,9,FALSE())&gt;2,HLOOKUP($A1135,#REF!,9,FALSE())&lt;-2),"",#REF!),"")</f>
        <v/>
      </c>
      <c r="L1135" s="0" t="str">
        <f aca="false">IFERROR(IF(OR(HLOOKUP($A1135,#REF!,10,FALSE())&gt;2,HLOOKUP($A1135,#REF!,10,FALSE())&lt;-2),"",#REF!),"")</f>
        <v/>
      </c>
      <c r="M1135" s="0" t="str">
        <f aca="false">IFERROR(IF(OR(HLOOKUP($A1135,#REF!,11,FALSE())&gt;2,HLOOKUP($A1135,#REF!,11,FALSE())&lt;-2),"",#REF!),"")</f>
        <v/>
      </c>
      <c r="N1135" s="0" t="str">
        <f aca="false">IFERROR(IF(OR(HLOOKUP($A1135,#REF!,12,FALSE())&gt;2,HLOOKUP($A1135,#REF!,12,FALSE())&lt;-2),"",#REF!),"")</f>
        <v/>
      </c>
      <c r="O1135" s="0" t="str">
        <f aca="false">IFERROR(IF(OR(HLOOKUP($A1135,#REF!,13,FALSE())&gt;2,HLOOKUP($A1135,#REF!,13,FALSE())&lt;-2),"",#REF!),"")</f>
        <v/>
      </c>
      <c r="P1135" s="0" t="str">
        <f aca="false">IFERROR(IF(OR(HLOOKUP($A1135,#REF!,14,FALSE())&gt;2,HLOOKUP($A1135,#REF!,14,FALSE())&lt;-2),"",#REF!),"")</f>
        <v/>
      </c>
      <c r="Q1135" s="0" t="str">
        <f aca="false">IFERROR(IF(OR(HLOOKUP($A1135,#REF!,15,FALSE())&gt;2,HLOOKUP($A1135,#REF!,15,FALSE())&lt;-2),"",#REF!),"")</f>
        <v/>
      </c>
      <c r="R1135" s="0" t="str">
        <f aca="false">IFERROR(IF(OR(HLOOKUP($A1135,#REF!,16,FALSE())&gt;2,HLOOKUP($A1135,#REF!,16,FALSE())&lt;-2),"",#REF!),"")</f>
        <v/>
      </c>
      <c r="S1135" s="0" t="str">
        <f aca="false">IFERROR(IF(OR(HLOOKUP($A1135,#REF!,17,FALSE())&gt;2,HLOOKUP($A1135,#REF!,17,FALSE())&lt;-2),"",#REF!),"")</f>
        <v/>
      </c>
      <c r="T1135" s="0" t="str">
        <f aca="false">IFERROR(IF(OR(HLOOKUP($A1135,#REF!,18,FALSE())&gt;2,HLOOKUP($A1135,#REF!,18,FALSE())&lt;-2),"",#REF!),"")</f>
        <v/>
      </c>
      <c r="U1135" s="0" t="str">
        <f aca="false">IFERROR(IF(OR(HLOOKUP($A1135,#REF!,19,FALSE())&gt;2,HLOOKUP($A1135,#REF!,19,FALSE())&lt;-2),"",#REF!),"")</f>
        <v/>
      </c>
      <c r="V1135" s="0" t="n">
        <f aca="false">IFERROR(IF(AND(X1135=0,Y1135=0),0,1),0)</f>
        <v>1</v>
      </c>
      <c r="W1135" s="3" t="str">
        <f aca="false">IFERROR(_xlfn.T.TEST(E1135:M1135,N1135:U1135,2,2),"")</f>
        <v/>
      </c>
      <c r="X1135" s="0" t="str">
        <f aca="false">IFERROR(AVERAGE(E1135:M1135),"")</f>
        <v/>
      </c>
      <c r="Y1135" s="0" t="str">
        <f aca="false">IFERROR(AVERAGE(N1135:U1135),"")</f>
        <v/>
      </c>
    </row>
    <row r="1136" customFormat="false" ht="14.5" hidden="false" customHeight="false" outlineLevel="0" collapsed="false">
      <c r="A1136" s="0" t="n">
        <v>10678</v>
      </c>
      <c r="B1136" s="0" t="s">
        <v>1179</v>
      </c>
      <c r="C1136" s="0" t="n">
        <v>60900</v>
      </c>
      <c r="D1136" s="0" t="n">
        <v>1064</v>
      </c>
      <c r="E1136" s="0" t="str">
        <f aca="false">IFERROR(IF(OR(HLOOKUP($A1136,#REF!,3,FALSE())&gt;2,HLOOKUP(A1136,#REF!,3,FALSE())&lt;-2),"",#REF!),"")</f>
        <v/>
      </c>
      <c r="F1136" s="0" t="str">
        <f aca="false">IFERROR(IF(OR(HLOOKUP($A1136,#REF!,4,FALSE())&gt;2,HLOOKUP($A1136,#REF!,4,FALSE())&lt;-2),"",#REF!),"")</f>
        <v/>
      </c>
      <c r="G1136" s="0" t="str">
        <f aca="false">IFERROR(IF(OR(HLOOKUP($A1136,#REF!,5,FALSE())&gt;2,HLOOKUP($A1136,#REF!,5,FALSE())&lt;-2),"",#REF!),"")</f>
        <v/>
      </c>
      <c r="H1136" s="0" t="str">
        <f aca="false">IFERROR(IF(OR(HLOOKUP($A1136,#REF!,6,FALSE())&gt;2,HLOOKUP($A1136,#REF!,6,FALSE())&lt;-2),"",#REF!),"")</f>
        <v/>
      </c>
      <c r="I1136" s="0" t="str">
        <f aca="false">IFERROR(IF(OR(HLOOKUP($A1136,#REF!,7,FALSE())&gt;2,HLOOKUP($A1136,#REF!,7,FALSE())&lt;-2),"",#REF!),"")</f>
        <v/>
      </c>
      <c r="J1136" s="0" t="str">
        <f aca="false">IFERROR(IF(OR(HLOOKUP($A1136,#REF!,8,FALSE())&gt;2,HLOOKUP($A1136,#REF!,8,FALSE())&lt;-2),"",#REF!),"")</f>
        <v/>
      </c>
      <c r="K1136" s="0" t="str">
        <f aca="false">IFERROR(IF(OR(HLOOKUP($A1136,#REF!,9,FALSE())&gt;2,HLOOKUP($A1136,#REF!,9,FALSE())&lt;-2),"",#REF!),"")</f>
        <v/>
      </c>
      <c r="L1136" s="0" t="str">
        <f aca="false">IFERROR(IF(OR(HLOOKUP($A1136,#REF!,10,FALSE())&gt;2,HLOOKUP($A1136,#REF!,10,FALSE())&lt;-2),"",#REF!),"")</f>
        <v/>
      </c>
      <c r="M1136" s="0" t="str">
        <f aca="false">IFERROR(IF(OR(HLOOKUP($A1136,#REF!,11,FALSE())&gt;2,HLOOKUP($A1136,#REF!,11,FALSE())&lt;-2),"",#REF!),"")</f>
        <v/>
      </c>
      <c r="N1136" s="0" t="str">
        <f aca="false">IFERROR(IF(OR(HLOOKUP($A1136,#REF!,12,FALSE())&gt;2,HLOOKUP($A1136,#REF!,12,FALSE())&lt;-2),"",#REF!),"")</f>
        <v/>
      </c>
      <c r="O1136" s="0" t="str">
        <f aca="false">IFERROR(IF(OR(HLOOKUP($A1136,#REF!,13,FALSE())&gt;2,HLOOKUP($A1136,#REF!,13,FALSE())&lt;-2),"",#REF!),"")</f>
        <v/>
      </c>
      <c r="P1136" s="0" t="str">
        <f aca="false">IFERROR(IF(OR(HLOOKUP($A1136,#REF!,14,FALSE())&gt;2,HLOOKUP($A1136,#REF!,14,FALSE())&lt;-2),"",#REF!),"")</f>
        <v/>
      </c>
      <c r="Q1136" s="0" t="str">
        <f aca="false">IFERROR(IF(OR(HLOOKUP($A1136,#REF!,15,FALSE())&gt;2,HLOOKUP($A1136,#REF!,15,FALSE())&lt;-2),"",#REF!),"")</f>
        <v/>
      </c>
      <c r="R1136" s="0" t="str">
        <f aca="false">IFERROR(IF(OR(HLOOKUP($A1136,#REF!,16,FALSE())&gt;2,HLOOKUP($A1136,#REF!,16,FALSE())&lt;-2),"",#REF!),"")</f>
        <v/>
      </c>
      <c r="S1136" s="0" t="str">
        <f aca="false">IFERROR(IF(OR(HLOOKUP($A1136,#REF!,17,FALSE())&gt;2,HLOOKUP($A1136,#REF!,17,FALSE())&lt;-2),"",#REF!),"")</f>
        <v/>
      </c>
      <c r="T1136" s="0" t="str">
        <f aca="false">IFERROR(IF(OR(HLOOKUP($A1136,#REF!,18,FALSE())&gt;2,HLOOKUP($A1136,#REF!,18,FALSE())&lt;-2),"",#REF!),"")</f>
        <v/>
      </c>
      <c r="U1136" s="0" t="str">
        <f aca="false">IFERROR(IF(OR(HLOOKUP($A1136,#REF!,19,FALSE())&gt;2,HLOOKUP($A1136,#REF!,19,FALSE())&lt;-2),"",#REF!),"")</f>
        <v/>
      </c>
      <c r="V1136" s="0" t="n">
        <f aca="false">IFERROR(IF(AND(X1136=0,Y1136=0),0,1),0)</f>
        <v>1</v>
      </c>
      <c r="W1136" s="3" t="str">
        <f aca="false">IFERROR(_xlfn.T.TEST(E1136:M1136,N1136:U1136,2,2),"")</f>
        <v/>
      </c>
      <c r="X1136" s="0" t="str">
        <f aca="false">IFERROR(AVERAGE(E1136:M1136),"")</f>
        <v/>
      </c>
      <c r="Y1136" s="0" t="str">
        <f aca="false">IFERROR(AVERAGE(N1136:U1136),"")</f>
        <v/>
      </c>
    </row>
    <row r="1137" customFormat="false" ht="14.5" hidden="false" customHeight="false" outlineLevel="0" collapsed="false">
      <c r="A1137" s="0" t="n">
        <v>10679</v>
      </c>
      <c r="B1137" s="0" t="s">
        <v>1180</v>
      </c>
      <c r="C1137" s="0" t="n">
        <v>60800</v>
      </c>
      <c r="D1137" s="0" t="n">
        <v>1064</v>
      </c>
      <c r="E1137" s="0" t="str">
        <f aca="false">IFERROR(IF(OR(HLOOKUP($A1137,#REF!,3,FALSE())&gt;2,HLOOKUP(A1137,#REF!,3,FALSE())&lt;-2),"",#REF!),"")</f>
        <v/>
      </c>
      <c r="F1137" s="0" t="str">
        <f aca="false">IFERROR(IF(OR(HLOOKUP($A1137,#REF!,4,FALSE())&gt;2,HLOOKUP($A1137,#REF!,4,FALSE())&lt;-2),"",#REF!),"")</f>
        <v/>
      </c>
      <c r="G1137" s="0" t="str">
        <f aca="false">IFERROR(IF(OR(HLOOKUP($A1137,#REF!,5,FALSE())&gt;2,HLOOKUP($A1137,#REF!,5,FALSE())&lt;-2),"",#REF!),"")</f>
        <v/>
      </c>
      <c r="H1137" s="0" t="str">
        <f aca="false">IFERROR(IF(OR(HLOOKUP($A1137,#REF!,6,FALSE())&gt;2,HLOOKUP($A1137,#REF!,6,FALSE())&lt;-2),"",#REF!),"")</f>
        <v/>
      </c>
      <c r="I1137" s="0" t="str">
        <f aca="false">IFERROR(IF(OR(HLOOKUP($A1137,#REF!,7,FALSE())&gt;2,HLOOKUP($A1137,#REF!,7,FALSE())&lt;-2),"",#REF!),"")</f>
        <v/>
      </c>
      <c r="J1137" s="0" t="str">
        <f aca="false">IFERROR(IF(OR(HLOOKUP($A1137,#REF!,8,FALSE())&gt;2,HLOOKUP($A1137,#REF!,8,FALSE())&lt;-2),"",#REF!),"")</f>
        <v/>
      </c>
      <c r="K1137" s="0" t="str">
        <f aca="false">IFERROR(IF(OR(HLOOKUP($A1137,#REF!,9,FALSE())&gt;2,HLOOKUP($A1137,#REF!,9,FALSE())&lt;-2),"",#REF!),"")</f>
        <v/>
      </c>
      <c r="L1137" s="0" t="str">
        <f aca="false">IFERROR(IF(OR(HLOOKUP($A1137,#REF!,10,FALSE())&gt;2,HLOOKUP($A1137,#REF!,10,FALSE())&lt;-2),"",#REF!),"")</f>
        <v/>
      </c>
      <c r="M1137" s="0" t="str">
        <f aca="false">IFERROR(IF(OR(HLOOKUP($A1137,#REF!,11,FALSE())&gt;2,HLOOKUP($A1137,#REF!,11,FALSE())&lt;-2),"",#REF!),"")</f>
        <v/>
      </c>
      <c r="N1137" s="0" t="str">
        <f aca="false">IFERROR(IF(OR(HLOOKUP($A1137,#REF!,12,FALSE())&gt;2,HLOOKUP($A1137,#REF!,12,FALSE())&lt;-2),"",#REF!),"")</f>
        <v/>
      </c>
      <c r="O1137" s="0" t="str">
        <f aca="false">IFERROR(IF(OR(HLOOKUP($A1137,#REF!,13,FALSE())&gt;2,HLOOKUP($A1137,#REF!,13,FALSE())&lt;-2),"",#REF!),"")</f>
        <v/>
      </c>
      <c r="P1137" s="0" t="str">
        <f aca="false">IFERROR(IF(OR(HLOOKUP($A1137,#REF!,14,FALSE())&gt;2,HLOOKUP($A1137,#REF!,14,FALSE())&lt;-2),"",#REF!),"")</f>
        <v/>
      </c>
      <c r="Q1137" s="0" t="str">
        <f aca="false">IFERROR(IF(OR(HLOOKUP($A1137,#REF!,15,FALSE())&gt;2,HLOOKUP($A1137,#REF!,15,FALSE())&lt;-2),"",#REF!),"")</f>
        <v/>
      </c>
      <c r="R1137" s="0" t="str">
        <f aca="false">IFERROR(IF(OR(HLOOKUP($A1137,#REF!,16,FALSE())&gt;2,HLOOKUP($A1137,#REF!,16,FALSE())&lt;-2),"",#REF!),"")</f>
        <v/>
      </c>
      <c r="S1137" s="0" t="str">
        <f aca="false">IFERROR(IF(OR(HLOOKUP($A1137,#REF!,17,FALSE())&gt;2,HLOOKUP($A1137,#REF!,17,FALSE())&lt;-2),"",#REF!),"")</f>
        <v/>
      </c>
      <c r="T1137" s="0" t="str">
        <f aca="false">IFERROR(IF(OR(HLOOKUP($A1137,#REF!,18,FALSE())&gt;2,HLOOKUP($A1137,#REF!,18,FALSE())&lt;-2),"",#REF!),"")</f>
        <v/>
      </c>
      <c r="U1137" s="0" t="str">
        <f aca="false">IFERROR(IF(OR(HLOOKUP($A1137,#REF!,19,FALSE())&gt;2,HLOOKUP($A1137,#REF!,19,FALSE())&lt;-2),"",#REF!),"")</f>
        <v/>
      </c>
      <c r="V1137" s="0" t="n">
        <f aca="false">IFERROR(IF(AND(X1137=0,Y1137=0),0,1),0)</f>
        <v>1</v>
      </c>
      <c r="W1137" s="3" t="str">
        <f aca="false">IFERROR(_xlfn.T.TEST(E1137:M1137,N1137:U1137,2,2),"")</f>
        <v/>
      </c>
      <c r="X1137" s="0" t="str">
        <f aca="false">IFERROR(AVERAGE(E1137:M1137),"")</f>
        <v/>
      </c>
      <c r="Y1137" s="0" t="str">
        <f aca="false">IFERROR(AVERAGE(N1137:U1137),"")</f>
        <v/>
      </c>
    </row>
    <row r="1138" customFormat="false" ht="14.5" hidden="false" customHeight="false" outlineLevel="0" collapsed="false">
      <c r="A1138" s="0" t="n">
        <v>10680</v>
      </c>
      <c r="B1138" s="0" t="s">
        <v>1181</v>
      </c>
      <c r="C1138" s="0" t="n">
        <v>60700</v>
      </c>
      <c r="D1138" s="0" t="n">
        <v>1064</v>
      </c>
      <c r="E1138" s="0" t="str">
        <f aca="false">IFERROR(IF(OR(HLOOKUP($A1138,#REF!,3,FALSE())&gt;2,HLOOKUP(A1138,#REF!,3,FALSE())&lt;-2),"",#REF!),"")</f>
        <v/>
      </c>
      <c r="F1138" s="0" t="str">
        <f aca="false">IFERROR(IF(OR(HLOOKUP($A1138,#REF!,4,FALSE())&gt;2,HLOOKUP($A1138,#REF!,4,FALSE())&lt;-2),"",#REF!),"")</f>
        <v/>
      </c>
      <c r="G1138" s="0" t="str">
        <f aca="false">IFERROR(IF(OR(HLOOKUP($A1138,#REF!,5,FALSE())&gt;2,HLOOKUP($A1138,#REF!,5,FALSE())&lt;-2),"",#REF!),"")</f>
        <v/>
      </c>
      <c r="H1138" s="0" t="str">
        <f aca="false">IFERROR(IF(OR(HLOOKUP($A1138,#REF!,6,FALSE())&gt;2,HLOOKUP($A1138,#REF!,6,FALSE())&lt;-2),"",#REF!),"")</f>
        <v/>
      </c>
      <c r="I1138" s="0" t="str">
        <f aca="false">IFERROR(IF(OR(HLOOKUP($A1138,#REF!,7,FALSE())&gt;2,HLOOKUP($A1138,#REF!,7,FALSE())&lt;-2),"",#REF!),"")</f>
        <v/>
      </c>
      <c r="J1138" s="0" t="str">
        <f aca="false">IFERROR(IF(OR(HLOOKUP($A1138,#REF!,8,FALSE())&gt;2,HLOOKUP($A1138,#REF!,8,FALSE())&lt;-2),"",#REF!),"")</f>
        <v/>
      </c>
      <c r="K1138" s="0" t="str">
        <f aca="false">IFERROR(IF(OR(HLOOKUP($A1138,#REF!,9,FALSE())&gt;2,HLOOKUP($A1138,#REF!,9,FALSE())&lt;-2),"",#REF!),"")</f>
        <v/>
      </c>
      <c r="L1138" s="0" t="str">
        <f aca="false">IFERROR(IF(OR(HLOOKUP($A1138,#REF!,10,FALSE())&gt;2,HLOOKUP($A1138,#REF!,10,FALSE())&lt;-2),"",#REF!),"")</f>
        <v/>
      </c>
      <c r="M1138" s="0" t="str">
        <f aca="false">IFERROR(IF(OR(HLOOKUP($A1138,#REF!,11,FALSE())&gt;2,HLOOKUP($A1138,#REF!,11,FALSE())&lt;-2),"",#REF!),"")</f>
        <v/>
      </c>
      <c r="N1138" s="0" t="str">
        <f aca="false">IFERROR(IF(OR(HLOOKUP($A1138,#REF!,12,FALSE())&gt;2,HLOOKUP($A1138,#REF!,12,FALSE())&lt;-2),"",#REF!),"")</f>
        <v/>
      </c>
      <c r="O1138" s="0" t="str">
        <f aca="false">IFERROR(IF(OR(HLOOKUP($A1138,#REF!,13,FALSE())&gt;2,HLOOKUP($A1138,#REF!,13,FALSE())&lt;-2),"",#REF!),"")</f>
        <v/>
      </c>
      <c r="P1138" s="0" t="str">
        <f aca="false">IFERROR(IF(OR(HLOOKUP($A1138,#REF!,14,FALSE())&gt;2,HLOOKUP($A1138,#REF!,14,FALSE())&lt;-2),"",#REF!),"")</f>
        <v/>
      </c>
      <c r="Q1138" s="0" t="str">
        <f aca="false">IFERROR(IF(OR(HLOOKUP($A1138,#REF!,15,FALSE())&gt;2,HLOOKUP($A1138,#REF!,15,FALSE())&lt;-2),"",#REF!),"")</f>
        <v/>
      </c>
      <c r="R1138" s="0" t="str">
        <f aca="false">IFERROR(IF(OR(HLOOKUP($A1138,#REF!,16,FALSE())&gt;2,HLOOKUP($A1138,#REF!,16,FALSE())&lt;-2),"",#REF!),"")</f>
        <v/>
      </c>
      <c r="S1138" s="0" t="str">
        <f aca="false">IFERROR(IF(OR(HLOOKUP($A1138,#REF!,17,FALSE())&gt;2,HLOOKUP($A1138,#REF!,17,FALSE())&lt;-2),"",#REF!),"")</f>
        <v/>
      </c>
      <c r="T1138" s="0" t="str">
        <f aca="false">IFERROR(IF(OR(HLOOKUP($A1138,#REF!,18,FALSE())&gt;2,HLOOKUP($A1138,#REF!,18,FALSE())&lt;-2),"",#REF!),"")</f>
        <v/>
      </c>
      <c r="U1138" s="0" t="str">
        <f aca="false">IFERROR(IF(OR(HLOOKUP($A1138,#REF!,19,FALSE())&gt;2,HLOOKUP($A1138,#REF!,19,FALSE())&lt;-2),"",#REF!),"")</f>
        <v/>
      </c>
      <c r="V1138" s="0" t="n">
        <f aca="false">IFERROR(IF(AND(X1138=0,Y1138=0),0,1),0)</f>
        <v>1</v>
      </c>
      <c r="W1138" s="3" t="str">
        <f aca="false">IFERROR(_xlfn.T.TEST(E1138:M1138,N1138:U1138,2,2),"")</f>
        <v/>
      </c>
      <c r="X1138" s="0" t="str">
        <f aca="false">IFERROR(AVERAGE(E1138:M1138),"")</f>
        <v/>
      </c>
      <c r="Y1138" s="0" t="str">
        <f aca="false">IFERROR(AVERAGE(N1138:U1138),"")</f>
        <v/>
      </c>
    </row>
    <row r="1139" customFormat="false" ht="14.5" hidden="false" customHeight="false" outlineLevel="0" collapsed="false">
      <c r="A1139" s="0" t="n">
        <v>10681</v>
      </c>
      <c r="B1139" s="0" t="s">
        <v>1182</v>
      </c>
      <c r="C1139" s="0" t="n">
        <v>61300</v>
      </c>
      <c r="D1139" s="0" t="n">
        <v>1025</v>
      </c>
      <c r="E1139" s="0" t="str">
        <f aca="false">IFERROR(IF(OR(HLOOKUP($A1139,#REF!,3,FALSE())&gt;2,HLOOKUP(A1139,#REF!,3,FALSE())&lt;-2),"",#REF!),"")</f>
        <v/>
      </c>
      <c r="F1139" s="0" t="str">
        <f aca="false">IFERROR(IF(OR(HLOOKUP($A1139,#REF!,4,FALSE())&gt;2,HLOOKUP($A1139,#REF!,4,FALSE())&lt;-2),"",#REF!),"")</f>
        <v/>
      </c>
      <c r="G1139" s="0" t="str">
        <f aca="false">IFERROR(IF(OR(HLOOKUP($A1139,#REF!,5,FALSE())&gt;2,HLOOKUP($A1139,#REF!,5,FALSE())&lt;-2),"",#REF!),"")</f>
        <v/>
      </c>
      <c r="H1139" s="0" t="str">
        <f aca="false">IFERROR(IF(OR(HLOOKUP($A1139,#REF!,6,FALSE())&gt;2,HLOOKUP($A1139,#REF!,6,FALSE())&lt;-2),"",#REF!),"")</f>
        <v/>
      </c>
      <c r="I1139" s="0" t="str">
        <f aca="false">IFERROR(IF(OR(HLOOKUP($A1139,#REF!,7,FALSE())&gt;2,HLOOKUP($A1139,#REF!,7,FALSE())&lt;-2),"",#REF!),"")</f>
        <v/>
      </c>
      <c r="J1139" s="0" t="str">
        <f aca="false">IFERROR(IF(OR(HLOOKUP($A1139,#REF!,8,FALSE())&gt;2,HLOOKUP($A1139,#REF!,8,FALSE())&lt;-2),"",#REF!),"")</f>
        <v/>
      </c>
      <c r="K1139" s="0" t="str">
        <f aca="false">IFERROR(IF(OR(HLOOKUP($A1139,#REF!,9,FALSE())&gt;2,HLOOKUP($A1139,#REF!,9,FALSE())&lt;-2),"",#REF!),"")</f>
        <v/>
      </c>
      <c r="L1139" s="0" t="str">
        <f aca="false">IFERROR(IF(OR(HLOOKUP($A1139,#REF!,10,FALSE())&gt;2,HLOOKUP($A1139,#REF!,10,FALSE())&lt;-2),"",#REF!),"")</f>
        <v/>
      </c>
      <c r="M1139" s="0" t="str">
        <f aca="false">IFERROR(IF(OR(HLOOKUP($A1139,#REF!,11,FALSE())&gt;2,HLOOKUP($A1139,#REF!,11,FALSE())&lt;-2),"",#REF!),"")</f>
        <v/>
      </c>
      <c r="N1139" s="0" t="str">
        <f aca="false">IFERROR(IF(OR(HLOOKUP($A1139,#REF!,12,FALSE())&gt;2,HLOOKUP($A1139,#REF!,12,FALSE())&lt;-2),"",#REF!),"")</f>
        <v/>
      </c>
      <c r="O1139" s="0" t="str">
        <f aca="false">IFERROR(IF(OR(HLOOKUP($A1139,#REF!,13,FALSE())&gt;2,HLOOKUP($A1139,#REF!,13,FALSE())&lt;-2),"",#REF!),"")</f>
        <v/>
      </c>
      <c r="P1139" s="0" t="str">
        <f aca="false">IFERROR(IF(OR(HLOOKUP($A1139,#REF!,14,FALSE())&gt;2,HLOOKUP($A1139,#REF!,14,FALSE())&lt;-2),"",#REF!),"")</f>
        <v/>
      </c>
      <c r="Q1139" s="0" t="str">
        <f aca="false">IFERROR(IF(OR(HLOOKUP($A1139,#REF!,15,FALSE())&gt;2,HLOOKUP($A1139,#REF!,15,FALSE())&lt;-2),"",#REF!),"")</f>
        <v/>
      </c>
      <c r="R1139" s="0" t="str">
        <f aca="false">IFERROR(IF(OR(HLOOKUP($A1139,#REF!,16,FALSE())&gt;2,HLOOKUP($A1139,#REF!,16,FALSE())&lt;-2),"",#REF!),"")</f>
        <v/>
      </c>
      <c r="S1139" s="0" t="str">
        <f aca="false">IFERROR(IF(OR(HLOOKUP($A1139,#REF!,17,FALSE())&gt;2,HLOOKUP($A1139,#REF!,17,FALSE())&lt;-2),"",#REF!),"")</f>
        <v/>
      </c>
      <c r="T1139" s="0" t="str">
        <f aca="false">IFERROR(IF(OR(HLOOKUP($A1139,#REF!,18,FALSE())&gt;2,HLOOKUP($A1139,#REF!,18,FALSE())&lt;-2),"",#REF!),"")</f>
        <v/>
      </c>
      <c r="U1139" s="0" t="str">
        <f aca="false">IFERROR(IF(OR(HLOOKUP($A1139,#REF!,19,FALSE())&gt;2,HLOOKUP($A1139,#REF!,19,FALSE())&lt;-2),"",#REF!),"")</f>
        <v/>
      </c>
      <c r="V1139" s="0" t="n">
        <f aca="false">IFERROR(IF(AND(X1139=0,Y1139=0),0,1),0)</f>
        <v>1</v>
      </c>
      <c r="W1139" s="3" t="str">
        <f aca="false">IFERROR(_xlfn.T.TEST(E1139:M1139,N1139:U1139,2,2),"")</f>
        <v/>
      </c>
      <c r="X1139" s="0" t="str">
        <f aca="false">IFERROR(AVERAGE(E1139:M1139),"")</f>
        <v/>
      </c>
      <c r="Y1139" s="0" t="str">
        <f aca="false">IFERROR(AVERAGE(N1139:U1139),"")</f>
        <v/>
      </c>
    </row>
    <row r="1140" customFormat="false" ht="14.5" hidden="false" customHeight="false" outlineLevel="0" collapsed="false">
      <c r="A1140" s="0" t="n">
        <v>10682</v>
      </c>
      <c r="B1140" s="0" t="s">
        <v>1183</v>
      </c>
      <c r="C1140" s="0" t="n">
        <v>61200</v>
      </c>
      <c r="D1140" s="0" t="n">
        <v>1025</v>
      </c>
      <c r="E1140" s="0" t="str">
        <f aca="false">IFERROR(IF(OR(HLOOKUP($A1140,#REF!,3,FALSE())&gt;2,HLOOKUP(A1140,#REF!,3,FALSE())&lt;-2),"",#REF!),"")</f>
        <v/>
      </c>
      <c r="F1140" s="0" t="str">
        <f aca="false">IFERROR(IF(OR(HLOOKUP($A1140,#REF!,4,FALSE())&gt;2,HLOOKUP($A1140,#REF!,4,FALSE())&lt;-2),"",#REF!),"")</f>
        <v/>
      </c>
      <c r="G1140" s="0" t="str">
        <f aca="false">IFERROR(IF(OR(HLOOKUP($A1140,#REF!,5,FALSE())&gt;2,HLOOKUP($A1140,#REF!,5,FALSE())&lt;-2),"",#REF!),"")</f>
        <v/>
      </c>
      <c r="H1140" s="0" t="str">
        <f aca="false">IFERROR(IF(OR(HLOOKUP($A1140,#REF!,6,FALSE())&gt;2,HLOOKUP($A1140,#REF!,6,FALSE())&lt;-2),"",#REF!),"")</f>
        <v/>
      </c>
      <c r="I1140" s="0" t="str">
        <f aca="false">IFERROR(IF(OR(HLOOKUP($A1140,#REF!,7,FALSE())&gt;2,HLOOKUP($A1140,#REF!,7,FALSE())&lt;-2),"",#REF!),"")</f>
        <v/>
      </c>
      <c r="J1140" s="0" t="str">
        <f aca="false">IFERROR(IF(OR(HLOOKUP($A1140,#REF!,8,FALSE())&gt;2,HLOOKUP($A1140,#REF!,8,FALSE())&lt;-2),"",#REF!),"")</f>
        <v/>
      </c>
      <c r="K1140" s="0" t="str">
        <f aca="false">IFERROR(IF(OR(HLOOKUP($A1140,#REF!,9,FALSE())&gt;2,HLOOKUP($A1140,#REF!,9,FALSE())&lt;-2),"",#REF!),"")</f>
        <v/>
      </c>
      <c r="L1140" s="0" t="str">
        <f aca="false">IFERROR(IF(OR(HLOOKUP($A1140,#REF!,10,FALSE())&gt;2,HLOOKUP($A1140,#REF!,10,FALSE())&lt;-2),"",#REF!),"")</f>
        <v/>
      </c>
      <c r="M1140" s="0" t="str">
        <f aca="false">IFERROR(IF(OR(HLOOKUP($A1140,#REF!,11,FALSE())&gt;2,HLOOKUP($A1140,#REF!,11,FALSE())&lt;-2),"",#REF!),"")</f>
        <v/>
      </c>
      <c r="N1140" s="0" t="str">
        <f aca="false">IFERROR(IF(OR(HLOOKUP($A1140,#REF!,12,FALSE())&gt;2,HLOOKUP($A1140,#REF!,12,FALSE())&lt;-2),"",#REF!),"")</f>
        <v/>
      </c>
      <c r="O1140" s="0" t="str">
        <f aca="false">IFERROR(IF(OR(HLOOKUP($A1140,#REF!,13,FALSE())&gt;2,HLOOKUP($A1140,#REF!,13,FALSE())&lt;-2),"",#REF!),"")</f>
        <v/>
      </c>
      <c r="P1140" s="0" t="str">
        <f aca="false">IFERROR(IF(OR(HLOOKUP($A1140,#REF!,14,FALSE())&gt;2,HLOOKUP($A1140,#REF!,14,FALSE())&lt;-2),"",#REF!),"")</f>
        <v/>
      </c>
      <c r="Q1140" s="0" t="str">
        <f aca="false">IFERROR(IF(OR(HLOOKUP($A1140,#REF!,15,FALSE())&gt;2,HLOOKUP($A1140,#REF!,15,FALSE())&lt;-2),"",#REF!),"")</f>
        <v/>
      </c>
      <c r="R1140" s="0" t="str">
        <f aca="false">IFERROR(IF(OR(HLOOKUP($A1140,#REF!,16,FALSE())&gt;2,HLOOKUP($A1140,#REF!,16,FALSE())&lt;-2),"",#REF!),"")</f>
        <v/>
      </c>
      <c r="S1140" s="0" t="str">
        <f aca="false">IFERROR(IF(OR(HLOOKUP($A1140,#REF!,17,FALSE())&gt;2,HLOOKUP($A1140,#REF!,17,FALSE())&lt;-2),"",#REF!),"")</f>
        <v/>
      </c>
      <c r="T1140" s="0" t="str">
        <f aca="false">IFERROR(IF(OR(HLOOKUP($A1140,#REF!,18,FALSE())&gt;2,HLOOKUP($A1140,#REF!,18,FALSE())&lt;-2),"",#REF!),"")</f>
        <v/>
      </c>
      <c r="U1140" s="0" t="str">
        <f aca="false">IFERROR(IF(OR(HLOOKUP($A1140,#REF!,19,FALSE())&gt;2,HLOOKUP($A1140,#REF!,19,FALSE())&lt;-2),"",#REF!),"")</f>
        <v/>
      </c>
      <c r="V1140" s="0" t="n">
        <f aca="false">IFERROR(IF(AND(X1140=0,Y1140=0),0,1),0)</f>
        <v>1</v>
      </c>
      <c r="W1140" s="3" t="str">
        <f aca="false">IFERROR(_xlfn.T.TEST(E1140:M1140,N1140:U1140,2,2),"")</f>
        <v/>
      </c>
      <c r="X1140" s="0" t="str">
        <f aca="false">IFERROR(AVERAGE(E1140:M1140),"")</f>
        <v/>
      </c>
      <c r="Y1140" s="0" t="str">
        <f aca="false">IFERROR(AVERAGE(N1140:U1140),"")</f>
        <v/>
      </c>
    </row>
    <row r="1141" customFormat="false" ht="14.5" hidden="false" customHeight="false" outlineLevel="0" collapsed="false">
      <c r="A1141" s="0" t="n">
        <v>10683</v>
      </c>
      <c r="B1141" s="0" t="s">
        <v>1184</v>
      </c>
      <c r="C1141" s="0" t="n">
        <v>61100</v>
      </c>
      <c r="D1141" s="0" t="n">
        <v>1025</v>
      </c>
      <c r="E1141" s="0" t="str">
        <f aca="false">IFERROR(IF(OR(HLOOKUP($A1141,#REF!,3,FALSE())&gt;2,HLOOKUP(A1141,#REF!,3,FALSE())&lt;-2),"",#REF!),"")</f>
        <v/>
      </c>
      <c r="F1141" s="0" t="str">
        <f aca="false">IFERROR(IF(OR(HLOOKUP($A1141,#REF!,4,FALSE())&gt;2,HLOOKUP($A1141,#REF!,4,FALSE())&lt;-2),"",#REF!),"")</f>
        <v/>
      </c>
      <c r="G1141" s="0" t="str">
        <f aca="false">IFERROR(IF(OR(HLOOKUP($A1141,#REF!,5,FALSE())&gt;2,HLOOKUP($A1141,#REF!,5,FALSE())&lt;-2),"",#REF!),"")</f>
        <v/>
      </c>
      <c r="H1141" s="0" t="str">
        <f aca="false">IFERROR(IF(OR(HLOOKUP($A1141,#REF!,6,FALSE())&gt;2,HLOOKUP($A1141,#REF!,6,FALSE())&lt;-2),"",#REF!),"")</f>
        <v/>
      </c>
      <c r="I1141" s="0" t="str">
        <f aca="false">IFERROR(IF(OR(HLOOKUP($A1141,#REF!,7,FALSE())&gt;2,HLOOKUP($A1141,#REF!,7,FALSE())&lt;-2),"",#REF!),"")</f>
        <v/>
      </c>
      <c r="J1141" s="0" t="str">
        <f aca="false">IFERROR(IF(OR(HLOOKUP($A1141,#REF!,8,FALSE())&gt;2,HLOOKUP($A1141,#REF!,8,FALSE())&lt;-2),"",#REF!),"")</f>
        <v/>
      </c>
      <c r="K1141" s="0" t="str">
        <f aca="false">IFERROR(IF(OR(HLOOKUP($A1141,#REF!,9,FALSE())&gt;2,HLOOKUP($A1141,#REF!,9,FALSE())&lt;-2),"",#REF!),"")</f>
        <v/>
      </c>
      <c r="L1141" s="0" t="str">
        <f aca="false">IFERROR(IF(OR(HLOOKUP($A1141,#REF!,10,FALSE())&gt;2,HLOOKUP($A1141,#REF!,10,FALSE())&lt;-2),"",#REF!),"")</f>
        <v/>
      </c>
      <c r="M1141" s="0" t="str">
        <f aca="false">IFERROR(IF(OR(HLOOKUP($A1141,#REF!,11,FALSE())&gt;2,HLOOKUP($A1141,#REF!,11,FALSE())&lt;-2),"",#REF!),"")</f>
        <v/>
      </c>
      <c r="N1141" s="0" t="str">
        <f aca="false">IFERROR(IF(OR(HLOOKUP($A1141,#REF!,12,FALSE())&gt;2,HLOOKUP($A1141,#REF!,12,FALSE())&lt;-2),"",#REF!),"")</f>
        <v/>
      </c>
      <c r="O1141" s="0" t="str">
        <f aca="false">IFERROR(IF(OR(HLOOKUP($A1141,#REF!,13,FALSE())&gt;2,HLOOKUP($A1141,#REF!,13,FALSE())&lt;-2),"",#REF!),"")</f>
        <v/>
      </c>
      <c r="P1141" s="0" t="str">
        <f aca="false">IFERROR(IF(OR(HLOOKUP($A1141,#REF!,14,FALSE())&gt;2,HLOOKUP($A1141,#REF!,14,FALSE())&lt;-2),"",#REF!),"")</f>
        <v/>
      </c>
      <c r="Q1141" s="0" t="str">
        <f aca="false">IFERROR(IF(OR(HLOOKUP($A1141,#REF!,15,FALSE())&gt;2,HLOOKUP($A1141,#REF!,15,FALSE())&lt;-2),"",#REF!),"")</f>
        <v/>
      </c>
      <c r="R1141" s="0" t="str">
        <f aca="false">IFERROR(IF(OR(HLOOKUP($A1141,#REF!,16,FALSE())&gt;2,HLOOKUP($A1141,#REF!,16,FALSE())&lt;-2),"",#REF!),"")</f>
        <v/>
      </c>
      <c r="S1141" s="0" t="str">
        <f aca="false">IFERROR(IF(OR(HLOOKUP($A1141,#REF!,17,FALSE())&gt;2,HLOOKUP($A1141,#REF!,17,FALSE())&lt;-2),"",#REF!),"")</f>
        <v/>
      </c>
      <c r="T1141" s="0" t="str">
        <f aca="false">IFERROR(IF(OR(HLOOKUP($A1141,#REF!,18,FALSE())&gt;2,HLOOKUP($A1141,#REF!,18,FALSE())&lt;-2),"",#REF!),"")</f>
        <v/>
      </c>
      <c r="U1141" s="0" t="str">
        <f aca="false">IFERROR(IF(OR(HLOOKUP($A1141,#REF!,19,FALSE())&gt;2,HLOOKUP($A1141,#REF!,19,FALSE())&lt;-2),"",#REF!),"")</f>
        <v/>
      </c>
      <c r="V1141" s="0" t="n">
        <f aca="false">IFERROR(IF(AND(X1141=0,Y1141=0),0,1),0)</f>
        <v>1</v>
      </c>
      <c r="W1141" s="3" t="str">
        <f aca="false">IFERROR(_xlfn.T.TEST(E1141:M1141,N1141:U1141,2,2),"")</f>
        <v/>
      </c>
      <c r="X1141" s="0" t="str">
        <f aca="false">IFERROR(AVERAGE(E1141:M1141),"")</f>
        <v/>
      </c>
      <c r="Y1141" s="0" t="str">
        <f aca="false">IFERROR(AVERAGE(N1141:U1141),"")</f>
        <v/>
      </c>
    </row>
    <row r="1142" customFormat="false" ht="14.5" hidden="false" customHeight="false" outlineLevel="0" collapsed="false">
      <c r="A1142" s="0" t="n">
        <v>10684</v>
      </c>
      <c r="B1142" s="0" t="s">
        <v>1185</v>
      </c>
      <c r="C1142" s="0" t="n">
        <v>61700</v>
      </c>
      <c r="D1142" s="0" t="n">
        <v>1033</v>
      </c>
      <c r="E1142" s="0" t="str">
        <f aca="false">IFERROR(IF(OR(HLOOKUP($A1142,#REF!,3,FALSE())&gt;2,HLOOKUP(A1142,#REF!,3,FALSE())&lt;-2),"",#REF!),"")</f>
        <v/>
      </c>
      <c r="F1142" s="0" t="str">
        <f aca="false">IFERROR(IF(OR(HLOOKUP($A1142,#REF!,4,FALSE())&gt;2,HLOOKUP($A1142,#REF!,4,FALSE())&lt;-2),"",#REF!),"")</f>
        <v/>
      </c>
      <c r="G1142" s="0" t="str">
        <f aca="false">IFERROR(IF(OR(HLOOKUP($A1142,#REF!,5,FALSE())&gt;2,HLOOKUP($A1142,#REF!,5,FALSE())&lt;-2),"",#REF!),"")</f>
        <v/>
      </c>
      <c r="H1142" s="0" t="str">
        <f aca="false">IFERROR(IF(OR(HLOOKUP($A1142,#REF!,6,FALSE())&gt;2,HLOOKUP($A1142,#REF!,6,FALSE())&lt;-2),"",#REF!),"")</f>
        <v/>
      </c>
      <c r="I1142" s="0" t="str">
        <f aca="false">IFERROR(IF(OR(HLOOKUP($A1142,#REF!,7,FALSE())&gt;2,HLOOKUP($A1142,#REF!,7,FALSE())&lt;-2),"",#REF!),"")</f>
        <v/>
      </c>
      <c r="J1142" s="0" t="str">
        <f aca="false">IFERROR(IF(OR(HLOOKUP($A1142,#REF!,8,FALSE())&gt;2,HLOOKUP($A1142,#REF!,8,FALSE())&lt;-2),"",#REF!),"")</f>
        <v/>
      </c>
      <c r="K1142" s="0" t="str">
        <f aca="false">IFERROR(IF(OR(HLOOKUP($A1142,#REF!,9,FALSE())&gt;2,HLOOKUP($A1142,#REF!,9,FALSE())&lt;-2),"",#REF!),"")</f>
        <v/>
      </c>
      <c r="L1142" s="0" t="str">
        <f aca="false">IFERROR(IF(OR(HLOOKUP($A1142,#REF!,10,FALSE())&gt;2,HLOOKUP($A1142,#REF!,10,FALSE())&lt;-2),"",#REF!),"")</f>
        <v/>
      </c>
      <c r="M1142" s="0" t="str">
        <f aca="false">IFERROR(IF(OR(HLOOKUP($A1142,#REF!,11,FALSE())&gt;2,HLOOKUP($A1142,#REF!,11,FALSE())&lt;-2),"",#REF!),"")</f>
        <v/>
      </c>
      <c r="N1142" s="0" t="str">
        <f aca="false">IFERROR(IF(OR(HLOOKUP($A1142,#REF!,12,FALSE())&gt;2,HLOOKUP($A1142,#REF!,12,FALSE())&lt;-2),"",#REF!),"")</f>
        <v/>
      </c>
      <c r="O1142" s="0" t="str">
        <f aca="false">IFERROR(IF(OR(HLOOKUP($A1142,#REF!,13,FALSE())&gt;2,HLOOKUP($A1142,#REF!,13,FALSE())&lt;-2),"",#REF!),"")</f>
        <v/>
      </c>
      <c r="P1142" s="0" t="str">
        <f aca="false">IFERROR(IF(OR(HLOOKUP($A1142,#REF!,14,FALSE())&gt;2,HLOOKUP($A1142,#REF!,14,FALSE())&lt;-2),"",#REF!),"")</f>
        <v/>
      </c>
      <c r="Q1142" s="0" t="str">
        <f aca="false">IFERROR(IF(OR(HLOOKUP($A1142,#REF!,15,FALSE())&gt;2,HLOOKUP($A1142,#REF!,15,FALSE())&lt;-2),"",#REF!),"")</f>
        <v/>
      </c>
      <c r="R1142" s="0" t="str">
        <f aca="false">IFERROR(IF(OR(HLOOKUP($A1142,#REF!,16,FALSE())&gt;2,HLOOKUP($A1142,#REF!,16,FALSE())&lt;-2),"",#REF!),"")</f>
        <v/>
      </c>
      <c r="S1142" s="0" t="str">
        <f aca="false">IFERROR(IF(OR(HLOOKUP($A1142,#REF!,17,FALSE())&gt;2,HLOOKUP($A1142,#REF!,17,FALSE())&lt;-2),"",#REF!),"")</f>
        <v/>
      </c>
      <c r="T1142" s="0" t="str">
        <f aca="false">IFERROR(IF(OR(HLOOKUP($A1142,#REF!,18,FALSE())&gt;2,HLOOKUP($A1142,#REF!,18,FALSE())&lt;-2),"",#REF!),"")</f>
        <v/>
      </c>
      <c r="U1142" s="0" t="str">
        <f aca="false">IFERROR(IF(OR(HLOOKUP($A1142,#REF!,19,FALSE())&gt;2,HLOOKUP($A1142,#REF!,19,FALSE())&lt;-2),"",#REF!),"")</f>
        <v/>
      </c>
      <c r="V1142" s="0" t="n">
        <f aca="false">IFERROR(IF(AND(X1142=0,Y1142=0),0,1),0)</f>
        <v>1</v>
      </c>
      <c r="W1142" s="3" t="str">
        <f aca="false">IFERROR(_xlfn.T.TEST(E1142:M1142,N1142:U1142,2,2),"")</f>
        <v/>
      </c>
      <c r="X1142" s="0" t="str">
        <f aca="false">IFERROR(AVERAGE(E1142:M1142),"")</f>
        <v/>
      </c>
      <c r="Y1142" s="0" t="str">
        <f aca="false">IFERROR(AVERAGE(N1142:U1142),"")</f>
        <v/>
      </c>
    </row>
    <row r="1143" customFormat="false" ht="14.5" hidden="false" customHeight="false" outlineLevel="0" collapsed="false">
      <c r="A1143" s="0" t="n">
        <v>10685</v>
      </c>
      <c r="B1143" s="0" t="s">
        <v>1186</v>
      </c>
      <c r="C1143" s="0" t="n">
        <v>61600</v>
      </c>
      <c r="D1143" s="0" t="n">
        <v>1033</v>
      </c>
      <c r="E1143" s="0" t="str">
        <f aca="false">IFERROR(IF(OR(HLOOKUP($A1143,#REF!,3,FALSE())&gt;2,HLOOKUP(A1143,#REF!,3,FALSE())&lt;-2),"",#REF!),"")</f>
        <v/>
      </c>
      <c r="F1143" s="0" t="str">
        <f aca="false">IFERROR(IF(OR(HLOOKUP($A1143,#REF!,4,FALSE())&gt;2,HLOOKUP($A1143,#REF!,4,FALSE())&lt;-2),"",#REF!),"")</f>
        <v/>
      </c>
      <c r="G1143" s="0" t="str">
        <f aca="false">IFERROR(IF(OR(HLOOKUP($A1143,#REF!,5,FALSE())&gt;2,HLOOKUP($A1143,#REF!,5,FALSE())&lt;-2),"",#REF!),"")</f>
        <v/>
      </c>
      <c r="H1143" s="0" t="str">
        <f aca="false">IFERROR(IF(OR(HLOOKUP($A1143,#REF!,6,FALSE())&gt;2,HLOOKUP($A1143,#REF!,6,FALSE())&lt;-2),"",#REF!),"")</f>
        <v/>
      </c>
      <c r="I1143" s="0" t="str">
        <f aca="false">IFERROR(IF(OR(HLOOKUP($A1143,#REF!,7,FALSE())&gt;2,HLOOKUP($A1143,#REF!,7,FALSE())&lt;-2),"",#REF!),"")</f>
        <v/>
      </c>
      <c r="J1143" s="0" t="str">
        <f aca="false">IFERROR(IF(OR(HLOOKUP($A1143,#REF!,8,FALSE())&gt;2,HLOOKUP($A1143,#REF!,8,FALSE())&lt;-2),"",#REF!),"")</f>
        <v/>
      </c>
      <c r="K1143" s="0" t="str">
        <f aca="false">IFERROR(IF(OR(HLOOKUP($A1143,#REF!,9,FALSE())&gt;2,HLOOKUP($A1143,#REF!,9,FALSE())&lt;-2),"",#REF!),"")</f>
        <v/>
      </c>
      <c r="L1143" s="0" t="str">
        <f aca="false">IFERROR(IF(OR(HLOOKUP($A1143,#REF!,10,FALSE())&gt;2,HLOOKUP($A1143,#REF!,10,FALSE())&lt;-2),"",#REF!),"")</f>
        <v/>
      </c>
      <c r="M1143" s="0" t="str">
        <f aca="false">IFERROR(IF(OR(HLOOKUP($A1143,#REF!,11,FALSE())&gt;2,HLOOKUP($A1143,#REF!,11,FALSE())&lt;-2),"",#REF!),"")</f>
        <v/>
      </c>
      <c r="N1143" s="0" t="str">
        <f aca="false">IFERROR(IF(OR(HLOOKUP($A1143,#REF!,12,FALSE())&gt;2,HLOOKUP($A1143,#REF!,12,FALSE())&lt;-2),"",#REF!),"")</f>
        <v/>
      </c>
      <c r="O1143" s="0" t="str">
        <f aca="false">IFERROR(IF(OR(HLOOKUP($A1143,#REF!,13,FALSE())&gt;2,HLOOKUP($A1143,#REF!,13,FALSE())&lt;-2),"",#REF!),"")</f>
        <v/>
      </c>
      <c r="P1143" s="0" t="str">
        <f aca="false">IFERROR(IF(OR(HLOOKUP($A1143,#REF!,14,FALSE())&gt;2,HLOOKUP($A1143,#REF!,14,FALSE())&lt;-2),"",#REF!),"")</f>
        <v/>
      </c>
      <c r="Q1143" s="0" t="str">
        <f aca="false">IFERROR(IF(OR(HLOOKUP($A1143,#REF!,15,FALSE())&gt;2,HLOOKUP($A1143,#REF!,15,FALSE())&lt;-2),"",#REF!),"")</f>
        <v/>
      </c>
      <c r="R1143" s="0" t="str">
        <f aca="false">IFERROR(IF(OR(HLOOKUP($A1143,#REF!,16,FALSE())&gt;2,HLOOKUP($A1143,#REF!,16,FALSE())&lt;-2),"",#REF!),"")</f>
        <v/>
      </c>
      <c r="S1143" s="0" t="str">
        <f aca="false">IFERROR(IF(OR(HLOOKUP($A1143,#REF!,17,FALSE())&gt;2,HLOOKUP($A1143,#REF!,17,FALSE())&lt;-2),"",#REF!),"")</f>
        <v/>
      </c>
      <c r="T1143" s="0" t="str">
        <f aca="false">IFERROR(IF(OR(HLOOKUP($A1143,#REF!,18,FALSE())&gt;2,HLOOKUP($A1143,#REF!,18,FALSE())&lt;-2),"",#REF!),"")</f>
        <v/>
      </c>
      <c r="U1143" s="0" t="str">
        <f aca="false">IFERROR(IF(OR(HLOOKUP($A1143,#REF!,19,FALSE())&gt;2,HLOOKUP($A1143,#REF!,19,FALSE())&lt;-2),"",#REF!),"")</f>
        <v/>
      </c>
      <c r="V1143" s="0" t="n">
        <f aca="false">IFERROR(IF(AND(X1143=0,Y1143=0),0,1),0)</f>
        <v>1</v>
      </c>
      <c r="W1143" s="3" t="str">
        <f aca="false">IFERROR(_xlfn.T.TEST(E1143:M1143,N1143:U1143,2,2),"")</f>
        <v/>
      </c>
      <c r="X1143" s="0" t="str">
        <f aca="false">IFERROR(AVERAGE(E1143:M1143),"")</f>
        <v/>
      </c>
      <c r="Y1143" s="0" t="str">
        <f aca="false">IFERROR(AVERAGE(N1143:U1143),"")</f>
        <v/>
      </c>
    </row>
    <row r="1144" customFormat="false" ht="14.5" hidden="false" customHeight="false" outlineLevel="0" collapsed="false">
      <c r="A1144" s="0" t="n">
        <v>10686</v>
      </c>
      <c r="B1144" s="0" t="s">
        <v>1187</v>
      </c>
      <c r="C1144" s="0" t="n">
        <v>61500</v>
      </c>
      <c r="D1144" s="0" t="n">
        <v>1033</v>
      </c>
      <c r="E1144" s="0" t="str">
        <f aca="false">IFERROR(IF(OR(HLOOKUP($A1144,#REF!,3,FALSE())&gt;2,HLOOKUP(A1144,#REF!,3,FALSE())&lt;-2),"",#REF!),"")</f>
        <v/>
      </c>
      <c r="F1144" s="0" t="str">
        <f aca="false">IFERROR(IF(OR(HLOOKUP($A1144,#REF!,4,FALSE())&gt;2,HLOOKUP($A1144,#REF!,4,FALSE())&lt;-2),"",#REF!),"")</f>
        <v/>
      </c>
      <c r="G1144" s="0" t="str">
        <f aca="false">IFERROR(IF(OR(HLOOKUP($A1144,#REF!,5,FALSE())&gt;2,HLOOKUP($A1144,#REF!,5,FALSE())&lt;-2),"",#REF!),"")</f>
        <v/>
      </c>
      <c r="H1144" s="0" t="str">
        <f aca="false">IFERROR(IF(OR(HLOOKUP($A1144,#REF!,6,FALSE())&gt;2,HLOOKUP($A1144,#REF!,6,FALSE())&lt;-2),"",#REF!),"")</f>
        <v/>
      </c>
      <c r="I1144" s="0" t="str">
        <f aca="false">IFERROR(IF(OR(HLOOKUP($A1144,#REF!,7,FALSE())&gt;2,HLOOKUP($A1144,#REF!,7,FALSE())&lt;-2),"",#REF!),"")</f>
        <v/>
      </c>
      <c r="J1144" s="0" t="str">
        <f aca="false">IFERROR(IF(OR(HLOOKUP($A1144,#REF!,8,FALSE())&gt;2,HLOOKUP($A1144,#REF!,8,FALSE())&lt;-2),"",#REF!),"")</f>
        <v/>
      </c>
      <c r="K1144" s="0" t="str">
        <f aca="false">IFERROR(IF(OR(HLOOKUP($A1144,#REF!,9,FALSE())&gt;2,HLOOKUP($A1144,#REF!,9,FALSE())&lt;-2),"",#REF!),"")</f>
        <v/>
      </c>
      <c r="L1144" s="0" t="str">
        <f aca="false">IFERROR(IF(OR(HLOOKUP($A1144,#REF!,10,FALSE())&gt;2,HLOOKUP($A1144,#REF!,10,FALSE())&lt;-2),"",#REF!),"")</f>
        <v/>
      </c>
      <c r="M1144" s="0" t="str">
        <f aca="false">IFERROR(IF(OR(HLOOKUP($A1144,#REF!,11,FALSE())&gt;2,HLOOKUP($A1144,#REF!,11,FALSE())&lt;-2),"",#REF!),"")</f>
        <v/>
      </c>
      <c r="N1144" s="0" t="str">
        <f aca="false">IFERROR(IF(OR(HLOOKUP($A1144,#REF!,12,FALSE())&gt;2,HLOOKUP($A1144,#REF!,12,FALSE())&lt;-2),"",#REF!),"")</f>
        <v/>
      </c>
      <c r="O1144" s="0" t="str">
        <f aca="false">IFERROR(IF(OR(HLOOKUP($A1144,#REF!,13,FALSE())&gt;2,HLOOKUP($A1144,#REF!,13,FALSE())&lt;-2),"",#REF!),"")</f>
        <v/>
      </c>
      <c r="P1144" s="0" t="str">
        <f aca="false">IFERROR(IF(OR(HLOOKUP($A1144,#REF!,14,FALSE())&gt;2,HLOOKUP($A1144,#REF!,14,FALSE())&lt;-2),"",#REF!),"")</f>
        <v/>
      </c>
      <c r="Q1144" s="0" t="str">
        <f aca="false">IFERROR(IF(OR(HLOOKUP($A1144,#REF!,15,FALSE())&gt;2,HLOOKUP($A1144,#REF!,15,FALSE())&lt;-2),"",#REF!),"")</f>
        <v/>
      </c>
      <c r="R1144" s="0" t="str">
        <f aca="false">IFERROR(IF(OR(HLOOKUP($A1144,#REF!,16,FALSE())&gt;2,HLOOKUP($A1144,#REF!,16,FALSE())&lt;-2),"",#REF!),"")</f>
        <v/>
      </c>
      <c r="S1144" s="0" t="str">
        <f aca="false">IFERROR(IF(OR(HLOOKUP($A1144,#REF!,17,FALSE())&gt;2,HLOOKUP($A1144,#REF!,17,FALSE())&lt;-2),"",#REF!),"")</f>
        <v/>
      </c>
      <c r="T1144" s="0" t="str">
        <f aca="false">IFERROR(IF(OR(HLOOKUP($A1144,#REF!,18,FALSE())&gt;2,HLOOKUP($A1144,#REF!,18,FALSE())&lt;-2),"",#REF!),"")</f>
        <v/>
      </c>
      <c r="U1144" s="0" t="str">
        <f aca="false">IFERROR(IF(OR(HLOOKUP($A1144,#REF!,19,FALSE())&gt;2,HLOOKUP($A1144,#REF!,19,FALSE())&lt;-2),"",#REF!),"")</f>
        <v/>
      </c>
      <c r="V1144" s="0" t="n">
        <f aca="false">IFERROR(IF(AND(X1144=0,Y1144=0),0,1),0)</f>
        <v>1</v>
      </c>
      <c r="W1144" s="3" t="str">
        <f aca="false">IFERROR(_xlfn.T.TEST(E1144:M1144,N1144:U1144,2,2),"")</f>
        <v/>
      </c>
      <c r="X1144" s="0" t="str">
        <f aca="false">IFERROR(AVERAGE(E1144:M1144),"")</f>
        <v/>
      </c>
      <c r="Y1144" s="0" t="str">
        <f aca="false">IFERROR(AVERAGE(N1144:U1144),"")</f>
        <v/>
      </c>
    </row>
    <row r="1145" customFormat="false" ht="14.5" hidden="false" customHeight="false" outlineLevel="0" collapsed="false">
      <c r="A1145" s="0" t="n">
        <v>10687</v>
      </c>
      <c r="B1145" s="0" t="s">
        <v>1188</v>
      </c>
      <c r="C1145" s="0" t="n">
        <v>62100</v>
      </c>
      <c r="D1145" s="0" t="n">
        <v>1041</v>
      </c>
      <c r="E1145" s="0" t="str">
        <f aca="false">IFERROR(IF(OR(HLOOKUP($A1145,#REF!,3,FALSE())&gt;2,HLOOKUP(A1145,#REF!,3,FALSE())&lt;-2),"",#REF!),"")</f>
        <v/>
      </c>
      <c r="F1145" s="0" t="str">
        <f aca="false">IFERROR(IF(OR(HLOOKUP($A1145,#REF!,4,FALSE())&gt;2,HLOOKUP($A1145,#REF!,4,FALSE())&lt;-2),"",#REF!),"")</f>
        <v/>
      </c>
      <c r="G1145" s="0" t="str">
        <f aca="false">IFERROR(IF(OR(HLOOKUP($A1145,#REF!,5,FALSE())&gt;2,HLOOKUP($A1145,#REF!,5,FALSE())&lt;-2),"",#REF!),"")</f>
        <v/>
      </c>
      <c r="H1145" s="0" t="str">
        <f aca="false">IFERROR(IF(OR(HLOOKUP($A1145,#REF!,6,FALSE())&gt;2,HLOOKUP($A1145,#REF!,6,FALSE())&lt;-2),"",#REF!),"")</f>
        <v/>
      </c>
      <c r="I1145" s="0" t="str">
        <f aca="false">IFERROR(IF(OR(HLOOKUP($A1145,#REF!,7,FALSE())&gt;2,HLOOKUP($A1145,#REF!,7,FALSE())&lt;-2),"",#REF!),"")</f>
        <v/>
      </c>
      <c r="J1145" s="0" t="str">
        <f aca="false">IFERROR(IF(OR(HLOOKUP($A1145,#REF!,8,FALSE())&gt;2,HLOOKUP($A1145,#REF!,8,FALSE())&lt;-2),"",#REF!),"")</f>
        <v/>
      </c>
      <c r="K1145" s="0" t="str">
        <f aca="false">IFERROR(IF(OR(HLOOKUP($A1145,#REF!,9,FALSE())&gt;2,HLOOKUP($A1145,#REF!,9,FALSE())&lt;-2),"",#REF!),"")</f>
        <v/>
      </c>
      <c r="L1145" s="0" t="str">
        <f aca="false">IFERROR(IF(OR(HLOOKUP($A1145,#REF!,10,FALSE())&gt;2,HLOOKUP($A1145,#REF!,10,FALSE())&lt;-2),"",#REF!),"")</f>
        <v/>
      </c>
      <c r="M1145" s="0" t="str">
        <f aca="false">IFERROR(IF(OR(HLOOKUP($A1145,#REF!,11,FALSE())&gt;2,HLOOKUP($A1145,#REF!,11,FALSE())&lt;-2),"",#REF!),"")</f>
        <v/>
      </c>
      <c r="N1145" s="0" t="str">
        <f aca="false">IFERROR(IF(OR(HLOOKUP($A1145,#REF!,12,FALSE())&gt;2,HLOOKUP($A1145,#REF!,12,FALSE())&lt;-2),"",#REF!),"")</f>
        <v/>
      </c>
      <c r="O1145" s="0" t="str">
        <f aca="false">IFERROR(IF(OR(HLOOKUP($A1145,#REF!,13,FALSE())&gt;2,HLOOKUP($A1145,#REF!,13,FALSE())&lt;-2),"",#REF!),"")</f>
        <v/>
      </c>
      <c r="P1145" s="0" t="str">
        <f aca="false">IFERROR(IF(OR(HLOOKUP($A1145,#REF!,14,FALSE())&gt;2,HLOOKUP($A1145,#REF!,14,FALSE())&lt;-2),"",#REF!),"")</f>
        <v/>
      </c>
      <c r="Q1145" s="0" t="str">
        <f aca="false">IFERROR(IF(OR(HLOOKUP($A1145,#REF!,15,FALSE())&gt;2,HLOOKUP($A1145,#REF!,15,FALSE())&lt;-2),"",#REF!),"")</f>
        <v/>
      </c>
      <c r="R1145" s="0" t="str">
        <f aca="false">IFERROR(IF(OR(HLOOKUP($A1145,#REF!,16,FALSE())&gt;2,HLOOKUP($A1145,#REF!,16,FALSE())&lt;-2),"",#REF!),"")</f>
        <v/>
      </c>
      <c r="S1145" s="0" t="str">
        <f aca="false">IFERROR(IF(OR(HLOOKUP($A1145,#REF!,17,FALSE())&gt;2,HLOOKUP($A1145,#REF!,17,FALSE())&lt;-2),"",#REF!),"")</f>
        <v/>
      </c>
      <c r="T1145" s="0" t="str">
        <f aca="false">IFERROR(IF(OR(HLOOKUP($A1145,#REF!,18,FALSE())&gt;2,HLOOKUP($A1145,#REF!,18,FALSE())&lt;-2),"",#REF!),"")</f>
        <v/>
      </c>
      <c r="U1145" s="0" t="str">
        <f aca="false">IFERROR(IF(OR(HLOOKUP($A1145,#REF!,19,FALSE())&gt;2,HLOOKUP($A1145,#REF!,19,FALSE())&lt;-2),"",#REF!),"")</f>
        <v/>
      </c>
      <c r="V1145" s="0" t="n">
        <f aca="false">IFERROR(IF(AND(X1145=0,Y1145=0),0,1),0)</f>
        <v>1</v>
      </c>
      <c r="W1145" s="3" t="str">
        <f aca="false">IFERROR(_xlfn.T.TEST(E1145:M1145,N1145:U1145,2,2),"")</f>
        <v/>
      </c>
      <c r="X1145" s="0" t="str">
        <f aca="false">IFERROR(AVERAGE(E1145:M1145),"")</f>
        <v/>
      </c>
      <c r="Y1145" s="0" t="str">
        <f aca="false">IFERROR(AVERAGE(N1145:U1145),"")</f>
        <v/>
      </c>
    </row>
    <row r="1146" customFormat="false" ht="14.5" hidden="false" customHeight="false" outlineLevel="0" collapsed="false">
      <c r="A1146" s="0" t="n">
        <v>10688</v>
      </c>
      <c r="B1146" s="0" t="s">
        <v>1189</v>
      </c>
      <c r="C1146" s="0" t="n">
        <v>62000</v>
      </c>
      <c r="D1146" s="0" t="n">
        <v>1041</v>
      </c>
      <c r="E1146" s="0" t="str">
        <f aca="false">IFERROR(IF(OR(HLOOKUP($A1146,#REF!,3,FALSE())&gt;2,HLOOKUP(A1146,#REF!,3,FALSE())&lt;-2),"",#REF!),"")</f>
        <v/>
      </c>
      <c r="F1146" s="0" t="str">
        <f aca="false">IFERROR(IF(OR(HLOOKUP($A1146,#REF!,4,FALSE())&gt;2,HLOOKUP($A1146,#REF!,4,FALSE())&lt;-2),"",#REF!),"")</f>
        <v/>
      </c>
      <c r="G1146" s="0" t="str">
        <f aca="false">IFERROR(IF(OR(HLOOKUP($A1146,#REF!,5,FALSE())&gt;2,HLOOKUP($A1146,#REF!,5,FALSE())&lt;-2),"",#REF!),"")</f>
        <v/>
      </c>
      <c r="H1146" s="0" t="str">
        <f aca="false">IFERROR(IF(OR(HLOOKUP($A1146,#REF!,6,FALSE())&gt;2,HLOOKUP($A1146,#REF!,6,FALSE())&lt;-2),"",#REF!),"")</f>
        <v/>
      </c>
      <c r="I1146" s="0" t="str">
        <f aca="false">IFERROR(IF(OR(HLOOKUP($A1146,#REF!,7,FALSE())&gt;2,HLOOKUP($A1146,#REF!,7,FALSE())&lt;-2),"",#REF!),"")</f>
        <v/>
      </c>
      <c r="J1146" s="0" t="str">
        <f aca="false">IFERROR(IF(OR(HLOOKUP($A1146,#REF!,8,FALSE())&gt;2,HLOOKUP($A1146,#REF!,8,FALSE())&lt;-2),"",#REF!),"")</f>
        <v/>
      </c>
      <c r="K1146" s="0" t="str">
        <f aca="false">IFERROR(IF(OR(HLOOKUP($A1146,#REF!,9,FALSE())&gt;2,HLOOKUP($A1146,#REF!,9,FALSE())&lt;-2),"",#REF!),"")</f>
        <v/>
      </c>
      <c r="L1146" s="0" t="str">
        <f aca="false">IFERROR(IF(OR(HLOOKUP($A1146,#REF!,10,FALSE())&gt;2,HLOOKUP($A1146,#REF!,10,FALSE())&lt;-2),"",#REF!),"")</f>
        <v/>
      </c>
      <c r="M1146" s="0" t="str">
        <f aca="false">IFERROR(IF(OR(HLOOKUP($A1146,#REF!,11,FALSE())&gt;2,HLOOKUP($A1146,#REF!,11,FALSE())&lt;-2),"",#REF!),"")</f>
        <v/>
      </c>
      <c r="N1146" s="0" t="str">
        <f aca="false">IFERROR(IF(OR(HLOOKUP($A1146,#REF!,12,FALSE())&gt;2,HLOOKUP($A1146,#REF!,12,FALSE())&lt;-2),"",#REF!),"")</f>
        <v/>
      </c>
      <c r="O1146" s="0" t="str">
        <f aca="false">IFERROR(IF(OR(HLOOKUP($A1146,#REF!,13,FALSE())&gt;2,HLOOKUP($A1146,#REF!,13,FALSE())&lt;-2),"",#REF!),"")</f>
        <v/>
      </c>
      <c r="P1146" s="0" t="str">
        <f aca="false">IFERROR(IF(OR(HLOOKUP($A1146,#REF!,14,FALSE())&gt;2,HLOOKUP($A1146,#REF!,14,FALSE())&lt;-2),"",#REF!),"")</f>
        <v/>
      </c>
      <c r="Q1146" s="0" t="str">
        <f aca="false">IFERROR(IF(OR(HLOOKUP($A1146,#REF!,15,FALSE())&gt;2,HLOOKUP($A1146,#REF!,15,FALSE())&lt;-2),"",#REF!),"")</f>
        <v/>
      </c>
      <c r="R1146" s="0" t="str">
        <f aca="false">IFERROR(IF(OR(HLOOKUP($A1146,#REF!,16,FALSE())&gt;2,HLOOKUP($A1146,#REF!,16,FALSE())&lt;-2),"",#REF!),"")</f>
        <v/>
      </c>
      <c r="S1146" s="0" t="str">
        <f aca="false">IFERROR(IF(OR(HLOOKUP($A1146,#REF!,17,FALSE())&gt;2,HLOOKUP($A1146,#REF!,17,FALSE())&lt;-2),"",#REF!),"")</f>
        <v/>
      </c>
      <c r="T1146" s="0" t="str">
        <f aca="false">IFERROR(IF(OR(HLOOKUP($A1146,#REF!,18,FALSE())&gt;2,HLOOKUP($A1146,#REF!,18,FALSE())&lt;-2),"",#REF!),"")</f>
        <v/>
      </c>
      <c r="U1146" s="0" t="str">
        <f aca="false">IFERROR(IF(OR(HLOOKUP($A1146,#REF!,19,FALSE())&gt;2,HLOOKUP($A1146,#REF!,19,FALSE())&lt;-2),"",#REF!),"")</f>
        <v/>
      </c>
      <c r="V1146" s="0" t="n">
        <f aca="false">IFERROR(IF(AND(X1146=0,Y1146=0),0,1),0)</f>
        <v>1</v>
      </c>
      <c r="W1146" s="3" t="str">
        <f aca="false">IFERROR(_xlfn.T.TEST(E1146:M1146,N1146:U1146,2,2),"")</f>
        <v/>
      </c>
      <c r="X1146" s="0" t="str">
        <f aca="false">IFERROR(AVERAGE(E1146:M1146),"")</f>
        <v/>
      </c>
      <c r="Y1146" s="0" t="str">
        <f aca="false">IFERROR(AVERAGE(N1146:U1146),"")</f>
        <v/>
      </c>
    </row>
    <row r="1147" customFormat="false" ht="14.5" hidden="false" customHeight="false" outlineLevel="0" collapsed="false">
      <c r="A1147" s="0" t="n">
        <v>10689</v>
      </c>
      <c r="B1147" s="0" t="s">
        <v>1190</v>
      </c>
      <c r="C1147" s="0" t="n">
        <v>61900</v>
      </c>
      <c r="D1147" s="0" t="n">
        <v>1041</v>
      </c>
      <c r="E1147" s="0" t="str">
        <f aca="false">IFERROR(IF(OR(HLOOKUP($A1147,#REF!,3,FALSE())&gt;2,HLOOKUP(A1147,#REF!,3,FALSE())&lt;-2),"",#REF!),"")</f>
        <v/>
      </c>
      <c r="F1147" s="0" t="str">
        <f aca="false">IFERROR(IF(OR(HLOOKUP($A1147,#REF!,4,FALSE())&gt;2,HLOOKUP($A1147,#REF!,4,FALSE())&lt;-2),"",#REF!),"")</f>
        <v/>
      </c>
      <c r="G1147" s="0" t="str">
        <f aca="false">IFERROR(IF(OR(HLOOKUP($A1147,#REF!,5,FALSE())&gt;2,HLOOKUP($A1147,#REF!,5,FALSE())&lt;-2),"",#REF!),"")</f>
        <v/>
      </c>
      <c r="H1147" s="0" t="str">
        <f aca="false">IFERROR(IF(OR(HLOOKUP($A1147,#REF!,6,FALSE())&gt;2,HLOOKUP($A1147,#REF!,6,FALSE())&lt;-2),"",#REF!),"")</f>
        <v/>
      </c>
      <c r="I1147" s="0" t="str">
        <f aca="false">IFERROR(IF(OR(HLOOKUP($A1147,#REF!,7,FALSE())&gt;2,HLOOKUP($A1147,#REF!,7,FALSE())&lt;-2),"",#REF!),"")</f>
        <v/>
      </c>
      <c r="J1147" s="0" t="str">
        <f aca="false">IFERROR(IF(OR(HLOOKUP($A1147,#REF!,8,FALSE())&gt;2,HLOOKUP($A1147,#REF!,8,FALSE())&lt;-2),"",#REF!),"")</f>
        <v/>
      </c>
      <c r="K1147" s="0" t="str">
        <f aca="false">IFERROR(IF(OR(HLOOKUP($A1147,#REF!,9,FALSE())&gt;2,HLOOKUP($A1147,#REF!,9,FALSE())&lt;-2),"",#REF!),"")</f>
        <v/>
      </c>
      <c r="L1147" s="0" t="str">
        <f aca="false">IFERROR(IF(OR(HLOOKUP($A1147,#REF!,10,FALSE())&gt;2,HLOOKUP($A1147,#REF!,10,FALSE())&lt;-2),"",#REF!),"")</f>
        <v/>
      </c>
      <c r="M1147" s="0" t="str">
        <f aca="false">IFERROR(IF(OR(HLOOKUP($A1147,#REF!,11,FALSE())&gt;2,HLOOKUP($A1147,#REF!,11,FALSE())&lt;-2),"",#REF!),"")</f>
        <v/>
      </c>
      <c r="N1147" s="0" t="str">
        <f aca="false">IFERROR(IF(OR(HLOOKUP($A1147,#REF!,12,FALSE())&gt;2,HLOOKUP($A1147,#REF!,12,FALSE())&lt;-2),"",#REF!),"")</f>
        <v/>
      </c>
      <c r="O1147" s="0" t="str">
        <f aca="false">IFERROR(IF(OR(HLOOKUP($A1147,#REF!,13,FALSE())&gt;2,HLOOKUP($A1147,#REF!,13,FALSE())&lt;-2),"",#REF!),"")</f>
        <v/>
      </c>
      <c r="P1147" s="0" t="str">
        <f aca="false">IFERROR(IF(OR(HLOOKUP($A1147,#REF!,14,FALSE())&gt;2,HLOOKUP($A1147,#REF!,14,FALSE())&lt;-2),"",#REF!),"")</f>
        <v/>
      </c>
      <c r="Q1147" s="0" t="str">
        <f aca="false">IFERROR(IF(OR(HLOOKUP($A1147,#REF!,15,FALSE())&gt;2,HLOOKUP($A1147,#REF!,15,FALSE())&lt;-2),"",#REF!),"")</f>
        <v/>
      </c>
      <c r="R1147" s="0" t="str">
        <f aca="false">IFERROR(IF(OR(HLOOKUP($A1147,#REF!,16,FALSE())&gt;2,HLOOKUP($A1147,#REF!,16,FALSE())&lt;-2),"",#REF!),"")</f>
        <v/>
      </c>
      <c r="S1147" s="0" t="str">
        <f aca="false">IFERROR(IF(OR(HLOOKUP($A1147,#REF!,17,FALSE())&gt;2,HLOOKUP($A1147,#REF!,17,FALSE())&lt;-2),"",#REF!),"")</f>
        <v/>
      </c>
      <c r="T1147" s="0" t="str">
        <f aca="false">IFERROR(IF(OR(HLOOKUP($A1147,#REF!,18,FALSE())&gt;2,HLOOKUP($A1147,#REF!,18,FALSE())&lt;-2),"",#REF!),"")</f>
        <v/>
      </c>
      <c r="U1147" s="0" t="str">
        <f aca="false">IFERROR(IF(OR(HLOOKUP($A1147,#REF!,19,FALSE())&gt;2,HLOOKUP($A1147,#REF!,19,FALSE())&lt;-2),"",#REF!),"")</f>
        <v/>
      </c>
      <c r="V1147" s="0" t="n">
        <f aca="false">IFERROR(IF(AND(X1147=0,Y1147=0),0,1),0)</f>
        <v>1</v>
      </c>
      <c r="W1147" s="3" t="str">
        <f aca="false">IFERROR(_xlfn.T.TEST(E1147:M1147,N1147:U1147,2,2),"")</f>
        <v/>
      </c>
      <c r="X1147" s="0" t="str">
        <f aca="false">IFERROR(AVERAGE(E1147:M1147),"")</f>
        <v/>
      </c>
      <c r="Y1147" s="0" t="str">
        <f aca="false">IFERROR(AVERAGE(N1147:U1147),"")</f>
        <v/>
      </c>
    </row>
    <row r="1148" customFormat="false" ht="14.5" hidden="false" customHeight="false" outlineLevel="0" collapsed="false">
      <c r="A1148" s="0" t="n">
        <v>10690</v>
      </c>
      <c r="B1148" s="0" t="s">
        <v>1191</v>
      </c>
      <c r="C1148" s="0" t="n">
        <v>62500</v>
      </c>
      <c r="D1148" s="0" t="n">
        <v>1049</v>
      </c>
      <c r="E1148" s="0" t="str">
        <f aca="false">IFERROR(IF(OR(HLOOKUP($A1148,#REF!,3,FALSE())&gt;2,HLOOKUP(A1148,#REF!,3,FALSE())&lt;-2),"",#REF!),"")</f>
        <v/>
      </c>
      <c r="F1148" s="0" t="str">
        <f aca="false">IFERROR(IF(OR(HLOOKUP($A1148,#REF!,4,FALSE())&gt;2,HLOOKUP($A1148,#REF!,4,FALSE())&lt;-2),"",#REF!),"")</f>
        <v/>
      </c>
      <c r="G1148" s="0" t="str">
        <f aca="false">IFERROR(IF(OR(HLOOKUP($A1148,#REF!,5,FALSE())&gt;2,HLOOKUP($A1148,#REF!,5,FALSE())&lt;-2),"",#REF!),"")</f>
        <v/>
      </c>
      <c r="H1148" s="0" t="str">
        <f aca="false">IFERROR(IF(OR(HLOOKUP($A1148,#REF!,6,FALSE())&gt;2,HLOOKUP($A1148,#REF!,6,FALSE())&lt;-2),"",#REF!),"")</f>
        <v/>
      </c>
      <c r="I1148" s="0" t="str">
        <f aca="false">IFERROR(IF(OR(HLOOKUP($A1148,#REF!,7,FALSE())&gt;2,HLOOKUP($A1148,#REF!,7,FALSE())&lt;-2),"",#REF!),"")</f>
        <v/>
      </c>
      <c r="J1148" s="0" t="str">
        <f aca="false">IFERROR(IF(OR(HLOOKUP($A1148,#REF!,8,FALSE())&gt;2,HLOOKUP($A1148,#REF!,8,FALSE())&lt;-2),"",#REF!),"")</f>
        <v/>
      </c>
      <c r="K1148" s="0" t="str">
        <f aca="false">IFERROR(IF(OR(HLOOKUP($A1148,#REF!,9,FALSE())&gt;2,HLOOKUP($A1148,#REF!,9,FALSE())&lt;-2),"",#REF!),"")</f>
        <v/>
      </c>
      <c r="L1148" s="0" t="str">
        <f aca="false">IFERROR(IF(OR(HLOOKUP($A1148,#REF!,10,FALSE())&gt;2,HLOOKUP($A1148,#REF!,10,FALSE())&lt;-2),"",#REF!),"")</f>
        <v/>
      </c>
      <c r="M1148" s="0" t="str">
        <f aca="false">IFERROR(IF(OR(HLOOKUP($A1148,#REF!,11,FALSE())&gt;2,HLOOKUP($A1148,#REF!,11,FALSE())&lt;-2),"",#REF!),"")</f>
        <v/>
      </c>
      <c r="N1148" s="0" t="str">
        <f aca="false">IFERROR(IF(OR(HLOOKUP($A1148,#REF!,12,FALSE())&gt;2,HLOOKUP($A1148,#REF!,12,FALSE())&lt;-2),"",#REF!),"")</f>
        <v/>
      </c>
      <c r="O1148" s="0" t="str">
        <f aca="false">IFERROR(IF(OR(HLOOKUP($A1148,#REF!,13,FALSE())&gt;2,HLOOKUP($A1148,#REF!,13,FALSE())&lt;-2),"",#REF!),"")</f>
        <v/>
      </c>
      <c r="P1148" s="0" t="str">
        <f aca="false">IFERROR(IF(OR(HLOOKUP($A1148,#REF!,14,FALSE())&gt;2,HLOOKUP($A1148,#REF!,14,FALSE())&lt;-2),"",#REF!),"")</f>
        <v/>
      </c>
      <c r="Q1148" s="0" t="str">
        <f aca="false">IFERROR(IF(OR(HLOOKUP($A1148,#REF!,15,FALSE())&gt;2,HLOOKUP($A1148,#REF!,15,FALSE())&lt;-2),"",#REF!),"")</f>
        <v/>
      </c>
      <c r="R1148" s="0" t="str">
        <f aca="false">IFERROR(IF(OR(HLOOKUP($A1148,#REF!,16,FALSE())&gt;2,HLOOKUP($A1148,#REF!,16,FALSE())&lt;-2),"",#REF!),"")</f>
        <v/>
      </c>
      <c r="S1148" s="0" t="str">
        <f aca="false">IFERROR(IF(OR(HLOOKUP($A1148,#REF!,17,FALSE())&gt;2,HLOOKUP($A1148,#REF!,17,FALSE())&lt;-2),"",#REF!),"")</f>
        <v/>
      </c>
      <c r="T1148" s="0" t="str">
        <f aca="false">IFERROR(IF(OR(HLOOKUP($A1148,#REF!,18,FALSE())&gt;2,HLOOKUP($A1148,#REF!,18,FALSE())&lt;-2),"",#REF!),"")</f>
        <v/>
      </c>
      <c r="U1148" s="0" t="str">
        <f aca="false">IFERROR(IF(OR(HLOOKUP($A1148,#REF!,19,FALSE())&gt;2,HLOOKUP($A1148,#REF!,19,FALSE())&lt;-2),"",#REF!),"")</f>
        <v/>
      </c>
      <c r="V1148" s="0" t="n">
        <f aca="false">IFERROR(IF(AND(X1148=0,Y1148=0),0,1),0)</f>
        <v>1</v>
      </c>
      <c r="W1148" s="3" t="str">
        <f aca="false">IFERROR(_xlfn.T.TEST(E1148:M1148,N1148:U1148,2,2),"")</f>
        <v/>
      </c>
      <c r="X1148" s="0" t="str">
        <f aca="false">IFERROR(AVERAGE(E1148:M1148),"")</f>
        <v/>
      </c>
      <c r="Y1148" s="0" t="str">
        <f aca="false">IFERROR(AVERAGE(N1148:U1148),"")</f>
        <v/>
      </c>
    </row>
    <row r="1149" customFormat="false" ht="14.5" hidden="false" customHeight="false" outlineLevel="0" collapsed="false">
      <c r="A1149" s="0" t="n">
        <v>10691</v>
      </c>
      <c r="B1149" s="0" t="s">
        <v>1192</v>
      </c>
      <c r="C1149" s="0" t="n">
        <v>62400</v>
      </c>
      <c r="D1149" s="0" t="n">
        <v>1049</v>
      </c>
      <c r="E1149" s="0" t="str">
        <f aca="false">IFERROR(IF(OR(HLOOKUP($A1149,#REF!,3,FALSE())&gt;2,HLOOKUP(A1149,#REF!,3,FALSE())&lt;-2),"",#REF!),"")</f>
        <v/>
      </c>
      <c r="F1149" s="0" t="str">
        <f aca="false">IFERROR(IF(OR(HLOOKUP($A1149,#REF!,4,FALSE())&gt;2,HLOOKUP($A1149,#REF!,4,FALSE())&lt;-2),"",#REF!),"")</f>
        <v/>
      </c>
      <c r="G1149" s="0" t="str">
        <f aca="false">IFERROR(IF(OR(HLOOKUP($A1149,#REF!,5,FALSE())&gt;2,HLOOKUP($A1149,#REF!,5,FALSE())&lt;-2),"",#REF!),"")</f>
        <v/>
      </c>
      <c r="H1149" s="0" t="str">
        <f aca="false">IFERROR(IF(OR(HLOOKUP($A1149,#REF!,6,FALSE())&gt;2,HLOOKUP($A1149,#REF!,6,FALSE())&lt;-2),"",#REF!),"")</f>
        <v/>
      </c>
      <c r="I1149" s="0" t="str">
        <f aca="false">IFERROR(IF(OR(HLOOKUP($A1149,#REF!,7,FALSE())&gt;2,HLOOKUP($A1149,#REF!,7,FALSE())&lt;-2),"",#REF!),"")</f>
        <v/>
      </c>
      <c r="J1149" s="0" t="str">
        <f aca="false">IFERROR(IF(OR(HLOOKUP($A1149,#REF!,8,FALSE())&gt;2,HLOOKUP($A1149,#REF!,8,FALSE())&lt;-2),"",#REF!),"")</f>
        <v/>
      </c>
      <c r="K1149" s="0" t="str">
        <f aca="false">IFERROR(IF(OR(HLOOKUP($A1149,#REF!,9,FALSE())&gt;2,HLOOKUP($A1149,#REF!,9,FALSE())&lt;-2),"",#REF!),"")</f>
        <v/>
      </c>
      <c r="L1149" s="0" t="str">
        <f aca="false">IFERROR(IF(OR(HLOOKUP($A1149,#REF!,10,FALSE())&gt;2,HLOOKUP($A1149,#REF!,10,FALSE())&lt;-2),"",#REF!),"")</f>
        <v/>
      </c>
      <c r="M1149" s="0" t="str">
        <f aca="false">IFERROR(IF(OR(HLOOKUP($A1149,#REF!,11,FALSE())&gt;2,HLOOKUP($A1149,#REF!,11,FALSE())&lt;-2),"",#REF!),"")</f>
        <v/>
      </c>
      <c r="N1149" s="0" t="str">
        <f aca="false">IFERROR(IF(OR(HLOOKUP($A1149,#REF!,12,FALSE())&gt;2,HLOOKUP($A1149,#REF!,12,FALSE())&lt;-2),"",#REF!),"")</f>
        <v/>
      </c>
      <c r="O1149" s="0" t="str">
        <f aca="false">IFERROR(IF(OR(HLOOKUP($A1149,#REF!,13,FALSE())&gt;2,HLOOKUP($A1149,#REF!,13,FALSE())&lt;-2),"",#REF!),"")</f>
        <v/>
      </c>
      <c r="P1149" s="0" t="str">
        <f aca="false">IFERROR(IF(OR(HLOOKUP($A1149,#REF!,14,FALSE())&gt;2,HLOOKUP($A1149,#REF!,14,FALSE())&lt;-2),"",#REF!),"")</f>
        <v/>
      </c>
      <c r="Q1149" s="0" t="str">
        <f aca="false">IFERROR(IF(OR(HLOOKUP($A1149,#REF!,15,FALSE())&gt;2,HLOOKUP($A1149,#REF!,15,FALSE())&lt;-2),"",#REF!),"")</f>
        <v/>
      </c>
      <c r="R1149" s="0" t="str">
        <f aca="false">IFERROR(IF(OR(HLOOKUP($A1149,#REF!,16,FALSE())&gt;2,HLOOKUP($A1149,#REF!,16,FALSE())&lt;-2),"",#REF!),"")</f>
        <v/>
      </c>
      <c r="S1149" s="0" t="str">
        <f aca="false">IFERROR(IF(OR(HLOOKUP($A1149,#REF!,17,FALSE())&gt;2,HLOOKUP($A1149,#REF!,17,FALSE())&lt;-2),"",#REF!),"")</f>
        <v/>
      </c>
      <c r="T1149" s="0" t="str">
        <f aca="false">IFERROR(IF(OR(HLOOKUP($A1149,#REF!,18,FALSE())&gt;2,HLOOKUP($A1149,#REF!,18,FALSE())&lt;-2),"",#REF!),"")</f>
        <v/>
      </c>
      <c r="U1149" s="0" t="str">
        <f aca="false">IFERROR(IF(OR(HLOOKUP($A1149,#REF!,19,FALSE())&gt;2,HLOOKUP($A1149,#REF!,19,FALSE())&lt;-2),"",#REF!),"")</f>
        <v/>
      </c>
      <c r="V1149" s="0" t="n">
        <f aca="false">IFERROR(IF(AND(X1149=0,Y1149=0),0,1),0)</f>
        <v>1</v>
      </c>
      <c r="W1149" s="3" t="str">
        <f aca="false">IFERROR(_xlfn.T.TEST(E1149:M1149,N1149:U1149,2,2),"")</f>
        <v/>
      </c>
      <c r="X1149" s="0" t="str">
        <f aca="false">IFERROR(AVERAGE(E1149:M1149),"")</f>
        <v/>
      </c>
      <c r="Y1149" s="0" t="str">
        <f aca="false">IFERROR(AVERAGE(N1149:U1149),"")</f>
        <v/>
      </c>
    </row>
    <row r="1150" customFormat="false" ht="14.5" hidden="false" customHeight="false" outlineLevel="0" collapsed="false">
      <c r="A1150" s="0" t="n">
        <v>10692</v>
      </c>
      <c r="B1150" s="0" t="s">
        <v>1193</v>
      </c>
      <c r="C1150" s="0" t="n">
        <v>62300</v>
      </c>
      <c r="D1150" s="0" t="n">
        <v>1049</v>
      </c>
      <c r="E1150" s="0" t="str">
        <f aca="false">IFERROR(IF(OR(HLOOKUP($A1150,#REF!,3,FALSE())&gt;2,HLOOKUP(A1150,#REF!,3,FALSE())&lt;-2),"",#REF!),"")</f>
        <v/>
      </c>
      <c r="F1150" s="0" t="str">
        <f aca="false">IFERROR(IF(OR(HLOOKUP($A1150,#REF!,4,FALSE())&gt;2,HLOOKUP($A1150,#REF!,4,FALSE())&lt;-2),"",#REF!),"")</f>
        <v/>
      </c>
      <c r="G1150" s="0" t="str">
        <f aca="false">IFERROR(IF(OR(HLOOKUP($A1150,#REF!,5,FALSE())&gt;2,HLOOKUP($A1150,#REF!,5,FALSE())&lt;-2),"",#REF!),"")</f>
        <v/>
      </c>
      <c r="H1150" s="0" t="str">
        <f aca="false">IFERROR(IF(OR(HLOOKUP($A1150,#REF!,6,FALSE())&gt;2,HLOOKUP($A1150,#REF!,6,FALSE())&lt;-2),"",#REF!),"")</f>
        <v/>
      </c>
      <c r="I1150" s="0" t="str">
        <f aca="false">IFERROR(IF(OR(HLOOKUP($A1150,#REF!,7,FALSE())&gt;2,HLOOKUP($A1150,#REF!,7,FALSE())&lt;-2),"",#REF!),"")</f>
        <v/>
      </c>
      <c r="J1150" s="0" t="str">
        <f aca="false">IFERROR(IF(OR(HLOOKUP($A1150,#REF!,8,FALSE())&gt;2,HLOOKUP($A1150,#REF!,8,FALSE())&lt;-2),"",#REF!),"")</f>
        <v/>
      </c>
      <c r="K1150" s="0" t="str">
        <f aca="false">IFERROR(IF(OR(HLOOKUP($A1150,#REF!,9,FALSE())&gt;2,HLOOKUP($A1150,#REF!,9,FALSE())&lt;-2),"",#REF!),"")</f>
        <v/>
      </c>
      <c r="L1150" s="0" t="str">
        <f aca="false">IFERROR(IF(OR(HLOOKUP($A1150,#REF!,10,FALSE())&gt;2,HLOOKUP($A1150,#REF!,10,FALSE())&lt;-2),"",#REF!),"")</f>
        <v/>
      </c>
      <c r="M1150" s="0" t="str">
        <f aca="false">IFERROR(IF(OR(HLOOKUP($A1150,#REF!,11,FALSE())&gt;2,HLOOKUP($A1150,#REF!,11,FALSE())&lt;-2),"",#REF!),"")</f>
        <v/>
      </c>
      <c r="N1150" s="0" t="str">
        <f aca="false">IFERROR(IF(OR(HLOOKUP($A1150,#REF!,12,FALSE())&gt;2,HLOOKUP($A1150,#REF!,12,FALSE())&lt;-2),"",#REF!),"")</f>
        <v/>
      </c>
      <c r="O1150" s="0" t="str">
        <f aca="false">IFERROR(IF(OR(HLOOKUP($A1150,#REF!,13,FALSE())&gt;2,HLOOKUP($A1150,#REF!,13,FALSE())&lt;-2),"",#REF!),"")</f>
        <v/>
      </c>
      <c r="P1150" s="0" t="str">
        <f aca="false">IFERROR(IF(OR(HLOOKUP($A1150,#REF!,14,FALSE())&gt;2,HLOOKUP($A1150,#REF!,14,FALSE())&lt;-2),"",#REF!),"")</f>
        <v/>
      </c>
      <c r="Q1150" s="0" t="str">
        <f aca="false">IFERROR(IF(OR(HLOOKUP($A1150,#REF!,15,FALSE())&gt;2,HLOOKUP($A1150,#REF!,15,FALSE())&lt;-2),"",#REF!),"")</f>
        <v/>
      </c>
      <c r="R1150" s="0" t="str">
        <f aca="false">IFERROR(IF(OR(HLOOKUP($A1150,#REF!,16,FALSE())&gt;2,HLOOKUP($A1150,#REF!,16,FALSE())&lt;-2),"",#REF!),"")</f>
        <v/>
      </c>
      <c r="S1150" s="0" t="str">
        <f aca="false">IFERROR(IF(OR(HLOOKUP($A1150,#REF!,17,FALSE())&gt;2,HLOOKUP($A1150,#REF!,17,FALSE())&lt;-2),"",#REF!),"")</f>
        <v/>
      </c>
      <c r="T1150" s="0" t="str">
        <f aca="false">IFERROR(IF(OR(HLOOKUP($A1150,#REF!,18,FALSE())&gt;2,HLOOKUP($A1150,#REF!,18,FALSE())&lt;-2),"",#REF!),"")</f>
        <v/>
      </c>
      <c r="U1150" s="0" t="str">
        <f aca="false">IFERROR(IF(OR(HLOOKUP($A1150,#REF!,19,FALSE())&gt;2,HLOOKUP($A1150,#REF!,19,FALSE())&lt;-2),"",#REF!),"")</f>
        <v/>
      </c>
      <c r="V1150" s="0" t="n">
        <f aca="false">IFERROR(IF(AND(X1150=0,Y1150=0),0,1),0)</f>
        <v>1</v>
      </c>
      <c r="W1150" s="3" t="str">
        <f aca="false">IFERROR(_xlfn.T.TEST(E1150:M1150,N1150:U1150,2,2),"")</f>
        <v/>
      </c>
      <c r="X1150" s="0" t="str">
        <f aca="false">IFERROR(AVERAGE(E1150:M1150),"")</f>
        <v/>
      </c>
      <c r="Y1150" s="0" t="str">
        <f aca="false">IFERROR(AVERAGE(N1150:U1150),"")</f>
        <v/>
      </c>
    </row>
    <row r="1151" customFormat="false" ht="14.5" hidden="false" customHeight="false" outlineLevel="0" collapsed="false">
      <c r="A1151" s="0" t="n">
        <v>10693</v>
      </c>
      <c r="B1151" s="0" t="s">
        <v>1194</v>
      </c>
      <c r="C1151" s="0" t="n">
        <v>44400</v>
      </c>
      <c r="D1151" s="0" t="n">
        <v>843</v>
      </c>
      <c r="E1151" s="0" t="str">
        <f aca="false">IFERROR(IF(OR(HLOOKUP($A1151,#REF!,3,FALSE())&gt;2,HLOOKUP(A1151,#REF!,3,FALSE())&lt;-2),"",#REF!),"")</f>
        <v/>
      </c>
      <c r="F1151" s="0" t="str">
        <f aca="false">IFERROR(IF(OR(HLOOKUP($A1151,#REF!,4,FALSE())&gt;2,HLOOKUP($A1151,#REF!,4,FALSE())&lt;-2),"",#REF!),"")</f>
        <v/>
      </c>
      <c r="G1151" s="0" t="str">
        <f aca="false">IFERROR(IF(OR(HLOOKUP($A1151,#REF!,5,FALSE())&gt;2,HLOOKUP($A1151,#REF!,5,FALSE())&lt;-2),"",#REF!),"")</f>
        <v/>
      </c>
      <c r="H1151" s="0" t="str">
        <f aca="false">IFERROR(IF(OR(HLOOKUP($A1151,#REF!,6,FALSE())&gt;2,HLOOKUP($A1151,#REF!,6,FALSE())&lt;-2),"",#REF!),"")</f>
        <v/>
      </c>
      <c r="I1151" s="0" t="str">
        <f aca="false">IFERROR(IF(OR(HLOOKUP($A1151,#REF!,7,FALSE())&gt;2,HLOOKUP($A1151,#REF!,7,FALSE())&lt;-2),"",#REF!),"")</f>
        <v/>
      </c>
      <c r="J1151" s="0" t="str">
        <f aca="false">IFERROR(IF(OR(HLOOKUP($A1151,#REF!,8,FALSE())&gt;2,HLOOKUP($A1151,#REF!,8,FALSE())&lt;-2),"",#REF!),"")</f>
        <v/>
      </c>
      <c r="K1151" s="0" t="str">
        <f aca="false">IFERROR(IF(OR(HLOOKUP($A1151,#REF!,9,FALSE())&gt;2,HLOOKUP($A1151,#REF!,9,FALSE())&lt;-2),"",#REF!),"")</f>
        <v/>
      </c>
      <c r="L1151" s="0" t="str">
        <f aca="false">IFERROR(IF(OR(HLOOKUP($A1151,#REF!,10,FALSE())&gt;2,HLOOKUP($A1151,#REF!,10,FALSE())&lt;-2),"",#REF!),"")</f>
        <v/>
      </c>
      <c r="M1151" s="0" t="str">
        <f aca="false">IFERROR(IF(OR(HLOOKUP($A1151,#REF!,11,FALSE())&gt;2,HLOOKUP($A1151,#REF!,11,FALSE())&lt;-2),"",#REF!),"")</f>
        <v/>
      </c>
      <c r="N1151" s="0" t="str">
        <f aca="false">IFERROR(IF(OR(HLOOKUP($A1151,#REF!,12,FALSE())&gt;2,HLOOKUP($A1151,#REF!,12,FALSE())&lt;-2),"",#REF!),"")</f>
        <v/>
      </c>
      <c r="O1151" s="0" t="str">
        <f aca="false">IFERROR(IF(OR(HLOOKUP($A1151,#REF!,13,FALSE())&gt;2,HLOOKUP($A1151,#REF!,13,FALSE())&lt;-2),"",#REF!),"")</f>
        <v/>
      </c>
      <c r="P1151" s="0" t="str">
        <f aca="false">IFERROR(IF(OR(HLOOKUP($A1151,#REF!,14,FALSE())&gt;2,HLOOKUP($A1151,#REF!,14,FALSE())&lt;-2),"",#REF!),"")</f>
        <v/>
      </c>
      <c r="Q1151" s="0" t="str">
        <f aca="false">IFERROR(IF(OR(HLOOKUP($A1151,#REF!,15,FALSE())&gt;2,HLOOKUP($A1151,#REF!,15,FALSE())&lt;-2),"",#REF!),"")</f>
        <v/>
      </c>
      <c r="R1151" s="0" t="str">
        <f aca="false">IFERROR(IF(OR(HLOOKUP($A1151,#REF!,16,FALSE())&gt;2,HLOOKUP($A1151,#REF!,16,FALSE())&lt;-2),"",#REF!),"")</f>
        <v/>
      </c>
      <c r="S1151" s="0" t="str">
        <f aca="false">IFERROR(IF(OR(HLOOKUP($A1151,#REF!,17,FALSE())&gt;2,HLOOKUP($A1151,#REF!,17,FALSE())&lt;-2),"",#REF!),"")</f>
        <v/>
      </c>
      <c r="T1151" s="0" t="str">
        <f aca="false">IFERROR(IF(OR(HLOOKUP($A1151,#REF!,18,FALSE())&gt;2,HLOOKUP($A1151,#REF!,18,FALSE())&lt;-2),"",#REF!),"")</f>
        <v/>
      </c>
      <c r="U1151" s="0" t="str">
        <f aca="false">IFERROR(IF(OR(HLOOKUP($A1151,#REF!,19,FALSE())&gt;2,HLOOKUP($A1151,#REF!,19,FALSE())&lt;-2),"",#REF!),"")</f>
        <v/>
      </c>
      <c r="V1151" s="0" t="n">
        <f aca="false">IFERROR(IF(AND(X1151=0,Y1151=0),0,1),0)</f>
        <v>1</v>
      </c>
      <c r="W1151" s="3" t="str">
        <f aca="false">IFERROR(_xlfn.T.TEST(E1151:M1151,N1151:U1151,2,2),"")</f>
        <v/>
      </c>
      <c r="X1151" s="0" t="str">
        <f aca="false">IFERROR(AVERAGE(E1151:M1151),"")</f>
        <v/>
      </c>
      <c r="Y1151" s="0" t="str">
        <f aca="false">IFERROR(AVERAGE(N1151:U1151),"")</f>
        <v/>
      </c>
    </row>
    <row r="1152" customFormat="false" ht="14.5" hidden="false" customHeight="false" outlineLevel="0" collapsed="false">
      <c r="A1152" s="0" t="n">
        <v>10694</v>
      </c>
      <c r="B1152" s="0" t="s">
        <v>1195</v>
      </c>
      <c r="C1152" s="0" t="n">
        <v>44500</v>
      </c>
      <c r="D1152" s="0" t="n">
        <v>843</v>
      </c>
      <c r="E1152" s="0" t="str">
        <f aca="false">IFERROR(IF(OR(HLOOKUP($A1152,#REF!,3,FALSE())&gt;2,HLOOKUP(A1152,#REF!,3,FALSE())&lt;-2),"",#REF!),"")</f>
        <v/>
      </c>
      <c r="F1152" s="0" t="str">
        <f aca="false">IFERROR(IF(OR(HLOOKUP($A1152,#REF!,4,FALSE())&gt;2,HLOOKUP($A1152,#REF!,4,FALSE())&lt;-2),"",#REF!),"")</f>
        <v/>
      </c>
      <c r="G1152" s="0" t="str">
        <f aca="false">IFERROR(IF(OR(HLOOKUP($A1152,#REF!,5,FALSE())&gt;2,HLOOKUP($A1152,#REF!,5,FALSE())&lt;-2),"",#REF!),"")</f>
        <v/>
      </c>
      <c r="H1152" s="0" t="str">
        <f aca="false">IFERROR(IF(OR(HLOOKUP($A1152,#REF!,6,FALSE())&gt;2,HLOOKUP($A1152,#REF!,6,FALSE())&lt;-2),"",#REF!),"")</f>
        <v/>
      </c>
      <c r="I1152" s="0" t="str">
        <f aca="false">IFERROR(IF(OR(HLOOKUP($A1152,#REF!,7,FALSE())&gt;2,HLOOKUP($A1152,#REF!,7,FALSE())&lt;-2),"",#REF!),"")</f>
        <v/>
      </c>
      <c r="J1152" s="0" t="str">
        <f aca="false">IFERROR(IF(OR(HLOOKUP($A1152,#REF!,8,FALSE())&gt;2,HLOOKUP($A1152,#REF!,8,FALSE())&lt;-2),"",#REF!),"")</f>
        <v/>
      </c>
      <c r="K1152" s="0" t="str">
        <f aca="false">IFERROR(IF(OR(HLOOKUP($A1152,#REF!,9,FALSE())&gt;2,HLOOKUP($A1152,#REF!,9,FALSE())&lt;-2),"",#REF!),"")</f>
        <v/>
      </c>
      <c r="L1152" s="0" t="str">
        <f aca="false">IFERROR(IF(OR(HLOOKUP($A1152,#REF!,10,FALSE())&gt;2,HLOOKUP($A1152,#REF!,10,FALSE())&lt;-2),"",#REF!),"")</f>
        <v/>
      </c>
      <c r="M1152" s="0" t="str">
        <f aca="false">IFERROR(IF(OR(HLOOKUP($A1152,#REF!,11,FALSE())&gt;2,HLOOKUP($A1152,#REF!,11,FALSE())&lt;-2),"",#REF!),"")</f>
        <v/>
      </c>
      <c r="N1152" s="0" t="str">
        <f aca="false">IFERROR(IF(OR(HLOOKUP($A1152,#REF!,12,FALSE())&gt;2,HLOOKUP($A1152,#REF!,12,FALSE())&lt;-2),"",#REF!),"")</f>
        <v/>
      </c>
      <c r="O1152" s="0" t="str">
        <f aca="false">IFERROR(IF(OR(HLOOKUP($A1152,#REF!,13,FALSE())&gt;2,HLOOKUP($A1152,#REF!,13,FALSE())&lt;-2),"",#REF!),"")</f>
        <v/>
      </c>
      <c r="P1152" s="0" t="str">
        <f aca="false">IFERROR(IF(OR(HLOOKUP($A1152,#REF!,14,FALSE())&gt;2,HLOOKUP($A1152,#REF!,14,FALSE())&lt;-2),"",#REF!),"")</f>
        <v/>
      </c>
      <c r="Q1152" s="0" t="str">
        <f aca="false">IFERROR(IF(OR(HLOOKUP($A1152,#REF!,15,FALSE())&gt;2,HLOOKUP($A1152,#REF!,15,FALSE())&lt;-2),"",#REF!),"")</f>
        <v/>
      </c>
      <c r="R1152" s="0" t="str">
        <f aca="false">IFERROR(IF(OR(HLOOKUP($A1152,#REF!,16,FALSE())&gt;2,HLOOKUP($A1152,#REF!,16,FALSE())&lt;-2),"",#REF!),"")</f>
        <v/>
      </c>
      <c r="S1152" s="0" t="str">
        <f aca="false">IFERROR(IF(OR(HLOOKUP($A1152,#REF!,17,FALSE())&gt;2,HLOOKUP($A1152,#REF!,17,FALSE())&lt;-2),"",#REF!),"")</f>
        <v/>
      </c>
      <c r="T1152" s="0" t="str">
        <f aca="false">IFERROR(IF(OR(HLOOKUP($A1152,#REF!,18,FALSE())&gt;2,HLOOKUP($A1152,#REF!,18,FALSE())&lt;-2),"",#REF!),"")</f>
        <v/>
      </c>
      <c r="U1152" s="0" t="str">
        <f aca="false">IFERROR(IF(OR(HLOOKUP($A1152,#REF!,19,FALSE())&gt;2,HLOOKUP($A1152,#REF!,19,FALSE())&lt;-2),"",#REF!),"")</f>
        <v/>
      </c>
      <c r="V1152" s="0" t="n">
        <f aca="false">IFERROR(IF(AND(X1152=0,Y1152=0),0,1),0)</f>
        <v>1</v>
      </c>
      <c r="W1152" s="3" t="str">
        <f aca="false">IFERROR(_xlfn.T.TEST(E1152:M1152,N1152:U1152,2,2),"")</f>
        <v/>
      </c>
      <c r="X1152" s="0" t="str">
        <f aca="false">IFERROR(AVERAGE(E1152:M1152),"")</f>
        <v/>
      </c>
      <c r="Y1152" s="0" t="str">
        <f aca="false">IFERROR(AVERAGE(N1152:U1152),"")</f>
        <v/>
      </c>
    </row>
    <row r="1153" customFormat="false" ht="14.5" hidden="false" customHeight="false" outlineLevel="0" collapsed="false">
      <c r="A1153" s="0" t="n">
        <v>10695</v>
      </c>
      <c r="B1153" s="0" t="s">
        <v>1196</v>
      </c>
      <c r="C1153" s="0" t="n">
        <v>44600</v>
      </c>
      <c r="D1153" s="0" t="n">
        <v>843</v>
      </c>
      <c r="E1153" s="0" t="str">
        <f aca="false">IFERROR(IF(OR(HLOOKUP($A1153,#REF!,3,FALSE())&gt;2,HLOOKUP(A1153,#REF!,3,FALSE())&lt;-2),"",#REF!),"")</f>
        <v/>
      </c>
      <c r="F1153" s="0" t="str">
        <f aca="false">IFERROR(IF(OR(HLOOKUP($A1153,#REF!,4,FALSE())&gt;2,HLOOKUP($A1153,#REF!,4,FALSE())&lt;-2),"",#REF!),"")</f>
        <v/>
      </c>
      <c r="G1153" s="0" t="str">
        <f aca="false">IFERROR(IF(OR(HLOOKUP($A1153,#REF!,5,FALSE())&gt;2,HLOOKUP($A1153,#REF!,5,FALSE())&lt;-2),"",#REF!),"")</f>
        <v/>
      </c>
      <c r="H1153" s="0" t="str">
        <f aca="false">IFERROR(IF(OR(HLOOKUP($A1153,#REF!,6,FALSE())&gt;2,HLOOKUP($A1153,#REF!,6,FALSE())&lt;-2),"",#REF!),"")</f>
        <v/>
      </c>
      <c r="I1153" s="0" t="str">
        <f aca="false">IFERROR(IF(OR(HLOOKUP($A1153,#REF!,7,FALSE())&gt;2,HLOOKUP($A1153,#REF!,7,FALSE())&lt;-2),"",#REF!),"")</f>
        <v/>
      </c>
      <c r="J1153" s="0" t="str">
        <f aca="false">IFERROR(IF(OR(HLOOKUP($A1153,#REF!,8,FALSE())&gt;2,HLOOKUP($A1153,#REF!,8,FALSE())&lt;-2),"",#REF!),"")</f>
        <v/>
      </c>
      <c r="K1153" s="0" t="str">
        <f aca="false">IFERROR(IF(OR(HLOOKUP($A1153,#REF!,9,FALSE())&gt;2,HLOOKUP($A1153,#REF!,9,FALSE())&lt;-2),"",#REF!),"")</f>
        <v/>
      </c>
      <c r="L1153" s="0" t="str">
        <f aca="false">IFERROR(IF(OR(HLOOKUP($A1153,#REF!,10,FALSE())&gt;2,HLOOKUP($A1153,#REF!,10,FALSE())&lt;-2),"",#REF!),"")</f>
        <v/>
      </c>
      <c r="M1153" s="0" t="str">
        <f aca="false">IFERROR(IF(OR(HLOOKUP($A1153,#REF!,11,FALSE())&gt;2,HLOOKUP($A1153,#REF!,11,FALSE())&lt;-2),"",#REF!),"")</f>
        <v/>
      </c>
      <c r="N1153" s="0" t="str">
        <f aca="false">IFERROR(IF(OR(HLOOKUP($A1153,#REF!,12,FALSE())&gt;2,HLOOKUP($A1153,#REF!,12,FALSE())&lt;-2),"",#REF!),"")</f>
        <v/>
      </c>
      <c r="O1153" s="0" t="str">
        <f aca="false">IFERROR(IF(OR(HLOOKUP($A1153,#REF!,13,FALSE())&gt;2,HLOOKUP($A1153,#REF!,13,FALSE())&lt;-2),"",#REF!),"")</f>
        <v/>
      </c>
      <c r="P1153" s="0" t="str">
        <f aca="false">IFERROR(IF(OR(HLOOKUP($A1153,#REF!,14,FALSE())&gt;2,HLOOKUP($A1153,#REF!,14,FALSE())&lt;-2),"",#REF!),"")</f>
        <v/>
      </c>
      <c r="Q1153" s="0" t="str">
        <f aca="false">IFERROR(IF(OR(HLOOKUP($A1153,#REF!,15,FALSE())&gt;2,HLOOKUP($A1153,#REF!,15,FALSE())&lt;-2),"",#REF!),"")</f>
        <v/>
      </c>
      <c r="R1153" s="0" t="str">
        <f aca="false">IFERROR(IF(OR(HLOOKUP($A1153,#REF!,16,FALSE())&gt;2,HLOOKUP($A1153,#REF!,16,FALSE())&lt;-2),"",#REF!),"")</f>
        <v/>
      </c>
      <c r="S1153" s="0" t="str">
        <f aca="false">IFERROR(IF(OR(HLOOKUP($A1153,#REF!,17,FALSE())&gt;2,HLOOKUP($A1153,#REF!,17,FALSE())&lt;-2),"",#REF!),"")</f>
        <v/>
      </c>
      <c r="T1153" s="0" t="str">
        <f aca="false">IFERROR(IF(OR(HLOOKUP($A1153,#REF!,18,FALSE())&gt;2,HLOOKUP($A1153,#REF!,18,FALSE())&lt;-2),"",#REF!),"")</f>
        <v/>
      </c>
      <c r="U1153" s="0" t="str">
        <f aca="false">IFERROR(IF(OR(HLOOKUP($A1153,#REF!,19,FALSE())&gt;2,HLOOKUP($A1153,#REF!,19,FALSE())&lt;-2),"",#REF!),"")</f>
        <v/>
      </c>
      <c r="V1153" s="0" t="n">
        <f aca="false">IFERROR(IF(AND(X1153=0,Y1153=0),0,1),0)</f>
        <v>1</v>
      </c>
      <c r="W1153" s="3" t="str">
        <f aca="false">IFERROR(_xlfn.T.TEST(E1153:M1153,N1153:U1153,2,2),"")</f>
        <v/>
      </c>
      <c r="X1153" s="0" t="str">
        <f aca="false">IFERROR(AVERAGE(E1153:M1153),"")</f>
        <v/>
      </c>
      <c r="Y1153" s="0" t="str">
        <f aca="false">IFERROR(AVERAGE(N1153:U1153),"")</f>
        <v/>
      </c>
    </row>
    <row r="1154" customFormat="false" ht="14.5" hidden="false" customHeight="false" outlineLevel="0" collapsed="false">
      <c r="A1154" s="0" t="n">
        <v>10696</v>
      </c>
      <c r="B1154" s="0" t="s">
        <v>1197</v>
      </c>
      <c r="C1154" s="0" t="n">
        <v>44800</v>
      </c>
      <c r="D1154" s="0" t="n">
        <v>1037</v>
      </c>
      <c r="E1154" s="0" t="str">
        <f aca="false">IFERROR(IF(OR(HLOOKUP($A1154,#REF!,3,FALSE())&gt;2,HLOOKUP(A1154,#REF!,3,FALSE())&lt;-2),"",#REF!),"")</f>
        <v/>
      </c>
      <c r="F1154" s="0" t="str">
        <f aca="false">IFERROR(IF(OR(HLOOKUP($A1154,#REF!,4,FALSE())&gt;2,HLOOKUP($A1154,#REF!,4,FALSE())&lt;-2),"",#REF!),"")</f>
        <v/>
      </c>
      <c r="G1154" s="0" t="str">
        <f aca="false">IFERROR(IF(OR(HLOOKUP($A1154,#REF!,5,FALSE())&gt;2,HLOOKUP($A1154,#REF!,5,FALSE())&lt;-2),"",#REF!),"")</f>
        <v/>
      </c>
      <c r="H1154" s="0" t="str">
        <f aca="false">IFERROR(IF(OR(HLOOKUP($A1154,#REF!,6,FALSE())&gt;2,HLOOKUP($A1154,#REF!,6,FALSE())&lt;-2),"",#REF!),"")</f>
        <v/>
      </c>
      <c r="I1154" s="0" t="str">
        <f aca="false">IFERROR(IF(OR(HLOOKUP($A1154,#REF!,7,FALSE())&gt;2,HLOOKUP($A1154,#REF!,7,FALSE())&lt;-2),"",#REF!),"")</f>
        <v/>
      </c>
      <c r="J1154" s="0" t="str">
        <f aca="false">IFERROR(IF(OR(HLOOKUP($A1154,#REF!,8,FALSE())&gt;2,HLOOKUP($A1154,#REF!,8,FALSE())&lt;-2),"",#REF!),"")</f>
        <v/>
      </c>
      <c r="K1154" s="0" t="str">
        <f aca="false">IFERROR(IF(OR(HLOOKUP($A1154,#REF!,9,FALSE())&gt;2,HLOOKUP($A1154,#REF!,9,FALSE())&lt;-2),"",#REF!),"")</f>
        <v/>
      </c>
      <c r="L1154" s="0" t="str">
        <f aca="false">IFERROR(IF(OR(HLOOKUP($A1154,#REF!,10,FALSE())&gt;2,HLOOKUP($A1154,#REF!,10,FALSE())&lt;-2),"",#REF!),"")</f>
        <v/>
      </c>
      <c r="M1154" s="0" t="str">
        <f aca="false">IFERROR(IF(OR(HLOOKUP($A1154,#REF!,11,FALSE())&gt;2,HLOOKUP($A1154,#REF!,11,FALSE())&lt;-2),"",#REF!),"")</f>
        <v/>
      </c>
      <c r="N1154" s="0" t="str">
        <f aca="false">IFERROR(IF(OR(HLOOKUP($A1154,#REF!,12,FALSE())&gt;2,HLOOKUP($A1154,#REF!,12,FALSE())&lt;-2),"",#REF!),"")</f>
        <v/>
      </c>
      <c r="O1154" s="0" t="str">
        <f aca="false">IFERROR(IF(OR(HLOOKUP($A1154,#REF!,13,FALSE())&gt;2,HLOOKUP($A1154,#REF!,13,FALSE())&lt;-2),"",#REF!),"")</f>
        <v/>
      </c>
      <c r="P1154" s="0" t="str">
        <f aca="false">IFERROR(IF(OR(HLOOKUP($A1154,#REF!,14,FALSE())&gt;2,HLOOKUP($A1154,#REF!,14,FALSE())&lt;-2),"",#REF!),"")</f>
        <v/>
      </c>
      <c r="Q1154" s="0" t="str">
        <f aca="false">IFERROR(IF(OR(HLOOKUP($A1154,#REF!,15,FALSE())&gt;2,HLOOKUP($A1154,#REF!,15,FALSE())&lt;-2),"",#REF!),"")</f>
        <v/>
      </c>
      <c r="R1154" s="0" t="str">
        <f aca="false">IFERROR(IF(OR(HLOOKUP($A1154,#REF!,16,FALSE())&gt;2,HLOOKUP($A1154,#REF!,16,FALSE())&lt;-2),"",#REF!),"")</f>
        <v/>
      </c>
      <c r="S1154" s="0" t="str">
        <f aca="false">IFERROR(IF(OR(HLOOKUP($A1154,#REF!,17,FALSE())&gt;2,HLOOKUP($A1154,#REF!,17,FALSE())&lt;-2),"",#REF!),"")</f>
        <v/>
      </c>
      <c r="T1154" s="0" t="str">
        <f aca="false">IFERROR(IF(OR(HLOOKUP($A1154,#REF!,18,FALSE())&gt;2,HLOOKUP($A1154,#REF!,18,FALSE())&lt;-2),"",#REF!),"")</f>
        <v/>
      </c>
      <c r="U1154" s="0" t="str">
        <f aca="false">IFERROR(IF(OR(HLOOKUP($A1154,#REF!,19,FALSE())&gt;2,HLOOKUP($A1154,#REF!,19,FALSE())&lt;-2),"",#REF!),"")</f>
        <v/>
      </c>
      <c r="V1154" s="0" t="n">
        <f aca="false">IFERROR(IF(AND(X1154=0,Y1154=0),0,1),0)</f>
        <v>1</v>
      </c>
      <c r="W1154" s="3" t="str">
        <f aca="false">IFERROR(_xlfn.T.TEST(E1154:M1154,N1154:U1154,2,2),"")</f>
        <v/>
      </c>
      <c r="X1154" s="0" t="str">
        <f aca="false">IFERROR(AVERAGE(E1154:M1154),"")</f>
        <v/>
      </c>
      <c r="Y1154" s="0" t="str">
        <f aca="false">IFERROR(AVERAGE(N1154:U1154),"")</f>
        <v/>
      </c>
    </row>
    <row r="1155" customFormat="false" ht="14.5" hidden="false" customHeight="false" outlineLevel="0" collapsed="false">
      <c r="A1155" s="0" t="n">
        <v>10697</v>
      </c>
      <c r="B1155" s="0" t="s">
        <v>1198</v>
      </c>
      <c r="C1155" s="0" t="n">
        <v>44900</v>
      </c>
      <c r="D1155" s="0" t="n">
        <v>1037</v>
      </c>
      <c r="E1155" s="0" t="str">
        <f aca="false">IFERROR(IF(OR(HLOOKUP($A1155,#REF!,3,FALSE())&gt;2,HLOOKUP(A1155,#REF!,3,FALSE())&lt;-2),"",#REF!),"")</f>
        <v/>
      </c>
      <c r="F1155" s="0" t="str">
        <f aca="false">IFERROR(IF(OR(HLOOKUP($A1155,#REF!,4,FALSE())&gt;2,HLOOKUP($A1155,#REF!,4,FALSE())&lt;-2),"",#REF!),"")</f>
        <v/>
      </c>
      <c r="G1155" s="0" t="str">
        <f aca="false">IFERROR(IF(OR(HLOOKUP($A1155,#REF!,5,FALSE())&gt;2,HLOOKUP($A1155,#REF!,5,FALSE())&lt;-2),"",#REF!),"")</f>
        <v/>
      </c>
      <c r="H1155" s="0" t="str">
        <f aca="false">IFERROR(IF(OR(HLOOKUP($A1155,#REF!,6,FALSE())&gt;2,HLOOKUP($A1155,#REF!,6,FALSE())&lt;-2),"",#REF!),"")</f>
        <v/>
      </c>
      <c r="I1155" s="0" t="str">
        <f aca="false">IFERROR(IF(OR(HLOOKUP($A1155,#REF!,7,FALSE())&gt;2,HLOOKUP($A1155,#REF!,7,FALSE())&lt;-2),"",#REF!),"")</f>
        <v/>
      </c>
      <c r="J1155" s="0" t="str">
        <f aca="false">IFERROR(IF(OR(HLOOKUP($A1155,#REF!,8,FALSE())&gt;2,HLOOKUP($A1155,#REF!,8,FALSE())&lt;-2),"",#REF!),"")</f>
        <v/>
      </c>
      <c r="K1155" s="0" t="str">
        <f aca="false">IFERROR(IF(OR(HLOOKUP($A1155,#REF!,9,FALSE())&gt;2,HLOOKUP($A1155,#REF!,9,FALSE())&lt;-2),"",#REF!),"")</f>
        <v/>
      </c>
      <c r="L1155" s="0" t="str">
        <f aca="false">IFERROR(IF(OR(HLOOKUP($A1155,#REF!,10,FALSE())&gt;2,HLOOKUP($A1155,#REF!,10,FALSE())&lt;-2),"",#REF!),"")</f>
        <v/>
      </c>
      <c r="M1155" s="0" t="str">
        <f aca="false">IFERROR(IF(OR(HLOOKUP($A1155,#REF!,11,FALSE())&gt;2,HLOOKUP($A1155,#REF!,11,FALSE())&lt;-2),"",#REF!),"")</f>
        <v/>
      </c>
      <c r="N1155" s="0" t="str">
        <f aca="false">IFERROR(IF(OR(HLOOKUP($A1155,#REF!,12,FALSE())&gt;2,HLOOKUP($A1155,#REF!,12,FALSE())&lt;-2),"",#REF!),"")</f>
        <v/>
      </c>
      <c r="O1155" s="0" t="str">
        <f aca="false">IFERROR(IF(OR(HLOOKUP($A1155,#REF!,13,FALSE())&gt;2,HLOOKUP($A1155,#REF!,13,FALSE())&lt;-2),"",#REF!),"")</f>
        <v/>
      </c>
      <c r="P1155" s="0" t="str">
        <f aca="false">IFERROR(IF(OR(HLOOKUP($A1155,#REF!,14,FALSE())&gt;2,HLOOKUP($A1155,#REF!,14,FALSE())&lt;-2),"",#REF!),"")</f>
        <v/>
      </c>
      <c r="Q1155" s="0" t="str">
        <f aca="false">IFERROR(IF(OR(HLOOKUP($A1155,#REF!,15,FALSE())&gt;2,HLOOKUP($A1155,#REF!,15,FALSE())&lt;-2),"",#REF!),"")</f>
        <v/>
      </c>
      <c r="R1155" s="0" t="str">
        <f aca="false">IFERROR(IF(OR(HLOOKUP($A1155,#REF!,16,FALSE())&gt;2,HLOOKUP($A1155,#REF!,16,FALSE())&lt;-2),"",#REF!),"")</f>
        <v/>
      </c>
      <c r="S1155" s="0" t="str">
        <f aca="false">IFERROR(IF(OR(HLOOKUP($A1155,#REF!,17,FALSE())&gt;2,HLOOKUP($A1155,#REF!,17,FALSE())&lt;-2),"",#REF!),"")</f>
        <v/>
      </c>
      <c r="T1155" s="0" t="str">
        <f aca="false">IFERROR(IF(OR(HLOOKUP($A1155,#REF!,18,FALSE())&gt;2,HLOOKUP($A1155,#REF!,18,FALSE())&lt;-2),"",#REF!),"")</f>
        <v/>
      </c>
      <c r="U1155" s="0" t="str">
        <f aca="false">IFERROR(IF(OR(HLOOKUP($A1155,#REF!,19,FALSE())&gt;2,HLOOKUP($A1155,#REF!,19,FALSE())&lt;-2),"",#REF!),"")</f>
        <v/>
      </c>
      <c r="V1155" s="0" t="n">
        <f aca="false">IFERROR(IF(AND(X1155=0,Y1155=0),0,1),0)</f>
        <v>1</v>
      </c>
      <c r="W1155" s="3" t="str">
        <f aca="false">IFERROR(_xlfn.T.TEST(E1155:M1155,N1155:U1155,2,2),"")</f>
        <v/>
      </c>
      <c r="X1155" s="0" t="str">
        <f aca="false">IFERROR(AVERAGE(E1155:M1155),"")</f>
        <v/>
      </c>
      <c r="Y1155" s="0" t="str">
        <f aca="false">IFERROR(AVERAGE(N1155:U1155),"")</f>
        <v/>
      </c>
    </row>
    <row r="1156" customFormat="false" ht="14.5" hidden="false" customHeight="false" outlineLevel="0" collapsed="false">
      <c r="A1156" s="0" t="n">
        <v>10698</v>
      </c>
      <c r="B1156" s="0" t="s">
        <v>1199</v>
      </c>
      <c r="C1156" s="0" t="n">
        <v>45000</v>
      </c>
      <c r="D1156" s="0" t="n">
        <v>1037</v>
      </c>
      <c r="E1156" s="0" t="str">
        <f aca="false">IFERROR(IF(OR(HLOOKUP($A1156,#REF!,3,FALSE())&gt;2,HLOOKUP(A1156,#REF!,3,FALSE())&lt;-2),"",#REF!),"")</f>
        <v/>
      </c>
      <c r="F1156" s="0" t="str">
        <f aca="false">IFERROR(IF(OR(HLOOKUP($A1156,#REF!,4,FALSE())&gt;2,HLOOKUP($A1156,#REF!,4,FALSE())&lt;-2),"",#REF!),"")</f>
        <v/>
      </c>
      <c r="G1156" s="0" t="str">
        <f aca="false">IFERROR(IF(OR(HLOOKUP($A1156,#REF!,5,FALSE())&gt;2,HLOOKUP($A1156,#REF!,5,FALSE())&lt;-2),"",#REF!),"")</f>
        <v/>
      </c>
      <c r="H1156" s="0" t="str">
        <f aca="false">IFERROR(IF(OR(HLOOKUP($A1156,#REF!,6,FALSE())&gt;2,HLOOKUP($A1156,#REF!,6,FALSE())&lt;-2),"",#REF!),"")</f>
        <v/>
      </c>
      <c r="I1156" s="0" t="str">
        <f aca="false">IFERROR(IF(OR(HLOOKUP($A1156,#REF!,7,FALSE())&gt;2,HLOOKUP($A1156,#REF!,7,FALSE())&lt;-2),"",#REF!),"")</f>
        <v/>
      </c>
      <c r="J1156" s="0" t="str">
        <f aca="false">IFERROR(IF(OR(HLOOKUP($A1156,#REF!,8,FALSE())&gt;2,HLOOKUP($A1156,#REF!,8,FALSE())&lt;-2),"",#REF!),"")</f>
        <v/>
      </c>
      <c r="K1156" s="0" t="str">
        <f aca="false">IFERROR(IF(OR(HLOOKUP($A1156,#REF!,9,FALSE())&gt;2,HLOOKUP($A1156,#REF!,9,FALSE())&lt;-2),"",#REF!),"")</f>
        <v/>
      </c>
      <c r="L1156" s="0" t="str">
        <f aca="false">IFERROR(IF(OR(HLOOKUP($A1156,#REF!,10,FALSE())&gt;2,HLOOKUP($A1156,#REF!,10,FALSE())&lt;-2),"",#REF!),"")</f>
        <v/>
      </c>
      <c r="M1156" s="0" t="str">
        <f aca="false">IFERROR(IF(OR(HLOOKUP($A1156,#REF!,11,FALSE())&gt;2,HLOOKUP($A1156,#REF!,11,FALSE())&lt;-2),"",#REF!),"")</f>
        <v/>
      </c>
      <c r="N1156" s="0" t="str">
        <f aca="false">IFERROR(IF(OR(HLOOKUP($A1156,#REF!,12,FALSE())&gt;2,HLOOKUP($A1156,#REF!,12,FALSE())&lt;-2),"",#REF!),"")</f>
        <v/>
      </c>
      <c r="O1156" s="0" t="str">
        <f aca="false">IFERROR(IF(OR(HLOOKUP($A1156,#REF!,13,FALSE())&gt;2,HLOOKUP($A1156,#REF!,13,FALSE())&lt;-2),"",#REF!),"")</f>
        <v/>
      </c>
      <c r="P1156" s="0" t="str">
        <f aca="false">IFERROR(IF(OR(HLOOKUP($A1156,#REF!,14,FALSE())&gt;2,HLOOKUP($A1156,#REF!,14,FALSE())&lt;-2),"",#REF!),"")</f>
        <v/>
      </c>
      <c r="Q1156" s="0" t="str">
        <f aca="false">IFERROR(IF(OR(HLOOKUP($A1156,#REF!,15,FALSE())&gt;2,HLOOKUP($A1156,#REF!,15,FALSE())&lt;-2),"",#REF!),"")</f>
        <v/>
      </c>
      <c r="R1156" s="0" t="str">
        <f aca="false">IFERROR(IF(OR(HLOOKUP($A1156,#REF!,16,FALSE())&gt;2,HLOOKUP($A1156,#REF!,16,FALSE())&lt;-2),"",#REF!),"")</f>
        <v/>
      </c>
      <c r="S1156" s="0" t="str">
        <f aca="false">IFERROR(IF(OR(HLOOKUP($A1156,#REF!,17,FALSE())&gt;2,HLOOKUP($A1156,#REF!,17,FALSE())&lt;-2),"",#REF!),"")</f>
        <v/>
      </c>
      <c r="T1156" s="0" t="str">
        <f aca="false">IFERROR(IF(OR(HLOOKUP($A1156,#REF!,18,FALSE())&gt;2,HLOOKUP($A1156,#REF!,18,FALSE())&lt;-2),"",#REF!),"")</f>
        <v/>
      </c>
      <c r="U1156" s="0" t="str">
        <f aca="false">IFERROR(IF(OR(HLOOKUP($A1156,#REF!,19,FALSE())&gt;2,HLOOKUP($A1156,#REF!,19,FALSE())&lt;-2),"",#REF!),"")</f>
        <v/>
      </c>
      <c r="V1156" s="0" t="n">
        <f aca="false">IFERROR(IF(AND(X1156=0,Y1156=0),0,1),0)</f>
        <v>1</v>
      </c>
      <c r="W1156" s="3" t="str">
        <f aca="false">IFERROR(_xlfn.T.TEST(E1156:M1156,N1156:U1156,2,2),"")</f>
        <v/>
      </c>
      <c r="X1156" s="0" t="str">
        <f aca="false">IFERROR(AVERAGE(E1156:M1156),"")</f>
        <v/>
      </c>
      <c r="Y1156" s="0" t="str">
        <f aca="false">IFERROR(AVERAGE(N1156:U1156),"")</f>
        <v/>
      </c>
    </row>
    <row r="1157" customFormat="false" ht="14.5" hidden="false" customHeight="false" outlineLevel="0" collapsed="false">
      <c r="A1157" s="0" t="n">
        <v>10699</v>
      </c>
      <c r="B1157" s="0" t="s">
        <v>1200</v>
      </c>
      <c r="C1157" s="0" t="n">
        <v>45200</v>
      </c>
      <c r="D1157" s="0" t="n">
        <v>1084</v>
      </c>
      <c r="E1157" s="0" t="str">
        <f aca="false">IFERROR(IF(OR(HLOOKUP($A1157,#REF!,3,FALSE())&gt;2,HLOOKUP(A1157,#REF!,3,FALSE())&lt;-2),"",#REF!),"")</f>
        <v/>
      </c>
      <c r="F1157" s="0" t="str">
        <f aca="false">IFERROR(IF(OR(HLOOKUP($A1157,#REF!,4,FALSE())&gt;2,HLOOKUP($A1157,#REF!,4,FALSE())&lt;-2),"",#REF!),"")</f>
        <v/>
      </c>
      <c r="G1157" s="0" t="str">
        <f aca="false">IFERROR(IF(OR(HLOOKUP($A1157,#REF!,5,FALSE())&gt;2,HLOOKUP($A1157,#REF!,5,FALSE())&lt;-2),"",#REF!),"")</f>
        <v/>
      </c>
      <c r="H1157" s="0" t="str">
        <f aca="false">IFERROR(IF(OR(HLOOKUP($A1157,#REF!,6,FALSE())&gt;2,HLOOKUP($A1157,#REF!,6,FALSE())&lt;-2),"",#REF!),"")</f>
        <v/>
      </c>
      <c r="I1157" s="0" t="str">
        <f aca="false">IFERROR(IF(OR(HLOOKUP($A1157,#REF!,7,FALSE())&gt;2,HLOOKUP($A1157,#REF!,7,FALSE())&lt;-2),"",#REF!),"")</f>
        <v/>
      </c>
      <c r="J1157" s="0" t="str">
        <f aca="false">IFERROR(IF(OR(HLOOKUP($A1157,#REF!,8,FALSE())&gt;2,HLOOKUP($A1157,#REF!,8,FALSE())&lt;-2),"",#REF!),"")</f>
        <v/>
      </c>
      <c r="K1157" s="0" t="str">
        <f aca="false">IFERROR(IF(OR(HLOOKUP($A1157,#REF!,9,FALSE())&gt;2,HLOOKUP($A1157,#REF!,9,FALSE())&lt;-2),"",#REF!),"")</f>
        <v/>
      </c>
      <c r="L1157" s="0" t="str">
        <f aca="false">IFERROR(IF(OR(HLOOKUP($A1157,#REF!,10,FALSE())&gt;2,HLOOKUP($A1157,#REF!,10,FALSE())&lt;-2),"",#REF!),"")</f>
        <v/>
      </c>
      <c r="M1157" s="0" t="str">
        <f aca="false">IFERROR(IF(OR(HLOOKUP($A1157,#REF!,11,FALSE())&gt;2,HLOOKUP($A1157,#REF!,11,FALSE())&lt;-2),"",#REF!),"")</f>
        <v/>
      </c>
      <c r="N1157" s="0" t="str">
        <f aca="false">IFERROR(IF(OR(HLOOKUP($A1157,#REF!,12,FALSE())&gt;2,HLOOKUP($A1157,#REF!,12,FALSE())&lt;-2),"",#REF!),"")</f>
        <v/>
      </c>
      <c r="O1157" s="0" t="str">
        <f aca="false">IFERROR(IF(OR(HLOOKUP($A1157,#REF!,13,FALSE())&gt;2,HLOOKUP($A1157,#REF!,13,FALSE())&lt;-2),"",#REF!),"")</f>
        <v/>
      </c>
      <c r="P1157" s="0" t="str">
        <f aca="false">IFERROR(IF(OR(HLOOKUP($A1157,#REF!,14,FALSE())&gt;2,HLOOKUP($A1157,#REF!,14,FALSE())&lt;-2),"",#REF!),"")</f>
        <v/>
      </c>
      <c r="Q1157" s="0" t="str">
        <f aca="false">IFERROR(IF(OR(HLOOKUP($A1157,#REF!,15,FALSE())&gt;2,HLOOKUP($A1157,#REF!,15,FALSE())&lt;-2),"",#REF!),"")</f>
        <v/>
      </c>
      <c r="R1157" s="0" t="str">
        <f aca="false">IFERROR(IF(OR(HLOOKUP($A1157,#REF!,16,FALSE())&gt;2,HLOOKUP($A1157,#REF!,16,FALSE())&lt;-2),"",#REF!),"")</f>
        <v/>
      </c>
      <c r="S1157" s="0" t="str">
        <f aca="false">IFERROR(IF(OR(HLOOKUP($A1157,#REF!,17,FALSE())&gt;2,HLOOKUP($A1157,#REF!,17,FALSE())&lt;-2),"",#REF!),"")</f>
        <v/>
      </c>
      <c r="T1157" s="0" t="str">
        <f aca="false">IFERROR(IF(OR(HLOOKUP($A1157,#REF!,18,FALSE())&gt;2,HLOOKUP($A1157,#REF!,18,FALSE())&lt;-2),"",#REF!),"")</f>
        <v/>
      </c>
      <c r="U1157" s="0" t="str">
        <f aca="false">IFERROR(IF(OR(HLOOKUP($A1157,#REF!,19,FALSE())&gt;2,HLOOKUP($A1157,#REF!,19,FALSE())&lt;-2),"",#REF!),"")</f>
        <v/>
      </c>
      <c r="V1157" s="0" t="n">
        <f aca="false">IFERROR(IF(AND(X1157=0,Y1157=0),0,1),0)</f>
        <v>1</v>
      </c>
      <c r="W1157" s="3" t="str">
        <f aca="false">IFERROR(_xlfn.T.TEST(E1157:M1157,N1157:U1157,2,2),"")</f>
        <v/>
      </c>
      <c r="X1157" s="0" t="str">
        <f aca="false">IFERROR(AVERAGE(E1157:M1157),"")</f>
        <v/>
      </c>
      <c r="Y1157" s="0" t="str">
        <f aca="false">IFERROR(AVERAGE(N1157:U1157),"")</f>
        <v/>
      </c>
    </row>
    <row r="1158" customFormat="false" ht="14.5" hidden="false" customHeight="false" outlineLevel="0" collapsed="false">
      <c r="A1158" s="0" t="n">
        <v>10700</v>
      </c>
      <c r="B1158" s="0" t="s">
        <v>1201</v>
      </c>
      <c r="C1158" s="0" t="n">
        <v>45300</v>
      </c>
      <c r="D1158" s="0" t="n">
        <v>1084</v>
      </c>
      <c r="E1158" s="0" t="str">
        <f aca="false">IFERROR(IF(OR(HLOOKUP($A1158,#REF!,3,FALSE())&gt;2,HLOOKUP(A1158,#REF!,3,FALSE())&lt;-2),"",#REF!),"")</f>
        <v/>
      </c>
      <c r="F1158" s="0" t="str">
        <f aca="false">IFERROR(IF(OR(HLOOKUP($A1158,#REF!,4,FALSE())&gt;2,HLOOKUP($A1158,#REF!,4,FALSE())&lt;-2),"",#REF!),"")</f>
        <v/>
      </c>
      <c r="G1158" s="0" t="str">
        <f aca="false">IFERROR(IF(OR(HLOOKUP($A1158,#REF!,5,FALSE())&gt;2,HLOOKUP($A1158,#REF!,5,FALSE())&lt;-2),"",#REF!),"")</f>
        <v/>
      </c>
      <c r="H1158" s="0" t="str">
        <f aca="false">IFERROR(IF(OR(HLOOKUP($A1158,#REF!,6,FALSE())&gt;2,HLOOKUP($A1158,#REF!,6,FALSE())&lt;-2),"",#REF!),"")</f>
        <v/>
      </c>
      <c r="I1158" s="0" t="str">
        <f aca="false">IFERROR(IF(OR(HLOOKUP($A1158,#REF!,7,FALSE())&gt;2,HLOOKUP($A1158,#REF!,7,FALSE())&lt;-2),"",#REF!),"")</f>
        <v/>
      </c>
      <c r="J1158" s="0" t="str">
        <f aca="false">IFERROR(IF(OR(HLOOKUP($A1158,#REF!,8,FALSE())&gt;2,HLOOKUP($A1158,#REF!,8,FALSE())&lt;-2),"",#REF!),"")</f>
        <v/>
      </c>
      <c r="K1158" s="0" t="str">
        <f aca="false">IFERROR(IF(OR(HLOOKUP($A1158,#REF!,9,FALSE())&gt;2,HLOOKUP($A1158,#REF!,9,FALSE())&lt;-2),"",#REF!),"")</f>
        <v/>
      </c>
      <c r="L1158" s="0" t="str">
        <f aca="false">IFERROR(IF(OR(HLOOKUP($A1158,#REF!,10,FALSE())&gt;2,HLOOKUP($A1158,#REF!,10,FALSE())&lt;-2),"",#REF!),"")</f>
        <v/>
      </c>
      <c r="M1158" s="0" t="str">
        <f aca="false">IFERROR(IF(OR(HLOOKUP($A1158,#REF!,11,FALSE())&gt;2,HLOOKUP($A1158,#REF!,11,FALSE())&lt;-2),"",#REF!),"")</f>
        <v/>
      </c>
      <c r="N1158" s="0" t="str">
        <f aca="false">IFERROR(IF(OR(HLOOKUP($A1158,#REF!,12,FALSE())&gt;2,HLOOKUP($A1158,#REF!,12,FALSE())&lt;-2),"",#REF!),"")</f>
        <v/>
      </c>
      <c r="O1158" s="0" t="str">
        <f aca="false">IFERROR(IF(OR(HLOOKUP($A1158,#REF!,13,FALSE())&gt;2,HLOOKUP($A1158,#REF!,13,FALSE())&lt;-2),"",#REF!),"")</f>
        <v/>
      </c>
      <c r="P1158" s="0" t="str">
        <f aca="false">IFERROR(IF(OR(HLOOKUP($A1158,#REF!,14,FALSE())&gt;2,HLOOKUP($A1158,#REF!,14,FALSE())&lt;-2),"",#REF!),"")</f>
        <v/>
      </c>
      <c r="Q1158" s="0" t="str">
        <f aca="false">IFERROR(IF(OR(HLOOKUP($A1158,#REF!,15,FALSE())&gt;2,HLOOKUP($A1158,#REF!,15,FALSE())&lt;-2),"",#REF!),"")</f>
        <v/>
      </c>
      <c r="R1158" s="0" t="str">
        <f aca="false">IFERROR(IF(OR(HLOOKUP($A1158,#REF!,16,FALSE())&gt;2,HLOOKUP($A1158,#REF!,16,FALSE())&lt;-2),"",#REF!),"")</f>
        <v/>
      </c>
      <c r="S1158" s="0" t="str">
        <f aca="false">IFERROR(IF(OR(HLOOKUP($A1158,#REF!,17,FALSE())&gt;2,HLOOKUP($A1158,#REF!,17,FALSE())&lt;-2),"",#REF!),"")</f>
        <v/>
      </c>
      <c r="T1158" s="0" t="str">
        <f aca="false">IFERROR(IF(OR(HLOOKUP($A1158,#REF!,18,FALSE())&gt;2,HLOOKUP($A1158,#REF!,18,FALSE())&lt;-2),"",#REF!),"")</f>
        <v/>
      </c>
      <c r="U1158" s="0" t="str">
        <f aca="false">IFERROR(IF(OR(HLOOKUP($A1158,#REF!,19,FALSE())&gt;2,HLOOKUP($A1158,#REF!,19,FALSE())&lt;-2),"",#REF!),"")</f>
        <v/>
      </c>
      <c r="V1158" s="0" t="n">
        <f aca="false">IFERROR(IF(AND(X1158=0,Y1158=0),0,1),0)</f>
        <v>1</v>
      </c>
      <c r="W1158" s="3" t="str">
        <f aca="false">IFERROR(_xlfn.T.TEST(E1158:M1158,N1158:U1158,2,2),"")</f>
        <v/>
      </c>
      <c r="X1158" s="0" t="str">
        <f aca="false">IFERROR(AVERAGE(E1158:M1158),"")</f>
        <v/>
      </c>
      <c r="Y1158" s="0" t="str">
        <f aca="false">IFERROR(AVERAGE(N1158:U1158),"")</f>
        <v/>
      </c>
    </row>
    <row r="1159" customFormat="false" ht="14.5" hidden="false" customHeight="false" outlineLevel="0" collapsed="false">
      <c r="A1159" s="0" t="n">
        <v>10701</v>
      </c>
      <c r="B1159" s="0" t="s">
        <v>1202</v>
      </c>
      <c r="C1159" s="0" t="n">
        <v>45400</v>
      </c>
      <c r="D1159" s="0" t="n">
        <v>1084</v>
      </c>
      <c r="E1159" s="0" t="str">
        <f aca="false">IFERROR(IF(OR(HLOOKUP($A1159,#REF!,3,FALSE())&gt;2,HLOOKUP(A1159,#REF!,3,FALSE())&lt;-2),"",#REF!),"")</f>
        <v/>
      </c>
      <c r="F1159" s="0" t="str">
        <f aca="false">IFERROR(IF(OR(HLOOKUP($A1159,#REF!,4,FALSE())&gt;2,HLOOKUP($A1159,#REF!,4,FALSE())&lt;-2),"",#REF!),"")</f>
        <v/>
      </c>
      <c r="G1159" s="0" t="str">
        <f aca="false">IFERROR(IF(OR(HLOOKUP($A1159,#REF!,5,FALSE())&gt;2,HLOOKUP($A1159,#REF!,5,FALSE())&lt;-2),"",#REF!),"")</f>
        <v/>
      </c>
      <c r="H1159" s="0" t="str">
        <f aca="false">IFERROR(IF(OR(HLOOKUP($A1159,#REF!,6,FALSE())&gt;2,HLOOKUP($A1159,#REF!,6,FALSE())&lt;-2),"",#REF!),"")</f>
        <v/>
      </c>
      <c r="I1159" s="0" t="str">
        <f aca="false">IFERROR(IF(OR(HLOOKUP($A1159,#REF!,7,FALSE())&gt;2,HLOOKUP($A1159,#REF!,7,FALSE())&lt;-2),"",#REF!),"")</f>
        <v/>
      </c>
      <c r="J1159" s="0" t="str">
        <f aca="false">IFERROR(IF(OR(HLOOKUP($A1159,#REF!,8,FALSE())&gt;2,HLOOKUP($A1159,#REF!,8,FALSE())&lt;-2),"",#REF!),"")</f>
        <v/>
      </c>
      <c r="K1159" s="0" t="str">
        <f aca="false">IFERROR(IF(OR(HLOOKUP($A1159,#REF!,9,FALSE())&gt;2,HLOOKUP($A1159,#REF!,9,FALSE())&lt;-2),"",#REF!),"")</f>
        <v/>
      </c>
      <c r="L1159" s="0" t="str">
        <f aca="false">IFERROR(IF(OR(HLOOKUP($A1159,#REF!,10,FALSE())&gt;2,HLOOKUP($A1159,#REF!,10,FALSE())&lt;-2),"",#REF!),"")</f>
        <v/>
      </c>
      <c r="M1159" s="0" t="str">
        <f aca="false">IFERROR(IF(OR(HLOOKUP($A1159,#REF!,11,FALSE())&gt;2,HLOOKUP($A1159,#REF!,11,FALSE())&lt;-2),"",#REF!),"")</f>
        <v/>
      </c>
      <c r="N1159" s="0" t="str">
        <f aca="false">IFERROR(IF(OR(HLOOKUP($A1159,#REF!,12,FALSE())&gt;2,HLOOKUP($A1159,#REF!,12,FALSE())&lt;-2),"",#REF!),"")</f>
        <v/>
      </c>
      <c r="O1159" s="0" t="str">
        <f aca="false">IFERROR(IF(OR(HLOOKUP($A1159,#REF!,13,FALSE())&gt;2,HLOOKUP($A1159,#REF!,13,FALSE())&lt;-2),"",#REF!),"")</f>
        <v/>
      </c>
      <c r="P1159" s="0" t="str">
        <f aca="false">IFERROR(IF(OR(HLOOKUP($A1159,#REF!,14,FALSE())&gt;2,HLOOKUP($A1159,#REF!,14,FALSE())&lt;-2),"",#REF!),"")</f>
        <v/>
      </c>
      <c r="Q1159" s="0" t="str">
        <f aca="false">IFERROR(IF(OR(HLOOKUP($A1159,#REF!,15,FALSE())&gt;2,HLOOKUP($A1159,#REF!,15,FALSE())&lt;-2),"",#REF!),"")</f>
        <v/>
      </c>
      <c r="R1159" s="0" t="str">
        <f aca="false">IFERROR(IF(OR(HLOOKUP($A1159,#REF!,16,FALSE())&gt;2,HLOOKUP($A1159,#REF!,16,FALSE())&lt;-2),"",#REF!),"")</f>
        <v/>
      </c>
      <c r="S1159" s="0" t="str">
        <f aca="false">IFERROR(IF(OR(HLOOKUP($A1159,#REF!,17,FALSE())&gt;2,HLOOKUP($A1159,#REF!,17,FALSE())&lt;-2),"",#REF!),"")</f>
        <v/>
      </c>
      <c r="T1159" s="0" t="str">
        <f aca="false">IFERROR(IF(OR(HLOOKUP($A1159,#REF!,18,FALSE())&gt;2,HLOOKUP($A1159,#REF!,18,FALSE())&lt;-2),"",#REF!),"")</f>
        <v/>
      </c>
      <c r="U1159" s="0" t="str">
        <f aca="false">IFERROR(IF(OR(HLOOKUP($A1159,#REF!,19,FALSE())&gt;2,HLOOKUP($A1159,#REF!,19,FALSE())&lt;-2),"",#REF!),"")</f>
        <v/>
      </c>
      <c r="V1159" s="0" t="n">
        <f aca="false">IFERROR(IF(AND(X1159=0,Y1159=0),0,1),0)</f>
        <v>1</v>
      </c>
      <c r="W1159" s="3" t="str">
        <f aca="false">IFERROR(_xlfn.T.TEST(E1159:M1159,N1159:U1159,2,2),"")</f>
        <v/>
      </c>
      <c r="X1159" s="0" t="str">
        <f aca="false">IFERROR(AVERAGE(E1159:M1159),"")</f>
        <v/>
      </c>
      <c r="Y1159" s="0" t="str">
        <f aca="false">IFERROR(AVERAGE(N1159:U1159),"")</f>
        <v/>
      </c>
    </row>
    <row r="1160" customFormat="false" ht="14.5" hidden="false" customHeight="false" outlineLevel="0" collapsed="false">
      <c r="A1160" s="0" t="n">
        <v>10702</v>
      </c>
      <c r="B1160" s="0" t="s">
        <v>1203</v>
      </c>
      <c r="C1160" s="0" t="n">
        <v>39700</v>
      </c>
      <c r="D1160" s="0" t="n">
        <v>726</v>
      </c>
      <c r="E1160" s="0" t="str">
        <f aca="false">IFERROR(IF(OR(HLOOKUP($A1160,#REF!,3,FALSE())&gt;2,HLOOKUP(A1160,#REF!,3,FALSE())&lt;-2),"",#REF!),"")</f>
        <v/>
      </c>
      <c r="F1160" s="0" t="str">
        <f aca="false">IFERROR(IF(OR(HLOOKUP($A1160,#REF!,4,FALSE())&gt;2,HLOOKUP($A1160,#REF!,4,FALSE())&lt;-2),"",#REF!),"")</f>
        <v/>
      </c>
      <c r="G1160" s="0" t="str">
        <f aca="false">IFERROR(IF(OR(HLOOKUP($A1160,#REF!,5,FALSE())&gt;2,HLOOKUP($A1160,#REF!,5,FALSE())&lt;-2),"",#REF!),"")</f>
        <v/>
      </c>
      <c r="H1160" s="0" t="str">
        <f aca="false">IFERROR(IF(OR(HLOOKUP($A1160,#REF!,6,FALSE())&gt;2,HLOOKUP($A1160,#REF!,6,FALSE())&lt;-2),"",#REF!),"")</f>
        <v/>
      </c>
      <c r="I1160" s="0" t="str">
        <f aca="false">IFERROR(IF(OR(HLOOKUP($A1160,#REF!,7,FALSE())&gt;2,HLOOKUP($A1160,#REF!,7,FALSE())&lt;-2),"",#REF!),"")</f>
        <v/>
      </c>
      <c r="J1160" s="0" t="str">
        <f aca="false">IFERROR(IF(OR(HLOOKUP($A1160,#REF!,8,FALSE())&gt;2,HLOOKUP($A1160,#REF!,8,FALSE())&lt;-2),"",#REF!),"")</f>
        <v/>
      </c>
      <c r="K1160" s="0" t="str">
        <f aca="false">IFERROR(IF(OR(HLOOKUP($A1160,#REF!,9,FALSE())&gt;2,HLOOKUP($A1160,#REF!,9,FALSE())&lt;-2),"",#REF!),"")</f>
        <v/>
      </c>
      <c r="L1160" s="0" t="str">
        <f aca="false">IFERROR(IF(OR(HLOOKUP($A1160,#REF!,10,FALSE())&gt;2,HLOOKUP($A1160,#REF!,10,FALSE())&lt;-2),"",#REF!),"")</f>
        <v/>
      </c>
      <c r="M1160" s="0" t="str">
        <f aca="false">IFERROR(IF(OR(HLOOKUP($A1160,#REF!,11,FALSE())&gt;2,HLOOKUP($A1160,#REF!,11,FALSE())&lt;-2),"",#REF!),"")</f>
        <v/>
      </c>
      <c r="N1160" s="0" t="str">
        <f aca="false">IFERROR(IF(OR(HLOOKUP($A1160,#REF!,12,FALSE())&gt;2,HLOOKUP($A1160,#REF!,12,FALSE())&lt;-2),"",#REF!),"")</f>
        <v/>
      </c>
      <c r="O1160" s="0" t="str">
        <f aca="false">IFERROR(IF(OR(HLOOKUP($A1160,#REF!,13,FALSE())&gt;2,HLOOKUP($A1160,#REF!,13,FALSE())&lt;-2),"",#REF!),"")</f>
        <v/>
      </c>
      <c r="P1160" s="0" t="str">
        <f aca="false">IFERROR(IF(OR(HLOOKUP($A1160,#REF!,14,FALSE())&gt;2,HLOOKUP($A1160,#REF!,14,FALSE())&lt;-2),"",#REF!),"")</f>
        <v/>
      </c>
      <c r="Q1160" s="0" t="str">
        <f aca="false">IFERROR(IF(OR(HLOOKUP($A1160,#REF!,15,FALSE())&gt;2,HLOOKUP($A1160,#REF!,15,FALSE())&lt;-2),"",#REF!),"")</f>
        <v/>
      </c>
      <c r="R1160" s="0" t="str">
        <f aca="false">IFERROR(IF(OR(HLOOKUP($A1160,#REF!,16,FALSE())&gt;2,HLOOKUP($A1160,#REF!,16,FALSE())&lt;-2),"",#REF!),"")</f>
        <v/>
      </c>
      <c r="S1160" s="0" t="str">
        <f aca="false">IFERROR(IF(OR(HLOOKUP($A1160,#REF!,17,FALSE())&gt;2,HLOOKUP($A1160,#REF!,17,FALSE())&lt;-2),"",#REF!),"")</f>
        <v/>
      </c>
      <c r="T1160" s="0" t="str">
        <f aca="false">IFERROR(IF(OR(HLOOKUP($A1160,#REF!,18,FALSE())&gt;2,HLOOKUP($A1160,#REF!,18,FALSE())&lt;-2),"",#REF!),"")</f>
        <v/>
      </c>
      <c r="U1160" s="0" t="str">
        <f aca="false">IFERROR(IF(OR(HLOOKUP($A1160,#REF!,19,FALSE())&gt;2,HLOOKUP($A1160,#REF!,19,FALSE())&lt;-2),"",#REF!),"")</f>
        <v/>
      </c>
      <c r="V1160" s="0" t="n">
        <f aca="false">IFERROR(IF(AND(X1160=0,Y1160=0),0,1),0)</f>
        <v>1</v>
      </c>
      <c r="W1160" s="3" t="str">
        <f aca="false">IFERROR(_xlfn.T.TEST(E1160:M1160,N1160:U1160,2,2),"")</f>
        <v/>
      </c>
      <c r="X1160" s="0" t="str">
        <f aca="false">IFERROR(AVERAGE(E1160:M1160),"")</f>
        <v/>
      </c>
      <c r="Y1160" s="0" t="str">
        <f aca="false">IFERROR(AVERAGE(N1160:U1160),"")</f>
        <v/>
      </c>
    </row>
    <row r="1161" customFormat="false" ht="14.5" hidden="false" customHeight="false" outlineLevel="0" collapsed="false">
      <c r="A1161" s="0" t="n">
        <v>10703</v>
      </c>
      <c r="B1161" s="0" t="s">
        <v>51</v>
      </c>
      <c r="C1161" s="0" t="n">
        <v>39400</v>
      </c>
      <c r="D1161" s="0" t="n">
        <v>726</v>
      </c>
      <c r="E1161" s="0" t="str">
        <f aca="false">IFERROR(IF(OR(HLOOKUP($A1161,#REF!,3,FALSE())&gt;2,HLOOKUP(A1161,#REF!,3,FALSE())&lt;-2),"",#REF!),"")</f>
        <v/>
      </c>
      <c r="F1161" s="0" t="str">
        <f aca="false">IFERROR(IF(OR(HLOOKUP($A1161,#REF!,4,FALSE())&gt;2,HLOOKUP($A1161,#REF!,4,FALSE())&lt;-2),"",#REF!),"")</f>
        <v/>
      </c>
      <c r="G1161" s="0" t="str">
        <f aca="false">IFERROR(IF(OR(HLOOKUP($A1161,#REF!,5,FALSE())&gt;2,HLOOKUP($A1161,#REF!,5,FALSE())&lt;-2),"",#REF!),"")</f>
        <v/>
      </c>
      <c r="H1161" s="0" t="str">
        <f aca="false">IFERROR(IF(OR(HLOOKUP($A1161,#REF!,6,FALSE())&gt;2,HLOOKUP($A1161,#REF!,6,FALSE())&lt;-2),"",#REF!),"")</f>
        <v/>
      </c>
      <c r="I1161" s="0" t="str">
        <f aca="false">IFERROR(IF(OR(HLOOKUP($A1161,#REF!,7,FALSE())&gt;2,HLOOKUP($A1161,#REF!,7,FALSE())&lt;-2),"",#REF!),"")</f>
        <v/>
      </c>
      <c r="J1161" s="0" t="str">
        <f aca="false">IFERROR(IF(OR(HLOOKUP($A1161,#REF!,8,FALSE())&gt;2,HLOOKUP($A1161,#REF!,8,FALSE())&lt;-2),"",#REF!),"")</f>
        <v/>
      </c>
      <c r="K1161" s="0" t="str">
        <f aca="false">IFERROR(IF(OR(HLOOKUP($A1161,#REF!,9,FALSE())&gt;2,HLOOKUP($A1161,#REF!,9,FALSE())&lt;-2),"",#REF!),"")</f>
        <v/>
      </c>
      <c r="L1161" s="0" t="str">
        <f aca="false">IFERROR(IF(OR(HLOOKUP($A1161,#REF!,10,FALSE())&gt;2,HLOOKUP($A1161,#REF!,10,FALSE())&lt;-2),"",#REF!),"")</f>
        <v/>
      </c>
      <c r="M1161" s="0" t="str">
        <f aca="false">IFERROR(IF(OR(HLOOKUP($A1161,#REF!,11,FALSE())&gt;2,HLOOKUP($A1161,#REF!,11,FALSE())&lt;-2),"",#REF!),"")</f>
        <v/>
      </c>
      <c r="N1161" s="0" t="str">
        <f aca="false">IFERROR(IF(OR(HLOOKUP($A1161,#REF!,12,FALSE())&gt;2,HLOOKUP($A1161,#REF!,12,FALSE())&lt;-2),"",#REF!),"")</f>
        <v/>
      </c>
      <c r="O1161" s="0" t="str">
        <f aca="false">IFERROR(IF(OR(HLOOKUP($A1161,#REF!,13,FALSE())&gt;2,HLOOKUP($A1161,#REF!,13,FALSE())&lt;-2),"",#REF!),"")</f>
        <v/>
      </c>
      <c r="P1161" s="0" t="str">
        <f aca="false">IFERROR(IF(OR(HLOOKUP($A1161,#REF!,14,FALSE())&gt;2,HLOOKUP($A1161,#REF!,14,FALSE())&lt;-2),"",#REF!),"")</f>
        <v/>
      </c>
      <c r="Q1161" s="0" t="str">
        <f aca="false">IFERROR(IF(OR(HLOOKUP($A1161,#REF!,15,FALSE())&gt;2,HLOOKUP($A1161,#REF!,15,FALSE())&lt;-2),"",#REF!),"")</f>
        <v/>
      </c>
      <c r="R1161" s="0" t="str">
        <f aca="false">IFERROR(IF(OR(HLOOKUP($A1161,#REF!,16,FALSE())&gt;2,HLOOKUP($A1161,#REF!,16,FALSE())&lt;-2),"",#REF!),"")</f>
        <v/>
      </c>
      <c r="S1161" s="0" t="str">
        <f aca="false">IFERROR(IF(OR(HLOOKUP($A1161,#REF!,17,FALSE())&gt;2,HLOOKUP($A1161,#REF!,17,FALSE())&lt;-2),"",#REF!),"")</f>
        <v/>
      </c>
      <c r="T1161" s="0" t="str">
        <f aca="false">IFERROR(IF(OR(HLOOKUP($A1161,#REF!,18,FALSE())&gt;2,HLOOKUP($A1161,#REF!,18,FALSE())&lt;-2),"",#REF!),"")</f>
        <v/>
      </c>
      <c r="U1161" s="0" t="str">
        <f aca="false">IFERROR(IF(OR(HLOOKUP($A1161,#REF!,19,FALSE())&gt;2,HLOOKUP($A1161,#REF!,19,FALSE())&lt;-2),"",#REF!),"")</f>
        <v/>
      </c>
      <c r="V1161" s="0" t="n">
        <f aca="false">IFERROR(IF(AND(X1161=0,Y1161=0),0,1),0)</f>
        <v>1</v>
      </c>
      <c r="W1161" s="3" t="str">
        <f aca="false">IFERROR(_xlfn.T.TEST(E1161:M1161,N1161:U1161,2,2),"")</f>
        <v/>
      </c>
      <c r="X1161" s="0" t="str">
        <f aca="false">IFERROR(AVERAGE(E1161:M1161),"")</f>
        <v/>
      </c>
      <c r="Y1161" s="0" t="str">
        <f aca="false">IFERROR(AVERAGE(N1161:U1161),"")</f>
        <v/>
      </c>
    </row>
    <row r="1162" customFormat="false" ht="14.5" hidden="false" customHeight="false" outlineLevel="0" collapsed="false">
      <c r="A1162" s="0" t="n">
        <v>10704</v>
      </c>
      <c r="B1162" s="0" t="s">
        <v>52</v>
      </c>
      <c r="C1162" s="0" t="n">
        <v>39500</v>
      </c>
      <c r="D1162" s="0" t="n">
        <v>726</v>
      </c>
      <c r="E1162" s="0" t="str">
        <f aca="false">IFERROR(IF(OR(HLOOKUP($A1162,#REF!,3,FALSE())&gt;2,HLOOKUP(A1162,#REF!,3,FALSE())&lt;-2),"",#REF!),"")</f>
        <v/>
      </c>
      <c r="F1162" s="0" t="str">
        <f aca="false">IFERROR(IF(OR(HLOOKUP($A1162,#REF!,4,FALSE())&gt;2,HLOOKUP($A1162,#REF!,4,FALSE())&lt;-2),"",#REF!),"")</f>
        <v/>
      </c>
      <c r="G1162" s="0" t="str">
        <f aca="false">IFERROR(IF(OR(HLOOKUP($A1162,#REF!,5,FALSE())&gt;2,HLOOKUP($A1162,#REF!,5,FALSE())&lt;-2),"",#REF!),"")</f>
        <v/>
      </c>
      <c r="H1162" s="0" t="str">
        <f aca="false">IFERROR(IF(OR(HLOOKUP($A1162,#REF!,6,FALSE())&gt;2,HLOOKUP($A1162,#REF!,6,FALSE())&lt;-2),"",#REF!),"")</f>
        <v/>
      </c>
      <c r="I1162" s="0" t="str">
        <f aca="false">IFERROR(IF(OR(HLOOKUP($A1162,#REF!,7,FALSE())&gt;2,HLOOKUP($A1162,#REF!,7,FALSE())&lt;-2),"",#REF!),"")</f>
        <v/>
      </c>
      <c r="J1162" s="0" t="str">
        <f aca="false">IFERROR(IF(OR(HLOOKUP($A1162,#REF!,8,FALSE())&gt;2,HLOOKUP($A1162,#REF!,8,FALSE())&lt;-2),"",#REF!),"")</f>
        <v/>
      </c>
      <c r="K1162" s="0" t="str">
        <f aca="false">IFERROR(IF(OR(HLOOKUP($A1162,#REF!,9,FALSE())&gt;2,HLOOKUP($A1162,#REF!,9,FALSE())&lt;-2),"",#REF!),"")</f>
        <v/>
      </c>
      <c r="L1162" s="0" t="str">
        <f aca="false">IFERROR(IF(OR(HLOOKUP($A1162,#REF!,10,FALSE())&gt;2,HLOOKUP($A1162,#REF!,10,FALSE())&lt;-2),"",#REF!),"")</f>
        <v/>
      </c>
      <c r="M1162" s="0" t="str">
        <f aca="false">IFERROR(IF(OR(HLOOKUP($A1162,#REF!,11,FALSE())&gt;2,HLOOKUP($A1162,#REF!,11,FALSE())&lt;-2),"",#REF!),"")</f>
        <v/>
      </c>
      <c r="N1162" s="0" t="str">
        <f aca="false">IFERROR(IF(OR(HLOOKUP($A1162,#REF!,12,FALSE())&gt;2,HLOOKUP($A1162,#REF!,12,FALSE())&lt;-2),"",#REF!),"")</f>
        <v/>
      </c>
      <c r="O1162" s="0" t="str">
        <f aca="false">IFERROR(IF(OR(HLOOKUP($A1162,#REF!,13,FALSE())&gt;2,HLOOKUP($A1162,#REF!,13,FALSE())&lt;-2),"",#REF!),"")</f>
        <v/>
      </c>
      <c r="P1162" s="0" t="str">
        <f aca="false">IFERROR(IF(OR(HLOOKUP($A1162,#REF!,14,FALSE())&gt;2,HLOOKUP($A1162,#REF!,14,FALSE())&lt;-2),"",#REF!),"")</f>
        <v/>
      </c>
      <c r="Q1162" s="0" t="str">
        <f aca="false">IFERROR(IF(OR(HLOOKUP($A1162,#REF!,15,FALSE())&gt;2,HLOOKUP($A1162,#REF!,15,FALSE())&lt;-2),"",#REF!),"")</f>
        <v/>
      </c>
      <c r="R1162" s="0" t="str">
        <f aca="false">IFERROR(IF(OR(HLOOKUP($A1162,#REF!,16,FALSE())&gt;2,HLOOKUP($A1162,#REF!,16,FALSE())&lt;-2),"",#REF!),"")</f>
        <v/>
      </c>
      <c r="S1162" s="0" t="str">
        <f aca="false">IFERROR(IF(OR(HLOOKUP($A1162,#REF!,17,FALSE())&gt;2,HLOOKUP($A1162,#REF!,17,FALSE())&lt;-2),"",#REF!),"")</f>
        <v/>
      </c>
      <c r="T1162" s="0" t="str">
        <f aca="false">IFERROR(IF(OR(HLOOKUP($A1162,#REF!,18,FALSE())&gt;2,HLOOKUP($A1162,#REF!,18,FALSE())&lt;-2),"",#REF!),"")</f>
        <v/>
      </c>
      <c r="U1162" s="0" t="str">
        <f aca="false">IFERROR(IF(OR(HLOOKUP($A1162,#REF!,19,FALSE())&gt;2,HLOOKUP($A1162,#REF!,19,FALSE())&lt;-2),"",#REF!),"")</f>
        <v/>
      </c>
      <c r="V1162" s="0" t="n">
        <f aca="false">IFERROR(IF(AND(X1162=0,Y1162=0),0,1),0)</f>
        <v>1</v>
      </c>
      <c r="W1162" s="3" t="str">
        <f aca="false">IFERROR(_xlfn.T.TEST(E1162:M1162,N1162:U1162,2,2),"")</f>
        <v/>
      </c>
      <c r="X1162" s="0" t="str">
        <f aca="false">IFERROR(AVERAGE(E1162:M1162),"")</f>
        <v/>
      </c>
      <c r="Y1162" s="0" t="str">
        <f aca="false">IFERROR(AVERAGE(N1162:U1162),"")</f>
        <v/>
      </c>
    </row>
    <row r="1163" customFormat="false" ht="14.5" hidden="false" customHeight="false" outlineLevel="0" collapsed="false">
      <c r="A1163" s="0" t="n">
        <v>10705</v>
      </c>
      <c r="B1163" s="0" t="s">
        <v>1204</v>
      </c>
      <c r="C1163" s="0" t="n">
        <v>55300</v>
      </c>
      <c r="D1163" s="0" t="n">
        <v>912</v>
      </c>
      <c r="E1163" s="0" t="str">
        <f aca="false">IFERROR(IF(OR(HLOOKUP($A1163,#REF!,3,FALSE())&gt;2,HLOOKUP(A1163,#REF!,3,FALSE())&lt;-2),"",#REF!),"")</f>
        <v/>
      </c>
      <c r="F1163" s="0" t="str">
        <f aca="false">IFERROR(IF(OR(HLOOKUP($A1163,#REF!,4,FALSE())&gt;2,HLOOKUP($A1163,#REF!,4,FALSE())&lt;-2),"",#REF!),"")</f>
        <v/>
      </c>
      <c r="G1163" s="0" t="str">
        <f aca="false">IFERROR(IF(OR(HLOOKUP($A1163,#REF!,5,FALSE())&gt;2,HLOOKUP($A1163,#REF!,5,FALSE())&lt;-2),"",#REF!),"")</f>
        <v/>
      </c>
      <c r="H1163" s="0" t="str">
        <f aca="false">IFERROR(IF(OR(HLOOKUP($A1163,#REF!,6,FALSE())&gt;2,HLOOKUP($A1163,#REF!,6,FALSE())&lt;-2),"",#REF!),"")</f>
        <v/>
      </c>
      <c r="I1163" s="0" t="str">
        <f aca="false">IFERROR(IF(OR(HLOOKUP($A1163,#REF!,7,FALSE())&gt;2,HLOOKUP($A1163,#REF!,7,FALSE())&lt;-2),"",#REF!),"")</f>
        <v/>
      </c>
      <c r="J1163" s="0" t="str">
        <f aca="false">IFERROR(IF(OR(HLOOKUP($A1163,#REF!,8,FALSE())&gt;2,HLOOKUP($A1163,#REF!,8,FALSE())&lt;-2),"",#REF!),"")</f>
        <v/>
      </c>
      <c r="K1163" s="0" t="str">
        <f aca="false">IFERROR(IF(OR(HLOOKUP($A1163,#REF!,9,FALSE())&gt;2,HLOOKUP($A1163,#REF!,9,FALSE())&lt;-2),"",#REF!),"")</f>
        <v/>
      </c>
      <c r="L1163" s="0" t="str">
        <f aca="false">IFERROR(IF(OR(HLOOKUP($A1163,#REF!,10,FALSE())&gt;2,HLOOKUP($A1163,#REF!,10,FALSE())&lt;-2),"",#REF!),"")</f>
        <v/>
      </c>
      <c r="M1163" s="0" t="str">
        <f aca="false">IFERROR(IF(OR(HLOOKUP($A1163,#REF!,11,FALSE())&gt;2,HLOOKUP($A1163,#REF!,11,FALSE())&lt;-2),"",#REF!),"")</f>
        <v/>
      </c>
      <c r="N1163" s="0" t="str">
        <f aca="false">IFERROR(IF(OR(HLOOKUP($A1163,#REF!,12,FALSE())&gt;2,HLOOKUP($A1163,#REF!,12,FALSE())&lt;-2),"",#REF!),"")</f>
        <v/>
      </c>
      <c r="O1163" s="0" t="str">
        <f aca="false">IFERROR(IF(OR(HLOOKUP($A1163,#REF!,13,FALSE())&gt;2,HLOOKUP($A1163,#REF!,13,FALSE())&lt;-2),"",#REF!),"")</f>
        <v/>
      </c>
      <c r="P1163" s="0" t="str">
        <f aca="false">IFERROR(IF(OR(HLOOKUP($A1163,#REF!,14,FALSE())&gt;2,HLOOKUP($A1163,#REF!,14,FALSE())&lt;-2),"",#REF!),"")</f>
        <v/>
      </c>
      <c r="Q1163" s="0" t="str">
        <f aca="false">IFERROR(IF(OR(HLOOKUP($A1163,#REF!,15,FALSE())&gt;2,HLOOKUP($A1163,#REF!,15,FALSE())&lt;-2),"",#REF!),"")</f>
        <v/>
      </c>
      <c r="R1163" s="0" t="str">
        <f aca="false">IFERROR(IF(OR(HLOOKUP($A1163,#REF!,16,FALSE())&gt;2,HLOOKUP($A1163,#REF!,16,FALSE())&lt;-2),"",#REF!),"")</f>
        <v/>
      </c>
      <c r="S1163" s="0" t="str">
        <f aca="false">IFERROR(IF(OR(HLOOKUP($A1163,#REF!,17,FALSE())&gt;2,HLOOKUP($A1163,#REF!,17,FALSE())&lt;-2),"",#REF!),"")</f>
        <v/>
      </c>
      <c r="T1163" s="0" t="str">
        <f aca="false">IFERROR(IF(OR(HLOOKUP($A1163,#REF!,18,FALSE())&gt;2,HLOOKUP($A1163,#REF!,18,FALSE())&lt;-2),"",#REF!),"")</f>
        <v/>
      </c>
      <c r="U1163" s="0" t="str">
        <f aca="false">IFERROR(IF(OR(HLOOKUP($A1163,#REF!,19,FALSE())&gt;2,HLOOKUP($A1163,#REF!,19,FALSE())&lt;-2),"",#REF!),"")</f>
        <v/>
      </c>
      <c r="V1163" s="0" t="n">
        <f aca="false">IFERROR(IF(AND(X1163=0,Y1163=0),0,1),0)</f>
        <v>1</v>
      </c>
      <c r="W1163" s="3" t="str">
        <f aca="false">IFERROR(_xlfn.T.TEST(E1163:M1163,N1163:U1163,2,2),"")</f>
        <v/>
      </c>
      <c r="X1163" s="0" t="str">
        <f aca="false">IFERROR(AVERAGE(E1163:M1163),"")</f>
        <v/>
      </c>
      <c r="Y1163" s="0" t="str">
        <f aca="false">IFERROR(AVERAGE(N1163:U1163),"")</f>
        <v/>
      </c>
    </row>
    <row r="1164" customFormat="false" ht="14.5" hidden="false" customHeight="false" outlineLevel="0" collapsed="false">
      <c r="A1164" s="0" t="n">
        <v>10706</v>
      </c>
      <c r="B1164" s="0" t="s">
        <v>1205</v>
      </c>
      <c r="C1164" s="0" t="n">
        <v>55200</v>
      </c>
      <c r="D1164" s="0" t="n">
        <v>912</v>
      </c>
      <c r="E1164" s="0" t="str">
        <f aca="false">IFERROR(IF(OR(HLOOKUP($A1164,#REF!,3,FALSE())&gt;2,HLOOKUP(A1164,#REF!,3,FALSE())&lt;-2),"",#REF!),"")</f>
        <v/>
      </c>
      <c r="F1164" s="0" t="str">
        <f aca="false">IFERROR(IF(OR(HLOOKUP($A1164,#REF!,4,FALSE())&gt;2,HLOOKUP($A1164,#REF!,4,FALSE())&lt;-2),"",#REF!),"")</f>
        <v/>
      </c>
      <c r="G1164" s="0" t="str">
        <f aca="false">IFERROR(IF(OR(HLOOKUP($A1164,#REF!,5,FALSE())&gt;2,HLOOKUP($A1164,#REF!,5,FALSE())&lt;-2),"",#REF!),"")</f>
        <v/>
      </c>
      <c r="H1164" s="0" t="str">
        <f aca="false">IFERROR(IF(OR(HLOOKUP($A1164,#REF!,6,FALSE())&gt;2,HLOOKUP($A1164,#REF!,6,FALSE())&lt;-2),"",#REF!),"")</f>
        <v/>
      </c>
      <c r="I1164" s="0" t="str">
        <f aca="false">IFERROR(IF(OR(HLOOKUP($A1164,#REF!,7,FALSE())&gt;2,HLOOKUP($A1164,#REF!,7,FALSE())&lt;-2),"",#REF!),"")</f>
        <v/>
      </c>
      <c r="J1164" s="0" t="str">
        <f aca="false">IFERROR(IF(OR(HLOOKUP($A1164,#REF!,8,FALSE())&gt;2,HLOOKUP($A1164,#REF!,8,FALSE())&lt;-2),"",#REF!),"")</f>
        <v/>
      </c>
      <c r="K1164" s="0" t="str">
        <f aca="false">IFERROR(IF(OR(HLOOKUP($A1164,#REF!,9,FALSE())&gt;2,HLOOKUP($A1164,#REF!,9,FALSE())&lt;-2),"",#REF!),"")</f>
        <v/>
      </c>
      <c r="L1164" s="0" t="str">
        <f aca="false">IFERROR(IF(OR(HLOOKUP($A1164,#REF!,10,FALSE())&gt;2,HLOOKUP($A1164,#REF!,10,FALSE())&lt;-2),"",#REF!),"")</f>
        <v/>
      </c>
      <c r="M1164" s="0" t="str">
        <f aca="false">IFERROR(IF(OR(HLOOKUP($A1164,#REF!,11,FALSE())&gt;2,HLOOKUP($A1164,#REF!,11,FALSE())&lt;-2),"",#REF!),"")</f>
        <v/>
      </c>
      <c r="N1164" s="0" t="str">
        <f aca="false">IFERROR(IF(OR(HLOOKUP($A1164,#REF!,12,FALSE())&gt;2,HLOOKUP($A1164,#REF!,12,FALSE())&lt;-2),"",#REF!),"")</f>
        <v/>
      </c>
      <c r="O1164" s="0" t="str">
        <f aca="false">IFERROR(IF(OR(HLOOKUP($A1164,#REF!,13,FALSE())&gt;2,HLOOKUP($A1164,#REF!,13,FALSE())&lt;-2),"",#REF!),"")</f>
        <v/>
      </c>
      <c r="P1164" s="0" t="str">
        <f aca="false">IFERROR(IF(OR(HLOOKUP($A1164,#REF!,14,FALSE())&gt;2,HLOOKUP($A1164,#REF!,14,FALSE())&lt;-2),"",#REF!),"")</f>
        <v/>
      </c>
      <c r="Q1164" s="0" t="str">
        <f aca="false">IFERROR(IF(OR(HLOOKUP($A1164,#REF!,15,FALSE())&gt;2,HLOOKUP($A1164,#REF!,15,FALSE())&lt;-2),"",#REF!),"")</f>
        <v/>
      </c>
      <c r="R1164" s="0" t="str">
        <f aca="false">IFERROR(IF(OR(HLOOKUP($A1164,#REF!,16,FALSE())&gt;2,HLOOKUP($A1164,#REF!,16,FALSE())&lt;-2),"",#REF!),"")</f>
        <v/>
      </c>
      <c r="S1164" s="0" t="str">
        <f aca="false">IFERROR(IF(OR(HLOOKUP($A1164,#REF!,17,FALSE())&gt;2,HLOOKUP($A1164,#REF!,17,FALSE())&lt;-2),"",#REF!),"")</f>
        <v/>
      </c>
      <c r="T1164" s="0" t="str">
        <f aca="false">IFERROR(IF(OR(HLOOKUP($A1164,#REF!,18,FALSE())&gt;2,HLOOKUP($A1164,#REF!,18,FALSE())&lt;-2),"",#REF!),"")</f>
        <v/>
      </c>
      <c r="U1164" s="0" t="str">
        <f aca="false">IFERROR(IF(OR(HLOOKUP($A1164,#REF!,19,FALSE())&gt;2,HLOOKUP($A1164,#REF!,19,FALSE())&lt;-2),"",#REF!),"")</f>
        <v/>
      </c>
      <c r="V1164" s="0" t="n">
        <f aca="false">IFERROR(IF(AND(X1164=0,Y1164=0),0,1),0)</f>
        <v>1</v>
      </c>
      <c r="W1164" s="3" t="str">
        <f aca="false">IFERROR(_xlfn.T.TEST(E1164:M1164,N1164:U1164,2,2),"")</f>
        <v/>
      </c>
      <c r="X1164" s="0" t="str">
        <f aca="false">IFERROR(AVERAGE(E1164:M1164),"")</f>
        <v/>
      </c>
      <c r="Y1164" s="0" t="str">
        <f aca="false">IFERROR(AVERAGE(N1164:U1164),"")</f>
        <v/>
      </c>
    </row>
    <row r="1165" customFormat="false" ht="14.5" hidden="false" customHeight="false" outlineLevel="0" collapsed="false">
      <c r="A1165" s="0" t="n">
        <v>10707</v>
      </c>
      <c r="B1165" s="0" t="s">
        <v>1206</v>
      </c>
      <c r="C1165" s="0" t="n">
        <v>55100</v>
      </c>
      <c r="D1165" s="0" t="n">
        <v>912</v>
      </c>
      <c r="E1165" s="0" t="str">
        <f aca="false">IFERROR(IF(OR(HLOOKUP($A1165,#REF!,3,FALSE())&gt;2,HLOOKUP(A1165,#REF!,3,FALSE())&lt;-2),"",#REF!),"")</f>
        <v/>
      </c>
      <c r="F1165" s="0" t="str">
        <f aca="false">IFERROR(IF(OR(HLOOKUP($A1165,#REF!,4,FALSE())&gt;2,HLOOKUP($A1165,#REF!,4,FALSE())&lt;-2),"",#REF!),"")</f>
        <v/>
      </c>
      <c r="G1165" s="0" t="str">
        <f aca="false">IFERROR(IF(OR(HLOOKUP($A1165,#REF!,5,FALSE())&gt;2,HLOOKUP($A1165,#REF!,5,FALSE())&lt;-2),"",#REF!),"")</f>
        <v/>
      </c>
      <c r="H1165" s="0" t="str">
        <f aca="false">IFERROR(IF(OR(HLOOKUP($A1165,#REF!,6,FALSE())&gt;2,HLOOKUP($A1165,#REF!,6,FALSE())&lt;-2),"",#REF!),"")</f>
        <v/>
      </c>
      <c r="I1165" s="0" t="str">
        <f aca="false">IFERROR(IF(OR(HLOOKUP($A1165,#REF!,7,FALSE())&gt;2,HLOOKUP($A1165,#REF!,7,FALSE())&lt;-2),"",#REF!),"")</f>
        <v/>
      </c>
      <c r="J1165" s="0" t="str">
        <f aca="false">IFERROR(IF(OR(HLOOKUP($A1165,#REF!,8,FALSE())&gt;2,HLOOKUP($A1165,#REF!,8,FALSE())&lt;-2),"",#REF!),"")</f>
        <v/>
      </c>
      <c r="K1165" s="0" t="str">
        <f aca="false">IFERROR(IF(OR(HLOOKUP($A1165,#REF!,9,FALSE())&gt;2,HLOOKUP($A1165,#REF!,9,FALSE())&lt;-2),"",#REF!),"")</f>
        <v/>
      </c>
      <c r="L1165" s="0" t="str">
        <f aca="false">IFERROR(IF(OR(HLOOKUP($A1165,#REF!,10,FALSE())&gt;2,HLOOKUP($A1165,#REF!,10,FALSE())&lt;-2),"",#REF!),"")</f>
        <v/>
      </c>
      <c r="M1165" s="0" t="str">
        <f aca="false">IFERROR(IF(OR(HLOOKUP($A1165,#REF!,11,FALSE())&gt;2,HLOOKUP($A1165,#REF!,11,FALSE())&lt;-2),"",#REF!),"")</f>
        <v/>
      </c>
      <c r="N1165" s="0" t="str">
        <f aca="false">IFERROR(IF(OR(HLOOKUP($A1165,#REF!,12,FALSE())&gt;2,HLOOKUP($A1165,#REF!,12,FALSE())&lt;-2),"",#REF!),"")</f>
        <v/>
      </c>
      <c r="O1165" s="0" t="str">
        <f aca="false">IFERROR(IF(OR(HLOOKUP($A1165,#REF!,13,FALSE())&gt;2,HLOOKUP($A1165,#REF!,13,FALSE())&lt;-2),"",#REF!),"")</f>
        <v/>
      </c>
      <c r="P1165" s="0" t="str">
        <f aca="false">IFERROR(IF(OR(HLOOKUP($A1165,#REF!,14,FALSE())&gt;2,HLOOKUP($A1165,#REF!,14,FALSE())&lt;-2),"",#REF!),"")</f>
        <v/>
      </c>
      <c r="Q1165" s="0" t="str">
        <f aca="false">IFERROR(IF(OR(HLOOKUP($A1165,#REF!,15,FALSE())&gt;2,HLOOKUP($A1165,#REF!,15,FALSE())&lt;-2),"",#REF!),"")</f>
        <v/>
      </c>
      <c r="R1165" s="0" t="str">
        <f aca="false">IFERROR(IF(OR(HLOOKUP($A1165,#REF!,16,FALSE())&gt;2,HLOOKUP($A1165,#REF!,16,FALSE())&lt;-2),"",#REF!),"")</f>
        <v/>
      </c>
      <c r="S1165" s="0" t="str">
        <f aca="false">IFERROR(IF(OR(HLOOKUP($A1165,#REF!,17,FALSE())&gt;2,HLOOKUP($A1165,#REF!,17,FALSE())&lt;-2),"",#REF!),"")</f>
        <v/>
      </c>
      <c r="T1165" s="0" t="str">
        <f aca="false">IFERROR(IF(OR(HLOOKUP($A1165,#REF!,18,FALSE())&gt;2,HLOOKUP($A1165,#REF!,18,FALSE())&lt;-2),"",#REF!),"")</f>
        <v/>
      </c>
      <c r="U1165" s="0" t="str">
        <f aca="false">IFERROR(IF(OR(HLOOKUP($A1165,#REF!,19,FALSE())&gt;2,HLOOKUP($A1165,#REF!,19,FALSE())&lt;-2),"",#REF!),"")</f>
        <v/>
      </c>
      <c r="V1165" s="0" t="n">
        <f aca="false">IFERROR(IF(AND(X1165=0,Y1165=0),0,1),0)</f>
        <v>1</v>
      </c>
      <c r="W1165" s="3" t="str">
        <f aca="false">IFERROR(_xlfn.T.TEST(E1165:M1165,N1165:U1165,2,2),"")</f>
        <v/>
      </c>
      <c r="X1165" s="0" t="str">
        <f aca="false">IFERROR(AVERAGE(E1165:M1165),"")</f>
        <v/>
      </c>
      <c r="Y1165" s="0" t="str">
        <f aca="false">IFERROR(AVERAGE(N1165:U1165),"")</f>
        <v/>
      </c>
    </row>
    <row r="1166" customFormat="false" ht="14.5" hidden="false" customHeight="false" outlineLevel="0" collapsed="false">
      <c r="A1166" s="0" t="n">
        <v>10708</v>
      </c>
      <c r="B1166" s="0" t="s">
        <v>1207</v>
      </c>
      <c r="C1166" s="0" t="n">
        <v>55800</v>
      </c>
      <c r="D1166" s="0" t="n">
        <v>976</v>
      </c>
      <c r="E1166" s="0" t="str">
        <f aca="false">IFERROR(IF(OR(HLOOKUP($A1166,#REF!,3,FALSE())&gt;2,HLOOKUP(A1166,#REF!,3,FALSE())&lt;-2),"",#REF!),"")</f>
        <v/>
      </c>
      <c r="F1166" s="0" t="str">
        <f aca="false">IFERROR(IF(OR(HLOOKUP($A1166,#REF!,4,FALSE())&gt;2,HLOOKUP($A1166,#REF!,4,FALSE())&lt;-2),"",#REF!),"")</f>
        <v/>
      </c>
      <c r="G1166" s="0" t="str">
        <f aca="false">IFERROR(IF(OR(HLOOKUP($A1166,#REF!,5,FALSE())&gt;2,HLOOKUP($A1166,#REF!,5,FALSE())&lt;-2),"",#REF!),"")</f>
        <v/>
      </c>
      <c r="H1166" s="0" t="str">
        <f aca="false">IFERROR(IF(OR(HLOOKUP($A1166,#REF!,6,FALSE())&gt;2,HLOOKUP($A1166,#REF!,6,FALSE())&lt;-2),"",#REF!),"")</f>
        <v/>
      </c>
      <c r="I1166" s="0" t="str">
        <f aca="false">IFERROR(IF(OR(HLOOKUP($A1166,#REF!,7,FALSE())&gt;2,HLOOKUP($A1166,#REF!,7,FALSE())&lt;-2),"",#REF!),"")</f>
        <v/>
      </c>
      <c r="J1166" s="0" t="str">
        <f aca="false">IFERROR(IF(OR(HLOOKUP($A1166,#REF!,8,FALSE())&gt;2,HLOOKUP($A1166,#REF!,8,FALSE())&lt;-2),"",#REF!),"")</f>
        <v/>
      </c>
      <c r="K1166" s="0" t="str">
        <f aca="false">IFERROR(IF(OR(HLOOKUP($A1166,#REF!,9,FALSE())&gt;2,HLOOKUP($A1166,#REF!,9,FALSE())&lt;-2),"",#REF!),"")</f>
        <v/>
      </c>
      <c r="L1166" s="0" t="str">
        <f aca="false">IFERROR(IF(OR(HLOOKUP($A1166,#REF!,10,FALSE())&gt;2,HLOOKUP($A1166,#REF!,10,FALSE())&lt;-2),"",#REF!),"")</f>
        <v/>
      </c>
      <c r="M1166" s="0" t="str">
        <f aca="false">IFERROR(IF(OR(HLOOKUP($A1166,#REF!,11,FALSE())&gt;2,HLOOKUP($A1166,#REF!,11,FALSE())&lt;-2),"",#REF!),"")</f>
        <v/>
      </c>
      <c r="N1166" s="0" t="str">
        <f aca="false">IFERROR(IF(OR(HLOOKUP($A1166,#REF!,12,FALSE())&gt;2,HLOOKUP($A1166,#REF!,12,FALSE())&lt;-2),"",#REF!),"")</f>
        <v/>
      </c>
      <c r="O1166" s="0" t="str">
        <f aca="false">IFERROR(IF(OR(HLOOKUP($A1166,#REF!,13,FALSE())&gt;2,HLOOKUP($A1166,#REF!,13,FALSE())&lt;-2),"",#REF!),"")</f>
        <v/>
      </c>
      <c r="P1166" s="0" t="str">
        <f aca="false">IFERROR(IF(OR(HLOOKUP($A1166,#REF!,14,FALSE())&gt;2,HLOOKUP($A1166,#REF!,14,FALSE())&lt;-2),"",#REF!),"")</f>
        <v/>
      </c>
      <c r="Q1166" s="0" t="str">
        <f aca="false">IFERROR(IF(OR(HLOOKUP($A1166,#REF!,15,FALSE())&gt;2,HLOOKUP($A1166,#REF!,15,FALSE())&lt;-2),"",#REF!),"")</f>
        <v/>
      </c>
      <c r="R1166" s="0" t="str">
        <f aca="false">IFERROR(IF(OR(HLOOKUP($A1166,#REF!,16,FALSE())&gt;2,HLOOKUP($A1166,#REF!,16,FALSE())&lt;-2),"",#REF!),"")</f>
        <v/>
      </c>
      <c r="S1166" s="0" t="str">
        <f aca="false">IFERROR(IF(OR(HLOOKUP($A1166,#REF!,17,FALSE())&gt;2,HLOOKUP($A1166,#REF!,17,FALSE())&lt;-2),"",#REF!),"")</f>
        <v/>
      </c>
      <c r="T1166" s="0" t="str">
        <f aca="false">IFERROR(IF(OR(HLOOKUP($A1166,#REF!,18,FALSE())&gt;2,HLOOKUP($A1166,#REF!,18,FALSE())&lt;-2),"",#REF!),"")</f>
        <v/>
      </c>
      <c r="U1166" s="0" t="str">
        <f aca="false">IFERROR(IF(OR(HLOOKUP($A1166,#REF!,19,FALSE())&gt;2,HLOOKUP($A1166,#REF!,19,FALSE())&lt;-2),"",#REF!),"")</f>
        <v/>
      </c>
      <c r="V1166" s="0" t="n">
        <f aca="false">IFERROR(IF(AND(X1166=0,Y1166=0),0,1),0)</f>
        <v>1</v>
      </c>
      <c r="W1166" s="3" t="str">
        <f aca="false">IFERROR(_xlfn.T.TEST(E1166:M1166,N1166:U1166,2,2),"")</f>
        <v/>
      </c>
      <c r="X1166" s="0" t="str">
        <f aca="false">IFERROR(AVERAGE(E1166:M1166),"")</f>
        <v/>
      </c>
      <c r="Y1166" s="0" t="str">
        <f aca="false">IFERROR(AVERAGE(N1166:U1166),"")</f>
        <v/>
      </c>
    </row>
    <row r="1167" customFormat="false" ht="14.5" hidden="false" customHeight="false" outlineLevel="0" collapsed="false">
      <c r="A1167" s="0" t="n">
        <v>10709</v>
      </c>
      <c r="B1167" s="0" t="s">
        <v>1208</v>
      </c>
      <c r="C1167" s="0" t="n">
        <v>55700</v>
      </c>
      <c r="D1167" s="0" t="n">
        <v>976</v>
      </c>
      <c r="E1167" s="0" t="str">
        <f aca="false">IFERROR(IF(OR(HLOOKUP($A1167,#REF!,3,FALSE())&gt;2,HLOOKUP(A1167,#REF!,3,FALSE())&lt;-2),"",#REF!),"")</f>
        <v/>
      </c>
      <c r="F1167" s="0" t="str">
        <f aca="false">IFERROR(IF(OR(HLOOKUP($A1167,#REF!,4,FALSE())&gt;2,HLOOKUP($A1167,#REF!,4,FALSE())&lt;-2),"",#REF!),"")</f>
        <v/>
      </c>
      <c r="G1167" s="0" t="str">
        <f aca="false">IFERROR(IF(OR(HLOOKUP($A1167,#REF!,5,FALSE())&gt;2,HLOOKUP($A1167,#REF!,5,FALSE())&lt;-2),"",#REF!),"")</f>
        <v/>
      </c>
      <c r="H1167" s="0" t="str">
        <f aca="false">IFERROR(IF(OR(HLOOKUP($A1167,#REF!,6,FALSE())&gt;2,HLOOKUP($A1167,#REF!,6,FALSE())&lt;-2),"",#REF!),"")</f>
        <v/>
      </c>
      <c r="I1167" s="0" t="str">
        <f aca="false">IFERROR(IF(OR(HLOOKUP($A1167,#REF!,7,FALSE())&gt;2,HLOOKUP($A1167,#REF!,7,FALSE())&lt;-2),"",#REF!),"")</f>
        <v/>
      </c>
      <c r="J1167" s="0" t="str">
        <f aca="false">IFERROR(IF(OR(HLOOKUP($A1167,#REF!,8,FALSE())&gt;2,HLOOKUP($A1167,#REF!,8,FALSE())&lt;-2),"",#REF!),"")</f>
        <v/>
      </c>
      <c r="K1167" s="0" t="str">
        <f aca="false">IFERROR(IF(OR(HLOOKUP($A1167,#REF!,9,FALSE())&gt;2,HLOOKUP($A1167,#REF!,9,FALSE())&lt;-2),"",#REF!),"")</f>
        <v/>
      </c>
      <c r="L1167" s="0" t="str">
        <f aca="false">IFERROR(IF(OR(HLOOKUP($A1167,#REF!,10,FALSE())&gt;2,HLOOKUP($A1167,#REF!,10,FALSE())&lt;-2),"",#REF!),"")</f>
        <v/>
      </c>
      <c r="M1167" s="0" t="str">
        <f aca="false">IFERROR(IF(OR(HLOOKUP($A1167,#REF!,11,FALSE())&gt;2,HLOOKUP($A1167,#REF!,11,FALSE())&lt;-2),"",#REF!),"")</f>
        <v/>
      </c>
      <c r="N1167" s="0" t="str">
        <f aca="false">IFERROR(IF(OR(HLOOKUP($A1167,#REF!,12,FALSE())&gt;2,HLOOKUP($A1167,#REF!,12,FALSE())&lt;-2),"",#REF!),"")</f>
        <v/>
      </c>
      <c r="O1167" s="0" t="str">
        <f aca="false">IFERROR(IF(OR(HLOOKUP($A1167,#REF!,13,FALSE())&gt;2,HLOOKUP($A1167,#REF!,13,FALSE())&lt;-2),"",#REF!),"")</f>
        <v/>
      </c>
      <c r="P1167" s="0" t="str">
        <f aca="false">IFERROR(IF(OR(HLOOKUP($A1167,#REF!,14,FALSE())&gt;2,HLOOKUP($A1167,#REF!,14,FALSE())&lt;-2),"",#REF!),"")</f>
        <v/>
      </c>
      <c r="Q1167" s="0" t="str">
        <f aca="false">IFERROR(IF(OR(HLOOKUP($A1167,#REF!,15,FALSE())&gt;2,HLOOKUP($A1167,#REF!,15,FALSE())&lt;-2),"",#REF!),"")</f>
        <v/>
      </c>
      <c r="R1167" s="0" t="str">
        <f aca="false">IFERROR(IF(OR(HLOOKUP($A1167,#REF!,16,FALSE())&gt;2,HLOOKUP($A1167,#REF!,16,FALSE())&lt;-2),"",#REF!),"")</f>
        <v/>
      </c>
      <c r="S1167" s="0" t="str">
        <f aca="false">IFERROR(IF(OR(HLOOKUP($A1167,#REF!,17,FALSE())&gt;2,HLOOKUP($A1167,#REF!,17,FALSE())&lt;-2),"",#REF!),"")</f>
        <v/>
      </c>
      <c r="T1167" s="0" t="str">
        <f aca="false">IFERROR(IF(OR(HLOOKUP($A1167,#REF!,18,FALSE())&gt;2,HLOOKUP($A1167,#REF!,18,FALSE())&lt;-2),"",#REF!),"")</f>
        <v/>
      </c>
      <c r="U1167" s="0" t="str">
        <f aca="false">IFERROR(IF(OR(HLOOKUP($A1167,#REF!,19,FALSE())&gt;2,HLOOKUP($A1167,#REF!,19,FALSE())&lt;-2),"",#REF!),"")</f>
        <v/>
      </c>
      <c r="V1167" s="0" t="n">
        <f aca="false">IFERROR(IF(AND(X1167=0,Y1167=0),0,1),0)</f>
        <v>1</v>
      </c>
      <c r="W1167" s="3" t="str">
        <f aca="false">IFERROR(_xlfn.T.TEST(E1167:M1167,N1167:U1167,2,2),"")</f>
        <v/>
      </c>
      <c r="X1167" s="0" t="str">
        <f aca="false">IFERROR(AVERAGE(E1167:M1167),"")</f>
        <v/>
      </c>
      <c r="Y1167" s="0" t="str">
        <f aca="false">IFERROR(AVERAGE(N1167:U1167),"")</f>
        <v/>
      </c>
    </row>
    <row r="1168" customFormat="false" ht="14.5" hidden="false" customHeight="false" outlineLevel="0" collapsed="false">
      <c r="A1168" s="0" t="n">
        <v>10710</v>
      </c>
      <c r="B1168" s="0" t="s">
        <v>1209</v>
      </c>
      <c r="C1168" s="0" t="n">
        <v>55600</v>
      </c>
      <c r="D1168" s="0" t="n">
        <v>976</v>
      </c>
      <c r="E1168" s="0" t="str">
        <f aca="false">IFERROR(IF(OR(HLOOKUP($A1168,#REF!,3,FALSE())&gt;2,HLOOKUP(A1168,#REF!,3,FALSE())&lt;-2),"",#REF!),"")</f>
        <v/>
      </c>
      <c r="F1168" s="0" t="str">
        <f aca="false">IFERROR(IF(OR(HLOOKUP($A1168,#REF!,4,FALSE())&gt;2,HLOOKUP($A1168,#REF!,4,FALSE())&lt;-2),"",#REF!),"")</f>
        <v/>
      </c>
      <c r="G1168" s="0" t="str">
        <f aca="false">IFERROR(IF(OR(HLOOKUP($A1168,#REF!,5,FALSE())&gt;2,HLOOKUP($A1168,#REF!,5,FALSE())&lt;-2),"",#REF!),"")</f>
        <v/>
      </c>
      <c r="H1168" s="0" t="str">
        <f aca="false">IFERROR(IF(OR(HLOOKUP($A1168,#REF!,6,FALSE())&gt;2,HLOOKUP($A1168,#REF!,6,FALSE())&lt;-2),"",#REF!),"")</f>
        <v/>
      </c>
      <c r="I1168" s="0" t="str">
        <f aca="false">IFERROR(IF(OR(HLOOKUP($A1168,#REF!,7,FALSE())&gt;2,HLOOKUP($A1168,#REF!,7,FALSE())&lt;-2),"",#REF!),"")</f>
        <v/>
      </c>
      <c r="J1168" s="0" t="str">
        <f aca="false">IFERROR(IF(OR(HLOOKUP($A1168,#REF!,8,FALSE())&gt;2,HLOOKUP($A1168,#REF!,8,FALSE())&lt;-2),"",#REF!),"")</f>
        <v/>
      </c>
      <c r="K1168" s="0" t="str">
        <f aca="false">IFERROR(IF(OR(HLOOKUP($A1168,#REF!,9,FALSE())&gt;2,HLOOKUP($A1168,#REF!,9,FALSE())&lt;-2),"",#REF!),"")</f>
        <v/>
      </c>
      <c r="L1168" s="0" t="str">
        <f aca="false">IFERROR(IF(OR(HLOOKUP($A1168,#REF!,10,FALSE())&gt;2,HLOOKUP($A1168,#REF!,10,FALSE())&lt;-2),"",#REF!),"")</f>
        <v/>
      </c>
      <c r="M1168" s="0" t="str">
        <f aca="false">IFERROR(IF(OR(HLOOKUP($A1168,#REF!,11,FALSE())&gt;2,HLOOKUP($A1168,#REF!,11,FALSE())&lt;-2),"",#REF!),"")</f>
        <v/>
      </c>
      <c r="N1168" s="0" t="str">
        <f aca="false">IFERROR(IF(OR(HLOOKUP($A1168,#REF!,12,FALSE())&gt;2,HLOOKUP($A1168,#REF!,12,FALSE())&lt;-2),"",#REF!),"")</f>
        <v/>
      </c>
      <c r="O1168" s="0" t="str">
        <f aca="false">IFERROR(IF(OR(HLOOKUP($A1168,#REF!,13,FALSE())&gt;2,HLOOKUP($A1168,#REF!,13,FALSE())&lt;-2),"",#REF!),"")</f>
        <v/>
      </c>
      <c r="P1168" s="0" t="str">
        <f aca="false">IFERROR(IF(OR(HLOOKUP($A1168,#REF!,14,FALSE())&gt;2,HLOOKUP($A1168,#REF!,14,FALSE())&lt;-2),"",#REF!),"")</f>
        <v/>
      </c>
      <c r="Q1168" s="0" t="str">
        <f aca="false">IFERROR(IF(OR(HLOOKUP($A1168,#REF!,15,FALSE())&gt;2,HLOOKUP($A1168,#REF!,15,FALSE())&lt;-2),"",#REF!),"")</f>
        <v/>
      </c>
      <c r="R1168" s="0" t="str">
        <f aca="false">IFERROR(IF(OR(HLOOKUP($A1168,#REF!,16,FALSE())&gt;2,HLOOKUP($A1168,#REF!,16,FALSE())&lt;-2),"",#REF!),"")</f>
        <v/>
      </c>
      <c r="S1168" s="0" t="str">
        <f aca="false">IFERROR(IF(OR(HLOOKUP($A1168,#REF!,17,FALSE())&gt;2,HLOOKUP($A1168,#REF!,17,FALSE())&lt;-2),"",#REF!),"")</f>
        <v/>
      </c>
      <c r="T1168" s="0" t="str">
        <f aca="false">IFERROR(IF(OR(HLOOKUP($A1168,#REF!,18,FALSE())&gt;2,HLOOKUP($A1168,#REF!,18,FALSE())&lt;-2),"",#REF!),"")</f>
        <v/>
      </c>
      <c r="U1168" s="0" t="str">
        <f aca="false">IFERROR(IF(OR(HLOOKUP($A1168,#REF!,19,FALSE())&gt;2,HLOOKUP($A1168,#REF!,19,FALSE())&lt;-2),"",#REF!),"")</f>
        <v/>
      </c>
      <c r="V1168" s="0" t="n">
        <f aca="false">IFERROR(IF(AND(X1168=0,Y1168=0),0,1),0)</f>
        <v>1</v>
      </c>
      <c r="W1168" s="3" t="str">
        <f aca="false">IFERROR(_xlfn.T.TEST(E1168:M1168,N1168:U1168,2,2),"")</f>
        <v/>
      </c>
      <c r="X1168" s="0" t="str">
        <f aca="false">IFERROR(AVERAGE(E1168:M1168),"")</f>
        <v/>
      </c>
      <c r="Y1168" s="0" t="str">
        <f aca="false">IFERROR(AVERAGE(N1168:U1168),"")</f>
        <v/>
      </c>
    </row>
    <row r="1169" customFormat="false" ht="14.5" hidden="false" customHeight="false" outlineLevel="0" collapsed="false">
      <c r="A1169" s="0" t="n">
        <v>10711</v>
      </c>
      <c r="B1169" s="0" t="s">
        <v>1210</v>
      </c>
      <c r="C1169" s="0" t="n">
        <v>56200</v>
      </c>
      <c r="D1169" s="0" t="n">
        <v>984</v>
      </c>
      <c r="E1169" s="0" t="str">
        <f aca="false">IFERROR(IF(OR(HLOOKUP($A1169,#REF!,3,FALSE())&gt;2,HLOOKUP(A1169,#REF!,3,FALSE())&lt;-2),"",#REF!),"")</f>
        <v/>
      </c>
      <c r="F1169" s="0" t="str">
        <f aca="false">IFERROR(IF(OR(HLOOKUP($A1169,#REF!,4,FALSE())&gt;2,HLOOKUP($A1169,#REF!,4,FALSE())&lt;-2),"",#REF!),"")</f>
        <v/>
      </c>
      <c r="G1169" s="0" t="str">
        <f aca="false">IFERROR(IF(OR(HLOOKUP($A1169,#REF!,5,FALSE())&gt;2,HLOOKUP($A1169,#REF!,5,FALSE())&lt;-2),"",#REF!),"")</f>
        <v/>
      </c>
      <c r="H1169" s="0" t="str">
        <f aca="false">IFERROR(IF(OR(HLOOKUP($A1169,#REF!,6,FALSE())&gt;2,HLOOKUP($A1169,#REF!,6,FALSE())&lt;-2),"",#REF!),"")</f>
        <v/>
      </c>
      <c r="I1169" s="0" t="str">
        <f aca="false">IFERROR(IF(OR(HLOOKUP($A1169,#REF!,7,FALSE())&gt;2,HLOOKUP($A1169,#REF!,7,FALSE())&lt;-2),"",#REF!),"")</f>
        <v/>
      </c>
      <c r="J1169" s="0" t="str">
        <f aca="false">IFERROR(IF(OR(HLOOKUP($A1169,#REF!,8,FALSE())&gt;2,HLOOKUP($A1169,#REF!,8,FALSE())&lt;-2),"",#REF!),"")</f>
        <v/>
      </c>
      <c r="K1169" s="0" t="str">
        <f aca="false">IFERROR(IF(OR(HLOOKUP($A1169,#REF!,9,FALSE())&gt;2,HLOOKUP($A1169,#REF!,9,FALSE())&lt;-2),"",#REF!),"")</f>
        <v/>
      </c>
      <c r="L1169" s="0" t="str">
        <f aca="false">IFERROR(IF(OR(HLOOKUP($A1169,#REF!,10,FALSE())&gt;2,HLOOKUP($A1169,#REF!,10,FALSE())&lt;-2),"",#REF!),"")</f>
        <v/>
      </c>
      <c r="M1169" s="0" t="str">
        <f aca="false">IFERROR(IF(OR(HLOOKUP($A1169,#REF!,11,FALSE())&gt;2,HLOOKUP($A1169,#REF!,11,FALSE())&lt;-2),"",#REF!),"")</f>
        <v/>
      </c>
      <c r="N1169" s="0" t="str">
        <f aca="false">IFERROR(IF(OR(HLOOKUP($A1169,#REF!,12,FALSE())&gt;2,HLOOKUP($A1169,#REF!,12,FALSE())&lt;-2),"",#REF!),"")</f>
        <v/>
      </c>
      <c r="O1169" s="0" t="str">
        <f aca="false">IFERROR(IF(OR(HLOOKUP($A1169,#REF!,13,FALSE())&gt;2,HLOOKUP($A1169,#REF!,13,FALSE())&lt;-2),"",#REF!),"")</f>
        <v/>
      </c>
      <c r="P1169" s="0" t="str">
        <f aca="false">IFERROR(IF(OR(HLOOKUP($A1169,#REF!,14,FALSE())&gt;2,HLOOKUP($A1169,#REF!,14,FALSE())&lt;-2),"",#REF!),"")</f>
        <v/>
      </c>
      <c r="Q1169" s="0" t="str">
        <f aca="false">IFERROR(IF(OR(HLOOKUP($A1169,#REF!,15,FALSE())&gt;2,HLOOKUP($A1169,#REF!,15,FALSE())&lt;-2),"",#REF!),"")</f>
        <v/>
      </c>
      <c r="R1169" s="0" t="str">
        <f aca="false">IFERROR(IF(OR(HLOOKUP($A1169,#REF!,16,FALSE())&gt;2,HLOOKUP($A1169,#REF!,16,FALSE())&lt;-2),"",#REF!),"")</f>
        <v/>
      </c>
      <c r="S1169" s="0" t="str">
        <f aca="false">IFERROR(IF(OR(HLOOKUP($A1169,#REF!,17,FALSE())&gt;2,HLOOKUP($A1169,#REF!,17,FALSE())&lt;-2),"",#REF!),"")</f>
        <v/>
      </c>
      <c r="T1169" s="0" t="str">
        <f aca="false">IFERROR(IF(OR(HLOOKUP($A1169,#REF!,18,FALSE())&gt;2,HLOOKUP($A1169,#REF!,18,FALSE())&lt;-2),"",#REF!),"")</f>
        <v/>
      </c>
      <c r="U1169" s="0" t="str">
        <f aca="false">IFERROR(IF(OR(HLOOKUP($A1169,#REF!,19,FALSE())&gt;2,HLOOKUP($A1169,#REF!,19,FALSE())&lt;-2),"",#REF!),"")</f>
        <v/>
      </c>
      <c r="V1169" s="0" t="n">
        <f aca="false">IFERROR(IF(AND(X1169=0,Y1169=0),0,1),0)</f>
        <v>1</v>
      </c>
      <c r="W1169" s="3" t="str">
        <f aca="false">IFERROR(_xlfn.T.TEST(E1169:M1169,N1169:U1169,2,2),"")</f>
        <v/>
      </c>
      <c r="X1169" s="0" t="str">
        <f aca="false">IFERROR(AVERAGE(E1169:M1169),"")</f>
        <v/>
      </c>
      <c r="Y1169" s="0" t="str">
        <f aca="false">IFERROR(AVERAGE(N1169:U1169),"")</f>
        <v/>
      </c>
    </row>
    <row r="1170" customFormat="false" ht="14.5" hidden="false" customHeight="false" outlineLevel="0" collapsed="false">
      <c r="A1170" s="0" t="n">
        <v>10712</v>
      </c>
      <c r="B1170" s="0" t="s">
        <v>1211</v>
      </c>
      <c r="C1170" s="0" t="n">
        <v>56100</v>
      </c>
      <c r="D1170" s="0" t="n">
        <v>984</v>
      </c>
      <c r="E1170" s="0" t="str">
        <f aca="false">IFERROR(IF(OR(HLOOKUP($A1170,#REF!,3,FALSE())&gt;2,HLOOKUP(A1170,#REF!,3,FALSE())&lt;-2),"",#REF!),"")</f>
        <v/>
      </c>
      <c r="F1170" s="0" t="str">
        <f aca="false">IFERROR(IF(OR(HLOOKUP($A1170,#REF!,4,FALSE())&gt;2,HLOOKUP($A1170,#REF!,4,FALSE())&lt;-2),"",#REF!),"")</f>
        <v/>
      </c>
      <c r="G1170" s="0" t="str">
        <f aca="false">IFERROR(IF(OR(HLOOKUP($A1170,#REF!,5,FALSE())&gt;2,HLOOKUP($A1170,#REF!,5,FALSE())&lt;-2),"",#REF!),"")</f>
        <v/>
      </c>
      <c r="H1170" s="0" t="str">
        <f aca="false">IFERROR(IF(OR(HLOOKUP($A1170,#REF!,6,FALSE())&gt;2,HLOOKUP($A1170,#REF!,6,FALSE())&lt;-2),"",#REF!),"")</f>
        <v/>
      </c>
      <c r="I1170" s="0" t="str">
        <f aca="false">IFERROR(IF(OR(HLOOKUP($A1170,#REF!,7,FALSE())&gt;2,HLOOKUP($A1170,#REF!,7,FALSE())&lt;-2),"",#REF!),"")</f>
        <v/>
      </c>
      <c r="J1170" s="0" t="str">
        <f aca="false">IFERROR(IF(OR(HLOOKUP($A1170,#REF!,8,FALSE())&gt;2,HLOOKUP($A1170,#REF!,8,FALSE())&lt;-2),"",#REF!),"")</f>
        <v/>
      </c>
      <c r="K1170" s="0" t="str">
        <f aca="false">IFERROR(IF(OR(HLOOKUP($A1170,#REF!,9,FALSE())&gt;2,HLOOKUP($A1170,#REF!,9,FALSE())&lt;-2),"",#REF!),"")</f>
        <v/>
      </c>
      <c r="L1170" s="0" t="str">
        <f aca="false">IFERROR(IF(OR(HLOOKUP($A1170,#REF!,10,FALSE())&gt;2,HLOOKUP($A1170,#REF!,10,FALSE())&lt;-2),"",#REF!),"")</f>
        <v/>
      </c>
      <c r="M1170" s="0" t="str">
        <f aca="false">IFERROR(IF(OR(HLOOKUP($A1170,#REF!,11,FALSE())&gt;2,HLOOKUP($A1170,#REF!,11,FALSE())&lt;-2),"",#REF!),"")</f>
        <v/>
      </c>
      <c r="N1170" s="0" t="str">
        <f aca="false">IFERROR(IF(OR(HLOOKUP($A1170,#REF!,12,FALSE())&gt;2,HLOOKUP($A1170,#REF!,12,FALSE())&lt;-2),"",#REF!),"")</f>
        <v/>
      </c>
      <c r="O1170" s="0" t="str">
        <f aca="false">IFERROR(IF(OR(HLOOKUP($A1170,#REF!,13,FALSE())&gt;2,HLOOKUP($A1170,#REF!,13,FALSE())&lt;-2),"",#REF!),"")</f>
        <v/>
      </c>
      <c r="P1170" s="0" t="str">
        <f aca="false">IFERROR(IF(OR(HLOOKUP($A1170,#REF!,14,FALSE())&gt;2,HLOOKUP($A1170,#REF!,14,FALSE())&lt;-2),"",#REF!),"")</f>
        <v/>
      </c>
      <c r="Q1170" s="0" t="str">
        <f aca="false">IFERROR(IF(OR(HLOOKUP($A1170,#REF!,15,FALSE())&gt;2,HLOOKUP($A1170,#REF!,15,FALSE())&lt;-2),"",#REF!),"")</f>
        <v/>
      </c>
      <c r="R1170" s="0" t="str">
        <f aca="false">IFERROR(IF(OR(HLOOKUP($A1170,#REF!,16,FALSE())&gt;2,HLOOKUP($A1170,#REF!,16,FALSE())&lt;-2),"",#REF!),"")</f>
        <v/>
      </c>
      <c r="S1170" s="0" t="str">
        <f aca="false">IFERROR(IF(OR(HLOOKUP($A1170,#REF!,17,FALSE())&gt;2,HLOOKUP($A1170,#REF!,17,FALSE())&lt;-2),"",#REF!),"")</f>
        <v/>
      </c>
      <c r="T1170" s="0" t="str">
        <f aca="false">IFERROR(IF(OR(HLOOKUP($A1170,#REF!,18,FALSE())&gt;2,HLOOKUP($A1170,#REF!,18,FALSE())&lt;-2),"",#REF!),"")</f>
        <v/>
      </c>
      <c r="U1170" s="0" t="str">
        <f aca="false">IFERROR(IF(OR(HLOOKUP($A1170,#REF!,19,FALSE())&gt;2,HLOOKUP($A1170,#REF!,19,FALSE())&lt;-2),"",#REF!),"")</f>
        <v/>
      </c>
      <c r="V1170" s="0" t="n">
        <f aca="false">IFERROR(IF(AND(X1170=0,Y1170=0),0,1),0)</f>
        <v>1</v>
      </c>
      <c r="W1170" s="3" t="str">
        <f aca="false">IFERROR(_xlfn.T.TEST(E1170:M1170,N1170:U1170,2,2),"")</f>
        <v/>
      </c>
      <c r="X1170" s="0" t="str">
        <f aca="false">IFERROR(AVERAGE(E1170:M1170),"")</f>
        <v/>
      </c>
      <c r="Y1170" s="0" t="str">
        <f aca="false">IFERROR(AVERAGE(N1170:U1170),"")</f>
        <v/>
      </c>
    </row>
    <row r="1171" customFormat="false" ht="14.5" hidden="false" customHeight="false" outlineLevel="0" collapsed="false">
      <c r="A1171" s="0" t="n">
        <v>10713</v>
      </c>
      <c r="B1171" s="0" t="s">
        <v>1212</v>
      </c>
      <c r="C1171" s="0" t="n">
        <v>56000</v>
      </c>
      <c r="D1171" s="0" t="n">
        <v>984</v>
      </c>
      <c r="E1171" s="0" t="str">
        <f aca="false">IFERROR(IF(OR(HLOOKUP($A1171,#REF!,3,FALSE())&gt;2,HLOOKUP(A1171,#REF!,3,FALSE())&lt;-2),"",#REF!),"")</f>
        <v/>
      </c>
      <c r="F1171" s="0" t="str">
        <f aca="false">IFERROR(IF(OR(HLOOKUP($A1171,#REF!,4,FALSE())&gt;2,HLOOKUP($A1171,#REF!,4,FALSE())&lt;-2),"",#REF!),"")</f>
        <v/>
      </c>
      <c r="G1171" s="0" t="str">
        <f aca="false">IFERROR(IF(OR(HLOOKUP($A1171,#REF!,5,FALSE())&gt;2,HLOOKUP($A1171,#REF!,5,FALSE())&lt;-2),"",#REF!),"")</f>
        <v/>
      </c>
      <c r="H1171" s="0" t="str">
        <f aca="false">IFERROR(IF(OR(HLOOKUP($A1171,#REF!,6,FALSE())&gt;2,HLOOKUP($A1171,#REF!,6,FALSE())&lt;-2),"",#REF!),"")</f>
        <v/>
      </c>
      <c r="I1171" s="0" t="str">
        <f aca="false">IFERROR(IF(OR(HLOOKUP($A1171,#REF!,7,FALSE())&gt;2,HLOOKUP($A1171,#REF!,7,FALSE())&lt;-2),"",#REF!),"")</f>
        <v/>
      </c>
      <c r="J1171" s="0" t="str">
        <f aca="false">IFERROR(IF(OR(HLOOKUP($A1171,#REF!,8,FALSE())&gt;2,HLOOKUP($A1171,#REF!,8,FALSE())&lt;-2),"",#REF!),"")</f>
        <v/>
      </c>
      <c r="K1171" s="0" t="str">
        <f aca="false">IFERROR(IF(OR(HLOOKUP($A1171,#REF!,9,FALSE())&gt;2,HLOOKUP($A1171,#REF!,9,FALSE())&lt;-2),"",#REF!),"")</f>
        <v/>
      </c>
      <c r="L1171" s="0" t="str">
        <f aca="false">IFERROR(IF(OR(HLOOKUP($A1171,#REF!,10,FALSE())&gt;2,HLOOKUP($A1171,#REF!,10,FALSE())&lt;-2),"",#REF!),"")</f>
        <v/>
      </c>
      <c r="M1171" s="0" t="str">
        <f aca="false">IFERROR(IF(OR(HLOOKUP($A1171,#REF!,11,FALSE())&gt;2,HLOOKUP($A1171,#REF!,11,FALSE())&lt;-2),"",#REF!),"")</f>
        <v/>
      </c>
      <c r="N1171" s="0" t="str">
        <f aca="false">IFERROR(IF(OR(HLOOKUP($A1171,#REF!,12,FALSE())&gt;2,HLOOKUP($A1171,#REF!,12,FALSE())&lt;-2),"",#REF!),"")</f>
        <v/>
      </c>
      <c r="O1171" s="0" t="str">
        <f aca="false">IFERROR(IF(OR(HLOOKUP($A1171,#REF!,13,FALSE())&gt;2,HLOOKUP($A1171,#REF!,13,FALSE())&lt;-2),"",#REF!),"")</f>
        <v/>
      </c>
      <c r="P1171" s="0" t="str">
        <f aca="false">IFERROR(IF(OR(HLOOKUP($A1171,#REF!,14,FALSE())&gt;2,HLOOKUP($A1171,#REF!,14,FALSE())&lt;-2),"",#REF!),"")</f>
        <v/>
      </c>
      <c r="Q1171" s="0" t="str">
        <f aca="false">IFERROR(IF(OR(HLOOKUP($A1171,#REF!,15,FALSE())&gt;2,HLOOKUP($A1171,#REF!,15,FALSE())&lt;-2),"",#REF!),"")</f>
        <v/>
      </c>
      <c r="R1171" s="0" t="str">
        <f aca="false">IFERROR(IF(OR(HLOOKUP($A1171,#REF!,16,FALSE())&gt;2,HLOOKUP($A1171,#REF!,16,FALSE())&lt;-2),"",#REF!),"")</f>
        <v/>
      </c>
      <c r="S1171" s="0" t="str">
        <f aca="false">IFERROR(IF(OR(HLOOKUP($A1171,#REF!,17,FALSE())&gt;2,HLOOKUP($A1171,#REF!,17,FALSE())&lt;-2),"",#REF!),"")</f>
        <v/>
      </c>
      <c r="T1171" s="0" t="str">
        <f aca="false">IFERROR(IF(OR(HLOOKUP($A1171,#REF!,18,FALSE())&gt;2,HLOOKUP($A1171,#REF!,18,FALSE())&lt;-2),"",#REF!),"")</f>
        <v/>
      </c>
      <c r="U1171" s="0" t="str">
        <f aca="false">IFERROR(IF(OR(HLOOKUP($A1171,#REF!,19,FALSE())&gt;2,HLOOKUP($A1171,#REF!,19,FALSE())&lt;-2),"",#REF!),"")</f>
        <v/>
      </c>
      <c r="V1171" s="0" t="n">
        <f aca="false">IFERROR(IF(AND(X1171=0,Y1171=0),0,1),0)</f>
        <v>1</v>
      </c>
      <c r="W1171" s="3" t="str">
        <f aca="false">IFERROR(_xlfn.T.TEST(E1171:M1171,N1171:U1171,2,2),"")</f>
        <v/>
      </c>
      <c r="X1171" s="0" t="str">
        <f aca="false">IFERROR(AVERAGE(E1171:M1171),"")</f>
        <v/>
      </c>
      <c r="Y1171" s="0" t="str">
        <f aca="false">IFERROR(AVERAGE(N1171:U1171),"")</f>
        <v/>
      </c>
    </row>
    <row r="1172" customFormat="false" ht="14.5" hidden="false" customHeight="false" outlineLevel="0" collapsed="false">
      <c r="A1172" s="0" t="n">
        <v>10714</v>
      </c>
      <c r="B1172" s="0" t="s">
        <v>1213</v>
      </c>
      <c r="C1172" s="0" t="n">
        <v>56700</v>
      </c>
      <c r="D1172" s="0" t="n">
        <v>992</v>
      </c>
      <c r="E1172" s="0" t="str">
        <f aca="false">IFERROR(IF(OR(HLOOKUP($A1172,#REF!,3,FALSE())&gt;2,HLOOKUP(A1172,#REF!,3,FALSE())&lt;-2),"",#REF!),"")</f>
        <v/>
      </c>
      <c r="F1172" s="0" t="str">
        <f aca="false">IFERROR(IF(OR(HLOOKUP($A1172,#REF!,4,FALSE())&gt;2,HLOOKUP($A1172,#REF!,4,FALSE())&lt;-2),"",#REF!),"")</f>
        <v/>
      </c>
      <c r="G1172" s="0" t="str">
        <f aca="false">IFERROR(IF(OR(HLOOKUP($A1172,#REF!,5,FALSE())&gt;2,HLOOKUP($A1172,#REF!,5,FALSE())&lt;-2),"",#REF!),"")</f>
        <v/>
      </c>
      <c r="H1172" s="0" t="str">
        <f aca="false">IFERROR(IF(OR(HLOOKUP($A1172,#REF!,6,FALSE())&gt;2,HLOOKUP($A1172,#REF!,6,FALSE())&lt;-2),"",#REF!),"")</f>
        <v/>
      </c>
      <c r="I1172" s="0" t="str">
        <f aca="false">IFERROR(IF(OR(HLOOKUP($A1172,#REF!,7,FALSE())&gt;2,HLOOKUP($A1172,#REF!,7,FALSE())&lt;-2),"",#REF!),"")</f>
        <v/>
      </c>
      <c r="J1172" s="0" t="str">
        <f aca="false">IFERROR(IF(OR(HLOOKUP($A1172,#REF!,8,FALSE())&gt;2,HLOOKUP($A1172,#REF!,8,FALSE())&lt;-2),"",#REF!),"")</f>
        <v/>
      </c>
      <c r="K1172" s="0" t="str">
        <f aca="false">IFERROR(IF(OR(HLOOKUP($A1172,#REF!,9,FALSE())&gt;2,HLOOKUP($A1172,#REF!,9,FALSE())&lt;-2),"",#REF!),"")</f>
        <v/>
      </c>
      <c r="L1172" s="0" t="str">
        <f aca="false">IFERROR(IF(OR(HLOOKUP($A1172,#REF!,10,FALSE())&gt;2,HLOOKUP($A1172,#REF!,10,FALSE())&lt;-2),"",#REF!),"")</f>
        <v/>
      </c>
      <c r="M1172" s="0" t="str">
        <f aca="false">IFERROR(IF(OR(HLOOKUP($A1172,#REF!,11,FALSE())&gt;2,HLOOKUP($A1172,#REF!,11,FALSE())&lt;-2),"",#REF!),"")</f>
        <v/>
      </c>
      <c r="N1172" s="0" t="str">
        <f aca="false">IFERROR(IF(OR(HLOOKUP($A1172,#REF!,12,FALSE())&gt;2,HLOOKUP($A1172,#REF!,12,FALSE())&lt;-2),"",#REF!),"")</f>
        <v/>
      </c>
      <c r="O1172" s="0" t="str">
        <f aca="false">IFERROR(IF(OR(HLOOKUP($A1172,#REF!,13,FALSE())&gt;2,HLOOKUP($A1172,#REF!,13,FALSE())&lt;-2),"",#REF!),"")</f>
        <v/>
      </c>
      <c r="P1172" s="0" t="str">
        <f aca="false">IFERROR(IF(OR(HLOOKUP($A1172,#REF!,14,FALSE())&gt;2,HLOOKUP($A1172,#REF!,14,FALSE())&lt;-2),"",#REF!),"")</f>
        <v/>
      </c>
      <c r="Q1172" s="0" t="str">
        <f aca="false">IFERROR(IF(OR(HLOOKUP($A1172,#REF!,15,FALSE())&gt;2,HLOOKUP($A1172,#REF!,15,FALSE())&lt;-2),"",#REF!),"")</f>
        <v/>
      </c>
      <c r="R1172" s="0" t="str">
        <f aca="false">IFERROR(IF(OR(HLOOKUP($A1172,#REF!,16,FALSE())&gt;2,HLOOKUP($A1172,#REF!,16,FALSE())&lt;-2),"",#REF!),"")</f>
        <v/>
      </c>
      <c r="S1172" s="0" t="str">
        <f aca="false">IFERROR(IF(OR(HLOOKUP($A1172,#REF!,17,FALSE())&gt;2,HLOOKUP($A1172,#REF!,17,FALSE())&lt;-2),"",#REF!),"")</f>
        <v/>
      </c>
      <c r="T1172" s="0" t="str">
        <f aca="false">IFERROR(IF(OR(HLOOKUP($A1172,#REF!,18,FALSE())&gt;2,HLOOKUP($A1172,#REF!,18,FALSE())&lt;-2),"",#REF!),"")</f>
        <v/>
      </c>
      <c r="U1172" s="0" t="str">
        <f aca="false">IFERROR(IF(OR(HLOOKUP($A1172,#REF!,19,FALSE())&gt;2,HLOOKUP($A1172,#REF!,19,FALSE())&lt;-2),"",#REF!),"")</f>
        <v/>
      </c>
      <c r="V1172" s="0" t="n">
        <f aca="false">IFERROR(IF(AND(X1172=0,Y1172=0),0,1),0)</f>
        <v>1</v>
      </c>
      <c r="W1172" s="3" t="str">
        <f aca="false">IFERROR(_xlfn.T.TEST(E1172:M1172,N1172:U1172,2,2),"")</f>
        <v/>
      </c>
      <c r="X1172" s="0" t="str">
        <f aca="false">IFERROR(AVERAGE(E1172:M1172),"")</f>
        <v/>
      </c>
      <c r="Y1172" s="0" t="str">
        <f aca="false">IFERROR(AVERAGE(N1172:U1172),"")</f>
        <v/>
      </c>
    </row>
    <row r="1173" customFormat="false" ht="14.5" hidden="false" customHeight="false" outlineLevel="0" collapsed="false">
      <c r="A1173" s="0" t="n">
        <v>10715</v>
      </c>
      <c r="B1173" s="0" t="s">
        <v>1214</v>
      </c>
      <c r="C1173" s="0" t="n">
        <v>56600</v>
      </c>
      <c r="D1173" s="0" t="n">
        <v>992</v>
      </c>
      <c r="E1173" s="0" t="str">
        <f aca="false">IFERROR(IF(OR(HLOOKUP($A1173,#REF!,3,FALSE())&gt;2,HLOOKUP(A1173,#REF!,3,FALSE())&lt;-2),"",#REF!),"")</f>
        <v/>
      </c>
      <c r="F1173" s="0" t="str">
        <f aca="false">IFERROR(IF(OR(HLOOKUP($A1173,#REF!,4,FALSE())&gt;2,HLOOKUP($A1173,#REF!,4,FALSE())&lt;-2),"",#REF!),"")</f>
        <v/>
      </c>
      <c r="G1173" s="0" t="str">
        <f aca="false">IFERROR(IF(OR(HLOOKUP($A1173,#REF!,5,FALSE())&gt;2,HLOOKUP($A1173,#REF!,5,FALSE())&lt;-2),"",#REF!),"")</f>
        <v/>
      </c>
      <c r="H1173" s="0" t="str">
        <f aca="false">IFERROR(IF(OR(HLOOKUP($A1173,#REF!,6,FALSE())&gt;2,HLOOKUP($A1173,#REF!,6,FALSE())&lt;-2),"",#REF!),"")</f>
        <v/>
      </c>
      <c r="I1173" s="0" t="str">
        <f aca="false">IFERROR(IF(OR(HLOOKUP($A1173,#REF!,7,FALSE())&gt;2,HLOOKUP($A1173,#REF!,7,FALSE())&lt;-2),"",#REF!),"")</f>
        <v/>
      </c>
      <c r="J1173" s="0" t="str">
        <f aca="false">IFERROR(IF(OR(HLOOKUP($A1173,#REF!,8,FALSE())&gt;2,HLOOKUP($A1173,#REF!,8,FALSE())&lt;-2),"",#REF!),"")</f>
        <v/>
      </c>
      <c r="K1173" s="0" t="str">
        <f aca="false">IFERROR(IF(OR(HLOOKUP($A1173,#REF!,9,FALSE())&gt;2,HLOOKUP($A1173,#REF!,9,FALSE())&lt;-2),"",#REF!),"")</f>
        <v/>
      </c>
      <c r="L1173" s="0" t="str">
        <f aca="false">IFERROR(IF(OR(HLOOKUP($A1173,#REF!,10,FALSE())&gt;2,HLOOKUP($A1173,#REF!,10,FALSE())&lt;-2),"",#REF!),"")</f>
        <v/>
      </c>
      <c r="M1173" s="0" t="str">
        <f aca="false">IFERROR(IF(OR(HLOOKUP($A1173,#REF!,11,FALSE())&gt;2,HLOOKUP($A1173,#REF!,11,FALSE())&lt;-2),"",#REF!),"")</f>
        <v/>
      </c>
      <c r="N1173" s="0" t="str">
        <f aca="false">IFERROR(IF(OR(HLOOKUP($A1173,#REF!,12,FALSE())&gt;2,HLOOKUP($A1173,#REF!,12,FALSE())&lt;-2),"",#REF!),"")</f>
        <v/>
      </c>
      <c r="O1173" s="0" t="str">
        <f aca="false">IFERROR(IF(OR(HLOOKUP($A1173,#REF!,13,FALSE())&gt;2,HLOOKUP($A1173,#REF!,13,FALSE())&lt;-2),"",#REF!),"")</f>
        <v/>
      </c>
      <c r="P1173" s="0" t="str">
        <f aca="false">IFERROR(IF(OR(HLOOKUP($A1173,#REF!,14,FALSE())&gt;2,HLOOKUP($A1173,#REF!,14,FALSE())&lt;-2),"",#REF!),"")</f>
        <v/>
      </c>
      <c r="Q1173" s="0" t="str">
        <f aca="false">IFERROR(IF(OR(HLOOKUP($A1173,#REF!,15,FALSE())&gt;2,HLOOKUP($A1173,#REF!,15,FALSE())&lt;-2),"",#REF!),"")</f>
        <v/>
      </c>
      <c r="R1173" s="0" t="str">
        <f aca="false">IFERROR(IF(OR(HLOOKUP($A1173,#REF!,16,FALSE())&gt;2,HLOOKUP($A1173,#REF!,16,FALSE())&lt;-2),"",#REF!),"")</f>
        <v/>
      </c>
      <c r="S1173" s="0" t="str">
        <f aca="false">IFERROR(IF(OR(HLOOKUP($A1173,#REF!,17,FALSE())&gt;2,HLOOKUP($A1173,#REF!,17,FALSE())&lt;-2),"",#REF!),"")</f>
        <v/>
      </c>
      <c r="T1173" s="0" t="str">
        <f aca="false">IFERROR(IF(OR(HLOOKUP($A1173,#REF!,18,FALSE())&gt;2,HLOOKUP($A1173,#REF!,18,FALSE())&lt;-2),"",#REF!),"")</f>
        <v/>
      </c>
      <c r="U1173" s="0" t="str">
        <f aca="false">IFERROR(IF(OR(HLOOKUP($A1173,#REF!,19,FALSE())&gt;2,HLOOKUP($A1173,#REF!,19,FALSE())&lt;-2),"",#REF!),"")</f>
        <v/>
      </c>
      <c r="V1173" s="0" t="n">
        <f aca="false">IFERROR(IF(AND(X1173=0,Y1173=0),0,1),0)</f>
        <v>1</v>
      </c>
      <c r="W1173" s="3" t="str">
        <f aca="false">IFERROR(_xlfn.T.TEST(E1173:M1173,N1173:U1173,2,2),"")</f>
        <v/>
      </c>
      <c r="X1173" s="0" t="str">
        <f aca="false">IFERROR(AVERAGE(E1173:M1173),"")</f>
        <v/>
      </c>
      <c r="Y1173" s="0" t="str">
        <f aca="false">IFERROR(AVERAGE(N1173:U1173),"")</f>
        <v/>
      </c>
    </row>
    <row r="1174" customFormat="false" ht="14.5" hidden="false" customHeight="false" outlineLevel="0" collapsed="false">
      <c r="A1174" s="0" t="n">
        <v>10716</v>
      </c>
      <c r="B1174" s="0" t="s">
        <v>1215</v>
      </c>
      <c r="C1174" s="0" t="n">
        <v>56500</v>
      </c>
      <c r="D1174" s="0" t="n">
        <v>992</v>
      </c>
      <c r="E1174" s="0" t="str">
        <f aca="false">IFERROR(IF(OR(HLOOKUP($A1174,#REF!,3,FALSE())&gt;2,HLOOKUP(A1174,#REF!,3,FALSE())&lt;-2),"",#REF!),"")</f>
        <v/>
      </c>
      <c r="F1174" s="0" t="str">
        <f aca="false">IFERROR(IF(OR(HLOOKUP($A1174,#REF!,4,FALSE())&gt;2,HLOOKUP($A1174,#REF!,4,FALSE())&lt;-2),"",#REF!),"")</f>
        <v/>
      </c>
      <c r="G1174" s="0" t="str">
        <f aca="false">IFERROR(IF(OR(HLOOKUP($A1174,#REF!,5,FALSE())&gt;2,HLOOKUP($A1174,#REF!,5,FALSE())&lt;-2),"",#REF!),"")</f>
        <v/>
      </c>
      <c r="H1174" s="0" t="str">
        <f aca="false">IFERROR(IF(OR(HLOOKUP($A1174,#REF!,6,FALSE())&gt;2,HLOOKUP($A1174,#REF!,6,FALSE())&lt;-2),"",#REF!),"")</f>
        <v/>
      </c>
      <c r="I1174" s="0" t="str">
        <f aca="false">IFERROR(IF(OR(HLOOKUP($A1174,#REF!,7,FALSE())&gt;2,HLOOKUP($A1174,#REF!,7,FALSE())&lt;-2),"",#REF!),"")</f>
        <v/>
      </c>
      <c r="J1174" s="0" t="str">
        <f aca="false">IFERROR(IF(OR(HLOOKUP($A1174,#REF!,8,FALSE())&gt;2,HLOOKUP($A1174,#REF!,8,FALSE())&lt;-2),"",#REF!),"")</f>
        <v/>
      </c>
      <c r="K1174" s="0" t="str">
        <f aca="false">IFERROR(IF(OR(HLOOKUP($A1174,#REF!,9,FALSE())&gt;2,HLOOKUP($A1174,#REF!,9,FALSE())&lt;-2),"",#REF!),"")</f>
        <v/>
      </c>
      <c r="L1174" s="0" t="str">
        <f aca="false">IFERROR(IF(OR(HLOOKUP($A1174,#REF!,10,FALSE())&gt;2,HLOOKUP($A1174,#REF!,10,FALSE())&lt;-2),"",#REF!),"")</f>
        <v/>
      </c>
      <c r="M1174" s="0" t="str">
        <f aca="false">IFERROR(IF(OR(HLOOKUP($A1174,#REF!,11,FALSE())&gt;2,HLOOKUP($A1174,#REF!,11,FALSE())&lt;-2),"",#REF!),"")</f>
        <v/>
      </c>
      <c r="N1174" s="0" t="str">
        <f aca="false">IFERROR(IF(OR(HLOOKUP($A1174,#REF!,12,FALSE())&gt;2,HLOOKUP($A1174,#REF!,12,FALSE())&lt;-2),"",#REF!),"")</f>
        <v/>
      </c>
      <c r="O1174" s="0" t="str">
        <f aca="false">IFERROR(IF(OR(HLOOKUP($A1174,#REF!,13,FALSE())&gt;2,HLOOKUP($A1174,#REF!,13,FALSE())&lt;-2),"",#REF!),"")</f>
        <v/>
      </c>
      <c r="P1174" s="0" t="str">
        <f aca="false">IFERROR(IF(OR(HLOOKUP($A1174,#REF!,14,FALSE())&gt;2,HLOOKUP($A1174,#REF!,14,FALSE())&lt;-2),"",#REF!),"")</f>
        <v/>
      </c>
      <c r="Q1174" s="0" t="str">
        <f aca="false">IFERROR(IF(OR(HLOOKUP($A1174,#REF!,15,FALSE())&gt;2,HLOOKUP($A1174,#REF!,15,FALSE())&lt;-2),"",#REF!),"")</f>
        <v/>
      </c>
      <c r="R1174" s="0" t="str">
        <f aca="false">IFERROR(IF(OR(HLOOKUP($A1174,#REF!,16,FALSE())&gt;2,HLOOKUP($A1174,#REF!,16,FALSE())&lt;-2),"",#REF!),"")</f>
        <v/>
      </c>
      <c r="S1174" s="0" t="str">
        <f aca="false">IFERROR(IF(OR(HLOOKUP($A1174,#REF!,17,FALSE())&gt;2,HLOOKUP($A1174,#REF!,17,FALSE())&lt;-2),"",#REF!),"")</f>
        <v/>
      </c>
      <c r="T1174" s="0" t="str">
        <f aca="false">IFERROR(IF(OR(HLOOKUP($A1174,#REF!,18,FALSE())&gt;2,HLOOKUP($A1174,#REF!,18,FALSE())&lt;-2),"",#REF!),"")</f>
        <v/>
      </c>
      <c r="U1174" s="0" t="str">
        <f aca="false">IFERROR(IF(OR(HLOOKUP($A1174,#REF!,19,FALSE())&gt;2,HLOOKUP($A1174,#REF!,19,FALSE())&lt;-2),"",#REF!),"")</f>
        <v/>
      </c>
      <c r="V1174" s="0" t="n">
        <f aca="false">IFERROR(IF(AND(X1174=0,Y1174=0),0,1),0)</f>
        <v>1</v>
      </c>
      <c r="W1174" s="3" t="str">
        <f aca="false">IFERROR(_xlfn.T.TEST(E1174:M1174,N1174:U1174,2,2),"")</f>
        <v/>
      </c>
      <c r="X1174" s="0" t="str">
        <f aca="false">IFERROR(AVERAGE(E1174:M1174),"")</f>
        <v/>
      </c>
      <c r="Y1174" s="0" t="str">
        <f aca="false">IFERROR(AVERAGE(N1174:U1174),"")</f>
        <v/>
      </c>
    </row>
    <row r="1175" customFormat="false" ht="14.5" hidden="false" customHeight="false" outlineLevel="0" collapsed="false">
      <c r="A1175" s="0" t="n">
        <v>10717</v>
      </c>
      <c r="B1175" s="0" t="s">
        <v>1216</v>
      </c>
      <c r="C1175" s="0" t="n">
        <v>57100</v>
      </c>
      <c r="D1175" s="0" t="n">
        <v>1001</v>
      </c>
      <c r="E1175" s="0" t="str">
        <f aca="false">IFERROR(IF(OR(HLOOKUP($A1175,#REF!,3,FALSE())&gt;2,HLOOKUP(A1175,#REF!,3,FALSE())&lt;-2),"",#REF!),"")</f>
        <v/>
      </c>
      <c r="F1175" s="0" t="str">
        <f aca="false">IFERROR(IF(OR(HLOOKUP($A1175,#REF!,4,FALSE())&gt;2,HLOOKUP($A1175,#REF!,4,FALSE())&lt;-2),"",#REF!),"")</f>
        <v/>
      </c>
      <c r="G1175" s="0" t="str">
        <f aca="false">IFERROR(IF(OR(HLOOKUP($A1175,#REF!,5,FALSE())&gt;2,HLOOKUP($A1175,#REF!,5,FALSE())&lt;-2),"",#REF!),"")</f>
        <v/>
      </c>
      <c r="H1175" s="0" t="str">
        <f aca="false">IFERROR(IF(OR(HLOOKUP($A1175,#REF!,6,FALSE())&gt;2,HLOOKUP($A1175,#REF!,6,FALSE())&lt;-2),"",#REF!),"")</f>
        <v/>
      </c>
      <c r="I1175" s="0" t="str">
        <f aca="false">IFERROR(IF(OR(HLOOKUP($A1175,#REF!,7,FALSE())&gt;2,HLOOKUP($A1175,#REF!,7,FALSE())&lt;-2),"",#REF!),"")</f>
        <v/>
      </c>
      <c r="J1175" s="0" t="str">
        <f aca="false">IFERROR(IF(OR(HLOOKUP($A1175,#REF!,8,FALSE())&gt;2,HLOOKUP($A1175,#REF!,8,FALSE())&lt;-2),"",#REF!),"")</f>
        <v/>
      </c>
      <c r="K1175" s="0" t="str">
        <f aca="false">IFERROR(IF(OR(HLOOKUP($A1175,#REF!,9,FALSE())&gt;2,HLOOKUP($A1175,#REF!,9,FALSE())&lt;-2),"",#REF!),"")</f>
        <v/>
      </c>
      <c r="L1175" s="0" t="str">
        <f aca="false">IFERROR(IF(OR(HLOOKUP($A1175,#REF!,10,FALSE())&gt;2,HLOOKUP($A1175,#REF!,10,FALSE())&lt;-2),"",#REF!),"")</f>
        <v/>
      </c>
      <c r="M1175" s="0" t="str">
        <f aca="false">IFERROR(IF(OR(HLOOKUP($A1175,#REF!,11,FALSE())&gt;2,HLOOKUP($A1175,#REF!,11,FALSE())&lt;-2),"",#REF!),"")</f>
        <v/>
      </c>
      <c r="N1175" s="0" t="str">
        <f aca="false">IFERROR(IF(OR(HLOOKUP($A1175,#REF!,12,FALSE())&gt;2,HLOOKUP($A1175,#REF!,12,FALSE())&lt;-2),"",#REF!),"")</f>
        <v/>
      </c>
      <c r="O1175" s="0" t="str">
        <f aca="false">IFERROR(IF(OR(HLOOKUP($A1175,#REF!,13,FALSE())&gt;2,HLOOKUP($A1175,#REF!,13,FALSE())&lt;-2),"",#REF!),"")</f>
        <v/>
      </c>
      <c r="P1175" s="0" t="str">
        <f aca="false">IFERROR(IF(OR(HLOOKUP($A1175,#REF!,14,FALSE())&gt;2,HLOOKUP($A1175,#REF!,14,FALSE())&lt;-2),"",#REF!),"")</f>
        <v/>
      </c>
      <c r="Q1175" s="0" t="str">
        <f aca="false">IFERROR(IF(OR(HLOOKUP($A1175,#REF!,15,FALSE())&gt;2,HLOOKUP($A1175,#REF!,15,FALSE())&lt;-2),"",#REF!),"")</f>
        <v/>
      </c>
      <c r="R1175" s="0" t="str">
        <f aca="false">IFERROR(IF(OR(HLOOKUP($A1175,#REF!,16,FALSE())&gt;2,HLOOKUP($A1175,#REF!,16,FALSE())&lt;-2),"",#REF!),"")</f>
        <v/>
      </c>
      <c r="S1175" s="0" t="str">
        <f aca="false">IFERROR(IF(OR(HLOOKUP($A1175,#REF!,17,FALSE())&gt;2,HLOOKUP($A1175,#REF!,17,FALSE())&lt;-2),"",#REF!),"")</f>
        <v/>
      </c>
      <c r="T1175" s="0" t="str">
        <f aca="false">IFERROR(IF(OR(HLOOKUP($A1175,#REF!,18,FALSE())&gt;2,HLOOKUP($A1175,#REF!,18,FALSE())&lt;-2),"",#REF!),"")</f>
        <v/>
      </c>
      <c r="U1175" s="0" t="str">
        <f aca="false">IFERROR(IF(OR(HLOOKUP($A1175,#REF!,19,FALSE())&gt;2,HLOOKUP($A1175,#REF!,19,FALSE())&lt;-2),"",#REF!),"")</f>
        <v/>
      </c>
      <c r="V1175" s="0" t="n">
        <f aca="false">IFERROR(IF(AND(X1175=0,Y1175=0),0,1),0)</f>
        <v>1</v>
      </c>
      <c r="W1175" s="3" t="str">
        <f aca="false">IFERROR(_xlfn.T.TEST(E1175:M1175,N1175:U1175,2,2),"")</f>
        <v/>
      </c>
      <c r="X1175" s="0" t="str">
        <f aca="false">IFERROR(AVERAGE(E1175:M1175),"")</f>
        <v/>
      </c>
      <c r="Y1175" s="0" t="str">
        <f aca="false">IFERROR(AVERAGE(N1175:U1175),"")</f>
        <v/>
      </c>
    </row>
    <row r="1176" customFormat="false" ht="14.5" hidden="false" customHeight="false" outlineLevel="0" collapsed="false">
      <c r="A1176" s="0" t="n">
        <v>10718</v>
      </c>
      <c r="B1176" s="0" t="s">
        <v>1217</v>
      </c>
      <c r="C1176" s="0" t="n">
        <v>57000</v>
      </c>
      <c r="D1176" s="0" t="n">
        <v>1001</v>
      </c>
      <c r="E1176" s="0" t="str">
        <f aca="false">IFERROR(IF(OR(HLOOKUP($A1176,#REF!,3,FALSE())&gt;2,HLOOKUP(A1176,#REF!,3,FALSE())&lt;-2),"",#REF!),"")</f>
        <v/>
      </c>
      <c r="F1176" s="0" t="str">
        <f aca="false">IFERROR(IF(OR(HLOOKUP($A1176,#REF!,4,FALSE())&gt;2,HLOOKUP($A1176,#REF!,4,FALSE())&lt;-2),"",#REF!),"")</f>
        <v/>
      </c>
      <c r="G1176" s="0" t="str">
        <f aca="false">IFERROR(IF(OR(HLOOKUP($A1176,#REF!,5,FALSE())&gt;2,HLOOKUP($A1176,#REF!,5,FALSE())&lt;-2),"",#REF!),"")</f>
        <v/>
      </c>
      <c r="H1176" s="0" t="str">
        <f aca="false">IFERROR(IF(OR(HLOOKUP($A1176,#REF!,6,FALSE())&gt;2,HLOOKUP($A1176,#REF!,6,FALSE())&lt;-2),"",#REF!),"")</f>
        <v/>
      </c>
      <c r="I1176" s="0" t="str">
        <f aca="false">IFERROR(IF(OR(HLOOKUP($A1176,#REF!,7,FALSE())&gt;2,HLOOKUP($A1176,#REF!,7,FALSE())&lt;-2),"",#REF!),"")</f>
        <v/>
      </c>
      <c r="J1176" s="0" t="str">
        <f aca="false">IFERROR(IF(OR(HLOOKUP($A1176,#REF!,8,FALSE())&gt;2,HLOOKUP($A1176,#REF!,8,FALSE())&lt;-2),"",#REF!),"")</f>
        <v/>
      </c>
      <c r="K1176" s="0" t="str">
        <f aca="false">IFERROR(IF(OR(HLOOKUP($A1176,#REF!,9,FALSE())&gt;2,HLOOKUP($A1176,#REF!,9,FALSE())&lt;-2),"",#REF!),"")</f>
        <v/>
      </c>
      <c r="L1176" s="0" t="str">
        <f aca="false">IFERROR(IF(OR(HLOOKUP($A1176,#REF!,10,FALSE())&gt;2,HLOOKUP($A1176,#REF!,10,FALSE())&lt;-2),"",#REF!),"")</f>
        <v/>
      </c>
      <c r="M1176" s="0" t="str">
        <f aca="false">IFERROR(IF(OR(HLOOKUP($A1176,#REF!,11,FALSE())&gt;2,HLOOKUP($A1176,#REF!,11,FALSE())&lt;-2),"",#REF!),"")</f>
        <v/>
      </c>
      <c r="N1176" s="0" t="str">
        <f aca="false">IFERROR(IF(OR(HLOOKUP($A1176,#REF!,12,FALSE())&gt;2,HLOOKUP($A1176,#REF!,12,FALSE())&lt;-2),"",#REF!),"")</f>
        <v/>
      </c>
      <c r="O1176" s="0" t="str">
        <f aca="false">IFERROR(IF(OR(HLOOKUP($A1176,#REF!,13,FALSE())&gt;2,HLOOKUP($A1176,#REF!,13,FALSE())&lt;-2),"",#REF!),"")</f>
        <v/>
      </c>
      <c r="P1176" s="0" t="str">
        <f aca="false">IFERROR(IF(OR(HLOOKUP($A1176,#REF!,14,FALSE())&gt;2,HLOOKUP($A1176,#REF!,14,FALSE())&lt;-2),"",#REF!),"")</f>
        <v/>
      </c>
      <c r="Q1176" s="0" t="str">
        <f aca="false">IFERROR(IF(OR(HLOOKUP($A1176,#REF!,15,FALSE())&gt;2,HLOOKUP($A1176,#REF!,15,FALSE())&lt;-2),"",#REF!),"")</f>
        <v/>
      </c>
      <c r="R1176" s="0" t="str">
        <f aca="false">IFERROR(IF(OR(HLOOKUP($A1176,#REF!,16,FALSE())&gt;2,HLOOKUP($A1176,#REF!,16,FALSE())&lt;-2),"",#REF!),"")</f>
        <v/>
      </c>
      <c r="S1176" s="0" t="str">
        <f aca="false">IFERROR(IF(OR(HLOOKUP($A1176,#REF!,17,FALSE())&gt;2,HLOOKUP($A1176,#REF!,17,FALSE())&lt;-2),"",#REF!),"")</f>
        <v/>
      </c>
      <c r="T1176" s="0" t="str">
        <f aca="false">IFERROR(IF(OR(HLOOKUP($A1176,#REF!,18,FALSE())&gt;2,HLOOKUP($A1176,#REF!,18,FALSE())&lt;-2),"",#REF!),"")</f>
        <v/>
      </c>
      <c r="U1176" s="0" t="str">
        <f aca="false">IFERROR(IF(OR(HLOOKUP($A1176,#REF!,19,FALSE())&gt;2,HLOOKUP($A1176,#REF!,19,FALSE())&lt;-2),"",#REF!),"")</f>
        <v/>
      </c>
      <c r="V1176" s="0" t="n">
        <f aca="false">IFERROR(IF(AND(X1176=0,Y1176=0),0,1),0)</f>
        <v>1</v>
      </c>
      <c r="W1176" s="3" t="str">
        <f aca="false">IFERROR(_xlfn.T.TEST(E1176:M1176,N1176:U1176,2,2),"")</f>
        <v/>
      </c>
      <c r="X1176" s="0" t="str">
        <f aca="false">IFERROR(AVERAGE(E1176:M1176),"")</f>
        <v/>
      </c>
      <c r="Y1176" s="0" t="str">
        <f aca="false">IFERROR(AVERAGE(N1176:U1176),"")</f>
        <v/>
      </c>
    </row>
    <row r="1177" customFormat="false" ht="14.5" hidden="false" customHeight="false" outlineLevel="0" collapsed="false">
      <c r="A1177" s="0" t="n">
        <v>10719</v>
      </c>
      <c r="B1177" s="0" t="s">
        <v>1218</v>
      </c>
      <c r="C1177" s="0" t="n">
        <v>56900</v>
      </c>
      <c r="D1177" s="0" t="n">
        <v>1001</v>
      </c>
      <c r="E1177" s="0" t="str">
        <f aca="false">IFERROR(IF(OR(HLOOKUP($A1177,#REF!,3,FALSE())&gt;2,HLOOKUP(A1177,#REF!,3,FALSE())&lt;-2),"",#REF!),"")</f>
        <v/>
      </c>
      <c r="F1177" s="0" t="str">
        <f aca="false">IFERROR(IF(OR(HLOOKUP($A1177,#REF!,4,FALSE())&gt;2,HLOOKUP($A1177,#REF!,4,FALSE())&lt;-2),"",#REF!),"")</f>
        <v/>
      </c>
      <c r="G1177" s="0" t="str">
        <f aca="false">IFERROR(IF(OR(HLOOKUP($A1177,#REF!,5,FALSE())&gt;2,HLOOKUP($A1177,#REF!,5,FALSE())&lt;-2),"",#REF!),"")</f>
        <v/>
      </c>
      <c r="H1177" s="0" t="str">
        <f aca="false">IFERROR(IF(OR(HLOOKUP($A1177,#REF!,6,FALSE())&gt;2,HLOOKUP($A1177,#REF!,6,FALSE())&lt;-2),"",#REF!),"")</f>
        <v/>
      </c>
      <c r="I1177" s="0" t="str">
        <f aca="false">IFERROR(IF(OR(HLOOKUP($A1177,#REF!,7,FALSE())&gt;2,HLOOKUP($A1177,#REF!,7,FALSE())&lt;-2),"",#REF!),"")</f>
        <v/>
      </c>
      <c r="J1177" s="0" t="str">
        <f aca="false">IFERROR(IF(OR(HLOOKUP($A1177,#REF!,8,FALSE())&gt;2,HLOOKUP($A1177,#REF!,8,FALSE())&lt;-2),"",#REF!),"")</f>
        <v/>
      </c>
      <c r="K1177" s="0" t="str">
        <f aca="false">IFERROR(IF(OR(HLOOKUP($A1177,#REF!,9,FALSE())&gt;2,HLOOKUP($A1177,#REF!,9,FALSE())&lt;-2),"",#REF!),"")</f>
        <v/>
      </c>
      <c r="L1177" s="0" t="str">
        <f aca="false">IFERROR(IF(OR(HLOOKUP($A1177,#REF!,10,FALSE())&gt;2,HLOOKUP($A1177,#REF!,10,FALSE())&lt;-2),"",#REF!),"")</f>
        <v/>
      </c>
      <c r="M1177" s="0" t="str">
        <f aca="false">IFERROR(IF(OR(HLOOKUP($A1177,#REF!,11,FALSE())&gt;2,HLOOKUP($A1177,#REF!,11,FALSE())&lt;-2),"",#REF!),"")</f>
        <v/>
      </c>
      <c r="N1177" s="0" t="str">
        <f aca="false">IFERROR(IF(OR(HLOOKUP($A1177,#REF!,12,FALSE())&gt;2,HLOOKUP($A1177,#REF!,12,FALSE())&lt;-2),"",#REF!),"")</f>
        <v/>
      </c>
      <c r="O1177" s="0" t="str">
        <f aca="false">IFERROR(IF(OR(HLOOKUP($A1177,#REF!,13,FALSE())&gt;2,HLOOKUP($A1177,#REF!,13,FALSE())&lt;-2),"",#REF!),"")</f>
        <v/>
      </c>
      <c r="P1177" s="0" t="str">
        <f aca="false">IFERROR(IF(OR(HLOOKUP($A1177,#REF!,14,FALSE())&gt;2,HLOOKUP($A1177,#REF!,14,FALSE())&lt;-2),"",#REF!),"")</f>
        <v/>
      </c>
      <c r="Q1177" s="0" t="str">
        <f aca="false">IFERROR(IF(OR(HLOOKUP($A1177,#REF!,15,FALSE())&gt;2,HLOOKUP($A1177,#REF!,15,FALSE())&lt;-2),"",#REF!),"")</f>
        <v/>
      </c>
      <c r="R1177" s="0" t="str">
        <f aca="false">IFERROR(IF(OR(HLOOKUP($A1177,#REF!,16,FALSE())&gt;2,HLOOKUP($A1177,#REF!,16,FALSE())&lt;-2),"",#REF!),"")</f>
        <v/>
      </c>
      <c r="S1177" s="0" t="str">
        <f aca="false">IFERROR(IF(OR(HLOOKUP($A1177,#REF!,17,FALSE())&gt;2,HLOOKUP($A1177,#REF!,17,FALSE())&lt;-2),"",#REF!),"")</f>
        <v/>
      </c>
      <c r="T1177" s="0" t="str">
        <f aca="false">IFERROR(IF(OR(HLOOKUP($A1177,#REF!,18,FALSE())&gt;2,HLOOKUP($A1177,#REF!,18,FALSE())&lt;-2),"",#REF!),"")</f>
        <v/>
      </c>
      <c r="U1177" s="0" t="str">
        <f aca="false">IFERROR(IF(OR(HLOOKUP($A1177,#REF!,19,FALSE())&gt;2,HLOOKUP($A1177,#REF!,19,FALSE())&lt;-2),"",#REF!),"")</f>
        <v/>
      </c>
      <c r="V1177" s="0" t="n">
        <f aca="false">IFERROR(IF(AND(X1177=0,Y1177=0),0,1),0)</f>
        <v>1</v>
      </c>
      <c r="W1177" s="3" t="str">
        <f aca="false">IFERROR(_xlfn.T.TEST(E1177:M1177,N1177:U1177,2,2),"")</f>
        <v/>
      </c>
      <c r="X1177" s="0" t="str">
        <f aca="false">IFERROR(AVERAGE(E1177:M1177),"")</f>
        <v/>
      </c>
      <c r="Y1177" s="0" t="str">
        <f aca="false">IFERROR(AVERAGE(N1177:U1177),"")</f>
        <v/>
      </c>
    </row>
    <row r="1178" customFormat="false" ht="14.5" hidden="false" customHeight="false" outlineLevel="0" collapsed="false">
      <c r="A1178" s="0" t="n">
        <v>10720</v>
      </c>
      <c r="B1178" s="0" t="s">
        <v>1219</v>
      </c>
      <c r="C1178" s="0" t="n">
        <v>57500</v>
      </c>
      <c r="D1178" s="0" t="n">
        <v>1091</v>
      </c>
      <c r="E1178" s="0" t="str">
        <f aca="false">IFERROR(IF(OR(HLOOKUP($A1178,#REF!,3,FALSE())&gt;2,HLOOKUP(A1178,#REF!,3,FALSE())&lt;-2),"",#REF!),"")</f>
        <v/>
      </c>
      <c r="F1178" s="0" t="str">
        <f aca="false">IFERROR(IF(OR(HLOOKUP($A1178,#REF!,4,FALSE())&gt;2,HLOOKUP($A1178,#REF!,4,FALSE())&lt;-2),"",#REF!),"")</f>
        <v/>
      </c>
      <c r="G1178" s="0" t="str">
        <f aca="false">IFERROR(IF(OR(HLOOKUP($A1178,#REF!,5,FALSE())&gt;2,HLOOKUP($A1178,#REF!,5,FALSE())&lt;-2),"",#REF!),"")</f>
        <v/>
      </c>
      <c r="H1178" s="0" t="str">
        <f aca="false">IFERROR(IF(OR(HLOOKUP($A1178,#REF!,6,FALSE())&gt;2,HLOOKUP($A1178,#REF!,6,FALSE())&lt;-2),"",#REF!),"")</f>
        <v/>
      </c>
      <c r="I1178" s="0" t="str">
        <f aca="false">IFERROR(IF(OR(HLOOKUP($A1178,#REF!,7,FALSE())&gt;2,HLOOKUP($A1178,#REF!,7,FALSE())&lt;-2),"",#REF!),"")</f>
        <v/>
      </c>
      <c r="J1178" s="0" t="str">
        <f aca="false">IFERROR(IF(OR(HLOOKUP($A1178,#REF!,8,FALSE())&gt;2,HLOOKUP($A1178,#REF!,8,FALSE())&lt;-2),"",#REF!),"")</f>
        <v/>
      </c>
      <c r="K1178" s="0" t="str">
        <f aca="false">IFERROR(IF(OR(HLOOKUP($A1178,#REF!,9,FALSE())&gt;2,HLOOKUP($A1178,#REF!,9,FALSE())&lt;-2),"",#REF!),"")</f>
        <v/>
      </c>
      <c r="L1178" s="0" t="str">
        <f aca="false">IFERROR(IF(OR(HLOOKUP($A1178,#REF!,10,FALSE())&gt;2,HLOOKUP($A1178,#REF!,10,FALSE())&lt;-2),"",#REF!),"")</f>
        <v/>
      </c>
      <c r="M1178" s="0" t="str">
        <f aca="false">IFERROR(IF(OR(HLOOKUP($A1178,#REF!,11,FALSE())&gt;2,HLOOKUP($A1178,#REF!,11,FALSE())&lt;-2),"",#REF!),"")</f>
        <v/>
      </c>
      <c r="N1178" s="0" t="str">
        <f aca="false">IFERROR(IF(OR(HLOOKUP($A1178,#REF!,12,FALSE())&gt;2,HLOOKUP($A1178,#REF!,12,FALSE())&lt;-2),"",#REF!),"")</f>
        <v/>
      </c>
      <c r="O1178" s="0" t="str">
        <f aca="false">IFERROR(IF(OR(HLOOKUP($A1178,#REF!,13,FALSE())&gt;2,HLOOKUP($A1178,#REF!,13,FALSE())&lt;-2),"",#REF!),"")</f>
        <v/>
      </c>
      <c r="P1178" s="0" t="str">
        <f aca="false">IFERROR(IF(OR(HLOOKUP($A1178,#REF!,14,FALSE())&gt;2,HLOOKUP($A1178,#REF!,14,FALSE())&lt;-2),"",#REF!),"")</f>
        <v/>
      </c>
      <c r="Q1178" s="0" t="str">
        <f aca="false">IFERROR(IF(OR(HLOOKUP($A1178,#REF!,15,FALSE())&gt;2,HLOOKUP($A1178,#REF!,15,FALSE())&lt;-2),"",#REF!),"")</f>
        <v/>
      </c>
      <c r="R1178" s="0" t="str">
        <f aca="false">IFERROR(IF(OR(HLOOKUP($A1178,#REF!,16,FALSE())&gt;2,HLOOKUP($A1178,#REF!,16,FALSE())&lt;-2),"",#REF!),"")</f>
        <v/>
      </c>
      <c r="S1178" s="0" t="str">
        <f aca="false">IFERROR(IF(OR(HLOOKUP($A1178,#REF!,17,FALSE())&gt;2,HLOOKUP($A1178,#REF!,17,FALSE())&lt;-2),"",#REF!),"")</f>
        <v/>
      </c>
      <c r="T1178" s="0" t="str">
        <f aca="false">IFERROR(IF(OR(HLOOKUP($A1178,#REF!,18,FALSE())&gt;2,HLOOKUP($A1178,#REF!,18,FALSE())&lt;-2),"",#REF!),"")</f>
        <v/>
      </c>
      <c r="U1178" s="0" t="str">
        <f aca="false">IFERROR(IF(OR(HLOOKUP($A1178,#REF!,19,FALSE())&gt;2,HLOOKUP($A1178,#REF!,19,FALSE())&lt;-2),"",#REF!),"")</f>
        <v/>
      </c>
      <c r="V1178" s="0" t="n">
        <f aca="false">IFERROR(IF(AND(X1178=0,Y1178=0),0,1),0)</f>
        <v>1</v>
      </c>
      <c r="W1178" s="3" t="str">
        <f aca="false">IFERROR(_xlfn.T.TEST(E1178:M1178,N1178:U1178,2,2),"")</f>
        <v/>
      </c>
      <c r="X1178" s="0" t="str">
        <f aca="false">IFERROR(AVERAGE(E1178:M1178),"")</f>
        <v/>
      </c>
      <c r="Y1178" s="0" t="str">
        <f aca="false">IFERROR(AVERAGE(N1178:U1178),"")</f>
        <v/>
      </c>
    </row>
    <row r="1179" customFormat="false" ht="14.5" hidden="false" customHeight="false" outlineLevel="0" collapsed="false">
      <c r="A1179" s="0" t="n">
        <v>10721</v>
      </c>
      <c r="B1179" s="0" t="s">
        <v>1220</v>
      </c>
      <c r="C1179" s="0" t="n">
        <v>57400</v>
      </c>
      <c r="D1179" s="0" t="n">
        <v>1091</v>
      </c>
      <c r="E1179" s="0" t="str">
        <f aca="false">IFERROR(IF(OR(HLOOKUP($A1179,#REF!,3,FALSE())&gt;2,HLOOKUP(A1179,#REF!,3,FALSE())&lt;-2),"",#REF!),"")</f>
        <v/>
      </c>
      <c r="F1179" s="0" t="str">
        <f aca="false">IFERROR(IF(OR(HLOOKUP($A1179,#REF!,4,FALSE())&gt;2,HLOOKUP($A1179,#REF!,4,FALSE())&lt;-2),"",#REF!),"")</f>
        <v/>
      </c>
      <c r="G1179" s="0" t="str">
        <f aca="false">IFERROR(IF(OR(HLOOKUP($A1179,#REF!,5,FALSE())&gt;2,HLOOKUP($A1179,#REF!,5,FALSE())&lt;-2),"",#REF!),"")</f>
        <v/>
      </c>
      <c r="H1179" s="0" t="str">
        <f aca="false">IFERROR(IF(OR(HLOOKUP($A1179,#REF!,6,FALSE())&gt;2,HLOOKUP($A1179,#REF!,6,FALSE())&lt;-2),"",#REF!),"")</f>
        <v/>
      </c>
      <c r="I1179" s="0" t="str">
        <f aca="false">IFERROR(IF(OR(HLOOKUP($A1179,#REF!,7,FALSE())&gt;2,HLOOKUP($A1179,#REF!,7,FALSE())&lt;-2),"",#REF!),"")</f>
        <v/>
      </c>
      <c r="J1179" s="0" t="str">
        <f aca="false">IFERROR(IF(OR(HLOOKUP($A1179,#REF!,8,FALSE())&gt;2,HLOOKUP($A1179,#REF!,8,FALSE())&lt;-2),"",#REF!),"")</f>
        <v/>
      </c>
      <c r="K1179" s="0" t="str">
        <f aca="false">IFERROR(IF(OR(HLOOKUP($A1179,#REF!,9,FALSE())&gt;2,HLOOKUP($A1179,#REF!,9,FALSE())&lt;-2),"",#REF!),"")</f>
        <v/>
      </c>
      <c r="L1179" s="0" t="str">
        <f aca="false">IFERROR(IF(OR(HLOOKUP($A1179,#REF!,10,FALSE())&gt;2,HLOOKUP($A1179,#REF!,10,FALSE())&lt;-2),"",#REF!),"")</f>
        <v/>
      </c>
      <c r="M1179" s="0" t="str">
        <f aca="false">IFERROR(IF(OR(HLOOKUP($A1179,#REF!,11,FALSE())&gt;2,HLOOKUP($A1179,#REF!,11,FALSE())&lt;-2),"",#REF!),"")</f>
        <v/>
      </c>
      <c r="N1179" s="0" t="str">
        <f aca="false">IFERROR(IF(OR(HLOOKUP($A1179,#REF!,12,FALSE())&gt;2,HLOOKUP($A1179,#REF!,12,FALSE())&lt;-2),"",#REF!),"")</f>
        <v/>
      </c>
      <c r="O1179" s="0" t="str">
        <f aca="false">IFERROR(IF(OR(HLOOKUP($A1179,#REF!,13,FALSE())&gt;2,HLOOKUP($A1179,#REF!,13,FALSE())&lt;-2),"",#REF!),"")</f>
        <v/>
      </c>
      <c r="P1179" s="0" t="str">
        <f aca="false">IFERROR(IF(OR(HLOOKUP($A1179,#REF!,14,FALSE())&gt;2,HLOOKUP($A1179,#REF!,14,FALSE())&lt;-2),"",#REF!),"")</f>
        <v/>
      </c>
      <c r="Q1179" s="0" t="str">
        <f aca="false">IFERROR(IF(OR(HLOOKUP($A1179,#REF!,15,FALSE())&gt;2,HLOOKUP($A1179,#REF!,15,FALSE())&lt;-2),"",#REF!),"")</f>
        <v/>
      </c>
      <c r="R1179" s="0" t="str">
        <f aca="false">IFERROR(IF(OR(HLOOKUP($A1179,#REF!,16,FALSE())&gt;2,HLOOKUP($A1179,#REF!,16,FALSE())&lt;-2),"",#REF!),"")</f>
        <v/>
      </c>
      <c r="S1179" s="0" t="str">
        <f aca="false">IFERROR(IF(OR(HLOOKUP($A1179,#REF!,17,FALSE())&gt;2,HLOOKUP($A1179,#REF!,17,FALSE())&lt;-2),"",#REF!),"")</f>
        <v/>
      </c>
      <c r="T1179" s="0" t="str">
        <f aca="false">IFERROR(IF(OR(HLOOKUP($A1179,#REF!,18,FALSE())&gt;2,HLOOKUP($A1179,#REF!,18,FALSE())&lt;-2),"",#REF!),"")</f>
        <v/>
      </c>
      <c r="U1179" s="0" t="str">
        <f aca="false">IFERROR(IF(OR(HLOOKUP($A1179,#REF!,19,FALSE())&gt;2,HLOOKUP($A1179,#REF!,19,FALSE())&lt;-2),"",#REF!),"")</f>
        <v/>
      </c>
      <c r="V1179" s="0" t="n">
        <f aca="false">IFERROR(IF(AND(X1179=0,Y1179=0),0,1),0)</f>
        <v>1</v>
      </c>
      <c r="W1179" s="3" t="str">
        <f aca="false">IFERROR(_xlfn.T.TEST(E1179:M1179,N1179:U1179,2,2),"")</f>
        <v/>
      </c>
      <c r="X1179" s="0" t="str">
        <f aca="false">IFERROR(AVERAGE(E1179:M1179),"")</f>
        <v/>
      </c>
      <c r="Y1179" s="0" t="str">
        <f aca="false">IFERROR(AVERAGE(N1179:U1179),"")</f>
        <v/>
      </c>
    </row>
    <row r="1180" customFormat="false" ht="14.5" hidden="false" customHeight="false" outlineLevel="0" collapsed="false">
      <c r="A1180" s="0" t="n">
        <v>10722</v>
      </c>
      <c r="B1180" s="0" t="s">
        <v>1221</v>
      </c>
      <c r="C1180" s="0" t="n">
        <v>57300</v>
      </c>
      <c r="D1180" s="0" t="n">
        <v>1091</v>
      </c>
      <c r="E1180" s="0" t="str">
        <f aca="false">IFERROR(IF(OR(HLOOKUP($A1180,#REF!,3,FALSE())&gt;2,HLOOKUP(A1180,#REF!,3,FALSE())&lt;-2),"",#REF!),"")</f>
        <v/>
      </c>
      <c r="F1180" s="0" t="str">
        <f aca="false">IFERROR(IF(OR(HLOOKUP($A1180,#REF!,4,FALSE())&gt;2,HLOOKUP($A1180,#REF!,4,FALSE())&lt;-2),"",#REF!),"")</f>
        <v/>
      </c>
      <c r="G1180" s="0" t="str">
        <f aca="false">IFERROR(IF(OR(HLOOKUP($A1180,#REF!,5,FALSE())&gt;2,HLOOKUP($A1180,#REF!,5,FALSE())&lt;-2),"",#REF!),"")</f>
        <v/>
      </c>
      <c r="H1180" s="0" t="str">
        <f aca="false">IFERROR(IF(OR(HLOOKUP($A1180,#REF!,6,FALSE())&gt;2,HLOOKUP($A1180,#REF!,6,FALSE())&lt;-2),"",#REF!),"")</f>
        <v/>
      </c>
      <c r="I1180" s="0" t="str">
        <f aca="false">IFERROR(IF(OR(HLOOKUP($A1180,#REF!,7,FALSE())&gt;2,HLOOKUP($A1180,#REF!,7,FALSE())&lt;-2),"",#REF!),"")</f>
        <v/>
      </c>
      <c r="J1180" s="0" t="str">
        <f aca="false">IFERROR(IF(OR(HLOOKUP($A1180,#REF!,8,FALSE())&gt;2,HLOOKUP($A1180,#REF!,8,FALSE())&lt;-2),"",#REF!),"")</f>
        <v/>
      </c>
      <c r="K1180" s="0" t="str">
        <f aca="false">IFERROR(IF(OR(HLOOKUP($A1180,#REF!,9,FALSE())&gt;2,HLOOKUP($A1180,#REF!,9,FALSE())&lt;-2),"",#REF!),"")</f>
        <v/>
      </c>
      <c r="L1180" s="0" t="str">
        <f aca="false">IFERROR(IF(OR(HLOOKUP($A1180,#REF!,10,FALSE())&gt;2,HLOOKUP($A1180,#REF!,10,FALSE())&lt;-2),"",#REF!),"")</f>
        <v/>
      </c>
      <c r="M1180" s="0" t="str">
        <f aca="false">IFERROR(IF(OR(HLOOKUP($A1180,#REF!,11,FALSE())&gt;2,HLOOKUP($A1180,#REF!,11,FALSE())&lt;-2),"",#REF!),"")</f>
        <v/>
      </c>
      <c r="N1180" s="0" t="str">
        <f aca="false">IFERROR(IF(OR(HLOOKUP($A1180,#REF!,12,FALSE())&gt;2,HLOOKUP($A1180,#REF!,12,FALSE())&lt;-2),"",#REF!),"")</f>
        <v/>
      </c>
      <c r="O1180" s="0" t="str">
        <f aca="false">IFERROR(IF(OR(HLOOKUP($A1180,#REF!,13,FALSE())&gt;2,HLOOKUP($A1180,#REF!,13,FALSE())&lt;-2),"",#REF!),"")</f>
        <v/>
      </c>
      <c r="P1180" s="0" t="str">
        <f aca="false">IFERROR(IF(OR(HLOOKUP($A1180,#REF!,14,FALSE())&gt;2,HLOOKUP($A1180,#REF!,14,FALSE())&lt;-2),"",#REF!),"")</f>
        <v/>
      </c>
      <c r="Q1180" s="0" t="str">
        <f aca="false">IFERROR(IF(OR(HLOOKUP($A1180,#REF!,15,FALSE())&gt;2,HLOOKUP($A1180,#REF!,15,FALSE())&lt;-2),"",#REF!),"")</f>
        <v/>
      </c>
      <c r="R1180" s="0" t="str">
        <f aca="false">IFERROR(IF(OR(HLOOKUP($A1180,#REF!,16,FALSE())&gt;2,HLOOKUP($A1180,#REF!,16,FALSE())&lt;-2),"",#REF!),"")</f>
        <v/>
      </c>
      <c r="S1180" s="0" t="str">
        <f aca="false">IFERROR(IF(OR(HLOOKUP($A1180,#REF!,17,FALSE())&gt;2,HLOOKUP($A1180,#REF!,17,FALSE())&lt;-2),"",#REF!),"")</f>
        <v/>
      </c>
      <c r="T1180" s="0" t="str">
        <f aca="false">IFERROR(IF(OR(HLOOKUP($A1180,#REF!,18,FALSE())&gt;2,HLOOKUP($A1180,#REF!,18,FALSE())&lt;-2),"",#REF!),"")</f>
        <v/>
      </c>
      <c r="U1180" s="0" t="str">
        <f aca="false">IFERROR(IF(OR(HLOOKUP($A1180,#REF!,19,FALSE())&gt;2,HLOOKUP($A1180,#REF!,19,FALSE())&lt;-2),"",#REF!),"")</f>
        <v/>
      </c>
      <c r="V1180" s="0" t="n">
        <f aca="false">IFERROR(IF(AND(X1180=0,Y1180=0),0,1),0)</f>
        <v>1</v>
      </c>
      <c r="W1180" s="3" t="str">
        <f aca="false">IFERROR(_xlfn.T.TEST(E1180:M1180,N1180:U1180,2,2),"")</f>
        <v/>
      </c>
      <c r="X1180" s="0" t="str">
        <f aca="false">IFERROR(AVERAGE(E1180:M1180),"")</f>
        <v/>
      </c>
      <c r="Y1180" s="0" t="str">
        <f aca="false">IFERROR(AVERAGE(N1180:U1180),"")</f>
        <v/>
      </c>
    </row>
    <row r="1181" customFormat="false" ht="14.5" hidden="false" customHeight="false" outlineLevel="0" collapsed="false">
      <c r="A1181" s="0" t="n">
        <v>10723</v>
      </c>
      <c r="B1181" s="0" t="s">
        <v>1222</v>
      </c>
      <c r="C1181" s="0" t="n">
        <v>57900</v>
      </c>
      <c r="D1181" s="0" t="n">
        <v>936</v>
      </c>
      <c r="E1181" s="0" t="str">
        <f aca="false">IFERROR(IF(OR(HLOOKUP($A1181,#REF!,3,FALSE())&gt;2,HLOOKUP(A1181,#REF!,3,FALSE())&lt;-2),"",#REF!),"")</f>
        <v/>
      </c>
      <c r="F1181" s="0" t="str">
        <f aca="false">IFERROR(IF(OR(HLOOKUP($A1181,#REF!,4,FALSE())&gt;2,HLOOKUP($A1181,#REF!,4,FALSE())&lt;-2),"",#REF!),"")</f>
        <v/>
      </c>
      <c r="G1181" s="0" t="str">
        <f aca="false">IFERROR(IF(OR(HLOOKUP($A1181,#REF!,5,FALSE())&gt;2,HLOOKUP($A1181,#REF!,5,FALSE())&lt;-2),"",#REF!),"")</f>
        <v/>
      </c>
      <c r="H1181" s="0" t="str">
        <f aca="false">IFERROR(IF(OR(HLOOKUP($A1181,#REF!,6,FALSE())&gt;2,HLOOKUP($A1181,#REF!,6,FALSE())&lt;-2),"",#REF!),"")</f>
        <v/>
      </c>
      <c r="I1181" s="0" t="str">
        <f aca="false">IFERROR(IF(OR(HLOOKUP($A1181,#REF!,7,FALSE())&gt;2,HLOOKUP($A1181,#REF!,7,FALSE())&lt;-2),"",#REF!),"")</f>
        <v/>
      </c>
      <c r="J1181" s="0" t="str">
        <f aca="false">IFERROR(IF(OR(HLOOKUP($A1181,#REF!,8,FALSE())&gt;2,HLOOKUP($A1181,#REF!,8,FALSE())&lt;-2),"",#REF!),"")</f>
        <v/>
      </c>
      <c r="K1181" s="0" t="str">
        <f aca="false">IFERROR(IF(OR(HLOOKUP($A1181,#REF!,9,FALSE())&gt;2,HLOOKUP($A1181,#REF!,9,FALSE())&lt;-2),"",#REF!),"")</f>
        <v/>
      </c>
      <c r="L1181" s="0" t="str">
        <f aca="false">IFERROR(IF(OR(HLOOKUP($A1181,#REF!,10,FALSE())&gt;2,HLOOKUP($A1181,#REF!,10,FALSE())&lt;-2),"",#REF!),"")</f>
        <v/>
      </c>
      <c r="M1181" s="0" t="str">
        <f aca="false">IFERROR(IF(OR(HLOOKUP($A1181,#REF!,11,FALSE())&gt;2,HLOOKUP($A1181,#REF!,11,FALSE())&lt;-2),"",#REF!),"")</f>
        <v/>
      </c>
      <c r="N1181" s="0" t="str">
        <f aca="false">IFERROR(IF(OR(HLOOKUP($A1181,#REF!,12,FALSE())&gt;2,HLOOKUP($A1181,#REF!,12,FALSE())&lt;-2),"",#REF!),"")</f>
        <v/>
      </c>
      <c r="O1181" s="0" t="str">
        <f aca="false">IFERROR(IF(OR(HLOOKUP($A1181,#REF!,13,FALSE())&gt;2,HLOOKUP($A1181,#REF!,13,FALSE())&lt;-2),"",#REF!),"")</f>
        <v/>
      </c>
      <c r="P1181" s="0" t="str">
        <f aca="false">IFERROR(IF(OR(HLOOKUP($A1181,#REF!,14,FALSE())&gt;2,HLOOKUP($A1181,#REF!,14,FALSE())&lt;-2),"",#REF!),"")</f>
        <v/>
      </c>
      <c r="Q1181" s="0" t="str">
        <f aca="false">IFERROR(IF(OR(HLOOKUP($A1181,#REF!,15,FALSE())&gt;2,HLOOKUP($A1181,#REF!,15,FALSE())&lt;-2),"",#REF!),"")</f>
        <v/>
      </c>
      <c r="R1181" s="0" t="str">
        <f aca="false">IFERROR(IF(OR(HLOOKUP($A1181,#REF!,16,FALSE())&gt;2,HLOOKUP($A1181,#REF!,16,FALSE())&lt;-2),"",#REF!),"")</f>
        <v/>
      </c>
      <c r="S1181" s="0" t="str">
        <f aca="false">IFERROR(IF(OR(HLOOKUP($A1181,#REF!,17,FALSE())&gt;2,HLOOKUP($A1181,#REF!,17,FALSE())&lt;-2),"",#REF!),"")</f>
        <v/>
      </c>
      <c r="T1181" s="0" t="str">
        <f aca="false">IFERROR(IF(OR(HLOOKUP($A1181,#REF!,18,FALSE())&gt;2,HLOOKUP($A1181,#REF!,18,FALSE())&lt;-2),"",#REF!),"")</f>
        <v/>
      </c>
      <c r="U1181" s="0" t="str">
        <f aca="false">IFERROR(IF(OR(HLOOKUP($A1181,#REF!,19,FALSE())&gt;2,HLOOKUP($A1181,#REF!,19,FALSE())&lt;-2),"",#REF!),"")</f>
        <v/>
      </c>
      <c r="V1181" s="0" t="n">
        <f aca="false">IFERROR(IF(AND(X1181=0,Y1181=0),0,1),0)</f>
        <v>1</v>
      </c>
      <c r="W1181" s="3" t="str">
        <f aca="false">IFERROR(_xlfn.T.TEST(E1181:M1181,N1181:U1181,2,2),"")</f>
        <v/>
      </c>
      <c r="X1181" s="0" t="str">
        <f aca="false">IFERROR(AVERAGE(E1181:M1181),"")</f>
        <v/>
      </c>
      <c r="Y1181" s="0" t="str">
        <f aca="false">IFERROR(AVERAGE(N1181:U1181),"")</f>
        <v/>
      </c>
    </row>
    <row r="1182" customFormat="false" ht="14.5" hidden="false" customHeight="false" outlineLevel="0" collapsed="false">
      <c r="A1182" s="0" t="n">
        <v>10724</v>
      </c>
      <c r="B1182" s="0" t="s">
        <v>1223</v>
      </c>
      <c r="C1182" s="0" t="n">
        <v>57800</v>
      </c>
      <c r="D1182" s="0" t="n">
        <v>936</v>
      </c>
      <c r="E1182" s="0" t="str">
        <f aca="false">IFERROR(IF(OR(HLOOKUP($A1182,#REF!,3,FALSE())&gt;2,HLOOKUP(A1182,#REF!,3,FALSE())&lt;-2),"",#REF!),"")</f>
        <v/>
      </c>
      <c r="F1182" s="0" t="str">
        <f aca="false">IFERROR(IF(OR(HLOOKUP($A1182,#REF!,4,FALSE())&gt;2,HLOOKUP($A1182,#REF!,4,FALSE())&lt;-2),"",#REF!),"")</f>
        <v/>
      </c>
      <c r="G1182" s="0" t="str">
        <f aca="false">IFERROR(IF(OR(HLOOKUP($A1182,#REF!,5,FALSE())&gt;2,HLOOKUP($A1182,#REF!,5,FALSE())&lt;-2),"",#REF!),"")</f>
        <v/>
      </c>
      <c r="H1182" s="0" t="str">
        <f aca="false">IFERROR(IF(OR(HLOOKUP($A1182,#REF!,6,FALSE())&gt;2,HLOOKUP($A1182,#REF!,6,FALSE())&lt;-2),"",#REF!),"")</f>
        <v/>
      </c>
      <c r="I1182" s="0" t="str">
        <f aca="false">IFERROR(IF(OR(HLOOKUP($A1182,#REF!,7,FALSE())&gt;2,HLOOKUP($A1182,#REF!,7,FALSE())&lt;-2),"",#REF!),"")</f>
        <v/>
      </c>
      <c r="J1182" s="0" t="str">
        <f aca="false">IFERROR(IF(OR(HLOOKUP($A1182,#REF!,8,FALSE())&gt;2,HLOOKUP($A1182,#REF!,8,FALSE())&lt;-2),"",#REF!),"")</f>
        <v/>
      </c>
      <c r="K1182" s="0" t="str">
        <f aca="false">IFERROR(IF(OR(HLOOKUP($A1182,#REF!,9,FALSE())&gt;2,HLOOKUP($A1182,#REF!,9,FALSE())&lt;-2),"",#REF!),"")</f>
        <v/>
      </c>
      <c r="L1182" s="0" t="str">
        <f aca="false">IFERROR(IF(OR(HLOOKUP($A1182,#REF!,10,FALSE())&gt;2,HLOOKUP($A1182,#REF!,10,FALSE())&lt;-2),"",#REF!),"")</f>
        <v/>
      </c>
      <c r="M1182" s="0" t="str">
        <f aca="false">IFERROR(IF(OR(HLOOKUP($A1182,#REF!,11,FALSE())&gt;2,HLOOKUP($A1182,#REF!,11,FALSE())&lt;-2),"",#REF!),"")</f>
        <v/>
      </c>
      <c r="N1182" s="0" t="str">
        <f aca="false">IFERROR(IF(OR(HLOOKUP($A1182,#REF!,12,FALSE())&gt;2,HLOOKUP($A1182,#REF!,12,FALSE())&lt;-2),"",#REF!),"")</f>
        <v/>
      </c>
      <c r="O1182" s="0" t="str">
        <f aca="false">IFERROR(IF(OR(HLOOKUP($A1182,#REF!,13,FALSE())&gt;2,HLOOKUP($A1182,#REF!,13,FALSE())&lt;-2),"",#REF!),"")</f>
        <v/>
      </c>
      <c r="P1182" s="0" t="str">
        <f aca="false">IFERROR(IF(OR(HLOOKUP($A1182,#REF!,14,FALSE())&gt;2,HLOOKUP($A1182,#REF!,14,FALSE())&lt;-2),"",#REF!),"")</f>
        <v/>
      </c>
      <c r="Q1182" s="0" t="str">
        <f aca="false">IFERROR(IF(OR(HLOOKUP($A1182,#REF!,15,FALSE())&gt;2,HLOOKUP($A1182,#REF!,15,FALSE())&lt;-2),"",#REF!),"")</f>
        <v/>
      </c>
      <c r="R1182" s="0" t="str">
        <f aca="false">IFERROR(IF(OR(HLOOKUP($A1182,#REF!,16,FALSE())&gt;2,HLOOKUP($A1182,#REF!,16,FALSE())&lt;-2),"",#REF!),"")</f>
        <v/>
      </c>
      <c r="S1182" s="0" t="str">
        <f aca="false">IFERROR(IF(OR(HLOOKUP($A1182,#REF!,17,FALSE())&gt;2,HLOOKUP($A1182,#REF!,17,FALSE())&lt;-2),"",#REF!),"")</f>
        <v/>
      </c>
      <c r="T1182" s="0" t="str">
        <f aca="false">IFERROR(IF(OR(HLOOKUP($A1182,#REF!,18,FALSE())&gt;2,HLOOKUP($A1182,#REF!,18,FALSE())&lt;-2),"",#REF!),"")</f>
        <v/>
      </c>
      <c r="U1182" s="0" t="str">
        <f aca="false">IFERROR(IF(OR(HLOOKUP($A1182,#REF!,19,FALSE())&gt;2,HLOOKUP($A1182,#REF!,19,FALSE())&lt;-2),"",#REF!),"")</f>
        <v/>
      </c>
      <c r="V1182" s="0" t="n">
        <f aca="false">IFERROR(IF(AND(X1182=0,Y1182=0),0,1),0)</f>
        <v>1</v>
      </c>
      <c r="W1182" s="3" t="str">
        <f aca="false">IFERROR(_xlfn.T.TEST(E1182:M1182,N1182:U1182,2,2),"")</f>
        <v/>
      </c>
      <c r="X1182" s="0" t="str">
        <f aca="false">IFERROR(AVERAGE(E1182:M1182),"")</f>
        <v/>
      </c>
      <c r="Y1182" s="0" t="str">
        <f aca="false">IFERROR(AVERAGE(N1182:U1182),"")</f>
        <v/>
      </c>
    </row>
    <row r="1183" customFormat="false" ht="14.5" hidden="false" customHeight="false" outlineLevel="0" collapsed="false">
      <c r="A1183" s="0" t="n">
        <v>10725</v>
      </c>
      <c r="B1183" s="0" t="s">
        <v>1224</v>
      </c>
      <c r="C1183" s="0" t="n">
        <v>57700</v>
      </c>
      <c r="D1183" s="0" t="n">
        <v>936</v>
      </c>
      <c r="E1183" s="0" t="str">
        <f aca="false">IFERROR(IF(OR(HLOOKUP($A1183,#REF!,3,FALSE())&gt;2,HLOOKUP(A1183,#REF!,3,FALSE())&lt;-2),"",#REF!),"")</f>
        <v/>
      </c>
      <c r="F1183" s="0" t="str">
        <f aca="false">IFERROR(IF(OR(HLOOKUP($A1183,#REF!,4,FALSE())&gt;2,HLOOKUP($A1183,#REF!,4,FALSE())&lt;-2),"",#REF!),"")</f>
        <v/>
      </c>
      <c r="G1183" s="0" t="str">
        <f aca="false">IFERROR(IF(OR(HLOOKUP($A1183,#REF!,5,FALSE())&gt;2,HLOOKUP($A1183,#REF!,5,FALSE())&lt;-2),"",#REF!),"")</f>
        <v/>
      </c>
      <c r="H1183" s="0" t="str">
        <f aca="false">IFERROR(IF(OR(HLOOKUP($A1183,#REF!,6,FALSE())&gt;2,HLOOKUP($A1183,#REF!,6,FALSE())&lt;-2),"",#REF!),"")</f>
        <v/>
      </c>
      <c r="I1183" s="0" t="str">
        <f aca="false">IFERROR(IF(OR(HLOOKUP($A1183,#REF!,7,FALSE())&gt;2,HLOOKUP($A1183,#REF!,7,FALSE())&lt;-2),"",#REF!),"")</f>
        <v/>
      </c>
      <c r="J1183" s="0" t="str">
        <f aca="false">IFERROR(IF(OR(HLOOKUP($A1183,#REF!,8,FALSE())&gt;2,HLOOKUP($A1183,#REF!,8,FALSE())&lt;-2),"",#REF!),"")</f>
        <v/>
      </c>
      <c r="K1183" s="0" t="str">
        <f aca="false">IFERROR(IF(OR(HLOOKUP($A1183,#REF!,9,FALSE())&gt;2,HLOOKUP($A1183,#REF!,9,FALSE())&lt;-2),"",#REF!),"")</f>
        <v/>
      </c>
      <c r="L1183" s="0" t="str">
        <f aca="false">IFERROR(IF(OR(HLOOKUP($A1183,#REF!,10,FALSE())&gt;2,HLOOKUP($A1183,#REF!,10,FALSE())&lt;-2),"",#REF!),"")</f>
        <v/>
      </c>
      <c r="M1183" s="0" t="str">
        <f aca="false">IFERROR(IF(OR(HLOOKUP($A1183,#REF!,11,FALSE())&gt;2,HLOOKUP($A1183,#REF!,11,FALSE())&lt;-2),"",#REF!),"")</f>
        <v/>
      </c>
      <c r="N1183" s="0" t="str">
        <f aca="false">IFERROR(IF(OR(HLOOKUP($A1183,#REF!,12,FALSE())&gt;2,HLOOKUP($A1183,#REF!,12,FALSE())&lt;-2),"",#REF!),"")</f>
        <v/>
      </c>
      <c r="O1183" s="0" t="str">
        <f aca="false">IFERROR(IF(OR(HLOOKUP($A1183,#REF!,13,FALSE())&gt;2,HLOOKUP($A1183,#REF!,13,FALSE())&lt;-2),"",#REF!),"")</f>
        <v/>
      </c>
      <c r="P1183" s="0" t="str">
        <f aca="false">IFERROR(IF(OR(HLOOKUP($A1183,#REF!,14,FALSE())&gt;2,HLOOKUP($A1183,#REF!,14,FALSE())&lt;-2),"",#REF!),"")</f>
        <v/>
      </c>
      <c r="Q1183" s="0" t="str">
        <f aca="false">IFERROR(IF(OR(HLOOKUP($A1183,#REF!,15,FALSE())&gt;2,HLOOKUP($A1183,#REF!,15,FALSE())&lt;-2),"",#REF!),"")</f>
        <v/>
      </c>
      <c r="R1183" s="0" t="str">
        <f aca="false">IFERROR(IF(OR(HLOOKUP($A1183,#REF!,16,FALSE())&gt;2,HLOOKUP($A1183,#REF!,16,FALSE())&lt;-2),"",#REF!),"")</f>
        <v/>
      </c>
      <c r="S1183" s="0" t="str">
        <f aca="false">IFERROR(IF(OR(HLOOKUP($A1183,#REF!,17,FALSE())&gt;2,HLOOKUP($A1183,#REF!,17,FALSE())&lt;-2),"",#REF!),"")</f>
        <v/>
      </c>
      <c r="T1183" s="0" t="str">
        <f aca="false">IFERROR(IF(OR(HLOOKUP($A1183,#REF!,18,FALSE())&gt;2,HLOOKUP($A1183,#REF!,18,FALSE())&lt;-2),"",#REF!),"")</f>
        <v/>
      </c>
      <c r="U1183" s="0" t="str">
        <f aca="false">IFERROR(IF(OR(HLOOKUP($A1183,#REF!,19,FALSE())&gt;2,HLOOKUP($A1183,#REF!,19,FALSE())&lt;-2),"",#REF!),"")</f>
        <v/>
      </c>
      <c r="V1183" s="0" t="n">
        <f aca="false">IFERROR(IF(AND(X1183=0,Y1183=0),0,1),0)</f>
        <v>1</v>
      </c>
      <c r="W1183" s="3" t="str">
        <f aca="false">IFERROR(_xlfn.T.TEST(E1183:M1183,N1183:U1183,2,2),"")</f>
        <v/>
      </c>
      <c r="X1183" s="0" t="str">
        <f aca="false">IFERROR(AVERAGE(E1183:M1183),"")</f>
        <v/>
      </c>
      <c r="Y1183" s="0" t="str">
        <f aca="false">IFERROR(AVERAGE(N1183:U1183),"")</f>
        <v/>
      </c>
    </row>
    <row r="1184" customFormat="false" ht="14.5" hidden="false" customHeight="false" outlineLevel="0" collapsed="false">
      <c r="A1184" s="0" t="n">
        <v>10726</v>
      </c>
      <c r="B1184" s="0" t="s">
        <v>1225</v>
      </c>
      <c r="C1184" s="0" t="n">
        <v>58300</v>
      </c>
      <c r="D1184" s="0" t="n">
        <v>944</v>
      </c>
      <c r="E1184" s="0" t="str">
        <f aca="false">IFERROR(IF(OR(HLOOKUP($A1184,#REF!,3,FALSE())&gt;2,HLOOKUP(A1184,#REF!,3,FALSE())&lt;-2),"",#REF!),"")</f>
        <v/>
      </c>
      <c r="F1184" s="0" t="str">
        <f aca="false">IFERROR(IF(OR(HLOOKUP($A1184,#REF!,4,FALSE())&gt;2,HLOOKUP($A1184,#REF!,4,FALSE())&lt;-2),"",#REF!),"")</f>
        <v/>
      </c>
      <c r="G1184" s="0" t="str">
        <f aca="false">IFERROR(IF(OR(HLOOKUP($A1184,#REF!,5,FALSE())&gt;2,HLOOKUP($A1184,#REF!,5,FALSE())&lt;-2),"",#REF!),"")</f>
        <v/>
      </c>
      <c r="H1184" s="0" t="str">
        <f aca="false">IFERROR(IF(OR(HLOOKUP($A1184,#REF!,6,FALSE())&gt;2,HLOOKUP($A1184,#REF!,6,FALSE())&lt;-2),"",#REF!),"")</f>
        <v/>
      </c>
      <c r="I1184" s="0" t="str">
        <f aca="false">IFERROR(IF(OR(HLOOKUP($A1184,#REF!,7,FALSE())&gt;2,HLOOKUP($A1184,#REF!,7,FALSE())&lt;-2),"",#REF!),"")</f>
        <v/>
      </c>
      <c r="J1184" s="0" t="str">
        <f aca="false">IFERROR(IF(OR(HLOOKUP($A1184,#REF!,8,FALSE())&gt;2,HLOOKUP($A1184,#REF!,8,FALSE())&lt;-2),"",#REF!),"")</f>
        <v/>
      </c>
      <c r="K1184" s="0" t="str">
        <f aca="false">IFERROR(IF(OR(HLOOKUP($A1184,#REF!,9,FALSE())&gt;2,HLOOKUP($A1184,#REF!,9,FALSE())&lt;-2),"",#REF!),"")</f>
        <v/>
      </c>
      <c r="L1184" s="0" t="str">
        <f aca="false">IFERROR(IF(OR(HLOOKUP($A1184,#REF!,10,FALSE())&gt;2,HLOOKUP($A1184,#REF!,10,FALSE())&lt;-2),"",#REF!),"")</f>
        <v/>
      </c>
      <c r="M1184" s="0" t="str">
        <f aca="false">IFERROR(IF(OR(HLOOKUP($A1184,#REF!,11,FALSE())&gt;2,HLOOKUP($A1184,#REF!,11,FALSE())&lt;-2),"",#REF!),"")</f>
        <v/>
      </c>
      <c r="N1184" s="0" t="str">
        <f aca="false">IFERROR(IF(OR(HLOOKUP($A1184,#REF!,12,FALSE())&gt;2,HLOOKUP($A1184,#REF!,12,FALSE())&lt;-2),"",#REF!),"")</f>
        <v/>
      </c>
      <c r="O1184" s="0" t="str">
        <f aca="false">IFERROR(IF(OR(HLOOKUP($A1184,#REF!,13,FALSE())&gt;2,HLOOKUP($A1184,#REF!,13,FALSE())&lt;-2),"",#REF!),"")</f>
        <v/>
      </c>
      <c r="P1184" s="0" t="str">
        <f aca="false">IFERROR(IF(OR(HLOOKUP($A1184,#REF!,14,FALSE())&gt;2,HLOOKUP($A1184,#REF!,14,FALSE())&lt;-2),"",#REF!),"")</f>
        <v/>
      </c>
      <c r="Q1184" s="0" t="str">
        <f aca="false">IFERROR(IF(OR(HLOOKUP($A1184,#REF!,15,FALSE())&gt;2,HLOOKUP($A1184,#REF!,15,FALSE())&lt;-2),"",#REF!),"")</f>
        <v/>
      </c>
      <c r="R1184" s="0" t="str">
        <f aca="false">IFERROR(IF(OR(HLOOKUP($A1184,#REF!,16,FALSE())&gt;2,HLOOKUP($A1184,#REF!,16,FALSE())&lt;-2),"",#REF!),"")</f>
        <v/>
      </c>
      <c r="S1184" s="0" t="str">
        <f aca="false">IFERROR(IF(OR(HLOOKUP($A1184,#REF!,17,FALSE())&gt;2,HLOOKUP($A1184,#REF!,17,FALSE())&lt;-2),"",#REF!),"")</f>
        <v/>
      </c>
      <c r="T1184" s="0" t="str">
        <f aca="false">IFERROR(IF(OR(HLOOKUP($A1184,#REF!,18,FALSE())&gt;2,HLOOKUP($A1184,#REF!,18,FALSE())&lt;-2),"",#REF!),"")</f>
        <v/>
      </c>
      <c r="U1184" s="0" t="str">
        <f aca="false">IFERROR(IF(OR(HLOOKUP($A1184,#REF!,19,FALSE())&gt;2,HLOOKUP($A1184,#REF!,19,FALSE())&lt;-2),"",#REF!),"")</f>
        <v/>
      </c>
      <c r="V1184" s="0" t="n">
        <f aca="false">IFERROR(IF(AND(X1184=0,Y1184=0),0,1),0)</f>
        <v>1</v>
      </c>
      <c r="W1184" s="3" t="str">
        <f aca="false">IFERROR(_xlfn.T.TEST(E1184:M1184,N1184:U1184,2,2),"")</f>
        <v/>
      </c>
      <c r="X1184" s="0" t="str">
        <f aca="false">IFERROR(AVERAGE(E1184:M1184),"")</f>
        <v/>
      </c>
      <c r="Y1184" s="0" t="str">
        <f aca="false">IFERROR(AVERAGE(N1184:U1184),"")</f>
        <v/>
      </c>
    </row>
    <row r="1185" customFormat="false" ht="14.5" hidden="false" customHeight="false" outlineLevel="0" collapsed="false">
      <c r="A1185" s="0" t="n">
        <v>10727</v>
      </c>
      <c r="B1185" s="0" t="s">
        <v>1226</v>
      </c>
      <c r="C1185" s="0" t="n">
        <v>58200</v>
      </c>
      <c r="D1185" s="0" t="n">
        <v>944</v>
      </c>
      <c r="E1185" s="0" t="str">
        <f aca="false">IFERROR(IF(OR(HLOOKUP($A1185,#REF!,3,FALSE())&gt;2,HLOOKUP(A1185,#REF!,3,FALSE())&lt;-2),"",#REF!),"")</f>
        <v/>
      </c>
      <c r="F1185" s="0" t="str">
        <f aca="false">IFERROR(IF(OR(HLOOKUP($A1185,#REF!,4,FALSE())&gt;2,HLOOKUP($A1185,#REF!,4,FALSE())&lt;-2),"",#REF!),"")</f>
        <v/>
      </c>
      <c r="G1185" s="0" t="str">
        <f aca="false">IFERROR(IF(OR(HLOOKUP($A1185,#REF!,5,FALSE())&gt;2,HLOOKUP($A1185,#REF!,5,FALSE())&lt;-2),"",#REF!),"")</f>
        <v/>
      </c>
      <c r="H1185" s="0" t="str">
        <f aca="false">IFERROR(IF(OR(HLOOKUP($A1185,#REF!,6,FALSE())&gt;2,HLOOKUP($A1185,#REF!,6,FALSE())&lt;-2),"",#REF!),"")</f>
        <v/>
      </c>
      <c r="I1185" s="0" t="str">
        <f aca="false">IFERROR(IF(OR(HLOOKUP($A1185,#REF!,7,FALSE())&gt;2,HLOOKUP($A1185,#REF!,7,FALSE())&lt;-2),"",#REF!),"")</f>
        <v/>
      </c>
      <c r="J1185" s="0" t="str">
        <f aca="false">IFERROR(IF(OR(HLOOKUP($A1185,#REF!,8,FALSE())&gt;2,HLOOKUP($A1185,#REF!,8,FALSE())&lt;-2),"",#REF!),"")</f>
        <v/>
      </c>
      <c r="K1185" s="0" t="str">
        <f aca="false">IFERROR(IF(OR(HLOOKUP($A1185,#REF!,9,FALSE())&gt;2,HLOOKUP($A1185,#REF!,9,FALSE())&lt;-2),"",#REF!),"")</f>
        <v/>
      </c>
      <c r="L1185" s="0" t="str">
        <f aca="false">IFERROR(IF(OR(HLOOKUP($A1185,#REF!,10,FALSE())&gt;2,HLOOKUP($A1185,#REF!,10,FALSE())&lt;-2),"",#REF!),"")</f>
        <v/>
      </c>
      <c r="M1185" s="0" t="str">
        <f aca="false">IFERROR(IF(OR(HLOOKUP($A1185,#REF!,11,FALSE())&gt;2,HLOOKUP($A1185,#REF!,11,FALSE())&lt;-2),"",#REF!),"")</f>
        <v/>
      </c>
      <c r="N1185" s="0" t="str">
        <f aca="false">IFERROR(IF(OR(HLOOKUP($A1185,#REF!,12,FALSE())&gt;2,HLOOKUP($A1185,#REF!,12,FALSE())&lt;-2),"",#REF!),"")</f>
        <v/>
      </c>
      <c r="O1185" s="0" t="str">
        <f aca="false">IFERROR(IF(OR(HLOOKUP($A1185,#REF!,13,FALSE())&gt;2,HLOOKUP($A1185,#REF!,13,FALSE())&lt;-2),"",#REF!),"")</f>
        <v/>
      </c>
      <c r="P1185" s="0" t="str">
        <f aca="false">IFERROR(IF(OR(HLOOKUP($A1185,#REF!,14,FALSE())&gt;2,HLOOKUP($A1185,#REF!,14,FALSE())&lt;-2),"",#REF!),"")</f>
        <v/>
      </c>
      <c r="Q1185" s="0" t="str">
        <f aca="false">IFERROR(IF(OR(HLOOKUP($A1185,#REF!,15,FALSE())&gt;2,HLOOKUP($A1185,#REF!,15,FALSE())&lt;-2),"",#REF!),"")</f>
        <v/>
      </c>
      <c r="R1185" s="0" t="str">
        <f aca="false">IFERROR(IF(OR(HLOOKUP($A1185,#REF!,16,FALSE())&gt;2,HLOOKUP($A1185,#REF!,16,FALSE())&lt;-2),"",#REF!),"")</f>
        <v/>
      </c>
      <c r="S1185" s="0" t="str">
        <f aca="false">IFERROR(IF(OR(HLOOKUP($A1185,#REF!,17,FALSE())&gt;2,HLOOKUP($A1185,#REF!,17,FALSE())&lt;-2),"",#REF!),"")</f>
        <v/>
      </c>
      <c r="T1185" s="0" t="str">
        <f aca="false">IFERROR(IF(OR(HLOOKUP($A1185,#REF!,18,FALSE())&gt;2,HLOOKUP($A1185,#REF!,18,FALSE())&lt;-2),"",#REF!),"")</f>
        <v/>
      </c>
      <c r="U1185" s="0" t="str">
        <f aca="false">IFERROR(IF(OR(HLOOKUP($A1185,#REF!,19,FALSE())&gt;2,HLOOKUP($A1185,#REF!,19,FALSE())&lt;-2),"",#REF!),"")</f>
        <v/>
      </c>
      <c r="V1185" s="0" t="n">
        <f aca="false">IFERROR(IF(AND(X1185=0,Y1185=0),0,1),0)</f>
        <v>1</v>
      </c>
      <c r="W1185" s="3" t="str">
        <f aca="false">IFERROR(_xlfn.T.TEST(E1185:M1185,N1185:U1185,2,2),"")</f>
        <v/>
      </c>
      <c r="X1185" s="0" t="str">
        <f aca="false">IFERROR(AVERAGE(E1185:M1185),"")</f>
        <v/>
      </c>
      <c r="Y1185" s="0" t="str">
        <f aca="false">IFERROR(AVERAGE(N1185:U1185),"")</f>
        <v/>
      </c>
    </row>
    <row r="1186" customFormat="false" ht="14.5" hidden="false" customHeight="false" outlineLevel="0" collapsed="false">
      <c r="A1186" s="0" t="n">
        <v>10728</v>
      </c>
      <c r="B1186" s="0" t="s">
        <v>1227</v>
      </c>
      <c r="C1186" s="0" t="n">
        <v>58100</v>
      </c>
      <c r="D1186" s="0" t="n">
        <v>944</v>
      </c>
      <c r="E1186" s="0" t="str">
        <f aca="false">IFERROR(IF(OR(HLOOKUP($A1186,#REF!,3,FALSE())&gt;2,HLOOKUP(A1186,#REF!,3,FALSE())&lt;-2),"",#REF!),"")</f>
        <v/>
      </c>
      <c r="F1186" s="0" t="str">
        <f aca="false">IFERROR(IF(OR(HLOOKUP($A1186,#REF!,4,FALSE())&gt;2,HLOOKUP($A1186,#REF!,4,FALSE())&lt;-2),"",#REF!),"")</f>
        <v/>
      </c>
      <c r="G1186" s="0" t="str">
        <f aca="false">IFERROR(IF(OR(HLOOKUP($A1186,#REF!,5,FALSE())&gt;2,HLOOKUP($A1186,#REF!,5,FALSE())&lt;-2),"",#REF!),"")</f>
        <v/>
      </c>
      <c r="H1186" s="0" t="str">
        <f aca="false">IFERROR(IF(OR(HLOOKUP($A1186,#REF!,6,FALSE())&gt;2,HLOOKUP($A1186,#REF!,6,FALSE())&lt;-2),"",#REF!),"")</f>
        <v/>
      </c>
      <c r="I1186" s="0" t="str">
        <f aca="false">IFERROR(IF(OR(HLOOKUP($A1186,#REF!,7,FALSE())&gt;2,HLOOKUP($A1186,#REF!,7,FALSE())&lt;-2),"",#REF!),"")</f>
        <v/>
      </c>
      <c r="J1186" s="0" t="str">
        <f aca="false">IFERROR(IF(OR(HLOOKUP($A1186,#REF!,8,FALSE())&gt;2,HLOOKUP($A1186,#REF!,8,FALSE())&lt;-2),"",#REF!),"")</f>
        <v/>
      </c>
      <c r="K1186" s="0" t="str">
        <f aca="false">IFERROR(IF(OR(HLOOKUP($A1186,#REF!,9,FALSE())&gt;2,HLOOKUP($A1186,#REF!,9,FALSE())&lt;-2),"",#REF!),"")</f>
        <v/>
      </c>
      <c r="L1186" s="0" t="str">
        <f aca="false">IFERROR(IF(OR(HLOOKUP($A1186,#REF!,10,FALSE())&gt;2,HLOOKUP($A1186,#REF!,10,FALSE())&lt;-2),"",#REF!),"")</f>
        <v/>
      </c>
      <c r="M1186" s="0" t="str">
        <f aca="false">IFERROR(IF(OR(HLOOKUP($A1186,#REF!,11,FALSE())&gt;2,HLOOKUP($A1186,#REF!,11,FALSE())&lt;-2),"",#REF!),"")</f>
        <v/>
      </c>
      <c r="N1186" s="0" t="str">
        <f aca="false">IFERROR(IF(OR(HLOOKUP($A1186,#REF!,12,FALSE())&gt;2,HLOOKUP($A1186,#REF!,12,FALSE())&lt;-2),"",#REF!),"")</f>
        <v/>
      </c>
      <c r="O1186" s="0" t="str">
        <f aca="false">IFERROR(IF(OR(HLOOKUP($A1186,#REF!,13,FALSE())&gt;2,HLOOKUP($A1186,#REF!,13,FALSE())&lt;-2),"",#REF!),"")</f>
        <v/>
      </c>
      <c r="P1186" s="0" t="str">
        <f aca="false">IFERROR(IF(OR(HLOOKUP($A1186,#REF!,14,FALSE())&gt;2,HLOOKUP($A1186,#REF!,14,FALSE())&lt;-2),"",#REF!),"")</f>
        <v/>
      </c>
      <c r="Q1186" s="0" t="str">
        <f aca="false">IFERROR(IF(OR(HLOOKUP($A1186,#REF!,15,FALSE())&gt;2,HLOOKUP($A1186,#REF!,15,FALSE())&lt;-2),"",#REF!),"")</f>
        <v/>
      </c>
      <c r="R1186" s="0" t="str">
        <f aca="false">IFERROR(IF(OR(HLOOKUP($A1186,#REF!,16,FALSE())&gt;2,HLOOKUP($A1186,#REF!,16,FALSE())&lt;-2),"",#REF!),"")</f>
        <v/>
      </c>
      <c r="S1186" s="0" t="str">
        <f aca="false">IFERROR(IF(OR(HLOOKUP($A1186,#REF!,17,FALSE())&gt;2,HLOOKUP($A1186,#REF!,17,FALSE())&lt;-2),"",#REF!),"")</f>
        <v/>
      </c>
      <c r="T1186" s="0" t="str">
        <f aca="false">IFERROR(IF(OR(HLOOKUP($A1186,#REF!,18,FALSE())&gt;2,HLOOKUP($A1186,#REF!,18,FALSE())&lt;-2),"",#REF!),"")</f>
        <v/>
      </c>
      <c r="U1186" s="0" t="str">
        <f aca="false">IFERROR(IF(OR(HLOOKUP($A1186,#REF!,19,FALSE())&gt;2,HLOOKUP($A1186,#REF!,19,FALSE())&lt;-2),"",#REF!),"")</f>
        <v/>
      </c>
      <c r="V1186" s="0" t="n">
        <f aca="false">IFERROR(IF(AND(X1186=0,Y1186=0),0,1),0)</f>
        <v>1</v>
      </c>
      <c r="W1186" s="3" t="str">
        <f aca="false">IFERROR(_xlfn.T.TEST(E1186:M1186,N1186:U1186,2,2),"")</f>
        <v/>
      </c>
      <c r="X1186" s="0" t="str">
        <f aca="false">IFERROR(AVERAGE(E1186:M1186),"")</f>
        <v/>
      </c>
      <c r="Y1186" s="0" t="str">
        <f aca="false">IFERROR(AVERAGE(N1186:U1186),"")</f>
        <v/>
      </c>
    </row>
    <row r="1187" customFormat="false" ht="14.5" hidden="false" customHeight="false" outlineLevel="0" collapsed="false">
      <c r="A1187" s="0" t="n">
        <v>10729</v>
      </c>
      <c r="B1187" s="0" t="s">
        <v>1228</v>
      </c>
      <c r="C1187" s="0" t="n">
        <v>58700</v>
      </c>
      <c r="D1187" s="0" t="n">
        <v>951</v>
      </c>
      <c r="E1187" s="0" t="str">
        <f aca="false">IFERROR(IF(OR(HLOOKUP($A1187,#REF!,3,FALSE())&gt;2,HLOOKUP(A1187,#REF!,3,FALSE())&lt;-2),"",#REF!),"")</f>
        <v/>
      </c>
      <c r="F1187" s="0" t="str">
        <f aca="false">IFERROR(IF(OR(HLOOKUP($A1187,#REF!,4,FALSE())&gt;2,HLOOKUP($A1187,#REF!,4,FALSE())&lt;-2),"",#REF!),"")</f>
        <v/>
      </c>
      <c r="G1187" s="0" t="str">
        <f aca="false">IFERROR(IF(OR(HLOOKUP($A1187,#REF!,5,FALSE())&gt;2,HLOOKUP($A1187,#REF!,5,FALSE())&lt;-2),"",#REF!),"")</f>
        <v/>
      </c>
      <c r="H1187" s="0" t="str">
        <f aca="false">IFERROR(IF(OR(HLOOKUP($A1187,#REF!,6,FALSE())&gt;2,HLOOKUP($A1187,#REF!,6,FALSE())&lt;-2),"",#REF!),"")</f>
        <v/>
      </c>
      <c r="I1187" s="0" t="str">
        <f aca="false">IFERROR(IF(OR(HLOOKUP($A1187,#REF!,7,FALSE())&gt;2,HLOOKUP($A1187,#REF!,7,FALSE())&lt;-2),"",#REF!),"")</f>
        <v/>
      </c>
      <c r="J1187" s="0" t="str">
        <f aca="false">IFERROR(IF(OR(HLOOKUP($A1187,#REF!,8,FALSE())&gt;2,HLOOKUP($A1187,#REF!,8,FALSE())&lt;-2),"",#REF!),"")</f>
        <v/>
      </c>
      <c r="K1187" s="0" t="str">
        <f aca="false">IFERROR(IF(OR(HLOOKUP($A1187,#REF!,9,FALSE())&gt;2,HLOOKUP($A1187,#REF!,9,FALSE())&lt;-2),"",#REF!),"")</f>
        <v/>
      </c>
      <c r="L1187" s="0" t="str">
        <f aca="false">IFERROR(IF(OR(HLOOKUP($A1187,#REF!,10,FALSE())&gt;2,HLOOKUP($A1187,#REF!,10,FALSE())&lt;-2),"",#REF!),"")</f>
        <v/>
      </c>
      <c r="M1187" s="0" t="str">
        <f aca="false">IFERROR(IF(OR(HLOOKUP($A1187,#REF!,11,FALSE())&gt;2,HLOOKUP($A1187,#REF!,11,FALSE())&lt;-2),"",#REF!),"")</f>
        <v/>
      </c>
      <c r="N1187" s="0" t="str">
        <f aca="false">IFERROR(IF(OR(HLOOKUP($A1187,#REF!,12,FALSE())&gt;2,HLOOKUP($A1187,#REF!,12,FALSE())&lt;-2),"",#REF!),"")</f>
        <v/>
      </c>
      <c r="O1187" s="0" t="str">
        <f aca="false">IFERROR(IF(OR(HLOOKUP($A1187,#REF!,13,FALSE())&gt;2,HLOOKUP($A1187,#REF!,13,FALSE())&lt;-2),"",#REF!),"")</f>
        <v/>
      </c>
      <c r="P1187" s="0" t="str">
        <f aca="false">IFERROR(IF(OR(HLOOKUP($A1187,#REF!,14,FALSE())&gt;2,HLOOKUP($A1187,#REF!,14,FALSE())&lt;-2),"",#REF!),"")</f>
        <v/>
      </c>
      <c r="Q1187" s="0" t="str">
        <f aca="false">IFERROR(IF(OR(HLOOKUP($A1187,#REF!,15,FALSE())&gt;2,HLOOKUP($A1187,#REF!,15,FALSE())&lt;-2),"",#REF!),"")</f>
        <v/>
      </c>
      <c r="R1187" s="0" t="str">
        <f aca="false">IFERROR(IF(OR(HLOOKUP($A1187,#REF!,16,FALSE())&gt;2,HLOOKUP($A1187,#REF!,16,FALSE())&lt;-2),"",#REF!),"")</f>
        <v/>
      </c>
      <c r="S1187" s="0" t="str">
        <f aca="false">IFERROR(IF(OR(HLOOKUP($A1187,#REF!,17,FALSE())&gt;2,HLOOKUP($A1187,#REF!,17,FALSE())&lt;-2),"",#REF!),"")</f>
        <v/>
      </c>
      <c r="T1187" s="0" t="str">
        <f aca="false">IFERROR(IF(OR(HLOOKUP($A1187,#REF!,18,FALSE())&gt;2,HLOOKUP($A1187,#REF!,18,FALSE())&lt;-2),"",#REF!),"")</f>
        <v/>
      </c>
      <c r="U1187" s="0" t="str">
        <f aca="false">IFERROR(IF(OR(HLOOKUP($A1187,#REF!,19,FALSE())&gt;2,HLOOKUP($A1187,#REF!,19,FALSE())&lt;-2),"",#REF!),"")</f>
        <v/>
      </c>
      <c r="V1187" s="0" t="n">
        <f aca="false">IFERROR(IF(AND(X1187=0,Y1187=0),0,1),0)</f>
        <v>1</v>
      </c>
      <c r="W1187" s="3" t="str">
        <f aca="false">IFERROR(_xlfn.T.TEST(E1187:M1187,N1187:U1187,2,2),"")</f>
        <v/>
      </c>
      <c r="X1187" s="0" t="str">
        <f aca="false">IFERROR(AVERAGE(E1187:M1187),"")</f>
        <v/>
      </c>
      <c r="Y1187" s="0" t="str">
        <f aca="false">IFERROR(AVERAGE(N1187:U1187),"")</f>
        <v/>
      </c>
    </row>
    <row r="1188" customFormat="false" ht="14.5" hidden="false" customHeight="false" outlineLevel="0" collapsed="false">
      <c r="A1188" s="0" t="n">
        <v>10730</v>
      </c>
      <c r="B1188" s="0" t="s">
        <v>1229</v>
      </c>
      <c r="C1188" s="0" t="n">
        <v>58600</v>
      </c>
      <c r="D1188" s="0" t="n">
        <v>951</v>
      </c>
      <c r="E1188" s="0" t="str">
        <f aca="false">IFERROR(IF(OR(HLOOKUP($A1188,#REF!,3,FALSE())&gt;2,HLOOKUP(A1188,#REF!,3,FALSE())&lt;-2),"",#REF!),"")</f>
        <v/>
      </c>
      <c r="F1188" s="0" t="str">
        <f aca="false">IFERROR(IF(OR(HLOOKUP($A1188,#REF!,4,FALSE())&gt;2,HLOOKUP($A1188,#REF!,4,FALSE())&lt;-2),"",#REF!),"")</f>
        <v/>
      </c>
      <c r="G1188" s="0" t="str">
        <f aca="false">IFERROR(IF(OR(HLOOKUP($A1188,#REF!,5,FALSE())&gt;2,HLOOKUP($A1188,#REF!,5,FALSE())&lt;-2),"",#REF!),"")</f>
        <v/>
      </c>
      <c r="H1188" s="0" t="str">
        <f aca="false">IFERROR(IF(OR(HLOOKUP($A1188,#REF!,6,FALSE())&gt;2,HLOOKUP($A1188,#REF!,6,FALSE())&lt;-2),"",#REF!),"")</f>
        <v/>
      </c>
      <c r="I1188" s="0" t="str">
        <f aca="false">IFERROR(IF(OR(HLOOKUP($A1188,#REF!,7,FALSE())&gt;2,HLOOKUP($A1188,#REF!,7,FALSE())&lt;-2),"",#REF!),"")</f>
        <v/>
      </c>
      <c r="J1188" s="0" t="str">
        <f aca="false">IFERROR(IF(OR(HLOOKUP($A1188,#REF!,8,FALSE())&gt;2,HLOOKUP($A1188,#REF!,8,FALSE())&lt;-2),"",#REF!),"")</f>
        <v/>
      </c>
      <c r="K1188" s="0" t="str">
        <f aca="false">IFERROR(IF(OR(HLOOKUP($A1188,#REF!,9,FALSE())&gt;2,HLOOKUP($A1188,#REF!,9,FALSE())&lt;-2),"",#REF!),"")</f>
        <v/>
      </c>
      <c r="L1188" s="0" t="str">
        <f aca="false">IFERROR(IF(OR(HLOOKUP($A1188,#REF!,10,FALSE())&gt;2,HLOOKUP($A1188,#REF!,10,FALSE())&lt;-2),"",#REF!),"")</f>
        <v/>
      </c>
      <c r="M1188" s="0" t="str">
        <f aca="false">IFERROR(IF(OR(HLOOKUP($A1188,#REF!,11,FALSE())&gt;2,HLOOKUP($A1188,#REF!,11,FALSE())&lt;-2),"",#REF!),"")</f>
        <v/>
      </c>
      <c r="N1188" s="0" t="str">
        <f aca="false">IFERROR(IF(OR(HLOOKUP($A1188,#REF!,12,FALSE())&gt;2,HLOOKUP($A1188,#REF!,12,FALSE())&lt;-2),"",#REF!),"")</f>
        <v/>
      </c>
      <c r="O1188" s="0" t="str">
        <f aca="false">IFERROR(IF(OR(HLOOKUP($A1188,#REF!,13,FALSE())&gt;2,HLOOKUP($A1188,#REF!,13,FALSE())&lt;-2),"",#REF!),"")</f>
        <v/>
      </c>
      <c r="P1188" s="0" t="str">
        <f aca="false">IFERROR(IF(OR(HLOOKUP($A1188,#REF!,14,FALSE())&gt;2,HLOOKUP($A1188,#REF!,14,FALSE())&lt;-2),"",#REF!),"")</f>
        <v/>
      </c>
      <c r="Q1188" s="0" t="str">
        <f aca="false">IFERROR(IF(OR(HLOOKUP($A1188,#REF!,15,FALSE())&gt;2,HLOOKUP($A1188,#REF!,15,FALSE())&lt;-2),"",#REF!),"")</f>
        <v/>
      </c>
      <c r="R1188" s="0" t="str">
        <f aca="false">IFERROR(IF(OR(HLOOKUP($A1188,#REF!,16,FALSE())&gt;2,HLOOKUP($A1188,#REF!,16,FALSE())&lt;-2),"",#REF!),"")</f>
        <v/>
      </c>
      <c r="S1188" s="0" t="str">
        <f aca="false">IFERROR(IF(OR(HLOOKUP($A1188,#REF!,17,FALSE())&gt;2,HLOOKUP($A1188,#REF!,17,FALSE())&lt;-2),"",#REF!),"")</f>
        <v/>
      </c>
      <c r="T1188" s="0" t="str">
        <f aca="false">IFERROR(IF(OR(HLOOKUP($A1188,#REF!,18,FALSE())&gt;2,HLOOKUP($A1188,#REF!,18,FALSE())&lt;-2),"",#REF!),"")</f>
        <v/>
      </c>
      <c r="U1188" s="0" t="str">
        <f aca="false">IFERROR(IF(OR(HLOOKUP($A1188,#REF!,19,FALSE())&gt;2,HLOOKUP($A1188,#REF!,19,FALSE())&lt;-2),"",#REF!),"")</f>
        <v/>
      </c>
      <c r="V1188" s="0" t="n">
        <f aca="false">IFERROR(IF(AND(X1188=0,Y1188=0),0,1),0)</f>
        <v>1</v>
      </c>
      <c r="W1188" s="3" t="str">
        <f aca="false">IFERROR(_xlfn.T.TEST(E1188:M1188,N1188:U1188,2,2),"")</f>
        <v/>
      </c>
      <c r="X1188" s="0" t="str">
        <f aca="false">IFERROR(AVERAGE(E1188:M1188),"")</f>
        <v/>
      </c>
      <c r="Y1188" s="0" t="str">
        <f aca="false">IFERROR(AVERAGE(N1188:U1188),"")</f>
        <v/>
      </c>
    </row>
    <row r="1189" customFormat="false" ht="14.5" hidden="false" customHeight="false" outlineLevel="0" collapsed="false">
      <c r="A1189" s="0" t="n">
        <v>10731</v>
      </c>
      <c r="B1189" s="0" t="s">
        <v>1230</v>
      </c>
      <c r="C1189" s="0" t="n">
        <v>58500</v>
      </c>
      <c r="D1189" s="0" t="n">
        <v>951</v>
      </c>
      <c r="E1189" s="0" t="str">
        <f aca="false">IFERROR(IF(OR(HLOOKUP($A1189,#REF!,3,FALSE())&gt;2,HLOOKUP(A1189,#REF!,3,FALSE())&lt;-2),"",#REF!),"")</f>
        <v/>
      </c>
      <c r="F1189" s="0" t="str">
        <f aca="false">IFERROR(IF(OR(HLOOKUP($A1189,#REF!,4,FALSE())&gt;2,HLOOKUP($A1189,#REF!,4,FALSE())&lt;-2),"",#REF!),"")</f>
        <v/>
      </c>
      <c r="G1189" s="0" t="str">
        <f aca="false">IFERROR(IF(OR(HLOOKUP($A1189,#REF!,5,FALSE())&gt;2,HLOOKUP($A1189,#REF!,5,FALSE())&lt;-2),"",#REF!),"")</f>
        <v/>
      </c>
      <c r="H1189" s="0" t="str">
        <f aca="false">IFERROR(IF(OR(HLOOKUP($A1189,#REF!,6,FALSE())&gt;2,HLOOKUP($A1189,#REF!,6,FALSE())&lt;-2),"",#REF!),"")</f>
        <v/>
      </c>
      <c r="I1189" s="0" t="str">
        <f aca="false">IFERROR(IF(OR(HLOOKUP($A1189,#REF!,7,FALSE())&gt;2,HLOOKUP($A1189,#REF!,7,FALSE())&lt;-2),"",#REF!),"")</f>
        <v/>
      </c>
      <c r="J1189" s="0" t="str">
        <f aca="false">IFERROR(IF(OR(HLOOKUP($A1189,#REF!,8,FALSE())&gt;2,HLOOKUP($A1189,#REF!,8,FALSE())&lt;-2),"",#REF!),"")</f>
        <v/>
      </c>
      <c r="K1189" s="0" t="str">
        <f aca="false">IFERROR(IF(OR(HLOOKUP($A1189,#REF!,9,FALSE())&gt;2,HLOOKUP($A1189,#REF!,9,FALSE())&lt;-2),"",#REF!),"")</f>
        <v/>
      </c>
      <c r="L1189" s="0" t="str">
        <f aca="false">IFERROR(IF(OR(HLOOKUP($A1189,#REF!,10,FALSE())&gt;2,HLOOKUP($A1189,#REF!,10,FALSE())&lt;-2),"",#REF!),"")</f>
        <v/>
      </c>
      <c r="M1189" s="0" t="str">
        <f aca="false">IFERROR(IF(OR(HLOOKUP($A1189,#REF!,11,FALSE())&gt;2,HLOOKUP($A1189,#REF!,11,FALSE())&lt;-2),"",#REF!),"")</f>
        <v/>
      </c>
      <c r="N1189" s="0" t="str">
        <f aca="false">IFERROR(IF(OR(HLOOKUP($A1189,#REF!,12,FALSE())&gt;2,HLOOKUP($A1189,#REF!,12,FALSE())&lt;-2),"",#REF!),"")</f>
        <v/>
      </c>
      <c r="O1189" s="0" t="str">
        <f aca="false">IFERROR(IF(OR(HLOOKUP($A1189,#REF!,13,FALSE())&gt;2,HLOOKUP($A1189,#REF!,13,FALSE())&lt;-2),"",#REF!),"")</f>
        <v/>
      </c>
      <c r="P1189" s="0" t="str">
        <f aca="false">IFERROR(IF(OR(HLOOKUP($A1189,#REF!,14,FALSE())&gt;2,HLOOKUP($A1189,#REF!,14,FALSE())&lt;-2),"",#REF!),"")</f>
        <v/>
      </c>
      <c r="Q1189" s="0" t="str">
        <f aca="false">IFERROR(IF(OR(HLOOKUP($A1189,#REF!,15,FALSE())&gt;2,HLOOKUP($A1189,#REF!,15,FALSE())&lt;-2),"",#REF!),"")</f>
        <v/>
      </c>
      <c r="R1189" s="0" t="str">
        <f aca="false">IFERROR(IF(OR(HLOOKUP($A1189,#REF!,16,FALSE())&gt;2,HLOOKUP($A1189,#REF!,16,FALSE())&lt;-2),"",#REF!),"")</f>
        <v/>
      </c>
      <c r="S1189" s="0" t="str">
        <f aca="false">IFERROR(IF(OR(HLOOKUP($A1189,#REF!,17,FALSE())&gt;2,HLOOKUP($A1189,#REF!,17,FALSE())&lt;-2),"",#REF!),"")</f>
        <v/>
      </c>
      <c r="T1189" s="0" t="str">
        <f aca="false">IFERROR(IF(OR(HLOOKUP($A1189,#REF!,18,FALSE())&gt;2,HLOOKUP($A1189,#REF!,18,FALSE())&lt;-2),"",#REF!),"")</f>
        <v/>
      </c>
      <c r="U1189" s="0" t="str">
        <f aca="false">IFERROR(IF(OR(HLOOKUP($A1189,#REF!,19,FALSE())&gt;2,HLOOKUP($A1189,#REF!,19,FALSE())&lt;-2),"",#REF!),"")</f>
        <v/>
      </c>
      <c r="V1189" s="0" t="n">
        <f aca="false">IFERROR(IF(AND(X1189=0,Y1189=0),0,1),0)</f>
        <v>1</v>
      </c>
      <c r="W1189" s="3" t="str">
        <f aca="false">IFERROR(_xlfn.T.TEST(E1189:M1189,N1189:U1189,2,2),"")</f>
        <v/>
      </c>
      <c r="X1189" s="0" t="str">
        <f aca="false">IFERROR(AVERAGE(E1189:M1189),"")</f>
        <v/>
      </c>
      <c r="Y1189" s="0" t="str">
        <f aca="false">IFERROR(AVERAGE(N1189:U1189),"")</f>
        <v/>
      </c>
    </row>
    <row r="1190" customFormat="false" ht="14.5" hidden="false" customHeight="false" outlineLevel="0" collapsed="false">
      <c r="A1190" s="0" t="n">
        <v>10732</v>
      </c>
      <c r="B1190" s="0" t="s">
        <v>1231</v>
      </c>
      <c r="C1190" s="0" t="n">
        <v>59100</v>
      </c>
      <c r="D1190" s="0" t="n">
        <v>957</v>
      </c>
      <c r="E1190" s="0" t="str">
        <f aca="false">IFERROR(IF(OR(HLOOKUP($A1190,#REF!,3,FALSE())&gt;2,HLOOKUP(A1190,#REF!,3,FALSE())&lt;-2),"",#REF!),"")</f>
        <v/>
      </c>
      <c r="F1190" s="0" t="str">
        <f aca="false">IFERROR(IF(OR(HLOOKUP($A1190,#REF!,4,FALSE())&gt;2,HLOOKUP($A1190,#REF!,4,FALSE())&lt;-2),"",#REF!),"")</f>
        <v/>
      </c>
      <c r="G1190" s="0" t="str">
        <f aca="false">IFERROR(IF(OR(HLOOKUP($A1190,#REF!,5,FALSE())&gt;2,HLOOKUP($A1190,#REF!,5,FALSE())&lt;-2),"",#REF!),"")</f>
        <v/>
      </c>
      <c r="H1190" s="0" t="str">
        <f aca="false">IFERROR(IF(OR(HLOOKUP($A1190,#REF!,6,FALSE())&gt;2,HLOOKUP($A1190,#REF!,6,FALSE())&lt;-2),"",#REF!),"")</f>
        <v/>
      </c>
      <c r="I1190" s="0" t="str">
        <f aca="false">IFERROR(IF(OR(HLOOKUP($A1190,#REF!,7,FALSE())&gt;2,HLOOKUP($A1190,#REF!,7,FALSE())&lt;-2),"",#REF!),"")</f>
        <v/>
      </c>
      <c r="J1190" s="0" t="str">
        <f aca="false">IFERROR(IF(OR(HLOOKUP($A1190,#REF!,8,FALSE())&gt;2,HLOOKUP($A1190,#REF!,8,FALSE())&lt;-2),"",#REF!),"")</f>
        <v/>
      </c>
      <c r="K1190" s="0" t="str">
        <f aca="false">IFERROR(IF(OR(HLOOKUP($A1190,#REF!,9,FALSE())&gt;2,HLOOKUP($A1190,#REF!,9,FALSE())&lt;-2),"",#REF!),"")</f>
        <v/>
      </c>
      <c r="L1190" s="0" t="str">
        <f aca="false">IFERROR(IF(OR(HLOOKUP($A1190,#REF!,10,FALSE())&gt;2,HLOOKUP($A1190,#REF!,10,FALSE())&lt;-2),"",#REF!),"")</f>
        <v/>
      </c>
      <c r="M1190" s="0" t="str">
        <f aca="false">IFERROR(IF(OR(HLOOKUP($A1190,#REF!,11,FALSE())&gt;2,HLOOKUP($A1190,#REF!,11,FALSE())&lt;-2),"",#REF!),"")</f>
        <v/>
      </c>
      <c r="N1190" s="0" t="str">
        <f aca="false">IFERROR(IF(OR(HLOOKUP($A1190,#REF!,12,FALSE())&gt;2,HLOOKUP($A1190,#REF!,12,FALSE())&lt;-2),"",#REF!),"")</f>
        <v/>
      </c>
      <c r="O1190" s="0" t="str">
        <f aca="false">IFERROR(IF(OR(HLOOKUP($A1190,#REF!,13,FALSE())&gt;2,HLOOKUP($A1190,#REF!,13,FALSE())&lt;-2),"",#REF!),"")</f>
        <v/>
      </c>
      <c r="P1190" s="0" t="str">
        <f aca="false">IFERROR(IF(OR(HLOOKUP($A1190,#REF!,14,FALSE())&gt;2,HLOOKUP($A1190,#REF!,14,FALSE())&lt;-2),"",#REF!),"")</f>
        <v/>
      </c>
      <c r="Q1190" s="0" t="str">
        <f aca="false">IFERROR(IF(OR(HLOOKUP($A1190,#REF!,15,FALSE())&gt;2,HLOOKUP($A1190,#REF!,15,FALSE())&lt;-2),"",#REF!),"")</f>
        <v/>
      </c>
      <c r="R1190" s="0" t="str">
        <f aca="false">IFERROR(IF(OR(HLOOKUP($A1190,#REF!,16,FALSE())&gt;2,HLOOKUP($A1190,#REF!,16,FALSE())&lt;-2),"",#REF!),"")</f>
        <v/>
      </c>
      <c r="S1190" s="0" t="str">
        <f aca="false">IFERROR(IF(OR(HLOOKUP($A1190,#REF!,17,FALSE())&gt;2,HLOOKUP($A1190,#REF!,17,FALSE())&lt;-2),"",#REF!),"")</f>
        <v/>
      </c>
      <c r="T1190" s="0" t="str">
        <f aca="false">IFERROR(IF(OR(HLOOKUP($A1190,#REF!,18,FALSE())&gt;2,HLOOKUP($A1190,#REF!,18,FALSE())&lt;-2),"",#REF!),"")</f>
        <v/>
      </c>
      <c r="U1190" s="0" t="str">
        <f aca="false">IFERROR(IF(OR(HLOOKUP($A1190,#REF!,19,FALSE())&gt;2,HLOOKUP($A1190,#REF!,19,FALSE())&lt;-2),"",#REF!),"")</f>
        <v/>
      </c>
      <c r="V1190" s="0" t="n">
        <f aca="false">IFERROR(IF(AND(X1190=0,Y1190=0),0,1),0)</f>
        <v>1</v>
      </c>
      <c r="W1190" s="3" t="str">
        <f aca="false">IFERROR(_xlfn.T.TEST(E1190:M1190,N1190:U1190,2,2),"")</f>
        <v/>
      </c>
      <c r="X1190" s="0" t="str">
        <f aca="false">IFERROR(AVERAGE(E1190:M1190),"")</f>
        <v/>
      </c>
      <c r="Y1190" s="0" t="str">
        <f aca="false">IFERROR(AVERAGE(N1190:U1190),"")</f>
        <v/>
      </c>
    </row>
    <row r="1191" customFormat="false" ht="14.5" hidden="false" customHeight="false" outlineLevel="0" collapsed="false">
      <c r="A1191" s="0" t="n">
        <v>10733</v>
      </c>
      <c r="B1191" s="0" t="s">
        <v>1232</v>
      </c>
      <c r="C1191" s="0" t="n">
        <v>59000</v>
      </c>
      <c r="D1191" s="0" t="n">
        <v>957</v>
      </c>
      <c r="E1191" s="0" t="str">
        <f aca="false">IFERROR(IF(OR(HLOOKUP($A1191,#REF!,3,FALSE())&gt;2,HLOOKUP(A1191,#REF!,3,FALSE())&lt;-2),"",#REF!),"")</f>
        <v/>
      </c>
      <c r="F1191" s="0" t="str">
        <f aca="false">IFERROR(IF(OR(HLOOKUP($A1191,#REF!,4,FALSE())&gt;2,HLOOKUP($A1191,#REF!,4,FALSE())&lt;-2),"",#REF!),"")</f>
        <v/>
      </c>
      <c r="G1191" s="0" t="str">
        <f aca="false">IFERROR(IF(OR(HLOOKUP($A1191,#REF!,5,FALSE())&gt;2,HLOOKUP($A1191,#REF!,5,FALSE())&lt;-2),"",#REF!),"")</f>
        <v/>
      </c>
      <c r="H1191" s="0" t="str">
        <f aca="false">IFERROR(IF(OR(HLOOKUP($A1191,#REF!,6,FALSE())&gt;2,HLOOKUP($A1191,#REF!,6,FALSE())&lt;-2),"",#REF!),"")</f>
        <v/>
      </c>
      <c r="I1191" s="0" t="str">
        <f aca="false">IFERROR(IF(OR(HLOOKUP($A1191,#REF!,7,FALSE())&gt;2,HLOOKUP($A1191,#REF!,7,FALSE())&lt;-2),"",#REF!),"")</f>
        <v/>
      </c>
      <c r="J1191" s="0" t="str">
        <f aca="false">IFERROR(IF(OR(HLOOKUP($A1191,#REF!,8,FALSE())&gt;2,HLOOKUP($A1191,#REF!,8,FALSE())&lt;-2),"",#REF!),"")</f>
        <v/>
      </c>
      <c r="K1191" s="0" t="str">
        <f aca="false">IFERROR(IF(OR(HLOOKUP($A1191,#REF!,9,FALSE())&gt;2,HLOOKUP($A1191,#REF!,9,FALSE())&lt;-2),"",#REF!),"")</f>
        <v/>
      </c>
      <c r="L1191" s="0" t="str">
        <f aca="false">IFERROR(IF(OR(HLOOKUP($A1191,#REF!,10,FALSE())&gt;2,HLOOKUP($A1191,#REF!,10,FALSE())&lt;-2),"",#REF!),"")</f>
        <v/>
      </c>
      <c r="M1191" s="0" t="str">
        <f aca="false">IFERROR(IF(OR(HLOOKUP($A1191,#REF!,11,FALSE())&gt;2,HLOOKUP($A1191,#REF!,11,FALSE())&lt;-2),"",#REF!),"")</f>
        <v/>
      </c>
      <c r="N1191" s="0" t="str">
        <f aca="false">IFERROR(IF(OR(HLOOKUP($A1191,#REF!,12,FALSE())&gt;2,HLOOKUP($A1191,#REF!,12,FALSE())&lt;-2),"",#REF!),"")</f>
        <v/>
      </c>
      <c r="O1191" s="0" t="str">
        <f aca="false">IFERROR(IF(OR(HLOOKUP($A1191,#REF!,13,FALSE())&gt;2,HLOOKUP($A1191,#REF!,13,FALSE())&lt;-2),"",#REF!),"")</f>
        <v/>
      </c>
      <c r="P1191" s="0" t="str">
        <f aca="false">IFERROR(IF(OR(HLOOKUP($A1191,#REF!,14,FALSE())&gt;2,HLOOKUP($A1191,#REF!,14,FALSE())&lt;-2),"",#REF!),"")</f>
        <v/>
      </c>
      <c r="Q1191" s="0" t="str">
        <f aca="false">IFERROR(IF(OR(HLOOKUP($A1191,#REF!,15,FALSE())&gt;2,HLOOKUP($A1191,#REF!,15,FALSE())&lt;-2),"",#REF!),"")</f>
        <v/>
      </c>
      <c r="R1191" s="0" t="str">
        <f aca="false">IFERROR(IF(OR(HLOOKUP($A1191,#REF!,16,FALSE())&gt;2,HLOOKUP($A1191,#REF!,16,FALSE())&lt;-2),"",#REF!),"")</f>
        <v/>
      </c>
      <c r="S1191" s="0" t="str">
        <f aca="false">IFERROR(IF(OR(HLOOKUP($A1191,#REF!,17,FALSE())&gt;2,HLOOKUP($A1191,#REF!,17,FALSE())&lt;-2),"",#REF!),"")</f>
        <v/>
      </c>
      <c r="T1191" s="0" t="str">
        <f aca="false">IFERROR(IF(OR(HLOOKUP($A1191,#REF!,18,FALSE())&gt;2,HLOOKUP($A1191,#REF!,18,FALSE())&lt;-2),"",#REF!),"")</f>
        <v/>
      </c>
      <c r="U1191" s="0" t="str">
        <f aca="false">IFERROR(IF(OR(HLOOKUP($A1191,#REF!,19,FALSE())&gt;2,HLOOKUP($A1191,#REF!,19,FALSE())&lt;-2),"",#REF!),"")</f>
        <v/>
      </c>
      <c r="V1191" s="0" t="n">
        <f aca="false">IFERROR(IF(AND(X1191=0,Y1191=0),0,1),0)</f>
        <v>1</v>
      </c>
      <c r="W1191" s="3" t="str">
        <f aca="false">IFERROR(_xlfn.T.TEST(E1191:M1191,N1191:U1191,2,2),"")</f>
        <v/>
      </c>
      <c r="X1191" s="0" t="str">
        <f aca="false">IFERROR(AVERAGE(E1191:M1191),"")</f>
        <v/>
      </c>
      <c r="Y1191" s="0" t="str">
        <f aca="false">IFERROR(AVERAGE(N1191:U1191),"")</f>
        <v/>
      </c>
    </row>
    <row r="1192" customFormat="false" ht="14.5" hidden="false" customHeight="false" outlineLevel="0" collapsed="false">
      <c r="A1192" s="0" t="n">
        <v>10734</v>
      </c>
      <c r="B1192" s="0" t="s">
        <v>1233</v>
      </c>
      <c r="C1192" s="0" t="n">
        <v>58900</v>
      </c>
      <c r="D1192" s="0" t="n">
        <v>957</v>
      </c>
      <c r="E1192" s="0" t="str">
        <f aca="false">IFERROR(IF(OR(HLOOKUP($A1192,#REF!,3,FALSE())&gt;2,HLOOKUP(A1192,#REF!,3,FALSE())&lt;-2),"",#REF!),"")</f>
        <v/>
      </c>
      <c r="F1192" s="0" t="str">
        <f aca="false">IFERROR(IF(OR(HLOOKUP($A1192,#REF!,4,FALSE())&gt;2,HLOOKUP($A1192,#REF!,4,FALSE())&lt;-2),"",#REF!),"")</f>
        <v/>
      </c>
      <c r="G1192" s="0" t="str">
        <f aca="false">IFERROR(IF(OR(HLOOKUP($A1192,#REF!,5,FALSE())&gt;2,HLOOKUP($A1192,#REF!,5,FALSE())&lt;-2),"",#REF!),"")</f>
        <v/>
      </c>
      <c r="H1192" s="0" t="str">
        <f aca="false">IFERROR(IF(OR(HLOOKUP($A1192,#REF!,6,FALSE())&gt;2,HLOOKUP($A1192,#REF!,6,FALSE())&lt;-2),"",#REF!),"")</f>
        <v/>
      </c>
      <c r="I1192" s="0" t="str">
        <f aca="false">IFERROR(IF(OR(HLOOKUP($A1192,#REF!,7,FALSE())&gt;2,HLOOKUP($A1192,#REF!,7,FALSE())&lt;-2),"",#REF!),"")</f>
        <v/>
      </c>
      <c r="J1192" s="0" t="str">
        <f aca="false">IFERROR(IF(OR(HLOOKUP($A1192,#REF!,8,FALSE())&gt;2,HLOOKUP($A1192,#REF!,8,FALSE())&lt;-2),"",#REF!),"")</f>
        <v/>
      </c>
      <c r="K1192" s="0" t="str">
        <f aca="false">IFERROR(IF(OR(HLOOKUP($A1192,#REF!,9,FALSE())&gt;2,HLOOKUP($A1192,#REF!,9,FALSE())&lt;-2),"",#REF!),"")</f>
        <v/>
      </c>
      <c r="L1192" s="0" t="str">
        <f aca="false">IFERROR(IF(OR(HLOOKUP($A1192,#REF!,10,FALSE())&gt;2,HLOOKUP($A1192,#REF!,10,FALSE())&lt;-2),"",#REF!),"")</f>
        <v/>
      </c>
      <c r="M1192" s="0" t="str">
        <f aca="false">IFERROR(IF(OR(HLOOKUP($A1192,#REF!,11,FALSE())&gt;2,HLOOKUP($A1192,#REF!,11,FALSE())&lt;-2),"",#REF!),"")</f>
        <v/>
      </c>
      <c r="N1192" s="0" t="str">
        <f aca="false">IFERROR(IF(OR(HLOOKUP($A1192,#REF!,12,FALSE())&gt;2,HLOOKUP($A1192,#REF!,12,FALSE())&lt;-2),"",#REF!),"")</f>
        <v/>
      </c>
      <c r="O1192" s="0" t="str">
        <f aca="false">IFERROR(IF(OR(HLOOKUP($A1192,#REF!,13,FALSE())&gt;2,HLOOKUP($A1192,#REF!,13,FALSE())&lt;-2),"",#REF!),"")</f>
        <v/>
      </c>
      <c r="P1192" s="0" t="str">
        <f aca="false">IFERROR(IF(OR(HLOOKUP($A1192,#REF!,14,FALSE())&gt;2,HLOOKUP($A1192,#REF!,14,FALSE())&lt;-2),"",#REF!),"")</f>
        <v/>
      </c>
      <c r="Q1192" s="0" t="str">
        <f aca="false">IFERROR(IF(OR(HLOOKUP($A1192,#REF!,15,FALSE())&gt;2,HLOOKUP($A1192,#REF!,15,FALSE())&lt;-2),"",#REF!),"")</f>
        <v/>
      </c>
      <c r="R1192" s="0" t="str">
        <f aca="false">IFERROR(IF(OR(HLOOKUP($A1192,#REF!,16,FALSE())&gt;2,HLOOKUP($A1192,#REF!,16,FALSE())&lt;-2),"",#REF!),"")</f>
        <v/>
      </c>
      <c r="S1192" s="0" t="str">
        <f aca="false">IFERROR(IF(OR(HLOOKUP($A1192,#REF!,17,FALSE())&gt;2,HLOOKUP($A1192,#REF!,17,FALSE())&lt;-2),"",#REF!),"")</f>
        <v/>
      </c>
      <c r="T1192" s="0" t="str">
        <f aca="false">IFERROR(IF(OR(HLOOKUP($A1192,#REF!,18,FALSE())&gt;2,HLOOKUP($A1192,#REF!,18,FALSE())&lt;-2),"",#REF!),"")</f>
        <v/>
      </c>
      <c r="U1192" s="0" t="str">
        <f aca="false">IFERROR(IF(OR(HLOOKUP($A1192,#REF!,19,FALSE())&gt;2,HLOOKUP($A1192,#REF!,19,FALSE())&lt;-2),"",#REF!),"")</f>
        <v/>
      </c>
      <c r="V1192" s="0" t="n">
        <f aca="false">IFERROR(IF(AND(X1192=0,Y1192=0),0,1),0)</f>
        <v>1</v>
      </c>
      <c r="W1192" s="3" t="str">
        <f aca="false">IFERROR(_xlfn.T.TEST(E1192:M1192,N1192:U1192,2,2),"")</f>
        <v/>
      </c>
      <c r="X1192" s="0" t="str">
        <f aca="false">IFERROR(AVERAGE(E1192:M1192),"")</f>
        <v/>
      </c>
      <c r="Y1192" s="0" t="str">
        <f aca="false">IFERROR(AVERAGE(N1192:U1192),"")</f>
        <v/>
      </c>
    </row>
    <row r="1193" customFormat="false" ht="14.5" hidden="false" customHeight="false" outlineLevel="0" collapsed="false">
      <c r="A1193" s="0" t="n">
        <v>10735</v>
      </c>
      <c r="B1193" s="0" t="s">
        <v>1234</v>
      </c>
      <c r="C1193" s="0" t="n">
        <v>59500</v>
      </c>
      <c r="D1193" s="0" t="n">
        <v>968</v>
      </c>
      <c r="E1193" s="0" t="str">
        <f aca="false">IFERROR(IF(OR(HLOOKUP($A1193,#REF!,3,FALSE())&gt;2,HLOOKUP(A1193,#REF!,3,FALSE())&lt;-2),"",#REF!),"")</f>
        <v/>
      </c>
      <c r="F1193" s="0" t="str">
        <f aca="false">IFERROR(IF(OR(HLOOKUP($A1193,#REF!,4,FALSE())&gt;2,HLOOKUP($A1193,#REF!,4,FALSE())&lt;-2),"",#REF!),"")</f>
        <v/>
      </c>
      <c r="G1193" s="0" t="str">
        <f aca="false">IFERROR(IF(OR(HLOOKUP($A1193,#REF!,5,FALSE())&gt;2,HLOOKUP($A1193,#REF!,5,FALSE())&lt;-2),"",#REF!),"")</f>
        <v/>
      </c>
      <c r="H1193" s="0" t="str">
        <f aca="false">IFERROR(IF(OR(HLOOKUP($A1193,#REF!,6,FALSE())&gt;2,HLOOKUP($A1193,#REF!,6,FALSE())&lt;-2),"",#REF!),"")</f>
        <v/>
      </c>
      <c r="I1193" s="0" t="str">
        <f aca="false">IFERROR(IF(OR(HLOOKUP($A1193,#REF!,7,FALSE())&gt;2,HLOOKUP($A1193,#REF!,7,FALSE())&lt;-2),"",#REF!),"")</f>
        <v/>
      </c>
      <c r="J1193" s="0" t="str">
        <f aca="false">IFERROR(IF(OR(HLOOKUP($A1193,#REF!,8,FALSE())&gt;2,HLOOKUP($A1193,#REF!,8,FALSE())&lt;-2),"",#REF!),"")</f>
        <v/>
      </c>
      <c r="K1193" s="0" t="str">
        <f aca="false">IFERROR(IF(OR(HLOOKUP($A1193,#REF!,9,FALSE())&gt;2,HLOOKUP($A1193,#REF!,9,FALSE())&lt;-2),"",#REF!),"")</f>
        <v/>
      </c>
      <c r="L1193" s="0" t="str">
        <f aca="false">IFERROR(IF(OR(HLOOKUP($A1193,#REF!,10,FALSE())&gt;2,HLOOKUP($A1193,#REF!,10,FALSE())&lt;-2),"",#REF!),"")</f>
        <v/>
      </c>
      <c r="M1193" s="0" t="str">
        <f aca="false">IFERROR(IF(OR(HLOOKUP($A1193,#REF!,11,FALSE())&gt;2,HLOOKUP($A1193,#REF!,11,FALSE())&lt;-2),"",#REF!),"")</f>
        <v/>
      </c>
      <c r="N1193" s="0" t="str">
        <f aca="false">IFERROR(IF(OR(HLOOKUP($A1193,#REF!,12,FALSE())&gt;2,HLOOKUP($A1193,#REF!,12,FALSE())&lt;-2),"",#REF!),"")</f>
        <v/>
      </c>
      <c r="O1193" s="0" t="str">
        <f aca="false">IFERROR(IF(OR(HLOOKUP($A1193,#REF!,13,FALSE())&gt;2,HLOOKUP($A1193,#REF!,13,FALSE())&lt;-2),"",#REF!),"")</f>
        <v/>
      </c>
      <c r="P1193" s="0" t="str">
        <f aca="false">IFERROR(IF(OR(HLOOKUP($A1193,#REF!,14,FALSE())&gt;2,HLOOKUP($A1193,#REF!,14,FALSE())&lt;-2),"",#REF!),"")</f>
        <v/>
      </c>
      <c r="Q1193" s="0" t="str">
        <f aca="false">IFERROR(IF(OR(HLOOKUP($A1193,#REF!,15,FALSE())&gt;2,HLOOKUP($A1193,#REF!,15,FALSE())&lt;-2),"",#REF!),"")</f>
        <v/>
      </c>
      <c r="R1193" s="0" t="str">
        <f aca="false">IFERROR(IF(OR(HLOOKUP($A1193,#REF!,16,FALSE())&gt;2,HLOOKUP($A1193,#REF!,16,FALSE())&lt;-2),"",#REF!),"")</f>
        <v/>
      </c>
      <c r="S1193" s="0" t="str">
        <f aca="false">IFERROR(IF(OR(HLOOKUP($A1193,#REF!,17,FALSE())&gt;2,HLOOKUP($A1193,#REF!,17,FALSE())&lt;-2),"",#REF!),"")</f>
        <v/>
      </c>
      <c r="T1193" s="0" t="str">
        <f aca="false">IFERROR(IF(OR(HLOOKUP($A1193,#REF!,18,FALSE())&gt;2,HLOOKUP($A1193,#REF!,18,FALSE())&lt;-2),"",#REF!),"")</f>
        <v/>
      </c>
      <c r="U1193" s="0" t="str">
        <f aca="false">IFERROR(IF(OR(HLOOKUP($A1193,#REF!,19,FALSE())&gt;2,HLOOKUP($A1193,#REF!,19,FALSE())&lt;-2),"",#REF!),"")</f>
        <v/>
      </c>
      <c r="V1193" s="0" t="n">
        <f aca="false">IFERROR(IF(AND(X1193=0,Y1193=0),0,1),0)</f>
        <v>1</v>
      </c>
      <c r="W1193" s="3" t="str">
        <f aca="false">IFERROR(_xlfn.T.TEST(E1193:M1193,N1193:U1193,2,2),"")</f>
        <v/>
      </c>
      <c r="X1193" s="0" t="str">
        <f aca="false">IFERROR(AVERAGE(E1193:M1193),"")</f>
        <v/>
      </c>
      <c r="Y1193" s="0" t="str">
        <f aca="false">IFERROR(AVERAGE(N1193:U1193),"")</f>
        <v/>
      </c>
    </row>
    <row r="1194" customFormat="false" ht="14.5" hidden="false" customHeight="false" outlineLevel="0" collapsed="false">
      <c r="A1194" s="0" t="n">
        <v>10736</v>
      </c>
      <c r="B1194" s="0" t="s">
        <v>1235</v>
      </c>
      <c r="C1194" s="0" t="n">
        <v>59400</v>
      </c>
      <c r="D1194" s="0" t="n">
        <v>968</v>
      </c>
      <c r="E1194" s="0" t="str">
        <f aca="false">IFERROR(IF(OR(HLOOKUP($A1194,#REF!,3,FALSE())&gt;2,HLOOKUP(A1194,#REF!,3,FALSE())&lt;-2),"",#REF!),"")</f>
        <v/>
      </c>
      <c r="F1194" s="0" t="str">
        <f aca="false">IFERROR(IF(OR(HLOOKUP($A1194,#REF!,4,FALSE())&gt;2,HLOOKUP($A1194,#REF!,4,FALSE())&lt;-2),"",#REF!),"")</f>
        <v/>
      </c>
      <c r="G1194" s="0" t="str">
        <f aca="false">IFERROR(IF(OR(HLOOKUP($A1194,#REF!,5,FALSE())&gt;2,HLOOKUP($A1194,#REF!,5,FALSE())&lt;-2),"",#REF!),"")</f>
        <v/>
      </c>
      <c r="H1194" s="0" t="str">
        <f aca="false">IFERROR(IF(OR(HLOOKUP($A1194,#REF!,6,FALSE())&gt;2,HLOOKUP($A1194,#REF!,6,FALSE())&lt;-2),"",#REF!),"")</f>
        <v/>
      </c>
      <c r="I1194" s="0" t="str">
        <f aca="false">IFERROR(IF(OR(HLOOKUP($A1194,#REF!,7,FALSE())&gt;2,HLOOKUP($A1194,#REF!,7,FALSE())&lt;-2),"",#REF!),"")</f>
        <v/>
      </c>
      <c r="J1194" s="0" t="str">
        <f aca="false">IFERROR(IF(OR(HLOOKUP($A1194,#REF!,8,FALSE())&gt;2,HLOOKUP($A1194,#REF!,8,FALSE())&lt;-2),"",#REF!),"")</f>
        <v/>
      </c>
      <c r="K1194" s="0" t="str">
        <f aca="false">IFERROR(IF(OR(HLOOKUP($A1194,#REF!,9,FALSE())&gt;2,HLOOKUP($A1194,#REF!,9,FALSE())&lt;-2),"",#REF!),"")</f>
        <v/>
      </c>
      <c r="L1194" s="0" t="str">
        <f aca="false">IFERROR(IF(OR(HLOOKUP($A1194,#REF!,10,FALSE())&gt;2,HLOOKUP($A1194,#REF!,10,FALSE())&lt;-2),"",#REF!),"")</f>
        <v/>
      </c>
      <c r="M1194" s="0" t="str">
        <f aca="false">IFERROR(IF(OR(HLOOKUP($A1194,#REF!,11,FALSE())&gt;2,HLOOKUP($A1194,#REF!,11,FALSE())&lt;-2),"",#REF!),"")</f>
        <v/>
      </c>
      <c r="N1194" s="0" t="str">
        <f aca="false">IFERROR(IF(OR(HLOOKUP($A1194,#REF!,12,FALSE())&gt;2,HLOOKUP($A1194,#REF!,12,FALSE())&lt;-2),"",#REF!),"")</f>
        <v/>
      </c>
      <c r="O1194" s="0" t="str">
        <f aca="false">IFERROR(IF(OR(HLOOKUP($A1194,#REF!,13,FALSE())&gt;2,HLOOKUP($A1194,#REF!,13,FALSE())&lt;-2),"",#REF!),"")</f>
        <v/>
      </c>
      <c r="P1194" s="0" t="str">
        <f aca="false">IFERROR(IF(OR(HLOOKUP($A1194,#REF!,14,FALSE())&gt;2,HLOOKUP($A1194,#REF!,14,FALSE())&lt;-2),"",#REF!),"")</f>
        <v/>
      </c>
      <c r="Q1194" s="0" t="str">
        <f aca="false">IFERROR(IF(OR(HLOOKUP($A1194,#REF!,15,FALSE())&gt;2,HLOOKUP($A1194,#REF!,15,FALSE())&lt;-2),"",#REF!),"")</f>
        <v/>
      </c>
      <c r="R1194" s="0" t="str">
        <f aca="false">IFERROR(IF(OR(HLOOKUP($A1194,#REF!,16,FALSE())&gt;2,HLOOKUP($A1194,#REF!,16,FALSE())&lt;-2),"",#REF!),"")</f>
        <v/>
      </c>
      <c r="S1194" s="0" t="str">
        <f aca="false">IFERROR(IF(OR(HLOOKUP($A1194,#REF!,17,FALSE())&gt;2,HLOOKUP($A1194,#REF!,17,FALSE())&lt;-2),"",#REF!),"")</f>
        <v/>
      </c>
      <c r="T1194" s="0" t="str">
        <f aca="false">IFERROR(IF(OR(HLOOKUP($A1194,#REF!,18,FALSE())&gt;2,HLOOKUP($A1194,#REF!,18,FALSE())&lt;-2),"",#REF!),"")</f>
        <v/>
      </c>
      <c r="U1194" s="0" t="str">
        <f aca="false">IFERROR(IF(OR(HLOOKUP($A1194,#REF!,19,FALSE())&gt;2,HLOOKUP($A1194,#REF!,19,FALSE())&lt;-2),"",#REF!),"")</f>
        <v/>
      </c>
      <c r="V1194" s="0" t="n">
        <f aca="false">IFERROR(IF(AND(X1194=0,Y1194=0),0,1),0)</f>
        <v>1</v>
      </c>
      <c r="W1194" s="3" t="str">
        <f aca="false">IFERROR(_xlfn.T.TEST(E1194:M1194,N1194:U1194,2,2),"")</f>
        <v/>
      </c>
      <c r="X1194" s="0" t="str">
        <f aca="false">IFERROR(AVERAGE(E1194:M1194),"")</f>
        <v/>
      </c>
      <c r="Y1194" s="0" t="str">
        <f aca="false">IFERROR(AVERAGE(N1194:U1194),"")</f>
        <v/>
      </c>
    </row>
    <row r="1195" customFormat="false" ht="14.5" hidden="false" customHeight="false" outlineLevel="0" collapsed="false">
      <c r="A1195" s="0" t="n">
        <v>10737</v>
      </c>
      <c r="B1195" s="0" t="s">
        <v>1236</v>
      </c>
      <c r="C1195" s="0" t="n">
        <v>59300</v>
      </c>
      <c r="D1195" s="0" t="n">
        <v>968</v>
      </c>
      <c r="E1195" s="0" t="str">
        <f aca="false">IFERROR(IF(OR(HLOOKUP($A1195,#REF!,3,FALSE())&gt;2,HLOOKUP(A1195,#REF!,3,FALSE())&lt;-2),"",#REF!),"")</f>
        <v/>
      </c>
      <c r="F1195" s="0" t="str">
        <f aca="false">IFERROR(IF(OR(HLOOKUP($A1195,#REF!,4,FALSE())&gt;2,HLOOKUP($A1195,#REF!,4,FALSE())&lt;-2),"",#REF!),"")</f>
        <v/>
      </c>
      <c r="G1195" s="0" t="str">
        <f aca="false">IFERROR(IF(OR(HLOOKUP($A1195,#REF!,5,FALSE())&gt;2,HLOOKUP($A1195,#REF!,5,FALSE())&lt;-2),"",#REF!),"")</f>
        <v/>
      </c>
      <c r="H1195" s="0" t="str">
        <f aca="false">IFERROR(IF(OR(HLOOKUP($A1195,#REF!,6,FALSE())&gt;2,HLOOKUP($A1195,#REF!,6,FALSE())&lt;-2),"",#REF!),"")</f>
        <v/>
      </c>
      <c r="I1195" s="0" t="str">
        <f aca="false">IFERROR(IF(OR(HLOOKUP($A1195,#REF!,7,FALSE())&gt;2,HLOOKUP($A1195,#REF!,7,FALSE())&lt;-2),"",#REF!),"")</f>
        <v/>
      </c>
      <c r="J1195" s="0" t="str">
        <f aca="false">IFERROR(IF(OR(HLOOKUP($A1195,#REF!,8,FALSE())&gt;2,HLOOKUP($A1195,#REF!,8,FALSE())&lt;-2),"",#REF!),"")</f>
        <v/>
      </c>
      <c r="K1195" s="0" t="str">
        <f aca="false">IFERROR(IF(OR(HLOOKUP($A1195,#REF!,9,FALSE())&gt;2,HLOOKUP($A1195,#REF!,9,FALSE())&lt;-2),"",#REF!),"")</f>
        <v/>
      </c>
      <c r="L1195" s="0" t="str">
        <f aca="false">IFERROR(IF(OR(HLOOKUP($A1195,#REF!,10,FALSE())&gt;2,HLOOKUP($A1195,#REF!,10,FALSE())&lt;-2),"",#REF!),"")</f>
        <v/>
      </c>
      <c r="M1195" s="0" t="str">
        <f aca="false">IFERROR(IF(OR(HLOOKUP($A1195,#REF!,11,FALSE())&gt;2,HLOOKUP($A1195,#REF!,11,FALSE())&lt;-2),"",#REF!),"")</f>
        <v/>
      </c>
      <c r="N1195" s="0" t="str">
        <f aca="false">IFERROR(IF(OR(HLOOKUP($A1195,#REF!,12,FALSE())&gt;2,HLOOKUP($A1195,#REF!,12,FALSE())&lt;-2),"",#REF!),"")</f>
        <v/>
      </c>
      <c r="O1195" s="0" t="str">
        <f aca="false">IFERROR(IF(OR(HLOOKUP($A1195,#REF!,13,FALSE())&gt;2,HLOOKUP($A1195,#REF!,13,FALSE())&lt;-2),"",#REF!),"")</f>
        <v/>
      </c>
      <c r="P1195" s="0" t="str">
        <f aca="false">IFERROR(IF(OR(HLOOKUP($A1195,#REF!,14,FALSE())&gt;2,HLOOKUP($A1195,#REF!,14,FALSE())&lt;-2),"",#REF!),"")</f>
        <v/>
      </c>
      <c r="Q1195" s="0" t="str">
        <f aca="false">IFERROR(IF(OR(HLOOKUP($A1195,#REF!,15,FALSE())&gt;2,HLOOKUP($A1195,#REF!,15,FALSE())&lt;-2),"",#REF!),"")</f>
        <v/>
      </c>
      <c r="R1195" s="0" t="str">
        <f aca="false">IFERROR(IF(OR(HLOOKUP($A1195,#REF!,16,FALSE())&gt;2,HLOOKUP($A1195,#REF!,16,FALSE())&lt;-2),"",#REF!),"")</f>
        <v/>
      </c>
      <c r="S1195" s="0" t="str">
        <f aca="false">IFERROR(IF(OR(HLOOKUP($A1195,#REF!,17,FALSE())&gt;2,HLOOKUP($A1195,#REF!,17,FALSE())&lt;-2),"",#REF!),"")</f>
        <v/>
      </c>
      <c r="T1195" s="0" t="str">
        <f aca="false">IFERROR(IF(OR(HLOOKUP($A1195,#REF!,18,FALSE())&gt;2,HLOOKUP($A1195,#REF!,18,FALSE())&lt;-2),"",#REF!),"")</f>
        <v/>
      </c>
      <c r="U1195" s="0" t="str">
        <f aca="false">IFERROR(IF(OR(HLOOKUP($A1195,#REF!,19,FALSE())&gt;2,HLOOKUP($A1195,#REF!,19,FALSE())&lt;-2),"",#REF!),"")</f>
        <v/>
      </c>
      <c r="V1195" s="0" t="n">
        <f aca="false">IFERROR(IF(AND(X1195=0,Y1195=0),0,1),0)</f>
        <v>1</v>
      </c>
      <c r="W1195" s="3" t="str">
        <f aca="false">IFERROR(_xlfn.T.TEST(E1195:M1195,N1195:U1195,2,2),"")</f>
        <v/>
      </c>
      <c r="X1195" s="0" t="str">
        <f aca="false">IFERROR(AVERAGE(E1195:M1195),"")</f>
        <v/>
      </c>
      <c r="Y1195" s="0" t="str">
        <f aca="false">IFERROR(AVERAGE(N1195:U1195),"")</f>
        <v/>
      </c>
    </row>
    <row r="1196" customFormat="false" ht="14.5" hidden="false" customHeight="false" outlineLevel="0" collapsed="false">
      <c r="A1196" s="0" t="n">
        <v>12993</v>
      </c>
      <c r="B1196" s="0" t="s">
        <v>1237</v>
      </c>
      <c r="C1196" s="0" t="n">
        <v>2701</v>
      </c>
      <c r="D1196" s="0" t="n">
        <v>453</v>
      </c>
      <c r="E1196" s="0" t="str">
        <f aca="false">IFERROR(IF(OR(HLOOKUP($A1196,#REF!,3,FALSE())&gt;2,HLOOKUP(A1196,#REF!,3,FALSE())&lt;-2),"",#REF!),"")</f>
        <v/>
      </c>
      <c r="F1196" s="0" t="str">
        <f aca="false">IFERROR(IF(OR(HLOOKUP($A1196,#REF!,4,FALSE())&gt;2,HLOOKUP($A1196,#REF!,4,FALSE())&lt;-2),"",#REF!),"")</f>
        <v/>
      </c>
      <c r="G1196" s="0" t="str">
        <f aca="false">IFERROR(IF(OR(HLOOKUP($A1196,#REF!,5,FALSE())&gt;2,HLOOKUP($A1196,#REF!,5,FALSE())&lt;-2),"",#REF!),"")</f>
        <v/>
      </c>
      <c r="H1196" s="0" t="str">
        <f aca="false">IFERROR(IF(OR(HLOOKUP($A1196,#REF!,6,FALSE())&gt;2,HLOOKUP($A1196,#REF!,6,FALSE())&lt;-2),"",#REF!),"")</f>
        <v/>
      </c>
      <c r="I1196" s="0" t="str">
        <f aca="false">IFERROR(IF(OR(HLOOKUP($A1196,#REF!,7,FALSE())&gt;2,HLOOKUP($A1196,#REF!,7,FALSE())&lt;-2),"",#REF!),"")</f>
        <v/>
      </c>
      <c r="J1196" s="0" t="str">
        <f aca="false">IFERROR(IF(OR(HLOOKUP($A1196,#REF!,8,FALSE())&gt;2,HLOOKUP($A1196,#REF!,8,FALSE())&lt;-2),"",#REF!),"")</f>
        <v/>
      </c>
      <c r="K1196" s="0" t="str">
        <f aca="false">IFERROR(IF(OR(HLOOKUP($A1196,#REF!,9,FALSE())&gt;2,HLOOKUP($A1196,#REF!,9,FALSE())&lt;-2),"",#REF!),"")</f>
        <v/>
      </c>
      <c r="L1196" s="0" t="str">
        <f aca="false">IFERROR(IF(OR(HLOOKUP($A1196,#REF!,10,FALSE())&gt;2,HLOOKUP($A1196,#REF!,10,FALSE())&lt;-2),"",#REF!),"")</f>
        <v/>
      </c>
      <c r="M1196" s="0" t="str">
        <f aca="false">IFERROR(IF(OR(HLOOKUP($A1196,#REF!,11,FALSE())&gt;2,HLOOKUP($A1196,#REF!,11,FALSE())&lt;-2),"",#REF!),"")</f>
        <v/>
      </c>
      <c r="N1196" s="0" t="str">
        <f aca="false">IFERROR(IF(OR(HLOOKUP($A1196,#REF!,12,FALSE())&gt;2,HLOOKUP($A1196,#REF!,12,FALSE())&lt;-2),"",#REF!),"")</f>
        <v/>
      </c>
      <c r="O1196" s="0" t="str">
        <f aca="false">IFERROR(IF(OR(HLOOKUP($A1196,#REF!,13,FALSE())&gt;2,HLOOKUP($A1196,#REF!,13,FALSE())&lt;-2),"",#REF!),"")</f>
        <v/>
      </c>
      <c r="P1196" s="0" t="str">
        <f aca="false">IFERROR(IF(OR(HLOOKUP($A1196,#REF!,14,FALSE())&gt;2,HLOOKUP($A1196,#REF!,14,FALSE())&lt;-2),"",#REF!),"")</f>
        <v/>
      </c>
      <c r="Q1196" s="0" t="str">
        <f aca="false">IFERROR(IF(OR(HLOOKUP($A1196,#REF!,15,FALSE())&gt;2,HLOOKUP($A1196,#REF!,15,FALSE())&lt;-2),"",#REF!),"")</f>
        <v/>
      </c>
      <c r="R1196" s="0" t="str">
        <f aca="false">IFERROR(IF(OR(HLOOKUP($A1196,#REF!,16,FALSE())&gt;2,HLOOKUP($A1196,#REF!,16,FALSE())&lt;-2),"",#REF!),"")</f>
        <v/>
      </c>
      <c r="S1196" s="0" t="str">
        <f aca="false">IFERROR(IF(OR(HLOOKUP($A1196,#REF!,17,FALSE())&gt;2,HLOOKUP($A1196,#REF!,17,FALSE())&lt;-2),"",#REF!),"")</f>
        <v/>
      </c>
      <c r="T1196" s="0" t="str">
        <f aca="false">IFERROR(IF(OR(HLOOKUP($A1196,#REF!,18,FALSE())&gt;2,HLOOKUP($A1196,#REF!,18,FALSE())&lt;-2),"",#REF!),"")</f>
        <v/>
      </c>
      <c r="U1196" s="0" t="str">
        <f aca="false">IFERROR(IF(OR(HLOOKUP($A1196,#REF!,19,FALSE())&gt;2,HLOOKUP($A1196,#REF!,19,FALSE())&lt;-2),"",#REF!),"")</f>
        <v/>
      </c>
      <c r="V1196" s="0" t="n">
        <f aca="false">IFERROR(IF(AND(X1196=0,Y1196=0),0,1),0)</f>
        <v>1</v>
      </c>
      <c r="W1196" s="3" t="str">
        <f aca="false">IFERROR(_xlfn.T.TEST(E1196:M1196,N1196:U1196,2,2),"")</f>
        <v/>
      </c>
      <c r="X1196" s="0" t="str">
        <f aca="false">IFERROR(AVERAGE(E1196:M1196),"")</f>
        <v/>
      </c>
      <c r="Y1196" s="0" t="str">
        <f aca="false">IFERROR(AVERAGE(N1196:U1196),"")</f>
        <v/>
      </c>
    </row>
    <row r="1197" customFormat="false" ht="14.5" hidden="false" customHeight="false" outlineLevel="0" collapsed="false">
      <c r="A1197" s="0" t="n">
        <v>12994</v>
      </c>
      <c r="B1197" s="0" t="s">
        <v>1238</v>
      </c>
      <c r="C1197" s="0" t="n">
        <v>2702</v>
      </c>
      <c r="D1197" s="0" t="n">
        <v>453</v>
      </c>
      <c r="E1197" s="0" t="str">
        <f aca="false">IFERROR(IF(OR(HLOOKUP($A1197,#REF!,3,FALSE())&gt;2,HLOOKUP(A1197,#REF!,3,FALSE())&lt;-2),"",#REF!),"")</f>
        <v/>
      </c>
      <c r="F1197" s="0" t="str">
        <f aca="false">IFERROR(IF(OR(HLOOKUP($A1197,#REF!,4,FALSE())&gt;2,HLOOKUP($A1197,#REF!,4,FALSE())&lt;-2),"",#REF!),"")</f>
        <v/>
      </c>
      <c r="G1197" s="0" t="str">
        <f aca="false">IFERROR(IF(OR(HLOOKUP($A1197,#REF!,5,FALSE())&gt;2,HLOOKUP($A1197,#REF!,5,FALSE())&lt;-2),"",#REF!),"")</f>
        <v/>
      </c>
      <c r="H1197" s="0" t="str">
        <f aca="false">IFERROR(IF(OR(HLOOKUP($A1197,#REF!,6,FALSE())&gt;2,HLOOKUP($A1197,#REF!,6,FALSE())&lt;-2),"",#REF!),"")</f>
        <v/>
      </c>
      <c r="I1197" s="0" t="str">
        <f aca="false">IFERROR(IF(OR(HLOOKUP($A1197,#REF!,7,FALSE())&gt;2,HLOOKUP($A1197,#REF!,7,FALSE())&lt;-2),"",#REF!),"")</f>
        <v/>
      </c>
      <c r="J1197" s="0" t="str">
        <f aca="false">IFERROR(IF(OR(HLOOKUP($A1197,#REF!,8,FALSE())&gt;2,HLOOKUP($A1197,#REF!,8,FALSE())&lt;-2),"",#REF!),"")</f>
        <v/>
      </c>
      <c r="K1197" s="0" t="str">
        <f aca="false">IFERROR(IF(OR(HLOOKUP($A1197,#REF!,9,FALSE())&gt;2,HLOOKUP($A1197,#REF!,9,FALSE())&lt;-2),"",#REF!),"")</f>
        <v/>
      </c>
      <c r="L1197" s="0" t="str">
        <f aca="false">IFERROR(IF(OR(HLOOKUP($A1197,#REF!,10,FALSE())&gt;2,HLOOKUP($A1197,#REF!,10,FALSE())&lt;-2),"",#REF!),"")</f>
        <v/>
      </c>
      <c r="M1197" s="0" t="str">
        <f aca="false">IFERROR(IF(OR(HLOOKUP($A1197,#REF!,11,FALSE())&gt;2,HLOOKUP($A1197,#REF!,11,FALSE())&lt;-2),"",#REF!),"")</f>
        <v/>
      </c>
      <c r="N1197" s="0" t="str">
        <f aca="false">IFERROR(IF(OR(HLOOKUP($A1197,#REF!,12,FALSE())&gt;2,HLOOKUP($A1197,#REF!,12,FALSE())&lt;-2),"",#REF!),"")</f>
        <v/>
      </c>
      <c r="O1197" s="0" t="str">
        <f aca="false">IFERROR(IF(OR(HLOOKUP($A1197,#REF!,13,FALSE())&gt;2,HLOOKUP($A1197,#REF!,13,FALSE())&lt;-2),"",#REF!),"")</f>
        <v/>
      </c>
      <c r="P1197" s="0" t="str">
        <f aca="false">IFERROR(IF(OR(HLOOKUP($A1197,#REF!,14,FALSE())&gt;2,HLOOKUP($A1197,#REF!,14,FALSE())&lt;-2),"",#REF!),"")</f>
        <v/>
      </c>
      <c r="Q1197" s="0" t="str">
        <f aca="false">IFERROR(IF(OR(HLOOKUP($A1197,#REF!,15,FALSE())&gt;2,HLOOKUP($A1197,#REF!,15,FALSE())&lt;-2),"",#REF!),"")</f>
        <v/>
      </c>
      <c r="R1197" s="0" t="str">
        <f aca="false">IFERROR(IF(OR(HLOOKUP($A1197,#REF!,16,FALSE())&gt;2,HLOOKUP($A1197,#REF!,16,FALSE())&lt;-2),"",#REF!),"")</f>
        <v/>
      </c>
      <c r="S1197" s="0" t="str">
        <f aca="false">IFERROR(IF(OR(HLOOKUP($A1197,#REF!,17,FALSE())&gt;2,HLOOKUP($A1197,#REF!,17,FALSE())&lt;-2),"",#REF!),"")</f>
        <v/>
      </c>
      <c r="T1197" s="0" t="str">
        <f aca="false">IFERROR(IF(OR(HLOOKUP($A1197,#REF!,18,FALSE())&gt;2,HLOOKUP($A1197,#REF!,18,FALSE())&lt;-2),"",#REF!),"")</f>
        <v/>
      </c>
      <c r="U1197" s="0" t="str">
        <f aca="false">IFERROR(IF(OR(HLOOKUP($A1197,#REF!,19,FALSE())&gt;2,HLOOKUP($A1197,#REF!,19,FALSE())&lt;-2),"",#REF!),"")</f>
        <v/>
      </c>
      <c r="V1197" s="0" t="n">
        <f aca="false">IFERROR(IF(AND(X1197=0,Y1197=0),0,1),0)</f>
        <v>1</v>
      </c>
      <c r="W1197" s="3" t="str">
        <f aca="false">IFERROR(_xlfn.T.TEST(E1197:M1197,N1197:U1197,2,2),"")</f>
        <v/>
      </c>
      <c r="X1197" s="0" t="str">
        <f aca="false">IFERROR(AVERAGE(E1197:M1197),"")</f>
        <v/>
      </c>
      <c r="Y1197" s="0" t="str">
        <f aca="false">IFERROR(AVERAGE(N1197:U1197),"")</f>
        <v/>
      </c>
    </row>
    <row r="1198" customFormat="false" ht="14.5" hidden="false" customHeight="false" outlineLevel="0" collapsed="false">
      <c r="A1198" s="0" t="n">
        <v>12995</v>
      </c>
      <c r="B1198" s="0" t="s">
        <v>1239</v>
      </c>
      <c r="C1198" s="0" t="n">
        <v>2703</v>
      </c>
      <c r="D1198" s="0" t="n">
        <v>453</v>
      </c>
      <c r="E1198" s="0" t="str">
        <f aca="false">IFERROR(IF(OR(HLOOKUP($A1198,#REF!,3,FALSE())&gt;2,HLOOKUP(A1198,#REF!,3,FALSE())&lt;-2),"",#REF!),"")</f>
        <v/>
      </c>
      <c r="F1198" s="0" t="str">
        <f aca="false">IFERROR(IF(OR(HLOOKUP($A1198,#REF!,4,FALSE())&gt;2,HLOOKUP($A1198,#REF!,4,FALSE())&lt;-2),"",#REF!),"")</f>
        <v/>
      </c>
      <c r="G1198" s="0" t="str">
        <f aca="false">IFERROR(IF(OR(HLOOKUP($A1198,#REF!,5,FALSE())&gt;2,HLOOKUP($A1198,#REF!,5,FALSE())&lt;-2),"",#REF!),"")</f>
        <v/>
      </c>
      <c r="H1198" s="0" t="str">
        <f aca="false">IFERROR(IF(OR(HLOOKUP($A1198,#REF!,6,FALSE())&gt;2,HLOOKUP($A1198,#REF!,6,FALSE())&lt;-2),"",#REF!),"")</f>
        <v/>
      </c>
      <c r="I1198" s="0" t="str">
        <f aca="false">IFERROR(IF(OR(HLOOKUP($A1198,#REF!,7,FALSE())&gt;2,HLOOKUP($A1198,#REF!,7,FALSE())&lt;-2),"",#REF!),"")</f>
        <v/>
      </c>
      <c r="J1198" s="0" t="str">
        <f aca="false">IFERROR(IF(OR(HLOOKUP($A1198,#REF!,8,FALSE())&gt;2,HLOOKUP($A1198,#REF!,8,FALSE())&lt;-2),"",#REF!),"")</f>
        <v/>
      </c>
      <c r="K1198" s="0" t="str">
        <f aca="false">IFERROR(IF(OR(HLOOKUP($A1198,#REF!,9,FALSE())&gt;2,HLOOKUP($A1198,#REF!,9,FALSE())&lt;-2),"",#REF!),"")</f>
        <v/>
      </c>
      <c r="L1198" s="0" t="str">
        <f aca="false">IFERROR(IF(OR(HLOOKUP($A1198,#REF!,10,FALSE())&gt;2,HLOOKUP($A1198,#REF!,10,FALSE())&lt;-2),"",#REF!),"")</f>
        <v/>
      </c>
      <c r="M1198" s="0" t="str">
        <f aca="false">IFERROR(IF(OR(HLOOKUP($A1198,#REF!,11,FALSE())&gt;2,HLOOKUP($A1198,#REF!,11,FALSE())&lt;-2),"",#REF!),"")</f>
        <v/>
      </c>
      <c r="N1198" s="0" t="str">
        <f aca="false">IFERROR(IF(OR(HLOOKUP($A1198,#REF!,12,FALSE())&gt;2,HLOOKUP($A1198,#REF!,12,FALSE())&lt;-2),"",#REF!),"")</f>
        <v/>
      </c>
      <c r="O1198" s="0" t="str">
        <f aca="false">IFERROR(IF(OR(HLOOKUP($A1198,#REF!,13,FALSE())&gt;2,HLOOKUP($A1198,#REF!,13,FALSE())&lt;-2),"",#REF!),"")</f>
        <v/>
      </c>
      <c r="P1198" s="0" t="str">
        <f aca="false">IFERROR(IF(OR(HLOOKUP($A1198,#REF!,14,FALSE())&gt;2,HLOOKUP($A1198,#REF!,14,FALSE())&lt;-2),"",#REF!),"")</f>
        <v/>
      </c>
      <c r="Q1198" s="0" t="str">
        <f aca="false">IFERROR(IF(OR(HLOOKUP($A1198,#REF!,15,FALSE())&gt;2,HLOOKUP($A1198,#REF!,15,FALSE())&lt;-2),"",#REF!),"")</f>
        <v/>
      </c>
      <c r="R1198" s="0" t="str">
        <f aca="false">IFERROR(IF(OR(HLOOKUP($A1198,#REF!,16,FALSE())&gt;2,HLOOKUP($A1198,#REF!,16,FALSE())&lt;-2),"",#REF!),"")</f>
        <v/>
      </c>
      <c r="S1198" s="0" t="str">
        <f aca="false">IFERROR(IF(OR(HLOOKUP($A1198,#REF!,17,FALSE())&gt;2,HLOOKUP($A1198,#REF!,17,FALSE())&lt;-2),"",#REF!),"")</f>
        <v/>
      </c>
      <c r="T1198" s="0" t="str">
        <f aca="false">IFERROR(IF(OR(HLOOKUP($A1198,#REF!,18,FALSE())&gt;2,HLOOKUP($A1198,#REF!,18,FALSE())&lt;-2),"",#REF!),"")</f>
        <v/>
      </c>
      <c r="U1198" s="0" t="str">
        <f aca="false">IFERROR(IF(OR(HLOOKUP($A1198,#REF!,19,FALSE())&gt;2,HLOOKUP($A1198,#REF!,19,FALSE())&lt;-2),"",#REF!),"")</f>
        <v/>
      </c>
      <c r="V1198" s="0" t="n">
        <f aca="false">IFERROR(IF(AND(X1198=0,Y1198=0),0,1),0)</f>
        <v>1</v>
      </c>
      <c r="W1198" s="3" t="str">
        <f aca="false">IFERROR(_xlfn.T.TEST(E1198:M1198,N1198:U1198,2,2),"")</f>
        <v/>
      </c>
      <c r="X1198" s="0" t="str">
        <f aca="false">IFERROR(AVERAGE(E1198:M1198),"")</f>
        <v/>
      </c>
      <c r="Y1198" s="0" t="str">
        <f aca="false">IFERROR(AVERAGE(N1198:U1198),"")</f>
        <v/>
      </c>
    </row>
    <row r="1199" customFormat="false" ht="14.5" hidden="false" customHeight="false" outlineLevel="0" collapsed="false">
      <c r="A1199" s="0" t="n">
        <v>12996</v>
      </c>
      <c r="B1199" s="0" t="s">
        <v>1240</v>
      </c>
      <c r="C1199" s="0" t="n">
        <v>2704</v>
      </c>
      <c r="D1199" s="0" t="n">
        <v>453</v>
      </c>
      <c r="E1199" s="0" t="str">
        <f aca="false">IFERROR(IF(OR(HLOOKUP($A1199,#REF!,3,FALSE())&gt;2,HLOOKUP(A1199,#REF!,3,FALSE())&lt;-2),"",#REF!),"")</f>
        <v/>
      </c>
      <c r="F1199" s="0" t="str">
        <f aca="false">IFERROR(IF(OR(HLOOKUP($A1199,#REF!,4,FALSE())&gt;2,HLOOKUP($A1199,#REF!,4,FALSE())&lt;-2),"",#REF!),"")</f>
        <v/>
      </c>
      <c r="G1199" s="0" t="str">
        <f aca="false">IFERROR(IF(OR(HLOOKUP($A1199,#REF!,5,FALSE())&gt;2,HLOOKUP($A1199,#REF!,5,FALSE())&lt;-2),"",#REF!),"")</f>
        <v/>
      </c>
      <c r="H1199" s="0" t="str">
        <f aca="false">IFERROR(IF(OR(HLOOKUP($A1199,#REF!,6,FALSE())&gt;2,HLOOKUP($A1199,#REF!,6,FALSE())&lt;-2),"",#REF!),"")</f>
        <v/>
      </c>
      <c r="I1199" s="0" t="str">
        <f aca="false">IFERROR(IF(OR(HLOOKUP($A1199,#REF!,7,FALSE())&gt;2,HLOOKUP($A1199,#REF!,7,FALSE())&lt;-2),"",#REF!),"")</f>
        <v/>
      </c>
      <c r="J1199" s="0" t="str">
        <f aca="false">IFERROR(IF(OR(HLOOKUP($A1199,#REF!,8,FALSE())&gt;2,HLOOKUP($A1199,#REF!,8,FALSE())&lt;-2),"",#REF!),"")</f>
        <v/>
      </c>
      <c r="K1199" s="0" t="str">
        <f aca="false">IFERROR(IF(OR(HLOOKUP($A1199,#REF!,9,FALSE())&gt;2,HLOOKUP($A1199,#REF!,9,FALSE())&lt;-2),"",#REF!),"")</f>
        <v/>
      </c>
      <c r="L1199" s="0" t="str">
        <f aca="false">IFERROR(IF(OR(HLOOKUP($A1199,#REF!,10,FALSE())&gt;2,HLOOKUP($A1199,#REF!,10,FALSE())&lt;-2),"",#REF!),"")</f>
        <v/>
      </c>
      <c r="M1199" s="0" t="str">
        <f aca="false">IFERROR(IF(OR(HLOOKUP($A1199,#REF!,11,FALSE())&gt;2,HLOOKUP($A1199,#REF!,11,FALSE())&lt;-2),"",#REF!),"")</f>
        <v/>
      </c>
      <c r="N1199" s="0" t="str">
        <f aca="false">IFERROR(IF(OR(HLOOKUP($A1199,#REF!,12,FALSE())&gt;2,HLOOKUP($A1199,#REF!,12,FALSE())&lt;-2),"",#REF!),"")</f>
        <v/>
      </c>
      <c r="O1199" s="0" t="str">
        <f aca="false">IFERROR(IF(OR(HLOOKUP($A1199,#REF!,13,FALSE())&gt;2,HLOOKUP($A1199,#REF!,13,FALSE())&lt;-2),"",#REF!),"")</f>
        <v/>
      </c>
      <c r="P1199" s="0" t="str">
        <f aca="false">IFERROR(IF(OR(HLOOKUP($A1199,#REF!,14,FALSE())&gt;2,HLOOKUP($A1199,#REF!,14,FALSE())&lt;-2),"",#REF!),"")</f>
        <v/>
      </c>
      <c r="Q1199" s="0" t="str">
        <f aca="false">IFERROR(IF(OR(HLOOKUP($A1199,#REF!,15,FALSE())&gt;2,HLOOKUP($A1199,#REF!,15,FALSE())&lt;-2),"",#REF!),"")</f>
        <v/>
      </c>
      <c r="R1199" s="0" t="str">
        <f aca="false">IFERROR(IF(OR(HLOOKUP($A1199,#REF!,16,FALSE())&gt;2,HLOOKUP($A1199,#REF!,16,FALSE())&lt;-2),"",#REF!),"")</f>
        <v/>
      </c>
      <c r="S1199" s="0" t="str">
        <f aca="false">IFERROR(IF(OR(HLOOKUP($A1199,#REF!,17,FALSE())&gt;2,HLOOKUP($A1199,#REF!,17,FALSE())&lt;-2),"",#REF!),"")</f>
        <v/>
      </c>
      <c r="T1199" s="0" t="str">
        <f aca="false">IFERROR(IF(OR(HLOOKUP($A1199,#REF!,18,FALSE())&gt;2,HLOOKUP($A1199,#REF!,18,FALSE())&lt;-2),"",#REF!),"")</f>
        <v/>
      </c>
      <c r="U1199" s="0" t="str">
        <f aca="false">IFERROR(IF(OR(HLOOKUP($A1199,#REF!,19,FALSE())&gt;2,HLOOKUP($A1199,#REF!,19,FALSE())&lt;-2),"",#REF!),"")</f>
        <v/>
      </c>
      <c r="V1199" s="0" t="n">
        <f aca="false">IFERROR(IF(AND(X1199=0,Y1199=0),0,1),0)</f>
        <v>1</v>
      </c>
      <c r="W1199" s="3" t="str">
        <f aca="false">IFERROR(_xlfn.T.TEST(E1199:M1199,N1199:U1199,2,2),"")</f>
        <v/>
      </c>
      <c r="X1199" s="0" t="str">
        <f aca="false">IFERROR(AVERAGE(E1199:M1199),"")</f>
        <v/>
      </c>
      <c r="Y1199" s="0" t="str">
        <f aca="false">IFERROR(AVERAGE(N1199:U1199),"")</f>
        <v/>
      </c>
    </row>
    <row r="1200" customFormat="false" ht="14.5" hidden="false" customHeight="false" outlineLevel="0" collapsed="false">
      <c r="A1200" s="0" t="n">
        <v>12997</v>
      </c>
      <c r="B1200" s="0" t="s">
        <v>1241</v>
      </c>
      <c r="C1200" s="0" t="n">
        <v>2705</v>
      </c>
      <c r="D1200" s="0" t="n">
        <v>453</v>
      </c>
      <c r="E1200" s="0" t="str">
        <f aca="false">IFERROR(IF(OR(HLOOKUP($A1200,#REF!,3,FALSE())&gt;2,HLOOKUP(A1200,#REF!,3,FALSE())&lt;-2),"",#REF!),"")</f>
        <v/>
      </c>
      <c r="F1200" s="0" t="str">
        <f aca="false">IFERROR(IF(OR(HLOOKUP($A1200,#REF!,4,FALSE())&gt;2,HLOOKUP($A1200,#REF!,4,FALSE())&lt;-2),"",#REF!),"")</f>
        <v/>
      </c>
      <c r="G1200" s="0" t="str">
        <f aca="false">IFERROR(IF(OR(HLOOKUP($A1200,#REF!,5,FALSE())&gt;2,HLOOKUP($A1200,#REF!,5,FALSE())&lt;-2),"",#REF!),"")</f>
        <v/>
      </c>
      <c r="H1200" s="0" t="str">
        <f aca="false">IFERROR(IF(OR(HLOOKUP($A1200,#REF!,6,FALSE())&gt;2,HLOOKUP($A1200,#REF!,6,FALSE())&lt;-2),"",#REF!),"")</f>
        <v/>
      </c>
      <c r="I1200" s="0" t="str">
        <f aca="false">IFERROR(IF(OR(HLOOKUP($A1200,#REF!,7,FALSE())&gt;2,HLOOKUP($A1200,#REF!,7,FALSE())&lt;-2),"",#REF!),"")</f>
        <v/>
      </c>
      <c r="J1200" s="0" t="str">
        <f aca="false">IFERROR(IF(OR(HLOOKUP($A1200,#REF!,8,FALSE())&gt;2,HLOOKUP($A1200,#REF!,8,FALSE())&lt;-2),"",#REF!),"")</f>
        <v/>
      </c>
      <c r="K1200" s="0" t="str">
        <f aca="false">IFERROR(IF(OR(HLOOKUP($A1200,#REF!,9,FALSE())&gt;2,HLOOKUP($A1200,#REF!,9,FALSE())&lt;-2),"",#REF!),"")</f>
        <v/>
      </c>
      <c r="L1200" s="0" t="str">
        <f aca="false">IFERROR(IF(OR(HLOOKUP($A1200,#REF!,10,FALSE())&gt;2,HLOOKUP($A1200,#REF!,10,FALSE())&lt;-2),"",#REF!),"")</f>
        <v/>
      </c>
      <c r="M1200" s="0" t="str">
        <f aca="false">IFERROR(IF(OR(HLOOKUP($A1200,#REF!,11,FALSE())&gt;2,HLOOKUP($A1200,#REF!,11,FALSE())&lt;-2),"",#REF!),"")</f>
        <v/>
      </c>
      <c r="N1200" s="0" t="str">
        <f aca="false">IFERROR(IF(OR(HLOOKUP($A1200,#REF!,12,FALSE())&gt;2,HLOOKUP($A1200,#REF!,12,FALSE())&lt;-2),"",#REF!),"")</f>
        <v/>
      </c>
      <c r="O1200" s="0" t="str">
        <f aca="false">IFERROR(IF(OR(HLOOKUP($A1200,#REF!,13,FALSE())&gt;2,HLOOKUP($A1200,#REF!,13,FALSE())&lt;-2),"",#REF!),"")</f>
        <v/>
      </c>
      <c r="P1200" s="0" t="str">
        <f aca="false">IFERROR(IF(OR(HLOOKUP($A1200,#REF!,14,FALSE())&gt;2,HLOOKUP($A1200,#REF!,14,FALSE())&lt;-2),"",#REF!),"")</f>
        <v/>
      </c>
      <c r="Q1200" s="0" t="str">
        <f aca="false">IFERROR(IF(OR(HLOOKUP($A1200,#REF!,15,FALSE())&gt;2,HLOOKUP($A1200,#REF!,15,FALSE())&lt;-2),"",#REF!),"")</f>
        <v/>
      </c>
      <c r="R1200" s="0" t="str">
        <f aca="false">IFERROR(IF(OR(HLOOKUP($A1200,#REF!,16,FALSE())&gt;2,HLOOKUP($A1200,#REF!,16,FALSE())&lt;-2),"",#REF!),"")</f>
        <v/>
      </c>
      <c r="S1200" s="0" t="str">
        <f aca="false">IFERROR(IF(OR(HLOOKUP($A1200,#REF!,17,FALSE())&gt;2,HLOOKUP($A1200,#REF!,17,FALSE())&lt;-2),"",#REF!),"")</f>
        <v/>
      </c>
      <c r="T1200" s="0" t="str">
        <f aca="false">IFERROR(IF(OR(HLOOKUP($A1200,#REF!,18,FALSE())&gt;2,HLOOKUP($A1200,#REF!,18,FALSE())&lt;-2),"",#REF!),"")</f>
        <v/>
      </c>
      <c r="U1200" s="0" t="str">
        <f aca="false">IFERROR(IF(OR(HLOOKUP($A1200,#REF!,19,FALSE())&gt;2,HLOOKUP($A1200,#REF!,19,FALSE())&lt;-2),"",#REF!),"")</f>
        <v/>
      </c>
      <c r="V1200" s="0" t="n">
        <f aca="false">IFERROR(IF(AND(X1200=0,Y1200=0),0,1),0)</f>
        <v>1</v>
      </c>
      <c r="W1200" s="3" t="str">
        <f aca="false">IFERROR(_xlfn.T.TEST(E1200:M1200,N1200:U1200,2,2),"")</f>
        <v/>
      </c>
      <c r="X1200" s="0" t="str">
        <f aca="false">IFERROR(AVERAGE(E1200:M1200),"")</f>
        <v/>
      </c>
      <c r="Y1200" s="0" t="str">
        <f aca="false">IFERROR(AVERAGE(N1200:U1200),"")</f>
        <v/>
      </c>
    </row>
    <row r="1201" customFormat="false" ht="14.5" hidden="false" customHeight="false" outlineLevel="0" collapsed="false">
      <c r="A1201" s="0" t="n">
        <v>12998</v>
      </c>
      <c r="B1201" s="0" t="s">
        <v>1242</v>
      </c>
      <c r="C1201" s="0" t="n">
        <v>2706</v>
      </c>
      <c r="D1201" s="0" t="n">
        <v>453</v>
      </c>
      <c r="E1201" s="0" t="str">
        <f aca="false">IFERROR(IF(OR(HLOOKUP($A1201,#REF!,3,FALSE())&gt;2,HLOOKUP(A1201,#REF!,3,FALSE())&lt;-2),"",#REF!),"")</f>
        <v/>
      </c>
      <c r="F1201" s="0" t="str">
        <f aca="false">IFERROR(IF(OR(HLOOKUP($A1201,#REF!,4,FALSE())&gt;2,HLOOKUP($A1201,#REF!,4,FALSE())&lt;-2),"",#REF!),"")</f>
        <v/>
      </c>
      <c r="G1201" s="0" t="str">
        <f aca="false">IFERROR(IF(OR(HLOOKUP($A1201,#REF!,5,FALSE())&gt;2,HLOOKUP($A1201,#REF!,5,FALSE())&lt;-2),"",#REF!),"")</f>
        <v/>
      </c>
      <c r="H1201" s="0" t="str">
        <f aca="false">IFERROR(IF(OR(HLOOKUP($A1201,#REF!,6,FALSE())&gt;2,HLOOKUP($A1201,#REF!,6,FALSE())&lt;-2),"",#REF!),"")</f>
        <v/>
      </c>
      <c r="I1201" s="0" t="str">
        <f aca="false">IFERROR(IF(OR(HLOOKUP($A1201,#REF!,7,FALSE())&gt;2,HLOOKUP($A1201,#REF!,7,FALSE())&lt;-2),"",#REF!),"")</f>
        <v/>
      </c>
      <c r="J1201" s="0" t="str">
        <f aca="false">IFERROR(IF(OR(HLOOKUP($A1201,#REF!,8,FALSE())&gt;2,HLOOKUP($A1201,#REF!,8,FALSE())&lt;-2),"",#REF!),"")</f>
        <v/>
      </c>
      <c r="K1201" s="0" t="str">
        <f aca="false">IFERROR(IF(OR(HLOOKUP($A1201,#REF!,9,FALSE())&gt;2,HLOOKUP($A1201,#REF!,9,FALSE())&lt;-2),"",#REF!),"")</f>
        <v/>
      </c>
      <c r="L1201" s="0" t="str">
        <f aca="false">IFERROR(IF(OR(HLOOKUP($A1201,#REF!,10,FALSE())&gt;2,HLOOKUP($A1201,#REF!,10,FALSE())&lt;-2),"",#REF!),"")</f>
        <v/>
      </c>
      <c r="M1201" s="0" t="str">
        <f aca="false">IFERROR(IF(OR(HLOOKUP($A1201,#REF!,11,FALSE())&gt;2,HLOOKUP($A1201,#REF!,11,FALSE())&lt;-2),"",#REF!),"")</f>
        <v/>
      </c>
      <c r="N1201" s="0" t="str">
        <f aca="false">IFERROR(IF(OR(HLOOKUP($A1201,#REF!,12,FALSE())&gt;2,HLOOKUP($A1201,#REF!,12,FALSE())&lt;-2),"",#REF!),"")</f>
        <v/>
      </c>
      <c r="O1201" s="0" t="str">
        <f aca="false">IFERROR(IF(OR(HLOOKUP($A1201,#REF!,13,FALSE())&gt;2,HLOOKUP($A1201,#REF!,13,FALSE())&lt;-2),"",#REF!),"")</f>
        <v/>
      </c>
      <c r="P1201" s="0" t="str">
        <f aca="false">IFERROR(IF(OR(HLOOKUP($A1201,#REF!,14,FALSE())&gt;2,HLOOKUP($A1201,#REF!,14,FALSE())&lt;-2),"",#REF!),"")</f>
        <v/>
      </c>
      <c r="Q1201" s="0" t="str">
        <f aca="false">IFERROR(IF(OR(HLOOKUP($A1201,#REF!,15,FALSE())&gt;2,HLOOKUP($A1201,#REF!,15,FALSE())&lt;-2),"",#REF!),"")</f>
        <v/>
      </c>
      <c r="R1201" s="0" t="str">
        <f aca="false">IFERROR(IF(OR(HLOOKUP($A1201,#REF!,16,FALSE())&gt;2,HLOOKUP($A1201,#REF!,16,FALSE())&lt;-2),"",#REF!),"")</f>
        <v/>
      </c>
      <c r="S1201" s="0" t="str">
        <f aca="false">IFERROR(IF(OR(HLOOKUP($A1201,#REF!,17,FALSE())&gt;2,HLOOKUP($A1201,#REF!,17,FALSE())&lt;-2),"",#REF!),"")</f>
        <v/>
      </c>
      <c r="T1201" s="0" t="str">
        <f aca="false">IFERROR(IF(OR(HLOOKUP($A1201,#REF!,18,FALSE())&gt;2,HLOOKUP($A1201,#REF!,18,FALSE())&lt;-2),"",#REF!),"")</f>
        <v/>
      </c>
      <c r="U1201" s="0" t="str">
        <f aca="false">IFERROR(IF(OR(HLOOKUP($A1201,#REF!,19,FALSE())&gt;2,HLOOKUP($A1201,#REF!,19,FALSE())&lt;-2),"",#REF!),"")</f>
        <v/>
      </c>
      <c r="V1201" s="0" t="n">
        <f aca="false">IFERROR(IF(AND(X1201=0,Y1201=0),0,1),0)</f>
        <v>1</v>
      </c>
      <c r="W1201" s="3" t="str">
        <f aca="false">IFERROR(_xlfn.T.TEST(E1201:M1201,N1201:U1201,2,2),"")</f>
        <v/>
      </c>
      <c r="X1201" s="0" t="str">
        <f aca="false">IFERROR(AVERAGE(E1201:M1201),"")</f>
        <v/>
      </c>
      <c r="Y1201" s="0" t="str">
        <f aca="false">IFERROR(AVERAGE(N1201:U1201),"")</f>
        <v/>
      </c>
    </row>
    <row r="1202" customFormat="false" ht="14.5" hidden="false" customHeight="false" outlineLevel="0" collapsed="false">
      <c r="A1202" s="0" t="n">
        <v>2375</v>
      </c>
      <c r="B1202" s="0" t="s">
        <v>1243</v>
      </c>
      <c r="C1202" s="0" t="n">
        <v>37600</v>
      </c>
      <c r="D1202" s="0" t="n">
        <v>1080</v>
      </c>
      <c r="E1202" s="0" t="str">
        <f aca="false">IFERROR(IF(OR(HLOOKUP($A1202,#REF!,3,FALSE())&gt;2,HLOOKUP(A1202,#REF!,3,FALSE())&lt;-2),"",#REF!),"")</f>
        <v/>
      </c>
      <c r="F1202" s="0" t="str">
        <f aca="false">IFERROR(IF(OR(HLOOKUP($A1202,#REF!,4,FALSE())&gt;2,HLOOKUP($A1202,#REF!,4,FALSE())&lt;-2),"",#REF!),"")</f>
        <v/>
      </c>
      <c r="G1202" s="0" t="str">
        <f aca="false">IFERROR(IF(OR(HLOOKUP($A1202,#REF!,5,FALSE())&gt;2,HLOOKUP($A1202,#REF!,5,FALSE())&lt;-2),"",#REF!),"")</f>
        <v/>
      </c>
      <c r="H1202" s="0" t="str">
        <f aca="false">IFERROR(IF(OR(HLOOKUP($A1202,#REF!,6,FALSE())&gt;2,HLOOKUP($A1202,#REF!,6,FALSE())&lt;-2),"",#REF!),"")</f>
        <v/>
      </c>
      <c r="I1202" s="0" t="str">
        <f aca="false">IFERROR(IF(OR(HLOOKUP($A1202,#REF!,7,FALSE())&gt;2,HLOOKUP($A1202,#REF!,7,FALSE())&lt;-2),"",#REF!),"")</f>
        <v/>
      </c>
      <c r="J1202" s="0" t="str">
        <f aca="false">IFERROR(IF(OR(HLOOKUP($A1202,#REF!,8,FALSE())&gt;2,HLOOKUP($A1202,#REF!,8,FALSE())&lt;-2),"",#REF!),"")</f>
        <v/>
      </c>
      <c r="K1202" s="0" t="str">
        <f aca="false">IFERROR(IF(OR(HLOOKUP($A1202,#REF!,9,FALSE())&gt;2,HLOOKUP($A1202,#REF!,9,FALSE())&lt;-2),"",#REF!),"")</f>
        <v/>
      </c>
      <c r="L1202" s="0" t="str">
        <f aca="false">IFERROR(IF(OR(HLOOKUP($A1202,#REF!,10,FALSE())&gt;2,HLOOKUP($A1202,#REF!,10,FALSE())&lt;-2),"",#REF!),"")</f>
        <v/>
      </c>
      <c r="M1202" s="0" t="str">
        <f aca="false">IFERROR(IF(OR(HLOOKUP($A1202,#REF!,11,FALSE())&gt;2,HLOOKUP($A1202,#REF!,11,FALSE())&lt;-2),"",#REF!),"")</f>
        <v/>
      </c>
      <c r="N1202" s="0" t="str">
        <f aca="false">IFERROR(IF(OR(HLOOKUP($A1202,#REF!,12,FALSE())&gt;2,HLOOKUP($A1202,#REF!,12,FALSE())&lt;-2),"",#REF!),"")</f>
        <v/>
      </c>
      <c r="O1202" s="0" t="str">
        <f aca="false">IFERROR(IF(OR(HLOOKUP($A1202,#REF!,13,FALSE())&gt;2,HLOOKUP($A1202,#REF!,13,FALSE())&lt;-2),"",#REF!),"")</f>
        <v/>
      </c>
      <c r="P1202" s="0" t="str">
        <f aca="false">IFERROR(IF(OR(HLOOKUP($A1202,#REF!,14,FALSE())&gt;2,HLOOKUP($A1202,#REF!,14,FALSE())&lt;-2),"",#REF!),"")</f>
        <v/>
      </c>
      <c r="Q1202" s="0" t="str">
        <f aca="false">IFERROR(IF(OR(HLOOKUP($A1202,#REF!,15,FALSE())&gt;2,HLOOKUP($A1202,#REF!,15,FALSE())&lt;-2),"",#REF!),"")</f>
        <v/>
      </c>
      <c r="R1202" s="0" t="str">
        <f aca="false">IFERROR(IF(OR(HLOOKUP($A1202,#REF!,16,FALSE())&gt;2,HLOOKUP($A1202,#REF!,16,FALSE())&lt;-2),"",#REF!),"")</f>
        <v/>
      </c>
      <c r="S1202" s="0" t="str">
        <f aca="false">IFERROR(IF(OR(HLOOKUP($A1202,#REF!,17,FALSE())&gt;2,HLOOKUP($A1202,#REF!,17,FALSE())&lt;-2),"",#REF!),"")</f>
        <v/>
      </c>
      <c r="T1202" s="0" t="str">
        <f aca="false">IFERROR(IF(OR(HLOOKUP($A1202,#REF!,18,FALSE())&gt;2,HLOOKUP($A1202,#REF!,18,FALSE())&lt;-2),"",#REF!),"")</f>
        <v/>
      </c>
      <c r="U1202" s="0" t="str">
        <f aca="false">IFERROR(IF(OR(HLOOKUP($A1202,#REF!,19,FALSE())&gt;2,HLOOKUP($A1202,#REF!,19,FALSE())&lt;-2),"",#REF!),"")</f>
        <v/>
      </c>
      <c r="V1202" s="0" t="n">
        <f aca="false">IFERROR(IF(AND(X1202=0,Y1202=0),0,1),0)</f>
        <v>1</v>
      </c>
      <c r="W1202" s="3" t="str">
        <f aca="false">IFERROR(_xlfn.T.TEST(E1202:M1202,N1202:U1202,2,2),"")</f>
        <v/>
      </c>
      <c r="X1202" s="0" t="str">
        <f aca="false">IFERROR(AVERAGE(E1202:M1202),"")</f>
        <v/>
      </c>
      <c r="Y1202" s="0" t="str">
        <f aca="false">IFERROR(AVERAGE(N1202:U1202),"")</f>
        <v/>
      </c>
    </row>
    <row r="1203" customFormat="false" ht="14.5" hidden="false" customHeight="false" outlineLevel="0" collapsed="false">
      <c r="A1203" s="0" t="n">
        <v>2382</v>
      </c>
      <c r="B1203" s="0" t="s">
        <v>33</v>
      </c>
      <c r="C1203" s="0" t="n">
        <v>37700</v>
      </c>
      <c r="D1203" s="0" t="n">
        <v>2375</v>
      </c>
      <c r="E1203" s="0" t="str">
        <f aca="false">IFERROR(IF(OR(HLOOKUP($A1203,#REF!,3,FALSE())&gt;2,HLOOKUP(A1203,#REF!,3,FALSE())&lt;-2),"",#REF!),"")</f>
        <v/>
      </c>
      <c r="F1203" s="0" t="str">
        <f aca="false">IFERROR(IF(OR(HLOOKUP($A1203,#REF!,4,FALSE())&gt;2,HLOOKUP($A1203,#REF!,4,FALSE())&lt;-2),"",#REF!),"")</f>
        <v/>
      </c>
      <c r="G1203" s="0" t="str">
        <f aca="false">IFERROR(IF(OR(HLOOKUP($A1203,#REF!,5,FALSE())&gt;2,HLOOKUP($A1203,#REF!,5,FALSE())&lt;-2),"",#REF!),"")</f>
        <v/>
      </c>
      <c r="H1203" s="0" t="str">
        <f aca="false">IFERROR(IF(OR(HLOOKUP($A1203,#REF!,6,FALSE())&gt;2,HLOOKUP($A1203,#REF!,6,FALSE())&lt;-2),"",#REF!),"")</f>
        <v/>
      </c>
      <c r="I1203" s="0" t="str">
        <f aca="false">IFERROR(IF(OR(HLOOKUP($A1203,#REF!,7,FALSE())&gt;2,HLOOKUP($A1203,#REF!,7,FALSE())&lt;-2),"",#REF!),"")</f>
        <v/>
      </c>
      <c r="J1203" s="0" t="str">
        <f aca="false">IFERROR(IF(OR(HLOOKUP($A1203,#REF!,8,FALSE())&gt;2,HLOOKUP($A1203,#REF!,8,FALSE())&lt;-2),"",#REF!),"")</f>
        <v/>
      </c>
      <c r="K1203" s="0" t="str">
        <f aca="false">IFERROR(IF(OR(HLOOKUP($A1203,#REF!,9,FALSE())&gt;2,HLOOKUP($A1203,#REF!,9,FALSE())&lt;-2),"",#REF!),"")</f>
        <v/>
      </c>
      <c r="L1203" s="0" t="str">
        <f aca="false">IFERROR(IF(OR(HLOOKUP($A1203,#REF!,10,FALSE())&gt;2,HLOOKUP($A1203,#REF!,10,FALSE())&lt;-2),"",#REF!),"")</f>
        <v/>
      </c>
      <c r="M1203" s="0" t="str">
        <f aca="false">IFERROR(IF(OR(HLOOKUP($A1203,#REF!,11,FALSE())&gt;2,HLOOKUP($A1203,#REF!,11,FALSE())&lt;-2),"",#REF!),"")</f>
        <v/>
      </c>
      <c r="N1203" s="0" t="str">
        <f aca="false">IFERROR(IF(OR(HLOOKUP($A1203,#REF!,12,FALSE())&gt;2,HLOOKUP($A1203,#REF!,12,FALSE())&lt;-2),"",#REF!),"")</f>
        <v/>
      </c>
      <c r="O1203" s="0" t="str">
        <f aca="false">IFERROR(IF(OR(HLOOKUP($A1203,#REF!,13,FALSE())&gt;2,HLOOKUP($A1203,#REF!,13,FALSE())&lt;-2),"",#REF!),"")</f>
        <v/>
      </c>
      <c r="P1203" s="0" t="str">
        <f aca="false">IFERROR(IF(OR(HLOOKUP($A1203,#REF!,14,FALSE())&gt;2,HLOOKUP($A1203,#REF!,14,FALSE())&lt;-2),"",#REF!),"")</f>
        <v/>
      </c>
      <c r="Q1203" s="0" t="str">
        <f aca="false">IFERROR(IF(OR(HLOOKUP($A1203,#REF!,15,FALSE())&gt;2,HLOOKUP($A1203,#REF!,15,FALSE())&lt;-2),"",#REF!),"")</f>
        <v/>
      </c>
      <c r="R1203" s="0" t="str">
        <f aca="false">IFERROR(IF(OR(HLOOKUP($A1203,#REF!,16,FALSE())&gt;2,HLOOKUP($A1203,#REF!,16,FALSE())&lt;-2),"",#REF!),"")</f>
        <v/>
      </c>
      <c r="S1203" s="0" t="str">
        <f aca="false">IFERROR(IF(OR(HLOOKUP($A1203,#REF!,17,FALSE())&gt;2,HLOOKUP($A1203,#REF!,17,FALSE())&lt;-2),"",#REF!),"")</f>
        <v/>
      </c>
      <c r="T1203" s="0" t="str">
        <f aca="false">IFERROR(IF(OR(HLOOKUP($A1203,#REF!,18,FALSE())&gt;2,HLOOKUP($A1203,#REF!,18,FALSE())&lt;-2),"",#REF!),"")</f>
        <v/>
      </c>
      <c r="U1203" s="0" t="str">
        <f aca="false">IFERROR(IF(OR(HLOOKUP($A1203,#REF!,19,FALSE())&gt;2,HLOOKUP($A1203,#REF!,19,FALSE())&lt;-2),"",#REF!),"")</f>
        <v/>
      </c>
      <c r="V1203" s="0" t="n">
        <f aca="false">IFERROR(IF(AND(X1203=0,Y1203=0),0,1),0)</f>
        <v>1</v>
      </c>
      <c r="W1203" s="3" t="str">
        <f aca="false">IFERROR(_xlfn.T.TEST(E1203:M1203,N1203:U1203,2,2),"")</f>
        <v/>
      </c>
      <c r="X1203" s="0" t="str">
        <f aca="false">IFERROR(AVERAGE(E1203:M1203),"")</f>
        <v/>
      </c>
      <c r="Y1203" s="0" t="str">
        <f aca="false">IFERROR(AVERAGE(N1203:U1203),"")</f>
        <v/>
      </c>
    </row>
    <row r="1204" customFormat="false" ht="14.5" hidden="false" customHeight="false" outlineLevel="0" collapsed="false">
      <c r="A1204" s="0" t="n">
        <v>2391</v>
      </c>
      <c r="B1204" s="0" t="s">
        <v>1244</v>
      </c>
      <c r="C1204" s="0" t="n">
        <v>37800</v>
      </c>
      <c r="D1204" s="0" t="n">
        <v>2382</v>
      </c>
      <c r="E1204" s="0" t="str">
        <f aca="false">IFERROR(IF(OR(HLOOKUP($A1204,#REF!,3,FALSE())&gt;2,HLOOKUP(A1204,#REF!,3,FALSE())&lt;-2),"",#REF!),"")</f>
        <v/>
      </c>
      <c r="F1204" s="0" t="str">
        <f aca="false">IFERROR(IF(OR(HLOOKUP($A1204,#REF!,4,FALSE())&gt;2,HLOOKUP($A1204,#REF!,4,FALSE())&lt;-2),"",#REF!),"")</f>
        <v/>
      </c>
      <c r="G1204" s="0" t="str">
        <f aca="false">IFERROR(IF(OR(HLOOKUP($A1204,#REF!,5,FALSE())&gt;2,HLOOKUP($A1204,#REF!,5,FALSE())&lt;-2),"",#REF!),"")</f>
        <v/>
      </c>
      <c r="H1204" s="0" t="str">
        <f aca="false">IFERROR(IF(OR(HLOOKUP($A1204,#REF!,6,FALSE())&gt;2,HLOOKUP($A1204,#REF!,6,FALSE())&lt;-2),"",#REF!),"")</f>
        <v/>
      </c>
      <c r="I1204" s="0" t="str">
        <f aca="false">IFERROR(IF(OR(HLOOKUP($A1204,#REF!,7,FALSE())&gt;2,HLOOKUP($A1204,#REF!,7,FALSE())&lt;-2),"",#REF!),"")</f>
        <v/>
      </c>
      <c r="J1204" s="0" t="str">
        <f aca="false">IFERROR(IF(OR(HLOOKUP($A1204,#REF!,8,FALSE())&gt;2,HLOOKUP($A1204,#REF!,8,FALSE())&lt;-2),"",#REF!),"")</f>
        <v/>
      </c>
      <c r="K1204" s="0" t="str">
        <f aca="false">IFERROR(IF(OR(HLOOKUP($A1204,#REF!,9,FALSE())&gt;2,HLOOKUP($A1204,#REF!,9,FALSE())&lt;-2),"",#REF!),"")</f>
        <v/>
      </c>
      <c r="L1204" s="0" t="str">
        <f aca="false">IFERROR(IF(OR(HLOOKUP($A1204,#REF!,10,FALSE())&gt;2,HLOOKUP($A1204,#REF!,10,FALSE())&lt;-2),"",#REF!),"")</f>
        <v/>
      </c>
      <c r="M1204" s="0" t="str">
        <f aca="false">IFERROR(IF(OR(HLOOKUP($A1204,#REF!,11,FALSE())&gt;2,HLOOKUP($A1204,#REF!,11,FALSE())&lt;-2),"",#REF!),"")</f>
        <v/>
      </c>
      <c r="N1204" s="0" t="str">
        <f aca="false">IFERROR(IF(OR(HLOOKUP($A1204,#REF!,12,FALSE())&gt;2,HLOOKUP($A1204,#REF!,12,FALSE())&lt;-2),"",#REF!),"")</f>
        <v/>
      </c>
      <c r="O1204" s="0" t="str">
        <f aca="false">IFERROR(IF(OR(HLOOKUP($A1204,#REF!,13,FALSE())&gt;2,HLOOKUP($A1204,#REF!,13,FALSE())&lt;-2),"",#REF!),"")</f>
        <v/>
      </c>
      <c r="P1204" s="0" t="str">
        <f aca="false">IFERROR(IF(OR(HLOOKUP($A1204,#REF!,14,FALSE())&gt;2,HLOOKUP($A1204,#REF!,14,FALSE())&lt;-2),"",#REF!),"")</f>
        <v/>
      </c>
      <c r="Q1204" s="0" t="str">
        <f aca="false">IFERROR(IF(OR(HLOOKUP($A1204,#REF!,15,FALSE())&gt;2,HLOOKUP($A1204,#REF!,15,FALSE())&lt;-2),"",#REF!),"")</f>
        <v/>
      </c>
      <c r="R1204" s="0" t="str">
        <f aca="false">IFERROR(IF(OR(HLOOKUP($A1204,#REF!,16,FALSE())&gt;2,HLOOKUP($A1204,#REF!,16,FALSE())&lt;-2),"",#REF!),"")</f>
        <v/>
      </c>
      <c r="S1204" s="0" t="str">
        <f aca="false">IFERROR(IF(OR(HLOOKUP($A1204,#REF!,17,FALSE())&gt;2,HLOOKUP($A1204,#REF!,17,FALSE())&lt;-2),"",#REF!),"")</f>
        <v/>
      </c>
      <c r="T1204" s="0" t="str">
        <f aca="false">IFERROR(IF(OR(HLOOKUP($A1204,#REF!,18,FALSE())&gt;2,HLOOKUP($A1204,#REF!,18,FALSE())&lt;-2),"",#REF!),"")</f>
        <v/>
      </c>
      <c r="U1204" s="0" t="str">
        <f aca="false">IFERROR(IF(OR(HLOOKUP($A1204,#REF!,19,FALSE())&gt;2,HLOOKUP($A1204,#REF!,19,FALSE())&lt;-2),"",#REF!),"")</f>
        <v/>
      </c>
      <c r="V1204" s="0" t="n">
        <f aca="false">IFERROR(IF(AND(X1204=0,Y1204=0),0,1),0)</f>
        <v>1</v>
      </c>
      <c r="W1204" s="3" t="str">
        <f aca="false">IFERROR(_xlfn.T.TEST(E1204:M1204,N1204:U1204,2,2),"")</f>
        <v/>
      </c>
      <c r="X1204" s="0" t="str">
        <f aca="false">IFERROR(AVERAGE(E1204:M1204),"")</f>
        <v/>
      </c>
      <c r="Y1204" s="0" t="str">
        <f aca="false">IFERROR(AVERAGE(N1204:U1204),"")</f>
        <v/>
      </c>
    </row>
    <row r="1205" customFormat="false" ht="14.5" hidden="false" customHeight="false" outlineLevel="0" collapsed="false">
      <c r="A1205" s="0" t="n">
        <v>2399</v>
      </c>
      <c r="B1205" s="0" t="s">
        <v>1245</v>
      </c>
      <c r="C1205" s="0" t="n">
        <v>37900</v>
      </c>
      <c r="D1205" s="0" t="n">
        <v>2382</v>
      </c>
      <c r="E1205" s="0" t="str">
        <f aca="false">IFERROR(IF(OR(HLOOKUP($A1205,#REF!,3,FALSE())&gt;2,HLOOKUP(A1205,#REF!,3,FALSE())&lt;-2),"",#REF!),"")</f>
        <v/>
      </c>
      <c r="F1205" s="0" t="str">
        <f aca="false">IFERROR(IF(OR(HLOOKUP($A1205,#REF!,4,FALSE())&gt;2,HLOOKUP($A1205,#REF!,4,FALSE())&lt;-2),"",#REF!),"")</f>
        <v/>
      </c>
      <c r="G1205" s="0" t="str">
        <f aca="false">IFERROR(IF(OR(HLOOKUP($A1205,#REF!,5,FALSE())&gt;2,HLOOKUP($A1205,#REF!,5,FALSE())&lt;-2),"",#REF!),"")</f>
        <v/>
      </c>
      <c r="H1205" s="0" t="str">
        <f aca="false">IFERROR(IF(OR(HLOOKUP($A1205,#REF!,6,FALSE())&gt;2,HLOOKUP($A1205,#REF!,6,FALSE())&lt;-2),"",#REF!),"")</f>
        <v/>
      </c>
      <c r="I1205" s="0" t="str">
        <f aca="false">IFERROR(IF(OR(HLOOKUP($A1205,#REF!,7,FALSE())&gt;2,HLOOKUP($A1205,#REF!,7,FALSE())&lt;-2),"",#REF!),"")</f>
        <v/>
      </c>
      <c r="J1205" s="0" t="str">
        <f aca="false">IFERROR(IF(OR(HLOOKUP($A1205,#REF!,8,FALSE())&gt;2,HLOOKUP($A1205,#REF!,8,FALSE())&lt;-2),"",#REF!),"")</f>
        <v/>
      </c>
      <c r="K1205" s="0" t="str">
        <f aca="false">IFERROR(IF(OR(HLOOKUP($A1205,#REF!,9,FALSE())&gt;2,HLOOKUP($A1205,#REF!,9,FALSE())&lt;-2),"",#REF!),"")</f>
        <v/>
      </c>
      <c r="L1205" s="0" t="str">
        <f aca="false">IFERROR(IF(OR(HLOOKUP($A1205,#REF!,10,FALSE())&gt;2,HLOOKUP($A1205,#REF!,10,FALSE())&lt;-2),"",#REF!),"")</f>
        <v/>
      </c>
      <c r="M1205" s="0" t="str">
        <f aca="false">IFERROR(IF(OR(HLOOKUP($A1205,#REF!,11,FALSE())&gt;2,HLOOKUP($A1205,#REF!,11,FALSE())&lt;-2),"",#REF!),"")</f>
        <v/>
      </c>
      <c r="N1205" s="0" t="str">
        <f aca="false">IFERROR(IF(OR(HLOOKUP($A1205,#REF!,12,FALSE())&gt;2,HLOOKUP($A1205,#REF!,12,FALSE())&lt;-2),"",#REF!),"")</f>
        <v/>
      </c>
      <c r="O1205" s="0" t="str">
        <f aca="false">IFERROR(IF(OR(HLOOKUP($A1205,#REF!,13,FALSE())&gt;2,HLOOKUP($A1205,#REF!,13,FALSE())&lt;-2),"",#REF!),"")</f>
        <v/>
      </c>
      <c r="P1205" s="0" t="str">
        <f aca="false">IFERROR(IF(OR(HLOOKUP($A1205,#REF!,14,FALSE())&gt;2,HLOOKUP($A1205,#REF!,14,FALSE())&lt;-2),"",#REF!),"")</f>
        <v/>
      </c>
      <c r="Q1205" s="0" t="str">
        <f aca="false">IFERROR(IF(OR(HLOOKUP($A1205,#REF!,15,FALSE())&gt;2,HLOOKUP($A1205,#REF!,15,FALSE())&lt;-2),"",#REF!),"")</f>
        <v/>
      </c>
      <c r="R1205" s="0" t="str">
        <f aca="false">IFERROR(IF(OR(HLOOKUP($A1205,#REF!,16,FALSE())&gt;2,HLOOKUP($A1205,#REF!,16,FALSE())&lt;-2),"",#REF!),"")</f>
        <v/>
      </c>
      <c r="S1205" s="0" t="str">
        <f aca="false">IFERROR(IF(OR(HLOOKUP($A1205,#REF!,17,FALSE())&gt;2,HLOOKUP($A1205,#REF!,17,FALSE())&lt;-2),"",#REF!),"")</f>
        <v/>
      </c>
      <c r="T1205" s="0" t="str">
        <f aca="false">IFERROR(IF(OR(HLOOKUP($A1205,#REF!,18,FALSE())&gt;2,HLOOKUP($A1205,#REF!,18,FALSE())&lt;-2),"",#REF!),"")</f>
        <v/>
      </c>
      <c r="U1205" s="0" t="str">
        <f aca="false">IFERROR(IF(OR(HLOOKUP($A1205,#REF!,19,FALSE())&gt;2,HLOOKUP($A1205,#REF!,19,FALSE())&lt;-2),"",#REF!),"")</f>
        <v/>
      </c>
      <c r="V1205" s="0" t="n">
        <f aca="false">IFERROR(IF(AND(X1205=0,Y1205=0),0,1),0)</f>
        <v>1</v>
      </c>
      <c r="W1205" s="3" t="str">
        <f aca="false">IFERROR(_xlfn.T.TEST(E1205:M1205,N1205:U1205,2,2),"")</f>
        <v/>
      </c>
      <c r="X1205" s="0" t="str">
        <f aca="false">IFERROR(AVERAGE(E1205:M1205),"")</f>
        <v/>
      </c>
      <c r="Y1205" s="0" t="str">
        <f aca="false">IFERROR(AVERAGE(N1205:U1205),"")</f>
        <v/>
      </c>
    </row>
    <row r="1206" customFormat="false" ht="14.5" hidden="false" customHeight="false" outlineLevel="0" collapsed="false">
      <c r="A1206" s="0" t="n">
        <v>2407</v>
      </c>
      <c r="B1206" s="0" t="s">
        <v>1246</v>
      </c>
      <c r="C1206" s="0" t="n">
        <v>38000</v>
      </c>
      <c r="D1206" s="0" t="n">
        <v>2382</v>
      </c>
      <c r="E1206" s="0" t="str">
        <f aca="false">IFERROR(IF(OR(HLOOKUP($A1206,#REF!,3,FALSE())&gt;2,HLOOKUP(A1206,#REF!,3,FALSE())&lt;-2),"",#REF!),"")</f>
        <v/>
      </c>
      <c r="F1206" s="0" t="str">
        <f aca="false">IFERROR(IF(OR(HLOOKUP($A1206,#REF!,4,FALSE())&gt;2,HLOOKUP($A1206,#REF!,4,FALSE())&lt;-2),"",#REF!),"")</f>
        <v/>
      </c>
      <c r="G1206" s="0" t="str">
        <f aca="false">IFERROR(IF(OR(HLOOKUP($A1206,#REF!,5,FALSE())&gt;2,HLOOKUP($A1206,#REF!,5,FALSE())&lt;-2),"",#REF!),"")</f>
        <v/>
      </c>
      <c r="H1206" s="0" t="str">
        <f aca="false">IFERROR(IF(OR(HLOOKUP($A1206,#REF!,6,FALSE())&gt;2,HLOOKUP($A1206,#REF!,6,FALSE())&lt;-2),"",#REF!),"")</f>
        <v/>
      </c>
      <c r="I1206" s="0" t="str">
        <f aca="false">IFERROR(IF(OR(HLOOKUP($A1206,#REF!,7,FALSE())&gt;2,HLOOKUP($A1206,#REF!,7,FALSE())&lt;-2),"",#REF!),"")</f>
        <v/>
      </c>
      <c r="J1206" s="0" t="str">
        <f aca="false">IFERROR(IF(OR(HLOOKUP($A1206,#REF!,8,FALSE())&gt;2,HLOOKUP($A1206,#REF!,8,FALSE())&lt;-2),"",#REF!),"")</f>
        <v/>
      </c>
      <c r="K1206" s="0" t="str">
        <f aca="false">IFERROR(IF(OR(HLOOKUP($A1206,#REF!,9,FALSE())&gt;2,HLOOKUP($A1206,#REF!,9,FALSE())&lt;-2),"",#REF!),"")</f>
        <v/>
      </c>
      <c r="L1206" s="0" t="str">
        <f aca="false">IFERROR(IF(OR(HLOOKUP($A1206,#REF!,10,FALSE())&gt;2,HLOOKUP($A1206,#REF!,10,FALSE())&lt;-2),"",#REF!),"")</f>
        <v/>
      </c>
      <c r="M1206" s="0" t="str">
        <f aca="false">IFERROR(IF(OR(HLOOKUP($A1206,#REF!,11,FALSE())&gt;2,HLOOKUP($A1206,#REF!,11,FALSE())&lt;-2),"",#REF!),"")</f>
        <v/>
      </c>
      <c r="N1206" s="0" t="str">
        <f aca="false">IFERROR(IF(OR(HLOOKUP($A1206,#REF!,12,FALSE())&gt;2,HLOOKUP($A1206,#REF!,12,FALSE())&lt;-2),"",#REF!),"")</f>
        <v/>
      </c>
      <c r="O1206" s="0" t="str">
        <f aca="false">IFERROR(IF(OR(HLOOKUP($A1206,#REF!,13,FALSE())&gt;2,HLOOKUP($A1206,#REF!,13,FALSE())&lt;-2),"",#REF!),"")</f>
        <v/>
      </c>
      <c r="P1206" s="0" t="str">
        <f aca="false">IFERROR(IF(OR(HLOOKUP($A1206,#REF!,14,FALSE())&gt;2,HLOOKUP($A1206,#REF!,14,FALSE())&lt;-2),"",#REF!),"")</f>
        <v/>
      </c>
      <c r="Q1206" s="0" t="str">
        <f aca="false">IFERROR(IF(OR(HLOOKUP($A1206,#REF!,15,FALSE())&gt;2,HLOOKUP($A1206,#REF!,15,FALSE())&lt;-2),"",#REF!),"")</f>
        <v/>
      </c>
      <c r="R1206" s="0" t="str">
        <f aca="false">IFERROR(IF(OR(HLOOKUP($A1206,#REF!,16,FALSE())&gt;2,HLOOKUP($A1206,#REF!,16,FALSE())&lt;-2),"",#REF!),"")</f>
        <v/>
      </c>
      <c r="S1206" s="0" t="str">
        <f aca="false">IFERROR(IF(OR(HLOOKUP($A1206,#REF!,17,FALSE())&gt;2,HLOOKUP($A1206,#REF!,17,FALSE())&lt;-2),"",#REF!),"")</f>
        <v/>
      </c>
      <c r="T1206" s="0" t="str">
        <f aca="false">IFERROR(IF(OR(HLOOKUP($A1206,#REF!,18,FALSE())&gt;2,HLOOKUP($A1206,#REF!,18,FALSE())&lt;-2),"",#REF!),"")</f>
        <v/>
      </c>
      <c r="U1206" s="0" t="str">
        <f aca="false">IFERROR(IF(OR(HLOOKUP($A1206,#REF!,19,FALSE())&gt;2,HLOOKUP($A1206,#REF!,19,FALSE())&lt;-2),"",#REF!),"")</f>
        <v/>
      </c>
      <c r="V1206" s="0" t="n">
        <f aca="false">IFERROR(IF(AND(X1206=0,Y1206=0),0,1),0)</f>
        <v>1</v>
      </c>
      <c r="W1206" s="3" t="str">
        <f aca="false">IFERROR(_xlfn.T.TEST(E1206:M1206,N1206:U1206,2,2),"")</f>
        <v/>
      </c>
      <c r="X1206" s="0" t="str">
        <f aca="false">IFERROR(AVERAGE(E1206:M1206),"")</f>
        <v/>
      </c>
      <c r="Y1206" s="0" t="str">
        <f aca="false">IFERROR(AVERAGE(N1206:U1206),"")</f>
        <v/>
      </c>
    </row>
    <row r="1207" customFormat="false" ht="14.5" hidden="false" customHeight="false" outlineLevel="0" collapsed="false">
      <c r="A1207" s="0" t="n">
        <v>2415</v>
      </c>
      <c r="B1207" s="0" t="s">
        <v>1247</v>
      </c>
      <c r="C1207" s="0" t="n">
        <v>38100</v>
      </c>
      <c r="D1207" s="0" t="n">
        <v>2382</v>
      </c>
      <c r="E1207" s="0" t="str">
        <f aca="false">IFERROR(IF(OR(HLOOKUP($A1207,#REF!,3,FALSE())&gt;2,HLOOKUP(A1207,#REF!,3,FALSE())&lt;-2),"",#REF!),"")</f>
        <v/>
      </c>
      <c r="F1207" s="0" t="str">
        <f aca="false">IFERROR(IF(OR(HLOOKUP($A1207,#REF!,4,FALSE())&gt;2,HLOOKUP($A1207,#REF!,4,FALSE())&lt;-2),"",#REF!),"")</f>
        <v/>
      </c>
      <c r="G1207" s="0" t="str">
        <f aca="false">IFERROR(IF(OR(HLOOKUP($A1207,#REF!,5,FALSE())&gt;2,HLOOKUP($A1207,#REF!,5,FALSE())&lt;-2),"",#REF!),"")</f>
        <v/>
      </c>
      <c r="H1207" s="0" t="str">
        <f aca="false">IFERROR(IF(OR(HLOOKUP($A1207,#REF!,6,FALSE())&gt;2,HLOOKUP($A1207,#REF!,6,FALSE())&lt;-2),"",#REF!),"")</f>
        <v/>
      </c>
      <c r="I1207" s="0" t="str">
        <f aca="false">IFERROR(IF(OR(HLOOKUP($A1207,#REF!,7,FALSE())&gt;2,HLOOKUP($A1207,#REF!,7,FALSE())&lt;-2),"",#REF!),"")</f>
        <v/>
      </c>
      <c r="J1207" s="0" t="str">
        <f aca="false">IFERROR(IF(OR(HLOOKUP($A1207,#REF!,8,FALSE())&gt;2,HLOOKUP($A1207,#REF!,8,FALSE())&lt;-2),"",#REF!),"")</f>
        <v/>
      </c>
      <c r="K1207" s="0" t="str">
        <f aca="false">IFERROR(IF(OR(HLOOKUP($A1207,#REF!,9,FALSE())&gt;2,HLOOKUP($A1207,#REF!,9,FALSE())&lt;-2),"",#REF!),"")</f>
        <v/>
      </c>
      <c r="L1207" s="0" t="str">
        <f aca="false">IFERROR(IF(OR(HLOOKUP($A1207,#REF!,10,FALSE())&gt;2,HLOOKUP($A1207,#REF!,10,FALSE())&lt;-2),"",#REF!),"")</f>
        <v/>
      </c>
      <c r="M1207" s="0" t="str">
        <f aca="false">IFERROR(IF(OR(HLOOKUP($A1207,#REF!,11,FALSE())&gt;2,HLOOKUP($A1207,#REF!,11,FALSE())&lt;-2),"",#REF!),"")</f>
        <v/>
      </c>
      <c r="N1207" s="0" t="str">
        <f aca="false">IFERROR(IF(OR(HLOOKUP($A1207,#REF!,12,FALSE())&gt;2,HLOOKUP($A1207,#REF!,12,FALSE())&lt;-2),"",#REF!),"")</f>
        <v/>
      </c>
      <c r="O1207" s="0" t="str">
        <f aca="false">IFERROR(IF(OR(HLOOKUP($A1207,#REF!,13,FALSE())&gt;2,HLOOKUP($A1207,#REF!,13,FALSE())&lt;-2),"",#REF!),"")</f>
        <v/>
      </c>
      <c r="P1207" s="0" t="str">
        <f aca="false">IFERROR(IF(OR(HLOOKUP($A1207,#REF!,14,FALSE())&gt;2,HLOOKUP($A1207,#REF!,14,FALSE())&lt;-2),"",#REF!),"")</f>
        <v/>
      </c>
      <c r="Q1207" s="0" t="str">
        <f aca="false">IFERROR(IF(OR(HLOOKUP($A1207,#REF!,15,FALSE())&gt;2,HLOOKUP($A1207,#REF!,15,FALSE())&lt;-2),"",#REF!),"")</f>
        <v/>
      </c>
      <c r="R1207" s="0" t="str">
        <f aca="false">IFERROR(IF(OR(HLOOKUP($A1207,#REF!,16,FALSE())&gt;2,HLOOKUP($A1207,#REF!,16,FALSE())&lt;-2),"",#REF!),"")</f>
        <v/>
      </c>
      <c r="S1207" s="0" t="str">
        <f aca="false">IFERROR(IF(OR(HLOOKUP($A1207,#REF!,17,FALSE())&gt;2,HLOOKUP($A1207,#REF!,17,FALSE())&lt;-2),"",#REF!),"")</f>
        <v/>
      </c>
      <c r="T1207" s="0" t="str">
        <f aca="false">IFERROR(IF(OR(HLOOKUP($A1207,#REF!,18,FALSE())&gt;2,HLOOKUP($A1207,#REF!,18,FALSE())&lt;-2),"",#REF!),"")</f>
        <v/>
      </c>
      <c r="U1207" s="0" t="str">
        <f aca="false">IFERROR(IF(OR(HLOOKUP($A1207,#REF!,19,FALSE())&gt;2,HLOOKUP($A1207,#REF!,19,FALSE())&lt;-2),"",#REF!),"")</f>
        <v/>
      </c>
      <c r="V1207" s="0" t="n">
        <f aca="false">IFERROR(IF(AND(X1207=0,Y1207=0),0,1),0)</f>
        <v>1</v>
      </c>
      <c r="W1207" s="3" t="str">
        <f aca="false">IFERROR(_xlfn.T.TEST(E1207:M1207,N1207:U1207,2,2),"")</f>
        <v/>
      </c>
      <c r="X1207" s="0" t="str">
        <f aca="false">IFERROR(AVERAGE(E1207:M1207),"")</f>
        <v/>
      </c>
      <c r="Y1207" s="0" t="str">
        <f aca="false">IFERROR(AVERAGE(N1207:U1207),"")</f>
        <v/>
      </c>
    </row>
    <row r="1208" customFormat="false" ht="14.5" hidden="false" customHeight="false" outlineLevel="0" collapsed="false">
      <c r="A1208" s="0" t="n">
        <v>2423</v>
      </c>
      <c r="B1208" s="0" t="s">
        <v>1248</v>
      </c>
      <c r="C1208" s="0" t="n">
        <v>38200</v>
      </c>
      <c r="D1208" s="0" t="n">
        <v>2375</v>
      </c>
      <c r="E1208" s="0" t="str">
        <f aca="false">IFERROR(IF(OR(HLOOKUP($A1208,#REF!,3,FALSE())&gt;2,HLOOKUP(A1208,#REF!,3,FALSE())&lt;-2),"",#REF!),"")</f>
        <v/>
      </c>
      <c r="F1208" s="0" t="str">
        <f aca="false">IFERROR(IF(OR(HLOOKUP($A1208,#REF!,4,FALSE())&gt;2,HLOOKUP($A1208,#REF!,4,FALSE())&lt;-2),"",#REF!),"")</f>
        <v/>
      </c>
      <c r="G1208" s="0" t="str">
        <f aca="false">IFERROR(IF(OR(HLOOKUP($A1208,#REF!,5,FALSE())&gt;2,HLOOKUP($A1208,#REF!,5,FALSE())&lt;-2),"",#REF!),"")</f>
        <v/>
      </c>
      <c r="H1208" s="0" t="str">
        <f aca="false">IFERROR(IF(OR(HLOOKUP($A1208,#REF!,6,FALSE())&gt;2,HLOOKUP($A1208,#REF!,6,FALSE())&lt;-2),"",#REF!),"")</f>
        <v/>
      </c>
      <c r="I1208" s="0" t="str">
        <f aca="false">IFERROR(IF(OR(HLOOKUP($A1208,#REF!,7,FALSE())&gt;2,HLOOKUP($A1208,#REF!,7,FALSE())&lt;-2),"",#REF!),"")</f>
        <v/>
      </c>
      <c r="J1208" s="0" t="str">
        <f aca="false">IFERROR(IF(OR(HLOOKUP($A1208,#REF!,8,FALSE())&gt;2,HLOOKUP($A1208,#REF!,8,FALSE())&lt;-2),"",#REF!),"")</f>
        <v/>
      </c>
      <c r="K1208" s="0" t="str">
        <f aca="false">IFERROR(IF(OR(HLOOKUP($A1208,#REF!,9,FALSE())&gt;2,HLOOKUP($A1208,#REF!,9,FALSE())&lt;-2),"",#REF!),"")</f>
        <v/>
      </c>
      <c r="L1208" s="0" t="str">
        <f aca="false">IFERROR(IF(OR(HLOOKUP($A1208,#REF!,10,FALSE())&gt;2,HLOOKUP($A1208,#REF!,10,FALSE())&lt;-2),"",#REF!),"")</f>
        <v/>
      </c>
      <c r="M1208" s="0" t="str">
        <f aca="false">IFERROR(IF(OR(HLOOKUP($A1208,#REF!,11,FALSE())&gt;2,HLOOKUP($A1208,#REF!,11,FALSE())&lt;-2),"",#REF!),"")</f>
        <v/>
      </c>
      <c r="N1208" s="0" t="str">
        <f aca="false">IFERROR(IF(OR(HLOOKUP($A1208,#REF!,12,FALSE())&gt;2,HLOOKUP($A1208,#REF!,12,FALSE())&lt;-2),"",#REF!),"")</f>
        <v/>
      </c>
      <c r="O1208" s="0" t="str">
        <f aca="false">IFERROR(IF(OR(HLOOKUP($A1208,#REF!,13,FALSE())&gt;2,HLOOKUP($A1208,#REF!,13,FALSE())&lt;-2),"",#REF!),"")</f>
        <v/>
      </c>
      <c r="P1208" s="0" t="str">
        <f aca="false">IFERROR(IF(OR(HLOOKUP($A1208,#REF!,14,FALSE())&gt;2,HLOOKUP($A1208,#REF!,14,FALSE())&lt;-2),"",#REF!),"")</f>
        <v/>
      </c>
      <c r="Q1208" s="0" t="str">
        <f aca="false">IFERROR(IF(OR(HLOOKUP($A1208,#REF!,15,FALSE())&gt;2,HLOOKUP($A1208,#REF!,15,FALSE())&lt;-2),"",#REF!),"")</f>
        <v/>
      </c>
      <c r="R1208" s="0" t="str">
        <f aca="false">IFERROR(IF(OR(HLOOKUP($A1208,#REF!,16,FALSE())&gt;2,HLOOKUP($A1208,#REF!,16,FALSE())&lt;-2),"",#REF!),"")</f>
        <v/>
      </c>
      <c r="S1208" s="0" t="str">
        <f aca="false">IFERROR(IF(OR(HLOOKUP($A1208,#REF!,17,FALSE())&gt;2,HLOOKUP($A1208,#REF!,17,FALSE())&lt;-2),"",#REF!),"")</f>
        <v/>
      </c>
      <c r="T1208" s="0" t="str">
        <f aca="false">IFERROR(IF(OR(HLOOKUP($A1208,#REF!,18,FALSE())&gt;2,HLOOKUP($A1208,#REF!,18,FALSE())&lt;-2),"",#REF!),"")</f>
        <v/>
      </c>
      <c r="U1208" s="0" t="str">
        <f aca="false">IFERROR(IF(OR(HLOOKUP($A1208,#REF!,19,FALSE())&gt;2,HLOOKUP($A1208,#REF!,19,FALSE())&lt;-2),"",#REF!),"")</f>
        <v/>
      </c>
      <c r="V1208" s="0" t="n">
        <f aca="false">IFERROR(IF(AND(X1208=0,Y1208=0),0,1),0)</f>
        <v>1</v>
      </c>
      <c r="W1208" s="3" t="str">
        <f aca="false">IFERROR(_xlfn.T.TEST(E1208:M1208,N1208:U1208,2,2),"")</f>
        <v/>
      </c>
      <c r="X1208" s="0" t="str">
        <f aca="false">IFERROR(AVERAGE(E1208:M1208),"")</f>
        <v/>
      </c>
      <c r="Y1208" s="0" t="str">
        <f aca="false">IFERROR(AVERAGE(N1208:U1208),"")</f>
        <v/>
      </c>
    </row>
    <row r="1209" customFormat="false" ht="14.5" hidden="false" customHeight="false" outlineLevel="0" collapsed="false">
      <c r="A1209" s="0" t="n">
        <v>2431</v>
      </c>
      <c r="B1209" s="0" t="s">
        <v>1249</v>
      </c>
      <c r="C1209" s="0" t="n">
        <v>38300</v>
      </c>
      <c r="D1209" s="0" t="n">
        <v>2423</v>
      </c>
      <c r="E1209" s="0" t="str">
        <f aca="false">IFERROR(IF(OR(HLOOKUP($A1209,#REF!,3,FALSE())&gt;2,HLOOKUP(A1209,#REF!,3,FALSE())&lt;-2),"",#REF!),"")</f>
        <v/>
      </c>
      <c r="F1209" s="0" t="str">
        <f aca="false">IFERROR(IF(OR(HLOOKUP($A1209,#REF!,4,FALSE())&gt;2,HLOOKUP($A1209,#REF!,4,FALSE())&lt;-2),"",#REF!),"")</f>
        <v/>
      </c>
      <c r="G1209" s="0" t="str">
        <f aca="false">IFERROR(IF(OR(HLOOKUP($A1209,#REF!,5,FALSE())&gt;2,HLOOKUP($A1209,#REF!,5,FALSE())&lt;-2),"",#REF!),"")</f>
        <v/>
      </c>
      <c r="H1209" s="0" t="str">
        <f aca="false">IFERROR(IF(OR(HLOOKUP($A1209,#REF!,6,FALSE())&gt;2,HLOOKUP($A1209,#REF!,6,FALSE())&lt;-2),"",#REF!),"")</f>
        <v/>
      </c>
      <c r="I1209" s="0" t="str">
        <f aca="false">IFERROR(IF(OR(HLOOKUP($A1209,#REF!,7,FALSE())&gt;2,HLOOKUP($A1209,#REF!,7,FALSE())&lt;-2),"",#REF!),"")</f>
        <v/>
      </c>
      <c r="J1209" s="0" t="str">
        <f aca="false">IFERROR(IF(OR(HLOOKUP($A1209,#REF!,8,FALSE())&gt;2,HLOOKUP($A1209,#REF!,8,FALSE())&lt;-2),"",#REF!),"")</f>
        <v/>
      </c>
      <c r="K1209" s="0" t="str">
        <f aca="false">IFERROR(IF(OR(HLOOKUP($A1209,#REF!,9,FALSE())&gt;2,HLOOKUP($A1209,#REF!,9,FALSE())&lt;-2),"",#REF!),"")</f>
        <v/>
      </c>
      <c r="L1209" s="0" t="str">
        <f aca="false">IFERROR(IF(OR(HLOOKUP($A1209,#REF!,10,FALSE())&gt;2,HLOOKUP($A1209,#REF!,10,FALSE())&lt;-2),"",#REF!),"")</f>
        <v/>
      </c>
      <c r="M1209" s="0" t="str">
        <f aca="false">IFERROR(IF(OR(HLOOKUP($A1209,#REF!,11,FALSE())&gt;2,HLOOKUP($A1209,#REF!,11,FALSE())&lt;-2),"",#REF!),"")</f>
        <v/>
      </c>
      <c r="N1209" s="0" t="str">
        <f aca="false">IFERROR(IF(OR(HLOOKUP($A1209,#REF!,12,FALSE())&gt;2,HLOOKUP($A1209,#REF!,12,FALSE())&lt;-2),"",#REF!),"")</f>
        <v/>
      </c>
      <c r="O1209" s="0" t="str">
        <f aca="false">IFERROR(IF(OR(HLOOKUP($A1209,#REF!,13,FALSE())&gt;2,HLOOKUP($A1209,#REF!,13,FALSE())&lt;-2),"",#REF!),"")</f>
        <v/>
      </c>
      <c r="P1209" s="0" t="str">
        <f aca="false">IFERROR(IF(OR(HLOOKUP($A1209,#REF!,14,FALSE())&gt;2,HLOOKUP($A1209,#REF!,14,FALSE())&lt;-2),"",#REF!),"")</f>
        <v/>
      </c>
      <c r="Q1209" s="0" t="str">
        <f aca="false">IFERROR(IF(OR(HLOOKUP($A1209,#REF!,15,FALSE())&gt;2,HLOOKUP($A1209,#REF!,15,FALSE())&lt;-2),"",#REF!),"")</f>
        <v/>
      </c>
      <c r="R1209" s="0" t="str">
        <f aca="false">IFERROR(IF(OR(HLOOKUP($A1209,#REF!,16,FALSE())&gt;2,HLOOKUP($A1209,#REF!,16,FALSE())&lt;-2),"",#REF!),"")</f>
        <v/>
      </c>
      <c r="S1209" s="0" t="str">
        <f aca="false">IFERROR(IF(OR(HLOOKUP($A1209,#REF!,17,FALSE())&gt;2,HLOOKUP($A1209,#REF!,17,FALSE())&lt;-2),"",#REF!),"")</f>
        <v/>
      </c>
      <c r="T1209" s="0" t="str">
        <f aca="false">IFERROR(IF(OR(HLOOKUP($A1209,#REF!,18,FALSE())&gt;2,HLOOKUP($A1209,#REF!,18,FALSE())&lt;-2),"",#REF!),"")</f>
        <v/>
      </c>
      <c r="U1209" s="0" t="str">
        <f aca="false">IFERROR(IF(OR(HLOOKUP($A1209,#REF!,19,FALSE())&gt;2,HLOOKUP($A1209,#REF!,19,FALSE())&lt;-2),"",#REF!),"")</f>
        <v/>
      </c>
      <c r="V1209" s="0" t="n">
        <f aca="false">IFERROR(IF(AND(X1209=0,Y1209=0),0,1),0)</f>
        <v>1</v>
      </c>
      <c r="W1209" s="3" t="str">
        <f aca="false">IFERROR(_xlfn.T.TEST(E1209:M1209,N1209:U1209,2,2),"")</f>
        <v/>
      </c>
      <c r="X1209" s="0" t="str">
        <f aca="false">IFERROR(AVERAGE(E1209:M1209),"")</f>
        <v/>
      </c>
      <c r="Y1209" s="0" t="str">
        <f aca="false">IFERROR(AVERAGE(N1209:U1209),"")</f>
        <v/>
      </c>
    </row>
    <row r="1210" customFormat="false" ht="14.5" hidden="false" customHeight="false" outlineLevel="0" collapsed="false">
      <c r="A1210" s="0" t="n">
        <v>2438</v>
      </c>
      <c r="B1210" s="0" t="s">
        <v>1250</v>
      </c>
      <c r="C1210" s="0" t="n">
        <v>38400</v>
      </c>
      <c r="D1210" s="0" t="n">
        <v>2423</v>
      </c>
      <c r="E1210" s="0" t="str">
        <f aca="false">IFERROR(IF(OR(HLOOKUP($A1210,#REF!,3,FALSE())&gt;2,HLOOKUP(A1210,#REF!,3,FALSE())&lt;-2),"",#REF!),"")</f>
        <v/>
      </c>
      <c r="F1210" s="0" t="str">
        <f aca="false">IFERROR(IF(OR(HLOOKUP($A1210,#REF!,4,FALSE())&gt;2,HLOOKUP($A1210,#REF!,4,FALSE())&lt;-2),"",#REF!),"")</f>
        <v/>
      </c>
      <c r="G1210" s="0" t="str">
        <f aca="false">IFERROR(IF(OR(HLOOKUP($A1210,#REF!,5,FALSE())&gt;2,HLOOKUP($A1210,#REF!,5,FALSE())&lt;-2),"",#REF!),"")</f>
        <v/>
      </c>
      <c r="H1210" s="0" t="str">
        <f aca="false">IFERROR(IF(OR(HLOOKUP($A1210,#REF!,6,FALSE())&gt;2,HLOOKUP($A1210,#REF!,6,FALSE())&lt;-2),"",#REF!),"")</f>
        <v/>
      </c>
      <c r="I1210" s="0" t="str">
        <f aca="false">IFERROR(IF(OR(HLOOKUP($A1210,#REF!,7,FALSE())&gt;2,HLOOKUP($A1210,#REF!,7,FALSE())&lt;-2),"",#REF!),"")</f>
        <v/>
      </c>
      <c r="J1210" s="0" t="str">
        <f aca="false">IFERROR(IF(OR(HLOOKUP($A1210,#REF!,8,FALSE())&gt;2,HLOOKUP($A1210,#REF!,8,FALSE())&lt;-2),"",#REF!),"")</f>
        <v/>
      </c>
      <c r="K1210" s="0" t="str">
        <f aca="false">IFERROR(IF(OR(HLOOKUP($A1210,#REF!,9,FALSE())&gt;2,HLOOKUP($A1210,#REF!,9,FALSE())&lt;-2),"",#REF!),"")</f>
        <v/>
      </c>
      <c r="L1210" s="0" t="str">
        <f aca="false">IFERROR(IF(OR(HLOOKUP($A1210,#REF!,10,FALSE())&gt;2,HLOOKUP($A1210,#REF!,10,FALSE())&lt;-2),"",#REF!),"")</f>
        <v/>
      </c>
      <c r="M1210" s="0" t="str">
        <f aca="false">IFERROR(IF(OR(HLOOKUP($A1210,#REF!,11,FALSE())&gt;2,HLOOKUP($A1210,#REF!,11,FALSE())&lt;-2),"",#REF!),"")</f>
        <v/>
      </c>
      <c r="N1210" s="0" t="str">
        <f aca="false">IFERROR(IF(OR(HLOOKUP($A1210,#REF!,12,FALSE())&gt;2,HLOOKUP($A1210,#REF!,12,FALSE())&lt;-2),"",#REF!),"")</f>
        <v/>
      </c>
      <c r="O1210" s="0" t="str">
        <f aca="false">IFERROR(IF(OR(HLOOKUP($A1210,#REF!,13,FALSE())&gt;2,HLOOKUP($A1210,#REF!,13,FALSE())&lt;-2),"",#REF!),"")</f>
        <v/>
      </c>
      <c r="P1210" s="0" t="str">
        <f aca="false">IFERROR(IF(OR(HLOOKUP($A1210,#REF!,14,FALSE())&gt;2,HLOOKUP($A1210,#REF!,14,FALSE())&lt;-2),"",#REF!),"")</f>
        <v/>
      </c>
      <c r="Q1210" s="0" t="str">
        <f aca="false">IFERROR(IF(OR(HLOOKUP($A1210,#REF!,15,FALSE())&gt;2,HLOOKUP($A1210,#REF!,15,FALSE())&lt;-2),"",#REF!),"")</f>
        <v/>
      </c>
      <c r="R1210" s="0" t="str">
        <f aca="false">IFERROR(IF(OR(HLOOKUP($A1210,#REF!,16,FALSE())&gt;2,HLOOKUP($A1210,#REF!,16,FALSE())&lt;-2),"",#REF!),"")</f>
        <v/>
      </c>
      <c r="S1210" s="0" t="str">
        <f aca="false">IFERROR(IF(OR(HLOOKUP($A1210,#REF!,17,FALSE())&gt;2,HLOOKUP($A1210,#REF!,17,FALSE())&lt;-2),"",#REF!),"")</f>
        <v/>
      </c>
      <c r="T1210" s="0" t="str">
        <f aca="false">IFERROR(IF(OR(HLOOKUP($A1210,#REF!,18,FALSE())&gt;2,HLOOKUP($A1210,#REF!,18,FALSE())&lt;-2),"",#REF!),"")</f>
        <v/>
      </c>
      <c r="U1210" s="0" t="str">
        <f aca="false">IFERROR(IF(OR(HLOOKUP($A1210,#REF!,19,FALSE())&gt;2,HLOOKUP($A1210,#REF!,19,FALSE())&lt;-2),"",#REF!),"")</f>
        <v/>
      </c>
      <c r="V1210" s="0" t="n">
        <f aca="false">IFERROR(IF(AND(X1210=0,Y1210=0),0,1),0)</f>
        <v>1</v>
      </c>
      <c r="W1210" s="3" t="str">
        <f aca="false">IFERROR(_xlfn.T.TEST(E1210:M1210,N1210:U1210,2,2),"")</f>
        <v/>
      </c>
      <c r="X1210" s="0" t="str">
        <f aca="false">IFERROR(AVERAGE(E1210:M1210),"")</f>
        <v/>
      </c>
      <c r="Y1210" s="0" t="str">
        <f aca="false">IFERROR(AVERAGE(N1210:U1210),"")</f>
        <v/>
      </c>
    </row>
    <row r="1211" customFormat="false" ht="14.5" hidden="false" customHeight="false" outlineLevel="0" collapsed="false">
      <c r="A1211" s="0" t="n">
        <v>2446</v>
      </c>
      <c r="B1211" s="0" t="s">
        <v>1251</v>
      </c>
      <c r="C1211" s="0" t="n">
        <v>38500</v>
      </c>
      <c r="D1211" s="0" t="n">
        <v>2423</v>
      </c>
      <c r="E1211" s="0" t="str">
        <f aca="false">IFERROR(IF(OR(HLOOKUP($A1211,#REF!,3,FALSE())&gt;2,HLOOKUP(A1211,#REF!,3,FALSE())&lt;-2),"",#REF!),"")</f>
        <v/>
      </c>
      <c r="F1211" s="0" t="str">
        <f aca="false">IFERROR(IF(OR(HLOOKUP($A1211,#REF!,4,FALSE())&gt;2,HLOOKUP($A1211,#REF!,4,FALSE())&lt;-2),"",#REF!),"")</f>
        <v/>
      </c>
      <c r="G1211" s="0" t="str">
        <f aca="false">IFERROR(IF(OR(HLOOKUP($A1211,#REF!,5,FALSE())&gt;2,HLOOKUP($A1211,#REF!,5,FALSE())&lt;-2),"",#REF!),"")</f>
        <v/>
      </c>
      <c r="H1211" s="0" t="str">
        <f aca="false">IFERROR(IF(OR(HLOOKUP($A1211,#REF!,6,FALSE())&gt;2,HLOOKUP($A1211,#REF!,6,FALSE())&lt;-2),"",#REF!),"")</f>
        <v/>
      </c>
      <c r="I1211" s="0" t="str">
        <f aca="false">IFERROR(IF(OR(HLOOKUP($A1211,#REF!,7,FALSE())&gt;2,HLOOKUP($A1211,#REF!,7,FALSE())&lt;-2),"",#REF!),"")</f>
        <v/>
      </c>
      <c r="J1211" s="0" t="str">
        <f aca="false">IFERROR(IF(OR(HLOOKUP($A1211,#REF!,8,FALSE())&gt;2,HLOOKUP($A1211,#REF!,8,FALSE())&lt;-2),"",#REF!),"")</f>
        <v/>
      </c>
      <c r="K1211" s="0" t="str">
        <f aca="false">IFERROR(IF(OR(HLOOKUP($A1211,#REF!,9,FALSE())&gt;2,HLOOKUP($A1211,#REF!,9,FALSE())&lt;-2),"",#REF!),"")</f>
        <v/>
      </c>
      <c r="L1211" s="0" t="str">
        <f aca="false">IFERROR(IF(OR(HLOOKUP($A1211,#REF!,10,FALSE())&gt;2,HLOOKUP($A1211,#REF!,10,FALSE())&lt;-2),"",#REF!),"")</f>
        <v/>
      </c>
      <c r="M1211" s="0" t="str">
        <f aca="false">IFERROR(IF(OR(HLOOKUP($A1211,#REF!,11,FALSE())&gt;2,HLOOKUP($A1211,#REF!,11,FALSE())&lt;-2),"",#REF!),"")</f>
        <v/>
      </c>
      <c r="N1211" s="0" t="str">
        <f aca="false">IFERROR(IF(OR(HLOOKUP($A1211,#REF!,12,FALSE())&gt;2,HLOOKUP($A1211,#REF!,12,FALSE())&lt;-2),"",#REF!),"")</f>
        <v/>
      </c>
      <c r="O1211" s="0" t="str">
        <f aca="false">IFERROR(IF(OR(HLOOKUP($A1211,#REF!,13,FALSE())&gt;2,HLOOKUP($A1211,#REF!,13,FALSE())&lt;-2),"",#REF!),"")</f>
        <v/>
      </c>
      <c r="P1211" s="0" t="str">
        <f aca="false">IFERROR(IF(OR(HLOOKUP($A1211,#REF!,14,FALSE())&gt;2,HLOOKUP($A1211,#REF!,14,FALSE())&lt;-2),"",#REF!),"")</f>
        <v/>
      </c>
      <c r="Q1211" s="0" t="str">
        <f aca="false">IFERROR(IF(OR(HLOOKUP($A1211,#REF!,15,FALSE())&gt;2,HLOOKUP($A1211,#REF!,15,FALSE())&lt;-2),"",#REF!),"")</f>
        <v/>
      </c>
      <c r="R1211" s="0" t="str">
        <f aca="false">IFERROR(IF(OR(HLOOKUP($A1211,#REF!,16,FALSE())&gt;2,HLOOKUP($A1211,#REF!,16,FALSE())&lt;-2),"",#REF!),"")</f>
        <v/>
      </c>
      <c r="S1211" s="0" t="str">
        <f aca="false">IFERROR(IF(OR(HLOOKUP($A1211,#REF!,17,FALSE())&gt;2,HLOOKUP($A1211,#REF!,17,FALSE())&lt;-2),"",#REF!),"")</f>
        <v/>
      </c>
      <c r="T1211" s="0" t="str">
        <f aca="false">IFERROR(IF(OR(HLOOKUP($A1211,#REF!,18,FALSE())&gt;2,HLOOKUP($A1211,#REF!,18,FALSE())&lt;-2),"",#REF!),"")</f>
        <v/>
      </c>
      <c r="U1211" s="0" t="str">
        <f aca="false">IFERROR(IF(OR(HLOOKUP($A1211,#REF!,19,FALSE())&gt;2,HLOOKUP($A1211,#REF!,19,FALSE())&lt;-2),"",#REF!),"")</f>
        <v/>
      </c>
      <c r="V1211" s="0" t="n">
        <f aca="false">IFERROR(IF(AND(X1211=0,Y1211=0),0,1),0)</f>
        <v>1</v>
      </c>
      <c r="W1211" s="3" t="str">
        <f aca="false">IFERROR(_xlfn.T.TEST(E1211:M1211,N1211:U1211,2,2),"")</f>
        <v/>
      </c>
      <c r="X1211" s="0" t="str">
        <f aca="false">IFERROR(AVERAGE(E1211:M1211),"")</f>
        <v/>
      </c>
      <c r="Y1211" s="0" t="str">
        <f aca="false">IFERROR(AVERAGE(N1211:U1211),"")</f>
        <v/>
      </c>
    </row>
    <row r="1212" customFormat="false" ht="14.5" hidden="false" customHeight="false" outlineLevel="0" collapsed="false">
      <c r="A1212" s="0" t="n">
        <v>2454</v>
      </c>
      <c r="B1212" s="0" t="s">
        <v>1252</v>
      </c>
      <c r="C1212" s="0" t="n">
        <v>38600</v>
      </c>
      <c r="D1212" s="0" t="n">
        <v>2423</v>
      </c>
      <c r="E1212" s="0" t="str">
        <f aca="false">IFERROR(IF(OR(HLOOKUP($A1212,#REF!,3,FALSE())&gt;2,HLOOKUP(A1212,#REF!,3,FALSE())&lt;-2),"",#REF!),"")</f>
        <v/>
      </c>
      <c r="F1212" s="0" t="str">
        <f aca="false">IFERROR(IF(OR(HLOOKUP($A1212,#REF!,4,FALSE())&gt;2,HLOOKUP($A1212,#REF!,4,FALSE())&lt;-2),"",#REF!),"")</f>
        <v/>
      </c>
      <c r="G1212" s="0" t="str">
        <f aca="false">IFERROR(IF(OR(HLOOKUP($A1212,#REF!,5,FALSE())&gt;2,HLOOKUP($A1212,#REF!,5,FALSE())&lt;-2),"",#REF!),"")</f>
        <v/>
      </c>
      <c r="H1212" s="0" t="str">
        <f aca="false">IFERROR(IF(OR(HLOOKUP($A1212,#REF!,6,FALSE())&gt;2,HLOOKUP($A1212,#REF!,6,FALSE())&lt;-2),"",#REF!),"")</f>
        <v/>
      </c>
      <c r="I1212" s="0" t="str">
        <f aca="false">IFERROR(IF(OR(HLOOKUP($A1212,#REF!,7,FALSE())&gt;2,HLOOKUP($A1212,#REF!,7,FALSE())&lt;-2),"",#REF!),"")</f>
        <v/>
      </c>
      <c r="J1212" s="0" t="str">
        <f aca="false">IFERROR(IF(OR(HLOOKUP($A1212,#REF!,8,FALSE())&gt;2,HLOOKUP($A1212,#REF!,8,FALSE())&lt;-2),"",#REF!),"")</f>
        <v/>
      </c>
      <c r="K1212" s="0" t="str">
        <f aca="false">IFERROR(IF(OR(HLOOKUP($A1212,#REF!,9,FALSE())&gt;2,HLOOKUP($A1212,#REF!,9,FALSE())&lt;-2),"",#REF!),"")</f>
        <v/>
      </c>
      <c r="L1212" s="0" t="str">
        <f aca="false">IFERROR(IF(OR(HLOOKUP($A1212,#REF!,10,FALSE())&gt;2,HLOOKUP($A1212,#REF!,10,FALSE())&lt;-2),"",#REF!),"")</f>
        <v/>
      </c>
      <c r="M1212" s="0" t="str">
        <f aca="false">IFERROR(IF(OR(HLOOKUP($A1212,#REF!,11,FALSE())&gt;2,HLOOKUP($A1212,#REF!,11,FALSE())&lt;-2),"",#REF!),"")</f>
        <v/>
      </c>
      <c r="N1212" s="0" t="str">
        <f aca="false">IFERROR(IF(OR(HLOOKUP($A1212,#REF!,12,FALSE())&gt;2,HLOOKUP($A1212,#REF!,12,FALSE())&lt;-2),"",#REF!),"")</f>
        <v/>
      </c>
      <c r="O1212" s="0" t="str">
        <f aca="false">IFERROR(IF(OR(HLOOKUP($A1212,#REF!,13,FALSE())&gt;2,HLOOKUP($A1212,#REF!,13,FALSE())&lt;-2),"",#REF!),"")</f>
        <v/>
      </c>
      <c r="P1212" s="0" t="str">
        <f aca="false">IFERROR(IF(OR(HLOOKUP($A1212,#REF!,14,FALSE())&gt;2,HLOOKUP($A1212,#REF!,14,FALSE())&lt;-2),"",#REF!),"")</f>
        <v/>
      </c>
      <c r="Q1212" s="0" t="str">
        <f aca="false">IFERROR(IF(OR(HLOOKUP($A1212,#REF!,15,FALSE())&gt;2,HLOOKUP($A1212,#REF!,15,FALSE())&lt;-2),"",#REF!),"")</f>
        <v/>
      </c>
      <c r="R1212" s="0" t="str">
        <f aca="false">IFERROR(IF(OR(HLOOKUP($A1212,#REF!,16,FALSE())&gt;2,HLOOKUP($A1212,#REF!,16,FALSE())&lt;-2),"",#REF!),"")</f>
        <v/>
      </c>
      <c r="S1212" s="0" t="str">
        <f aca="false">IFERROR(IF(OR(HLOOKUP($A1212,#REF!,17,FALSE())&gt;2,HLOOKUP($A1212,#REF!,17,FALSE())&lt;-2),"",#REF!),"")</f>
        <v/>
      </c>
      <c r="T1212" s="0" t="str">
        <f aca="false">IFERROR(IF(OR(HLOOKUP($A1212,#REF!,18,FALSE())&gt;2,HLOOKUP($A1212,#REF!,18,FALSE())&lt;-2),"",#REF!),"")</f>
        <v/>
      </c>
      <c r="U1212" s="0" t="str">
        <f aca="false">IFERROR(IF(OR(HLOOKUP($A1212,#REF!,19,FALSE())&gt;2,HLOOKUP($A1212,#REF!,19,FALSE())&lt;-2),"",#REF!),"")</f>
        <v/>
      </c>
      <c r="V1212" s="0" t="n">
        <f aca="false">IFERROR(IF(AND(X1212=0,Y1212=0),0,1),0)</f>
        <v>1</v>
      </c>
      <c r="W1212" s="3" t="str">
        <f aca="false">IFERROR(_xlfn.T.TEST(E1212:M1212,N1212:U1212,2,2),"")</f>
        <v/>
      </c>
      <c r="X1212" s="0" t="str">
        <f aca="false">IFERROR(AVERAGE(E1212:M1212),"")</f>
        <v/>
      </c>
      <c r="Y1212" s="0" t="str">
        <f aca="false">IFERROR(AVERAGE(N1212:U1212),"")</f>
        <v/>
      </c>
    </row>
    <row r="1213" customFormat="false" ht="14.5" hidden="false" customHeight="false" outlineLevel="0" collapsed="false">
      <c r="A1213" s="0" t="n">
        <v>2463</v>
      </c>
      <c r="B1213" s="0" t="s">
        <v>35</v>
      </c>
      <c r="C1213" s="0" t="n">
        <v>38700</v>
      </c>
      <c r="D1213" s="0" t="n">
        <v>2375</v>
      </c>
      <c r="E1213" s="0" t="str">
        <f aca="false">IFERROR(IF(OR(HLOOKUP($A1213,#REF!,3,FALSE())&gt;2,HLOOKUP(A1213,#REF!,3,FALSE())&lt;-2),"",#REF!),"")</f>
        <v/>
      </c>
      <c r="F1213" s="0" t="str">
        <f aca="false">IFERROR(IF(OR(HLOOKUP($A1213,#REF!,4,FALSE())&gt;2,HLOOKUP($A1213,#REF!,4,FALSE())&lt;-2),"",#REF!),"")</f>
        <v/>
      </c>
      <c r="G1213" s="0" t="str">
        <f aca="false">IFERROR(IF(OR(HLOOKUP($A1213,#REF!,5,FALSE())&gt;2,HLOOKUP($A1213,#REF!,5,FALSE())&lt;-2),"",#REF!),"")</f>
        <v/>
      </c>
      <c r="H1213" s="0" t="str">
        <f aca="false">IFERROR(IF(OR(HLOOKUP($A1213,#REF!,6,FALSE())&gt;2,HLOOKUP($A1213,#REF!,6,FALSE())&lt;-2),"",#REF!),"")</f>
        <v/>
      </c>
      <c r="I1213" s="0" t="str">
        <f aca="false">IFERROR(IF(OR(HLOOKUP($A1213,#REF!,7,FALSE())&gt;2,HLOOKUP($A1213,#REF!,7,FALSE())&lt;-2),"",#REF!),"")</f>
        <v/>
      </c>
      <c r="J1213" s="0" t="str">
        <f aca="false">IFERROR(IF(OR(HLOOKUP($A1213,#REF!,8,FALSE())&gt;2,HLOOKUP($A1213,#REF!,8,FALSE())&lt;-2),"",#REF!),"")</f>
        <v/>
      </c>
      <c r="K1213" s="0" t="str">
        <f aca="false">IFERROR(IF(OR(HLOOKUP($A1213,#REF!,9,FALSE())&gt;2,HLOOKUP($A1213,#REF!,9,FALSE())&lt;-2),"",#REF!),"")</f>
        <v/>
      </c>
      <c r="L1213" s="0" t="str">
        <f aca="false">IFERROR(IF(OR(HLOOKUP($A1213,#REF!,10,FALSE())&gt;2,HLOOKUP($A1213,#REF!,10,FALSE())&lt;-2),"",#REF!),"")</f>
        <v/>
      </c>
      <c r="M1213" s="0" t="str">
        <f aca="false">IFERROR(IF(OR(HLOOKUP($A1213,#REF!,11,FALSE())&gt;2,HLOOKUP($A1213,#REF!,11,FALSE())&lt;-2),"",#REF!),"")</f>
        <v/>
      </c>
      <c r="N1213" s="0" t="str">
        <f aca="false">IFERROR(IF(OR(HLOOKUP($A1213,#REF!,12,FALSE())&gt;2,HLOOKUP($A1213,#REF!,12,FALSE())&lt;-2),"",#REF!),"")</f>
        <v/>
      </c>
      <c r="O1213" s="0" t="str">
        <f aca="false">IFERROR(IF(OR(HLOOKUP($A1213,#REF!,13,FALSE())&gt;2,HLOOKUP($A1213,#REF!,13,FALSE())&lt;-2),"",#REF!),"")</f>
        <v/>
      </c>
      <c r="P1213" s="0" t="str">
        <f aca="false">IFERROR(IF(OR(HLOOKUP($A1213,#REF!,14,FALSE())&gt;2,HLOOKUP($A1213,#REF!,14,FALSE())&lt;-2),"",#REF!),"")</f>
        <v/>
      </c>
      <c r="Q1213" s="0" t="str">
        <f aca="false">IFERROR(IF(OR(HLOOKUP($A1213,#REF!,15,FALSE())&gt;2,HLOOKUP($A1213,#REF!,15,FALSE())&lt;-2),"",#REF!),"")</f>
        <v/>
      </c>
      <c r="R1213" s="0" t="str">
        <f aca="false">IFERROR(IF(OR(HLOOKUP($A1213,#REF!,16,FALSE())&gt;2,HLOOKUP($A1213,#REF!,16,FALSE())&lt;-2),"",#REF!),"")</f>
        <v/>
      </c>
      <c r="S1213" s="0" t="str">
        <f aca="false">IFERROR(IF(OR(HLOOKUP($A1213,#REF!,17,FALSE())&gt;2,HLOOKUP($A1213,#REF!,17,FALSE())&lt;-2),"",#REF!),"")</f>
        <v/>
      </c>
      <c r="T1213" s="0" t="str">
        <f aca="false">IFERROR(IF(OR(HLOOKUP($A1213,#REF!,18,FALSE())&gt;2,HLOOKUP($A1213,#REF!,18,FALSE())&lt;-2),"",#REF!),"")</f>
        <v/>
      </c>
      <c r="U1213" s="0" t="str">
        <f aca="false">IFERROR(IF(OR(HLOOKUP($A1213,#REF!,19,FALSE())&gt;2,HLOOKUP($A1213,#REF!,19,FALSE())&lt;-2),"",#REF!),"")</f>
        <v/>
      </c>
      <c r="V1213" s="0" t="n">
        <f aca="false">IFERROR(IF(AND(X1213=0,Y1213=0),0,1),0)</f>
        <v>1</v>
      </c>
      <c r="W1213" s="3" t="str">
        <f aca="false">IFERROR(_xlfn.T.TEST(E1213:M1213,N1213:U1213,2,2),"")</f>
        <v/>
      </c>
      <c r="X1213" s="0" t="str">
        <f aca="false">IFERROR(AVERAGE(E1213:M1213),"")</f>
        <v/>
      </c>
      <c r="Y1213" s="0" t="str">
        <f aca="false">IFERROR(AVERAGE(N1213:U1213),"")</f>
        <v/>
      </c>
    </row>
    <row r="1214" customFormat="false" ht="14.5" hidden="false" customHeight="false" outlineLevel="0" collapsed="false">
      <c r="A1214" s="0" t="n">
        <v>2471</v>
      </c>
      <c r="B1214" s="0" t="s">
        <v>1253</v>
      </c>
      <c r="C1214" s="0" t="n">
        <v>38800</v>
      </c>
      <c r="D1214" s="0" t="n">
        <v>2463</v>
      </c>
      <c r="E1214" s="0" t="str">
        <f aca="false">IFERROR(IF(OR(HLOOKUP($A1214,#REF!,3,FALSE())&gt;2,HLOOKUP(A1214,#REF!,3,FALSE())&lt;-2),"",#REF!),"")</f>
        <v/>
      </c>
      <c r="F1214" s="0" t="str">
        <f aca="false">IFERROR(IF(OR(HLOOKUP($A1214,#REF!,4,FALSE())&gt;2,HLOOKUP($A1214,#REF!,4,FALSE())&lt;-2),"",#REF!),"")</f>
        <v/>
      </c>
      <c r="G1214" s="0" t="str">
        <f aca="false">IFERROR(IF(OR(HLOOKUP($A1214,#REF!,5,FALSE())&gt;2,HLOOKUP($A1214,#REF!,5,FALSE())&lt;-2),"",#REF!),"")</f>
        <v/>
      </c>
      <c r="H1214" s="0" t="str">
        <f aca="false">IFERROR(IF(OR(HLOOKUP($A1214,#REF!,6,FALSE())&gt;2,HLOOKUP($A1214,#REF!,6,FALSE())&lt;-2),"",#REF!),"")</f>
        <v/>
      </c>
      <c r="I1214" s="0" t="str">
        <f aca="false">IFERROR(IF(OR(HLOOKUP($A1214,#REF!,7,FALSE())&gt;2,HLOOKUP($A1214,#REF!,7,FALSE())&lt;-2),"",#REF!),"")</f>
        <v/>
      </c>
      <c r="J1214" s="0" t="str">
        <f aca="false">IFERROR(IF(OR(HLOOKUP($A1214,#REF!,8,FALSE())&gt;2,HLOOKUP($A1214,#REF!,8,FALSE())&lt;-2),"",#REF!),"")</f>
        <v/>
      </c>
      <c r="K1214" s="0" t="str">
        <f aca="false">IFERROR(IF(OR(HLOOKUP($A1214,#REF!,9,FALSE())&gt;2,HLOOKUP($A1214,#REF!,9,FALSE())&lt;-2),"",#REF!),"")</f>
        <v/>
      </c>
      <c r="L1214" s="0" t="str">
        <f aca="false">IFERROR(IF(OR(HLOOKUP($A1214,#REF!,10,FALSE())&gt;2,HLOOKUP($A1214,#REF!,10,FALSE())&lt;-2),"",#REF!),"")</f>
        <v/>
      </c>
      <c r="M1214" s="0" t="str">
        <f aca="false">IFERROR(IF(OR(HLOOKUP($A1214,#REF!,11,FALSE())&gt;2,HLOOKUP($A1214,#REF!,11,FALSE())&lt;-2),"",#REF!),"")</f>
        <v/>
      </c>
      <c r="N1214" s="0" t="str">
        <f aca="false">IFERROR(IF(OR(HLOOKUP($A1214,#REF!,12,FALSE())&gt;2,HLOOKUP($A1214,#REF!,12,FALSE())&lt;-2),"",#REF!),"")</f>
        <v/>
      </c>
      <c r="O1214" s="0" t="str">
        <f aca="false">IFERROR(IF(OR(HLOOKUP($A1214,#REF!,13,FALSE())&gt;2,HLOOKUP($A1214,#REF!,13,FALSE())&lt;-2),"",#REF!),"")</f>
        <v/>
      </c>
      <c r="P1214" s="0" t="str">
        <f aca="false">IFERROR(IF(OR(HLOOKUP($A1214,#REF!,14,FALSE())&gt;2,HLOOKUP($A1214,#REF!,14,FALSE())&lt;-2),"",#REF!),"")</f>
        <v/>
      </c>
      <c r="Q1214" s="0" t="str">
        <f aca="false">IFERROR(IF(OR(HLOOKUP($A1214,#REF!,15,FALSE())&gt;2,HLOOKUP($A1214,#REF!,15,FALSE())&lt;-2),"",#REF!),"")</f>
        <v/>
      </c>
      <c r="R1214" s="0" t="str">
        <f aca="false">IFERROR(IF(OR(HLOOKUP($A1214,#REF!,16,FALSE())&gt;2,HLOOKUP($A1214,#REF!,16,FALSE())&lt;-2),"",#REF!),"")</f>
        <v/>
      </c>
      <c r="S1214" s="0" t="str">
        <f aca="false">IFERROR(IF(OR(HLOOKUP($A1214,#REF!,17,FALSE())&gt;2,HLOOKUP($A1214,#REF!,17,FALSE())&lt;-2),"",#REF!),"")</f>
        <v/>
      </c>
      <c r="T1214" s="0" t="str">
        <f aca="false">IFERROR(IF(OR(HLOOKUP($A1214,#REF!,18,FALSE())&gt;2,HLOOKUP($A1214,#REF!,18,FALSE())&lt;-2),"",#REF!),"")</f>
        <v/>
      </c>
      <c r="U1214" s="0" t="str">
        <f aca="false">IFERROR(IF(OR(HLOOKUP($A1214,#REF!,19,FALSE())&gt;2,HLOOKUP($A1214,#REF!,19,FALSE())&lt;-2),"",#REF!),"")</f>
        <v/>
      </c>
      <c r="V1214" s="0" t="n">
        <f aca="false">IFERROR(IF(AND(X1214=0,Y1214=0),0,1),0)</f>
        <v>1</v>
      </c>
      <c r="W1214" s="3" t="str">
        <f aca="false">IFERROR(_xlfn.T.TEST(E1214:M1214,N1214:U1214,2,2),"")</f>
        <v/>
      </c>
      <c r="X1214" s="0" t="str">
        <f aca="false">IFERROR(AVERAGE(E1214:M1214),"")</f>
        <v/>
      </c>
      <c r="Y1214" s="0" t="str">
        <f aca="false">IFERROR(AVERAGE(N1214:U1214),"")</f>
        <v/>
      </c>
    </row>
    <row r="1215" customFormat="false" ht="14.5" hidden="false" customHeight="false" outlineLevel="0" collapsed="false">
      <c r="A1215" s="0" t="n">
        <v>2479</v>
      </c>
      <c r="B1215" s="0" t="s">
        <v>1254</v>
      </c>
      <c r="C1215" s="0" t="n">
        <v>38900</v>
      </c>
      <c r="D1215" s="0" t="n">
        <v>2463</v>
      </c>
      <c r="E1215" s="0" t="str">
        <f aca="false">IFERROR(IF(OR(HLOOKUP($A1215,#REF!,3,FALSE())&gt;2,HLOOKUP(A1215,#REF!,3,FALSE())&lt;-2),"",#REF!),"")</f>
        <v/>
      </c>
      <c r="F1215" s="0" t="str">
        <f aca="false">IFERROR(IF(OR(HLOOKUP($A1215,#REF!,4,FALSE())&gt;2,HLOOKUP($A1215,#REF!,4,FALSE())&lt;-2),"",#REF!),"")</f>
        <v/>
      </c>
      <c r="G1215" s="0" t="str">
        <f aca="false">IFERROR(IF(OR(HLOOKUP($A1215,#REF!,5,FALSE())&gt;2,HLOOKUP($A1215,#REF!,5,FALSE())&lt;-2),"",#REF!),"")</f>
        <v/>
      </c>
      <c r="H1215" s="0" t="str">
        <f aca="false">IFERROR(IF(OR(HLOOKUP($A1215,#REF!,6,FALSE())&gt;2,HLOOKUP($A1215,#REF!,6,FALSE())&lt;-2),"",#REF!),"")</f>
        <v/>
      </c>
      <c r="I1215" s="0" t="str">
        <f aca="false">IFERROR(IF(OR(HLOOKUP($A1215,#REF!,7,FALSE())&gt;2,HLOOKUP($A1215,#REF!,7,FALSE())&lt;-2),"",#REF!),"")</f>
        <v/>
      </c>
      <c r="J1215" s="0" t="str">
        <f aca="false">IFERROR(IF(OR(HLOOKUP($A1215,#REF!,8,FALSE())&gt;2,HLOOKUP($A1215,#REF!,8,FALSE())&lt;-2),"",#REF!),"")</f>
        <v/>
      </c>
      <c r="K1215" s="0" t="str">
        <f aca="false">IFERROR(IF(OR(HLOOKUP($A1215,#REF!,9,FALSE())&gt;2,HLOOKUP($A1215,#REF!,9,FALSE())&lt;-2),"",#REF!),"")</f>
        <v/>
      </c>
      <c r="L1215" s="0" t="str">
        <f aca="false">IFERROR(IF(OR(HLOOKUP($A1215,#REF!,10,FALSE())&gt;2,HLOOKUP($A1215,#REF!,10,FALSE())&lt;-2),"",#REF!),"")</f>
        <v/>
      </c>
      <c r="M1215" s="0" t="str">
        <f aca="false">IFERROR(IF(OR(HLOOKUP($A1215,#REF!,11,FALSE())&gt;2,HLOOKUP($A1215,#REF!,11,FALSE())&lt;-2),"",#REF!),"")</f>
        <v/>
      </c>
      <c r="N1215" s="0" t="str">
        <f aca="false">IFERROR(IF(OR(HLOOKUP($A1215,#REF!,12,FALSE())&gt;2,HLOOKUP($A1215,#REF!,12,FALSE())&lt;-2),"",#REF!),"")</f>
        <v/>
      </c>
      <c r="O1215" s="0" t="str">
        <f aca="false">IFERROR(IF(OR(HLOOKUP($A1215,#REF!,13,FALSE())&gt;2,HLOOKUP($A1215,#REF!,13,FALSE())&lt;-2),"",#REF!),"")</f>
        <v/>
      </c>
      <c r="P1215" s="0" t="str">
        <f aca="false">IFERROR(IF(OR(HLOOKUP($A1215,#REF!,14,FALSE())&gt;2,HLOOKUP($A1215,#REF!,14,FALSE())&lt;-2),"",#REF!),"")</f>
        <v/>
      </c>
      <c r="Q1215" s="0" t="str">
        <f aca="false">IFERROR(IF(OR(HLOOKUP($A1215,#REF!,15,FALSE())&gt;2,HLOOKUP($A1215,#REF!,15,FALSE())&lt;-2),"",#REF!),"")</f>
        <v/>
      </c>
      <c r="R1215" s="0" t="str">
        <f aca="false">IFERROR(IF(OR(HLOOKUP($A1215,#REF!,16,FALSE())&gt;2,HLOOKUP($A1215,#REF!,16,FALSE())&lt;-2),"",#REF!),"")</f>
        <v/>
      </c>
      <c r="S1215" s="0" t="str">
        <f aca="false">IFERROR(IF(OR(HLOOKUP($A1215,#REF!,17,FALSE())&gt;2,HLOOKUP($A1215,#REF!,17,FALSE())&lt;-2),"",#REF!),"")</f>
        <v/>
      </c>
      <c r="T1215" s="0" t="str">
        <f aca="false">IFERROR(IF(OR(HLOOKUP($A1215,#REF!,18,FALSE())&gt;2,HLOOKUP($A1215,#REF!,18,FALSE())&lt;-2),"",#REF!),"")</f>
        <v/>
      </c>
      <c r="U1215" s="0" t="str">
        <f aca="false">IFERROR(IF(OR(HLOOKUP($A1215,#REF!,19,FALSE())&gt;2,HLOOKUP($A1215,#REF!,19,FALSE())&lt;-2),"",#REF!),"")</f>
        <v/>
      </c>
      <c r="V1215" s="0" t="n">
        <f aca="false">IFERROR(IF(AND(X1215=0,Y1215=0),0,1),0)</f>
        <v>1</v>
      </c>
      <c r="W1215" s="3" t="str">
        <f aca="false">IFERROR(_xlfn.T.TEST(E1215:M1215,N1215:U1215,2,2),"")</f>
        <v/>
      </c>
      <c r="X1215" s="0" t="str">
        <f aca="false">IFERROR(AVERAGE(E1215:M1215),"")</f>
        <v/>
      </c>
      <c r="Y1215" s="0" t="str">
        <f aca="false">IFERROR(AVERAGE(N1215:U1215),"")</f>
        <v/>
      </c>
    </row>
    <row r="1216" customFormat="false" ht="14.5" hidden="false" customHeight="false" outlineLevel="0" collapsed="false">
      <c r="A1216" s="0" t="n">
        <v>2486</v>
      </c>
      <c r="B1216" s="0" t="s">
        <v>1255</v>
      </c>
      <c r="C1216" s="0" t="n">
        <v>39000</v>
      </c>
      <c r="D1216" s="0" t="n">
        <v>2463</v>
      </c>
      <c r="E1216" s="0" t="str">
        <f aca="false">IFERROR(IF(OR(HLOOKUP($A1216,#REF!,3,FALSE())&gt;2,HLOOKUP(A1216,#REF!,3,FALSE())&lt;-2),"",#REF!),"")</f>
        <v/>
      </c>
      <c r="F1216" s="0" t="str">
        <f aca="false">IFERROR(IF(OR(HLOOKUP($A1216,#REF!,4,FALSE())&gt;2,HLOOKUP($A1216,#REF!,4,FALSE())&lt;-2),"",#REF!),"")</f>
        <v/>
      </c>
      <c r="G1216" s="0" t="str">
        <f aca="false">IFERROR(IF(OR(HLOOKUP($A1216,#REF!,5,FALSE())&gt;2,HLOOKUP($A1216,#REF!,5,FALSE())&lt;-2),"",#REF!),"")</f>
        <v/>
      </c>
      <c r="H1216" s="0" t="str">
        <f aca="false">IFERROR(IF(OR(HLOOKUP($A1216,#REF!,6,FALSE())&gt;2,HLOOKUP($A1216,#REF!,6,FALSE())&lt;-2),"",#REF!),"")</f>
        <v/>
      </c>
      <c r="I1216" s="0" t="str">
        <f aca="false">IFERROR(IF(OR(HLOOKUP($A1216,#REF!,7,FALSE())&gt;2,HLOOKUP($A1216,#REF!,7,FALSE())&lt;-2),"",#REF!),"")</f>
        <v/>
      </c>
      <c r="J1216" s="0" t="str">
        <f aca="false">IFERROR(IF(OR(HLOOKUP($A1216,#REF!,8,FALSE())&gt;2,HLOOKUP($A1216,#REF!,8,FALSE())&lt;-2),"",#REF!),"")</f>
        <v/>
      </c>
      <c r="K1216" s="0" t="str">
        <f aca="false">IFERROR(IF(OR(HLOOKUP($A1216,#REF!,9,FALSE())&gt;2,HLOOKUP($A1216,#REF!,9,FALSE())&lt;-2),"",#REF!),"")</f>
        <v/>
      </c>
      <c r="L1216" s="0" t="str">
        <f aca="false">IFERROR(IF(OR(HLOOKUP($A1216,#REF!,10,FALSE())&gt;2,HLOOKUP($A1216,#REF!,10,FALSE())&lt;-2),"",#REF!),"")</f>
        <v/>
      </c>
      <c r="M1216" s="0" t="str">
        <f aca="false">IFERROR(IF(OR(HLOOKUP($A1216,#REF!,11,FALSE())&gt;2,HLOOKUP($A1216,#REF!,11,FALSE())&lt;-2),"",#REF!),"")</f>
        <v/>
      </c>
      <c r="N1216" s="0" t="str">
        <f aca="false">IFERROR(IF(OR(HLOOKUP($A1216,#REF!,12,FALSE())&gt;2,HLOOKUP($A1216,#REF!,12,FALSE())&lt;-2),"",#REF!),"")</f>
        <v/>
      </c>
      <c r="O1216" s="0" t="str">
        <f aca="false">IFERROR(IF(OR(HLOOKUP($A1216,#REF!,13,FALSE())&gt;2,HLOOKUP($A1216,#REF!,13,FALSE())&lt;-2),"",#REF!),"")</f>
        <v/>
      </c>
      <c r="P1216" s="0" t="str">
        <f aca="false">IFERROR(IF(OR(HLOOKUP($A1216,#REF!,14,FALSE())&gt;2,HLOOKUP($A1216,#REF!,14,FALSE())&lt;-2),"",#REF!),"")</f>
        <v/>
      </c>
      <c r="Q1216" s="0" t="str">
        <f aca="false">IFERROR(IF(OR(HLOOKUP($A1216,#REF!,15,FALSE())&gt;2,HLOOKUP($A1216,#REF!,15,FALSE())&lt;-2),"",#REF!),"")</f>
        <v/>
      </c>
      <c r="R1216" s="0" t="str">
        <f aca="false">IFERROR(IF(OR(HLOOKUP($A1216,#REF!,16,FALSE())&gt;2,HLOOKUP($A1216,#REF!,16,FALSE())&lt;-2),"",#REF!),"")</f>
        <v/>
      </c>
      <c r="S1216" s="0" t="str">
        <f aca="false">IFERROR(IF(OR(HLOOKUP($A1216,#REF!,17,FALSE())&gt;2,HLOOKUP($A1216,#REF!,17,FALSE())&lt;-2),"",#REF!),"")</f>
        <v/>
      </c>
      <c r="T1216" s="0" t="str">
        <f aca="false">IFERROR(IF(OR(HLOOKUP($A1216,#REF!,18,FALSE())&gt;2,HLOOKUP($A1216,#REF!,18,FALSE())&lt;-2),"",#REF!),"")</f>
        <v/>
      </c>
      <c r="U1216" s="0" t="str">
        <f aca="false">IFERROR(IF(OR(HLOOKUP($A1216,#REF!,19,FALSE())&gt;2,HLOOKUP($A1216,#REF!,19,FALSE())&lt;-2),"",#REF!),"")</f>
        <v/>
      </c>
      <c r="V1216" s="0" t="n">
        <f aca="false">IFERROR(IF(AND(X1216=0,Y1216=0),0,1),0)</f>
        <v>1</v>
      </c>
      <c r="W1216" s="3" t="str">
        <f aca="false">IFERROR(_xlfn.T.TEST(E1216:M1216,N1216:U1216,2,2),"")</f>
        <v/>
      </c>
      <c r="X1216" s="0" t="str">
        <f aca="false">IFERROR(AVERAGE(E1216:M1216),"")</f>
        <v/>
      </c>
      <c r="Y1216" s="0" t="str">
        <f aca="false">IFERROR(AVERAGE(N1216:U1216),"")</f>
        <v/>
      </c>
    </row>
    <row r="1217" customFormat="false" ht="14.5" hidden="false" customHeight="false" outlineLevel="0" collapsed="false">
      <c r="A1217" s="0" t="n">
        <v>2495</v>
      </c>
      <c r="B1217" s="0" t="s">
        <v>1256</v>
      </c>
      <c r="C1217" s="0" t="n">
        <v>39100</v>
      </c>
      <c r="D1217" s="0" t="n">
        <v>2463</v>
      </c>
      <c r="E1217" s="0" t="str">
        <f aca="false">IFERROR(IF(OR(HLOOKUP($A1217,#REF!,3,FALSE())&gt;2,HLOOKUP(A1217,#REF!,3,FALSE())&lt;-2),"",#REF!),"")</f>
        <v/>
      </c>
      <c r="F1217" s="0" t="str">
        <f aca="false">IFERROR(IF(OR(HLOOKUP($A1217,#REF!,4,FALSE())&gt;2,HLOOKUP($A1217,#REF!,4,FALSE())&lt;-2),"",#REF!),"")</f>
        <v/>
      </c>
      <c r="G1217" s="0" t="str">
        <f aca="false">IFERROR(IF(OR(HLOOKUP($A1217,#REF!,5,FALSE())&gt;2,HLOOKUP($A1217,#REF!,5,FALSE())&lt;-2),"",#REF!),"")</f>
        <v/>
      </c>
      <c r="H1217" s="0" t="str">
        <f aca="false">IFERROR(IF(OR(HLOOKUP($A1217,#REF!,6,FALSE())&gt;2,HLOOKUP($A1217,#REF!,6,FALSE())&lt;-2),"",#REF!),"")</f>
        <v/>
      </c>
      <c r="I1217" s="0" t="str">
        <f aca="false">IFERROR(IF(OR(HLOOKUP($A1217,#REF!,7,FALSE())&gt;2,HLOOKUP($A1217,#REF!,7,FALSE())&lt;-2),"",#REF!),"")</f>
        <v/>
      </c>
      <c r="J1217" s="0" t="str">
        <f aca="false">IFERROR(IF(OR(HLOOKUP($A1217,#REF!,8,FALSE())&gt;2,HLOOKUP($A1217,#REF!,8,FALSE())&lt;-2),"",#REF!),"")</f>
        <v/>
      </c>
      <c r="K1217" s="0" t="str">
        <f aca="false">IFERROR(IF(OR(HLOOKUP($A1217,#REF!,9,FALSE())&gt;2,HLOOKUP($A1217,#REF!,9,FALSE())&lt;-2),"",#REF!),"")</f>
        <v/>
      </c>
      <c r="L1217" s="0" t="str">
        <f aca="false">IFERROR(IF(OR(HLOOKUP($A1217,#REF!,10,FALSE())&gt;2,HLOOKUP($A1217,#REF!,10,FALSE())&lt;-2),"",#REF!),"")</f>
        <v/>
      </c>
      <c r="M1217" s="0" t="str">
        <f aca="false">IFERROR(IF(OR(HLOOKUP($A1217,#REF!,11,FALSE())&gt;2,HLOOKUP($A1217,#REF!,11,FALSE())&lt;-2),"",#REF!),"")</f>
        <v/>
      </c>
      <c r="N1217" s="0" t="str">
        <f aca="false">IFERROR(IF(OR(HLOOKUP($A1217,#REF!,12,FALSE())&gt;2,HLOOKUP($A1217,#REF!,12,FALSE())&lt;-2),"",#REF!),"")</f>
        <v/>
      </c>
      <c r="O1217" s="0" t="str">
        <f aca="false">IFERROR(IF(OR(HLOOKUP($A1217,#REF!,13,FALSE())&gt;2,HLOOKUP($A1217,#REF!,13,FALSE())&lt;-2),"",#REF!),"")</f>
        <v/>
      </c>
      <c r="P1217" s="0" t="str">
        <f aca="false">IFERROR(IF(OR(HLOOKUP($A1217,#REF!,14,FALSE())&gt;2,HLOOKUP($A1217,#REF!,14,FALSE())&lt;-2),"",#REF!),"")</f>
        <v/>
      </c>
      <c r="Q1217" s="0" t="str">
        <f aca="false">IFERROR(IF(OR(HLOOKUP($A1217,#REF!,15,FALSE())&gt;2,HLOOKUP($A1217,#REF!,15,FALSE())&lt;-2),"",#REF!),"")</f>
        <v/>
      </c>
      <c r="R1217" s="0" t="str">
        <f aca="false">IFERROR(IF(OR(HLOOKUP($A1217,#REF!,16,FALSE())&gt;2,HLOOKUP($A1217,#REF!,16,FALSE())&lt;-2),"",#REF!),"")</f>
        <v/>
      </c>
      <c r="S1217" s="0" t="str">
        <f aca="false">IFERROR(IF(OR(HLOOKUP($A1217,#REF!,17,FALSE())&gt;2,HLOOKUP($A1217,#REF!,17,FALSE())&lt;-2),"",#REF!),"")</f>
        <v/>
      </c>
      <c r="T1217" s="0" t="str">
        <f aca="false">IFERROR(IF(OR(HLOOKUP($A1217,#REF!,18,FALSE())&gt;2,HLOOKUP($A1217,#REF!,18,FALSE())&lt;-2),"",#REF!),"")</f>
        <v/>
      </c>
      <c r="U1217" s="0" t="str">
        <f aca="false">IFERROR(IF(OR(HLOOKUP($A1217,#REF!,19,FALSE())&gt;2,HLOOKUP($A1217,#REF!,19,FALSE())&lt;-2),"",#REF!),"")</f>
        <v/>
      </c>
      <c r="V1217" s="0" t="n">
        <f aca="false">IFERROR(IF(AND(X1217=0,Y1217=0),0,1),0)</f>
        <v>1</v>
      </c>
      <c r="W1217" s="3" t="str">
        <f aca="false">IFERROR(_xlfn.T.TEST(E1217:M1217,N1217:U1217,2,2),"")</f>
        <v/>
      </c>
      <c r="X1217" s="0" t="str">
        <f aca="false">IFERROR(AVERAGE(E1217:M1217),"")</f>
        <v/>
      </c>
      <c r="Y1217" s="0" t="str">
        <f aca="false">IFERROR(AVERAGE(N1217:U1217),"")</f>
        <v/>
      </c>
    </row>
    <row r="1218" customFormat="false" ht="14.5" hidden="false" customHeight="false" outlineLevel="0" collapsed="false">
      <c r="A1218" s="0" t="n">
        <v>2504</v>
      </c>
      <c r="B1218" s="0" t="s">
        <v>1257</v>
      </c>
      <c r="C1218" s="0" t="n">
        <v>39200</v>
      </c>
      <c r="D1218" s="0" t="n">
        <v>2463</v>
      </c>
      <c r="E1218" s="0" t="str">
        <f aca="false">IFERROR(IF(OR(HLOOKUP($A1218,#REF!,3,FALSE())&gt;2,HLOOKUP(A1218,#REF!,3,FALSE())&lt;-2),"",#REF!),"")</f>
        <v/>
      </c>
      <c r="F1218" s="0" t="str">
        <f aca="false">IFERROR(IF(OR(HLOOKUP($A1218,#REF!,4,FALSE())&gt;2,HLOOKUP($A1218,#REF!,4,FALSE())&lt;-2),"",#REF!),"")</f>
        <v/>
      </c>
      <c r="G1218" s="0" t="str">
        <f aca="false">IFERROR(IF(OR(HLOOKUP($A1218,#REF!,5,FALSE())&gt;2,HLOOKUP($A1218,#REF!,5,FALSE())&lt;-2),"",#REF!),"")</f>
        <v/>
      </c>
      <c r="H1218" s="0" t="str">
        <f aca="false">IFERROR(IF(OR(HLOOKUP($A1218,#REF!,6,FALSE())&gt;2,HLOOKUP($A1218,#REF!,6,FALSE())&lt;-2),"",#REF!),"")</f>
        <v/>
      </c>
      <c r="I1218" s="0" t="str">
        <f aca="false">IFERROR(IF(OR(HLOOKUP($A1218,#REF!,7,FALSE())&gt;2,HLOOKUP($A1218,#REF!,7,FALSE())&lt;-2),"",#REF!),"")</f>
        <v/>
      </c>
      <c r="J1218" s="0" t="str">
        <f aca="false">IFERROR(IF(OR(HLOOKUP($A1218,#REF!,8,FALSE())&gt;2,HLOOKUP($A1218,#REF!,8,FALSE())&lt;-2),"",#REF!),"")</f>
        <v/>
      </c>
      <c r="K1218" s="0" t="str">
        <f aca="false">IFERROR(IF(OR(HLOOKUP($A1218,#REF!,9,FALSE())&gt;2,HLOOKUP($A1218,#REF!,9,FALSE())&lt;-2),"",#REF!),"")</f>
        <v/>
      </c>
      <c r="L1218" s="0" t="str">
        <f aca="false">IFERROR(IF(OR(HLOOKUP($A1218,#REF!,10,FALSE())&gt;2,HLOOKUP($A1218,#REF!,10,FALSE())&lt;-2),"",#REF!),"")</f>
        <v/>
      </c>
      <c r="M1218" s="0" t="str">
        <f aca="false">IFERROR(IF(OR(HLOOKUP($A1218,#REF!,11,FALSE())&gt;2,HLOOKUP($A1218,#REF!,11,FALSE())&lt;-2),"",#REF!),"")</f>
        <v/>
      </c>
      <c r="N1218" s="0" t="str">
        <f aca="false">IFERROR(IF(OR(HLOOKUP($A1218,#REF!,12,FALSE())&gt;2,HLOOKUP($A1218,#REF!,12,FALSE())&lt;-2),"",#REF!),"")</f>
        <v/>
      </c>
      <c r="O1218" s="0" t="str">
        <f aca="false">IFERROR(IF(OR(HLOOKUP($A1218,#REF!,13,FALSE())&gt;2,HLOOKUP($A1218,#REF!,13,FALSE())&lt;-2),"",#REF!),"")</f>
        <v/>
      </c>
      <c r="P1218" s="0" t="str">
        <f aca="false">IFERROR(IF(OR(HLOOKUP($A1218,#REF!,14,FALSE())&gt;2,HLOOKUP($A1218,#REF!,14,FALSE())&lt;-2),"",#REF!),"")</f>
        <v/>
      </c>
      <c r="Q1218" s="0" t="str">
        <f aca="false">IFERROR(IF(OR(HLOOKUP($A1218,#REF!,15,FALSE())&gt;2,HLOOKUP($A1218,#REF!,15,FALSE())&lt;-2),"",#REF!),"")</f>
        <v/>
      </c>
      <c r="R1218" s="0" t="str">
        <f aca="false">IFERROR(IF(OR(HLOOKUP($A1218,#REF!,16,FALSE())&gt;2,HLOOKUP($A1218,#REF!,16,FALSE())&lt;-2),"",#REF!),"")</f>
        <v/>
      </c>
      <c r="S1218" s="0" t="str">
        <f aca="false">IFERROR(IF(OR(HLOOKUP($A1218,#REF!,17,FALSE())&gt;2,HLOOKUP($A1218,#REF!,17,FALSE())&lt;-2),"",#REF!),"")</f>
        <v/>
      </c>
      <c r="T1218" s="0" t="str">
        <f aca="false">IFERROR(IF(OR(HLOOKUP($A1218,#REF!,18,FALSE())&gt;2,HLOOKUP($A1218,#REF!,18,FALSE())&lt;-2),"",#REF!),"")</f>
        <v/>
      </c>
      <c r="U1218" s="0" t="str">
        <f aca="false">IFERROR(IF(OR(HLOOKUP($A1218,#REF!,19,FALSE())&gt;2,HLOOKUP($A1218,#REF!,19,FALSE())&lt;-2),"",#REF!),"")</f>
        <v/>
      </c>
      <c r="V1218" s="0" t="n">
        <f aca="false">IFERROR(IF(AND(X1218=0,Y1218=0),0,1),0)</f>
        <v>1</v>
      </c>
      <c r="W1218" s="3" t="str">
        <f aca="false">IFERROR(_xlfn.T.TEST(E1218:M1218,N1218:U1218,2,2),"")</f>
        <v/>
      </c>
      <c r="X1218" s="0" t="str">
        <f aca="false">IFERROR(AVERAGE(E1218:M1218),"")</f>
        <v/>
      </c>
      <c r="Y1218" s="0" t="str">
        <f aca="false">IFERROR(AVERAGE(N1218:U1218),"")</f>
        <v/>
      </c>
    </row>
    <row r="1219" customFormat="false" ht="14.5" hidden="false" customHeight="false" outlineLevel="0" collapsed="false">
      <c r="A1219" s="0" t="n">
        <v>2632</v>
      </c>
      <c r="B1219" s="0" t="s">
        <v>53</v>
      </c>
      <c r="C1219" s="0" t="n">
        <v>39600</v>
      </c>
      <c r="D1219" s="0" t="n">
        <v>2726</v>
      </c>
      <c r="E1219" s="0" t="str">
        <f aca="false">IFERROR(IF(OR(HLOOKUP($A1219,#REF!,3,FALSE())&gt;2,HLOOKUP(A1219,#REF!,3,FALSE())&lt;-2),"",#REF!),"")</f>
        <v/>
      </c>
      <c r="F1219" s="0" t="str">
        <f aca="false">IFERROR(IF(OR(HLOOKUP($A1219,#REF!,4,FALSE())&gt;2,HLOOKUP($A1219,#REF!,4,FALSE())&lt;-2),"",#REF!),"")</f>
        <v/>
      </c>
      <c r="G1219" s="0" t="str">
        <f aca="false">IFERROR(IF(OR(HLOOKUP($A1219,#REF!,5,FALSE())&gt;2,HLOOKUP($A1219,#REF!,5,FALSE())&lt;-2),"",#REF!),"")</f>
        <v/>
      </c>
      <c r="H1219" s="0" t="str">
        <f aca="false">IFERROR(IF(OR(HLOOKUP($A1219,#REF!,6,FALSE())&gt;2,HLOOKUP($A1219,#REF!,6,FALSE())&lt;-2),"",#REF!),"")</f>
        <v/>
      </c>
      <c r="I1219" s="0" t="str">
        <f aca="false">IFERROR(IF(OR(HLOOKUP($A1219,#REF!,7,FALSE())&gt;2,HLOOKUP($A1219,#REF!,7,FALSE())&lt;-2),"",#REF!),"")</f>
        <v/>
      </c>
      <c r="J1219" s="0" t="str">
        <f aca="false">IFERROR(IF(OR(HLOOKUP($A1219,#REF!,8,FALSE())&gt;2,HLOOKUP($A1219,#REF!,8,FALSE())&lt;-2),"",#REF!),"")</f>
        <v/>
      </c>
      <c r="K1219" s="0" t="str">
        <f aca="false">IFERROR(IF(OR(HLOOKUP($A1219,#REF!,9,FALSE())&gt;2,HLOOKUP($A1219,#REF!,9,FALSE())&lt;-2),"",#REF!),"")</f>
        <v/>
      </c>
      <c r="L1219" s="0" t="str">
        <f aca="false">IFERROR(IF(OR(HLOOKUP($A1219,#REF!,10,FALSE())&gt;2,HLOOKUP($A1219,#REF!,10,FALSE())&lt;-2),"",#REF!),"")</f>
        <v/>
      </c>
      <c r="M1219" s="0" t="str">
        <f aca="false">IFERROR(IF(OR(HLOOKUP($A1219,#REF!,11,FALSE())&gt;2,HLOOKUP($A1219,#REF!,11,FALSE())&lt;-2),"",#REF!),"")</f>
        <v/>
      </c>
      <c r="N1219" s="0" t="str">
        <f aca="false">IFERROR(IF(OR(HLOOKUP($A1219,#REF!,12,FALSE())&gt;2,HLOOKUP($A1219,#REF!,12,FALSE())&lt;-2),"",#REF!),"")</f>
        <v/>
      </c>
      <c r="O1219" s="0" t="str">
        <f aca="false">IFERROR(IF(OR(HLOOKUP($A1219,#REF!,13,FALSE())&gt;2,HLOOKUP($A1219,#REF!,13,FALSE())&lt;-2),"",#REF!),"")</f>
        <v/>
      </c>
      <c r="P1219" s="0" t="str">
        <f aca="false">IFERROR(IF(OR(HLOOKUP($A1219,#REF!,14,FALSE())&gt;2,HLOOKUP($A1219,#REF!,14,FALSE())&lt;-2),"",#REF!),"")</f>
        <v/>
      </c>
      <c r="Q1219" s="0" t="str">
        <f aca="false">IFERROR(IF(OR(HLOOKUP($A1219,#REF!,15,FALSE())&gt;2,HLOOKUP($A1219,#REF!,15,FALSE())&lt;-2),"",#REF!),"")</f>
        <v/>
      </c>
      <c r="R1219" s="0" t="str">
        <f aca="false">IFERROR(IF(OR(HLOOKUP($A1219,#REF!,16,FALSE())&gt;2,HLOOKUP($A1219,#REF!,16,FALSE())&lt;-2),"",#REF!),"")</f>
        <v/>
      </c>
      <c r="S1219" s="0" t="str">
        <f aca="false">IFERROR(IF(OR(HLOOKUP($A1219,#REF!,17,FALSE())&gt;2,HLOOKUP($A1219,#REF!,17,FALSE())&lt;-2),"",#REF!),"")</f>
        <v/>
      </c>
      <c r="T1219" s="0" t="str">
        <f aca="false">IFERROR(IF(OR(HLOOKUP($A1219,#REF!,18,FALSE())&gt;2,HLOOKUP($A1219,#REF!,18,FALSE())&lt;-2),"",#REF!),"")</f>
        <v/>
      </c>
      <c r="U1219" s="0" t="str">
        <f aca="false">IFERROR(IF(OR(HLOOKUP($A1219,#REF!,19,FALSE())&gt;2,HLOOKUP($A1219,#REF!,19,FALSE())&lt;-2),"",#REF!),"")</f>
        <v/>
      </c>
      <c r="V1219" s="0" t="n">
        <f aca="false">IFERROR(IF(AND(X1219=0,Y1219=0),0,1),0)</f>
        <v>1</v>
      </c>
      <c r="W1219" s="3" t="str">
        <f aca="false">IFERROR(_xlfn.T.TEST(E1219:M1219,N1219:U1219,2,2),"")</f>
        <v/>
      </c>
      <c r="X1219" s="0" t="str">
        <f aca="false">IFERROR(AVERAGE(E1219:M1219),"")</f>
        <v/>
      </c>
      <c r="Y1219" s="0" t="str">
        <f aca="false">IFERROR(AVERAGE(N1219:U1219),"")</f>
        <v/>
      </c>
    </row>
    <row r="1220" customFormat="false" ht="14.5" hidden="false" customHeight="false" outlineLevel="0" collapsed="false">
      <c r="A1220" s="0" t="n">
        <v>2726</v>
      </c>
      <c r="B1220" s="0" t="s">
        <v>37</v>
      </c>
      <c r="C1220" s="0" t="n">
        <v>39300</v>
      </c>
      <c r="D1220" s="0" t="n">
        <v>1080</v>
      </c>
      <c r="E1220" s="0" t="str">
        <f aca="false">IFERROR(IF(OR(HLOOKUP($A1220,#REF!,3,FALSE())&gt;2,HLOOKUP(A1220,#REF!,3,FALSE())&lt;-2),"",#REF!),"")</f>
        <v/>
      </c>
      <c r="F1220" s="0" t="str">
        <f aca="false">IFERROR(IF(OR(HLOOKUP($A1220,#REF!,4,FALSE())&gt;2,HLOOKUP($A1220,#REF!,4,FALSE())&lt;-2),"",#REF!),"")</f>
        <v/>
      </c>
      <c r="G1220" s="0" t="str">
        <f aca="false">IFERROR(IF(OR(HLOOKUP($A1220,#REF!,5,FALSE())&gt;2,HLOOKUP($A1220,#REF!,5,FALSE())&lt;-2),"",#REF!),"")</f>
        <v/>
      </c>
      <c r="H1220" s="0" t="str">
        <f aca="false">IFERROR(IF(OR(HLOOKUP($A1220,#REF!,6,FALSE())&gt;2,HLOOKUP($A1220,#REF!,6,FALSE())&lt;-2),"",#REF!),"")</f>
        <v/>
      </c>
      <c r="I1220" s="0" t="str">
        <f aca="false">IFERROR(IF(OR(HLOOKUP($A1220,#REF!,7,FALSE())&gt;2,HLOOKUP($A1220,#REF!,7,FALSE())&lt;-2),"",#REF!),"")</f>
        <v/>
      </c>
      <c r="J1220" s="0" t="str">
        <f aca="false">IFERROR(IF(OR(HLOOKUP($A1220,#REF!,8,FALSE())&gt;2,HLOOKUP($A1220,#REF!,8,FALSE())&lt;-2),"",#REF!),"")</f>
        <v/>
      </c>
      <c r="K1220" s="0" t="str">
        <f aca="false">IFERROR(IF(OR(HLOOKUP($A1220,#REF!,9,FALSE())&gt;2,HLOOKUP($A1220,#REF!,9,FALSE())&lt;-2),"",#REF!),"")</f>
        <v/>
      </c>
      <c r="L1220" s="0" t="str">
        <f aca="false">IFERROR(IF(OR(HLOOKUP($A1220,#REF!,10,FALSE())&gt;2,HLOOKUP($A1220,#REF!,10,FALSE())&lt;-2),"",#REF!),"")</f>
        <v/>
      </c>
      <c r="M1220" s="0" t="str">
        <f aca="false">IFERROR(IF(OR(HLOOKUP($A1220,#REF!,11,FALSE())&gt;2,HLOOKUP($A1220,#REF!,11,FALSE())&lt;-2),"",#REF!),"")</f>
        <v/>
      </c>
      <c r="N1220" s="0" t="str">
        <f aca="false">IFERROR(IF(OR(HLOOKUP($A1220,#REF!,12,FALSE())&gt;2,HLOOKUP($A1220,#REF!,12,FALSE())&lt;-2),"",#REF!),"")</f>
        <v/>
      </c>
      <c r="O1220" s="0" t="str">
        <f aca="false">IFERROR(IF(OR(HLOOKUP($A1220,#REF!,13,FALSE())&gt;2,HLOOKUP($A1220,#REF!,13,FALSE())&lt;-2),"",#REF!),"")</f>
        <v/>
      </c>
      <c r="P1220" s="0" t="str">
        <f aca="false">IFERROR(IF(OR(HLOOKUP($A1220,#REF!,14,FALSE())&gt;2,HLOOKUP($A1220,#REF!,14,FALSE())&lt;-2),"",#REF!),"")</f>
        <v/>
      </c>
      <c r="Q1220" s="0" t="str">
        <f aca="false">IFERROR(IF(OR(HLOOKUP($A1220,#REF!,15,FALSE())&gt;2,HLOOKUP($A1220,#REF!,15,FALSE())&lt;-2),"",#REF!),"")</f>
        <v/>
      </c>
      <c r="R1220" s="0" t="str">
        <f aca="false">IFERROR(IF(OR(HLOOKUP($A1220,#REF!,16,FALSE())&gt;2,HLOOKUP($A1220,#REF!,16,FALSE())&lt;-2),"",#REF!),"")</f>
        <v/>
      </c>
      <c r="S1220" s="0" t="str">
        <f aca="false">IFERROR(IF(OR(HLOOKUP($A1220,#REF!,17,FALSE())&gt;2,HLOOKUP($A1220,#REF!,17,FALSE())&lt;-2),"",#REF!),"")</f>
        <v/>
      </c>
      <c r="T1220" s="0" t="str">
        <f aca="false">IFERROR(IF(OR(HLOOKUP($A1220,#REF!,18,FALSE())&gt;2,HLOOKUP($A1220,#REF!,18,FALSE())&lt;-2),"",#REF!),"")</f>
        <v/>
      </c>
      <c r="U1220" s="0" t="str">
        <f aca="false">IFERROR(IF(OR(HLOOKUP($A1220,#REF!,19,FALSE())&gt;2,HLOOKUP($A1220,#REF!,19,FALSE())&lt;-2),"",#REF!),"")</f>
        <v/>
      </c>
      <c r="V1220" s="0" t="n">
        <f aca="false">IFERROR(IF(AND(X1220=0,Y1220=0),0,1),0)</f>
        <v>1</v>
      </c>
      <c r="W1220" s="3" t="str">
        <f aca="false">IFERROR(_xlfn.T.TEST(E1220:M1220,N1220:U1220,2,2),"")</f>
        <v/>
      </c>
      <c r="X1220" s="0" t="str">
        <f aca="false">IFERROR(AVERAGE(E1220:M1220),"")</f>
        <v/>
      </c>
      <c r="Y1220" s="0" t="str">
        <f aca="false">IFERROR(AVERAGE(N1220:U1220),"")</f>
        <v/>
      </c>
    </row>
    <row r="1221" customFormat="false" ht="14.5" hidden="false" customHeight="false" outlineLevel="0" collapsed="false">
      <c r="A1221" s="0" t="n">
        <v>2734</v>
      </c>
      <c r="B1221" s="0" t="s">
        <v>1258</v>
      </c>
      <c r="C1221" s="0" t="n">
        <v>39800</v>
      </c>
      <c r="D1221" s="0" t="n">
        <v>2726</v>
      </c>
      <c r="E1221" s="0" t="str">
        <f aca="false">IFERROR(IF(OR(HLOOKUP($A1221,#REF!,3,FALSE())&gt;2,HLOOKUP(A1221,#REF!,3,FALSE())&lt;-2),"",#REF!),"")</f>
        <v/>
      </c>
      <c r="F1221" s="0" t="str">
        <f aca="false">IFERROR(IF(OR(HLOOKUP($A1221,#REF!,4,FALSE())&gt;2,HLOOKUP($A1221,#REF!,4,FALSE())&lt;-2),"",#REF!),"")</f>
        <v/>
      </c>
      <c r="G1221" s="0" t="str">
        <f aca="false">IFERROR(IF(OR(HLOOKUP($A1221,#REF!,5,FALSE())&gt;2,HLOOKUP($A1221,#REF!,5,FALSE())&lt;-2),"",#REF!),"")</f>
        <v/>
      </c>
      <c r="H1221" s="0" t="str">
        <f aca="false">IFERROR(IF(OR(HLOOKUP($A1221,#REF!,6,FALSE())&gt;2,HLOOKUP($A1221,#REF!,6,FALSE())&lt;-2),"",#REF!),"")</f>
        <v/>
      </c>
      <c r="I1221" s="0" t="str">
        <f aca="false">IFERROR(IF(OR(HLOOKUP($A1221,#REF!,7,FALSE())&gt;2,HLOOKUP($A1221,#REF!,7,FALSE())&lt;-2),"",#REF!),"")</f>
        <v/>
      </c>
      <c r="J1221" s="0" t="str">
        <f aca="false">IFERROR(IF(OR(HLOOKUP($A1221,#REF!,8,FALSE())&gt;2,HLOOKUP($A1221,#REF!,8,FALSE())&lt;-2),"",#REF!),"")</f>
        <v/>
      </c>
      <c r="K1221" s="0" t="str">
        <f aca="false">IFERROR(IF(OR(HLOOKUP($A1221,#REF!,9,FALSE())&gt;2,HLOOKUP($A1221,#REF!,9,FALSE())&lt;-2),"",#REF!),"")</f>
        <v/>
      </c>
      <c r="L1221" s="0" t="str">
        <f aca="false">IFERROR(IF(OR(HLOOKUP($A1221,#REF!,10,FALSE())&gt;2,HLOOKUP($A1221,#REF!,10,FALSE())&lt;-2),"",#REF!),"")</f>
        <v/>
      </c>
      <c r="M1221" s="0" t="str">
        <f aca="false">IFERROR(IF(OR(HLOOKUP($A1221,#REF!,11,FALSE())&gt;2,HLOOKUP($A1221,#REF!,11,FALSE())&lt;-2),"",#REF!),"")</f>
        <v/>
      </c>
      <c r="N1221" s="0" t="str">
        <f aca="false">IFERROR(IF(OR(HLOOKUP($A1221,#REF!,12,FALSE())&gt;2,HLOOKUP($A1221,#REF!,12,FALSE())&lt;-2),"",#REF!),"")</f>
        <v/>
      </c>
      <c r="O1221" s="0" t="str">
        <f aca="false">IFERROR(IF(OR(HLOOKUP($A1221,#REF!,13,FALSE())&gt;2,HLOOKUP($A1221,#REF!,13,FALSE())&lt;-2),"",#REF!),"")</f>
        <v/>
      </c>
      <c r="P1221" s="0" t="str">
        <f aca="false">IFERROR(IF(OR(HLOOKUP($A1221,#REF!,14,FALSE())&gt;2,HLOOKUP($A1221,#REF!,14,FALSE())&lt;-2),"",#REF!),"")</f>
        <v/>
      </c>
      <c r="Q1221" s="0" t="str">
        <f aca="false">IFERROR(IF(OR(HLOOKUP($A1221,#REF!,15,FALSE())&gt;2,HLOOKUP($A1221,#REF!,15,FALSE())&lt;-2),"",#REF!),"")</f>
        <v/>
      </c>
      <c r="R1221" s="0" t="str">
        <f aca="false">IFERROR(IF(OR(HLOOKUP($A1221,#REF!,16,FALSE())&gt;2,HLOOKUP($A1221,#REF!,16,FALSE())&lt;-2),"",#REF!),"")</f>
        <v/>
      </c>
      <c r="S1221" s="0" t="str">
        <f aca="false">IFERROR(IF(OR(HLOOKUP($A1221,#REF!,17,FALSE())&gt;2,HLOOKUP($A1221,#REF!,17,FALSE())&lt;-2),"",#REF!),"")</f>
        <v/>
      </c>
      <c r="T1221" s="0" t="str">
        <f aca="false">IFERROR(IF(OR(HLOOKUP($A1221,#REF!,18,FALSE())&gt;2,HLOOKUP($A1221,#REF!,18,FALSE())&lt;-2),"",#REF!),"")</f>
        <v/>
      </c>
      <c r="U1221" s="0" t="str">
        <f aca="false">IFERROR(IF(OR(HLOOKUP($A1221,#REF!,19,FALSE())&gt;2,HLOOKUP($A1221,#REF!,19,FALSE())&lt;-2),"",#REF!),"")</f>
        <v/>
      </c>
      <c r="V1221" s="0" t="n">
        <f aca="false">IFERROR(IF(AND(X1221=0,Y1221=0),0,1),0)</f>
        <v>1</v>
      </c>
      <c r="W1221" s="3" t="str">
        <f aca="false">IFERROR(_xlfn.T.TEST(E1221:M1221,N1221:U1221,2,2),"")</f>
        <v/>
      </c>
      <c r="X1221" s="0" t="str">
        <f aca="false">IFERROR(AVERAGE(E1221:M1221),"")</f>
        <v/>
      </c>
      <c r="Y1221" s="0" t="str">
        <f aca="false">IFERROR(AVERAGE(N1221:U1221),"")</f>
        <v/>
      </c>
    </row>
    <row r="1222" customFormat="false" ht="14.5" hidden="false" customHeight="false" outlineLevel="0" collapsed="false">
      <c r="A1222" s="0" t="n">
        <v>2742</v>
      </c>
      <c r="B1222" s="0" t="s">
        <v>1259</v>
      </c>
      <c r="C1222" s="0" t="n">
        <v>39900</v>
      </c>
      <c r="D1222" s="0" t="n">
        <v>2734</v>
      </c>
      <c r="E1222" s="0" t="str">
        <f aca="false">IFERROR(IF(OR(HLOOKUP($A1222,#REF!,3,FALSE())&gt;2,HLOOKUP(A1222,#REF!,3,FALSE())&lt;-2),"",#REF!),"")</f>
        <v/>
      </c>
      <c r="F1222" s="0" t="str">
        <f aca="false">IFERROR(IF(OR(HLOOKUP($A1222,#REF!,4,FALSE())&gt;2,HLOOKUP($A1222,#REF!,4,FALSE())&lt;-2),"",#REF!),"")</f>
        <v/>
      </c>
      <c r="G1222" s="0" t="str">
        <f aca="false">IFERROR(IF(OR(HLOOKUP($A1222,#REF!,5,FALSE())&gt;2,HLOOKUP($A1222,#REF!,5,FALSE())&lt;-2),"",#REF!),"")</f>
        <v/>
      </c>
      <c r="H1222" s="0" t="str">
        <f aca="false">IFERROR(IF(OR(HLOOKUP($A1222,#REF!,6,FALSE())&gt;2,HLOOKUP($A1222,#REF!,6,FALSE())&lt;-2),"",#REF!),"")</f>
        <v/>
      </c>
      <c r="I1222" s="0" t="str">
        <f aca="false">IFERROR(IF(OR(HLOOKUP($A1222,#REF!,7,FALSE())&gt;2,HLOOKUP($A1222,#REF!,7,FALSE())&lt;-2),"",#REF!),"")</f>
        <v/>
      </c>
      <c r="J1222" s="0" t="str">
        <f aca="false">IFERROR(IF(OR(HLOOKUP($A1222,#REF!,8,FALSE())&gt;2,HLOOKUP($A1222,#REF!,8,FALSE())&lt;-2),"",#REF!),"")</f>
        <v/>
      </c>
      <c r="K1222" s="0" t="str">
        <f aca="false">IFERROR(IF(OR(HLOOKUP($A1222,#REF!,9,FALSE())&gt;2,HLOOKUP($A1222,#REF!,9,FALSE())&lt;-2),"",#REF!),"")</f>
        <v/>
      </c>
      <c r="L1222" s="0" t="str">
        <f aca="false">IFERROR(IF(OR(HLOOKUP($A1222,#REF!,10,FALSE())&gt;2,HLOOKUP($A1222,#REF!,10,FALSE())&lt;-2),"",#REF!),"")</f>
        <v/>
      </c>
      <c r="M1222" s="0" t="str">
        <f aca="false">IFERROR(IF(OR(HLOOKUP($A1222,#REF!,11,FALSE())&gt;2,HLOOKUP($A1222,#REF!,11,FALSE())&lt;-2),"",#REF!),"")</f>
        <v/>
      </c>
      <c r="N1222" s="0" t="str">
        <f aca="false">IFERROR(IF(OR(HLOOKUP($A1222,#REF!,12,FALSE())&gt;2,HLOOKUP($A1222,#REF!,12,FALSE())&lt;-2),"",#REF!),"")</f>
        <v/>
      </c>
      <c r="O1222" s="0" t="str">
        <f aca="false">IFERROR(IF(OR(HLOOKUP($A1222,#REF!,13,FALSE())&gt;2,HLOOKUP($A1222,#REF!,13,FALSE())&lt;-2),"",#REF!),"")</f>
        <v/>
      </c>
      <c r="P1222" s="0" t="str">
        <f aca="false">IFERROR(IF(OR(HLOOKUP($A1222,#REF!,14,FALSE())&gt;2,HLOOKUP($A1222,#REF!,14,FALSE())&lt;-2),"",#REF!),"")</f>
        <v/>
      </c>
      <c r="Q1222" s="0" t="str">
        <f aca="false">IFERROR(IF(OR(HLOOKUP($A1222,#REF!,15,FALSE())&gt;2,HLOOKUP($A1222,#REF!,15,FALSE())&lt;-2),"",#REF!),"")</f>
        <v/>
      </c>
      <c r="R1222" s="0" t="str">
        <f aca="false">IFERROR(IF(OR(HLOOKUP($A1222,#REF!,16,FALSE())&gt;2,HLOOKUP($A1222,#REF!,16,FALSE())&lt;-2),"",#REF!),"")</f>
        <v/>
      </c>
      <c r="S1222" s="0" t="str">
        <f aca="false">IFERROR(IF(OR(HLOOKUP($A1222,#REF!,17,FALSE())&gt;2,HLOOKUP($A1222,#REF!,17,FALSE())&lt;-2),"",#REF!),"")</f>
        <v/>
      </c>
      <c r="T1222" s="0" t="str">
        <f aca="false">IFERROR(IF(OR(HLOOKUP($A1222,#REF!,18,FALSE())&gt;2,HLOOKUP($A1222,#REF!,18,FALSE())&lt;-2),"",#REF!),"")</f>
        <v/>
      </c>
      <c r="U1222" s="0" t="str">
        <f aca="false">IFERROR(IF(OR(HLOOKUP($A1222,#REF!,19,FALSE())&gt;2,HLOOKUP($A1222,#REF!,19,FALSE())&lt;-2),"",#REF!),"")</f>
        <v/>
      </c>
      <c r="V1222" s="0" t="n">
        <f aca="false">IFERROR(IF(AND(X1222=0,Y1222=0),0,1),0)</f>
        <v>1</v>
      </c>
      <c r="W1222" s="3" t="str">
        <f aca="false">IFERROR(_xlfn.T.TEST(E1222:M1222,N1222:U1222,2,2),"")</f>
        <v/>
      </c>
      <c r="X1222" s="0" t="str">
        <f aca="false">IFERROR(AVERAGE(E1222:M1222),"")</f>
        <v/>
      </c>
      <c r="Y1222" s="0" t="str">
        <f aca="false">IFERROR(AVERAGE(N1222:U1222),"")</f>
        <v/>
      </c>
    </row>
    <row r="1223" customFormat="false" ht="14.5" hidden="false" customHeight="false" outlineLevel="0" collapsed="false">
      <c r="A1223" s="0" t="n">
        <v>2751</v>
      </c>
      <c r="B1223" s="0" t="s">
        <v>1260</v>
      </c>
      <c r="C1223" s="0" t="n">
        <v>40000</v>
      </c>
      <c r="D1223" s="0" t="n">
        <v>2734</v>
      </c>
      <c r="E1223" s="0" t="str">
        <f aca="false">IFERROR(IF(OR(HLOOKUP($A1223,#REF!,3,FALSE())&gt;2,HLOOKUP(A1223,#REF!,3,FALSE())&lt;-2),"",#REF!),"")</f>
        <v/>
      </c>
      <c r="F1223" s="0" t="str">
        <f aca="false">IFERROR(IF(OR(HLOOKUP($A1223,#REF!,4,FALSE())&gt;2,HLOOKUP($A1223,#REF!,4,FALSE())&lt;-2),"",#REF!),"")</f>
        <v/>
      </c>
      <c r="G1223" s="0" t="str">
        <f aca="false">IFERROR(IF(OR(HLOOKUP($A1223,#REF!,5,FALSE())&gt;2,HLOOKUP($A1223,#REF!,5,FALSE())&lt;-2),"",#REF!),"")</f>
        <v/>
      </c>
      <c r="H1223" s="0" t="str">
        <f aca="false">IFERROR(IF(OR(HLOOKUP($A1223,#REF!,6,FALSE())&gt;2,HLOOKUP($A1223,#REF!,6,FALSE())&lt;-2),"",#REF!),"")</f>
        <v/>
      </c>
      <c r="I1223" s="0" t="str">
        <f aca="false">IFERROR(IF(OR(HLOOKUP($A1223,#REF!,7,FALSE())&gt;2,HLOOKUP($A1223,#REF!,7,FALSE())&lt;-2),"",#REF!),"")</f>
        <v/>
      </c>
      <c r="J1223" s="0" t="str">
        <f aca="false">IFERROR(IF(OR(HLOOKUP($A1223,#REF!,8,FALSE())&gt;2,HLOOKUP($A1223,#REF!,8,FALSE())&lt;-2),"",#REF!),"")</f>
        <v/>
      </c>
      <c r="K1223" s="0" t="str">
        <f aca="false">IFERROR(IF(OR(HLOOKUP($A1223,#REF!,9,FALSE())&gt;2,HLOOKUP($A1223,#REF!,9,FALSE())&lt;-2),"",#REF!),"")</f>
        <v/>
      </c>
      <c r="L1223" s="0" t="str">
        <f aca="false">IFERROR(IF(OR(HLOOKUP($A1223,#REF!,10,FALSE())&gt;2,HLOOKUP($A1223,#REF!,10,FALSE())&lt;-2),"",#REF!),"")</f>
        <v/>
      </c>
      <c r="M1223" s="0" t="str">
        <f aca="false">IFERROR(IF(OR(HLOOKUP($A1223,#REF!,11,FALSE())&gt;2,HLOOKUP($A1223,#REF!,11,FALSE())&lt;-2),"",#REF!),"")</f>
        <v/>
      </c>
      <c r="N1223" s="0" t="str">
        <f aca="false">IFERROR(IF(OR(HLOOKUP($A1223,#REF!,12,FALSE())&gt;2,HLOOKUP($A1223,#REF!,12,FALSE())&lt;-2),"",#REF!),"")</f>
        <v/>
      </c>
      <c r="O1223" s="0" t="str">
        <f aca="false">IFERROR(IF(OR(HLOOKUP($A1223,#REF!,13,FALSE())&gt;2,HLOOKUP($A1223,#REF!,13,FALSE())&lt;-2),"",#REF!),"")</f>
        <v/>
      </c>
      <c r="P1223" s="0" t="str">
        <f aca="false">IFERROR(IF(OR(HLOOKUP($A1223,#REF!,14,FALSE())&gt;2,HLOOKUP($A1223,#REF!,14,FALSE())&lt;-2),"",#REF!),"")</f>
        <v/>
      </c>
      <c r="Q1223" s="0" t="str">
        <f aca="false">IFERROR(IF(OR(HLOOKUP($A1223,#REF!,15,FALSE())&gt;2,HLOOKUP($A1223,#REF!,15,FALSE())&lt;-2),"",#REF!),"")</f>
        <v/>
      </c>
      <c r="R1223" s="0" t="str">
        <f aca="false">IFERROR(IF(OR(HLOOKUP($A1223,#REF!,16,FALSE())&gt;2,HLOOKUP($A1223,#REF!,16,FALSE())&lt;-2),"",#REF!),"")</f>
        <v/>
      </c>
      <c r="S1223" s="0" t="str">
        <f aca="false">IFERROR(IF(OR(HLOOKUP($A1223,#REF!,17,FALSE())&gt;2,HLOOKUP($A1223,#REF!,17,FALSE())&lt;-2),"",#REF!),"")</f>
        <v/>
      </c>
      <c r="T1223" s="0" t="str">
        <f aca="false">IFERROR(IF(OR(HLOOKUP($A1223,#REF!,18,FALSE())&gt;2,HLOOKUP($A1223,#REF!,18,FALSE())&lt;-2),"",#REF!),"")</f>
        <v/>
      </c>
      <c r="U1223" s="0" t="str">
        <f aca="false">IFERROR(IF(OR(HLOOKUP($A1223,#REF!,19,FALSE())&gt;2,HLOOKUP($A1223,#REF!,19,FALSE())&lt;-2),"",#REF!),"")</f>
        <v/>
      </c>
      <c r="V1223" s="0" t="n">
        <f aca="false">IFERROR(IF(AND(X1223=0,Y1223=0),0,1),0)</f>
        <v>1</v>
      </c>
      <c r="W1223" s="3" t="str">
        <f aca="false">IFERROR(_xlfn.T.TEST(E1223:M1223,N1223:U1223,2,2),"")</f>
        <v/>
      </c>
      <c r="X1223" s="0" t="str">
        <f aca="false">IFERROR(AVERAGE(E1223:M1223),"")</f>
        <v/>
      </c>
      <c r="Y1223" s="0" t="str">
        <f aca="false">IFERROR(AVERAGE(N1223:U1223),"")</f>
        <v/>
      </c>
    </row>
    <row r="1224" customFormat="false" ht="14.5" hidden="false" customHeight="false" outlineLevel="0" collapsed="false">
      <c r="A1224" s="0" t="n">
        <v>2758</v>
      </c>
      <c r="B1224" s="0" t="s">
        <v>1261</v>
      </c>
      <c r="C1224" s="0" t="n">
        <v>40100</v>
      </c>
      <c r="D1224" s="0" t="n">
        <v>2734</v>
      </c>
      <c r="E1224" s="0" t="str">
        <f aca="false">IFERROR(IF(OR(HLOOKUP($A1224,#REF!,3,FALSE())&gt;2,HLOOKUP(A1224,#REF!,3,FALSE())&lt;-2),"",#REF!),"")</f>
        <v/>
      </c>
      <c r="F1224" s="0" t="str">
        <f aca="false">IFERROR(IF(OR(HLOOKUP($A1224,#REF!,4,FALSE())&gt;2,HLOOKUP($A1224,#REF!,4,FALSE())&lt;-2),"",#REF!),"")</f>
        <v/>
      </c>
      <c r="G1224" s="0" t="str">
        <f aca="false">IFERROR(IF(OR(HLOOKUP($A1224,#REF!,5,FALSE())&gt;2,HLOOKUP($A1224,#REF!,5,FALSE())&lt;-2),"",#REF!),"")</f>
        <v/>
      </c>
      <c r="H1224" s="0" t="str">
        <f aca="false">IFERROR(IF(OR(HLOOKUP($A1224,#REF!,6,FALSE())&gt;2,HLOOKUP($A1224,#REF!,6,FALSE())&lt;-2),"",#REF!),"")</f>
        <v/>
      </c>
      <c r="I1224" s="0" t="str">
        <f aca="false">IFERROR(IF(OR(HLOOKUP($A1224,#REF!,7,FALSE())&gt;2,HLOOKUP($A1224,#REF!,7,FALSE())&lt;-2),"",#REF!),"")</f>
        <v/>
      </c>
      <c r="J1224" s="0" t="str">
        <f aca="false">IFERROR(IF(OR(HLOOKUP($A1224,#REF!,8,FALSE())&gt;2,HLOOKUP($A1224,#REF!,8,FALSE())&lt;-2),"",#REF!),"")</f>
        <v/>
      </c>
      <c r="K1224" s="0" t="str">
        <f aca="false">IFERROR(IF(OR(HLOOKUP($A1224,#REF!,9,FALSE())&gt;2,HLOOKUP($A1224,#REF!,9,FALSE())&lt;-2),"",#REF!),"")</f>
        <v/>
      </c>
      <c r="L1224" s="0" t="str">
        <f aca="false">IFERROR(IF(OR(HLOOKUP($A1224,#REF!,10,FALSE())&gt;2,HLOOKUP($A1224,#REF!,10,FALSE())&lt;-2),"",#REF!),"")</f>
        <v/>
      </c>
      <c r="M1224" s="0" t="str">
        <f aca="false">IFERROR(IF(OR(HLOOKUP($A1224,#REF!,11,FALSE())&gt;2,HLOOKUP($A1224,#REF!,11,FALSE())&lt;-2),"",#REF!),"")</f>
        <v/>
      </c>
      <c r="N1224" s="0" t="str">
        <f aca="false">IFERROR(IF(OR(HLOOKUP($A1224,#REF!,12,FALSE())&gt;2,HLOOKUP($A1224,#REF!,12,FALSE())&lt;-2),"",#REF!),"")</f>
        <v/>
      </c>
      <c r="O1224" s="0" t="str">
        <f aca="false">IFERROR(IF(OR(HLOOKUP($A1224,#REF!,13,FALSE())&gt;2,HLOOKUP($A1224,#REF!,13,FALSE())&lt;-2),"",#REF!),"")</f>
        <v/>
      </c>
      <c r="P1224" s="0" t="str">
        <f aca="false">IFERROR(IF(OR(HLOOKUP($A1224,#REF!,14,FALSE())&gt;2,HLOOKUP($A1224,#REF!,14,FALSE())&lt;-2),"",#REF!),"")</f>
        <v/>
      </c>
      <c r="Q1224" s="0" t="str">
        <f aca="false">IFERROR(IF(OR(HLOOKUP($A1224,#REF!,15,FALSE())&gt;2,HLOOKUP($A1224,#REF!,15,FALSE())&lt;-2),"",#REF!),"")</f>
        <v/>
      </c>
      <c r="R1224" s="0" t="str">
        <f aca="false">IFERROR(IF(OR(HLOOKUP($A1224,#REF!,16,FALSE())&gt;2,HLOOKUP($A1224,#REF!,16,FALSE())&lt;-2),"",#REF!),"")</f>
        <v/>
      </c>
      <c r="S1224" s="0" t="str">
        <f aca="false">IFERROR(IF(OR(HLOOKUP($A1224,#REF!,17,FALSE())&gt;2,HLOOKUP($A1224,#REF!,17,FALSE())&lt;-2),"",#REF!),"")</f>
        <v/>
      </c>
      <c r="T1224" s="0" t="str">
        <f aca="false">IFERROR(IF(OR(HLOOKUP($A1224,#REF!,18,FALSE())&gt;2,HLOOKUP($A1224,#REF!,18,FALSE())&lt;-2),"",#REF!),"")</f>
        <v/>
      </c>
      <c r="U1224" s="0" t="str">
        <f aca="false">IFERROR(IF(OR(HLOOKUP($A1224,#REF!,19,FALSE())&gt;2,HLOOKUP($A1224,#REF!,19,FALSE())&lt;-2),"",#REF!),"")</f>
        <v/>
      </c>
      <c r="V1224" s="0" t="n">
        <f aca="false">IFERROR(IF(AND(X1224=0,Y1224=0),0,1),0)</f>
        <v>1</v>
      </c>
      <c r="W1224" s="3" t="str">
        <f aca="false">IFERROR(_xlfn.T.TEST(E1224:M1224,N1224:U1224,2,2),"")</f>
        <v/>
      </c>
      <c r="X1224" s="0" t="str">
        <f aca="false">IFERROR(AVERAGE(E1224:M1224),"")</f>
        <v/>
      </c>
      <c r="Y1224" s="0" t="str">
        <f aca="false">IFERROR(AVERAGE(N1224:U1224),"")</f>
        <v/>
      </c>
    </row>
    <row r="1225" customFormat="false" ht="14.5" hidden="false" customHeight="false" outlineLevel="0" collapsed="false">
      <c r="A1225" s="0" t="n">
        <v>2766</v>
      </c>
      <c r="B1225" s="0" t="s">
        <v>1262</v>
      </c>
      <c r="C1225" s="0" t="n">
        <v>40200</v>
      </c>
      <c r="D1225" s="0" t="n">
        <v>2726</v>
      </c>
      <c r="E1225" s="0" t="str">
        <f aca="false">IFERROR(IF(OR(HLOOKUP($A1225,#REF!,3,FALSE())&gt;2,HLOOKUP(A1225,#REF!,3,FALSE())&lt;-2),"",#REF!),"")</f>
        <v/>
      </c>
      <c r="F1225" s="0" t="str">
        <f aca="false">IFERROR(IF(OR(HLOOKUP($A1225,#REF!,4,FALSE())&gt;2,HLOOKUP($A1225,#REF!,4,FALSE())&lt;-2),"",#REF!),"")</f>
        <v/>
      </c>
      <c r="G1225" s="0" t="str">
        <f aca="false">IFERROR(IF(OR(HLOOKUP($A1225,#REF!,5,FALSE())&gt;2,HLOOKUP($A1225,#REF!,5,FALSE())&lt;-2),"",#REF!),"")</f>
        <v/>
      </c>
      <c r="H1225" s="0" t="str">
        <f aca="false">IFERROR(IF(OR(HLOOKUP($A1225,#REF!,6,FALSE())&gt;2,HLOOKUP($A1225,#REF!,6,FALSE())&lt;-2),"",#REF!),"")</f>
        <v/>
      </c>
      <c r="I1225" s="0" t="str">
        <f aca="false">IFERROR(IF(OR(HLOOKUP($A1225,#REF!,7,FALSE())&gt;2,HLOOKUP($A1225,#REF!,7,FALSE())&lt;-2),"",#REF!),"")</f>
        <v/>
      </c>
      <c r="J1225" s="0" t="str">
        <f aca="false">IFERROR(IF(OR(HLOOKUP($A1225,#REF!,8,FALSE())&gt;2,HLOOKUP($A1225,#REF!,8,FALSE())&lt;-2),"",#REF!),"")</f>
        <v/>
      </c>
      <c r="K1225" s="0" t="str">
        <f aca="false">IFERROR(IF(OR(HLOOKUP($A1225,#REF!,9,FALSE())&gt;2,HLOOKUP($A1225,#REF!,9,FALSE())&lt;-2),"",#REF!),"")</f>
        <v/>
      </c>
      <c r="L1225" s="0" t="str">
        <f aca="false">IFERROR(IF(OR(HLOOKUP($A1225,#REF!,10,FALSE())&gt;2,HLOOKUP($A1225,#REF!,10,FALSE())&lt;-2),"",#REF!),"")</f>
        <v/>
      </c>
      <c r="M1225" s="0" t="str">
        <f aca="false">IFERROR(IF(OR(HLOOKUP($A1225,#REF!,11,FALSE())&gt;2,HLOOKUP($A1225,#REF!,11,FALSE())&lt;-2),"",#REF!),"")</f>
        <v/>
      </c>
      <c r="N1225" s="0" t="str">
        <f aca="false">IFERROR(IF(OR(HLOOKUP($A1225,#REF!,12,FALSE())&gt;2,HLOOKUP($A1225,#REF!,12,FALSE())&lt;-2),"",#REF!),"")</f>
        <v/>
      </c>
      <c r="O1225" s="0" t="str">
        <f aca="false">IFERROR(IF(OR(HLOOKUP($A1225,#REF!,13,FALSE())&gt;2,HLOOKUP($A1225,#REF!,13,FALSE())&lt;-2),"",#REF!),"")</f>
        <v/>
      </c>
      <c r="P1225" s="0" t="str">
        <f aca="false">IFERROR(IF(OR(HLOOKUP($A1225,#REF!,14,FALSE())&gt;2,HLOOKUP($A1225,#REF!,14,FALSE())&lt;-2),"",#REF!),"")</f>
        <v/>
      </c>
      <c r="Q1225" s="0" t="str">
        <f aca="false">IFERROR(IF(OR(HLOOKUP($A1225,#REF!,15,FALSE())&gt;2,HLOOKUP($A1225,#REF!,15,FALSE())&lt;-2),"",#REF!),"")</f>
        <v/>
      </c>
      <c r="R1225" s="0" t="str">
        <f aca="false">IFERROR(IF(OR(HLOOKUP($A1225,#REF!,16,FALSE())&gt;2,HLOOKUP($A1225,#REF!,16,FALSE())&lt;-2),"",#REF!),"")</f>
        <v/>
      </c>
      <c r="S1225" s="0" t="str">
        <f aca="false">IFERROR(IF(OR(HLOOKUP($A1225,#REF!,17,FALSE())&gt;2,HLOOKUP($A1225,#REF!,17,FALSE())&lt;-2),"",#REF!),"")</f>
        <v/>
      </c>
      <c r="T1225" s="0" t="str">
        <f aca="false">IFERROR(IF(OR(HLOOKUP($A1225,#REF!,18,FALSE())&gt;2,HLOOKUP($A1225,#REF!,18,FALSE())&lt;-2),"",#REF!),"")</f>
        <v/>
      </c>
      <c r="U1225" s="0" t="str">
        <f aca="false">IFERROR(IF(OR(HLOOKUP($A1225,#REF!,19,FALSE())&gt;2,HLOOKUP($A1225,#REF!,19,FALSE())&lt;-2),"",#REF!),"")</f>
        <v/>
      </c>
      <c r="V1225" s="0" t="n">
        <f aca="false">IFERROR(IF(AND(X1225=0,Y1225=0),0,1),0)</f>
        <v>1</v>
      </c>
      <c r="W1225" s="3" t="str">
        <f aca="false">IFERROR(_xlfn.T.TEST(E1225:M1225,N1225:U1225,2,2),"")</f>
        <v/>
      </c>
      <c r="X1225" s="0" t="str">
        <f aca="false">IFERROR(AVERAGE(E1225:M1225),"")</f>
        <v/>
      </c>
      <c r="Y1225" s="0" t="str">
        <f aca="false">IFERROR(AVERAGE(N1225:U1225),"")</f>
        <v/>
      </c>
    </row>
    <row r="1226" customFormat="false" ht="14.5" hidden="false" customHeight="false" outlineLevel="0" collapsed="false">
      <c r="A1226" s="0" t="n">
        <v>2775</v>
      </c>
      <c r="B1226" s="0" t="s">
        <v>1263</v>
      </c>
      <c r="C1226" s="0" t="n">
        <v>40300</v>
      </c>
      <c r="D1226" s="0" t="n">
        <v>2766</v>
      </c>
      <c r="E1226" s="0" t="str">
        <f aca="false">IFERROR(IF(OR(HLOOKUP($A1226,#REF!,3,FALSE())&gt;2,HLOOKUP(A1226,#REF!,3,FALSE())&lt;-2),"",#REF!),"")</f>
        <v/>
      </c>
      <c r="F1226" s="0" t="str">
        <f aca="false">IFERROR(IF(OR(HLOOKUP($A1226,#REF!,4,FALSE())&gt;2,HLOOKUP($A1226,#REF!,4,FALSE())&lt;-2),"",#REF!),"")</f>
        <v/>
      </c>
      <c r="G1226" s="0" t="str">
        <f aca="false">IFERROR(IF(OR(HLOOKUP($A1226,#REF!,5,FALSE())&gt;2,HLOOKUP($A1226,#REF!,5,FALSE())&lt;-2),"",#REF!),"")</f>
        <v/>
      </c>
      <c r="H1226" s="0" t="str">
        <f aca="false">IFERROR(IF(OR(HLOOKUP($A1226,#REF!,6,FALSE())&gt;2,HLOOKUP($A1226,#REF!,6,FALSE())&lt;-2),"",#REF!),"")</f>
        <v/>
      </c>
      <c r="I1226" s="0" t="str">
        <f aca="false">IFERROR(IF(OR(HLOOKUP($A1226,#REF!,7,FALSE())&gt;2,HLOOKUP($A1226,#REF!,7,FALSE())&lt;-2),"",#REF!),"")</f>
        <v/>
      </c>
      <c r="J1226" s="0" t="str">
        <f aca="false">IFERROR(IF(OR(HLOOKUP($A1226,#REF!,8,FALSE())&gt;2,HLOOKUP($A1226,#REF!,8,FALSE())&lt;-2),"",#REF!),"")</f>
        <v/>
      </c>
      <c r="K1226" s="0" t="str">
        <f aca="false">IFERROR(IF(OR(HLOOKUP($A1226,#REF!,9,FALSE())&gt;2,HLOOKUP($A1226,#REF!,9,FALSE())&lt;-2),"",#REF!),"")</f>
        <v/>
      </c>
      <c r="L1226" s="0" t="str">
        <f aca="false">IFERROR(IF(OR(HLOOKUP($A1226,#REF!,10,FALSE())&gt;2,HLOOKUP($A1226,#REF!,10,FALSE())&lt;-2),"",#REF!),"")</f>
        <v/>
      </c>
      <c r="M1226" s="0" t="str">
        <f aca="false">IFERROR(IF(OR(HLOOKUP($A1226,#REF!,11,FALSE())&gt;2,HLOOKUP($A1226,#REF!,11,FALSE())&lt;-2),"",#REF!),"")</f>
        <v/>
      </c>
      <c r="N1226" s="0" t="str">
        <f aca="false">IFERROR(IF(OR(HLOOKUP($A1226,#REF!,12,FALSE())&gt;2,HLOOKUP($A1226,#REF!,12,FALSE())&lt;-2),"",#REF!),"")</f>
        <v/>
      </c>
      <c r="O1226" s="0" t="str">
        <f aca="false">IFERROR(IF(OR(HLOOKUP($A1226,#REF!,13,FALSE())&gt;2,HLOOKUP($A1226,#REF!,13,FALSE())&lt;-2),"",#REF!),"")</f>
        <v/>
      </c>
      <c r="P1226" s="0" t="str">
        <f aca="false">IFERROR(IF(OR(HLOOKUP($A1226,#REF!,14,FALSE())&gt;2,HLOOKUP($A1226,#REF!,14,FALSE())&lt;-2),"",#REF!),"")</f>
        <v/>
      </c>
      <c r="Q1226" s="0" t="str">
        <f aca="false">IFERROR(IF(OR(HLOOKUP($A1226,#REF!,15,FALSE())&gt;2,HLOOKUP($A1226,#REF!,15,FALSE())&lt;-2),"",#REF!),"")</f>
        <v/>
      </c>
      <c r="R1226" s="0" t="str">
        <f aca="false">IFERROR(IF(OR(HLOOKUP($A1226,#REF!,16,FALSE())&gt;2,HLOOKUP($A1226,#REF!,16,FALSE())&lt;-2),"",#REF!),"")</f>
        <v/>
      </c>
      <c r="S1226" s="0" t="str">
        <f aca="false">IFERROR(IF(OR(HLOOKUP($A1226,#REF!,17,FALSE())&gt;2,HLOOKUP($A1226,#REF!,17,FALSE())&lt;-2),"",#REF!),"")</f>
        <v/>
      </c>
      <c r="T1226" s="0" t="str">
        <f aca="false">IFERROR(IF(OR(HLOOKUP($A1226,#REF!,18,FALSE())&gt;2,HLOOKUP($A1226,#REF!,18,FALSE())&lt;-2),"",#REF!),"")</f>
        <v/>
      </c>
      <c r="U1226" s="0" t="str">
        <f aca="false">IFERROR(IF(OR(HLOOKUP($A1226,#REF!,19,FALSE())&gt;2,HLOOKUP($A1226,#REF!,19,FALSE())&lt;-2),"",#REF!),"")</f>
        <v/>
      </c>
      <c r="V1226" s="0" t="n">
        <f aca="false">IFERROR(IF(AND(X1226=0,Y1226=0),0,1),0)</f>
        <v>1</v>
      </c>
      <c r="W1226" s="3" t="str">
        <f aca="false">IFERROR(_xlfn.T.TEST(E1226:M1226,N1226:U1226,2,2),"")</f>
        <v/>
      </c>
      <c r="X1226" s="0" t="str">
        <f aca="false">IFERROR(AVERAGE(E1226:M1226),"")</f>
        <v/>
      </c>
      <c r="Y1226" s="0" t="str">
        <f aca="false">IFERROR(AVERAGE(N1226:U1226),"")</f>
        <v/>
      </c>
    </row>
    <row r="1227" customFormat="false" ht="14.5" hidden="false" customHeight="false" outlineLevel="0" collapsed="false">
      <c r="A1227" s="0" t="n">
        <v>2782</v>
      </c>
      <c r="B1227" s="0" t="s">
        <v>1264</v>
      </c>
      <c r="C1227" s="0" t="n">
        <v>40400</v>
      </c>
      <c r="D1227" s="0" t="n">
        <v>2766</v>
      </c>
      <c r="E1227" s="0" t="str">
        <f aca="false">IFERROR(IF(OR(HLOOKUP($A1227,#REF!,3,FALSE())&gt;2,HLOOKUP(A1227,#REF!,3,FALSE())&lt;-2),"",#REF!),"")</f>
        <v/>
      </c>
      <c r="F1227" s="0" t="str">
        <f aca="false">IFERROR(IF(OR(HLOOKUP($A1227,#REF!,4,FALSE())&gt;2,HLOOKUP($A1227,#REF!,4,FALSE())&lt;-2),"",#REF!),"")</f>
        <v/>
      </c>
      <c r="G1227" s="0" t="str">
        <f aca="false">IFERROR(IF(OR(HLOOKUP($A1227,#REF!,5,FALSE())&gt;2,HLOOKUP($A1227,#REF!,5,FALSE())&lt;-2),"",#REF!),"")</f>
        <v/>
      </c>
      <c r="H1227" s="0" t="str">
        <f aca="false">IFERROR(IF(OR(HLOOKUP($A1227,#REF!,6,FALSE())&gt;2,HLOOKUP($A1227,#REF!,6,FALSE())&lt;-2),"",#REF!),"")</f>
        <v/>
      </c>
      <c r="I1227" s="0" t="str">
        <f aca="false">IFERROR(IF(OR(HLOOKUP($A1227,#REF!,7,FALSE())&gt;2,HLOOKUP($A1227,#REF!,7,FALSE())&lt;-2),"",#REF!),"")</f>
        <v/>
      </c>
      <c r="J1227" s="0" t="str">
        <f aca="false">IFERROR(IF(OR(HLOOKUP($A1227,#REF!,8,FALSE())&gt;2,HLOOKUP($A1227,#REF!,8,FALSE())&lt;-2),"",#REF!),"")</f>
        <v/>
      </c>
      <c r="K1227" s="0" t="str">
        <f aca="false">IFERROR(IF(OR(HLOOKUP($A1227,#REF!,9,FALSE())&gt;2,HLOOKUP($A1227,#REF!,9,FALSE())&lt;-2),"",#REF!),"")</f>
        <v/>
      </c>
      <c r="L1227" s="0" t="str">
        <f aca="false">IFERROR(IF(OR(HLOOKUP($A1227,#REF!,10,FALSE())&gt;2,HLOOKUP($A1227,#REF!,10,FALSE())&lt;-2),"",#REF!),"")</f>
        <v/>
      </c>
      <c r="M1227" s="0" t="str">
        <f aca="false">IFERROR(IF(OR(HLOOKUP($A1227,#REF!,11,FALSE())&gt;2,HLOOKUP($A1227,#REF!,11,FALSE())&lt;-2),"",#REF!),"")</f>
        <v/>
      </c>
      <c r="N1227" s="0" t="str">
        <f aca="false">IFERROR(IF(OR(HLOOKUP($A1227,#REF!,12,FALSE())&gt;2,HLOOKUP($A1227,#REF!,12,FALSE())&lt;-2),"",#REF!),"")</f>
        <v/>
      </c>
      <c r="O1227" s="0" t="str">
        <f aca="false">IFERROR(IF(OR(HLOOKUP($A1227,#REF!,13,FALSE())&gt;2,HLOOKUP($A1227,#REF!,13,FALSE())&lt;-2),"",#REF!),"")</f>
        <v/>
      </c>
      <c r="P1227" s="0" t="str">
        <f aca="false">IFERROR(IF(OR(HLOOKUP($A1227,#REF!,14,FALSE())&gt;2,HLOOKUP($A1227,#REF!,14,FALSE())&lt;-2),"",#REF!),"")</f>
        <v/>
      </c>
      <c r="Q1227" s="0" t="str">
        <f aca="false">IFERROR(IF(OR(HLOOKUP($A1227,#REF!,15,FALSE())&gt;2,HLOOKUP($A1227,#REF!,15,FALSE())&lt;-2),"",#REF!),"")</f>
        <v/>
      </c>
      <c r="R1227" s="0" t="str">
        <f aca="false">IFERROR(IF(OR(HLOOKUP($A1227,#REF!,16,FALSE())&gt;2,HLOOKUP($A1227,#REF!,16,FALSE())&lt;-2),"",#REF!),"")</f>
        <v/>
      </c>
      <c r="S1227" s="0" t="str">
        <f aca="false">IFERROR(IF(OR(HLOOKUP($A1227,#REF!,17,FALSE())&gt;2,HLOOKUP($A1227,#REF!,17,FALSE())&lt;-2),"",#REF!),"")</f>
        <v/>
      </c>
      <c r="T1227" s="0" t="str">
        <f aca="false">IFERROR(IF(OR(HLOOKUP($A1227,#REF!,18,FALSE())&gt;2,HLOOKUP($A1227,#REF!,18,FALSE())&lt;-2),"",#REF!),"")</f>
        <v/>
      </c>
      <c r="U1227" s="0" t="str">
        <f aca="false">IFERROR(IF(OR(HLOOKUP($A1227,#REF!,19,FALSE())&gt;2,HLOOKUP($A1227,#REF!,19,FALSE())&lt;-2),"",#REF!),"")</f>
        <v/>
      </c>
      <c r="V1227" s="0" t="n">
        <f aca="false">IFERROR(IF(AND(X1227=0,Y1227=0),0,1),0)</f>
        <v>1</v>
      </c>
      <c r="W1227" s="3" t="str">
        <f aca="false">IFERROR(_xlfn.T.TEST(E1227:M1227,N1227:U1227,2,2),"")</f>
        <v/>
      </c>
      <c r="X1227" s="0" t="str">
        <f aca="false">IFERROR(AVERAGE(E1227:M1227),"")</f>
        <v/>
      </c>
      <c r="Y1227" s="0" t="str">
        <f aca="false">IFERROR(AVERAGE(N1227:U1227),"")</f>
        <v/>
      </c>
    </row>
    <row r="1228" customFormat="false" ht="14.5" hidden="false" customHeight="false" outlineLevel="0" collapsed="false">
      <c r="A1228" s="0" t="n">
        <v>2790</v>
      </c>
      <c r="B1228" s="0" t="s">
        <v>1265</v>
      </c>
      <c r="C1228" s="0" t="n">
        <v>40500</v>
      </c>
      <c r="D1228" s="0" t="n">
        <v>2766</v>
      </c>
      <c r="E1228" s="0" t="str">
        <f aca="false">IFERROR(IF(OR(HLOOKUP($A1228,#REF!,3,FALSE())&gt;2,HLOOKUP(A1228,#REF!,3,FALSE())&lt;-2),"",#REF!),"")</f>
        <v/>
      </c>
      <c r="F1228" s="0" t="str">
        <f aca="false">IFERROR(IF(OR(HLOOKUP($A1228,#REF!,4,FALSE())&gt;2,HLOOKUP($A1228,#REF!,4,FALSE())&lt;-2),"",#REF!),"")</f>
        <v/>
      </c>
      <c r="G1228" s="0" t="str">
        <f aca="false">IFERROR(IF(OR(HLOOKUP($A1228,#REF!,5,FALSE())&gt;2,HLOOKUP($A1228,#REF!,5,FALSE())&lt;-2),"",#REF!),"")</f>
        <v/>
      </c>
      <c r="H1228" s="0" t="str">
        <f aca="false">IFERROR(IF(OR(HLOOKUP($A1228,#REF!,6,FALSE())&gt;2,HLOOKUP($A1228,#REF!,6,FALSE())&lt;-2),"",#REF!),"")</f>
        <v/>
      </c>
      <c r="I1228" s="0" t="str">
        <f aca="false">IFERROR(IF(OR(HLOOKUP($A1228,#REF!,7,FALSE())&gt;2,HLOOKUP($A1228,#REF!,7,FALSE())&lt;-2),"",#REF!),"")</f>
        <v/>
      </c>
      <c r="J1228" s="0" t="str">
        <f aca="false">IFERROR(IF(OR(HLOOKUP($A1228,#REF!,8,FALSE())&gt;2,HLOOKUP($A1228,#REF!,8,FALSE())&lt;-2),"",#REF!),"")</f>
        <v/>
      </c>
      <c r="K1228" s="0" t="str">
        <f aca="false">IFERROR(IF(OR(HLOOKUP($A1228,#REF!,9,FALSE())&gt;2,HLOOKUP($A1228,#REF!,9,FALSE())&lt;-2),"",#REF!),"")</f>
        <v/>
      </c>
      <c r="L1228" s="0" t="str">
        <f aca="false">IFERROR(IF(OR(HLOOKUP($A1228,#REF!,10,FALSE())&gt;2,HLOOKUP($A1228,#REF!,10,FALSE())&lt;-2),"",#REF!),"")</f>
        <v/>
      </c>
      <c r="M1228" s="0" t="str">
        <f aca="false">IFERROR(IF(OR(HLOOKUP($A1228,#REF!,11,FALSE())&gt;2,HLOOKUP($A1228,#REF!,11,FALSE())&lt;-2),"",#REF!),"")</f>
        <v/>
      </c>
      <c r="N1228" s="0" t="str">
        <f aca="false">IFERROR(IF(OR(HLOOKUP($A1228,#REF!,12,FALSE())&gt;2,HLOOKUP($A1228,#REF!,12,FALSE())&lt;-2),"",#REF!),"")</f>
        <v/>
      </c>
      <c r="O1228" s="0" t="str">
        <f aca="false">IFERROR(IF(OR(HLOOKUP($A1228,#REF!,13,FALSE())&gt;2,HLOOKUP($A1228,#REF!,13,FALSE())&lt;-2),"",#REF!),"")</f>
        <v/>
      </c>
      <c r="P1228" s="0" t="str">
        <f aca="false">IFERROR(IF(OR(HLOOKUP($A1228,#REF!,14,FALSE())&gt;2,HLOOKUP($A1228,#REF!,14,FALSE())&lt;-2),"",#REF!),"")</f>
        <v/>
      </c>
      <c r="Q1228" s="0" t="str">
        <f aca="false">IFERROR(IF(OR(HLOOKUP($A1228,#REF!,15,FALSE())&gt;2,HLOOKUP($A1228,#REF!,15,FALSE())&lt;-2),"",#REF!),"")</f>
        <v/>
      </c>
      <c r="R1228" s="0" t="str">
        <f aca="false">IFERROR(IF(OR(HLOOKUP($A1228,#REF!,16,FALSE())&gt;2,HLOOKUP($A1228,#REF!,16,FALSE())&lt;-2),"",#REF!),"")</f>
        <v/>
      </c>
      <c r="S1228" s="0" t="str">
        <f aca="false">IFERROR(IF(OR(HLOOKUP($A1228,#REF!,17,FALSE())&gt;2,HLOOKUP($A1228,#REF!,17,FALSE())&lt;-2),"",#REF!),"")</f>
        <v/>
      </c>
      <c r="T1228" s="0" t="str">
        <f aca="false">IFERROR(IF(OR(HLOOKUP($A1228,#REF!,18,FALSE())&gt;2,HLOOKUP($A1228,#REF!,18,FALSE())&lt;-2),"",#REF!),"")</f>
        <v/>
      </c>
      <c r="U1228" s="0" t="str">
        <f aca="false">IFERROR(IF(OR(HLOOKUP($A1228,#REF!,19,FALSE())&gt;2,HLOOKUP($A1228,#REF!,19,FALSE())&lt;-2),"",#REF!),"")</f>
        <v/>
      </c>
      <c r="V1228" s="0" t="n">
        <f aca="false">IFERROR(IF(AND(X1228=0,Y1228=0),0,1),0)</f>
        <v>1</v>
      </c>
      <c r="W1228" s="3" t="str">
        <f aca="false">IFERROR(_xlfn.T.TEST(E1228:M1228,N1228:U1228,2,2),"")</f>
        <v/>
      </c>
      <c r="X1228" s="0" t="str">
        <f aca="false">IFERROR(AVERAGE(E1228:M1228),"")</f>
        <v/>
      </c>
      <c r="Y1228" s="0" t="str">
        <f aca="false">IFERROR(AVERAGE(N1228:U1228),"")</f>
        <v/>
      </c>
    </row>
    <row r="1229" customFormat="false" ht="14.5" hidden="false" customHeight="false" outlineLevel="0" collapsed="false">
      <c r="A1229" s="0" t="n">
        <v>2799</v>
      </c>
      <c r="B1229" s="0" t="s">
        <v>1266</v>
      </c>
      <c r="C1229" s="0" t="n">
        <v>40600</v>
      </c>
      <c r="D1229" s="0" t="n">
        <v>2726</v>
      </c>
      <c r="E1229" s="0" t="str">
        <f aca="false">IFERROR(IF(OR(HLOOKUP($A1229,#REF!,3,FALSE())&gt;2,HLOOKUP(A1229,#REF!,3,FALSE())&lt;-2),"",#REF!),"")</f>
        <v/>
      </c>
      <c r="F1229" s="0" t="str">
        <f aca="false">IFERROR(IF(OR(HLOOKUP($A1229,#REF!,4,FALSE())&gt;2,HLOOKUP($A1229,#REF!,4,FALSE())&lt;-2),"",#REF!),"")</f>
        <v/>
      </c>
      <c r="G1229" s="0" t="str">
        <f aca="false">IFERROR(IF(OR(HLOOKUP($A1229,#REF!,5,FALSE())&gt;2,HLOOKUP($A1229,#REF!,5,FALSE())&lt;-2),"",#REF!),"")</f>
        <v/>
      </c>
      <c r="H1229" s="0" t="str">
        <f aca="false">IFERROR(IF(OR(HLOOKUP($A1229,#REF!,6,FALSE())&gt;2,HLOOKUP($A1229,#REF!,6,FALSE())&lt;-2),"",#REF!),"")</f>
        <v/>
      </c>
      <c r="I1229" s="0" t="str">
        <f aca="false">IFERROR(IF(OR(HLOOKUP($A1229,#REF!,7,FALSE())&gt;2,HLOOKUP($A1229,#REF!,7,FALSE())&lt;-2),"",#REF!),"")</f>
        <v/>
      </c>
      <c r="J1229" s="0" t="str">
        <f aca="false">IFERROR(IF(OR(HLOOKUP($A1229,#REF!,8,FALSE())&gt;2,HLOOKUP($A1229,#REF!,8,FALSE())&lt;-2),"",#REF!),"")</f>
        <v/>
      </c>
      <c r="K1229" s="0" t="str">
        <f aca="false">IFERROR(IF(OR(HLOOKUP($A1229,#REF!,9,FALSE())&gt;2,HLOOKUP($A1229,#REF!,9,FALSE())&lt;-2),"",#REF!),"")</f>
        <v/>
      </c>
      <c r="L1229" s="0" t="str">
        <f aca="false">IFERROR(IF(OR(HLOOKUP($A1229,#REF!,10,FALSE())&gt;2,HLOOKUP($A1229,#REF!,10,FALSE())&lt;-2),"",#REF!),"")</f>
        <v/>
      </c>
      <c r="M1229" s="0" t="str">
        <f aca="false">IFERROR(IF(OR(HLOOKUP($A1229,#REF!,11,FALSE())&gt;2,HLOOKUP($A1229,#REF!,11,FALSE())&lt;-2),"",#REF!),"")</f>
        <v/>
      </c>
      <c r="N1229" s="0" t="str">
        <f aca="false">IFERROR(IF(OR(HLOOKUP($A1229,#REF!,12,FALSE())&gt;2,HLOOKUP($A1229,#REF!,12,FALSE())&lt;-2),"",#REF!),"")</f>
        <v/>
      </c>
      <c r="O1229" s="0" t="str">
        <f aca="false">IFERROR(IF(OR(HLOOKUP($A1229,#REF!,13,FALSE())&gt;2,HLOOKUP($A1229,#REF!,13,FALSE())&lt;-2),"",#REF!),"")</f>
        <v/>
      </c>
      <c r="P1229" s="0" t="str">
        <f aca="false">IFERROR(IF(OR(HLOOKUP($A1229,#REF!,14,FALSE())&gt;2,HLOOKUP($A1229,#REF!,14,FALSE())&lt;-2),"",#REF!),"")</f>
        <v/>
      </c>
      <c r="Q1229" s="0" t="str">
        <f aca="false">IFERROR(IF(OR(HLOOKUP($A1229,#REF!,15,FALSE())&gt;2,HLOOKUP($A1229,#REF!,15,FALSE())&lt;-2),"",#REF!),"")</f>
        <v/>
      </c>
      <c r="R1229" s="0" t="str">
        <f aca="false">IFERROR(IF(OR(HLOOKUP($A1229,#REF!,16,FALSE())&gt;2,HLOOKUP($A1229,#REF!,16,FALSE())&lt;-2),"",#REF!),"")</f>
        <v/>
      </c>
      <c r="S1229" s="0" t="str">
        <f aca="false">IFERROR(IF(OR(HLOOKUP($A1229,#REF!,17,FALSE())&gt;2,HLOOKUP($A1229,#REF!,17,FALSE())&lt;-2),"",#REF!),"")</f>
        <v/>
      </c>
      <c r="T1229" s="0" t="str">
        <f aca="false">IFERROR(IF(OR(HLOOKUP($A1229,#REF!,18,FALSE())&gt;2,HLOOKUP($A1229,#REF!,18,FALSE())&lt;-2),"",#REF!),"")</f>
        <v/>
      </c>
      <c r="U1229" s="0" t="str">
        <f aca="false">IFERROR(IF(OR(HLOOKUP($A1229,#REF!,19,FALSE())&gt;2,HLOOKUP($A1229,#REF!,19,FALSE())&lt;-2),"",#REF!),"")</f>
        <v/>
      </c>
      <c r="V1229" s="0" t="n">
        <f aca="false">IFERROR(IF(AND(X1229=0,Y1229=0),0,1),0)</f>
        <v>1</v>
      </c>
      <c r="W1229" s="3" t="str">
        <f aca="false">IFERROR(_xlfn.T.TEST(E1229:M1229,N1229:U1229,2,2),"")</f>
        <v/>
      </c>
      <c r="X1229" s="0" t="str">
        <f aca="false">IFERROR(AVERAGE(E1229:M1229),"")</f>
        <v/>
      </c>
      <c r="Y1229" s="0" t="str">
        <f aca="false">IFERROR(AVERAGE(N1229:U1229),"")</f>
        <v/>
      </c>
    </row>
    <row r="1230" customFormat="false" ht="14.5" hidden="false" customHeight="false" outlineLevel="0" collapsed="false">
      <c r="A1230" s="0" t="n">
        <v>2807</v>
      </c>
      <c r="B1230" s="0" t="s">
        <v>1267</v>
      </c>
      <c r="C1230" s="0" t="n">
        <v>40700</v>
      </c>
      <c r="D1230" s="0" t="n">
        <v>2799</v>
      </c>
      <c r="E1230" s="0" t="str">
        <f aca="false">IFERROR(IF(OR(HLOOKUP($A1230,#REF!,3,FALSE())&gt;2,HLOOKUP(A1230,#REF!,3,FALSE())&lt;-2),"",#REF!),"")</f>
        <v/>
      </c>
      <c r="F1230" s="0" t="str">
        <f aca="false">IFERROR(IF(OR(HLOOKUP($A1230,#REF!,4,FALSE())&gt;2,HLOOKUP($A1230,#REF!,4,FALSE())&lt;-2),"",#REF!),"")</f>
        <v/>
      </c>
      <c r="G1230" s="0" t="str">
        <f aca="false">IFERROR(IF(OR(HLOOKUP($A1230,#REF!,5,FALSE())&gt;2,HLOOKUP($A1230,#REF!,5,FALSE())&lt;-2),"",#REF!),"")</f>
        <v/>
      </c>
      <c r="H1230" s="0" t="str">
        <f aca="false">IFERROR(IF(OR(HLOOKUP($A1230,#REF!,6,FALSE())&gt;2,HLOOKUP($A1230,#REF!,6,FALSE())&lt;-2),"",#REF!),"")</f>
        <v/>
      </c>
      <c r="I1230" s="0" t="str">
        <f aca="false">IFERROR(IF(OR(HLOOKUP($A1230,#REF!,7,FALSE())&gt;2,HLOOKUP($A1230,#REF!,7,FALSE())&lt;-2),"",#REF!),"")</f>
        <v/>
      </c>
      <c r="J1230" s="0" t="str">
        <f aca="false">IFERROR(IF(OR(HLOOKUP($A1230,#REF!,8,FALSE())&gt;2,HLOOKUP($A1230,#REF!,8,FALSE())&lt;-2),"",#REF!),"")</f>
        <v/>
      </c>
      <c r="K1230" s="0" t="str">
        <f aca="false">IFERROR(IF(OR(HLOOKUP($A1230,#REF!,9,FALSE())&gt;2,HLOOKUP($A1230,#REF!,9,FALSE())&lt;-2),"",#REF!),"")</f>
        <v/>
      </c>
      <c r="L1230" s="0" t="str">
        <f aca="false">IFERROR(IF(OR(HLOOKUP($A1230,#REF!,10,FALSE())&gt;2,HLOOKUP($A1230,#REF!,10,FALSE())&lt;-2),"",#REF!),"")</f>
        <v/>
      </c>
      <c r="M1230" s="0" t="str">
        <f aca="false">IFERROR(IF(OR(HLOOKUP($A1230,#REF!,11,FALSE())&gt;2,HLOOKUP($A1230,#REF!,11,FALSE())&lt;-2),"",#REF!),"")</f>
        <v/>
      </c>
      <c r="N1230" s="0" t="str">
        <f aca="false">IFERROR(IF(OR(HLOOKUP($A1230,#REF!,12,FALSE())&gt;2,HLOOKUP($A1230,#REF!,12,FALSE())&lt;-2),"",#REF!),"")</f>
        <v/>
      </c>
      <c r="O1230" s="0" t="str">
        <f aca="false">IFERROR(IF(OR(HLOOKUP($A1230,#REF!,13,FALSE())&gt;2,HLOOKUP($A1230,#REF!,13,FALSE())&lt;-2),"",#REF!),"")</f>
        <v/>
      </c>
      <c r="P1230" s="0" t="str">
        <f aca="false">IFERROR(IF(OR(HLOOKUP($A1230,#REF!,14,FALSE())&gt;2,HLOOKUP($A1230,#REF!,14,FALSE())&lt;-2),"",#REF!),"")</f>
        <v/>
      </c>
      <c r="Q1230" s="0" t="str">
        <f aca="false">IFERROR(IF(OR(HLOOKUP($A1230,#REF!,15,FALSE())&gt;2,HLOOKUP($A1230,#REF!,15,FALSE())&lt;-2),"",#REF!),"")</f>
        <v/>
      </c>
      <c r="R1230" s="0" t="str">
        <f aca="false">IFERROR(IF(OR(HLOOKUP($A1230,#REF!,16,FALSE())&gt;2,HLOOKUP($A1230,#REF!,16,FALSE())&lt;-2),"",#REF!),"")</f>
        <v/>
      </c>
      <c r="S1230" s="0" t="str">
        <f aca="false">IFERROR(IF(OR(HLOOKUP($A1230,#REF!,17,FALSE())&gt;2,HLOOKUP($A1230,#REF!,17,FALSE())&lt;-2),"",#REF!),"")</f>
        <v/>
      </c>
      <c r="T1230" s="0" t="str">
        <f aca="false">IFERROR(IF(OR(HLOOKUP($A1230,#REF!,18,FALSE())&gt;2,HLOOKUP($A1230,#REF!,18,FALSE())&lt;-2),"",#REF!),"")</f>
        <v/>
      </c>
      <c r="U1230" s="0" t="str">
        <f aca="false">IFERROR(IF(OR(HLOOKUP($A1230,#REF!,19,FALSE())&gt;2,HLOOKUP($A1230,#REF!,19,FALSE())&lt;-2),"",#REF!),"")</f>
        <v/>
      </c>
      <c r="V1230" s="0" t="n">
        <f aca="false">IFERROR(IF(AND(X1230=0,Y1230=0),0,1),0)</f>
        <v>1</v>
      </c>
      <c r="W1230" s="3" t="str">
        <f aca="false">IFERROR(_xlfn.T.TEST(E1230:M1230,N1230:U1230,2,2),"")</f>
        <v/>
      </c>
      <c r="X1230" s="0" t="str">
        <f aca="false">IFERROR(AVERAGE(E1230:M1230),"")</f>
        <v/>
      </c>
      <c r="Y1230" s="0" t="str">
        <f aca="false">IFERROR(AVERAGE(N1230:U1230),"")</f>
        <v/>
      </c>
    </row>
    <row r="1231" customFormat="false" ht="14.5" hidden="false" customHeight="false" outlineLevel="0" collapsed="false">
      <c r="A1231" s="0" t="n">
        <v>2815</v>
      </c>
      <c r="B1231" s="0" t="s">
        <v>1268</v>
      </c>
      <c r="C1231" s="0" t="n">
        <v>40800</v>
      </c>
      <c r="D1231" s="0" t="n">
        <v>2799</v>
      </c>
      <c r="E1231" s="0" t="str">
        <f aca="false">IFERROR(IF(OR(HLOOKUP($A1231,#REF!,3,FALSE())&gt;2,HLOOKUP(A1231,#REF!,3,FALSE())&lt;-2),"",#REF!),"")</f>
        <v/>
      </c>
      <c r="F1231" s="0" t="str">
        <f aca="false">IFERROR(IF(OR(HLOOKUP($A1231,#REF!,4,FALSE())&gt;2,HLOOKUP($A1231,#REF!,4,FALSE())&lt;-2),"",#REF!),"")</f>
        <v/>
      </c>
      <c r="G1231" s="0" t="str">
        <f aca="false">IFERROR(IF(OR(HLOOKUP($A1231,#REF!,5,FALSE())&gt;2,HLOOKUP($A1231,#REF!,5,FALSE())&lt;-2),"",#REF!),"")</f>
        <v/>
      </c>
      <c r="H1231" s="0" t="str">
        <f aca="false">IFERROR(IF(OR(HLOOKUP($A1231,#REF!,6,FALSE())&gt;2,HLOOKUP($A1231,#REF!,6,FALSE())&lt;-2),"",#REF!),"")</f>
        <v/>
      </c>
      <c r="I1231" s="0" t="str">
        <f aca="false">IFERROR(IF(OR(HLOOKUP($A1231,#REF!,7,FALSE())&gt;2,HLOOKUP($A1231,#REF!,7,FALSE())&lt;-2),"",#REF!),"")</f>
        <v/>
      </c>
      <c r="J1231" s="0" t="str">
        <f aca="false">IFERROR(IF(OR(HLOOKUP($A1231,#REF!,8,FALSE())&gt;2,HLOOKUP($A1231,#REF!,8,FALSE())&lt;-2),"",#REF!),"")</f>
        <v/>
      </c>
      <c r="K1231" s="0" t="str">
        <f aca="false">IFERROR(IF(OR(HLOOKUP($A1231,#REF!,9,FALSE())&gt;2,HLOOKUP($A1231,#REF!,9,FALSE())&lt;-2),"",#REF!),"")</f>
        <v/>
      </c>
      <c r="L1231" s="0" t="str">
        <f aca="false">IFERROR(IF(OR(HLOOKUP($A1231,#REF!,10,FALSE())&gt;2,HLOOKUP($A1231,#REF!,10,FALSE())&lt;-2),"",#REF!),"")</f>
        <v/>
      </c>
      <c r="M1231" s="0" t="str">
        <f aca="false">IFERROR(IF(OR(HLOOKUP($A1231,#REF!,11,FALSE())&gt;2,HLOOKUP($A1231,#REF!,11,FALSE())&lt;-2),"",#REF!),"")</f>
        <v/>
      </c>
      <c r="N1231" s="0" t="str">
        <f aca="false">IFERROR(IF(OR(HLOOKUP($A1231,#REF!,12,FALSE())&gt;2,HLOOKUP($A1231,#REF!,12,FALSE())&lt;-2),"",#REF!),"")</f>
        <v/>
      </c>
      <c r="O1231" s="0" t="str">
        <f aca="false">IFERROR(IF(OR(HLOOKUP($A1231,#REF!,13,FALSE())&gt;2,HLOOKUP($A1231,#REF!,13,FALSE())&lt;-2),"",#REF!),"")</f>
        <v/>
      </c>
      <c r="P1231" s="0" t="str">
        <f aca="false">IFERROR(IF(OR(HLOOKUP($A1231,#REF!,14,FALSE())&gt;2,HLOOKUP($A1231,#REF!,14,FALSE())&lt;-2),"",#REF!),"")</f>
        <v/>
      </c>
      <c r="Q1231" s="0" t="str">
        <f aca="false">IFERROR(IF(OR(HLOOKUP($A1231,#REF!,15,FALSE())&gt;2,HLOOKUP($A1231,#REF!,15,FALSE())&lt;-2),"",#REF!),"")</f>
        <v/>
      </c>
      <c r="R1231" s="0" t="str">
        <f aca="false">IFERROR(IF(OR(HLOOKUP($A1231,#REF!,16,FALSE())&gt;2,HLOOKUP($A1231,#REF!,16,FALSE())&lt;-2),"",#REF!),"")</f>
        <v/>
      </c>
      <c r="S1231" s="0" t="str">
        <f aca="false">IFERROR(IF(OR(HLOOKUP($A1231,#REF!,17,FALSE())&gt;2,HLOOKUP($A1231,#REF!,17,FALSE())&lt;-2),"",#REF!),"")</f>
        <v/>
      </c>
      <c r="T1231" s="0" t="str">
        <f aca="false">IFERROR(IF(OR(HLOOKUP($A1231,#REF!,18,FALSE())&gt;2,HLOOKUP($A1231,#REF!,18,FALSE())&lt;-2),"",#REF!),"")</f>
        <v/>
      </c>
      <c r="U1231" s="0" t="str">
        <f aca="false">IFERROR(IF(OR(HLOOKUP($A1231,#REF!,19,FALSE())&gt;2,HLOOKUP($A1231,#REF!,19,FALSE())&lt;-2),"",#REF!),"")</f>
        <v/>
      </c>
      <c r="V1231" s="0" t="n">
        <f aca="false">IFERROR(IF(AND(X1231=0,Y1231=0),0,1),0)</f>
        <v>1</v>
      </c>
      <c r="W1231" s="3" t="str">
        <f aca="false">IFERROR(_xlfn.T.TEST(E1231:M1231,N1231:U1231,2,2),"")</f>
        <v/>
      </c>
      <c r="X1231" s="0" t="str">
        <f aca="false">IFERROR(AVERAGE(E1231:M1231),"")</f>
        <v/>
      </c>
      <c r="Y1231" s="0" t="str">
        <f aca="false">IFERROR(AVERAGE(N1231:U1231),"")</f>
        <v/>
      </c>
    </row>
    <row r="1232" customFormat="false" ht="14.5" hidden="false" customHeight="false" outlineLevel="0" collapsed="false">
      <c r="A1232" s="0" t="n">
        <v>2823</v>
      </c>
      <c r="B1232" s="0" t="s">
        <v>1269</v>
      </c>
      <c r="C1232" s="0" t="n">
        <v>40900</v>
      </c>
      <c r="D1232" s="0" t="n">
        <v>2799</v>
      </c>
      <c r="E1232" s="0" t="str">
        <f aca="false">IFERROR(IF(OR(HLOOKUP($A1232,#REF!,3,FALSE())&gt;2,HLOOKUP(A1232,#REF!,3,FALSE())&lt;-2),"",#REF!),"")</f>
        <v/>
      </c>
      <c r="F1232" s="0" t="str">
        <f aca="false">IFERROR(IF(OR(HLOOKUP($A1232,#REF!,4,FALSE())&gt;2,HLOOKUP($A1232,#REF!,4,FALSE())&lt;-2),"",#REF!),"")</f>
        <v/>
      </c>
      <c r="G1232" s="0" t="str">
        <f aca="false">IFERROR(IF(OR(HLOOKUP($A1232,#REF!,5,FALSE())&gt;2,HLOOKUP($A1232,#REF!,5,FALSE())&lt;-2),"",#REF!),"")</f>
        <v/>
      </c>
      <c r="H1232" s="0" t="str">
        <f aca="false">IFERROR(IF(OR(HLOOKUP($A1232,#REF!,6,FALSE())&gt;2,HLOOKUP($A1232,#REF!,6,FALSE())&lt;-2),"",#REF!),"")</f>
        <v/>
      </c>
      <c r="I1232" s="0" t="str">
        <f aca="false">IFERROR(IF(OR(HLOOKUP($A1232,#REF!,7,FALSE())&gt;2,HLOOKUP($A1232,#REF!,7,FALSE())&lt;-2),"",#REF!),"")</f>
        <v/>
      </c>
      <c r="J1232" s="0" t="str">
        <f aca="false">IFERROR(IF(OR(HLOOKUP($A1232,#REF!,8,FALSE())&gt;2,HLOOKUP($A1232,#REF!,8,FALSE())&lt;-2),"",#REF!),"")</f>
        <v/>
      </c>
      <c r="K1232" s="0" t="str">
        <f aca="false">IFERROR(IF(OR(HLOOKUP($A1232,#REF!,9,FALSE())&gt;2,HLOOKUP($A1232,#REF!,9,FALSE())&lt;-2),"",#REF!),"")</f>
        <v/>
      </c>
      <c r="L1232" s="0" t="str">
        <f aca="false">IFERROR(IF(OR(HLOOKUP($A1232,#REF!,10,FALSE())&gt;2,HLOOKUP($A1232,#REF!,10,FALSE())&lt;-2),"",#REF!),"")</f>
        <v/>
      </c>
      <c r="M1232" s="0" t="str">
        <f aca="false">IFERROR(IF(OR(HLOOKUP($A1232,#REF!,11,FALSE())&gt;2,HLOOKUP($A1232,#REF!,11,FALSE())&lt;-2),"",#REF!),"")</f>
        <v/>
      </c>
      <c r="N1232" s="0" t="str">
        <f aca="false">IFERROR(IF(OR(HLOOKUP($A1232,#REF!,12,FALSE())&gt;2,HLOOKUP($A1232,#REF!,12,FALSE())&lt;-2),"",#REF!),"")</f>
        <v/>
      </c>
      <c r="O1232" s="0" t="str">
        <f aca="false">IFERROR(IF(OR(HLOOKUP($A1232,#REF!,13,FALSE())&gt;2,HLOOKUP($A1232,#REF!,13,FALSE())&lt;-2),"",#REF!),"")</f>
        <v/>
      </c>
      <c r="P1232" s="0" t="str">
        <f aca="false">IFERROR(IF(OR(HLOOKUP($A1232,#REF!,14,FALSE())&gt;2,HLOOKUP($A1232,#REF!,14,FALSE())&lt;-2),"",#REF!),"")</f>
        <v/>
      </c>
      <c r="Q1232" s="0" t="str">
        <f aca="false">IFERROR(IF(OR(HLOOKUP($A1232,#REF!,15,FALSE())&gt;2,HLOOKUP($A1232,#REF!,15,FALSE())&lt;-2),"",#REF!),"")</f>
        <v/>
      </c>
      <c r="R1232" s="0" t="str">
        <f aca="false">IFERROR(IF(OR(HLOOKUP($A1232,#REF!,16,FALSE())&gt;2,HLOOKUP($A1232,#REF!,16,FALSE())&lt;-2),"",#REF!),"")</f>
        <v/>
      </c>
      <c r="S1232" s="0" t="str">
        <f aca="false">IFERROR(IF(OR(HLOOKUP($A1232,#REF!,17,FALSE())&gt;2,HLOOKUP($A1232,#REF!,17,FALSE())&lt;-2),"",#REF!),"")</f>
        <v/>
      </c>
      <c r="T1232" s="0" t="str">
        <f aca="false">IFERROR(IF(OR(HLOOKUP($A1232,#REF!,18,FALSE())&gt;2,HLOOKUP($A1232,#REF!,18,FALSE())&lt;-2),"",#REF!),"")</f>
        <v/>
      </c>
      <c r="U1232" s="0" t="str">
        <f aca="false">IFERROR(IF(OR(HLOOKUP($A1232,#REF!,19,FALSE())&gt;2,HLOOKUP($A1232,#REF!,19,FALSE())&lt;-2),"",#REF!),"")</f>
        <v/>
      </c>
      <c r="V1232" s="0" t="n">
        <f aca="false">IFERROR(IF(AND(X1232=0,Y1232=0),0,1),0)</f>
        <v>1</v>
      </c>
      <c r="W1232" s="3" t="str">
        <f aca="false">IFERROR(_xlfn.T.TEST(E1232:M1232,N1232:U1232,2,2),"")</f>
        <v/>
      </c>
      <c r="X1232" s="0" t="str">
        <f aca="false">IFERROR(AVERAGE(E1232:M1232),"")</f>
        <v/>
      </c>
      <c r="Y1232" s="0" t="str">
        <f aca="false">IFERROR(AVERAGE(N1232:U1232),"")</f>
        <v/>
      </c>
    </row>
    <row r="1233" customFormat="false" ht="14.5" hidden="false" customHeight="false" outlineLevel="0" collapsed="false">
      <c r="A1233" s="0" t="n">
        <v>12702</v>
      </c>
      <c r="B1233" s="0" t="s">
        <v>1203</v>
      </c>
      <c r="C1233" s="0" t="n">
        <v>39700</v>
      </c>
      <c r="D1233" s="0" t="n">
        <v>2726</v>
      </c>
      <c r="E1233" s="0" t="str">
        <f aca="false">IFERROR(IF(OR(HLOOKUP($A1233,#REF!,3,FALSE())&gt;2,HLOOKUP(A1233,#REF!,3,FALSE())&lt;-2),"",#REF!),"")</f>
        <v/>
      </c>
      <c r="F1233" s="0" t="str">
        <f aca="false">IFERROR(IF(OR(HLOOKUP($A1233,#REF!,4,FALSE())&gt;2,HLOOKUP($A1233,#REF!,4,FALSE())&lt;-2),"",#REF!),"")</f>
        <v/>
      </c>
      <c r="G1233" s="0" t="str">
        <f aca="false">IFERROR(IF(OR(HLOOKUP($A1233,#REF!,5,FALSE())&gt;2,HLOOKUP($A1233,#REF!,5,FALSE())&lt;-2),"",#REF!),"")</f>
        <v/>
      </c>
      <c r="H1233" s="0" t="str">
        <f aca="false">IFERROR(IF(OR(HLOOKUP($A1233,#REF!,6,FALSE())&gt;2,HLOOKUP($A1233,#REF!,6,FALSE())&lt;-2),"",#REF!),"")</f>
        <v/>
      </c>
      <c r="I1233" s="0" t="str">
        <f aca="false">IFERROR(IF(OR(HLOOKUP($A1233,#REF!,7,FALSE())&gt;2,HLOOKUP($A1233,#REF!,7,FALSE())&lt;-2),"",#REF!),"")</f>
        <v/>
      </c>
      <c r="J1233" s="0" t="str">
        <f aca="false">IFERROR(IF(OR(HLOOKUP($A1233,#REF!,8,FALSE())&gt;2,HLOOKUP($A1233,#REF!,8,FALSE())&lt;-2),"",#REF!),"")</f>
        <v/>
      </c>
      <c r="K1233" s="0" t="str">
        <f aca="false">IFERROR(IF(OR(HLOOKUP($A1233,#REF!,9,FALSE())&gt;2,HLOOKUP($A1233,#REF!,9,FALSE())&lt;-2),"",#REF!),"")</f>
        <v/>
      </c>
      <c r="L1233" s="0" t="str">
        <f aca="false">IFERROR(IF(OR(HLOOKUP($A1233,#REF!,10,FALSE())&gt;2,HLOOKUP($A1233,#REF!,10,FALSE())&lt;-2),"",#REF!),"")</f>
        <v/>
      </c>
      <c r="M1233" s="0" t="str">
        <f aca="false">IFERROR(IF(OR(HLOOKUP($A1233,#REF!,11,FALSE())&gt;2,HLOOKUP($A1233,#REF!,11,FALSE())&lt;-2),"",#REF!),"")</f>
        <v/>
      </c>
      <c r="N1233" s="0" t="str">
        <f aca="false">IFERROR(IF(OR(HLOOKUP($A1233,#REF!,12,FALSE())&gt;2,HLOOKUP($A1233,#REF!,12,FALSE())&lt;-2),"",#REF!),"")</f>
        <v/>
      </c>
      <c r="O1233" s="0" t="str">
        <f aca="false">IFERROR(IF(OR(HLOOKUP($A1233,#REF!,13,FALSE())&gt;2,HLOOKUP($A1233,#REF!,13,FALSE())&lt;-2),"",#REF!),"")</f>
        <v/>
      </c>
      <c r="P1233" s="0" t="str">
        <f aca="false">IFERROR(IF(OR(HLOOKUP($A1233,#REF!,14,FALSE())&gt;2,HLOOKUP($A1233,#REF!,14,FALSE())&lt;-2),"",#REF!),"")</f>
        <v/>
      </c>
      <c r="Q1233" s="0" t="str">
        <f aca="false">IFERROR(IF(OR(HLOOKUP($A1233,#REF!,15,FALSE())&gt;2,HLOOKUP($A1233,#REF!,15,FALSE())&lt;-2),"",#REF!),"")</f>
        <v/>
      </c>
      <c r="R1233" s="0" t="str">
        <f aca="false">IFERROR(IF(OR(HLOOKUP($A1233,#REF!,16,FALSE())&gt;2,HLOOKUP($A1233,#REF!,16,FALSE())&lt;-2),"",#REF!),"")</f>
        <v/>
      </c>
      <c r="S1233" s="0" t="str">
        <f aca="false">IFERROR(IF(OR(HLOOKUP($A1233,#REF!,17,FALSE())&gt;2,HLOOKUP($A1233,#REF!,17,FALSE())&lt;-2),"",#REF!),"")</f>
        <v/>
      </c>
      <c r="T1233" s="0" t="str">
        <f aca="false">IFERROR(IF(OR(HLOOKUP($A1233,#REF!,18,FALSE())&gt;2,HLOOKUP($A1233,#REF!,18,FALSE())&lt;-2),"",#REF!),"")</f>
        <v/>
      </c>
      <c r="U1233" s="0" t="str">
        <f aca="false">IFERROR(IF(OR(HLOOKUP($A1233,#REF!,19,FALSE())&gt;2,HLOOKUP($A1233,#REF!,19,FALSE())&lt;-2),"",#REF!),"")</f>
        <v/>
      </c>
      <c r="V1233" s="0" t="n">
        <f aca="false">IFERROR(IF(AND(X1233=0,Y1233=0),0,1),0)</f>
        <v>1</v>
      </c>
      <c r="W1233" s="3" t="str">
        <f aca="false">IFERROR(_xlfn.T.TEST(E1233:M1233,N1233:U1233,2,2),"")</f>
        <v/>
      </c>
      <c r="X1233" s="0" t="str">
        <f aca="false">IFERROR(AVERAGE(E1233:M1233),"")</f>
        <v/>
      </c>
      <c r="Y1233" s="0" t="str">
        <f aca="false">IFERROR(AVERAGE(N1233:U1233),"")</f>
        <v/>
      </c>
    </row>
    <row r="1234" customFormat="false" ht="14.5" hidden="false" customHeight="false" outlineLevel="0" collapsed="false">
      <c r="A1234" s="0" t="n">
        <v>12703</v>
      </c>
      <c r="B1234" s="0" t="s">
        <v>51</v>
      </c>
      <c r="C1234" s="0" t="n">
        <v>39400</v>
      </c>
      <c r="D1234" s="0" t="n">
        <v>2726</v>
      </c>
      <c r="E1234" s="0" t="str">
        <f aca="false">IFERROR(IF(OR(HLOOKUP($A1234,#REF!,3,FALSE())&gt;2,HLOOKUP(A1234,#REF!,3,FALSE())&lt;-2),"",#REF!),"")</f>
        <v/>
      </c>
      <c r="F1234" s="0" t="str">
        <f aca="false">IFERROR(IF(OR(HLOOKUP($A1234,#REF!,4,FALSE())&gt;2,HLOOKUP($A1234,#REF!,4,FALSE())&lt;-2),"",#REF!),"")</f>
        <v/>
      </c>
      <c r="G1234" s="0" t="str">
        <f aca="false">IFERROR(IF(OR(HLOOKUP($A1234,#REF!,5,FALSE())&gt;2,HLOOKUP($A1234,#REF!,5,FALSE())&lt;-2),"",#REF!),"")</f>
        <v/>
      </c>
      <c r="H1234" s="0" t="str">
        <f aca="false">IFERROR(IF(OR(HLOOKUP($A1234,#REF!,6,FALSE())&gt;2,HLOOKUP($A1234,#REF!,6,FALSE())&lt;-2),"",#REF!),"")</f>
        <v/>
      </c>
      <c r="I1234" s="0" t="str">
        <f aca="false">IFERROR(IF(OR(HLOOKUP($A1234,#REF!,7,FALSE())&gt;2,HLOOKUP($A1234,#REF!,7,FALSE())&lt;-2),"",#REF!),"")</f>
        <v/>
      </c>
      <c r="J1234" s="0" t="str">
        <f aca="false">IFERROR(IF(OR(HLOOKUP($A1234,#REF!,8,FALSE())&gt;2,HLOOKUP($A1234,#REF!,8,FALSE())&lt;-2),"",#REF!),"")</f>
        <v/>
      </c>
      <c r="K1234" s="0" t="str">
        <f aca="false">IFERROR(IF(OR(HLOOKUP($A1234,#REF!,9,FALSE())&gt;2,HLOOKUP($A1234,#REF!,9,FALSE())&lt;-2),"",#REF!),"")</f>
        <v/>
      </c>
      <c r="L1234" s="0" t="str">
        <f aca="false">IFERROR(IF(OR(HLOOKUP($A1234,#REF!,10,FALSE())&gt;2,HLOOKUP($A1234,#REF!,10,FALSE())&lt;-2),"",#REF!),"")</f>
        <v/>
      </c>
      <c r="M1234" s="0" t="str">
        <f aca="false">IFERROR(IF(OR(HLOOKUP($A1234,#REF!,11,FALSE())&gt;2,HLOOKUP($A1234,#REF!,11,FALSE())&lt;-2),"",#REF!),"")</f>
        <v/>
      </c>
      <c r="N1234" s="0" t="str">
        <f aca="false">IFERROR(IF(OR(HLOOKUP($A1234,#REF!,12,FALSE())&gt;2,HLOOKUP($A1234,#REF!,12,FALSE())&lt;-2),"",#REF!),"")</f>
        <v/>
      </c>
      <c r="O1234" s="0" t="str">
        <f aca="false">IFERROR(IF(OR(HLOOKUP($A1234,#REF!,13,FALSE())&gt;2,HLOOKUP($A1234,#REF!,13,FALSE())&lt;-2),"",#REF!),"")</f>
        <v/>
      </c>
      <c r="P1234" s="0" t="str">
        <f aca="false">IFERROR(IF(OR(HLOOKUP($A1234,#REF!,14,FALSE())&gt;2,HLOOKUP($A1234,#REF!,14,FALSE())&lt;-2),"",#REF!),"")</f>
        <v/>
      </c>
      <c r="Q1234" s="0" t="str">
        <f aca="false">IFERROR(IF(OR(HLOOKUP($A1234,#REF!,15,FALSE())&gt;2,HLOOKUP($A1234,#REF!,15,FALSE())&lt;-2),"",#REF!),"")</f>
        <v/>
      </c>
      <c r="R1234" s="0" t="str">
        <f aca="false">IFERROR(IF(OR(HLOOKUP($A1234,#REF!,16,FALSE())&gt;2,HLOOKUP($A1234,#REF!,16,FALSE())&lt;-2),"",#REF!),"")</f>
        <v/>
      </c>
      <c r="S1234" s="0" t="str">
        <f aca="false">IFERROR(IF(OR(HLOOKUP($A1234,#REF!,17,FALSE())&gt;2,HLOOKUP($A1234,#REF!,17,FALSE())&lt;-2),"",#REF!),"")</f>
        <v/>
      </c>
      <c r="T1234" s="0" t="str">
        <f aca="false">IFERROR(IF(OR(HLOOKUP($A1234,#REF!,18,FALSE())&gt;2,HLOOKUP($A1234,#REF!,18,FALSE())&lt;-2),"",#REF!),"")</f>
        <v/>
      </c>
      <c r="U1234" s="0" t="str">
        <f aca="false">IFERROR(IF(OR(HLOOKUP($A1234,#REF!,19,FALSE())&gt;2,HLOOKUP($A1234,#REF!,19,FALSE())&lt;-2),"",#REF!),"")</f>
        <v/>
      </c>
      <c r="V1234" s="0" t="n">
        <f aca="false">IFERROR(IF(AND(X1234=0,Y1234=0),0,1),0)</f>
        <v>1</v>
      </c>
      <c r="W1234" s="3" t="str">
        <f aca="false">IFERROR(_xlfn.T.TEST(E1234:M1234,N1234:U1234,2,2),"")</f>
        <v/>
      </c>
      <c r="X1234" s="0" t="str">
        <f aca="false">IFERROR(AVERAGE(E1234:M1234),"")</f>
        <v/>
      </c>
      <c r="Y1234" s="0" t="str">
        <f aca="false">IFERROR(AVERAGE(N1234:U1234),"")</f>
        <v/>
      </c>
    </row>
    <row r="1235" customFormat="false" ht="14.5" hidden="false" customHeight="false" outlineLevel="0" collapsed="false">
      <c r="A1235" s="0" t="n">
        <v>12704</v>
      </c>
      <c r="B1235" s="0" t="s">
        <v>54</v>
      </c>
      <c r="C1235" s="0" t="n">
        <v>39700</v>
      </c>
      <c r="D1235" s="0" t="n">
        <v>2726</v>
      </c>
      <c r="E1235" s="0" t="str">
        <f aca="false">IFERROR(IF(OR(HLOOKUP($A1235,#REF!,3,FALSE())&gt;2,HLOOKUP(A1235,#REF!,3,FALSE())&lt;-2),"",#REF!),"")</f>
        <v/>
      </c>
      <c r="F1235" s="0" t="str">
        <f aca="false">IFERROR(IF(OR(HLOOKUP($A1235,#REF!,4,FALSE())&gt;2,HLOOKUP($A1235,#REF!,4,FALSE())&lt;-2),"",#REF!),"")</f>
        <v/>
      </c>
      <c r="G1235" s="0" t="str">
        <f aca="false">IFERROR(IF(OR(HLOOKUP($A1235,#REF!,5,FALSE())&gt;2,HLOOKUP($A1235,#REF!,5,FALSE())&lt;-2),"",#REF!),"")</f>
        <v/>
      </c>
      <c r="H1235" s="0" t="str">
        <f aca="false">IFERROR(IF(OR(HLOOKUP($A1235,#REF!,6,FALSE())&gt;2,HLOOKUP($A1235,#REF!,6,FALSE())&lt;-2),"",#REF!),"")</f>
        <v/>
      </c>
      <c r="I1235" s="0" t="str">
        <f aca="false">IFERROR(IF(OR(HLOOKUP($A1235,#REF!,7,FALSE())&gt;2,HLOOKUP($A1235,#REF!,7,FALSE())&lt;-2),"",#REF!),"")</f>
        <v/>
      </c>
      <c r="J1235" s="0" t="str">
        <f aca="false">IFERROR(IF(OR(HLOOKUP($A1235,#REF!,8,FALSE())&gt;2,HLOOKUP($A1235,#REF!,8,FALSE())&lt;-2),"",#REF!),"")</f>
        <v/>
      </c>
      <c r="K1235" s="0" t="str">
        <f aca="false">IFERROR(IF(OR(HLOOKUP($A1235,#REF!,9,FALSE())&gt;2,HLOOKUP($A1235,#REF!,9,FALSE())&lt;-2),"",#REF!),"")</f>
        <v/>
      </c>
      <c r="L1235" s="0" t="str">
        <f aca="false">IFERROR(IF(OR(HLOOKUP($A1235,#REF!,10,FALSE())&gt;2,HLOOKUP($A1235,#REF!,10,FALSE())&lt;-2),"",#REF!),"")</f>
        <v/>
      </c>
      <c r="M1235" s="0" t="str">
        <f aca="false">IFERROR(IF(OR(HLOOKUP($A1235,#REF!,11,FALSE())&gt;2,HLOOKUP($A1235,#REF!,11,FALSE())&lt;-2),"",#REF!),"")</f>
        <v/>
      </c>
      <c r="N1235" s="0" t="str">
        <f aca="false">IFERROR(IF(OR(HLOOKUP($A1235,#REF!,12,FALSE())&gt;2,HLOOKUP($A1235,#REF!,12,FALSE())&lt;-2),"",#REF!),"")</f>
        <v/>
      </c>
      <c r="O1235" s="0" t="str">
        <f aca="false">IFERROR(IF(OR(HLOOKUP($A1235,#REF!,13,FALSE())&gt;2,HLOOKUP($A1235,#REF!,13,FALSE())&lt;-2),"",#REF!),"")</f>
        <v/>
      </c>
      <c r="P1235" s="0" t="str">
        <f aca="false">IFERROR(IF(OR(HLOOKUP($A1235,#REF!,14,FALSE())&gt;2,HLOOKUP($A1235,#REF!,14,FALSE())&lt;-2),"",#REF!),"")</f>
        <v/>
      </c>
      <c r="Q1235" s="0" t="str">
        <f aca="false">IFERROR(IF(OR(HLOOKUP($A1235,#REF!,15,FALSE())&gt;2,HLOOKUP($A1235,#REF!,15,FALSE())&lt;-2),"",#REF!),"")</f>
        <v/>
      </c>
      <c r="R1235" s="0" t="str">
        <f aca="false">IFERROR(IF(OR(HLOOKUP($A1235,#REF!,16,FALSE())&gt;2,HLOOKUP($A1235,#REF!,16,FALSE())&lt;-2),"",#REF!),"")</f>
        <v/>
      </c>
      <c r="S1235" s="0" t="str">
        <f aca="false">IFERROR(IF(OR(HLOOKUP($A1235,#REF!,17,FALSE())&gt;2,HLOOKUP($A1235,#REF!,17,FALSE())&lt;-2),"",#REF!),"")</f>
        <v/>
      </c>
      <c r="T1235" s="0" t="str">
        <f aca="false">IFERROR(IF(OR(HLOOKUP($A1235,#REF!,18,FALSE())&gt;2,HLOOKUP($A1235,#REF!,18,FALSE())&lt;-2),"",#REF!),"")</f>
        <v/>
      </c>
      <c r="U1235" s="0" t="str">
        <f aca="false">IFERROR(IF(OR(HLOOKUP($A1235,#REF!,19,FALSE())&gt;2,HLOOKUP($A1235,#REF!,19,FALSE())&lt;-2),"",#REF!),"")</f>
        <v/>
      </c>
      <c r="V1235" s="0" t="n">
        <f aca="false">IFERROR(IF(AND(X1235=0,Y1235=0),0,1),0)</f>
        <v>1</v>
      </c>
      <c r="W1235" s="3" t="str">
        <f aca="false">IFERROR(_xlfn.T.TEST(E1235:M1235,N1235:U1235,2,2),"")</f>
        <v/>
      </c>
      <c r="X1235" s="0" t="str">
        <f aca="false">IFERROR(AVERAGE(E1235:M1235),"")</f>
        <v/>
      </c>
      <c r="Y1235" s="0" t="str">
        <f aca="false">IFERROR(AVERAGE(N1235:U1235),"")</f>
        <v/>
      </c>
    </row>
    <row r="1236" customFormat="false" ht="14.5" hidden="false" customHeight="false" outlineLevel="0" collapsed="false">
      <c r="A1236" s="0" t="n">
        <v>12705</v>
      </c>
      <c r="B1236" s="0" t="s">
        <v>52</v>
      </c>
      <c r="C1236" s="0" t="n">
        <v>39500</v>
      </c>
      <c r="D1236" s="0" t="n">
        <v>2726</v>
      </c>
      <c r="E1236" s="0" t="str">
        <f aca="false">IFERROR(IF(OR(HLOOKUP($A1236,#REF!,3,FALSE())&gt;2,HLOOKUP(A1236,#REF!,3,FALSE())&lt;-2),"",#REF!),"")</f>
        <v/>
      </c>
      <c r="F1236" s="0" t="str">
        <f aca="false">IFERROR(IF(OR(HLOOKUP($A1236,#REF!,4,FALSE())&gt;2,HLOOKUP($A1236,#REF!,4,FALSE())&lt;-2),"",#REF!),"")</f>
        <v/>
      </c>
      <c r="G1236" s="0" t="str">
        <f aca="false">IFERROR(IF(OR(HLOOKUP($A1236,#REF!,5,FALSE())&gt;2,HLOOKUP($A1236,#REF!,5,FALSE())&lt;-2),"",#REF!),"")</f>
        <v/>
      </c>
      <c r="H1236" s="0" t="str">
        <f aca="false">IFERROR(IF(OR(HLOOKUP($A1236,#REF!,6,FALSE())&gt;2,HLOOKUP($A1236,#REF!,6,FALSE())&lt;-2),"",#REF!),"")</f>
        <v/>
      </c>
      <c r="I1236" s="0" t="str">
        <f aca="false">IFERROR(IF(OR(HLOOKUP($A1236,#REF!,7,FALSE())&gt;2,HLOOKUP($A1236,#REF!,7,FALSE())&lt;-2),"",#REF!),"")</f>
        <v/>
      </c>
      <c r="J1236" s="0" t="str">
        <f aca="false">IFERROR(IF(OR(HLOOKUP($A1236,#REF!,8,FALSE())&gt;2,HLOOKUP($A1236,#REF!,8,FALSE())&lt;-2),"",#REF!),"")</f>
        <v/>
      </c>
      <c r="K1236" s="0" t="str">
        <f aca="false">IFERROR(IF(OR(HLOOKUP($A1236,#REF!,9,FALSE())&gt;2,HLOOKUP($A1236,#REF!,9,FALSE())&lt;-2),"",#REF!),"")</f>
        <v/>
      </c>
      <c r="L1236" s="0" t="str">
        <f aca="false">IFERROR(IF(OR(HLOOKUP($A1236,#REF!,10,FALSE())&gt;2,HLOOKUP($A1236,#REF!,10,FALSE())&lt;-2),"",#REF!),"")</f>
        <v/>
      </c>
      <c r="M1236" s="0" t="str">
        <f aca="false">IFERROR(IF(OR(HLOOKUP($A1236,#REF!,11,FALSE())&gt;2,HLOOKUP($A1236,#REF!,11,FALSE())&lt;-2),"",#REF!),"")</f>
        <v/>
      </c>
      <c r="N1236" s="0" t="str">
        <f aca="false">IFERROR(IF(OR(HLOOKUP($A1236,#REF!,12,FALSE())&gt;2,HLOOKUP($A1236,#REF!,12,FALSE())&lt;-2),"",#REF!),"")</f>
        <v/>
      </c>
      <c r="O1236" s="0" t="str">
        <f aca="false">IFERROR(IF(OR(HLOOKUP($A1236,#REF!,13,FALSE())&gt;2,HLOOKUP($A1236,#REF!,13,FALSE())&lt;-2),"",#REF!),"")</f>
        <v/>
      </c>
      <c r="P1236" s="0" t="str">
        <f aca="false">IFERROR(IF(OR(HLOOKUP($A1236,#REF!,14,FALSE())&gt;2,HLOOKUP($A1236,#REF!,14,FALSE())&lt;-2),"",#REF!),"")</f>
        <v/>
      </c>
      <c r="Q1236" s="0" t="str">
        <f aca="false">IFERROR(IF(OR(HLOOKUP($A1236,#REF!,15,FALSE())&gt;2,HLOOKUP($A1236,#REF!,15,FALSE())&lt;-2),"",#REF!),"")</f>
        <v/>
      </c>
      <c r="R1236" s="0" t="str">
        <f aca="false">IFERROR(IF(OR(HLOOKUP($A1236,#REF!,16,FALSE())&gt;2,HLOOKUP($A1236,#REF!,16,FALSE())&lt;-2),"",#REF!),"")</f>
        <v/>
      </c>
      <c r="S1236" s="0" t="str">
        <f aca="false">IFERROR(IF(OR(HLOOKUP($A1236,#REF!,17,FALSE())&gt;2,HLOOKUP($A1236,#REF!,17,FALSE())&lt;-2),"",#REF!),"")</f>
        <v/>
      </c>
      <c r="T1236" s="0" t="str">
        <f aca="false">IFERROR(IF(OR(HLOOKUP($A1236,#REF!,18,FALSE())&gt;2,HLOOKUP($A1236,#REF!,18,FALSE())&lt;-2),"",#REF!),"")</f>
        <v/>
      </c>
      <c r="U1236" s="0" t="str">
        <f aca="false">IFERROR(IF(OR(HLOOKUP($A1236,#REF!,19,FALSE())&gt;2,HLOOKUP($A1236,#REF!,19,FALSE())&lt;-2),"",#REF!),"")</f>
        <v/>
      </c>
      <c r="V1236" s="0" t="n">
        <f aca="false">IFERROR(IF(AND(X1236=0,Y1236=0),0,1),0)</f>
        <v>1</v>
      </c>
      <c r="W1236" s="3" t="str">
        <f aca="false">IFERROR(_xlfn.T.TEST(E1236:M1236,N1236:U1236,2,2),"")</f>
        <v/>
      </c>
      <c r="X1236" s="0" t="str">
        <f aca="false">IFERROR(AVERAGE(E1236:M1236),"")</f>
        <v/>
      </c>
      <c r="Y1236" s="0" t="str">
        <f aca="false">IFERROR(AVERAGE(N1236:U1236),"")</f>
        <v/>
      </c>
    </row>
    <row r="1237" customFormat="false" ht="14.5" hidden="false" customHeight="false" outlineLevel="0" collapsed="false">
      <c r="A1237" s="0" t="n">
        <v>12706</v>
      </c>
      <c r="B1237" s="0" t="s">
        <v>1270</v>
      </c>
      <c r="C1237" s="0" t="n">
        <v>39400</v>
      </c>
      <c r="D1237" s="0" t="n">
        <v>2726</v>
      </c>
      <c r="E1237" s="0" t="str">
        <f aca="false">IFERROR(IF(OR(HLOOKUP($A1237,#REF!,3,FALSE())&gt;2,HLOOKUP(A1237,#REF!,3,FALSE())&lt;-2),"",#REF!),"")</f>
        <v/>
      </c>
      <c r="F1237" s="0" t="str">
        <f aca="false">IFERROR(IF(OR(HLOOKUP($A1237,#REF!,4,FALSE())&gt;2,HLOOKUP($A1237,#REF!,4,FALSE())&lt;-2),"",#REF!),"")</f>
        <v/>
      </c>
      <c r="G1237" s="0" t="str">
        <f aca="false">IFERROR(IF(OR(HLOOKUP($A1237,#REF!,5,FALSE())&gt;2,HLOOKUP($A1237,#REF!,5,FALSE())&lt;-2),"",#REF!),"")</f>
        <v/>
      </c>
      <c r="H1237" s="0" t="str">
        <f aca="false">IFERROR(IF(OR(HLOOKUP($A1237,#REF!,6,FALSE())&gt;2,HLOOKUP($A1237,#REF!,6,FALSE())&lt;-2),"",#REF!),"")</f>
        <v/>
      </c>
      <c r="I1237" s="0" t="str">
        <f aca="false">IFERROR(IF(OR(HLOOKUP($A1237,#REF!,7,FALSE())&gt;2,HLOOKUP($A1237,#REF!,7,FALSE())&lt;-2),"",#REF!),"")</f>
        <v/>
      </c>
      <c r="J1237" s="0" t="str">
        <f aca="false">IFERROR(IF(OR(HLOOKUP($A1237,#REF!,8,FALSE())&gt;2,HLOOKUP($A1237,#REF!,8,FALSE())&lt;-2),"",#REF!),"")</f>
        <v/>
      </c>
      <c r="K1237" s="0" t="str">
        <f aca="false">IFERROR(IF(OR(HLOOKUP($A1237,#REF!,9,FALSE())&gt;2,HLOOKUP($A1237,#REF!,9,FALSE())&lt;-2),"",#REF!),"")</f>
        <v/>
      </c>
      <c r="L1237" s="0" t="str">
        <f aca="false">IFERROR(IF(OR(HLOOKUP($A1237,#REF!,10,FALSE())&gt;2,HLOOKUP($A1237,#REF!,10,FALSE())&lt;-2),"",#REF!),"")</f>
        <v/>
      </c>
      <c r="M1237" s="0" t="str">
        <f aca="false">IFERROR(IF(OR(HLOOKUP($A1237,#REF!,11,FALSE())&gt;2,HLOOKUP($A1237,#REF!,11,FALSE())&lt;-2),"",#REF!),"")</f>
        <v/>
      </c>
      <c r="N1237" s="0" t="str">
        <f aca="false">IFERROR(IF(OR(HLOOKUP($A1237,#REF!,12,FALSE())&gt;2,HLOOKUP($A1237,#REF!,12,FALSE())&lt;-2),"",#REF!),"")</f>
        <v/>
      </c>
      <c r="O1237" s="0" t="str">
        <f aca="false">IFERROR(IF(OR(HLOOKUP($A1237,#REF!,13,FALSE())&gt;2,HLOOKUP($A1237,#REF!,13,FALSE())&lt;-2),"",#REF!),"")</f>
        <v/>
      </c>
      <c r="P1237" s="0" t="str">
        <f aca="false">IFERROR(IF(OR(HLOOKUP($A1237,#REF!,14,FALSE())&gt;2,HLOOKUP($A1237,#REF!,14,FALSE())&lt;-2),"",#REF!),"")</f>
        <v/>
      </c>
      <c r="Q1237" s="0" t="str">
        <f aca="false">IFERROR(IF(OR(HLOOKUP($A1237,#REF!,15,FALSE())&gt;2,HLOOKUP($A1237,#REF!,15,FALSE())&lt;-2),"",#REF!),"")</f>
        <v/>
      </c>
      <c r="R1237" s="0" t="str">
        <f aca="false">IFERROR(IF(OR(HLOOKUP($A1237,#REF!,16,FALSE())&gt;2,HLOOKUP($A1237,#REF!,16,FALSE())&lt;-2),"",#REF!),"")</f>
        <v/>
      </c>
      <c r="S1237" s="0" t="str">
        <f aca="false">IFERROR(IF(OR(HLOOKUP($A1237,#REF!,17,FALSE())&gt;2,HLOOKUP($A1237,#REF!,17,FALSE())&lt;-2),"",#REF!),"")</f>
        <v/>
      </c>
      <c r="T1237" s="0" t="str">
        <f aca="false">IFERROR(IF(OR(HLOOKUP($A1237,#REF!,18,FALSE())&gt;2,HLOOKUP($A1237,#REF!,18,FALSE())&lt;-2),"",#REF!),"")</f>
        <v/>
      </c>
      <c r="U1237" s="0" t="str">
        <f aca="false">IFERROR(IF(OR(HLOOKUP($A1237,#REF!,19,FALSE())&gt;2,HLOOKUP($A1237,#REF!,19,FALSE())&lt;-2),"",#REF!),"")</f>
        <v/>
      </c>
      <c r="V1237" s="0" t="n">
        <f aca="false">IFERROR(IF(AND(X1237=0,Y1237=0),0,1),0)</f>
        <v>1</v>
      </c>
      <c r="W1237" s="3" t="str">
        <f aca="false">IFERROR(_xlfn.T.TEST(E1237:M1237,N1237:U1237,2,2),"")</f>
        <v/>
      </c>
      <c r="X1237" s="0" t="str">
        <f aca="false">IFERROR(AVERAGE(E1237:M1237),"")</f>
        <v/>
      </c>
      <c r="Y1237" s="0" t="str">
        <f aca="false">IFERROR(AVERAGE(N1237:U1237),"")</f>
        <v/>
      </c>
    </row>
    <row r="1238" customFormat="false" ht="14.5" hidden="false" customHeight="false" outlineLevel="0" collapsed="false">
      <c r="A1238" s="0" t="n">
        <v>12707</v>
      </c>
      <c r="B1238" s="0" t="s">
        <v>1271</v>
      </c>
      <c r="C1238" s="0" t="n">
        <v>39500</v>
      </c>
      <c r="D1238" s="0" t="n">
        <v>2726</v>
      </c>
      <c r="E1238" s="0" t="str">
        <f aca="false">IFERROR(IF(OR(HLOOKUP($A1238,#REF!,3,FALSE())&gt;2,HLOOKUP(A1238,#REF!,3,FALSE())&lt;-2),"",#REF!),"")</f>
        <v/>
      </c>
      <c r="F1238" s="0" t="str">
        <f aca="false">IFERROR(IF(OR(HLOOKUP($A1238,#REF!,4,FALSE())&gt;2,HLOOKUP($A1238,#REF!,4,FALSE())&lt;-2),"",#REF!),"")</f>
        <v/>
      </c>
      <c r="G1238" s="0" t="str">
        <f aca="false">IFERROR(IF(OR(HLOOKUP($A1238,#REF!,5,FALSE())&gt;2,HLOOKUP($A1238,#REF!,5,FALSE())&lt;-2),"",#REF!),"")</f>
        <v/>
      </c>
      <c r="H1238" s="0" t="str">
        <f aca="false">IFERROR(IF(OR(HLOOKUP($A1238,#REF!,6,FALSE())&gt;2,HLOOKUP($A1238,#REF!,6,FALSE())&lt;-2),"",#REF!),"")</f>
        <v/>
      </c>
      <c r="I1238" s="0" t="str">
        <f aca="false">IFERROR(IF(OR(HLOOKUP($A1238,#REF!,7,FALSE())&gt;2,HLOOKUP($A1238,#REF!,7,FALSE())&lt;-2),"",#REF!),"")</f>
        <v/>
      </c>
      <c r="J1238" s="0" t="str">
        <f aca="false">IFERROR(IF(OR(HLOOKUP($A1238,#REF!,8,FALSE())&gt;2,HLOOKUP($A1238,#REF!,8,FALSE())&lt;-2),"",#REF!),"")</f>
        <v/>
      </c>
      <c r="K1238" s="0" t="str">
        <f aca="false">IFERROR(IF(OR(HLOOKUP($A1238,#REF!,9,FALSE())&gt;2,HLOOKUP($A1238,#REF!,9,FALSE())&lt;-2),"",#REF!),"")</f>
        <v/>
      </c>
      <c r="L1238" s="0" t="str">
        <f aca="false">IFERROR(IF(OR(HLOOKUP($A1238,#REF!,10,FALSE())&gt;2,HLOOKUP($A1238,#REF!,10,FALSE())&lt;-2),"",#REF!),"")</f>
        <v/>
      </c>
      <c r="M1238" s="0" t="str">
        <f aca="false">IFERROR(IF(OR(HLOOKUP($A1238,#REF!,11,FALSE())&gt;2,HLOOKUP($A1238,#REF!,11,FALSE())&lt;-2),"",#REF!),"")</f>
        <v/>
      </c>
      <c r="N1238" s="0" t="str">
        <f aca="false">IFERROR(IF(OR(HLOOKUP($A1238,#REF!,12,FALSE())&gt;2,HLOOKUP($A1238,#REF!,12,FALSE())&lt;-2),"",#REF!),"")</f>
        <v/>
      </c>
      <c r="O1238" s="0" t="str">
        <f aca="false">IFERROR(IF(OR(HLOOKUP($A1238,#REF!,13,FALSE())&gt;2,HLOOKUP($A1238,#REF!,13,FALSE())&lt;-2),"",#REF!),"")</f>
        <v/>
      </c>
      <c r="P1238" s="0" t="str">
        <f aca="false">IFERROR(IF(OR(HLOOKUP($A1238,#REF!,14,FALSE())&gt;2,HLOOKUP($A1238,#REF!,14,FALSE())&lt;-2),"",#REF!),"")</f>
        <v/>
      </c>
      <c r="Q1238" s="0" t="str">
        <f aca="false">IFERROR(IF(OR(HLOOKUP($A1238,#REF!,15,FALSE())&gt;2,HLOOKUP($A1238,#REF!,15,FALSE())&lt;-2),"",#REF!),"")</f>
        <v/>
      </c>
      <c r="R1238" s="0" t="str">
        <f aca="false">IFERROR(IF(OR(HLOOKUP($A1238,#REF!,16,FALSE())&gt;2,HLOOKUP($A1238,#REF!,16,FALSE())&lt;-2),"",#REF!),"")</f>
        <v/>
      </c>
      <c r="S1238" s="0" t="str">
        <f aca="false">IFERROR(IF(OR(HLOOKUP($A1238,#REF!,17,FALSE())&gt;2,HLOOKUP($A1238,#REF!,17,FALSE())&lt;-2),"",#REF!),"")</f>
        <v/>
      </c>
      <c r="T1238" s="0" t="str">
        <f aca="false">IFERROR(IF(OR(HLOOKUP($A1238,#REF!,18,FALSE())&gt;2,HLOOKUP($A1238,#REF!,18,FALSE())&lt;-2),"",#REF!),"")</f>
        <v/>
      </c>
      <c r="U1238" s="0" t="str">
        <f aca="false">IFERROR(IF(OR(HLOOKUP($A1238,#REF!,19,FALSE())&gt;2,HLOOKUP($A1238,#REF!,19,FALSE())&lt;-2),"",#REF!),"")</f>
        <v/>
      </c>
      <c r="V1238" s="0" t="n">
        <f aca="false">IFERROR(IF(AND(X1238=0,Y1238=0),0,1),0)</f>
        <v>1</v>
      </c>
      <c r="W1238" s="3" t="str">
        <f aca="false">IFERROR(_xlfn.T.TEST(E1238:M1238,N1238:U1238,2,2),"")</f>
        <v/>
      </c>
      <c r="X1238" s="0" t="str">
        <f aca="false">IFERROR(AVERAGE(E1238:M1238),"")</f>
        <v/>
      </c>
      <c r="Y1238" s="0" t="str">
        <f aca="false">IFERROR(AVERAGE(N1238:U1238),"")</f>
        <v/>
      </c>
    </row>
    <row r="1239" customFormat="false" ht="14.5" hidden="false" customHeight="false" outlineLevel="0" collapsed="false">
      <c r="A1239" s="0" t="n">
        <v>182305696</v>
      </c>
      <c r="B1239" s="0" t="s">
        <v>1272</v>
      </c>
      <c r="C1239" s="0" t="n">
        <v>300</v>
      </c>
      <c r="D1239" s="0" t="n">
        <v>688</v>
      </c>
      <c r="E1239" s="0" t="str">
        <f aca="false">IFERROR(IF(OR(HLOOKUP($A1239,#REF!,3,FALSE())&gt;2,HLOOKUP(A1239,#REF!,3,FALSE())&lt;-2),"",#REF!),"")</f>
        <v/>
      </c>
      <c r="F1239" s="0" t="str">
        <f aca="false">IFERROR(IF(OR(HLOOKUP($A1239,#REF!,4,FALSE())&gt;2,HLOOKUP($A1239,#REF!,4,FALSE())&lt;-2),"",#REF!),"")</f>
        <v/>
      </c>
      <c r="G1239" s="0" t="str">
        <f aca="false">IFERROR(IF(OR(HLOOKUP($A1239,#REF!,5,FALSE())&gt;2,HLOOKUP($A1239,#REF!,5,FALSE())&lt;-2),"",#REF!),"")</f>
        <v/>
      </c>
      <c r="H1239" s="0" t="str">
        <f aca="false">IFERROR(IF(OR(HLOOKUP($A1239,#REF!,6,FALSE())&gt;2,HLOOKUP($A1239,#REF!,6,FALSE())&lt;-2),"",#REF!),"")</f>
        <v/>
      </c>
      <c r="I1239" s="0" t="str">
        <f aca="false">IFERROR(IF(OR(HLOOKUP($A1239,#REF!,7,FALSE())&gt;2,HLOOKUP($A1239,#REF!,7,FALSE())&lt;-2),"",#REF!),"")</f>
        <v/>
      </c>
      <c r="J1239" s="0" t="str">
        <f aca="false">IFERROR(IF(OR(HLOOKUP($A1239,#REF!,8,FALSE())&gt;2,HLOOKUP($A1239,#REF!,8,FALSE())&lt;-2),"",#REF!),"")</f>
        <v/>
      </c>
      <c r="K1239" s="0" t="str">
        <f aca="false">IFERROR(IF(OR(HLOOKUP($A1239,#REF!,9,FALSE())&gt;2,HLOOKUP($A1239,#REF!,9,FALSE())&lt;-2),"",#REF!),"")</f>
        <v/>
      </c>
      <c r="L1239" s="0" t="str">
        <f aca="false">IFERROR(IF(OR(HLOOKUP($A1239,#REF!,10,FALSE())&gt;2,HLOOKUP($A1239,#REF!,10,FALSE())&lt;-2),"",#REF!),"")</f>
        <v/>
      </c>
      <c r="M1239" s="0" t="str">
        <f aca="false">IFERROR(IF(OR(HLOOKUP($A1239,#REF!,11,FALSE())&gt;2,HLOOKUP($A1239,#REF!,11,FALSE())&lt;-2),"",#REF!),"")</f>
        <v/>
      </c>
      <c r="N1239" s="0" t="str">
        <f aca="false">IFERROR(IF(OR(HLOOKUP($A1239,#REF!,12,FALSE())&gt;2,HLOOKUP($A1239,#REF!,12,FALSE())&lt;-2),"",#REF!),"")</f>
        <v/>
      </c>
      <c r="O1239" s="0" t="str">
        <f aca="false">IFERROR(IF(OR(HLOOKUP($A1239,#REF!,13,FALSE())&gt;2,HLOOKUP($A1239,#REF!,13,FALSE())&lt;-2),"",#REF!),"")</f>
        <v/>
      </c>
      <c r="P1239" s="0" t="str">
        <f aca="false">IFERROR(IF(OR(HLOOKUP($A1239,#REF!,14,FALSE())&gt;2,HLOOKUP($A1239,#REF!,14,FALSE())&lt;-2),"",#REF!),"")</f>
        <v/>
      </c>
      <c r="Q1239" s="0" t="str">
        <f aca="false">IFERROR(IF(OR(HLOOKUP($A1239,#REF!,15,FALSE())&gt;2,HLOOKUP($A1239,#REF!,15,FALSE())&lt;-2),"",#REF!),"")</f>
        <v/>
      </c>
      <c r="R1239" s="0" t="str">
        <f aca="false">IFERROR(IF(OR(HLOOKUP($A1239,#REF!,16,FALSE())&gt;2,HLOOKUP($A1239,#REF!,16,FALSE())&lt;-2),"",#REF!),"")</f>
        <v/>
      </c>
      <c r="S1239" s="0" t="str">
        <f aca="false">IFERROR(IF(OR(HLOOKUP($A1239,#REF!,17,FALSE())&gt;2,HLOOKUP($A1239,#REF!,17,FALSE())&lt;-2),"",#REF!),"")</f>
        <v/>
      </c>
      <c r="T1239" s="0" t="str">
        <f aca="false">IFERROR(IF(OR(HLOOKUP($A1239,#REF!,18,FALSE())&gt;2,HLOOKUP($A1239,#REF!,18,FALSE())&lt;-2),"",#REF!),"")</f>
        <v/>
      </c>
      <c r="U1239" s="0" t="str">
        <f aca="false">IFERROR(IF(OR(HLOOKUP($A1239,#REF!,19,FALSE())&gt;2,HLOOKUP($A1239,#REF!,19,FALSE())&lt;-2),"",#REF!),"")</f>
        <v/>
      </c>
      <c r="V1239" s="0" t="n">
        <f aca="false">IFERROR(IF(AND(X1239=0,Y1239=0),0,1),0)</f>
        <v>1</v>
      </c>
      <c r="W1239" s="3" t="str">
        <f aca="false">IFERROR(_xlfn.T.TEST(E1239:M1239,N1239:U1239,2,2),"")</f>
        <v/>
      </c>
      <c r="X1239" s="0" t="str">
        <f aca="false">IFERROR(AVERAGE(E1239:M1239),"")</f>
        <v/>
      </c>
      <c r="Y1239" s="0" t="str">
        <f aca="false">IFERROR(AVERAGE(N1239:U1239),"")</f>
        <v/>
      </c>
    </row>
    <row r="1240" customFormat="false" ht="14.5" hidden="false" customHeight="false" outlineLevel="0" collapsed="false">
      <c r="A1240" s="0" t="n">
        <v>182305712</v>
      </c>
      <c r="B1240" s="0" t="s">
        <v>1272</v>
      </c>
      <c r="C1240" s="0" t="n">
        <v>300</v>
      </c>
      <c r="D1240" s="0" t="n">
        <v>688</v>
      </c>
      <c r="E1240" s="0" t="str">
        <f aca="false">IFERROR(IF(OR(HLOOKUP($A1240,#REF!,3,FALSE())&gt;2,HLOOKUP(A1240,#REF!,3,FALSE())&lt;-2),"",#REF!),"")</f>
        <v/>
      </c>
      <c r="F1240" s="0" t="str">
        <f aca="false">IFERROR(IF(OR(HLOOKUP($A1240,#REF!,4,FALSE())&gt;2,HLOOKUP($A1240,#REF!,4,FALSE())&lt;-2),"",#REF!),"")</f>
        <v/>
      </c>
      <c r="G1240" s="0" t="str">
        <f aca="false">IFERROR(IF(OR(HLOOKUP($A1240,#REF!,5,FALSE())&gt;2,HLOOKUP($A1240,#REF!,5,FALSE())&lt;-2),"",#REF!),"")</f>
        <v/>
      </c>
      <c r="H1240" s="0" t="str">
        <f aca="false">IFERROR(IF(OR(HLOOKUP($A1240,#REF!,6,FALSE())&gt;2,HLOOKUP($A1240,#REF!,6,FALSE())&lt;-2),"",#REF!),"")</f>
        <v/>
      </c>
      <c r="I1240" s="0" t="str">
        <f aca="false">IFERROR(IF(OR(HLOOKUP($A1240,#REF!,7,FALSE())&gt;2,HLOOKUP($A1240,#REF!,7,FALSE())&lt;-2),"",#REF!),"")</f>
        <v/>
      </c>
      <c r="J1240" s="0" t="str">
        <f aca="false">IFERROR(IF(OR(HLOOKUP($A1240,#REF!,8,FALSE())&gt;2,HLOOKUP($A1240,#REF!,8,FALSE())&lt;-2),"",#REF!),"")</f>
        <v/>
      </c>
      <c r="K1240" s="0" t="str">
        <f aca="false">IFERROR(IF(OR(HLOOKUP($A1240,#REF!,9,FALSE())&gt;2,HLOOKUP($A1240,#REF!,9,FALSE())&lt;-2),"",#REF!),"")</f>
        <v/>
      </c>
      <c r="L1240" s="0" t="str">
        <f aca="false">IFERROR(IF(OR(HLOOKUP($A1240,#REF!,10,FALSE())&gt;2,HLOOKUP($A1240,#REF!,10,FALSE())&lt;-2),"",#REF!),"")</f>
        <v/>
      </c>
      <c r="M1240" s="0" t="str">
        <f aca="false">IFERROR(IF(OR(HLOOKUP($A1240,#REF!,11,FALSE())&gt;2,HLOOKUP($A1240,#REF!,11,FALSE())&lt;-2),"",#REF!),"")</f>
        <v/>
      </c>
      <c r="N1240" s="0" t="str">
        <f aca="false">IFERROR(IF(OR(HLOOKUP($A1240,#REF!,12,FALSE())&gt;2,HLOOKUP($A1240,#REF!,12,FALSE())&lt;-2),"",#REF!),"")</f>
        <v/>
      </c>
      <c r="O1240" s="0" t="str">
        <f aca="false">IFERROR(IF(OR(HLOOKUP($A1240,#REF!,13,FALSE())&gt;2,HLOOKUP($A1240,#REF!,13,FALSE())&lt;-2),"",#REF!),"")</f>
        <v/>
      </c>
      <c r="P1240" s="0" t="str">
        <f aca="false">IFERROR(IF(OR(HLOOKUP($A1240,#REF!,14,FALSE())&gt;2,HLOOKUP($A1240,#REF!,14,FALSE())&lt;-2),"",#REF!),"")</f>
        <v/>
      </c>
      <c r="Q1240" s="0" t="str">
        <f aca="false">IFERROR(IF(OR(HLOOKUP($A1240,#REF!,15,FALSE())&gt;2,HLOOKUP($A1240,#REF!,15,FALSE())&lt;-2),"",#REF!),"")</f>
        <v/>
      </c>
      <c r="R1240" s="0" t="str">
        <f aca="false">IFERROR(IF(OR(HLOOKUP($A1240,#REF!,16,FALSE())&gt;2,HLOOKUP($A1240,#REF!,16,FALSE())&lt;-2),"",#REF!),"")</f>
        <v/>
      </c>
      <c r="S1240" s="0" t="str">
        <f aca="false">IFERROR(IF(OR(HLOOKUP($A1240,#REF!,17,FALSE())&gt;2,HLOOKUP($A1240,#REF!,17,FALSE())&lt;-2),"",#REF!),"")</f>
        <v/>
      </c>
      <c r="T1240" s="0" t="str">
        <f aca="false">IFERROR(IF(OR(HLOOKUP($A1240,#REF!,18,FALSE())&gt;2,HLOOKUP($A1240,#REF!,18,FALSE())&lt;-2),"",#REF!),"")</f>
        <v/>
      </c>
      <c r="U1240" s="0" t="str">
        <f aca="false">IFERROR(IF(OR(HLOOKUP($A1240,#REF!,19,FALSE())&gt;2,HLOOKUP($A1240,#REF!,19,FALSE())&lt;-2),"",#REF!),"")</f>
        <v/>
      </c>
      <c r="V1240" s="0" t="n">
        <f aca="false">IFERROR(IF(AND(X1240=0,Y1240=0),0,1),0)</f>
        <v>1</v>
      </c>
      <c r="W1240" s="3" t="str">
        <f aca="false">IFERROR(_xlfn.T.TEST(E1240:M1240,N1240:U1240,2,2),"")</f>
        <v/>
      </c>
      <c r="X1240" s="0" t="str">
        <f aca="false">IFERROR(AVERAGE(E1240:M1240),"")</f>
        <v/>
      </c>
      <c r="Y1240" s="0" t="str">
        <f aca="false">IFERROR(AVERAGE(N1240:U1240),"")</f>
        <v/>
      </c>
    </row>
    <row r="1241" customFormat="false" ht="14.5" hidden="false" customHeight="false" outlineLevel="0" collapsed="false">
      <c r="A1241" s="0" t="n">
        <v>312782560</v>
      </c>
      <c r="B1241" s="0" t="s">
        <v>1272</v>
      </c>
      <c r="C1241" s="0" t="n">
        <v>300</v>
      </c>
      <c r="D1241" s="0" t="n">
        <v>688</v>
      </c>
      <c r="E1241" s="0" t="str">
        <f aca="false">IFERROR(IF(OR(HLOOKUP($A1241,#REF!,3,FALSE())&gt;2,HLOOKUP(A1241,#REF!,3,FALSE())&lt;-2),"",#REF!),"")</f>
        <v/>
      </c>
      <c r="F1241" s="0" t="str">
        <f aca="false">IFERROR(IF(OR(HLOOKUP($A1241,#REF!,4,FALSE())&gt;2,HLOOKUP($A1241,#REF!,4,FALSE())&lt;-2),"",#REF!),"")</f>
        <v/>
      </c>
      <c r="G1241" s="0" t="str">
        <f aca="false">IFERROR(IF(OR(HLOOKUP($A1241,#REF!,5,FALSE())&gt;2,HLOOKUP($A1241,#REF!,5,FALSE())&lt;-2),"",#REF!),"")</f>
        <v/>
      </c>
      <c r="H1241" s="0" t="str">
        <f aca="false">IFERROR(IF(OR(HLOOKUP($A1241,#REF!,6,FALSE())&gt;2,HLOOKUP($A1241,#REF!,6,FALSE())&lt;-2),"",#REF!),"")</f>
        <v/>
      </c>
      <c r="I1241" s="0" t="str">
        <f aca="false">IFERROR(IF(OR(HLOOKUP($A1241,#REF!,7,FALSE())&gt;2,HLOOKUP($A1241,#REF!,7,FALSE())&lt;-2),"",#REF!),"")</f>
        <v/>
      </c>
      <c r="J1241" s="0" t="str">
        <f aca="false">IFERROR(IF(OR(HLOOKUP($A1241,#REF!,8,FALSE())&gt;2,HLOOKUP($A1241,#REF!,8,FALSE())&lt;-2),"",#REF!),"")</f>
        <v/>
      </c>
      <c r="K1241" s="0" t="str">
        <f aca="false">IFERROR(IF(OR(HLOOKUP($A1241,#REF!,9,FALSE())&gt;2,HLOOKUP($A1241,#REF!,9,FALSE())&lt;-2),"",#REF!),"")</f>
        <v/>
      </c>
      <c r="L1241" s="0" t="str">
        <f aca="false">IFERROR(IF(OR(HLOOKUP($A1241,#REF!,10,FALSE())&gt;2,HLOOKUP($A1241,#REF!,10,FALSE())&lt;-2),"",#REF!),"")</f>
        <v/>
      </c>
      <c r="M1241" s="0" t="str">
        <f aca="false">IFERROR(IF(OR(HLOOKUP($A1241,#REF!,11,FALSE())&gt;2,HLOOKUP($A1241,#REF!,11,FALSE())&lt;-2),"",#REF!),"")</f>
        <v/>
      </c>
      <c r="N1241" s="0" t="str">
        <f aca="false">IFERROR(IF(OR(HLOOKUP($A1241,#REF!,12,FALSE())&gt;2,HLOOKUP($A1241,#REF!,12,FALSE())&lt;-2),"",#REF!),"")</f>
        <v/>
      </c>
      <c r="O1241" s="0" t="str">
        <f aca="false">IFERROR(IF(OR(HLOOKUP($A1241,#REF!,13,FALSE())&gt;2,HLOOKUP($A1241,#REF!,13,FALSE())&lt;-2),"",#REF!),"")</f>
        <v/>
      </c>
      <c r="P1241" s="0" t="str">
        <f aca="false">IFERROR(IF(OR(HLOOKUP($A1241,#REF!,14,FALSE())&gt;2,HLOOKUP($A1241,#REF!,14,FALSE())&lt;-2),"",#REF!),"")</f>
        <v/>
      </c>
      <c r="Q1241" s="0" t="str">
        <f aca="false">IFERROR(IF(OR(HLOOKUP($A1241,#REF!,15,FALSE())&gt;2,HLOOKUP($A1241,#REF!,15,FALSE())&lt;-2),"",#REF!),"")</f>
        <v/>
      </c>
      <c r="R1241" s="0" t="str">
        <f aca="false">IFERROR(IF(OR(HLOOKUP($A1241,#REF!,16,FALSE())&gt;2,HLOOKUP($A1241,#REF!,16,FALSE())&lt;-2),"",#REF!),"")</f>
        <v/>
      </c>
      <c r="S1241" s="0" t="str">
        <f aca="false">IFERROR(IF(OR(HLOOKUP($A1241,#REF!,17,FALSE())&gt;2,HLOOKUP($A1241,#REF!,17,FALSE())&lt;-2),"",#REF!),"")</f>
        <v/>
      </c>
      <c r="T1241" s="0" t="str">
        <f aca="false">IFERROR(IF(OR(HLOOKUP($A1241,#REF!,18,FALSE())&gt;2,HLOOKUP($A1241,#REF!,18,FALSE())&lt;-2),"",#REF!),"")</f>
        <v/>
      </c>
      <c r="U1241" s="0" t="str">
        <f aca="false">IFERROR(IF(OR(HLOOKUP($A1241,#REF!,19,FALSE())&gt;2,HLOOKUP($A1241,#REF!,19,FALSE())&lt;-2),"",#REF!),"")</f>
        <v/>
      </c>
      <c r="V1241" s="0" t="n">
        <f aca="false">IFERROR(IF(AND(X1241=0,Y1241=0),0,1),0)</f>
        <v>1</v>
      </c>
      <c r="W1241" s="3" t="str">
        <f aca="false">IFERROR(_xlfn.T.TEST(E1241:M1241,N1241:U1241,2,2),"")</f>
        <v/>
      </c>
      <c r="X1241" s="0" t="str">
        <f aca="false">IFERROR(AVERAGE(E1241:M1241),"")</f>
        <v/>
      </c>
      <c r="Y1241" s="0" t="str">
        <f aca="false">IFERROR(AVERAGE(N1241:U1241),"")</f>
        <v/>
      </c>
    </row>
    <row r="1242" customFormat="false" ht="14.5" hidden="false" customHeight="false" outlineLevel="0" collapsed="false">
      <c r="A1242" s="0" t="n">
        <v>312782592</v>
      </c>
      <c r="B1242" s="0" t="s">
        <v>1272</v>
      </c>
      <c r="C1242" s="0" t="n">
        <v>300</v>
      </c>
      <c r="D1242" s="0" t="n">
        <v>688</v>
      </c>
      <c r="E1242" s="0" t="str">
        <f aca="false">IFERROR(IF(OR(HLOOKUP($A1242,#REF!,3,FALSE())&gt;2,HLOOKUP(A1242,#REF!,3,FALSE())&lt;-2),"",#REF!),"")</f>
        <v/>
      </c>
      <c r="F1242" s="0" t="str">
        <f aca="false">IFERROR(IF(OR(HLOOKUP($A1242,#REF!,4,FALSE())&gt;2,HLOOKUP($A1242,#REF!,4,FALSE())&lt;-2),"",#REF!),"")</f>
        <v/>
      </c>
      <c r="G1242" s="0" t="str">
        <f aca="false">IFERROR(IF(OR(HLOOKUP($A1242,#REF!,5,FALSE())&gt;2,HLOOKUP($A1242,#REF!,5,FALSE())&lt;-2),"",#REF!),"")</f>
        <v/>
      </c>
      <c r="H1242" s="0" t="str">
        <f aca="false">IFERROR(IF(OR(HLOOKUP($A1242,#REF!,6,FALSE())&gt;2,HLOOKUP($A1242,#REF!,6,FALSE())&lt;-2),"",#REF!),"")</f>
        <v/>
      </c>
      <c r="I1242" s="0" t="str">
        <f aca="false">IFERROR(IF(OR(HLOOKUP($A1242,#REF!,7,FALSE())&gt;2,HLOOKUP($A1242,#REF!,7,FALSE())&lt;-2),"",#REF!),"")</f>
        <v/>
      </c>
      <c r="J1242" s="0" t="str">
        <f aca="false">IFERROR(IF(OR(HLOOKUP($A1242,#REF!,8,FALSE())&gt;2,HLOOKUP($A1242,#REF!,8,FALSE())&lt;-2),"",#REF!),"")</f>
        <v/>
      </c>
      <c r="K1242" s="0" t="str">
        <f aca="false">IFERROR(IF(OR(HLOOKUP($A1242,#REF!,9,FALSE())&gt;2,HLOOKUP($A1242,#REF!,9,FALSE())&lt;-2),"",#REF!),"")</f>
        <v/>
      </c>
      <c r="L1242" s="0" t="str">
        <f aca="false">IFERROR(IF(OR(HLOOKUP($A1242,#REF!,10,FALSE())&gt;2,HLOOKUP($A1242,#REF!,10,FALSE())&lt;-2),"",#REF!),"")</f>
        <v/>
      </c>
      <c r="M1242" s="0" t="str">
        <f aca="false">IFERROR(IF(OR(HLOOKUP($A1242,#REF!,11,FALSE())&gt;2,HLOOKUP($A1242,#REF!,11,FALSE())&lt;-2),"",#REF!),"")</f>
        <v/>
      </c>
      <c r="N1242" s="0" t="str">
        <f aca="false">IFERROR(IF(OR(HLOOKUP($A1242,#REF!,12,FALSE())&gt;2,HLOOKUP($A1242,#REF!,12,FALSE())&lt;-2),"",#REF!),"")</f>
        <v/>
      </c>
      <c r="O1242" s="0" t="str">
        <f aca="false">IFERROR(IF(OR(HLOOKUP($A1242,#REF!,13,FALSE())&gt;2,HLOOKUP($A1242,#REF!,13,FALSE())&lt;-2),"",#REF!),"")</f>
        <v/>
      </c>
      <c r="P1242" s="0" t="str">
        <f aca="false">IFERROR(IF(OR(HLOOKUP($A1242,#REF!,14,FALSE())&gt;2,HLOOKUP($A1242,#REF!,14,FALSE())&lt;-2),"",#REF!),"")</f>
        <v/>
      </c>
      <c r="Q1242" s="0" t="str">
        <f aca="false">IFERROR(IF(OR(HLOOKUP($A1242,#REF!,15,FALSE())&gt;2,HLOOKUP($A1242,#REF!,15,FALSE())&lt;-2),"",#REF!),"")</f>
        <v/>
      </c>
      <c r="R1242" s="0" t="str">
        <f aca="false">IFERROR(IF(OR(HLOOKUP($A1242,#REF!,16,FALSE())&gt;2,HLOOKUP($A1242,#REF!,16,FALSE())&lt;-2),"",#REF!),"")</f>
        <v/>
      </c>
      <c r="S1242" s="0" t="str">
        <f aca="false">IFERROR(IF(OR(HLOOKUP($A1242,#REF!,17,FALSE())&gt;2,HLOOKUP($A1242,#REF!,17,FALSE())&lt;-2),"",#REF!),"")</f>
        <v/>
      </c>
      <c r="T1242" s="0" t="str">
        <f aca="false">IFERROR(IF(OR(HLOOKUP($A1242,#REF!,18,FALSE())&gt;2,HLOOKUP($A1242,#REF!,18,FALSE())&lt;-2),"",#REF!),"")</f>
        <v/>
      </c>
      <c r="U1242" s="0" t="str">
        <f aca="false">IFERROR(IF(OR(HLOOKUP($A1242,#REF!,19,FALSE())&gt;2,HLOOKUP($A1242,#REF!,19,FALSE())&lt;-2),"",#REF!),"")</f>
        <v/>
      </c>
      <c r="V1242" s="0" t="n">
        <f aca="false">IFERROR(IF(AND(X1242=0,Y1242=0),0,1),0)</f>
        <v>1</v>
      </c>
      <c r="W1242" s="3" t="str">
        <f aca="false">IFERROR(_xlfn.T.TEST(E1242:M1242,N1242:U1242,2,2),"")</f>
        <v/>
      </c>
      <c r="X1242" s="0" t="str">
        <f aca="false">IFERROR(AVERAGE(E1242:M1242),"")</f>
        <v/>
      </c>
      <c r="Y1242" s="0" t="str">
        <f aca="false">IFERROR(AVERAGE(N1242:U1242),"")</f>
        <v/>
      </c>
    </row>
    <row r="1243" customFormat="false" ht="14.5" hidden="false" customHeight="false" outlineLevel="0" collapsed="false">
      <c r="A1243" s="0" t="n">
        <v>312782624</v>
      </c>
      <c r="B1243" s="0" t="s">
        <v>1272</v>
      </c>
      <c r="C1243" s="0" t="n">
        <v>300</v>
      </c>
      <c r="D1243" s="0" t="n">
        <v>688</v>
      </c>
      <c r="E1243" s="0" t="str">
        <f aca="false">IFERROR(IF(OR(HLOOKUP($A1243,#REF!,3,FALSE())&gt;2,HLOOKUP(A1243,#REF!,3,FALSE())&lt;-2),"",#REF!),"")</f>
        <v/>
      </c>
      <c r="F1243" s="0" t="str">
        <f aca="false">IFERROR(IF(OR(HLOOKUP($A1243,#REF!,4,FALSE())&gt;2,HLOOKUP($A1243,#REF!,4,FALSE())&lt;-2),"",#REF!),"")</f>
        <v/>
      </c>
      <c r="G1243" s="0" t="str">
        <f aca="false">IFERROR(IF(OR(HLOOKUP($A1243,#REF!,5,FALSE())&gt;2,HLOOKUP($A1243,#REF!,5,FALSE())&lt;-2),"",#REF!),"")</f>
        <v/>
      </c>
      <c r="H1243" s="0" t="str">
        <f aca="false">IFERROR(IF(OR(HLOOKUP($A1243,#REF!,6,FALSE())&gt;2,HLOOKUP($A1243,#REF!,6,FALSE())&lt;-2),"",#REF!),"")</f>
        <v/>
      </c>
      <c r="I1243" s="0" t="str">
        <f aca="false">IFERROR(IF(OR(HLOOKUP($A1243,#REF!,7,FALSE())&gt;2,HLOOKUP($A1243,#REF!,7,FALSE())&lt;-2),"",#REF!),"")</f>
        <v/>
      </c>
      <c r="J1243" s="0" t="str">
        <f aca="false">IFERROR(IF(OR(HLOOKUP($A1243,#REF!,8,FALSE())&gt;2,HLOOKUP($A1243,#REF!,8,FALSE())&lt;-2),"",#REF!),"")</f>
        <v/>
      </c>
      <c r="K1243" s="0" t="str">
        <f aca="false">IFERROR(IF(OR(HLOOKUP($A1243,#REF!,9,FALSE())&gt;2,HLOOKUP($A1243,#REF!,9,FALSE())&lt;-2),"",#REF!),"")</f>
        <v/>
      </c>
      <c r="L1243" s="0" t="str">
        <f aca="false">IFERROR(IF(OR(HLOOKUP($A1243,#REF!,10,FALSE())&gt;2,HLOOKUP($A1243,#REF!,10,FALSE())&lt;-2),"",#REF!),"")</f>
        <v/>
      </c>
      <c r="M1243" s="0" t="str">
        <f aca="false">IFERROR(IF(OR(HLOOKUP($A1243,#REF!,11,FALSE())&gt;2,HLOOKUP($A1243,#REF!,11,FALSE())&lt;-2),"",#REF!),"")</f>
        <v/>
      </c>
      <c r="N1243" s="0" t="str">
        <f aca="false">IFERROR(IF(OR(HLOOKUP($A1243,#REF!,12,FALSE())&gt;2,HLOOKUP($A1243,#REF!,12,FALSE())&lt;-2),"",#REF!),"")</f>
        <v/>
      </c>
      <c r="O1243" s="0" t="str">
        <f aca="false">IFERROR(IF(OR(HLOOKUP($A1243,#REF!,13,FALSE())&gt;2,HLOOKUP($A1243,#REF!,13,FALSE())&lt;-2),"",#REF!),"")</f>
        <v/>
      </c>
      <c r="P1243" s="0" t="str">
        <f aca="false">IFERROR(IF(OR(HLOOKUP($A1243,#REF!,14,FALSE())&gt;2,HLOOKUP($A1243,#REF!,14,FALSE())&lt;-2),"",#REF!),"")</f>
        <v/>
      </c>
      <c r="Q1243" s="0" t="str">
        <f aca="false">IFERROR(IF(OR(HLOOKUP($A1243,#REF!,15,FALSE())&gt;2,HLOOKUP($A1243,#REF!,15,FALSE())&lt;-2),"",#REF!),"")</f>
        <v/>
      </c>
      <c r="R1243" s="0" t="str">
        <f aca="false">IFERROR(IF(OR(HLOOKUP($A1243,#REF!,16,FALSE())&gt;2,HLOOKUP($A1243,#REF!,16,FALSE())&lt;-2),"",#REF!),"")</f>
        <v/>
      </c>
      <c r="S1243" s="0" t="str">
        <f aca="false">IFERROR(IF(OR(HLOOKUP($A1243,#REF!,17,FALSE())&gt;2,HLOOKUP($A1243,#REF!,17,FALSE())&lt;-2),"",#REF!),"")</f>
        <v/>
      </c>
      <c r="T1243" s="0" t="str">
        <f aca="false">IFERROR(IF(OR(HLOOKUP($A1243,#REF!,18,FALSE())&gt;2,HLOOKUP($A1243,#REF!,18,FALSE())&lt;-2),"",#REF!),"")</f>
        <v/>
      </c>
      <c r="U1243" s="0" t="str">
        <f aca="false">IFERROR(IF(OR(HLOOKUP($A1243,#REF!,19,FALSE())&gt;2,HLOOKUP($A1243,#REF!,19,FALSE())&lt;-2),"",#REF!),"")</f>
        <v/>
      </c>
      <c r="V1243" s="0" t="n">
        <f aca="false">IFERROR(IF(AND(X1243=0,Y1243=0),0,1),0)</f>
        <v>1</v>
      </c>
      <c r="W1243" s="3" t="str">
        <f aca="false">IFERROR(_xlfn.T.TEST(E1243:M1243,N1243:U1243,2,2),"")</f>
        <v/>
      </c>
      <c r="X1243" s="0" t="str">
        <f aca="false">IFERROR(AVERAGE(E1243:M1243),"")</f>
        <v/>
      </c>
      <c r="Y1243" s="0" t="str">
        <f aca="false">IFERROR(AVERAGE(N1243:U1243),"")</f>
        <v/>
      </c>
    </row>
    <row r="1244" customFormat="false" ht="14.5" hidden="false" customHeight="false" outlineLevel="0" collapsed="false">
      <c r="A1244" s="0" t="n">
        <v>312782656</v>
      </c>
      <c r="B1244" s="0" t="s">
        <v>1272</v>
      </c>
      <c r="C1244" s="0" t="n">
        <v>300</v>
      </c>
      <c r="D1244" s="0" t="n">
        <v>688</v>
      </c>
      <c r="E1244" s="0" t="str">
        <f aca="false">IFERROR(IF(OR(HLOOKUP($A1244,#REF!,3,FALSE())&gt;2,HLOOKUP(A1244,#REF!,3,FALSE())&lt;-2),"",#REF!),"")</f>
        <v/>
      </c>
      <c r="F1244" s="0" t="str">
        <f aca="false">IFERROR(IF(OR(HLOOKUP($A1244,#REF!,4,FALSE())&gt;2,HLOOKUP($A1244,#REF!,4,FALSE())&lt;-2),"",#REF!),"")</f>
        <v/>
      </c>
      <c r="G1244" s="0" t="str">
        <f aca="false">IFERROR(IF(OR(HLOOKUP($A1244,#REF!,5,FALSE())&gt;2,HLOOKUP($A1244,#REF!,5,FALSE())&lt;-2),"",#REF!),"")</f>
        <v/>
      </c>
      <c r="H1244" s="0" t="str">
        <f aca="false">IFERROR(IF(OR(HLOOKUP($A1244,#REF!,6,FALSE())&gt;2,HLOOKUP($A1244,#REF!,6,FALSE())&lt;-2),"",#REF!),"")</f>
        <v/>
      </c>
      <c r="I1244" s="0" t="str">
        <f aca="false">IFERROR(IF(OR(HLOOKUP($A1244,#REF!,7,FALSE())&gt;2,HLOOKUP($A1244,#REF!,7,FALSE())&lt;-2),"",#REF!),"")</f>
        <v/>
      </c>
      <c r="J1244" s="0" t="str">
        <f aca="false">IFERROR(IF(OR(HLOOKUP($A1244,#REF!,8,FALSE())&gt;2,HLOOKUP($A1244,#REF!,8,FALSE())&lt;-2),"",#REF!),"")</f>
        <v/>
      </c>
      <c r="K1244" s="0" t="str">
        <f aca="false">IFERROR(IF(OR(HLOOKUP($A1244,#REF!,9,FALSE())&gt;2,HLOOKUP($A1244,#REF!,9,FALSE())&lt;-2),"",#REF!),"")</f>
        <v/>
      </c>
      <c r="L1244" s="0" t="str">
        <f aca="false">IFERROR(IF(OR(HLOOKUP($A1244,#REF!,10,FALSE())&gt;2,HLOOKUP($A1244,#REF!,10,FALSE())&lt;-2),"",#REF!),"")</f>
        <v/>
      </c>
      <c r="M1244" s="0" t="str">
        <f aca="false">IFERROR(IF(OR(HLOOKUP($A1244,#REF!,11,FALSE())&gt;2,HLOOKUP($A1244,#REF!,11,FALSE())&lt;-2),"",#REF!),"")</f>
        <v/>
      </c>
      <c r="N1244" s="0" t="str">
        <f aca="false">IFERROR(IF(OR(HLOOKUP($A1244,#REF!,12,FALSE())&gt;2,HLOOKUP($A1244,#REF!,12,FALSE())&lt;-2),"",#REF!),"")</f>
        <v/>
      </c>
      <c r="O1244" s="0" t="str">
        <f aca="false">IFERROR(IF(OR(HLOOKUP($A1244,#REF!,13,FALSE())&gt;2,HLOOKUP($A1244,#REF!,13,FALSE())&lt;-2),"",#REF!),"")</f>
        <v/>
      </c>
      <c r="P1244" s="0" t="str">
        <f aca="false">IFERROR(IF(OR(HLOOKUP($A1244,#REF!,14,FALSE())&gt;2,HLOOKUP($A1244,#REF!,14,FALSE())&lt;-2),"",#REF!),"")</f>
        <v/>
      </c>
      <c r="Q1244" s="0" t="str">
        <f aca="false">IFERROR(IF(OR(HLOOKUP($A1244,#REF!,15,FALSE())&gt;2,HLOOKUP($A1244,#REF!,15,FALSE())&lt;-2),"",#REF!),"")</f>
        <v/>
      </c>
      <c r="R1244" s="0" t="str">
        <f aca="false">IFERROR(IF(OR(HLOOKUP($A1244,#REF!,16,FALSE())&gt;2,HLOOKUP($A1244,#REF!,16,FALSE())&lt;-2),"",#REF!),"")</f>
        <v/>
      </c>
      <c r="S1244" s="0" t="str">
        <f aca="false">IFERROR(IF(OR(HLOOKUP($A1244,#REF!,17,FALSE())&gt;2,HLOOKUP($A1244,#REF!,17,FALSE())&lt;-2),"",#REF!),"")</f>
        <v/>
      </c>
      <c r="T1244" s="0" t="str">
        <f aca="false">IFERROR(IF(OR(HLOOKUP($A1244,#REF!,18,FALSE())&gt;2,HLOOKUP($A1244,#REF!,18,FALSE())&lt;-2),"",#REF!),"")</f>
        <v/>
      </c>
      <c r="U1244" s="0" t="str">
        <f aca="false">IFERROR(IF(OR(HLOOKUP($A1244,#REF!,19,FALSE())&gt;2,HLOOKUP($A1244,#REF!,19,FALSE())&lt;-2),"",#REF!),"")</f>
        <v/>
      </c>
      <c r="V1244" s="0" t="n">
        <f aca="false">IFERROR(IF(AND(X1244=0,Y1244=0),0,1),0)</f>
        <v>1</v>
      </c>
      <c r="W1244" s="3" t="str">
        <f aca="false">IFERROR(_xlfn.T.TEST(E1244:M1244,N1244:U1244,2,2),"")</f>
        <v/>
      </c>
      <c r="X1244" s="0" t="str">
        <f aca="false">IFERROR(AVERAGE(E1244:M1244),"")</f>
        <v/>
      </c>
      <c r="Y1244" s="0" t="str">
        <f aca="false">IFERROR(AVERAGE(N1244:U1244),"")</f>
        <v/>
      </c>
    </row>
    <row r="1246" customFormat="false" ht="14.5" hidden="false" customHeight="false" outlineLevel="0" collapsed="false">
      <c r="E1246" s="0" t="n">
        <f aca="false">SUM(E3:E1244)</f>
        <v>0</v>
      </c>
      <c r="F1246" s="0" t="n">
        <f aca="false">SUM(F3:F1244)</f>
        <v>0</v>
      </c>
      <c r="G1246" s="0" t="n">
        <v>1076303</v>
      </c>
      <c r="H1246" s="0" t="n">
        <v>1434543</v>
      </c>
      <c r="I1246" s="0" t="n">
        <v>1633704</v>
      </c>
      <c r="J1246" s="0" t="n">
        <v>2028084</v>
      </c>
      <c r="K1246" s="0" t="n">
        <v>2345788</v>
      </c>
      <c r="L1246" s="0" t="n">
        <v>2272135</v>
      </c>
      <c r="M1246" s="0" t="n">
        <v>2192933</v>
      </c>
      <c r="N1246" s="0" t="n">
        <v>1111912</v>
      </c>
      <c r="O1246" s="0" t="n">
        <v>2971467</v>
      </c>
      <c r="P1246" s="0" t="n">
        <v>2339849</v>
      </c>
      <c r="Q1246" s="0" t="n">
        <v>1025955</v>
      </c>
      <c r="R1246" s="0" t="n">
        <v>2536998</v>
      </c>
      <c r="S1246" s="0" t="n">
        <v>1890459</v>
      </c>
      <c r="T1246" s="0" t="n">
        <v>1187552</v>
      </c>
      <c r="U1246" s="0" t="n">
        <v>2399985</v>
      </c>
    </row>
  </sheetData>
  <autoFilter ref="A2:Y1244"/>
  <conditionalFormatting sqref="W3:W1244">
    <cfRule type="cellIs" priority="2" operator="less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5" zeroHeight="false" outlineLevelRow="0" outlineLevelCol="0"/>
  <cols>
    <col collapsed="false" customWidth="true" hidden="false" outlineLevel="0" max="1" min="1" style="0" width="11.17"/>
    <col collapsed="false" customWidth="true" hidden="false" outlineLevel="0" max="3" min="3" style="0" width="27.27"/>
    <col collapsed="false" customWidth="true" hidden="false" outlineLevel="0" max="15" min="15" style="0" width="10.54"/>
  </cols>
  <sheetData>
    <row r="1" customFormat="false" ht="14.5" hidden="false" customHeight="false" outlineLevel="0" collapsed="false">
      <c r="E1" s="0" t="s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  <c r="N1" s="0" t="n">
        <v>0</v>
      </c>
      <c r="O1" s="0" t="n">
        <v>1</v>
      </c>
      <c r="P1" s="0" t="n">
        <v>1</v>
      </c>
      <c r="Q1" s="0" t="n">
        <v>1</v>
      </c>
      <c r="R1" s="0" t="n">
        <v>1</v>
      </c>
      <c r="S1" s="0" t="n">
        <v>1</v>
      </c>
      <c r="T1" s="0" t="n">
        <v>1</v>
      </c>
      <c r="U1" s="0" t="n">
        <v>1</v>
      </c>
      <c r="V1" s="0" t="n">
        <v>1</v>
      </c>
    </row>
    <row r="2" customFormat="false" ht="14.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X2" s="2" t="s">
        <v>23</v>
      </c>
      <c r="Y2" s="2" t="s">
        <v>24</v>
      </c>
      <c r="Z2" s="2" t="s">
        <v>25</v>
      </c>
    </row>
    <row r="3" customFormat="false" ht="14.5" hidden="false" customHeight="false" outlineLevel="0" collapsed="false">
      <c r="A3" s="4" t="s">
        <v>1273</v>
      </c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X3" s="6"/>
      <c r="Y3" s="6"/>
      <c r="Z3" s="6"/>
    </row>
    <row r="4" customFormat="false" ht="14.5" hidden="false" customHeight="false" outlineLevel="0" collapsed="false">
      <c r="A4" s="0" t="s">
        <v>36</v>
      </c>
      <c r="C4" s="0" t="s">
        <v>31</v>
      </c>
      <c r="E4" s="0" t="n">
        <v>726</v>
      </c>
      <c r="F4" s="0" t="e">
        <f aca="false">SUMPRODUCT(SUMIFS(#REF!,#REF!,$B29:$B31))</f>
        <v>#VALUE!</v>
      </c>
      <c r="G4" s="0" t="e">
        <f aca="false">SUMPRODUCT(SUMIFS(#REF!,#REF!,$B29:$B31))</f>
        <v>#VALUE!</v>
      </c>
      <c r="H4" s="0" t="e">
        <f aca="false">SUMPRODUCT(SUMIFS(#REF!,#REF!,$B29:$B31))</f>
        <v>#VALUE!</v>
      </c>
      <c r="I4" s="0" t="e">
        <f aca="false">SUMPRODUCT(SUMIFS(#REF!,#REF!,$B29:$B31))</f>
        <v>#VALUE!</v>
      </c>
      <c r="J4" s="0" t="e">
        <f aca="false">SUMPRODUCT(SUMIFS(#REF!,#REF!,$B29:$B31))</f>
        <v>#VALUE!</v>
      </c>
      <c r="K4" s="0" t="e">
        <f aca="false">SUMPRODUCT(SUMIFS(#REF!,#REF!,$B29:$B31))</f>
        <v>#VALUE!</v>
      </c>
      <c r="L4" s="0" t="e">
        <f aca="false">SUMPRODUCT(SUMIFS(#REF!,#REF!,$B29:$B31))</f>
        <v>#VALUE!</v>
      </c>
      <c r="M4" s="0" t="e">
        <f aca="false">SUMPRODUCT(SUMIFS(#REF!,#REF!,$B29:$B31))</f>
        <v>#VALUE!</v>
      </c>
      <c r="N4" s="0" t="e">
        <f aca="false">SUMPRODUCT(SUMIFS(#REF!,#REF!,$B29:$B31))</f>
        <v>#VALUE!</v>
      </c>
      <c r="O4" s="0" t="e">
        <f aca="false">SUMPRODUCT(SUMIFS(#REF!,#REF!,$B29:$B31))</f>
        <v>#VALUE!</v>
      </c>
      <c r="P4" s="0" t="e">
        <f aca="false">SUMPRODUCT(SUMIFS(#REF!,#REF!,$B29:$B31))</f>
        <v>#VALUE!</v>
      </c>
      <c r="Q4" s="0" t="e">
        <f aca="false">SUMPRODUCT(SUMIFS(#REF!,#REF!,$B29:$B31))</f>
        <v>#VALUE!</v>
      </c>
      <c r="R4" s="0" t="e">
        <f aca="false">SUMPRODUCT(SUMIFS(#REF!,#REF!,$B29:$B31))</f>
        <v>#VALUE!</v>
      </c>
      <c r="S4" s="0" t="e">
        <f aca="false">SUMPRODUCT(SUMIFS(#REF!,#REF!,$B29:$B31))</f>
        <v>#VALUE!</v>
      </c>
      <c r="T4" s="0" t="e">
        <f aca="false">SUMPRODUCT(SUMIFS(#REF!,#REF!,$B29:$B31))</f>
        <v>#VALUE!</v>
      </c>
      <c r="U4" s="0" t="e">
        <f aca="false">SUMPRODUCT(SUMIFS(#REF!,#REF!,$B29:$B31))</f>
        <v>#VALUE!</v>
      </c>
      <c r="V4" s="0" t="e">
        <f aca="false">SUMPRODUCT(SUMIFS(#REF!,#REF!,$B29:$B31))</f>
        <v>#VALUE!</v>
      </c>
      <c r="X4" s="3" t="e">
        <f aca="false">_xlfn.T.TEST(F4:N4,O4:V4,2,2)</f>
        <v>#VALUE!</v>
      </c>
      <c r="Y4" s="0" t="e">
        <f aca="false">AVERAGE(F4:N4)</f>
        <v>#VALUE!</v>
      </c>
      <c r="Z4" s="0" t="e">
        <f aca="false">AVERAGE(O4:V4)</f>
        <v>#VALUE!</v>
      </c>
    </row>
    <row r="5" customFormat="false" ht="14.5" hidden="false" customHeight="false" outlineLevel="0" collapsed="false">
      <c r="A5" s="0" t="s">
        <v>32</v>
      </c>
      <c r="B5" s="0" t="n">
        <v>2382</v>
      </c>
      <c r="C5" s="0" t="s">
        <v>33</v>
      </c>
      <c r="D5" s="0" t="n">
        <v>37700</v>
      </c>
      <c r="E5" s="0" t="n">
        <v>2375</v>
      </c>
      <c r="F5" s="0" t="e">
        <f aca="false">SUMIFS(#REF!,#REF!,'Brain networks'!$B5)</f>
        <v>#VALUE!</v>
      </c>
      <c r="G5" s="0" t="e">
        <f aca="false">SUMIFS(#REF!,#REF!,'Brain networks'!$B5)</f>
        <v>#VALUE!</v>
      </c>
      <c r="H5" s="0" t="e">
        <f aca="false">SUMIFS(#REF!,#REF!,'Brain networks'!$B5)</f>
        <v>#VALUE!</v>
      </c>
      <c r="I5" s="0" t="e">
        <f aca="false">SUMIFS(#REF!,#REF!,'Brain networks'!$B5)</f>
        <v>#VALUE!</v>
      </c>
      <c r="J5" s="0" t="e">
        <f aca="false">SUMIFS(#REF!,#REF!,'Brain networks'!$B5)</f>
        <v>#VALUE!</v>
      </c>
      <c r="K5" s="0" t="e">
        <f aca="false">SUMIFS(#REF!,#REF!,'Brain networks'!$B5)</f>
        <v>#VALUE!</v>
      </c>
      <c r="L5" s="0" t="e">
        <f aca="false">SUMIFS(#REF!,#REF!,'Brain networks'!$B5)</f>
        <v>#VALUE!</v>
      </c>
      <c r="M5" s="0" t="e">
        <f aca="false">SUMIFS(#REF!,#REF!,'Brain networks'!$B5)</f>
        <v>#VALUE!</v>
      </c>
      <c r="N5" s="0" t="e">
        <f aca="false">SUMIFS(#REF!,#REF!,'Brain networks'!$B5)</f>
        <v>#VALUE!</v>
      </c>
      <c r="O5" s="0" t="e">
        <f aca="false">SUMIFS(#REF!,#REF!,'Brain networks'!$B5)</f>
        <v>#VALUE!</v>
      </c>
      <c r="P5" s="0" t="e">
        <f aca="false">SUMIFS(#REF!,#REF!,'Brain networks'!$B5)</f>
        <v>#VALUE!</v>
      </c>
      <c r="Q5" s="0" t="e">
        <f aca="false">SUMIFS(#REF!,#REF!,'Brain networks'!$B5)</f>
        <v>#VALUE!</v>
      </c>
      <c r="R5" s="0" t="e">
        <f aca="false">SUMIFS(#REF!,#REF!,'Brain networks'!$B5)</f>
        <v>#VALUE!</v>
      </c>
      <c r="S5" s="0" t="e">
        <f aca="false">SUMIFS(#REF!,#REF!,'Brain networks'!$B5)</f>
        <v>#VALUE!</v>
      </c>
      <c r="T5" s="0" t="e">
        <f aca="false">SUMIFS(#REF!,#REF!,'Brain networks'!$B5)</f>
        <v>#VALUE!</v>
      </c>
      <c r="U5" s="0" t="e">
        <f aca="false">SUMIFS(#REF!,#REF!,'Brain networks'!$B5)</f>
        <v>#VALUE!</v>
      </c>
      <c r="V5" s="0" t="e">
        <f aca="false">SUMIFS(#REF!,#REF!,'Brain networks'!$B5)</f>
        <v>#VALUE!</v>
      </c>
      <c r="X5" s="3" t="e">
        <f aca="false">_xlfn.T.TEST(F5:N5,O5:V5,2,2)</f>
        <v>#VALUE!</v>
      </c>
      <c r="Y5" s="0" t="e">
        <f aca="false">AVERAGE(F5:N5)</f>
        <v>#VALUE!</v>
      </c>
      <c r="Z5" s="0" t="e">
        <f aca="false">AVERAGE(O5:V5)</f>
        <v>#VALUE!</v>
      </c>
    </row>
    <row r="6" customFormat="false" ht="14.5" hidden="false" customHeight="false" outlineLevel="0" collapsed="false">
      <c r="A6" s="0" t="s">
        <v>34</v>
      </c>
      <c r="B6" s="0" t="n">
        <v>2463</v>
      </c>
      <c r="C6" s="0" t="s">
        <v>35</v>
      </c>
      <c r="D6" s="0" t="n">
        <v>38700</v>
      </c>
      <c r="E6" s="0" t="n">
        <v>2375</v>
      </c>
      <c r="F6" s="0" t="e">
        <f aca="false">SUMIFS(#REF!,#REF!,'Brain networks'!$B6)</f>
        <v>#VALUE!</v>
      </c>
      <c r="G6" s="0" t="e">
        <f aca="false">SUMIFS(#REF!,#REF!,'Brain networks'!$B6)</f>
        <v>#VALUE!</v>
      </c>
      <c r="H6" s="0" t="e">
        <f aca="false">SUMIFS(#REF!,#REF!,'Brain networks'!$B6)</f>
        <v>#VALUE!</v>
      </c>
      <c r="I6" s="0" t="e">
        <f aca="false">SUMIFS(#REF!,#REF!,'Brain networks'!$B6)</f>
        <v>#VALUE!</v>
      </c>
      <c r="J6" s="0" t="e">
        <f aca="false">SUMIFS(#REF!,#REF!,'Brain networks'!$B6)</f>
        <v>#VALUE!</v>
      </c>
      <c r="K6" s="0" t="e">
        <f aca="false">SUMIFS(#REF!,#REF!,'Brain networks'!$B6)</f>
        <v>#VALUE!</v>
      </c>
      <c r="L6" s="0" t="e">
        <f aca="false">SUMIFS(#REF!,#REF!,'Brain networks'!$B6)</f>
        <v>#VALUE!</v>
      </c>
      <c r="M6" s="0" t="e">
        <f aca="false">SUMIFS(#REF!,#REF!,'Brain networks'!$B6)</f>
        <v>#VALUE!</v>
      </c>
      <c r="N6" s="0" t="e">
        <f aca="false">SUMIFS(#REF!,#REF!,'Brain networks'!$B6)</f>
        <v>#VALUE!</v>
      </c>
      <c r="O6" s="0" t="e">
        <f aca="false">SUMIFS(#REF!,#REF!,'Brain networks'!$B6)</f>
        <v>#VALUE!</v>
      </c>
      <c r="P6" s="0" t="e">
        <f aca="false">SUMIFS(#REF!,#REF!,'Brain networks'!$B6)</f>
        <v>#VALUE!</v>
      </c>
      <c r="Q6" s="0" t="e">
        <f aca="false">SUMIFS(#REF!,#REF!,'Brain networks'!$B6)</f>
        <v>#VALUE!</v>
      </c>
      <c r="R6" s="0" t="e">
        <f aca="false">SUMIFS(#REF!,#REF!,'Brain networks'!$B6)</f>
        <v>#VALUE!</v>
      </c>
      <c r="S6" s="0" t="e">
        <f aca="false">SUMIFS(#REF!,#REF!,'Brain networks'!$B6)</f>
        <v>#VALUE!</v>
      </c>
      <c r="T6" s="0" t="e">
        <f aca="false">SUMIFS(#REF!,#REF!,'Brain networks'!$B6)</f>
        <v>#VALUE!</v>
      </c>
      <c r="U6" s="0" t="e">
        <f aca="false">SUMIFS(#REF!,#REF!,'Brain networks'!$B6)</f>
        <v>#VALUE!</v>
      </c>
      <c r="V6" s="0" t="e">
        <f aca="false">SUMIFS(#REF!,#REF!,'Brain networks'!$B6)</f>
        <v>#VALUE!</v>
      </c>
      <c r="X6" s="3" t="e">
        <f aca="false">_xlfn.T.TEST(F6:N6,O6:V6,2,2)</f>
        <v>#VALUE!</v>
      </c>
      <c r="Y6" s="0" t="e">
        <f aca="false">AVERAGE(F6:N6)</f>
        <v>#VALUE!</v>
      </c>
      <c r="Z6" s="0" t="e">
        <f aca="false">AVERAGE(O6:V6)</f>
        <v>#VALUE!</v>
      </c>
    </row>
    <row r="7" customFormat="false" ht="14.5" hidden="false" customHeight="false" outlineLevel="0" collapsed="false">
      <c r="A7" s="0" t="s">
        <v>1274</v>
      </c>
      <c r="C7" s="0" t="s">
        <v>1275</v>
      </c>
      <c r="F7" s="0" t="e">
        <f aca="false">SUMPRODUCT(SUMIFS(#REF!,#REF!,$B62:$B76))</f>
        <v>#VALUE!</v>
      </c>
      <c r="G7" s="0" t="e">
        <f aca="false">SUMPRODUCT(SUMIFS(#REF!,#REF!,$B62:$B76))</f>
        <v>#VALUE!</v>
      </c>
      <c r="H7" s="0" t="e">
        <f aca="false">SUMPRODUCT(SUMIFS(#REF!,#REF!,$B62:$B76))</f>
        <v>#VALUE!</v>
      </c>
      <c r="I7" s="0" t="e">
        <f aca="false">SUMPRODUCT(SUMIFS(#REF!,#REF!,$B62:$B76))</f>
        <v>#VALUE!</v>
      </c>
      <c r="J7" s="0" t="e">
        <f aca="false">SUMPRODUCT(SUMIFS(#REF!,#REF!,$B62:$B76))</f>
        <v>#VALUE!</v>
      </c>
      <c r="K7" s="0" t="e">
        <f aca="false">SUMPRODUCT(SUMIFS(#REF!,#REF!,$B62:$B76))</f>
        <v>#VALUE!</v>
      </c>
      <c r="L7" s="0" t="e">
        <f aca="false">SUMPRODUCT(SUMIFS(#REF!,#REF!,$B62:$B76))</f>
        <v>#VALUE!</v>
      </c>
      <c r="M7" s="0" t="e">
        <f aca="false">SUMPRODUCT(SUMIFS(#REF!,#REF!,$B62:$B76))</f>
        <v>#VALUE!</v>
      </c>
      <c r="N7" s="0" t="e">
        <f aca="false">SUMPRODUCT(SUMIFS(#REF!,#REF!,$B62:$B76))</f>
        <v>#VALUE!</v>
      </c>
      <c r="O7" s="0" t="e">
        <f aca="false">SUMPRODUCT(SUMIFS(#REF!,#REF!,$B62:$B76))</f>
        <v>#VALUE!</v>
      </c>
      <c r="P7" s="0" t="e">
        <f aca="false">SUMPRODUCT(SUMIFS(#REF!,#REF!,$B62:$B76))</f>
        <v>#VALUE!</v>
      </c>
      <c r="Q7" s="0" t="e">
        <f aca="false">SUMPRODUCT(SUMIFS(#REF!,#REF!,$B62:$B76))</f>
        <v>#VALUE!</v>
      </c>
      <c r="R7" s="0" t="e">
        <f aca="false">SUMPRODUCT(SUMIFS(#REF!,#REF!,$B62:$B76))</f>
        <v>#VALUE!</v>
      </c>
      <c r="S7" s="0" t="e">
        <f aca="false">SUMPRODUCT(SUMIFS(#REF!,#REF!,$B62:$B76))</f>
        <v>#VALUE!</v>
      </c>
      <c r="T7" s="0" t="e">
        <f aca="false">SUMPRODUCT(SUMIFS(#REF!,#REF!,$B62:$B76))</f>
        <v>#VALUE!</v>
      </c>
      <c r="U7" s="0" t="e">
        <f aca="false">SUMPRODUCT(SUMIFS(#REF!,#REF!,$B62:$B76))</f>
        <v>#VALUE!</v>
      </c>
      <c r="V7" s="0" t="e">
        <f aca="false">SUMPRODUCT(SUMIFS(#REF!,#REF!,$B62:$B76))</f>
        <v>#VALUE!</v>
      </c>
      <c r="X7" s="3" t="e">
        <f aca="false">_xlfn.T.TEST(F7:N7,O7:V7,2,2)</f>
        <v>#VALUE!</v>
      </c>
      <c r="Y7" s="0" t="e">
        <f aca="false">AVERAGE(F7:N7)</f>
        <v>#VALUE!</v>
      </c>
      <c r="Z7" s="0" t="e">
        <f aca="false">AVERAGE(O7:V7)</f>
        <v>#VALUE!</v>
      </c>
    </row>
    <row r="8" customFormat="false" ht="14.5" hidden="false" customHeight="false" outlineLevel="0" collapsed="false">
      <c r="A8" s="0" t="s">
        <v>1276</v>
      </c>
      <c r="C8" s="0" t="s">
        <v>1277</v>
      </c>
      <c r="F8" s="0" t="e">
        <f aca="false">SUMPRODUCT(SUMIFS(#REF!,#REF!,$B77:$B91))</f>
        <v>#VALUE!</v>
      </c>
      <c r="G8" s="0" t="e">
        <f aca="false">SUMPRODUCT(SUMIFS(#REF!,#REF!,$B77:$B91))</f>
        <v>#VALUE!</v>
      </c>
      <c r="H8" s="0" t="e">
        <f aca="false">SUMPRODUCT(SUMIFS(#REF!,#REF!,$B77:$B91))</f>
        <v>#VALUE!</v>
      </c>
      <c r="I8" s="0" t="e">
        <f aca="false">SUMPRODUCT(SUMIFS(#REF!,#REF!,$B77:$B91))</f>
        <v>#VALUE!</v>
      </c>
      <c r="J8" s="0" t="e">
        <f aca="false">SUMPRODUCT(SUMIFS(#REF!,#REF!,$B77:$B91))</f>
        <v>#VALUE!</v>
      </c>
      <c r="K8" s="0" t="e">
        <f aca="false">SUMPRODUCT(SUMIFS(#REF!,#REF!,$B77:$B91))</f>
        <v>#VALUE!</v>
      </c>
      <c r="L8" s="0" t="e">
        <f aca="false">SUMPRODUCT(SUMIFS(#REF!,#REF!,$B77:$B91))</f>
        <v>#VALUE!</v>
      </c>
      <c r="M8" s="0" t="e">
        <f aca="false">SUMPRODUCT(SUMIFS(#REF!,#REF!,$B77:$B91))</f>
        <v>#VALUE!</v>
      </c>
      <c r="N8" s="0" t="e">
        <f aca="false">SUMPRODUCT(SUMIFS(#REF!,#REF!,$B77:$B91))</f>
        <v>#VALUE!</v>
      </c>
      <c r="O8" s="0" t="e">
        <f aca="false">SUMPRODUCT(SUMIFS(#REF!,#REF!,$B77:$B91))</f>
        <v>#VALUE!</v>
      </c>
      <c r="P8" s="0" t="e">
        <f aca="false">SUMPRODUCT(SUMIFS(#REF!,#REF!,$B77:$B91))</f>
        <v>#VALUE!</v>
      </c>
      <c r="Q8" s="0" t="e">
        <f aca="false">SUMPRODUCT(SUMIFS(#REF!,#REF!,$B77:$B91))</f>
        <v>#VALUE!</v>
      </c>
      <c r="R8" s="0" t="e">
        <f aca="false">SUMPRODUCT(SUMIFS(#REF!,#REF!,$B77:$B91))</f>
        <v>#VALUE!</v>
      </c>
      <c r="S8" s="0" t="e">
        <f aca="false">SUMPRODUCT(SUMIFS(#REF!,#REF!,$B77:$B91))</f>
        <v>#VALUE!</v>
      </c>
      <c r="T8" s="0" t="e">
        <f aca="false">SUMPRODUCT(SUMIFS(#REF!,#REF!,$B77:$B91))</f>
        <v>#VALUE!</v>
      </c>
      <c r="U8" s="0" t="e">
        <f aca="false">SUMPRODUCT(SUMIFS(#REF!,#REF!,$B77:$B91))</f>
        <v>#VALUE!</v>
      </c>
      <c r="V8" s="0" t="e">
        <f aca="false">SUMPRODUCT(SUMIFS(#REF!,#REF!,$B77:$B91))</f>
        <v>#VALUE!</v>
      </c>
      <c r="X8" s="3" t="e">
        <f aca="false">_xlfn.T.TEST(F8:N8,O8:V8,2,2)</f>
        <v>#VALUE!</v>
      </c>
      <c r="Y8" s="0" t="e">
        <f aca="false">AVERAGE(F8:N8)</f>
        <v>#VALUE!</v>
      </c>
      <c r="Z8" s="0" t="e">
        <f aca="false">AVERAGE(O8:V8)</f>
        <v>#VALUE!</v>
      </c>
    </row>
    <row r="9" customFormat="false" ht="14.5" hidden="false" customHeight="false" outlineLevel="0" collapsed="false">
      <c r="A9" s="0" t="s">
        <v>1278</v>
      </c>
      <c r="B9" s="0" t="n">
        <v>672</v>
      </c>
      <c r="C9" s="0" t="s">
        <v>725</v>
      </c>
      <c r="D9" s="0" t="n">
        <v>48200</v>
      </c>
      <c r="E9" s="0" t="n">
        <v>485</v>
      </c>
      <c r="F9" s="0" t="e">
        <f aca="false">SUMIFS(#REF!,#REF!,'Brain networks'!$B9)</f>
        <v>#VALUE!</v>
      </c>
      <c r="G9" s="0" t="e">
        <f aca="false">SUMIFS(#REF!,#REF!,'Brain networks'!$B9)</f>
        <v>#VALUE!</v>
      </c>
      <c r="H9" s="0" t="e">
        <f aca="false">SUMIFS(#REF!,#REF!,'Brain networks'!$B9)</f>
        <v>#VALUE!</v>
      </c>
      <c r="I9" s="0" t="e">
        <f aca="false">SUMIFS(#REF!,#REF!,'Brain networks'!$B9)</f>
        <v>#VALUE!</v>
      </c>
      <c r="J9" s="0" t="e">
        <f aca="false">SUMIFS(#REF!,#REF!,'Brain networks'!$B9)</f>
        <v>#VALUE!</v>
      </c>
      <c r="K9" s="0" t="e">
        <f aca="false">SUMIFS(#REF!,#REF!,'Brain networks'!$B9)</f>
        <v>#VALUE!</v>
      </c>
      <c r="L9" s="0" t="e">
        <f aca="false">SUMIFS(#REF!,#REF!,'Brain networks'!$B9)</f>
        <v>#VALUE!</v>
      </c>
      <c r="M9" s="0" t="e">
        <f aca="false">SUMIFS(#REF!,#REF!,'Brain networks'!$B9)</f>
        <v>#VALUE!</v>
      </c>
      <c r="N9" s="0" t="e">
        <f aca="false">SUMIFS(#REF!,#REF!,'Brain networks'!$B9)</f>
        <v>#VALUE!</v>
      </c>
      <c r="O9" s="0" t="e">
        <f aca="false">SUMIFS(#REF!,#REF!,'Brain networks'!$B9)</f>
        <v>#VALUE!</v>
      </c>
      <c r="P9" s="0" t="e">
        <f aca="false">SUMIFS(#REF!,#REF!,'Brain networks'!$B9)</f>
        <v>#VALUE!</v>
      </c>
      <c r="Q9" s="0" t="e">
        <f aca="false">SUMIFS(#REF!,#REF!,'Brain networks'!$B9)</f>
        <v>#VALUE!</v>
      </c>
      <c r="R9" s="0" t="e">
        <f aca="false">SUMIFS(#REF!,#REF!,'Brain networks'!$B9)</f>
        <v>#VALUE!</v>
      </c>
      <c r="S9" s="0" t="e">
        <f aca="false">SUMIFS(#REF!,#REF!,'Brain networks'!$B9)</f>
        <v>#VALUE!</v>
      </c>
      <c r="T9" s="0" t="e">
        <f aca="false">SUMIFS(#REF!,#REF!,'Brain networks'!$B9)</f>
        <v>#VALUE!</v>
      </c>
      <c r="U9" s="0" t="e">
        <f aca="false">SUMIFS(#REF!,#REF!,'Brain networks'!$B9)</f>
        <v>#VALUE!</v>
      </c>
      <c r="V9" s="0" t="e">
        <f aca="false">SUMIFS(#REF!,#REF!,'Brain networks'!$B9)</f>
        <v>#VALUE!</v>
      </c>
      <c r="X9" s="3" t="e">
        <f aca="false">_xlfn.T.TEST(F9:N9,O9:V9,2,2)</f>
        <v>#VALUE!</v>
      </c>
      <c r="Y9" s="0" t="e">
        <f aca="false">AVERAGE(F9:N9)</f>
        <v>#VALUE!</v>
      </c>
      <c r="Z9" s="0" t="e">
        <f aca="false">AVERAGE(O9:V9)</f>
        <v>#VALUE!</v>
      </c>
    </row>
    <row r="10" customFormat="false" ht="14.5" hidden="false" customHeight="false" outlineLevel="0" collapsed="false">
      <c r="A10" s="0" t="s">
        <v>1279</v>
      </c>
      <c r="B10" s="0" t="n">
        <v>56</v>
      </c>
      <c r="C10" s="0" t="s">
        <v>145</v>
      </c>
      <c r="D10" s="0" t="n">
        <v>48400</v>
      </c>
      <c r="E10" s="0" t="n">
        <v>493</v>
      </c>
      <c r="F10" s="0" t="e">
        <f aca="false">SUMIFS(#REF!,#REF!,'Brain networks'!$B10)</f>
        <v>#VALUE!</v>
      </c>
      <c r="G10" s="0" t="e">
        <f aca="false">SUMIFS(#REF!,#REF!,'Brain networks'!$B10)</f>
        <v>#VALUE!</v>
      </c>
      <c r="H10" s="0" t="e">
        <f aca="false">SUMIFS(#REF!,#REF!,'Brain networks'!$B10)</f>
        <v>#VALUE!</v>
      </c>
      <c r="I10" s="0" t="e">
        <f aca="false">SUMIFS(#REF!,#REF!,'Brain networks'!$B10)</f>
        <v>#VALUE!</v>
      </c>
      <c r="J10" s="0" t="e">
        <f aca="false">SUMIFS(#REF!,#REF!,'Brain networks'!$B10)</f>
        <v>#VALUE!</v>
      </c>
      <c r="K10" s="0" t="e">
        <f aca="false">SUMIFS(#REF!,#REF!,'Brain networks'!$B10)</f>
        <v>#VALUE!</v>
      </c>
      <c r="L10" s="0" t="e">
        <f aca="false">SUMIFS(#REF!,#REF!,'Brain networks'!$B10)</f>
        <v>#VALUE!</v>
      </c>
      <c r="M10" s="0" t="e">
        <f aca="false">SUMIFS(#REF!,#REF!,'Brain networks'!$B10)</f>
        <v>#VALUE!</v>
      </c>
      <c r="N10" s="0" t="e">
        <f aca="false">SUMIFS(#REF!,#REF!,'Brain networks'!$B10)</f>
        <v>#VALUE!</v>
      </c>
      <c r="O10" s="0" t="e">
        <f aca="false">SUMIFS(#REF!,#REF!,'Brain networks'!$B10)</f>
        <v>#VALUE!</v>
      </c>
      <c r="P10" s="0" t="e">
        <f aca="false">SUMIFS(#REF!,#REF!,'Brain networks'!$B10)</f>
        <v>#VALUE!</v>
      </c>
      <c r="Q10" s="0" t="e">
        <f aca="false">SUMIFS(#REF!,#REF!,'Brain networks'!$B10)</f>
        <v>#VALUE!</v>
      </c>
      <c r="R10" s="0" t="e">
        <f aca="false">SUMIFS(#REF!,#REF!,'Brain networks'!$B10)</f>
        <v>#VALUE!</v>
      </c>
      <c r="S10" s="0" t="e">
        <f aca="false">SUMIFS(#REF!,#REF!,'Brain networks'!$B10)</f>
        <v>#VALUE!</v>
      </c>
      <c r="T10" s="0" t="e">
        <f aca="false">SUMIFS(#REF!,#REF!,'Brain networks'!$B10)</f>
        <v>#VALUE!</v>
      </c>
      <c r="U10" s="0" t="e">
        <f aca="false">SUMIFS(#REF!,#REF!,'Brain networks'!$B10)</f>
        <v>#VALUE!</v>
      </c>
      <c r="V10" s="0" t="e">
        <f aca="false">SUMIFS(#REF!,#REF!,'Brain networks'!$B10)</f>
        <v>#VALUE!</v>
      </c>
      <c r="X10" s="3" t="e">
        <f aca="false">_xlfn.T.TEST(F10:N10,O10:V10,2,2)</f>
        <v>#VALUE!</v>
      </c>
      <c r="Y10" s="0" t="e">
        <f aca="false">AVERAGE(F10:N10)</f>
        <v>#VALUE!</v>
      </c>
      <c r="Z10" s="0" t="e">
        <f aca="false">AVERAGE(O10:V10)</f>
        <v>#VALUE!</v>
      </c>
    </row>
    <row r="11" customFormat="false" ht="14.5" hidden="false" customHeight="false" outlineLevel="0" collapsed="false">
      <c r="A11" s="0" t="s">
        <v>1280</v>
      </c>
      <c r="B11" s="0" t="n">
        <v>351</v>
      </c>
      <c r="C11" s="0" t="s">
        <v>422</v>
      </c>
      <c r="D11" s="0" t="n">
        <v>52900</v>
      </c>
      <c r="E11" s="0" t="n">
        <v>809</v>
      </c>
      <c r="F11" s="0" t="e">
        <f aca="false">SUMIFS(#REF!,#REF!,'Brain networks'!$B11)</f>
        <v>#VALUE!</v>
      </c>
      <c r="G11" s="0" t="e">
        <f aca="false">SUMIFS(#REF!,#REF!,'Brain networks'!$B11)</f>
        <v>#VALUE!</v>
      </c>
      <c r="H11" s="0" t="e">
        <f aca="false">SUMIFS(#REF!,#REF!,'Brain networks'!$B11)</f>
        <v>#VALUE!</v>
      </c>
      <c r="I11" s="0" t="e">
        <f aca="false">SUMIFS(#REF!,#REF!,'Brain networks'!$B11)</f>
        <v>#VALUE!</v>
      </c>
      <c r="J11" s="0" t="e">
        <f aca="false">SUMIFS(#REF!,#REF!,'Brain networks'!$B11)</f>
        <v>#VALUE!</v>
      </c>
      <c r="K11" s="0" t="e">
        <f aca="false">SUMIFS(#REF!,#REF!,'Brain networks'!$B11)</f>
        <v>#VALUE!</v>
      </c>
      <c r="L11" s="0" t="e">
        <f aca="false">SUMIFS(#REF!,#REF!,'Brain networks'!$B11)</f>
        <v>#VALUE!</v>
      </c>
      <c r="M11" s="0" t="e">
        <f aca="false">SUMIFS(#REF!,#REF!,'Brain networks'!$B11)</f>
        <v>#VALUE!</v>
      </c>
      <c r="N11" s="0" t="e">
        <f aca="false">SUMIFS(#REF!,#REF!,'Brain networks'!$B11)</f>
        <v>#VALUE!</v>
      </c>
      <c r="O11" s="0" t="e">
        <f aca="false">SUMIFS(#REF!,#REF!,'Brain networks'!$B11)</f>
        <v>#VALUE!</v>
      </c>
      <c r="P11" s="0" t="e">
        <f aca="false">SUMIFS(#REF!,#REF!,'Brain networks'!$B11)</f>
        <v>#VALUE!</v>
      </c>
      <c r="Q11" s="0" t="e">
        <f aca="false">SUMIFS(#REF!,#REF!,'Brain networks'!$B11)</f>
        <v>#VALUE!</v>
      </c>
      <c r="R11" s="0" t="e">
        <f aca="false">SUMIFS(#REF!,#REF!,'Brain networks'!$B11)</f>
        <v>#VALUE!</v>
      </c>
      <c r="S11" s="0" t="e">
        <f aca="false">SUMIFS(#REF!,#REF!,'Brain networks'!$B11)</f>
        <v>#VALUE!</v>
      </c>
      <c r="T11" s="0" t="e">
        <f aca="false">SUMIFS(#REF!,#REF!,'Brain networks'!$B11)</f>
        <v>#VALUE!</v>
      </c>
      <c r="U11" s="0" t="e">
        <f aca="false">SUMIFS(#REF!,#REF!,'Brain networks'!$B11)</f>
        <v>#VALUE!</v>
      </c>
      <c r="V11" s="0" t="e">
        <f aca="false">SUMIFS(#REF!,#REF!,'Brain networks'!$B11)</f>
        <v>#VALUE!</v>
      </c>
      <c r="X11" s="3" t="e">
        <f aca="false">_xlfn.T.TEST(F11:N11,O11:V11,2,2)</f>
        <v>#VALUE!</v>
      </c>
      <c r="Y11" s="0" t="e">
        <f aca="false">AVERAGE(F11:N11)</f>
        <v>#VALUE!</v>
      </c>
      <c r="Z11" s="0" t="e">
        <f aca="false">AVERAGE(O11:V11)</f>
        <v>#VALUE!</v>
      </c>
    </row>
    <row r="12" customFormat="false" ht="14.5" hidden="false" customHeight="false" outlineLevel="0" collapsed="false">
      <c r="A12" s="0" t="s">
        <v>1281</v>
      </c>
      <c r="B12" s="0" t="n">
        <v>795</v>
      </c>
      <c r="C12" s="0" t="s">
        <v>843</v>
      </c>
      <c r="D12" s="0" t="n">
        <v>81500</v>
      </c>
      <c r="E12" s="0" t="n">
        <v>323</v>
      </c>
      <c r="F12" s="0" t="e">
        <f aca="false">SUMIFS(#REF!,#REF!,'Brain networks'!$B12)</f>
        <v>#VALUE!</v>
      </c>
      <c r="G12" s="0" t="e">
        <f aca="false">SUMIFS(#REF!,#REF!,'Brain networks'!$B12)</f>
        <v>#VALUE!</v>
      </c>
      <c r="H12" s="0" t="e">
        <f aca="false">SUMIFS(#REF!,#REF!,'Brain networks'!$B12)</f>
        <v>#VALUE!</v>
      </c>
      <c r="I12" s="0" t="e">
        <f aca="false">SUMIFS(#REF!,#REF!,'Brain networks'!$B12)</f>
        <v>#VALUE!</v>
      </c>
      <c r="J12" s="0" t="e">
        <f aca="false">SUMIFS(#REF!,#REF!,'Brain networks'!$B12)</f>
        <v>#VALUE!</v>
      </c>
      <c r="K12" s="0" t="e">
        <f aca="false">SUMIFS(#REF!,#REF!,'Brain networks'!$B12)</f>
        <v>#VALUE!</v>
      </c>
      <c r="L12" s="0" t="e">
        <f aca="false">SUMIFS(#REF!,#REF!,'Brain networks'!$B12)</f>
        <v>#VALUE!</v>
      </c>
      <c r="M12" s="0" t="e">
        <f aca="false">SUMIFS(#REF!,#REF!,'Brain networks'!$B12)</f>
        <v>#VALUE!</v>
      </c>
      <c r="N12" s="0" t="e">
        <f aca="false">SUMIFS(#REF!,#REF!,'Brain networks'!$B12)</f>
        <v>#VALUE!</v>
      </c>
      <c r="O12" s="0" t="e">
        <f aca="false">SUMIFS(#REF!,#REF!,'Brain networks'!$B12)</f>
        <v>#VALUE!</v>
      </c>
      <c r="P12" s="0" t="e">
        <f aca="false">SUMIFS(#REF!,#REF!,'Brain networks'!$B12)</f>
        <v>#VALUE!</v>
      </c>
      <c r="Q12" s="0" t="e">
        <f aca="false">SUMIFS(#REF!,#REF!,'Brain networks'!$B12)</f>
        <v>#VALUE!</v>
      </c>
      <c r="R12" s="0" t="e">
        <f aca="false">SUMIFS(#REF!,#REF!,'Brain networks'!$B12)</f>
        <v>#VALUE!</v>
      </c>
      <c r="S12" s="0" t="e">
        <f aca="false">SUMIFS(#REF!,#REF!,'Brain networks'!$B12)</f>
        <v>#VALUE!</v>
      </c>
      <c r="T12" s="0" t="e">
        <f aca="false">SUMIFS(#REF!,#REF!,'Brain networks'!$B12)</f>
        <v>#VALUE!</v>
      </c>
      <c r="U12" s="0" t="e">
        <f aca="false">SUMIFS(#REF!,#REF!,'Brain networks'!$B12)</f>
        <v>#VALUE!</v>
      </c>
      <c r="V12" s="0" t="e">
        <f aca="false">SUMIFS(#REF!,#REF!,'Brain networks'!$B12)</f>
        <v>#VALUE!</v>
      </c>
      <c r="X12" s="3" t="e">
        <f aca="false">_xlfn.T.TEST(F12:N12,O12:V12,2,2)</f>
        <v>#VALUE!</v>
      </c>
      <c r="Y12" s="0" t="e">
        <f aca="false">AVERAGE(F12:N12)</f>
        <v>#VALUE!</v>
      </c>
      <c r="Z12" s="0" t="e">
        <f aca="false">AVERAGE(O12:V12)</f>
        <v>#VALUE!</v>
      </c>
    </row>
    <row r="13" customFormat="false" ht="14.5" hidden="false" customHeight="false" outlineLevel="0" collapsed="false">
      <c r="A13" s="0" t="s">
        <v>1282</v>
      </c>
      <c r="B13" s="0" t="n">
        <v>88</v>
      </c>
      <c r="C13" s="0" t="s">
        <v>176</v>
      </c>
      <c r="D13" s="0" t="n">
        <v>74100</v>
      </c>
      <c r="E13" s="0" t="n">
        <v>467</v>
      </c>
      <c r="F13" s="0" t="e">
        <f aca="false">SUMIFS(#REF!,#REF!,'Brain networks'!$B13)</f>
        <v>#VALUE!</v>
      </c>
      <c r="G13" s="0" t="e">
        <f aca="false">SUMIFS(#REF!,#REF!,'Brain networks'!$B13)</f>
        <v>#VALUE!</v>
      </c>
      <c r="H13" s="0" t="e">
        <f aca="false">SUMIFS(#REF!,#REF!,'Brain networks'!$B13)</f>
        <v>#VALUE!</v>
      </c>
      <c r="I13" s="0" t="e">
        <f aca="false">SUMIFS(#REF!,#REF!,'Brain networks'!$B13)</f>
        <v>#VALUE!</v>
      </c>
      <c r="J13" s="0" t="e">
        <f aca="false">SUMIFS(#REF!,#REF!,'Brain networks'!$B13)</f>
        <v>#VALUE!</v>
      </c>
      <c r="K13" s="0" t="e">
        <f aca="false">SUMIFS(#REF!,#REF!,'Brain networks'!$B13)</f>
        <v>#VALUE!</v>
      </c>
      <c r="L13" s="0" t="e">
        <f aca="false">SUMIFS(#REF!,#REF!,'Brain networks'!$B13)</f>
        <v>#VALUE!</v>
      </c>
      <c r="M13" s="0" t="e">
        <f aca="false">SUMIFS(#REF!,#REF!,'Brain networks'!$B13)</f>
        <v>#VALUE!</v>
      </c>
      <c r="N13" s="0" t="e">
        <f aca="false">SUMIFS(#REF!,#REF!,'Brain networks'!$B13)</f>
        <v>#VALUE!</v>
      </c>
      <c r="O13" s="0" t="e">
        <f aca="false">SUMIFS(#REF!,#REF!,'Brain networks'!$B13)</f>
        <v>#VALUE!</v>
      </c>
      <c r="P13" s="0" t="e">
        <f aca="false">SUMIFS(#REF!,#REF!,'Brain networks'!$B13)</f>
        <v>#VALUE!</v>
      </c>
      <c r="Q13" s="0" t="e">
        <f aca="false">SUMIFS(#REF!,#REF!,'Brain networks'!$B13)</f>
        <v>#VALUE!</v>
      </c>
      <c r="R13" s="0" t="e">
        <f aca="false">SUMIFS(#REF!,#REF!,'Brain networks'!$B13)</f>
        <v>#VALUE!</v>
      </c>
      <c r="S13" s="0" t="e">
        <f aca="false">SUMIFS(#REF!,#REF!,'Brain networks'!$B13)</f>
        <v>#VALUE!</v>
      </c>
      <c r="T13" s="0" t="e">
        <f aca="false">SUMIFS(#REF!,#REF!,'Brain networks'!$B13)</f>
        <v>#VALUE!</v>
      </c>
      <c r="U13" s="0" t="e">
        <f aca="false">SUMIFS(#REF!,#REF!,'Brain networks'!$B13)</f>
        <v>#VALUE!</v>
      </c>
      <c r="V13" s="0" t="e">
        <f aca="false">SUMIFS(#REF!,#REF!,'Brain networks'!$B13)</f>
        <v>#VALUE!</v>
      </c>
      <c r="X13" s="3" t="e">
        <f aca="false">_xlfn.T.TEST(F13:N13,O13:V13,2,2)</f>
        <v>#VALUE!</v>
      </c>
      <c r="Y13" s="0" t="e">
        <f aca="false">AVERAGE(F13:N13)</f>
        <v>#VALUE!</v>
      </c>
      <c r="Z13" s="0" t="e">
        <f aca="false">AVERAGE(O13:V13)</f>
        <v>#VALUE!</v>
      </c>
    </row>
    <row r="15" customFormat="false" ht="14.5" hidden="false" customHeight="false" outlineLevel="0" collapsed="false">
      <c r="A15" s="4" t="s">
        <v>1283</v>
      </c>
    </row>
    <row r="16" customFormat="false" ht="14.5" hidden="false" customHeight="false" outlineLevel="0" collapsed="false">
      <c r="A16" s="0" t="s">
        <v>1284</v>
      </c>
      <c r="C16" s="0" t="s">
        <v>1285</v>
      </c>
      <c r="E16" s="0" t="n">
        <v>993</v>
      </c>
      <c r="F16" s="0" t="e">
        <f aca="false">SUMPRODUCT(SUMIFS(#REF!,#REF!,$B92:$B96))</f>
        <v>#VALUE!</v>
      </c>
      <c r="G16" s="0" t="e">
        <f aca="false">SUMPRODUCT(SUMIFS(#REF!,#REF!,$B92:$B96))</f>
        <v>#VALUE!</v>
      </c>
      <c r="H16" s="0" t="e">
        <f aca="false">SUMPRODUCT(SUMIFS(#REF!,#REF!,$B92:$B96))</f>
        <v>#VALUE!</v>
      </c>
      <c r="I16" s="0" t="e">
        <f aca="false">SUMPRODUCT(SUMIFS(#REF!,#REF!,$B92:$B96))</f>
        <v>#VALUE!</v>
      </c>
      <c r="J16" s="0" t="e">
        <f aca="false">SUMPRODUCT(SUMIFS(#REF!,#REF!,$B92:$B96))</f>
        <v>#VALUE!</v>
      </c>
      <c r="K16" s="0" t="e">
        <f aca="false">SUMPRODUCT(SUMIFS(#REF!,#REF!,$B92:$B96))</f>
        <v>#VALUE!</v>
      </c>
      <c r="L16" s="0" t="e">
        <f aca="false">SUMPRODUCT(SUMIFS(#REF!,#REF!,$B92:$B96))</f>
        <v>#VALUE!</v>
      </c>
      <c r="M16" s="0" t="e">
        <f aca="false">SUMPRODUCT(SUMIFS(#REF!,#REF!,$B92:$B96))</f>
        <v>#VALUE!</v>
      </c>
      <c r="N16" s="0" t="e">
        <f aca="false">SUMPRODUCT(SUMIFS(#REF!,#REF!,$B92:$B96))</f>
        <v>#VALUE!</v>
      </c>
      <c r="O16" s="0" t="e">
        <f aca="false">SUMPRODUCT(SUMIFS(#REF!,#REF!,$B92:$B96))</f>
        <v>#VALUE!</v>
      </c>
      <c r="P16" s="0" t="e">
        <f aca="false">SUMPRODUCT(SUMIFS(#REF!,#REF!,$B92:$B96))</f>
        <v>#VALUE!</v>
      </c>
      <c r="Q16" s="0" t="e">
        <f aca="false">SUMPRODUCT(SUMIFS(#REF!,#REF!,$B92:$B96))</f>
        <v>#VALUE!</v>
      </c>
      <c r="R16" s="0" t="e">
        <f aca="false">SUMPRODUCT(SUMIFS(#REF!,#REF!,$B92:$B96))</f>
        <v>#VALUE!</v>
      </c>
      <c r="S16" s="0" t="e">
        <f aca="false">SUMPRODUCT(SUMIFS(#REF!,#REF!,$B92:$B96))</f>
        <v>#VALUE!</v>
      </c>
      <c r="T16" s="0" t="e">
        <f aca="false">SUMPRODUCT(SUMIFS(#REF!,#REF!,$B92:$B96))</f>
        <v>#VALUE!</v>
      </c>
      <c r="U16" s="0" t="e">
        <f aca="false">SUMPRODUCT(SUMIFS(#REF!,#REF!,$B92:$B96))</f>
        <v>#VALUE!</v>
      </c>
      <c r="V16" s="0" t="e">
        <f aca="false">SUMPRODUCT(SUMIFS(#REF!,#REF!,$B92:$B96))</f>
        <v>#VALUE!</v>
      </c>
      <c r="X16" s="3" t="e">
        <f aca="false">_xlfn.T.TEST(F16:N16,O16:V16,2,2)</f>
        <v>#VALUE!</v>
      </c>
      <c r="Y16" s="0" t="e">
        <f aca="false">AVERAGE(F16:N16)</f>
        <v>#VALUE!</v>
      </c>
      <c r="Z16" s="0" t="e">
        <f aca="false">AVERAGE(O16:V16)</f>
        <v>#VALUE!</v>
      </c>
    </row>
    <row r="17" customFormat="false" ht="14.5" hidden="false" customHeight="false" outlineLevel="0" collapsed="false">
      <c r="A17" s="0" t="s">
        <v>44</v>
      </c>
      <c r="C17" s="0" t="s">
        <v>45</v>
      </c>
      <c r="E17" s="0" t="n">
        <v>44</v>
      </c>
      <c r="F17" s="0" t="e">
        <f aca="false">SUMPRODUCT(SUMIFS(#REF!,#REF!,$B57:$B61))</f>
        <v>#VALUE!</v>
      </c>
      <c r="G17" s="0" t="e">
        <f aca="false">SUMPRODUCT(SUMIFS(#REF!,#REF!,$B57:$B61))</f>
        <v>#VALUE!</v>
      </c>
      <c r="H17" s="0" t="e">
        <f aca="false">SUMPRODUCT(SUMIFS(#REF!,#REF!,$B57:$B61))</f>
        <v>#VALUE!</v>
      </c>
      <c r="I17" s="0" t="e">
        <f aca="false">SUMPRODUCT(SUMIFS(#REF!,#REF!,$B57:$B61))</f>
        <v>#VALUE!</v>
      </c>
      <c r="J17" s="0" t="e">
        <f aca="false">SUMPRODUCT(SUMIFS(#REF!,#REF!,$B57:$B61))</f>
        <v>#VALUE!</v>
      </c>
      <c r="K17" s="0" t="e">
        <f aca="false">SUMPRODUCT(SUMIFS(#REF!,#REF!,$B57:$B61))</f>
        <v>#VALUE!</v>
      </c>
      <c r="L17" s="0" t="e">
        <f aca="false">SUMPRODUCT(SUMIFS(#REF!,#REF!,$B57:$B61))</f>
        <v>#VALUE!</v>
      </c>
      <c r="M17" s="0" t="e">
        <f aca="false">SUMPRODUCT(SUMIFS(#REF!,#REF!,$B57:$B61))</f>
        <v>#VALUE!</v>
      </c>
      <c r="N17" s="0" t="e">
        <f aca="false">SUMPRODUCT(SUMIFS(#REF!,#REF!,$B57:$B61))</f>
        <v>#VALUE!</v>
      </c>
      <c r="O17" s="0" t="e">
        <f aca="false">SUMPRODUCT(SUMIFS(#REF!,#REF!,$B57:$B61))</f>
        <v>#VALUE!</v>
      </c>
      <c r="P17" s="0" t="e">
        <f aca="false">SUMPRODUCT(SUMIFS(#REF!,#REF!,$B57:$B61))</f>
        <v>#VALUE!</v>
      </c>
      <c r="Q17" s="0" t="e">
        <f aca="false">SUMPRODUCT(SUMIFS(#REF!,#REF!,$B57:$B61))</f>
        <v>#VALUE!</v>
      </c>
      <c r="R17" s="0" t="e">
        <f aca="false">SUMPRODUCT(SUMIFS(#REF!,#REF!,$B57:$B61))</f>
        <v>#VALUE!</v>
      </c>
      <c r="S17" s="0" t="e">
        <f aca="false">SUMPRODUCT(SUMIFS(#REF!,#REF!,$B57:$B61))</f>
        <v>#VALUE!</v>
      </c>
      <c r="T17" s="0" t="e">
        <f aca="false">SUMPRODUCT(SUMIFS(#REF!,#REF!,$B57:$B61))</f>
        <v>#VALUE!</v>
      </c>
      <c r="U17" s="0" t="e">
        <f aca="false">SUMPRODUCT(SUMIFS(#REF!,#REF!,$B57:$B61))</f>
        <v>#VALUE!</v>
      </c>
      <c r="V17" s="0" t="e">
        <f aca="false">SUMPRODUCT(SUMIFS(#REF!,#REF!,$B57:$B61))</f>
        <v>#VALUE!</v>
      </c>
      <c r="X17" s="3" t="e">
        <f aca="false">_xlfn.T.TEST(F17:N17,O17:V17,2,2)</f>
        <v>#VALUE!</v>
      </c>
      <c r="Y17" s="0" t="e">
        <f aca="false">AVERAGE(F17:N17)</f>
        <v>#VALUE!</v>
      </c>
      <c r="Z17" s="0" t="e">
        <f aca="false">AVERAGE(O17:V17)</f>
        <v>#VALUE!</v>
      </c>
    </row>
    <row r="19" customFormat="false" ht="14.5" hidden="false" customHeight="false" outlineLevel="0" collapsed="false">
      <c r="A19" s="4" t="s">
        <v>1286</v>
      </c>
    </row>
    <row r="20" customFormat="false" ht="14.5" hidden="false" customHeight="false" outlineLevel="0" collapsed="false">
      <c r="A20" s="0" t="s">
        <v>42</v>
      </c>
      <c r="C20" s="0" t="s">
        <v>43</v>
      </c>
      <c r="E20" s="0" t="n">
        <v>972</v>
      </c>
      <c r="F20" s="0" t="e">
        <f aca="false">SUMPRODUCT(SUMIFS(#REF!,#REF!,$B52:$B56))</f>
        <v>#VALUE!</v>
      </c>
      <c r="G20" s="0" t="e">
        <f aca="false">SUMPRODUCT(SUMIFS(#REF!,#REF!,$B52:$B56))</f>
        <v>#VALUE!</v>
      </c>
      <c r="H20" s="0" t="e">
        <f aca="false">SUMPRODUCT(SUMIFS(#REF!,#REF!,$B52:$B56))</f>
        <v>#VALUE!</v>
      </c>
      <c r="I20" s="0" t="e">
        <f aca="false">SUMPRODUCT(SUMIFS(#REF!,#REF!,$B52:$B56))</f>
        <v>#VALUE!</v>
      </c>
      <c r="J20" s="0" t="e">
        <f aca="false">SUMPRODUCT(SUMIFS(#REF!,#REF!,$B52:$B56))</f>
        <v>#VALUE!</v>
      </c>
      <c r="K20" s="0" t="e">
        <f aca="false">SUMPRODUCT(SUMIFS(#REF!,#REF!,$B52:$B56))</f>
        <v>#VALUE!</v>
      </c>
      <c r="L20" s="0" t="e">
        <f aca="false">SUMPRODUCT(SUMIFS(#REF!,#REF!,$B52:$B56))</f>
        <v>#VALUE!</v>
      </c>
      <c r="M20" s="0" t="e">
        <f aca="false">SUMPRODUCT(SUMIFS(#REF!,#REF!,$B52:$B56))</f>
        <v>#VALUE!</v>
      </c>
      <c r="N20" s="0" t="e">
        <f aca="false">SUMPRODUCT(SUMIFS(#REF!,#REF!,$B52:$B56))</f>
        <v>#VALUE!</v>
      </c>
      <c r="O20" s="0" t="e">
        <f aca="false">SUMPRODUCT(SUMIFS(#REF!,#REF!,$B52:$B56))</f>
        <v>#VALUE!</v>
      </c>
      <c r="P20" s="0" t="e">
        <f aca="false">SUMPRODUCT(SUMIFS(#REF!,#REF!,$B52:$B56))</f>
        <v>#VALUE!</v>
      </c>
      <c r="Q20" s="0" t="e">
        <f aca="false">SUMPRODUCT(SUMIFS(#REF!,#REF!,$B52:$B56))</f>
        <v>#VALUE!</v>
      </c>
      <c r="R20" s="0" t="e">
        <f aca="false">SUMPRODUCT(SUMIFS(#REF!,#REF!,$B52:$B56))</f>
        <v>#VALUE!</v>
      </c>
      <c r="S20" s="0" t="e">
        <f aca="false">SUMPRODUCT(SUMIFS(#REF!,#REF!,$B52:$B56))</f>
        <v>#VALUE!</v>
      </c>
      <c r="T20" s="0" t="e">
        <f aca="false">SUMPRODUCT(SUMIFS(#REF!,#REF!,$B52:$B56))</f>
        <v>#VALUE!</v>
      </c>
      <c r="U20" s="0" t="e">
        <f aca="false">SUMPRODUCT(SUMIFS(#REF!,#REF!,$B52:$B56))</f>
        <v>#VALUE!</v>
      </c>
      <c r="V20" s="0" t="e">
        <f aca="false">SUMPRODUCT(SUMIFS(#REF!,#REF!,$B52:$B56))</f>
        <v>#VALUE!</v>
      </c>
      <c r="X20" s="3" t="e">
        <f aca="false">_xlfn.T.TEST(F20:N20,O20:V20,2,2)</f>
        <v>#VALUE!</v>
      </c>
      <c r="Y20" s="0" t="e">
        <f aca="false">AVERAGE(F20:N20)</f>
        <v>#VALUE!</v>
      </c>
      <c r="Z20" s="0" t="e">
        <f aca="false">AVERAGE(O20:V20)</f>
        <v>#VALUE!</v>
      </c>
    </row>
    <row r="21" customFormat="false" ht="14.5" hidden="false" customHeight="false" outlineLevel="0" collapsed="false">
      <c r="A21" s="0" t="s">
        <v>1287</v>
      </c>
      <c r="C21" s="0" t="s">
        <v>1288</v>
      </c>
      <c r="F21" s="0" t="e">
        <f aca="false">SUMPRODUCT(SUMIFS(#REF!,#REF!,$B97:$B106))</f>
        <v>#VALUE!</v>
      </c>
      <c r="G21" s="0" t="e">
        <f aca="false">SUMPRODUCT(SUMIFS(#REF!,#REF!,$B97:$B106))</f>
        <v>#VALUE!</v>
      </c>
      <c r="H21" s="0" t="e">
        <f aca="false">SUMPRODUCT(SUMIFS(#REF!,#REF!,$B97:$B106))</f>
        <v>#VALUE!</v>
      </c>
      <c r="I21" s="0" t="e">
        <f aca="false">SUMPRODUCT(SUMIFS(#REF!,#REF!,$B97:$B106))</f>
        <v>#VALUE!</v>
      </c>
      <c r="J21" s="0" t="e">
        <f aca="false">SUMPRODUCT(SUMIFS(#REF!,#REF!,$B97:$B106))</f>
        <v>#VALUE!</v>
      </c>
      <c r="K21" s="0" t="e">
        <f aca="false">SUMPRODUCT(SUMIFS(#REF!,#REF!,$B97:$B106))</f>
        <v>#VALUE!</v>
      </c>
      <c r="L21" s="0" t="e">
        <f aca="false">SUMPRODUCT(SUMIFS(#REF!,#REF!,$B97:$B106))</f>
        <v>#VALUE!</v>
      </c>
      <c r="M21" s="0" t="e">
        <f aca="false">SUMPRODUCT(SUMIFS(#REF!,#REF!,$B97:$B106))</f>
        <v>#VALUE!</v>
      </c>
      <c r="N21" s="0" t="e">
        <f aca="false">SUMPRODUCT(SUMIFS(#REF!,#REF!,$B97:$B106))</f>
        <v>#VALUE!</v>
      </c>
      <c r="O21" s="0" t="e">
        <f aca="false">SUMPRODUCT(SUMIFS(#REF!,#REF!,$B97:$B106))</f>
        <v>#VALUE!</v>
      </c>
      <c r="P21" s="0" t="e">
        <f aca="false">SUMPRODUCT(SUMIFS(#REF!,#REF!,$B97:$B106))</f>
        <v>#VALUE!</v>
      </c>
      <c r="Q21" s="0" t="e">
        <f aca="false">SUMPRODUCT(SUMIFS(#REF!,#REF!,$B97:$B106))</f>
        <v>#VALUE!</v>
      </c>
      <c r="R21" s="0" t="e">
        <f aca="false">SUMPRODUCT(SUMIFS(#REF!,#REF!,$B97:$B106))</f>
        <v>#VALUE!</v>
      </c>
      <c r="S21" s="0" t="e">
        <f aca="false">SUMPRODUCT(SUMIFS(#REF!,#REF!,$B97:$B106))</f>
        <v>#VALUE!</v>
      </c>
      <c r="T21" s="0" t="e">
        <f aca="false">SUMPRODUCT(SUMIFS(#REF!,#REF!,$B97:$B106))</f>
        <v>#VALUE!</v>
      </c>
      <c r="U21" s="0" t="e">
        <f aca="false">SUMPRODUCT(SUMIFS(#REF!,#REF!,$B97:$B106))</f>
        <v>#VALUE!</v>
      </c>
      <c r="V21" s="0" t="e">
        <f aca="false">SUMPRODUCT(SUMIFS(#REF!,#REF!,$B97:$B106))</f>
        <v>#VALUE!</v>
      </c>
      <c r="X21" s="3" t="e">
        <f aca="false">_xlfn.T.TEST(F21:N21,O21:V21,2,2)</f>
        <v>#VALUE!</v>
      </c>
      <c r="Y21" s="0" t="e">
        <f aca="false">AVERAGE(F21:N21)</f>
        <v>#VALUE!</v>
      </c>
      <c r="Z21" s="0" t="e">
        <f aca="false">AVERAGE(O21:V21)</f>
        <v>#VALUE!</v>
      </c>
    </row>
    <row r="22" customFormat="false" ht="14.5" hidden="false" customHeight="false" outlineLevel="0" collapsed="false">
      <c r="A22" s="0" t="s">
        <v>1289</v>
      </c>
      <c r="C22" s="0" t="s">
        <v>1290</v>
      </c>
      <c r="E22" s="0" t="n">
        <v>731</v>
      </c>
      <c r="F22" s="0" t="e">
        <f aca="false">SUMPRODUCT(SUMIFS(#REF!,#REF!,$B107:$B110))</f>
        <v>#VALUE!</v>
      </c>
      <c r="G22" s="0" t="e">
        <f aca="false">SUMPRODUCT(SUMIFS(#REF!,#REF!,$B107:$B110))</f>
        <v>#VALUE!</v>
      </c>
      <c r="H22" s="0" t="e">
        <f aca="false">SUMPRODUCT(SUMIFS(#REF!,#REF!,$B107:$B110))</f>
        <v>#VALUE!</v>
      </c>
      <c r="I22" s="0" t="e">
        <f aca="false">SUMPRODUCT(SUMIFS(#REF!,#REF!,$B107:$B110))</f>
        <v>#VALUE!</v>
      </c>
      <c r="J22" s="0" t="e">
        <f aca="false">SUMPRODUCT(SUMIFS(#REF!,#REF!,$B107:$B110))</f>
        <v>#VALUE!</v>
      </c>
      <c r="K22" s="0" t="e">
        <f aca="false">SUMPRODUCT(SUMIFS(#REF!,#REF!,$B107:$B110))</f>
        <v>#VALUE!</v>
      </c>
      <c r="L22" s="0" t="e">
        <f aca="false">SUMPRODUCT(SUMIFS(#REF!,#REF!,$B107:$B110))</f>
        <v>#VALUE!</v>
      </c>
      <c r="M22" s="0" t="e">
        <f aca="false">SUMPRODUCT(SUMIFS(#REF!,#REF!,$B107:$B110))</f>
        <v>#VALUE!</v>
      </c>
      <c r="N22" s="0" t="e">
        <f aca="false">SUMPRODUCT(SUMIFS(#REF!,#REF!,$B107:$B110))</f>
        <v>#VALUE!</v>
      </c>
      <c r="O22" s="0" t="e">
        <f aca="false">SUMPRODUCT(SUMIFS(#REF!,#REF!,$B107:$B110))</f>
        <v>#VALUE!</v>
      </c>
      <c r="P22" s="0" t="e">
        <f aca="false">SUMPRODUCT(SUMIFS(#REF!,#REF!,$B107:$B110))</f>
        <v>#VALUE!</v>
      </c>
      <c r="Q22" s="0" t="e">
        <f aca="false">SUMPRODUCT(SUMIFS(#REF!,#REF!,$B107:$B110))</f>
        <v>#VALUE!</v>
      </c>
      <c r="R22" s="0" t="e">
        <f aca="false">SUMPRODUCT(SUMIFS(#REF!,#REF!,$B107:$B110))</f>
        <v>#VALUE!</v>
      </c>
      <c r="S22" s="0" t="e">
        <f aca="false">SUMPRODUCT(SUMIFS(#REF!,#REF!,$B107:$B110))</f>
        <v>#VALUE!</v>
      </c>
      <c r="T22" s="0" t="e">
        <f aca="false">SUMPRODUCT(SUMIFS(#REF!,#REF!,$B107:$B110))</f>
        <v>#VALUE!</v>
      </c>
      <c r="U22" s="0" t="e">
        <f aca="false">SUMPRODUCT(SUMIFS(#REF!,#REF!,$B107:$B110))</f>
        <v>#VALUE!</v>
      </c>
      <c r="V22" s="0" t="e">
        <f aca="false">SUMPRODUCT(SUMIFS(#REF!,#REF!,$B107:$B110))</f>
        <v>#VALUE!</v>
      </c>
      <c r="X22" s="3" t="e">
        <f aca="false">_xlfn.T.TEST(F22:N22,O22:V22,2,2)</f>
        <v>#VALUE!</v>
      </c>
      <c r="Y22" s="0" t="e">
        <f aca="false">AVERAGE(F22:N22)</f>
        <v>#VALUE!</v>
      </c>
      <c r="Z22" s="0" t="e">
        <f aca="false">AVERAGE(O22:V22)</f>
        <v>#VALUE!</v>
      </c>
    </row>
    <row r="23" customFormat="false" ht="14.5" hidden="false" customHeight="false" outlineLevel="0" collapsed="false">
      <c r="A23" s="0" t="s">
        <v>38</v>
      </c>
      <c r="C23" s="0" t="s">
        <v>39</v>
      </c>
      <c r="F23" s="0" t="e">
        <f aca="false">SUMPRODUCT(SUMIFS(#REF!,#REF!,$B35:$B51))</f>
        <v>#VALUE!</v>
      </c>
      <c r="G23" s="0" t="e">
        <f aca="false">SUMPRODUCT(SUMIFS(#REF!,#REF!,$B35:$B51))</f>
        <v>#VALUE!</v>
      </c>
      <c r="H23" s="0" t="e">
        <f aca="false">SUMPRODUCT(SUMIFS(#REF!,#REF!,$B35:$B51))</f>
        <v>#VALUE!</v>
      </c>
      <c r="I23" s="0" t="e">
        <f aca="false">SUMPRODUCT(SUMIFS(#REF!,#REF!,$B35:$B51))</f>
        <v>#VALUE!</v>
      </c>
      <c r="J23" s="0" t="e">
        <f aca="false">SUMPRODUCT(SUMIFS(#REF!,#REF!,$B35:$B51))</f>
        <v>#VALUE!</v>
      </c>
      <c r="K23" s="0" t="e">
        <f aca="false">SUMPRODUCT(SUMIFS(#REF!,#REF!,$B35:$B51))</f>
        <v>#VALUE!</v>
      </c>
      <c r="L23" s="0" t="e">
        <f aca="false">SUMPRODUCT(SUMIFS(#REF!,#REF!,$B35:$B51))</f>
        <v>#VALUE!</v>
      </c>
      <c r="M23" s="0" t="e">
        <f aca="false">SUMPRODUCT(SUMIFS(#REF!,#REF!,$B35:$B51))</f>
        <v>#VALUE!</v>
      </c>
      <c r="N23" s="0" t="e">
        <f aca="false">SUMPRODUCT(SUMIFS(#REF!,#REF!,$B35:$B51))</f>
        <v>#VALUE!</v>
      </c>
      <c r="O23" s="0" t="e">
        <f aca="false">SUMPRODUCT(SUMIFS(#REF!,#REF!,$B35:$B51))</f>
        <v>#VALUE!</v>
      </c>
      <c r="P23" s="0" t="e">
        <f aca="false">SUMPRODUCT(SUMIFS(#REF!,#REF!,$B35:$B51))</f>
        <v>#VALUE!</v>
      </c>
      <c r="Q23" s="0" t="e">
        <f aca="false">SUMPRODUCT(SUMIFS(#REF!,#REF!,$B35:$B51))</f>
        <v>#VALUE!</v>
      </c>
      <c r="R23" s="0" t="e">
        <f aca="false">SUMPRODUCT(SUMIFS(#REF!,#REF!,$B35:$B51))</f>
        <v>#VALUE!</v>
      </c>
      <c r="S23" s="0" t="e">
        <f aca="false">SUMPRODUCT(SUMIFS(#REF!,#REF!,$B35:$B51))</f>
        <v>#VALUE!</v>
      </c>
      <c r="T23" s="0" t="e">
        <f aca="false">SUMPRODUCT(SUMIFS(#REF!,#REF!,$B35:$B51))</f>
        <v>#VALUE!</v>
      </c>
      <c r="U23" s="0" t="e">
        <f aca="false">SUMPRODUCT(SUMIFS(#REF!,#REF!,$B35:$B51))</f>
        <v>#VALUE!</v>
      </c>
      <c r="V23" s="0" t="e">
        <f aca="false">SUMPRODUCT(SUMIFS(#REF!,#REF!,$B35:$B51))</f>
        <v>#VALUE!</v>
      </c>
      <c r="X23" s="3" t="e">
        <f aca="false">_xlfn.T.TEST(F23:N23,O23:V23,2,2)</f>
        <v>#VALUE!</v>
      </c>
      <c r="Y23" s="0" t="e">
        <f aca="false">AVERAGE(F23:N23)</f>
        <v>#VALUE!</v>
      </c>
      <c r="Z23" s="0" t="e">
        <f aca="false">AVERAGE(O23:V23)</f>
        <v>#VALUE!</v>
      </c>
    </row>
    <row r="24" customFormat="false" ht="14.5" hidden="false" customHeight="false" outlineLevel="0" collapsed="false">
      <c r="A24" s="0" t="s">
        <v>1291</v>
      </c>
      <c r="C24" s="0" t="s">
        <v>1292</v>
      </c>
      <c r="E24" s="0" t="n">
        <v>909</v>
      </c>
      <c r="F24" s="0" t="e">
        <f aca="false">SUMPRODUCT(SUMIFS(#REF!,#REF!,$B111:$B113))</f>
        <v>#VALUE!</v>
      </c>
      <c r="G24" s="0" t="e">
        <f aca="false">SUMPRODUCT(SUMIFS(#REF!,#REF!,$B111:$B113))</f>
        <v>#VALUE!</v>
      </c>
      <c r="H24" s="0" t="e">
        <f aca="false">SUMPRODUCT(SUMIFS(#REF!,#REF!,$B111:$B113))</f>
        <v>#VALUE!</v>
      </c>
      <c r="I24" s="0" t="e">
        <f aca="false">SUMPRODUCT(SUMIFS(#REF!,#REF!,$B111:$B113))</f>
        <v>#VALUE!</v>
      </c>
      <c r="J24" s="0" t="e">
        <f aca="false">SUMPRODUCT(SUMIFS(#REF!,#REF!,$B111:$B113))</f>
        <v>#VALUE!</v>
      </c>
      <c r="K24" s="0" t="e">
        <f aca="false">SUMPRODUCT(SUMIFS(#REF!,#REF!,$B111:$B113))</f>
        <v>#VALUE!</v>
      </c>
      <c r="L24" s="0" t="e">
        <f aca="false">SUMPRODUCT(SUMIFS(#REF!,#REF!,$B111:$B113))</f>
        <v>#VALUE!</v>
      </c>
      <c r="M24" s="0" t="e">
        <f aca="false">SUMPRODUCT(SUMIFS(#REF!,#REF!,$B111:$B113))</f>
        <v>#VALUE!</v>
      </c>
      <c r="N24" s="0" t="e">
        <f aca="false">SUMPRODUCT(SUMIFS(#REF!,#REF!,$B111:$B113))</f>
        <v>#VALUE!</v>
      </c>
      <c r="O24" s="0" t="e">
        <f aca="false">SUMPRODUCT(SUMIFS(#REF!,#REF!,$B111:$B113))</f>
        <v>#VALUE!</v>
      </c>
      <c r="P24" s="0" t="e">
        <f aca="false">SUMPRODUCT(SUMIFS(#REF!,#REF!,$B111:$B113))</f>
        <v>#VALUE!</v>
      </c>
      <c r="Q24" s="0" t="e">
        <f aca="false">SUMPRODUCT(SUMIFS(#REF!,#REF!,$B111:$B113))</f>
        <v>#VALUE!</v>
      </c>
      <c r="R24" s="0" t="e">
        <f aca="false">SUMPRODUCT(SUMIFS(#REF!,#REF!,$B111:$B113))</f>
        <v>#VALUE!</v>
      </c>
      <c r="S24" s="0" t="e">
        <f aca="false">SUMPRODUCT(SUMIFS(#REF!,#REF!,$B111:$B113))</f>
        <v>#VALUE!</v>
      </c>
      <c r="T24" s="0" t="e">
        <f aca="false">SUMPRODUCT(SUMIFS(#REF!,#REF!,$B111:$B113))</f>
        <v>#VALUE!</v>
      </c>
      <c r="U24" s="0" t="e">
        <f aca="false">SUMPRODUCT(SUMIFS(#REF!,#REF!,$B111:$B113))</f>
        <v>#VALUE!</v>
      </c>
      <c r="V24" s="0" t="e">
        <f aca="false">SUMPRODUCT(SUMIFS(#REF!,#REF!,$B111:$B113))</f>
        <v>#VALUE!</v>
      </c>
      <c r="X24" s="3" t="e">
        <f aca="false">_xlfn.T.TEST(F24:N24,O24:V24,2,2)</f>
        <v>#VALUE!</v>
      </c>
      <c r="Y24" s="0" t="e">
        <f aca="false">AVERAGE(F24:N24)</f>
        <v>#VALUE!</v>
      </c>
      <c r="Z24" s="0" t="e">
        <f aca="false">AVERAGE(O24:V24)</f>
        <v>#VALUE!</v>
      </c>
    </row>
    <row r="25" customFormat="false" ht="14.5" hidden="false" customHeight="false" outlineLevel="0" collapsed="false">
      <c r="A25" s="0" t="s">
        <v>30</v>
      </c>
      <c r="C25" s="0" t="s">
        <v>31</v>
      </c>
      <c r="E25" s="0" t="n">
        <v>726</v>
      </c>
      <c r="F25" s="0" t="e">
        <f aca="false">SUMPRODUCT(SUMIFS(#REF!,#REF!,$B32:$B34))</f>
        <v>#VALUE!</v>
      </c>
      <c r="G25" s="0" t="e">
        <f aca="false">SUMPRODUCT(SUMIFS(#REF!,#REF!,$B32:$B34))</f>
        <v>#VALUE!</v>
      </c>
      <c r="H25" s="0" t="e">
        <f aca="false">SUMPRODUCT(SUMIFS(#REF!,#REF!,$B32:$B34))</f>
        <v>#VALUE!</v>
      </c>
      <c r="I25" s="0" t="e">
        <f aca="false">SUMPRODUCT(SUMIFS(#REF!,#REF!,$B32:$B34))</f>
        <v>#VALUE!</v>
      </c>
      <c r="J25" s="0" t="e">
        <f aca="false">SUMPRODUCT(SUMIFS(#REF!,#REF!,$B32:$B34))</f>
        <v>#VALUE!</v>
      </c>
      <c r="K25" s="0" t="e">
        <f aca="false">SUMPRODUCT(SUMIFS(#REF!,#REF!,$B32:$B34))</f>
        <v>#VALUE!</v>
      </c>
      <c r="L25" s="0" t="e">
        <f aca="false">SUMPRODUCT(SUMIFS(#REF!,#REF!,$B32:$B34))</f>
        <v>#VALUE!</v>
      </c>
      <c r="M25" s="0" t="e">
        <f aca="false">SUMPRODUCT(SUMIFS(#REF!,#REF!,$B32:$B34))</f>
        <v>#VALUE!</v>
      </c>
      <c r="N25" s="0" t="e">
        <f aca="false">SUMPRODUCT(SUMIFS(#REF!,#REF!,$B32:$B34))</f>
        <v>#VALUE!</v>
      </c>
      <c r="O25" s="0" t="e">
        <f aca="false">SUMPRODUCT(SUMIFS(#REF!,#REF!,$B32:$B34))</f>
        <v>#VALUE!</v>
      </c>
      <c r="P25" s="0" t="e">
        <f aca="false">SUMPRODUCT(SUMIFS(#REF!,#REF!,$B32:$B34))</f>
        <v>#VALUE!</v>
      </c>
      <c r="Q25" s="0" t="e">
        <f aca="false">SUMPRODUCT(SUMIFS(#REF!,#REF!,$B32:$B34))</f>
        <v>#VALUE!</v>
      </c>
      <c r="R25" s="0" t="e">
        <f aca="false">SUMPRODUCT(SUMIFS(#REF!,#REF!,$B32:$B34))</f>
        <v>#VALUE!</v>
      </c>
      <c r="S25" s="0" t="e">
        <f aca="false">SUMPRODUCT(SUMIFS(#REF!,#REF!,$B32:$B34))</f>
        <v>#VALUE!</v>
      </c>
      <c r="T25" s="0" t="e">
        <f aca="false">SUMPRODUCT(SUMIFS(#REF!,#REF!,$B32:$B34))</f>
        <v>#VALUE!</v>
      </c>
      <c r="U25" s="0" t="e">
        <f aca="false">SUMPRODUCT(SUMIFS(#REF!,#REF!,$B32:$B34))</f>
        <v>#VALUE!</v>
      </c>
      <c r="V25" s="0" t="e">
        <f aca="false">SUMPRODUCT(SUMIFS(#REF!,#REF!,$B32:$B34))</f>
        <v>#VALUE!</v>
      </c>
      <c r="X25" s="3" t="e">
        <f aca="false">_xlfn.T.TEST(F25:N25,O25:V25,2,2)</f>
        <v>#VALUE!</v>
      </c>
      <c r="Y25" s="0" t="e">
        <f aca="false">AVERAGE(F25:N25)</f>
        <v>#VALUE!</v>
      </c>
      <c r="Z25" s="0" t="e">
        <f aca="false">AVERAGE(O25:V25)</f>
        <v>#VALUE!</v>
      </c>
    </row>
    <row r="26" customFormat="false" ht="14.5" hidden="false" customHeight="false" outlineLevel="0" collapsed="false">
      <c r="A26" s="0" t="s">
        <v>26</v>
      </c>
      <c r="B26" s="0" t="n">
        <v>382</v>
      </c>
      <c r="C26" s="0" t="s">
        <v>27</v>
      </c>
      <c r="D26" s="0" t="n">
        <v>37700</v>
      </c>
      <c r="E26" s="0" t="n">
        <v>375</v>
      </c>
      <c r="F26" s="0" t="e">
        <f aca="false">SUMIFS(#REF!,#REF!,'Brain networks'!$B26)</f>
        <v>#VALUE!</v>
      </c>
      <c r="G26" s="0" t="e">
        <f aca="false">SUMIFS(#REF!,#REF!,'Brain networks'!$B26)</f>
        <v>#VALUE!</v>
      </c>
      <c r="H26" s="0" t="e">
        <f aca="false">SUMIFS(#REF!,#REF!,'Brain networks'!$B26)</f>
        <v>#VALUE!</v>
      </c>
      <c r="I26" s="0" t="e">
        <f aca="false">SUMIFS(#REF!,#REF!,'Brain networks'!$B26)</f>
        <v>#VALUE!</v>
      </c>
      <c r="J26" s="0" t="e">
        <f aca="false">SUMIFS(#REF!,#REF!,'Brain networks'!$B26)</f>
        <v>#VALUE!</v>
      </c>
      <c r="K26" s="0" t="e">
        <f aca="false">SUMIFS(#REF!,#REF!,'Brain networks'!$B26)</f>
        <v>#VALUE!</v>
      </c>
      <c r="L26" s="0" t="e">
        <f aca="false">SUMIFS(#REF!,#REF!,'Brain networks'!$B26)</f>
        <v>#VALUE!</v>
      </c>
      <c r="M26" s="0" t="e">
        <f aca="false">SUMIFS(#REF!,#REF!,'Brain networks'!$B26)</f>
        <v>#VALUE!</v>
      </c>
      <c r="N26" s="0" t="e">
        <f aca="false">SUMIFS(#REF!,#REF!,'Brain networks'!$B26)</f>
        <v>#VALUE!</v>
      </c>
      <c r="O26" s="0" t="e">
        <f aca="false">SUMIFS(#REF!,#REF!,'Brain networks'!$B26)</f>
        <v>#VALUE!</v>
      </c>
      <c r="P26" s="0" t="e">
        <f aca="false">SUMIFS(#REF!,#REF!,'Brain networks'!$B26)</f>
        <v>#VALUE!</v>
      </c>
      <c r="Q26" s="0" t="e">
        <f aca="false">SUMIFS(#REF!,#REF!,'Brain networks'!$B26)</f>
        <v>#VALUE!</v>
      </c>
      <c r="R26" s="0" t="e">
        <f aca="false">SUMIFS(#REF!,#REF!,'Brain networks'!$B26)</f>
        <v>#VALUE!</v>
      </c>
      <c r="S26" s="0" t="e">
        <f aca="false">SUMIFS(#REF!,#REF!,'Brain networks'!$B26)</f>
        <v>#VALUE!</v>
      </c>
      <c r="T26" s="0" t="e">
        <f aca="false">SUMIFS(#REF!,#REF!,'Brain networks'!$B26)</f>
        <v>#VALUE!</v>
      </c>
      <c r="U26" s="0" t="e">
        <f aca="false">SUMIFS(#REF!,#REF!,'Brain networks'!$B26)</f>
        <v>#VALUE!</v>
      </c>
      <c r="V26" s="0" t="e">
        <f aca="false">SUMIFS(#REF!,#REF!,'Brain networks'!$B26)</f>
        <v>#VALUE!</v>
      </c>
      <c r="X26" s="3" t="e">
        <f aca="false">_xlfn.T.TEST(F26:N26,O26:V26,2,2)</f>
        <v>#VALUE!</v>
      </c>
      <c r="Y26" s="0" t="e">
        <f aca="false">AVERAGE(F26:N26)</f>
        <v>#VALUE!</v>
      </c>
      <c r="Z26" s="0" t="e">
        <f aca="false">AVERAGE(O26:V26)</f>
        <v>#VALUE!</v>
      </c>
    </row>
    <row r="27" customFormat="false" ht="14.5" hidden="false" customHeight="false" outlineLevel="0" collapsed="false">
      <c r="A27" s="0" t="s">
        <v>28</v>
      </c>
      <c r="B27" s="0" t="n">
        <v>463</v>
      </c>
      <c r="C27" s="0" t="s">
        <v>29</v>
      </c>
      <c r="D27" s="0" t="n">
        <v>38700</v>
      </c>
      <c r="E27" s="0" t="n">
        <v>375</v>
      </c>
      <c r="F27" s="0" t="e">
        <f aca="false">SUMIFS(#REF!,#REF!,'Brain networks'!$B27)</f>
        <v>#VALUE!</v>
      </c>
      <c r="G27" s="0" t="e">
        <f aca="false">SUMIFS(#REF!,#REF!,'Brain networks'!$B27)</f>
        <v>#VALUE!</v>
      </c>
      <c r="H27" s="0" t="e">
        <f aca="false">SUMIFS(#REF!,#REF!,'Brain networks'!$B27)</f>
        <v>#VALUE!</v>
      </c>
      <c r="I27" s="0" t="e">
        <f aca="false">SUMIFS(#REF!,#REF!,'Brain networks'!$B27)</f>
        <v>#VALUE!</v>
      </c>
      <c r="J27" s="0" t="e">
        <f aca="false">SUMIFS(#REF!,#REF!,'Brain networks'!$B27)</f>
        <v>#VALUE!</v>
      </c>
      <c r="K27" s="0" t="e">
        <f aca="false">SUMIFS(#REF!,#REF!,'Brain networks'!$B27)</f>
        <v>#VALUE!</v>
      </c>
      <c r="L27" s="0" t="e">
        <f aca="false">SUMIFS(#REF!,#REF!,'Brain networks'!$B27)</f>
        <v>#VALUE!</v>
      </c>
      <c r="M27" s="0" t="e">
        <f aca="false">SUMIFS(#REF!,#REF!,'Brain networks'!$B27)</f>
        <v>#VALUE!</v>
      </c>
      <c r="N27" s="0" t="e">
        <f aca="false">SUMIFS(#REF!,#REF!,'Brain networks'!$B27)</f>
        <v>#VALUE!</v>
      </c>
      <c r="O27" s="0" t="e">
        <f aca="false">SUMIFS(#REF!,#REF!,'Brain networks'!$B27)</f>
        <v>#VALUE!</v>
      </c>
      <c r="P27" s="0" t="e">
        <f aca="false">SUMIFS(#REF!,#REF!,'Brain networks'!$B27)</f>
        <v>#VALUE!</v>
      </c>
      <c r="Q27" s="0" t="e">
        <f aca="false">SUMIFS(#REF!,#REF!,'Brain networks'!$B27)</f>
        <v>#VALUE!</v>
      </c>
      <c r="R27" s="0" t="e">
        <f aca="false">SUMIFS(#REF!,#REF!,'Brain networks'!$B27)</f>
        <v>#VALUE!</v>
      </c>
      <c r="S27" s="0" t="e">
        <f aca="false">SUMIFS(#REF!,#REF!,'Brain networks'!$B27)</f>
        <v>#VALUE!</v>
      </c>
      <c r="T27" s="0" t="e">
        <f aca="false">SUMIFS(#REF!,#REF!,'Brain networks'!$B27)</f>
        <v>#VALUE!</v>
      </c>
      <c r="U27" s="0" t="e">
        <f aca="false">SUMIFS(#REF!,#REF!,'Brain networks'!$B27)</f>
        <v>#VALUE!</v>
      </c>
      <c r="V27" s="0" t="e">
        <f aca="false">SUMIFS(#REF!,#REF!,'Brain networks'!$B27)</f>
        <v>#VALUE!</v>
      </c>
      <c r="X27" s="3" t="e">
        <f aca="false">_xlfn.T.TEST(F27:N27,O27:V27,2,2)</f>
        <v>#VALUE!</v>
      </c>
      <c r="Y27" s="0" t="e">
        <f aca="false">AVERAGE(F27:N27)</f>
        <v>#VALUE!</v>
      </c>
      <c r="Z27" s="0" t="e">
        <f aca="false">AVERAGE(O27:V27)</f>
        <v>#VALUE!</v>
      </c>
    </row>
    <row r="29" customFormat="false" ht="14.5" hidden="false" customHeight="false" outlineLevel="0" collapsed="false">
      <c r="B29" s="0" t="n">
        <v>632</v>
      </c>
      <c r="C29" s="0" t="s">
        <v>50</v>
      </c>
      <c r="D29" s="0" t="n">
        <v>39600</v>
      </c>
      <c r="E29" s="0" t="n">
        <v>726</v>
      </c>
    </row>
    <row r="30" customFormat="false" ht="14.5" hidden="false" customHeight="false" outlineLevel="0" collapsed="false">
      <c r="B30" s="0" t="n">
        <v>10703</v>
      </c>
      <c r="C30" s="0" t="s">
        <v>51</v>
      </c>
      <c r="D30" s="0" t="n">
        <v>39400</v>
      </c>
      <c r="E30" s="0" t="n">
        <v>726</v>
      </c>
    </row>
    <row r="31" customFormat="false" ht="14.5" hidden="false" customHeight="false" outlineLevel="0" collapsed="false">
      <c r="B31" s="0" t="n">
        <v>10704</v>
      </c>
      <c r="C31" s="0" t="s">
        <v>52</v>
      </c>
      <c r="D31" s="0" t="n">
        <v>39500</v>
      </c>
      <c r="E31" s="0" t="n">
        <v>726</v>
      </c>
    </row>
    <row r="32" customFormat="false" ht="14.5" hidden="false" customHeight="false" outlineLevel="0" collapsed="false">
      <c r="B32" s="0" t="n">
        <v>2632</v>
      </c>
      <c r="C32" s="0" t="s">
        <v>53</v>
      </c>
      <c r="D32" s="0" t="n">
        <v>39600</v>
      </c>
      <c r="E32" s="0" t="n">
        <v>2726</v>
      </c>
    </row>
    <row r="33" customFormat="false" ht="14.5" hidden="false" customHeight="false" outlineLevel="0" collapsed="false">
      <c r="B33" s="0" t="n">
        <v>12703</v>
      </c>
      <c r="C33" s="0" t="s">
        <v>51</v>
      </c>
      <c r="D33" s="0" t="n">
        <v>39400</v>
      </c>
      <c r="E33" s="0" t="n">
        <v>2726</v>
      </c>
    </row>
    <row r="34" customFormat="false" ht="14.5" hidden="false" customHeight="false" outlineLevel="0" collapsed="false">
      <c r="B34" s="0" t="n">
        <v>12704</v>
      </c>
      <c r="C34" s="0" t="s">
        <v>54</v>
      </c>
      <c r="D34" s="0" t="n">
        <v>39700</v>
      </c>
      <c r="E34" s="0" t="n">
        <v>2726</v>
      </c>
    </row>
    <row r="35" customFormat="false" ht="14.5" hidden="false" customHeight="false" outlineLevel="0" collapsed="false">
      <c r="B35" s="0" t="n">
        <v>894</v>
      </c>
      <c r="C35" s="0" t="s">
        <v>55</v>
      </c>
      <c r="D35" s="0" t="n">
        <v>25300</v>
      </c>
      <c r="E35" s="0" t="n">
        <v>254</v>
      </c>
    </row>
    <row r="36" customFormat="false" ht="14.5" hidden="false" customHeight="false" outlineLevel="0" collapsed="false">
      <c r="B36" s="0" t="n">
        <v>274</v>
      </c>
      <c r="C36" s="0" t="s">
        <v>56</v>
      </c>
      <c r="D36" s="0" t="n">
        <v>26400</v>
      </c>
      <c r="E36" s="0" t="n">
        <v>879</v>
      </c>
    </row>
    <row r="37" customFormat="false" ht="14.5" hidden="false" customHeight="false" outlineLevel="0" collapsed="false">
      <c r="B37" s="0" t="n">
        <v>330</v>
      </c>
      <c r="C37" s="0" t="s">
        <v>57</v>
      </c>
      <c r="D37" s="0" t="n">
        <v>26500</v>
      </c>
      <c r="E37" s="0" t="n">
        <v>879</v>
      </c>
    </row>
    <row r="38" customFormat="false" ht="14.5" hidden="false" customHeight="false" outlineLevel="0" collapsed="false">
      <c r="B38" s="0" t="n">
        <v>434</v>
      </c>
      <c r="C38" s="0" t="s">
        <v>58</v>
      </c>
      <c r="D38" s="0" t="n">
        <v>26100</v>
      </c>
      <c r="E38" s="0" t="n">
        <v>879</v>
      </c>
    </row>
    <row r="39" customFormat="false" ht="14.5" hidden="false" customHeight="false" outlineLevel="0" collapsed="false">
      <c r="B39" s="0" t="n">
        <v>442</v>
      </c>
      <c r="C39" s="0" t="s">
        <v>59</v>
      </c>
      <c r="D39" s="0" t="n">
        <v>26000</v>
      </c>
      <c r="E39" s="0" t="n">
        <v>879</v>
      </c>
    </row>
    <row r="40" customFormat="false" ht="14.5" hidden="false" customHeight="false" outlineLevel="0" collapsed="false">
      <c r="B40" s="0" t="n">
        <v>545</v>
      </c>
      <c r="C40" s="0" t="s">
        <v>60</v>
      </c>
      <c r="D40" s="0" t="n">
        <v>26200</v>
      </c>
      <c r="E40" s="0" t="n">
        <v>879</v>
      </c>
    </row>
    <row r="41" customFormat="false" ht="14.5" hidden="false" customHeight="false" outlineLevel="0" collapsed="false">
      <c r="B41" s="0" t="n">
        <v>610</v>
      </c>
      <c r="C41" s="0" t="s">
        <v>61</v>
      </c>
      <c r="D41" s="0" t="n">
        <v>26300</v>
      </c>
      <c r="E41" s="0" t="n">
        <v>879</v>
      </c>
    </row>
    <row r="42" customFormat="false" ht="14.5" hidden="false" customHeight="false" outlineLevel="0" collapsed="false">
      <c r="B42" s="0" t="n">
        <v>430</v>
      </c>
      <c r="C42" s="0" t="s">
        <v>62</v>
      </c>
      <c r="D42" s="0" t="n">
        <v>26900</v>
      </c>
      <c r="E42" s="0" t="n">
        <v>886</v>
      </c>
    </row>
    <row r="43" customFormat="false" ht="14.5" hidden="false" customHeight="false" outlineLevel="0" collapsed="false">
      <c r="B43" s="0" t="n">
        <v>542</v>
      </c>
      <c r="C43" s="0" t="s">
        <v>63</v>
      </c>
      <c r="D43" s="0" t="n">
        <v>26700</v>
      </c>
      <c r="E43" s="0" t="n">
        <v>886</v>
      </c>
    </row>
    <row r="44" customFormat="false" ht="14.5" hidden="false" customHeight="false" outlineLevel="0" collapsed="false">
      <c r="B44" s="0" t="n">
        <v>590</v>
      </c>
      <c r="C44" s="0" t="s">
        <v>64</v>
      </c>
      <c r="D44" s="0" t="n">
        <v>27100</v>
      </c>
      <c r="E44" s="0" t="n">
        <v>886</v>
      </c>
    </row>
    <row r="45" customFormat="false" ht="14.5" hidden="false" customHeight="false" outlineLevel="0" collapsed="false">
      <c r="B45" s="0" t="n">
        <v>622</v>
      </c>
      <c r="C45" s="0" t="s">
        <v>65</v>
      </c>
      <c r="D45" s="0" t="n">
        <v>27200</v>
      </c>
      <c r="E45" s="0" t="n">
        <v>886</v>
      </c>
    </row>
    <row r="46" customFormat="false" ht="14.5" hidden="false" customHeight="false" outlineLevel="0" collapsed="false">
      <c r="B46" s="0" t="n">
        <v>687</v>
      </c>
      <c r="C46" s="0" t="s">
        <v>66</v>
      </c>
      <c r="D46" s="0" t="n">
        <v>27000</v>
      </c>
      <c r="E46" s="0" t="n">
        <v>886</v>
      </c>
    </row>
    <row r="47" customFormat="false" ht="14.5" hidden="false" customHeight="false" outlineLevel="0" collapsed="false">
      <c r="B47" s="0" t="n">
        <v>279</v>
      </c>
      <c r="C47" s="0" t="s">
        <v>67</v>
      </c>
      <c r="D47" s="0" t="n">
        <v>25800</v>
      </c>
      <c r="E47" s="0" t="n">
        <v>894</v>
      </c>
    </row>
    <row r="48" customFormat="false" ht="14.5" hidden="false" customHeight="false" outlineLevel="0" collapsed="false">
      <c r="B48" s="0" t="n">
        <v>671</v>
      </c>
      <c r="C48" s="0" t="s">
        <v>68</v>
      </c>
      <c r="D48" s="0" t="n">
        <v>25400</v>
      </c>
      <c r="E48" s="0" t="n">
        <v>894</v>
      </c>
    </row>
    <row r="49" customFormat="false" ht="14.5" hidden="false" customHeight="false" outlineLevel="0" collapsed="false">
      <c r="B49" s="0" t="n">
        <v>774</v>
      </c>
      <c r="C49" s="0" t="s">
        <v>69</v>
      </c>
      <c r="D49" s="0" t="n">
        <v>25600</v>
      </c>
      <c r="E49" s="0" t="n">
        <v>894</v>
      </c>
    </row>
    <row r="50" customFormat="false" ht="14.5" hidden="false" customHeight="false" outlineLevel="0" collapsed="false">
      <c r="B50" s="0" t="n">
        <v>906</v>
      </c>
      <c r="C50" s="0" t="s">
        <v>70</v>
      </c>
      <c r="D50" s="0" t="n">
        <v>25700</v>
      </c>
      <c r="E50" s="0" t="n">
        <v>894</v>
      </c>
    </row>
    <row r="51" customFormat="false" ht="14.5" hidden="false" customHeight="false" outlineLevel="0" collapsed="false">
      <c r="B51" s="0" t="n">
        <v>965</v>
      </c>
      <c r="C51" s="0" t="s">
        <v>71</v>
      </c>
      <c r="D51" s="0" t="n">
        <v>25500</v>
      </c>
      <c r="E51" s="0" t="n">
        <v>894</v>
      </c>
    </row>
    <row r="52" customFormat="false" ht="14.5" hidden="false" customHeight="false" outlineLevel="0" collapsed="false">
      <c r="B52" s="0" t="n">
        <v>84</v>
      </c>
      <c r="C52" s="0" t="s">
        <v>82</v>
      </c>
      <c r="D52" s="0" t="n">
        <v>20600</v>
      </c>
      <c r="E52" s="0" t="n">
        <v>972</v>
      </c>
    </row>
    <row r="53" customFormat="false" ht="14.5" hidden="false" customHeight="false" outlineLevel="0" collapsed="false">
      <c r="B53" s="0" t="n">
        <v>132</v>
      </c>
      <c r="C53" s="0" t="s">
        <v>83</v>
      </c>
      <c r="D53" s="0" t="n">
        <v>20700</v>
      </c>
      <c r="E53" s="0" t="n">
        <v>972</v>
      </c>
    </row>
    <row r="54" customFormat="false" ht="14.5" hidden="false" customHeight="false" outlineLevel="0" collapsed="false">
      <c r="B54" s="0" t="n">
        <v>171</v>
      </c>
      <c r="C54" s="0" t="s">
        <v>84</v>
      </c>
      <c r="D54" s="0" t="n">
        <v>20200</v>
      </c>
      <c r="E54" s="0" t="n">
        <v>972</v>
      </c>
    </row>
    <row r="55" customFormat="false" ht="14.5" hidden="false" customHeight="false" outlineLevel="0" collapsed="false">
      <c r="B55" s="0" t="n">
        <v>304</v>
      </c>
      <c r="C55" s="0" t="s">
        <v>85</v>
      </c>
      <c r="D55" s="0" t="n">
        <v>20400</v>
      </c>
      <c r="E55" s="0" t="n">
        <v>972</v>
      </c>
    </row>
    <row r="56" customFormat="false" ht="14.5" hidden="false" customHeight="false" outlineLevel="0" collapsed="false">
      <c r="B56" s="0" t="n">
        <v>363</v>
      </c>
      <c r="C56" s="0" t="s">
        <v>86</v>
      </c>
      <c r="D56" s="0" t="n">
        <v>20500</v>
      </c>
      <c r="E56" s="0" t="n">
        <v>972</v>
      </c>
    </row>
    <row r="57" customFormat="false" ht="14.5" hidden="false" customHeight="false" outlineLevel="0" collapsed="false">
      <c r="B57" s="0" t="n">
        <v>556</v>
      </c>
      <c r="C57" s="0" t="s">
        <v>87</v>
      </c>
      <c r="D57" s="0" t="n">
        <v>8700</v>
      </c>
      <c r="E57" s="0" t="n">
        <v>44</v>
      </c>
    </row>
    <row r="58" customFormat="false" ht="14.5" hidden="false" customHeight="false" outlineLevel="0" collapsed="false">
      <c r="B58" s="0" t="n">
        <v>707</v>
      </c>
      <c r="C58" s="0" t="s">
        <v>88</v>
      </c>
      <c r="D58" s="0" t="n">
        <v>8500</v>
      </c>
      <c r="E58" s="0" t="n">
        <v>44</v>
      </c>
    </row>
    <row r="59" customFormat="false" ht="14.5" hidden="false" customHeight="false" outlineLevel="0" collapsed="false">
      <c r="B59" s="0" t="n">
        <v>827</v>
      </c>
      <c r="C59" s="0" t="s">
        <v>89</v>
      </c>
      <c r="D59" s="0" t="n">
        <v>8800</v>
      </c>
      <c r="E59" s="0" t="n">
        <v>44</v>
      </c>
    </row>
    <row r="60" customFormat="false" ht="14.5" hidden="false" customHeight="false" outlineLevel="0" collapsed="false">
      <c r="B60" s="0" t="n">
        <v>1054</v>
      </c>
      <c r="C60" s="0" t="s">
        <v>90</v>
      </c>
      <c r="D60" s="0" t="n">
        <v>8900</v>
      </c>
      <c r="E60" s="0" t="n">
        <v>44</v>
      </c>
    </row>
    <row r="61" customFormat="false" ht="14.5" hidden="false" customHeight="false" outlineLevel="0" collapsed="false">
      <c r="B61" s="0" t="n">
        <v>1081</v>
      </c>
      <c r="C61" s="0" t="s">
        <v>91</v>
      </c>
      <c r="D61" s="0" t="n">
        <v>9000</v>
      </c>
      <c r="E61" s="0" t="n">
        <v>44</v>
      </c>
    </row>
    <row r="62" customFormat="false" ht="14.5" hidden="false" customHeight="false" outlineLevel="0" collapsed="false">
      <c r="B62" s="0" t="n">
        <v>23</v>
      </c>
      <c r="C62" s="0" t="s">
        <v>117</v>
      </c>
      <c r="D62" s="0" t="n">
        <v>50100</v>
      </c>
      <c r="E62" s="0" t="n">
        <v>278</v>
      </c>
    </row>
    <row r="63" customFormat="false" ht="14.5" hidden="false" customHeight="false" outlineLevel="0" collapsed="false">
      <c r="B63" s="0" t="n">
        <v>131</v>
      </c>
      <c r="C63" s="0" t="s">
        <v>219</v>
      </c>
      <c r="D63" s="0" t="n">
        <v>47000</v>
      </c>
      <c r="E63" s="0" t="n">
        <v>703</v>
      </c>
    </row>
    <row r="64" customFormat="false" ht="14.5" hidden="false" customHeight="false" outlineLevel="0" collapsed="false">
      <c r="B64" s="0" t="n">
        <v>278</v>
      </c>
      <c r="C64" s="0" t="s">
        <v>357</v>
      </c>
      <c r="D64" s="0" t="n">
        <v>50000</v>
      </c>
      <c r="E64" s="0" t="n">
        <v>477</v>
      </c>
    </row>
    <row r="65" customFormat="false" ht="14.5" hidden="false" customHeight="false" outlineLevel="0" collapsed="false">
      <c r="B65" s="0" t="n">
        <v>303</v>
      </c>
      <c r="C65" s="0" t="s">
        <v>92</v>
      </c>
      <c r="D65" s="0" t="n">
        <v>47200</v>
      </c>
      <c r="E65" s="0" t="n">
        <v>295</v>
      </c>
    </row>
    <row r="66" customFormat="false" ht="14.5" hidden="false" customHeight="false" outlineLevel="0" collapsed="false">
      <c r="B66" s="0" t="n">
        <v>311</v>
      </c>
      <c r="C66" s="0" t="s">
        <v>93</v>
      </c>
      <c r="D66" s="0" t="n">
        <v>47300</v>
      </c>
      <c r="E66" s="0" t="n">
        <v>295</v>
      </c>
    </row>
    <row r="67" customFormat="false" ht="14.5" hidden="false" customHeight="false" outlineLevel="0" collapsed="false">
      <c r="B67" s="0" t="n">
        <v>319</v>
      </c>
      <c r="C67" s="0" t="s">
        <v>391</v>
      </c>
      <c r="D67" s="0" t="n">
        <v>47500</v>
      </c>
      <c r="E67" s="0" t="n">
        <v>703</v>
      </c>
    </row>
    <row r="68" customFormat="false" ht="14.5" hidden="false" customHeight="false" outlineLevel="0" collapsed="false">
      <c r="B68" s="0" t="n">
        <v>403</v>
      </c>
      <c r="C68" s="0" t="s">
        <v>472</v>
      </c>
      <c r="D68" s="0" t="n">
        <v>50800</v>
      </c>
      <c r="E68" s="0" t="n">
        <v>278</v>
      </c>
    </row>
    <row r="69" customFormat="false" ht="14.5" hidden="false" customHeight="false" outlineLevel="0" collapsed="false">
      <c r="B69" s="0" t="n">
        <v>451</v>
      </c>
      <c r="C69" s="0" t="s">
        <v>94</v>
      </c>
      <c r="D69" s="0" t="n">
        <v>47400</v>
      </c>
      <c r="E69" s="0" t="n">
        <v>295</v>
      </c>
    </row>
    <row r="70" customFormat="false" ht="14.5" hidden="false" customHeight="false" outlineLevel="0" collapsed="false">
      <c r="B70" s="0" t="n">
        <v>536</v>
      </c>
      <c r="C70" s="0" t="s">
        <v>47</v>
      </c>
      <c r="D70" s="0" t="n">
        <v>50300</v>
      </c>
      <c r="E70" s="0" t="n">
        <v>278</v>
      </c>
    </row>
    <row r="71" customFormat="false" ht="14.5" hidden="false" customHeight="false" outlineLevel="0" collapsed="false">
      <c r="B71" s="0" t="n">
        <v>639</v>
      </c>
      <c r="C71" s="0" t="s">
        <v>693</v>
      </c>
      <c r="D71" s="0" t="n">
        <v>34700</v>
      </c>
      <c r="E71" s="0" t="n">
        <v>631</v>
      </c>
    </row>
    <row r="72" customFormat="false" ht="14.5" hidden="false" customHeight="false" outlineLevel="0" collapsed="false">
      <c r="B72" s="0" t="n">
        <v>647</v>
      </c>
      <c r="C72" s="0" t="s">
        <v>701</v>
      </c>
      <c r="D72" s="0" t="n">
        <v>35100</v>
      </c>
      <c r="E72" s="0" t="n">
        <v>631</v>
      </c>
    </row>
    <row r="73" customFormat="false" ht="14.5" hidden="false" customHeight="false" outlineLevel="0" collapsed="false">
      <c r="B73" s="0" t="n">
        <v>780</v>
      </c>
      <c r="C73" s="0" t="s">
        <v>828</v>
      </c>
      <c r="D73" s="0" t="n">
        <v>47800</v>
      </c>
      <c r="E73" s="0" t="n">
        <v>703</v>
      </c>
    </row>
    <row r="74" customFormat="false" ht="14.5" hidden="false" customHeight="false" outlineLevel="0" collapsed="false">
      <c r="B74" s="0" t="n">
        <v>788</v>
      </c>
      <c r="C74" s="0" t="s">
        <v>836</v>
      </c>
      <c r="D74" s="0" t="n">
        <v>36400</v>
      </c>
      <c r="E74" s="0" t="n">
        <v>698</v>
      </c>
    </row>
    <row r="75" customFormat="false" ht="14.5" hidden="false" customHeight="false" outlineLevel="0" collapsed="false">
      <c r="B75" s="0" t="n">
        <v>884</v>
      </c>
      <c r="C75" s="0" t="s">
        <v>929</v>
      </c>
      <c r="D75" s="0" t="n">
        <v>110700</v>
      </c>
      <c r="E75" s="0" t="n">
        <v>768</v>
      </c>
    </row>
    <row r="76" customFormat="false" ht="14.5" hidden="false" customHeight="false" outlineLevel="0" collapsed="false">
      <c r="B76" s="0" t="n">
        <v>1105</v>
      </c>
      <c r="C76" s="0" t="s">
        <v>1139</v>
      </c>
      <c r="D76" s="0" t="n">
        <v>50700</v>
      </c>
      <c r="E76" s="0" t="n">
        <v>278</v>
      </c>
    </row>
    <row r="77" customFormat="false" ht="14.5" hidden="false" customHeight="false" outlineLevel="0" collapsed="false">
      <c r="B77" s="0" t="n">
        <v>104</v>
      </c>
      <c r="C77" s="0" t="s">
        <v>192</v>
      </c>
      <c r="D77" s="0" t="n">
        <v>23400</v>
      </c>
      <c r="E77" s="0" t="n">
        <v>95</v>
      </c>
    </row>
    <row r="78" customFormat="false" ht="14.5" hidden="false" customHeight="false" outlineLevel="0" collapsed="false">
      <c r="B78" s="0" t="n">
        <v>120</v>
      </c>
      <c r="C78" s="0" t="s">
        <v>208</v>
      </c>
      <c r="D78" s="0" t="n">
        <v>24100</v>
      </c>
      <c r="E78" s="0" t="n">
        <v>111</v>
      </c>
    </row>
    <row r="79" customFormat="false" ht="14.5" hidden="false" customHeight="false" outlineLevel="0" collapsed="false">
      <c r="B79" s="0" t="n">
        <v>163</v>
      </c>
      <c r="C79" s="0" t="s">
        <v>250</v>
      </c>
      <c r="D79" s="0" t="n">
        <v>24200</v>
      </c>
      <c r="E79" s="0" t="n">
        <v>111</v>
      </c>
    </row>
    <row r="80" customFormat="false" ht="14.5" hidden="false" customHeight="false" outlineLevel="0" collapsed="false">
      <c r="B80" s="0" t="n">
        <v>314</v>
      </c>
      <c r="C80" s="0" t="s">
        <v>386</v>
      </c>
      <c r="D80" s="0" t="n">
        <v>24400</v>
      </c>
      <c r="E80" s="0" t="n">
        <v>111</v>
      </c>
    </row>
    <row r="81" customFormat="false" ht="14.5" hidden="false" customHeight="false" outlineLevel="0" collapsed="false">
      <c r="B81" s="0" t="n">
        <v>328</v>
      </c>
      <c r="C81" s="0" t="s">
        <v>400</v>
      </c>
      <c r="D81" s="0" t="n">
        <v>23600</v>
      </c>
      <c r="E81" s="0" t="n">
        <v>104</v>
      </c>
    </row>
    <row r="82" customFormat="false" ht="14.5" hidden="false" customHeight="false" outlineLevel="0" collapsed="false">
      <c r="B82" s="0" t="n">
        <v>344</v>
      </c>
      <c r="C82" s="0" t="s">
        <v>415</v>
      </c>
      <c r="D82" s="0" t="n">
        <v>24300</v>
      </c>
      <c r="E82" s="0" t="n">
        <v>111</v>
      </c>
    </row>
    <row r="83" customFormat="false" ht="14.5" hidden="false" customHeight="false" outlineLevel="0" collapsed="false">
      <c r="B83" s="0" t="n">
        <v>675</v>
      </c>
      <c r="C83" s="0" t="s">
        <v>728</v>
      </c>
      <c r="D83" s="0" t="n">
        <v>25000</v>
      </c>
      <c r="E83" s="0" t="n">
        <v>119</v>
      </c>
    </row>
    <row r="84" customFormat="false" ht="14.5" hidden="false" customHeight="false" outlineLevel="0" collapsed="false">
      <c r="B84" s="0" t="n">
        <v>694</v>
      </c>
      <c r="C84" s="0" t="s">
        <v>746</v>
      </c>
      <c r="D84" s="0" t="n">
        <v>24800</v>
      </c>
      <c r="E84" s="0" t="n">
        <v>119</v>
      </c>
    </row>
    <row r="85" customFormat="false" ht="14.5" hidden="false" customHeight="false" outlineLevel="0" collapsed="false">
      <c r="B85" s="0" t="n">
        <v>699</v>
      </c>
      <c r="C85" s="0" t="s">
        <v>751</v>
      </c>
      <c r="D85" s="0" t="n">
        <v>25100</v>
      </c>
      <c r="E85" s="0" t="n">
        <v>119</v>
      </c>
    </row>
    <row r="86" customFormat="false" ht="14.5" hidden="false" customHeight="false" outlineLevel="0" collapsed="false">
      <c r="B86" s="0" t="n">
        <v>704</v>
      </c>
      <c r="C86" s="0" t="s">
        <v>756</v>
      </c>
      <c r="D86" s="0" t="n">
        <v>24700</v>
      </c>
      <c r="E86" s="0" t="n">
        <v>119</v>
      </c>
    </row>
    <row r="87" customFormat="false" ht="14.5" hidden="false" customHeight="false" outlineLevel="0" collapsed="false">
      <c r="B87" s="0" t="n">
        <v>783</v>
      </c>
      <c r="C87" s="0" t="s">
        <v>831</v>
      </c>
      <c r="D87" s="0" t="n">
        <v>23800</v>
      </c>
      <c r="E87" s="0" t="n">
        <v>104</v>
      </c>
    </row>
    <row r="88" customFormat="false" ht="14.5" hidden="false" customHeight="false" outlineLevel="0" collapsed="false">
      <c r="B88" s="0" t="n">
        <v>800</v>
      </c>
      <c r="C88" s="0" t="s">
        <v>848</v>
      </c>
      <c r="D88" s="0" t="n">
        <v>24900</v>
      </c>
      <c r="E88" s="0" t="n">
        <v>119</v>
      </c>
    </row>
    <row r="89" customFormat="false" ht="14.5" hidden="false" customHeight="false" outlineLevel="0" collapsed="false">
      <c r="B89" s="0" t="n">
        <v>831</v>
      </c>
      <c r="C89" s="0" t="s">
        <v>876</v>
      </c>
      <c r="D89" s="0" t="n">
        <v>23900</v>
      </c>
      <c r="E89" s="0" t="n">
        <v>104</v>
      </c>
    </row>
    <row r="90" customFormat="false" ht="14.5" hidden="false" customHeight="false" outlineLevel="0" collapsed="false">
      <c r="B90" s="0" t="n">
        <v>996</v>
      </c>
      <c r="C90" s="0" t="s">
        <v>1034</v>
      </c>
      <c r="D90" s="0" t="n">
        <v>23500</v>
      </c>
      <c r="E90" s="0" t="n">
        <v>104</v>
      </c>
    </row>
    <row r="91" customFormat="false" ht="14.5" hidden="false" customHeight="false" outlineLevel="0" collapsed="false">
      <c r="B91" s="0" t="n">
        <v>1101</v>
      </c>
      <c r="C91" s="0" t="s">
        <v>1135</v>
      </c>
      <c r="D91" s="0" t="n">
        <v>23700</v>
      </c>
      <c r="E91" s="0" t="n">
        <v>104</v>
      </c>
    </row>
    <row r="92" customFormat="false" ht="14.5" hidden="false" customHeight="false" outlineLevel="0" collapsed="false">
      <c r="B92" s="0" t="n">
        <v>656</v>
      </c>
      <c r="C92" s="0" t="s">
        <v>710</v>
      </c>
      <c r="D92" s="0" t="n">
        <v>2200</v>
      </c>
      <c r="E92" s="0" t="n">
        <v>993</v>
      </c>
    </row>
    <row r="93" customFormat="false" ht="14.5" hidden="false" customHeight="false" outlineLevel="0" collapsed="false">
      <c r="B93" s="0" t="n">
        <v>767</v>
      </c>
      <c r="C93" s="0" t="s">
        <v>817</v>
      </c>
      <c r="D93" s="0" t="n">
        <v>2400</v>
      </c>
      <c r="E93" s="0" t="n">
        <v>993</v>
      </c>
    </row>
    <row r="94" customFormat="false" ht="14.5" hidden="false" customHeight="false" outlineLevel="0" collapsed="false">
      <c r="B94" s="0" t="n">
        <v>962</v>
      </c>
      <c r="C94" s="0" t="s">
        <v>1002</v>
      </c>
      <c r="D94" s="0" t="n">
        <v>2300</v>
      </c>
      <c r="E94" s="0" t="n">
        <v>993</v>
      </c>
    </row>
    <row r="95" customFormat="false" ht="14.5" hidden="false" customHeight="false" outlineLevel="0" collapsed="false">
      <c r="B95" s="0" t="n">
        <v>1021</v>
      </c>
      <c r="C95" s="0" t="s">
        <v>1057</v>
      </c>
      <c r="D95" s="0" t="n">
        <v>2500</v>
      </c>
      <c r="E95" s="0" t="n">
        <v>993</v>
      </c>
    </row>
    <row r="96" customFormat="false" ht="14.5" hidden="false" customHeight="false" outlineLevel="0" collapsed="false">
      <c r="B96" s="0" t="n">
        <v>1085</v>
      </c>
      <c r="C96" s="0" t="s">
        <v>1119</v>
      </c>
      <c r="D96" s="0" t="n">
        <v>2600</v>
      </c>
      <c r="E96" s="0" t="n">
        <v>993</v>
      </c>
    </row>
    <row r="97" customFormat="false" ht="14.5" hidden="false" customHeight="false" outlineLevel="0" collapsed="false">
      <c r="B97" s="0" t="n">
        <v>211</v>
      </c>
      <c r="C97" s="0" t="s">
        <v>72</v>
      </c>
      <c r="D97" s="0" t="n">
        <v>19100</v>
      </c>
      <c r="E97" s="0" t="n">
        <v>39</v>
      </c>
    </row>
    <row r="98" customFormat="false" ht="14.5" hidden="false" customHeight="false" outlineLevel="0" collapsed="false">
      <c r="B98" s="0" t="n">
        <v>296</v>
      </c>
      <c r="C98" s="0" t="s">
        <v>77</v>
      </c>
      <c r="D98" s="0" t="n">
        <v>19700</v>
      </c>
      <c r="E98" s="0" t="n">
        <v>48</v>
      </c>
    </row>
    <row r="99" customFormat="false" ht="14.5" hidden="false" customHeight="false" outlineLevel="0" collapsed="false">
      <c r="B99" s="0" t="n">
        <v>588</v>
      </c>
      <c r="C99" s="0" t="s">
        <v>78</v>
      </c>
      <c r="D99" s="0" t="n">
        <v>19600</v>
      </c>
      <c r="E99" s="0" t="n">
        <v>48</v>
      </c>
    </row>
    <row r="100" customFormat="false" ht="14.5" hidden="false" customHeight="false" outlineLevel="0" collapsed="false">
      <c r="B100" s="0" t="n">
        <v>772</v>
      </c>
      <c r="C100" s="0" t="s">
        <v>79</v>
      </c>
      <c r="D100" s="0" t="n">
        <v>19800</v>
      </c>
      <c r="E100" s="0" t="n">
        <v>48</v>
      </c>
    </row>
    <row r="101" customFormat="false" ht="14.5" hidden="false" customHeight="false" outlineLevel="0" collapsed="false">
      <c r="B101" s="0" t="n">
        <v>810</v>
      </c>
      <c r="C101" s="0" t="s">
        <v>80</v>
      </c>
      <c r="D101" s="0" t="n">
        <v>19900</v>
      </c>
      <c r="E101" s="0" t="n">
        <v>48</v>
      </c>
    </row>
    <row r="102" customFormat="false" ht="14.5" hidden="false" customHeight="false" outlineLevel="0" collapsed="false">
      <c r="B102" s="0" t="n">
        <v>819</v>
      </c>
      <c r="C102" s="0" t="s">
        <v>81</v>
      </c>
      <c r="D102" s="0" t="n">
        <v>20000</v>
      </c>
      <c r="E102" s="0" t="n">
        <v>48</v>
      </c>
    </row>
    <row r="103" customFormat="false" ht="14.5" hidden="false" customHeight="false" outlineLevel="0" collapsed="false">
      <c r="B103" s="0" t="n">
        <v>919</v>
      </c>
      <c r="C103" s="0" t="s">
        <v>73</v>
      </c>
      <c r="D103" s="0" t="n">
        <v>19300</v>
      </c>
      <c r="E103" s="0" t="n">
        <v>39</v>
      </c>
    </row>
    <row r="104" customFormat="false" ht="14.5" hidden="false" customHeight="false" outlineLevel="0" collapsed="false">
      <c r="B104" s="0" t="n">
        <v>927</v>
      </c>
      <c r="C104" s="0" t="s">
        <v>74</v>
      </c>
      <c r="D104" s="0" t="n">
        <v>19400</v>
      </c>
      <c r="E104" s="0" t="n">
        <v>39</v>
      </c>
    </row>
    <row r="105" customFormat="false" ht="14.5" hidden="false" customHeight="false" outlineLevel="0" collapsed="false">
      <c r="B105" s="0" t="n">
        <v>935</v>
      </c>
      <c r="C105" s="0" t="s">
        <v>75</v>
      </c>
      <c r="D105" s="0" t="n">
        <v>19000</v>
      </c>
      <c r="E105" s="0" t="n">
        <v>39</v>
      </c>
    </row>
    <row r="106" customFormat="false" ht="14.5" hidden="false" customHeight="false" outlineLevel="0" collapsed="false">
      <c r="B106" s="0" t="n">
        <v>1015</v>
      </c>
      <c r="C106" s="0" t="s">
        <v>76</v>
      </c>
      <c r="D106" s="0" t="n">
        <v>19200</v>
      </c>
      <c r="E106" s="0" t="n">
        <v>39</v>
      </c>
    </row>
    <row r="107" customFormat="false" ht="14.5" hidden="false" customHeight="false" outlineLevel="0" collapsed="false">
      <c r="B107" s="0" t="n">
        <v>484</v>
      </c>
      <c r="C107" s="0" t="s">
        <v>547</v>
      </c>
      <c r="D107" s="0" t="n">
        <v>22100</v>
      </c>
      <c r="E107" s="0" t="n">
        <v>731</v>
      </c>
    </row>
    <row r="108" customFormat="false" ht="14.5" hidden="false" customHeight="false" outlineLevel="0" collapsed="false">
      <c r="B108" s="0" t="n">
        <v>582</v>
      </c>
      <c r="C108" s="0" t="s">
        <v>641</v>
      </c>
      <c r="D108" s="0" t="n">
        <v>22300</v>
      </c>
      <c r="E108" s="0" t="n">
        <v>731</v>
      </c>
    </row>
    <row r="109" customFormat="false" ht="14.5" hidden="false" customHeight="false" outlineLevel="0" collapsed="false">
      <c r="B109" s="0" t="n">
        <v>620</v>
      </c>
      <c r="C109" s="0" t="s">
        <v>676</v>
      </c>
      <c r="D109" s="0" t="n">
        <v>22400</v>
      </c>
      <c r="E109" s="0" t="n">
        <v>731</v>
      </c>
    </row>
    <row r="110" customFormat="false" ht="14.5" hidden="false" customHeight="false" outlineLevel="0" collapsed="false">
      <c r="B110" s="0" t="n">
        <v>910</v>
      </c>
      <c r="C110" s="0" t="s">
        <v>953</v>
      </c>
      <c r="D110" s="0" t="n">
        <v>22500</v>
      </c>
      <c r="E110" s="0" t="n">
        <v>731</v>
      </c>
    </row>
    <row r="111" customFormat="false" ht="14.5" hidden="false" customHeight="false" outlineLevel="0" collapsed="false">
      <c r="B111" s="0" t="n">
        <v>918</v>
      </c>
      <c r="C111" s="0" t="s">
        <v>961</v>
      </c>
      <c r="D111" s="0" t="n">
        <v>41350</v>
      </c>
      <c r="E111" s="0" t="n">
        <v>909</v>
      </c>
    </row>
    <row r="112" customFormat="false" ht="14.5" hidden="false" customHeight="false" outlineLevel="0" collapsed="false">
      <c r="B112" s="0" t="n">
        <v>926</v>
      </c>
      <c r="C112" s="0" t="s">
        <v>968</v>
      </c>
      <c r="D112" s="0" t="n">
        <v>42700</v>
      </c>
      <c r="E112" s="0" t="n">
        <v>909</v>
      </c>
    </row>
    <row r="113" customFormat="false" ht="14.5" hidden="false" customHeight="false" outlineLevel="0" collapsed="false">
      <c r="B113" s="0" t="n">
        <v>934</v>
      </c>
      <c r="C113" s="0" t="s">
        <v>975</v>
      </c>
      <c r="D113" s="0" t="n">
        <v>43700</v>
      </c>
      <c r="E113" s="0" t="n">
        <v>909</v>
      </c>
    </row>
  </sheetData>
  <conditionalFormatting sqref="X4:X13 X16:X17 X20:X27">
    <cfRule type="cellIs" priority="2" operator="lessThan" aboveAverage="0" equalAverage="0" bottom="0" percent="0" rank="0" text="" dxfId="2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63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8" activeCellId="0" sqref="A8"/>
    </sheetView>
  </sheetViews>
  <sheetFormatPr defaultColWidth="8.5390625" defaultRowHeight="14.5" zeroHeight="false" outlineLevelRow="0" outlineLevelCol="0"/>
  <cols>
    <col collapsed="false" customWidth="true" hidden="false" outlineLevel="0" max="3" min="3" style="0" width="37"/>
    <col collapsed="false" customWidth="true" hidden="false" outlineLevel="0" max="15" min="15" style="0" width="10.54"/>
  </cols>
  <sheetData>
    <row r="1" customFormat="false" ht="14.5" hidden="false" customHeight="false" outlineLevel="0" collapsed="false">
      <c r="E1" s="0" t="s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  <c r="N1" s="0" t="n">
        <v>0</v>
      </c>
      <c r="O1" s="0" t="n">
        <v>1</v>
      </c>
      <c r="P1" s="0" t="n">
        <v>1</v>
      </c>
      <c r="Q1" s="0" t="n">
        <v>1</v>
      </c>
      <c r="R1" s="0" t="n">
        <v>1</v>
      </c>
      <c r="S1" s="0" t="n">
        <v>1</v>
      </c>
      <c r="T1" s="0" t="n">
        <v>1</v>
      </c>
      <c r="U1" s="0" t="n">
        <v>1</v>
      </c>
      <c r="V1" s="0" t="n">
        <v>1</v>
      </c>
    </row>
    <row r="2" customFormat="false" ht="14.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X2" s="2" t="s">
        <v>23</v>
      </c>
      <c r="Y2" s="2" t="s">
        <v>24</v>
      </c>
      <c r="Z2" s="2" t="s">
        <v>25</v>
      </c>
      <c r="AA2" s="2" t="s">
        <v>1293</v>
      </c>
      <c r="AB2" s="2" t="s">
        <v>1294</v>
      </c>
    </row>
    <row r="3" customFormat="false" ht="14.5" hidden="false" customHeight="false" outlineLevel="0" collapsed="false">
      <c r="A3" s="0" t="s">
        <v>26</v>
      </c>
      <c r="B3" s="0" t="n">
        <v>382</v>
      </c>
      <c r="C3" s="0" t="s">
        <v>27</v>
      </c>
      <c r="D3" s="0" t="n">
        <v>37700</v>
      </c>
      <c r="E3" s="0" t="n">
        <v>375</v>
      </c>
      <c r="F3" s="0" t="n">
        <f aca="false">SUMIFS('Total-corrected counts Z&lt;2'!E:E,'Total-corrected counts Z&lt;2'!$A:$A,'Activation map corrected Z&lt;2'!$B3)</f>
        <v>0</v>
      </c>
      <c r="G3" s="0" t="n">
        <f aca="false">SUMIFS('Total-corrected counts Z&lt;2'!F:F,'Total-corrected counts Z&lt;2'!$A:$A,'Activation map corrected Z&lt;2'!$B3)</f>
        <v>0</v>
      </c>
      <c r="H3" s="0" t="n">
        <f aca="false">SUMIFS('Total-corrected counts Z&lt;2'!G:G,'Total-corrected counts Z&lt;2'!$A:$A,'Activation map corrected Z&lt;2'!$B3)</f>
        <v>0</v>
      </c>
      <c r="I3" s="0" t="n">
        <f aca="false">SUMIFS('Total-corrected counts Z&lt;2'!H:H,'Total-corrected counts Z&lt;2'!$A:$A,'Activation map corrected Z&lt;2'!$B3)</f>
        <v>0</v>
      </c>
      <c r="J3" s="0" t="n">
        <f aca="false">SUMIFS('Total-corrected counts Z&lt;2'!I:I,'Total-corrected counts Z&lt;2'!$A:$A,'Activation map corrected Z&lt;2'!$B3)</f>
        <v>0</v>
      </c>
      <c r="K3" s="0" t="n">
        <f aca="false">SUMIFS('Total-corrected counts Z&lt;2'!J:J,'Total-corrected counts Z&lt;2'!$A:$A,'Activation map corrected Z&lt;2'!$B3)</f>
        <v>0</v>
      </c>
      <c r="L3" s="0" t="n">
        <f aca="false">SUMIFS('Total-corrected counts Z&lt;2'!K:K,'Total-corrected counts Z&lt;2'!$A:$A,'Activation map corrected Z&lt;2'!$B3)</f>
        <v>0</v>
      </c>
      <c r="M3" s="0" t="n">
        <f aca="false">SUMIFS('Total-corrected counts Z&lt;2'!L:L,'Total-corrected counts Z&lt;2'!$A:$A,'Activation map corrected Z&lt;2'!$B3)</f>
        <v>0</v>
      </c>
      <c r="N3" s="0" t="n">
        <f aca="false">SUMIFS('Total-corrected counts Z&lt;2'!M:M,'Total-corrected counts Z&lt;2'!$A:$A,'Activation map corrected Z&lt;2'!$B3)</f>
        <v>0</v>
      </c>
      <c r="O3" s="0" t="n">
        <f aca="false">SUMIFS('Total-corrected counts Z&lt;2'!N:N,'Total-corrected counts Z&lt;2'!$A:$A,'Activation map corrected Z&lt;2'!$B3)</f>
        <v>0</v>
      </c>
      <c r="P3" s="0" t="n">
        <f aca="false">SUMIFS('Total-corrected counts Z&lt;2'!O:O,'Total-corrected counts Z&lt;2'!$A:$A,'Activation map corrected Z&lt;2'!$B3)</f>
        <v>0</v>
      </c>
      <c r="Q3" s="0" t="n">
        <f aca="false">SUMIFS('Total-corrected counts Z&lt;2'!P:P,'Total-corrected counts Z&lt;2'!$A:$A,'Activation map corrected Z&lt;2'!$B3)</f>
        <v>0</v>
      </c>
      <c r="R3" s="0" t="n">
        <f aca="false">SUMIFS('Total-corrected counts Z&lt;2'!Q:Q,'Total-corrected counts Z&lt;2'!$A:$A,'Activation map corrected Z&lt;2'!$B3)</f>
        <v>0</v>
      </c>
      <c r="S3" s="0" t="n">
        <f aca="false">SUMIFS('Total-corrected counts Z&lt;2'!R:R,'Total-corrected counts Z&lt;2'!$A:$A,'Activation map corrected Z&lt;2'!$B3)</f>
        <v>0</v>
      </c>
      <c r="T3" s="0" t="n">
        <f aca="false">SUMIFS('Total-corrected counts Z&lt;2'!S:S,'Total-corrected counts Z&lt;2'!$A:$A,'Activation map corrected Z&lt;2'!$B3)</f>
        <v>0</v>
      </c>
      <c r="U3" s="0" t="n">
        <f aca="false">SUMIFS('Total-corrected counts Z&lt;2'!T:T,'Total-corrected counts Z&lt;2'!$A:$A,'Activation map corrected Z&lt;2'!$B3)</f>
        <v>0</v>
      </c>
      <c r="V3" s="0" t="n">
        <f aca="false">SUMIFS('Total-corrected counts Z&lt;2'!U:U,'Total-corrected counts Z&lt;2'!$A:$A,'Activation map corrected Z&lt;2'!$B3)</f>
        <v>0</v>
      </c>
      <c r="X3" s="3" t="e">
        <f aca="false">_xlfn.T.TEST(F3:N3,O3:V3,2,2)</f>
        <v>#NUM!</v>
      </c>
      <c r="Y3" s="0" t="n">
        <f aca="false">AVERAGE(F3:N3)</f>
        <v>0</v>
      </c>
      <c r="Z3" s="0" t="n">
        <f aca="false">AVERAGE(O3:V3)</f>
        <v>0</v>
      </c>
      <c r="AA3" s="0" t="n">
        <f aca="false">STDEV(F3:N3)/SQRT(COUNT(F3:N3))</f>
        <v>0</v>
      </c>
      <c r="AB3" s="0" t="n">
        <f aca="false">STDEV(O3:V3)/SQRT(COUNT(O3:V3))</f>
        <v>0</v>
      </c>
    </row>
    <row r="4" customFormat="false" ht="14.5" hidden="false" customHeight="false" outlineLevel="0" collapsed="false">
      <c r="A4" s="0" t="s">
        <v>28</v>
      </c>
      <c r="B4" s="0" t="n">
        <v>463</v>
      </c>
      <c r="C4" s="0" t="s">
        <v>29</v>
      </c>
      <c r="D4" s="0" t="n">
        <v>38700</v>
      </c>
      <c r="E4" s="0" t="n">
        <v>375</v>
      </c>
      <c r="F4" s="0" t="n">
        <f aca="false">SUMIFS('Total-corrected counts Z&lt;2'!E:E,'Total-corrected counts Z&lt;2'!$A:$A,'Activation map corrected Z&lt;2'!$B4)</f>
        <v>0</v>
      </c>
      <c r="G4" s="0" t="n">
        <f aca="false">SUMIFS('Total-corrected counts Z&lt;2'!F:F,'Total-corrected counts Z&lt;2'!$A:$A,'Activation map corrected Z&lt;2'!$B4)</f>
        <v>0</v>
      </c>
      <c r="H4" s="0" t="n">
        <f aca="false">SUMIFS('Total-corrected counts Z&lt;2'!G:G,'Total-corrected counts Z&lt;2'!$A:$A,'Activation map corrected Z&lt;2'!$B4)</f>
        <v>0</v>
      </c>
      <c r="I4" s="0" t="n">
        <f aca="false">SUMIFS('Total-corrected counts Z&lt;2'!H:H,'Total-corrected counts Z&lt;2'!$A:$A,'Activation map corrected Z&lt;2'!$B4)</f>
        <v>0</v>
      </c>
      <c r="J4" s="0" t="n">
        <f aca="false">SUMIFS('Total-corrected counts Z&lt;2'!I:I,'Total-corrected counts Z&lt;2'!$A:$A,'Activation map corrected Z&lt;2'!$B4)</f>
        <v>0</v>
      </c>
      <c r="K4" s="0" t="n">
        <f aca="false">SUMIFS('Total-corrected counts Z&lt;2'!J:J,'Total-corrected counts Z&lt;2'!$A:$A,'Activation map corrected Z&lt;2'!$B4)</f>
        <v>0</v>
      </c>
      <c r="L4" s="0" t="n">
        <f aca="false">SUMIFS('Total-corrected counts Z&lt;2'!K:K,'Total-corrected counts Z&lt;2'!$A:$A,'Activation map corrected Z&lt;2'!$B4)</f>
        <v>0</v>
      </c>
      <c r="M4" s="0" t="n">
        <f aca="false">SUMIFS('Total-corrected counts Z&lt;2'!L:L,'Total-corrected counts Z&lt;2'!$A:$A,'Activation map corrected Z&lt;2'!$B4)</f>
        <v>0</v>
      </c>
      <c r="N4" s="0" t="n">
        <f aca="false">SUMIFS('Total-corrected counts Z&lt;2'!M:M,'Total-corrected counts Z&lt;2'!$A:$A,'Activation map corrected Z&lt;2'!$B4)</f>
        <v>0</v>
      </c>
      <c r="O4" s="0" t="n">
        <f aca="false">SUMIFS('Total-corrected counts Z&lt;2'!N:N,'Total-corrected counts Z&lt;2'!$A:$A,'Activation map corrected Z&lt;2'!$B4)</f>
        <v>0</v>
      </c>
      <c r="P4" s="0" t="n">
        <f aca="false">SUMIFS('Total-corrected counts Z&lt;2'!O:O,'Total-corrected counts Z&lt;2'!$A:$A,'Activation map corrected Z&lt;2'!$B4)</f>
        <v>0</v>
      </c>
      <c r="Q4" s="0" t="n">
        <f aca="false">SUMIFS('Total-corrected counts Z&lt;2'!P:P,'Total-corrected counts Z&lt;2'!$A:$A,'Activation map corrected Z&lt;2'!$B4)</f>
        <v>0</v>
      </c>
      <c r="R4" s="0" t="n">
        <f aca="false">SUMIFS('Total-corrected counts Z&lt;2'!Q:Q,'Total-corrected counts Z&lt;2'!$A:$A,'Activation map corrected Z&lt;2'!$B4)</f>
        <v>0</v>
      </c>
      <c r="S4" s="0" t="n">
        <f aca="false">SUMIFS('Total-corrected counts Z&lt;2'!R:R,'Total-corrected counts Z&lt;2'!$A:$A,'Activation map corrected Z&lt;2'!$B4)</f>
        <v>0</v>
      </c>
      <c r="T4" s="0" t="n">
        <f aca="false">SUMIFS('Total-corrected counts Z&lt;2'!S:S,'Total-corrected counts Z&lt;2'!$A:$A,'Activation map corrected Z&lt;2'!$B4)</f>
        <v>0</v>
      </c>
      <c r="U4" s="0" t="n">
        <f aca="false">SUMIFS('Total-corrected counts Z&lt;2'!T:T,'Total-corrected counts Z&lt;2'!$A:$A,'Activation map corrected Z&lt;2'!$B4)</f>
        <v>0</v>
      </c>
      <c r="V4" s="0" t="n">
        <f aca="false">SUMIFS('Total-corrected counts Z&lt;2'!U:U,'Total-corrected counts Z&lt;2'!$A:$A,'Activation map corrected Z&lt;2'!$B4)</f>
        <v>0</v>
      </c>
      <c r="X4" s="3" t="e">
        <f aca="false">_xlfn.T.TEST(F4:N4,O4:V4,2,2)</f>
        <v>#NUM!</v>
      </c>
      <c r="Y4" s="0" t="n">
        <f aca="false">AVERAGE(F4:N4)</f>
        <v>0</v>
      </c>
      <c r="Z4" s="0" t="n">
        <f aca="false">AVERAGE(O4:V4)</f>
        <v>0</v>
      </c>
      <c r="AA4" s="0" t="n">
        <f aca="false">STDEV(F4:N4)/SQRT(COUNT(F4:N4))</f>
        <v>0</v>
      </c>
      <c r="AB4" s="0" t="n">
        <f aca="false">STDEV(O4:V4)/SQRT(COUNT(O4:V4))</f>
        <v>0</v>
      </c>
    </row>
    <row r="5" customFormat="false" ht="14.5" hidden="false" customHeight="false" outlineLevel="0" collapsed="false">
      <c r="A5" s="0" t="s">
        <v>30</v>
      </c>
      <c r="C5" s="0" t="s">
        <v>31</v>
      </c>
      <c r="E5" s="0" t="n">
        <v>726</v>
      </c>
      <c r="F5" s="0" t="n">
        <f aca="false">SUMPRODUCT(SUMIFS('Total-corrected counts Z&lt;2'!E:E,'Total-corrected counts Z&lt;2'!$A:$A,$B18:$B20))</f>
        <v>0</v>
      </c>
      <c r="G5" s="0" t="n">
        <f aca="false">SUMPRODUCT(SUMIFS('Total-corrected counts Z&lt;2'!F:F,'Total-corrected counts Z&lt;2'!$A:$A,$B18:$B20))</f>
        <v>0</v>
      </c>
      <c r="H5" s="0" t="n">
        <f aca="false">SUMPRODUCT(SUMIFS('Total-corrected counts Z&lt;2'!G:G,'Total-corrected counts Z&lt;2'!$A:$A,$B18:$B20))</f>
        <v>0</v>
      </c>
      <c r="I5" s="0" t="n">
        <f aca="false">SUMPRODUCT(SUMIFS('Total-corrected counts Z&lt;2'!H:H,'Total-corrected counts Z&lt;2'!$A:$A,$B18:$B20))</f>
        <v>0</v>
      </c>
      <c r="J5" s="0" t="n">
        <f aca="false">SUMPRODUCT(SUMIFS('Total-corrected counts Z&lt;2'!I:I,'Total-corrected counts Z&lt;2'!$A:$A,$B18:$B20))</f>
        <v>0</v>
      </c>
      <c r="K5" s="0" t="n">
        <f aca="false">SUMPRODUCT(SUMIFS('Total-corrected counts Z&lt;2'!J:J,'Total-corrected counts Z&lt;2'!$A:$A,$B18:$B20))</f>
        <v>0</v>
      </c>
      <c r="L5" s="0" t="n">
        <f aca="false">SUMPRODUCT(SUMIFS('Total-corrected counts Z&lt;2'!K:K,'Total-corrected counts Z&lt;2'!$A:$A,$B18:$B20))</f>
        <v>0</v>
      </c>
      <c r="M5" s="0" t="n">
        <f aca="false">SUMPRODUCT(SUMIFS('Total-corrected counts Z&lt;2'!L:L,'Total-corrected counts Z&lt;2'!$A:$A,$B18:$B20))</f>
        <v>0</v>
      </c>
      <c r="N5" s="0" t="n">
        <f aca="false">SUMPRODUCT(SUMIFS('Total-corrected counts Z&lt;2'!M:M,'Total-corrected counts Z&lt;2'!$A:$A,$B18:$B20))</f>
        <v>0</v>
      </c>
      <c r="O5" s="0" t="n">
        <f aca="false">SUMPRODUCT(SUMIFS('Total-corrected counts Z&lt;2'!N:N,'Total-corrected counts Z&lt;2'!$A:$A,$B18:$B20))</f>
        <v>0</v>
      </c>
      <c r="P5" s="0" t="n">
        <f aca="false">SUMPRODUCT(SUMIFS('Total-corrected counts Z&lt;2'!O:O,'Total-corrected counts Z&lt;2'!$A:$A,$B18:$B20))</f>
        <v>0</v>
      </c>
      <c r="Q5" s="0" t="n">
        <f aca="false">SUMPRODUCT(SUMIFS('Total-corrected counts Z&lt;2'!P:P,'Total-corrected counts Z&lt;2'!$A:$A,$B18:$B20))</f>
        <v>0</v>
      </c>
      <c r="R5" s="0" t="n">
        <f aca="false">SUMPRODUCT(SUMIFS('Total-corrected counts Z&lt;2'!Q:Q,'Total-corrected counts Z&lt;2'!$A:$A,$B18:$B20))</f>
        <v>0</v>
      </c>
      <c r="S5" s="0" t="n">
        <f aca="false">SUMPRODUCT(SUMIFS('Total-corrected counts Z&lt;2'!R:R,'Total-corrected counts Z&lt;2'!$A:$A,$B18:$B20))</f>
        <v>0</v>
      </c>
      <c r="T5" s="0" t="n">
        <f aca="false">SUMPRODUCT(SUMIFS('Total-corrected counts Z&lt;2'!S:S,'Total-corrected counts Z&lt;2'!$A:$A,$B18:$B20))</f>
        <v>0</v>
      </c>
      <c r="U5" s="0" t="n">
        <f aca="false">SUMPRODUCT(SUMIFS('Total-corrected counts Z&lt;2'!T:T,'Total-corrected counts Z&lt;2'!$A:$A,$B18:$B20))</f>
        <v>0</v>
      </c>
      <c r="V5" s="0" t="n">
        <f aca="false">SUMPRODUCT(SUMIFS('Total-corrected counts Z&lt;2'!U:U,'Total-corrected counts Z&lt;2'!$A:$A,$B18:$B20))</f>
        <v>0</v>
      </c>
      <c r="X5" s="3" t="e">
        <f aca="false">_xlfn.T.TEST(F5:N5,O5:V5,2,2)</f>
        <v>#NUM!</v>
      </c>
      <c r="Y5" s="0" t="n">
        <f aca="false">AVERAGE(F5:N5)</f>
        <v>0</v>
      </c>
      <c r="Z5" s="0" t="n">
        <f aca="false">AVERAGE(O5:V5)</f>
        <v>0</v>
      </c>
      <c r="AA5" s="0" t="n">
        <f aca="false">STDEV(F5:N5)/SQRT(COUNT(F5:N5))</f>
        <v>0</v>
      </c>
      <c r="AB5" s="0" t="n">
        <f aca="false">STDEV(O5:V5)/SQRT(COUNT(O5:V5))</f>
        <v>0</v>
      </c>
    </row>
    <row r="6" customFormat="false" ht="14.5" hidden="false" customHeight="false" outlineLevel="0" collapsed="false">
      <c r="A6" s="0" t="s">
        <v>32</v>
      </c>
      <c r="B6" s="0" t="n">
        <v>2382</v>
      </c>
      <c r="C6" s="0" t="s">
        <v>33</v>
      </c>
      <c r="D6" s="0" t="n">
        <v>37700</v>
      </c>
      <c r="E6" s="0" t="n">
        <v>2375</v>
      </c>
      <c r="F6" s="0" t="n">
        <f aca="false">SUMIFS('Total-corrected counts Z&lt;2'!E:E,'Total-corrected counts Z&lt;2'!$A:$A,'Activation map corrected Z&lt;2'!$B6)</f>
        <v>0</v>
      </c>
      <c r="G6" s="0" t="n">
        <f aca="false">SUMIFS('Total-corrected counts Z&lt;2'!F:F,'Total-corrected counts Z&lt;2'!$A:$A,'Activation map corrected Z&lt;2'!$B6)</f>
        <v>0</v>
      </c>
      <c r="H6" s="0" t="n">
        <f aca="false">SUMIFS('Total-corrected counts Z&lt;2'!G:G,'Total-corrected counts Z&lt;2'!$A:$A,'Activation map corrected Z&lt;2'!$B6)</f>
        <v>0</v>
      </c>
      <c r="I6" s="0" t="n">
        <f aca="false">SUMIFS('Total-corrected counts Z&lt;2'!H:H,'Total-corrected counts Z&lt;2'!$A:$A,'Activation map corrected Z&lt;2'!$B6)</f>
        <v>0</v>
      </c>
      <c r="J6" s="0" t="n">
        <f aca="false">SUMIFS('Total-corrected counts Z&lt;2'!I:I,'Total-corrected counts Z&lt;2'!$A:$A,'Activation map corrected Z&lt;2'!$B6)</f>
        <v>0</v>
      </c>
      <c r="K6" s="0" t="n">
        <f aca="false">SUMIFS('Total-corrected counts Z&lt;2'!J:J,'Total-corrected counts Z&lt;2'!$A:$A,'Activation map corrected Z&lt;2'!$B6)</f>
        <v>0</v>
      </c>
      <c r="L6" s="0" t="n">
        <f aca="false">SUMIFS('Total-corrected counts Z&lt;2'!K:K,'Total-corrected counts Z&lt;2'!$A:$A,'Activation map corrected Z&lt;2'!$B6)</f>
        <v>0</v>
      </c>
      <c r="M6" s="0" t="n">
        <f aca="false">SUMIFS('Total-corrected counts Z&lt;2'!L:L,'Total-corrected counts Z&lt;2'!$A:$A,'Activation map corrected Z&lt;2'!$B6)</f>
        <v>0</v>
      </c>
      <c r="N6" s="0" t="n">
        <f aca="false">SUMIFS('Total-corrected counts Z&lt;2'!M:M,'Total-corrected counts Z&lt;2'!$A:$A,'Activation map corrected Z&lt;2'!$B6)</f>
        <v>0</v>
      </c>
      <c r="O6" s="0" t="n">
        <f aca="false">SUMIFS('Total-corrected counts Z&lt;2'!N:N,'Total-corrected counts Z&lt;2'!$A:$A,'Activation map corrected Z&lt;2'!$B6)</f>
        <v>0</v>
      </c>
      <c r="P6" s="0" t="n">
        <f aca="false">SUMIFS('Total-corrected counts Z&lt;2'!O:O,'Total-corrected counts Z&lt;2'!$A:$A,'Activation map corrected Z&lt;2'!$B6)</f>
        <v>0</v>
      </c>
      <c r="Q6" s="0" t="n">
        <f aca="false">SUMIFS('Total-corrected counts Z&lt;2'!P:P,'Total-corrected counts Z&lt;2'!$A:$A,'Activation map corrected Z&lt;2'!$B6)</f>
        <v>0</v>
      </c>
      <c r="R6" s="0" t="n">
        <f aca="false">SUMIFS('Total-corrected counts Z&lt;2'!Q:Q,'Total-corrected counts Z&lt;2'!$A:$A,'Activation map corrected Z&lt;2'!$B6)</f>
        <v>0</v>
      </c>
      <c r="S6" s="0" t="n">
        <f aca="false">SUMIFS('Total-corrected counts Z&lt;2'!R:R,'Total-corrected counts Z&lt;2'!$A:$A,'Activation map corrected Z&lt;2'!$B6)</f>
        <v>0</v>
      </c>
      <c r="T6" s="0" t="n">
        <f aca="false">SUMIFS('Total-corrected counts Z&lt;2'!S:S,'Total-corrected counts Z&lt;2'!$A:$A,'Activation map corrected Z&lt;2'!$B6)</f>
        <v>0</v>
      </c>
      <c r="U6" s="0" t="n">
        <f aca="false">SUMIFS('Total-corrected counts Z&lt;2'!T:T,'Total-corrected counts Z&lt;2'!$A:$A,'Activation map corrected Z&lt;2'!$B6)</f>
        <v>0</v>
      </c>
      <c r="V6" s="0" t="n">
        <f aca="false">SUMIFS('Total-corrected counts Z&lt;2'!U:U,'Total-corrected counts Z&lt;2'!$A:$A,'Activation map corrected Z&lt;2'!$B6)</f>
        <v>0</v>
      </c>
      <c r="X6" s="3" t="e">
        <f aca="false">_xlfn.T.TEST(F6:N6,O6:V6,2,2)</f>
        <v>#NUM!</v>
      </c>
      <c r="Y6" s="0" t="n">
        <f aca="false">AVERAGE(F6:N6)</f>
        <v>0</v>
      </c>
      <c r="Z6" s="0" t="n">
        <f aca="false">AVERAGE(O6:V6)</f>
        <v>0</v>
      </c>
      <c r="AA6" s="0" t="n">
        <f aca="false">STDEV(F6:N6)/SQRT(COUNT(F6:N6))</f>
        <v>0</v>
      </c>
      <c r="AB6" s="0" t="n">
        <f aca="false">STDEV(O6:V6)/SQRT(COUNT(O6:V6))</f>
        <v>0</v>
      </c>
    </row>
    <row r="7" customFormat="false" ht="14.5" hidden="false" customHeight="false" outlineLevel="0" collapsed="false">
      <c r="A7" s="0" t="s">
        <v>34</v>
      </c>
      <c r="B7" s="0" t="n">
        <v>2463</v>
      </c>
      <c r="C7" s="0" t="s">
        <v>35</v>
      </c>
      <c r="D7" s="0" t="n">
        <v>38700</v>
      </c>
      <c r="E7" s="0" t="n">
        <v>2375</v>
      </c>
      <c r="F7" s="0" t="n">
        <f aca="false">SUMIFS('Total-corrected counts Z&lt;2'!E:E,'Total-corrected counts Z&lt;2'!$A:$A,'Activation map corrected Z&lt;2'!$B7)</f>
        <v>0</v>
      </c>
      <c r="G7" s="0" t="n">
        <f aca="false">SUMIFS('Total-corrected counts Z&lt;2'!F:F,'Total-corrected counts Z&lt;2'!$A:$A,'Activation map corrected Z&lt;2'!$B7)</f>
        <v>0</v>
      </c>
      <c r="H7" s="0" t="n">
        <f aca="false">SUMIFS('Total-corrected counts Z&lt;2'!G:G,'Total-corrected counts Z&lt;2'!$A:$A,'Activation map corrected Z&lt;2'!$B7)</f>
        <v>0</v>
      </c>
      <c r="I7" s="0" t="n">
        <f aca="false">SUMIFS('Total-corrected counts Z&lt;2'!H:H,'Total-corrected counts Z&lt;2'!$A:$A,'Activation map corrected Z&lt;2'!$B7)</f>
        <v>0</v>
      </c>
      <c r="J7" s="0" t="n">
        <f aca="false">SUMIFS('Total-corrected counts Z&lt;2'!I:I,'Total-corrected counts Z&lt;2'!$A:$A,'Activation map corrected Z&lt;2'!$B7)</f>
        <v>0</v>
      </c>
      <c r="K7" s="0" t="n">
        <f aca="false">SUMIFS('Total-corrected counts Z&lt;2'!J:J,'Total-corrected counts Z&lt;2'!$A:$A,'Activation map corrected Z&lt;2'!$B7)</f>
        <v>0</v>
      </c>
      <c r="L7" s="0" t="n">
        <f aca="false">SUMIFS('Total-corrected counts Z&lt;2'!K:K,'Total-corrected counts Z&lt;2'!$A:$A,'Activation map corrected Z&lt;2'!$B7)</f>
        <v>0</v>
      </c>
      <c r="M7" s="0" t="n">
        <f aca="false">SUMIFS('Total-corrected counts Z&lt;2'!L:L,'Total-corrected counts Z&lt;2'!$A:$A,'Activation map corrected Z&lt;2'!$B7)</f>
        <v>0</v>
      </c>
      <c r="N7" s="0" t="n">
        <f aca="false">SUMIFS('Total-corrected counts Z&lt;2'!M:M,'Total-corrected counts Z&lt;2'!$A:$A,'Activation map corrected Z&lt;2'!$B7)</f>
        <v>0</v>
      </c>
      <c r="O7" s="0" t="n">
        <f aca="false">SUMIFS('Total-corrected counts Z&lt;2'!N:N,'Total-corrected counts Z&lt;2'!$A:$A,'Activation map corrected Z&lt;2'!$B7)</f>
        <v>0</v>
      </c>
      <c r="P7" s="0" t="n">
        <f aca="false">SUMIFS('Total-corrected counts Z&lt;2'!O:O,'Total-corrected counts Z&lt;2'!$A:$A,'Activation map corrected Z&lt;2'!$B7)</f>
        <v>0</v>
      </c>
      <c r="Q7" s="0" t="n">
        <f aca="false">SUMIFS('Total-corrected counts Z&lt;2'!P:P,'Total-corrected counts Z&lt;2'!$A:$A,'Activation map corrected Z&lt;2'!$B7)</f>
        <v>0</v>
      </c>
      <c r="R7" s="0" t="n">
        <f aca="false">SUMIFS('Total-corrected counts Z&lt;2'!Q:Q,'Total-corrected counts Z&lt;2'!$A:$A,'Activation map corrected Z&lt;2'!$B7)</f>
        <v>0</v>
      </c>
      <c r="S7" s="0" t="n">
        <f aca="false">SUMIFS('Total-corrected counts Z&lt;2'!R:R,'Total-corrected counts Z&lt;2'!$A:$A,'Activation map corrected Z&lt;2'!$B7)</f>
        <v>0</v>
      </c>
      <c r="T7" s="0" t="n">
        <f aca="false">SUMIFS('Total-corrected counts Z&lt;2'!S:S,'Total-corrected counts Z&lt;2'!$A:$A,'Activation map corrected Z&lt;2'!$B7)</f>
        <v>0</v>
      </c>
      <c r="U7" s="0" t="n">
        <f aca="false">SUMIFS('Total-corrected counts Z&lt;2'!T:T,'Total-corrected counts Z&lt;2'!$A:$A,'Activation map corrected Z&lt;2'!$B7)</f>
        <v>0</v>
      </c>
      <c r="V7" s="0" t="n">
        <f aca="false">SUMIFS('Total-corrected counts Z&lt;2'!U:U,'Total-corrected counts Z&lt;2'!$A:$A,'Activation map corrected Z&lt;2'!$B7)</f>
        <v>0</v>
      </c>
      <c r="X7" s="3" t="e">
        <f aca="false">_xlfn.T.TEST(F7:N7,O7:V7,2,2)</f>
        <v>#NUM!</v>
      </c>
      <c r="Y7" s="0" t="n">
        <f aca="false">AVERAGE(F7:N7)</f>
        <v>0</v>
      </c>
      <c r="Z7" s="0" t="n">
        <f aca="false">AVERAGE(O7:V7)</f>
        <v>0</v>
      </c>
      <c r="AA7" s="0" t="n">
        <f aca="false">STDEV(F7:N7)/SQRT(COUNT(F7:N7))</f>
        <v>0</v>
      </c>
      <c r="AB7" s="0" t="n">
        <f aca="false">STDEV(O7:V7)/SQRT(COUNT(O7:V7))</f>
        <v>0</v>
      </c>
    </row>
    <row r="8" customFormat="false" ht="14.5" hidden="false" customHeight="false" outlineLevel="0" collapsed="false">
      <c r="A8" s="0" t="s">
        <v>36</v>
      </c>
      <c r="C8" s="0" t="s">
        <v>37</v>
      </c>
      <c r="E8" s="0" t="n">
        <v>2726</v>
      </c>
      <c r="F8" s="0" t="n">
        <f aca="false">SUMPRODUCT(SUMIFS('Total-corrected counts Z&lt;2'!E:E,'Total-corrected counts Z&lt;2'!$A:$A,$B21:$B23))</f>
        <v>0</v>
      </c>
      <c r="G8" s="0" t="n">
        <f aca="false">SUMPRODUCT(SUMIFS('Total-corrected counts Z&lt;2'!F:F,'Total-corrected counts Z&lt;2'!$A:$A,$B21:$B23))</f>
        <v>0</v>
      </c>
      <c r="H8" s="0" t="n">
        <f aca="false">SUMPRODUCT(SUMIFS('Total-corrected counts Z&lt;2'!G:G,'Total-corrected counts Z&lt;2'!$A:$A,$B21:$B23))</f>
        <v>0</v>
      </c>
      <c r="I8" s="0" t="n">
        <f aca="false">SUMPRODUCT(SUMIFS('Total-corrected counts Z&lt;2'!H:H,'Total-corrected counts Z&lt;2'!$A:$A,$B21:$B23))</f>
        <v>0</v>
      </c>
      <c r="J8" s="0" t="n">
        <f aca="false">SUMPRODUCT(SUMIFS('Total-corrected counts Z&lt;2'!I:I,'Total-corrected counts Z&lt;2'!$A:$A,$B21:$B23))</f>
        <v>0</v>
      </c>
      <c r="K8" s="0" t="n">
        <f aca="false">SUMPRODUCT(SUMIFS('Total-corrected counts Z&lt;2'!J:J,'Total-corrected counts Z&lt;2'!$A:$A,$B21:$B23))</f>
        <v>0</v>
      </c>
      <c r="L8" s="0" t="n">
        <f aca="false">SUMPRODUCT(SUMIFS('Total-corrected counts Z&lt;2'!K:K,'Total-corrected counts Z&lt;2'!$A:$A,$B21:$B23))</f>
        <v>0</v>
      </c>
      <c r="M8" s="0" t="n">
        <f aca="false">SUMPRODUCT(SUMIFS('Total-corrected counts Z&lt;2'!L:L,'Total-corrected counts Z&lt;2'!$A:$A,$B21:$B23))</f>
        <v>0</v>
      </c>
      <c r="N8" s="0" t="n">
        <f aca="false">SUMPRODUCT(SUMIFS('Total-corrected counts Z&lt;2'!M:M,'Total-corrected counts Z&lt;2'!$A:$A,$B21:$B23))</f>
        <v>0</v>
      </c>
      <c r="O8" s="0" t="n">
        <f aca="false">SUMPRODUCT(SUMIFS('Total-corrected counts Z&lt;2'!N:N,'Total-corrected counts Z&lt;2'!$A:$A,$B21:$B23))</f>
        <v>0</v>
      </c>
      <c r="P8" s="0" t="n">
        <f aca="false">SUMPRODUCT(SUMIFS('Total-corrected counts Z&lt;2'!O:O,'Total-corrected counts Z&lt;2'!$A:$A,$B21:$B23))</f>
        <v>0</v>
      </c>
      <c r="Q8" s="0" t="n">
        <f aca="false">SUMPRODUCT(SUMIFS('Total-corrected counts Z&lt;2'!P:P,'Total-corrected counts Z&lt;2'!$A:$A,$B21:$B23))</f>
        <v>0</v>
      </c>
      <c r="R8" s="0" t="n">
        <f aca="false">SUMPRODUCT(SUMIFS('Total-corrected counts Z&lt;2'!Q:Q,'Total-corrected counts Z&lt;2'!$A:$A,$B21:$B23))</f>
        <v>0</v>
      </c>
      <c r="S8" s="0" t="n">
        <f aca="false">SUMPRODUCT(SUMIFS('Total-corrected counts Z&lt;2'!R:R,'Total-corrected counts Z&lt;2'!$A:$A,$B21:$B23))</f>
        <v>0</v>
      </c>
      <c r="T8" s="0" t="n">
        <f aca="false">SUMPRODUCT(SUMIFS('Total-corrected counts Z&lt;2'!S:S,'Total-corrected counts Z&lt;2'!$A:$A,$B21:$B23))</f>
        <v>0</v>
      </c>
      <c r="U8" s="0" t="n">
        <f aca="false">SUMPRODUCT(SUMIFS('Total-corrected counts Z&lt;2'!T:T,'Total-corrected counts Z&lt;2'!$A:$A,$B21:$B23))</f>
        <v>0</v>
      </c>
      <c r="V8" s="0" t="n">
        <f aca="false">SUMPRODUCT(SUMIFS('Total-corrected counts Z&lt;2'!U:U,'Total-corrected counts Z&lt;2'!$A:$A,$B21:$B23))</f>
        <v>0</v>
      </c>
      <c r="X8" s="3" t="e">
        <f aca="false">_xlfn.T.TEST(F8:N8,O8:V8,2,2)</f>
        <v>#NUM!</v>
      </c>
      <c r="Y8" s="0" t="n">
        <f aca="false">AVERAGE(F8:N8)</f>
        <v>0</v>
      </c>
      <c r="Z8" s="0" t="n">
        <f aca="false">AVERAGE(O8:V8)</f>
        <v>0</v>
      </c>
      <c r="AA8" s="0" t="n">
        <f aca="false">STDEV(F8:N8)/SQRT(COUNT(F8:N8))</f>
        <v>0</v>
      </c>
      <c r="AB8" s="0" t="n">
        <f aca="false">STDEV(O8:V8)/SQRT(COUNT(O8:V8))</f>
        <v>0</v>
      </c>
    </row>
    <row r="9" customFormat="false" ht="14.5" hidden="false" customHeight="false" outlineLevel="0" collapsed="false">
      <c r="A9" s="0" t="s">
        <v>38</v>
      </c>
      <c r="C9" s="0" t="s">
        <v>39</v>
      </c>
      <c r="F9" s="0" t="n">
        <f aca="false">SUMPRODUCT(SUMIFS('Total-corrected counts Z&lt;2'!E:E,'Total-corrected counts Z&lt;2'!$A:$A,$B24:$B40))</f>
        <v>0</v>
      </c>
      <c r="G9" s="0" t="n">
        <f aca="false">SUMPRODUCT(SUMIFS('Total-corrected counts Z&lt;2'!F:F,'Total-corrected counts Z&lt;2'!$A:$A,$B24:$B40))</f>
        <v>0</v>
      </c>
      <c r="H9" s="0" t="n">
        <f aca="false">SUMPRODUCT(SUMIFS('Total-corrected counts Z&lt;2'!G:G,'Total-corrected counts Z&lt;2'!$A:$A,$B24:$B40))</f>
        <v>0</v>
      </c>
      <c r="I9" s="0" t="n">
        <f aca="false">SUMPRODUCT(SUMIFS('Total-corrected counts Z&lt;2'!H:H,'Total-corrected counts Z&lt;2'!$A:$A,$B24:$B40))</f>
        <v>0</v>
      </c>
      <c r="J9" s="0" t="n">
        <f aca="false">SUMPRODUCT(SUMIFS('Total-corrected counts Z&lt;2'!I:I,'Total-corrected counts Z&lt;2'!$A:$A,$B24:$B40))</f>
        <v>0</v>
      </c>
      <c r="K9" s="0" t="n">
        <f aca="false">SUMPRODUCT(SUMIFS('Total-corrected counts Z&lt;2'!J:J,'Total-corrected counts Z&lt;2'!$A:$A,$B24:$B40))</f>
        <v>0</v>
      </c>
      <c r="L9" s="0" t="n">
        <f aca="false">SUMPRODUCT(SUMIFS('Total-corrected counts Z&lt;2'!K:K,'Total-corrected counts Z&lt;2'!$A:$A,$B24:$B40))</f>
        <v>0</v>
      </c>
      <c r="M9" s="0" t="n">
        <f aca="false">SUMPRODUCT(SUMIFS('Total-corrected counts Z&lt;2'!L:L,'Total-corrected counts Z&lt;2'!$A:$A,$B24:$B40))</f>
        <v>0</v>
      </c>
      <c r="N9" s="0" t="n">
        <f aca="false">SUMPRODUCT(SUMIFS('Total-corrected counts Z&lt;2'!M:M,'Total-corrected counts Z&lt;2'!$A:$A,$B24:$B40))</f>
        <v>0</v>
      </c>
      <c r="O9" s="0" t="n">
        <f aca="false">SUMPRODUCT(SUMIFS('Total-corrected counts Z&lt;2'!N:N,'Total-corrected counts Z&lt;2'!$A:$A,$B24:$B40))</f>
        <v>0</v>
      </c>
      <c r="P9" s="0" t="n">
        <f aca="false">SUMPRODUCT(SUMIFS('Total-corrected counts Z&lt;2'!O:O,'Total-corrected counts Z&lt;2'!$A:$A,$B24:$B40))</f>
        <v>0</v>
      </c>
      <c r="Q9" s="0" t="n">
        <f aca="false">SUMPRODUCT(SUMIFS('Total-corrected counts Z&lt;2'!P:P,'Total-corrected counts Z&lt;2'!$A:$A,$B24:$B40))</f>
        <v>0</v>
      </c>
      <c r="R9" s="0" t="n">
        <f aca="false">SUMPRODUCT(SUMIFS('Total-corrected counts Z&lt;2'!Q:Q,'Total-corrected counts Z&lt;2'!$A:$A,$B24:$B40))</f>
        <v>0</v>
      </c>
      <c r="S9" s="0" t="n">
        <f aca="false">SUMPRODUCT(SUMIFS('Total-corrected counts Z&lt;2'!R:R,'Total-corrected counts Z&lt;2'!$A:$A,$B24:$B40))</f>
        <v>0</v>
      </c>
      <c r="T9" s="0" t="n">
        <f aca="false">SUMPRODUCT(SUMIFS('Total-corrected counts Z&lt;2'!S:S,'Total-corrected counts Z&lt;2'!$A:$A,$B24:$B40))</f>
        <v>0</v>
      </c>
      <c r="U9" s="0" t="n">
        <f aca="false">SUMPRODUCT(SUMIFS('Total-corrected counts Z&lt;2'!T:T,'Total-corrected counts Z&lt;2'!$A:$A,$B24:$B40))</f>
        <v>0</v>
      </c>
      <c r="V9" s="0" t="n">
        <f aca="false">SUMPRODUCT(SUMIFS('Total-corrected counts Z&lt;2'!U:U,'Total-corrected counts Z&lt;2'!$A:$A,$B24:$B40))</f>
        <v>0</v>
      </c>
      <c r="X9" s="3" t="e">
        <f aca="false">_xlfn.T.TEST(F9:N9,O9:V9,2,2)</f>
        <v>#NUM!</v>
      </c>
      <c r="Y9" s="0" t="n">
        <f aca="false">AVERAGE(F9:N9)</f>
        <v>0</v>
      </c>
      <c r="Z9" s="0" t="n">
        <f aca="false">AVERAGE(O9:V9)</f>
        <v>0</v>
      </c>
      <c r="AA9" s="0" t="n">
        <f aca="false">STDEV(F9:N9)/SQRT(COUNT(F9:N9))</f>
        <v>0</v>
      </c>
      <c r="AB9" s="0" t="n">
        <f aca="false">STDEV(O9:V9)/SQRT(COUNT(O9:V9))</f>
        <v>0</v>
      </c>
    </row>
    <row r="10" customFormat="false" ht="14.5" hidden="false" customHeight="false" outlineLevel="0" collapsed="false">
      <c r="A10" s="0" t="s">
        <v>40</v>
      </c>
      <c r="C10" s="0" t="s">
        <v>41</v>
      </c>
      <c r="F10" s="0" t="n">
        <f aca="false">SUMPRODUCT(SUMIFS('Total-corrected counts Z&lt;2'!E:E,'Total-corrected counts Z&lt;2'!$A:$A,$B41:$B50))</f>
        <v>0</v>
      </c>
      <c r="G10" s="0" t="n">
        <f aca="false">SUMPRODUCT(SUMIFS('Total-corrected counts Z&lt;2'!F:F,'Total-corrected counts Z&lt;2'!$A:$A,$B41:$B50))</f>
        <v>0</v>
      </c>
      <c r="H10" s="0" t="n">
        <f aca="false">SUMPRODUCT(SUMIFS('Total-corrected counts Z&lt;2'!G:G,'Total-corrected counts Z&lt;2'!$A:$A,$B41:$B50))</f>
        <v>0</v>
      </c>
      <c r="I10" s="0" t="n">
        <f aca="false">SUMPRODUCT(SUMIFS('Total-corrected counts Z&lt;2'!H:H,'Total-corrected counts Z&lt;2'!$A:$A,$B41:$B50))</f>
        <v>0</v>
      </c>
      <c r="J10" s="0" t="n">
        <f aca="false">SUMPRODUCT(SUMIFS('Total-corrected counts Z&lt;2'!I:I,'Total-corrected counts Z&lt;2'!$A:$A,$B41:$B50))</f>
        <v>0</v>
      </c>
      <c r="K10" s="0" t="n">
        <f aca="false">SUMPRODUCT(SUMIFS('Total-corrected counts Z&lt;2'!J:J,'Total-corrected counts Z&lt;2'!$A:$A,$B41:$B50))</f>
        <v>0</v>
      </c>
      <c r="L10" s="0" t="n">
        <f aca="false">SUMPRODUCT(SUMIFS('Total-corrected counts Z&lt;2'!K:K,'Total-corrected counts Z&lt;2'!$A:$A,$B41:$B50))</f>
        <v>0</v>
      </c>
      <c r="M10" s="0" t="n">
        <f aca="false">SUMPRODUCT(SUMIFS('Total-corrected counts Z&lt;2'!L:L,'Total-corrected counts Z&lt;2'!$A:$A,$B41:$B50))</f>
        <v>0</v>
      </c>
      <c r="N10" s="0" t="n">
        <f aca="false">SUMPRODUCT(SUMIFS('Total-corrected counts Z&lt;2'!M:M,'Total-corrected counts Z&lt;2'!$A:$A,$B41:$B50))</f>
        <v>0</v>
      </c>
      <c r="O10" s="0" t="n">
        <f aca="false">SUMPRODUCT(SUMIFS('Total-corrected counts Z&lt;2'!N:N,'Total-corrected counts Z&lt;2'!$A:$A,$B41:$B50))</f>
        <v>0</v>
      </c>
      <c r="P10" s="0" t="n">
        <f aca="false">SUMPRODUCT(SUMIFS('Total-corrected counts Z&lt;2'!O:O,'Total-corrected counts Z&lt;2'!$A:$A,$B41:$B50))</f>
        <v>0</v>
      </c>
      <c r="Q10" s="0" t="n">
        <f aca="false">SUMPRODUCT(SUMIFS('Total-corrected counts Z&lt;2'!P:P,'Total-corrected counts Z&lt;2'!$A:$A,$B41:$B50))</f>
        <v>0</v>
      </c>
      <c r="R10" s="0" t="n">
        <f aca="false">SUMPRODUCT(SUMIFS('Total-corrected counts Z&lt;2'!Q:Q,'Total-corrected counts Z&lt;2'!$A:$A,$B41:$B50))</f>
        <v>0</v>
      </c>
      <c r="S10" s="0" t="n">
        <f aca="false">SUMPRODUCT(SUMIFS('Total-corrected counts Z&lt;2'!R:R,'Total-corrected counts Z&lt;2'!$A:$A,$B41:$B50))</f>
        <v>0</v>
      </c>
      <c r="T10" s="0" t="n">
        <f aca="false">SUMPRODUCT(SUMIFS('Total-corrected counts Z&lt;2'!S:S,'Total-corrected counts Z&lt;2'!$A:$A,$B41:$B50))</f>
        <v>0</v>
      </c>
      <c r="U10" s="0" t="n">
        <f aca="false">SUMPRODUCT(SUMIFS('Total-corrected counts Z&lt;2'!T:T,'Total-corrected counts Z&lt;2'!$A:$A,$B41:$B50))</f>
        <v>0</v>
      </c>
      <c r="V10" s="0" t="n">
        <f aca="false">SUMPRODUCT(SUMIFS('Total-corrected counts Z&lt;2'!U:U,'Total-corrected counts Z&lt;2'!$A:$A,$B41:$B50))</f>
        <v>0</v>
      </c>
      <c r="X10" s="3" t="e">
        <f aca="false">_xlfn.T.TEST(F10:N10,O10:V10,2,2)</f>
        <v>#NUM!</v>
      </c>
      <c r="Y10" s="0" t="n">
        <f aca="false">AVERAGE(F10:N10)</f>
        <v>0</v>
      </c>
      <c r="Z10" s="0" t="n">
        <f aca="false">AVERAGE(O10:V10)</f>
        <v>0</v>
      </c>
      <c r="AA10" s="0" t="n">
        <f aca="false">STDEV(F10:N10)/SQRT(COUNT(F10:N10))</f>
        <v>0</v>
      </c>
      <c r="AB10" s="0" t="n">
        <f aca="false">STDEV(O10:V10)/SQRT(COUNT(O10:V10))</f>
        <v>0</v>
      </c>
    </row>
    <row r="11" customFormat="false" ht="14.5" hidden="false" customHeight="false" outlineLevel="0" collapsed="false">
      <c r="A11" s="0" t="s">
        <v>42</v>
      </c>
      <c r="C11" s="0" t="s">
        <v>43</v>
      </c>
      <c r="E11" s="0" t="n">
        <v>972</v>
      </c>
      <c r="F11" s="0" t="n">
        <f aca="false">SUMPRODUCT(SUMIFS('Total-corrected counts Z&lt;2'!E:E,'Total-corrected counts Z&lt;2'!$A:$A,$B51:$B55))</f>
        <v>0</v>
      </c>
      <c r="G11" s="0" t="n">
        <f aca="false">SUMPRODUCT(SUMIFS('Total-corrected counts Z&lt;2'!F:F,'Total-corrected counts Z&lt;2'!$A:$A,$B51:$B55))</f>
        <v>0</v>
      </c>
      <c r="H11" s="0" t="n">
        <f aca="false">SUMPRODUCT(SUMIFS('Total-corrected counts Z&lt;2'!G:G,'Total-corrected counts Z&lt;2'!$A:$A,$B51:$B55))</f>
        <v>0</v>
      </c>
      <c r="I11" s="0" t="n">
        <f aca="false">SUMPRODUCT(SUMIFS('Total-corrected counts Z&lt;2'!H:H,'Total-corrected counts Z&lt;2'!$A:$A,$B51:$B55))</f>
        <v>0</v>
      </c>
      <c r="J11" s="0" t="n">
        <f aca="false">SUMPRODUCT(SUMIFS('Total-corrected counts Z&lt;2'!I:I,'Total-corrected counts Z&lt;2'!$A:$A,$B51:$B55))</f>
        <v>0</v>
      </c>
      <c r="K11" s="0" t="n">
        <f aca="false">SUMPRODUCT(SUMIFS('Total-corrected counts Z&lt;2'!J:J,'Total-corrected counts Z&lt;2'!$A:$A,$B51:$B55))</f>
        <v>0</v>
      </c>
      <c r="L11" s="0" t="n">
        <f aca="false">SUMPRODUCT(SUMIFS('Total-corrected counts Z&lt;2'!K:K,'Total-corrected counts Z&lt;2'!$A:$A,$B51:$B55))</f>
        <v>0</v>
      </c>
      <c r="M11" s="0" t="n">
        <f aca="false">SUMPRODUCT(SUMIFS('Total-corrected counts Z&lt;2'!L:L,'Total-corrected counts Z&lt;2'!$A:$A,$B51:$B55))</f>
        <v>0</v>
      </c>
      <c r="N11" s="0" t="n">
        <f aca="false">SUMPRODUCT(SUMIFS('Total-corrected counts Z&lt;2'!M:M,'Total-corrected counts Z&lt;2'!$A:$A,$B51:$B55))</f>
        <v>0</v>
      </c>
      <c r="O11" s="0" t="n">
        <f aca="false">SUMPRODUCT(SUMIFS('Total-corrected counts Z&lt;2'!N:N,'Total-corrected counts Z&lt;2'!$A:$A,$B51:$B55))</f>
        <v>0</v>
      </c>
      <c r="P11" s="0" t="n">
        <f aca="false">SUMPRODUCT(SUMIFS('Total-corrected counts Z&lt;2'!O:O,'Total-corrected counts Z&lt;2'!$A:$A,$B51:$B55))</f>
        <v>0</v>
      </c>
      <c r="Q11" s="0" t="n">
        <f aca="false">SUMPRODUCT(SUMIFS('Total-corrected counts Z&lt;2'!P:P,'Total-corrected counts Z&lt;2'!$A:$A,$B51:$B55))</f>
        <v>0</v>
      </c>
      <c r="R11" s="0" t="n">
        <f aca="false">SUMPRODUCT(SUMIFS('Total-corrected counts Z&lt;2'!Q:Q,'Total-corrected counts Z&lt;2'!$A:$A,$B51:$B55))</f>
        <v>0</v>
      </c>
      <c r="S11" s="0" t="n">
        <f aca="false">SUMPRODUCT(SUMIFS('Total-corrected counts Z&lt;2'!R:R,'Total-corrected counts Z&lt;2'!$A:$A,$B51:$B55))</f>
        <v>0</v>
      </c>
      <c r="T11" s="0" t="n">
        <f aca="false">SUMPRODUCT(SUMIFS('Total-corrected counts Z&lt;2'!S:S,'Total-corrected counts Z&lt;2'!$A:$A,$B51:$B55))</f>
        <v>0</v>
      </c>
      <c r="U11" s="0" t="n">
        <f aca="false">SUMPRODUCT(SUMIFS('Total-corrected counts Z&lt;2'!T:T,'Total-corrected counts Z&lt;2'!$A:$A,$B51:$B55))</f>
        <v>0</v>
      </c>
      <c r="V11" s="0" t="n">
        <f aca="false">SUMPRODUCT(SUMIFS('Total-corrected counts Z&lt;2'!U:U,'Total-corrected counts Z&lt;2'!$A:$A,$B51:$B55))</f>
        <v>0</v>
      </c>
      <c r="X11" s="3" t="e">
        <f aca="false">_xlfn.T.TEST(F11:N11,O11:V11,2,2)</f>
        <v>#NUM!</v>
      </c>
      <c r="Y11" s="0" t="n">
        <f aca="false">AVERAGE(F11:N11)</f>
        <v>0</v>
      </c>
      <c r="Z11" s="0" t="n">
        <f aca="false">AVERAGE(O11:V11)</f>
        <v>0</v>
      </c>
      <c r="AA11" s="0" t="n">
        <f aca="false">STDEV(F11:N11)/SQRT(COUNT(F11:N11))</f>
        <v>0</v>
      </c>
      <c r="AB11" s="0" t="n">
        <f aca="false">STDEV(O11:V11)/SQRT(COUNT(O11:V11))</f>
        <v>0</v>
      </c>
    </row>
    <row r="12" customFormat="false" ht="14.5" hidden="false" customHeight="false" outlineLevel="0" collapsed="false">
      <c r="A12" s="0" t="s">
        <v>44</v>
      </c>
      <c r="C12" s="0" t="s">
        <v>45</v>
      </c>
      <c r="E12" s="0" t="n">
        <v>44</v>
      </c>
      <c r="F12" s="0" t="n">
        <f aca="false">SUMPRODUCT(SUMIFS('Total-corrected counts Z&lt;2'!E:E,'Total-corrected counts Z&lt;2'!$A:$A,$B56:$B60))</f>
        <v>0</v>
      </c>
      <c r="G12" s="0" t="n">
        <f aca="false">SUMPRODUCT(SUMIFS('Total-corrected counts Z&lt;2'!F:F,'Total-corrected counts Z&lt;2'!$A:$A,$B56:$B60))</f>
        <v>0</v>
      </c>
      <c r="H12" s="0" t="n">
        <f aca="false">SUMPRODUCT(SUMIFS('Total-corrected counts Z&lt;2'!G:G,'Total-corrected counts Z&lt;2'!$A:$A,$B56:$B60))</f>
        <v>0</v>
      </c>
      <c r="I12" s="0" t="n">
        <f aca="false">SUMPRODUCT(SUMIFS('Total-corrected counts Z&lt;2'!H:H,'Total-corrected counts Z&lt;2'!$A:$A,$B56:$B60))</f>
        <v>0</v>
      </c>
      <c r="J12" s="0" t="n">
        <f aca="false">SUMPRODUCT(SUMIFS('Total-corrected counts Z&lt;2'!I:I,'Total-corrected counts Z&lt;2'!$A:$A,$B56:$B60))</f>
        <v>0</v>
      </c>
      <c r="K12" s="0" t="n">
        <f aca="false">SUMPRODUCT(SUMIFS('Total-corrected counts Z&lt;2'!J:J,'Total-corrected counts Z&lt;2'!$A:$A,$B56:$B60))</f>
        <v>0</v>
      </c>
      <c r="L12" s="0" t="n">
        <f aca="false">SUMPRODUCT(SUMIFS('Total-corrected counts Z&lt;2'!K:K,'Total-corrected counts Z&lt;2'!$A:$A,$B56:$B60))</f>
        <v>0</v>
      </c>
      <c r="M12" s="0" t="n">
        <f aca="false">SUMPRODUCT(SUMIFS('Total-corrected counts Z&lt;2'!L:L,'Total-corrected counts Z&lt;2'!$A:$A,$B56:$B60))</f>
        <v>0</v>
      </c>
      <c r="N12" s="0" t="n">
        <f aca="false">SUMPRODUCT(SUMIFS('Total-corrected counts Z&lt;2'!M:M,'Total-corrected counts Z&lt;2'!$A:$A,$B56:$B60))</f>
        <v>0</v>
      </c>
      <c r="O12" s="0" t="n">
        <f aca="false">SUMPRODUCT(SUMIFS('Total-corrected counts Z&lt;2'!N:N,'Total-corrected counts Z&lt;2'!$A:$A,$B56:$B60))</f>
        <v>0</v>
      </c>
      <c r="P12" s="0" t="n">
        <f aca="false">SUMPRODUCT(SUMIFS('Total-corrected counts Z&lt;2'!O:O,'Total-corrected counts Z&lt;2'!$A:$A,$B56:$B60))</f>
        <v>0</v>
      </c>
      <c r="Q12" s="0" t="n">
        <f aca="false">SUMPRODUCT(SUMIFS('Total-corrected counts Z&lt;2'!P:P,'Total-corrected counts Z&lt;2'!$A:$A,$B56:$B60))</f>
        <v>0</v>
      </c>
      <c r="R12" s="0" t="n">
        <f aca="false">SUMPRODUCT(SUMIFS('Total-corrected counts Z&lt;2'!Q:Q,'Total-corrected counts Z&lt;2'!$A:$A,$B56:$B60))</f>
        <v>0</v>
      </c>
      <c r="S12" s="0" t="n">
        <f aca="false">SUMPRODUCT(SUMIFS('Total-corrected counts Z&lt;2'!R:R,'Total-corrected counts Z&lt;2'!$A:$A,$B56:$B60))</f>
        <v>0</v>
      </c>
      <c r="T12" s="0" t="n">
        <f aca="false">SUMPRODUCT(SUMIFS('Total-corrected counts Z&lt;2'!S:S,'Total-corrected counts Z&lt;2'!$A:$A,$B56:$B60))</f>
        <v>0</v>
      </c>
      <c r="U12" s="0" t="n">
        <f aca="false">SUMPRODUCT(SUMIFS('Total-corrected counts Z&lt;2'!T:T,'Total-corrected counts Z&lt;2'!$A:$A,$B56:$B60))</f>
        <v>0</v>
      </c>
      <c r="V12" s="0" t="n">
        <f aca="false">SUMPRODUCT(SUMIFS('Total-corrected counts Z&lt;2'!U:U,'Total-corrected counts Z&lt;2'!$A:$A,$B56:$B60))</f>
        <v>0</v>
      </c>
      <c r="X12" s="3" t="e">
        <f aca="false">_xlfn.T.TEST(F12:N12,O12:V12,2,2)</f>
        <v>#NUM!</v>
      </c>
      <c r="Y12" s="0" t="n">
        <f aca="false">AVERAGE(F12:N12)</f>
        <v>0</v>
      </c>
      <c r="Z12" s="0" t="n">
        <f aca="false">AVERAGE(O12:V12)</f>
        <v>0</v>
      </c>
      <c r="AA12" s="0" t="n">
        <f aca="false">STDEV(F12:N12)/SQRT(COUNT(F12:N12))</f>
        <v>0</v>
      </c>
      <c r="AB12" s="0" t="n">
        <f aca="false">STDEV(O12:V12)/SQRT(COUNT(O12:V12))</f>
        <v>0</v>
      </c>
    </row>
    <row r="13" customFormat="false" ht="14.5" hidden="false" customHeight="false" outlineLevel="0" collapsed="false">
      <c r="A13" s="0" t="s">
        <v>46</v>
      </c>
      <c r="B13" s="0" t="n">
        <v>536</v>
      </c>
      <c r="C13" s="0" t="s">
        <v>47</v>
      </c>
      <c r="D13" s="0" t="n">
        <v>50300</v>
      </c>
      <c r="E13" s="0" t="n">
        <v>278</v>
      </c>
      <c r="F13" s="0" t="n">
        <f aca="false">SUMIFS('Total-corrected counts Z&lt;2'!E:E,'Total-corrected counts Z&lt;2'!$A:$A,'Activation map corrected Z&lt;2'!$B13)</f>
        <v>0</v>
      </c>
      <c r="G13" s="0" t="n">
        <f aca="false">SUMIFS('Total-corrected counts Z&lt;2'!F:F,'Total-corrected counts Z&lt;2'!$A:$A,'Activation map corrected Z&lt;2'!$B13)</f>
        <v>0</v>
      </c>
      <c r="H13" s="0" t="n">
        <f aca="false">SUMIFS('Total-corrected counts Z&lt;2'!G:G,'Total-corrected counts Z&lt;2'!$A:$A,'Activation map corrected Z&lt;2'!$B13)</f>
        <v>0</v>
      </c>
      <c r="I13" s="0" t="n">
        <f aca="false">SUMIFS('Total-corrected counts Z&lt;2'!H:H,'Total-corrected counts Z&lt;2'!$A:$A,'Activation map corrected Z&lt;2'!$B13)</f>
        <v>0</v>
      </c>
      <c r="J13" s="0" t="n">
        <f aca="false">SUMIFS('Total-corrected counts Z&lt;2'!I:I,'Total-corrected counts Z&lt;2'!$A:$A,'Activation map corrected Z&lt;2'!$B13)</f>
        <v>0</v>
      </c>
      <c r="K13" s="0" t="n">
        <f aca="false">SUMIFS('Total-corrected counts Z&lt;2'!J:J,'Total-corrected counts Z&lt;2'!$A:$A,'Activation map corrected Z&lt;2'!$B13)</f>
        <v>0</v>
      </c>
      <c r="L13" s="0" t="n">
        <f aca="false">SUMIFS('Total-corrected counts Z&lt;2'!K:K,'Total-corrected counts Z&lt;2'!$A:$A,'Activation map corrected Z&lt;2'!$B13)</f>
        <v>0</v>
      </c>
      <c r="M13" s="0" t="n">
        <f aca="false">SUMIFS('Total-corrected counts Z&lt;2'!L:L,'Total-corrected counts Z&lt;2'!$A:$A,'Activation map corrected Z&lt;2'!$B13)</f>
        <v>0</v>
      </c>
      <c r="N13" s="0" t="n">
        <f aca="false">SUMIFS('Total-corrected counts Z&lt;2'!M:M,'Total-corrected counts Z&lt;2'!$A:$A,'Activation map corrected Z&lt;2'!$B13)</f>
        <v>0</v>
      </c>
      <c r="O13" s="0" t="n">
        <f aca="false">SUMIFS('Total-corrected counts Z&lt;2'!N:N,'Total-corrected counts Z&lt;2'!$A:$A,'Activation map corrected Z&lt;2'!$B13)</f>
        <v>0</v>
      </c>
      <c r="P13" s="0" t="n">
        <f aca="false">SUMIFS('Total-corrected counts Z&lt;2'!O:O,'Total-corrected counts Z&lt;2'!$A:$A,'Activation map corrected Z&lt;2'!$B13)</f>
        <v>0</v>
      </c>
      <c r="Q13" s="0" t="n">
        <f aca="false">SUMIFS('Total-corrected counts Z&lt;2'!P:P,'Total-corrected counts Z&lt;2'!$A:$A,'Activation map corrected Z&lt;2'!$B13)</f>
        <v>0</v>
      </c>
      <c r="R13" s="0" t="n">
        <f aca="false">SUMIFS('Total-corrected counts Z&lt;2'!Q:Q,'Total-corrected counts Z&lt;2'!$A:$A,'Activation map corrected Z&lt;2'!$B13)</f>
        <v>0</v>
      </c>
      <c r="S13" s="0" t="n">
        <f aca="false">SUMIFS('Total-corrected counts Z&lt;2'!R:R,'Total-corrected counts Z&lt;2'!$A:$A,'Activation map corrected Z&lt;2'!$B13)</f>
        <v>0</v>
      </c>
      <c r="T13" s="0" t="n">
        <f aca="false">SUMIFS('Total-corrected counts Z&lt;2'!S:S,'Total-corrected counts Z&lt;2'!$A:$A,'Activation map corrected Z&lt;2'!$B13)</f>
        <v>0</v>
      </c>
      <c r="U13" s="0" t="n">
        <f aca="false">SUMIFS('Total-corrected counts Z&lt;2'!T:T,'Total-corrected counts Z&lt;2'!$A:$A,'Activation map corrected Z&lt;2'!$B13)</f>
        <v>0</v>
      </c>
      <c r="V13" s="0" t="n">
        <f aca="false">SUMIFS('Total-corrected counts Z&lt;2'!U:U,'Total-corrected counts Z&lt;2'!$A:$A,'Activation map corrected Z&lt;2'!$B13)</f>
        <v>0</v>
      </c>
      <c r="X13" s="3" t="e">
        <f aca="false">_xlfn.T.TEST(F13:N13,O13:V13,2,2)</f>
        <v>#NUM!</v>
      </c>
      <c r="Y13" s="0" t="n">
        <f aca="false">AVERAGE(F13:N13)</f>
        <v>0</v>
      </c>
      <c r="Z13" s="0" t="n">
        <f aca="false">AVERAGE(O13:V13)</f>
        <v>0</v>
      </c>
      <c r="AA13" s="0" t="n">
        <f aca="false">STDEV(F13:N13)/SQRT(COUNT(F13:N13))</f>
        <v>0</v>
      </c>
      <c r="AB13" s="0" t="n">
        <f aca="false">STDEV(O13:V13)/SQRT(COUNT(O13:V13))</f>
        <v>0</v>
      </c>
    </row>
    <row r="14" customFormat="false" ht="14.5" hidden="false" customHeight="false" outlineLevel="0" collapsed="false">
      <c r="A14" s="0" t="s">
        <v>48</v>
      </c>
      <c r="C14" s="0" t="s">
        <v>49</v>
      </c>
      <c r="E14" s="0" t="n">
        <v>295</v>
      </c>
      <c r="F14" s="0" t="n">
        <f aca="false">SUMPRODUCT(SUMIFS('Total-corrected counts Z&lt;2'!E:E,'Total-corrected counts Z&lt;2'!$A:$A,$B61:$B63))</f>
        <v>0</v>
      </c>
      <c r="G14" s="0" t="n">
        <f aca="false">SUMPRODUCT(SUMIFS('Total-corrected counts Z&lt;2'!F:F,'Total-corrected counts Z&lt;2'!$A:$A,$B61:$B63))</f>
        <v>0</v>
      </c>
      <c r="H14" s="0" t="n">
        <f aca="false">SUMPRODUCT(SUMIFS('Total-corrected counts Z&lt;2'!G:G,'Total-corrected counts Z&lt;2'!$A:$A,$B61:$B63))</f>
        <v>0</v>
      </c>
      <c r="I14" s="0" t="n">
        <f aca="false">SUMPRODUCT(SUMIFS('Total-corrected counts Z&lt;2'!H:H,'Total-corrected counts Z&lt;2'!$A:$A,$B61:$B63))</f>
        <v>0</v>
      </c>
      <c r="J14" s="0" t="n">
        <f aca="false">SUMPRODUCT(SUMIFS('Total-corrected counts Z&lt;2'!I:I,'Total-corrected counts Z&lt;2'!$A:$A,$B61:$B63))</f>
        <v>0</v>
      </c>
      <c r="K14" s="0" t="n">
        <f aca="false">SUMPRODUCT(SUMIFS('Total-corrected counts Z&lt;2'!J:J,'Total-corrected counts Z&lt;2'!$A:$A,$B61:$B63))</f>
        <v>0</v>
      </c>
      <c r="L14" s="0" t="n">
        <f aca="false">SUMPRODUCT(SUMIFS('Total-corrected counts Z&lt;2'!K:K,'Total-corrected counts Z&lt;2'!$A:$A,$B61:$B63))</f>
        <v>0</v>
      </c>
      <c r="M14" s="0" t="n">
        <f aca="false">SUMPRODUCT(SUMIFS('Total-corrected counts Z&lt;2'!L:L,'Total-corrected counts Z&lt;2'!$A:$A,$B61:$B63))</f>
        <v>0</v>
      </c>
      <c r="N14" s="0" t="n">
        <f aca="false">SUMPRODUCT(SUMIFS('Total-corrected counts Z&lt;2'!M:M,'Total-corrected counts Z&lt;2'!$A:$A,$B61:$B63))</f>
        <v>0</v>
      </c>
      <c r="O14" s="0" t="n">
        <f aca="false">SUMPRODUCT(SUMIFS('Total-corrected counts Z&lt;2'!N:N,'Total-corrected counts Z&lt;2'!$A:$A,$B61:$B63))</f>
        <v>0</v>
      </c>
      <c r="P14" s="0" t="n">
        <f aca="false">SUMPRODUCT(SUMIFS('Total-corrected counts Z&lt;2'!O:O,'Total-corrected counts Z&lt;2'!$A:$A,$B61:$B63))</f>
        <v>0</v>
      </c>
      <c r="Q14" s="0" t="n">
        <f aca="false">SUMPRODUCT(SUMIFS('Total-corrected counts Z&lt;2'!P:P,'Total-corrected counts Z&lt;2'!$A:$A,$B61:$B63))</f>
        <v>0</v>
      </c>
      <c r="R14" s="0" t="n">
        <f aca="false">SUMPRODUCT(SUMIFS('Total-corrected counts Z&lt;2'!Q:Q,'Total-corrected counts Z&lt;2'!$A:$A,$B61:$B63))</f>
        <v>0</v>
      </c>
      <c r="S14" s="0" t="n">
        <f aca="false">SUMPRODUCT(SUMIFS('Total-corrected counts Z&lt;2'!R:R,'Total-corrected counts Z&lt;2'!$A:$A,$B61:$B63))</f>
        <v>0</v>
      </c>
      <c r="T14" s="0" t="n">
        <f aca="false">SUMPRODUCT(SUMIFS('Total-corrected counts Z&lt;2'!S:S,'Total-corrected counts Z&lt;2'!$A:$A,$B61:$B63))</f>
        <v>0</v>
      </c>
      <c r="U14" s="0" t="n">
        <f aca="false">SUMPRODUCT(SUMIFS('Total-corrected counts Z&lt;2'!T:T,'Total-corrected counts Z&lt;2'!$A:$A,$B61:$B63))</f>
        <v>0</v>
      </c>
      <c r="V14" s="0" t="n">
        <f aca="false">SUMPRODUCT(SUMIFS('Total-corrected counts Z&lt;2'!U:U,'Total-corrected counts Z&lt;2'!$A:$A,$B61:$B63))</f>
        <v>0</v>
      </c>
      <c r="X14" s="3" t="e">
        <f aca="false">_xlfn.T.TEST(F14:N14,O14:V14,2,2)</f>
        <v>#NUM!</v>
      </c>
      <c r="Y14" s="0" t="n">
        <f aca="false">AVERAGE(F14:N14)</f>
        <v>0</v>
      </c>
      <c r="Z14" s="0" t="n">
        <f aca="false">AVERAGE(O14:V14)</f>
        <v>0</v>
      </c>
      <c r="AA14" s="0" t="n">
        <f aca="false">STDEV(F14:N14)/SQRT(COUNT(F14:N14))</f>
        <v>0</v>
      </c>
      <c r="AB14" s="0" t="n">
        <f aca="false">STDEV(O14:V14)/SQRT(COUNT(O14:V14))</f>
        <v>0</v>
      </c>
    </row>
    <row r="15" customFormat="false" ht="14.5" hidden="false" customHeight="false" outlineLevel="0" collapsed="false">
      <c r="A15" s="0" t="s">
        <v>1295</v>
      </c>
      <c r="B15" s="0" t="n">
        <v>571</v>
      </c>
      <c r="C15" s="0" t="s">
        <v>1296</v>
      </c>
      <c r="D15" s="0" t="n">
        <v>67900</v>
      </c>
      <c r="E15" s="0" t="n">
        <v>856</v>
      </c>
      <c r="F15" s="0" t="n">
        <f aca="false">SUMIFS('Total-corrected counts Z&lt;2'!E:E,'Total-corrected counts Z&lt;2'!$A:$A,'Activation map corrected Z&lt;2'!$B15)</f>
        <v>0</v>
      </c>
      <c r="G15" s="0" t="n">
        <f aca="false">SUMIFS('Total-corrected counts Z&lt;2'!F:F,'Total-corrected counts Z&lt;2'!$A:$A,'Activation map corrected Z&lt;2'!$B15)</f>
        <v>0</v>
      </c>
      <c r="H15" s="0" t="n">
        <f aca="false">SUMIFS('Total-corrected counts Z&lt;2'!G:G,'Total-corrected counts Z&lt;2'!$A:$A,'Activation map corrected Z&lt;2'!$B15)</f>
        <v>0</v>
      </c>
      <c r="I15" s="0" t="n">
        <f aca="false">SUMIFS('Total-corrected counts Z&lt;2'!H:H,'Total-corrected counts Z&lt;2'!$A:$A,'Activation map corrected Z&lt;2'!$B15)</f>
        <v>0</v>
      </c>
      <c r="J15" s="0" t="n">
        <f aca="false">SUMIFS('Total-corrected counts Z&lt;2'!I:I,'Total-corrected counts Z&lt;2'!$A:$A,'Activation map corrected Z&lt;2'!$B15)</f>
        <v>0</v>
      </c>
      <c r="K15" s="0" t="n">
        <f aca="false">SUMIFS('Total-corrected counts Z&lt;2'!J:J,'Total-corrected counts Z&lt;2'!$A:$A,'Activation map corrected Z&lt;2'!$B15)</f>
        <v>0</v>
      </c>
      <c r="L15" s="0" t="n">
        <f aca="false">SUMIFS('Total-corrected counts Z&lt;2'!K:K,'Total-corrected counts Z&lt;2'!$A:$A,'Activation map corrected Z&lt;2'!$B15)</f>
        <v>0</v>
      </c>
      <c r="M15" s="0" t="n">
        <f aca="false">SUMIFS('Total-corrected counts Z&lt;2'!L:L,'Total-corrected counts Z&lt;2'!$A:$A,'Activation map corrected Z&lt;2'!$B15)</f>
        <v>0</v>
      </c>
      <c r="N15" s="0" t="n">
        <f aca="false">SUMIFS('Total-corrected counts Z&lt;2'!M:M,'Total-corrected counts Z&lt;2'!$A:$A,'Activation map corrected Z&lt;2'!$B15)</f>
        <v>0</v>
      </c>
      <c r="O15" s="0" t="n">
        <f aca="false">SUMIFS('Total-corrected counts Z&lt;2'!N:N,'Total-corrected counts Z&lt;2'!$A:$A,'Activation map corrected Z&lt;2'!$B15)</f>
        <v>0</v>
      </c>
      <c r="P15" s="0" t="n">
        <f aca="false">SUMIFS('Total-corrected counts Z&lt;2'!O:O,'Total-corrected counts Z&lt;2'!$A:$A,'Activation map corrected Z&lt;2'!$B15)</f>
        <v>0</v>
      </c>
      <c r="Q15" s="0" t="n">
        <f aca="false">SUMIFS('Total-corrected counts Z&lt;2'!P:P,'Total-corrected counts Z&lt;2'!$A:$A,'Activation map corrected Z&lt;2'!$B15)</f>
        <v>0</v>
      </c>
      <c r="R15" s="0" t="n">
        <f aca="false">SUMIFS('Total-corrected counts Z&lt;2'!Q:Q,'Total-corrected counts Z&lt;2'!$A:$A,'Activation map corrected Z&lt;2'!$B15)</f>
        <v>0</v>
      </c>
      <c r="S15" s="0" t="n">
        <f aca="false">SUMIFS('Total-corrected counts Z&lt;2'!R:R,'Total-corrected counts Z&lt;2'!$A:$A,'Activation map corrected Z&lt;2'!$B15)</f>
        <v>0</v>
      </c>
      <c r="T15" s="0" t="n">
        <f aca="false">SUMIFS('Total-corrected counts Z&lt;2'!S:S,'Total-corrected counts Z&lt;2'!$A:$A,'Activation map corrected Z&lt;2'!$B15)</f>
        <v>0</v>
      </c>
      <c r="U15" s="0" t="n">
        <f aca="false">SUMIFS('Total-corrected counts Z&lt;2'!T:T,'Total-corrected counts Z&lt;2'!$A:$A,'Activation map corrected Z&lt;2'!$B15)</f>
        <v>0</v>
      </c>
      <c r="V15" s="0" t="n">
        <f aca="false">SUMIFS('Total-corrected counts Z&lt;2'!U:U,'Total-corrected counts Z&lt;2'!$A:$A,'Activation map corrected Z&lt;2'!$B15)</f>
        <v>0</v>
      </c>
      <c r="X15" s="3" t="e">
        <f aca="false">_xlfn.T.TEST(F15:N15,O15:V15,2,2)</f>
        <v>#NUM!</v>
      </c>
      <c r="Y15" s="0" t="n">
        <f aca="false">AVERAGE(F15:N15)</f>
        <v>0</v>
      </c>
      <c r="Z15" s="0" t="n">
        <f aca="false">AVERAGE(O15:V15)</f>
        <v>0</v>
      </c>
      <c r="AA15" s="0" t="n">
        <f aca="false">STDEV(F15:N15)/SQRT(COUNT(F15:N15))</f>
        <v>0</v>
      </c>
      <c r="AB15" s="0" t="n">
        <f aca="false">STDEV(O15:V15)/SQRT(COUNT(O15:V15))</f>
        <v>0</v>
      </c>
    </row>
    <row r="16" customFormat="false" ht="14.5" hidden="false" customHeight="false" outlineLevel="0" collapsed="false">
      <c r="A16" s="0" t="s">
        <v>1297</v>
      </c>
      <c r="B16" s="0" t="n">
        <v>181</v>
      </c>
      <c r="C16" s="0" t="s">
        <v>265</v>
      </c>
      <c r="D16" s="0" t="n">
        <v>174</v>
      </c>
      <c r="E16" s="0" t="n">
        <v>181</v>
      </c>
      <c r="F16" s="0" t="n">
        <f aca="false">SUMIFS('Total-corrected counts Z&lt;2'!E:E,'Total-corrected counts Z&lt;2'!$A:$A,'Activation map corrected Z&lt;2'!$B16)</f>
        <v>0</v>
      </c>
      <c r="G16" s="0" t="n">
        <f aca="false">SUMIFS('Total-corrected counts Z&lt;2'!F:F,'Total-corrected counts Z&lt;2'!$A:$A,'Activation map corrected Z&lt;2'!$B16)</f>
        <v>0</v>
      </c>
      <c r="H16" s="0" t="n">
        <f aca="false">SUMIFS('Total-corrected counts Z&lt;2'!G:G,'Total-corrected counts Z&lt;2'!$A:$A,'Activation map corrected Z&lt;2'!$B16)</f>
        <v>0</v>
      </c>
      <c r="I16" s="0" t="n">
        <f aca="false">SUMIFS('Total-corrected counts Z&lt;2'!H:H,'Total-corrected counts Z&lt;2'!$A:$A,'Activation map corrected Z&lt;2'!$B16)</f>
        <v>0</v>
      </c>
      <c r="J16" s="0" t="n">
        <f aca="false">SUMIFS('Total-corrected counts Z&lt;2'!I:I,'Total-corrected counts Z&lt;2'!$A:$A,'Activation map corrected Z&lt;2'!$B16)</f>
        <v>0</v>
      </c>
      <c r="K16" s="0" t="n">
        <f aca="false">SUMIFS('Total-corrected counts Z&lt;2'!J:J,'Total-corrected counts Z&lt;2'!$A:$A,'Activation map corrected Z&lt;2'!$B16)</f>
        <v>0</v>
      </c>
      <c r="L16" s="0" t="n">
        <f aca="false">SUMIFS('Total-corrected counts Z&lt;2'!K:K,'Total-corrected counts Z&lt;2'!$A:$A,'Activation map corrected Z&lt;2'!$B16)</f>
        <v>0</v>
      </c>
      <c r="M16" s="0" t="n">
        <f aca="false">SUMIFS('Total-corrected counts Z&lt;2'!L:L,'Total-corrected counts Z&lt;2'!$A:$A,'Activation map corrected Z&lt;2'!$B16)</f>
        <v>0</v>
      </c>
      <c r="N16" s="0" t="n">
        <f aca="false">SUMIFS('Total-corrected counts Z&lt;2'!M:M,'Total-corrected counts Z&lt;2'!$A:$A,'Activation map corrected Z&lt;2'!$B16)</f>
        <v>0</v>
      </c>
      <c r="O16" s="0" t="n">
        <f aca="false">SUMIFS('Total-corrected counts Z&lt;2'!N:N,'Total-corrected counts Z&lt;2'!$A:$A,'Activation map corrected Z&lt;2'!$B16)</f>
        <v>0</v>
      </c>
      <c r="P16" s="0" t="n">
        <f aca="false">SUMIFS('Total-corrected counts Z&lt;2'!O:O,'Total-corrected counts Z&lt;2'!$A:$A,'Activation map corrected Z&lt;2'!$B16)</f>
        <v>0</v>
      </c>
      <c r="Q16" s="0" t="n">
        <f aca="false">SUMIFS('Total-corrected counts Z&lt;2'!P:P,'Total-corrected counts Z&lt;2'!$A:$A,'Activation map corrected Z&lt;2'!$B16)</f>
        <v>0</v>
      </c>
      <c r="R16" s="0" t="n">
        <f aca="false">SUMIFS('Total-corrected counts Z&lt;2'!Q:Q,'Total-corrected counts Z&lt;2'!$A:$A,'Activation map corrected Z&lt;2'!$B16)</f>
        <v>0</v>
      </c>
      <c r="S16" s="0" t="n">
        <f aca="false">SUMIFS('Total-corrected counts Z&lt;2'!R:R,'Total-corrected counts Z&lt;2'!$A:$A,'Activation map corrected Z&lt;2'!$B16)</f>
        <v>0</v>
      </c>
      <c r="T16" s="0" t="n">
        <f aca="false">SUMIFS('Total-corrected counts Z&lt;2'!S:S,'Total-corrected counts Z&lt;2'!$A:$A,'Activation map corrected Z&lt;2'!$B16)</f>
        <v>0</v>
      </c>
      <c r="U16" s="0" t="n">
        <f aca="false">SUMIFS('Total-corrected counts Z&lt;2'!T:T,'Total-corrected counts Z&lt;2'!$A:$A,'Activation map corrected Z&lt;2'!$B16)</f>
        <v>0</v>
      </c>
      <c r="V16" s="0" t="n">
        <f aca="false">SUMIFS('Total-corrected counts Z&lt;2'!U:U,'Total-corrected counts Z&lt;2'!$A:$A,'Activation map corrected Z&lt;2'!$B16)</f>
        <v>0</v>
      </c>
      <c r="X16" s="3" t="e">
        <f aca="false">_xlfn.T.TEST(F16:N16,O16:V16,2,2)</f>
        <v>#NUM!</v>
      </c>
      <c r="Y16" s="0" t="n">
        <f aca="false">AVERAGE(F16:N16)</f>
        <v>0</v>
      </c>
      <c r="Z16" s="0" t="n">
        <f aca="false">AVERAGE(O16:V16)</f>
        <v>0</v>
      </c>
      <c r="AA16" s="0" t="n">
        <f aca="false">STDEV(F16:N16)/SQRT(COUNT(F16:N16))</f>
        <v>0</v>
      </c>
      <c r="AB16" s="0" t="n">
        <f aca="false">STDEV(O16:V16)/SQRT(COUNT(O16:V16))</f>
        <v>0</v>
      </c>
    </row>
    <row r="18" customFormat="false" ht="14.5" hidden="false" customHeight="false" outlineLevel="0" collapsed="false">
      <c r="B18" s="0" t="n">
        <v>632</v>
      </c>
      <c r="C18" s="0" t="s">
        <v>50</v>
      </c>
      <c r="D18" s="0" t="n">
        <v>39600</v>
      </c>
      <c r="E18" s="0" t="n">
        <v>726</v>
      </c>
    </row>
    <row r="19" customFormat="false" ht="14.5" hidden="false" customHeight="false" outlineLevel="0" collapsed="false">
      <c r="B19" s="0" t="n">
        <v>10703</v>
      </c>
      <c r="C19" s="0" t="s">
        <v>51</v>
      </c>
      <c r="D19" s="0" t="n">
        <v>39400</v>
      </c>
      <c r="E19" s="0" t="n">
        <v>726</v>
      </c>
    </row>
    <row r="20" customFormat="false" ht="14.5" hidden="false" customHeight="false" outlineLevel="0" collapsed="false">
      <c r="B20" s="0" t="n">
        <v>10704</v>
      </c>
      <c r="C20" s="0" t="s">
        <v>52</v>
      </c>
      <c r="D20" s="0" t="n">
        <v>39500</v>
      </c>
      <c r="E20" s="0" t="n">
        <v>726</v>
      </c>
    </row>
    <row r="21" customFormat="false" ht="14.5" hidden="false" customHeight="false" outlineLevel="0" collapsed="false">
      <c r="B21" s="0" t="n">
        <v>2632</v>
      </c>
      <c r="C21" s="0" t="s">
        <v>53</v>
      </c>
      <c r="D21" s="0" t="n">
        <v>39600</v>
      </c>
      <c r="E21" s="0" t="n">
        <v>2726</v>
      </c>
    </row>
    <row r="22" customFormat="false" ht="14.5" hidden="false" customHeight="false" outlineLevel="0" collapsed="false">
      <c r="B22" s="0" t="n">
        <v>12703</v>
      </c>
      <c r="C22" s="0" t="s">
        <v>51</v>
      </c>
      <c r="D22" s="0" t="n">
        <v>39400</v>
      </c>
      <c r="E22" s="0" t="n">
        <v>2726</v>
      </c>
    </row>
    <row r="23" customFormat="false" ht="14.5" hidden="false" customHeight="false" outlineLevel="0" collapsed="false">
      <c r="B23" s="0" t="n">
        <v>12704</v>
      </c>
      <c r="C23" s="0" t="s">
        <v>54</v>
      </c>
      <c r="D23" s="0" t="n">
        <v>39700</v>
      </c>
      <c r="E23" s="0" t="n">
        <v>2726</v>
      </c>
    </row>
    <row r="24" customFormat="false" ht="14.5" hidden="false" customHeight="false" outlineLevel="0" collapsed="false">
      <c r="B24" s="0" t="n">
        <v>894</v>
      </c>
      <c r="C24" s="0" t="s">
        <v>55</v>
      </c>
      <c r="D24" s="0" t="n">
        <v>25300</v>
      </c>
      <c r="E24" s="0" t="n">
        <v>254</v>
      </c>
    </row>
    <row r="25" customFormat="false" ht="14.5" hidden="false" customHeight="false" outlineLevel="0" collapsed="false">
      <c r="B25" s="0" t="n">
        <v>274</v>
      </c>
      <c r="C25" s="0" t="s">
        <v>56</v>
      </c>
      <c r="D25" s="0" t="n">
        <v>26400</v>
      </c>
      <c r="E25" s="0" t="n">
        <v>879</v>
      </c>
    </row>
    <row r="26" customFormat="false" ht="14.5" hidden="false" customHeight="false" outlineLevel="0" collapsed="false">
      <c r="B26" s="0" t="n">
        <v>330</v>
      </c>
      <c r="C26" s="0" t="s">
        <v>57</v>
      </c>
      <c r="D26" s="0" t="n">
        <v>26500</v>
      </c>
      <c r="E26" s="0" t="n">
        <v>879</v>
      </c>
    </row>
    <row r="27" customFormat="false" ht="14.5" hidden="false" customHeight="false" outlineLevel="0" collapsed="false">
      <c r="B27" s="0" t="n">
        <v>434</v>
      </c>
      <c r="C27" s="0" t="s">
        <v>58</v>
      </c>
      <c r="D27" s="0" t="n">
        <v>26100</v>
      </c>
      <c r="E27" s="0" t="n">
        <v>879</v>
      </c>
    </row>
    <row r="28" customFormat="false" ht="14.5" hidden="false" customHeight="false" outlineLevel="0" collapsed="false">
      <c r="B28" s="0" t="n">
        <v>442</v>
      </c>
      <c r="C28" s="0" t="s">
        <v>59</v>
      </c>
      <c r="D28" s="0" t="n">
        <v>26000</v>
      </c>
      <c r="E28" s="0" t="n">
        <v>879</v>
      </c>
    </row>
    <row r="29" customFormat="false" ht="14.5" hidden="false" customHeight="false" outlineLevel="0" collapsed="false">
      <c r="B29" s="0" t="n">
        <v>545</v>
      </c>
      <c r="C29" s="0" t="s">
        <v>60</v>
      </c>
      <c r="D29" s="0" t="n">
        <v>26200</v>
      </c>
      <c r="E29" s="0" t="n">
        <v>879</v>
      </c>
    </row>
    <row r="30" customFormat="false" ht="14.5" hidden="false" customHeight="false" outlineLevel="0" collapsed="false">
      <c r="B30" s="0" t="n">
        <v>610</v>
      </c>
      <c r="C30" s="0" t="s">
        <v>61</v>
      </c>
      <c r="D30" s="0" t="n">
        <v>26300</v>
      </c>
      <c r="E30" s="0" t="n">
        <v>879</v>
      </c>
    </row>
    <row r="31" customFormat="false" ht="14.5" hidden="false" customHeight="false" outlineLevel="0" collapsed="false">
      <c r="B31" s="0" t="n">
        <v>430</v>
      </c>
      <c r="C31" s="0" t="s">
        <v>62</v>
      </c>
      <c r="D31" s="0" t="n">
        <v>26900</v>
      </c>
      <c r="E31" s="0" t="n">
        <v>886</v>
      </c>
    </row>
    <row r="32" customFormat="false" ht="14.5" hidden="false" customHeight="false" outlineLevel="0" collapsed="false">
      <c r="B32" s="0" t="n">
        <v>542</v>
      </c>
      <c r="C32" s="0" t="s">
        <v>63</v>
      </c>
      <c r="D32" s="0" t="n">
        <v>26700</v>
      </c>
      <c r="E32" s="0" t="n">
        <v>886</v>
      </c>
    </row>
    <row r="33" customFormat="false" ht="14.5" hidden="false" customHeight="false" outlineLevel="0" collapsed="false">
      <c r="B33" s="0" t="n">
        <v>590</v>
      </c>
      <c r="C33" s="0" t="s">
        <v>64</v>
      </c>
      <c r="D33" s="0" t="n">
        <v>27100</v>
      </c>
      <c r="E33" s="0" t="n">
        <v>886</v>
      </c>
    </row>
    <row r="34" customFormat="false" ht="14.5" hidden="false" customHeight="false" outlineLevel="0" collapsed="false">
      <c r="B34" s="0" t="n">
        <v>622</v>
      </c>
      <c r="C34" s="0" t="s">
        <v>65</v>
      </c>
      <c r="D34" s="0" t="n">
        <v>27200</v>
      </c>
      <c r="E34" s="0" t="n">
        <v>886</v>
      </c>
    </row>
    <row r="35" customFormat="false" ht="14.5" hidden="false" customHeight="false" outlineLevel="0" collapsed="false">
      <c r="B35" s="0" t="n">
        <v>687</v>
      </c>
      <c r="C35" s="0" t="s">
        <v>66</v>
      </c>
      <c r="D35" s="0" t="n">
        <v>27000</v>
      </c>
      <c r="E35" s="0" t="n">
        <v>886</v>
      </c>
    </row>
    <row r="36" customFormat="false" ht="14.5" hidden="false" customHeight="false" outlineLevel="0" collapsed="false">
      <c r="B36" s="0" t="n">
        <v>279</v>
      </c>
      <c r="C36" s="0" t="s">
        <v>67</v>
      </c>
      <c r="D36" s="0" t="n">
        <v>25800</v>
      </c>
      <c r="E36" s="0" t="n">
        <v>894</v>
      </c>
    </row>
    <row r="37" customFormat="false" ht="14.5" hidden="false" customHeight="false" outlineLevel="0" collapsed="false">
      <c r="B37" s="0" t="n">
        <v>671</v>
      </c>
      <c r="C37" s="0" t="s">
        <v>68</v>
      </c>
      <c r="D37" s="0" t="n">
        <v>25400</v>
      </c>
      <c r="E37" s="0" t="n">
        <v>894</v>
      </c>
    </row>
    <row r="38" customFormat="false" ht="14.5" hidden="false" customHeight="false" outlineLevel="0" collapsed="false">
      <c r="B38" s="0" t="n">
        <v>774</v>
      </c>
      <c r="C38" s="0" t="s">
        <v>69</v>
      </c>
      <c r="D38" s="0" t="n">
        <v>25600</v>
      </c>
      <c r="E38" s="0" t="n">
        <v>894</v>
      </c>
    </row>
    <row r="39" customFormat="false" ht="14.5" hidden="false" customHeight="false" outlineLevel="0" collapsed="false">
      <c r="B39" s="0" t="n">
        <v>906</v>
      </c>
      <c r="C39" s="0" t="s">
        <v>70</v>
      </c>
      <c r="D39" s="0" t="n">
        <v>25700</v>
      </c>
      <c r="E39" s="0" t="n">
        <v>894</v>
      </c>
    </row>
    <row r="40" customFormat="false" ht="14.5" hidden="false" customHeight="false" outlineLevel="0" collapsed="false">
      <c r="B40" s="0" t="n">
        <v>965</v>
      </c>
      <c r="C40" s="0" t="s">
        <v>71</v>
      </c>
      <c r="D40" s="0" t="n">
        <v>25500</v>
      </c>
      <c r="E40" s="0" t="n">
        <v>894</v>
      </c>
    </row>
    <row r="41" customFormat="false" ht="14.5" hidden="false" customHeight="false" outlineLevel="0" collapsed="false">
      <c r="B41" s="0" t="n">
        <v>211</v>
      </c>
      <c r="C41" s="0" t="s">
        <v>72</v>
      </c>
      <c r="D41" s="0" t="n">
        <v>19100</v>
      </c>
      <c r="E41" s="0" t="n">
        <v>39</v>
      </c>
    </row>
    <row r="42" customFormat="false" ht="14.5" hidden="false" customHeight="false" outlineLevel="0" collapsed="false">
      <c r="B42" s="0" t="n">
        <v>919</v>
      </c>
      <c r="C42" s="0" t="s">
        <v>73</v>
      </c>
      <c r="D42" s="0" t="n">
        <v>19300</v>
      </c>
      <c r="E42" s="0" t="n">
        <v>39</v>
      </c>
    </row>
    <row r="43" customFormat="false" ht="14.5" hidden="false" customHeight="false" outlineLevel="0" collapsed="false">
      <c r="B43" s="0" t="n">
        <v>927</v>
      </c>
      <c r="C43" s="0" t="s">
        <v>74</v>
      </c>
      <c r="D43" s="0" t="n">
        <v>19400</v>
      </c>
      <c r="E43" s="0" t="n">
        <v>39</v>
      </c>
    </row>
    <row r="44" customFormat="false" ht="14.5" hidden="false" customHeight="false" outlineLevel="0" collapsed="false">
      <c r="B44" s="0" t="n">
        <v>935</v>
      </c>
      <c r="C44" s="0" t="s">
        <v>75</v>
      </c>
      <c r="D44" s="0" t="n">
        <v>19000</v>
      </c>
      <c r="E44" s="0" t="n">
        <v>39</v>
      </c>
    </row>
    <row r="45" customFormat="false" ht="14.5" hidden="false" customHeight="false" outlineLevel="0" collapsed="false">
      <c r="B45" s="0" t="n">
        <v>1015</v>
      </c>
      <c r="C45" s="0" t="s">
        <v>76</v>
      </c>
      <c r="D45" s="0" t="n">
        <v>19200</v>
      </c>
      <c r="E45" s="0" t="n">
        <v>39</v>
      </c>
    </row>
    <row r="46" customFormat="false" ht="14.5" hidden="false" customHeight="false" outlineLevel="0" collapsed="false">
      <c r="B46" s="0" t="n">
        <v>296</v>
      </c>
      <c r="C46" s="0" t="s">
        <v>77</v>
      </c>
      <c r="D46" s="0" t="n">
        <v>19700</v>
      </c>
      <c r="E46" s="0" t="n">
        <v>48</v>
      </c>
    </row>
    <row r="47" customFormat="false" ht="14.5" hidden="false" customHeight="false" outlineLevel="0" collapsed="false">
      <c r="B47" s="0" t="n">
        <v>588</v>
      </c>
      <c r="C47" s="0" t="s">
        <v>78</v>
      </c>
      <c r="D47" s="0" t="n">
        <v>19600</v>
      </c>
      <c r="E47" s="0" t="n">
        <v>48</v>
      </c>
    </row>
    <row r="48" customFormat="false" ht="14.5" hidden="false" customHeight="false" outlineLevel="0" collapsed="false">
      <c r="B48" s="0" t="n">
        <v>772</v>
      </c>
      <c r="C48" s="0" t="s">
        <v>79</v>
      </c>
      <c r="D48" s="0" t="n">
        <v>19800</v>
      </c>
      <c r="E48" s="0" t="n">
        <v>48</v>
      </c>
    </row>
    <row r="49" customFormat="false" ht="14.5" hidden="false" customHeight="false" outlineLevel="0" collapsed="false">
      <c r="B49" s="0" t="n">
        <v>810</v>
      </c>
      <c r="C49" s="0" t="s">
        <v>80</v>
      </c>
      <c r="D49" s="0" t="n">
        <v>19900</v>
      </c>
      <c r="E49" s="0" t="n">
        <v>48</v>
      </c>
    </row>
    <row r="50" customFormat="false" ht="14.5" hidden="false" customHeight="false" outlineLevel="0" collapsed="false">
      <c r="B50" s="0" t="n">
        <v>819</v>
      </c>
      <c r="C50" s="0" t="s">
        <v>81</v>
      </c>
      <c r="D50" s="0" t="n">
        <v>20000</v>
      </c>
      <c r="E50" s="0" t="n">
        <v>48</v>
      </c>
    </row>
    <row r="51" customFormat="false" ht="14.5" hidden="false" customHeight="false" outlineLevel="0" collapsed="false">
      <c r="B51" s="0" t="n">
        <v>84</v>
      </c>
      <c r="C51" s="0" t="s">
        <v>82</v>
      </c>
      <c r="D51" s="0" t="n">
        <v>20600</v>
      </c>
      <c r="E51" s="0" t="n">
        <v>972</v>
      </c>
    </row>
    <row r="52" customFormat="false" ht="14.5" hidden="false" customHeight="false" outlineLevel="0" collapsed="false">
      <c r="B52" s="0" t="n">
        <v>132</v>
      </c>
      <c r="C52" s="0" t="s">
        <v>83</v>
      </c>
      <c r="D52" s="0" t="n">
        <v>20700</v>
      </c>
      <c r="E52" s="0" t="n">
        <v>972</v>
      </c>
    </row>
    <row r="53" customFormat="false" ht="14.5" hidden="false" customHeight="false" outlineLevel="0" collapsed="false">
      <c r="B53" s="0" t="n">
        <v>171</v>
      </c>
      <c r="C53" s="0" t="s">
        <v>84</v>
      </c>
      <c r="D53" s="0" t="n">
        <v>20200</v>
      </c>
      <c r="E53" s="0" t="n">
        <v>972</v>
      </c>
    </row>
    <row r="54" customFormat="false" ht="14.5" hidden="false" customHeight="false" outlineLevel="0" collapsed="false">
      <c r="B54" s="0" t="n">
        <v>304</v>
      </c>
      <c r="C54" s="0" t="s">
        <v>85</v>
      </c>
      <c r="D54" s="0" t="n">
        <v>20400</v>
      </c>
      <c r="E54" s="0" t="n">
        <v>972</v>
      </c>
    </row>
    <row r="55" customFormat="false" ht="14.5" hidden="false" customHeight="false" outlineLevel="0" collapsed="false">
      <c r="B55" s="0" t="n">
        <v>363</v>
      </c>
      <c r="C55" s="0" t="s">
        <v>86</v>
      </c>
      <c r="D55" s="0" t="n">
        <v>20500</v>
      </c>
      <c r="E55" s="0" t="n">
        <v>972</v>
      </c>
    </row>
    <row r="56" customFormat="false" ht="14.5" hidden="false" customHeight="false" outlineLevel="0" collapsed="false">
      <c r="B56" s="0" t="n">
        <v>556</v>
      </c>
      <c r="C56" s="0" t="s">
        <v>87</v>
      </c>
      <c r="D56" s="0" t="n">
        <v>8700</v>
      </c>
      <c r="E56" s="0" t="n">
        <v>44</v>
      </c>
    </row>
    <row r="57" customFormat="false" ht="14.5" hidden="false" customHeight="false" outlineLevel="0" collapsed="false">
      <c r="B57" s="0" t="n">
        <v>707</v>
      </c>
      <c r="C57" s="0" t="s">
        <v>88</v>
      </c>
      <c r="D57" s="0" t="n">
        <v>8500</v>
      </c>
      <c r="E57" s="0" t="n">
        <v>44</v>
      </c>
    </row>
    <row r="58" customFormat="false" ht="14.5" hidden="false" customHeight="false" outlineLevel="0" collapsed="false">
      <c r="B58" s="0" t="n">
        <v>827</v>
      </c>
      <c r="C58" s="0" t="s">
        <v>89</v>
      </c>
      <c r="D58" s="0" t="n">
        <v>8800</v>
      </c>
      <c r="E58" s="0" t="n">
        <v>44</v>
      </c>
    </row>
    <row r="59" customFormat="false" ht="14.5" hidden="false" customHeight="false" outlineLevel="0" collapsed="false">
      <c r="B59" s="0" t="n">
        <v>1054</v>
      </c>
      <c r="C59" s="0" t="s">
        <v>90</v>
      </c>
      <c r="D59" s="0" t="n">
        <v>8900</v>
      </c>
      <c r="E59" s="0" t="n">
        <v>44</v>
      </c>
    </row>
    <row r="60" customFormat="false" ht="14.5" hidden="false" customHeight="false" outlineLevel="0" collapsed="false">
      <c r="B60" s="0" t="n">
        <v>1081</v>
      </c>
      <c r="C60" s="0" t="s">
        <v>91</v>
      </c>
      <c r="D60" s="0" t="n">
        <v>9000</v>
      </c>
      <c r="E60" s="0" t="n">
        <v>44</v>
      </c>
    </row>
    <row r="61" customFormat="false" ht="14.5" hidden="false" customHeight="false" outlineLevel="0" collapsed="false">
      <c r="B61" s="0" t="n">
        <v>303</v>
      </c>
      <c r="C61" s="0" t="s">
        <v>92</v>
      </c>
      <c r="D61" s="0" t="n">
        <v>47200</v>
      </c>
      <c r="E61" s="0" t="n">
        <v>295</v>
      </c>
    </row>
    <row r="62" customFormat="false" ht="14.5" hidden="false" customHeight="false" outlineLevel="0" collapsed="false">
      <c r="B62" s="0" t="n">
        <v>311</v>
      </c>
      <c r="C62" s="0" t="s">
        <v>93</v>
      </c>
      <c r="D62" s="0" t="n">
        <v>47300</v>
      </c>
      <c r="E62" s="0" t="n">
        <v>295</v>
      </c>
    </row>
    <row r="63" customFormat="false" ht="14.5" hidden="false" customHeight="false" outlineLevel="0" collapsed="false">
      <c r="B63" s="0" t="n">
        <v>451</v>
      </c>
      <c r="C63" s="0" t="s">
        <v>94</v>
      </c>
      <c r="D63" s="0" t="n">
        <v>47400</v>
      </c>
      <c r="E63" s="0" t="n">
        <v>295</v>
      </c>
    </row>
  </sheetData>
  <conditionalFormatting sqref="X3:X16">
    <cfRule type="cellIs" priority="2" operator="lessThan" aboveAverage="0" equalAverage="0" bottom="0" percent="0" rank="0" text="" dxfId="3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5" zeroHeight="false" outlineLevelRow="0" outlineLevelCol="0"/>
  <cols>
    <col collapsed="false" customWidth="true" hidden="false" outlineLevel="0" max="1" min="1" style="0" width="11.17"/>
    <col collapsed="false" customWidth="true" hidden="false" outlineLevel="0" max="3" min="3" style="0" width="27.27"/>
    <col collapsed="false" customWidth="true" hidden="false" outlineLevel="0" max="15" min="15" style="0" width="10.54"/>
  </cols>
  <sheetData>
    <row r="1" customFormat="false" ht="14.5" hidden="false" customHeight="false" outlineLevel="0" collapsed="false">
      <c r="E1" s="0" t="s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  <c r="N1" s="0" t="n">
        <v>0</v>
      </c>
      <c r="O1" s="0" t="n">
        <v>1</v>
      </c>
      <c r="P1" s="0" t="n">
        <v>1</v>
      </c>
      <c r="Q1" s="0" t="n">
        <v>1</v>
      </c>
      <c r="R1" s="0" t="n">
        <v>1</v>
      </c>
      <c r="S1" s="0" t="n">
        <v>1</v>
      </c>
      <c r="T1" s="0" t="n">
        <v>1</v>
      </c>
      <c r="U1" s="0" t="n">
        <v>1</v>
      </c>
      <c r="V1" s="0" t="n">
        <v>1</v>
      </c>
    </row>
    <row r="2" customFormat="false" ht="14.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X2" s="2" t="s">
        <v>23</v>
      </c>
      <c r="Y2" s="2" t="s">
        <v>24</v>
      </c>
      <c r="Z2" s="2" t="s">
        <v>25</v>
      </c>
      <c r="AA2" s="2" t="s">
        <v>1293</v>
      </c>
      <c r="AB2" s="2" t="s">
        <v>1294</v>
      </c>
    </row>
    <row r="3" customFormat="false" ht="14.5" hidden="false" customHeight="false" outlineLevel="0" collapsed="false">
      <c r="A3" s="4" t="s">
        <v>1273</v>
      </c>
      <c r="B3" s="5"/>
      <c r="C3" s="5"/>
      <c r="D3" s="5"/>
      <c r="E3" s="5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X3" s="6"/>
      <c r="Y3" s="6"/>
      <c r="Z3" s="6"/>
    </row>
    <row r="4" customFormat="false" ht="14.5" hidden="false" customHeight="false" outlineLevel="0" collapsed="false">
      <c r="A4" s="0" t="s">
        <v>36</v>
      </c>
      <c r="C4" s="0" t="s">
        <v>31</v>
      </c>
      <c r="E4" s="0" t="n">
        <v>726</v>
      </c>
      <c r="F4" s="0" t="n">
        <f aca="false">SUMPRODUCT(SUMIFS('Total-corrected counts Z&lt;2'!E:E,'Total-corrected counts Z&lt;2'!$A:$A,$B29:$B31))</f>
        <v>0</v>
      </c>
      <c r="G4" s="0" t="n">
        <f aca="false">SUMPRODUCT(SUMIFS('Total-corrected counts Z&lt;2'!F:F,'Total-corrected counts Z&lt;2'!$A:$A,$B29:$B31))</f>
        <v>0</v>
      </c>
      <c r="H4" s="0" t="n">
        <f aca="false">SUMPRODUCT(SUMIFS('Total-corrected counts Z&lt;2'!G:G,'Total-corrected counts Z&lt;2'!$A:$A,$B29:$B31))</f>
        <v>0</v>
      </c>
      <c r="I4" s="0" t="n">
        <f aca="false">SUMPRODUCT(SUMIFS('Total-corrected counts Z&lt;2'!H:H,'Total-corrected counts Z&lt;2'!$A:$A,$B29:$B31))</f>
        <v>0</v>
      </c>
      <c r="J4" s="0" t="n">
        <f aca="false">SUMPRODUCT(SUMIFS('Total-corrected counts Z&lt;2'!I:I,'Total-corrected counts Z&lt;2'!$A:$A,$B29:$B31))</f>
        <v>0</v>
      </c>
      <c r="K4" s="0" t="n">
        <f aca="false">SUMPRODUCT(SUMIFS('Total-corrected counts Z&lt;2'!J:J,'Total-corrected counts Z&lt;2'!$A:$A,$B29:$B31))</f>
        <v>0</v>
      </c>
      <c r="L4" s="0" t="n">
        <f aca="false">SUMPRODUCT(SUMIFS('Total-corrected counts Z&lt;2'!K:K,'Total-corrected counts Z&lt;2'!$A:$A,$B29:$B31))</f>
        <v>0</v>
      </c>
      <c r="M4" s="0" t="n">
        <f aca="false">SUMPRODUCT(SUMIFS('Total-corrected counts Z&lt;2'!L:L,'Total-corrected counts Z&lt;2'!$A:$A,$B29:$B31))</f>
        <v>0</v>
      </c>
      <c r="N4" s="0" t="n">
        <f aca="false">SUMPRODUCT(SUMIFS('Total-corrected counts Z&lt;2'!M:M,'Total-corrected counts Z&lt;2'!$A:$A,$B29:$B31))</f>
        <v>0</v>
      </c>
      <c r="O4" s="0" t="n">
        <f aca="false">SUMPRODUCT(SUMIFS('Total-corrected counts Z&lt;2'!N:N,'Total-corrected counts Z&lt;2'!$A:$A,$B29:$B31))</f>
        <v>0</v>
      </c>
      <c r="P4" s="0" t="n">
        <f aca="false">SUMPRODUCT(SUMIFS('Total-corrected counts Z&lt;2'!O:O,'Total-corrected counts Z&lt;2'!$A:$A,$B29:$B31))</f>
        <v>0</v>
      </c>
      <c r="Q4" s="0" t="n">
        <f aca="false">SUMPRODUCT(SUMIFS('Total-corrected counts Z&lt;2'!P:P,'Total-corrected counts Z&lt;2'!$A:$A,$B29:$B31))</f>
        <v>0</v>
      </c>
      <c r="R4" s="0" t="n">
        <f aca="false">SUMPRODUCT(SUMIFS('Total-corrected counts Z&lt;2'!Q:Q,'Total-corrected counts Z&lt;2'!$A:$A,$B29:$B31))</f>
        <v>0</v>
      </c>
      <c r="S4" s="0" t="n">
        <f aca="false">SUMPRODUCT(SUMIFS('Total-corrected counts Z&lt;2'!R:R,'Total-corrected counts Z&lt;2'!$A:$A,$B29:$B31))</f>
        <v>0</v>
      </c>
      <c r="T4" s="0" t="n">
        <f aca="false">SUMPRODUCT(SUMIFS('Total-corrected counts Z&lt;2'!S:S,'Total-corrected counts Z&lt;2'!$A:$A,$B29:$B31))</f>
        <v>0</v>
      </c>
      <c r="U4" s="0" t="n">
        <f aca="false">SUMPRODUCT(SUMIFS('Total-corrected counts Z&lt;2'!T:T,'Total-corrected counts Z&lt;2'!$A:$A,$B29:$B31))</f>
        <v>0</v>
      </c>
      <c r="V4" s="0" t="n">
        <f aca="false">SUMPRODUCT(SUMIFS('Total-corrected counts Z&lt;2'!U:U,'Total-corrected counts Z&lt;2'!$A:$A,$B29:$B31))</f>
        <v>0</v>
      </c>
      <c r="X4" s="3" t="e">
        <f aca="false">_xlfn.T.TEST(F4:N4,O4:V4,2,2)</f>
        <v>#NUM!</v>
      </c>
      <c r="Y4" s="0" t="n">
        <f aca="false">AVERAGE(F4:N4)</f>
        <v>0</v>
      </c>
      <c r="Z4" s="0" t="n">
        <f aca="false">AVERAGE(O4:V4)</f>
        <v>0</v>
      </c>
      <c r="AA4" s="0" t="n">
        <f aca="false">STDEV(F4:N4)/SQRT(COUNT(F4:N4))</f>
        <v>0</v>
      </c>
      <c r="AB4" s="0" t="n">
        <f aca="false">STDEV(O4:V4)/SQRT(COUNT(O4:V4))</f>
        <v>0</v>
      </c>
    </row>
    <row r="5" customFormat="false" ht="14.5" hidden="false" customHeight="false" outlineLevel="0" collapsed="false">
      <c r="A5" s="0" t="s">
        <v>32</v>
      </c>
      <c r="B5" s="0" t="n">
        <v>2382</v>
      </c>
      <c r="C5" s="0" t="s">
        <v>33</v>
      </c>
      <c r="D5" s="0" t="n">
        <v>37700</v>
      </c>
      <c r="E5" s="0" t="n">
        <v>2375</v>
      </c>
      <c r="F5" s="0" t="n">
        <f aca="false">SUMIFS('Total-corrected counts Z&lt;2'!E:E,'Total-corrected counts Z&lt;2'!$A:$A,'Brain networks corrected Z&lt;2'!$B5)</f>
        <v>0</v>
      </c>
      <c r="G5" s="0" t="n">
        <f aca="false">SUMIFS('Total-corrected counts Z&lt;2'!F:F,'Total-corrected counts Z&lt;2'!$A:$A,'Brain networks corrected Z&lt;2'!$B5)</f>
        <v>0</v>
      </c>
      <c r="H5" s="0" t="n">
        <f aca="false">SUMIFS('Total-corrected counts Z&lt;2'!G:G,'Total-corrected counts Z&lt;2'!$A:$A,'Brain networks corrected Z&lt;2'!$B5)</f>
        <v>0</v>
      </c>
      <c r="I5" s="0" t="n">
        <f aca="false">SUMIFS('Total-corrected counts Z&lt;2'!H:H,'Total-corrected counts Z&lt;2'!$A:$A,'Brain networks corrected Z&lt;2'!$B5)</f>
        <v>0</v>
      </c>
      <c r="J5" s="0" t="n">
        <f aca="false">SUMIFS('Total-corrected counts Z&lt;2'!I:I,'Total-corrected counts Z&lt;2'!$A:$A,'Brain networks corrected Z&lt;2'!$B5)</f>
        <v>0</v>
      </c>
      <c r="K5" s="0" t="n">
        <f aca="false">SUMIFS('Total-corrected counts Z&lt;2'!J:J,'Total-corrected counts Z&lt;2'!$A:$A,'Brain networks corrected Z&lt;2'!$B5)</f>
        <v>0</v>
      </c>
      <c r="L5" s="0" t="n">
        <f aca="false">SUMIFS('Total-corrected counts Z&lt;2'!K:K,'Total-corrected counts Z&lt;2'!$A:$A,'Brain networks corrected Z&lt;2'!$B5)</f>
        <v>0</v>
      </c>
      <c r="M5" s="0" t="n">
        <f aca="false">SUMIFS('Total-corrected counts Z&lt;2'!L:L,'Total-corrected counts Z&lt;2'!$A:$A,'Brain networks corrected Z&lt;2'!$B5)</f>
        <v>0</v>
      </c>
      <c r="N5" s="0" t="n">
        <f aca="false">SUMIFS('Total-corrected counts Z&lt;2'!M:M,'Total-corrected counts Z&lt;2'!$A:$A,'Brain networks corrected Z&lt;2'!$B5)</f>
        <v>0</v>
      </c>
      <c r="O5" s="0" t="n">
        <f aca="false">SUMIFS('Total-corrected counts Z&lt;2'!N:N,'Total-corrected counts Z&lt;2'!$A:$A,'Brain networks corrected Z&lt;2'!$B5)</f>
        <v>0</v>
      </c>
      <c r="P5" s="0" t="n">
        <f aca="false">SUMIFS('Total-corrected counts Z&lt;2'!O:O,'Total-corrected counts Z&lt;2'!$A:$A,'Brain networks corrected Z&lt;2'!$B5)</f>
        <v>0</v>
      </c>
      <c r="Q5" s="0" t="n">
        <f aca="false">SUMIFS('Total-corrected counts Z&lt;2'!P:P,'Total-corrected counts Z&lt;2'!$A:$A,'Brain networks corrected Z&lt;2'!$B5)</f>
        <v>0</v>
      </c>
      <c r="R5" s="0" t="n">
        <f aca="false">SUMIFS('Total-corrected counts Z&lt;2'!Q:Q,'Total-corrected counts Z&lt;2'!$A:$A,'Brain networks corrected Z&lt;2'!$B5)</f>
        <v>0</v>
      </c>
      <c r="S5" s="0" t="n">
        <f aca="false">SUMIFS('Total-corrected counts Z&lt;2'!R:R,'Total-corrected counts Z&lt;2'!$A:$A,'Brain networks corrected Z&lt;2'!$B5)</f>
        <v>0</v>
      </c>
      <c r="T5" s="0" t="n">
        <f aca="false">SUMIFS('Total-corrected counts Z&lt;2'!S:S,'Total-corrected counts Z&lt;2'!$A:$A,'Brain networks corrected Z&lt;2'!$B5)</f>
        <v>0</v>
      </c>
      <c r="U5" s="0" t="n">
        <f aca="false">SUMIFS('Total-corrected counts Z&lt;2'!T:T,'Total-corrected counts Z&lt;2'!$A:$A,'Brain networks corrected Z&lt;2'!$B5)</f>
        <v>0</v>
      </c>
      <c r="V5" s="0" t="n">
        <f aca="false">SUMIFS('Total-corrected counts Z&lt;2'!U:U,'Total-corrected counts Z&lt;2'!$A:$A,'Brain networks corrected Z&lt;2'!$B5)</f>
        <v>0</v>
      </c>
      <c r="X5" s="3" t="e">
        <f aca="false">_xlfn.T.TEST(F5:N5,O5:V5,2,2)</f>
        <v>#NUM!</v>
      </c>
      <c r="Y5" s="0" t="n">
        <f aca="false">AVERAGE(F5:N5)</f>
        <v>0</v>
      </c>
      <c r="Z5" s="0" t="n">
        <f aca="false">AVERAGE(O5:V5)</f>
        <v>0</v>
      </c>
      <c r="AA5" s="0" t="n">
        <f aca="false">STDEV(F5:N5)/SQRT(COUNT(F5:N5))</f>
        <v>0</v>
      </c>
      <c r="AB5" s="0" t="n">
        <f aca="false">STDEV(O5:V5)/SQRT(COUNT(O5:V5))</f>
        <v>0</v>
      </c>
    </row>
    <row r="6" customFormat="false" ht="14.5" hidden="false" customHeight="false" outlineLevel="0" collapsed="false">
      <c r="A6" s="0" t="s">
        <v>34</v>
      </c>
      <c r="B6" s="0" t="n">
        <v>2463</v>
      </c>
      <c r="C6" s="0" t="s">
        <v>35</v>
      </c>
      <c r="D6" s="0" t="n">
        <v>38700</v>
      </c>
      <c r="E6" s="0" t="n">
        <v>2375</v>
      </c>
      <c r="F6" s="0" t="n">
        <f aca="false">SUMIFS('Total-corrected counts Z&lt;2'!E:E,'Total-corrected counts Z&lt;2'!$A:$A,'Brain networks corrected Z&lt;2'!$B6)</f>
        <v>0</v>
      </c>
      <c r="G6" s="0" t="n">
        <f aca="false">SUMIFS('Total-corrected counts Z&lt;2'!F:F,'Total-corrected counts Z&lt;2'!$A:$A,'Brain networks corrected Z&lt;2'!$B6)</f>
        <v>0</v>
      </c>
      <c r="H6" s="0" t="n">
        <f aca="false">SUMIFS('Total-corrected counts Z&lt;2'!G:G,'Total-corrected counts Z&lt;2'!$A:$A,'Brain networks corrected Z&lt;2'!$B6)</f>
        <v>0</v>
      </c>
      <c r="I6" s="0" t="n">
        <f aca="false">SUMIFS('Total-corrected counts Z&lt;2'!H:H,'Total-corrected counts Z&lt;2'!$A:$A,'Brain networks corrected Z&lt;2'!$B6)</f>
        <v>0</v>
      </c>
      <c r="J6" s="0" t="n">
        <f aca="false">SUMIFS('Total-corrected counts Z&lt;2'!I:I,'Total-corrected counts Z&lt;2'!$A:$A,'Brain networks corrected Z&lt;2'!$B6)</f>
        <v>0</v>
      </c>
      <c r="K6" s="0" t="n">
        <f aca="false">SUMIFS('Total-corrected counts Z&lt;2'!J:J,'Total-corrected counts Z&lt;2'!$A:$A,'Brain networks corrected Z&lt;2'!$B6)</f>
        <v>0</v>
      </c>
      <c r="L6" s="0" t="n">
        <f aca="false">SUMIFS('Total-corrected counts Z&lt;2'!K:K,'Total-corrected counts Z&lt;2'!$A:$A,'Brain networks corrected Z&lt;2'!$B6)</f>
        <v>0</v>
      </c>
      <c r="M6" s="0" t="n">
        <f aca="false">SUMIFS('Total-corrected counts Z&lt;2'!L:L,'Total-corrected counts Z&lt;2'!$A:$A,'Brain networks corrected Z&lt;2'!$B6)</f>
        <v>0</v>
      </c>
      <c r="N6" s="0" t="n">
        <f aca="false">SUMIFS('Total-corrected counts Z&lt;2'!M:M,'Total-corrected counts Z&lt;2'!$A:$A,'Brain networks corrected Z&lt;2'!$B6)</f>
        <v>0</v>
      </c>
      <c r="O6" s="0" t="n">
        <f aca="false">SUMIFS('Total-corrected counts Z&lt;2'!N:N,'Total-corrected counts Z&lt;2'!$A:$A,'Brain networks corrected Z&lt;2'!$B6)</f>
        <v>0</v>
      </c>
      <c r="P6" s="0" t="n">
        <f aca="false">SUMIFS('Total-corrected counts Z&lt;2'!O:O,'Total-corrected counts Z&lt;2'!$A:$A,'Brain networks corrected Z&lt;2'!$B6)</f>
        <v>0</v>
      </c>
      <c r="Q6" s="0" t="n">
        <f aca="false">SUMIFS('Total-corrected counts Z&lt;2'!P:P,'Total-corrected counts Z&lt;2'!$A:$A,'Brain networks corrected Z&lt;2'!$B6)</f>
        <v>0</v>
      </c>
      <c r="R6" s="0" t="n">
        <f aca="false">SUMIFS('Total-corrected counts Z&lt;2'!Q:Q,'Total-corrected counts Z&lt;2'!$A:$A,'Brain networks corrected Z&lt;2'!$B6)</f>
        <v>0</v>
      </c>
      <c r="S6" s="0" t="n">
        <f aca="false">SUMIFS('Total-corrected counts Z&lt;2'!R:R,'Total-corrected counts Z&lt;2'!$A:$A,'Brain networks corrected Z&lt;2'!$B6)</f>
        <v>0</v>
      </c>
      <c r="T6" s="0" t="n">
        <f aca="false">SUMIFS('Total-corrected counts Z&lt;2'!S:S,'Total-corrected counts Z&lt;2'!$A:$A,'Brain networks corrected Z&lt;2'!$B6)</f>
        <v>0</v>
      </c>
      <c r="U6" s="0" t="n">
        <f aca="false">SUMIFS('Total-corrected counts Z&lt;2'!T:T,'Total-corrected counts Z&lt;2'!$A:$A,'Brain networks corrected Z&lt;2'!$B6)</f>
        <v>0</v>
      </c>
      <c r="V6" s="0" t="n">
        <f aca="false">SUMIFS('Total-corrected counts Z&lt;2'!U:U,'Total-corrected counts Z&lt;2'!$A:$A,'Brain networks corrected Z&lt;2'!$B6)</f>
        <v>0</v>
      </c>
      <c r="X6" s="3" t="e">
        <f aca="false">_xlfn.T.TEST(F6:N6,O6:V6,2,2)</f>
        <v>#NUM!</v>
      </c>
      <c r="Y6" s="0" t="n">
        <f aca="false">AVERAGE(F6:N6)</f>
        <v>0</v>
      </c>
      <c r="Z6" s="0" t="n">
        <f aca="false">AVERAGE(O6:V6)</f>
        <v>0</v>
      </c>
      <c r="AA6" s="0" t="n">
        <f aca="false">STDEV(F6:N6)/SQRT(COUNT(F6:N6))</f>
        <v>0</v>
      </c>
      <c r="AB6" s="0" t="n">
        <f aca="false">STDEV(O6:V6)/SQRT(COUNT(O6:V6))</f>
        <v>0</v>
      </c>
    </row>
    <row r="7" customFormat="false" ht="14.5" hidden="false" customHeight="false" outlineLevel="0" collapsed="false">
      <c r="A7" s="0" t="s">
        <v>1274</v>
      </c>
      <c r="C7" s="0" t="s">
        <v>1275</v>
      </c>
      <c r="F7" s="0" t="n">
        <f aca="false">SUMPRODUCT(SUMIFS('Total-corrected counts Z&lt;2'!E:E,'Total-corrected counts Z&lt;2'!$A:$A,$B62:$B76))</f>
        <v>0</v>
      </c>
      <c r="G7" s="0" t="n">
        <f aca="false">SUMPRODUCT(SUMIFS('Total-corrected counts Z&lt;2'!F:F,'Total-corrected counts Z&lt;2'!$A:$A,$B62:$B76))</f>
        <v>0</v>
      </c>
      <c r="H7" s="0" t="n">
        <f aca="false">SUMPRODUCT(SUMIFS('Total-corrected counts Z&lt;2'!G:G,'Total-corrected counts Z&lt;2'!$A:$A,$B62:$B76))</f>
        <v>0</v>
      </c>
      <c r="I7" s="0" t="n">
        <f aca="false">SUMPRODUCT(SUMIFS('Total-corrected counts Z&lt;2'!H:H,'Total-corrected counts Z&lt;2'!$A:$A,$B62:$B76))</f>
        <v>0</v>
      </c>
      <c r="J7" s="0" t="n">
        <f aca="false">SUMPRODUCT(SUMIFS('Total-corrected counts Z&lt;2'!I:I,'Total-corrected counts Z&lt;2'!$A:$A,$B62:$B76))</f>
        <v>0</v>
      </c>
      <c r="K7" s="0" t="n">
        <f aca="false">SUMPRODUCT(SUMIFS('Total-corrected counts Z&lt;2'!J:J,'Total-corrected counts Z&lt;2'!$A:$A,$B62:$B76))</f>
        <v>0</v>
      </c>
      <c r="L7" s="0" t="n">
        <f aca="false">SUMPRODUCT(SUMIFS('Total-corrected counts Z&lt;2'!K:K,'Total-corrected counts Z&lt;2'!$A:$A,$B62:$B76))</f>
        <v>0</v>
      </c>
      <c r="M7" s="0" t="n">
        <f aca="false">SUMPRODUCT(SUMIFS('Total-corrected counts Z&lt;2'!L:L,'Total-corrected counts Z&lt;2'!$A:$A,$B62:$B76))</f>
        <v>0</v>
      </c>
      <c r="N7" s="0" t="n">
        <f aca="false">SUMPRODUCT(SUMIFS('Total-corrected counts Z&lt;2'!M:M,'Total-corrected counts Z&lt;2'!$A:$A,$B62:$B76))</f>
        <v>0</v>
      </c>
      <c r="O7" s="0" t="n">
        <f aca="false">SUMPRODUCT(SUMIFS('Total-corrected counts Z&lt;2'!N:N,'Total-corrected counts Z&lt;2'!$A:$A,$B62:$B76))</f>
        <v>0</v>
      </c>
      <c r="P7" s="0" t="n">
        <f aca="false">SUMPRODUCT(SUMIFS('Total-corrected counts Z&lt;2'!O:O,'Total-corrected counts Z&lt;2'!$A:$A,$B62:$B76))</f>
        <v>0</v>
      </c>
      <c r="Q7" s="0" t="n">
        <f aca="false">SUMPRODUCT(SUMIFS('Total-corrected counts Z&lt;2'!P:P,'Total-corrected counts Z&lt;2'!$A:$A,$B62:$B76))</f>
        <v>0</v>
      </c>
      <c r="R7" s="0" t="n">
        <f aca="false">SUMPRODUCT(SUMIFS('Total-corrected counts Z&lt;2'!Q:Q,'Total-corrected counts Z&lt;2'!$A:$A,$B62:$B76))</f>
        <v>0</v>
      </c>
      <c r="S7" s="0" t="n">
        <f aca="false">SUMPRODUCT(SUMIFS('Total-corrected counts Z&lt;2'!R:R,'Total-corrected counts Z&lt;2'!$A:$A,$B62:$B76))</f>
        <v>0</v>
      </c>
      <c r="T7" s="0" t="n">
        <f aca="false">SUMPRODUCT(SUMIFS('Total-corrected counts Z&lt;2'!S:S,'Total-corrected counts Z&lt;2'!$A:$A,$B62:$B76))</f>
        <v>0</v>
      </c>
      <c r="U7" s="0" t="n">
        <f aca="false">SUMPRODUCT(SUMIFS('Total-corrected counts Z&lt;2'!T:T,'Total-corrected counts Z&lt;2'!$A:$A,$B62:$B76))</f>
        <v>0</v>
      </c>
      <c r="V7" s="0" t="n">
        <f aca="false">SUMPRODUCT(SUMIFS('Total-corrected counts Z&lt;2'!U:U,'Total-corrected counts Z&lt;2'!$A:$A,$B62:$B76))</f>
        <v>0</v>
      </c>
      <c r="X7" s="3" t="e">
        <f aca="false">_xlfn.T.TEST(F7:N7,O7:V7,2,2)</f>
        <v>#NUM!</v>
      </c>
      <c r="Y7" s="0" t="n">
        <f aca="false">AVERAGE(F7:N7)</f>
        <v>0</v>
      </c>
      <c r="Z7" s="0" t="n">
        <f aca="false">AVERAGE(O7:V7)</f>
        <v>0</v>
      </c>
      <c r="AA7" s="0" t="n">
        <f aca="false">STDEV(F7:N7)/SQRT(COUNT(F7:N7))</f>
        <v>0</v>
      </c>
      <c r="AB7" s="0" t="n">
        <f aca="false">STDEV(O7:V7)/SQRT(COUNT(O7:V7))</f>
        <v>0</v>
      </c>
    </row>
    <row r="8" customFormat="false" ht="14.5" hidden="false" customHeight="false" outlineLevel="0" collapsed="false">
      <c r="A8" s="0" t="s">
        <v>1276</v>
      </c>
      <c r="C8" s="0" t="s">
        <v>1277</v>
      </c>
      <c r="F8" s="0" t="n">
        <f aca="false">SUMPRODUCT(SUMIFS('Total-corrected counts Z&lt;2'!E:E,'Total-corrected counts Z&lt;2'!$A:$A,$B77:$B91))</f>
        <v>0</v>
      </c>
      <c r="G8" s="0" t="n">
        <f aca="false">SUMPRODUCT(SUMIFS('Total-corrected counts Z&lt;2'!F:F,'Total-corrected counts Z&lt;2'!$A:$A,$B77:$B91))</f>
        <v>0</v>
      </c>
      <c r="H8" s="0" t="n">
        <f aca="false">SUMPRODUCT(SUMIFS('Total-corrected counts Z&lt;2'!G:G,'Total-corrected counts Z&lt;2'!$A:$A,$B77:$B91))</f>
        <v>0</v>
      </c>
      <c r="I8" s="0" t="n">
        <f aca="false">SUMPRODUCT(SUMIFS('Total-corrected counts Z&lt;2'!H:H,'Total-corrected counts Z&lt;2'!$A:$A,$B77:$B91))</f>
        <v>0</v>
      </c>
      <c r="J8" s="0" t="n">
        <f aca="false">SUMPRODUCT(SUMIFS('Total-corrected counts Z&lt;2'!I:I,'Total-corrected counts Z&lt;2'!$A:$A,$B77:$B91))</f>
        <v>0</v>
      </c>
      <c r="K8" s="0" t="n">
        <f aca="false">SUMPRODUCT(SUMIFS('Total-corrected counts Z&lt;2'!J:J,'Total-corrected counts Z&lt;2'!$A:$A,$B77:$B91))</f>
        <v>0</v>
      </c>
      <c r="L8" s="0" t="n">
        <f aca="false">SUMPRODUCT(SUMIFS('Total-corrected counts Z&lt;2'!K:K,'Total-corrected counts Z&lt;2'!$A:$A,$B77:$B91))</f>
        <v>0</v>
      </c>
      <c r="M8" s="0" t="n">
        <f aca="false">SUMPRODUCT(SUMIFS('Total-corrected counts Z&lt;2'!L:L,'Total-corrected counts Z&lt;2'!$A:$A,$B77:$B91))</f>
        <v>0</v>
      </c>
      <c r="N8" s="0" t="n">
        <f aca="false">SUMPRODUCT(SUMIFS('Total-corrected counts Z&lt;2'!M:M,'Total-corrected counts Z&lt;2'!$A:$A,$B77:$B91))</f>
        <v>0</v>
      </c>
      <c r="O8" s="0" t="n">
        <f aca="false">SUMPRODUCT(SUMIFS('Total-corrected counts Z&lt;2'!N:N,'Total-corrected counts Z&lt;2'!$A:$A,$B77:$B91))</f>
        <v>0</v>
      </c>
      <c r="P8" s="0" t="n">
        <f aca="false">SUMPRODUCT(SUMIFS('Total-corrected counts Z&lt;2'!O:O,'Total-corrected counts Z&lt;2'!$A:$A,$B77:$B91))</f>
        <v>0</v>
      </c>
      <c r="Q8" s="0" t="n">
        <f aca="false">SUMPRODUCT(SUMIFS('Total-corrected counts Z&lt;2'!P:P,'Total-corrected counts Z&lt;2'!$A:$A,$B77:$B91))</f>
        <v>0</v>
      </c>
      <c r="R8" s="0" t="n">
        <f aca="false">SUMPRODUCT(SUMIFS('Total-corrected counts Z&lt;2'!Q:Q,'Total-corrected counts Z&lt;2'!$A:$A,$B77:$B91))</f>
        <v>0</v>
      </c>
      <c r="S8" s="0" t="n">
        <f aca="false">SUMPRODUCT(SUMIFS('Total-corrected counts Z&lt;2'!R:R,'Total-corrected counts Z&lt;2'!$A:$A,$B77:$B91))</f>
        <v>0</v>
      </c>
      <c r="T8" s="0" t="n">
        <f aca="false">SUMPRODUCT(SUMIFS('Total-corrected counts Z&lt;2'!S:S,'Total-corrected counts Z&lt;2'!$A:$A,$B77:$B91))</f>
        <v>0</v>
      </c>
      <c r="U8" s="0" t="n">
        <f aca="false">SUMPRODUCT(SUMIFS('Total-corrected counts Z&lt;2'!T:T,'Total-corrected counts Z&lt;2'!$A:$A,$B77:$B91))</f>
        <v>0</v>
      </c>
      <c r="V8" s="0" t="n">
        <f aca="false">SUMPRODUCT(SUMIFS('Total-corrected counts Z&lt;2'!U:U,'Total-corrected counts Z&lt;2'!$A:$A,$B77:$B91))</f>
        <v>0</v>
      </c>
      <c r="X8" s="3" t="e">
        <f aca="false">_xlfn.T.TEST(F8:N8,O8:V8,2,2)</f>
        <v>#NUM!</v>
      </c>
      <c r="Y8" s="0" t="n">
        <f aca="false">AVERAGE(F8:N8)</f>
        <v>0</v>
      </c>
      <c r="Z8" s="0" t="n">
        <f aca="false">AVERAGE(O8:V8)</f>
        <v>0</v>
      </c>
      <c r="AA8" s="0" t="n">
        <f aca="false">STDEV(F8:N8)/SQRT(COUNT(F8:N8))</f>
        <v>0</v>
      </c>
      <c r="AB8" s="0" t="n">
        <f aca="false">STDEV(O8:V8)/SQRT(COUNT(O8:V8))</f>
        <v>0</v>
      </c>
    </row>
    <row r="9" customFormat="false" ht="14.5" hidden="false" customHeight="false" outlineLevel="0" collapsed="false">
      <c r="A9" s="0" t="s">
        <v>1278</v>
      </c>
      <c r="B9" s="0" t="n">
        <v>672</v>
      </c>
      <c r="C9" s="0" t="s">
        <v>725</v>
      </c>
      <c r="D9" s="0" t="n">
        <v>48200</v>
      </c>
      <c r="E9" s="0" t="n">
        <v>485</v>
      </c>
      <c r="F9" s="0" t="n">
        <f aca="false">SUMIFS('Total-corrected counts Z&lt;2'!E:E,'Total-corrected counts Z&lt;2'!$A:$A,'Brain networks corrected Z&lt;2'!$B9)</f>
        <v>0</v>
      </c>
      <c r="G9" s="0" t="n">
        <f aca="false">SUMIFS('Total-corrected counts Z&lt;2'!F:F,'Total-corrected counts Z&lt;2'!$A:$A,'Brain networks corrected Z&lt;2'!$B9)</f>
        <v>0</v>
      </c>
      <c r="H9" s="0" t="n">
        <f aca="false">SUMIFS('Total-corrected counts Z&lt;2'!G:G,'Total-corrected counts Z&lt;2'!$A:$A,'Brain networks corrected Z&lt;2'!$B9)</f>
        <v>0</v>
      </c>
      <c r="I9" s="0" t="n">
        <f aca="false">SUMIFS('Total-corrected counts Z&lt;2'!H:H,'Total-corrected counts Z&lt;2'!$A:$A,'Brain networks corrected Z&lt;2'!$B9)</f>
        <v>0</v>
      </c>
      <c r="J9" s="0" t="n">
        <f aca="false">SUMIFS('Total-corrected counts Z&lt;2'!I:I,'Total-corrected counts Z&lt;2'!$A:$A,'Brain networks corrected Z&lt;2'!$B9)</f>
        <v>0</v>
      </c>
      <c r="K9" s="0" t="n">
        <f aca="false">SUMIFS('Total-corrected counts Z&lt;2'!J:J,'Total-corrected counts Z&lt;2'!$A:$A,'Brain networks corrected Z&lt;2'!$B9)</f>
        <v>0</v>
      </c>
      <c r="L9" s="0" t="n">
        <f aca="false">SUMIFS('Total-corrected counts Z&lt;2'!K:K,'Total-corrected counts Z&lt;2'!$A:$A,'Brain networks corrected Z&lt;2'!$B9)</f>
        <v>0</v>
      </c>
      <c r="M9" s="0" t="n">
        <f aca="false">SUMIFS('Total-corrected counts Z&lt;2'!L:L,'Total-corrected counts Z&lt;2'!$A:$A,'Brain networks corrected Z&lt;2'!$B9)</f>
        <v>0</v>
      </c>
      <c r="N9" s="0" t="n">
        <f aca="false">SUMIFS('Total-corrected counts Z&lt;2'!M:M,'Total-corrected counts Z&lt;2'!$A:$A,'Brain networks corrected Z&lt;2'!$B9)</f>
        <v>0</v>
      </c>
      <c r="O9" s="0" t="n">
        <f aca="false">SUMIFS('Total-corrected counts Z&lt;2'!N:N,'Total-corrected counts Z&lt;2'!$A:$A,'Brain networks corrected Z&lt;2'!$B9)</f>
        <v>0</v>
      </c>
      <c r="P9" s="0" t="n">
        <f aca="false">SUMIFS('Total-corrected counts Z&lt;2'!O:O,'Total-corrected counts Z&lt;2'!$A:$A,'Brain networks corrected Z&lt;2'!$B9)</f>
        <v>0</v>
      </c>
      <c r="Q9" s="0" t="n">
        <f aca="false">SUMIFS('Total-corrected counts Z&lt;2'!P:P,'Total-corrected counts Z&lt;2'!$A:$A,'Brain networks corrected Z&lt;2'!$B9)</f>
        <v>0</v>
      </c>
      <c r="R9" s="0" t="n">
        <f aca="false">SUMIFS('Total-corrected counts Z&lt;2'!Q:Q,'Total-corrected counts Z&lt;2'!$A:$A,'Brain networks corrected Z&lt;2'!$B9)</f>
        <v>0</v>
      </c>
      <c r="S9" s="0" t="n">
        <f aca="false">SUMIFS('Total-corrected counts Z&lt;2'!R:R,'Total-corrected counts Z&lt;2'!$A:$A,'Brain networks corrected Z&lt;2'!$B9)</f>
        <v>0</v>
      </c>
      <c r="T9" s="0" t="n">
        <f aca="false">SUMIFS('Total-corrected counts Z&lt;2'!S:S,'Total-corrected counts Z&lt;2'!$A:$A,'Brain networks corrected Z&lt;2'!$B9)</f>
        <v>0</v>
      </c>
      <c r="U9" s="0" t="n">
        <f aca="false">SUMIFS('Total-corrected counts Z&lt;2'!T:T,'Total-corrected counts Z&lt;2'!$A:$A,'Brain networks corrected Z&lt;2'!$B9)</f>
        <v>0</v>
      </c>
      <c r="V9" s="0" t="n">
        <f aca="false">SUMIFS('Total-corrected counts Z&lt;2'!U:U,'Total-corrected counts Z&lt;2'!$A:$A,'Brain networks corrected Z&lt;2'!$B9)</f>
        <v>0</v>
      </c>
      <c r="X9" s="3" t="e">
        <f aca="false">_xlfn.T.TEST(F9:N9,O9:V9,2,2)</f>
        <v>#NUM!</v>
      </c>
      <c r="Y9" s="0" t="n">
        <f aca="false">AVERAGE(F9:N9)</f>
        <v>0</v>
      </c>
      <c r="Z9" s="0" t="n">
        <f aca="false">AVERAGE(O9:V9)</f>
        <v>0</v>
      </c>
      <c r="AA9" s="0" t="n">
        <f aca="false">STDEV(F9:N9)/SQRT(COUNT(F9:N9))</f>
        <v>0</v>
      </c>
      <c r="AB9" s="0" t="n">
        <f aca="false">STDEV(O9:V9)/SQRT(COUNT(O9:V9))</f>
        <v>0</v>
      </c>
    </row>
    <row r="10" customFormat="false" ht="14.5" hidden="false" customHeight="false" outlineLevel="0" collapsed="false">
      <c r="A10" s="0" t="s">
        <v>1279</v>
      </c>
      <c r="B10" s="0" t="n">
        <v>56</v>
      </c>
      <c r="C10" s="0" t="s">
        <v>145</v>
      </c>
      <c r="D10" s="0" t="n">
        <v>48400</v>
      </c>
      <c r="E10" s="0" t="n">
        <v>493</v>
      </c>
      <c r="F10" s="0" t="n">
        <f aca="false">SUMIFS('Total-corrected counts Z&lt;2'!E:E,'Total-corrected counts Z&lt;2'!$A:$A,'Brain networks corrected Z&lt;2'!$B10)</f>
        <v>0</v>
      </c>
      <c r="G10" s="0" t="n">
        <f aca="false">SUMIFS('Total-corrected counts Z&lt;2'!F:F,'Total-corrected counts Z&lt;2'!$A:$A,'Brain networks corrected Z&lt;2'!$B10)</f>
        <v>0</v>
      </c>
      <c r="H10" s="0" t="n">
        <f aca="false">SUMIFS('Total-corrected counts Z&lt;2'!G:G,'Total-corrected counts Z&lt;2'!$A:$A,'Brain networks corrected Z&lt;2'!$B10)</f>
        <v>0</v>
      </c>
      <c r="I10" s="0" t="n">
        <f aca="false">SUMIFS('Total-corrected counts Z&lt;2'!H:H,'Total-corrected counts Z&lt;2'!$A:$A,'Brain networks corrected Z&lt;2'!$B10)</f>
        <v>0</v>
      </c>
      <c r="J10" s="0" t="n">
        <f aca="false">SUMIFS('Total-corrected counts Z&lt;2'!I:I,'Total-corrected counts Z&lt;2'!$A:$A,'Brain networks corrected Z&lt;2'!$B10)</f>
        <v>0</v>
      </c>
      <c r="K10" s="0" t="n">
        <f aca="false">SUMIFS('Total-corrected counts Z&lt;2'!J:J,'Total-corrected counts Z&lt;2'!$A:$A,'Brain networks corrected Z&lt;2'!$B10)</f>
        <v>0</v>
      </c>
      <c r="L10" s="0" t="n">
        <f aca="false">SUMIFS('Total-corrected counts Z&lt;2'!K:K,'Total-corrected counts Z&lt;2'!$A:$A,'Brain networks corrected Z&lt;2'!$B10)</f>
        <v>0</v>
      </c>
      <c r="M10" s="0" t="n">
        <f aca="false">SUMIFS('Total-corrected counts Z&lt;2'!L:L,'Total-corrected counts Z&lt;2'!$A:$A,'Brain networks corrected Z&lt;2'!$B10)</f>
        <v>0</v>
      </c>
      <c r="N10" s="0" t="n">
        <f aca="false">SUMIFS('Total-corrected counts Z&lt;2'!M:M,'Total-corrected counts Z&lt;2'!$A:$A,'Brain networks corrected Z&lt;2'!$B10)</f>
        <v>0</v>
      </c>
      <c r="O10" s="0" t="n">
        <f aca="false">SUMIFS('Total-corrected counts Z&lt;2'!N:N,'Total-corrected counts Z&lt;2'!$A:$A,'Brain networks corrected Z&lt;2'!$B10)</f>
        <v>0</v>
      </c>
      <c r="P10" s="0" t="n">
        <f aca="false">SUMIFS('Total-corrected counts Z&lt;2'!O:O,'Total-corrected counts Z&lt;2'!$A:$A,'Brain networks corrected Z&lt;2'!$B10)</f>
        <v>0</v>
      </c>
      <c r="Q10" s="0" t="n">
        <f aca="false">SUMIFS('Total-corrected counts Z&lt;2'!P:P,'Total-corrected counts Z&lt;2'!$A:$A,'Brain networks corrected Z&lt;2'!$B10)</f>
        <v>0</v>
      </c>
      <c r="R10" s="0" t="n">
        <f aca="false">SUMIFS('Total-corrected counts Z&lt;2'!Q:Q,'Total-corrected counts Z&lt;2'!$A:$A,'Brain networks corrected Z&lt;2'!$B10)</f>
        <v>0</v>
      </c>
      <c r="S10" s="0" t="n">
        <f aca="false">SUMIFS('Total-corrected counts Z&lt;2'!R:R,'Total-corrected counts Z&lt;2'!$A:$A,'Brain networks corrected Z&lt;2'!$B10)</f>
        <v>0</v>
      </c>
      <c r="T10" s="0" t="n">
        <f aca="false">SUMIFS('Total-corrected counts Z&lt;2'!S:S,'Total-corrected counts Z&lt;2'!$A:$A,'Brain networks corrected Z&lt;2'!$B10)</f>
        <v>0</v>
      </c>
      <c r="U10" s="0" t="n">
        <f aca="false">SUMIFS('Total-corrected counts Z&lt;2'!T:T,'Total-corrected counts Z&lt;2'!$A:$A,'Brain networks corrected Z&lt;2'!$B10)</f>
        <v>0</v>
      </c>
      <c r="V10" s="0" t="n">
        <f aca="false">SUMIFS('Total-corrected counts Z&lt;2'!U:U,'Total-corrected counts Z&lt;2'!$A:$A,'Brain networks corrected Z&lt;2'!$B10)</f>
        <v>0</v>
      </c>
      <c r="X10" s="3" t="e">
        <f aca="false">_xlfn.T.TEST(F10:N10,O10:V10,2,2)</f>
        <v>#NUM!</v>
      </c>
      <c r="Y10" s="0" t="n">
        <f aca="false">AVERAGE(F10:N10)</f>
        <v>0</v>
      </c>
      <c r="Z10" s="0" t="n">
        <f aca="false">AVERAGE(O10:V10)</f>
        <v>0</v>
      </c>
      <c r="AA10" s="0" t="n">
        <f aca="false">STDEV(F10:N10)/SQRT(COUNT(F10:N10))</f>
        <v>0</v>
      </c>
      <c r="AB10" s="0" t="n">
        <f aca="false">STDEV(O10:V10)/SQRT(COUNT(O10:V10))</f>
        <v>0</v>
      </c>
    </row>
    <row r="11" customFormat="false" ht="14.5" hidden="false" customHeight="false" outlineLevel="0" collapsed="false">
      <c r="A11" s="0" t="s">
        <v>1280</v>
      </c>
      <c r="B11" s="0" t="n">
        <v>351</v>
      </c>
      <c r="C11" s="0" t="s">
        <v>422</v>
      </c>
      <c r="D11" s="0" t="n">
        <v>52900</v>
      </c>
      <c r="E11" s="0" t="n">
        <v>809</v>
      </c>
      <c r="F11" s="0" t="n">
        <f aca="false">SUMIFS('Total-corrected counts Z&lt;2'!E:E,'Total-corrected counts Z&lt;2'!$A:$A,'Brain networks corrected Z&lt;2'!$B11)</f>
        <v>0</v>
      </c>
      <c r="G11" s="0" t="n">
        <f aca="false">SUMIFS('Total-corrected counts Z&lt;2'!F:F,'Total-corrected counts Z&lt;2'!$A:$A,'Brain networks corrected Z&lt;2'!$B11)</f>
        <v>0</v>
      </c>
      <c r="H11" s="0" t="n">
        <f aca="false">SUMIFS('Total-corrected counts Z&lt;2'!G:G,'Total-corrected counts Z&lt;2'!$A:$A,'Brain networks corrected Z&lt;2'!$B11)</f>
        <v>0</v>
      </c>
      <c r="I11" s="0" t="n">
        <f aca="false">SUMIFS('Total-corrected counts Z&lt;2'!H:H,'Total-corrected counts Z&lt;2'!$A:$A,'Brain networks corrected Z&lt;2'!$B11)</f>
        <v>0</v>
      </c>
      <c r="J11" s="0" t="n">
        <f aca="false">SUMIFS('Total-corrected counts Z&lt;2'!I:I,'Total-corrected counts Z&lt;2'!$A:$A,'Brain networks corrected Z&lt;2'!$B11)</f>
        <v>0</v>
      </c>
      <c r="K11" s="0" t="n">
        <f aca="false">SUMIFS('Total-corrected counts Z&lt;2'!J:J,'Total-corrected counts Z&lt;2'!$A:$A,'Brain networks corrected Z&lt;2'!$B11)</f>
        <v>0</v>
      </c>
      <c r="L11" s="0" t="n">
        <f aca="false">SUMIFS('Total-corrected counts Z&lt;2'!K:K,'Total-corrected counts Z&lt;2'!$A:$A,'Brain networks corrected Z&lt;2'!$B11)</f>
        <v>0</v>
      </c>
      <c r="M11" s="0" t="n">
        <f aca="false">SUMIFS('Total-corrected counts Z&lt;2'!L:L,'Total-corrected counts Z&lt;2'!$A:$A,'Brain networks corrected Z&lt;2'!$B11)</f>
        <v>0</v>
      </c>
      <c r="N11" s="0" t="n">
        <f aca="false">SUMIFS('Total-corrected counts Z&lt;2'!M:M,'Total-corrected counts Z&lt;2'!$A:$A,'Brain networks corrected Z&lt;2'!$B11)</f>
        <v>0</v>
      </c>
      <c r="O11" s="0" t="n">
        <f aca="false">SUMIFS('Total-corrected counts Z&lt;2'!N:N,'Total-corrected counts Z&lt;2'!$A:$A,'Brain networks corrected Z&lt;2'!$B11)</f>
        <v>0</v>
      </c>
      <c r="P11" s="0" t="n">
        <f aca="false">SUMIFS('Total-corrected counts Z&lt;2'!O:O,'Total-corrected counts Z&lt;2'!$A:$A,'Brain networks corrected Z&lt;2'!$B11)</f>
        <v>0</v>
      </c>
      <c r="Q11" s="0" t="n">
        <f aca="false">SUMIFS('Total-corrected counts Z&lt;2'!P:P,'Total-corrected counts Z&lt;2'!$A:$A,'Brain networks corrected Z&lt;2'!$B11)</f>
        <v>0</v>
      </c>
      <c r="R11" s="0" t="n">
        <f aca="false">SUMIFS('Total-corrected counts Z&lt;2'!Q:Q,'Total-corrected counts Z&lt;2'!$A:$A,'Brain networks corrected Z&lt;2'!$B11)</f>
        <v>0</v>
      </c>
      <c r="S11" s="0" t="n">
        <f aca="false">SUMIFS('Total-corrected counts Z&lt;2'!R:R,'Total-corrected counts Z&lt;2'!$A:$A,'Brain networks corrected Z&lt;2'!$B11)</f>
        <v>0</v>
      </c>
      <c r="T11" s="0" t="n">
        <f aca="false">SUMIFS('Total-corrected counts Z&lt;2'!S:S,'Total-corrected counts Z&lt;2'!$A:$A,'Brain networks corrected Z&lt;2'!$B11)</f>
        <v>0</v>
      </c>
      <c r="U11" s="0" t="n">
        <f aca="false">SUMIFS('Total-corrected counts Z&lt;2'!T:T,'Total-corrected counts Z&lt;2'!$A:$A,'Brain networks corrected Z&lt;2'!$B11)</f>
        <v>0</v>
      </c>
      <c r="V11" s="0" t="n">
        <f aca="false">SUMIFS('Total-corrected counts Z&lt;2'!U:U,'Total-corrected counts Z&lt;2'!$A:$A,'Brain networks corrected Z&lt;2'!$B11)</f>
        <v>0</v>
      </c>
      <c r="X11" s="3" t="e">
        <f aca="false">_xlfn.T.TEST(F11:N11,O11:V11,2,2)</f>
        <v>#NUM!</v>
      </c>
      <c r="Y11" s="0" t="n">
        <f aca="false">AVERAGE(F11:N11)</f>
        <v>0</v>
      </c>
      <c r="Z11" s="0" t="n">
        <f aca="false">AVERAGE(O11:V11)</f>
        <v>0</v>
      </c>
      <c r="AA11" s="0" t="n">
        <f aca="false">STDEV(F11:N11)/SQRT(COUNT(F11:N11))</f>
        <v>0</v>
      </c>
      <c r="AB11" s="0" t="n">
        <f aca="false">STDEV(O11:V11)/SQRT(COUNT(O11:V11))</f>
        <v>0</v>
      </c>
    </row>
    <row r="12" customFormat="false" ht="14.5" hidden="false" customHeight="false" outlineLevel="0" collapsed="false">
      <c r="A12" s="0" t="s">
        <v>1281</v>
      </c>
      <c r="B12" s="0" t="n">
        <v>795</v>
      </c>
      <c r="C12" s="0" t="s">
        <v>843</v>
      </c>
      <c r="D12" s="0" t="n">
        <v>81500</v>
      </c>
      <c r="E12" s="0" t="n">
        <v>323</v>
      </c>
      <c r="F12" s="0" t="n">
        <f aca="false">SUMIFS('Total-corrected counts Z&lt;2'!E:E,'Total-corrected counts Z&lt;2'!$A:$A,'Brain networks corrected Z&lt;2'!$B12)</f>
        <v>0</v>
      </c>
      <c r="G12" s="0" t="n">
        <f aca="false">SUMIFS('Total-corrected counts Z&lt;2'!F:F,'Total-corrected counts Z&lt;2'!$A:$A,'Brain networks corrected Z&lt;2'!$B12)</f>
        <v>0</v>
      </c>
      <c r="H12" s="0" t="n">
        <f aca="false">SUMIFS('Total-corrected counts Z&lt;2'!G:G,'Total-corrected counts Z&lt;2'!$A:$A,'Brain networks corrected Z&lt;2'!$B12)</f>
        <v>0</v>
      </c>
      <c r="I12" s="0" t="n">
        <f aca="false">SUMIFS('Total-corrected counts Z&lt;2'!H:H,'Total-corrected counts Z&lt;2'!$A:$A,'Brain networks corrected Z&lt;2'!$B12)</f>
        <v>0</v>
      </c>
      <c r="J12" s="0" t="n">
        <f aca="false">SUMIFS('Total-corrected counts Z&lt;2'!I:I,'Total-corrected counts Z&lt;2'!$A:$A,'Brain networks corrected Z&lt;2'!$B12)</f>
        <v>0</v>
      </c>
      <c r="K12" s="0" t="n">
        <f aca="false">SUMIFS('Total-corrected counts Z&lt;2'!J:J,'Total-corrected counts Z&lt;2'!$A:$A,'Brain networks corrected Z&lt;2'!$B12)</f>
        <v>0</v>
      </c>
      <c r="L12" s="0" t="n">
        <f aca="false">SUMIFS('Total-corrected counts Z&lt;2'!K:K,'Total-corrected counts Z&lt;2'!$A:$A,'Brain networks corrected Z&lt;2'!$B12)</f>
        <v>0</v>
      </c>
      <c r="M12" s="0" t="n">
        <f aca="false">SUMIFS('Total-corrected counts Z&lt;2'!L:L,'Total-corrected counts Z&lt;2'!$A:$A,'Brain networks corrected Z&lt;2'!$B12)</f>
        <v>0</v>
      </c>
      <c r="N12" s="0" t="n">
        <f aca="false">SUMIFS('Total-corrected counts Z&lt;2'!M:M,'Total-corrected counts Z&lt;2'!$A:$A,'Brain networks corrected Z&lt;2'!$B12)</f>
        <v>0</v>
      </c>
      <c r="O12" s="0" t="n">
        <f aca="false">SUMIFS('Total-corrected counts Z&lt;2'!N:N,'Total-corrected counts Z&lt;2'!$A:$A,'Brain networks corrected Z&lt;2'!$B12)</f>
        <v>0</v>
      </c>
      <c r="P12" s="0" t="n">
        <f aca="false">SUMIFS('Total-corrected counts Z&lt;2'!O:O,'Total-corrected counts Z&lt;2'!$A:$A,'Brain networks corrected Z&lt;2'!$B12)</f>
        <v>0</v>
      </c>
      <c r="Q12" s="0" t="n">
        <f aca="false">SUMIFS('Total-corrected counts Z&lt;2'!P:P,'Total-corrected counts Z&lt;2'!$A:$A,'Brain networks corrected Z&lt;2'!$B12)</f>
        <v>0</v>
      </c>
      <c r="R12" s="0" t="n">
        <f aca="false">SUMIFS('Total-corrected counts Z&lt;2'!Q:Q,'Total-corrected counts Z&lt;2'!$A:$A,'Brain networks corrected Z&lt;2'!$B12)</f>
        <v>0</v>
      </c>
      <c r="S12" s="0" t="n">
        <f aca="false">SUMIFS('Total-corrected counts Z&lt;2'!R:R,'Total-corrected counts Z&lt;2'!$A:$A,'Brain networks corrected Z&lt;2'!$B12)</f>
        <v>0</v>
      </c>
      <c r="T12" s="0" t="n">
        <f aca="false">SUMIFS('Total-corrected counts Z&lt;2'!S:S,'Total-corrected counts Z&lt;2'!$A:$A,'Brain networks corrected Z&lt;2'!$B12)</f>
        <v>0</v>
      </c>
      <c r="U12" s="0" t="n">
        <f aca="false">SUMIFS('Total-corrected counts Z&lt;2'!T:T,'Total-corrected counts Z&lt;2'!$A:$A,'Brain networks corrected Z&lt;2'!$B12)</f>
        <v>0</v>
      </c>
      <c r="V12" s="0" t="n">
        <f aca="false">SUMIFS('Total-corrected counts Z&lt;2'!U:U,'Total-corrected counts Z&lt;2'!$A:$A,'Brain networks corrected Z&lt;2'!$B12)</f>
        <v>0</v>
      </c>
      <c r="X12" s="3" t="e">
        <f aca="false">_xlfn.T.TEST(F12:N12,O12:V12,2,2)</f>
        <v>#NUM!</v>
      </c>
      <c r="Y12" s="0" t="n">
        <f aca="false">AVERAGE(F12:N12)</f>
        <v>0</v>
      </c>
      <c r="Z12" s="0" t="n">
        <f aca="false">AVERAGE(O12:V12)</f>
        <v>0</v>
      </c>
      <c r="AA12" s="0" t="n">
        <f aca="false">STDEV(F12:N12)/SQRT(COUNT(F12:N12))</f>
        <v>0</v>
      </c>
      <c r="AB12" s="0" t="n">
        <f aca="false">STDEV(O12:V12)/SQRT(COUNT(O12:V12))</f>
        <v>0</v>
      </c>
    </row>
    <row r="13" customFormat="false" ht="14.5" hidden="false" customHeight="false" outlineLevel="0" collapsed="false">
      <c r="A13" s="0" t="s">
        <v>1282</v>
      </c>
      <c r="B13" s="0" t="n">
        <v>88</v>
      </c>
      <c r="C13" s="0" t="s">
        <v>176</v>
      </c>
      <c r="D13" s="0" t="n">
        <v>74100</v>
      </c>
      <c r="E13" s="0" t="n">
        <v>467</v>
      </c>
      <c r="F13" s="0" t="n">
        <f aca="false">SUMIFS('Total-corrected counts Z&lt;2'!E:E,'Total-corrected counts Z&lt;2'!$A:$A,'Brain networks corrected Z&lt;2'!$B13)</f>
        <v>0</v>
      </c>
      <c r="G13" s="0" t="n">
        <f aca="false">SUMIFS('Total-corrected counts Z&lt;2'!F:F,'Total-corrected counts Z&lt;2'!$A:$A,'Brain networks corrected Z&lt;2'!$B13)</f>
        <v>0</v>
      </c>
      <c r="H13" s="0" t="n">
        <f aca="false">SUMIFS('Total-corrected counts Z&lt;2'!G:G,'Total-corrected counts Z&lt;2'!$A:$A,'Brain networks corrected Z&lt;2'!$B13)</f>
        <v>0</v>
      </c>
      <c r="I13" s="0" t="n">
        <f aca="false">SUMIFS('Total-corrected counts Z&lt;2'!H:H,'Total-corrected counts Z&lt;2'!$A:$A,'Brain networks corrected Z&lt;2'!$B13)</f>
        <v>0</v>
      </c>
      <c r="J13" s="0" t="n">
        <f aca="false">SUMIFS('Total-corrected counts Z&lt;2'!I:I,'Total-corrected counts Z&lt;2'!$A:$A,'Brain networks corrected Z&lt;2'!$B13)</f>
        <v>0</v>
      </c>
      <c r="K13" s="0" t="n">
        <f aca="false">SUMIFS('Total-corrected counts Z&lt;2'!J:J,'Total-corrected counts Z&lt;2'!$A:$A,'Brain networks corrected Z&lt;2'!$B13)</f>
        <v>0</v>
      </c>
      <c r="L13" s="0" t="n">
        <f aca="false">SUMIFS('Total-corrected counts Z&lt;2'!K:K,'Total-corrected counts Z&lt;2'!$A:$A,'Brain networks corrected Z&lt;2'!$B13)</f>
        <v>0</v>
      </c>
      <c r="M13" s="0" t="n">
        <f aca="false">SUMIFS('Total-corrected counts Z&lt;2'!L:L,'Total-corrected counts Z&lt;2'!$A:$A,'Brain networks corrected Z&lt;2'!$B13)</f>
        <v>0</v>
      </c>
      <c r="N13" s="0" t="n">
        <f aca="false">SUMIFS('Total-corrected counts Z&lt;2'!M:M,'Total-corrected counts Z&lt;2'!$A:$A,'Brain networks corrected Z&lt;2'!$B13)</f>
        <v>0</v>
      </c>
      <c r="O13" s="0" t="n">
        <f aca="false">SUMIFS('Total-corrected counts Z&lt;2'!N:N,'Total-corrected counts Z&lt;2'!$A:$A,'Brain networks corrected Z&lt;2'!$B13)</f>
        <v>0</v>
      </c>
      <c r="P13" s="0" t="n">
        <f aca="false">SUMIFS('Total-corrected counts Z&lt;2'!O:O,'Total-corrected counts Z&lt;2'!$A:$A,'Brain networks corrected Z&lt;2'!$B13)</f>
        <v>0</v>
      </c>
      <c r="Q13" s="0" t="n">
        <f aca="false">SUMIFS('Total-corrected counts Z&lt;2'!P:P,'Total-corrected counts Z&lt;2'!$A:$A,'Brain networks corrected Z&lt;2'!$B13)</f>
        <v>0</v>
      </c>
      <c r="R13" s="0" t="n">
        <f aca="false">SUMIFS('Total-corrected counts Z&lt;2'!Q:Q,'Total-corrected counts Z&lt;2'!$A:$A,'Brain networks corrected Z&lt;2'!$B13)</f>
        <v>0</v>
      </c>
      <c r="S13" s="0" t="n">
        <f aca="false">SUMIFS('Total-corrected counts Z&lt;2'!R:R,'Total-corrected counts Z&lt;2'!$A:$A,'Brain networks corrected Z&lt;2'!$B13)</f>
        <v>0</v>
      </c>
      <c r="T13" s="0" t="n">
        <f aca="false">SUMIFS('Total-corrected counts Z&lt;2'!S:S,'Total-corrected counts Z&lt;2'!$A:$A,'Brain networks corrected Z&lt;2'!$B13)</f>
        <v>0</v>
      </c>
      <c r="U13" s="0" t="n">
        <f aca="false">SUMIFS('Total-corrected counts Z&lt;2'!T:T,'Total-corrected counts Z&lt;2'!$A:$A,'Brain networks corrected Z&lt;2'!$B13)</f>
        <v>0</v>
      </c>
      <c r="V13" s="0" t="n">
        <f aca="false">SUMIFS('Total-corrected counts Z&lt;2'!U:U,'Total-corrected counts Z&lt;2'!$A:$A,'Brain networks corrected Z&lt;2'!$B13)</f>
        <v>0</v>
      </c>
      <c r="X13" s="3" t="e">
        <f aca="false">_xlfn.T.TEST(F13:N13,O13:V13,2,2)</f>
        <v>#NUM!</v>
      </c>
      <c r="Y13" s="0" t="n">
        <f aca="false">AVERAGE(F13:N13)</f>
        <v>0</v>
      </c>
      <c r="Z13" s="0" t="n">
        <f aca="false">AVERAGE(O13:V13)</f>
        <v>0</v>
      </c>
      <c r="AA13" s="0" t="n">
        <f aca="false">STDEV(F13:N13)/SQRT(COUNT(F13:N13))</f>
        <v>0</v>
      </c>
      <c r="AB13" s="0" t="n">
        <f aca="false">STDEV(O13:V13)/SQRT(COUNT(O13:V13))</f>
        <v>0</v>
      </c>
    </row>
    <row r="15" customFormat="false" ht="14.5" hidden="false" customHeight="false" outlineLevel="0" collapsed="false">
      <c r="A15" s="4" t="s">
        <v>1283</v>
      </c>
    </row>
    <row r="16" customFormat="false" ht="14.5" hidden="false" customHeight="false" outlineLevel="0" collapsed="false">
      <c r="A16" s="0" t="s">
        <v>1284</v>
      </c>
      <c r="C16" s="0" t="s">
        <v>1285</v>
      </c>
      <c r="E16" s="0" t="n">
        <v>993</v>
      </c>
      <c r="F16" s="0" t="n">
        <f aca="false">SUMPRODUCT(SUMIFS('Total-corrected counts Z&lt;2'!E:E,'Total-corrected counts Z&lt;2'!$A:$A,$B92:$B96))</f>
        <v>0</v>
      </c>
      <c r="G16" s="0" t="n">
        <f aca="false">SUMPRODUCT(SUMIFS('Total-corrected counts Z&lt;2'!F:F,'Total-corrected counts Z&lt;2'!$A:$A,$B92:$B96))</f>
        <v>0</v>
      </c>
      <c r="H16" s="0" t="n">
        <f aca="false">SUMPRODUCT(SUMIFS('Total-corrected counts Z&lt;2'!G:G,'Total-corrected counts Z&lt;2'!$A:$A,$B92:$B96))</f>
        <v>0</v>
      </c>
      <c r="I16" s="0" t="n">
        <f aca="false">SUMPRODUCT(SUMIFS('Total-corrected counts Z&lt;2'!H:H,'Total-corrected counts Z&lt;2'!$A:$A,$B92:$B96))</f>
        <v>0</v>
      </c>
      <c r="J16" s="0" t="n">
        <f aca="false">SUMPRODUCT(SUMIFS('Total-corrected counts Z&lt;2'!I:I,'Total-corrected counts Z&lt;2'!$A:$A,$B92:$B96))</f>
        <v>0</v>
      </c>
      <c r="K16" s="0" t="n">
        <f aca="false">SUMPRODUCT(SUMIFS('Total-corrected counts Z&lt;2'!J:J,'Total-corrected counts Z&lt;2'!$A:$A,$B92:$B96))</f>
        <v>0</v>
      </c>
      <c r="L16" s="0" t="n">
        <f aca="false">SUMPRODUCT(SUMIFS('Total-corrected counts Z&lt;2'!K:K,'Total-corrected counts Z&lt;2'!$A:$A,$B92:$B96))</f>
        <v>0</v>
      </c>
      <c r="M16" s="0" t="n">
        <f aca="false">SUMPRODUCT(SUMIFS('Total-corrected counts Z&lt;2'!L:L,'Total-corrected counts Z&lt;2'!$A:$A,$B92:$B96))</f>
        <v>0</v>
      </c>
      <c r="N16" s="0" t="n">
        <f aca="false">SUMPRODUCT(SUMIFS('Total-corrected counts Z&lt;2'!M:M,'Total-corrected counts Z&lt;2'!$A:$A,$B92:$B96))</f>
        <v>0</v>
      </c>
      <c r="O16" s="0" t="n">
        <f aca="false">SUMPRODUCT(SUMIFS('Total-corrected counts Z&lt;2'!N:N,'Total-corrected counts Z&lt;2'!$A:$A,$B92:$B96))</f>
        <v>0</v>
      </c>
      <c r="P16" s="0" t="n">
        <f aca="false">SUMPRODUCT(SUMIFS('Total-corrected counts Z&lt;2'!O:O,'Total-corrected counts Z&lt;2'!$A:$A,$B92:$B96))</f>
        <v>0</v>
      </c>
      <c r="Q16" s="0" t="n">
        <f aca="false">SUMPRODUCT(SUMIFS('Total-corrected counts Z&lt;2'!P:P,'Total-corrected counts Z&lt;2'!$A:$A,$B92:$B96))</f>
        <v>0</v>
      </c>
      <c r="R16" s="0" t="n">
        <f aca="false">SUMPRODUCT(SUMIFS('Total-corrected counts Z&lt;2'!Q:Q,'Total-corrected counts Z&lt;2'!$A:$A,$B92:$B96))</f>
        <v>0</v>
      </c>
      <c r="S16" s="0" t="n">
        <f aca="false">SUMPRODUCT(SUMIFS('Total-corrected counts Z&lt;2'!R:R,'Total-corrected counts Z&lt;2'!$A:$A,$B92:$B96))</f>
        <v>0</v>
      </c>
      <c r="T16" s="0" t="n">
        <f aca="false">SUMPRODUCT(SUMIFS('Total-corrected counts Z&lt;2'!S:S,'Total-corrected counts Z&lt;2'!$A:$A,$B92:$B96))</f>
        <v>0</v>
      </c>
      <c r="U16" s="0" t="n">
        <f aca="false">SUMPRODUCT(SUMIFS('Total-corrected counts Z&lt;2'!T:T,'Total-corrected counts Z&lt;2'!$A:$A,$B92:$B96))</f>
        <v>0</v>
      </c>
      <c r="V16" s="0" t="n">
        <f aca="false">SUMPRODUCT(SUMIFS('Total-corrected counts Z&lt;2'!U:U,'Total-corrected counts Z&lt;2'!$A:$A,$B92:$B96))</f>
        <v>0</v>
      </c>
      <c r="X16" s="3" t="e">
        <f aca="false">_xlfn.T.TEST(F16:N16,O16:V16,2,2)</f>
        <v>#NUM!</v>
      </c>
      <c r="Y16" s="0" t="n">
        <f aca="false">AVERAGE(F16:N16)</f>
        <v>0</v>
      </c>
      <c r="Z16" s="0" t="n">
        <f aca="false">AVERAGE(O16:V16)</f>
        <v>0</v>
      </c>
      <c r="AA16" s="0" t="n">
        <f aca="false">STDEV(F16:N16)/SQRT(COUNT(F16:N16))</f>
        <v>0</v>
      </c>
      <c r="AB16" s="0" t="n">
        <f aca="false">STDEV(O16:V16)/SQRT(COUNT(O16:V16))</f>
        <v>0</v>
      </c>
    </row>
    <row r="17" customFormat="false" ht="14.5" hidden="false" customHeight="false" outlineLevel="0" collapsed="false">
      <c r="A17" s="0" t="s">
        <v>44</v>
      </c>
      <c r="C17" s="0" t="s">
        <v>45</v>
      </c>
      <c r="E17" s="0" t="n">
        <v>44</v>
      </c>
      <c r="F17" s="0" t="n">
        <f aca="false">SUMPRODUCT(SUMIFS('Total-corrected counts Z&lt;2'!E:E,'Total-corrected counts Z&lt;2'!$A:$A,$B57:$B61))</f>
        <v>0</v>
      </c>
      <c r="G17" s="0" t="n">
        <f aca="false">SUMPRODUCT(SUMIFS('Total-corrected counts Z&lt;2'!F:F,'Total-corrected counts Z&lt;2'!$A:$A,$B57:$B61))</f>
        <v>0</v>
      </c>
      <c r="H17" s="0" t="n">
        <f aca="false">SUMPRODUCT(SUMIFS('Total-corrected counts Z&lt;2'!G:G,'Total-corrected counts Z&lt;2'!$A:$A,$B57:$B61))</f>
        <v>0</v>
      </c>
      <c r="I17" s="0" t="n">
        <f aca="false">SUMPRODUCT(SUMIFS('Total-corrected counts Z&lt;2'!H:H,'Total-corrected counts Z&lt;2'!$A:$A,$B57:$B61))</f>
        <v>0</v>
      </c>
      <c r="J17" s="0" t="n">
        <f aca="false">SUMPRODUCT(SUMIFS('Total-corrected counts Z&lt;2'!I:I,'Total-corrected counts Z&lt;2'!$A:$A,$B57:$B61))</f>
        <v>0</v>
      </c>
      <c r="K17" s="0" t="n">
        <f aca="false">SUMPRODUCT(SUMIFS('Total-corrected counts Z&lt;2'!J:J,'Total-corrected counts Z&lt;2'!$A:$A,$B57:$B61))</f>
        <v>0</v>
      </c>
      <c r="L17" s="0" t="n">
        <f aca="false">SUMPRODUCT(SUMIFS('Total-corrected counts Z&lt;2'!K:K,'Total-corrected counts Z&lt;2'!$A:$A,$B57:$B61))</f>
        <v>0</v>
      </c>
      <c r="M17" s="0" t="n">
        <f aca="false">SUMPRODUCT(SUMIFS('Total-corrected counts Z&lt;2'!L:L,'Total-corrected counts Z&lt;2'!$A:$A,$B57:$B61))</f>
        <v>0</v>
      </c>
      <c r="N17" s="0" t="n">
        <f aca="false">SUMPRODUCT(SUMIFS('Total-corrected counts Z&lt;2'!M:M,'Total-corrected counts Z&lt;2'!$A:$A,$B57:$B61))</f>
        <v>0</v>
      </c>
      <c r="O17" s="0" t="n">
        <f aca="false">SUMPRODUCT(SUMIFS('Total-corrected counts Z&lt;2'!N:N,'Total-corrected counts Z&lt;2'!$A:$A,$B57:$B61))</f>
        <v>0</v>
      </c>
      <c r="P17" s="0" t="n">
        <f aca="false">SUMPRODUCT(SUMIFS('Total-corrected counts Z&lt;2'!O:O,'Total-corrected counts Z&lt;2'!$A:$A,$B57:$B61))</f>
        <v>0</v>
      </c>
      <c r="Q17" s="0" t="n">
        <f aca="false">SUMPRODUCT(SUMIFS('Total-corrected counts Z&lt;2'!P:P,'Total-corrected counts Z&lt;2'!$A:$A,$B57:$B61))</f>
        <v>0</v>
      </c>
      <c r="R17" s="0" t="n">
        <f aca="false">SUMPRODUCT(SUMIFS('Total-corrected counts Z&lt;2'!Q:Q,'Total-corrected counts Z&lt;2'!$A:$A,$B57:$B61))</f>
        <v>0</v>
      </c>
      <c r="S17" s="0" t="n">
        <f aca="false">SUMPRODUCT(SUMIFS('Total-corrected counts Z&lt;2'!R:R,'Total-corrected counts Z&lt;2'!$A:$A,$B57:$B61))</f>
        <v>0</v>
      </c>
      <c r="T17" s="0" t="n">
        <f aca="false">SUMPRODUCT(SUMIFS('Total-corrected counts Z&lt;2'!S:S,'Total-corrected counts Z&lt;2'!$A:$A,$B57:$B61))</f>
        <v>0</v>
      </c>
      <c r="U17" s="0" t="n">
        <f aca="false">SUMPRODUCT(SUMIFS('Total-corrected counts Z&lt;2'!T:T,'Total-corrected counts Z&lt;2'!$A:$A,$B57:$B61))</f>
        <v>0</v>
      </c>
      <c r="V17" s="0" t="n">
        <f aca="false">SUMPRODUCT(SUMIFS('Total-corrected counts Z&lt;2'!U:U,'Total-corrected counts Z&lt;2'!$A:$A,$B57:$B61))</f>
        <v>0</v>
      </c>
      <c r="X17" s="3" t="e">
        <f aca="false">_xlfn.T.TEST(F17:N17,O17:V17,2,2)</f>
        <v>#NUM!</v>
      </c>
      <c r="Y17" s="0" t="n">
        <f aca="false">AVERAGE(F17:N17)</f>
        <v>0</v>
      </c>
      <c r="Z17" s="0" t="n">
        <f aca="false">AVERAGE(O17:V17)</f>
        <v>0</v>
      </c>
      <c r="AA17" s="0" t="n">
        <f aca="false">STDEV(F17:N17)/SQRT(COUNT(F17:N17))</f>
        <v>0</v>
      </c>
      <c r="AB17" s="0" t="n">
        <f aca="false">STDEV(O17:V17)/SQRT(COUNT(O17:V17))</f>
        <v>0</v>
      </c>
    </row>
    <row r="19" customFormat="false" ht="14.5" hidden="false" customHeight="false" outlineLevel="0" collapsed="false">
      <c r="A19" s="4" t="s">
        <v>1286</v>
      </c>
    </row>
    <row r="20" customFormat="false" ht="14.5" hidden="false" customHeight="false" outlineLevel="0" collapsed="false">
      <c r="A20" s="0" t="s">
        <v>42</v>
      </c>
      <c r="C20" s="0" t="s">
        <v>43</v>
      </c>
      <c r="E20" s="0" t="n">
        <v>972</v>
      </c>
      <c r="F20" s="0" t="n">
        <f aca="false">SUMPRODUCT(SUMIFS('Total-corrected counts Z&lt;2'!E:E,'Total-corrected counts Z&lt;2'!$A:$A,$B52:$B56))</f>
        <v>0</v>
      </c>
      <c r="G20" s="0" t="n">
        <f aca="false">SUMPRODUCT(SUMIFS('Total-corrected counts Z&lt;2'!F:F,'Total-corrected counts Z&lt;2'!$A:$A,$B52:$B56))</f>
        <v>0</v>
      </c>
      <c r="H20" s="0" t="n">
        <f aca="false">SUMPRODUCT(SUMIFS('Total-corrected counts Z&lt;2'!G:G,'Total-corrected counts Z&lt;2'!$A:$A,$B52:$B56))</f>
        <v>0</v>
      </c>
      <c r="I20" s="0" t="n">
        <f aca="false">SUMPRODUCT(SUMIFS('Total-corrected counts Z&lt;2'!H:H,'Total-corrected counts Z&lt;2'!$A:$A,$B52:$B56))</f>
        <v>0</v>
      </c>
      <c r="J20" s="0" t="n">
        <f aca="false">SUMPRODUCT(SUMIFS('Total-corrected counts Z&lt;2'!I:I,'Total-corrected counts Z&lt;2'!$A:$A,$B52:$B56))</f>
        <v>0</v>
      </c>
      <c r="K20" s="0" t="n">
        <f aca="false">SUMPRODUCT(SUMIFS('Total-corrected counts Z&lt;2'!J:J,'Total-corrected counts Z&lt;2'!$A:$A,$B52:$B56))</f>
        <v>0</v>
      </c>
      <c r="L20" s="0" t="n">
        <f aca="false">SUMPRODUCT(SUMIFS('Total-corrected counts Z&lt;2'!K:K,'Total-corrected counts Z&lt;2'!$A:$A,$B52:$B56))</f>
        <v>0</v>
      </c>
      <c r="M20" s="0" t="n">
        <f aca="false">SUMPRODUCT(SUMIFS('Total-corrected counts Z&lt;2'!L:L,'Total-corrected counts Z&lt;2'!$A:$A,$B52:$B56))</f>
        <v>0</v>
      </c>
      <c r="N20" s="0" t="n">
        <f aca="false">SUMPRODUCT(SUMIFS('Total-corrected counts Z&lt;2'!M:M,'Total-corrected counts Z&lt;2'!$A:$A,$B52:$B56))</f>
        <v>0</v>
      </c>
      <c r="O20" s="0" t="n">
        <f aca="false">SUMPRODUCT(SUMIFS('Total-corrected counts Z&lt;2'!N:N,'Total-corrected counts Z&lt;2'!$A:$A,$B52:$B56))</f>
        <v>0</v>
      </c>
      <c r="P20" s="0" t="n">
        <f aca="false">SUMPRODUCT(SUMIFS('Total-corrected counts Z&lt;2'!O:O,'Total-corrected counts Z&lt;2'!$A:$A,$B52:$B56))</f>
        <v>0</v>
      </c>
      <c r="Q20" s="0" t="n">
        <f aca="false">SUMPRODUCT(SUMIFS('Total-corrected counts Z&lt;2'!P:P,'Total-corrected counts Z&lt;2'!$A:$A,$B52:$B56))</f>
        <v>0</v>
      </c>
      <c r="R20" s="0" t="n">
        <f aca="false">SUMPRODUCT(SUMIFS('Total-corrected counts Z&lt;2'!Q:Q,'Total-corrected counts Z&lt;2'!$A:$A,$B52:$B56))</f>
        <v>0</v>
      </c>
      <c r="S20" s="0" t="n">
        <f aca="false">SUMPRODUCT(SUMIFS('Total-corrected counts Z&lt;2'!R:R,'Total-corrected counts Z&lt;2'!$A:$A,$B52:$B56))</f>
        <v>0</v>
      </c>
      <c r="T20" s="0" t="n">
        <f aca="false">SUMPRODUCT(SUMIFS('Total-corrected counts Z&lt;2'!S:S,'Total-corrected counts Z&lt;2'!$A:$A,$B52:$B56))</f>
        <v>0</v>
      </c>
      <c r="U20" s="0" t="n">
        <f aca="false">SUMPRODUCT(SUMIFS('Total-corrected counts Z&lt;2'!T:T,'Total-corrected counts Z&lt;2'!$A:$A,$B52:$B56))</f>
        <v>0</v>
      </c>
      <c r="V20" s="0" t="n">
        <f aca="false">SUMPRODUCT(SUMIFS('Total-corrected counts Z&lt;2'!U:U,'Total-corrected counts Z&lt;2'!$A:$A,$B52:$B56))</f>
        <v>0</v>
      </c>
      <c r="X20" s="3" t="e">
        <f aca="false">_xlfn.T.TEST(F20:N20,O20:V20,2,2)</f>
        <v>#NUM!</v>
      </c>
      <c r="Y20" s="0" t="n">
        <f aca="false">AVERAGE(F20:N20)</f>
        <v>0</v>
      </c>
      <c r="Z20" s="0" t="n">
        <f aca="false">AVERAGE(O20:V20)</f>
        <v>0</v>
      </c>
      <c r="AA20" s="0" t="n">
        <f aca="false">STDEV(F20:N20)/SQRT(COUNT(F20:N20))</f>
        <v>0</v>
      </c>
      <c r="AB20" s="0" t="n">
        <f aca="false">STDEV(O20:V20)/SQRT(COUNT(O20:V20))</f>
        <v>0</v>
      </c>
    </row>
    <row r="21" customFormat="false" ht="14.5" hidden="false" customHeight="false" outlineLevel="0" collapsed="false">
      <c r="A21" s="0" t="s">
        <v>1287</v>
      </c>
      <c r="C21" s="0" t="s">
        <v>1288</v>
      </c>
      <c r="F21" s="0" t="n">
        <f aca="false">SUMPRODUCT(SUMIFS('Total-corrected counts Z&lt;2'!E:E,'Total-corrected counts Z&lt;2'!$A:$A,$B97:$B106))</f>
        <v>0</v>
      </c>
      <c r="G21" s="0" t="n">
        <f aca="false">SUMPRODUCT(SUMIFS('Total-corrected counts Z&lt;2'!F:F,'Total-corrected counts Z&lt;2'!$A:$A,$B97:$B106))</f>
        <v>0</v>
      </c>
      <c r="H21" s="0" t="n">
        <f aca="false">SUMPRODUCT(SUMIFS('Total-corrected counts Z&lt;2'!G:G,'Total-corrected counts Z&lt;2'!$A:$A,$B97:$B106))</f>
        <v>0</v>
      </c>
      <c r="I21" s="0" t="n">
        <f aca="false">SUMPRODUCT(SUMIFS('Total-corrected counts Z&lt;2'!H:H,'Total-corrected counts Z&lt;2'!$A:$A,$B97:$B106))</f>
        <v>0</v>
      </c>
      <c r="J21" s="0" t="n">
        <f aca="false">SUMPRODUCT(SUMIFS('Total-corrected counts Z&lt;2'!I:I,'Total-corrected counts Z&lt;2'!$A:$A,$B97:$B106))</f>
        <v>0</v>
      </c>
      <c r="K21" s="0" t="n">
        <f aca="false">SUMPRODUCT(SUMIFS('Total-corrected counts Z&lt;2'!J:J,'Total-corrected counts Z&lt;2'!$A:$A,$B97:$B106))</f>
        <v>0</v>
      </c>
      <c r="L21" s="0" t="n">
        <f aca="false">SUMPRODUCT(SUMIFS('Total-corrected counts Z&lt;2'!K:K,'Total-corrected counts Z&lt;2'!$A:$A,$B97:$B106))</f>
        <v>0</v>
      </c>
      <c r="M21" s="0" t="n">
        <f aca="false">SUMPRODUCT(SUMIFS('Total-corrected counts Z&lt;2'!L:L,'Total-corrected counts Z&lt;2'!$A:$A,$B97:$B106))</f>
        <v>0</v>
      </c>
      <c r="N21" s="0" t="n">
        <f aca="false">SUMPRODUCT(SUMIFS('Total-corrected counts Z&lt;2'!M:M,'Total-corrected counts Z&lt;2'!$A:$A,$B97:$B106))</f>
        <v>0</v>
      </c>
      <c r="O21" s="0" t="n">
        <f aca="false">SUMPRODUCT(SUMIFS('Total-corrected counts Z&lt;2'!N:N,'Total-corrected counts Z&lt;2'!$A:$A,$B97:$B106))</f>
        <v>0</v>
      </c>
      <c r="P21" s="0" t="n">
        <f aca="false">SUMPRODUCT(SUMIFS('Total-corrected counts Z&lt;2'!O:O,'Total-corrected counts Z&lt;2'!$A:$A,$B97:$B106))</f>
        <v>0</v>
      </c>
      <c r="Q21" s="0" t="n">
        <f aca="false">SUMPRODUCT(SUMIFS('Total-corrected counts Z&lt;2'!P:P,'Total-corrected counts Z&lt;2'!$A:$A,$B97:$B106))</f>
        <v>0</v>
      </c>
      <c r="R21" s="0" t="n">
        <f aca="false">SUMPRODUCT(SUMIFS('Total-corrected counts Z&lt;2'!Q:Q,'Total-corrected counts Z&lt;2'!$A:$A,$B97:$B106))</f>
        <v>0</v>
      </c>
      <c r="S21" s="0" t="n">
        <f aca="false">SUMPRODUCT(SUMIFS('Total-corrected counts Z&lt;2'!R:R,'Total-corrected counts Z&lt;2'!$A:$A,$B97:$B106))</f>
        <v>0</v>
      </c>
      <c r="T21" s="0" t="n">
        <f aca="false">SUMPRODUCT(SUMIFS('Total-corrected counts Z&lt;2'!S:S,'Total-corrected counts Z&lt;2'!$A:$A,$B97:$B106))</f>
        <v>0</v>
      </c>
      <c r="U21" s="0" t="n">
        <f aca="false">SUMPRODUCT(SUMIFS('Total-corrected counts Z&lt;2'!T:T,'Total-corrected counts Z&lt;2'!$A:$A,$B97:$B106))</f>
        <v>0</v>
      </c>
      <c r="V21" s="0" t="n">
        <f aca="false">SUMPRODUCT(SUMIFS('Total-corrected counts Z&lt;2'!U:U,'Total-corrected counts Z&lt;2'!$A:$A,$B97:$B106))</f>
        <v>0</v>
      </c>
      <c r="X21" s="3" t="e">
        <f aca="false">_xlfn.T.TEST(F21:N21,O21:V21,2,2)</f>
        <v>#NUM!</v>
      </c>
      <c r="Y21" s="0" t="n">
        <f aca="false">AVERAGE(F21:N21)</f>
        <v>0</v>
      </c>
      <c r="Z21" s="0" t="n">
        <f aca="false">AVERAGE(O21:V21)</f>
        <v>0</v>
      </c>
      <c r="AA21" s="0" t="n">
        <f aca="false">STDEV(F21:N21)/SQRT(COUNT(F21:N21))</f>
        <v>0</v>
      </c>
      <c r="AB21" s="0" t="n">
        <f aca="false">STDEV(O21:V21)/SQRT(COUNT(O21:V21))</f>
        <v>0</v>
      </c>
    </row>
    <row r="22" customFormat="false" ht="14.5" hidden="false" customHeight="false" outlineLevel="0" collapsed="false">
      <c r="A22" s="0" t="s">
        <v>1289</v>
      </c>
      <c r="C22" s="0" t="s">
        <v>1290</v>
      </c>
      <c r="E22" s="0" t="n">
        <v>731</v>
      </c>
      <c r="F22" s="0" t="n">
        <f aca="false">SUMPRODUCT(SUMIFS('Total-corrected counts Z&lt;2'!E:E,'Total-corrected counts Z&lt;2'!$A:$A,$B107:$B110))</f>
        <v>0</v>
      </c>
      <c r="G22" s="0" t="n">
        <f aca="false">SUMPRODUCT(SUMIFS('Total-corrected counts Z&lt;2'!F:F,'Total-corrected counts Z&lt;2'!$A:$A,$B107:$B110))</f>
        <v>0</v>
      </c>
      <c r="H22" s="0" t="n">
        <f aca="false">SUMPRODUCT(SUMIFS('Total-corrected counts Z&lt;2'!G:G,'Total-corrected counts Z&lt;2'!$A:$A,$B107:$B110))</f>
        <v>0</v>
      </c>
      <c r="I22" s="0" t="n">
        <f aca="false">SUMPRODUCT(SUMIFS('Total-corrected counts Z&lt;2'!H:H,'Total-corrected counts Z&lt;2'!$A:$A,$B107:$B110))</f>
        <v>0</v>
      </c>
      <c r="J22" s="0" t="n">
        <f aca="false">SUMPRODUCT(SUMIFS('Total-corrected counts Z&lt;2'!I:I,'Total-corrected counts Z&lt;2'!$A:$A,$B107:$B110))</f>
        <v>0</v>
      </c>
      <c r="K22" s="0" t="n">
        <f aca="false">SUMPRODUCT(SUMIFS('Total-corrected counts Z&lt;2'!J:J,'Total-corrected counts Z&lt;2'!$A:$A,$B107:$B110))</f>
        <v>0</v>
      </c>
      <c r="L22" s="0" t="n">
        <f aca="false">SUMPRODUCT(SUMIFS('Total-corrected counts Z&lt;2'!K:K,'Total-corrected counts Z&lt;2'!$A:$A,$B107:$B110))</f>
        <v>0</v>
      </c>
      <c r="M22" s="0" t="n">
        <f aca="false">SUMPRODUCT(SUMIFS('Total-corrected counts Z&lt;2'!L:L,'Total-corrected counts Z&lt;2'!$A:$A,$B107:$B110))</f>
        <v>0</v>
      </c>
      <c r="N22" s="0" t="n">
        <f aca="false">SUMPRODUCT(SUMIFS('Total-corrected counts Z&lt;2'!M:M,'Total-corrected counts Z&lt;2'!$A:$A,$B107:$B110))</f>
        <v>0</v>
      </c>
      <c r="O22" s="0" t="n">
        <f aca="false">SUMPRODUCT(SUMIFS('Total-corrected counts Z&lt;2'!N:N,'Total-corrected counts Z&lt;2'!$A:$A,$B107:$B110))</f>
        <v>0</v>
      </c>
      <c r="P22" s="0" t="n">
        <f aca="false">SUMPRODUCT(SUMIFS('Total-corrected counts Z&lt;2'!O:O,'Total-corrected counts Z&lt;2'!$A:$A,$B107:$B110))</f>
        <v>0</v>
      </c>
      <c r="Q22" s="0" t="n">
        <f aca="false">SUMPRODUCT(SUMIFS('Total-corrected counts Z&lt;2'!P:P,'Total-corrected counts Z&lt;2'!$A:$A,$B107:$B110))</f>
        <v>0</v>
      </c>
      <c r="R22" s="0" t="n">
        <f aca="false">SUMPRODUCT(SUMIFS('Total-corrected counts Z&lt;2'!Q:Q,'Total-corrected counts Z&lt;2'!$A:$A,$B107:$B110))</f>
        <v>0</v>
      </c>
      <c r="S22" s="0" t="n">
        <f aca="false">SUMPRODUCT(SUMIFS('Total-corrected counts Z&lt;2'!R:R,'Total-corrected counts Z&lt;2'!$A:$A,$B107:$B110))</f>
        <v>0</v>
      </c>
      <c r="T22" s="0" t="n">
        <f aca="false">SUMPRODUCT(SUMIFS('Total-corrected counts Z&lt;2'!S:S,'Total-corrected counts Z&lt;2'!$A:$A,$B107:$B110))</f>
        <v>0</v>
      </c>
      <c r="U22" s="0" t="n">
        <f aca="false">SUMPRODUCT(SUMIFS('Total-corrected counts Z&lt;2'!T:T,'Total-corrected counts Z&lt;2'!$A:$A,$B107:$B110))</f>
        <v>0</v>
      </c>
      <c r="V22" s="0" t="n">
        <f aca="false">SUMPRODUCT(SUMIFS('Total-corrected counts Z&lt;2'!U:U,'Total-corrected counts Z&lt;2'!$A:$A,$B107:$B110))</f>
        <v>0</v>
      </c>
      <c r="X22" s="3" t="e">
        <f aca="false">_xlfn.T.TEST(F22:N22,O22:V22,2,2)</f>
        <v>#NUM!</v>
      </c>
      <c r="Y22" s="0" t="n">
        <f aca="false">AVERAGE(F22:N22)</f>
        <v>0</v>
      </c>
      <c r="Z22" s="0" t="n">
        <f aca="false">AVERAGE(O22:V22)</f>
        <v>0</v>
      </c>
      <c r="AA22" s="0" t="n">
        <f aca="false">STDEV(F22:N22)/SQRT(COUNT(F22:N22))</f>
        <v>0</v>
      </c>
      <c r="AB22" s="0" t="n">
        <f aca="false">STDEV(O22:V22)/SQRT(COUNT(O22:V22))</f>
        <v>0</v>
      </c>
    </row>
    <row r="23" customFormat="false" ht="14.5" hidden="false" customHeight="false" outlineLevel="0" collapsed="false">
      <c r="A23" s="0" t="s">
        <v>38</v>
      </c>
      <c r="C23" s="0" t="s">
        <v>39</v>
      </c>
      <c r="F23" s="0" t="n">
        <f aca="false">SUMPRODUCT(SUMIFS('Total-corrected counts Z&lt;2'!E:E,'Total-corrected counts Z&lt;2'!$A:$A,$B35:$B51))</f>
        <v>0</v>
      </c>
      <c r="G23" s="0" t="n">
        <f aca="false">SUMPRODUCT(SUMIFS('Total-corrected counts Z&lt;2'!F:F,'Total-corrected counts Z&lt;2'!$A:$A,$B35:$B51))</f>
        <v>0</v>
      </c>
      <c r="H23" s="0" t="n">
        <f aca="false">SUMPRODUCT(SUMIFS('Total-corrected counts Z&lt;2'!G:G,'Total-corrected counts Z&lt;2'!$A:$A,$B35:$B51))</f>
        <v>0</v>
      </c>
      <c r="I23" s="0" t="n">
        <f aca="false">SUMPRODUCT(SUMIFS('Total-corrected counts Z&lt;2'!H:H,'Total-corrected counts Z&lt;2'!$A:$A,$B35:$B51))</f>
        <v>0</v>
      </c>
      <c r="J23" s="0" t="n">
        <f aca="false">SUMPRODUCT(SUMIFS('Total-corrected counts Z&lt;2'!I:I,'Total-corrected counts Z&lt;2'!$A:$A,$B35:$B51))</f>
        <v>0</v>
      </c>
      <c r="K23" s="0" t="n">
        <f aca="false">SUMPRODUCT(SUMIFS('Total-corrected counts Z&lt;2'!J:J,'Total-corrected counts Z&lt;2'!$A:$A,$B35:$B51))</f>
        <v>0</v>
      </c>
      <c r="L23" s="0" t="n">
        <f aca="false">SUMPRODUCT(SUMIFS('Total-corrected counts Z&lt;2'!K:K,'Total-corrected counts Z&lt;2'!$A:$A,$B35:$B51))</f>
        <v>0</v>
      </c>
      <c r="M23" s="0" t="n">
        <f aca="false">SUMPRODUCT(SUMIFS('Total-corrected counts Z&lt;2'!L:L,'Total-corrected counts Z&lt;2'!$A:$A,$B35:$B51))</f>
        <v>0</v>
      </c>
      <c r="N23" s="0" t="n">
        <f aca="false">SUMPRODUCT(SUMIFS('Total-corrected counts Z&lt;2'!M:M,'Total-corrected counts Z&lt;2'!$A:$A,$B35:$B51))</f>
        <v>0</v>
      </c>
      <c r="O23" s="0" t="n">
        <f aca="false">SUMPRODUCT(SUMIFS('Total-corrected counts Z&lt;2'!N:N,'Total-corrected counts Z&lt;2'!$A:$A,$B35:$B51))</f>
        <v>0</v>
      </c>
      <c r="P23" s="0" t="n">
        <f aca="false">SUMPRODUCT(SUMIFS('Total-corrected counts Z&lt;2'!O:O,'Total-corrected counts Z&lt;2'!$A:$A,$B35:$B51))</f>
        <v>0</v>
      </c>
      <c r="Q23" s="0" t="n">
        <f aca="false">SUMPRODUCT(SUMIFS('Total-corrected counts Z&lt;2'!P:P,'Total-corrected counts Z&lt;2'!$A:$A,$B35:$B51))</f>
        <v>0</v>
      </c>
      <c r="R23" s="0" t="n">
        <f aca="false">SUMPRODUCT(SUMIFS('Total-corrected counts Z&lt;2'!Q:Q,'Total-corrected counts Z&lt;2'!$A:$A,$B35:$B51))</f>
        <v>0</v>
      </c>
      <c r="S23" s="0" t="n">
        <f aca="false">SUMPRODUCT(SUMIFS('Total-corrected counts Z&lt;2'!R:R,'Total-corrected counts Z&lt;2'!$A:$A,$B35:$B51))</f>
        <v>0</v>
      </c>
      <c r="T23" s="0" t="n">
        <f aca="false">SUMPRODUCT(SUMIFS('Total-corrected counts Z&lt;2'!S:S,'Total-corrected counts Z&lt;2'!$A:$A,$B35:$B51))</f>
        <v>0</v>
      </c>
      <c r="U23" s="0" t="n">
        <f aca="false">SUMPRODUCT(SUMIFS('Total-corrected counts Z&lt;2'!T:T,'Total-corrected counts Z&lt;2'!$A:$A,$B35:$B51))</f>
        <v>0</v>
      </c>
      <c r="V23" s="0" t="n">
        <f aca="false">SUMPRODUCT(SUMIFS('Total-corrected counts Z&lt;2'!U:U,'Total-corrected counts Z&lt;2'!$A:$A,$B35:$B51))</f>
        <v>0</v>
      </c>
      <c r="X23" s="3" t="e">
        <f aca="false">_xlfn.T.TEST(F23:N23,O23:V23,2,2)</f>
        <v>#NUM!</v>
      </c>
      <c r="Y23" s="0" t="n">
        <f aca="false">AVERAGE(F23:N23)</f>
        <v>0</v>
      </c>
      <c r="Z23" s="0" t="n">
        <f aca="false">AVERAGE(O23:V23)</f>
        <v>0</v>
      </c>
      <c r="AA23" s="0" t="n">
        <f aca="false">STDEV(F23:N23)/SQRT(COUNT(F23:N23))</f>
        <v>0</v>
      </c>
      <c r="AB23" s="0" t="n">
        <f aca="false">STDEV(O23:V23)/SQRT(COUNT(O23:V23))</f>
        <v>0</v>
      </c>
    </row>
    <row r="24" customFormat="false" ht="14.5" hidden="false" customHeight="false" outlineLevel="0" collapsed="false">
      <c r="A24" s="0" t="s">
        <v>1291</v>
      </c>
      <c r="C24" s="0" t="s">
        <v>1292</v>
      </c>
      <c r="E24" s="0" t="n">
        <v>909</v>
      </c>
      <c r="F24" s="0" t="n">
        <f aca="false">SUMPRODUCT(SUMIFS('Total-corrected counts Z&lt;2'!E:E,'Total-corrected counts Z&lt;2'!$A:$A,$B111:$B113))</f>
        <v>0</v>
      </c>
      <c r="G24" s="0" t="n">
        <f aca="false">SUMPRODUCT(SUMIFS('Total-corrected counts Z&lt;2'!F:F,'Total-corrected counts Z&lt;2'!$A:$A,$B111:$B113))</f>
        <v>0</v>
      </c>
      <c r="H24" s="0" t="n">
        <f aca="false">SUMPRODUCT(SUMIFS('Total-corrected counts Z&lt;2'!G:G,'Total-corrected counts Z&lt;2'!$A:$A,$B111:$B113))</f>
        <v>0</v>
      </c>
      <c r="I24" s="0" t="n">
        <f aca="false">SUMPRODUCT(SUMIFS('Total-corrected counts Z&lt;2'!H:H,'Total-corrected counts Z&lt;2'!$A:$A,$B111:$B113))</f>
        <v>0</v>
      </c>
      <c r="J24" s="0" t="n">
        <f aca="false">SUMPRODUCT(SUMIFS('Total-corrected counts Z&lt;2'!I:I,'Total-corrected counts Z&lt;2'!$A:$A,$B111:$B113))</f>
        <v>0</v>
      </c>
      <c r="K24" s="0" t="n">
        <f aca="false">SUMPRODUCT(SUMIFS('Total-corrected counts Z&lt;2'!J:J,'Total-corrected counts Z&lt;2'!$A:$A,$B111:$B113))</f>
        <v>0</v>
      </c>
      <c r="L24" s="0" t="n">
        <f aca="false">SUMPRODUCT(SUMIFS('Total-corrected counts Z&lt;2'!K:K,'Total-corrected counts Z&lt;2'!$A:$A,$B111:$B113))</f>
        <v>0</v>
      </c>
      <c r="M24" s="0" t="n">
        <f aca="false">SUMPRODUCT(SUMIFS('Total-corrected counts Z&lt;2'!L:L,'Total-corrected counts Z&lt;2'!$A:$A,$B111:$B113))</f>
        <v>0</v>
      </c>
      <c r="N24" s="0" t="n">
        <f aca="false">SUMPRODUCT(SUMIFS('Total-corrected counts Z&lt;2'!M:M,'Total-corrected counts Z&lt;2'!$A:$A,$B111:$B113))</f>
        <v>0</v>
      </c>
      <c r="O24" s="0" t="n">
        <f aca="false">SUMPRODUCT(SUMIFS('Total-corrected counts Z&lt;2'!N:N,'Total-corrected counts Z&lt;2'!$A:$A,$B111:$B113))</f>
        <v>0</v>
      </c>
      <c r="P24" s="0" t="n">
        <f aca="false">SUMPRODUCT(SUMIFS('Total-corrected counts Z&lt;2'!O:O,'Total-corrected counts Z&lt;2'!$A:$A,$B111:$B113))</f>
        <v>0</v>
      </c>
      <c r="Q24" s="0" t="n">
        <f aca="false">SUMPRODUCT(SUMIFS('Total-corrected counts Z&lt;2'!P:P,'Total-corrected counts Z&lt;2'!$A:$A,$B111:$B113))</f>
        <v>0</v>
      </c>
      <c r="R24" s="0" t="n">
        <f aca="false">SUMPRODUCT(SUMIFS('Total-corrected counts Z&lt;2'!Q:Q,'Total-corrected counts Z&lt;2'!$A:$A,$B111:$B113))</f>
        <v>0</v>
      </c>
      <c r="S24" s="0" t="n">
        <f aca="false">SUMPRODUCT(SUMIFS('Total-corrected counts Z&lt;2'!R:R,'Total-corrected counts Z&lt;2'!$A:$A,$B111:$B113))</f>
        <v>0</v>
      </c>
      <c r="T24" s="0" t="n">
        <f aca="false">SUMPRODUCT(SUMIFS('Total-corrected counts Z&lt;2'!S:S,'Total-corrected counts Z&lt;2'!$A:$A,$B111:$B113))</f>
        <v>0</v>
      </c>
      <c r="U24" s="0" t="n">
        <f aca="false">SUMPRODUCT(SUMIFS('Total-corrected counts Z&lt;2'!T:T,'Total-corrected counts Z&lt;2'!$A:$A,$B111:$B113))</f>
        <v>0</v>
      </c>
      <c r="V24" s="0" t="n">
        <f aca="false">SUMPRODUCT(SUMIFS('Total-corrected counts Z&lt;2'!U:U,'Total-corrected counts Z&lt;2'!$A:$A,$B111:$B113))</f>
        <v>0</v>
      </c>
      <c r="X24" s="3" t="e">
        <f aca="false">_xlfn.T.TEST(F24:N24,O24:V24,2,2)</f>
        <v>#NUM!</v>
      </c>
      <c r="Y24" s="0" t="n">
        <f aca="false">AVERAGE(F24:N24)</f>
        <v>0</v>
      </c>
      <c r="Z24" s="0" t="n">
        <f aca="false">AVERAGE(O24:V24)</f>
        <v>0</v>
      </c>
      <c r="AA24" s="0" t="n">
        <f aca="false">STDEV(F24:N24)/SQRT(COUNT(F24:N24))</f>
        <v>0</v>
      </c>
      <c r="AB24" s="0" t="n">
        <f aca="false">STDEV(O24:V24)/SQRT(COUNT(O24:V24))</f>
        <v>0</v>
      </c>
    </row>
    <row r="25" customFormat="false" ht="14.5" hidden="false" customHeight="false" outlineLevel="0" collapsed="false">
      <c r="A25" s="0" t="s">
        <v>30</v>
      </c>
      <c r="C25" s="0" t="s">
        <v>31</v>
      </c>
      <c r="E25" s="0" t="n">
        <v>726</v>
      </c>
      <c r="F25" s="0" t="n">
        <f aca="false">SUMPRODUCT(SUMIFS('Total-corrected counts Z&lt;2'!E:E,'Total-corrected counts Z&lt;2'!$A:$A,$B32:$B34))</f>
        <v>0</v>
      </c>
      <c r="G25" s="0" t="n">
        <f aca="false">SUMPRODUCT(SUMIFS('Total-corrected counts Z&lt;2'!F:F,'Total-corrected counts Z&lt;2'!$A:$A,$B32:$B34))</f>
        <v>0</v>
      </c>
      <c r="H25" s="0" t="n">
        <f aca="false">SUMPRODUCT(SUMIFS('Total-corrected counts Z&lt;2'!G:G,'Total-corrected counts Z&lt;2'!$A:$A,$B32:$B34))</f>
        <v>0</v>
      </c>
      <c r="I25" s="0" t="n">
        <f aca="false">SUMPRODUCT(SUMIFS('Total-corrected counts Z&lt;2'!H:H,'Total-corrected counts Z&lt;2'!$A:$A,$B32:$B34))</f>
        <v>0</v>
      </c>
      <c r="J25" s="0" t="n">
        <f aca="false">SUMPRODUCT(SUMIFS('Total-corrected counts Z&lt;2'!I:I,'Total-corrected counts Z&lt;2'!$A:$A,$B32:$B34))</f>
        <v>0</v>
      </c>
      <c r="K25" s="0" t="n">
        <f aca="false">SUMPRODUCT(SUMIFS('Total-corrected counts Z&lt;2'!J:J,'Total-corrected counts Z&lt;2'!$A:$A,$B32:$B34))</f>
        <v>0</v>
      </c>
      <c r="L25" s="0" t="n">
        <f aca="false">SUMPRODUCT(SUMIFS('Total-corrected counts Z&lt;2'!K:K,'Total-corrected counts Z&lt;2'!$A:$A,$B32:$B34))</f>
        <v>0</v>
      </c>
      <c r="M25" s="0" t="n">
        <f aca="false">SUMPRODUCT(SUMIFS('Total-corrected counts Z&lt;2'!L:L,'Total-corrected counts Z&lt;2'!$A:$A,$B32:$B34))</f>
        <v>0</v>
      </c>
      <c r="N25" s="0" t="n">
        <f aca="false">SUMPRODUCT(SUMIFS('Total-corrected counts Z&lt;2'!M:M,'Total-corrected counts Z&lt;2'!$A:$A,$B32:$B34))</f>
        <v>0</v>
      </c>
      <c r="O25" s="0" t="n">
        <f aca="false">SUMPRODUCT(SUMIFS('Total-corrected counts Z&lt;2'!N:N,'Total-corrected counts Z&lt;2'!$A:$A,$B32:$B34))</f>
        <v>0</v>
      </c>
      <c r="P25" s="0" t="n">
        <f aca="false">SUMPRODUCT(SUMIFS('Total-corrected counts Z&lt;2'!O:O,'Total-corrected counts Z&lt;2'!$A:$A,$B32:$B34))</f>
        <v>0</v>
      </c>
      <c r="Q25" s="0" t="n">
        <f aca="false">SUMPRODUCT(SUMIFS('Total-corrected counts Z&lt;2'!P:P,'Total-corrected counts Z&lt;2'!$A:$A,$B32:$B34))</f>
        <v>0</v>
      </c>
      <c r="R25" s="0" t="n">
        <f aca="false">SUMPRODUCT(SUMIFS('Total-corrected counts Z&lt;2'!Q:Q,'Total-corrected counts Z&lt;2'!$A:$A,$B32:$B34))</f>
        <v>0</v>
      </c>
      <c r="S25" s="0" t="n">
        <f aca="false">SUMPRODUCT(SUMIFS('Total-corrected counts Z&lt;2'!R:R,'Total-corrected counts Z&lt;2'!$A:$A,$B32:$B34))</f>
        <v>0</v>
      </c>
      <c r="T25" s="0" t="n">
        <f aca="false">SUMPRODUCT(SUMIFS('Total-corrected counts Z&lt;2'!S:S,'Total-corrected counts Z&lt;2'!$A:$A,$B32:$B34))</f>
        <v>0</v>
      </c>
      <c r="U25" s="0" t="n">
        <f aca="false">SUMPRODUCT(SUMIFS('Total-corrected counts Z&lt;2'!T:T,'Total-corrected counts Z&lt;2'!$A:$A,$B32:$B34))</f>
        <v>0</v>
      </c>
      <c r="V25" s="0" t="n">
        <f aca="false">SUMPRODUCT(SUMIFS('Total-corrected counts Z&lt;2'!U:U,'Total-corrected counts Z&lt;2'!$A:$A,$B32:$B34))</f>
        <v>0</v>
      </c>
      <c r="X25" s="3" t="e">
        <f aca="false">_xlfn.T.TEST(F25:N25,O25:V25,2,2)</f>
        <v>#NUM!</v>
      </c>
      <c r="Y25" s="0" t="n">
        <f aca="false">AVERAGE(F25:N25)</f>
        <v>0</v>
      </c>
      <c r="Z25" s="0" t="n">
        <f aca="false">AVERAGE(O25:V25)</f>
        <v>0</v>
      </c>
      <c r="AA25" s="0" t="n">
        <f aca="false">STDEV(F25:N25)/SQRT(COUNT(F25:N25))</f>
        <v>0</v>
      </c>
      <c r="AB25" s="0" t="n">
        <f aca="false">STDEV(O25:V25)/SQRT(COUNT(O25:V25))</f>
        <v>0</v>
      </c>
    </row>
    <row r="26" customFormat="false" ht="14.5" hidden="false" customHeight="false" outlineLevel="0" collapsed="false">
      <c r="A26" s="0" t="s">
        <v>26</v>
      </c>
      <c r="B26" s="0" t="n">
        <v>382</v>
      </c>
      <c r="C26" s="0" t="s">
        <v>27</v>
      </c>
      <c r="D26" s="0" t="n">
        <v>37700</v>
      </c>
      <c r="E26" s="0" t="n">
        <v>375</v>
      </c>
      <c r="F26" s="0" t="n">
        <f aca="false">SUMIFS('Total-corrected counts Z&lt;2'!E:E,'Total-corrected counts Z&lt;2'!$A:$A,'Brain networks corrected Z&lt;2'!$B26)</f>
        <v>0</v>
      </c>
      <c r="G26" s="0" t="n">
        <f aca="false">SUMIFS('Total-corrected counts Z&lt;2'!F:F,'Total-corrected counts Z&lt;2'!$A:$A,'Brain networks corrected Z&lt;2'!$B26)</f>
        <v>0</v>
      </c>
      <c r="H26" s="0" t="n">
        <f aca="false">SUMIFS('Total-corrected counts Z&lt;2'!G:G,'Total-corrected counts Z&lt;2'!$A:$A,'Brain networks corrected Z&lt;2'!$B26)</f>
        <v>0</v>
      </c>
      <c r="I26" s="0" t="n">
        <f aca="false">SUMIFS('Total-corrected counts Z&lt;2'!H:H,'Total-corrected counts Z&lt;2'!$A:$A,'Brain networks corrected Z&lt;2'!$B26)</f>
        <v>0</v>
      </c>
      <c r="J26" s="0" t="n">
        <f aca="false">SUMIFS('Total-corrected counts Z&lt;2'!I:I,'Total-corrected counts Z&lt;2'!$A:$A,'Brain networks corrected Z&lt;2'!$B26)</f>
        <v>0</v>
      </c>
      <c r="K26" s="0" t="n">
        <f aca="false">SUMIFS('Total-corrected counts Z&lt;2'!J:J,'Total-corrected counts Z&lt;2'!$A:$A,'Brain networks corrected Z&lt;2'!$B26)</f>
        <v>0</v>
      </c>
      <c r="L26" s="0" t="n">
        <f aca="false">SUMIFS('Total-corrected counts Z&lt;2'!K:K,'Total-corrected counts Z&lt;2'!$A:$A,'Brain networks corrected Z&lt;2'!$B26)</f>
        <v>0</v>
      </c>
      <c r="M26" s="0" t="n">
        <f aca="false">SUMIFS('Total-corrected counts Z&lt;2'!L:L,'Total-corrected counts Z&lt;2'!$A:$A,'Brain networks corrected Z&lt;2'!$B26)</f>
        <v>0</v>
      </c>
      <c r="N26" s="0" t="n">
        <f aca="false">SUMIFS('Total-corrected counts Z&lt;2'!M:M,'Total-corrected counts Z&lt;2'!$A:$A,'Brain networks corrected Z&lt;2'!$B26)</f>
        <v>0</v>
      </c>
      <c r="O26" s="0" t="n">
        <f aca="false">SUMIFS('Total-corrected counts Z&lt;2'!N:N,'Total-corrected counts Z&lt;2'!$A:$A,'Brain networks corrected Z&lt;2'!$B26)</f>
        <v>0</v>
      </c>
      <c r="P26" s="0" t="n">
        <f aca="false">SUMIFS('Total-corrected counts Z&lt;2'!O:O,'Total-corrected counts Z&lt;2'!$A:$A,'Brain networks corrected Z&lt;2'!$B26)</f>
        <v>0</v>
      </c>
      <c r="Q26" s="0" t="n">
        <f aca="false">SUMIFS('Total-corrected counts Z&lt;2'!P:P,'Total-corrected counts Z&lt;2'!$A:$A,'Brain networks corrected Z&lt;2'!$B26)</f>
        <v>0</v>
      </c>
      <c r="R26" s="0" t="n">
        <f aca="false">SUMIFS('Total-corrected counts Z&lt;2'!Q:Q,'Total-corrected counts Z&lt;2'!$A:$A,'Brain networks corrected Z&lt;2'!$B26)</f>
        <v>0</v>
      </c>
      <c r="S26" s="0" t="n">
        <f aca="false">SUMIFS('Total-corrected counts Z&lt;2'!R:R,'Total-corrected counts Z&lt;2'!$A:$A,'Brain networks corrected Z&lt;2'!$B26)</f>
        <v>0</v>
      </c>
      <c r="T26" s="0" t="n">
        <f aca="false">SUMIFS('Total-corrected counts Z&lt;2'!S:S,'Total-corrected counts Z&lt;2'!$A:$A,'Brain networks corrected Z&lt;2'!$B26)</f>
        <v>0</v>
      </c>
      <c r="U26" s="0" t="n">
        <f aca="false">SUMIFS('Total-corrected counts Z&lt;2'!T:T,'Total-corrected counts Z&lt;2'!$A:$A,'Brain networks corrected Z&lt;2'!$B26)</f>
        <v>0</v>
      </c>
      <c r="V26" s="0" t="n">
        <f aca="false">SUMIFS('Total-corrected counts Z&lt;2'!U:U,'Total-corrected counts Z&lt;2'!$A:$A,'Brain networks corrected Z&lt;2'!$B26)</f>
        <v>0</v>
      </c>
      <c r="X26" s="3" t="e">
        <f aca="false">_xlfn.T.TEST(F26:N26,O26:V26,2,2)</f>
        <v>#NUM!</v>
      </c>
      <c r="Y26" s="0" t="n">
        <f aca="false">AVERAGE(F26:N26)</f>
        <v>0</v>
      </c>
      <c r="Z26" s="0" t="n">
        <f aca="false">AVERAGE(O26:V26)</f>
        <v>0</v>
      </c>
      <c r="AA26" s="0" t="n">
        <f aca="false">STDEV(F26:N26)/SQRT(COUNT(F26:N26))</f>
        <v>0</v>
      </c>
      <c r="AB26" s="0" t="n">
        <f aca="false">STDEV(O26:V26)/SQRT(COUNT(O26:V26))</f>
        <v>0</v>
      </c>
    </row>
    <row r="27" customFormat="false" ht="14.5" hidden="false" customHeight="false" outlineLevel="0" collapsed="false">
      <c r="A27" s="0" t="s">
        <v>28</v>
      </c>
      <c r="B27" s="0" t="n">
        <v>463</v>
      </c>
      <c r="C27" s="0" t="s">
        <v>29</v>
      </c>
      <c r="D27" s="0" t="n">
        <v>38700</v>
      </c>
      <c r="E27" s="0" t="n">
        <v>375</v>
      </c>
      <c r="F27" s="0" t="n">
        <f aca="false">SUMIFS('Total-corrected counts Z&lt;2'!E:E,'Total-corrected counts Z&lt;2'!$A:$A,'Brain networks corrected Z&lt;2'!$B27)</f>
        <v>0</v>
      </c>
      <c r="G27" s="0" t="n">
        <f aca="false">SUMIFS('Total-corrected counts Z&lt;2'!F:F,'Total-corrected counts Z&lt;2'!$A:$A,'Brain networks corrected Z&lt;2'!$B27)</f>
        <v>0</v>
      </c>
      <c r="H27" s="0" t="n">
        <f aca="false">SUMIFS('Total-corrected counts Z&lt;2'!G:G,'Total-corrected counts Z&lt;2'!$A:$A,'Brain networks corrected Z&lt;2'!$B27)</f>
        <v>0</v>
      </c>
      <c r="I27" s="0" t="n">
        <f aca="false">SUMIFS('Total-corrected counts Z&lt;2'!H:H,'Total-corrected counts Z&lt;2'!$A:$A,'Brain networks corrected Z&lt;2'!$B27)</f>
        <v>0</v>
      </c>
      <c r="J27" s="0" t="n">
        <f aca="false">SUMIFS('Total-corrected counts Z&lt;2'!I:I,'Total-corrected counts Z&lt;2'!$A:$A,'Brain networks corrected Z&lt;2'!$B27)</f>
        <v>0</v>
      </c>
      <c r="K27" s="0" t="n">
        <f aca="false">SUMIFS('Total-corrected counts Z&lt;2'!J:J,'Total-corrected counts Z&lt;2'!$A:$A,'Brain networks corrected Z&lt;2'!$B27)</f>
        <v>0</v>
      </c>
      <c r="L27" s="0" t="n">
        <f aca="false">SUMIFS('Total-corrected counts Z&lt;2'!K:K,'Total-corrected counts Z&lt;2'!$A:$A,'Brain networks corrected Z&lt;2'!$B27)</f>
        <v>0</v>
      </c>
      <c r="M27" s="0" t="n">
        <f aca="false">SUMIFS('Total-corrected counts Z&lt;2'!L:L,'Total-corrected counts Z&lt;2'!$A:$A,'Brain networks corrected Z&lt;2'!$B27)</f>
        <v>0</v>
      </c>
      <c r="N27" s="0" t="n">
        <f aca="false">SUMIFS('Total-corrected counts Z&lt;2'!M:M,'Total-corrected counts Z&lt;2'!$A:$A,'Brain networks corrected Z&lt;2'!$B27)</f>
        <v>0</v>
      </c>
      <c r="O27" s="0" t="n">
        <f aca="false">SUMIFS('Total-corrected counts Z&lt;2'!N:N,'Total-corrected counts Z&lt;2'!$A:$A,'Brain networks corrected Z&lt;2'!$B27)</f>
        <v>0</v>
      </c>
      <c r="P27" s="0" t="n">
        <f aca="false">SUMIFS('Total-corrected counts Z&lt;2'!O:O,'Total-corrected counts Z&lt;2'!$A:$A,'Brain networks corrected Z&lt;2'!$B27)</f>
        <v>0</v>
      </c>
      <c r="Q27" s="0" t="n">
        <f aca="false">SUMIFS('Total-corrected counts Z&lt;2'!P:P,'Total-corrected counts Z&lt;2'!$A:$A,'Brain networks corrected Z&lt;2'!$B27)</f>
        <v>0</v>
      </c>
      <c r="R27" s="0" t="n">
        <f aca="false">SUMIFS('Total-corrected counts Z&lt;2'!Q:Q,'Total-corrected counts Z&lt;2'!$A:$A,'Brain networks corrected Z&lt;2'!$B27)</f>
        <v>0</v>
      </c>
      <c r="S27" s="0" t="n">
        <f aca="false">SUMIFS('Total-corrected counts Z&lt;2'!R:R,'Total-corrected counts Z&lt;2'!$A:$A,'Brain networks corrected Z&lt;2'!$B27)</f>
        <v>0</v>
      </c>
      <c r="T27" s="0" t="n">
        <f aca="false">SUMIFS('Total-corrected counts Z&lt;2'!S:S,'Total-corrected counts Z&lt;2'!$A:$A,'Brain networks corrected Z&lt;2'!$B27)</f>
        <v>0</v>
      </c>
      <c r="U27" s="0" t="n">
        <f aca="false">SUMIFS('Total-corrected counts Z&lt;2'!T:T,'Total-corrected counts Z&lt;2'!$A:$A,'Brain networks corrected Z&lt;2'!$B27)</f>
        <v>0</v>
      </c>
      <c r="V27" s="0" t="n">
        <f aca="false">SUMIFS('Total-corrected counts Z&lt;2'!U:U,'Total-corrected counts Z&lt;2'!$A:$A,'Brain networks corrected Z&lt;2'!$B27)</f>
        <v>0</v>
      </c>
      <c r="X27" s="3" t="e">
        <f aca="false">_xlfn.T.TEST(F27:N27,O27:V27,2,2)</f>
        <v>#NUM!</v>
      </c>
      <c r="Y27" s="0" t="n">
        <f aca="false">AVERAGE(F27:N27)</f>
        <v>0</v>
      </c>
      <c r="Z27" s="0" t="n">
        <f aca="false">AVERAGE(O27:V27)</f>
        <v>0</v>
      </c>
      <c r="AA27" s="0" t="n">
        <f aca="false">STDEV(F27:N27)/SQRT(COUNT(F27:N27))</f>
        <v>0</v>
      </c>
      <c r="AB27" s="0" t="n">
        <f aca="false">STDEV(O27:V27)/SQRT(COUNT(O27:V27))</f>
        <v>0</v>
      </c>
    </row>
    <row r="29" customFormat="false" ht="14.5" hidden="false" customHeight="false" outlineLevel="0" collapsed="false">
      <c r="B29" s="0" t="n">
        <v>632</v>
      </c>
      <c r="C29" s="0" t="s">
        <v>50</v>
      </c>
      <c r="D29" s="0" t="n">
        <v>39600</v>
      </c>
      <c r="E29" s="0" t="n">
        <v>726</v>
      </c>
    </row>
    <row r="30" customFormat="false" ht="14.5" hidden="false" customHeight="false" outlineLevel="0" collapsed="false">
      <c r="B30" s="0" t="n">
        <v>10703</v>
      </c>
      <c r="C30" s="0" t="s">
        <v>51</v>
      </c>
      <c r="D30" s="0" t="n">
        <v>39400</v>
      </c>
      <c r="E30" s="0" t="n">
        <v>726</v>
      </c>
    </row>
    <row r="31" customFormat="false" ht="14.5" hidden="false" customHeight="false" outlineLevel="0" collapsed="false">
      <c r="B31" s="0" t="n">
        <v>10704</v>
      </c>
      <c r="C31" s="0" t="s">
        <v>52</v>
      </c>
      <c r="D31" s="0" t="n">
        <v>39500</v>
      </c>
      <c r="E31" s="0" t="n">
        <v>726</v>
      </c>
    </row>
    <row r="32" customFormat="false" ht="14.5" hidden="false" customHeight="false" outlineLevel="0" collapsed="false">
      <c r="B32" s="0" t="n">
        <v>2632</v>
      </c>
      <c r="C32" s="0" t="s">
        <v>53</v>
      </c>
      <c r="D32" s="0" t="n">
        <v>39600</v>
      </c>
      <c r="E32" s="0" t="n">
        <v>2726</v>
      </c>
    </row>
    <row r="33" customFormat="false" ht="14.5" hidden="false" customHeight="false" outlineLevel="0" collapsed="false">
      <c r="B33" s="0" t="n">
        <v>12703</v>
      </c>
      <c r="C33" s="0" t="s">
        <v>51</v>
      </c>
      <c r="D33" s="0" t="n">
        <v>39400</v>
      </c>
      <c r="E33" s="0" t="n">
        <v>2726</v>
      </c>
    </row>
    <row r="34" customFormat="false" ht="14.5" hidden="false" customHeight="false" outlineLevel="0" collapsed="false">
      <c r="B34" s="0" t="n">
        <v>12704</v>
      </c>
      <c r="C34" s="0" t="s">
        <v>54</v>
      </c>
      <c r="D34" s="0" t="n">
        <v>39700</v>
      </c>
      <c r="E34" s="0" t="n">
        <v>2726</v>
      </c>
    </row>
    <row r="35" customFormat="false" ht="14.5" hidden="false" customHeight="false" outlineLevel="0" collapsed="false">
      <c r="B35" s="0" t="n">
        <v>894</v>
      </c>
      <c r="C35" s="0" t="s">
        <v>55</v>
      </c>
      <c r="D35" s="0" t="n">
        <v>25300</v>
      </c>
      <c r="E35" s="0" t="n">
        <v>254</v>
      </c>
    </row>
    <row r="36" customFormat="false" ht="14.5" hidden="false" customHeight="false" outlineLevel="0" collapsed="false">
      <c r="B36" s="0" t="n">
        <v>274</v>
      </c>
      <c r="C36" s="0" t="s">
        <v>56</v>
      </c>
      <c r="D36" s="0" t="n">
        <v>26400</v>
      </c>
      <c r="E36" s="0" t="n">
        <v>879</v>
      </c>
    </row>
    <row r="37" customFormat="false" ht="14.5" hidden="false" customHeight="false" outlineLevel="0" collapsed="false">
      <c r="B37" s="0" t="n">
        <v>330</v>
      </c>
      <c r="C37" s="0" t="s">
        <v>57</v>
      </c>
      <c r="D37" s="0" t="n">
        <v>26500</v>
      </c>
      <c r="E37" s="0" t="n">
        <v>879</v>
      </c>
    </row>
    <row r="38" customFormat="false" ht="14.5" hidden="false" customHeight="false" outlineLevel="0" collapsed="false">
      <c r="B38" s="0" t="n">
        <v>434</v>
      </c>
      <c r="C38" s="0" t="s">
        <v>58</v>
      </c>
      <c r="D38" s="0" t="n">
        <v>26100</v>
      </c>
      <c r="E38" s="0" t="n">
        <v>879</v>
      </c>
    </row>
    <row r="39" customFormat="false" ht="14.5" hidden="false" customHeight="false" outlineLevel="0" collapsed="false">
      <c r="B39" s="0" t="n">
        <v>442</v>
      </c>
      <c r="C39" s="0" t="s">
        <v>59</v>
      </c>
      <c r="D39" s="0" t="n">
        <v>26000</v>
      </c>
      <c r="E39" s="0" t="n">
        <v>879</v>
      </c>
    </row>
    <row r="40" customFormat="false" ht="14.5" hidden="false" customHeight="false" outlineLevel="0" collapsed="false">
      <c r="B40" s="0" t="n">
        <v>545</v>
      </c>
      <c r="C40" s="0" t="s">
        <v>60</v>
      </c>
      <c r="D40" s="0" t="n">
        <v>26200</v>
      </c>
      <c r="E40" s="0" t="n">
        <v>879</v>
      </c>
    </row>
    <row r="41" customFormat="false" ht="14.5" hidden="false" customHeight="false" outlineLevel="0" collapsed="false">
      <c r="B41" s="0" t="n">
        <v>610</v>
      </c>
      <c r="C41" s="0" t="s">
        <v>61</v>
      </c>
      <c r="D41" s="0" t="n">
        <v>26300</v>
      </c>
      <c r="E41" s="0" t="n">
        <v>879</v>
      </c>
    </row>
    <row r="42" customFormat="false" ht="14.5" hidden="false" customHeight="false" outlineLevel="0" collapsed="false">
      <c r="B42" s="0" t="n">
        <v>430</v>
      </c>
      <c r="C42" s="0" t="s">
        <v>62</v>
      </c>
      <c r="D42" s="0" t="n">
        <v>26900</v>
      </c>
      <c r="E42" s="0" t="n">
        <v>886</v>
      </c>
    </row>
    <row r="43" customFormat="false" ht="14.5" hidden="false" customHeight="false" outlineLevel="0" collapsed="false">
      <c r="B43" s="0" t="n">
        <v>542</v>
      </c>
      <c r="C43" s="0" t="s">
        <v>63</v>
      </c>
      <c r="D43" s="0" t="n">
        <v>26700</v>
      </c>
      <c r="E43" s="0" t="n">
        <v>886</v>
      </c>
    </row>
    <row r="44" customFormat="false" ht="14.5" hidden="false" customHeight="false" outlineLevel="0" collapsed="false">
      <c r="B44" s="0" t="n">
        <v>590</v>
      </c>
      <c r="C44" s="0" t="s">
        <v>64</v>
      </c>
      <c r="D44" s="0" t="n">
        <v>27100</v>
      </c>
      <c r="E44" s="0" t="n">
        <v>886</v>
      </c>
    </row>
    <row r="45" customFormat="false" ht="14.5" hidden="false" customHeight="false" outlineLevel="0" collapsed="false">
      <c r="B45" s="0" t="n">
        <v>622</v>
      </c>
      <c r="C45" s="0" t="s">
        <v>65</v>
      </c>
      <c r="D45" s="0" t="n">
        <v>27200</v>
      </c>
      <c r="E45" s="0" t="n">
        <v>886</v>
      </c>
    </row>
    <row r="46" customFormat="false" ht="14.5" hidden="false" customHeight="false" outlineLevel="0" collapsed="false">
      <c r="B46" s="0" t="n">
        <v>687</v>
      </c>
      <c r="C46" s="0" t="s">
        <v>66</v>
      </c>
      <c r="D46" s="0" t="n">
        <v>27000</v>
      </c>
      <c r="E46" s="0" t="n">
        <v>886</v>
      </c>
    </row>
    <row r="47" customFormat="false" ht="14.5" hidden="false" customHeight="false" outlineLevel="0" collapsed="false">
      <c r="B47" s="0" t="n">
        <v>279</v>
      </c>
      <c r="C47" s="0" t="s">
        <v>67</v>
      </c>
      <c r="D47" s="0" t="n">
        <v>25800</v>
      </c>
      <c r="E47" s="0" t="n">
        <v>894</v>
      </c>
    </row>
    <row r="48" customFormat="false" ht="14.5" hidden="false" customHeight="false" outlineLevel="0" collapsed="false">
      <c r="B48" s="0" t="n">
        <v>671</v>
      </c>
      <c r="C48" s="0" t="s">
        <v>68</v>
      </c>
      <c r="D48" s="0" t="n">
        <v>25400</v>
      </c>
      <c r="E48" s="0" t="n">
        <v>894</v>
      </c>
    </row>
    <row r="49" customFormat="false" ht="14.5" hidden="false" customHeight="false" outlineLevel="0" collapsed="false">
      <c r="B49" s="0" t="n">
        <v>774</v>
      </c>
      <c r="C49" s="0" t="s">
        <v>69</v>
      </c>
      <c r="D49" s="0" t="n">
        <v>25600</v>
      </c>
      <c r="E49" s="0" t="n">
        <v>894</v>
      </c>
    </row>
    <row r="50" customFormat="false" ht="14.5" hidden="false" customHeight="false" outlineLevel="0" collapsed="false">
      <c r="B50" s="0" t="n">
        <v>906</v>
      </c>
      <c r="C50" s="0" t="s">
        <v>70</v>
      </c>
      <c r="D50" s="0" t="n">
        <v>25700</v>
      </c>
      <c r="E50" s="0" t="n">
        <v>894</v>
      </c>
    </row>
    <row r="51" customFormat="false" ht="14.5" hidden="false" customHeight="false" outlineLevel="0" collapsed="false">
      <c r="B51" s="0" t="n">
        <v>965</v>
      </c>
      <c r="C51" s="0" t="s">
        <v>71</v>
      </c>
      <c r="D51" s="0" t="n">
        <v>25500</v>
      </c>
      <c r="E51" s="0" t="n">
        <v>894</v>
      </c>
    </row>
    <row r="52" customFormat="false" ht="14.5" hidden="false" customHeight="false" outlineLevel="0" collapsed="false">
      <c r="B52" s="0" t="n">
        <v>84</v>
      </c>
      <c r="C52" s="0" t="s">
        <v>82</v>
      </c>
      <c r="D52" s="0" t="n">
        <v>20600</v>
      </c>
      <c r="E52" s="0" t="n">
        <v>972</v>
      </c>
    </row>
    <row r="53" customFormat="false" ht="14.5" hidden="false" customHeight="false" outlineLevel="0" collapsed="false">
      <c r="B53" s="0" t="n">
        <v>132</v>
      </c>
      <c r="C53" s="0" t="s">
        <v>83</v>
      </c>
      <c r="D53" s="0" t="n">
        <v>20700</v>
      </c>
      <c r="E53" s="0" t="n">
        <v>972</v>
      </c>
    </row>
    <row r="54" customFormat="false" ht="14.5" hidden="false" customHeight="false" outlineLevel="0" collapsed="false">
      <c r="B54" s="0" t="n">
        <v>171</v>
      </c>
      <c r="C54" s="0" t="s">
        <v>84</v>
      </c>
      <c r="D54" s="0" t="n">
        <v>20200</v>
      </c>
      <c r="E54" s="0" t="n">
        <v>972</v>
      </c>
    </row>
    <row r="55" customFormat="false" ht="14.5" hidden="false" customHeight="false" outlineLevel="0" collapsed="false">
      <c r="B55" s="0" t="n">
        <v>304</v>
      </c>
      <c r="C55" s="0" t="s">
        <v>85</v>
      </c>
      <c r="D55" s="0" t="n">
        <v>20400</v>
      </c>
      <c r="E55" s="0" t="n">
        <v>972</v>
      </c>
    </row>
    <row r="56" customFormat="false" ht="14.5" hidden="false" customHeight="false" outlineLevel="0" collapsed="false">
      <c r="B56" s="0" t="n">
        <v>363</v>
      </c>
      <c r="C56" s="0" t="s">
        <v>86</v>
      </c>
      <c r="D56" s="0" t="n">
        <v>20500</v>
      </c>
      <c r="E56" s="0" t="n">
        <v>972</v>
      </c>
    </row>
    <row r="57" customFormat="false" ht="14.5" hidden="false" customHeight="false" outlineLevel="0" collapsed="false">
      <c r="B57" s="0" t="n">
        <v>556</v>
      </c>
      <c r="C57" s="0" t="s">
        <v>87</v>
      </c>
      <c r="D57" s="0" t="n">
        <v>8700</v>
      </c>
      <c r="E57" s="0" t="n">
        <v>44</v>
      </c>
    </row>
    <row r="58" customFormat="false" ht="14.5" hidden="false" customHeight="false" outlineLevel="0" collapsed="false">
      <c r="B58" s="0" t="n">
        <v>707</v>
      </c>
      <c r="C58" s="0" t="s">
        <v>88</v>
      </c>
      <c r="D58" s="0" t="n">
        <v>8500</v>
      </c>
      <c r="E58" s="0" t="n">
        <v>44</v>
      </c>
    </row>
    <row r="59" customFormat="false" ht="14.5" hidden="false" customHeight="false" outlineLevel="0" collapsed="false">
      <c r="B59" s="0" t="n">
        <v>827</v>
      </c>
      <c r="C59" s="0" t="s">
        <v>89</v>
      </c>
      <c r="D59" s="0" t="n">
        <v>8800</v>
      </c>
      <c r="E59" s="0" t="n">
        <v>44</v>
      </c>
    </row>
    <row r="60" customFormat="false" ht="14.5" hidden="false" customHeight="false" outlineLevel="0" collapsed="false">
      <c r="B60" s="0" t="n">
        <v>1054</v>
      </c>
      <c r="C60" s="0" t="s">
        <v>90</v>
      </c>
      <c r="D60" s="0" t="n">
        <v>8900</v>
      </c>
      <c r="E60" s="0" t="n">
        <v>44</v>
      </c>
    </row>
    <row r="61" customFormat="false" ht="14.5" hidden="false" customHeight="false" outlineLevel="0" collapsed="false">
      <c r="B61" s="0" t="n">
        <v>1081</v>
      </c>
      <c r="C61" s="0" t="s">
        <v>91</v>
      </c>
      <c r="D61" s="0" t="n">
        <v>9000</v>
      </c>
      <c r="E61" s="0" t="n">
        <v>44</v>
      </c>
    </row>
    <row r="62" customFormat="false" ht="14.5" hidden="false" customHeight="false" outlineLevel="0" collapsed="false">
      <c r="B62" s="0" t="n">
        <v>23</v>
      </c>
      <c r="C62" s="0" t="s">
        <v>117</v>
      </c>
      <c r="D62" s="0" t="n">
        <v>50100</v>
      </c>
      <c r="E62" s="0" t="n">
        <v>278</v>
      </c>
    </row>
    <row r="63" customFormat="false" ht="14.5" hidden="false" customHeight="false" outlineLevel="0" collapsed="false">
      <c r="B63" s="0" t="n">
        <v>131</v>
      </c>
      <c r="C63" s="0" t="s">
        <v>219</v>
      </c>
      <c r="D63" s="0" t="n">
        <v>47000</v>
      </c>
      <c r="E63" s="0" t="n">
        <v>703</v>
      </c>
    </row>
    <row r="64" customFormat="false" ht="14.5" hidden="false" customHeight="false" outlineLevel="0" collapsed="false">
      <c r="B64" s="0" t="n">
        <v>278</v>
      </c>
      <c r="C64" s="0" t="s">
        <v>357</v>
      </c>
      <c r="D64" s="0" t="n">
        <v>50000</v>
      </c>
      <c r="E64" s="0" t="n">
        <v>477</v>
      </c>
    </row>
    <row r="65" customFormat="false" ht="14.5" hidden="false" customHeight="false" outlineLevel="0" collapsed="false">
      <c r="B65" s="0" t="n">
        <v>303</v>
      </c>
      <c r="C65" s="0" t="s">
        <v>92</v>
      </c>
      <c r="D65" s="0" t="n">
        <v>47200</v>
      </c>
      <c r="E65" s="0" t="n">
        <v>295</v>
      </c>
    </row>
    <row r="66" customFormat="false" ht="14.5" hidden="false" customHeight="false" outlineLevel="0" collapsed="false">
      <c r="B66" s="0" t="n">
        <v>311</v>
      </c>
      <c r="C66" s="0" t="s">
        <v>93</v>
      </c>
      <c r="D66" s="0" t="n">
        <v>47300</v>
      </c>
      <c r="E66" s="0" t="n">
        <v>295</v>
      </c>
    </row>
    <row r="67" customFormat="false" ht="14.5" hidden="false" customHeight="false" outlineLevel="0" collapsed="false">
      <c r="B67" s="0" t="n">
        <v>319</v>
      </c>
      <c r="C67" s="0" t="s">
        <v>391</v>
      </c>
      <c r="D67" s="0" t="n">
        <v>47500</v>
      </c>
      <c r="E67" s="0" t="n">
        <v>703</v>
      </c>
    </row>
    <row r="68" customFormat="false" ht="14.5" hidden="false" customHeight="false" outlineLevel="0" collapsed="false">
      <c r="B68" s="0" t="n">
        <v>403</v>
      </c>
      <c r="C68" s="0" t="s">
        <v>472</v>
      </c>
      <c r="D68" s="0" t="n">
        <v>50800</v>
      </c>
      <c r="E68" s="0" t="n">
        <v>278</v>
      </c>
    </row>
    <row r="69" customFormat="false" ht="14.5" hidden="false" customHeight="false" outlineLevel="0" collapsed="false">
      <c r="B69" s="0" t="n">
        <v>451</v>
      </c>
      <c r="C69" s="0" t="s">
        <v>94</v>
      </c>
      <c r="D69" s="0" t="n">
        <v>47400</v>
      </c>
      <c r="E69" s="0" t="n">
        <v>295</v>
      </c>
    </row>
    <row r="70" customFormat="false" ht="14.5" hidden="false" customHeight="false" outlineLevel="0" collapsed="false">
      <c r="B70" s="0" t="n">
        <v>536</v>
      </c>
      <c r="C70" s="0" t="s">
        <v>47</v>
      </c>
      <c r="D70" s="0" t="n">
        <v>50300</v>
      </c>
      <c r="E70" s="0" t="n">
        <v>278</v>
      </c>
    </row>
    <row r="71" customFormat="false" ht="14.5" hidden="false" customHeight="false" outlineLevel="0" collapsed="false">
      <c r="B71" s="0" t="n">
        <v>639</v>
      </c>
      <c r="C71" s="0" t="s">
        <v>693</v>
      </c>
      <c r="D71" s="0" t="n">
        <v>34700</v>
      </c>
      <c r="E71" s="0" t="n">
        <v>631</v>
      </c>
    </row>
    <row r="72" customFormat="false" ht="14.5" hidden="false" customHeight="false" outlineLevel="0" collapsed="false">
      <c r="B72" s="0" t="n">
        <v>647</v>
      </c>
      <c r="C72" s="0" t="s">
        <v>701</v>
      </c>
      <c r="D72" s="0" t="n">
        <v>35100</v>
      </c>
      <c r="E72" s="0" t="n">
        <v>631</v>
      </c>
    </row>
    <row r="73" customFormat="false" ht="14.5" hidden="false" customHeight="false" outlineLevel="0" collapsed="false">
      <c r="B73" s="0" t="n">
        <v>780</v>
      </c>
      <c r="C73" s="0" t="s">
        <v>828</v>
      </c>
      <c r="D73" s="0" t="n">
        <v>47800</v>
      </c>
      <c r="E73" s="0" t="n">
        <v>703</v>
      </c>
    </row>
    <row r="74" customFormat="false" ht="14.5" hidden="false" customHeight="false" outlineLevel="0" collapsed="false">
      <c r="B74" s="0" t="n">
        <v>788</v>
      </c>
      <c r="C74" s="0" t="s">
        <v>836</v>
      </c>
      <c r="D74" s="0" t="n">
        <v>36400</v>
      </c>
      <c r="E74" s="0" t="n">
        <v>698</v>
      </c>
    </row>
    <row r="75" customFormat="false" ht="14.5" hidden="false" customHeight="false" outlineLevel="0" collapsed="false">
      <c r="B75" s="0" t="n">
        <v>884</v>
      </c>
      <c r="C75" s="0" t="s">
        <v>929</v>
      </c>
      <c r="D75" s="0" t="n">
        <v>110700</v>
      </c>
      <c r="E75" s="0" t="n">
        <v>768</v>
      </c>
    </row>
    <row r="76" customFormat="false" ht="14.5" hidden="false" customHeight="false" outlineLevel="0" collapsed="false">
      <c r="B76" s="0" t="n">
        <v>1105</v>
      </c>
      <c r="C76" s="0" t="s">
        <v>1139</v>
      </c>
      <c r="D76" s="0" t="n">
        <v>50700</v>
      </c>
      <c r="E76" s="0" t="n">
        <v>278</v>
      </c>
    </row>
    <row r="77" customFormat="false" ht="14.5" hidden="false" customHeight="false" outlineLevel="0" collapsed="false">
      <c r="B77" s="0" t="n">
        <v>104</v>
      </c>
      <c r="C77" s="0" t="s">
        <v>192</v>
      </c>
      <c r="D77" s="0" t="n">
        <v>23400</v>
      </c>
      <c r="E77" s="0" t="n">
        <v>95</v>
      </c>
    </row>
    <row r="78" customFormat="false" ht="14.5" hidden="false" customHeight="false" outlineLevel="0" collapsed="false">
      <c r="B78" s="0" t="n">
        <v>120</v>
      </c>
      <c r="C78" s="0" t="s">
        <v>208</v>
      </c>
      <c r="D78" s="0" t="n">
        <v>24100</v>
      </c>
      <c r="E78" s="0" t="n">
        <v>111</v>
      </c>
    </row>
    <row r="79" customFormat="false" ht="14.5" hidden="false" customHeight="false" outlineLevel="0" collapsed="false">
      <c r="B79" s="0" t="n">
        <v>163</v>
      </c>
      <c r="C79" s="0" t="s">
        <v>250</v>
      </c>
      <c r="D79" s="0" t="n">
        <v>24200</v>
      </c>
      <c r="E79" s="0" t="n">
        <v>111</v>
      </c>
    </row>
    <row r="80" customFormat="false" ht="14.5" hidden="false" customHeight="false" outlineLevel="0" collapsed="false">
      <c r="B80" s="0" t="n">
        <v>314</v>
      </c>
      <c r="C80" s="0" t="s">
        <v>386</v>
      </c>
      <c r="D80" s="0" t="n">
        <v>24400</v>
      </c>
      <c r="E80" s="0" t="n">
        <v>111</v>
      </c>
    </row>
    <row r="81" customFormat="false" ht="14.5" hidden="false" customHeight="false" outlineLevel="0" collapsed="false">
      <c r="B81" s="0" t="n">
        <v>328</v>
      </c>
      <c r="C81" s="0" t="s">
        <v>400</v>
      </c>
      <c r="D81" s="0" t="n">
        <v>23600</v>
      </c>
      <c r="E81" s="0" t="n">
        <v>104</v>
      </c>
    </row>
    <row r="82" customFormat="false" ht="14.5" hidden="false" customHeight="false" outlineLevel="0" collapsed="false">
      <c r="B82" s="0" t="n">
        <v>344</v>
      </c>
      <c r="C82" s="0" t="s">
        <v>415</v>
      </c>
      <c r="D82" s="0" t="n">
        <v>24300</v>
      </c>
      <c r="E82" s="0" t="n">
        <v>111</v>
      </c>
    </row>
    <row r="83" customFormat="false" ht="14.5" hidden="false" customHeight="false" outlineLevel="0" collapsed="false">
      <c r="B83" s="0" t="n">
        <v>675</v>
      </c>
      <c r="C83" s="0" t="s">
        <v>728</v>
      </c>
      <c r="D83" s="0" t="n">
        <v>25000</v>
      </c>
      <c r="E83" s="0" t="n">
        <v>119</v>
      </c>
    </row>
    <row r="84" customFormat="false" ht="14.5" hidden="false" customHeight="false" outlineLevel="0" collapsed="false">
      <c r="B84" s="0" t="n">
        <v>694</v>
      </c>
      <c r="C84" s="0" t="s">
        <v>746</v>
      </c>
      <c r="D84" s="0" t="n">
        <v>24800</v>
      </c>
      <c r="E84" s="0" t="n">
        <v>119</v>
      </c>
    </row>
    <row r="85" customFormat="false" ht="14.5" hidden="false" customHeight="false" outlineLevel="0" collapsed="false">
      <c r="B85" s="0" t="n">
        <v>699</v>
      </c>
      <c r="C85" s="0" t="s">
        <v>751</v>
      </c>
      <c r="D85" s="0" t="n">
        <v>25100</v>
      </c>
      <c r="E85" s="0" t="n">
        <v>119</v>
      </c>
    </row>
    <row r="86" customFormat="false" ht="14.5" hidden="false" customHeight="false" outlineLevel="0" collapsed="false">
      <c r="B86" s="0" t="n">
        <v>704</v>
      </c>
      <c r="C86" s="0" t="s">
        <v>756</v>
      </c>
      <c r="D86" s="0" t="n">
        <v>24700</v>
      </c>
      <c r="E86" s="0" t="n">
        <v>119</v>
      </c>
    </row>
    <row r="87" customFormat="false" ht="14.5" hidden="false" customHeight="false" outlineLevel="0" collapsed="false">
      <c r="B87" s="0" t="n">
        <v>783</v>
      </c>
      <c r="C87" s="0" t="s">
        <v>831</v>
      </c>
      <c r="D87" s="0" t="n">
        <v>23800</v>
      </c>
      <c r="E87" s="0" t="n">
        <v>104</v>
      </c>
    </row>
    <row r="88" customFormat="false" ht="14.5" hidden="false" customHeight="false" outlineLevel="0" collapsed="false">
      <c r="B88" s="0" t="n">
        <v>800</v>
      </c>
      <c r="C88" s="0" t="s">
        <v>848</v>
      </c>
      <c r="D88" s="0" t="n">
        <v>24900</v>
      </c>
      <c r="E88" s="0" t="n">
        <v>119</v>
      </c>
    </row>
    <row r="89" customFormat="false" ht="14.5" hidden="false" customHeight="false" outlineLevel="0" collapsed="false">
      <c r="B89" s="0" t="n">
        <v>831</v>
      </c>
      <c r="C89" s="0" t="s">
        <v>876</v>
      </c>
      <c r="D89" s="0" t="n">
        <v>23900</v>
      </c>
      <c r="E89" s="0" t="n">
        <v>104</v>
      </c>
    </row>
    <row r="90" customFormat="false" ht="14.5" hidden="false" customHeight="false" outlineLevel="0" collapsed="false">
      <c r="B90" s="0" t="n">
        <v>996</v>
      </c>
      <c r="C90" s="0" t="s">
        <v>1034</v>
      </c>
      <c r="D90" s="0" t="n">
        <v>23500</v>
      </c>
      <c r="E90" s="0" t="n">
        <v>104</v>
      </c>
    </row>
    <row r="91" customFormat="false" ht="14.5" hidden="false" customHeight="false" outlineLevel="0" collapsed="false">
      <c r="B91" s="0" t="n">
        <v>1101</v>
      </c>
      <c r="C91" s="0" t="s">
        <v>1135</v>
      </c>
      <c r="D91" s="0" t="n">
        <v>23700</v>
      </c>
      <c r="E91" s="0" t="n">
        <v>104</v>
      </c>
    </row>
    <row r="92" customFormat="false" ht="14.5" hidden="false" customHeight="false" outlineLevel="0" collapsed="false">
      <c r="B92" s="0" t="n">
        <v>656</v>
      </c>
      <c r="C92" s="0" t="s">
        <v>710</v>
      </c>
      <c r="D92" s="0" t="n">
        <v>2200</v>
      </c>
      <c r="E92" s="0" t="n">
        <v>993</v>
      </c>
    </row>
    <row r="93" customFormat="false" ht="14.5" hidden="false" customHeight="false" outlineLevel="0" collapsed="false">
      <c r="B93" s="0" t="n">
        <v>767</v>
      </c>
      <c r="C93" s="0" t="s">
        <v>817</v>
      </c>
      <c r="D93" s="0" t="n">
        <v>2400</v>
      </c>
      <c r="E93" s="0" t="n">
        <v>993</v>
      </c>
    </row>
    <row r="94" customFormat="false" ht="14.5" hidden="false" customHeight="false" outlineLevel="0" collapsed="false">
      <c r="B94" s="0" t="n">
        <v>962</v>
      </c>
      <c r="C94" s="0" t="s">
        <v>1002</v>
      </c>
      <c r="D94" s="0" t="n">
        <v>2300</v>
      </c>
      <c r="E94" s="0" t="n">
        <v>993</v>
      </c>
    </row>
    <row r="95" customFormat="false" ht="14.5" hidden="false" customHeight="false" outlineLevel="0" collapsed="false">
      <c r="B95" s="0" t="n">
        <v>1021</v>
      </c>
      <c r="C95" s="0" t="s">
        <v>1057</v>
      </c>
      <c r="D95" s="0" t="n">
        <v>2500</v>
      </c>
      <c r="E95" s="0" t="n">
        <v>993</v>
      </c>
    </row>
    <row r="96" customFormat="false" ht="14.5" hidden="false" customHeight="false" outlineLevel="0" collapsed="false">
      <c r="B96" s="0" t="n">
        <v>1085</v>
      </c>
      <c r="C96" s="0" t="s">
        <v>1119</v>
      </c>
      <c r="D96" s="0" t="n">
        <v>2600</v>
      </c>
      <c r="E96" s="0" t="n">
        <v>993</v>
      </c>
    </row>
    <row r="97" customFormat="false" ht="14.5" hidden="false" customHeight="false" outlineLevel="0" collapsed="false">
      <c r="B97" s="0" t="n">
        <v>211</v>
      </c>
      <c r="C97" s="0" t="s">
        <v>72</v>
      </c>
      <c r="D97" s="0" t="n">
        <v>19100</v>
      </c>
      <c r="E97" s="0" t="n">
        <v>39</v>
      </c>
    </row>
    <row r="98" customFormat="false" ht="14.5" hidden="false" customHeight="false" outlineLevel="0" collapsed="false">
      <c r="B98" s="0" t="n">
        <v>296</v>
      </c>
      <c r="C98" s="0" t="s">
        <v>77</v>
      </c>
      <c r="D98" s="0" t="n">
        <v>19700</v>
      </c>
      <c r="E98" s="0" t="n">
        <v>48</v>
      </c>
    </row>
    <row r="99" customFormat="false" ht="14.5" hidden="false" customHeight="false" outlineLevel="0" collapsed="false">
      <c r="B99" s="0" t="n">
        <v>588</v>
      </c>
      <c r="C99" s="0" t="s">
        <v>78</v>
      </c>
      <c r="D99" s="0" t="n">
        <v>19600</v>
      </c>
      <c r="E99" s="0" t="n">
        <v>48</v>
      </c>
    </row>
    <row r="100" customFormat="false" ht="14.5" hidden="false" customHeight="false" outlineLevel="0" collapsed="false">
      <c r="B100" s="0" t="n">
        <v>772</v>
      </c>
      <c r="C100" s="0" t="s">
        <v>79</v>
      </c>
      <c r="D100" s="0" t="n">
        <v>19800</v>
      </c>
      <c r="E100" s="0" t="n">
        <v>48</v>
      </c>
    </row>
    <row r="101" customFormat="false" ht="14.5" hidden="false" customHeight="false" outlineLevel="0" collapsed="false">
      <c r="B101" s="0" t="n">
        <v>810</v>
      </c>
      <c r="C101" s="0" t="s">
        <v>80</v>
      </c>
      <c r="D101" s="0" t="n">
        <v>19900</v>
      </c>
      <c r="E101" s="0" t="n">
        <v>48</v>
      </c>
    </row>
    <row r="102" customFormat="false" ht="14.5" hidden="false" customHeight="false" outlineLevel="0" collapsed="false">
      <c r="B102" s="0" t="n">
        <v>819</v>
      </c>
      <c r="C102" s="0" t="s">
        <v>81</v>
      </c>
      <c r="D102" s="0" t="n">
        <v>20000</v>
      </c>
      <c r="E102" s="0" t="n">
        <v>48</v>
      </c>
    </row>
    <row r="103" customFormat="false" ht="14.5" hidden="false" customHeight="false" outlineLevel="0" collapsed="false">
      <c r="B103" s="0" t="n">
        <v>919</v>
      </c>
      <c r="C103" s="0" t="s">
        <v>73</v>
      </c>
      <c r="D103" s="0" t="n">
        <v>19300</v>
      </c>
      <c r="E103" s="0" t="n">
        <v>39</v>
      </c>
    </row>
    <row r="104" customFormat="false" ht="14.5" hidden="false" customHeight="false" outlineLevel="0" collapsed="false">
      <c r="B104" s="0" t="n">
        <v>927</v>
      </c>
      <c r="C104" s="0" t="s">
        <v>74</v>
      </c>
      <c r="D104" s="0" t="n">
        <v>19400</v>
      </c>
      <c r="E104" s="0" t="n">
        <v>39</v>
      </c>
    </row>
    <row r="105" customFormat="false" ht="14.5" hidden="false" customHeight="false" outlineLevel="0" collapsed="false">
      <c r="B105" s="0" t="n">
        <v>935</v>
      </c>
      <c r="C105" s="0" t="s">
        <v>75</v>
      </c>
      <c r="D105" s="0" t="n">
        <v>19000</v>
      </c>
      <c r="E105" s="0" t="n">
        <v>39</v>
      </c>
    </row>
    <row r="106" customFormat="false" ht="14.5" hidden="false" customHeight="false" outlineLevel="0" collapsed="false">
      <c r="B106" s="0" t="n">
        <v>1015</v>
      </c>
      <c r="C106" s="0" t="s">
        <v>76</v>
      </c>
      <c r="D106" s="0" t="n">
        <v>19200</v>
      </c>
      <c r="E106" s="0" t="n">
        <v>39</v>
      </c>
    </row>
    <row r="107" customFormat="false" ht="14.5" hidden="false" customHeight="false" outlineLevel="0" collapsed="false">
      <c r="B107" s="0" t="n">
        <v>484</v>
      </c>
      <c r="C107" s="0" t="s">
        <v>547</v>
      </c>
      <c r="D107" s="0" t="n">
        <v>22100</v>
      </c>
      <c r="E107" s="0" t="n">
        <v>731</v>
      </c>
    </row>
    <row r="108" customFormat="false" ht="14.5" hidden="false" customHeight="false" outlineLevel="0" collapsed="false">
      <c r="B108" s="0" t="n">
        <v>582</v>
      </c>
      <c r="C108" s="0" t="s">
        <v>641</v>
      </c>
      <c r="D108" s="0" t="n">
        <v>22300</v>
      </c>
      <c r="E108" s="0" t="n">
        <v>731</v>
      </c>
    </row>
    <row r="109" customFormat="false" ht="14.5" hidden="false" customHeight="false" outlineLevel="0" collapsed="false">
      <c r="B109" s="0" t="n">
        <v>620</v>
      </c>
      <c r="C109" s="0" t="s">
        <v>676</v>
      </c>
      <c r="D109" s="0" t="n">
        <v>22400</v>
      </c>
      <c r="E109" s="0" t="n">
        <v>731</v>
      </c>
    </row>
    <row r="110" customFormat="false" ht="14.5" hidden="false" customHeight="false" outlineLevel="0" collapsed="false">
      <c r="B110" s="0" t="n">
        <v>910</v>
      </c>
      <c r="C110" s="0" t="s">
        <v>953</v>
      </c>
      <c r="D110" s="0" t="n">
        <v>22500</v>
      </c>
      <c r="E110" s="0" t="n">
        <v>731</v>
      </c>
    </row>
    <row r="111" customFormat="false" ht="14.5" hidden="false" customHeight="false" outlineLevel="0" collapsed="false">
      <c r="B111" s="0" t="n">
        <v>918</v>
      </c>
      <c r="C111" s="0" t="s">
        <v>961</v>
      </c>
      <c r="D111" s="0" t="n">
        <v>41350</v>
      </c>
      <c r="E111" s="0" t="n">
        <v>909</v>
      </c>
    </row>
    <row r="112" customFormat="false" ht="14.5" hidden="false" customHeight="false" outlineLevel="0" collapsed="false">
      <c r="B112" s="0" t="n">
        <v>926</v>
      </c>
      <c r="C112" s="0" t="s">
        <v>968</v>
      </c>
      <c r="D112" s="0" t="n">
        <v>42700</v>
      </c>
      <c r="E112" s="0" t="n">
        <v>909</v>
      </c>
    </row>
    <row r="113" customFormat="false" ht="14.5" hidden="false" customHeight="false" outlineLevel="0" collapsed="false">
      <c r="B113" s="0" t="n">
        <v>934</v>
      </c>
      <c r="C113" s="0" t="s">
        <v>975</v>
      </c>
      <c r="D113" s="0" t="n">
        <v>43700</v>
      </c>
      <c r="E113" s="0" t="n">
        <v>909</v>
      </c>
    </row>
  </sheetData>
  <conditionalFormatting sqref="X4:X13 X16:X17 X20:X27">
    <cfRule type="cellIs" priority="2" operator="lessThan" aboveAverage="0" equalAverage="0" bottom="0" percent="0" rank="0" text="" dxfId="4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MJ39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5" activeCellId="0" sqref="A15"/>
    </sheetView>
  </sheetViews>
  <sheetFormatPr defaultColWidth="8.5390625" defaultRowHeight="14.5" zeroHeight="false" outlineLevelRow="0" outlineLevelCol="0"/>
  <cols>
    <col collapsed="false" customWidth="true" hidden="false" outlineLevel="0" max="3" min="3" style="0" width="17"/>
    <col collapsed="false" customWidth="true" hidden="false" outlineLevel="0" max="4" min="4" style="0" width="9.82"/>
    <col collapsed="false" customWidth="true" hidden="false" outlineLevel="0" max="5" min="5" style="0" width="16.72"/>
    <col collapsed="false" customWidth="true" hidden="false" outlineLevel="0" max="8" min="6" style="0" width="9.27"/>
    <col collapsed="false" customWidth="true" hidden="false" outlineLevel="0" max="9" min="9" style="0" width="16.72"/>
    <col collapsed="false" customWidth="true" hidden="false" outlineLevel="0" max="11" min="10" style="0" width="9.27"/>
    <col collapsed="false" customWidth="true" hidden="false" outlineLevel="0" max="12" min="12" style="0" width="16.72"/>
    <col collapsed="false" customWidth="true" hidden="false" outlineLevel="0" max="15" min="13" style="0" width="9.27"/>
    <col collapsed="false" customWidth="true" hidden="false" outlineLevel="0" max="16" min="16" style="0" width="16.72"/>
    <col collapsed="false" customWidth="true" hidden="false" outlineLevel="0" max="17" min="17" style="0" width="9.27"/>
    <col collapsed="false" customWidth="true" hidden="false" outlineLevel="0" max="18" min="18" style="0" width="16.72"/>
    <col collapsed="false" customWidth="true" hidden="false" outlineLevel="0" max="19" min="19" style="0" width="9.27"/>
    <col collapsed="false" customWidth="true" hidden="false" outlineLevel="0" max="20" min="20" style="0" width="10.54"/>
    <col collapsed="false" customWidth="true" hidden="false" outlineLevel="0" max="22" min="21" style="0" width="16.72"/>
    <col collapsed="false" customWidth="true" hidden="false" outlineLevel="0" max="23" min="23" style="0" width="9.27"/>
    <col collapsed="false" customWidth="true" hidden="false" outlineLevel="0" max="24" min="24" style="0" width="16.72"/>
    <col collapsed="false" customWidth="true" hidden="false" outlineLevel="0" max="26" min="25" style="0" width="9.27"/>
    <col collapsed="false" customWidth="true" hidden="false" outlineLevel="0" max="28" min="27" style="0" width="16.72"/>
    <col collapsed="false" customWidth="true" hidden="false" outlineLevel="0" max="29" min="29" style="0" width="9.27"/>
    <col collapsed="false" customWidth="true" hidden="false" outlineLevel="0" max="30" min="30" style="0" width="16.72"/>
    <col collapsed="false" customWidth="true" hidden="false" outlineLevel="0" max="31" min="31" style="0" width="9.27"/>
    <col collapsed="false" customWidth="true" hidden="false" outlineLevel="0" max="32" min="32" style="0" width="16.72"/>
    <col collapsed="false" customWidth="true" hidden="false" outlineLevel="0" max="34" min="33" style="0" width="9.27"/>
    <col collapsed="false" customWidth="true" hidden="false" outlineLevel="0" max="35" min="35" style="0" width="16.72"/>
    <col collapsed="false" customWidth="true" hidden="false" outlineLevel="0" max="36" min="36" style="0" width="9.27"/>
    <col collapsed="false" customWidth="true" hidden="false" outlineLevel="0" max="37" min="37" style="0" width="16.72"/>
    <col collapsed="false" customWidth="true" hidden="false" outlineLevel="0" max="39" min="38" style="0" width="9.27"/>
    <col collapsed="false" customWidth="true" hidden="false" outlineLevel="0" max="46" min="40" style="0" width="16.72"/>
    <col collapsed="false" customWidth="true" hidden="false" outlineLevel="0" max="47" min="47" style="0" width="9.27"/>
    <col collapsed="false" customWidth="true" hidden="false" outlineLevel="0" max="52" min="48" style="0" width="16.72"/>
    <col collapsed="false" customWidth="true" hidden="false" outlineLevel="0" max="53" min="53" style="0" width="9.27"/>
    <col collapsed="false" customWidth="true" hidden="false" outlineLevel="0" max="55" min="54" style="0" width="16.72"/>
    <col collapsed="false" customWidth="true" hidden="false" outlineLevel="0" max="56" min="56" style="0" width="9.27"/>
    <col collapsed="false" customWidth="true" hidden="false" outlineLevel="0" max="58" min="57" style="0" width="16.72"/>
    <col collapsed="false" customWidth="true" hidden="false" outlineLevel="0" max="61" min="59" style="0" width="9.27"/>
    <col collapsed="false" customWidth="true" hidden="false" outlineLevel="0" max="62" min="62" style="0" width="16.72"/>
    <col collapsed="false" customWidth="true" hidden="false" outlineLevel="0" max="65" min="63" style="0" width="9.27"/>
    <col collapsed="false" customWidth="true" hidden="false" outlineLevel="0" max="68" min="66" style="0" width="16.72"/>
    <col collapsed="false" customWidth="true" hidden="false" outlineLevel="0" max="71" min="69" style="0" width="9.27"/>
    <col collapsed="false" customWidth="true" hidden="false" outlineLevel="0" max="74" min="72" style="0" width="16.72"/>
    <col collapsed="false" customWidth="true" hidden="false" outlineLevel="0" max="75" min="75" style="0" width="9.27"/>
    <col collapsed="false" customWidth="true" hidden="false" outlineLevel="0" max="77" min="76" style="0" width="16.72"/>
    <col collapsed="false" customWidth="true" hidden="false" outlineLevel="0" max="78" min="78" style="0" width="9.27"/>
    <col collapsed="false" customWidth="true" hidden="false" outlineLevel="0" max="79" min="79" style="0" width="16.72"/>
    <col collapsed="false" customWidth="true" hidden="false" outlineLevel="0" max="81" min="80" style="0" width="9.27"/>
    <col collapsed="false" customWidth="true" hidden="false" outlineLevel="0" max="84" min="82" style="0" width="16.72"/>
    <col collapsed="false" customWidth="true" hidden="false" outlineLevel="0" max="85" min="85" style="0" width="9.27"/>
    <col collapsed="false" customWidth="true" hidden="false" outlineLevel="0" max="87" min="86" style="0" width="16.72"/>
    <col collapsed="false" customWidth="true" hidden="false" outlineLevel="0" max="88" min="88" style="0" width="9.27"/>
    <col collapsed="false" customWidth="true" hidden="false" outlineLevel="0" max="89" min="89" style="0" width="16.72"/>
    <col collapsed="false" customWidth="true" hidden="false" outlineLevel="0" max="90" min="90" style="0" width="9.27"/>
    <col collapsed="false" customWidth="true" hidden="false" outlineLevel="0" max="92" min="91" style="0" width="16.72"/>
    <col collapsed="false" customWidth="true" hidden="false" outlineLevel="0" max="94" min="93" style="0" width="9.27"/>
    <col collapsed="false" customWidth="true" hidden="false" outlineLevel="0" max="96" min="95" style="0" width="16.72"/>
    <col collapsed="false" customWidth="true" hidden="false" outlineLevel="0" max="98" min="97" style="0" width="9.27"/>
    <col collapsed="false" customWidth="true" hidden="false" outlineLevel="0" max="100" min="99" style="0" width="16.72"/>
    <col collapsed="false" customWidth="true" hidden="false" outlineLevel="0" max="103" min="101" style="0" width="9.27"/>
    <col collapsed="false" customWidth="true" hidden="false" outlineLevel="0" max="109" min="104" style="0" width="16.72"/>
    <col collapsed="false" customWidth="true" hidden="false" outlineLevel="0" max="112" min="110" style="0" width="9.27"/>
    <col collapsed="false" customWidth="true" hidden="false" outlineLevel="0" max="113" min="113" style="0" width="16.72"/>
    <col collapsed="false" customWidth="true" hidden="false" outlineLevel="0" max="115" min="114" style="0" width="9.27"/>
    <col collapsed="false" customWidth="true" hidden="false" outlineLevel="0" max="116" min="116" style="0" width="16.72"/>
    <col collapsed="false" customWidth="true" hidden="false" outlineLevel="0" max="119" min="117" style="0" width="9.27"/>
    <col collapsed="false" customWidth="true" hidden="false" outlineLevel="0" max="121" min="120" style="0" width="16.72"/>
    <col collapsed="false" customWidth="true" hidden="false" outlineLevel="0" max="126" min="122" style="0" width="9.27"/>
    <col collapsed="false" customWidth="true" hidden="false" outlineLevel="0" max="127" min="127" style="0" width="16.72"/>
    <col collapsed="false" customWidth="true" hidden="false" outlineLevel="0" max="130" min="128" style="0" width="9.27"/>
    <col collapsed="false" customWidth="true" hidden="false" outlineLevel="0" max="132" min="131" style="0" width="16.72"/>
    <col collapsed="false" customWidth="true" hidden="false" outlineLevel="0" max="133" min="133" style="0" width="9.27"/>
    <col collapsed="false" customWidth="true" hidden="false" outlineLevel="0" max="136" min="134" style="0" width="16.72"/>
    <col collapsed="false" customWidth="true" hidden="false" outlineLevel="0" max="137" min="137" style="0" width="9.27"/>
    <col collapsed="false" customWidth="true" hidden="false" outlineLevel="0" max="139" min="138" style="0" width="16.72"/>
    <col collapsed="false" customWidth="true" hidden="false" outlineLevel="0" max="140" min="140" style="0" width="9.27"/>
    <col collapsed="false" customWidth="true" hidden="false" outlineLevel="0" max="141" min="141" style="0" width="16.72"/>
    <col collapsed="false" customWidth="true" hidden="false" outlineLevel="0" max="146" min="142" style="0" width="9.27"/>
    <col collapsed="false" customWidth="true" hidden="false" outlineLevel="0" max="149" min="147" style="0" width="16.72"/>
    <col collapsed="false" customWidth="true" hidden="false" outlineLevel="0" max="150" min="150" style="0" width="9.27"/>
    <col collapsed="false" customWidth="true" hidden="false" outlineLevel="0" max="151" min="151" style="0" width="16.72"/>
    <col collapsed="false" customWidth="true" hidden="false" outlineLevel="0" max="153" min="152" style="0" width="9.27"/>
    <col collapsed="false" customWidth="true" hidden="false" outlineLevel="0" max="154" min="154" style="0" width="16.72"/>
    <col collapsed="false" customWidth="true" hidden="false" outlineLevel="0" max="156" min="155" style="0" width="9.27"/>
    <col collapsed="false" customWidth="true" hidden="false" outlineLevel="0" max="158" min="157" style="0" width="16.72"/>
    <col collapsed="false" customWidth="true" hidden="false" outlineLevel="0" max="161" min="159" style="0" width="9.27"/>
    <col collapsed="false" customWidth="true" hidden="false" outlineLevel="0" max="165" min="162" style="0" width="16.72"/>
    <col collapsed="false" customWidth="true" hidden="false" outlineLevel="0" max="169" min="166" style="0" width="9.27"/>
    <col collapsed="false" customWidth="true" hidden="false" outlineLevel="0" max="171" min="170" style="0" width="16.72"/>
    <col collapsed="false" customWidth="true" hidden="false" outlineLevel="0" max="173" min="172" style="0" width="9.27"/>
    <col collapsed="false" customWidth="true" hidden="false" outlineLevel="0" max="174" min="174" style="0" width="16.72"/>
    <col collapsed="false" customWidth="true" hidden="false" outlineLevel="0" max="176" min="175" style="0" width="9.27"/>
    <col collapsed="false" customWidth="true" hidden="false" outlineLevel="0" max="180" min="177" style="0" width="16.72"/>
    <col collapsed="false" customWidth="true" hidden="false" outlineLevel="0" max="185" min="181" style="0" width="9.27"/>
    <col collapsed="false" customWidth="true" hidden="false" outlineLevel="0" max="188" min="186" style="0" width="16.72"/>
    <col collapsed="false" customWidth="true" hidden="false" outlineLevel="0" max="189" min="189" style="0" width="9.27"/>
    <col collapsed="false" customWidth="true" hidden="false" outlineLevel="0" max="190" min="190" style="0" width="16.72"/>
    <col collapsed="false" customWidth="true" hidden="false" outlineLevel="0" max="192" min="191" style="0" width="9.27"/>
    <col collapsed="false" customWidth="true" hidden="false" outlineLevel="0" max="195" min="193" style="0" width="16.72"/>
    <col collapsed="false" customWidth="true" hidden="false" outlineLevel="0" max="199" min="196" style="0" width="9.27"/>
    <col collapsed="false" customWidth="true" hidden="false" outlineLevel="0" max="200" min="200" style="0" width="16.72"/>
    <col collapsed="false" customWidth="true" hidden="false" outlineLevel="0" max="202" min="201" style="0" width="9.27"/>
    <col collapsed="false" customWidth="true" hidden="false" outlineLevel="0" max="203" min="203" style="0" width="16.72"/>
    <col collapsed="false" customWidth="true" hidden="false" outlineLevel="0" max="206" min="204" style="0" width="9.27"/>
    <col collapsed="false" customWidth="true" hidden="false" outlineLevel="0" max="208" min="207" style="0" width="16.72"/>
    <col collapsed="false" customWidth="true" hidden="false" outlineLevel="0" max="210" min="209" style="0" width="9.27"/>
    <col collapsed="false" customWidth="true" hidden="false" outlineLevel="0" max="211" min="211" style="0" width="16.72"/>
    <col collapsed="false" customWidth="true" hidden="false" outlineLevel="0" max="213" min="212" style="0" width="9.27"/>
    <col collapsed="false" customWidth="true" hidden="false" outlineLevel="0" max="216" min="214" style="0" width="16.72"/>
    <col collapsed="false" customWidth="true" hidden="false" outlineLevel="0" max="218" min="217" style="0" width="9.27"/>
    <col collapsed="false" customWidth="true" hidden="false" outlineLevel="0" max="219" min="219" style="0" width="16.72"/>
    <col collapsed="false" customWidth="true" hidden="false" outlineLevel="0" max="221" min="220" style="0" width="9.27"/>
    <col collapsed="false" customWidth="true" hidden="false" outlineLevel="0" max="224" min="222" style="0" width="16.72"/>
    <col collapsed="false" customWidth="true" hidden="false" outlineLevel="0" max="226" min="225" style="0" width="9.27"/>
    <col collapsed="false" customWidth="true" hidden="false" outlineLevel="0" max="227" min="227" style="0" width="16.72"/>
    <col collapsed="false" customWidth="true" hidden="false" outlineLevel="0" max="230" min="228" style="0" width="9.27"/>
    <col collapsed="false" customWidth="true" hidden="false" outlineLevel="0" max="231" min="231" style="0" width="16.72"/>
    <col collapsed="false" customWidth="true" hidden="false" outlineLevel="0" max="233" min="232" style="0" width="9.27"/>
    <col collapsed="false" customWidth="true" hidden="false" outlineLevel="0" max="237" min="234" style="0" width="16.72"/>
    <col collapsed="false" customWidth="true" hidden="false" outlineLevel="0" max="238" min="238" style="0" width="9.27"/>
    <col collapsed="false" customWidth="true" hidden="false" outlineLevel="0" max="240" min="239" style="0" width="16.72"/>
    <col collapsed="false" customWidth="true" hidden="false" outlineLevel="0" max="241" min="241" style="0" width="9.27"/>
    <col collapsed="false" customWidth="true" hidden="false" outlineLevel="0" max="243" min="242" style="0" width="16.72"/>
    <col collapsed="false" customWidth="true" hidden="false" outlineLevel="0" max="247" min="244" style="0" width="9.27"/>
    <col collapsed="false" customWidth="true" hidden="false" outlineLevel="0" max="249" min="248" style="0" width="16.72"/>
    <col collapsed="false" customWidth="true" hidden="false" outlineLevel="0" max="250" min="250" style="0" width="9.27"/>
    <col collapsed="false" customWidth="true" hidden="false" outlineLevel="0" max="251" min="251" style="0" width="16.72"/>
    <col collapsed="false" customWidth="true" hidden="false" outlineLevel="0" max="253" min="252" style="0" width="9.27"/>
    <col collapsed="false" customWidth="true" hidden="false" outlineLevel="0" max="254" min="254" style="0" width="16.72"/>
    <col collapsed="false" customWidth="true" hidden="false" outlineLevel="0" max="255" min="255" style="0" width="9.27"/>
    <col collapsed="false" customWidth="true" hidden="false" outlineLevel="0" max="256" min="256" style="0" width="16.72"/>
    <col collapsed="false" customWidth="true" hidden="false" outlineLevel="0" max="258" min="257" style="0" width="9.27"/>
    <col collapsed="false" customWidth="true" hidden="false" outlineLevel="0" max="259" min="259" style="0" width="16.72"/>
    <col collapsed="false" customWidth="true" hidden="false" outlineLevel="0" max="260" min="260" style="0" width="9.27"/>
    <col collapsed="false" customWidth="true" hidden="false" outlineLevel="0" max="262" min="261" style="0" width="16.72"/>
    <col collapsed="false" customWidth="true" hidden="false" outlineLevel="0" max="263" min="263" style="0" width="9.27"/>
    <col collapsed="false" customWidth="true" hidden="false" outlineLevel="0" max="264" min="264" style="0" width="16.72"/>
    <col collapsed="false" customWidth="true" hidden="false" outlineLevel="0" max="267" min="265" style="0" width="9.27"/>
    <col collapsed="false" customWidth="true" hidden="false" outlineLevel="0" max="270" min="268" style="0" width="16.72"/>
    <col collapsed="false" customWidth="true" hidden="false" outlineLevel="0" max="274" min="271" style="0" width="9.27"/>
    <col collapsed="false" customWidth="true" hidden="false" outlineLevel="0" max="277" min="275" style="0" width="16.72"/>
    <col collapsed="false" customWidth="true" hidden="false" outlineLevel="0" max="281" min="278" style="0" width="9.27"/>
    <col collapsed="false" customWidth="true" hidden="false" outlineLevel="0" max="283" min="282" style="0" width="16.72"/>
    <col collapsed="false" customWidth="true" hidden="false" outlineLevel="0" max="284" min="284" style="0" width="9.27"/>
    <col collapsed="false" customWidth="true" hidden="false" outlineLevel="0" max="287" min="285" style="0" width="16.72"/>
    <col collapsed="false" customWidth="true" hidden="false" outlineLevel="0" max="288" min="288" style="0" width="9.27"/>
    <col collapsed="false" customWidth="true" hidden="false" outlineLevel="0" max="289" min="289" style="0" width="16.72"/>
    <col collapsed="false" customWidth="true" hidden="false" outlineLevel="0" max="290" min="290" style="0" width="9.27"/>
    <col collapsed="false" customWidth="true" hidden="false" outlineLevel="0" max="292" min="291" style="0" width="16.72"/>
    <col collapsed="false" customWidth="true" hidden="false" outlineLevel="0" max="293" min="293" style="0" width="9.27"/>
    <col collapsed="false" customWidth="true" hidden="false" outlineLevel="0" max="294" min="294" style="0" width="16.72"/>
    <col collapsed="false" customWidth="true" hidden="false" outlineLevel="0" max="297" min="295" style="0" width="9.27"/>
    <col collapsed="false" customWidth="true" hidden="false" outlineLevel="0" max="298" min="298" style="0" width="16.72"/>
    <col collapsed="false" customWidth="true" hidden="false" outlineLevel="0" max="299" min="299" style="0" width="9.27"/>
    <col collapsed="false" customWidth="true" hidden="false" outlineLevel="0" max="301" min="300" style="0" width="16.72"/>
    <col collapsed="false" customWidth="true" hidden="false" outlineLevel="0" max="303" min="302" style="0" width="9.27"/>
    <col collapsed="false" customWidth="true" hidden="false" outlineLevel="0" max="304" min="304" style="0" width="16.72"/>
    <col collapsed="false" customWidth="true" hidden="false" outlineLevel="0" max="306" min="305" style="0" width="9.27"/>
    <col collapsed="false" customWidth="true" hidden="false" outlineLevel="0" max="309" min="307" style="0" width="16.72"/>
    <col collapsed="false" customWidth="true" hidden="false" outlineLevel="0" max="313" min="310" style="0" width="9.27"/>
    <col collapsed="false" customWidth="true" hidden="false" outlineLevel="0" max="316" min="314" style="0" width="16.72"/>
    <col collapsed="false" customWidth="true" hidden="false" outlineLevel="0" max="318" min="317" style="0" width="9.27"/>
    <col collapsed="false" customWidth="true" hidden="false" outlineLevel="0" max="319" min="319" style="0" width="16.72"/>
    <col collapsed="false" customWidth="true" hidden="false" outlineLevel="0" max="320" min="320" style="0" width="9.27"/>
    <col collapsed="false" customWidth="true" hidden="false" outlineLevel="0" max="321" min="321" style="0" width="16.72"/>
    <col collapsed="false" customWidth="true" hidden="false" outlineLevel="0" max="322" min="322" style="0" width="9.27"/>
    <col collapsed="false" customWidth="true" hidden="false" outlineLevel="0" max="323" min="323" style="0" width="16.72"/>
    <col collapsed="false" customWidth="true" hidden="false" outlineLevel="0" max="325" min="324" style="0" width="9.27"/>
    <col collapsed="false" customWidth="true" hidden="false" outlineLevel="0" max="326" min="326" style="0" width="16.72"/>
    <col collapsed="false" customWidth="true" hidden="false" outlineLevel="0" max="327" min="327" style="0" width="9.27"/>
    <col collapsed="false" customWidth="true" hidden="false" outlineLevel="0" max="329" min="328" style="0" width="16.72"/>
    <col collapsed="false" customWidth="true" hidden="false" outlineLevel="0" max="330" min="330" style="0" width="9.27"/>
    <col collapsed="false" customWidth="true" hidden="false" outlineLevel="0" max="332" min="331" style="0" width="16.72"/>
    <col collapsed="false" customWidth="true" hidden="false" outlineLevel="0" max="334" min="333" style="0" width="9.27"/>
    <col collapsed="false" customWidth="true" hidden="false" outlineLevel="0" max="335" min="335" style="0" width="16.72"/>
    <col collapsed="false" customWidth="true" hidden="false" outlineLevel="0" max="336" min="336" style="0" width="9.27"/>
    <col collapsed="false" customWidth="true" hidden="false" outlineLevel="0" max="338" min="337" style="0" width="16.72"/>
    <col collapsed="false" customWidth="true" hidden="false" outlineLevel="0" max="339" min="339" style="0" width="9.27"/>
    <col collapsed="false" customWidth="true" hidden="false" outlineLevel="0" max="341" min="340" style="0" width="16.72"/>
    <col collapsed="false" customWidth="true" hidden="false" outlineLevel="0" max="343" min="342" style="0" width="9.27"/>
    <col collapsed="false" customWidth="true" hidden="false" outlineLevel="0" max="345" min="344" style="0" width="16.72"/>
    <col collapsed="false" customWidth="true" hidden="false" outlineLevel="0" max="346" min="346" style="0" width="9.27"/>
    <col collapsed="false" customWidth="true" hidden="false" outlineLevel="0" max="347" min="347" style="0" width="16.72"/>
    <col collapsed="false" customWidth="true" hidden="false" outlineLevel="0" max="348" min="348" style="0" width="9.27"/>
    <col collapsed="false" customWidth="true" hidden="false" outlineLevel="0" max="349" min="349" style="0" width="16.72"/>
    <col collapsed="false" customWidth="true" hidden="false" outlineLevel="0" max="350" min="350" style="0" width="9.27"/>
    <col collapsed="false" customWidth="true" hidden="false" outlineLevel="0" max="353" min="351" style="0" width="16.72"/>
    <col collapsed="false" customWidth="true" hidden="false" outlineLevel="0" max="356" min="354" style="0" width="9.27"/>
    <col collapsed="false" customWidth="true" hidden="false" outlineLevel="0" max="357" min="357" style="0" width="16.72"/>
    <col collapsed="false" customWidth="true" hidden="false" outlineLevel="0" max="358" min="358" style="0" width="9.27"/>
    <col collapsed="false" customWidth="true" hidden="false" outlineLevel="0" max="359" min="359" style="0" width="16.72"/>
    <col collapsed="false" customWidth="true" hidden="false" outlineLevel="0" max="360" min="360" style="0" width="9.27"/>
    <col collapsed="false" customWidth="true" hidden="false" outlineLevel="0" max="363" min="361" style="0" width="16.72"/>
    <col collapsed="false" customWidth="true" hidden="false" outlineLevel="0" max="364" min="364" style="0" width="9.27"/>
    <col collapsed="false" customWidth="true" hidden="false" outlineLevel="0" max="365" min="365" style="0" width="16.72"/>
    <col collapsed="false" customWidth="true" hidden="false" outlineLevel="0" max="366" min="366" style="0" width="9.27"/>
    <col collapsed="false" customWidth="true" hidden="false" outlineLevel="0" max="368" min="367" style="0" width="16.72"/>
    <col collapsed="false" customWidth="true" hidden="false" outlineLevel="0" max="369" min="369" style="0" width="9.27"/>
    <col collapsed="false" customWidth="true" hidden="false" outlineLevel="0" max="371" min="370" style="0" width="16.72"/>
    <col collapsed="false" customWidth="true" hidden="false" outlineLevel="0" max="374" min="372" style="0" width="9.27"/>
    <col collapsed="false" customWidth="true" hidden="false" outlineLevel="0" max="381" min="375" style="0" width="16.72"/>
    <col collapsed="false" customWidth="true" hidden="false" outlineLevel="0" max="382" min="382" style="0" width="9.27"/>
    <col collapsed="false" customWidth="true" hidden="false" outlineLevel="0" max="384" min="383" style="0" width="16.72"/>
    <col collapsed="false" customWidth="true" hidden="false" outlineLevel="0" max="385" min="385" style="0" width="9.27"/>
    <col collapsed="false" customWidth="true" hidden="false" outlineLevel="0" max="388" min="386" style="0" width="16.72"/>
    <col collapsed="false" customWidth="true" hidden="false" outlineLevel="0" max="389" min="389" style="0" width="9.27"/>
    <col collapsed="false" customWidth="true" hidden="false" outlineLevel="0" max="392" min="390" style="0" width="16.72"/>
    <col collapsed="false" customWidth="true" hidden="false" outlineLevel="0" max="393" min="393" style="0" width="9.27"/>
    <col collapsed="false" customWidth="true" hidden="false" outlineLevel="0" max="394" min="394" style="0" width="16.72"/>
    <col collapsed="false" customWidth="true" hidden="false" outlineLevel="0" max="395" min="395" style="0" width="9.27"/>
    <col collapsed="false" customWidth="true" hidden="false" outlineLevel="0" max="403" min="396" style="0" width="16.72"/>
    <col collapsed="false" customWidth="true" hidden="false" outlineLevel="0" max="406" min="404" style="0" width="9.27"/>
    <col collapsed="false" customWidth="true" hidden="false" outlineLevel="0" max="411" min="407" style="0" width="16.72"/>
    <col collapsed="false" customWidth="true" hidden="false" outlineLevel="0" max="414" min="412" style="0" width="9.27"/>
    <col collapsed="false" customWidth="true" hidden="false" outlineLevel="0" max="417" min="415" style="0" width="16.72"/>
    <col collapsed="false" customWidth="true" hidden="false" outlineLevel="0" max="418" min="418" style="0" width="9.27"/>
    <col collapsed="false" customWidth="true" hidden="false" outlineLevel="0" max="419" min="419" style="0" width="16.72"/>
    <col collapsed="false" customWidth="true" hidden="false" outlineLevel="0" max="421" min="420" style="0" width="9.27"/>
    <col collapsed="false" customWidth="true" hidden="false" outlineLevel="0" max="423" min="422" style="0" width="16.72"/>
    <col collapsed="false" customWidth="true" hidden="false" outlineLevel="0" max="425" min="424" style="0" width="9.27"/>
    <col collapsed="false" customWidth="true" hidden="false" outlineLevel="0" max="426" min="426" style="0" width="16.72"/>
    <col collapsed="false" customWidth="true" hidden="false" outlineLevel="0" max="428" min="427" style="0" width="9.27"/>
    <col collapsed="false" customWidth="true" hidden="false" outlineLevel="0" max="430" min="429" style="0" width="16.72"/>
    <col collapsed="false" customWidth="true" hidden="false" outlineLevel="0" max="434" min="431" style="0" width="9.27"/>
    <col collapsed="false" customWidth="true" hidden="false" outlineLevel="0" max="435" min="435" style="0" width="16.72"/>
    <col collapsed="false" customWidth="true" hidden="false" outlineLevel="0" max="436" min="436" style="0" width="9.27"/>
    <col collapsed="false" customWidth="true" hidden="false" outlineLevel="0" max="438" min="437" style="0" width="16.72"/>
    <col collapsed="false" customWidth="true" hidden="false" outlineLevel="0" max="443" min="439" style="0" width="9.27"/>
    <col collapsed="false" customWidth="true" hidden="false" outlineLevel="0" max="446" min="444" style="0" width="16.72"/>
    <col collapsed="false" customWidth="true" hidden="false" outlineLevel="0" max="447" min="447" style="0" width="9.27"/>
    <col collapsed="false" customWidth="true" hidden="false" outlineLevel="0" max="450" min="448" style="0" width="16.72"/>
    <col collapsed="false" customWidth="true" hidden="false" outlineLevel="0" max="452" min="451" style="0" width="9.27"/>
    <col collapsed="false" customWidth="true" hidden="false" outlineLevel="0" max="453" min="453" style="0" width="16.72"/>
    <col collapsed="false" customWidth="true" hidden="false" outlineLevel="0" max="454" min="454" style="0" width="9.27"/>
    <col collapsed="false" customWidth="true" hidden="false" outlineLevel="0" max="456" min="455" style="0" width="16.72"/>
    <col collapsed="false" customWidth="true" hidden="false" outlineLevel="0" max="457" min="457" style="0" width="9.27"/>
    <col collapsed="false" customWidth="true" hidden="false" outlineLevel="0" max="459" min="458" style="0" width="16.72"/>
    <col collapsed="false" customWidth="true" hidden="false" outlineLevel="0" max="461" min="460" style="0" width="9.27"/>
    <col collapsed="false" customWidth="true" hidden="false" outlineLevel="0" max="465" min="462" style="0" width="16.72"/>
    <col collapsed="false" customWidth="true" hidden="false" outlineLevel="0" max="466" min="466" style="0" width="9.27"/>
    <col collapsed="false" customWidth="true" hidden="false" outlineLevel="0" max="467" min="467" style="0" width="16.72"/>
    <col collapsed="false" customWidth="true" hidden="false" outlineLevel="0" max="469" min="468" style="0" width="9.27"/>
    <col collapsed="false" customWidth="true" hidden="false" outlineLevel="0" max="472" min="470" style="0" width="16.72"/>
    <col collapsed="false" customWidth="true" hidden="false" outlineLevel="0" max="475" min="473" style="0" width="9.27"/>
    <col collapsed="false" customWidth="true" hidden="false" outlineLevel="0" max="478" min="476" style="0" width="16.72"/>
    <col collapsed="false" customWidth="true" hidden="false" outlineLevel="0" max="479" min="479" style="0" width="9.27"/>
    <col collapsed="false" customWidth="true" hidden="false" outlineLevel="0" max="481" min="480" style="0" width="16.72"/>
    <col collapsed="false" customWidth="true" hidden="false" outlineLevel="0" max="482" min="482" style="0" width="9.27"/>
    <col collapsed="false" customWidth="true" hidden="false" outlineLevel="0" max="484" min="483" style="0" width="16.72"/>
    <col collapsed="false" customWidth="true" hidden="false" outlineLevel="0" max="485" min="485" style="0" width="9.27"/>
    <col collapsed="false" customWidth="true" hidden="false" outlineLevel="0" max="491" min="486" style="0" width="16.72"/>
    <col collapsed="false" customWidth="true" hidden="false" outlineLevel="0" max="494" min="492" style="0" width="9.27"/>
    <col collapsed="false" customWidth="true" hidden="false" outlineLevel="0" max="497" min="495" style="0" width="16.72"/>
    <col collapsed="false" customWidth="true" hidden="false" outlineLevel="0" max="498" min="498" style="0" width="9.27"/>
    <col collapsed="false" customWidth="true" hidden="false" outlineLevel="0" max="500" min="499" style="0" width="16.72"/>
    <col collapsed="false" customWidth="true" hidden="false" outlineLevel="0" max="502" min="501" style="0" width="9.27"/>
    <col collapsed="false" customWidth="true" hidden="false" outlineLevel="0" max="505" min="503" style="0" width="16.72"/>
    <col collapsed="false" customWidth="true" hidden="false" outlineLevel="0" max="506" min="506" style="0" width="9.27"/>
    <col collapsed="false" customWidth="true" hidden="false" outlineLevel="0" max="510" min="507" style="0" width="16.72"/>
    <col collapsed="false" customWidth="true" hidden="false" outlineLevel="0" max="511" min="511" style="0" width="9.27"/>
    <col collapsed="false" customWidth="true" hidden="false" outlineLevel="0" max="513" min="512" style="0" width="16.72"/>
    <col collapsed="false" customWidth="true" hidden="false" outlineLevel="0" max="514" min="514" style="0" width="9.27"/>
    <col collapsed="false" customWidth="true" hidden="false" outlineLevel="0" max="515" min="515" style="0" width="16.72"/>
    <col collapsed="false" customWidth="true" hidden="false" outlineLevel="0" max="516" min="516" style="0" width="9.27"/>
    <col collapsed="false" customWidth="true" hidden="false" outlineLevel="0" max="517" min="517" style="0" width="16.72"/>
    <col collapsed="false" customWidth="true" hidden="false" outlineLevel="0" max="518" min="518" style="0" width="9.27"/>
    <col collapsed="false" customWidth="true" hidden="false" outlineLevel="0" max="520" min="519" style="0" width="16.72"/>
    <col collapsed="false" customWidth="true" hidden="false" outlineLevel="0" max="522" min="521" style="0" width="9.27"/>
    <col collapsed="false" customWidth="true" hidden="false" outlineLevel="0" max="524" min="523" style="0" width="16.72"/>
    <col collapsed="false" customWidth="true" hidden="false" outlineLevel="0" max="525" min="525" style="0" width="9.27"/>
    <col collapsed="false" customWidth="true" hidden="false" outlineLevel="0" max="526" min="526" style="0" width="16.72"/>
    <col collapsed="false" customWidth="true" hidden="false" outlineLevel="0" max="527" min="527" style="0" width="9.27"/>
    <col collapsed="false" customWidth="true" hidden="false" outlineLevel="0" max="530" min="528" style="0" width="16.72"/>
    <col collapsed="false" customWidth="true" hidden="false" outlineLevel="0" max="531" min="531" style="0" width="9.27"/>
    <col collapsed="false" customWidth="true" hidden="false" outlineLevel="0" max="532" min="532" style="0" width="16.72"/>
    <col collapsed="false" customWidth="true" hidden="false" outlineLevel="0" max="533" min="533" style="0" width="9.27"/>
    <col collapsed="false" customWidth="true" hidden="false" outlineLevel="0" max="535" min="534" style="0" width="16.72"/>
    <col collapsed="false" customWidth="true" hidden="false" outlineLevel="0" max="536" min="536" style="0" width="9.27"/>
    <col collapsed="false" customWidth="true" hidden="false" outlineLevel="0" max="539" min="537" style="0" width="16.72"/>
    <col collapsed="false" customWidth="true" hidden="false" outlineLevel="0" max="540" min="540" style="0" width="9.27"/>
    <col collapsed="false" customWidth="true" hidden="false" outlineLevel="0" max="546" min="541" style="0" width="16.72"/>
    <col collapsed="false" customWidth="true" hidden="false" outlineLevel="0" max="547" min="547" style="0" width="9.27"/>
    <col collapsed="false" customWidth="true" hidden="false" outlineLevel="0" max="548" min="548" style="0" width="16.72"/>
    <col collapsed="false" customWidth="true" hidden="false" outlineLevel="0" max="549" min="549" style="0" width="9.27"/>
    <col collapsed="false" customWidth="true" hidden="false" outlineLevel="0" max="554" min="550" style="0" width="16.72"/>
    <col collapsed="false" customWidth="true" hidden="false" outlineLevel="0" max="557" min="555" style="0" width="9.27"/>
    <col collapsed="false" customWidth="true" hidden="false" outlineLevel="0" max="562" min="558" style="0" width="16.72"/>
  </cols>
  <sheetData>
    <row r="1" customFormat="false" ht="14.5" hidden="false" customHeight="false" outlineLevel="0" collapsed="false">
      <c r="B1" s="4" t="s">
        <v>1298</v>
      </c>
      <c r="C1" s="0" t="n">
        <v>0</v>
      </c>
      <c r="D1" s="0" t="n">
        <v>0</v>
      </c>
      <c r="E1" s="0" t="n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  <c r="N1" s="0" t="n">
        <v>1</v>
      </c>
      <c r="O1" s="0" t="n">
        <v>2</v>
      </c>
      <c r="P1" s="0" t="n">
        <v>3</v>
      </c>
      <c r="Q1" s="0" t="n">
        <v>4</v>
      </c>
      <c r="R1" s="0" t="n">
        <v>5</v>
      </c>
      <c r="S1" s="0" t="n">
        <v>6</v>
      </c>
      <c r="T1" s="0" t="n">
        <v>7</v>
      </c>
      <c r="U1" s="0" t="n">
        <v>8</v>
      </c>
      <c r="V1" s="0" t="n">
        <v>9</v>
      </c>
      <c r="W1" s="0" t="n">
        <v>10</v>
      </c>
      <c r="X1" s="0" t="n">
        <v>11</v>
      </c>
      <c r="Y1" s="0" t="n">
        <v>12</v>
      </c>
      <c r="Z1" s="0" t="n">
        <v>13</v>
      </c>
      <c r="AA1" s="0" t="n">
        <v>14</v>
      </c>
      <c r="AB1" s="0" t="n">
        <v>15</v>
      </c>
      <c r="AC1" s="0" t="n">
        <v>16</v>
      </c>
      <c r="AD1" s="0" t="n">
        <v>17</v>
      </c>
      <c r="AE1" s="0" t="n">
        <v>18</v>
      </c>
      <c r="AF1" s="0" t="n">
        <v>19</v>
      </c>
      <c r="AG1" s="0" t="n">
        <v>20</v>
      </c>
      <c r="AH1" s="0" t="n">
        <v>21</v>
      </c>
      <c r="AI1" s="0" t="n">
        <v>22</v>
      </c>
      <c r="AJ1" s="0" t="n">
        <v>23</v>
      </c>
      <c r="AK1" s="0" t="n">
        <v>24</v>
      </c>
      <c r="AL1" s="0" t="n">
        <v>25</v>
      </c>
      <c r="AM1" s="0" t="n">
        <v>26</v>
      </c>
      <c r="AN1" s="0" t="n">
        <v>27</v>
      </c>
      <c r="AO1" s="0" t="n">
        <v>28</v>
      </c>
      <c r="AP1" s="0" t="n">
        <v>29</v>
      </c>
      <c r="AQ1" s="0" t="n">
        <v>30</v>
      </c>
      <c r="AR1" s="0" t="n">
        <v>31</v>
      </c>
      <c r="AS1" s="0" t="n">
        <v>32</v>
      </c>
      <c r="AT1" s="0" t="n">
        <v>33</v>
      </c>
      <c r="AU1" s="0" t="n">
        <v>34</v>
      </c>
      <c r="AV1" s="0" t="n">
        <v>35</v>
      </c>
      <c r="AW1" s="0" t="n">
        <v>36</v>
      </c>
      <c r="AX1" s="0" t="n">
        <v>37</v>
      </c>
      <c r="AY1" s="0" t="n">
        <v>38</v>
      </c>
      <c r="AZ1" s="0" t="n">
        <v>39</v>
      </c>
      <c r="BA1" s="0" t="n">
        <v>40</v>
      </c>
      <c r="BB1" s="0" t="n">
        <v>41</v>
      </c>
      <c r="BC1" s="0" t="n">
        <v>42</v>
      </c>
      <c r="BD1" s="0" t="n">
        <v>43</v>
      </c>
      <c r="BE1" s="0" t="n">
        <v>44</v>
      </c>
      <c r="BF1" s="0" t="n">
        <v>45</v>
      </c>
      <c r="BG1" s="0" t="n">
        <v>46</v>
      </c>
      <c r="BH1" s="0" t="n">
        <v>47</v>
      </c>
      <c r="BI1" s="0" t="n">
        <v>48</v>
      </c>
      <c r="BJ1" s="0" t="n">
        <v>49</v>
      </c>
      <c r="BK1" s="0" t="n">
        <v>50</v>
      </c>
      <c r="BL1" s="0" t="n">
        <v>51</v>
      </c>
      <c r="BM1" s="0" t="n">
        <v>52</v>
      </c>
      <c r="BN1" s="0" t="n">
        <v>53</v>
      </c>
      <c r="BO1" s="0" t="n">
        <v>54</v>
      </c>
      <c r="BP1" s="0" t="n">
        <v>55</v>
      </c>
      <c r="BQ1" s="0" t="n">
        <v>56</v>
      </c>
      <c r="BR1" s="0" t="n">
        <v>57</v>
      </c>
      <c r="BS1" s="0" t="n">
        <v>58</v>
      </c>
      <c r="BT1" s="0" t="n">
        <v>59</v>
      </c>
      <c r="BU1" s="0" t="n">
        <v>60</v>
      </c>
      <c r="BV1" s="0" t="n">
        <v>61</v>
      </c>
      <c r="BW1" s="0" t="n">
        <v>62</v>
      </c>
      <c r="BX1" s="0" t="n">
        <v>63</v>
      </c>
      <c r="BY1" s="0" t="n">
        <v>64</v>
      </c>
      <c r="BZ1" s="0" t="n">
        <v>65</v>
      </c>
      <c r="CA1" s="0" t="n">
        <v>66</v>
      </c>
      <c r="CB1" s="0" t="n">
        <v>67</v>
      </c>
      <c r="CC1" s="0" t="n">
        <v>68</v>
      </c>
      <c r="CD1" s="0" t="n">
        <v>69</v>
      </c>
      <c r="CE1" s="0" t="n">
        <v>70</v>
      </c>
      <c r="CF1" s="0" t="n">
        <v>71</v>
      </c>
      <c r="CG1" s="0" t="n">
        <v>72</v>
      </c>
      <c r="CH1" s="0" t="n">
        <v>73</v>
      </c>
      <c r="CI1" s="0" t="n">
        <v>74</v>
      </c>
      <c r="CJ1" s="0" t="n">
        <v>75</v>
      </c>
      <c r="CK1" s="0" t="n">
        <v>76</v>
      </c>
      <c r="CL1" s="0" t="n">
        <v>77</v>
      </c>
      <c r="CM1" s="0" t="n">
        <v>78</v>
      </c>
      <c r="CN1" s="0" t="n">
        <v>79</v>
      </c>
      <c r="CO1" s="0" t="n">
        <v>80</v>
      </c>
      <c r="CP1" s="0" t="n">
        <v>81</v>
      </c>
      <c r="CQ1" s="0" t="n">
        <v>82</v>
      </c>
      <c r="CR1" s="0" t="n">
        <v>83</v>
      </c>
      <c r="CS1" s="0" t="n">
        <v>84</v>
      </c>
      <c r="CT1" s="0" t="n">
        <v>85</v>
      </c>
      <c r="CU1" s="0" t="n">
        <v>86</v>
      </c>
      <c r="CV1" s="0" t="n">
        <v>87</v>
      </c>
      <c r="CW1" s="0" t="n">
        <v>88</v>
      </c>
      <c r="CX1" s="0" t="n">
        <v>89</v>
      </c>
      <c r="CY1" s="0" t="n">
        <v>90</v>
      </c>
      <c r="CZ1" s="0" t="n">
        <v>91</v>
      </c>
      <c r="DA1" s="0" t="n">
        <v>92</v>
      </c>
      <c r="DB1" s="0" t="n">
        <v>93</v>
      </c>
      <c r="DC1" s="0" t="n">
        <v>94</v>
      </c>
      <c r="DD1" s="0" t="n">
        <v>95</v>
      </c>
      <c r="DE1" s="0" t="n">
        <v>96</v>
      </c>
      <c r="DF1" s="0" t="n">
        <v>97</v>
      </c>
      <c r="DG1" s="0" t="n">
        <v>98</v>
      </c>
      <c r="DH1" s="0" t="n">
        <v>99</v>
      </c>
      <c r="DI1" s="0" t="n">
        <v>100</v>
      </c>
      <c r="DJ1" s="0" t="n">
        <v>101</v>
      </c>
      <c r="DK1" s="0" t="n">
        <v>102</v>
      </c>
      <c r="DL1" s="0" t="n">
        <v>103</v>
      </c>
      <c r="DM1" s="0" t="n">
        <v>104</v>
      </c>
      <c r="DN1" s="0" t="n">
        <v>105</v>
      </c>
      <c r="DO1" s="0" t="n">
        <v>106</v>
      </c>
      <c r="DP1" s="0" t="n">
        <v>107</v>
      </c>
      <c r="DQ1" s="0" t="n">
        <v>108</v>
      </c>
      <c r="DR1" s="0" t="n">
        <v>109</v>
      </c>
      <c r="DS1" s="0" t="n">
        <v>110</v>
      </c>
      <c r="DT1" s="0" t="n">
        <v>111</v>
      </c>
      <c r="DU1" s="0" t="n">
        <v>112</v>
      </c>
      <c r="DV1" s="0" t="n">
        <v>113</v>
      </c>
      <c r="DW1" s="0" t="n">
        <v>114</v>
      </c>
      <c r="DX1" s="0" t="n">
        <v>115</v>
      </c>
      <c r="DY1" s="0" t="n">
        <v>116</v>
      </c>
      <c r="DZ1" s="0" t="n">
        <v>117</v>
      </c>
      <c r="EA1" s="0" t="n">
        <v>118</v>
      </c>
      <c r="EB1" s="0" t="n">
        <v>119</v>
      </c>
      <c r="EC1" s="0" t="n">
        <v>120</v>
      </c>
      <c r="ED1" s="0" t="n">
        <v>121</v>
      </c>
      <c r="EE1" s="0" t="n">
        <v>122</v>
      </c>
      <c r="EF1" s="0" t="n">
        <v>123</v>
      </c>
      <c r="EG1" s="0" t="n">
        <v>124</v>
      </c>
      <c r="EH1" s="0" t="n">
        <v>125</v>
      </c>
      <c r="EI1" s="0" t="n">
        <v>126</v>
      </c>
      <c r="EJ1" s="0" t="n">
        <v>127</v>
      </c>
      <c r="EK1" s="0" t="n">
        <v>128</v>
      </c>
      <c r="EL1" s="0" t="n">
        <v>129</v>
      </c>
      <c r="EM1" s="0" t="n">
        <v>130</v>
      </c>
      <c r="EN1" s="0" t="n">
        <v>131</v>
      </c>
      <c r="EO1" s="0" t="n">
        <v>132</v>
      </c>
      <c r="EP1" s="0" t="n">
        <v>133</v>
      </c>
      <c r="EQ1" s="0" t="n">
        <v>134</v>
      </c>
      <c r="ER1" s="0" t="n">
        <v>135</v>
      </c>
      <c r="ES1" s="0" t="n">
        <v>136</v>
      </c>
      <c r="ET1" s="0" t="n">
        <v>137</v>
      </c>
      <c r="EU1" s="0" t="n">
        <v>138</v>
      </c>
      <c r="EV1" s="0" t="n">
        <v>139</v>
      </c>
      <c r="EW1" s="0" t="n">
        <v>140</v>
      </c>
      <c r="EX1" s="0" t="n">
        <v>141</v>
      </c>
      <c r="EY1" s="0" t="n">
        <v>142</v>
      </c>
      <c r="EZ1" s="0" t="n">
        <v>143</v>
      </c>
      <c r="FA1" s="0" t="n">
        <v>144</v>
      </c>
      <c r="FB1" s="0" t="n">
        <v>145</v>
      </c>
      <c r="FC1" s="0" t="n">
        <v>146</v>
      </c>
      <c r="FD1" s="0" t="n">
        <v>147</v>
      </c>
      <c r="FE1" s="0" t="n">
        <v>148</v>
      </c>
      <c r="FF1" s="0" t="n">
        <v>149</v>
      </c>
      <c r="FG1" s="0" t="n">
        <v>150</v>
      </c>
      <c r="FH1" s="0" t="n">
        <v>151</v>
      </c>
      <c r="FI1" s="0" t="n">
        <v>152</v>
      </c>
      <c r="FJ1" s="0" t="n">
        <v>153</v>
      </c>
      <c r="FK1" s="0" t="n">
        <v>154</v>
      </c>
      <c r="FL1" s="0" t="n">
        <v>155</v>
      </c>
      <c r="FM1" s="0" t="n">
        <v>156</v>
      </c>
      <c r="FN1" s="0" t="n">
        <v>157</v>
      </c>
      <c r="FO1" s="0" t="n">
        <v>158</v>
      </c>
      <c r="FP1" s="0" t="n">
        <v>159</v>
      </c>
      <c r="FQ1" s="0" t="n">
        <v>160</v>
      </c>
      <c r="FR1" s="0" t="n">
        <v>161</v>
      </c>
      <c r="FS1" s="0" t="n">
        <v>162</v>
      </c>
      <c r="FT1" s="0" t="n">
        <v>163</v>
      </c>
      <c r="FU1" s="0" t="n">
        <v>164</v>
      </c>
      <c r="FV1" s="0" t="n">
        <v>165</v>
      </c>
      <c r="FW1" s="0" t="n">
        <v>166</v>
      </c>
      <c r="FX1" s="0" t="n">
        <v>167</v>
      </c>
      <c r="FY1" s="0" t="n">
        <v>168</v>
      </c>
      <c r="FZ1" s="0" t="n">
        <v>169</v>
      </c>
      <c r="GA1" s="0" t="n">
        <v>170</v>
      </c>
      <c r="GB1" s="0" t="n">
        <v>171</v>
      </c>
      <c r="GC1" s="0" t="n">
        <v>172</v>
      </c>
      <c r="GD1" s="0" t="n">
        <v>173</v>
      </c>
      <c r="GE1" s="0" t="n">
        <v>174</v>
      </c>
      <c r="GF1" s="0" t="n">
        <v>175</v>
      </c>
      <c r="GG1" s="0" t="n">
        <v>176</v>
      </c>
      <c r="GH1" s="0" t="n">
        <v>177</v>
      </c>
      <c r="GI1" s="0" t="n">
        <v>178</v>
      </c>
      <c r="GJ1" s="0" t="n">
        <v>179</v>
      </c>
      <c r="GK1" s="0" t="n">
        <v>180</v>
      </c>
      <c r="GL1" s="0" t="n">
        <v>181</v>
      </c>
      <c r="GM1" s="0" t="n">
        <v>182</v>
      </c>
      <c r="GN1" s="0" t="n">
        <v>183</v>
      </c>
      <c r="GO1" s="0" t="n">
        <v>184</v>
      </c>
      <c r="GP1" s="0" t="n">
        <v>185</v>
      </c>
      <c r="GQ1" s="0" t="n">
        <v>186</v>
      </c>
      <c r="GR1" s="0" t="n">
        <v>187</v>
      </c>
      <c r="GS1" s="0" t="n">
        <v>188</v>
      </c>
      <c r="GT1" s="0" t="n">
        <v>189</v>
      </c>
      <c r="GU1" s="0" t="n">
        <v>190</v>
      </c>
      <c r="GV1" s="0" t="n">
        <v>191</v>
      </c>
      <c r="GW1" s="0" t="n">
        <v>192</v>
      </c>
      <c r="GX1" s="0" t="n">
        <v>193</v>
      </c>
      <c r="GY1" s="0" t="n">
        <v>194</v>
      </c>
      <c r="GZ1" s="0" t="n">
        <v>195</v>
      </c>
      <c r="HA1" s="0" t="n">
        <v>196</v>
      </c>
      <c r="HB1" s="0" t="n">
        <v>197</v>
      </c>
      <c r="HC1" s="0" t="n">
        <v>198</v>
      </c>
      <c r="HD1" s="0" t="n">
        <v>199</v>
      </c>
      <c r="HE1" s="0" t="n">
        <v>200</v>
      </c>
      <c r="HF1" s="0" t="n">
        <v>201</v>
      </c>
      <c r="HG1" s="0" t="n">
        <v>202</v>
      </c>
      <c r="HH1" s="0" t="n">
        <v>203</v>
      </c>
      <c r="HI1" s="0" t="n">
        <v>204</v>
      </c>
      <c r="HJ1" s="0" t="n">
        <v>205</v>
      </c>
      <c r="HK1" s="0" t="n">
        <v>206</v>
      </c>
      <c r="HL1" s="0" t="n">
        <v>207</v>
      </c>
      <c r="HM1" s="0" t="n">
        <v>208</v>
      </c>
      <c r="HN1" s="0" t="n">
        <v>209</v>
      </c>
      <c r="HO1" s="0" t="n">
        <v>210</v>
      </c>
      <c r="HP1" s="0" t="n">
        <v>211</v>
      </c>
      <c r="HQ1" s="0" t="n">
        <v>212</v>
      </c>
      <c r="HR1" s="0" t="n">
        <v>213</v>
      </c>
      <c r="HS1" s="0" t="n">
        <v>214</v>
      </c>
      <c r="HT1" s="0" t="n">
        <v>215</v>
      </c>
      <c r="HU1" s="0" t="n">
        <v>216</v>
      </c>
      <c r="HV1" s="0" t="n">
        <v>217</v>
      </c>
      <c r="HW1" s="0" t="n">
        <v>218</v>
      </c>
      <c r="HX1" s="0" t="n">
        <v>219</v>
      </c>
      <c r="HY1" s="0" t="n">
        <v>220</v>
      </c>
      <c r="HZ1" s="0" t="n">
        <v>221</v>
      </c>
      <c r="IA1" s="0" t="n">
        <v>222</v>
      </c>
      <c r="IB1" s="0" t="n">
        <v>223</v>
      </c>
      <c r="IC1" s="0" t="n">
        <v>224</v>
      </c>
      <c r="ID1" s="0" t="n">
        <v>225</v>
      </c>
      <c r="IE1" s="0" t="n">
        <v>226</v>
      </c>
      <c r="IF1" s="0" t="n">
        <v>227</v>
      </c>
      <c r="IG1" s="0" t="n">
        <v>228</v>
      </c>
      <c r="IH1" s="0" t="n">
        <v>229</v>
      </c>
      <c r="II1" s="0" t="n">
        <v>230</v>
      </c>
      <c r="IJ1" s="0" t="n">
        <v>231</v>
      </c>
      <c r="IK1" s="0" t="n">
        <v>232</v>
      </c>
      <c r="IL1" s="0" t="n">
        <v>233</v>
      </c>
      <c r="IM1" s="0" t="n">
        <v>234</v>
      </c>
      <c r="IN1" s="0" t="n">
        <v>235</v>
      </c>
      <c r="IO1" s="0" t="n">
        <v>236</v>
      </c>
      <c r="IP1" s="0" t="n">
        <v>237</v>
      </c>
      <c r="IQ1" s="0" t="n">
        <v>238</v>
      </c>
      <c r="IR1" s="0" t="n">
        <v>239</v>
      </c>
      <c r="IS1" s="0" t="n">
        <v>240</v>
      </c>
      <c r="IT1" s="0" t="n">
        <v>241</v>
      </c>
      <c r="IU1" s="0" t="n">
        <v>242</v>
      </c>
      <c r="IV1" s="0" t="n">
        <v>243</v>
      </c>
      <c r="IW1" s="0" t="n">
        <v>244</v>
      </c>
      <c r="IX1" s="0" t="n">
        <v>245</v>
      </c>
      <c r="IY1" s="0" t="n">
        <v>246</v>
      </c>
      <c r="IZ1" s="0" t="n">
        <v>247</v>
      </c>
      <c r="JA1" s="0" t="n">
        <v>248</v>
      </c>
      <c r="JB1" s="0" t="n">
        <v>249</v>
      </c>
      <c r="JC1" s="0" t="n">
        <v>250</v>
      </c>
      <c r="JD1" s="0" t="n">
        <v>251</v>
      </c>
      <c r="JE1" s="0" t="n">
        <v>252</v>
      </c>
      <c r="JF1" s="0" t="n">
        <v>253</v>
      </c>
      <c r="JG1" s="0" t="n">
        <v>254</v>
      </c>
      <c r="JH1" s="0" t="n">
        <v>255</v>
      </c>
      <c r="JI1" s="0" t="n">
        <v>256</v>
      </c>
      <c r="JJ1" s="0" t="n">
        <v>257</v>
      </c>
      <c r="JK1" s="0" t="n">
        <v>258</v>
      </c>
      <c r="JL1" s="0" t="n">
        <v>259</v>
      </c>
      <c r="JM1" s="0" t="n">
        <v>260</v>
      </c>
      <c r="JN1" s="0" t="n">
        <v>261</v>
      </c>
      <c r="JO1" s="0" t="n">
        <v>262</v>
      </c>
      <c r="JP1" s="0" t="n">
        <v>263</v>
      </c>
      <c r="JQ1" s="0" t="n">
        <v>264</v>
      </c>
      <c r="JR1" s="0" t="n">
        <v>265</v>
      </c>
      <c r="JS1" s="0" t="n">
        <v>266</v>
      </c>
      <c r="JT1" s="0" t="n">
        <v>267</v>
      </c>
      <c r="JU1" s="0" t="n">
        <v>268</v>
      </c>
      <c r="JV1" s="0" t="n">
        <v>269</v>
      </c>
      <c r="JW1" s="0" t="n">
        <v>270</v>
      </c>
      <c r="JX1" s="0" t="n">
        <v>271</v>
      </c>
      <c r="JY1" s="0" t="n">
        <v>272</v>
      </c>
      <c r="JZ1" s="0" t="n">
        <v>273</v>
      </c>
      <c r="KA1" s="0" t="n">
        <v>274</v>
      </c>
      <c r="KB1" s="0" t="n">
        <v>275</v>
      </c>
      <c r="KC1" s="0" t="n">
        <v>276</v>
      </c>
      <c r="KD1" s="0" t="n">
        <v>277</v>
      </c>
      <c r="KE1" s="0" t="n">
        <v>278</v>
      </c>
      <c r="KF1" s="0" t="n">
        <v>279</v>
      </c>
      <c r="KG1" s="0" t="n">
        <v>280</v>
      </c>
      <c r="KH1" s="0" t="n">
        <v>281</v>
      </c>
      <c r="KI1" s="0" t="n">
        <v>282</v>
      </c>
      <c r="KJ1" s="0" t="n">
        <v>283</v>
      </c>
      <c r="KK1" s="0" t="n">
        <v>284</v>
      </c>
      <c r="KL1" s="0" t="n">
        <v>285</v>
      </c>
      <c r="KM1" s="0" t="n">
        <v>286</v>
      </c>
      <c r="KN1" s="0" t="n">
        <v>287</v>
      </c>
      <c r="KO1" s="0" t="n">
        <v>288</v>
      </c>
      <c r="KP1" s="0" t="n">
        <v>289</v>
      </c>
      <c r="KQ1" s="0" t="n">
        <v>290</v>
      </c>
      <c r="KR1" s="0" t="n">
        <v>291</v>
      </c>
      <c r="KS1" s="0" t="n">
        <v>292</v>
      </c>
      <c r="KT1" s="0" t="n">
        <v>293</v>
      </c>
      <c r="KU1" s="0" t="n">
        <v>294</v>
      </c>
      <c r="KV1" s="0" t="n">
        <v>295</v>
      </c>
      <c r="KW1" s="0" t="n">
        <v>296</v>
      </c>
      <c r="KX1" s="0" t="n">
        <v>297</v>
      </c>
      <c r="KY1" s="0" t="n">
        <v>298</v>
      </c>
      <c r="KZ1" s="0" t="n">
        <v>299</v>
      </c>
      <c r="LA1" s="0" t="n">
        <v>300</v>
      </c>
      <c r="LB1" s="0" t="n">
        <v>301</v>
      </c>
      <c r="LC1" s="0" t="n">
        <v>302</v>
      </c>
      <c r="LD1" s="0" t="n">
        <v>303</v>
      </c>
      <c r="LE1" s="0" t="n">
        <v>304</v>
      </c>
      <c r="LF1" s="0" t="n">
        <v>305</v>
      </c>
      <c r="LG1" s="0" t="n">
        <v>306</v>
      </c>
      <c r="LH1" s="0" t="n">
        <v>307</v>
      </c>
      <c r="LI1" s="0" t="n">
        <v>308</v>
      </c>
      <c r="LJ1" s="0" t="n">
        <v>309</v>
      </c>
      <c r="LK1" s="0" t="n">
        <v>310</v>
      </c>
      <c r="LL1" s="0" t="n">
        <v>311</v>
      </c>
      <c r="LM1" s="0" t="n">
        <v>312</v>
      </c>
      <c r="LN1" s="0" t="n">
        <v>313</v>
      </c>
      <c r="LO1" s="0" t="n">
        <v>314</v>
      </c>
      <c r="LP1" s="0" t="n">
        <v>315</v>
      </c>
      <c r="LQ1" s="0" t="n">
        <v>316</v>
      </c>
      <c r="LR1" s="0" t="n">
        <v>317</v>
      </c>
      <c r="LS1" s="0" t="n">
        <v>318</v>
      </c>
      <c r="LT1" s="0" t="n">
        <v>319</v>
      </c>
      <c r="LU1" s="0" t="n">
        <v>320</v>
      </c>
      <c r="LV1" s="0" t="n">
        <v>321</v>
      </c>
      <c r="LW1" s="0" t="n">
        <v>322</v>
      </c>
      <c r="LX1" s="0" t="n">
        <v>323</v>
      </c>
      <c r="LY1" s="0" t="n">
        <v>324</v>
      </c>
      <c r="LZ1" s="0" t="n">
        <v>325</v>
      </c>
      <c r="MA1" s="0" t="n">
        <v>326</v>
      </c>
      <c r="MB1" s="0" t="n">
        <v>327</v>
      </c>
      <c r="MC1" s="0" t="n">
        <v>328</v>
      </c>
      <c r="MD1" s="0" t="n">
        <v>329</v>
      </c>
      <c r="ME1" s="0" t="n">
        <v>330</v>
      </c>
      <c r="MF1" s="0" t="n">
        <v>331</v>
      </c>
      <c r="MG1" s="0" t="n">
        <v>332</v>
      </c>
      <c r="MH1" s="0" t="n">
        <v>333</v>
      </c>
      <c r="MI1" s="0" t="n">
        <v>334</v>
      </c>
      <c r="MJ1" s="0" t="n">
        <v>335</v>
      </c>
      <c r="MK1" s="0" t="n">
        <v>336</v>
      </c>
      <c r="ML1" s="0" t="n">
        <v>337</v>
      </c>
      <c r="MM1" s="0" t="n">
        <v>338</v>
      </c>
      <c r="MN1" s="0" t="n">
        <v>339</v>
      </c>
      <c r="MO1" s="0" t="n">
        <v>340</v>
      </c>
      <c r="MP1" s="0" t="n">
        <v>341</v>
      </c>
      <c r="MQ1" s="0" t="n">
        <v>342</v>
      </c>
      <c r="MR1" s="0" t="n">
        <v>343</v>
      </c>
      <c r="MS1" s="0" t="n">
        <v>344</v>
      </c>
      <c r="MT1" s="0" t="n">
        <v>345</v>
      </c>
      <c r="MU1" s="0" t="n">
        <v>346</v>
      </c>
      <c r="MV1" s="0" t="n">
        <v>347</v>
      </c>
      <c r="MW1" s="0" t="n">
        <v>348</v>
      </c>
      <c r="MX1" s="0" t="n">
        <v>349</v>
      </c>
      <c r="MY1" s="0" t="n">
        <v>350</v>
      </c>
      <c r="MZ1" s="0" t="n">
        <v>351</v>
      </c>
      <c r="NA1" s="0" t="n">
        <v>352</v>
      </c>
      <c r="NB1" s="0" t="n">
        <v>353</v>
      </c>
      <c r="NC1" s="0" t="n">
        <v>354</v>
      </c>
      <c r="ND1" s="0" t="n">
        <v>355</v>
      </c>
      <c r="NE1" s="0" t="n">
        <v>356</v>
      </c>
      <c r="NF1" s="0" t="n">
        <v>357</v>
      </c>
      <c r="NG1" s="0" t="n">
        <v>358</v>
      </c>
      <c r="NH1" s="0" t="n">
        <v>359</v>
      </c>
      <c r="NI1" s="0" t="n">
        <v>360</v>
      </c>
      <c r="NJ1" s="0" t="n">
        <v>361</v>
      </c>
      <c r="NK1" s="0" t="n">
        <v>362</v>
      </c>
      <c r="NL1" s="0" t="n">
        <v>363</v>
      </c>
      <c r="NM1" s="0" t="n">
        <v>364</v>
      </c>
      <c r="NN1" s="0" t="n">
        <v>365</v>
      </c>
      <c r="NO1" s="0" t="n">
        <v>366</v>
      </c>
      <c r="NP1" s="0" t="n">
        <v>367</v>
      </c>
      <c r="NQ1" s="0" t="n">
        <v>368</v>
      </c>
      <c r="NR1" s="0" t="n">
        <v>369</v>
      </c>
      <c r="NS1" s="0" t="n">
        <v>370</v>
      </c>
      <c r="NT1" s="0" t="n">
        <v>371</v>
      </c>
      <c r="NU1" s="0" t="n">
        <v>372</v>
      </c>
      <c r="NV1" s="0" t="n">
        <v>373</v>
      </c>
      <c r="NW1" s="0" t="n">
        <v>374</v>
      </c>
      <c r="NX1" s="0" t="n">
        <v>375</v>
      </c>
      <c r="NY1" s="0" t="n">
        <v>376</v>
      </c>
      <c r="NZ1" s="0" t="n">
        <v>377</v>
      </c>
      <c r="OA1" s="0" t="n">
        <v>378</v>
      </c>
      <c r="OB1" s="0" t="n">
        <v>379</v>
      </c>
      <c r="OC1" s="0" t="n">
        <v>380</v>
      </c>
      <c r="OD1" s="0" t="n">
        <v>381</v>
      </c>
      <c r="OE1" s="0" t="n">
        <v>382</v>
      </c>
      <c r="OF1" s="0" t="n">
        <v>383</v>
      </c>
      <c r="OG1" s="0" t="n">
        <v>384</v>
      </c>
      <c r="OH1" s="0" t="n">
        <v>385</v>
      </c>
      <c r="OI1" s="0" t="n">
        <v>386</v>
      </c>
      <c r="OJ1" s="0" t="n">
        <v>387</v>
      </c>
      <c r="OK1" s="0" t="n">
        <v>388</v>
      </c>
      <c r="OL1" s="0" t="n">
        <v>389</v>
      </c>
      <c r="OM1" s="0" t="n">
        <v>390</v>
      </c>
      <c r="ON1" s="0" t="n">
        <v>391</v>
      </c>
      <c r="OO1" s="0" t="n">
        <v>392</v>
      </c>
      <c r="OP1" s="0" t="n">
        <v>393</v>
      </c>
      <c r="OQ1" s="0" t="n">
        <v>394</v>
      </c>
      <c r="OR1" s="0" t="n">
        <v>395</v>
      </c>
      <c r="OS1" s="0" t="n">
        <v>396</v>
      </c>
      <c r="OT1" s="0" t="n">
        <v>397</v>
      </c>
      <c r="OU1" s="0" t="n">
        <v>398</v>
      </c>
      <c r="OV1" s="0" t="n">
        <v>399</v>
      </c>
      <c r="OW1" s="0" t="n">
        <v>400</v>
      </c>
      <c r="OX1" s="0" t="n">
        <v>401</v>
      </c>
      <c r="OY1" s="0" t="n">
        <v>402</v>
      </c>
      <c r="OZ1" s="0" t="n">
        <v>403</v>
      </c>
      <c r="PA1" s="0" t="n">
        <v>404</v>
      </c>
      <c r="PB1" s="0" t="n">
        <v>405</v>
      </c>
      <c r="PC1" s="0" t="n">
        <v>406</v>
      </c>
      <c r="PD1" s="0" t="n">
        <v>407</v>
      </c>
      <c r="PE1" s="0" t="n">
        <v>408</v>
      </c>
      <c r="PF1" s="0" t="n">
        <v>409</v>
      </c>
      <c r="PG1" s="0" t="n">
        <v>410</v>
      </c>
      <c r="PH1" s="0" t="n">
        <v>411</v>
      </c>
      <c r="PI1" s="0" t="n">
        <v>412</v>
      </c>
      <c r="PJ1" s="0" t="n">
        <v>413</v>
      </c>
      <c r="PK1" s="0" t="n">
        <v>414</v>
      </c>
      <c r="PL1" s="0" t="n">
        <v>415</v>
      </c>
      <c r="PM1" s="0" t="n">
        <v>416</v>
      </c>
      <c r="PN1" s="0" t="n">
        <v>417</v>
      </c>
      <c r="PO1" s="0" t="n">
        <v>418</v>
      </c>
      <c r="PP1" s="0" t="n">
        <v>419</v>
      </c>
      <c r="PQ1" s="0" t="n">
        <v>420</v>
      </c>
      <c r="PR1" s="0" t="n">
        <v>421</v>
      </c>
      <c r="PS1" s="0" t="n">
        <v>422</v>
      </c>
      <c r="PT1" s="0" t="n">
        <v>423</v>
      </c>
      <c r="PU1" s="0" t="n">
        <v>424</v>
      </c>
      <c r="PV1" s="0" t="n">
        <v>425</v>
      </c>
      <c r="PW1" s="0" t="n">
        <v>426</v>
      </c>
      <c r="PX1" s="0" t="n">
        <v>427</v>
      </c>
      <c r="PY1" s="0" t="n">
        <v>428</v>
      </c>
      <c r="PZ1" s="0" t="n">
        <v>429</v>
      </c>
      <c r="QA1" s="0" t="n">
        <v>430</v>
      </c>
      <c r="QB1" s="0" t="n">
        <v>431</v>
      </c>
      <c r="QC1" s="0" t="n">
        <v>432</v>
      </c>
      <c r="QD1" s="0" t="n">
        <v>433</v>
      </c>
      <c r="QE1" s="0" t="n">
        <v>434</v>
      </c>
      <c r="QF1" s="0" t="n">
        <v>435</v>
      </c>
      <c r="QG1" s="0" t="n">
        <v>436</v>
      </c>
      <c r="QH1" s="0" t="n">
        <v>437</v>
      </c>
      <c r="QI1" s="0" t="n">
        <v>438</v>
      </c>
      <c r="QJ1" s="0" t="n">
        <v>439</v>
      </c>
      <c r="QK1" s="0" t="n">
        <v>440</v>
      </c>
      <c r="QL1" s="0" t="n">
        <v>441</v>
      </c>
      <c r="QM1" s="0" t="n">
        <v>442</v>
      </c>
      <c r="QN1" s="0" t="n">
        <v>443</v>
      </c>
      <c r="QO1" s="0" t="n">
        <v>444</v>
      </c>
      <c r="QP1" s="0" t="n">
        <v>445</v>
      </c>
      <c r="QQ1" s="0" t="n">
        <v>446</v>
      </c>
      <c r="QR1" s="0" t="n">
        <v>447</v>
      </c>
      <c r="QS1" s="0" t="n">
        <v>448</v>
      </c>
      <c r="QT1" s="0" t="n">
        <v>449</v>
      </c>
      <c r="QU1" s="0" t="n">
        <v>450</v>
      </c>
      <c r="QV1" s="0" t="n">
        <v>451</v>
      </c>
      <c r="QW1" s="0" t="n">
        <v>452</v>
      </c>
      <c r="QX1" s="0" t="n">
        <v>453</v>
      </c>
      <c r="QY1" s="0" t="n">
        <v>454</v>
      </c>
      <c r="QZ1" s="0" t="n">
        <v>455</v>
      </c>
      <c r="RA1" s="0" t="n">
        <v>456</v>
      </c>
      <c r="RB1" s="0" t="n">
        <v>457</v>
      </c>
      <c r="RC1" s="0" t="n">
        <v>458</v>
      </c>
      <c r="RD1" s="0" t="n">
        <v>459</v>
      </c>
      <c r="RE1" s="0" t="n">
        <v>460</v>
      </c>
      <c r="RF1" s="0" t="n">
        <v>461</v>
      </c>
      <c r="RG1" s="0" t="n">
        <v>462</v>
      </c>
      <c r="RH1" s="0" t="n">
        <v>463</v>
      </c>
      <c r="RI1" s="0" t="n">
        <v>464</v>
      </c>
      <c r="RJ1" s="0" t="n">
        <v>465</v>
      </c>
      <c r="RK1" s="0" t="n">
        <v>466</v>
      </c>
      <c r="RL1" s="0" t="n">
        <v>467</v>
      </c>
      <c r="RM1" s="0" t="n">
        <v>468</v>
      </c>
      <c r="RN1" s="0" t="n">
        <v>469</v>
      </c>
      <c r="RO1" s="0" t="n">
        <v>470</v>
      </c>
      <c r="RP1" s="0" t="n">
        <v>471</v>
      </c>
      <c r="RQ1" s="0" t="n">
        <v>472</v>
      </c>
      <c r="RR1" s="0" t="n">
        <v>473</v>
      </c>
      <c r="RS1" s="0" t="n">
        <v>474</v>
      </c>
      <c r="RT1" s="0" t="n">
        <v>475</v>
      </c>
      <c r="RU1" s="0" t="n">
        <v>476</v>
      </c>
      <c r="RV1" s="0" t="n">
        <v>477</v>
      </c>
      <c r="RW1" s="0" t="n">
        <v>478</v>
      </c>
      <c r="RX1" s="0" t="n">
        <v>479</v>
      </c>
      <c r="RY1" s="0" t="n">
        <v>480</v>
      </c>
      <c r="RZ1" s="0" t="n">
        <v>481</v>
      </c>
      <c r="SA1" s="0" t="n">
        <v>482</v>
      </c>
      <c r="SB1" s="0" t="n">
        <v>483</v>
      </c>
      <c r="SC1" s="0" t="n">
        <v>484</v>
      </c>
      <c r="SD1" s="0" t="n">
        <v>485</v>
      </c>
      <c r="SE1" s="0" t="n">
        <v>486</v>
      </c>
      <c r="SF1" s="0" t="n">
        <v>487</v>
      </c>
      <c r="SG1" s="0" t="n">
        <v>488</v>
      </c>
      <c r="SH1" s="0" t="n">
        <v>489</v>
      </c>
      <c r="SI1" s="0" t="n">
        <v>490</v>
      </c>
      <c r="SJ1" s="0" t="n">
        <v>491</v>
      </c>
      <c r="SK1" s="0" t="n">
        <v>492</v>
      </c>
      <c r="SL1" s="0" t="n">
        <v>493</v>
      </c>
      <c r="SM1" s="0" t="n">
        <v>494</v>
      </c>
      <c r="SN1" s="0" t="n">
        <v>495</v>
      </c>
      <c r="SO1" s="0" t="n">
        <v>496</v>
      </c>
      <c r="SP1" s="0" t="n">
        <v>497</v>
      </c>
      <c r="SQ1" s="0" t="n">
        <v>498</v>
      </c>
      <c r="SR1" s="0" t="n">
        <v>499</v>
      </c>
      <c r="SS1" s="0" t="n">
        <v>500</v>
      </c>
      <c r="ST1" s="0" t="n">
        <v>501</v>
      </c>
      <c r="SU1" s="0" t="n">
        <v>502</v>
      </c>
      <c r="SV1" s="0" t="n">
        <v>503</v>
      </c>
      <c r="SW1" s="0" t="n">
        <v>504</v>
      </c>
      <c r="SX1" s="0" t="n">
        <v>505</v>
      </c>
      <c r="SY1" s="0" t="n">
        <v>506</v>
      </c>
      <c r="SZ1" s="0" t="n">
        <v>507</v>
      </c>
      <c r="TA1" s="0" t="n">
        <v>508</v>
      </c>
      <c r="TB1" s="0" t="n">
        <v>509</v>
      </c>
      <c r="TC1" s="0" t="n">
        <v>510</v>
      </c>
      <c r="TD1" s="0" t="n">
        <v>511</v>
      </c>
      <c r="TE1" s="0" t="n">
        <v>512</v>
      </c>
      <c r="TF1" s="0" t="n">
        <v>513</v>
      </c>
      <c r="TG1" s="0" t="n">
        <v>514</v>
      </c>
      <c r="TH1" s="0" t="n">
        <v>515</v>
      </c>
      <c r="TI1" s="0" t="n">
        <v>516</v>
      </c>
      <c r="TJ1" s="0" t="n">
        <v>517</v>
      </c>
      <c r="TK1" s="0" t="n">
        <v>518</v>
      </c>
      <c r="TL1" s="0" t="n">
        <v>519</v>
      </c>
      <c r="TM1" s="0" t="n">
        <v>520</v>
      </c>
      <c r="TN1" s="0" t="n">
        <v>521</v>
      </c>
      <c r="TO1" s="0" t="n">
        <v>522</v>
      </c>
      <c r="TP1" s="0" t="n">
        <v>523</v>
      </c>
      <c r="TQ1" s="0" t="n">
        <v>524</v>
      </c>
      <c r="TR1" s="0" t="n">
        <v>525</v>
      </c>
      <c r="TS1" s="0" t="n">
        <v>526</v>
      </c>
      <c r="TT1" s="0" t="n">
        <v>527</v>
      </c>
      <c r="TU1" s="0" t="n">
        <v>528</v>
      </c>
      <c r="TV1" s="0" t="n">
        <v>529</v>
      </c>
      <c r="TW1" s="0" t="n">
        <v>530</v>
      </c>
      <c r="TX1" s="0" t="n">
        <v>531</v>
      </c>
      <c r="TY1" s="0" t="n">
        <v>532</v>
      </c>
      <c r="TZ1" s="0" t="n">
        <v>533</v>
      </c>
      <c r="UA1" s="0" t="n">
        <v>534</v>
      </c>
      <c r="UB1" s="0" t="n">
        <v>535</v>
      </c>
      <c r="UC1" s="0" t="n">
        <v>536</v>
      </c>
      <c r="UD1" s="0" t="n">
        <v>537</v>
      </c>
      <c r="UE1" s="0" t="n">
        <v>538</v>
      </c>
      <c r="UF1" s="0" t="n">
        <v>539</v>
      </c>
      <c r="UG1" s="0" t="n">
        <v>540</v>
      </c>
      <c r="UH1" s="0" t="n">
        <v>541</v>
      </c>
      <c r="UI1" s="0" t="n">
        <v>542</v>
      </c>
      <c r="UJ1" s="0" t="n">
        <v>543</v>
      </c>
      <c r="UK1" s="0" t="n">
        <v>544</v>
      </c>
      <c r="UL1" s="0" t="n">
        <v>545</v>
      </c>
      <c r="UM1" s="0" t="n">
        <v>546</v>
      </c>
      <c r="UN1" s="0" t="n">
        <v>547</v>
      </c>
      <c r="UO1" s="0" t="n">
        <v>548</v>
      </c>
      <c r="UP1" s="0" t="n">
        <v>549</v>
      </c>
    </row>
    <row r="2" customFormat="false" ht="14.5" hidden="false" customHeight="false" outlineLevel="0" collapsed="false">
      <c r="B2" s="4" t="s">
        <v>1299</v>
      </c>
      <c r="C2" s="0" t="n">
        <v>848</v>
      </c>
      <c r="D2" s="0" t="n">
        <v>699</v>
      </c>
      <c r="E2" s="0" t="n">
        <v>975</v>
      </c>
      <c r="F2" s="0" t="n">
        <v>14</v>
      </c>
      <c r="G2" s="0" t="n">
        <v>30</v>
      </c>
      <c r="H2" s="0" t="n">
        <v>197</v>
      </c>
      <c r="I2" s="0" t="n">
        <v>59</v>
      </c>
      <c r="J2" s="0" t="n">
        <v>338</v>
      </c>
      <c r="K2" s="0" t="n">
        <v>286</v>
      </c>
      <c r="L2" s="0" t="n">
        <v>149</v>
      </c>
      <c r="M2" s="0" t="n">
        <v>763</v>
      </c>
      <c r="N2" s="0" t="n">
        <v>68</v>
      </c>
      <c r="O2" s="0" t="n">
        <v>667</v>
      </c>
      <c r="P2" s="0" t="n">
        <v>985</v>
      </c>
      <c r="Q2" s="0" t="n">
        <v>320</v>
      </c>
      <c r="R2" s="0" t="n">
        <v>943</v>
      </c>
      <c r="S2" s="0" t="n">
        <v>648</v>
      </c>
      <c r="T2" s="0" t="n">
        <v>844</v>
      </c>
      <c r="U2" s="0" t="n">
        <v>882</v>
      </c>
      <c r="V2" s="0" t="n">
        <v>656</v>
      </c>
      <c r="W2" s="0" t="n">
        <v>962</v>
      </c>
      <c r="X2" s="0" t="n">
        <v>767</v>
      </c>
      <c r="Y2" s="0" t="n">
        <v>1021</v>
      </c>
      <c r="Z2" s="0" t="n">
        <v>1085</v>
      </c>
      <c r="AA2" s="0" t="n">
        <v>558</v>
      </c>
      <c r="AB2" s="0" t="n">
        <v>838</v>
      </c>
      <c r="AC2" s="0" t="n">
        <v>654</v>
      </c>
      <c r="AD2" s="0" t="n">
        <v>702</v>
      </c>
      <c r="AE2" s="0" t="n">
        <v>889</v>
      </c>
      <c r="AF2" s="0" t="n">
        <v>929</v>
      </c>
      <c r="AG2" s="0" t="n">
        <v>981</v>
      </c>
      <c r="AH2" s="0" t="n">
        <v>201</v>
      </c>
      <c r="AI2" s="0" t="n">
        <v>1047</v>
      </c>
      <c r="AJ2" s="0" t="n">
        <v>1070</v>
      </c>
      <c r="AK2" s="0" t="n">
        <v>1038</v>
      </c>
      <c r="AL2" s="0" t="n">
        <v>1062</v>
      </c>
      <c r="AM2" s="0" t="n">
        <v>1030</v>
      </c>
      <c r="AN2" s="0" t="n">
        <v>113</v>
      </c>
      <c r="AO2" s="0" t="n">
        <v>1094</v>
      </c>
      <c r="AP2" s="0" t="n">
        <v>1128</v>
      </c>
      <c r="AQ2" s="0" t="n">
        <v>478</v>
      </c>
      <c r="AR2" s="0" t="n">
        <v>510</v>
      </c>
      <c r="AS2" s="0" t="n">
        <v>878</v>
      </c>
      <c r="AT2" s="0" t="n">
        <v>657</v>
      </c>
      <c r="AU2" s="0" t="n">
        <v>950</v>
      </c>
      <c r="AV2" s="0" t="n">
        <v>974</v>
      </c>
      <c r="AW2" s="0" t="n">
        <v>1102</v>
      </c>
      <c r="AX2" s="0" t="n">
        <v>2</v>
      </c>
      <c r="AY2" s="0" t="n">
        <v>450</v>
      </c>
      <c r="AZ2" s="0" t="n">
        <v>854</v>
      </c>
      <c r="BA2" s="0" t="n">
        <v>577</v>
      </c>
      <c r="BB2" s="0" t="n">
        <v>625</v>
      </c>
      <c r="BC2" s="0" t="n">
        <v>945</v>
      </c>
      <c r="BD2" s="0" t="n">
        <v>1026</v>
      </c>
      <c r="BE2" s="0" t="n">
        <v>1006</v>
      </c>
      <c r="BF2" s="0" t="n">
        <v>670</v>
      </c>
      <c r="BG2" s="0" t="n">
        <v>1086</v>
      </c>
      <c r="BH2" s="0" t="n">
        <v>1111</v>
      </c>
      <c r="BI2" s="0" t="n">
        <v>9</v>
      </c>
      <c r="BJ2" s="0" t="n">
        <v>461</v>
      </c>
      <c r="BK2" s="0" t="n">
        <v>873</v>
      </c>
      <c r="BL2" s="0" t="n">
        <v>806</v>
      </c>
      <c r="BM2" s="0" t="n">
        <v>1035</v>
      </c>
      <c r="BN2" s="0" t="n">
        <v>1090</v>
      </c>
      <c r="BO2" s="0" t="n">
        <v>862</v>
      </c>
      <c r="BP2" s="0" t="n">
        <v>893</v>
      </c>
      <c r="BQ2" s="0" t="n">
        <v>36</v>
      </c>
      <c r="BR2" s="0" t="n">
        <v>180</v>
      </c>
      <c r="BS2" s="0" t="n">
        <v>148</v>
      </c>
      <c r="BT2" s="0" t="n">
        <v>187</v>
      </c>
      <c r="BU2" s="0" t="n">
        <v>638</v>
      </c>
      <c r="BV2" s="0" t="n">
        <v>662</v>
      </c>
      <c r="BW2" s="0" t="n">
        <v>897</v>
      </c>
      <c r="BX2" s="0" t="n">
        <v>1106</v>
      </c>
      <c r="BY2" s="0" t="n">
        <v>1010</v>
      </c>
      <c r="BZ2" s="0" t="n">
        <v>1058</v>
      </c>
      <c r="CA2" s="0" t="n">
        <v>857</v>
      </c>
      <c r="CB2" s="0" t="n">
        <v>849</v>
      </c>
      <c r="CC2" s="0" t="n">
        <v>527</v>
      </c>
      <c r="CD2" s="0" t="n">
        <v>600</v>
      </c>
      <c r="CE2" s="0" t="n">
        <v>678</v>
      </c>
      <c r="CF2" s="0" t="n">
        <v>252</v>
      </c>
      <c r="CG2" s="0" t="n">
        <v>156</v>
      </c>
      <c r="CH2" s="0" t="n">
        <v>243</v>
      </c>
      <c r="CI2" s="0" t="n">
        <v>735</v>
      </c>
      <c r="CJ2" s="0" t="n">
        <v>251</v>
      </c>
      <c r="CK2" s="0" t="n">
        <v>816</v>
      </c>
      <c r="CL2" s="0" t="n">
        <v>847</v>
      </c>
      <c r="CM2" s="0" t="n">
        <v>954</v>
      </c>
      <c r="CN2" s="0" t="n">
        <v>1005</v>
      </c>
      <c r="CO2" s="0" t="n">
        <v>780</v>
      </c>
      <c r="CP2" s="0" t="n">
        <v>696</v>
      </c>
      <c r="CQ2" s="0" t="n">
        <v>643</v>
      </c>
      <c r="CR2" s="0" t="n">
        <v>759</v>
      </c>
      <c r="CS2" s="0" t="n">
        <v>791</v>
      </c>
      <c r="CT2" s="0" t="n">
        <v>249</v>
      </c>
      <c r="CU2" s="0" t="n">
        <v>456</v>
      </c>
      <c r="CV2" s="0" t="n">
        <v>959</v>
      </c>
      <c r="CW2" s="0" t="n">
        <v>755</v>
      </c>
      <c r="CX2" s="0" t="n">
        <v>990</v>
      </c>
      <c r="CY2" s="0" t="n">
        <v>1023</v>
      </c>
      <c r="CZ2" s="0" t="n">
        <v>520</v>
      </c>
      <c r="DA2" s="0" t="n">
        <v>598</v>
      </c>
      <c r="DB2" s="0" t="n">
        <v>1074</v>
      </c>
      <c r="DC2" s="0" t="n">
        <v>905</v>
      </c>
      <c r="DD2" s="0" t="n">
        <v>1114</v>
      </c>
      <c r="DE2" s="0" t="n">
        <v>233</v>
      </c>
      <c r="DF2" s="0" t="n">
        <v>601</v>
      </c>
      <c r="DG2" s="0" t="n">
        <v>649</v>
      </c>
      <c r="DH2" s="0" t="n">
        <v>281</v>
      </c>
      <c r="DI2" s="0" t="n">
        <v>1066</v>
      </c>
      <c r="DJ2" s="0" t="n">
        <v>401</v>
      </c>
      <c r="DK2" s="0" t="n">
        <v>433</v>
      </c>
      <c r="DL2" s="0" t="n">
        <v>1046</v>
      </c>
      <c r="DM2" s="0" t="n">
        <v>441</v>
      </c>
      <c r="DN2" s="0" t="n">
        <v>421</v>
      </c>
      <c r="DO2" s="0" t="n">
        <v>973</v>
      </c>
      <c r="DP2" s="0" t="n">
        <v>573</v>
      </c>
      <c r="DQ2" s="0" t="n">
        <v>613</v>
      </c>
      <c r="DR2" s="0" t="n">
        <v>74</v>
      </c>
      <c r="DS2" s="0" t="n">
        <v>121</v>
      </c>
      <c r="DT2" s="0" t="n">
        <v>593</v>
      </c>
      <c r="DU2" s="0" t="n">
        <v>821</v>
      </c>
      <c r="DV2" s="0" t="n">
        <v>721</v>
      </c>
      <c r="DW2" s="0" t="n">
        <v>778</v>
      </c>
      <c r="DX2" s="0" t="n">
        <v>33</v>
      </c>
      <c r="DY2" s="0" t="n">
        <v>305</v>
      </c>
      <c r="DZ2" s="0" t="n">
        <v>750</v>
      </c>
      <c r="EA2" s="0" t="n">
        <v>269</v>
      </c>
      <c r="EB2" s="0" t="n">
        <v>869</v>
      </c>
      <c r="EC2" s="0" t="n">
        <v>902</v>
      </c>
      <c r="ED2" s="0" t="n">
        <v>377</v>
      </c>
      <c r="EE2" s="0" t="n">
        <v>393</v>
      </c>
      <c r="EF2" s="0" t="n">
        <v>805</v>
      </c>
      <c r="EG2" s="0" t="n">
        <v>41</v>
      </c>
      <c r="EH2" s="0" t="n">
        <v>501</v>
      </c>
      <c r="EI2" s="0" t="n">
        <v>565</v>
      </c>
      <c r="EJ2" s="0" t="n">
        <v>257</v>
      </c>
      <c r="EK2" s="0" t="n">
        <v>469</v>
      </c>
      <c r="EL2" s="0" t="n">
        <v>935</v>
      </c>
      <c r="EM2" s="0" t="n">
        <v>211</v>
      </c>
      <c r="EN2" s="0" t="n">
        <v>1015</v>
      </c>
      <c r="EO2" s="0" t="n">
        <v>919</v>
      </c>
      <c r="EP2" s="0" t="n">
        <v>927</v>
      </c>
      <c r="EQ2" s="0" t="n">
        <v>810</v>
      </c>
      <c r="ER2" s="0" t="n">
        <v>819</v>
      </c>
      <c r="ES2" s="0" t="n">
        <v>588</v>
      </c>
      <c r="ET2" s="0" t="n">
        <v>296</v>
      </c>
      <c r="EU2" s="0" t="n">
        <v>772</v>
      </c>
      <c r="EV2" s="0" t="n">
        <v>171</v>
      </c>
      <c r="EW2" s="0" t="n">
        <v>304</v>
      </c>
      <c r="EX2" s="0" t="n">
        <v>363</v>
      </c>
      <c r="EY2" s="0" t="n">
        <v>84</v>
      </c>
      <c r="EZ2" s="0" t="n">
        <v>132</v>
      </c>
      <c r="FA2" s="0" t="n">
        <v>707</v>
      </c>
      <c r="FB2" s="0" t="n">
        <v>556</v>
      </c>
      <c r="FC2" s="0" t="n">
        <v>827</v>
      </c>
      <c r="FD2" s="0" t="n">
        <v>1054</v>
      </c>
      <c r="FE2" s="0" t="n">
        <v>1081</v>
      </c>
      <c r="FF2" s="0" t="n">
        <v>448</v>
      </c>
      <c r="FG2" s="0" t="n">
        <v>412</v>
      </c>
      <c r="FH2" s="0" t="n">
        <v>630</v>
      </c>
      <c r="FI2" s="0" t="n">
        <v>440</v>
      </c>
      <c r="FJ2" s="0" t="n">
        <v>488</v>
      </c>
      <c r="FK2" s="0" t="n">
        <v>484</v>
      </c>
      <c r="FL2" s="0" t="n">
        <v>582</v>
      </c>
      <c r="FM2" s="0" t="n">
        <v>620</v>
      </c>
      <c r="FN2" s="0" t="n">
        <v>910</v>
      </c>
      <c r="FO2" s="0" t="n">
        <v>969</v>
      </c>
      <c r="FP2" s="0" t="n">
        <v>288</v>
      </c>
      <c r="FQ2" s="0" t="n">
        <v>1125</v>
      </c>
      <c r="FR2" s="0" t="n">
        <v>608</v>
      </c>
      <c r="FS2" s="0" t="n">
        <v>680</v>
      </c>
      <c r="FT2" s="0" t="n">
        <v>104</v>
      </c>
      <c r="FU2" s="0" t="n">
        <v>996</v>
      </c>
      <c r="FV2" s="0" t="n">
        <v>328</v>
      </c>
      <c r="FW2" s="0" t="n">
        <v>1101</v>
      </c>
      <c r="FX2" s="0" t="n">
        <v>783</v>
      </c>
      <c r="FY2" s="0" t="n">
        <v>831</v>
      </c>
      <c r="FZ2" s="0" t="n">
        <v>120</v>
      </c>
      <c r="GA2" s="0" t="n">
        <v>163</v>
      </c>
      <c r="GB2" s="0" t="n">
        <v>344</v>
      </c>
      <c r="GC2" s="0" t="n">
        <v>314</v>
      </c>
      <c r="GD2" s="0" t="n">
        <v>704</v>
      </c>
      <c r="GE2" s="0" t="n">
        <v>694</v>
      </c>
      <c r="GF2" s="0" t="n">
        <v>800</v>
      </c>
      <c r="GG2" s="0" t="n">
        <v>675</v>
      </c>
      <c r="GH2" s="0" t="n">
        <v>894</v>
      </c>
      <c r="GI2" s="0" t="n">
        <v>671</v>
      </c>
      <c r="GJ2" s="0" t="n">
        <v>965</v>
      </c>
      <c r="GK2" s="0" t="n">
        <v>774</v>
      </c>
      <c r="GL2" s="0" t="n">
        <v>906</v>
      </c>
      <c r="GM2" s="0" t="n">
        <v>279</v>
      </c>
      <c r="GN2" s="0" t="n">
        <v>442</v>
      </c>
      <c r="GO2" s="0" t="n">
        <v>434</v>
      </c>
      <c r="GP2" s="0" t="n">
        <v>545</v>
      </c>
      <c r="GQ2" s="0" t="n">
        <v>610</v>
      </c>
      <c r="GR2" s="0" t="n">
        <v>274</v>
      </c>
      <c r="GS2" s="0" t="n">
        <v>330</v>
      </c>
      <c r="GT2" s="0" t="n">
        <v>542</v>
      </c>
      <c r="GU2" s="0" t="n">
        <v>430</v>
      </c>
      <c r="GV2" s="0" t="n">
        <v>687</v>
      </c>
      <c r="GW2" s="0" t="n">
        <v>590</v>
      </c>
      <c r="GX2" s="0" t="n">
        <v>622</v>
      </c>
      <c r="GY2" s="0" t="n">
        <v>97</v>
      </c>
      <c r="GZ2" s="0" t="n">
        <v>1127</v>
      </c>
      <c r="HA2" s="0" t="n">
        <v>234</v>
      </c>
      <c r="HB2" s="0" t="n">
        <v>289</v>
      </c>
      <c r="HC2" s="0" t="n">
        <v>729</v>
      </c>
      <c r="HD2" s="0" t="n">
        <v>786</v>
      </c>
      <c r="HE2" s="0" t="n">
        <v>540</v>
      </c>
      <c r="HF2" s="0" t="n">
        <v>888</v>
      </c>
      <c r="HG2" s="0" t="n">
        <v>692</v>
      </c>
      <c r="HH2" s="0" t="n">
        <v>335</v>
      </c>
      <c r="HI2" s="0" t="n">
        <v>368</v>
      </c>
      <c r="HJ2" s="0" t="n">
        <v>895</v>
      </c>
      <c r="HK2" s="0" t="n">
        <v>836</v>
      </c>
      <c r="HL2" s="0" t="n">
        <v>427</v>
      </c>
      <c r="HM2" s="0" t="n">
        <v>988</v>
      </c>
      <c r="HN2" s="0" t="n">
        <v>977</v>
      </c>
      <c r="HO2" s="0" t="n">
        <v>1045</v>
      </c>
      <c r="HP2" s="0" t="n">
        <v>698</v>
      </c>
      <c r="HQ2" s="0" t="n">
        <v>507</v>
      </c>
      <c r="HR2" s="0" t="n">
        <v>188</v>
      </c>
      <c r="HS2" s="0" t="n">
        <v>196</v>
      </c>
      <c r="HT2" s="0" t="n">
        <v>204</v>
      </c>
      <c r="HU2" s="0" t="n">
        <v>159</v>
      </c>
      <c r="HV2" s="0" t="n">
        <v>589</v>
      </c>
      <c r="HW2" s="0" t="n">
        <v>814</v>
      </c>
      <c r="HX2" s="0" t="n">
        <v>961</v>
      </c>
      <c r="HY2" s="0" t="n">
        <v>260</v>
      </c>
      <c r="HZ2" s="0" t="n">
        <v>1139</v>
      </c>
      <c r="IA2" s="0" t="n">
        <v>639</v>
      </c>
      <c r="IB2" s="0" t="n">
        <v>647</v>
      </c>
      <c r="IC2" s="0" t="n">
        <v>788</v>
      </c>
      <c r="ID2" s="0" t="n">
        <v>566</v>
      </c>
      <c r="IE2" s="0" t="n">
        <v>1089</v>
      </c>
      <c r="IF2" s="0" t="n">
        <v>382</v>
      </c>
      <c r="IG2" s="0" t="n">
        <v>423</v>
      </c>
      <c r="IH2" s="0" t="n">
        <v>463</v>
      </c>
      <c r="II2" s="0" t="n">
        <v>2382</v>
      </c>
      <c r="IJ2" s="0" t="n">
        <v>2423</v>
      </c>
      <c r="IK2" s="0" t="n">
        <v>2463</v>
      </c>
      <c r="IL2" s="0" t="n">
        <v>10703</v>
      </c>
      <c r="IM2" s="0" t="n">
        <v>12703</v>
      </c>
      <c r="IN2" s="0" t="n">
        <v>10704</v>
      </c>
      <c r="IO2" s="0" t="n">
        <v>632</v>
      </c>
      <c r="IP2" s="0" t="n">
        <v>2632</v>
      </c>
      <c r="IQ2" s="0" t="n">
        <v>12704</v>
      </c>
      <c r="IR2" s="0" t="n">
        <v>982</v>
      </c>
      <c r="IS2" s="0" t="n">
        <v>19</v>
      </c>
      <c r="IT2" s="0" t="n">
        <v>918</v>
      </c>
      <c r="IU2" s="0" t="n">
        <v>926</v>
      </c>
      <c r="IV2" s="0" t="n">
        <v>934</v>
      </c>
      <c r="IW2" s="0" t="n">
        <v>843</v>
      </c>
      <c r="IX2" s="0" t="n">
        <v>1037</v>
      </c>
      <c r="IY2" s="0" t="n">
        <v>1084</v>
      </c>
      <c r="IZ2" s="0" t="n">
        <v>502</v>
      </c>
      <c r="JA2" s="0" t="n">
        <v>703</v>
      </c>
      <c r="JB2" s="0" t="n">
        <v>583</v>
      </c>
      <c r="JC2" s="0" t="n">
        <v>952</v>
      </c>
      <c r="JD2" s="0" t="n">
        <v>966</v>
      </c>
      <c r="JE2" s="0" t="n">
        <v>131</v>
      </c>
      <c r="JF2" s="0" t="n">
        <v>303</v>
      </c>
      <c r="JG2" s="0" t="n">
        <v>311</v>
      </c>
      <c r="JH2" s="0" t="n">
        <v>451</v>
      </c>
      <c r="JI2" s="0" t="n">
        <v>319</v>
      </c>
      <c r="JJ2" s="0" t="n">
        <v>477</v>
      </c>
      <c r="JK2" s="0" t="n">
        <v>672</v>
      </c>
      <c r="JL2" s="0" t="n">
        <v>56</v>
      </c>
      <c r="JM2" s="0" t="n">
        <v>998</v>
      </c>
      <c r="JN2" s="0" t="n">
        <v>754</v>
      </c>
      <c r="JO2" s="0" t="n">
        <v>250</v>
      </c>
      <c r="JP2" s="0" t="n">
        <v>258</v>
      </c>
      <c r="JQ2" s="0" t="n">
        <v>266</v>
      </c>
      <c r="JR2" s="0" t="n">
        <v>310</v>
      </c>
      <c r="JS2" s="0" t="n">
        <v>333</v>
      </c>
      <c r="JT2" s="0" t="n">
        <v>278</v>
      </c>
      <c r="JU2" s="0" t="n">
        <v>23</v>
      </c>
      <c r="JV2" s="0" t="n">
        <v>292</v>
      </c>
      <c r="JW2" s="0" t="n">
        <v>536</v>
      </c>
      <c r="JX2" s="0" t="n">
        <v>1105</v>
      </c>
      <c r="JY2" s="0" t="n">
        <v>403</v>
      </c>
      <c r="JZ2" s="0" t="n">
        <v>803</v>
      </c>
      <c r="KA2" s="0" t="n">
        <v>1031</v>
      </c>
      <c r="KB2" s="0" t="n">
        <v>1022</v>
      </c>
      <c r="KC2" s="0" t="n">
        <v>342</v>
      </c>
      <c r="KD2" s="0" t="n">
        <v>298</v>
      </c>
      <c r="KE2" s="0" t="n">
        <v>564</v>
      </c>
      <c r="KF2" s="0" t="n">
        <v>596</v>
      </c>
      <c r="KG2" s="0" t="n">
        <v>581</v>
      </c>
      <c r="KH2" s="0" t="n">
        <v>351</v>
      </c>
      <c r="KI2" s="0" t="n">
        <v>287</v>
      </c>
      <c r="KJ2" s="0" t="n">
        <v>549</v>
      </c>
      <c r="KK2" s="0" t="n">
        <v>629</v>
      </c>
      <c r="KL2" s="0" t="n">
        <v>685</v>
      </c>
      <c r="KM2" s="0" t="n">
        <v>718</v>
      </c>
      <c r="KN2" s="0" t="n">
        <v>725</v>
      </c>
      <c r="KO2" s="0" t="n">
        <v>733</v>
      </c>
      <c r="KP2" s="0" t="n">
        <v>741</v>
      </c>
      <c r="KQ2" s="0" t="n">
        <v>609</v>
      </c>
      <c r="KR2" s="0" t="n">
        <v>414</v>
      </c>
      <c r="KS2" s="0" t="n">
        <v>422</v>
      </c>
      <c r="KT2" s="0" t="n">
        <v>1044</v>
      </c>
      <c r="KU2" s="0" t="n">
        <v>475</v>
      </c>
      <c r="KV2" s="0" t="n">
        <v>170</v>
      </c>
      <c r="KW2" s="0" t="n">
        <v>218</v>
      </c>
      <c r="KX2" s="0" t="n">
        <v>1020</v>
      </c>
      <c r="KY2" s="0" t="n">
        <v>1029</v>
      </c>
      <c r="KZ2" s="0" t="n">
        <v>325</v>
      </c>
      <c r="LA2" s="0" t="n">
        <v>255</v>
      </c>
      <c r="LB2" s="0" t="n">
        <v>127</v>
      </c>
      <c r="LC2" s="0" t="n">
        <v>64</v>
      </c>
      <c r="LD2" s="0" t="n">
        <v>1120</v>
      </c>
      <c r="LE2" s="0" t="n">
        <v>1113</v>
      </c>
      <c r="LF2" s="0" t="n">
        <v>155</v>
      </c>
      <c r="LG2" s="0" t="n">
        <v>362</v>
      </c>
      <c r="LH2" s="0" t="n">
        <v>366</v>
      </c>
      <c r="LI2" s="0" t="n">
        <v>1077</v>
      </c>
      <c r="LJ2" s="0" t="n">
        <v>15</v>
      </c>
      <c r="LK2" s="0" t="n">
        <v>181</v>
      </c>
      <c r="LL2" s="0" t="n">
        <v>189</v>
      </c>
      <c r="LM2" s="0" t="n">
        <v>599</v>
      </c>
      <c r="LN2" s="0" t="n">
        <v>907</v>
      </c>
      <c r="LO2" s="0" t="n">
        <v>575</v>
      </c>
      <c r="LP2" s="0" t="n">
        <v>930</v>
      </c>
      <c r="LQ2" s="0" t="n">
        <v>262</v>
      </c>
      <c r="LR2" s="0" t="n">
        <v>27</v>
      </c>
      <c r="LS2" s="0" t="n">
        <v>178</v>
      </c>
      <c r="LT2" s="0" t="n">
        <v>321</v>
      </c>
      <c r="LU2" s="0" t="n">
        <v>483</v>
      </c>
      <c r="LV2" s="0" t="n">
        <v>186</v>
      </c>
      <c r="LW2" s="0" t="n">
        <v>1097</v>
      </c>
      <c r="LX2" s="0" t="n">
        <v>390</v>
      </c>
      <c r="LY2" s="0" t="n">
        <v>332</v>
      </c>
      <c r="LZ2" s="0" t="n">
        <v>38</v>
      </c>
      <c r="MA2" s="0" t="n">
        <v>118</v>
      </c>
      <c r="MB2" s="0" t="n">
        <v>223</v>
      </c>
      <c r="MC2" s="0" t="n">
        <v>72</v>
      </c>
      <c r="MD2" s="0" t="n">
        <v>263</v>
      </c>
      <c r="ME2" s="0" t="n">
        <v>272</v>
      </c>
      <c r="MF2" s="0" t="n">
        <v>830</v>
      </c>
      <c r="MG2" s="0" t="n">
        <v>452</v>
      </c>
      <c r="MH2" s="0" t="n">
        <v>523</v>
      </c>
      <c r="MI2" s="0" t="n">
        <v>914</v>
      </c>
      <c r="MJ2" s="0" t="n">
        <v>1109</v>
      </c>
      <c r="MK2" s="0" t="n">
        <v>126</v>
      </c>
      <c r="ML2" s="0" t="n">
        <v>133</v>
      </c>
      <c r="MM2" s="0" t="n">
        <v>347</v>
      </c>
      <c r="MN2" s="0" t="n">
        <v>689</v>
      </c>
      <c r="MO2" s="0" t="n">
        <v>88</v>
      </c>
      <c r="MP2" s="0" t="n">
        <v>210</v>
      </c>
      <c r="MQ2" s="0" t="n">
        <v>491</v>
      </c>
      <c r="MR2" s="0" t="n">
        <v>525</v>
      </c>
      <c r="MS2" s="0" t="n">
        <v>1126</v>
      </c>
      <c r="MT2" s="0" t="n">
        <v>1</v>
      </c>
      <c r="MU2" s="0" t="n">
        <v>515</v>
      </c>
      <c r="MV2" s="0" t="n">
        <v>980</v>
      </c>
      <c r="MW2" s="0" t="n">
        <v>1004</v>
      </c>
      <c r="MX2" s="0" t="n">
        <v>63</v>
      </c>
      <c r="MY2" s="0" t="n">
        <v>693</v>
      </c>
      <c r="MZ2" s="0" t="n">
        <v>946</v>
      </c>
      <c r="NA2" s="0" t="n">
        <v>194</v>
      </c>
      <c r="NB2" s="0" t="n">
        <v>226</v>
      </c>
      <c r="NC2" s="0" t="n">
        <v>356</v>
      </c>
      <c r="ND2" s="0" t="n">
        <v>364</v>
      </c>
      <c r="NE2" s="0" t="n">
        <v>173</v>
      </c>
      <c r="NF2" s="0" t="n">
        <v>470</v>
      </c>
      <c r="NG2" s="0" t="n">
        <v>614</v>
      </c>
      <c r="NH2" s="0" t="n">
        <v>797</v>
      </c>
      <c r="NI2" s="0" t="n">
        <v>804</v>
      </c>
      <c r="NJ2" s="0" t="n">
        <v>313</v>
      </c>
      <c r="NK2" s="0" t="n">
        <v>851</v>
      </c>
      <c r="NL2" s="0" t="n">
        <v>842</v>
      </c>
      <c r="NM2" s="0" t="n">
        <v>4</v>
      </c>
      <c r="NN2" s="0" t="n">
        <v>580</v>
      </c>
      <c r="NO2" s="0" t="n">
        <v>271</v>
      </c>
      <c r="NP2" s="0" t="n">
        <v>874</v>
      </c>
      <c r="NQ2" s="0" t="n">
        <v>460</v>
      </c>
      <c r="NR2" s="0" t="n">
        <v>381</v>
      </c>
      <c r="NS2" s="0" t="n">
        <v>749</v>
      </c>
      <c r="NT2" s="0" t="n">
        <v>128</v>
      </c>
      <c r="NU2" s="0" t="n">
        <v>246</v>
      </c>
      <c r="NV2" s="0" t="n">
        <v>26</v>
      </c>
      <c r="NW2" s="0" t="n">
        <v>42</v>
      </c>
      <c r="NX2" s="0" t="n">
        <v>17</v>
      </c>
      <c r="NY2" s="0" t="n">
        <v>10</v>
      </c>
      <c r="NZ2" s="0" t="n">
        <v>494</v>
      </c>
      <c r="OA2" s="0" t="n">
        <v>503</v>
      </c>
      <c r="OB2" s="0" t="n">
        <v>511</v>
      </c>
      <c r="OC2" s="0" t="n">
        <v>795</v>
      </c>
      <c r="OD2" s="0" t="n">
        <v>50</v>
      </c>
      <c r="OE2" s="0" t="n">
        <v>67</v>
      </c>
      <c r="OF2" s="0" t="n">
        <v>587</v>
      </c>
      <c r="OG2" s="0" t="n">
        <v>215</v>
      </c>
      <c r="OH2" s="0" t="n">
        <v>531</v>
      </c>
      <c r="OI2" s="0" t="n">
        <v>628</v>
      </c>
      <c r="OJ2" s="0" t="n">
        <v>634</v>
      </c>
      <c r="OK2" s="0" t="n">
        <v>706</v>
      </c>
      <c r="OL2" s="0" t="n">
        <v>1061</v>
      </c>
      <c r="OM2" s="0" t="n">
        <v>616</v>
      </c>
      <c r="ON2" s="0" t="n">
        <v>214</v>
      </c>
      <c r="OO2" s="0" t="n">
        <v>35</v>
      </c>
      <c r="OP2" s="0" t="n">
        <v>115</v>
      </c>
      <c r="OQ2" s="0" t="n">
        <v>757</v>
      </c>
      <c r="OR2" s="0" t="n">
        <v>231</v>
      </c>
      <c r="OS2" s="0" t="n">
        <v>66</v>
      </c>
      <c r="OT2" s="0" t="n">
        <v>374</v>
      </c>
      <c r="OU2" s="0" t="n">
        <v>1052</v>
      </c>
      <c r="OV2" s="0" t="n">
        <v>12</v>
      </c>
      <c r="OW2" s="0" t="n">
        <v>100</v>
      </c>
      <c r="OX2" s="0" t="n">
        <v>591</v>
      </c>
      <c r="OY2" s="0" t="n">
        <v>872</v>
      </c>
      <c r="OZ2" s="0" t="n">
        <v>771</v>
      </c>
      <c r="PA2" s="0" t="n">
        <v>612</v>
      </c>
      <c r="PB2" s="0" t="n">
        <v>7</v>
      </c>
      <c r="PC2" s="0" t="n">
        <v>867</v>
      </c>
      <c r="PD2" s="0" t="n">
        <v>122</v>
      </c>
      <c r="PE2" s="0" t="n">
        <v>105</v>
      </c>
      <c r="PF2" s="0" t="n">
        <v>114</v>
      </c>
      <c r="PG2" s="0" t="n">
        <v>280</v>
      </c>
      <c r="PH2" s="0" t="n">
        <v>880</v>
      </c>
      <c r="PI2" s="0" t="n">
        <v>898</v>
      </c>
      <c r="PJ2" s="0" t="n">
        <v>931</v>
      </c>
      <c r="PK2" s="0" t="n">
        <v>1093</v>
      </c>
      <c r="PL2" s="0" t="n">
        <v>318</v>
      </c>
      <c r="PM2" s="0" t="n">
        <v>534</v>
      </c>
      <c r="PN2" s="0" t="n">
        <v>574</v>
      </c>
      <c r="PO2" s="0" t="n">
        <v>621</v>
      </c>
      <c r="PP2" s="0" t="n">
        <v>679</v>
      </c>
      <c r="PQ2" s="0" t="n">
        <v>147</v>
      </c>
      <c r="PR2" s="0" t="n">
        <v>162</v>
      </c>
      <c r="PS2" s="0" t="n">
        <v>604</v>
      </c>
      <c r="PT2" s="0" t="n">
        <v>146</v>
      </c>
      <c r="PU2" s="0" t="n">
        <v>238</v>
      </c>
      <c r="PV2" s="0" t="n">
        <v>350</v>
      </c>
      <c r="PW2" s="0" t="n">
        <v>358</v>
      </c>
      <c r="PX2" s="0" t="n">
        <v>354</v>
      </c>
      <c r="PY2" s="0" t="n">
        <v>207</v>
      </c>
      <c r="PZ2" s="0" t="n">
        <v>96</v>
      </c>
      <c r="QA2" s="0" t="n">
        <v>101</v>
      </c>
      <c r="QB2" s="0" t="n">
        <v>711</v>
      </c>
      <c r="QC2" s="0" t="n">
        <v>1039</v>
      </c>
      <c r="QD2" s="0" t="n">
        <v>903</v>
      </c>
      <c r="QE2" s="0" t="n">
        <v>642</v>
      </c>
      <c r="QF2" s="0" t="n">
        <v>651</v>
      </c>
      <c r="QG2" s="0" t="n">
        <v>429</v>
      </c>
      <c r="QH2" s="0" t="n">
        <v>437</v>
      </c>
      <c r="QI2" s="0" t="n">
        <v>445</v>
      </c>
      <c r="QJ2" s="0" t="n">
        <v>653</v>
      </c>
      <c r="QK2" s="0" t="n">
        <v>661</v>
      </c>
      <c r="QL2" s="0" t="n">
        <v>576</v>
      </c>
      <c r="QM2" s="0" t="n">
        <v>939</v>
      </c>
      <c r="QN2" s="0" t="n">
        <v>143</v>
      </c>
      <c r="QO2" s="0" t="n">
        <v>839</v>
      </c>
      <c r="QP2" s="0" t="n">
        <v>1048</v>
      </c>
      <c r="QQ2" s="0" t="n">
        <v>372</v>
      </c>
      <c r="QR2" s="0" t="n">
        <v>83</v>
      </c>
      <c r="QS2" s="0" t="n">
        <v>136</v>
      </c>
      <c r="QT2" s="0" t="n">
        <v>106</v>
      </c>
      <c r="QU2" s="0" t="n">
        <v>203</v>
      </c>
      <c r="QV2" s="0" t="n">
        <v>235</v>
      </c>
      <c r="QW2" s="0" t="n">
        <v>307</v>
      </c>
      <c r="QX2" s="0" t="n">
        <v>1098</v>
      </c>
      <c r="QY2" s="0" t="n">
        <v>1107</v>
      </c>
      <c r="QZ2" s="0" t="n">
        <v>852</v>
      </c>
      <c r="RA2" s="0" t="n">
        <v>859</v>
      </c>
      <c r="RB2" s="0" t="n">
        <v>970</v>
      </c>
      <c r="RC2" s="0" t="n">
        <v>978</v>
      </c>
      <c r="RD2" s="0" t="n">
        <v>177</v>
      </c>
      <c r="RE2" s="0" t="n">
        <v>169</v>
      </c>
      <c r="RF2" s="0" t="n">
        <v>1069</v>
      </c>
      <c r="RG2" s="0" t="n">
        <v>209</v>
      </c>
      <c r="RH2" s="0" t="n">
        <v>202</v>
      </c>
      <c r="RI2" s="0" t="n">
        <v>225</v>
      </c>
      <c r="RJ2" s="0" t="n">
        <v>217</v>
      </c>
      <c r="RK2" s="0" t="n">
        <v>765</v>
      </c>
      <c r="RL2" s="0" t="n">
        <v>773</v>
      </c>
      <c r="RM2" s="0" t="n">
        <v>781</v>
      </c>
      <c r="RN2" s="0" t="n">
        <v>206</v>
      </c>
      <c r="RO2" s="0" t="n">
        <v>230</v>
      </c>
      <c r="RP2" s="0" t="n">
        <v>222</v>
      </c>
      <c r="RQ2" s="0" t="n">
        <v>912</v>
      </c>
      <c r="RR2" s="0" t="n">
        <v>920</v>
      </c>
      <c r="RS2" s="0" t="n">
        <v>928</v>
      </c>
      <c r="RT2" s="0" t="n">
        <v>936</v>
      </c>
      <c r="RU2" s="0" t="n">
        <v>944</v>
      </c>
      <c r="RV2" s="0" t="n">
        <v>951</v>
      </c>
      <c r="RW2" s="0" t="n">
        <v>957</v>
      </c>
      <c r="RX2" s="0" t="n">
        <v>968</v>
      </c>
      <c r="RY2" s="0" t="n">
        <v>1007</v>
      </c>
      <c r="RZ2" s="0" t="n">
        <v>1017</v>
      </c>
      <c r="SA2" s="0" t="n">
        <v>1025</v>
      </c>
      <c r="SB2" s="0" t="n">
        <v>1033</v>
      </c>
      <c r="SC2" s="0" t="n">
        <v>1041</v>
      </c>
      <c r="SD2" s="0" t="n">
        <v>1049</v>
      </c>
      <c r="SE2" s="0" t="n">
        <v>989</v>
      </c>
      <c r="SF2" s="0" t="n">
        <v>91</v>
      </c>
      <c r="SG2" s="0" t="n">
        <v>846</v>
      </c>
      <c r="SH2" s="0" t="n">
        <v>1009</v>
      </c>
      <c r="SI2" s="0" t="n">
        <v>949</v>
      </c>
      <c r="SJ2" s="0" t="n">
        <v>1016</v>
      </c>
      <c r="SK2" s="0" t="n">
        <v>665</v>
      </c>
      <c r="SL2" s="0" t="n">
        <v>900</v>
      </c>
      <c r="SM2" s="0" t="n">
        <v>482</v>
      </c>
      <c r="SN2" s="0" t="n">
        <v>117</v>
      </c>
      <c r="SO2" s="0" t="n">
        <v>125</v>
      </c>
      <c r="SP2" s="0" t="n">
        <v>62</v>
      </c>
      <c r="SQ2" s="0" t="n">
        <v>158</v>
      </c>
      <c r="SR2" s="0" t="n">
        <v>911</v>
      </c>
      <c r="SS2" s="0" t="n">
        <v>93</v>
      </c>
      <c r="ST2" s="0" t="n">
        <v>705</v>
      </c>
      <c r="SU2" s="0" t="n">
        <v>794</v>
      </c>
      <c r="SV2" s="0" t="n">
        <v>798</v>
      </c>
      <c r="SW2" s="0" t="n">
        <v>413</v>
      </c>
      <c r="SX2" s="0" t="n">
        <v>841</v>
      </c>
      <c r="SY2" s="0" t="n">
        <v>658</v>
      </c>
      <c r="SZ2" s="0" t="n">
        <v>633</v>
      </c>
      <c r="TA2" s="0" t="n">
        <v>237</v>
      </c>
      <c r="TB2" s="0" t="n">
        <v>380</v>
      </c>
      <c r="TC2" s="0" t="n">
        <v>697</v>
      </c>
      <c r="TD2" s="0" t="n">
        <v>326</v>
      </c>
      <c r="TE2" s="0" t="n">
        <v>78</v>
      </c>
      <c r="TF2" s="0" t="n">
        <v>1123</v>
      </c>
      <c r="TG2" s="0" t="n">
        <v>728</v>
      </c>
      <c r="TH2" s="0" t="n">
        <v>776</v>
      </c>
      <c r="TI2" s="0" t="n">
        <v>784</v>
      </c>
      <c r="TJ2" s="0" t="n">
        <v>1092</v>
      </c>
      <c r="TK2" s="0" t="n">
        <v>6</v>
      </c>
      <c r="TL2" s="0" t="n">
        <v>924</v>
      </c>
      <c r="TM2" s="0" t="n">
        <v>190</v>
      </c>
      <c r="TN2" s="0" t="n">
        <v>877</v>
      </c>
      <c r="TO2" s="0" t="n">
        <v>1060</v>
      </c>
      <c r="TP2" s="0" t="n">
        <v>863</v>
      </c>
      <c r="TQ2" s="0" t="n">
        <v>397</v>
      </c>
      <c r="TR2" s="0" t="n">
        <v>884</v>
      </c>
      <c r="TS2" s="0" t="n">
        <v>908</v>
      </c>
      <c r="TT2" s="0" t="n">
        <v>940</v>
      </c>
      <c r="TU2" s="0" t="n">
        <v>466</v>
      </c>
      <c r="TV2" s="0" t="n">
        <v>530</v>
      </c>
      <c r="TW2" s="0" t="n">
        <v>603</v>
      </c>
      <c r="TX2" s="0" t="n">
        <v>436</v>
      </c>
      <c r="TY2" s="0" t="n">
        <v>443</v>
      </c>
      <c r="TZ2" s="0" t="n">
        <v>449</v>
      </c>
      <c r="UA2" s="0" t="n">
        <v>301</v>
      </c>
      <c r="UB2" s="0" t="n">
        <v>341</v>
      </c>
      <c r="UC2" s="0" t="n">
        <v>690</v>
      </c>
      <c r="UD2" s="0" t="n">
        <v>681</v>
      </c>
      <c r="UE2" s="0" t="n">
        <v>673</v>
      </c>
      <c r="UF2" s="0" t="n">
        <v>802</v>
      </c>
      <c r="UG2" s="0" t="n">
        <v>595</v>
      </c>
      <c r="UH2" s="0" t="n">
        <v>611</v>
      </c>
      <c r="UI2" s="0" t="n">
        <v>73</v>
      </c>
      <c r="UJ2" s="0" t="n">
        <v>81</v>
      </c>
      <c r="UK2" s="0" t="n">
        <v>129</v>
      </c>
      <c r="UL2" s="0" t="n">
        <v>140</v>
      </c>
      <c r="UM2" s="0" t="n">
        <v>145</v>
      </c>
      <c r="UN2" s="0" t="n">
        <v>153</v>
      </c>
      <c r="UO2" s="0" t="n">
        <v>164</v>
      </c>
      <c r="UP2" s="0" t="n">
        <v>997</v>
      </c>
    </row>
    <row r="3" s="4" customFormat="true" ht="14.5" hidden="false" customHeight="false" outlineLevel="0" collapsed="false">
      <c r="A3" s="4" t="s">
        <v>1300</v>
      </c>
      <c r="B3" s="4" t="s">
        <v>0</v>
      </c>
      <c r="C3" s="4" t="e">
        <f aca="false">#N/A</f>
        <v>#N/A</v>
      </c>
      <c r="D3" s="4" t="e">
        <f aca="false">#N/A</f>
        <v>#N/A</v>
      </c>
      <c r="E3" s="4" t="e">
        <f aca="false">#N/A</f>
        <v>#N/A</v>
      </c>
      <c r="F3" s="4" t="e">
        <f aca="false">#N/A</f>
        <v>#N/A</v>
      </c>
      <c r="G3" s="4" t="e">
        <f aca="false">#N/A</f>
        <v>#N/A</v>
      </c>
      <c r="H3" s="4" t="e">
        <f aca="false">#N/A</f>
        <v>#N/A</v>
      </c>
      <c r="I3" s="4" t="e">
        <f aca="false">#N/A</f>
        <v>#N/A</v>
      </c>
      <c r="J3" s="4" t="e">
        <f aca="false">#N/A</f>
        <v>#N/A</v>
      </c>
      <c r="K3" s="4" t="e">
        <f aca="false">#N/A</f>
        <v>#N/A</v>
      </c>
      <c r="L3" s="4" t="e">
        <f aca="false">#N/A</f>
        <v>#N/A</v>
      </c>
      <c r="M3" s="4" t="e">
        <f aca="false">#N/A</f>
        <v>#N/A</v>
      </c>
      <c r="N3" s="4" t="s">
        <v>157</v>
      </c>
      <c r="O3" s="4" t="s">
        <v>721</v>
      </c>
      <c r="P3" s="4" t="s">
        <v>1023</v>
      </c>
      <c r="Q3" s="4" t="s">
        <v>392</v>
      </c>
      <c r="R3" s="4" t="s">
        <v>983</v>
      </c>
      <c r="S3" s="4" t="s">
        <v>702</v>
      </c>
      <c r="T3" s="4" t="s">
        <v>889</v>
      </c>
      <c r="U3" s="4" t="s">
        <v>927</v>
      </c>
      <c r="V3" s="4" t="s">
        <v>710</v>
      </c>
      <c r="W3" s="4" t="s">
        <v>1002</v>
      </c>
      <c r="X3" s="4" t="s">
        <v>817</v>
      </c>
      <c r="Y3" s="4" t="s">
        <v>1057</v>
      </c>
      <c r="Z3" s="4" t="s">
        <v>1119</v>
      </c>
      <c r="AA3" s="4" t="s">
        <v>617</v>
      </c>
      <c r="AB3" s="4" t="s">
        <v>883</v>
      </c>
      <c r="AC3" s="4" t="s">
        <v>708</v>
      </c>
      <c r="AD3" s="4" t="s">
        <v>754</v>
      </c>
      <c r="AE3" s="4" t="s">
        <v>934</v>
      </c>
      <c r="AF3" s="4" t="s">
        <v>970</v>
      </c>
      <c r="AG3" s="4" t="s">
        <v>1019</v>
      </c>
      <c r="AH3" s="4" t="s">
        <v>285</v>
      </c>
      <c r="AI3" s="4" t="s">
        <v>1083</v>
      </c>
      <c r="AJ3" s="4" t="s">
        <v>1301</v>
      </c>
      <c r="AK3" s="4" t="s">
        <v>1074</v>
      </c>
      <c r="AL3" s="4" t="s">
        <v>1097</v>
      </c>
      <c r="AM3" s="4" t="s">
        <v>1066</v>
      </c>
      <c r="AN3" s="4" t="s">
        <v>201</v>
      </c>
      <c r="AO3" s="4" t="s">
        <v>1128</v>
      </c>
      <c r="AP3" s="4" t="s">
        <v>1160</v>
      </c>
      <c r="AQ3" s="4" t="s">
        <v>541</v>
      </c>
      <c r="AR3" s="4" t="s">
        <v>573</v>
      </c>
      <c r="AS3" s="4" t="s">
        <v>923</v>
      </c>
      <c r="AT3" s="4" t="s">
        <v>711</v>
      </c>
      <c r="AU3" s="4" t="s">
        <v>990</v>
      </c>
      <c r="AV3" s="4" t="s">
        <v>1012</v>
      </c>
      <c r="AW3" s="4" t="s">
        <v>1136</v>
      </c>
      <c r="AX3" s="4" t="s">
        <v>98</v>
      </c>
      <c r="AY3" s="4" t="s">
        <v>515</v>
      </c>
      <c r="AZ3" s="4" t="s">
        <v>899</v>
      </c>
      <c r="BA3" s="4" t="s">
        <v>636</v>
      </c>
      <c r="BB3" s="4" t="s">
        <v>680</v>
      </c>
      <c r="BC3" s="4" t="s">
        <v>985</v>
      </c>
      <c r="BD3" s="4" t="s">
        <v>1062</v>
      </c>
      <c r="BE3" s="4" t="s">
        <v>1044</v>
      </c>
      <c r="BF3" s="4" t="s">
        <v>724</v>
      </c>
      <c r="BG3" s="4" t="s">
        <v>1120</v>
      </c>
      <c r="BH3" s="4" t="s">
        <v>1145</v>
      </c>
      <c r="BI3" s="4" t="s">
        <v>104</v>
      </c>
      <c r="BJ3" s="4" t="s">
        <v>525</v>
      </c>
      <c r="BK3" s="4" t="s">
        <v>918</v>
      </c>
      <c r="BL3" s="4" t="s">
        <v>854</v>
      </c>
      <c r="BM3" s="4" t="s">
        <v>1071</v>
      </c>
      <c r="BN3" s="4" t="s">
        <v>1124</v>
      </c>
      <c r="BO3" s="4" t="s">
        <v>907</v>
      </c>
      <c r="BP3" s="4" t="s">
        <v>938</v>
      </c>
      <c r="BQ3" s="4" t="s">
        <v>127</v>
      </c>
      <c r="BR3" s="4" t="s">
        <v>264</v>
      </c>
      <c r="BS3" s="4" t="s">
        <v>235</v>
      </c>
      <c r="BT3" s="4" t="s">
        <v>271</v>
      </c>
      <c r="BU3" s="4" t="s">
        <v>692</v>
      </c>
      <c r="BV3" s="4" t="s">
        <v>716</v>
      </c>
      <c r="BW3" s="4" t="s">
        <v>941</v>
      </c>
      <c r="BX3" s="4" t="s">
        <v>1140</v>
      </c>
      <c r="BY3" s="4" t="s">
        <v>1048</v>
      </c>
      <c r="BZ3" s="4" t="s">
        <v>1093</v>
      </c>
      <c r="CA3" s="4" t="s">
        <v>902</v>
      </c>
      <c r="CB3" s="4" t="s">
        <v>894</v>
      </c>
      <c r="CC3" s="4" t="s">
        <v>590</v>
      </c>
      <c r="CD3" s="4" t="s">
        <v>657</v>
      </c>
      <c r="CE3" s="4" t="s">
        <v>731</v>
      </c>
      <c r="CF3" s="4" t="s">
        <v>335</v>
      </c>
      <c r="CG3" s="4" t="s">
        <v>243</v>
      </c>
      <c r="CH3" s="4" t="s">
        <v>326</v>
      </c>
      <c r="CI3" s="4" t="s">
        <v>785</v>
      </c>
      <c r="CJ3" s="4" t="s">
        <v>334</v>
      </c>
      <c r="CK3" s="4" t="s">
        <v>863</v>
      </c>
      <c r="CL3" s="4" t="s">
        <v>892</v>
      </c>
      <c r="CM3" s="4" t="s">
        <v>994</v>
      </c>
      <c r="CN3" s="4" t="s">
        <v>1043</v>
      </c>
      <c r="CO3" s="4" t="s">
        <v>828</v>
      </c>
      <c r="CP3" s="4" t="s">
        <v>748</v>
      </c>
      <c r="CQ3" s="4" t="s">
        <v>697</v>
      </c>
      <c r="CR3" s="4" t="s">
        <v>809</v>
      </c>
      <c r="CS3" s="4" t="s">
        <v>839</v>
      </c>
      <c r="CT3" s="4" t="s">
        <v>332</v>
      </c>
      <c r="CU3" s="4" t="s">
        <v>520</v>
      </c>
      <c r="CV3" s="4" t="s">
        <v>999</v>
      </c>
      <c r="CW3" s="4" t="s">
        <v>805</v>
      </c>
      <c r="CX3" s="4" t="s">
        <v>1028</v>
      </c>
      <c r="CY3" s="4" t="s">
        <v>1059</v>
      </c>
      <c r="CZ3" s="4" t="s">
        <v>583</v>
      </c>
      <c r="DA3" s="4" t="s">
        <v>655</v>
      </c>
      <c r="DB3" s="4" t="s">
        <v>1109</v>
      </c>
      <c r="DC3" s="4" t="s">
        <v>949</v>
      </c>
      <c r="DD3" s="4" t="s">
        <v>1148</v>
      </c>
      <c r="DE3" s="4" t="s">
        <v>316</v>
      </c>
      <c r="DF3" s="4" t="s">
        <v>658</v>
      </c>
      <c r="DG3" s="4" t="s">
        <v>703</v>
      </c>
      <c r="DH3" s="4" t="s">
        <v>359</v>
      </c>
      <c r="DI3" s="4" t="s">
        <v>1101</v>
      </c>
      <c r="DJ3" s="4" t="s">
        <v>470</v>
      </c>
      <c r="DK3" s="4" t="s">
        <v>500</v>
      </c>
      <c r="DL3" s="4" t="s">
        <v>1082</v>
      </c>
      <c r="DM3" s="4" t="s">
        <v>507</v>
      </c>
      <c r="DN3" s="4" t="s">
        <v>489</v>
      </c>
      <c r="DO3" s="4" t="s">
        <v>1011</v>
      </c>
      <c r="DP3" s="4" t="s">
        <v>632</v>
      </c>
      <c r="DQ3" s="4" t="s">
        <v>669</v>
      </c>
      <c r="DR3" s="4" t="s">
        <v>163</v>
      </c>
      <c r="DS3" s="4" t="s">
        <v>209</v>
      </c>
      <c r="DT3" s="4" t="s">
        <v>650</v>
      </c>
      <c r="DU3" s="4" t="s">
        <v>867</v>
      </c>
      <c r="DV3" s="4" t="s">
        <v>772</v>
      </c>
      <c r="DW3" s="4" t="s">
        <v>826</v>
      </c>
      <c r="DX3" s="4" t="s">
        <v>124</v>
      </c>
      <c r="DY3" s="4" t="s">
        <v>378</v>
      </c>
      <c r="DZ3" s="4" t="s">
        <v>800</v>
      </c>
      <c r="EA3" s="4" t="s">
        <v>350</v>
      </c>
      <c r="EB3" s="4" t="s">
        <v>914</v>
      </c>
      <c r="EC3" s="4" t="s">
        <v>946</v>
      </c>
      <c r="ED3" s="4" t="s">
        <v>447</v>
      </c>
      <c r="EE3" s="4" t="s">
        <v>462</v>
      </c>
      <c r="EF3" s="4" t="s">
        <v>853</v>
      </c>
      <c r="EG3" s="4" t="s">
        <v>131</v>
      </c>
      <c r="EH3" s="4" t="s">
        <v>564</v>
      </c>
      <c r="EI3" s="4" t="s">
        <v>624</v>
      </c>
      <c r="EJ3" s="4" t="s">
        <v>339</v>
      </c>
      <c r="EK3" s="4" t="s">
        <v>532</v>
      </c>
      <c r="EL3" s="4" t="s">
        <v>75</v>
      </c>
      <c r="EM3" s="4" t="s">
        <v>72</v>
      </c>
      <c r="EN3" s="4" t="s">
        <v>76</v>
      </c>
      <c r="EO3" s="4" t="s">
        <v>73</v>
      </c>
      <c r="EP3" s="4" t="s">
        <v>74</v>
      </c>
      <c r="EQ3" s="4" t="s">
        <v>80</v>
      </c>
      <c r="ER3" s="4" t="s">
        <v>81</v>
      </c>
      <c r="ES3" s="4" t="s">
        <v>78</v>
      </c>
      <c r="ET3" s="4" t="s">
        <v>77</v>
      </c>
      <c r="EU3" s="4" t="s">
        <v>79</v>
      </c>
      <c r="EV3" s="4" t="s">
        <v>84</v>
      </c>
      <c r="EW3" s="4" t="s">
        <v>85</v>
      </c>
      <c r="EX3" s="4" t="s">
        <v>86</v>
      </c>
      <c r="EY3" s="4" t="s">
        <v>82</v>
      </c>
      <c r="EZ3" s="4" t="s">
        <v>83</v>
      </c>
      <c r="FA3" s="4" t="s">
        <v>88</v>
      </c>
      <c r="FB3" s="4" t="s">
        <v>87</v>
      </c>
      <c r="FC3" s="4" t="s">
        <v>89</v>
      </c>
      <c r="FD3" s="4" t="s">
        <v>90</v>
      </c>
      <c r="FE3" s="4" t="s">
        <v>91</v>
      </c>
      <c r="FF3" s="4" t="s">
        <v>513</v>
      </c>
      <c r="FG3" s="4" t="s">
        <v>481</v>
      </c>
      <c r="FH3" s="4" t="s">
        <v>685</v>
      </c>
      <c r="FI3" s="4" t="s">
        <v>506</v>
      </c>
      <c r="FJ3" s="4" t="s">
        <v>551</v>
      </c>
      <c r="FK3" s="4" t="s">
        <v>547</v>
      </c>
      <c r="FL3" s="4" t="s">
        <v>641</v>
      </c>
      <c r="FM3" s="4" t="s">
        <v>676</v>
      </c>
      <c r="FN3" s="4" t="s">
        <v>953</v>
      </c>
      <c r="FO3" s="4" t="s">
        <v>1008</v>
      </c>
      <c r="FP3" s="4" t="s">
        <v>365</v>
      </c>
      <c r="FQ3" s="4" t="s">
        <v>1157</v>
      </c>
      <c r="FR3" s="4" t="s">
        <v>665</v>
      </c>
      <c r="FS3" s="4" t="s">
        <v>733</v>
      </c>
      <c r="FT3" s="4" t="s">
        <v>192</v>
      </c>
      <c r="FU3" s="4" t="s">
        <v>1034</v>
      </c>
      <c r="FV3" s="4" t="s">
        <v>400</v>
      </c>
      <c r="FW3" s="4" t="s">
        <v>1135</v>
      </c>
      <c r="FX3" s="4" t="s">
        <v>831</v>
      </c>
      <c r="FY3" s="4" t="s">
        <v>876</v>
      </c>
      <c r="FZ3" s="4" t="s">
        <v>208</v>
      </c>
      <c r="GA3" s="4" t="s">
        <v>250</v>
      </c>
      <c r="GB3" s="4" t="s">
        <v>415</v>
      </c>
      <c r="GC3" s="4" t="s">
        <v>386</v>
      </c>
      <c r="GD3" s="4" t="s">
        <v>756</v>
      </c>
      <c r="GE3" s="4" t="s">
        <v>746</v>
      </c>
      <c r="GF3" s="4" t="s">
        <v>848</v>
      </c>
      <c r="GG3" s="4" t="s">
        <v>728</v>
      </c>
      <c r="GH3" s="4" t="s">
        <v>55</v>
      </c>
      <c r="GI3" s="4" t="s">
        <v>68</v>
      </c>
      <c r="GJ3" s="4" t="s">
        <v>71</v>
      </c>
      <c r="GK3" s="4" t="s">
        <v>69</v>
      </c>
      <c r="GL3" s="4" t="s">
        <v>70</v>
      </c>
      <c r="GM3" s="4" t="s">
        <v>67</v>
      </c>
      <c r="GN3" s="4" t="s">
        <v>59</v>
      </c>
      <c r="GO3" s="4" t="s">
        <v>58</v>
      </c>
      <c r="GP3" s="4" t="s">
        <v>60</v>
      </c>
      <c r="GQ3" s="4" t="s">
        <v>61</v>
      </c>
      <c r="GR3" s="4" t="s">
        <v>56</v>
      </c>
      <c r="GS3" s="4" t="s">
        <v>57</v>
      </c>
      <c r="GT3" s="4" t="s">
        <v>63</v>
      </c>
      <c r="GU3" s="4" t="s">
        <v>62</v>
      </c>
      <c r="GV3" s="4" t="s">
        <v>66</v>
      </c>
      <c r="GW3" s="4" t="s">
        <v>64</v>
      </c>
      <c r="GX3" s="4" t="s">
        <v>65</v>
      </c>
      <c r="GY3" s="4" t="s">
        <v>185</v>
      </c>
      <c r="GZ3" s="4" t="s">
        <v>1159</v>
      </c>
      <c r="HA3" s="4" t="s">
        <v>317</v>
      </c>
      <c r="HB3" s="4" t="s">
        <v>366</v>
      </c>
      <c r="HC3" s="4" t="s">
        <v>779</v>
      </c>
      <c r="HD3" s="4" t="s">
        <v>834</v>
      </c>
      <c r="HE3" s="4" t="s">
        <v>602</v>
      </c>
      <c r="HF3" s="4" t="s">
        <v>933</v>
      </c>
      <c r="HG3" s="4" t="s">
        <v>744</v>
      </c>
      <c r="HH3" s="4" t="s">
        <v>406</v>
      </c>
      <c r="HI3" s="4" t="s">
        <v>438</v>
      </c>
      <c r="HJ3" s="4" t="s">
        <v>939</v>
      </c>
      <c r="HK3" s="4" t="s">
        <v>881</v>
      </c>
      <c r="HL3" s="4" t="s">
        <v>495</v>
      </c>
      <c r="HM3" s="4" t="s">
        <v>1026</v>
      </c>
      <c r="HN3" s="4" t="s">
        <v>1015</v>
      </c>
      <c r="HO3" s="4" t="s">
        <v>1081</v>
      </c>
      <c r="HP3" s="4" t="s">
        <v>750</v>
      </c>
      <c r="HQ3" s="4" t="s">
        <v>570</v>
      </c>
      <c r="HR3" s="4" t="s">
        <v>272</v>
      </c>
      <c r="HS3" s="4" t="s">
        <v>280</v>
      </c>
      <c r="HT3" s="4" t="s">
        <v>288</v>
      </c>
      <c r="HU3" s="4" t="s">
        <v>246</v>
      </c>
      <c r="HV3" s="4" t="s">
        <v>647</v>
      </c>
      <c r="HW3" s="4" t="s">
        <v>861</v>
      </c>
      <c r="HX3" s="4" t="s">
        <v>1001</v>
      </c>
      <c r="HY3" s="4" t="s">
        <v>342</v>
      </c>
      <c r="HZ3" s="4" t="s">
        <v>1165</v>
      </c>
      <c r="IA3" s="4" t="s">
        <v>693</v>
      </c>
      <c r="IB3" s="4" t="s">
        <v>701</v>
      </c>
      <c r="IC3" s="4" t="s">
        <v>836</v>
      </c>
      <c r="ID3" s="4" t="s">
        <v>625</v>
      </c>
      <c r="IE3" s="4" t="s">
        <v>1123</v>
      </c>
      <c r="IF3" s="4" t="s">
        <v>27</v>
      </c>
      <c r="IG3" s="4" t="s">
        <v>491</v>
      </c>
      <c r="IH3" s="4" t="s">
        <v>29</v>
      </c>
      <c r="II3" s="4" t="s">
        <v>33</v>
      </c>
      <c r="IJ3" s="4" t="s">
        <v>1248</v>
      </c>
      <c r="IK3" s="4" t="s">
        <v>35</v>
      </c>
      <c r="IL3" s="4" t="s">
        <v>51</v>
      </c>
      <c r="IM3" s="4" t="s">
        <v>51</v>
      </c>
      <c r="IN3" s="4" t="s">
        <v>52</v>
      </c>
      <c r="IO3" s="4" t="s">
        <v>50</v>
      </c>
      <c r="IP3" s="4" t="s">
        <v>53</v>
      </c>
      <c r="IQ3" s="4" t="s">
        <v>54</v>
      </c>
      <c r="IR3" s="4" t="s">
        <v>1020</v>
      </c>
      <c r="IS3" s="4" t="s">
        <v>113</v>
      </c>
      <c r="IT3" s="4" t="s">
        <v>961</v>
      </c>
      <c r="IU3" s="4" t="s">
        <v>968</v>
      </c>
      <c r="IV3" s="4" t="s">
        <v>975</v>
      </c>
      <c r="IW3" s="4" t="s">
        <v>888</v>
      </c>
      <c r="IX3" s="4" t="s">
        <v>1073</v>
      </c>
      <c r="IY3" s="4" t="s">
        <v>1118</v>
      </c>
      <c r="IZ3" s="4" t="s">
        <v>565</v>
      </c>
      <c r="JA3" s="4" t="s">
        <v>755</v>
      </c>
      <c r="JB3" s="4" t="s">
        <v>642</v>
      </c>
      <c r="JC3" s="4" t="s">
        <v>992</v>
      </c>
      <c r="JD3" s="4" t="s">
        <v>1005</v>
      </c>
      <c r="JE3" s="4" t="s">
        <v>219</v>
      </c>
      <c r="JF3" s="4" t="s">
        <v>92</v>
      </c>
      <c r="JG3" s="4" t="s">
        <v>93</v>
      </c>
      <c r="JH3" s="4" t="s">
        <v>94</v>
      </c>
      <c r="JI3" s="4" t="s">
        <v>391</v>
      </c>
      <c r="JJ3" s="4" t="s">
        <v>540</v>
      </c>
      <c r="JK3" s="4" t="s">
        <v>725</v>
      </c>
      <c r="JL3" s="4" t="s">
        <v>145</v>
      </c>
      <c r="JM3" s="4" t="s">
        <v>1036</v>
      </c>
      <c r="JN3" s="4" t="s">
        <v>804</v>
      </c>
      <c r="JO3" s="4" t="s">
        <v>333</v>
      </c>
      <c r="JP3" s="4" t="s">
        <v>340</v>
      </c>
      <c r="JQ3" s="4" t="s">
        <v>347</v>
      </c>
      <c r="JR3" s="4" t="s">
        <v>383</v>
      </c>
      <c r="JS3" s="4" t="s">
        <v>404</v>
      </c>
      <c r="JT3" s="4" t="s">
        <v>357</v>
      </c>
      <c r="JU3" s="4" t="s">
        <v>117</v>
      </c>
      <c r="JV3" s="4" t="s">
        <v>369</v>
      </c>
      <c r="JW3" s="4" t="s">
        <v>47</v>
      </c>
      <c r="JX3" s="4" t="s">
        <v>1139</v>
      </c>
      <c r="JY3" s="4" t="s">
        <v>472</v>
      </c>
      <c r="JZ3" s="4" t="s">
        <v>851</v>
      </c>
      <c r="KA3" s="4" t="s">
        <v>1067</v>
      </c>
      <c r="KB3" s="4" t="s">
        <v>1058</v>
      </c>
      <c r="KC3" s="4" t="s">
        <v>413</v>
      </c>
      <c r="KD3" s="4" t="s">
        <v>373</v>
      </c>
      <c r="KE3" s="4" t="s">
        <v>623</v>
      </c>
      <c r="KF3" s="4" t="s">
        <v>653</v>
      </c>
      <c r="KG3" s="4" t="s">
        <v>640</v>
      </c>
      <c r="KH3" s="4" t="s">
        <v>422</v>
      </c>
      <c r="KI3" s="4" t="s">
        <v>364</v>
      </c>
      <c r="KJ3" s="4" t="s">
        <v>609</v>
      </c>
      <c r="KK3" s="4" t="s">
        <v>684</v>
      </c>
      <c r="KL3" s="4" t="s">
        <v>738</v>
      </c>
      <c r="KM3" s="4" t="s">
        <v>769</v>
      </c>
      <c r="KN3" s="4" t="s">
        <v>776</v>
      </c>
      <c r="KO3" s="4" t="s">
        <v>783</v>
      </c>
      <c r="KP3" s="4" t="s">
        <v>791</v>
      </c>
      <c r="KQ3" s="4" t="s">
        <v>666</v>
      </c>
      <c r="KR3" s="4" t="s">
        <v>483</v>
      </c>
      <c r="KS3" s="4" t="s">
        <v>490</v>
      </c>
      <c r="KT3" s="4" t="s">
        <v>1080</v>
      </c>
      <c r="KU3" s="4" t="s">
        <v>538</v>
      </c>
      <c r="KV3" s="4" t="s">
        <v>257</v>
      </c>
      <c r="KW3" s="4" t="s">
        <v>301</v>
      </c>
      <c r="KX3" s="4" t="s">
        <v>1056</v>
      </c>
      <c r="KY3" s="4" t="s">
        <v>1065</v>
      </c>
      <c r="KZ3" s="4" t="s">
        <v>397</v>
      </c>
      <c r="LA3" s="4" t="s">
        <v>337</v>
      </c>
      <c r="LB3" s="4" t="s">
        <v>215</v>
      </c>
      <c r="LC3" s="4" t="s">
        <v>153</v>
      </c>
      <c r="LD3" s="4" t="s">
        <v>1153</v>
      </c>
      <c r="LE3" s="4" t="s">
        <v>1147</v>
      </c>
      <c r="LF3" s="4" t="s">
        <v>242</v>
      </c>
      <c r="LG3" s="4" t="s">
        <v>433</v>
      </c>
      <c r="LH3" s="4" t="s">
        <v>436</v>
      </c>
      <c r="LI3" s="4" t="s">
        <v>1112</v>
      </c>
      <c r="LJ3" s="4" t="s">
        <v>109</v>
      </c>
      <c r="LK3" s="4" t="s">
        <v>265</v>
      </c>
      <c r="LL3" s="4" t="s">
        <v>273</v>
      </c>
      <c r="LM3" s="4" t="s">
        <v>656</v>
      </c>
      <c r="LN3" s="4" t="s">
        <v>950</v>
      </c>
      <c r="LO3" s="4" t="s">
        <v>634</v>
      </c>
      <c r="LP3" s="4" t="s">
        <v>971</v>
      </c>
      <c r="LQ3" s="4" t="s">
        <v>344</v>
      </c>
      <c r="LR3" s="4" t="s">
        <v>120</v>
      </c>
      <c r="LS3" s="4" t="s">
        <v>262</v>
      </c>
      <c r="LT3" s="4" t="s">
        <v>393</v>
      </c>
      <c r="LU3" s="4" t="s">
        <v>546</v>
      </c>
      <c r="LV3" s="4" t="s">
        <v>270</v>
      </c>
      <c r="LW3" s="4" t="s">
        <v>1131</v>
      </c>
      <c r="LX3" s="4" t="s">
        <v>459</v>
      </c>
      <c r="LY3" s="4" t="s">
        <v>403</v>
      </c>
      <c r="LZ3" s="4" t="s">
        <v>129</v>
      </c>
      <c r="MA3" s="4" t="s">
        <v>206</v>
      </c>
      <c r="MB3" s="4" t="s">
        <v>306</v>
      </c>
      <c r="MC3" s="4" t="s">
        <v>161</v>
      </c>
      <c r="MD3" s="4" t="s">
        <v>345</v>
      </c>
      <c r="ME3" s="4" t="s">
        <v>353</v>
      </c>
      <c r="MF3" s="4" t="s">
        <v>875</v>
      </c>
      <c r="MG3" s="4" t="s">
        <v>516</v>
      </c>
      <c r="MH3" s="4" t="s">
        <v>586</v>
      </c>
      <c r="MI3" s="4" t="s">
        <v>957</v>
      </c>
      <c r="MJ3" s="4" t="s">
        <v>1143</v>
      </c>
      <c r="MK3" s="4" t="s">
        <v>214</v>
      </c>
      <c r="ML3" s="4" t="s">
        <v>220</v>
      </c>
      <c r="MM3" s="4" t="s">
        <v>418</v>
      </c>
      <c r="MN3" s="4" t="s">
        <v>741</v>
      </c>
      <c r="MO3" s="4" t="s">
        <v>176</v>
      </c>
      <c r="MP3" s="4" t="s">
        <v>294</v>
      </c>
      <c r="MQ3" s="4" t="s">
        <v>554</v>
      </c>
      <c r="MR3" s="4" t="s">
        <v>588</v>
      </c>
      <c r="MS3" s="4" t="s">
        <v>1158</v>
      </c>
      <c r="MT3" s="4" t="s">
        <v>97</v>
      </c>
      <c r="MU3" s="4" t="s">
        <v>578</v>
      </c>
      <c r="MV3" s="4" t="s">
        <v>1018</v>
      </c>
      <c r="MW3" s="4" t="s">
        <v>1042</v>
      </c>
      <c r="MX3" s="4" t="s">
        <v>152</v>
      </c>
      <c r="MY3" s="4" t="s">
        <v>745</v>
      </c>
      <c r="MZ3" s="4" t="s">
        <v>986</v>
      </c>
      <c r="NA3" s="4" t="s">
        <v>278</v>
      </c>
      <c r="NB3" s="4" t="s">
        <v>309</v>
      </c>
      <c r="NC3" s="4" t="s">
        <v>427</v>
      </c>
      <c r="ND3" s="4" t="s">
        <v>434</v>
      </c>
      <c r="NE3" s="4" t="s">
        <v>258</v>
      </c>
      <c r="NF3" s="4" t="s">
        <v>533</v>
      </c>
      <c r="NG3" s="4" t="s">
        <v>670</v>
      </c>
      <c r="NH3" s="4" t="s">
        <v>845</v>
      </c>
      <c r="NI3" s="4" t="s">
        <v>852</v>
      </c>
      <c r="NJ3" s="4" t="s">
        <v>385</v>
      </c>
      <c r="NK3" s="4" t="s">
        <v>896</v>
      </c>
      <c r="NL3" s="4" t="s">
        <v>887</v>
      </c>
      <c r="NM3" s="4" t="s">
        <v>100</v>
      </c>
      <c r="NN3" s="4" t="s">
        <v>639</v>
      </c>
      <c r="NO3" s="4" t="s">
        <v>352</v>
      </c>
      <c r="NP3" s="4" t="s">
        <v>919</v>
      </c>
      <c r="NQ3" s="4" t="s">
        <v>524</v>
      </c>
      <c r="NR3" s="4" t="s">
        <v>451</v>
      </c>
      <c r="NS3" s="4" t="s">
        <v>799</v>
      </c>
      <c r="NT3" s="4" t="s">
        <v>216</v>
      </c>
      <c r="NU3" s="4" t="s">
        <v>329</v>
      </c>
      <c r="NV3" s="4" t="s">
        <v>119</v>
      </c>
      <c r="NW3" s="4" t="s">
        <v>132</v>
      </c>
      <c r="NX3" s="4" t="s">
        <v>111</v>
      </c>
      <c r="NY3" s="4" t="s">
        <v>105</v>
      </c>
      <c r="NZ3" s="4" t="s">
        <v>557</v>
      </c>
      <c r="OA3" s="4" t="s">
        <v>566</v>
      </c>
      <c r="OB3" s="4" t="s">
        <v>574</v>
      </c>
      <c r="OC3" s="4" t="s">
        <v>843</v>
      </c>
      <c r="OD3" s="4" t="s">
        <v>139</v>
      </c>
      <c r="OE3" s="4" t="s">
        <v>156</v>
      </c>
      <c r="OF3" s="4" t="s">
        <v>646</v>
      </c>
      <c r="OG3" s="4" t="s">
        <v>298</v>
      </c>
      <c r="OH3" s="4" t="s">
        <v>594</v>
      </c>
      <c r="OI3" s="4" t="s">
        <v>683</v>
      </c>
      <c r="OJ3" s="4" t="s">
        <v>688</v>
      </c>
      <c r="OK3" s="4" t="s">
        <v>758</v>
      </c>
      <c r="OL3" s="4" t="s">
        <v>1096</v>
      </c>
      <c r="OM3" s="4" t="s">
        <v>672</v>
      </c>
      <c r="ON3" s="4" t="s">
        <v>297</v>
      </c>
      <c r="OO3" s="4" t="s">
        <v>126</v>
      </c>
      <c r="OP3" s="4" t="s">
        <v>203</v>
      </c>
      <c r="OQ3" s="4" t="s">
        <v>807</v>
      </c>
      <c r="OR3" s="4" t="s">
        <v>314</v>
      </c>
      <c r="OS3" s="4" t="s">
        <v>155</v>
      </c>
      <c r="OT3" s="4" t="s">
        <v>444</v>
      </c>
      <c r="OU3" s="4" t="s">
        <v>1088</v>
      </c>
      <c r="OV3" s="4" t="s">
        <v>1302</v>
      </c>
      <c r="OW3" s="4" t="s">
        <v>188</v>
      </c>
      <c r="OX3" s="4" t="s">
        <v>1303</v>
      </c>
      <c r="OY3" s="4" t="s">
        <v>1304</v>
      </c>
      <c r="OZ3" s="4" t="s">
        <v>821</v>
      </c>
      <c r="PA3" s="4" t="s">
        <v>668</v>
      </c>
      <c r="PB3" s="4" t="s">
        <v>102</v>
      </c>
      <c r="PC3" s="4" t="s">
        <v>912</v>
      </c>
      <c r="PD3" s="4" t="s">
        <v>210</v>
      </c>
      <c r="PE3" s="4" t="s">
        <v>193</v>
      </c>
      <c r="PF3" s="4" t="s">
        <v>202</v>
      </c>
      <c r="PG3" s="4" t="s">
        <v>358</v>
      </c>
      <c r="PH3" s="4" t="s">
        <v>925</v>
      </c>
      <c r="PI3" s="4" t="s">
        <v>942</v>
      </c>
      <c r="PJ3" s="4" t="s">
        <v>972</v>
      </c>
      <c r="PK3" s="4" t="s">
        <v>1127</v>
      </c>
      <c r="PL3" s="4" t="s">
        <v>390</v>
      </c>
      <c r="PM3" s="4" t="s">
        <v>597</v>
      </c>
      <c r="PN3" s="4" t="s">
        <v>633</v>
      </c>
      <c r="PO3" s="4" t="s">
        <v>677</v>
      </c>
      <c r="PP3" s="4" t="s">
        <v>1305</v>
      </c>
      <c r="PQ3" s="4" t="s">
        <v>234</v>
      </c>
      <c r="PR3" s="4" t="s">
        <v>249</v>
      </c>
      <c r="PS3" s="4" t="s">
        <v>661</v>
      </c>
      <c r="PT3" s="4" t="s">
        <v>233</v>
      </c>
      <c r="PU3" s="4" t="s">
        <v>1306</v>
      </c>
      <c r="PV3" s="4" t="s">
        <v>421</v>
      </c>
      <c r="PW3" s="4" t="s">
        <v>429</v>
      </c>
      <c r="PX3" s="4" t="s">
        <v>425</v>
      </c>
      <c r="PY3" s="4" t="s">
        <v>291</v>
      </c>
      <c r="PZ3" s="4" t="s">
        <v>184</v>
      </c>
      <c r="QA3" s="4" t="s">
        <v>189</v>
      </c>
      <c r="QB3" s="4" t="s">
        <v>762</v>
      </c>
      <c r="QC3" s="4" t="s">
        <v>1075</v>
      </c>
      <c r="QD3" s="4" t="s">
        <v>947</v>
      </c>
      <c r="QE3" s="4" t="s">
        <v>696</v>
      </c>
      <c r="QF3" s="4" t="s">
        <v>705</v>
      </c>
      <c r="QG3" s="4" t="s">
        <v>497</v>
      </c>
      <c r="QH3" s="4" t="s">
        <v>503</v>
      </c>
      <c r="QI3" s="4" t="s">
        <v>510</v>
      </c>
      <c r="QJ3" s="4" t="s">
        <v>707</v>
      </c>
      <c r="QK3" s="4" t="s">
        <v>715</v>
      </c>
      <c r="QL3" s="4" t="s">
        <v>635</v>
      </c>
      <c r="QM3" s="4" t="s">
        <v>979</v>
      </c>
      <c r="QN3" s="4" t="s">
        <v>230</v>
      </c>
      <c r="QO3" s="4" t="s">
        <v>884</v>
      </c>
      <c r="QP3" s="4" t="s">
        <v>1084</v>
      </c>
      <c r="QQ3" s="4" t="s">
        <v>442</v>
      </c>
      <c r="QR3" s="4" t="s">
        <v>172</v>
      </c>
      <c r="QS3" s="4" t="s">
        <v>223</v>
      </c>
      <c r="QT3" s="4" t="s">
        <v>194</v>
      </c>
      <c r="QU3" s="4" t="s">
        <v>287</v>
      </c>
      <c r="QV3" s="4" t="s">
        <v>318</v>
      </c>
      <c r="QW3" s="4" t="s">
        <v>380</v>
      </c>
      <c r="QX3" s="4" t="s">
        <v>1132</v>
      </c>
      <c r="QY3" s="4" t="s">
        <v>1141</v>
      </c>
      <c r="QZ3" s="4" t="s">
        <v>897</v>
      </c>
      <c r="RA3" s="4" t="s">
        <v>904</v>
      </c>
      <c r="RB3" s="4" t="s">
        <v>1009</v>
      </c>
      <c r="RC3" s="4" t="s">
        <v>1016</v>
      </c>
      <c r="RD3" s="4" t="s">
        <v>261</v>
      </c>
      <c r="RE3" s="4" t="s">
        <v>256</v>
      </c>
      <c r="RF3" s="4" t="s">
        <v>1104</v>
      </c>
      <c r="RG3" s="4" t="s">
        <v>293</v>
      </c>
      <c r="RH3" s="4" t="s">
        <v>286</v>
      </c>
      <c r="RI3" s="4" t="s">
        <v>308</v>
      </c>
      <c r="RJ3" s="4" t="s">
        <v>300</v>
      </c>
      <c r="RK3" s="4" t="s">
        <v>815</v>
      </c>
      <c r="RL3" s="4" t="s">
        <v>822</v>
      </c>
      <c r="RM3" s="4" t="s">
        <v>829</v>
      </c>
      <c r="RN3" s="4" t="s">
        <v>1307</v>
      </c>
      <c r="RO3" s="4" t="s">
        <v>1308</v>
      </c>
      <c r="RP3" s="4" t="s">
        <v>1309</v>
      </c>
      <c r="RQ3" s="4" t="s">
        <v>955</v>
      </c>
      <c r="RR3" s="4" t="s">
        <v>962</v>
      </c>
      <c r="RS3" s="4" t="s">
        <v>969</v>
      </c>
      <c r="RT3" s="4" t="s">
        <v>976</v>
      </c>
      <c r="RU3" s="4" t="s">
        <v>984</v>
      </c>
      <c r="RV3" s="4" t="s">
        <v>991</v>
      </c>
      <c r="RW3" s="4" t="s">
        <v>997</v>
      </c>
      <c r="RX3" s="4" t="s">
        <v>1007</v>
      </c>
      <c r="RY3" s="4" t="s">
        <v>1045</v>
      </c>
      <c r="RZ3" s="4" t="s">
        <v>1053</v>
      </c>
      <c r="SA3" s="4" t="s">
        <v>1061</v>
      </c>
      <c r="SB3" s="4" t="s">
        <v>1069</v>
      </c>
      <c r="SC3" s="4" t="s">
        <v>1077</v>
      </c>
      <c r="SD3" s="4" t="s">
        <v>1085</v>
      </c>
      <c r="SE3" s="4" t="s">
        <v>1027</v>
      </c>
      <c r="SF3" s="4" t="s">
        <v>179</v>
      </c>
      <c r="SG3" s="4" t="s">
        <v>891</v>
      </c>
      <c r="SH3" s="4" t="s">
        <v>1047</v>
      </c>
      <c r="SI3" s="4" t="s">
        <v>989</v>
      </c>
      <c r="SJ3" s="4" t="s">
        <v>1052</v>
      </c>
      <c r="SK3" s="4" t="s">
        <v>719</v>
      </c>
      <c r="SL3" s="4" t="s">
        <v>944</v>
      </c>
      <c r="SM3" s="4" t="s">
        <v>545</v>
      </c>
      <c r="SN3" s="4" t="s">
        <v>205</v>
      </c>
      <c r="SO3" s="4" t="s">
        <v>213</v>
      </c>
      <c r="SP3" s="4" t="s">
        <v>151</v>
      </c>
      <c r="SQ3" s="4" t="s">
        <v>245</v>
      </c>
      <c r="SR3" s="4" t="s">
        <v>954</v>
      </c>
      <c r="SS3" s="4" t="s">
        <v>181</v>
      </c>
      <c r="ST3" s="4" t="s">
        <v>757</v>
      </c>
      <c r="SU3" s="4" t="s">
        <v>842</v>
      </c>
      <c r="SV3" s="4" t="s">
        <v>846</v>
      </c>
      <c r="SW3" s="4" t="s">
        <v>482</v>
      </c>
      <c r="SX3" s="4" t="s">
        <v>886</v>
      </c>
      <c r="SY3" s="4" t="s">
        <v>712</v>
      </c>
      <c r="SZ3" s="4" t="s">
        <v>687</v>
      </c>
      <c r="TA3" s="4" t="s">
        <v>320</v>
      </c>
      <c r="TB3" s="4" t="s">
        <v>450</v>
      </c>
      <c r="TC3" s="4" t="s">
        <v>749</v>
      </c>
      <c r="TD3" s="4" t="s">
        <v>398</v>
      </c>
      <c r="TE3" s="4" t="s">
        <v>167</v>
      </c>
      <c r="TF3" s="4" t="s">
        <v>1155</v>
      </c>
      <c r="TG3" s="4" t="s">
        <v>778</v>
      </c>
      <c r="TH3" s="4" t="s">
        <v>824</v>
      </c>
      <c r="TI3" s="4" t="s">
        <v>832</v>
      </c>
      <c r="TJ3" s="4" t="s">
        <v>1126</v>
      </c>
      <c r="TK3" s="4" t="s">
        <v>101</v>
      </c>
      <c r="TL3" s="4" t="s">
        <v>966</v>
      </c>
      <c r="TM3" s="4" t="s">
        <v>274</v>
      </c>
      <c r="TN3" s="4" t="s">
        <v>922</v>
      </c>
      <c r="TO3" s="4" t="s">
        <v>1095</v>
      </c>
      <c r="TP3" s="4" t="s">
        <v>908</v>
      </c>
      <c r="TQ3" s="4" t="s">
        <v>466</v>
      </c>
      <c r="TR3" s="4" t="s">
        <v>929</v>
      </c>
      <c r="TS3" s="4" t="s">
        <v>951</v>
      </c>
      <c r="TT3" s="4" t="s">
        <v>980</v>
      </c>
      <c r="TU3" s="4" t="s">
        <v>529</v>
      </c>
      <c r="TV3" s="4" t="s">
        <v>593</v>
      </c>
      <c r="TW3" s="4" t="s">
        <v>660</v>
      </c>
      <c r="TX3" s="4" t="s">
        <v>502</v>
      </c>
      <c r="TY3" s="4" t="s">
        <v>508</v>
      </c>
      <c r="TZ3" s="4" t="s">
        <v>514</v>
      </c>
      <c r="UA3" s="4" t="s">
        <v>376</v>
      </c>
      <c r="UB3" s="4" t="s">
        <v>412</v>
      </c>
      <c r="UC3" s="4" t="s">
        <v>742</v>
      </c>
      <c r="UD3" s="4" t="s">
        <v>734</v>
      </c>
      <c r="UE3" s="4" t="s">
        <v>726</v>
      </c>
      <c r="UF3" s="4" t="s">
        <v>850</v>
      </c>
      <c r="UG3" s="4" t="s">
        <v>652</v>
      </c>
      <c r="UH3" s="4" t="s">
        <v>667</v>
      </c>
      <c r="UI3" s="4" t="s">
        <v>162</v>
      </c>
      <c r="UJ3" s="4" t="s">
        <v>170</v>
      </c>
      <c r="UK3" s="4" t="s">
        <v>217</v>
      </c>
      <c r="UL3" s="4" t="s">
        <v>227</v>
      </c>
      <c r="UM3" s="4" t="s">
        <v>232</v>
      </c>
      <c r="UN3" s="4" t="s">
        <v>240</v>
      </c>
      <c r="UO3" s="4" t="s">
        <v>251</v>
      </c>
      <c r="UP3" s="4" t="s">
        <v>1035</v>
      </c>
    </row>
    <row r="4" customFormat="false" ht="14.5" hidden="false" customHeight="false" outlineLevel="0" collapsed="false">
      <c r="A4" s="0" t="n">
        <v>124</v>
      </c>
      <c r="B4" s="0" t="n">
        <v>0</v>
      </c>
      <c r="C4" s="7" t="e">
        <f aca="false">IF(OR(#REF!&gt;2,#REF!&lt;-2),"",#REF!)</f>
        <v>#REF!</v>
      </c>
      <c r="D4" s="7" t="e">
        <f aca="false">IF(OR(#REF!&gt;2,#REF!&lt;-2),"",#REF!)</f>
        <v>#REF!</v>
      </c>
      <c r="E4" s="7" t="e">
        <f aca="false">IF(OR(#REF!&gt;2,#REF!&lt;-2),"",#REF!)</f>
        <v>#REF!</v>
      </c>
      <c r="F4" s="7" t="e">
        <f aca="false">IF(OR(#REF!&gt;2,#REF!&lt;-2),"",#REF!)</f>
        <v>#REF!</v>
      </c>
      <c r="G4" s="7" t="e">
        <f aca="false">IF(OR(#REF!&gt;2,#REF!&lt;-2),"",#REF!)</f>
        <v>#REF!</v>
      </c>
      <c r="H4" s="7" t="e">
        <f aca="false">IF(OR(#REF!&gt;2,#REF!&lt;-2),"",#REF!)</f>
        <v>#REF!</v>
      </c>
      <c r="I4" s="7" t="e">
        <f aca="false">IF(OR(#REF!&gt;2,#REF!&lt;-2),"",#REF!)</f>
        <v>#REF!</v>
      </c>
      <c r="J4" s="7" t="e">
        <f aca="false">IF(OR(#REF!&gt;2,#REF!&lt;-2),"",#REF!)</f>
        <v>#REF!</v>
      </c>
      <c r="K4" s="7" t="e">
        <f aca="false">IF(OR(#REF!&gt;2,#REF!&lt;-2),"",#REF!)</f>
        <v>#REF!</v>
      </c>
      <c r="L4" s="7" t="e">
        <f aca="false">IF(OR(#REF!&gt;2,#REF!&lt;-2),"",#REF!)</f>
        <v>#REF!</v>
      </c>
      <c r="M4" s="7" t="e">
        <f aca="false">IF(OR(#REF!&gt;2,#REF!&lt;-2),"",#REF!)</f>
        <v>#REF!</v>
      </c>
      <c r="N4" s="7" t="e">
        <f aca="false">IF(OR(#REF!&gt;2,#REF!&lt;-2),"",#REF!)</f>
        <v>#REF!</v>
      </c>
      <c r="O4" s="7" t="e">
        <f aca="false">IF(OR(#REF!&gt;2,#REF!&lt;-2),"",#REF!)</f>
        <v>#REF!</v>
      </c>
      <c r="P4" s="7" t="e">
        <f aca="false">IF(OR(#REF!&gt;2,#REF!&lt;-2),"",#REF!)</f>
        <v>#REF!</v>
      </c>
      <c r="Q4" s="7" t="e">
        <f aca="false">IF(OR(#REF!&gt;2,#REF!&lt;-2),"",#REF!)</f>
        <v>#REF!</v>
      </c>
      <c r="R4" s="7" t="e">
        <f aca="false">IF(OR(#REF!&gt;2,#REF!&lt;-2),"",#REF!)</f>
        <v>#REF!</v>
      </c>
      <c r="S4" s="7" t="e">
        <f aca="false">IF(OR(#REF!&gt;2,#REF!&lt;-2),"",#REF!)</f>
        <v>#REF!</v>
      </c>
      <c r="T4" s="7" t="e">
        <f aca="false">IF(OR(#REF!&gt;2,#REF!&lt;-2),"",#REF!)</f>
        <v>#REF!</v>
      </c>
      <c r="U4" s="7" t="e">
        <f aca="false">IF(OR(#REF!&gt;2,#REF!&lt;-2),"",#REF!)</f>
        <v>#REF!</v>
      </c>
      <c r="V4" s="7" t="e">
        <f aca="false">IF(OR(#REF!&gt;2,#REF!&lt;-2),"",#REF!)</f>
        <v>#REF!</v>
      </c>
      <c r="W4" s="7" t="e">
        <f aca="false">IF(OR(#REF!&gt;2,#REF!&lt;-2),"",#REF!)</f>
        <v>#REF!</v>
      </c>
      <c r="X4" s="7" t="e">
        <f aca="false">IF(OR(#REF!&gt;2,#REF!&lt;-2),"",#REF!)</f>
        <v>#REF!</v>
      </c>
      <c r="Y4" s="7" t="e">
        <f aca="false">IF(OR(#REF!&gt;2,#REF!&lt;-2),"",#REF!)</f>
        <v>#REF!</v>
      </c>
      <c r="Z4" s="7" t="e">
        <f aca="false">IF(OR(#REF!&gt;2,#REF!&lt;-2),"",#REF!)</f>
        <v>#REF!</v>
      </c>
      <c r="AA4" s="7" t="e">
        <f aca="false">IF(OR(#REF!&gt;2,#REF!&lt;-2),"",#REF!)</f>
        <v>#REF!</v>
      </c>
      <c r="AB4" s="7" t="e">
        <f aca="false">IF(OR(#REF!&gt;2,#REF!&lt;-2),"",#REF!)</f>
        <v>#REF!</v>
      </c>
      <c r="AC4" s="7" t="e">
        <f aca="false">IF(OR(#REF!&gt;2,#REF!&lt;-2),"",#REF!)</f>
        <v>#REF!</v>
      </c>
      <c r="AD4" s="7" t="e">
        <f aca="false">IF(OR(#REF!&gt;2,#REF!&lt;-2),"",#REF!)</f>
        <v>#REF!</v>
      </c>
      <c r="AE4" s="7" t="e">
        <f aca="false">IF(OR(#REF!&gt;2,#REF!&lt;-2),"",#REF!)</f>
        <v>#REF!</v>
      </c>
      <c r="AF4" s="7" t="e">
        <f aca="false">IF(OR(#REF!&gt;2,#REF!&lt;-2),"",#REF!)</f>
        <v>#REF!</v>
      </c>
      <c r="AG4" s="7" t="e">
        <f aca="false">IF(OR(#REF!&gt;2,#REF!&lt;-2),"",#REF!)</f>
        <v>#REF!</v>
      </c>
      <c r="AH4" s="7" t="e">
        <f aca="false">IF(OR(#REF!&gt;2,#REF!&lt;-2),"",#REF!)</f>
        <v>#REF!</v>
      </c>
      <c r="AI4" s="7" t="e">
        <f aca="false">IF(OR(#REF!&gt;2,#REF!&lt;-2),"",#REF!)</f>
        <v>#REF!</v>
      </c>
      <c r="AJ4" s="7" t="e">
        <f aca="false">IF(OR(#REF!&gt;2,#REF!&lt;-2),"",#REF!)</f>
        <v>#REF!</v>
      </c>
      <c r="AK4" s="7" t="e">
        <f aca="false">IF(OR(#REF!&gt;2,#REF!&lt;-2),"",#REF!)</f>
        <v>#REF!</v>
      </c>
      <c r="AL4" s="7" t="e">
        <f aca="false">IF(OR(#REF!&gt;2,#REF!&lt;-2),"",#REF!)</f>
        <v>#REF!</v>
      </c>
      <c r="AM4" s="7" t="e">
        <f aca="false">IF(OR(#REF!&gt;2,#REF!&lt;-2),"",#REF!)</f>
        <v>#REF!</v>
      </c>
      <c r="AN4" s="7" t="e">
        <f aca="false">IF(OR(#REF!&gt;2,#REF!&lt;-2),"",#REF!)</f>
        <v>#REF!</v>
      </c>
      <c r="AO4" s="7" t="e">
        <f aca="false">IF(OR(#REF!&gt;2,#REF!&lt;-2),"",#REF!)</f>
        <v>#REF!</v>
      </c>
      <c r="AP4" s="7" t="e">
        <f aca="false">IF(OR(#REF!&gt;2,#REF!&lt;-2),"",#REF!)</f>
        <v>#REF!</v>
      </c>
      <c r="AQ4" s="7" t="e">
        <f aca="false">IF(OR(#REF!&gt;2,#REF!&lt;-2),"",#REF!)</f>
        <v>#REF!</v>
      </c>
      <c r="AR4" s="7" t="e">
        <f aca="false">IF(OR(#REF!&gt;2,#REF!&lt;-2),"",#REF!)</f>
        <v>#REF!</v>
      </c>
      <c r="AS4" s="7" t="e">
        <f aca="false">IF(OR(#REF!&gt;2,#REF!&lt;-2),"",#REF!)</f>
        <v>#REF!</v>
      </c>
      <c r="AT4" s="7" t="e">
        <f aca="false">IF(OR(#REF!&gt;2,#REF!&lt;-2),"",#REF!)</f>
        <v>#REF!</v>
      </c>
      <c r="AU4" s="7" t="e">
        <f aca="false">IF(OR(#REF!&gt;2,#REF!&lt;-2),"",#REF!)</f>
        <v>#REF!</v>
      </c>
      <c r="AV4" s="7" t="e">
        <f aca="false">IF(OR(#REF!&gt;2,#REF!&lt;-2),"",#REF!)</f>
        <v>#REF!</v>
      </c>
      <c r="AW4" s="7" t="e">
        <f aca="false">IF(OR(#REF!&gt;2,#REF!&lt;-2),"",#REF!)</f>
        <v>#REF!</v>
      </c>
      <c r="AX4" s="7" t="e">
        <f aca="false">IF(OR(#REF!&gt;2,#REF!&lt;-2),"",#REF!)</f>
        <v>#REF!</v>
      </c>
      <c r="AY4" s="7" t="e">
        <f aca="false">IF(OR(#REF!&gt;2,#REF!&lt;-2),"",#REF!)</f>
        <v>#REF!</v>
      </c>
      <c r="AZ4" s="7" t="e">
        <f aca="false">IF(OR(#REF!&gt;2,#REF!&lt;-2),"",#REF!)</f>
        <v>#REF!</v>
      </c>
      <c r="BA4" s="7" t="e">
        <f aca="false">IF(OR(#REF!&gt;2,#REF!&lt;-2),"",#REF!)</f>
        <v>#REF!</v>
      </c>
      <c r="BB4" s="7" t="e">
        <f aca="false">IF(OR(#REF!&gt;2,#REF!&lt;-2),"",#REF!)</f>
        <v>#REF!</v>
      </c>
      <c r="BC4" s="7" t="e">
        <f aca="false">IF(OR(#REF!&gt;2,#REF!&lt;-2),"",#REF!)</f>
        <v>#REF!</v>
      </c>
      <c r="BD4" s="7" t="e">
        <f aca="false">IF(OR(#REF!&gt;2,#REF!&lt;-2),"",#REF!)</f>
        <v>#REF!</v>
      </c>
      <c r="BE4" s="7" t="e">
        <f aca="false">IF(OR(#REF!&gt;2,#REF!&lt;-2),"",#REF!)</f>
        <v>#REF!</v>
      </c>
      <c r="BF4" s="7" t="e">
        <f aca="false">IF(OR(#REF!&gt;2,#REF!&lt;-2),"",#REF!)</f>
        <v>#REF!</v>
      </c>
      <c r="BG4" s="7" t="e">
        <f aca="false">IF(OR(#REF!&gt;2,#REF!&lt;-2),"",#REF!)</f>
        <v>#REF!</v>
      </c>
      <c r="BH4" s="7" t="e">
        <f aca="false">IF(OR(#REF!&gt;2,#REF!&lt;-2),"",#REF!)</f>
        <v>#REF!</v>
      </c>
      <c r="BI4" s="7" t="e">
        <f aca="false">IF(OR(#REF!&gt;2,#REF!&lt;-2),"",#REF!)</f>
        <v>#REF!</v>
      </c>
      <c r="BJ4" s="7" t="e">
        <f aca="false">IF(OR(#REF!&gt;2,#REF!&lt;-2),"",#REF!)</f>
        <v>#REF!</v>
      </c>
      <c r="BK4" s="7" t="e">
        <f aca="false">IF(OR(#REF!&gt;2,#REF!&lt;-2),"",#REF!)</f>
        <v>#REF!</v>
      </c>
      <c r="BL4" s="7" t="e">
        <f aca="false">IF(OR(#REF!&gt;2,#REF!&lt;-2),"",#REF!)</f>
        <v>#REF!</v>
      </c>
      <c r="BM4" s="7" t="e">
        <f aca="false">IF(OR(#REF!&gt;2,#REF!&lt;-2),"",#REF!)</f>
        <v>#REF!</v>
      </c>
      <c r="BN4" s="7" t="e">
        <f aca="false">IF(OR(#REF!&gt;2,#REF!&lt;-2),"",#REF!)</f>
        <v>#REF!</v>
      </c>
      <c r="BO4" s="7" t="e">
        <f aca="false">IF(OR(#REF!&gt;2,#REF!&lt;-2),"",#REF!)</f>
        <v>#REF!</v>
      </c>
      <c r="BP4" s="7" t="e">
        <f aca="false">IF(OR(#REF!&gt;2,#REF!&lt;-2),"",#REF!)</f>
        <v>#REF!</v>
      </c>
      <c r="BQ4" s="7" t="e">
        <f aca="false">IF(OR(#REF!&gt;2,#REF!&lt;-2),"",#REF!)</f>
        <v>#REF!</v>
      </c>
      <c r="BR4" s="7" t="e">
        <f aca="false">IF(OR(#REF!&gt;2,#REF!&lt;-2),"",#REF!)</f>
        <v>#REF!</v>
      </c>
      <c r="BS4" s="7" t="e">
        <f aca="false">IF(OR(#REF!&gt;2,#REF!&lt;-2),"",#REF!)</f>
        <v>#REF!</v>
      </c>
      <c r="BT4" s="7" t="e">
        <f aca="false">IF(OR(#REF!&gt;2,#REF!&lt;-2),"",#REF!)</f>
        <v>#REF!</v>
      </c>
      <c r="BU4" s="7" t="e">
        <f aca="false">IF(OR(#REF!&gt;2,#REF!&lt;-2),"",#REF!)</f>
        <v>#REF!</v>
      </c>
      <c r="BV4" s="7" t="e">
        <f aca="false">IF(OR(#REF!&gt;2,#REF!&lt;-2),"",#REF!)</f>
        <v>#REF!</v>
      </c>
      <c r="BW4" s="7" t="e">
        <f aca="false">IF(OR(#REF!&gt;2,#REF!&lt;-2),"",#REF!)</f>
        <v>#REF!</v>
      </c>
      <c r="BX4" s="7" t="e">
        <f aca="false">IF(OR(#REF!&gt;2,#REF!&lt;-2),"",#REF!)</f>
        <v>#REF!</v>
      </c>
      <c r="BY4" s="7" t="e">
        <f aca="false">IF(OR(#REF!&gt;2,#REF!&lt;-2),"",#REF!)</f>
        <v>#REF!</v>
      </c>
      <c r="BZ4" s="7" t="e">
        <f aca="false">IF(OR(#REF!&gt;2,#REF!&lt;-2),"",#REF!)</f>
        <v>#REF!</v>
      </c>
      <c r="CA4" s="7" t="e">
        <f aca="false">IF(OR(#REF!&gt;2,#REF!&lt;-2),"",#REF!)</f>
        <v>#REF!</v>
      </c>
      <c r="CB4" s="7" t="e">
        <f aca="false">IF(OR(#REF!&gt;2,#REF!&lt;-2),"",#REF!)</f>
        <v>#REF!</v>
      </c>
      <c r="CC4" s="7" t="e">
        <f aca="false">IF(OR(#REF!&gt;2,#REF!&lt;-2),"",#REF!)</f>
        <v>#REF!</v>
      </c>
      <c r="CD4" s="7" t="e">
        <f aca="false">IF(OR(#REF!&gt;2,#REF!&lt;-2),"",#REF!)</f>
        <v>#REF!</v>
      </c>
      <c r="CE4" s="7" t="e">
        <f aca="false">IF(OR(#REF!&gt;2,#REF!&lt;-2),"",#REF!)</f>
        <v>#REF!</v>
      </c>
      <c r="CF4" s="7" t="e">
        <f aca="false">IF(OR(#REF!&gt;2,#REF!&lt;-2),"",#REF!)</f>
        <v>#REF!</v>
      </c>
      <c r="CG4" s="7" t="e">
        <f aca="false">IF(OR(#REF!&gt;2,#REF!&lt;-2),"",#REF!)</f>
        <v>#REF!</v>
      </c>
      <c r="CH4" s="7" t="e">
        <f aca="false">IF(OR(#REF!&gt;2,#REF!&lt;-2),"",#REF!)</f>
        <v>#REF!</v>
      </c>
      <c r="CI4" s="7" t="e">
        <f aca="false">IF(OR(#REF!&gt;2,#REF!&lt;-2),"",#REF!)</f>
        <v>#REF!</v>
      </c>
      <c r="CJ4" s="7" t="e">
        <f aca="false">IF(OR(#REF!&gt;2,#REF!&lt;-2),"",#REF!)</f>
        <v>#REF!</v>
      </c>
      <c r="CK4" s="7" t="e">
        <f aca="false">IF(OR(#REF!&gt;2,#REF!&lt;-2),"",#REF!)</f>
        <v>#REF!</v>
      </c>
      <c r="CL4" s="7" t="e">
        <f aca="false">IF(OR(#REF!&gt;2,#REF!&lt;-2),"",#REF!)</f>
        <v>#REF!</v>
      </c>
      <c r="CM4" s="7" t="e">
        <f aca="false">IF(OR(#REF!&gt;2,#REF!&lt;-2),"",#REF!)</f>
        <v>#REF!</v>
      </c>
      <c r="CN4" s="7" t="e">
        <f aca="false">IF(OR(#REF!&gt;2,#REF!&lt;-2),"",#REF!)</f>
        <v>#REF!</v>
      </c>
      <c r="CO4" s="7" t="e">
        <f aca="false">IF(OR(#REF!&gt;2,#REF!&lt;-2),"",#REF!)</f>
        <v>#REF!</v>
      </c>
      <c r="CP4" s="7" t="e">
        <f aca="false">IF(OR(#REF!&gt;2,#REF!&lt;-2),"",#REF!)</f>
        <v>#REF!</v>
      </c>
      <c r="CQ4" s="7" t="e">
        <f aca="false">IF(OR(#REF!&gt;2,#REF!&lt;-2),"",#REF!)</f>
        <v>#REF!</v>
      </c>
      <c r="CR4" s="7" t="e">
        <f aca="false">IF(OR(#REF!&gt;2,#REF!&lt;-2),"",#REF!)</f>
        <v>#REF!</v>
      </c>
      <c r="CS4" s="7" t="e">
        <f aca="false">IF(OR(#REF!&gt;2,#REF!&lt;-2),"",#REF!)</f>
        <v>#REF!</v>
      </c>
      <c r="CT4" s="7" t="e">
        <f aca="false">IF(OR(#REF!&gt;2,#REF!&lt;-2),"",#REF!)</f>
        <v>#REF!</v>
      </c>
      <c r="CU4" s="7" t="e">
        <f aca="false">IF(OR(#REF!&gt;2,#REF!&lt;-2),"",#REF!)</f>
        <v>#REF!</v>
      </c>
      <c r="CV4" s="7" t="e">
        <f aca="false">IF(OR(#REF!&gt;2,#REF!&lt;-2),"",#REF!)</f>
        <v>#REF!</v>
      </c>
      <c r="CW4" s="7" t="e">
        <f aca="false">IF(OR(#REF!&gt;2,#REF!&lt;-2),"",#REF!)</f>
        <v>#REF!</v>
      </c>
      <c r="CX4" s="7" t="e">
        <f aca="false">IF(OR(#REF!&gt;2,#REF!&lt;-2),"",#REF!)</f>
        <v>#REF!</v>
      </c>
      <c r="CY4" s="7" t="e">
        <f aca="false">IF(OR(#REF!&gt;2,#REF!&lt;-2),"",#REF!)</f>
        <v>#REF!</v>
      </c>
      <c r="CZ4" s="7" t="e">
        <f aca="false">IF(OR(#REF!&gt;2,#REF!&lt;-2),"",#REF!)</f>
        <v>#REF!</v>
      </c>
      <c r="DA4" s="7" t="e">
        <f aca="false">IF(OR(#REF!&gt;2,#REF!&lt;-2),"",#REF!)</f>
        <v>#REF!</v>
      </c>
      <c r="DB4" s="7" t="e">
        <f aca="false">IF(OR(#REF!&gt;2,#REF!&lt;-2),"",#REF!)</f>
        <v>#REF!</v>
      </c>
      <c r="DC4" s="7" t="e">
        <f aca="false">IF(OR(#REF!&gt;2,#REF!&lt;-2),"",#REF!)</f>
        <v>#REF!</v>
      </c>
      <c r="DD4" s="7" t="e">
        <f aca="false">IF(OR(#REF!&gt;2,#REF!&lt;-2),"",#REF!)</f>
        <v>#REF!</v>
      </c>
      <c r="DE4" s="7" t="e">
        <f aca="false">IF(OR(#REF!&gt;2,#REF!&lt;-2),"",#REF!)</f>
        <v>#REF!</v>
      </c>
      <c r="DF4" s="7" t="e">
        <f aca="false">IF(OR(#REF!&gt;2,#REF!&lt;-2),"",#REF!)</f>
        <v>#REF!</v>
      </c>
      <c r="DG4" s="7" t="e">
        <f aca="false">IF(OR(#REF!&gt;2,#REF!&lt;-2),"",#REF!)</f>
        <v>#REF!</v>
      </c>
      <c r="DH4" s="7" t="e">
        <f aca="false">IF(OR(#REF!&gt;2,#REF!&lt;-2),"",#REF!)</f>
        <v>#REF!</v>
      </c>
      <c r="DI4" s="7" t="e">
        <f aca="false">IF(OR(#REF!&gt;2,#REF!&lt;-2),"",#REF!)</f>
        <v>#REF!</v>
      </c>
      <c r="DJ4" s="7" t="e">
        <f aca="false">IF(OR(#REF!&gt;2,#REF!&lt;-2),"",#REF!)</f>
        <v>#REF!</v>
      </c>
      <c r="DK4" s="7" t="e">
        <f aca="false">IF(OR(#REF!&gt;2,#REF!&lt;-2),"",#REF!)</f>
        <v>#REF!</v>
      </c>
      <c r="DL4" s="7" t="e">
        <f aca="false">IF(OR(#REF!&gt;2,#REF!&lt;-2),"",#REF!)</f>
        <v>#REF!</v>
      </c>
      <c r="DM4" s="7" t="e">
        <f aca="false">IF(OR(#REF!&gt;2,#REF!&lt;-2),"",#REF!)</f>
        <v>#REF!</v>
      </c>
      <c r="DN4" s="7" t="e">
        <f aca="false">IF(OR(#REF!&gt;2,#REF!&lt;-2),"",#REF!)</f>
        <v>#REF!</v>
      </c>
      <c r="DO4" s="7" t="e">
        <f aca="false">IF(OR(#REF!&gt;2,#REF!&lt;-2),"",#REF!)</f>
        <v>#REF!</v>
      </c>
      <c r="DP4" s="7" t="e">
        <f aca="false">IF(OR(#REF!&gt;2,#REF!&lt;-2),"",#REF!)</f>
        <v>#REF!</v>
      </c>
      <c r="DQ4" s="7" t="e">
        <f aca="false">IF(OR(#REF!&gt;2,#REF!&lt;-2),"",#REF!)</f>
        <v>#REF!</v>
      </c>
      <c r="DR4" s="7" t="e">
        <f aca="false">IF(OR(#REF!&gt;2,#REF!&lt;-2),"",#REF!)</f>
        <v>#REF!</v>
      </c>
      <c r="DS4" s="7" t="e">
        <f aca="false">IF(OR(#REF!&gt;2,#REF!&lt;-2),"",#REF!)</f>
        <v>#REF!</v>
      </c>
      <c r="DT4" s="7" t="e">
        <f aca="false">IF(OR(#REF!&gt;2,#REF!&lt;-2),"",#REF!)</f>
        <v>#REF!</v>
      </c>
      <c r="DU4" s="7" t="e">
        <f aca="false">IF(OR(#REF!&gt;2,#REF!&lt;-2),"",#REF!)</f>
        <v>#REF!</v>
      </c>
      <c r="DV4" s="7" t="e">
        <f aca="false">IF(OR(#REF!&gt;2,#REF!&lt;-2),"",#REF!)</f>
        <v>#REF!</v>
      </c>
      <c r="DW4" s="7" t="e">
        <f aca="false">IF(OR(#REF!&gt;2,#REF!&lt;-2),"",#REF!)</f>
        <v>#REF!</v>
      </c>
      <c r="DX4" s="7" t="e">
        <f aca="false">IF(OR(#REF!&gt;2,#REF!&lt;-2),"",#REF!)</f>
        <v>#REF!</v>
      </c>
      <c r="DY4" s="7" t="e">
        <f aca="false">IF(OR(#REF!&gt;2,#REF!&lt;-2),"",#REF!)</f>
        <v>#REF!</v>
      </c>
      <c r="DZ4" s="7" t="e">
        <f aca="false">IF(OR(#REF!&gt;2,#REF!&lt;-2),"",#REF!)</f>
        <v>#REF!</v>
      </c>
      <c r="EA4" s="7" t="e">
        <f aca="false">IF(OR(#REF!&gt;2,#REF!&lt;-2),"",#REF!)</f>
        <v>#REF!</v>
      </c>
      <c r="EB4" s="7" t="e">
        <f aca="false">IF(OR(#REF!&gt;2,#REF!&lt;-2),"",#REF!)</f>
        <v>#REF!</v>
      </c>
      <c r="EC4" s="7" t="e">
        <f aca="false">IF(OR(#REF!&gt;2,#REF!&lt;-2),"",#REF!)</f>
        <v>#REF!</v>
      </c>
      <c r="ED4" s="7" t="e">
        <f aca="false">IF(OR(#REF!&gt;2,#REF!&lt;-2),"",#REF!)</f>
        <v>#REF!</v>
      </c>
      <c r="EE4" s="7" t="e">
        <f aca="false">IF(OR(#REF!&gt;2,#REF!&lt;-2),"",#REF!)</f>
        <v>#REF!</v>
      </c>
      <c r="EF4" s="7" t="e">
        <f aca="false">IF(OR(#REF!&gt;2,#REF!&lt;-2),"",#REF!)</f>
        <v>#REF!</v>
      </c>
      <c r="EG4" s="7" t="e">
        <f aca="false">IF(OR(#REF!&gt;2,#REF!&lt;-2),"",#REF!)</f>
        <v>#REF!</v>
      </c>
      <c r="EH4" s="7" t="e">
        <f aca="false">IF(OR(#REF!&gt;2,#REF!&lt;-2),"",#REF!)</f>
        <v>#REF!</v>
      </c>
      <c r="EI4" s="7" t="e">
        <f aca="false">IF(OR(#REF!&gt;2,#REF!&lt;-2),"",#REF!)</f>
        <v>#REF!</v>
      </c>
      <c r="EJ4" s="7" t="e">
        <f aca="false">IF(OR(#REF!&gt;2,#REF!&lt;-2),"",#REF!)</f>
        <v>#REF!</v>
      </c>
      <c r="EK4" s="7" t="e">
        <f aca="false">IF(OR(#REF!&gt;2,#REF!&lt;-2),"",#REF!)</f>
        <v>#REF!</v>
      </c>
      <c r="EL4" s="7" t="e">
        <f aca="false">IF(OR(#REF!&gt;2,#REF!&lt;-2),"",#REF!)</f>
        <v>#REF!</v>
      </c>
      <c r="EM4" s="7" t="e">
        <f aca="false">IF(OR(#REF!&gt;2,#REF!&lt;-2),"",#REF!)</f>
        <v>#REF!</v>
      </c>
      <c r="EN4" s="7" t="e">
        <f aca="false">IF(OR(#REF!&gt;2,#REF!&lt;-2),"",#REF!)</f>
        <v>#REF!</v>
      </c>
      <c r="EO4" s="7" t="e">
        <f aca="false">IF(OR(#REF!&gt;2,#REF!&lt;-2),"",#REF!)</f>
        <v>#REF!</v>
      </c>
      <c r="EP4" s="7" t="e">
        <f aca="false">IF(OR(#REF!&gt;2,#REF!&lt;-2),"",#REF!)</f>
        <v>#REF!</v>
      </c>
      <c r="EQ4" s="7" t="e">
        <f aca="false">IF(OR(#REF!&gt;2,#REF!&lt;-2),"",#REF!)</f>
        <v>#REF!</v>
      </c>
      <c r="ER4" s="7" t="e">
        <f aca="false">IF(OR(#REF!&gt;2,#REF!&lt;-2),"",#REF!)</f>
        <v>#REF!</v>
      </c>
      <c r="ES4" s="7" t="e">
        <f aca="false">IF(OR(#REF!&gt;2,#REF!&lt;-2),"",#REF!)</f>
        <v>#REF!</v>
      </c>
      <c r="ET4" s="7" t="e">
        <f aca="false">IF(OR(#REF!&gt;2,#REF!&lt;-2),"",#REF!)</f>
        <v>#REF!</v>
      </c>
      <c r="EU4" s="7" t="e">
        <f aca="false">IF(OR(#REF!&gt;2,#REF!&lt;-2),"",#REF!)</f>
        <v>#REF!</v>
      </c>
      <c r="EV4" s="7" t="e">
        <f aca="false">IF(OR(#REF!&gt;2,#REF!&lt;-2),"",#REF!)</f>
        <v>#REF!</v>
      </c>
      <c r="EW4" s="7" t="e">
        <f aca="false">IF(OR(#REF!&gt;2,#REF!&lt;-2),"",#REF!)</f>
        <v>#REF!</v>
      </c>
      <c r="EX4" s="7" t="e">
        <f aca="false">IF(OR(#REF!&gt;2,#REF!&lt;-2),"",#REF!)</f>
        <v>#REF!</v>
      </c>
      <c r="EY4" s="7" t="e">
        <f aca="false">IF(OR(#REF!&gt;2,#REF!&lt;-2),"",#REF!)</f>
        <v>#REF!</v>
      </c>
      <c r="EZ4" s="7" t="e">
        <f aca="false">IF(OR(#REF!&gt;2,#REF!&lt;-2),"",#REF!)</f>
        <v>#REF!</v>
      </c>
      <c r="FA4" s="7" t="e">
        <f aca="false">IF(OR(#REF!&gt;2,#REF!&lt;-2),"",#REF!)</f>
        <v>#REF!</v>
      </c>
      <c r="FB4" s="7" t="e">
        <f aca="false">IF(OR(#REF!&gt;2,#REF!&lt;-2),"",#REF!)</f>
        <v>#REF!</v>
      </c>
      <c r="FC4" s="7" t="e">
        <f aca="false">IF(OR(#REF!&gt;2,#REF!&lt;-2),"",#REF!)</f>
        <v>#REF!</v>
      </c>
      <c r="FD4" s="7" t="e">
        <f aca="false">IF(OR(#REF!&gt;2,#REF!&lt;-2),"",#REF!)</f>
        <v>#REF!</v>
      </c>
      <c r="FE4" s="7" t="e">
        <f aca="false">IF(OR(#REF!&gt;2,#REF!&lt;-2),"",#REF!)</f>
        <v>#REF!</v>
      </c>
      <c r="FF4" s="7" t="e">
        <f aca="false">IF(OR(#REF!&gt;2,#REF!&lt;-2),"",#REF!)</f>
        <v>#REF!</v>
      </c>
      <c r="FG4" s="7" t="e">
        <f aca="false">IF(OR(#REF!&gt;2,#REF!&lt;-2),"",#REF!)</f>
        <v>#REF!</v>
      </c>
      <c r="FH4" s="7" t="e">
        <f aca="false">IF(OR(#REF!&gt;2,#REF!&lt;-2),"",#REF!)</f>
        <v>#REF!</v>
      </c>
      <c r="FI4" s="7" t="e">
        <f aca="false">IF(OR(#REF!&gt;2,#REF!&lt;-2),"",#REF!)</f>
        <v>#REF!</v>
      </c>
      <c r="FJ4" s="7" t="e">
        <f aca="false">IF(OR(#REF!&gt;2,#REF!&lt;-2),"",#REF!)</f>
        <v>#REF!</v>
      </c>
      <c r="FK4" s="7" t="e">
        <f aca="false">IF(OR(#REF!&gt;2,#REF!&lt;-2),"",#REF!)</f>
        <v>#REF!</v>
      </c>
      <c r="FL4" s="7" t="e">
        <f aca="false">IF(OR(#REF!&gt;2,#REF!&lt;-2),"",#REF!)</f>
        <v>#REF!</v>
      </c>
      <c r="FM4" s="7" t="e">
        <f aca="false">IF(OR(#REF!&gt;2,#REF!&lt;-2),"",#REF!)</f>
        <v>#REF!</v>
      </c>
      <c r="FN4" s="7" t="e">
        <f aca="false">IF(OR(#REF!&gt;2,#REF!&lt;-2),"",#REF!)</f>
        <v>#REF!</v>
      </c>
      <c r="FO4" s="7" t="e">
        <f aca="false">IF(OR(#REF!&gt;2,#REF!&lt;-2),"",#REF!)</f>
        <v>#REF!</v>
      </c>
      <c r="FP4" s="7" t="e">
        <f aca="false">IF(OR(#REF!&gt;2,#REF!&lt;-2),"",#REF!)</f>
        <v>#REF!</v>
      </c>
      <c r="FQ4" s="7" t="e">
        <f aca="false">IF(OR(#REF!&gt;2,#REF!&lt;-2),"",#REF!)</f>
        <v>#REF!</v>
      </c>
      <c r="FR4" s="7" t="e">
        <f aca="false">IF(OR(#REF!&gt;2,#REF!&lt;-2),"",#REF!)</f>
        <v>#REF!</v>
      </c>
      <c r="FS4" s="7" t="e">
        <f aca="false">IF(OR(#REF!&gt;2,#REF!&lt;-2),"",#REF!)</f>
        <v>#REF!</v>
      </c>
      <c r="FT4" s="7" t="e">
        <f aca="false">IF(OR(#REF!&gt;2,#REF!&lt;-2),"",#REF!)</f>
        <v>#REF!</v>
      </c>
      <c r="FU4" s="7" t="e">
        <f aca="false">IF(OR(#REF!&gt;2,#REF!&lt;-2),"",#REF!)</f>
        <v>#REF!</v>
      </c>
      <c r="FV4" s="7" t="e">
        <f aca="false">IF(OR(#REF!&gt;2,#REF!&lt;-2),"",#REF!)</f>
        <v>#REF!</v>
      </c>
      <c r="FW4" s="7" t="e">
        <f aca="false">IF(OR(#REF!&gt;2,#REF!&lt;-2),"",#REF!)</f>
        <v>#REF!</v>
      </c>
      <c r="FX4" s="7" t="e">
        <f aca="false">IF(OR(#REF!&gt;2,#REF!&lt;-2),"",#REF!)</f>
        <v>#REF!</v>
      </c>
      <c r="FY4" s="7" t="e">
        <f aca="false">IF(OR(#REF!&gt;2,#REF!&lt;-2),"",#REF!)</f>
        <v>#REF!</v>
      </c>
      <c r="FZ4" s="7" t="e">
        <f aca="false">IF(OR(#REF!&gt;2,#REF!&lt;-2),"",#REF!)</f>
        <v>#REF!</v>
      </c>
      <c r="GA4" s="7" t="e">
        <f aca="false">IF(OR(#REF!&gt;2,#REF!&lt;-2),"",#REF!)</f>
        <v>#REF!</v>
      </c>
      <c r="GB4" s="7" t="e">
        <f aca="false">IF(OR(#REF!&gt;2,#REF!&lt;-2),"",#REF!)</f>
        <v>#REF!</v>
      </c>
      <c r="GC4" s="7" t="e">
        <f aca="false">IF(OR(#REF!&gt;2,#REF!&lt;-2),"",#REF!)</f>
        <v>#REF!</v>
      </c>
      <c r="GD4" s="7" t="e">
        <f aca="false">IF(OR(#REF!&gt;2,#REF!&lt;-2),"",#REF!)</f>
        <v>#REF!</v>
      </c>
      <c r="GE4" s="7" t="e">
        <f aca="false">IF(OR(#REF!&gt;2,#REF!&lt;-2),"",#REF!)</f>
        <v>#REF!</v>
      </c>
      <c r="GF4" s="7" t="e">
        <f aca="false">IF(OR(#REF!&gt;2,#REF!&lt;-2),"",#REF!)</f>
        <v>#REF!</v>
      </c>
      <c r="GG4" s="7" t="e">
        <f aca="false">IF(OR(#REF!&gt;2,#REF!&lt;-2),"",#REF!)</f>
        <v>#REF!</v>
      </c>
      <c r="GH4" s="7" t="e">
        <f aca="false">IF(OR(#REF!&gt;2,#REF!&lt;-2),"",#REF!)</f>
        <v>#REF!</v>
      </c>
      <c r="GI4" s="7" t="e">
        <f aca="false">IF(OR(#REF!&gt;2,#REF!&lt;-2),"",#REF!)</f>
        <v>#REF!</v>
      </c>
      <c r="GJ4" s="7" t="e">
        <f aca="false">IF(OR(#REF!&gt;2,#REF!&lt;-2),"",#REF!)</f>
        <v>#REF!</v>
      </c>
      <c r="GK4" s="7" t="e">
        <f aca="false">IF(OR(#REF!&gt;2,#REF!&lt;-2),"",#REF!)</f>
        <v>#REF!</v>
      </c>
      <c r="GL4" s="7" t="e">
        <f aca="false">IF(OR(#REF!&gt;2,#REF!&lt;-2),"",#REF!)</f>
        <v>#REF!</v>
      </c>
      <c r="GM4" s="7" t="e">
        <f aca="false">IF(OR(#REF!&gt;2,#REF!&lt;-2),"",#REF!)</f>
        <v>#REF!</v>
      </c>
      <c r="GN4" s="7" t="e">
        <f aca="false">IF(OR(#REF!&gt;2,#REF!&lt;-2),"",#REF!)</f>
        <v>#REF!</v>
      </c>
      <c r="GO4" s="7" t="e">
        <f aca="false">IF(OR(#REF!&gt;2,#REF!&lt;-2),"",#REF!)</f>
        <v>#REF!</v>
      </c>
      <c r="GP4" s="7" t="e">
        <f aca="false">IF(OR(#REF!&gt;2,#REF!&lt;-2),"",#REF!)</f>
        <v>#REF!</v>
      </c>
      <c r="GQ4" s="7" t="e">
        <f aca="false">IF(OR(#REF!&gt;2,#REF!&lt;-2),"",#REF!)</f>
        <v>#REF!</v>
      </c>
      <c r="GR4" s="7" t="e">
        <f aca="false">IF(OR(#REF!&gt;2,#REF!&lt;-2),"",#REF!)</f>
        <v>#REF!</v>
      </c>
      <c r="GS4" s="7" t="e">
        <f aca="false">IF(OR(#REF!&gt;2,#REF!&lt;-2),"",#REF!)</f>
        <v>#REF!</v>
      </c>
      <c r="GT4" s="7" t="e">
        <f aca="false">IF(OR(#REF!&gt;2,#REF!&lt;-2),"",#REF!)</f>
        <v>#REF!</v>
      </c>
      <c r="GU4" s="7" t="e">
        <f aca="false">IF(OR(#REF!&gt;2,#REF!&lt;-2),"",#REF!)</f>
        <v>#REF!</v>
      </c>
      <c r="GV4" s="7" t="e">
        <f aca="false">IF(OR(#REF!&gt;2,#REF!&lt;-2),"",#REF!)</f>
        <v>#REF!</v>
      </c>
      <c r="GW4" s="7" t="e">
        <f aca="false">IF(OR(#REF!&gt;2,#REF!&lt;-2),"",#REF!)</f>
        <v>#REF!</v>
      </c>
      <c r="GX4" s="7" t="e">
        <f aca="false">IF(OR(#REF!&gt;2,#REF!&lt;-2),"",#REF!)</f>
        <v>#REF!</v>
      </c>
      <c r="GY4" s="7" t="e">
        <f aca="false">IF(OR(#REF!&gt;2,#REF!&lt;-2),"",#REF!)</f>
        <v>#REF!</v>
      </c>
      <c r="GZ4" s="7" t="e">
        <f aca="false">IF(OR(#REF!&gt;2,#REF!&lt;-2),"",#REF!)</f>
        <v>#REF!</v>
      </c>
      <c r="HA4" s="7" t="e">
        <f aca="false">IF(OR(#REF!&gt;2,#REF!&lt;-2),"",#REF!)</f>
        <v>#REF!</v>
      </c>
      <c r="HB4" s="7" t="e">
        <f aca="false">IF(OR(#REF!&gt;2,#REF!&lt;-2),"",#REF!)</f>
        <v>#REF!</v>
      </c>
      <c r="HC4" s="7" t="e">
        <f aca="false">IF(OR(#REF!&gt;2,#REF!&lt;-2),"",#REF!)</f>
        <v>#REF!</v>
      </c>
      <c r="HD4" s="7" t="e">
        <f aca="false">IF(OR(#REF!&gt;2,#REF!&lt;-2),"",#REF!)</f>
        <v>#REF!</v>
      </c>
      <c r="HE4" s="7" t="e">
        <f aca="false">IF(OR(#REF!&gt;2,#REF!&lt;-2),"",#REF!)</f>
        <v>#REF!</v>
      </c>
      <c r="HF4" s="7" t="e">
        <f aca="false">IF(OR(#REF!&gt;2,#REF!&lt;-2),"",#REF!)</f>
        <v>#REF!</v>
      </c>
      <c r="HG4" s="7" t="e">
        <f aca="false">IF(OR(#REF!&gt;2,#REF!&lt;-2),"",#REF!)</f>
        <v>#REF!</v>
      </c>
      <c r="HH4" s="7" t="e">
        <f aca="false">IF(OR(#REF!&gt;2,#REF!&lt;-2),"",#REF!)</f>
        <v>#REF!</v>
      </c>
      <c r="HI4" s="7" t="e">
        <f aca="false">IF(OR(#REF!&gt;2,#REF!&lt;-2),"",#REF!)</f>
        <v>#REF!</v>
      </c>
      <c r="HJ4" s="7" t="e">
        <f aca="false">IF(OR(#REF!&gt;2,#REF!&lt;-2),"",#REF!)</f>
        <v>#REF!</v>
      </c>
      <c r="HK4" s="7" t="e">
        <f aca="false">IF(OR(#REF!&gt;2,#REF!&lt;-2),"",#REF!)</f>
        <v>#REF!</v>
      </c>
      <c r="HL4" s="7" t="e">
        <f aca="false">IF(OR(#REF!&gt;2,#REF!&lt;-2),"",#REF!)</f>
        <v>#REF!</v>
      </c>
      <c r="HM4" s="7" t="e">
        <f aca="false">IF(OR(#REF!&gt;2,#REF!&lt;-2),"",#REF!)</f>
        <v>#REF!</v>
      </c>
      <c r="HN4" s="7" t="e">
        <f aca="false">IF(OR(#REF!&gt;2,#REF!&lt;-2),"",#REF!)</f>
        <v>#REF!</v>
      </c>
      <c r="HO4" s="7" t="e">
        <f aca="false">IF(OR(#REF!&gt;2,#REF!&lt;-2),"",#REF!)</f>
        <v>#REF!</v>
      </c>
      <c r="HP4" s="7" t="e">
        <f aca="false">IF(OR(#REF!&gt;2,#REF!&lt;-2),"",#REF!)</f>
        <v>#REF!</v>
      </c>
      <c r="HQ4" s="7" t="e">
        <f aca="false">IF(OR(#REF!&gt;2,#REF!&lt;-2),"",#REF!)</f>
        <v>#REF!</v>
      </c>
      <c r="HR4" s="7" t="e">
        <f aca="false">IF(OR(#REF!&gt;2,#REF!&lt;-2),"",#REF!)</f>
        <v>#REF!</v>
      </c>
      <c r="HS4" s="7" t="e">
        <f aca="false">IF(OR(#REF!&gt;2,#REF!&lt;-2),"",#REF!)</f>
        <v>#REF!</v>
      </c>
      <c r="HT4" s="7" t="e">
        <f aca="false">IF(OR(#REF!&gt;2,#REF!&lt;-2),"",#REF!)</f>
        <v>#REF!</v>
      </c>
      <c r="HU4" s="7" t="e">
        <f aca="false">IF(OR(#REF!&gt;2,#REF!&lt;-2),"",#REF!)</f>
        <v>#REF!</v>
      </c>
      <c r="HV4" s="7" t="e">
        <f aca="false">IF(OR(#REF!&gt;2,#REF!&lt;-2),"",#REF!)</f>
        <v>#REF!</v>
      </c>
      <c r="HW4" s="7" t="e">
        <f aca="false">IF(OR(#REF!&gt;2,#REF!&lt;-2),"",#REF!)</f>
        <v>#REF!</v>
      </c>
      <c r="HX4" s="7" t="e">
        <f aca="false">IF(OR(#REF!&gt;2,#REF!&lt;-2),"",#REF!)</f>
        <v>#REF!</v>
      </c>
      <c r="HY4" s="7" t="e">
        <f aca="false">IF(OR(#REF!&gt;2,#REF!&lt;-2),"",#REF!)</f>
        <v>#REF!</v>
      </c>
      <c r="HZ4" s="7" t="e">
        <f aca="false">IF(OR(#REF!&gt;2,#REF!&lt;-2),"",#REF!)</f>
        <v>#REF!</v>
      </c>
      <c r="IA4" s="7" t="e">
        <f aca="false">IF(OR(#REF!&gt;2,#REF!&lt;-2),"",#REF!)</f>
        <v>#REF!</v>
      </c>
      <c r="IB4" s="7" t="e">
        <f aca="false">IF(OR(#REF!&gt;2,#REF!&lt;-2),"",#REF!)</f>
        <v>#REF!</v>
      </c>
      <c r="IC4" s="7" t="e">
        <f aca="false">IF(OR(#REF!&gt;2,#REF!&lt;-2),"",#REF!)</f>
        <v>#REF!</v>
      </c>
      <c r="ID4" s="7" t="e">
        <f aca="false">IF(OR(#REF!&gt;2,#REF!&lt;-2),"",#REF!)</f>
        <v>#REF!</v>
      </c>
      <c r="IE4" s="7" t="e">
        <f aca="false">IF(OR(#REF!&gt;2,#REF!&lt;-2),"",#REF!)</f>
        <v>#REF!</v>
      </c>
      <c r="IF4" s="7" t="e">
        <f aca="false">IF(OR(#REF!&gt;2,#REF!&lt;-2),"",#REF!)</f>
        <v>#REF!</v>
      </c>
      <c r="IG4" s="7" t="e">
        <f aca="false">IF(OR(#REF!&gt;2,#REF!&lt;-2),"",#REF!)</f>
        <v>#REF!</v>
      </c>
      <c r="IH4" s="7" t="e">
        <f aca="false">IF(OR(#REF!&gt;2,#REF!&lt;-2),"",#REF!)</f>
        <v>#REF!</v>
      </c>
      <c r="II4" s="7" t="e">
        <f aca="false">IF(OR(#REF!&gt;2,#REF!&lt;-2),"",#REF!)</f>
        <v>#REF!</v>
      </c>
      <c r="IJ4" s="7" t="e">
        <f aca="false">IF(OR(#REF!&gt;2,#REF!&lt;-2),"",#REF!)</f>
        <v>#REF!</v>
      </c>
      <c r="IK4" s="7" t="e">
        <f aca="false">IF(OR(#REF!&gt;2,#REF!&lt;-2),"",#REF!)</f>
        <v>#REF!</v>
      </c>
      <c r="IL4" s="7" t="e">
        <f aca="false">IF(OR(#REF!&gt;2,#REF!&lt;-2),"",#REF!)</f>
        <v>#REF!</v>
      </c>
      <c r="IM4" s="7" t="e">
        <f aca="false">IF(OR(#REF!&gt;2,#REF!&lt;-2),"",#REF!)</f>
        <v>#REF!</v>
      </c>
      <c r="IN4" s="7" t="e">
        <f aca="false">IF(OR(#REF!&gt;2,#REF!&lt;-2),"",#REF!)</f>
        <v>#REF!</v>
      </c>
      <c r="IO4" s="7" t="e">
        <f aca="false">IF(OR(#REF!&gt;2,#REF!&lt;-2),"",#REF!)</f>
        <v>#REF!</v>
      </c>
      <c r="IP4" s="7" t="e">
        <f aca="false">IF(OR(#REF!&gt;2,#REF!&lt;-2),"",#REF!)</f>
        <v>#REF!</v>
      </c>
      <c r="IQ4" s="7" t="e">
        <f aca="false">IF(OR(#REF!&gt;2,#REF!&lt;-2),"",#REF!)</f>
        <v>#REF!</v>
      </c>
      <c r="IR4" s="7" t="e">
        <f aca="false">IF(OR(#REF!&gt;2,#REF!&lt;-2),"",#REF!)</f>
        <v>#REF!</v>
      </c>
      <c r="IS4" s="7" t="e">
        <f aca="false">IF(OR(#REF!&gt;2,#REF!&lt;-2),"",#REF!)</f>
        <v>#REF!</v>
      </c>
      <c r="IT4" s="7" t="e">
        <f aca="false">IF(OR(#REF!&gt;2,#REF!&lt;-2),"",#REF!)</f>
        <v>#REF!</v>
      </c>
      <c r="IU4" s="7" t="e">
        <f aca="false">IF(OR(#REF!&gt;2,#REF!&lt;-2),"",#REF!)</f>
        <v>#REF!</v>
      </c>
      <c r="IV4" s="7" t="e">
        <f aca="false">IF(OR(#REF!&gt;2,#REF!&lt;-2),"",#REF!)</f>
        <v>#REF!</v>
      </c>
      <c r="IW4" s="7" t="e">
        <f aca="false">IF(OR(#REF!&gt;2,#REF!&lt;-2),"",#REF!)</f>
        <v>#REF!</v>
      </c>
      <c r="IX4" s="7" t="e">
        <f aca="false">IF(OR(#REF!&gt;2,#REF!&lt;-2),"",#REF!)</f>
        <v>#REF!</v>
      </c>
      <c r="IY4" s="7" t="e">
        <f aca="false">IF(OR(#REF!&gt;2,#REF!&lt;-2),"",#REF!)</f>
        <v>#REF!</v>
      </c>
      <c r="IZ4" s="7" t="e">
        <f aca="false">IF(OR(#REF!&gt;2,#REF!&lt;-2),"",#REF!)</f>
        <v>#REF!</v>
      </c>
      <c r="JA4" s="7" t="e">
        <f aca="false">IF(OR(#REF!&gt;2,#REF!&lt;-2),"",#REF!)</f>
        <v>#REF!</v>
      </c>
      <c r="JB4" s="7" t="e">
        <f aca="false">IF(OR(#REF!&gt;2,#REF!&lt;-2),"",#REF!)</f>
        <v>#REF!</v>
      </c>
      <c r="JC4" s="7" t="e">
        <f aca="false">IF(OR(#REF!&gt;2,#REF!&lt;-2),"",#REF!)</f>
        <v>#REF!</v>
      </c>
      <c r="JD4" s="7" t="e">
        <f aca="false">IF(OR(#REF!&gt;2,#REF!&lt;-2),"",#REF!)</f>
        <v>#REF!</v>
      </c>
      <c r="JE4" s="7" t="e">
        <f aca="false">IF(OR(#REF!&gt;2,#REF!&lt;-2),"",#REF!)</f>
        <v>#REF!</v>
      </c>
      <c r="JF4" s="7" t="e">
        <f aca="false">IF(OR(#REF!&gt;2,#REF!&lt;-2),"",#REF!)</f>
        <v>#REF!</v>
      </c>
      <c r="JG4" s="7" t="e">
        <f aca="false">IF(OR(#REF!&gt;2,#REF!&lt;-2),"",#REF!)</f>
        <v>#REF!</v>
      </c>
      <c r="JH4" s="7" t="e">
        <f aca="false">IF(OR(#REF!&gt;2,#REF!&lt;-2),"",#REF!)</f>
        <v>#REF!</v>
      </c>
      <c r="JI4" s="7" t="e">
        <f aca="false">IF(OR(#REF!&gt;2,#REF!&lt;-2),"",#REF!)</f>
        <v>#REF!</v>
      </c>
      <c r="JJ4" s="7" t="e">
        <f aca="false">IF(OR(#REF!&gt;2,#REF!&lt;-2),"",#REF!)</f>
        <v>#REF!</v>
      </c>
      <c r="JK4" s="7" t="e">
        <f aca="false">IF(OR(#REF!&gt;2,#REF!&lt;-2),"",#REF!)</f>
        <v>#REF!</v>
      </c>
      <c r="JL4" s="7" t="e">
        <f aca="false">IF(OR(#REF!&gt;2,#REF!&lt;-2),"",#REF!)</f>
        <v>#REF!</v>
      </c>
      <c r="JM4" s="7" t="e">
        <f aca="false">IF(OR(#REF!&gt;2,#REF!&lt;-2),"",#REF!)</f>
        <v>#REF!</v>
      </c>
      <c r="JN4" s="7" t="e">
        <f aca="false">IF(OR(#REF!&gt;2,#REF!&lt;-2),"",#REF!)</f>
        <v>#REF!</v>
      </c>
      <c r="JO4" s="7" t="e">
        <f aca="false">IF(OR(#REF!&gt;2,#REF!&lt;-2),"",#REF!)</f>
        <v>#REF!</v>
      </c>
      <c r="JP4" s="7" t="e">
        <f aca="false">IF(OR(#REF!&gt;2,#REF!&lt;-2),"",#REF!)</f>
        <v>#REF!</v>
      </c>
      <c r="JQ4" s="7" t="e">
        <f aca="false">IF(OR(#REF!&gt;2,#REF!&lt;-2),"",#REF!)</f>
        <v>#REF!</v>
      </c>
      <c r="JR4" s="7" t="e">
        <f aca="false">IF(OR(#REF!&gt;2,#REF!&lt;-2),"",#REF!)</f>
        <v>#REF!</v>
      </c>
      <c r="JS4" s="7" t="e">
        <f aca="false">IF(OR(#REF!&gt;2,#REF!&lt;-2),"",#REF!)</f>
        <v>#REF!</v>
      </c>
      <c r="JT4" s="7" t="e">
        <f aca="false">IF(OR(#REF!&gt;2,#REF!&lt;-2),"",#REF!)</f>
        <v>#REF!</v>
      </c>
      <c r="JU4" s="7" t="e">
        <f aca="false">IF(OR(#REF!&gt;2,#REF!&lt;-2),"",#REF!)</f>
        <v>#REF!</v>
      </c>
      <c r="JV4" s="7" t="e">
        <f aca="false">IF(OR(#REF!&gt;2,#REF!&lt;-2),"",#REF!)</f>
        <v>#REF!</v>
      </c>
      <c r="JW4" s="7" t="e">
        <f aca="false">IF(OR(#REF!&gt;2,#REF!&lt;-2),"",#REF!)</f>
        <v>#REF!</v>
      </c>
      <c r="JX4" s="7" t="e">
        <f aca="false">IF(OR(#REF!&gt;2,#REF!&lt;-2),"",#REF!)</f>
        <v>#REF!</v>
      </c>
      <c r="JY4" s="7" t="e">
        <f aca="false">IF(OR(#REF!&gt;2,#REF!&lt;-2),"",#REF!)</f>
        <v>#REF!</v>
      </c>
      <c r="JZ4" s="7" t="e">
        <f aca="false">IF(OR(#REF!&gt;2,#REF!&lt;-2),"",#REF!)</f>
        <v>#REF!</v>
      </c>
      <c r="KA4" s="7" t="e">
        <f aca="false">IF(OR(#REF!&gt;2,#REF!&lt;-2),"",#REF!)</f>
        <v>#REF!</v>
      </c>
      <c r="KB4" s="7" t="e">
        <f aca="false">IF(OR(#REF!&gt;2,#REF!&lt;-2),"",#REF!)</f>
        <v>#REF!</v>
      </c>
      <c r="KC4" s="7" t="e">
        <f aca="false">IF(OR(#REF!&gt;2,#REF!&lt;-2),"",#REF!)</f>
        <v>#REF!</v>
      </c>
      <c r="KD4" s="7" t="e">
        <f aca="false">IF(OR(#REF!&gt;2,#REF!&lt;-2),"",#REF!)</f>
        <v>#REF!</v>
      </c>
      <c r="KE4" s="7" t="e">
        <f aca="false">IF(OR(#REF!&gt;2,#REF!&lt;-2),"",#REF!)</f>
        <v>#REF!</v>
      </c>
      <c r="KF4" s="7" t="e">
        <f aca="false">IF(OR(#REF!&gt;2,#REF!&lt;-2),"",#REF!)</f>
        <v>#REF!</v>
      </c>
      <c r="KG4" s="7" t="e">
        <f aca="false">IF(OR(#REF!&gt;2,#REF!&lt;-2),"",#REF!)</f>
        <v>#REF!</v>
      </c>
      <c r="KH4" s="7" t="e">
        <f aca="false">IF(OR(#REF!&gt;2,#REF!&lt;-2),"",#REF!)</f>
        <v>#REF!</v>
      </c>
      <c r="KI4" s="7" t="e">
        <f aca="false">IF(OR(#REF!&gt;2,#REF!&lt;-2),"",#REF!)</f>
        <v>#REF!</v>
      </c>
      <c r="KJ4" s="7" t="e">
        <f aca="false">IF(OR(#REF!&gt;2,#REF!&lt;-2),"",#REF!)</f>
        <v>#REF!</v>
      </c>
      <c r="KK4" s="7" t="e">
        <f aca="false">IF(OR(#REF!&gt;2,#REF!&lt;-2),"",#REF!)</f>
        <v>#REF!</v>
      </c>
      <c r="KL4" s="7" t="e">
        <f aca="false">IF(OR(#REF!&gt;2,#REF!&lt;-2),"",#REF!)</f>
        <v>#REF!</v>
      </c>
      <c r="KM4" s="7" t="e">
        <f aca="false">IF(OR(#REF!&gt;2,#REF!&lt;-2),"",#REF!)</f>
        <v>#REF!</v>
      </c>
      <c r="KN4" s="7" t="e">
        <f aca="false">IF(OR(#REF!&gt;2,#REF!&lt;-2),"",#REF!)</f>
        <v>#REF!</v>
      </c>
      <c r="KO4" s="7" t="e">
        <f aca="false">IF(OR(#REF!&gt;2,#REF!&lt;-2),"",#REF!)</f>
        <v>#REF!</v>
      </c>
      <c r="KP4" s="7" t="e">
        <f aca="false">IF(OR(#REF!&gt;2,#REF!&lt;-2),"",#REF!)</f>
        <v>#REF!</v>
      </c>
      <c r="KQ4" s="7" t="e">
        <f aca="false">IF(OR(#REF!&gt;2,#REF!&lt;-2),"",#REF!)</f>
        <v>#REF!</v>
      </c>
      <c r="KR4" s="7" t="e">
        <f aca="false">IF(OR(#REF!&gt;2,#REF!&lt;-2),"",#REF!)</f>
        <v>#REF!</v>
      </c>
      <c r="KS4" s="7" t="e">
        <f aca="false">IF(OR(#REF!&gt;2,#REF!&lt;-2),"",#REF!)</f>
        <v>#REF!</v>
      </c>
      <c r="KT4" s="7" t="e">
        <f aca="false">IF(OR(#REF!&gt;2,#REF!&lt;-2),"",#REF!)</f>
        <v>#REF!</v>
      </c>
      <c r="KU4" s="7" t="e">
        <f aca="false">IF(OR(#REF!&gt;2,#REF!&lt;-2),"",#REF!)</f>
        <v>#REF!</v>
      </c>
      <c r="KV4" s="7" t="e">
        <f aca="false">IF(OR(#REF!&gt;2,#REF!&lt;-2),"",#REF!)</f>
        <v>#REF!</v>
      </c>
      <c r="KW4" s="7" t="e">
        <f aca="false">IF(OR(#REF!&gt;2,#REF!&lt;-2),"",#REF!)</f>
        <v>#REF!</v>
      </c>
      <c r="KX4" s="7" t="e">
        <f aca="false">IF(OR(#REF!&gt;2,#REF!&lt;-2),"",#REF!)</f>
        <v>#REF!</v>
      </c>
      <c r="KY4" s="7" t="e">
        <f aca="false">IF(OR(#REF!&gt;2,#REF!&lt;-2),"",#REF!)</f>
        <v>#REF!</v>
      </c>
      <c r="KZ4" s="7" t="e">
        <f aca="false">IF(OR(#REF!&gt;2,#REF!&lt;-2),"",#REF!)</f>
        <v>#REF!</v>
      </c>
      <c r="LA4" s="7" t="e">
        <f aca="false">IF(OR(#REF!&gt;2,#REF!&lt;-2),"",#REF!)</f>
        <v>#REF!</v>
      </c>
      <c r="LB4" s="7" t="e">
        <f aca="false">IF(OR(#REF!&gt;2,#REF!&lt;-2),"",#REF!)</f>
        <v>#REF!</v>
      </c>
      <c r="LC4" s="7" t="e">
        <f aca="false">IF(OR(#REF!&gt;2,#REF!&lt;-2),"",#REF!)</f>
        <v>#REF!</v>
      </c>
      <c r="LD4" s="7" t="e">
        <f aca="false">IF(OR(#REF!&gt;2,#REF!&lt;-2),"",#REF!)</f>
        <v>#REF!</v>
      </c>
      <c r="LE4" s="7" t="e">
        <f aca="false">IF(OR(#REF!&gt;2,#REF!&lt;-2),"",#REF!)</f>
        <v>#REF!</v>
      </c>
      <c r="LF4" s="7" t="e">
        <f aca="false">IF(OR(#REF!&gt;2,#REF!&lt;-2),"",#REF!)</f>
        <v>#REF!</v>
      </c>
      <c r="LG4" s="7" t="e">
        <f aca="false">IF(OR(#REF!&gt;2,#REF!&lt;-2),"",#REF!)</f>
        <v>#REF!</v>
      </c>
      <c r="LH4" s="7" t="e">
        <f aca="false">IF(OR(#REF!&gt;2,#REF!&lt;-2),"",#REF!)</f>
        <v>#REF!</v>
      </c>
      <c r="LI4" s="7" t="e">
        <f aca="false">IF(OR(#REF!&gt;2,#REF!&lt;-2),"",#REF!)</f>
        <v>#REF!</v>
      </c>
      <c r="LJ4" s="7" t="e">
        <f aca="false">IF(OR(#REF!&gt;2,#REF!&lt;-2),"",#REF!)</f>
        <v>#REF!</v>
      </c>
      <c r="LK4" s="7" t="e">
        <f aca="false">IF(OR(#REF!&gt;2,#REF!&lt;-2),"",#REF!)</f>
        <v>#REF!</v>
      </c>
      <c r="LL4" s="7" t="e">
        <f aca="false">IF(OR(#REF!&gt;2,#REF!&lt;-2),"",#REF!)</f>
        <v>#REF!</v>
      </c>
      <c r="LM4" s="7" t="e">
        <f aca="false">IF(OR(#REF!&gt;2,#REF!&lt;-2),"",#REF!)</f>
        <v>#REF!</v>
      </c>
      <c r="LN4" s="7" t="e">
        <f aca="false">IF(OR(#REF!&gt;2,#REF!&lt;-2),"",#REF!)</f>
        <v>#REF!</v>
      </c>
      <c r="LO4" s="7" t="e">
        <f aca="false">IF(OR(#REF!&gt;2,#REF!&lt;-2),"",#REF!)</f>
        <v>#REF!</v>
      </c>
      <c r="LP4" s="7" t="e">
        <f aca="false">IF(OR(#REF!&gt;2,#REF!&lt;-2),"",#REF!)</f>
        <v>#REF!</v>
      </c>
      <c r="LQ4" s="7" t="e">
        <f aca="false">IF(OR(#REF!&gt;2,#REF!&lt;-2),"",#REF!)</f>
        <v>#REF!</v>
      </c>
      <c r="LR4" s="7" t="e">
        <f aca="false">IF(OR(#REF!&gt;2,#REF!&lt;-2),"",#REF!)</f>
        <v>#REF!</v>
      </c>
      <c r="LS4" s="7" t="e">
        <f aca="false">IF(OR(#REF!&gt;2,#REF!&lt;-2),"",#REF!)</f>
        <v>#REF!</v>
      </c>
      <c r="LT4" s="7" t="e">
        <f aca="false">IF(OR(#REF!&gt;2,#REF!&lt;-2),"",#REF!)</f>
        <v>#REF!</v>
      </c>
      <c r="LU4" s="7" t="e">
        <f aca="false">IF(OR(#REF!&gt;2,#REF!&lt;-2),"",#REF!)</f>
        <v>#REF!</v>
      </c>
      <c r="LV4" s="7" t="e">
        <f aca="false">IF(OR(#REF!&gt;2,#REF!&lt;-2),"",#REF!)</f>
        <v>#REF!</v>
      </c>
      <c r="LW4" s="7" t="e">
        <f aca="false">IF(OR(#REF!&gt;2,#REF!&lt;-2),"",#REF!)</f>
        <v>#REF!</v>
      </c>
      <c r="LX4" s="7" t="e">
        <f aca="false">IF(OR(#REF!&gt;2,#REF!&lt;-2),"",#REF!)</f>
        <v>#REF!</v>
      </c>
      <c r="LY4" s="7" t="e">
        <f aca="false">IF(OR(#REF!&gt;2,#REF!&lt;-2),"",#REF!)</f>
        <v>#REF!</v>
      </c>
      <c r="LZ4" s="7" t="e">
        <f aca="false">IF(OR(#REF!&gt;2,#REF!&lt;-2),"",#REF!)</f>
        <v>#REF!</v>
      </c>
      <c r="MA4" s="7" t="e">
        <f aca="false">IF(OR(#REF!&gt;2,#REF!&lt;-2),"",#REF!)</f>
        <v>#REF!</v>
      </c>
      <c r="MB4" s="7" t="e">
        <f aca="false">IF(OR(#REF!&gt;2,#REF!&lt;-2),"",#REF!)</f>
        <v>#REF!</v>
      </c>
      <c r="MC4" s="7" t="e">
        <f aca="false">IF(OR(#REF!&gt;2,#REF!&lt;-2),"",#REF!)</f>
        <v>#REF!</v>
      </c>
      <c r="MD4" s="7" t="e">
        <f aca="false">IF(OR(#REF!&gt;2,#REF!&lt;-2),"",#REF!)</f>
        <v>#REF!</v>
      </c>
      <c r="ME4" s="7" t="e">
        <f aca="false">IF(OR(#REF!&gt;2,#REF!&lt;-2),"",#REF!)</f>
        <v>#REF!</v>
      </c>
      <c r="MF4" s="7" t="e">
        <f aca="false">IF(OR(#REF!&gt;2,#REF!&lt;-2),"",#REF!)</f>
        <v>#REF!</v>
      </c>
      <c r="MG4" s="7" t="e">
        <f aca="false">IF(OR(#REF!&gt;2,#REF!&lt;-2),"",#REF!)</f>
        <v>#REF!</v>
      </c>
      <c r="MH4" s="7" t="e">
        <f aca="false">IF(OR(#REF!&gt;2,#REF!&lt;-2),"",#REF!)</f>
        <v>#REF!</v>
      </c>
      <c r="MI4" s="7" t="e">
        <f aca="false">IF(OR(#REF!&gt;2,#REF!&lt;-2),"",#REF!)</f>
        <v>#REF!</v>
      </c>
      <c r="MJ4" s="7" t="e">
        <f aca="false">IF(OR(#REF!&gt;2,#REF!&lt;-2),"",#REF!)</f>
        <v>#REF!</v>
      </c>
      <c r="MK4" s="7" t="e">
        <f aca="false">IF(OR(#REF!&gt;2,#REF!&lt;-2),"",#REF!)</f>
        <v>#REF!</v>
      </c>
      <c r="ML4" s="7" t="e">
        <f aca="false">IF(OR(#REF!&gt;2,#REF!&lt;-2),"",#REF!)</f>
        <v>#REF!</v>
      </c>
      <c r="MM4" s="7" t="e">
        <f aca="false">IF(OR(#REF!&gt;2,#REF!&lt;-2),"",#REF!)</f>
        <v>#REF!</v>
      </c>
      <c r="MN4" s="7" t="e">
        <f aca="false">IF(OR(#REF!&gt;2,#REF!&lt;-2),"",#REF!)</f>
        <v>#REF!</v>
      </c>
      <c r="MO4" s="7" t="e">
        <f aca="false">IF(OR(#REF!&gt;2,#REF!&lt;-2),"",#REF!)</f>
        <v>#REF!</v>
      </c>
      <c r="MP4" s="7" t="e">
        <f aca="false">IF(OR(#REF!&gt;2,#REF!&lt;-2),"",#REF!)</f>
        <v>#REF!</v>
      </c>
      <c r="MQ4" s="7" t="e">
        <f aca="false">IF(OR(#REF!&gt;2,#REF!&lt;-2),"",#REF!)</f>
        <v>#REF!</v>
      </c>
      <c r="MR4" s="7" t="e">
        <f aca="false">IF(OR(#REF!&gt;2,#REF!&lt;-2),"",#REF!)</f>
        <v>#REF!</v>
      </c>
      <c r="MS4" s="7" t="e">
        <f aca="false">IF(OR(#REF!&gt;2,#REF!&lt;-2),"",#REF!)</f>
        <v>#REF!</v>
      </c>
      <c r="MT4" s="7" t="e">
        <f aca="false">IF(OR(#REF!&gt;2,#REF!&lt;-2),"",#REF!)</f>
        <v>#REF!</v>
      </c>
      <c r="MU4" s="7" t="e">
        <f aca="false">IF(OR(#REF!&gt;2,#REF!&lt;-2),"",#REF!)</f>
        <v>#REF!</v>
      </c>
      <c r="MV4" s="7" t="e">
        <f aca="false">IF(OR(#REF!&gt;2,#REF!&lt;-2),"",#REF!)</f>
        <v>#REF!</v>
      </c>
      <c r="MW4" s="7" t="e">
        <f aca="false">IF(OR(#REF!&gt;2,#REF!&lt;-2),"",#REF!)</f>
        <v>#REF!</v>
      </c>
      <c r="MX4" s="7" t="e">
        <f aca="false">IF(OR(#REF!&gt;2,#REF!&lt;-2),"",#REF!)</f>
        <v>#REF!</v>
      </c>
      <c r="MY4" s="7" t="e">
        <f aca="false">IF(OR(#REF!&gt;2,#REF!&lt;-2),"",#REF!)</f>
        <v>#REF!</v>
      </c>
      <c r="MZ4" s="7" t="e">
        <f aca="false">IF(OR(#REF!&gt;2,#REF!&lt;-2),"",#REF!)</f>
        <v>#REF!</v>
      </c>
      <c r="NA4" s="7" t="e">
        <f aca="false">IF(OR(#REF!&gt;2,#REF!&lt;-2),"",#REF!)</f>
        <v>#REF!</v>
      </c>
      <c r="NB4" s="7" t="e">
        <f aca="false">IF(OR(#REF!&gt;2,#REF!&lt;-2),"",#REF!)</f>
        <v>#REF!</v>
      </c>
      <c r="NC4" s="7" t="e">
        <f aca="false">IF(OR(#REF!&gt;2,#REF!&lt;-2),"",#REF!)</f>
        <v>#REF!</v>
      </c>
      <c r="ND4" s="7" t="e">
        <f aca="false">IF(OR(#REF!&gt;2,#REF!&lt;-2),"",#REF!)</f>
        <v>#REF!</v>
      </c>
      <c r="NE4" s="7" t="e">
        <f aca="false">IF(OR(#REF!&gt;2,#REF!&lt;-2),"",#REF!)</f>
        <v>#REF!</v>
      </c>
      <c r="NF4" s="7" t="e">
        <f aca="false">IF(OR(#REF!&gt;2,#REF!&lt;-2),"",#REF!)</f>
        <v>#REF!</v>
      </c>
      <c r="NG4" s="7" t="e">
        <f aca="false">IF(OR(#REF!&gt;2,#REF!&lt;-2),"",#REF!)</f>
        <v>#REF!</v>
      </c>
      <c r="NH4" s="7" t="e">
        <f aca="false">IF(OR(#REF!&gt;2,#REF!&lt;-2),"",#REF!)</f>
        <v>#REF!</v>
      </c>
      <c r="NI4" s="7" t="e">
        <f aca="false">IF(OR(#REF!&gt;2,#REF!&lt;-2),"",#REF!)</f>
        <v>#REF!</v>
      </c>
      <c r="NJ4" s="7" t="e">
        <f aca="false">IF(OR(#REF!&gt;2,#REF!&lt;-2),"",#REF!)</f>
        <v>#REF!</v>
      </c>
      <c r="NK4" s="7" t="e">
        <f aca="false">IF(OR(#REF!&gt;2,#REF!&lt;-2),"",#REF!)</f>
        <v>#REF!</v>
      </c>
      <c r="NL4" s="7" t="e">
        <f aca="false">IF(OR(#REF!&gt;2,#REF!&lt;-2),"",#REF!)</f>
        <v>#REF!</v>
      </c>
      <c r="NM4" s="7" t="e">
        <f aca="false">IF(OR(#REF!&gt;2,#REF!&lt;-2),"",#REF!)</f>
        <v>#REF!</v>
      </c>
      <c r="NN4" s="7" t="e">
        <f aca="false">IF(OR(#REF!&gt;2,#REF!&lt;-2),"",#REF!)</f>
        <v>#REF!</v>
      </c>
      <c r="NO4" s="7" t="e">
        <f aca="false">IF(OR(#REF!&gt;2,#REF!&lt;-2),"",#REF!)</f>
        <v>#REF!</v>
      </c>
      <c r="NP4" s="7" t="e">
        <f aca="false">IF(OR(#REF!&gt;2,#REF!&lt;-2),"",#REF!)</f>
        <v>#REF!</v>
      </c>
      <c r="NQ4" s="7" t="e">
        <f aca="false">IF(OR(#REF!&gt;2,#REF!&lt;-2),"",#REF!)</f>
        <v>#REF!</v>
      </c>
      <c r="NR4" s="7" t="e">
        <f aca="false">IF(OR(#REF!&gt;2,#REF!&lt;-2),"",#REF!)</f>
        <v>#REF!</v>
      </c>
      <c r="NS4" s="7" t="e">
        <f aca="false">IF(OR(#REF!&gt;2,#REF!&lt;-2),"",#REF!)</f>
        <v>#REF!</v>
      </c>
      <c r="NT4" s="7" t="e">
        <f aca="false">IF(OR(#REF!&gt;2,#REF!&lt;-2),"",#REF!)</f>
        <v>#REF!</v>
      </c>
      <c r="NU4" s="7" t="e">
        <f aca="false">IF(OR(#REF!&gt;2,#REF!&lt;-2),"",#REF!)</f>
        <v>#REF!</v>
      </c>
      <c r="NV4" s="7" t="e">
        <f aca="false">IF(OR(#REF!&gt;2,#REF!&lt;-2),"",#REF!)</f>
        <v>#REF!</v>
      </c>
      <c r="NW4" s="7" t="e">
        <f aca="false">IF(OR(#REF!&gt;2,#REF!&lt;-2),"",#REF!)</f>
        <v>#REF!</v>
      </c>
      <c r="NX4" s="7" t="e">
        <f aca="false">IF(OR(#REF!&gt;2,#REF!&lt;-2),"",#REF!)</f>
        <v>#REF!</v>
      </c>
      <c r="NY4" s="7" t="e">
        <f aca="false">IF(OR(#REF!&gt;2,#REF!&lt;-2),"",#REF!)</f>
        <v>#REF!</v>
      </c>
      <c r="NZ4" s="7" t="e">
        <f aca="false">IF(OR(#REF!&gt;2,#REF!&lt;-2),"",#REF!)</f>
        <v>#REF!</v>
      </c>
      <c r="OA4" s="7" t="e">
        <f aca="false">IF(OR(#REF!&gt;2,#REF!&lt;-2),"",#REF!)</f>
        <v>#REF!</v>
      </c>
      <c r="OB4" s="7" t="e">
        <f aca="false">IF(OR(#REF!&gt;2,#REF!&lt;-2),"",#REF!)</f>
        <v>#REF!</v>
      </c>
      <c r="OC4" s="7" t="e">
        <f aca="false">IF(OR(#REF!&gt;2,#REF!&lt;-2),"",#REF!)</f>
        <v>#REF!</v>
      </c>
      <c r="OD4" s="7" t="e">
        <f aca="false">IF(OR(#REF!&gt;2,#REF!&lt;-2),"",#REF!)</f>
        <v>#REF!</v>
      </c>
      <c r="OE4" s="7" t="e">
        <f aca="false">IF(OR(#REF!&gt;2,#REF!&lt;-2),"",#REF!)</f>
        <v>#REF!</v>
      </c>
      <c r="OF4" s="7" t="e">
        <f aca="false">IF(OR(#REF!&gt;2,#REF!&lt;-2),"",#REF!)</f>
        <v>#REF!</v>
      </c>
      <c r="OG4" s="7" t="e">
        <f aca="false">IF(OR(#REF!&gt;2,#REF!&lt;-2),"",#REF!)</f>
        <v>#REF!</v>
      </c>
      <c r="OH4" s="7" t="e">
        <f aca="false">IF(OR(#REF!&gt;2,#REF!&lt;-2),"",#REF!)</f>
        <v>#REF!</v>
      </c>
      <c r="OI4" s="7" t="e">
        <f aca="false">IF(OR(#REF!&gt;2,#REF!&lt;-2),"",#REF!)</f>
        <v>#REF!</v>
      </c>
      <c r="OJ4" s="7" t="e">
        <f aca="false">IF(OR(#REF!&gt;2,#REF!&lt;-2),"",#REF!)</f>
        <v>#REF!</v>
      </c>
      <c r="OK4" s="7" t="e">
        <f aca="false">IF(OR(#REF!&gt;2,#REF!&lt;-2),"",#REF!)</f>
        <v>#REF!</v>
      </c>
      <c r="OL4" s="7" t="e">
        <f aca="false">IF(OR(#REF!&gt;2,#REF!&lt;-2),"",#REF!)</f>
        <v>#REF!</v>
      </c>
      <c r="OM4" s="7" t="e">
        <f aca="false">IF(OR(#REF!&gt;2,#REF!&lt;-2),"",#REF!)</f>
        <v>#REF!</v>
      </c>
      <c r="ON4" s="7" t="e">
        <f aca="false">IF(OR(#REF!&gt;2,#REF!&lt;-2),"",#REF!)</f>
        <v>#REF!</v>
      </c>
      <c r="OO4" s="7" t="e">
        <f aca="false">IF(OR(#REF!&gt;2,#REF!&lt;-2),"",#REF!)</f>
        <v>#REF!</v>
      </c>
      <c r="OP4" s="7" t="e">
        <f aca="false">IF(OR(#REF!&gt;2,#REF!&lt;-2),"",#REF!)</f>
        <v>#REF!</v>
      </c>
      <c r="OQ4" s="7" t="e">
        <f aca="false">IF(OR(#REF!&gt;2,#REF!&lt;-2),"",#REF!)</f>
        <v>#REF!</v>
      </c>
      <c r="OR4" s="7" t="e">
        <f aca="false">IF(OR(#REF!&gt;2,#REF!&lt;-2),"",#REF!)</f>
        <v>#REF!</v>
      </c>
      <c r="OS4" s="7" t="e">
        <f aca="false">IF(OR(#REF!&gt;2,#REF!&lt;-2),"",#REF!)</f>
        <v>#REF!</v>
      </c>
      <c r="OT4" s="7" t="e">
        <f aca="false">IF(OR(#REF!&gt;2,#REF!&lt;-2),"",#REF!)</f>
        <v>#REF!</v>
      </c>
      <c r="OU4" s="7" t="e">
        <f aca="false">IF(OR(#REF!&gt;2,#REF!&lt;-2),"",#REF!)</f>
        <v>#REF!</v>
      </c>
      <c r="OV4" s="7" t="e">
        <f aca="false">IF(OR(#REF!&gt;2,#REF!&lt;-2),"",#REF!)</f>
        <v>#REF!</v>
      </c>
      <c r="OW4" s="7" t="e">
        <f aca="false">IF(OR(#REF!&gt;2,#REF!&lt;-2),"",#REF!)</f>
        <v>#REF!</v>
      </c>
      <c r="OX4" s="7" t="e">
        <f aca="false">IF(OR(#REF!&gt;2,#REF!&lt;-2),"",#REF!)</f>
        <v>#REF!</v>
      </c>
      <c r="OY4" s="7" t="e">
        <f aca="false">IF(OR(#REF!&gt;2,#REF!&lt;-2),"",#REF!)</f>
        <v>#REF!</v>
      </c>
      <c r="OZ4" s="7" t="e">
        <f aca="false">IF(OR(#REF!&gt;2,#REF!&lt;-2),"",#REF!)</f>
        <v>#REF!</v>
      </c>
      <c r="PA4" s="7" t="e">
        <f aca="false">IF(OR(#REF!&gt;2,#REF!&lt;-2),"",#REF!)</f>
        <v>#REF!</v>
      </c>
      <c r="PB4" s="7" t="e">
        <f aca="false">IF(OR(#REF!&gt;2,#REF!&lt;-2),"",#REF!)</f>
        <v>#REF!</v>
      </c>
      <c r="PC4" s="7" t="e">
        <f aca="false">IF(OR(#REF!&gt;2,#REF!&lt;-2),"",#REF!)</f>
        <v>#REF!</v>
      </c>
      <c r="PD4" s="7" t="e">
        <f aca="false">IF(OR(#REF!&gt;2,#REF!&lt;-2),"",#REF!)</f>
        <v>#REF!</v>
      </c>
      <c r="PE4" s="7" t="e">
        <f aca="false">IF(OR(#REF!&gt;2,#REF!&lt;-2),"",#REF!)</f>
        <v>#REF!</v>
      </c>
      <c r="PF4" s="7" t="e">
        <f aca="false">IF(OR(#REF!&gt;2,#REF!&lt;-2),"",#REF!)</f>
        <v>#REF!</v>
      </c>
      <c r="PG4" s="7" t="e">
        <f aca="false">IF(OR(#REF!&gt;2,#REF!&lt;-2),"",#REF!)</f>
        <v>#REF!</v>
      </c>
      <c r="PH4" s="7" t="e">
        <f aca="false">IF(OR(#REF!&gt;2,#REF!&lt;-2),"",#REF!)</f>
        <v>#REF!</v>
      </c>
      <c r="PI4" s="7" t="e">
        <f aca="false">IF(OR(#REF!&gt;2,#REF!&lt;-2),"",#REF!)</f>
        <v>#REF!</v>
      </c>
      <c r="PJ4" s="7" t="e">
        <f aca="false">IF(OR(#REF!&gt;2,#REF!&lt;-2),"",#REF!)</f>
        <v>#REF!</v>
      </c>
      <c r="PK4" s="7" t="e">
        <f aca="false">IF(OR(#REF!&gt;2,#REF!&lt;-2),"",#REF!)</f>
        <v>#REF!</v>
      </c>
      <c r="PL4" s="7" t="e">
        <f aca="false">IF(OR(#REF!&gt;2,#REF!&lt;-2),"",#REF!)</f>
        <v>#REF!</v>
      </c>
      <c r="PM4" s="7" t="e">
        <f aca="false">IF(OR(#REF!&gt;2,#REF!&lt;-2),"",#REF!)</f>
        <v>#REF!</v>
      </c>
      <c r="PN4" s="7" t="e">
        <f aca="false">IF(OR(#REF!&gt;2,#REF!&lt;-2),"",#REF!)</f>
        <v>#REF!</v>
      </c>
      <c r="PO4" s="7" t="e">
        <f aca="false">IF(OR(#REF!&gt;2,#REF!&lt;-2),"",#REF!)</f>
        <v>#REF!</v>
      </c>
      <c r="PP4" s="7" t="e">
        <f aca="false">IF(OR(#REF!&gt;2,#REF!&lt;-2),"",#REF!)</f>
        <v>#REF!</v>
      </c>
      <c r="PQ4" s="7" t="e">
        <f aca="false">IF(OR(#REF!&gt;2,#REF!&lt;-2),"",#REF!)</f>
        <v>#REF!</v>
      </c>
      <c r="PR4" s="7" t="e">
        <f aca="false">IF(OR(#REF!&gt;2,#REF!&lt;-2),"",#REF!)</f>
        <v>#REF!</v>
      </c>
      <c r="PS4" s="7" t="e">
        <f aca="false">IF(OR(#REF!&gt;2,#REF!&lt;-2),"",#REF!)</f>
        <v>#REF!</v>
      </c>
      <c r="PT4" s="7" t="e">
        <f aca="false">IF(OR(#REF!&gt;2,#REF!&lt;-2),"",#REF!)</f>
        <v>#REF!</v>
      </c>
      <c r="PU4" s="7" t="e">
        <f aca="false">IF(OR(#REF!&gt;2,#REF!&lt;-2),"",#REF!)</f>
        <v>#REF!</v>
      </c>
      <c r="PV4" s="7" t="e">
        <f aca="false">IF(OR(#REF!&gt;2,#REF!&lt;-2),"",#REF!)</f>
        <v>#REF!</v>
      </c>
      <c r="PW4" s="7" t="e">
        <f aca="false">IF(OR(#REF!&gt;2,#REF!&lt;-2),"",#REF!)</f>
        <v>#REF!</v>
      </c>
      <c r="PX4" s="7" t="e">
        <f aca="false">IF(OR(#REF!&gt;2,#REF!&lt;-2),"",#REF!)</f>
        <v>#REF!</v>
      </c>
      <c r="PY4" s="7" t="e">
        <f aca="false">IF(OR(#REF!&gt;2,#REF!&lt;-2),"",#REF!)</f>
        <v>#REF!</v>
      </c>
      <c r="PZ4" s="7" t="e">
        <f aca="false">IF(OR(#REF!&gt;2,#REF!&lt;-2),"",#REF!)</f>
        <v>#REF!</v>
      </c>
      <c r="QA4" s="7" t="e">
        <f aca="false">IF(OR(#REF!&gt;2,#REF!&lt;-2),"",#REF!)</f>
        <v>#REF!</v>
      </c>
      <c r="QB4" s="7" t="e">
        <f aca="false">IF(OR(#REF!&gt;2,#REF!&lt;-2),"",#REF!)</f>
        <v>#REF!</v>
      </c>
      <c r="QC4" s="7" t="e">
        <f aca="false">IF(OR(#REF!&gt;2,#REF!&lt;-2),"",#REF!)</f>
        <v>#REF!</v>
      </c>
      <c r="QD4" s="7" t="e">
        <f aca="false">IF(OR(#REF!&gt;2,#REF!&lt;-2),"",#REF!)</f>
        <v>#REF!</v>
      </c>
      <c r="QE4" s="7" t="e">
        <f aca="false">IF(OR(#REF!&gt;2,#REF!&lt;-2),"",#REF!)</f>
        <v>#REF!</v>
      </c>
      <c r="QF4" s="7" t="e">
        <f aca="false">IF(OR(#REF!&gt;2,#REF!&lt;-2),"",#REF!)</f>
        <v>#REF!</v>
      </c>
      <c r="QG4" s="7" t="e">
        <f aca="false">IF(OR(#REF!&gt;2,#REF!&lt;-2),"",#REF!)</f>
        <v>#REF!</v>
      </c>
      <c r="QH4" s="7" t="e">
        <f aca="false">IF(OR(#REF!&gt;2,#REF!&lt;-2),"",#REF!)</f>
        <v>#REF!</v>
      </c>
      <c r="QI4" s="7" t="e">
        <f aca="false">IF(OR(#REF!&gt;2,#REF!&lt;-2),"",#REF!)</f>
        <v>#REF!</v>
      </c>
      <c r="QJ4" s="7" t="e">
        <f aca="false">IF(OR(#REF!&gt;2,#REF!&lt;-2),"",#REF!)</f>
        <v>#REF!</v>
      </c>
      <c r="QK4" s="7" t="e">
        <f aca="false">IF(OR(#REF!&gt;2,#REF!&lt;-2),"",#REF!)</f>
        <v>#REF!</v>
      </c>
      <c r="QL4" s="7" t="e">
        <f aca="false">IF(OR(#REF!&gt;2,#REF!&lt;-2),"",#REF!)</f>
        <v>#REF!</v>
      </c>
      <c r="QM4" s="7" t="e">
        <f aca="false">IF(OR(#REF!&gt;2,#REF!&lt;-2),"",#REF!)</f>
        <v>#REF!</v>
      </c>
      <c r="QN4" s="7" t="e">
        <f aca="false">IF(OR(#REF!&gt;2,#REF!&lt;-2),"",#REF!)</f>
        <v>#REF!</v>
      </c>
      <c r="QO4" s="7" t="e">
        <f aca="false">IF(OR(#REF!&gt;2,#REF!&lt;-2),"",#REF!)</f>
        <v>#REF!</v>
      </c>
      <c r="QP4" s="7" t="e">
        <f aca="false">IF(OR(#REF!&gt;2,#REF!&lt;-2),"",#REF!)</f>
        <v>#REF!</v>
      </c>
      <c r="QQ4" s="7" t="e">
        <f aca="false">IF(OR(#REF!&gt;2,#REF!&lt;-2),"",#REF!)</f>
        <v>#REF!</v>
      </c>
      <c r="QR4" s="7" t="e">
        <f aca="false">IF(OR(#REF!&gt;2,#REF!&lt;-2),"",#REF!)</f>
        <v>#REF!</v>
      </c>
      <c r="QS4" s="7" t="e">
        <f aca="false">IF(OR(#REF!&gt;2,#REF!&lt;-2),"",#REF!)</f>
        <v>#REF!</v>
      </c>
      <c r="QT4" s="7" t="e">
        <f aca="false">IF(OR(#REF!&gt;2,#REF!&lt;-2),"",#REF!)</f>
        <v>#REF!</v>
      </c>
      <c r="QU4" s="7" t="e">
        <f aca="false">IF(OR(#REF!&gt;2,#REF!&lt;-2),"",#REF!)</f>
        <v>#REF!</v>
      </c>
      <c r="QV4" s="7" t="e">
        <f aca="false">IF(OR(#REF!&gt;2,#REF!&lt;-2),"",#REF!)</f>
        <v>#REF!</v>
      </c>
      <c r="QW4" s="7" t="e">
        <f aca="false">IF(OR(#REF!&gt;2,#REF!&lt;-2),"",#REF!)</f>
        <v>#REF!</v>
      </c>
      <c r="QX4" s="7" t="e">
        <f aca="false">IF(OR(#REF!&gt;2,#REF!&lt;-2),"",#REF!)</f>
        <v>#REF!</v>
      </c>
      <c r="QY4" s="7" t="e">
        <f aca="false">IF(OR(#REF!&gt;2,#REF!&lt;-2),"",#REF!)</f>
        <v>#REF!</v>
      </c>
      <c r="QZ4" s="7" t="e">
        <f aca="false">IF(OR(#REF!&gt;2,#REF!&lt;-2),"",#REF!)</f>
        <v>#REF!</v>
      </c>
      <c r="RA4" s="7" t="e">
        <f aca="false">IF(OR(#REF!&gt;2,#REF!&lt;-2),"",#REF!)</f>
        <v>#REF!</v>
      </c>
      <c r="RB4" s="7" t="e">
        <f aca="false">IF(OR(#REF!&gt;2,#REF!&lt;-2),"",#REF!)</f>
        <v>#REF!</v>
      </c>
      <c r="RC4" s="7" t="e">
        <f aca="false">IF(OR(#REF!&gt;2,#REF!&lt;-2),"",#REF!)</f>
        <v>#REF!</v>
      </c>
      <c r="RD4" s="7" t="e">
        <f aca="false">IF(OR(#REF!&gt;2,#REF!&lt;-2),"",#REF!)</f>
        <v>#REF!</v>
      </c>
      <c r="RE4" s="7" t="e">
        <f aca="false">IF(OR(#REF!&gt;2,#REF!&lt;-2),"",#REF!)</f>
        <v>#REF!</v>
      </c>
      <c r="RF4" s="7" t="e">
        <f aca="false">IF(OR(#REF!&gt;2,#REF!&lt;-2),"",#REF!)</f>
        <v>#REF!</v>
      </c>
      <c r="RG4" s="7" t="e">
        <f aca="false">IF(OR(#REF!&gt;2,#REF!&lt;-2),"",#REF!)</f>
        <v>#REF!</v>
      </c>
      <c r="RH4" s="7" t="e">
        <f aca="false">IF(OR(#REF!&gt;2,#REF!&lt;-2),"",#REF!)</f>
        <v>#REF!</v>
      </c>
      <c r="RI4" s="7" t="e">
        <f aca="false">IF(OR(#REF!&gt;2,#REF!&lt;-2),"",#REF!)</f>
        <v>#REF!</v>
      </c>
      <c r="RJ4" s="7" t="e">
        <f aca="false">IF(OR(#REF!&gt;2,#REF!&lt;-2),"",#REF!)</f>
        <v>#REF!</v>
      </c>
      <c r="RK4" s="7" t="e">
        <f aca="false">IF(OR(#REF!&gt;2,#REF!&lt;-2),"",#REF!)</f>
        <v>#REF!</v>
      </c>
      <c r="RL4" s="7" t="e">
        <f aca="false">IF(OR(#REF!&gt;2,#REF!&lt;-2),"",#REF!)</f>
        <v>#REF!</v>
      </c>
      <c r="RM4" s="7" t="e">
        <f aca="false">IF(OR(#REF!&gt;2,#REF!&lt;-2),"",#REF!)</f>
        <v>#REF!</v>
      </c>
      <c r="RN4" s="7" t="e">
        <f aca="false">IF(OR(#REF!&gt;2,#REF!&lt;-2),"",#REF!)</f>
        <v>#REF!</v>
      </c>
      <c r="RO4" s="7" t="e">
        <f aca="false">IF(OR(#REF!&gt;2,#REF!&lt;-2),"",#REF!)</f>
        <v>#REF!</v>
      </c>
      <c r="RP4" s="7" t="e">
        <f aca="false">IF(OR(#REF!&gt;2,#REF!&lt;-2),"",#REF!)</f>
        <v>#REF!</v>
      </c>
      <c r="RQ4" s="7" t="e">
        <f aca="false">IF(OR(#REF!&gt;2,#REF!&lt;-2),"",#REF!)</f>
        <v>#REF!</v>
      </c>
      <c r="RR4" s="7" t="e">
        <f aca="false">IF(OR(#REF!&gt;2,#REF!&lt;-2),"",#REF!)</f>
        <v>#REF!</v>
      </c>
      <c r="RS4" s="7" t="e">
        <f aca="false">IF(OR(#REF!&gt;2,#REF!&lt;-2),"",#REF!)</f>
        <v>#REF!</v>
      </c>
      <c r="RT4" s="7" t="e">
        <f aca="false">IF(OR(#REF!&gt;2,#REF!&lt;-2),"",#REF!)</f>
        <v>#REF!</v>
      </c>
      <c r="RU4" s="7" t="e">
        <f aca="false">IF(OR(#REF!&gt;2,#REF!&lt;-2),"",#REF!)</f>
        <v>#REF!</v>
      </c>
      <c r="RV4" s="7" t="e">
        <f aca="false">IF(OR(#REF!&gt;2,#REF!&lt;-2),"",#REF!)</f>
        <v>#REF!</v>
      </c>
      <c r="RW4" s="7" t="e">
        <f aca="false">IF(OR(#REF!&gt;2,#REF!&lt;-2),"",#REF!)</f>
        <v>#REF!</v>
      </c>
      <c r="RX4" s="7" t="e">
        <f aca="false">IF(OR(#REF!&gt;2,#REF!&lt;-2),"",#REF!)</f>
        <v>#REF!</v>
      </c>
      <c r="RY4" s="7" t="e">
        <f aca="false">IF(OR(#REF!&gt;2,#REF!&lt;-2),"",#REF!)</f>
        <v>#REF!</v>
      </c>
      <c r="RZ4" s="7" t="e">
        <f aca="false">IF(OR(#REF!&gt;2,#REF!&lt;-2),"",#REF!)</f>
        <v>#REF!</v>
      </c>
      <c r="SA4" s="7" t="e">
        <f aca="false">IF(OR(#REF!&gt;2,#REF!&lt;-2),"",#REF!)</f>
        <v>#REF!</v>
      </c>
      <c r="SB4" s="7" t="e">
        <f aca="false">IF(OR(#REF!&gt;2,#REF!&lt;-2),"",#REF!)</f>
        <v>#REF!</v>
      </c>
      <c r="SC4" s="7" t="e">
        <f aca="false">IF(OR(#REF!&gt;2,#REF!&lt;-2),"",#REF!)</f>
        <v>#REF!</v>
      </c>
      <c r="SD4" s="7" t="e">
        <f aca="false">IF(OR(#REF!&gt;2,#REF!&lt;-2),"",#REF!)</f>
        <v>#REF!</v>
      </c>
      <c r="SE4" s="7" t="e">
        <f aca="false">IF(OR(#REF!&gt;2,#REF!&lt;-2),"",#REF!)</f>
        <v>#REF!</v>
      </c>
      <c r="SF4" s="7" t="e">
        <f aca="false">IF(OR(#REF!&gt;2,#REF!&lt;-2),"",#REF!)</f>
        <v>#REF!</v>
      </c>
      <c r="SG4" s="7" t="e">
        <f aca="false">IF(OR(#REF!&gt;2,#REF!&lt;-2),"",#REF!)</f>
        <v>#REF!</v>
      </c>
      <c r="SH4" s="7" t="e">
        <f aca="false">IF(OR(#REF!&gt;2,#REF!&lt;-2),"",#REF!)</f>
        <v>#REF!</v>
      </c>
      <c r="SI4" s="7" t="e">
        <f aca="false">IF(OR(#REF!&gt;2,#REF!&lt;-2),"",#REF!)</f>
        <v>#REF!</v>
      </c>
      <c r="SJ4" s="7" t="e">
        <f aca="false">IF(OR(#REF!&gt;2,#REF!&lt;-2),"",#REF!)</f>
        <v>#REF!</v>
      </c>
      <c r="SK4" s="7" t="e">
        <f aca="false">IF(OR(#REF!&gt;2,#REF!&lt;-2),"",#REF!)</f>
        <v>#REF!</v>
      </c>
      <c r="SL4" s="7" t="e">
        <f aca="false">IF(OR(#REF!&gt;2,#REF!&lt;-2),"",#REF!)</f>
        <v>#REF!</v>
      </c>
      <c r="SM4" s="7" t="e">
        <f aca="false">IF(OR(#REF!&gt;2,#REF!&lt;-2),"",#REF!)</f>
        <v>#REF!</v>
      </c>
      <c r="SN4" s="7" t="e">
        <f aca="false">IF(OR(#REF!&gt;2,#REF!&lt;-2),"",#REF!)</f>
        <v>#REF!</v>
      </c>
      <c r="SO4" s="7" t="e">
        <f aca="false">IF(OR(#REF!&gt;2,#REF!&lt;-2),"",#REF!)</f>
        <v>#REF!</v>
      </c>
      <c r="SP4" s="7" t="e">
        <f aca="false">IF(OR(#REF!&gt;2,#REF!&lt;-2),"",#REF!)</f>
        <v>#REF!</v>
      </c>
      <c r="SQ4" s="7" t="e">
        <f aca="false">IF(OR(#REF!&gt;2,#REF!&lt;-2),"",#REF!)</f>
        <v>#REF!</v>
      </c>
      <c r="SR4" s="7" t="e">
        <f aca="false">IF(OR(#REF!&gt;2,#REF!&lt;-2),"",#REF!)</f>
        <v>#REF!</v>
      </c>
      <c r="SS4" s="7" t="e">
        <f aca="false">IF(OR(#REF!&gt;2,#REF!&lt;-2),"",#REF!)</f>
        <v>#REF!</v>
      </c>
      <c r="ST4" s="7" t="e">
        <f aca="false">IF(OR(#REF!&gt;2,#REF!&lt;-2),"",#REF!)</f>
        <v>#REF!</v>
      </c>
      <c r="SU4" s="7" t="e">
        <f aca="false">IF(OR(#REF!&gt;2,#REF!&lt;-2),"",#REF!)</f>
        <v>#REF!</v>
      </c>
      <c r="SV4" s="7" t="e">
        <f aca="false">IF(OR(#REF!&gt;2,#REF!&lt;-2),"",#REF!)</f>
        <v>#REF!</v>
      </c>
      <c r="SW4" s="7" t="e">
        <f aca="false">IF(OR(#REF!&gt;2,#REF!&lt;-2),"",#REF!)</f>
        <v>#REF!</v>
      </c>
      <c r="SX4" s="7" t="e">
        <f aca="false">IF(OR(#REF!&gt;2,#REF!&lt;-2),"",#REF!)</f>
        <v>#REF!</v>
      </c>
      <c r="SY4" s="7" t="e">
        <f aca="false">IF(OR(#REF!&gt;2,#REF!&lt;-2),"",#REF!)</f>
        <v>#REF!</v>
      </c>
      <c r="SZ4" s="7" t="e">
        <f aca="false">IF(OR(#REF!&gt;2,#REF!&lt;-2),"",#REF!)</f>
        <v>#REF!</v>
      </c>
      <c r="TA4" s="7" t="e">
        <f aca="false">IF(OR(#REF!&gt;2,#REF!&lt;-2),"",#REF!)</f>
        <v>#REF!</v>
      </c>
      <c r="TB4" s="7" t="e">
        <f aca="false">IF(OR(#REF!&gt;2,#REF!&lt;-2),"",#REF!)</f>
        <v>#REF!</v>
      </c>
      <c r="TC4" s="7" t="e">
        <f aca="false">IF(OR(#REF!&gt;2,#REF!&lt;-2),"",#REF!)</f>
        <v>#REF!</v>
      </c>
      <c r="TD4" s="7" t="e">
        <f aca="false">IF(OR(#REF!&gt;2,#REF!&lt;-2),"",#REF!)</f>
        <v>#REF!</v>
      </c>
      <c r="TE4" s="7" t="e">
        <f aca="false">IF(OR(#REF!&gt;2,#REF!&lt;-2),"",#REF!)</f>
        <v>#REF!</v>
      </c>
      <c r="TF4" s="7" t="e">
        <f aca="false">IF(OR(#REF!&gt;2,#REF!&lt;-2),"",#REF!)</f>
        <v>#REF!</v>
      </c>
      <c r="TG4" s="7" t="e">
        <f aca="false">IF(OR(#REF!&gt;2,#REF!&lt;-2),"",#REF!)</f>
        <v>#REF!</v>
      </c>
      <c r="TH4" s="7" t="e">
        <f aca="false">IF(OR(#REF!&gt;2,#REF!&lt;-2),"",#REF!)</f>
        <v>#REF!</v>
      </c>
      <c r="TI4" s="7" t="e">
        <f aca="false">IF(OR(#REF!&gt;2,#REF!&lt;-2),"",#REF!)</f>
        <v>#REF!</v>
      </c>
      <c r="TJ4" s="7" t="e">
        <f aca="false">IF(OR(#REF!&gt;2,#REF!&lt;-2),"",#REF!)</f>
        <v>#REF!</v>
      </c>
      <c r="TK4" s="7" t="e">
        <f aca="false">IF(OR(#REF!&gt;2,#REF!&lt;-2),"",#REF!)</f>
        <v>#REF!</v>
      </c>
      <c r="TL4" s="7" t="e">
        <f aca="false">IF(OR(#REF!&gt;2,#REF!&lt;-2),"",#REF!)</f>
        <v>#REF!</v>
      </c>
      <c r="TM4" s="7" t="e">
        <f aca="false">IF(OR(#REF!&gt;2,#REF!&lt;-2),"",#REF!)</f>
        <v>#REF!</v>
      </c>
      <c r="TN4" s="7" t="e">
        <f aca="false">IF(OR(#REF!&gt;2,#REF!&lt;-2),"",#REF!)</f>
        <v>#REF!</v>
      </c>
      <c r="TO4" s="7" t="e">
        <f aca="false">IF(OR(#REF!&gt;2,#REF!&lt;-2),"",#REF!)</f>
        <v>#REF!</v>
      </c>
      <c r="TP4" s="7" t="e">
        <f aca="false">IF(OR(#REF!&gt;2,#REF!&lt;-2),"",#REF!)</f>
        <v>#REF!</v>
      </c>
      <c r="TQ4" s="7" t="e">
        <f aca="false">IF(OR(#REF!&gt;2,#REF!&lt;-2),"",#REF!)</f>
        <v>#REF!</v>
      </c>
      <c r="TR4" s="7" t="e">
        <f aca="false">IF(OR(#REF!&gt;2,#REF!&lt;-2),"",#REF!)</f>
        <v>#REF!</v>
      </c>
      <c r="TS4" s="7" t="e">
        <f aca="false">IF(OR(#REF!&gt;2,#REF!&lt;-2),"",#REF!)</f>
        <v>#REF!</v>
      </c>
      <c r="TT4" s="7" t="e">
        <f aca="false">IF(OR(#REF!&gt;2,#REF!&lt;-2),"",#REF!)</f>
        <v>#REF!</v>
      </c>
      <c r="TU4" s="7" t="e">
        <f aca="false">IF(OR(#REF!&gt;2,#REF!&lt;-2),"",#REF!)</f>
        <v>#REF!</v>
      </c>
      <c r="TV4" s="7" t="e">
        <f aca="false">IF(OR(#REF!&gt;2,#REF!&lt;-2),"",#REF!)</f>
        <v>#REF!</v>
      </c>
      <c r="TW4" s="7" t="e">
        <f aca="false">IF(OR(#REF!&gt;2,#REF!&lt;-2),"",#REF!)</f>
        <v>#REF!</v>
      </c>
      <c r="TX4" s="7" t="e">
        <f aca="false">IF(OR(#REF!&gt;2,#REF!&lt;-2),"",#REF!)</f>
        <v>#REF!</v>
      </c>
      <c r="TY4" s="7" t="e">
        <f aca="false">IF(OR(#REF!&gt;2,#REF!&lt;-2),"",#REF!)</f>
        <v>#REF!</v>
      </c>
      <c r="TZ4" s="7" t="e">
        <f aca="false">IF(OR(#REF!&gt;2,#REF!&lt;-2),"",#REF!)</f>
        <v>#REF!</v>
      </c>
      <c r="UA4" s="7" t="e">
        <f aca="false">IF(OR(#REF!&gt;2,#REF!&lt;-2),"",#REF!)</f>
        <v>#REF!</v>
      </c>
      <c r="UB4" s="7" t="e">
        <f aca="false">IF(OR(#REF!&gt;2,#REF!&lt;-2),"",#REF!)</f>
        <v>#REF!</v>
      </c>
      <c r="UC4" s="7" t="e">
        <f aca="false">IF(OR(#REF!&gt;2,#REF!&lt;-2),"",#REF!)</f>
        <v>#REF!</v>
      </c>
      <c r="UD4" s="7" t="e">
        <f aca="false">IF(OR(#REF!&gt;2,#REF!&lt;-2),"",#REF!)</f>
        <v>#REF!</v>
      </c>
      <c r="UE4" s="7" t="e">
        <f aca="false">IF(OR(#REF!&gt;2,#REF!&lt;-2),"",#REF!)</f>
        <v>#REF!</v>
      </c>
      <c r="UF4" s="7" t="e">
        <f aca="false">IF(OR(#REF!&gt;2,#REF!&lt;-2),"",#REF!)</f>
        <v>#REF!</v>
      </c>
      <c r="UG4" s="7" t="e">
        <f aca="false">IF(OR(#REF!&gt;2,#REF!&lt;-2),"",#REF!)</f>
        <v>#REF!</v>
      </c>
      <c r="UH4" s="7" t="e">
        <f aca="false">IF(OR(#REF!&gt;2,#REF!&lt;-2),"",#REF!)</f>
        <v>#REF!</v>
      </c>
      <c r="UI4" s="7" t="e">
        <f aca="false">IF(OR(#REF!&gt;2,#REF!&lt;-2),"",#REF!)</f>
        <v>#REF!</v>
      </c>
      <c r="UJ4" s="7" t="e">
        <f aca="false">IF(OR(#REF!&gt;2,#REF!&lt;-2),"",#REF!)</f>
        <v>#REF!</v>
      </c>
      <c r="UK4" s="7" t="e">
        <f aca="false">IF(OR(#REF!&gt;2,#REF!&lt;-2),"",#REF!)</f>
        <v>#REF!</v>
      </c>
      <c r="UL4" s="7" t="e">
        <f aca="false">IF(OR(#REF!&gt;2,#REF!&lt;-2),"",#REF!)</f>
        <v>#REF!</v>
      </c>
      <c r="UM4" s="7" t="e">
        <f aca="false">IF(OR(#REF!&gt;2,#REF!&lt;-2),"",#REF!)</f>
        <v>#REF!</v>
      </c>
      <c r="UN4" s="7" t="e">
        <f aca="false">IF(OR(#REF!&gt;2,#REF!&lt;-2),"",#REF!)</f>
        <v>#REF!</v>
      </c>
      <c r="UO4" s="7" t="e">
        <f aca="false">IF(OR(#REF!&gt;2,#REF!&lt;-2),"",#REF!)</f>
        <v>#REF!</v>
      </c>
      <c r="UP4" s="7" t="e">
        <f aca="false">IF(OR(#REF!&gt;2,#REF!&lt;-2),"",#REF!)</f>
        <v>#REF!</v>
      </c>
    </row>
    <row r="5" customFormat="false" ht="14.5" hidden="false" customHeight="false" outlineLevel="0" collapsed="false">
      <c r="A5" s="0" t="n">
        <v>143</v>
      </c>
      <c r="B5" s="0" t="n">
        <v>0</v>
      </c>
      <c r="C5" s="7" t="e">
        <f aca="false">IF(OR(#REF!&gt;2,#REF!&lt;-2),"",#REF!)</f>
        <v>#REF!</v>
      </c>
      <c r="D5" s="7" t="e">
        <f aca="false">IF(OR(#REF!&gt;2,#REF!&lt;-2),"",#REF!)</f>
        <v>#REF!</v>
      </c>
      <c r="E5" s="7" t="e">
        <f aca="false">IF(OR(#REF!&gt;2,#REF!&lt;-2),"",#REF!)</f>
        <v>#REF!</v>
      </c>
      <c r="F5" s="7" t="e">
        <f aca="false">IF(OR(#REF!&gt;2,#REF!&lt;-2),"",#REF!)</f>
        <v>#REF!</v>
      </c>
      <c r="G5" s="7" t="e">
        <f aca="false">IF(OR(#REF!&gt;2,#REF!&lt;-2),"",#REF!)</f>
        <v>#REF!</v>
      </c>
      <c r="H5" s="7" t="e">
        <f aca="false">IF(OR(#REF!&gt;2,#REF!&lt;-2),"",#REF!)</f>
        <v>#REF!</v>
      </c>
      <c r="I5" s="7" t="e">
        <f aca="false">IF(OR(#REF!&gt;2,#REF!&lt;-2),"",#REF!)</f>
        <v>#REF!</v>
      </c>
      <c r="J5" s="7" t="e">
        <f aca="false">IF(OR(#REF!&gt;2,#REF!&lt;-2),"",#REF!)</f>
        <v>#REF!</v>
      </c>
      <c r="K5" s="7" t="e">
        <f aca="false">IF(OR(#REF!&gt;2,#REF!&lt;-2),"",#REF!)</f>
        <v>#REF!</v>
      </c>
      <c r="L5" s="7" t="e">
        <f aca="false">IF(OR(#REF!&gt;2,#REF!&lt;-2),"",#REF!)</f>
        <v>#REF!</v>
      </c>
      <c r="M5" s="7" t="e">
        <f aca="false">IF(OR(#REF!&gt;2,#REF!&lt;-2),"",#REF!)</f>
        <v>#REF!</v>
      </c>
      <c r="N5" s="7" t="e">
        <f aca="false">IF(OR(#REF!&gt;2,#REF!&lt;-2),"",#REF!)</f>
        <v>#REF!</v>
      </c>
      <c r="O5" s="7" t="e">
        <f aca="false">IF(OR(#REF!&gt;2,#REF!&lt;-2),"",#REF!)</f>
        <v>#REF!</v>
      </c>
      <c r="P5" s="7" t="e">
        <f aca="false">IF(OR(#REF!&gt;2,#REF!&lt;-2),"",#REF!)</f>
        <v>#REF!</v>
      </c>
      <c r="Q5" s="7" t="e">
        <f aca="false">IF(OR(#REF!&gt;2,#REF!&lt;-2),"",#REF!)</f>
        <v>#REF!</v>
      </c>
      <c r="R5" s="7" t="e">
        <f aca="false">IF(OR(#REF!&gt;2,#REF!&lt;-2),"",#REF!)</f>
        <v>#REF!</v>
      </c>
      <c r="S5" s="7" t="e">
        <f aca="false">IF(OR(#REF!&gt;2,#REF!&lt;-2),"",#REF!)</f>
        <v>#REF!</v>
      </c>
      <c r="T5" s="7" t="e">
        <f aca="false">IF(OR(#REF!&gt;2,#REF!&lt;-2),"",#REF!)</f>
        <v>#REF!</v>
      </c>
      <c r="U5" s="7" t="e">
        <f aca="false">IF(OR(#REF!&gt;2,#REF!&lt;-2),"",#REF!)</f>
        <v>#REF!</v>
      </c>
      <c r="V5" s="7" t="e">
        <f aca="false">IF(OR(#REF!&gt;2,#REF!&lt;-2),"",#REF!)</f>
        <v>#REF!</v>
      </c>
      <c r="W5" s="7" t="e">
        <f aca="false">IF(OR(#REF!&gt;2,#REF!&lt;-2),"",#REF!)</f>
        <v>#REF!</v>
      </c>
      <c r="X5" s="7" t="e">
        <f aca="false">IF(OR(#REF!&gt;2,#REF!&lt;-2),"",#REF!)</f>
        <v>#REF!</v>
      </c>
      <c r="Y5" s="7" t="e">
        <f aca="false">IF(OR(#REF!&gt;2,#REF!&lt;-2),"",#REF!)</f>
        <v>#REF!</v>
      </c>
      <c r="Z5" s="7" t="e">
        <f aca="false">IF(OR(#REF!&gt;2,#REF!&lt;-2),"",#REF!)</f>
        <v>#REF!</v>
      </c>
      <c r="AA5" s="7" t="e">
        <f aca="false">IF(OR(#REF!&gt;2,#REF!&lt;-2),"",#REF!)</f>
        <v>#REF!</v>
      </c>
      <c r="AB5" s="7" t="e">
        <f aca="false">IF(OR(#REF!&gt;2,#REF!&lt;-2),"",#REF!)</f>
        <v>#REF!</v>
      </c>
      <c r="AC5" s="7" t="e">
        <f aca="false">IF(OR(#REF!&gt;2,#REF!&lt;-2),"",#REF!)</f>
        <v>#REF!</v>
      </c>
      <c r="AD5" s="7" t="e">
        <f aca="false">IF(OR(#REF!&gt;2,#REF!&lt;-2),"",#REF!)</f>
        <v>#REF!</v>
      </c>
      <c r="AE5" s="7" t="e">
        <f aca="false">IF(OR(#REF!&gt;2,#REF!&lt;-2),"",#REF!)</f>
        <v>#REF!</v>
      </c>
      <c r="AF5" s="7" t="e">
        <f aca="false">IF(OR(#REF!&gt;2,#REF!&lt;-2),"",#REF!)</f>
        <v>#REF!</v>
      </c>
      <c r="AG5" s="7" t="e">
        <f aca="false">IF(OR(#REF!&gt;2,#REF!&lt;-2),"",#REF!)</f>
        <v>#REF!</v>
      </c>
      <c r="AH5" s="7" t="e">
        <f aca="false">IF(OR(#REF!&gt;2,#REF!&lt;-2),"",#REF!)</f>
        <v>#REF!</v>
      </c>
      <c r="AI5" s="7" t="e">
        <f aca="false">IF(OR(#REF!&gt;2,#REF!&lt;-2),"",#REF!)</f>
        <v>#REF!</v>
      </c>
      <c r="AJ5" s="7" t="e">
        <f aca="false">IF(OR(#REF!&gt;2,#REF!&lt;-2),"",#REF!)</f>
        <v>#REF!</v>
      </c>
      <c r="AK5" s="7" t="e">
        <f aca="false">IF(OR(#REF!&gt;2,#REF!&lt;-2),"",#REF!)</f>
        <v>#REF!</v>
      </c>
      <c r="AL5" s="7" t="e">
        <f aca="false">IF(OR(#REF!&gt;2,#REF!&lt;-2),"",#REF!)</f>
        <v>#REF!</v>
      </c>
      <c r="AM5" s="7" t="e">
        <f aca="false">IF(OR(#REF!&gt;2,#REF!&lt;-2),"",#REF!)</f>
        <v>#REF!</v>
      </c>
      <c r="AN5" s="7" t="e">
        <f aca="false">IF(OR(#REF!&gt;2,#REF!&lt;-2),"",#REF!)</f>
        <v>#REF!</v>
      </c>
      <c r="AO5" s="7" t="e">
        <f aca="false">IF(OR(#REF!&gt;2,#REF!&lt;-2),"",#REF!)</f>
        <v>#REF!</v>
      </c>
      <c r="AP5" s="7" t="e">
        <f aca="false">IF(OR(#REF!&gt;2,#REF!&lt;-2),"",#REF!)</f>
        <v>#REF!</v>
      </c>
      <c r="AQ5" s="7" t="e">
        <f aca="false">IF(OR(#REF!&gt;2,#REF!&lt;-2),"",#REF!)</f>
        <v>#REF!</v>
      </c>
      <c r="AR5" s="7" t="e">
        <f aca="false">IF(OR(#REF!&gt;2,#REF!&lt;-2),"",#REF!)</f>
        <v>#REF!</v>
      </c>
      <c r="AS5" s="7" t="e">
        <f aca="false">IF(OR(#REF!&gt;2,#REF!&lt;-2),"",#REF!)</f>
        <v>#REF!</v>
      </c>
      <c r="AT5" s="7" t="e">
        <f aca="false">IF(OR(#REF!&gt;2,#REF!&lt;-2),"",#REF!)</f>
        <v>#REF!</v>
      </c>
      <c r="AU5" s="7" t="e">
        <f aca="false">IF(OR(#REF!&gt;2,#REF!&lt;-2),"",#REF!)</f>
        <v>#REF!</v>
      </c>
      <c r="AV5" s="7" t="e">
        <f aca="false">IF(OR(#REF!&gt;2,#REF!&lt;-2),"",#REF!)</f>
        <v>#REF!</v>
      </c>
      <c r="AW5" s="7" t="e">
        <f aca="false">IF(OR(#REF!&gt;2,#REF!&lt;-2),"",#REF!)</f>
        <v>#REF!</v>
      </c>
      <c r="AX5" s="7" t="e">
        <f aca="false">IF(OR(#REF!&gt;2,#REF!&lt;-2),"",#REF!)</f>
        <v>#REF!</v>
      </c>
      <c r="AY5" s="7" t="e">
        <f aca="false">IF(OR(#REF!&gt;2,#REF!&lt;-2),"",#REF!)</f>
        <v>#REF!</v>
      </c>
      <c r="AZ5" s="7" t="e">
        <f aca="false">IF(OR(#REF!&gt;2,#REF!&lt;-2),"",#REF!)</f>
        <v>#REF!</v>
      </c>
      <c r="BA5" s="7" t="e">
        <f aca="false">IF(OR(#REF!&gt;2,#REF!&lt;-2),"",#REF!)</f>
        <v>#REF!</v>
      </c>
      <c r="BB5" s="7" t="e">
        <f aca="false">IF(OR(#REF!&gt;2,#REF!&lt;-2),"",#REF!)</f>
        <v>#REF!</v>
      </c>
      <c r="BC5" s="7" t="e">
        <f aca="false">IF(OR(#REF!&gt;2,#REF!&lt;-2),"",#REF!)</f>
        <v>#REF!</v>
      </c>
      <c r="BD5" s="7" t="e">
        <f aca="false">IF(OR(#REF!&gt;2,#REF!&lt;-2),"",#REF!)</f>
        <v>#REF!</v>
      </c>
      <c r="BE5" s="7" t="e">
        <f aca="false">IF(OR(#REF!&gt;2,#REF!&lt;-2),"",#REF!)</f>
        <v>#REF!</v>
      </c>
      <c r="BF5" s="7" t="e">
        <f aca="false">IF(OR(#REF!&gt;2,#REF!&lt;-2),"",#REF!)</f>
        <v>#REF!</v>
      </c>
      <c r="BG5" s="7" t="e">
        <f aca="false">IF(OR(#REF!&gt;2,#REF!&lt;-2),"",#REF!)</f>
        <v>#REF!</v>
      </c>
      <c r="BH5" s="7" t="e">
        <f aca="false">IF(OR(#REF!&gt;2,#REF!&lt;-2),"",#REF!)</f>
        <v>#REF!</v>
      </c>
      <c r="BI5" s="7" t="e">
        <f aca="false">IF(OR(#REF!&gt;2,#REF!&lt;-2),"",#REF!)</f>
        <v>#REF!</v>
      </c>
      <c r="BJ5" s="7" t="e">
        <f aca="false">IF(OR(#REF!&gt;2,#REF!&lt;-2),"",#REF!)</f>
        <v>#REF!</v>
      </c>
      <c r="BK5" s="7" t="e">
        <f aca="false">IF(OR(#REF!&gt;2,#REF!&lt;-2),"",#REF!)</f>
        <v>#REF!</v>
      </c>
      <c r="BL5" s="7" t="e">
        <f aca="false">IF(OR(#REF!&gt;2,#REF!&lt;-2),"",#REF!)</f>
        <v>#REF!</v>
      </c>
      <c r="BM5" s="7" t="e">
        <f aca="false">IF(OR(#REF!&gt;2,#REF!&lt;-2),"",#REF!)</f>
        <v>#REF!</v>
      </c>
      <c r="BN5" s="7" t="e">
        <f aca="false">IF(OR(#REF!&gt;2,#REF!&lt;-2),"",#REF!)</f>
        <v>#REF!</v>
      </c>
      <c r="BO5" s="7" t="e">
        <f aca="false">IF(OR(#REF!&gt;2,#REF!&lt;-2),"",#REF!)</f>
        <v>#REF!</v>
      </c>
      <c r="BP5" s="7" t="e">
        <f aca="false">IF(OR(#REF!&gt;2,#REF!&lt;-2),"",#REF!)</f>
        <v>#REF!</v>
      </c>
      <c r="BQ5" s="7" t="e">
        <f aca="false">IF(OR(#REF!&gt;2,#REF!&lt;-2),"",#REF!)</f>
        <v>#REF!</v>
      </c>
      <c r="BR5" s="7" t="e">
        <f aca="false">IF(OR(#REF!&gt;2,#REF!&lt;-2),"",#REF!)</f>
        <v>#REF!</v>
      </c>
      <c r="BS5" s="7" t="e">
        <f aca="false">IF(OR(#REF!&gt;2,#REF!&lt;-2),"",#REF!)</f>
        <v>#REF!</v>
      </c>
      <c r="BT5" s="7" t="e">
        <f aca="false">IF(OR(#REF!&gt;2,#REF!&lt;-2),"",#REF!)</f>
        <v>#REF!</v>
      </c>
      <c r="BU5" s="7" t="e">
        <f aca="false">IF(OR(#REF!&gt;2,#REF!&lt;-2),"",#REF!)</f>
        <v>#REF!</v>
      </c>
      <c r="BV5" s="7" t="e">
        <f aca="false">IF(OR(#REF!&gt;2,#REF!&lt;-2),"",#REF!)</f>
        <v>#REF!</v>
      </c>
      <c r="BW5" s="7" t="e">
        <f aca="false">IF(OR(#REF!&gt;2,#REF!&lt;-2),"",#REF!)</f>
        <v>#REF!</v>
      </c>
      <c r="BX5" s="7" t="e">
        <f aca="false">IF(OR(#REF!&gt;2,#REF!&lt;-2),"",#REF!)</f>
        <v>#REF!</v>
      </c>
      <c r="BY5" s="7" t="e">
        <f aca="false">IF(OR(#REF!&gt;2,#REF!&lt;-2),"",#REF!)</f>
        <v>#REF!</v>
      </c>
      <c r="BZ5" s="7" t="e">
        <f aca="false">IF(OR(#REF!&gt;2,#REF!&lt;-2),"",#REF!)</f>
        <v>#REF!</v>
      </c>
      <c r="CA5" s="7" t="e">
        <f aca="false">IF(OR(#REF!&gt;2,#REF!&lt;-2),"",#REF!)</f>
        <v>#REF!</v>
      </c>
      <c r="CB5" s="7" t="e">
        <f aca="false">IF(OR(#REF!&gt;2,#REF!&lt;-2),"",#REF!)</f>
        <v>#REF!</v>
      </c>
      <c r="CC5" s="7" t="e">
        <f aca="false">IF(OR(#REF!&gt;2,#REF!&lt;-2),"",#REF!)</f>
        <v>#REF!</v>
      </c>
      <c r="CD5" s="7" t="e">
        <f aca="false">IF(OR(#REF!&gt;2,#REF!&lt;-2),"",#REF!)</f>
        <v>#REF!</v>
      </c>
      <c r="CE5" s="7" t="e">
        <f aca="false">IF(OR(#REF!&gt;2,#REF!&lt;-2),"",#REF!)</f>
        <v>#REF!</v>
      </c>
      <c r="CF5" s="7" t="e">
        <f aca="false">IF(OR(#REF!&gt;2,#REF!&lt;-2),"",#REF!)</f>
        <v>#REF!</v>
      </c>
      <c r="CG5" s="7" t="e">
        <f aca="false">IF(OR(#REF!&gt;2,#REF!&lt;-2),"",#REF!)</f>
        <v>#REF!</v>
      </c>
      <c r="CH5" s="7" t="e">
        <f aca="false">IF(OR(#REF!&gt;2,#REF!&lt;-2),"",#REF!)</f>
        <v>#REF!</v>
      </c>
      <c r="CI5" s="7" t="e">
        <f aca="false">IF(OR(#REF!&gt;2,#REF!&lt;-2),"",#REF!)</f>
        <v>#REF!</v>
      </c>
      <c r="CJ5" s="7" t="e">
        <f aca="false">IF(OR(#REF!&gt;2,#REF!&lt;-2),"",#REF!)</f>
        <v>#REF!</v>
      </c>
      <c r="CK5" s="7" t="e">
        <f aca="false">IF(OR(#REF!&gt;2,#REF!&lt;-2),"",#REF!)</f>
        <v>#REF!</v>
      </c>
      <c r="CL5" s="7" t="e">
        <f aca="false">IF(OR(#REF!&gt;2,#REF!&lt;-2),"",#REF!)</f>
        <v>#REF!</v>
      </c>
      <c r="CM5" s="7" t="e">
        <f aca="false">IF(OR(#REF!&gt;2,#REF!&lt;-2),"",#REF!)</f>
        <v>#REF!</v>
      </c>
      <c r="CN5" s="7" t="e">
        <f aca="false">IF(OR(#REF!&gt;2,#REF!&lt;-2),"",#REF!)</f>
        <v>#REF!</v>
      </c>
      <c r="CO5" s="7" t="e">
        <f aca="false">IF(OR(#REF!&gt;2,#REF!&lt;-2),"",#REF!)</f>
        <v>#REF!</v>
      </c>
      <c r="CP5" s="7" t="e">
        <f aca="false">IF(OR(#REF!&gt;2,#REF!&lt;-2),"",#REF!)</f>
        <v>#REF!</v>
      </c>
      <c r="CQ5" s="7" t="e">
        <f aca="false">IF(OR(#REF!&gt;2,#REF!&lt;-2),"",#REF!)</f>
        <v>#REF!</v>
      </c>
      <c r="CR5" s="7" t="e">
        <f aca="false">IF(OR(#REF!&gt;2,#REF!&lt;-2),"",#REF!)</f>
        <v>#REF!</v>
      </c>
      <c r="CS5" s="7" t="e">
        <f aca="false">IF(OR(#REF!&gt;2,#REF!&lt;-2),"",#REF!)</f>
        <v>#REF!</v>
      </c>
      <c r="CT5" s="7" t="e">
        <f aca="false">IF(OR(#REF!&gt;2,#REF!&lt;-2),"",#REF!)</f>
        <v>#REF!</v>
      </c>
      <c r="CU5" s="7" t="e">
        <f aca="false">IF(OR(#REF!&gt;2,#REF!&lt;-2),"",#REF!)</f>
        <v>#REF!</v>
      </c>
      <c r="CV5" s="7" t="e">
        <f aca="false">IF(OR(#REF!&gt;2,#REF!&lt;-2),"",#REF!)</f>
        <v>#REF!</v>
      </c>
      <c r="CW5" s="7" t="e">
        <f aca="false">IF(OR(#REF!&gt;2,#REF!&lt;-2),"",#REF!)</f>
        <v>#REF!</v>
      </c>
      <c r="CX5" s="7" t="e">
        <f aca="false">IF(OR(#REF!&gt;2,#REF!&lt;-2),"",#REF!)</f>
        <v>#REF!</v>
      </c>
      <c r="CY5" s="7" t="e">
        <f aca="false">IF(OR(#REF!&gt;2,#REF!&lt;-2),"",#REF!)</f>
        <v>#REF!</v>
      </c>
      <c r="CZ5" s="7" t="e">
        <f aca="false">IF(OR(#REF!&gt;2,#REF!&lt;-2),"",#REF!)</f>
        <v>#REF!</v>
      </c>
      <c r="DA5" s="7" t="e">
        <f aca="false">IF(OR(#REF!&gt;2,#REF!&lt;-2),"",#REF!)</f>
        <v>#REF!</v>
      </c>
      <c r="DB5" s="7" t="e">
        <f aca="false">IF(OR(#REF!&gt;2,#REF!&lt;-2),"",#REF!)</f>
        <v>#REF!</v>
      </c>
      <c r="DC5" s="7" t="e">
        <f aca="false">IF(OR(#REF!&gt;2,#REF!&lt;-2),"",#REF!)</f>
        <v>#REF!</v>
      </c>
      <c r="DD5" s="7" t="e">
        <f aca="false">IF(OR(#REF!&gt;2,#REF!&lt;-2),"",#REF!)</f>
        <v>#REF!</v>
      </c>
      <c r="DE5" s="7" t="e">
        <f aca="false">IF(OR(#REF!&gt;2,#REF!&lt;-2),"",#REF!)</f>
        <v>#REF!</v>
      </c>
      <c r="DF5" s="7" t="e">
        <f aca="false">IF(OR(#REF!&gt;2,#REF!&lt;-2),"",#REF!)</f>
        <v>#REF!</v>
      </c>
      <c r="DG5" s="7" t="e">
        <f aca="false">IF(OR(#REF!&gt;2,#REF!&lt;-2),"",#REF!)</f>
        <v>#REF!</v>
      </c>
      <c r="DH5" s="7" t="e">
        <f aca="false">IF(OR(#REF!&gt;2,#REF!&lt;-2),"",#REF!)</f>
        <v>#REF!</v>
      </c>
      <c r="DI5" s="7" t="e">
        <f aca="false">IF(OR(#REF!&gt;2,#REF!&lt;-2),"",#REF!)</f>
        <v>#REF!</v>
      </c>
      <c r="DJ5" s="7" t="e">
        <f aca="false">IF(OR(#REF!&gt;2,#REF!&lt;-2),"",#REF!)</f>
        <v>#REF!</v>
      </c>
      <c r="DK5" s="7" t="e">
        <f aca="false">IF(OR(#REF!&gt;2,#REF!&lt;-2),"",#REF!)</f>
        <v>#REF!</v>
      </c>
      <c r="DL5" s="7" t="e">
        <f aca="false">IF(OR(#REF!&gt;2,#REF!&lt;-2),"",#REF!)</f>
        <v>#REF!</v>
      </c>
      <c r="DM5" s="7" t="e">
        <f aca="false">IF(OR(#REF!&gt;2,#REF!&lt;-2),"",#REF!)</f>
        <v>#REF!</v>
      </c>
      <c r="DN5" s="7" t="e">
        <f aca="false">IF(OR(#REF!&gt;2,#REF!&lt;-2),"",#REF!)</f>
        <v>#REF!</v>
      </c>
      <c r="DO5" s="7" t="e">
        <f aca="false">IF(OR(#REF!&gt;2,#REF!&lt;-2),"",#REF!)</f>
        <v>#REF!</v>
      </c>
      <c r="DP5" s="7" t="e">
        <f aca="false">IF(OR(#REF!&gt;2,#REF!&lt;-2),"",#REF!)</f>
        <v>#REF!</v>
      </c>
      <c r="DQ5" s="7" t="e">
        <f aca="false">IF(OR(#REF!&gt;2,#REF!&lt;-2),"",#REF!)</f>
        <v>#REF!</v>
      </c>
      <c r="DR5" s="7" t="e">
        <f aca="false">IF(OR(#REF!&gt;2,#REF!&lt;-2),"",#REF!)</f>
        <v>#REF!</v>
      </c>
      <c r="DS5" s="7" t="e">
        <f aca="false">IF(OR(#REF!&gt;2,#REF!&lt;-2),"",#REF!)</f>
        <v>#REF!</v>
      </c>
      <c r="DT5" s="7" t="e">
        <f aca="false">IF(OR(#REF!&gt;2,#REF!&lt;-2),"",#REF!)</f>
        <v>#REF!</v>
      </c>
      <c r="DU5" s="7" t="e">
        <f aca="false">IF(OR(#REF!&gt;2,#REF!&lt;-2),"",#REF!)</f>
        <v>#REF!</v>
      </c>
      <c r="DV5" s="7" t="e">
        <f aca="false">IF(OR(#REF!&gt;2,#REF!&lt;-2),"",#REF!)</f>
        <v>#REF!</v>
      </c>
      <c r="DW5" s="7" t="e">
        <f aca="false">IF(OR(#REF!&gt;2,#REF!&lt;-2),"",#REF!)</f>
        <v>#REF!</v>
      </c>
      <c r="DX5" s="7" t="e">
        <f aca="false">IF(OR(#REF!&gt;2,#REF!&lt;-2),"",#REF!)</f>
        <v>#REF!</v>
      </c>
      <c r="DY5" s="7" t="e">
        <f aca="false">IF(OR(#REF!&gt;2,#REF!&lt;-2),"",#REF!)</f>
        <v>#REF!</v>
      </c>
      <c r="DZ5" s="7" t="e">
        <f aca="false">IF(OR(#REF!&gt;2,#REF!&lt;-2),"",#REF!)</f>
        <v>#REF!</v>
      </c>
      <c r="EA5" s="7" t="e">
        <f aca="false">IF(OR(#REF!&gt;2,#REF!&lt;-2),"",#REF!)</f>
        <v>#REF!</v>
      </c>
      <c r="EB5" s="7" t="e">
        <f aca="false">IF(OR(#REF!&gt;2,#REF!&lt;-2),"",#REF!)</f>
        <v>#REF!</v>
      </c>
      <c r="EC5" s="7" t="e">
        <f aca="false">IF(OR(#REF!&gt;2,#REF!&lt;-2),"",#REF!)</f>
        <v>#REF!</v>
      </c>
      <c r="ED5" s="7" t="e">
        <f aca="false">IF(OR(#REF!&gt;2,#REF!&lt;-2),"",#REF!)</f>
        <v>#REF!</v>
      </c>
      <c r="EE5" s="7" t="e">
        <f aca="false">IF(OR(#REF!&gt;2,#REF!&lt;-2),"",#REF!)</f>
        <v>#REF!</v>
      </c>
      <c r="EF5" s="7" t="e">
        <f aca="false">IF(OR(#REF!&gt;2,#REF!&lt;-2),"",#REF!)</f>
        <v>#REF!</v>
      </c>
      <c r="EG5" s="7" t="e">
        <f aca="false">IF(OR(#REF!&gt;2,#REF!&lt;-2),"",#REF!)</f>
        <v>#REF!</v>
      </c>
      <c r="EH5" s="7" t="e">
        <f aca="false">IF(OR(#REF!&gt;2,#REF!&lt;-2),"",#REF!)</f>
        <v>#REF!</v>
      </c>
      <c r="EI5" s="7" t="e">
        <f aca="false">IF(OR(#REF!&gt;2,#REF!&lt;-2),"",#REF!)</f>
        <v>#REF!</v>
      </c>
      <c r="EJ5" s="7" t="e">
        <f aca="false">IF(OR(#REF!&gt;2,#REF!&lt;-2),"",#REF!)</f>
        <v>#REF!</v>
      </c>
      <c r="EK5" s="7" t="e">
        <f aca="false">IF(OR(#REF!&gt;2,#REF!&lt;-2),"",#REF!)</f>
        <v>#REF!</v>
      </c>
      <c r="EL5" s="7" t="e">
        <f aca="false">IF(OR(#REF!&gt;2,#REF!&lt;-2),"",#REF!)</f>
        <v>#REF!</v>
      </c>
      <c r="EM5" s="7" t="e">
        <f aca="false">IF(OR(#REF!&gt;2,#REF!&lt;-2),"",#REF!)</f>
        <v>#REF!</v>
      </c>
      <c r="EN5" s="7" t="e">
        <f aca="false">IF(OR(#REF!&gt;2,#REF!&lt;-2),"",#REF!)</f>
        <v>#REF!</v>
      </c>
      <c r="EO5" s="7" t="e">
        <f aca="false">IF(OR(#REF!&gt;2,#REF!&lt;-2),"",#REF!)</f>
        <v>#REF!</v>
      </c>
      <c r="EP5" s="7" t="e">
        <f aca="false">IF(OR(#REF!&gt;2,#REF!&lt;-2),"",#REF!)</f>
        <v>#REF!</v>
      </c>
      <c r="EQ5" s="7" t="e">
        <f aca="false">IF(OR(#REF!&gt;2,#REF!&lt;-2),"",#REF!)</f>
        <v>#REF!</v>
      </c>
      <c r="ER5" s="7" t="e">
        <f aca="false">IF(OR(#REF!&gt;2,#REF!&lt;-2),"",#REF!)</f>
        <v>#REF!</v>
      </c>
      <c r="ES5" s="7" t="e">
        <f aca="false">IF(OR(#REF!&gt;2,#REF!&lt;-2),"",#REF!)</f>
        <v>#REF!</v>
      </c>
      <c r="ET5" s="7" t="e">
        <f aca="false">IF(OR(#REF!&gt;2,#REF!&lt;-2),"",#REF!)</f>
        <v>#REF!</v>
      </c>
      <c r="EU5" s="7" t="e">
        <f aca="false">IF(OR(#REF!&gt;2,#REF!&lt;-2),"",#REF!)</f>
        <v>#REF!</v>
      </c>
      <c r="EV5" s="7" t="e">
        <f aca="false">IF(OR(#REF!&gt;2,#REF!&lt;-2),"",#REF!)</f>
        <v>#REF!</v>
      </c>
      <c r="EW5" s="7" t="e">
        <f aca="false">IF(OR(#REF!&gt;2,#REF!&lt;-2),"",#REF!)</f>
        <v>#REF!</v>
      </c>
      <c r="EX5" s="7" t="e">
        <f aca="false">IF(OR(#REF!&gt;2,#REF!&lt;-2),"",#REF!)</f>
        <v>#REF!</v>
      </c>
      <c r="EY5" s="7" t="e">
        <f aca="false">IF(OR(#REF!&gt;2,#REF!&lt;-2),"",#REF!)</f>
        <v>#REF!</v>
      </c>
      <c r="EZ5" s="7" t="e">
        <f aca="false">IF(OR(#REF!&gt;2,#REF!&lt;-2),"",#REF!)</f>
        <v>#REF!</v>
      </c>
      <c r="FA5" s="7" t="e">
        <f aca="false">IF(OR(#REF!&gt;2,#REF!&lt;-2),"",#REF!)</f>
        <v>#REF!</v>
      </c>
      <c r="FB5" s="7" t="e">
        <f aca="false">IF(OR(#REF!&gt;2,#REF!&lt;-2),"",#REF!)</f>
        <v>#REF!</v>
      </c>
      <c r="FC5" s="7" t="e">
        <f aca="false">IF(OR(#REF!&gt;2,#REF!&lt;-2),"",#REF!)</f>
        <v>#REF!</v>
      </c>
      <c r="FD5" s="7" t="e">
        <f aca="false">IF(OR(#REF!&gt;2,#REF!&lt;-2),"",#REF!)</f>
        <v>#REF!</v>
      </c>
      <c r="FE5" s="7" t="e">
        <f aca="false">IF(OR(#REF!&gt;2,#REF!&lt;-2),"",#REF!)</f>
        <v>#REF!</v>
      </c>
      <c r="FF5" s="7" t="e">
        <f aca="false">IF(OR(#REF!&gt;2,#REF!&lt;-2),"",#REF!)</f>
        <v>#REF!</v>
      </c>
      <c r="FG5" s="7" t="e">
        <f aca="false">IF(OR(#REF!&gt;2,#REF!&lt;-2),"",#REF!)</f>
        <v>#REF!</v>
      </c>
      <c r="FH5" s="7" t="e">
        <f aca="false">IF(OR(#REF!&gt;2,#REF!&lt;-2),"",#REF!)</f>
        <v>#REF!</v>
      </c>
      <c r="FI5" s="7" t="e">
        <f aca="false">IF(OR(#REF!&gt;2,#REF!&lt;-2),"",#REF!)</f>
        <v>#REF!</v>
      </c>
      <c r="FJ5" s="7" t="e">
        <f aca="false">IF(OR(#REF!&gt;2,#REF!&lt;-2),"",#REF!)</f>
        <v>#REF!</v>
      </c>
      <c r="FK5" s="7" t="e">
        <f aca="false">IF(OR(#REF!&gt;2,#REF!&lt;-2),"",#REF!)</f>
        <v>#REF!</v>
      </c>
      <c r="FL5" s="7" t="e">
        <f aca="false">IF(OR(#REF!&gt;2,#REF!&lt;-2),"",#REF!)</f>
        <v>#REF!</v>
      </c>
      <c r="FM5" s="7" t="e">
        <f aca="false">IF(OR(#REF!&gt;2,#REF!&lt;-2),"",#REF!)</f>
        <v>#REF!</v>
      </c>
      <c r="FN5" s="7" t="e">
        <f aca="false">IF(OR(#REF!&gt;2,#REF!&lt;-2),"",#REF!)</f>
        <v>#REF!</v>
      </c>
      <c r="FO5" s="7" t="e">
        <f aca="false">IF(OR(#REF!&gt;2,#REF!&lt;-2),"",#REF!)</f>
        <v>#REF!</v>
      </c>
      <c r="FP5" s="7" t="e">
        <f aca="false">IF(OR(#REF!&gt;2,#REF!&lt;-2),"",#REF!)</f>
        <v>#REF!</v>
      </c>
      <c r="FQ5" s="7" t="e">
        <f aca="false">IF(OR(#REF!&gt;2,#REF!&lt;-2),"",#REF!)</f>
        <v>#REF!</v>
      </c>
      <c r="FR5" s="7" t="e">
        <f aca="false">IF(OR(#REF!&gt;2,#REF!&lt;-2),"",#REF!)</f>
        <v>#REF!</v>
      </c>
      <c r="FS5" s="7" t="e">
        <f aca="false">IF(OR(#REF!&gt;2,#REF!&lt;-2),"",#REF!)</f>
        <v>#REF!</v>
      </c>
      <c r="FT5" s="7" t="e">
        <f aca="false">IF(OR(#REF!&gt;2,#REF!&lt;-2),"",#REF!)</f>
        <v>#REF!</v>
      </c>
      <c r="FU5" s="7" t="e">
        <f aca="false">IF(OR(#REF!&gt;2,#REF!&lt;-2),"",#REF!)</f>
        <v>#REF!</v>
      </c>
      <c r="FV5" s="7" t="e">
        <f aca="false">IF(OR(#REF!&gt;2,#REF!&lt;-2),"",#REF!)</f>
        <v>#REF!</v>
      </c>
      <c r="FW5" s="7" t="e">
        <f aca="false">IF(OR(#REF!&gt;2,#REF!&lt;-2),"",#REF!)</f>
        <v>#REF!</v>
      </c>
      <c r="FX5" s="7" t="e">
        <f aca="false">IF(OR(#REF!&gt;2,#REF!&lt;-2),"",#REF!)</f>
        <v>#REF!</v>
      </c>
      <c r="FY5" s="7" t="e">
        <f aca="false">IF(OR(#REF!&gt;2,#REF!&lt;-2),"",#REF!)</f>
        <v>#REF!</v>
      </c>
      <c r="FZ5" s="7" t="e">
        <f aca="false">IF(OR(#REF!&gt;2,#REF!&lt;-2),"",#REF!)</f>
        <v>#REF!</v>
      </c>
      <c r="GA5" s="7" t="e">
        <f aca="false">IF(OR(#REF!&gt;2,#REF!&lt;-2),"",#REF!)</f>
        <v>#REF!</v>
      </c>
      <c r="GB5" s="7" t="e">
        <f aca="false">IF(OR(#REF!&gt;2,#REF!&lt;-2),"",#REF!)</f>
        <v>#REF!</v>
      </c>
      <c r="GC5" s="7" t="e">
        <f aca="false">IF(OR(#REF!&gt;2,#REF!&lt;-2),"",#REF!)</f>
        <v>#REF!</v>
      </c>
      <c r="GD5" s="7" t="e">
        <f aca="false">IF(OR(#REF!&gt;2,#REF!&lt;-2),"",#REF!)</f>
        <v>#REF!</v>
      </c>
      <c r="GE5" s="7" t="e">
        <f aca="false">IF(OR(#REF!&gt;2,#REF!&lt;-2),"",#REF!)</f>
        <v>#REF!</v>
      </c>
      <c r="GF5" s="7" t="e">
        <f aca="false">IF(OR(#REF!&gt;2,#REF!&lt;-2),"",#REF!)</f>
        <v>#REF!</v>
      </c>
      <c r="GG5" s="7" t="e">
        <f aca="false">IF(OR(#REF!&gt;2,#REF!&lt;-2),"",#REF!)</f>
        <v>#REF!</v>
      </c>
      <c r="GH5" s="7" t="e">
        <f aca="false">IF(OR(#REF!&gt;2,#REF!&lt;-2),"",#REF!)</f>
        <v>#REF!</v>
      </c>
      <c r="GI5" s="7" t="e">
        <f aca="false">IF(OR(#REF!&gt;2,#REF!&lt;-2),"",#REF!)</f>
        <v>#REF!</v>
      </c>
      <c r="GJ5" s="7" t="e">
        <f aca="false">IF(OR(#REF!&gt;2,#REF!&lt;-2),"",#REF!)</f>
        <v>#REF!</v>
      </c>
      <c r="GK5" s="7" t="e">
        <f aca="false">IF(OR(#REF!&gt;2,#REF!&lt;-2),"",#REF!)</f>
        <v>#REF!</v>
      </c>
      <c r="GL5" s="7" t="e">
        <f aca="false">IF(OR(#REF!&gt;2,#REF!&lt;-2),"",#REF!)</f>
        <v>#REF!</v>
      </c>
      <c r="GM5" s="7" t="e">
        <f aca="false">IF(OR(#REF!&gt;2,#REF!&lt;-2),"",#REF!)</f>
        <v>#REF!</v>
      </c>
      <c r="GN5" s="7" t="e">
        <f aca="false">IF(OR(#REF!&gt;2,#REF!&lt;-2),"",#REF!)</f>
        <v>#REF!</v>
      </c>
      <c r="GO5" s="7" t="e">
        <f aca="false">IF(OR(#REF!&gt;2,#REF!&lt;-2),"",#REF!)</f>
        <v>#REF!</v>
      </c>
      <c r="GP5" s="7" t="e">
        <f aca="false">IF(OR(#REF!&gt;2,#REF!&lt;-2),"",#REF!)</f>
        <v>#REF!</v>
      </c>
      <c r="GQ5" s="7" t="e">
        <f aca="false">IF(OR(#REF!&gt;2,#REF!&lt;-2),"",#REF!)</f>
        <v>#REF!</v>
      </c>
      <c r="GR5" s="7" t="e">
        <f aca="false">IF(OR(#REF!&gt;2,#REF!&lt;-2),"",#REF!)</f>
        <v>#REF!</v>
      </c>
      <c r="GS5" s="7" t="e">
        <f aca="false">IF(OR(#REF!&gt;2,#REF!&lt;-2),"",#REF!)</f>
        <v>#REF!</v>
      </c>
      <c r="GT5" s="7" t="e">
        <f aca="false">IF(OR(#REF!&gt;2,#REF!&lt;-2),"",#REF!)</f>
        <v>#REF!</v>
      </c>
      <c r="GU5" s="7" t="e">
        <f aca="false">IF(OR(#REF!&gt;2,#REF!&lt;-2),"",#REF!)</f>
        <v>#REF!</v>
      </c>
      <c r="GV5" s="7" t="e">
        <f aca="false">IF(OR(#REF!&gt;2,#REF!&lt;-2),"",#REF!)</f>
        <v>#REF!</v>
      </c>
      <c r="GW5" s="7" t="e">
        <f aca="false">IF(OR(#REF!&gt;2,#REF!&lt;-2),"",#REF!)</f>
        <v>#REF!</v>
      </c>
      <c r="GX5" s="7" t="e">
        <f aca="false">IF(OR(#REF!&gt;2,#REF!&lt;-2),"",#REF!)</f>
        <v>#REF!</v>
      </c>
      <c r="GY5" s="7" t="e">
        <f aca="false">IF(OR(#REF!&gt;2,#REF!&lt;-2),"",#REF!)</f>
        <v>#REF!</v>
      </c>
      <c r="GZ5" s="7" t="e">
        <f aca="false">IF(OR(#REF!&gt;2,#REF!&lt;-2),"",#REF!)</f>
        <v>#REF!</v>
      </c>
      <c r="HA5" s="7" t="e">
        <f aca="false">IF(OR(#REF!&gt;2,#REF!&lt;-2),"",#REF!)</f>
        <v>#REF!</v>
      </c>
      <c r="HB5" s="7" t="e">
        <f aca="false">IF(OR(#REF!&gt;2,#REF!&lt;-2),"",#REF!)</f>
        <v>#REF!</v>
      </c>
      <c r="HC5" s="7" t="e">
        <f aca="false">IF(OR(#REF!&gt;2,#REF!&lt;-2),"",#REF!)</f>
        <v>#REF!</v>
      </c>
      <c r="HD5" s="7" t="e">
        <f aca="false">IF(OR(#REF!&gt;2,#REF!&lt;-2),"",#REF!)</f>
        <v>#REF!</v>
      </c>
      <c r="HE5" s="7" t="e">
        <f aca="false">IF(OR(#REF!&gt;2,#REF!&lt;-2),"",#REF!)</f>
        <v>#REF!</v>
      </c>
      <c r="HF5" s="7" t="e">
        <f aca="false">IF(OR(#REF!&gt;2,#REF!&lt;-2),"",#REF!)</f>
        <v>#REF!</v>
      </c>
      <c r="HG5" s="7" t="e">
        <f aca="false">IF(OR(#REF!&gt;2,#REF!&lt;-2),"",#REF!)</f>
        <v>#REF!</v>
      </c>
      <c r="HH5" s="7" t="e">
        <f aca="false">IF(OR(#REF!&gt;2,#REF!&lt;-2),"",#REF!)</f>
        <v>#REF!</v>
      </c>
      <c r="HI5" s="7" t="e">
        <f aca="false">IF(OR(#REF!&gt;2,#REF!&lt;-2),"",#REF!)</f>
        <v>#REF!</v>
      </c>
      <c r="HJ5" s="7" t="e">
        <f aca="false">IF(OR(#REF!&gt;2,#REF!&lt;-2),"",#REF!)</f>
        <v>#REF!</v>
      </c>
      <c r="HK5" s="7" t="e">
        <f aca="false">IF(OR(#REF!&gt;2,#REF!&lt;-2),"",#REF!)</f>
        <v>#REF!</v>
      </c>
      <c r="HL5" s="7" t="e">
        <f aca="false">IF(OR(#REF!&gt;2,#REF!&lt;-2),"",#REF!)</f>
        <v>#REF!</v>
      </c>
      <c r="HM5" s="7" t="e">
        <f aca="false">IF(OR(#REF!&gt;2,#REF!&lt;-2),"",#REF!)</f>
        <v>#REF!</v>
      </c>
      <c r="HN5" s="7" t="e">
        <f aca="false">IF(OR(#REF!&gt;2,#REF!&lt;-2),"",#REF!)</f>
        <v>#REF!</v>
      </c>
      <c r="HO5" s="7" t="e">
        <f aca="false">IF(OR(#REF!&gt;2,#REF!&lt;-2),"",#REF!)</f>
        <v>#REF!</v>
      </c>
      <c r="HP5" s="7" t="e">
        <f aca="false">IF(OR(#REF!&gt;2,#REF!&lt;-2),"",#REF!)</f>
        <v>#REF!</v>
      </c>
      <c r="HQ5" s="7" t="e">
        <f aca="false">IF(OR(#REF!&gt;2,#REF!&lt;-2),"",#REF!)</f>
        <v>#REF!</v>
      </c>
      <c r="HR5" s="7" t="e">
        <f aca="false">IF(OR(#REF!&gt;2,#REF!&lt;-2),"",#REF!)</f>
        <v>#REF!</v>
      </c>
      <c r="HS5" s="7" t="e">
        <f aca="false">IF(OR(#REF!&gt;2,#REF!&lt;-2),"",#REF!)</f>
        <v>#REF!</v>
      </c>
      <c r="HT5" s="7" t="e">
        <f aca="false">IF(OR(#REF!&gt;2,#REF!&lt;-2),"",#REF!)</f>
        <v>#REF!</v>
      </c>
      <c r="HU5" s="7" t="e">
        <f aca="false">IF(OR(#REF!&gt;2,#REF!&lt;-2),"",#REF!)</f>
        <v>#REF!</v>
      </c>
      <c r="HV5" s="7" t="e">
        <f aca="false">IF(OR(#REF!&gt;2,#REF!&lt;-2),"",#REF!)</f>
        <v>#REF!</v>
      </c>
      <c r="HW5" s="7" t="e">
        <f aca="false">IF(OR(#REF!&gt;2,#REF!&lt;-2),"",#REF!)</f>
        <v>#REF!</v>
      </c>
      <c r="HX5" s="7" t="e">
        <f aca="false">IF(OR(#REF!&gt;2,#REF!&lt;-2),"",#REF!)</f>
        <v>#REF!</v>
      </c>
      <c r="HY5" s="7" t="e">
        <f aca="false">IF(OR(#REF!&gt;2,#REF!&lt;-2),"",#REF!)</f>
        <v>#REF!</v>
      </c>
      <c r="HZ5" s="7" t="e">
        <f aca="false">IF(OR(#REF!&gt;2,#REF!&lt;-2),"",#REF!)</f>
        <v>#REF!</v>
      </c>
      <c r="IA5" s="7" t="e">
        <f aca="false">IF(OR(#REF!&gt;2,#REF!&lt;-2),"",#REF!)</f>
        <v>#REF!</v>
      </c>
      <c r="IB5" s="7" t="e">
        <f aca="false">IF(OR(#REF!&gt;2,#REF!&lt;-2),"",#REF!)</f>
        <v>#REF!</v>
      </c>
      <c r="IC5" s="7" t="e">
        <f aca="false">IF(OR(#REF!&gt;2,#REF!&lt;-2),"",#REF!)</f>
        <v>#REF!</v>
      </c>
      <c r="ID5" s="7" t="e">
        <f aca="false">IF(OR(#REF!&gt;2,#REF!&lt;-2),"",#REF!)</f>
        <v>#REF!</v>
      </c>
      <c r="IE5" s="7" t="e">
        <f aca="false">IF(OR(#REF!&gt;2,#REF!&lt;-2),"",#REF!)</f>
        <v>#REF!</v>
      </c>
      <c r="IF5" s="7" t="e">
        <f aca="false">IF(OR(#REF!&gt;2,#REF!&lt;-2),"",#REF!)</f>
        <v>#REF!</v>
      </c>
      <c r="IG5" s="7" t="e">
        <f aca="false">IF(OR(#REF!&gt;2,#REF!&lt;-2),"",#REF!)</f>
        <v>#REF!</v>
      </c>
      <c r="IH5" s="7" t="e">
        <f aca="false">IF(OR(#REF!&gt;2,#REF!&lt;-2),"",#REF!)</f>
        <v>#REF!</v>
      </c>
      <c r="II5" s="7" t="e">
        <f aca="false">IF(OR(#REF!&gt;2,#REF!&lt;-2),"",#REF!)</f>
        <v>#REF!</v>
      </c>
      <c r="IJ5" s="7" t="e">
        <f aca="false">IF(OR(#REF!&gt;2,#REF!&lt;-2),"",#REF!)</f>
        <v>#REF!</v>
      </c>
      <c r="IK5" s="7" t="e">
        <f aca="false">IF(OR(#REF!&gt;2,#REF!&lt;-2),"",#REF!)</f>
        <v>#REF!</v>
      </c>
      <c r="IL5" s="7" t="e">
        <f aca="false">IF(OR(#REF!&gt;2,#REF!&lt;-2),"",#REF!)</f>
        <v>#REF!</v>
      </c>
      <c r="IM5" s="7" t="e">
        <f aca="false">IF(OR(#REF!&gt;2,#REF!&lt;-2),"",#REF!)</f>
        <v>#REF!</v>
      </c>
      <c r="IN5" s="7" t="e">
        <f aca="false">IF(OR(#REF!&gt;2,#REF!&lt;-2),"",#REF!)</f>
        <v>#REF!</v>
      </c>
      <c r="IO5" s="7" t="e">
        <f aca="false">IF(OR(#REF!&gt;2,#REF!&lt;-2),"",#REF!)</f>
        <v>#REF!</v>
      </c>
      <c r="IP5" s="7" t="e">
        <f aca="false">IF(OR(#REF!&gt;2,#REF!&lt;-2),"",#REF!)</f>
        <v>#REF!</v>
      </c>
      <c r="IQ5" s="7" t="e">
        <f aca="false">IF(OR(#REF!&gt;2,#REF!&lt;-2),"",#REF!)</f>
        <v>#REF!</v>
      </c>
      <c r="IR5" s="7" t="e">
        <f aca="false">IF(OR(#REF!&gt;2,#REF!&lt;-2),"",#REF!)</f>
        <v>#REF!</v>
      </c>
      <c r="IS5" s="7" t="e">
        <f aca="false">IF(OR(#REF!&gt;2,#REF!&lt;-2),"",#REF!)</f>
        <v>#REF!</v>
      </c>
      <c r="IT5" s="7" t="e">
        <f aca="false">IF(OR(#REF!&gt;2,#REF!&lt;-2),"",#REF!)</f>
        <v>#REF!</v>
      </c>
      <c r="IU5" s="7" t="e">
        <f aca="false">IF(OR(#REF!&gt;2,#REF!&lt;-2),"",#REF!)</f>
        <v>#REF!</v>
      </c>
      <c r="IV5" s="7" t="e">
        <f aca="false">IF(OR(#REF!&gt;2,#REF!&lt;-2),"",#REF!)</f>
        <v>#REF!</v>
      </c>
      <c r="IW5" s="7" t="e">
        <f aca="false">IF(OR(#REF!&gt;2,#REF!&lt;-2),"",#REF!)</f>
        <v>#REF!</v>
      </c>
      <c r="IX5" s="7" t="e">
        <f aca="false">IF(OR(#REF!&gt;2,#REF!&lt;-2),"",#REF!)</f>
        <v>#REF!</v>
      </c>
      <c r="IY5" s="7" t="e">
        <f aca="false">IF(OR(#REF!&gt;2,#REF!&lt;-2),"",#REF!)</f>
        <v>#REF!</v>
      </c>
      <c r="IZ5" s="7" t="e">
        <f aca="false">IF(OR(#REF!&gt;2,#REF!&lt;-2),"",#REF!)</f>
        <v>#REF!</v>
      </c>
      <c r="JA5" s="7" t="e">
        <f aca="false">IF(OR(#REF!&gt;2,#REF!&lt;-2),"",#REF!)</f>
        <v>#REF!</v>
      </c>
      <c r="JB5" s="7" t="e">
        <f aca="false">IF(OR(#REF!&gt;2,#REF!&lt;-2),"",#REF!)</f>
        <v>#REF!</v>
      </c>
      <c r="JC5" s="7" t="e">
        <f aca="false">IF(OR(#REF!&gt;2,#REF!&lt;-2),"",#REF!)</f>
        <v>#REF!</v>
      </c>
      <c r="JD5" s="7" t="e">
        <f aca="false">IF(OR(#REF!&gt;2,#REF!&lt;-2),"",#REF!)</f>
        <v>#REF!</v>
      </c>
      <c r="JE5" s="7" t="e">
        <f aca="false">IF(OR(#REF!&gt;2,#REF!&lt;-2),"",#REF!)</f>
        <v>#REF!</v>
      </c>
      <c r="JF5" s="7" t="e">
        <f aca="false">IF(OR(#REF!&gt;2,#REF!&lt;-2),"",#REF!)</f>
        <v>#REF!</v>
      </c>
      <c r="JG5" s="7" t="e">
        <f aca="false">IF(OR(#REF!&gt;2,#REF!&lt;-2),"",#REF!)</f>
        <v>#REF!</v>
      </c>
      <c r="JH5" s="7" t="e">
        <f aca="false">IF(OR(#REF!&gt;2,#REF!&lt;-2),"",#REF!)</f>
        <v>#REF!</v>
      </c>
      <c r="JI5" s="7" t="e">
        <f aca="false">IF(OR(#REF!&gt;2,#REF!&lt;-2),"",#REF!)</f>
        <v>#REF!</v>
      </c>
      <c r="JJ5" s="7" t="e">
        <f aca="false">IF(OR(#REF!&gt;2,#REF!&lt;-2),"",#REF!)</f>
        <v>#REF!</v>
      </c>
      <c r="JK5" s="7" t="e">
        <f aca="false">IF(OR(#REF!&gt;2,#REF!&lt;-2),"",#REF!)</f>
        <v>#REF!</v>
      </c>
      <c r="JL5" s="7" t="e">
        <f aca="false">IF(OR(#REF!&gt;2,#REF!&lt;-2),"",#REF!)</f>
        <v>#REF!</v>
      </c>
      <c r="JM5" s="7" t="e">
        <f aca="false">IF(OR(#REF!&gt;2,#REF!&lt;-2),"",#REF!)</f>
        <v>#REF!</v>
      </c>
      <c r="JN5" s="7" t="e">
        <f aca="false">IF(OR(#REF!&gt;2,#REF!&lt;-2),"",#REF!)</f>
        <v>#REF!</v>
      </c>
      <c r="JO5" s="7" t="e">
        <f aca="false">IF(OR(#REF!&gt;2,#REF!&lt;-2),"",#REF!)</f>
        <v>#REF!</v>
      </c>
      <c r="JP5" s="7" t="e">
        <f aca="false">IF(OR(#REF!&gt;2,#REF!&lt;-2),"",#REF!)</f>
        <v>#REF!</v>
      </c>
      <c r="JQ5" s="7" t="e">
        <f aca="false">IF(OR(#REF!&gt;2,#REF!&lt;-2),"",#REF!)</f>
        <v>#REF!</v>
      </c>
      <c r="JR5" s="7" t="e">
        <f aca="false">IF(OR(#REF!&gt;2,#REF!&lt;-2),"",#REF!)</f>
        <v>#REF!</v>
      </c>
      <c r="JS5" s="7" t="e">
        <f aca="false">IF(OR(#REF!&gt;2,#REF!&lt;-2),"",#REF!)</f>
        <v>#REF!</v>
      </c>
      <c r="JT5" s="7" t="e">
        <f aca="false">IF(OR(#REF!&gt;2,#REF!&lt;-2),"",#REF!)</f>
        <v>#REF!</v>
      </c>
      <c r="JU5" s="7" t="e">
        <f aca="false">IF(OR(#REF!&gt;2,#REF!&lt;-2),"",#REF!)</f>
        <v>#REF!</v>
      </c>
      <c r="JV5" s="7" t="e">
        <f aca="false">IF(OR(#REF!&gt;2,#REF!&lt;-2),"",#REF!)</f>
        <v>#REF!</v>
      </c>
      <c r="JW5" s="7" t="e">
        <f aca="false">IF(OR(#REF!&gt;2,#REF!&lt;-2),"",#REF!)</f>
        <v>#REF!</v>
      </c>
      <c r="JX5" s="7" t="e">
        <f aca="false">IF(OR(#REF!&gt;2,#REF!&lt;-2),"",#REF!)</f>
        <v>#REF!</v>
      </c>
      <c r="JY5" s="7" t="e">
        <f aca="false">IF(OR(#REF!&gt;2,#REF!&lt;-2),"",#REF!)</f>
        <v>#REF!</v>
      </c>
      <c r="JZ5" s="7" t="e">
        <f aca="false">IF(OR(#REF!&gt;2,#REF!&lt;-2),"",#REF!)</f>
        <v>#REF!</v>
      </c>
      <c r="KA5" s="7" t="e">
        <f aca="false">IF(OR(#REF!&gt;2,#REF!&lt;-2),"",#REF!)</f>
        <v>#REF!</v>
      </c>
      <c r="KB5" s="7" t="e">
        <f aca="false">IF(OR(#REF!&gt;2,#REF!&lt;-2),"",#REF!)</f>
        <v>#REF!</v>
      </c>
      <c r="KC5" s="7" t="e">
        <f aca="false">IF(OR(#REF!&gt;2,#REF!&lt;-2),"",#REF!)</f>
        <v>#REF!</v>
      </c>
      <c r="KD5" s="7" t="e">
        <f aca="false">IF(OR(#REF!&gt;2,#REF!&lt;-2),"",#REF!)</f>
        <v>#REF!</v>
      </c>
      <c r="KE5" s="7" t="e">
        <f aca="false">IF(OR(#REF!&gt;2,#REF!&lt;-2),"",#REF!)</f>
        <v>#REF!</v>
      </c>
      <c r="KF5" s="7" t="e">
        <f aca="false">IF(OR(#REF!&gt;2,#REF!&lt;-2),"",#REF!)</f>
        <v>#REF!</v>
      </c>
      <c r="KG5" s="7" t="e">
        <f aca="false">IF(OR(#REF!&gt;2,#REF!&lt;-2),"",#REF!)</f>
        <v>#REF!</v>
      </c>
      <c r="KH5" s="7" t="e">
        <f aca="false">IF(OR(#REF!&gt;2,#REF!&lt;-2),"",#REF!)</f>
        <v>#REF!</v>
      </c>
      <c r="KI5" s="7" t="e">
        <f aca="false">IF(OR(#REF!&gt;2,#REF!&lt;-2),"",#REF!)</f>
        <v>#REF!</v>
      </c>
      <c r="KJ5" s="7" t="e">
        <f aca="false">IF(OR(#REF!&gt;2,#REF!&lt;-2),"",#REF!)</f>
        <v>#REF!</v>
      </c>
      <c r="KK5" s="7" t="e">
        <f aca="false">IF(OR(#REF!&gt;2,#REF!&lt;-2),"",#REF!)</f>
        <v>#REF!</v>
      </c>
      <c r="KL5" s="7" t="e">
        <f aca="false">IF(OR(#REF!&gt;2,#REF!&lt;-2),"",#REF!)</f>
        <v>#REF!</v>
      </c>
      <c r="KM5" s="7" t="e">
        <f aca="false">IF(OR(#REF!&gt;2,#REF!&lt;-2),"",#REF!)</f>
        <v>#REF!</v>
      </c>
      <c r="KN5" s="7" t="e">
        <f aca="false">IF(OR(#REF!&gt;2,#REF!&lt;-2),"",#REF!)</f>
        <v>#REF!</v>
      </c>
      <c r="KO5" s="7" t="e">
        <f aca="false">IF(OR(#REF!&gt;2,#REF!&lt;-2),"",#REF!)</f>
        <v>#REF!</v>
      </c>
      <c r="KP5" s="7" t="e">
        <f aca="false">IF(OR(#REF!&gt;2,#REF!&lt;-2),"",#REF!)</f>
        <v>#REF!</v>
      </c>
      <c r="KQ5" s="7" t="e">
        <f aca="false">IF(OR(#REF!&gt;2,#REF!&lt;-2),"",#REF!)</f>
        <v>#REF!</v>
      </c>
      <c r="KR5" s="7" t="e">
        <f aca="false">IF(OR(#REF!&gt;2,#REF!&lt;-2),"",#REF!)</f>
        <v>#REF!</v>
      </c>
      <c r="KS5" s="7" t="e">
        <f aca="false">IF(OR(#REF!&gt;2,#REF!&lt;-2),"",#REF!)</f>
        <v>#REF!</v>
      </c>
      <c r="KT5" s="7" t="e">
        <f aca="false">IF(OR(#REF!&gt;2,#REF!&lt;-2),"",#REF!)</f>
        <v>#REF!</v>
      </c>
      <c r="KU5" s="7" t="e">
        <f aca="false">IF(OR(#REF!&gt;2,#REF!&lt;-2),"",#REF!)</f>
        <v>#REF!</v>
      </c>
      <c r="KV5" s="7" t="e">
        <f aca="false">IF(OR(#REF!&gt;2,#REF!&lt;-2),"",#REF!)</f>
        <v>#REF!</v>
      </c>
      <c r="KW5" s="7" t="e">
        <f aca="false">IF(OR(#REF!&gt;2,#REF!&lt;-2),"",#REF!)</f>
        <v>#REF!</v>
      </c>
      <c r="KX5" s="7" t="e">
        <f aca="false">IF(OR(#REF!&gt;2,#REF!&lt;-2),"",#REF!)</f>
        <v>#REF!</v>
      </c>
      <c r="KY5" s="7" t="e">
        <f aca="false">IF(OR(#REF!&gt;2,#REF!&lt;-2),"",#REF!)</f>
        <v>#REF!</v>
      </c>
      <c r="KZ5" s="7" t="e">
        <f aca="false">IF(OR(#REF!&gt;2,#REF!&lt;-2),"",#REF!)</f>
        <v>#REF!</v>
      </c>
      <c r="LA5" s="7" t="e">
        <f aca="false">IF(OR(#REF!&gt;2,#REF!&lt;-2),"",#REF!)</f>
        <v>#REF!</v>
      </c>
      <c r="LB5" s="7" t="e">
        <f aca="false">IF(OR(#REF!&gt;2,#REF!&lt;-2),"",#REF!)</f>
        <v>#REF!</v>
      </c>
      <c r="LC5" s="7" t="e">
        <f aca="false">IF(OR(#REF!&gt;2,#REF!&lt;-2),"",#REF!)</f>
        <v>#REF!</v>
      </c>
      <c r="LD5" s="7" t="e">
        <f aca="false">IF(OR(#REF!&gt;2,#REF!&lt;-2),"",#REF!)</f>
        <v>#REF!</v>
      </c>
      <c r="LE5" s="7" t="e">
        <f aca="false">IF(OR(#REF!&gt;2,#REF!&lt;-2),"",#REF!)</f>
        <v>#REF!</v>
      </c>
      <c r="LF5" s="7" t="e">
        <f aca="false">IF(OR(#REF!&gt;2,#REF!&lt;-2),"",#REF!)</f>
        <v>#REF!</v>
      </c>
      <c r="LG5" s="7" t="e">
        <f aca="false">IF(OR(#REF!&gt;2,#REF!&lt;-2),"",#REF!)</f>
        <v>#REF!</v>
      </c>
      <c r="LH5" s="7" t="e">
        <f aca="false">IF(OR(#REF!&gt;2,#REF!&lt;-2),"",#REF!)</f>
        <v>#REF!</v>
      </c>
      <c r="LI5" s="7" t="e">
        <f aca="false">IF(OR(#REF!&gt;2,#REF!&lt;-2),"",#REF!)</f>
        <v>#REF!</v>
      </c>
      <c r="LJ5" s="7" t="e">
        <f aca="false">IF(OR(#REF!&gt;2,#REF!&lt;-2),"",#REF!)</f>
        <v>#REF!</v>
      </c>
      <c r="LK5" s="7" t="e">
        <f aca="false">IF(OR(#REF!&gt;2,#REF!&lt;-2),"",#REF!)</f>
        <v>#REF!</v>
      </c>
      <c r="LL5" s="7" t="e">
        <f aca="false">IF(OR(#REF!&gt;2,#REF!&lt;-2),"",#REF!)</f>
        <v>#REF!</v>
      </c>
      <c r="LM5" s="7" t="e">
        <f aca="false">IF(OR(#REF!&gt;2,#REF!&lt;-2),"",#REF!)</f>
        <v>#REF!</v>
      </c>
      <c r="LN5" s="7" t="e">
        <f aca="false">IF(OR(#REF!&gt;2,#REF!&lt;-2),"",#REF!)</f>
        <v>#REF!</v>
      </c>
      <c r="LO5" s="7" t="e">
        <f aca="false">IF(OR(#REF!&gt;2,#REF!&lt;-2),"",#REF!)</f>
        <v>#REF!</v>
      </c>
      <c r="LP5" s="7" t="e">
        <f aca="false">IF(OR(#REF!&gt;2,#REF!&lt;-2),"",#REF!)</f>
        <v>#REF!</v>
      </c>
      <c r="LQ5" s="7" t="e">
        <f aca="false">IF(OR(#REF!&gt;2,#REF!&lt;-2),"",#REF!)</f>
        <v>#REF!</v>
      </c>
      <c r="LR5" s="7" t="e">
        <f aca="false">IF(OR(#REF!&gt;2,#REF!&lt;-2),"",#REF!)</f>
        <v>#REF!</v>
      </c>
      <c r="LS5" s="7" t="e">
        <f aca="false">IF(OR(#REF!&gt;2,#REF!&lt;-2),"",#REF!)</f>
        <v>#REF!</v>
      </c>
      <c r="LT5" s="7" t="e">
        <f aca="false">IF(OR(#REF!&gt;2,#REF!&lt;-2),"",#REF!)</f>
        <v>#REF!</v>
      </c>
      <c r="LU5" s="7" t="e">
        <f aca="false">IF(OR(#REF!&gt;2,#REF!&lt;-2),"",#REF!)</f>
        <v>#REF!</v>
      </c>
      <c r="LV5" s="7" t="e">
        <f aca="false">IF(OR(#REF!&gt;2,#REF!&lt;-2),"",#REF!)</f>
        <v>#REF!</v>
      </c>
      <c r="LW5" s="7" t="e">
        <f aca="false">IF(OR(#REF!&gt;2,#REF!&lt;-2),"",#REF!)</f>
        <v>#REF!</v>
      </c>
      <c r="LX5" s="7" t="e">
        <f aca="false">IF(OR(#REF!&gt;2,#REF!&lt;-2),"",#REF!)</f>
        <v>#REF!</v>
      </c>
      <c r="LY5" s="7" t="e">
        <f aca="false">IF(OR(#REF!&gt;2,#REF!&lt;-2),"",#REF!)</f>
        <v>#REF!</v>
      </c>
      <c r="LZ5" s="7" t="e">
        <f aca="false">IF(OR(#REF!&gt;2,#REF!&lt;-2),"",#REF!)</f>
        <v>#REF!</v>
      </c>
      <c r="MA5" s="7" t="e">
        <f aca="false">IF(OR(#REF!&gt;2,#REF!&lt;-2),"",#REF!)</f>
        <v>#REF!</v>
      </c>
      <c r="MB5" s="7" t="e">
        <f aca="false">IF(OR(#REF!&gt;2,#REF!&lt;-2),"",#REF!)</f>
        <v>#REF!</v>
      </c>
      <c r="MC5" s="7" t="e">
        <f aca="false">IF(OR(#REF!&gt;2,#REF!&lt;-2),"",#REF!)</f>
        <v>#REF!</v>
      </c>
      <c r="MD5" s="7" t="e">
        <f aca="false">IF(OR(#REF!&gt;2,#REF!&lt;-2),"",#REF!)</f>
        <v>#REF!</v>
      </c>
      <c r="ME5" s="7" t="e">
        <f aca="false">IF(OR(#REF!&gt;2,#REF!&lt;-2),"",#REF!)</f>
        <v>#REF!</v>
      </c>
      <c r="MF5" s="7" t="e">
        <f aca="false">IF(OR(#REF!&gt;2,#REF!&lt;-2),"",#REF!)</f>
        <v>#REF!</v>
      </c>
      <c r="MG5" s="7" t="e">
        <f aca="false">IF(OR(#REF!&gt;2,#REF!&lt;-2),"",#REF!)</f>
        <v>#REF!</v>
      </c>
      <c r="MH5" s="7" t="e">
        <f aca="false">IF(OR(#REF!&gt;2,#REF!&lt;-2),"",#REF!)</f>
        <v>#REF!</v>
      </c>
      <c r="MI5" s="7" t="e">
        <f aca="false">IF(OR(#REF!&gt;2,#REF!&lt;-2),"",#REF!)</f>
        <v>#REF!</v>
      </c>
      <c r="MJ5" s="7" t="e">
        <f aca="false">IF(OR(#REF!&gt;2,#REF!&lt;-2),"",#REF!)</f>
        <v>#REF!</v>
      </c>
      <c r="MK5" s="7" t="e">
        <f aca="false">IF(OR(#REF!&gt;2,#REF!&lt;-2),"",#REF!)</f>
        <v>#REF!</v>
      </c>
      <c r="ML5" s="7" t="e">
        <f aca="false">IF(OR(#REF!&gt;2,#REF!&lt;-2),"",#REF!)</f>
        <v>#REF!</v>
      </c>
      <c r="MM5" s="7" t="e">
        <f aca="false">IF(OR(#REF!&gt;2,#REF!&lt;-2),"",#REF!)</f>
        <v>#REF!</v>
      </c>
      <c r="MN5" s="7" t="e">
        <f aca="false">IF(OR(#REF!&gt;2,#REF!&lt;-2),"",#REF!)</f>
        <v>#REF!</v>
      </c>
      <c r="MO5" s="7" t="e">
        <f aca="false">IF(OR(#REF!&gt;2,#REF!&lt;-2),"",#REF!)</f>
        <v>#REF!</v>
      </c>
      <c r="MP5" s="7" t="e">
        <f aca="false">IF(OR(#REF!&gt;2,#REF!&lt;-2),"",#REF!)</f>
        <v>#REF!</v>
      </c>
      <c r="MQ5" s="7" t="e">
        <f aca="false">IF(OR(#REF!&gt;2,#REF!&lt;-2),"",#REF!)</f>
        <v>#REF!</v>
      </c>
      <c r="MR5" s="7" t="e">
        <f aca="false">IF(OR(#REF!&gt;2,#REF!&lt;-2),"",#REF!)</f>
        <v>#REF!</v>
      </c>
      <c r="MS5" s="7" t="e">
        <f aca="false">IF(OR(#REF!&gt;2,#REF!&lt;-2),"",#REF!)</f>
        <v>#REF!</v>
      </c>
      <c r="MT5" s="7" t="e">
        <f aca="false">IF(OR(#REF!&gt;2,#REF!&lt;-2),"",#REF!)</f>
        <v>#REF!</v>
      </c>
      <c r="MU5" s="7" t="e">
        <f aca="false">IF(OR(#REF!&gt;2,#REF!&lt;-2),"",#REF!)</f>
        <v>#REF!</v>
      </c>
      <c r="MV5" s="7" t="e">
        <f aca="false">IF(OR(#REF!&gt;2,#REF!&lt;-2),"",#REF!)</f>
        <v>#REF!</v>
      </c>
      <c r="MW5" s="7" t="e">
        <f aca="false">IF(OR(#REF!&gt;2,#REF!&lt;-2),"",#REF!)</f>
        <v>#REF!</v>
      </c>
      <c r="MX5" s="7" t="e">
        <f aca="false">IF(OR(#REF!&gt;2,#REF!&lt;-2),"",#REF!)</f>
        <v>#REF!</v>
      </c>
      <c r="MY5" s="7" t="e">
        <f aca="false">IF(OR(#REF!&gt;2,#REF!&lt;-2),"",#REF!)</f>
        <v>#REF!</v>
      </c>
      <c r="MZ5" s="7" t="e">
        <f aca="false">IF(OR(#REF!&gt;2,#REF!&lt;-2),"",#REF!)</f>
        <v>#REF!</v>
      </c>
      <c r="NA5" s="7" t="e">
        <f aca="false">IF(OR(#REF!&gt;2,#REF!&lt;-2),"",#REF!)</f>
        <v>#REF!</v>
      </c>
      <c r="NB5" s="7" t="e">
        <f aca="false">IF(OR(#REF!&gt;2,#REF!&lt;-2),"",#REF!)</f>
        <v>#REF!</v>
      </c>
      <c r="NC5" s="7" t="e">
        <f aca="false">IF(OR(#REF!&gt;2,#REF!&lt;-2),"",#REF!)</f>
        <v>#REF!</v>
      </c>
      <c r="ND5" s="7" t="e">
        <f aca="false">IF(OR(#REF!&gt;2,#REF!&lt;-2),"",#REF!)</f>
        <v>#REF!</v>
      </c>
      <c r="NE5" s="7" t="e">
        <f aca="false">IF(OR(#REF!&gt;2,#REF!&lt;-2),"",#REF!)</f>
        <v>#REF!</v>
      </c>
      <c r="NF5" s="7" t="e">
        <f aca="false">IF(OR(#REF!&gt;2,#REF!&lt;-2),"",#REF!)</f>
        <v>#REF!</v>
      </c>
      <c r="NG5" s="7" t="e">
        <f aca="false">IF(OR(#REF!&gt;2,#REF!&lt;-2),"",#REF!)</f>
        <v>#REF!</v>
      </c>
      <c r="NH5" s="7" t="e">
        <f aca="false">IF(OR(#REF!&gt;2,#REF!&lt;-2),"",#REF!)</f>
        <v>#REF!</v>
      </c>
      <c r="NI5" s="7" t="e">
        <f aca="false">IF(OR(#REF!&gt;2,#REF!&lt;-2),"",#REF!)</f>
        <v>#REF!</v>
      </c>
      <c r="NJ5" s="7" t="e">
        <f aca="false">IF(OR(#REF!&gt;2,#REF!&lt;-2),"",#REF!)</f>
        <v>#REF!</v>
      </c>
      <c r="NK5" s="7" t="e">
        <f aca="false">IF(OR(#REF!&gt;2,#REF!&lt;-2),"",#REF!)</f>
        <v>#REF!</v>
      </c>
      <c r="NL5" s="7" t="e">
        <f aca="false">IF(OR(#REF!&gt;2,#REF!&lt;-2),"",#REF!)</f>
        <v>#REF!</v>
      </c>
      <c r="NM5" s="7" t="e">
        <f aca="false">IF(OR(#REF!&gt;2,#REF!&lt;-2),"",#REF!)</f>
        <v>#REF!</v>
      </c>
      <c r="NN5" s="7" t="e">
        <f aca="false">IF(OR(#REF!&gt;2,#REF!&lt;-2),"",#REF!)</f>
        <v>#REF!</v>
      </c>
      <c r="NO5" s="7" t="e">
        <f aca="false">IF(OR(#REF!&gt;2,#REF!&lt;-2),"",#REF!)</f>
        <v>#REF!</v>
      </c>
      <c r="NP5" s="7" t="e">
        <f aca="false">IF(OR(#REF!&gt;2,#REF!&lt;-2),"",#REF!)</f>
        <v>#REF!</v>
      </c>
      <c r="NQ5" s="7" t="e">
        <f aca="false">IF(OR(#REF!&gt;2,#REF!&lt;-2),"",#REF!)</f>
        <v>#REF!</v>
      </c>
      <c r="NR5" s="7" t="e">
        <f aca="false">IF(OR(#REF!&gt;2,#REF!&lt;-2),"",#REF!)</f>
        <v>#REF!</v>
      </c>
      <c r="NS5" s="7" t="e">
        <f aca="false">IF(OR(#REF!&gt;2,#REF!&lt;-2),"",#REF!)</f>
        <v>#REF!</v>
      </c>
      <c r="NT5" s="7" t="e">
        <f aca="false">IF(OR(#REF!&gt;2,#REF!&lt;-2),"",#REF!)</f>
        <v>#REF!</v>
      </c>
      <c r="NU5" s="7" t="e">
        <f aca="false">IF(OR(#REF!&gt;2,#REF!&lt;-2),"",#REF!)</f>
        <v>#REF!</v>
      </c>
      <c r="NV5" s="7" t="e">
        <f aca="false">IF(OR(#REF!&gt;2,#REF!&lt;-2),"",#REF!)</f>
        <v>#REF!</v>
      </c>
      <c r="NW5" s="7" t="e">
        <f aca="false">IF(OR(#REF!&gt;2,#REF!&lt;-2),"",#REF!)</f>
        <v>#REF!</v>
      </c>
      <c r="NX5" s="7" t="e">
        <f aca="false">IF(OR(#REF!&gt;2,#REF!&lt;-2),"",#REF!)</f>
        <v>#REF!</v>
      </c>
      <c r="NY5" s="7" t="e">
        <f aca="false">IF(OR(#REF!&gt;2,#REF!&lt;-2),"",#REF!)</f>
        <v>#REF!</v>
      </c>
      <c r="NZ5" s="7" t="e">
        <f aca="false">IF(OR(#REF!&gt;2,#REF!&lt;-2),"",#REF!)</f>
        <v>#REF!</v>
      </c>
      <c r="OA5" s="7" t="e">
        <f aca="false">IF(OR(#REF!&gt;2,#REF!&lt;-2),"",#REF!)</f>
        <v>#REF!</v>
      </c>
      <c r="OB5" s="7" t="e">
        <f aca="false">IF(OR(#REF!&gt;2,#REF!&lt;-2),"",#REF!)</f>
        <v>#REF!</v>
      </c>
      <c r="OC5" s="7" t="e">
        <f aca="false">IF(OR(#REF!&gt;2,#REF!&lt;-2),"",#REF!)</f>
        <v>#REF!</v>
      </c>
      <c r="OD5" s="7" t="e">
        <f aca="false">IF(OR(#REF!&gt;2,#REF!&lt;-2),"",#REF!)</f>
        <v>#REF!</v>
      </c>
      <c r="OE5" s="7" t="e">
        <f aca="false">IF(OR(#REF!&gt;2,#REF!&lt;-2),"",#REF!)</f>
        <v>#REF!</v>
      </c>
      <c r="OF5" s="7" t="e">
        <f aca="false">IF(OR(#REF!&gt;2,#REF!&lt;-2),"",#REF!)</f>
        <v>#REF!</v>
      </c>
      <c r="OG5" s="7" t="e">
        <f aca="false">IF(OR(#REF!&gt;2,#REF!&lt;-2),"",#REF!)</f>
        <v>#REF!</v>
      </c>
      <c r="OH5" s="7" t="e">
        <f aca="false">IF(OR(#REF!&gt;2,#REF!&lt;-2),"",#REF!)</f>
        <v>#REF!</v>
      </c>
      <c r="OI5" s="7" t="e">
        <f aca="false">IF(OR(#REF!&gt;2,#REF!&lt;-2),"",#REF!)</f>
        <v>#REF!</v>
      </c>
      <c r="OJ5" s="7" t="e">
        <f aca="false">IF(OR(#REF!&gt;2,#REF!&lt;-2),"",#REF!)</f>
        <v>#REF!</v>
      </c>
      <c r="OK5" s="7" t="e">
        <f aca="false">IF(OR(#REF!&gt;2,#REF!&lt;-2),"",#REF!)</f>
        <v>#REF!</v>
      </c>
      <c r="OL5" s="7" t="e">
        <f aca="false">IF(OR(#REF!&gt;2,#REF!&lt;-2),"",#REF!)</f>
        <v>#REF!</v>
      </c>
      <c r="OM5" s="7" t="e">
        <f aca="false">IF(OR(#REF!&gt;2,#REF!&lt;-2),"",#REF!)</f>
        <v>#REF!</v>
      </c>
      <c r="ON5" s="7" t="e">
        <f aca="false">IF(OR(#REF!&gt;2,#REF!&lt;-2),"",#REF!)</f>
        <v>#REF!</v>
      </c>
      <c r="OO5" s="7" t="e">
        <f aca="false">IF(OR(#REF!&gt;2,#REF!&lt;-2),"",#REF!)</f>
        <v>#REF!</v>
      </c>
      <c r="OP5" s="7" t="e">
        <f aca="false">IF(OR(#REF!&gt;2,#REF!&lt;-2),"",#REF!)</f>
        <v>#REF!</v>
      </c>
      <c r="OQ5" s="7" t="e">
        <f aca="false">IF(OR(#REF!&gt;2,#REF!&lt;-2),"",#REF!)</f>
        <v>#REF!</v>
      </c>
      <c r="OR5" s="7" t="e">
        <f aca="false">IF(OR(#REF!&gt;2,#REF!&lt;-2),"",#REF!)</f>
        <v>#REF!</v>
      </c>
      <c r="OS5" s="7" t="e">
        <f aca="false">IF(OR(#REF!&gt;2,#REF!&lt;-2),"",#REF!)</f>
        <v>#REF!</v>
      </c>
      <c r="OT5" s="7" t="e">
        <f aca="false">IF(OR(#REF!&gt;2,#REF!&lt;-2),"",#REF!)</f>
        <v>#REF!</v>
      </c>
      <c r="OU5" s="7" t="e">
        <f aca="false">IF(OR(#REF!&gt;2,#REF!&lt;-2),"",#REF!)</f>
        <v>#REF!</v>
      </c>
      <c r="OV5" s="7" t="e">
        <f aca="false">IF(OR(#REF!&gt;2,#REF!&lt;-2),"",#REF!)</f>
        <v>#REF!</v>
      </c>
      <c r="OW5" s="7" t="e">
        <f aca="false">IF(OR(#REF!&gt;2,#REF!&lt;-2),"",#REF!)</f>
        <v>#REF!</v>
      </c>
      <c r="OX5" s="7" t="e">
        <f aca="false">IF(OR(#REF!&gt;2,#REF!&lt;-2),"",#REF!)</f>
        <v>#REF!</v>
      </c>
      <c r="OY5" s="7" t="e">
        <f aca="false">IF(OR(#REF!&gt;2,#REF!&lt;-2),"",#REF!)</f>
        <v>#REF!</v>
      </c>
      <c r="OZ5" s="7" t="e">
        <f aca="false">IF(OR(#REF!&gt;2,#REF!&lt;-2),"",#REF!)</f>
        <v>#REF!</v>
      </c>
      <c r="PA5" s="7" t="e">
        <f aca="false">IF(OR(#REF!&gt;2,#REF!&lt;-2),"",#REF!)</f>
        <v>#REF!</v>
      </c>
      <c r="PB5" s="7" t="e">
        <f aca="false">IF(OR(#REF!&gt;2,#REF!&lt;-2),"",#REF!)</f>
        <v>#REF!</v>
      </c>
      <c r="PC5" s="7" t="e">
        <f aca="false">IF(OR(#REF!&gt;2,#REF!&lt;-2),"",#REF!)</f>
        <v>#REF!</v>
      </c>
      <c r="PD5" s="7" t="e">
        <f aca="false">IF(OR(#REF!&gt;2,#REF!&lt;-2),"",#REF!)</f>
        <v>#REF!</v>
      </c>
      <c r="PE5" s="7" t="e">
        <f aca="false">IF(OR(#REF!&gt;2,#REF!&lt;-2),"",#REF!)</f>
        <v>#REF!</v>
      </c>
      <c r="PF5" s="7" t="e">
        <f aca="false">IF(OR(#REF!&gt;2,#REF!&lt;-2),"",#REF!)</f>
        <v>#REF!</v>
      </c>
      <c r="PG5" s="7" t="e">
        <f aca="false">IF(OR(#REF!&gt;2,#REF!&lt;-2),"",#REF!)</f>
        <v>#REF!</v>
      </c>
      <c r="PH5" s="7" t="e">
        <f aca="false">IF(OR(#REF!&gt;2,#REF!&lt;-2),"",#REF!)</f>
        <v>#REF!</v>
      </c>
      <c r="PI5" s="7" t="e">
        <f aca="false">IF(OR(#REF!&gt;2,#REF!&lt;-2),"",#REF!)</f>
        <v>#REF!</v>
      </c>
      <c r="PJ5" s="7" t="e">
        <f aca="false">IF(OR(#REF!&gt;2,#REF!&lt;-2),"",#REF!)</f>
        <v>#REF!</v>
      </c>
      <c r="PK5" s="7" t="e">
        <f aca="false">IF(OR(#REF!&gt;2,#REF!&lt;-2),"",#REF!)</f>
        <v>#REF!</v>
      </c>
      <c r="PL5" s="7" t="e">
        <f aca="false">IF(OR(#REF!&gt;2,#REF!&lt;-2),"",#REF!)</f>
        <v>#REF!</v>
      </c>
      <c r="PM5" s="7" t="e">
        <f aca="false">IF(OR(#REF!&gt;2,#REF!&lt;-2),"",#REF!)</f>
        <v>#REF!</v>
      </c>
      <c r="PN5" s="7" t="e">
        <f aca="false">IF(OR(#REF!&gt;2,#REF!&lt;-2),"",#REF!)</f>
        <v>#REF!</v>
      </c>
      <c r="PO5" s="7" t="e">
        <f aca="false">IF(OR(#REF!&gt;2,#REF!&lt;-2),"",#REF!)</f>
        <v>#REF!</v>
      </c>
      <c r="PP5" s="7" t="e">
        <f aca="false">IF(OR(#REF!&gt;2,#REF!&lt;-2),"",#REF!)</f>
        <v>#REF!</v>
      </c>
      <c r="PQ5" s="7" t="e">
        <f aca="false">IF(OR(#REF!&gt;2,#REF!&lt;-2),"",#REF!)</f>
        <v>#REF!</v>
      </c>
      <c r="PR5" s="7" t="e">
        <f aca="false">IF(OR(#REF!&gt;2,#REF!&lt;-2),"",#REF!)</f>
        <v>#REF!</v>
      </c>
      <c r="PS5" s="7" t="e">
        <f aca="false">IF(OR(#REF!&gt;2,#REF!&lt;-2),"",#REF!)</f>
        <v>#REF!</v>
      </c>
      <c r="PT5" s="7" t="e">
        <f aca="false">IF(OR(#REF!&gt;2,#REF!&lt;-2),"",#REF!)</f>
        <v>#REF!</v>
      </c>
      <c r="PU5" s="7" t="e">
        <f aca="false">IF(OR(#REF!&gt;2,#REF!&lt;-2),"",#REF!)</f>
        <v>#REF!</v>
      </c>
      <c r="PV5" s="7" t="e">
        <f aca="false">IF(OR(#REF!&gt;2,#REF!&lt;-2),"",#REF!)</f>
        <v>#REF!</v>
      </c>
      <c r="PW5" s="7" t="e">
        <f aca="false">IF(OR(#REF!&gt;2,#REF!&lt;-2),"",#REF!)</f>
        <v>#REF!</v>
      </c>
      <c r="PX5" s="7" t="e">
        <f aca="false">IF(OR(#REF!&gt;2,#REF!&lt;-2),"",#REF!)</f>
        <v>#REF!</v>
      </c>
      <c r="PY5" s="7" t="e">
        <f aca="false">IF(OR(#REF!&gt;2,#REF!&lt;-2),"",#REF!)</f>
        <v>#REF!</v>
      </c>
      <c r="PZ5" s="7" t="e">
        <f aca="false">IF(OR(#REF!&gt;2,#REF!&lt;-2),"",#REF!)</f>
        <v>#REF!</v>
      </c>
      <c r="QA5" s="7" t="e">
        <f aca="false">IF(OR(#REF!&gt;2,#REF!&lt;-2),"",#REF!)</f>
        <v>#REF!</v>
      </c>
      <c r="QB5" s="7" t="e">
        <f aca="false">IF(OR(#REF!&gt;2,#REF!&lt;-2),"",#REF!)</f>
        <v>#REF!</v>
      </c>
      <c r="QC5" s="7" t="e">
        <f aca="false">IF(OR(#REF!&gt;2,#REF!&lt;-2),"",#REF!)</f>
        <v>#REF!</v>
      </c>
      <c r="QD5" s="7" t="e">
        <f aca="false">IF(OR(#REF!&gt;2,#REF!&lt;-2),"",#REF!)</f>
        <v>#REF!</v>
      </c>
      <c r="QE5" s="7" t="e">
        <f aca="false">IF(OR(#REF!&gt;2,#REF!&lt;-2),"",#REF!)</f>
        <v>#REF!</v>
      </c>
      <c r="QF5" s="7" t="e">
        <f aca="false">IF(OR(#REF!&gt;2,#REF!&lt;-2),"",#REF!)</f>
        <v>#REF!</v>
      </c>
      <c r="QG5" s="7" t="e">
        <f aca="false">IF(OR(#REF!&gt;2,#REF!&lt;-2),"",#REF!)</f>
        <v>#REF!</v>
      </c>
      <c r="QH5" s="7" t="e">
        <f aca="false">IF(OR(#REF!&gt;2,#REF!&lt;-2),"",#REF!)</f>
        <v>#REF!</v>
      </c>
      <c r="QI5" s="7" t="e">
        <f aca="false">IF(OR(#REF!&gt;2,#REF!&lt;-2),"",#REF!)</f>
        <v>#REF!</v>
      </c>
      <c r="QJ5" s="7" t="e">
        <f aca="false">IF(OR(#REF!&gt;2,#REF!&lt;-2),"",#REF!)</f>
        <v>#REF!</v>
      </c>
      <c r="QK5" s="7" t="e">
        <f aca="false">IF(OR(#REF!&gt;2,#REF!&lt;-2),"",#REF!)</f>
        <v>#REF!</v>
      </c>
      <c r="QL5" s="7" t="e">
        <f aca="false">IF(OR(#REF!&gt;2,#REF!&lt;-2),"",#REF!)</f>
        <v>#REF!</v>
      </c>
      <c r="QM5" s="7" t="e">
        <f aca="false">IF(OR(#REF!&gt;2,#REF!&lt;-2),"",#REF!)</f>
        <v>#REF!</v>
      </c>
      <c r="QN5" s="7" t="e">
        <f aca="false">IF(OR(#REF!&gt;2,#REF!&lt;-2),"",#REF!)</f>
        <v>#REF!</v>
      </c>
      <c r="QO5" s="7" t="e">
        <f aca="false">IF(OR(#REF!&gt;2,#REF!&lt;-2),"",#REF!)</f>
        <v>#REF!</v>
      </c>
      <c r="QP5" s="7" t="e">
        <f aca="false">IF(OR(#REF!&gt;2,#REF!&lt;-2),"",#REF!)</f>
        <v>#REF!</v>
      </c>
      <c r="QQ5" s="7" t="e">
        <f aca="false">IF(OR(#REF!&gt;2,#REF!&lt;-2),"",#REF!)</f>
        <v>#REF!</v>
      </c>
      <c r="QR5" s="7" t="e">
        <f aca="false">IF(OR(#REF!&gt;2,#REF!&lt;-2),"",#REF!)</f>
        <v>#REF!</v>
      </c>
      <c r="QS5" s="7" t="e">
        <f aca="false">IF(OR(#REF!&gt;2,#REF!&lt;-2),"",#REF!)</f>
        <v>#REF!</v>
      </c>
      <c r="QT5" s="7" t="e">
        <f aca="false">IF(OR(#REF!&gt;2,#REF!&lt;-2),"",#REF!)</f>
        <v>#REF!</v>
      </c>
      <c r="QU5" s="7" t="e">
        <f aca="false">IF(OR(#REF!&gt;2,#REF!&lt;-2),"",#REF!)</f>
        <v>#REF!</v>
      </c>
      <c r="QV5" s="7" t="e">
        <f aca="false">IF(OR(#REF!&gt;2,#REF!&lt;-2),"",#REF!)</f>
        <v>#REF!</v>
      </c>
      <c r="QW5" s="7" t="e">
        <f aca="false">IF(OR(#REF!&gt;2,#REF!&lt;-2),"",#REF!)</f>
        <v>#REF!</v>
      </c>
      <c r="QX5" s="7" t="e">
        <f aca="false">IF(OR(#REF!&gt;2,#REF!&lt;-2),"",#REF!)</f>
        <v>#REF!</v>
      </c>
      <c r="QY5" s="7" t="e">
        <f aca="false">IF(OR(#REF!&gt;2,#REF!&lt;-2),"",#REF!)</f>
        <v>#REF!</v>
      </c>
      <c r="QZ5" s="7" t="e">
        <f aca="false">IF(OR(#REF!&gt;2,#REF!&lt;-2),"",#REF!)</f>
        <v>#REF!</v>
      </c>
      <c r="RA5" s="7" t="e">
        <f aca="false">IF(OR(#REF!&gt;2,#REF!&lt;-2),"",#REF!)</f>
        <v>#REF!</v>
      </c>
      <c r="RB5" s="7" t="e">
        <f aca="false">IF(OR(#REF!&gt;2,#REF!&lt;-2),"",#REF!)</f>
        <v>#REF!</v>
      </c>
      <c r="RC5" s="7" t="e">
        <f aca="false">IF(OR(#REF!&gt;2,#REF!&lt;-2),"",#REF!)</f>
        <v>#REF!</v>
      </c>
      <c r="RD5" s="7" t="e">
        <f aca="false">IF(OR(#REF!&gt;2,#REF!&lt;-2),"",#REF!)</f>
        <v>#REF!</v>
      </c>
      <c r="RE5" s="7" t="e">
        <f aca="false">IF(OR(#REF!&gt;2,#REF!&lt;-2),"",#REF!)</f>
        <v>#REF!</v>
      </c>
      <c r="RF5" s="7" t="e">
        <f aca="false">IF(OR(#REF!&gt;2,#REF!&lt;-2),"",#REF!)</f>
        <v>#REF!</v>
      </c>
      <c r="RG5" s="7" t="e">
        <f aca="false">IF(OR(#REF!&gt;2,#REF!&lt;-2),"",#REF!)</f>
        <v>#REF!</v>
      </c>
      <c r="RH5" s="7" t="e">
        <f aca="false">IF(OR(#REF!&gt;2,#REF!&lt;-2),"",#REF!)</f>
        <v>#REF!</v>
      </c>
      <c r="RI5" s="7" t="e">
        <f aca="false">IF(OR(#REF!&gt;2,#REF!&lt;-2),"",#REF!)</f>
        <v>#REF!</v>
      </c>
      <c r="RJ5" s="7" t="e">
        <f aca="false">IF(OR(#REF!&gt;2,#REF!&lt;-2),"",#REF!)</f>
        <v>#REF!</v>
      </c>
      <c r="RK5" s="7" t="e">
        <f aca="false">IF(OR(#REF!&gt;2,#REF!&lt;-2),"",#REF!)</f>
        <v>#REF!</v>
      </c>
      <c r="RL5" s="7" t="e">
        <f aca="false">IF(OR(#REF!&gt;2,#REF!&lt;-2),"",#REF!)</f>
        <v>#REF!</v>
      </c>
      <c r="RM5" s="7" t="e">
        <f aca="false">IF(OR(#REF!&gt;2,#REF!&lt;-2),"",#REF!)</f>
        <v>#REF!</v>
      </c>
      <c r="RN5" s="7" t="e">
        <f aca="false">IF(OR(#REF!&gt;2,#REF!&lt;-2),"",#REF!)</f>
        <v>#REF!</v>
      </c>
      <c r="RO5" s="7" t="e">
        <f aca="false">IF(OR(#REF!&gt;2,#REF!&lt;-2),"",#REF!)</f>
        <v>#REF!</v>
      </c>
      <c r="RP5" s="7" t="e">
        <f aca="false">IF(OR(#REF!&gt;2,#REF!&lt;-2),"",#REF!)</f>
        <v>#REF!</v>
      </c>
      <c r="RQ5" s="7" t="e">
        <f aca="false">IF(OR(#REF!&gt;2,#REF!&lt;-2),"",#REF!)</f>
        <v>#REF!</v>
      </c>
      <c r="RR5" s="7" t="e">
        <f aca="false">IF(OR(#REF!&gt;2,#REF!&lt;-2),"",#REF!)</f>
        <v>#REF!</v>
      </c>
      <c r="RS5" s="7" t="e">
        <f aca="false">IF(OR(#REF!&gt;2,#REF!&lt;-2),"",#REF!)</f>
        <v>#REF!</v>
      </c>
      <c r="RT5" s="7" t="e">
        <f aca="false">IF(OR(#REF!&gt;2,#REF!&lt;-2),"",#REF!)</f>
        <v>#REF!</v>
      </c>
      <c r="RU5" s="7" t="e">
        <f aca="false">IF(OR(#REF!&gt;2,#REF!&lt;-2),"",#REF!)</f>
        <v>#REF!</v>
      </c>
      <c r="RV5" s="7" t="e">
        <f aca="false">IF(OR(#REF!&gt;2,#REF!&lt;-2),"",#REF!)</f>
        <v>#REF!</v>
      </c>
      <c r="RW5" s="7" t="e">
        <f aca="false">IF(OR(#REF!&gt;2,#REF!&lt;-2),"",#REF!)</f>
        <v>#REF!</v>
      </c>
      <c r="RX5" s="7" t="e">
        <f aca="false">IF(OR(#REF!&gt;2,#REF!&lt;-2),"",#REF!)</f>
        <v>#REF!</v>
      </c>
      <c r="RY5" s="7" t="e">
        <f aca="false">IF(OR(#REF!&gt;2,#REF!&lt;-2),"",#REF!)</f>
        <v>#REF!</v>
      </c>
      <c r="RZ5" s="7" t="e">
        <f aca="false">IF(OR(#REF!&gt;2,#REF!&lt;-2),"",#REF!)</f>
        <v>#REF!</v>
      </c>
      <c r="SA5" s="7" t="e">
        <f aca="false">IF(OR(#REF!&gt;2,#REF!&lt;-2),"",#REF!)</f>
        <v>#REF!</v>
      </c>
      <c r="SB5" s="7" t="e">
        <f aca="false">IF(OR(#REF!&gt;2,#REF!&lt;-2),"",#REF!)</f>
        <v>#REF!</v>
      </c>
      <c r="SC5" s="7" t="e">
        <f aca="false">IF(OR(#REF!&gt;2,#REF!&lt;-2),"",#REF!)</f>
        <v>#REF!</v>
      </c>
      <c r="SD5" s="7" t="e">
        <f aca="false">IF(OR(#REF!&gt;2,#REF!&lt;-2),"",#REF!)</f>
        <v>#REF!</v>
      </c>
      <c r="SE5" s="7" t="e">
        <f aca="false">IF(OR(#REF!&gt;2,#REF!&lt;-2),"",#REF!)</f>
        <v>#REF!</v>
      </c>
      <c r="SF5" s="7" t="e">
        <f aca="false">IF(OR(#REF!&gt;2,#REF!&lt;-2),"",#REF!)</f>
        <v>#REF!</v>
      </c>
      <c r="SG5" s="7" t="e">
        <f aca="false">IF(OR(#REF!&gt;2,#REF!&lt;-2),"",#REF!)</f>
        <v>#REF!</v>
      </c>
      <c r="SH5" s="7" t="e">
        <f aca="false">IF(OR(#REF!&gt;2,#REF!&lt;-2),"",#REF!)</f>
        <v>#REF!</v>
      </c>
      <c r="SI5" s="7" t="e">
        <f aca="false">IF(OR(#REF!&gt;2,#REF!&lt;-2),"",#REF!)</f>
        <v>#REF!</v>
      </c>
      <c r="SJ5" s="7" t="e">
        <f aca="false">IF(OR(#REF!&gt;2,#REF!&lt;-2),"",#REF!)</f>
        <v>#REF!</v>
      </c>
      <c r="SK5" s="7" t="e">
        <f aca="false">IF(OR(#REF!&gt;2,#REF!&lt;-2),"",#REF!)</f>
        <v>#REF!</v>
      </c>
      <c r="SL5" s="7" t="e">
        <f aca="false">IF(OR(#REF!&gt;2,#REF!&lt;-2),"",#REF!)</f>
        <v>#REF!</v>
      </c>
      <c r="SM5" s="7" t="e">
        <f aca="false">IF(OR(#REF!&gt;2,#REF!&lt;-2),"",#REF!)</f>
        <v>#REF!</v>
      </c>
      <c r="SN5" s="7" t="e">
        <f aca="false">IF(OR(#REF!&gt;2,#REF!&lt;-2),"",#REF!)</f>
        <v>#REF!</v>
      </c>
      <c r="SO5" s="7" t="e">
        <f aca="false">IF(OR(#REF!&gt;2,#REF!&lt;-2),"",#REF!)</f>
        <v>#REF!</v>
      </c>
      <c r="SP5" s="7" t="e">
        <f aca="false">IF(OR(#REF!&gt;2,#REF!&lt;-2),"",#REF!)</f>
        <v>#REF!</v>
      </c>
      <c r="SQ5" s="7" t="e">
        <f aca="false">IF(OR(#REF!&gt;2,#REF!&lt;-2),"",#REF!)</f>
        <v>#REF!</v>
      </c>
      <c r="SR5" s="7" t="e">
        <f aca="false">IF(OR(#REF!&gt;2,#REF!&lt;-2),"",#REF!)</f>
        <v>#REF!</v>
      </c>
      <c r="SS5" s="7" t="e">
        <f aca="false">IF(OR(#REF!&gt;2,#REF!&lt;-2),"",#REF!)</f>
        <v>#REF!</v>
      </c>
      <c r="ST5" s="7" t="e">
        <f aca="false">IF(OR(#REF!&gt;2,#REF!&lt;-2),"",#REF!)</f>
        <v>#REF!</v>
      </c>
      <c r="SU5" s="7" t="e">
        <f aca="false">IF(OR(#REF!&gt;2,#REF!&lt;-2),"",#REF!)</f>
        <v>#REF!</v>
      </c>
      <c r="SV5" s="7" t="e">
        <f aca="false">IF(OR(#REF!&gt;2,#REF!&lt;-2),"",#REF!)</f>
        <v>#REF!</v>
      </c>
      <c r="SW5" s="7" t="e">
        <f aca="false">IF(OR(#REF!&gt;2,#REF!&lt;-2),"",#REF!)</f>
        <v>#REF!</v>
      </c>
      <c r="SX5" s="7" t="e">
        <f aca="false">IF(OR(#REF!&gt;2,#REF!&lt;-2),"",#REF!)</f>
        <v>#REF!</v>
      </c>
      <c r="SY5" s="7" t="e">
        <f aca="false">IF(OR(#REF!&gt;2,#REF!&lt;-2),"",#REF!)</f>
        <v>#REF!</v>
      </c>
      <c r="SZ5" s="7" t="e">
        <f aca="false">IF(OR(#REF!&gt;2,#REF!&lt;-2),"",#REF!)</f>
        <v>#REF!</v>
      </c>
      <c r="TA5" s="7" t="e">
        <f aca="false">IF(OR(#REF!&gt;2,#REF!&lt;-2),"",#REF!)</f>
        <v>#REF!</v>
      </c>
      <c r="TB5" s="7" t="e">
        <f aca="false">IF(OR(#REF!&gt;2,#REF!&lt;-2),"",#REF!)</f>
        <v>#REF!</v>
      </c>
      <c r="TC5" s="7" t="e">
        <f aca="false">IF(OR(#REF!&gt;2,#REF!&lt;-2),"",#REF!)</f>
        <v>#REF!</v>
      </c>
      <c r="TD5" s="7" t="e">
        <f aca="false">IF(OR(#REF!&gt;2,#REF!&lt;-2),"",#REF!)</f>
        <v>#REF!</v>
      </c>
      <c r="TE5" s="7" t="e">
        <f aca="false">IF(OR(#REF!&gt;2,#REF!&lt;-2),"",#REF!)</f>
        <v>#REF!</v>
      </c>
      <c r="TF5" s="7" t="e">
        <f aca="false">IF(OR(#REF!&gt;2,#REF!&lt;-2),"",#REF!)</f>
        <v>#REF!</v>
      </c>
      <c r="TG5" s="7" t="e">
        <f aca="false">IF(OR(#REF!&gt;2,#REF!&lt;-2),"",#REF!)</f>
        <v>#REF!</v>
      </c>
      <c r="TH5" s="7" t="e">
        <f aca="false">IF(OR(#REF!&gt;2,#REF!&lt;-2),"",#REF!)</f>
        <v>#REF!</v>
      </c>
      <c r="TI5" s="7" t="e">
        <f aca="false">IF(OR(#REF!&gt;2,#REF!&lt;-2),"",#REF!)</f>
        <v>#REF!</v>
      </c>
      <c r="TJ5" s="7" t="e">
        <f aca="false">IF(OR(#REF!&gt;2,#REF!&lt;-2),"",#REF!)</f>
        <v>#REF!</v>
      </c>
      <c r="TK5" s="7" t="e">
        <f aca="false">IF(OR(#REF!&gt;2,#REF!&lt;-2),"",#REF!)</f>
        <v>#REF!</v>
      </c>
      <c r="TL5" s="7" t="e">
        <f aca="false">IF(OR(#REF!&gt;2,#REF!&lt;-2),"",#REF!)</f>
        <v>#REF!</v>
      </c>
      <c r="TM5" s="7" t="e">
        <f aca="false">IF(OR(#REF!&gt;2,#REF!&lt;-2),"",#REF!)</f>
        <v>#REF!</v>
      </c>
      <c r="TN5" s="7" t="e">
        <f aca="false">IF(OR(#REF!&gt;2,#REF!&lt;-2),"",#REF!)</f>
        <v>#REF!</v>
      </c>
      <c r="TO5" s="7" t="e">
        <f aca="false">IF(OR(#REF!&gt;2,#REF!&lt;-2),"",#REF!)</f>
        <v>#REF!</v>
      </c>
      <c r="TP5" s="7" t="e">
        <f aca="false">IF(OR(#REF!&gt;2,#REF!&lt;-2),"",#REF!)</f>
        <v>#REF!</v>
      </c>
      <c r="TQ5" s="7" t="e">
        <f aca="false">IF(OR(#REF!&gt;2,#REF!&lt;-2),"",#REF!)</f>
        <v>#REF!</v>
      </c>
      <c r="TR5" s="7" t="e">
        <f aca="false">IF(OR(#REF!&gt;2,#REF!&lt;-2),"",#REF!)</f>
        <v>#REF!</v>
      </c>
      <c r="TS5" s="7" t="e">
        <f aca="false">IF(OR(#REF!&gt;2,#REF!&lt;-2),"",#REF!)</f>
        <v>#REF!</v>
      </c>
      <c r="TT5" s="7" t="e">
        <f aca="false">IF(OR(#REF!&gt;2,#REF!&lt;-2),"",#REF!)</f>
        <v>#REF!</v>
      </c>
      <c r="TU5" s="7" t="e">
        <f aca="false">IF(OR(#REF!&gt;2,#REF!&lt;-2),"",#REF!)</f>
        <v>#REF!</v>
      </c>
      <c r="TV5" s="7" t="e">
        <f aca="false">IF(OR(#REF!&gt;2,#REF!&lt;-2),"",#REF!)</f>
        <v>#REF!</v>
      </c>
      <c r="TW5" s="7" t="e">
        <f aca="false">IF(OR(#REF!&gt;2,#REF!&lt;-2),"",#REF!)</f>
        <v>#REF!</v>
      </c>
      <c r="TX5" s="7" t="e">
        <f aca="false">IF(OR(#REF!&gt;2,#REF!&lt;-2),"",#REF!)</f>
        <v>#REF!</v>
      </c>
      <c r="TY5" s="7" t="e">
        <f aca="false">IF(OR(#REF!&gt;2,#REF!&lt;-2),"",#REF!)</f>
        <v>#REF!</v>
      </c>
      <c r="TZ5" s="7" t="e">
        <f aca="false">IF(OR(#REF!&gt;2,#REF!&lt;-2),"",#REF!)</f>
        <v>#REF!</v>
      </c>
      <c r="UA5" s="7" t="e">
        <f aca="false">IF(OR(#REF!&gt;2,#REF!&lt;-2),"",#REF!)</f>
        <v>#REF!</v>
      </c>
      <c r="UB5" s="7" t="e">
        <f aca="false">IF(OR(#REF!&gt;2,#REF!&lt;-2),"",#REF!)</f>
        <v>#REF!</v>
      </c>
      <c r="UC5" s="7" t="e">
        <f aca="false">IF(OR(#REF!&gt;2,#REF!&lt;-2),"",#REF!)</f>
        <v>#REF!</v>
      </c>
      <c r="UD5" s="7" t="e">
        <f aca="false">IF(OR(#REF!&gt;2,#REF!&lt;-2),"",#REF!)</f>
        <v>#REF!</v>
      </c>
      <c r="UE5" s="7" t="e">
        <f aca="false">IF(OR(#REF!&gt;2,#REF!&lt;-2),"",#REF!)</f>
        <v>#REF!</v>
      </c>
      <c r="UF5" s="7" t="e">
        <f aca="false">IF(OR(#REF!&gt;2,#REF!&lt;-2),"",#REF!)</f>
        <v>#REF!</v>
      </c>
      <c r="UG5" s="7" t="e">
        <f aca="false">IF(OR(#REF!&gt;2,#REF!&lt;-2),"",#REF!)</f>
        <v>#REF!</v>
      </c>
      <c r="UH5" s="7" t="e">
        <f aca="false">IF(OR(#REF!&gt;2,#REF!&lt;-2),"",#REF!)</f>
        <v>#REF!</v>
      </c>
      <c r="UI5" s="7" t="e">
        <f aca="false">IF(OR(#REF!&gt;2,#REF!&lt;-2),"",#REF!)</f>
        <v>#REF!</v>
      </c>
      <c r="UJ5" s="7" t="e">
        <f aca="false">IF(OR(#REF!&gt;2,#REF!&lt;-2),"",#REF!)</f>
        <v>#REF!</v>
      </c>
      <c r="UK5" s="7" t="e">
        <f aca="false">IF(OR(#REF!&gt;2,#REF!&lt;-2),"",#REF!)</f>
        <v>#REF!</v>
      </c>
      <c r="UL5" s="7" t="e">
        <f aca="false">IF(OR(#REF!&gt;2,#REF!&lt;-2),"",#REF!)</f>
        <v>#REF!</v>
      </c>
      <c r="UM5" s="7" t="e">
        <f aca="false">IF(OR(#REF!&gt;2,#REF!&lt;-2),"",#REF!)</f>
        <v>#REF!</v>
      </c>
      <c r="UN5" s="7" t="e">
        <f aca="false">IF(OR(#REF!&gt;2,#REF!&lt;-2),"",#REF!)</f>
        <v>#REF!</v>
      </c>
      <c r="UO5" s="7" t="e">
        <f aca="false">IF(OR(#REF!&gt;2,#REF!&lt;-2),"",#REF!)</f>
        <v>#REF!</v>
      </c>
      <c r="UP5" s="7" t="e">
        <f aca="false">IF(OR(#REF!&gt;2,#REF!&lt;-2),"",#REF!)</f>
        <v>#REF!</v>
      </c>
    </row>
    <row r="6" customFormat="false" ht="14.5" hidden="false" customHeight="false" outlineLevel="0" collapsed="false">
      <c r="A6" s="0" t="n">
        <v>146</v>
      </c>
      <c r="B6" s="0" t="n">
        <v>0</v>
      </c>
      <c r="C6" s="7" t="e">
        <f aca="false">IF(OR(#REF!&gt;2,#REF!&lt;-2),"",#REF!)</f>
        <v>#REF!</v>
      </c>
      <c r="D6" s="7" t="e">
        <f aca="false">IF(OR(#REF!&gt;2,#REF!&lt;-2),"",#REF!)</f>
        <v>#REF!</v>
      </c>
      <c r="E6" s="7" t="e">
        <f aca="false">IF(OR(#REF!&gt;2,#REF!&lt;-2),"",#REF!)</f>
        <v>#REF!</v>
      </c>
      <c r="F6" s="7" t="e">
        <f aca="false">IF(OR(#REF!&gt;2,#REF!&lt;-2),"",#REF!)</f>
        <v>#REF!</v>
      </c>
      <c r="G6" s="7" t="e">
        <f aca="false">IF(OR(#REF!&gt;2,#REF!&lt;-2),"",#REF!)</f>
        <v>#REF!</v>
      </c>
      <c r="H6" s="7" t="e">
        <f aca="false">IF(OR(#REF!&gt;2,#REF!&lt;-2),"",#REF!)</f>
        <v>#REF!</v>
      </c>
      <c r="I6" s="7" t="e">
        <f aca="false">IF(OR(#REF!&gt;2,#REF!&lt;-2),"",#REF!)</f>
        <v>#REF!</v>
      </c>
      <c r="J6" s="7" t="e">
        <f aca="false">IF(OR(#REF!&gt;2,#REF!&lt;-2),"",#REF!)</f>
        <v>#REF!</v>
      </c>
      <c r="K6" s="7" t="e">
        <f aca="false">IF(OR(#REF!&gt;2,#REF!&lt;-2),"",#REF!)</f>
        <v>#REF!</v>
      </c>
      <c r="L6" s="7" t="e">
        <f aca="false">IF(OR(#REF!&gt;2,#REF!&lt;-2),"",#REF!)</f>
        <v>#REF!</v>
      </c>
      <c r="M6" s="7" t="e">
        <f aca="false">IF(OR(#REF!&gt;2,#REF!&lt;-2),"",#REF!)</f>
        <v>#REF!</v>
      </c>
      <c r="N6" s="7" t="e">
        <f aca="false">IF(OR(#REF!&gt;2,#REF!&lt;-2),"",#REF!)</f>
        <v>#REF!</v>
      </c>
      <c r="O6" s="7" t="e">
        <f aca="false">IF(OR(#REF!&gt;2,#REF!&lt;-2),"",#REF!)</f>
        <v>#REF!</v>
      </c>
      <c r="P6" s="7" t="e">
        <f aca="false">IF(OR(#REF!&gt;2,#REF!&lt;-2),"",#REF!)</f>
        <v>#REF!</v>
      </c>
      <c r="Q6" s="7" t="e">
        <f aca="false">IF(OR(#REF!&gt;2,#REF!&lt;-2),"",#REF!)</f>
        <v>#REF!</v>
      </c>
      <c r="R6" s="7" t="e">
        <f aca="false">IF(OR(#REF!&gt;2,#REF!&lt;-2),"",#REF!)</f>
        <v>#REF!</v>
      </c>
      <c r="S6" s="7" t="e">
        <f aca="false">IF(OR(#REF!&gt;2,#REF!&lt;-2),"",#REF!)</f>
        <v>#REF!</v>
      </c>
      <c r="T6" s="7" t="e">
        <f aca="false">IF(OR(#REF!&gt;2,#REF!&lt;-2),"",#REF!)</f>
        <v>#REF!</v>
      </c>
      <c r="U6" s="7" t="e">
        <f aca="false">IF(OR(#REF!&gt;2,#REF!&lt;-2),"",#REF!)</f>
        <v>#REF!</v>
      </c>
      <c r="V6" s="7" t="e">
        <f aca="false">IF(OR(#REF!&gt;2,#REF!&lt;-2),"",#REF!)</f>
        <v>#REF!</v>
      </c>
      <c r="W6" s="7" t="e">
        <f aca="false">IF(OR(#REF!&gt;2,#REF!&lt;-2),"",#REF!)</f>
        <v>#REF!</v>
      </c>
      <c r="X6" s="7" t="e">
        <f aca="false">IF(OR(#REF!&gt;2,#REF!&lt;-2),"",#REF!)</f>
        <v>#REF!</v>
      </c>
      <c r="Y6" s="7" t="e">
        <f aca="false">IF(OR(#REF!&gt;2,#REF!&lt;-2),"",#REF!)</f>
        <v>#REF!</v>
      </c>
      <c r="Z6" s="7" t="e">
        <f aca="false">IF(OR(#REF!&gt;2,#REF!&lt;-2),"",#REF!)</f>
        <v>#REF!</v>
      </c>
      <c r="AA6" s="7" t="e">
        <f aca="false">IF(OR(#REF!&gt;2,#REF!&lt;-2),"",#REF!)</f>
        <v>#REF!</v>
      </c>
      <c r="AB6" s="7" t="e">
        <f aca="false">IF(OR(#REF!&gt;2,#REF!&lt;-2),"",#REF!)</f>
        <v>#REF!</v>
      </c>
      <c r="AC6" s="7" t="e">
        <f aca="false">IF(OR(#REF!&gt;2,#REF!&lt;-2),"",#REF!)</f>
        <v>#REF!</v>
      </c>
      <c r="AD6" s="7" t="e">
        <f aca="false">IF(OR(#REF!&gt;2,#REF!&lt;-2),"",#REF!)</f>
        <v>#REF!</v>
      </c>
      <c r="AE6" s="7" t="e">
        <f aca="false">IF(OR(#REF!&gt;2,#REF!&lt;-2),"",#REF!)</f>
        <v>#REF!</v>
      </c>
      <c r="AF6" s="7" t="e">
        <f aca="false">IF(OR(#REF!&gt;2,#REF!&lt;-2),"",#REF!)</f>
        <v>#REF!</v>
      </c>
      <c r="AG6" s="7" t="e">
        <f aca="false">IF(OR(#REF!&gt;2,#REF!&lt;-2),"",#REF!)</f>
        <v>#REF!</v>
      </c>
      <c r="AH6" s="7" t="e">
        <f aca="false">IF(OR(#REF!&gt;2,#REF!&lt;-2),"",#REF!)</f>
        <v>#REF!</v>
      </c>
      <c r="AI6" s="7" t="e">
        <f aca="false">IF(OR(#REF!&gt;2,#REF!&lt;-2),"",#REF!)</f>
        <v>#REF!</v>
      </c>
      <c r="AJ6" s="7" t="e">
        <f aca="false">IF(OR(#REF!&gt;2,#REF!&lt;-2),"",#REF!)</f>
        <v>#REF!</v>
      </c>
      <c r="AK6" s="7" t="e">
        <f aca="false">IF(OR(#REF!&gt;2,#REF!&lt;-2),"",#REF!)</f>
        <v>#REF!</v>
      </c>
      <c r="AL6" s="7" t="e">
        <f aca="false">IF(OR(#REF!&gt;2,#REF!&lt;-2),"",#REF!)</f>
        <v>#REF!</v>
      </c>
      <c r="AM6" s="7" t="e">
        <f aca="false">IF(OR(#REF!&gt;2,#REF!&lt;-2),"",#REF!)</f>
        <v>#REF!</v>
      </c>
      <c r="AN6" s="7" t="e">
        <f aca="false">IF(OR(#REF!&gt;2,#REF!&lt;-2),"",#REF!)</f>
        <v>#REF!</v>
      </c>
      <c r="AO6" s="7" t="e">
        <f aca="false">IF(OR(#REF!&gt;2,#REF!&lt;-2),"",#REF!)</f>
        <v>#REF!</v>
      </c>
      <c r="AP6" s="7" t="e">
        <f aca="false">IF(OR(#REF!&gt;2,#REF!&lt;-2),"",#REF!)</f>
        <v>#REF!</v>
      </c>
      <c r="AQ6" s="7" t="e">
        <f aca="false">IF(OR(#REF!&gt;2,#REF!&lt;-2),"",#REF!)</f>
        <v>#REF!</v>
      </c>
      <c r="AR6" s="7" t="e">
        <f aca="false">IF(OR(#REF!&gt;2,#REF!&lt;-2),"",#REF!)</f>
        <v>#REF!</v>
      </c>
      <c r="AS6" s="7" t="e">
        <f aca="false">IF(OR(#REF!&gt;2,#REF!&lt;-2),"",#REF!)</f>
        <v>#REF!</v>
      </c>
      <c r="AT6" s="7" t="e">
        <f aca="false">IF(OR(#REF!&gt;2,#REF!&lt;-2),"",#REF!)</f>
        <v>#REF!</v>
      </c>
      <c r="AU6" s="7" t="e">
        <f aca="false">IF(OR(#REF!&gt;2,#REF!&lt;-2),"",#REF!)</f>
        <v>#REF!</v>
      </c>
      <c r="AV6" s="7" t="e">
        <f aca="false">IF(OR(#REF!&gt;2,#REF!&lt;-2),"",#REF!)</f>
        <v>#REF!</v>
      </c>
      <c r="AW6" s="7" t="e">
        <f aca="false">IF(OR(#REF!&gt;2,#REF!&lt;-2),"",#REF!)</f>
        <v>#REF!</v>
      </c>
      <c r="AX6" s="7" t="e">
        <f aca="false">IF(OR(#REF!&gt;2,#REF!&lt;-2),"",#REF!)</f>
        <v>#REF!</v>
      </c>
      <c r="AY6" s="7" t="e">
        <f aca="false">IF(OR(#REF!&gt;2,#REF!&lt;-2),"",#REF!)</f>
        <v>#REF!</v>
      </c>
      <c r="AZ6" s="7" t="e">
        <f aca="false">IF(OR(#REF!&gt;2,#REF!&lt;-2),"",#REF!)</f>
        <v>#REF!</v>
      </c>
      <c r="BA6" s="7" t="e">
        <f aca="false">IF(OR(#REF!&gt;2,#REF!&lt;-2),"",#REF!)</f>
        <v>#REF!</v>
      </c>
      <c r="BB6" s="7" t="e">
        <f aca="false">IF(OR(#REF!&gt;2,#REF!&lt;-2),"",#REF!)</f>
        <v>#REF!</v>
      </c>
      <c r="BC6" s="7" t="e">
        <f aca="false">IF(OR(#REF!&gt;2,#REF!&lt;-2),"",#REF!)</f>
        <v>#REF!</v>
      </c>
      <c r="BD6" s="7" t="e">
        <f aca="false">IF(OR(#REF!&gt;2,#REF!&lt;-2),"",#REF!)</f>
        <v>#REF!</v>
      </c>
      <c r="BE6" s="7" t="e">
        <f aca="false">IF(OR(#REF!&gt;2,#REF!&lt;-2),"",#REF!)</f>
        <v>#REF!</v>
      </c>
      <c r="BF6" s="7" t="e">
        <f aca="false">IF(OR(#REF!&gt;2,#REF!&lt;-2),"",#REF!)</f>
        <v>#REF!</v>
      </c>
      <c r="BG6" s="7" t="e">
        <f aca="false">IF(OR(#REF!&gt;2,#REF!&lt;-2),"",#REF!)</f>
        <v>#REF!</v>
      </c>
      <c r="BH6" s="7" t="e">
        <f aca="false">IF(OR(#REF!&gt;2,#REF!&lt;-2),"",#REF!)</f>
        <v>#REF!</v>
      </c>
      <c r="BI6" s="7" t="e">
        <f aca="false">IF(OR(#REF!&gt;2,#REF!&lt;-2),"",#REF!)</f>
        <v>#REF!</v>
      </c>
      <c r="BJ6" s="7" t="e">
        <f aca="false">IF(OR(#REF!&gt;2,#REF!&lt;-2),"",#REF!)</f>
        <v>#REF!</v>
      </c>
      <c r="BK6" s="7" t="e">
        <f aca="false">IF(OR(#REF!&gt;2,#REF!&lt;-2),"",#REF!)</f>
        <v>#REF!</v>
      </c>
      <c r="BL6" s="7" t="e">
        <f aca="false">IF(OR(#REF!&gt;2,#REF!&lt;-2),"",#REF!)</f>
        <v>#REF!</v>
      </c>
      <c r="BM6" s="7" t="e">
        <f aca="false">IF(OR(#REF!&gt;2,#REF!&lt;-2),"",#REF!)</f>
        <v>#REF!</v>
      </c>
      <c r="BN6" s="7" t="e">
        <f aca="false">IF(OR(#REF!&gt;2,#REF!&lt;-2),"",#REF!)</f>
        <v>#REF!</v>
      </c>
      <c r="BO6" s="7" t="e">
        <f aca="false">IF(OR(#REF!&gt;2,#REF!&lt;-2),"",#REF!)</f>
        <v>#REF!</v>
      </c>
      <c r="BP6" s="7" t="e">
        <f aca="false">IF(OR(#REF!&gt;2,#REF!&lt;-2),"",#REF!)</f>
        <v>#REF!</v>
      </c>
      <c r="BQ6" s="7" t="e">
        <f aca="false">IF(OR(#REF!&gt;2,#REF!&lt;-2),"",#REF!)</f>
        <v>#REF!</v>
      </c>
      <c r="BR6" s="7" t="e">
        <f aca="false">IF(OR(#REF!&gt;2,#REF!&lt;-2),"",#REF!)</f>
        <v>#REF!</v>
      </c>
      <c r="BS6" s="7" t="e">
        <f aca="false">IF(OR(#REF!&gt;2,#REF!&lt;-2),"",#REF!)</f>
        <v>#REF!</v>
      </c>
      <c r="BT6" s="7" t="e">
        <f aca="false">IF(OR(#REF!&gt;2,#REF!&lt;-2),"",#REF!)</f>
        <v>#REF!</v>
      </c>
      <c r="BU6" s="7" t="e">
        <f aca="false">IF(OR(#REF!&gt;2,#REF!&lt;-2),"",#REF!)</f>
        <v>#REF!</v>
      </c>
      <c r="BV6" s="7" t="e">
        <f aca="false">IF(OR(#REF!&gt;2,#REF!&lt;-2),"",#REF!)</f>
        <v>#REF!</v>
      </c>
      <c r="BW6" s="7" t="e">
        <f aca="false">IF(OR(#REF!&gt;2,#REF!&lt;-2),"",#REF!)</f>
        <v>#REF!</v>
      </c>
      <c r="BX6" s="7" t="e">
        <f aca="false">IF(OR(#REF!&gt;2,#REF!&lt;-2),"",#REF!)</f>
        <v>#REF!</v>
      </c>
      <c r="BY6" s="7" t="e">
        <f aca="false">IF(OR(#REF!&gt;2,#REF!&lt;-2),"",#REF!)</f>
        <v>#REF!</v>
      </c>
      <c r="BZ6" s="7" t="e">
        <f aca="false">IF(OR(#REF!&gt;2,#REF!&lt;-2),"",#REF!)</f>
        <v>#REF!</v>
      </c>
      <c r="CA6" s="7" t="e">
        <f aca="false">IF(OR(#REF!&gt;2,#REF!&lt;-2),"",#REF!)</f>
        <v>#REF!</v>
      </c>
      <c r="CB6" s="7" t="e">
        <f aca="false">IF(OR(#REF!&gt;2,#REF!&lt;-2),"",#REF!)</f>
        <v>#REF!</v>
      </c>
      <c r="CC6" s="7" t="e">
        <f aca="false">IF(OR(#REF!&gt;2,#REF!&lt;-2),"",#REF!)</f>
        <v>#REF!</v>
      </c>
      <c r="CD6" s="7" t="e">
        <f aca="false">IF(OR(#REF!&gt;2,#REF!&lt;-2),"",#REF!)</f>
        <v>#REF!</v>
      </c>
      <c r="CE6" s="7" t="e">
        <f aca="false">IF(OR(#REF!&gt;2,#REF!&lt;-2),"",#REF!)</f>
        <v>#REF!</v>
      </c>
      <c r="CF6" s="7" t="e">
        <f aca="false">IF(OR(#REF!&gt;2,#REF!&lt;-2),"",#REF!)</f>
        <v>#REF!</v>
      </c>
      <c r="CG6" s="7" t="e">
        <f aca="false">IF(OR(#REF!&gt;2,#REF!&lt;-2),"",#REF!)</f>
        <v>#REF!</v>
      </c>
      <c r="CH6" s="7" t="e">
        <f aca="false">IF(OR(#REF!&gt;2,#REF!&lt;-2),"",#REF!)</f>
        <v>#REF!</v>
      </c>
      <c r="CI6" s="7" t="e">
        <f aca="false">IF(OR(#REF!&gt;2,#REF!&lt;-2),"",#REF!)</f>
        <v>#REF!</v>
      </c>
      <c r="CJ6" s="7" t="e">
        <f aca="false">IF(OR(#REF!&gt;2,#REF!&lt;-2),"",#REF!)</f>
        <v>#REF!</v>
      </c>
      <c r="CK6" s="7" t="e">
        <f aca="false">IF(OR(#REF!&gt;2,#REF!&lt;-2),"",#REF!)</f>
        <v>#REF!</v>
      </c>
      <c r="CL6" s="7" t="e">
        <f aca="false">IF(OR(#REF!&gt;2,#REF!&lt;-2),"",#REF!)</f>
        <v>#REF!</v>
      </c>
      <c r="CM6" s="7" t="e">
        <f aca="false">IF(OR(#REF!&gt;2,#REF!&lt;-2),"",#REF!)</f>
        <v>#REF!</v>
      </c>
      <c r="CN6" s="7" t="e">
        <f aca="false">IF(OR(#REF!&gt;2,#REF!&lt;-2),"",#REF!)</f>
        <v>#REF!</v>
      </c>
      <c r="CO6" s="7" t="e">
        <f aca="false">IF(OR(#REF!&gt;2,#REF!&lt;-2),"",#REF!)</f>
        <v>#REF!</v>
      </c>
      <c r="CP6" s="7" t="e">
        <f aca="false">IF(OR(#REF!&gt;2,#REF!&lt;-2),"",#REF!)</f>
        <v>#REF!</v>
      </c>
      <c r="CQ6" s="7" t="e">
        <f aca="false">IF(OR(#REF!&gt;2,#REF!&lt;-2),"",#REF!)</f>
        <v>#REF!</v>
      </c>
      <c r="CR6" s="7" t="e">
        <f aca="false">IF(OR(#REF!&gt;2,#REF!&lt;-2),"",#REF!)</f>
        <v>#REF!</v>
      </c>
      <c r="CS6" s="7" t="e">
        <f aca="false">IF(OR(#REF!&gt;2,#REF!&lt;-2),"",#REF!)</f>
        <v>#REF!</v>
      </c>
      <c r="CT6" s="7" t="e">
        <f aca="false">IF(OR(#REF!&gt;2,#REF!&lt;-2),"",#REF!)</f>
        <v>#REF!</v>
      </c>
      <c r="CU6" s="7" t="e">
        <f aca="false">IF(OR(#REF!&gt;2,#REF!&lt;-2),"",#REF!)</f>
        <v>#REF!</v>
      </c>
      <c r="CV6" s="7" t="e">
        <f aca="false">IF(OR(#REF!&gt;2,#REF!&lt;-2),"",#REF!)</f>
        <v>#REF!</v>
      </c>
      <c r="CW6" s="7" t="e">
        <f aca="false">IF(OR(#REF!&gt;2,#REF!&lt;-2),"",#REF!)</f>
        <v>#REF!</v>
      </c>
      <c r="CX6" s="7" t="e">
        <f aca="false">IF(OR(#REF!&gt;2,#REF!&lt;-2),"",#REF!)</f>
        <v>#REF!</v>
      </c>
      <c r="CY6" s="7" t="e">
        <f aca="false">IF(OR(#REF!&gt;2,#REF!&lt;-2),"",#REF!)</f>
        <v>#REF!</v>
      </c>
      <c r="CZ6" s="7" t="e">
        <f aca="false">IF(OR(#REF!&gt;2,#REF!&lt;-2),"",#REF!)</f>
        <v>#REF!</v>
      </c>
      <c r="DA6" s="7" t="e">
        <f aca="false">IF(OR(#REF!&gt;2,#REF!&lt;-2),"",#REF!)</f>
        <v>#REF!</v>
      </c>
      <c r="DB6" s="7" t="e">
        <f aca="false">IF(OR(#REF!&gt;2,#REF!&lt;-2),"",#REF!)</f>
        <v>#REF!</v>
      </c>
      <c r="DC6" s="7" t="e">
        <f aca="false">IF(OR(#REF!&gt;2,#REF!&lt;-2),"",#REF!)</f>
        <v>#REF!</v>
      </c>
      <c r="DD6" s="7" t="e">
        <f aca="false">IF(OR(#REF!&gt;2,#REF!&lt;-2),"",#REF!)</f>
        <v>#REF!</v>
      </c>
      <c r="DE6" s="7" t="e">
        <f aca="false">IF(OR(#REF!&gt;2,#REF!&lt;-2),"",#REF!)</f>
        <v>#REF!</v>
      </c>
      <c r="DF6" s="7" t="e">
        <f aca="false">IF(OR(#REF!&gt;2,#REF!&lt;-2),"",#REF!)</f>
        <v>#REF!</v>
      </c>
      <c r="DG6" s="7" t="e">
        <f aca="false">IF(OR(#REF!&gt;2,#REF!&lt;-2),"",#REF!)</f>
        <v>#REF!</v>
      </c>
      <c r="DH6" s="7" t="e">
        <f aca="false">IF(OR(#REF!&gt;2,#REF!&lt;-2),"",#REF!)</f>
        <v>#REF!</v>
      </c>
      <c r="DI6" s="7" t="e">
        <f aca="false">IF(OR(#REF!&gt;2,#REF!&lt;-2),"",#REF!)</f>
        <v>#REF!</v>
      </c>
      <c r="DJ6" s="7" t="e">
        <f aca="false">IF(OR(#REF!&gt;2,#REF!&lt;-2),"",#REF!)</f>
        <v>#REF!</v>
      </c>
      <c r="DK6" s="7" t="e">
        <f aca="false">IF(OR(#REF!&gt;2,#REF!&lt;-2),"",#REF!)</f>
        <v>#REF!</v>
      </c>
      <c r="DL6" s="7" t="e">
        <f aca="false">IF(OR(#REF!&gt;2,#REF!&lt;-2),"",#REF!)</f>
        <v>#REF!</v>
      </c>
      <c r="DM6" s="7" t="e">
        <f aca="false">IF(OR(#REF!&gt;2,#REF!&lt;-2),"",#REF!)</f>
        <v>#REF!</v>
      </c>
      <c r="DN6" s="7" t="e">
        <f aca="false">IF(OR(#REF!&gt;2,#REF!&lt;-2),"",#REF!)</f>
        <v>#REF!</v>
      </c>
      <c r="DO6" s="7" t="e">
        <f aca="false">IF(OR(#REF!&gt;2,#REF!&lt;-2),"",#REF!)</f>
        <v>#REF!</v>
      </c>
      <c r="DP6" s="7" t="e">
        <f aca="false">IF(OR(#REF!&gt;2,#REF!&lt;-2),"",#REF!)</f>
        <v>#REF!</v>
      </c>
      <c r="DQ6" s="7" t="e">
        <f aca="false">IF(OR(#REF!&gt;2,#REF!&lt;-2),"",#REF!)</f>
        <v>#REF!</v>
      </c>
      <c r="DR6" s="7" t="e">
        <f aca="false">IF(OR(#REF!&gt;2,#REF!&lt;-2),"",#REF!)</f>
        <v>#REF!</v>
      </c>
      <c r="DS6" s="7" t="e">
        <f aca="false">IF(OR(#REF!&gt;2,#REF!&lt;-2),"",#REF!)</f>
        <v>#REF!</v>
      </c>
      <c r="DT6" s="7" t="e">
        <f aca="false">IF(OR(#REF!&gt;2,#REF!&lt;-2),"",#REF!)</f>
        <v>#REF!</v>
      </c>
      <c r="DU6" s="7" t="e">
        <f aca="false">IF(OR(#REF!&gt;2,#REF!&lt;-2),"",#REF!)</f>
        <v>#REF!</v>
      </c>
      <c r="DV6" s="7" t="e">
        <f aca="false">IF(OR(#REF!&gt;2,#REF!&lt;-2),"",#REF!)</f>
        <v>#REF!</v>
      </c>
      <c r="DW6" s="7" t="e">
        <f aca="false">IF(OR(#REF!&gt;2,#REF!&lt;-2),"",#REF!)</f>
        <v>#REF!</v>
      </c>
      <c r="DX6" s="7" t="e">
        <f aca="false">IF(OR(#REF!&gt;2,#REF!&lt;-2),"",#REF!)</f>
        <v>#REF!</v>
      </c>
      <c r="DY6" s="7" t="e">
        <f aca="false">IF(OR(#REF!&gt;2,#REF!&lt;-2),"",#REF!)</f>
        <v>#REF!</v>
      </c>
      <c r="DZ6" s="7" t="e">
        <f aca="false">IF(OR(#REF!&gt;2,#REF!&lt;-2),"",#REF!)</f>
        <v>#REF!</v>
      </c>
      <c r="EA6" s="7" t="e">
        <f aca="false">IF(OR(#REF!&gt;2,#REF!&lt;-2),"",#REF!)</f>
        <v>#REF!</v>
      </c>
      <c r="EB6" s="7" t="e">
        <f aca="false">IF(OR(#REF!&gt;2,#REF!&lt;-2),"",#REF!)</f>
        <v>#REF!</v>
      </c>
      <c r="EC6" s="7" t="e">
        <f aca="false">IF(OR(#REF!&gt;2,#REF!&lt;-2),"",#REF!)</f>
        <v>#REF!</v>
      </c>
      <c r="ED6" s="7" t="e">
        <f aca="false">IF(OR(#REF!&gt;2,#REF!&lt;-2),"",#REF!)</f>
        <v>#REF!</v>
      </c>
      <c r="EE6" s="7" t="e">
        <f aca="false">IF(OR(#REF!&gt;2,#REF!&lt;-2),"",#REF!)</f>
        <v>#REF!</v>
      </c>
      <c r="EF6" s="7" t="e">
        <f aca="false">IF(OR(#REF!&gt;2,#REF!&lt;-2),"",#REF!)</f>
        <v>#REF!</v>
      </c>
      <c r="EG6" s="7" t="e">
        <f aca="false">IF(OR(#REF!&gt;2,#REF!&lt;-2),"",#REF!)</f>
        <v>#REF!</v>
      </c>
      <c r="EH6" s="7" t="e">
        <f aca="false">IF(OR(#REF!&gt;2,#REF!&lt;-2),"",#REF!)</f>
        <v>#REF!</v>
      </c>
      <c r="EI6" s="7" t="e">
        <f aca="false">IF(OR(#REF!&gt;2,#REF!&lt;-2),"",#REF!)</f>
        <v>#REF!</v>
      </c>
      <c r="EJ6" s="7" t="e">
        <f aca="false">IF(OR(#REF!&gt;2,#REF!&lt;-2),"",#REF!)</f>
        <v>#REF!</v>
      </c>
      <c r="EK6" s="7" t="e">
        <f aca="false">IF(OR(#REF!&gt;2,#REF!&lt;-2),"",#REF!)</f>
        <v>#REF!</v>
      </c>
      <c r="EL6" s="7" t="e">
        <f aca="false">IF(OR(#REF!&gt;2,#REF!&lt;-2),"",#REF!)</f>
        <v>#REF!</v>
      </c>
      <c r="EM6" s="7" t="e">
        <f aca="false">IF(OR(#REF!&gt;2,#REF!&lt;-2),"",#REF!)</f>
        <v>#REF!</v>
      </c>
      <c r="EN6" s="7" t="e">
        <f aca="false">IF(OR(#REF!&gt;2,#REF!&lt;-2),"",#REF!)</f>
        <v>#REF!</v>
      </c>
      <c r="EO6" s="7" t="e">
        <f aca="false">IF(OR(#REF!&gt;2,#REF!&lt;-2),"",#REF!)</f>
        <v>#REF!</v>
      </c>
      <c r="EP6" s="7" t="e">
        <f aca="false">IF(OR(#REF!&gt;2,#REF!&lt;-2),"",#REF!)</f>
        <v>#REF!</v>
      </c>
      <c r="EQ6" s="7" t="e">
        <f aca="false">IF(OR(#REF!&gt;2,#REF!&lt;-2),"",#REF!)</f>
        <v>#REF!</v>
      </c>
      <c r="ER6" s="7" t="e">
        <f aca="false">IF(OR(#REF!&gt;2,#REF!&lt;-2),"",#REF!)</f>
        <v>#REF!</v>
      </c>
      <c r="ES6" s="7" t="e">
        <f aca="false">IF(OR(#REF!&gt;2,#REF!&lt;-2),"",#REF!)</f>
        <v>#REF!</v>
      </c>
      <c r="ET6" s="7" t="e">
        <f aca="false">IF(OR(#REF!&gt;2,#REF!&lt;-2),"",#REF!)</f>
        <v>#REF!</v>
      </c>
      <c r="EU6" s="7" t="e">
        <f aca="false">IF(OR(#REF!&gt;2,#REF!&lt;-2),"",#REF!)</f>
        <v>#REF!</v>
      </c>
      <c r="EV6" s="7" t="e">
        <f aca="false">IF(OR(#REF!&gt;2,#REF!&lt;-2),"",#REF!)</f>
        <v>#REF!</v>
      </c>
      <c r="EW6" s="7" t="e">
        <f aca="false">IF(OR(#REF!&gt;2,#REF!&lt;-2),"",#REF!)</f>
        <v>#REF!</v>
      </c>
      <c r="EX6" s="7" t="e">
        <f aca="false">IF(OR(#REF!&gt;2,#REF!&lt;-2),"",#REF!)</f>
        <v>#REF!</v>
      </c>
      <c r="EY6" s="7" t="e">
        <f aca="false">IF(OR(#REF!&gt;2,#REF!&lt;-2),"",#REF!)</f>
        <v>#REF!</v>
      </c>
      <c r="EZ6" s="7" t="e">
        <f aca="false">IF(OR(#REF!&gt;2,#REF!&lt;-2),"",#REF!)</f>
        <v>#REF!</v>
      </c>
      <c r="FA6" s="7" t="e">
        <f aca="false">IF(OR(#REF!&gt;2,#REF!&lt;-2),"",#REF!)</f>
        <v>#REF!</v>
      </c>
      <c r="FB6" s="7" t="e">
        <f aca="false">IF(OR(#REF!&gt;2,#REF!&lt;-2),"",#REF!)</f>
        <v>#REF!</v>
      </c>
      <c r="FC6" s="7" t="e">
        <f aca="false">IF(OR(#REF!&gt;2,#REF!&lt;-2),"",#REF!)</f>
        <v>#REF!</v>
      </c>
      <c r="FD6" s="7" t="e">
        <f aca="false">IF(OR(#REF!&gt;2,#REF!&lt;-2),"",#REF!)</f>
        <v>#REF!</v>
      </c>
      <c r="FE6" s="7" t="e">
        <f aca="false">IF(OR(#REF!&gt;2,#REF!&lt;-2),"",#REF!)</f>
        <v>#REF!</v>
      </c>
      <c r="FF6" s="7" t="e">
        <f aca="false">IF(OR(#REF!&gt;2,#REF!&lt;-2),"",#REF!)</f>
        <v>#REF!</v>
      </c>
      <c r="FG6" s="7" t="e">
        <f aca="false">IF(OR(#REF!&gt;2,#REF!&lt;-2),"",#REF!)</f>
        <v>#REF!</v>
      </c>
      <c r="FH6" s="7" t="e">
        <f aca="false">IF(OR(#REF!&gt;2,#REF!&lt;-2),"",#REF!)</f>
        <v>#REF!</v>
      </c>
      <c r="FI6" s="7" t="e">
        <f aca="false">IF(OR(#REF!&gt;2,#REF!&lt;-2),"",#REF!)</f>
        <v>#REF!</v>
      </c>
      <c r="FJ6" s="7" t="e">
        <f aca="false">IF(OR(#REF!&gt;2,#REF!&lt;-2),"",#REF!)</f>
        <v>#REF!</v>
      </c>
      <c r="FK6" s="7" t="e">
        <f aca="false">IF(OR(#REF!&gt;2,#REF!&lt;-2),"",#REF!)</f>
        <v>#REF!</v>
      </c>
      <c r="FL6" s="7" t="e">
        <f aca="false">IF(OR(#REF!&gt;2,#REF!&lt;-2),"",#REF!)</f>
        <v>#REF!</v>
      </c>
      <c r="FM6" s="7" t="e">
        <f aca="false">IF(OR(#REF!&gt;2,#REF!&lt;-2),"",#REF!)</f>
        <v>#REF!</v>
      </c>
      <c r="FN6" s="7" t="e">
        <f aca="false">IF(OR(#REF!&gt;2,#REF!&lt;-2),"",#REF!)</f>
        <v>#REF!</v>
      </c>
      <c r="FO6" s="7" t="e">
        <f aca="false">IF(OR(#REF!&gt;2,#REF!&lt;-2),"",#REF!)</f>
        <v>#REF!</v>
      </c>
      <c r="FP6" s="7" t="e">
        <f aca="false">IF(OR(#REF!&gt;2,#REF!&lt;-2),"",#REF!)</f>
        <v>#REF!</v>
      </c>
      <c r="FQ6" s="7" t="e">
        <f aca="false">IF(OR(#REF!&gt;2,#REF!&lt;-2),"",#REF!)</f>
        <v>#REF!</v>
      </c>
      <c r="FR6" s="7" t="e">
        <f aca="false">IF(OR(#REF!&gt;2,#REF!&lt;-2),"",#REF!)</f>
        <v>#REF!</v>
      </c>
      <c r="FS6" s="7" t="e">
        <f aca="false">IF(OR(#REF!&gt;2,#REF!&lt;-2),"",#REF!)</f>
        <v>#REF!</v>
      </c>
      <c r="FT6" s="7" t="e">
        <f aca="false">IF(OR(#REF!&gt;2,#REF!&lt;-2),"",#REF!)</f>
        <v>#REF!</v>
      </c>
      <c r="FU6" s="7" t="e">
        <f aca="false">IF(OR(#REF!&gt;2,#REF!&lt;-2),"",#REF!)</f>
        <v>#REF!</v>
      </c>
      <c r="FV6" s="7" t="e">
        <f aca="false">IF(OR(#REF!&gt;2,#REF!&lt;-2),"",#REF!)</f>
        <v>#REF!</v>
      </c>
      <c r="FW6" s="7" t="e">
        <f aca="false">IF(OR(#REF!&gt;2,#REF!&lt;-2),"",#REF!)</f>
        <v>#REF!</v>
      </c>
      <c r="FX6" s="7" t="e">
        <f aca="false">IF(OR(#REF!&gt;2,#REF!&lt;-2),"",#REF!)</f>
        <v>#REF!</v>
      </c>
      <c r="FY6" s="7" t="e">
        <f aca="false">IF(OR(#REF!&gt;2,#REF!&lt;-2),"",#REF!)</f>
        <v>#REF!</v>
      </c>
      <c r="FZ6" s="7" t="e">
        <f aca="false">IF(OR(#REF!&gt;2,#REF!&lt;-2),"",#REF!)</f>
        <v>#REF!</v>
      </c>
      <c r="GA6" s="7" t="e">
        <f aca="false">IF(OR(#REF!&gt;2,#REF!&lt;-2),"",#REF!)</f>
        <v>#REF!</v>
      </c>
      <c r="GB6" s="7" t="e">
        <f aca="false">IF(OR(#REF!&gt;2,#REF!&lt;-2),"",#REF!)</f>
        <v>#REF!</v>
      </c>
      <c r="GC6" s="7" t="e">
        <f aca="false">IF(OR(#REF!&gt;2,#REF!&lt;-2),"",#REF!)</f>
        <v>#REF!</v>
      </c>
      <c r="GD6" s="7" t="e">
        <f aca="false">IF(OR(#REF!&gt;2,#REF!&lt;-2),"",#REF!)</f>
        <v>#REF!</v>
      </c>
      <c r="GE6" s="7" t="e">
        <f aca="false">IF(OR(#REF!&gt;2,#REF!&lt;-2),"",#REF!)</f>
        <v>#REF!</v>
      </c>
      <c r="GF6" s="7" t="e">
        <f aca="false">IF(OR(#REF!&gt;2,#REF!&lt;-2),"",#REF!)</f>
        <v>#REF!</v>
      </c>
      <c r="GG6" s="7" t="e">
        <f aca="false">IF(OR(#REF!&gt;2,#REF!&lt;-2),"",#REF!)</f>
        <v>#REF!</v>
      </c>
      <c r="GH6" s="7" t="e">
        <f aca="false">IF(OR(#REF!&gt;2,#REF!&lt;-2),"",#REF!)</f>
        <v>#REF!</v>
      </c>
      <c r="GI6" s="7" t="e">
        <f aca="false">IF(OR(#REF!&gt;2,#REF!&lt;-2),"",#REF!)</f>
        <v>#REF!</v>
      </c>
      <c r="GJ6" s="7" t="e">
        <f aca="false">IF(OR(#REF!&gt;2,#REF!&lt;-2),"",#REF!)</f>
        <v>#REF!</v>
      </c>
      <c r="GK6" s="7" t="e">
        <f aca="false">IF(OR(#REF!&gt;2,#REF!&lt;-2),"",#REF!)</f>
        <v>#REF!</v>
      </c>
      <c r="GL6" s="7" t="e">
        <f aca="false">IF(OR(#REF!&gt;2,#REF!&lt;-2),"",#REF!)</f>
        <v>#REF!</v>
      </c>
      <c r="GM6" s="7" t="e">
        <f aca="false">IF(OR(#REF!&gt;2,#REF!&lt;-2),"",#REF!)</f>
        <v>#REF!</v>
      </c>
      <c r="GN6" s="7" t="e">
        <f aca="false">IF(OR(#REF!&gt;2,#REF!&lt;-2),"",#REF!)</f>
        <v>#REF!</v>
      </c>
      <c r="GO6" s="7" t="e">
        <f aca="false">IF(OR(#REF!&gt;2,#REF!&lt;-2),"",#REF!)</f>
        <v>#REF!</v>
      </c>
      <c r="GP6" s="7" t="e">
        <f aca="false">IF(OR(#REF!&gt;2,#REF!&lt;-2),"",#REF!)</f>
        <v>#REF!</v>
      </c>
      <c r="GQ6" s="7" t="e">
        <f aca="false">IF(OR(#REF!&gt;2,#REF!&lt;-2),"",#REF!)</f>
        <v>#REF!</v>
      </c>
      <c r="GR6" s="7" t="e">
        <f aca="false">IF(OR(#REF!&gt;2,#REF!&lt;-2),"",#REF!)</f>
        <v>#REF!</v>
      </c>
      <c r="GS6" s="7" t="e">
        <f aca="false">IF(OR(#REF!&gt;2,#REF!&lt;-2),"",#REF!)</f>
        <v>#REF!</v>
      </c>
      <c r="GT6" s="7" t="e">
        <f aca="false">IF(OR(#REF!&gt;2,#REF!&lt;-2),"",#REF!)</f>
        <v>#REF!</v>
      </c>
      <c r="GU6" s="7" t="e">
        <f aca="false">IF(OR(#REF!&gt;2,#REF!&lt;-2),"",#REF!)</f>
        <v>#REF!</v>
      </c>
      <c r="GV6" s="7" t="e">
        <f aca="false">IF(OR(#REF!&gt;2,#REF!&lt;-2),"",#REF!)</f>
        <v>#REF!</v>
      </c>
      <c r="GW6" s="7" t="e">
        <f aca="false">IF(OR(#REF!&gt;2,#REF!&lt;-2),"",#REF!)</f>
        <v>#REF!</v>
      </c>
      <c r="GX6" s="7" t="e">
        <f aca="false">IF(OR(#REF!&gt;2,#REF!&lt;-2),"",#REF!)</f>
        <v>#REF!</v>
      </c>
      <c r="GY6" s="7" t="e">
        <f aca="false">IF(OR(#REF!&gt;2,#REF!&lt;-2),"",#REF!)</f>
        <v>#REF!</v>
      </c>
      <c r="GZ6" s="7" t="e">
        <f aca="false">IF(OR(#REF!&gt;2,#REF!&lt;-2),"",#REF!)</f>
        <v>#REF!</v>
      </c>
      <c r="HA6" s="7" t="e">
        <f aca="false">IF(OR(#REF!&gt;2,#REF!&lt;-2),"",#REF!)</f>
        <v>#REF!</v>
      </c>
      <c r="HB6" s="7" t="e">
        <f aca="false">IF(OR(#REF!&gt;2,#REF!&lt;-2),"",#REF!)</f>
        <v>#REF!</v>
      </c>
      <c r="HC6" s="7" t="e">
        <f aca="false">IF(OR(#REF!&gt;2,#REF!&lt;-2),"",#REF!)</f>
        <v>#REF!</v>
      </c>
      <c r="HD6" s="7" t="e">
        <f aca="false">IF(OR(#REF!&gt;2,#REF!&lt;-2),"",#REF!)</f>
        <v>#REF!</v>
      </c>
      <c r="HE6" s="7" t="e">
        <f aca="false">IF(OR(#REF!&gt;2,#REF!&lt;-2),"",#REF!)</f>
        <v>#REF!</v>
      </c>
      <c r="HF6" s="7" t="e">
        <f aca="false">IF(OR(#REF!&gt;2,#REF!&lt;-2),"",#REF!)</f>
        <v>#REF!</v>
      </c>
      <c r="HG6" s="7" t="e">
        <f aca="false">IF(OR(#REF!&gt;2,#REF!&lt;-2),"",#REF!)</f>
        <v>#REF!</v>
      </c>
      <c r="HH6" s="7" t="e">
        <f aca="false">IF(OR(#REF!&gt;2,#REF!&lt;-2),"",#REF!)</f>
        <v>#REF!</v>
      </c>
      <c r="HI6" s="7" t="e">
        <f aca="false">IF(OR(#REF!&gt;2,#REF!&lt;-2),"",#REF!)</f>
        <v>#REF!</v>
      </c>
      <c r="HJ6" s="7" t="e">
        <f aca="false">IF(OR(#REF!&gt;2,#REF!&lt;-2),"",#REF!)</f>
        <v>#REF!</v>
      </c>
      <c r="HK6" s="7" t="e">
        <f aca="false">IF(OR(#REF!&gt;2,#REF!&lt;-2),"",#REF!)</f>
        <v>#REF!</v>
      </c>
      <c r="HL6" s="7" t="e">
        <f aca="false">IF(OR(#REF!&gt;2,#REF!&lt;-2),"",#REF!)</f>
        <v>#REF!</v>
      </c>
      <c r="HM6" s="7" t="e">
        <f aca="false">IF(OR(#REF!&gt;2,#REF!&lt;-2),"",#REF!)</f>
        <v>#REF!</v>
      </c>
      <c r="HN6" s="7" t="e">
        <f aca="false">IF(OR(#REF!&gt;2,#REF!&lt;-2),"",#REF!)</f>
        <v>#REF!</v>
      </c>
      <c r="HO6" s="7" t="e">
        <f aca="false">IF(OR(#REF!&gt;2,#REF!&lt;-2),"",#REF!)</f>
        <v>#REF!</v>
      </c>
      <c r="HP6" s="7" t="e">
        <f aca="false">IF(OR(#REF!&gt;2,#REF!&lt;-2),"",#REF!)</f>
        <v>#REF!</v>
      </c>
      <c r="HQ6" s="7" t="e">
        <f aca="false">IF(OR(#REF!&gt;2,#REF!&lt;-2),"",#REF!)</f>
        <v>#REF!</v>
      </c>
      <c r="HR6" s="7" t="e">
        <f aca="false">IF(OR(#REF!&gt;2,#REF!&lt;-2),"",#REF!)</f>
        <v>#REF!</v>
      </c>
      <c r="HS6" s="7" t="e">
        <f aca="false">IF(OR(#REF!&gt;2,#REF!&lt;-2),"",#REF!)</f>
        <v>#REF!</v>
      </c>
      <c r="HT6" s="7" t="e">
        <f aca="false">IF(OR(#REF!&gt;2,#REF!&lt;-2),"",#REF!)</f>
        <v>#REF!</v>
      </c>
      <c r="HU6" s="7" t="e">
        <f aca="false">IF(OR(#REF!&gt;2,#REF!&lt;-2),"",#REF!)</f>
        <v>#REF!</v>
      </c>
      <c r="HV6" s="7" t="e">
        <f aca="false">IF(OR(#REF!&gt;2,#REF!&lt;-2),"",#REF!)</f>
        <v>#REF!</v>
      </c>
      <c r="HW6" s="7" t="e">
        <f aca="false">IF(OR(#REF!&gt;2,#REF!&lt;-2),"",#REF!)</f>
        <v>#REF!</v>
      </c>
      <c r="HX6" s="7" t="e">
        <f aca="false">IF(OR(#REF!&gt;2,#REF!&lt;-2),"",#REF!)</f>
        <v>#REF!</v>
      </c>
      <c r="HY6" s="7" t="e">
        <f aca="false">IF(OR(#REF!&gt;2,#REF!&lt;-2),"",#REF!)</f>
        <v>#REF!</v>
      </c>
      <c r="HZ6" s="7" t="e">
        <f aca="false">IF(OR(#REF!&gt;2,#REF!&lt;-2),"",#REF!)</f>
        <v>#REF!</v>
      </c>
      <c r="IA6" s="7" t="e">
        <f aca="false">IF(OR(#REF!&gt;2,#REF!&lt;-2),"",#REF!)</f>
        <v>#REF!</v>
      </c>
      <c r="IB6" s="7" t="e">
        <f aca="false">IF(OR(#REF!&gt;2,#REF!&lt;-2),"",#REF!)</f>
        <v>#REF!</v>
      </c>
      <c r="IC6" s="7" t="e">
        <f aca="false">IF(OR(#REF!&gt;2,#REF!&lt;-2),"",#REF!)</f>
        <v>#REF!</v>
      </c>
      <c r="ID6" s="7" t="e">
        <f aca="false">IF(OR(#REF!&gt;2,#REF!&lt;-2),"",#REF!)</f>
        <v>#REF!</v>
      </c>
      <c r="IE6" s="7" t="e">
        <f aca="false">IF(OR(#REF!&gt;2,#REF!&lt;-2),"",#REF!)</f>
        <v>#REF!</v>
      </c>
      <c r="IF6" s="7" t="e">
        <f aca="false">IF(OR(#REF!&gt;2,#REF!&lt;-2),"",#REF!)</f>
        <v>#REF!</v>
      </c>
      <c r="IG6" s="7" t="e">
        <f aca="false">IF(OR(#REF!&gt;2,#REF!&lt;-2),"",#REF!)</f>
        <v>#REF!</v>
      </c>
      <c r="IH6" s="7" t="e">
        <f aca="false">IF(OR(#REF!&gt;2,#REF!&lt;-2),"",#REF!)</f>
        <v>#REF!</v>
      </c>
      <c r="II6" s="7" t="e">
        <f aca="false">IF(OR(#REF!&gt;2,#REF!&lt;-2),"",#REF!)</f>
        <v>#REF!</v>
      </c>
      <c r="IJ6" s="7" t="e">
        <f aca="false">IF(OR(#REF!&gt;2,#REF!&lt;-2),"",#REF!)</f>
        <v>#REF!</v>
      </c>
      <c r="IK6" s="7" t="e">
        <f aca="false">IF(OR(#REF!&gt;2,#REF!&lt;-2),"",#REF!)</f>
        <v>#REF!</v>
      </c>
      <c r="IL6" s="7" t="e">
        <f aca="false">IF(OR(#REF!&gt;2,#REF!&lt;-2),"",#REF!)</f>
        <v>#REF!</v>
      </c>
      <c r="IM6" s="7" t="e">
        <f aca="false">IF(OR(#REF!&gt;2,#REF!&lt;-2),"",#REF!)</f>
        <v>#REF!</v>
      </c>
      <c r="IN6" s="7" t="e">
        <f aca="false">IF(OR(#REF!&gt;2,#REF!&lt;-2),"",#REF!)</f>
        <v>#REF!</v>
      </c>
      <c r="IO6" s="7" t="e">
        <f aca="false">IF(OR(#REF!&gt;2,#REF!&lt;-2),"",#REF!)</f>
        <v>#REF!</v>
      </c>
      <c r="IP6" s="7" t="e">
        <f aca="false">IF(OR(#REF!&gt;2,#REF!&lt;-2),"",#REF!)</f>
        <v>#REF!</v>
      </c>
      <c r="IQ6" s="7" t="e">
        <f aca="false">IF(OR(#REF!&gt;2,#REF!&lt;-2),"",#REF!)</f>
        <v>#REF!</v>
      </c>
      <c r="IR6" s="7" t="e">
        <f aca="false">IF(OR(#REF!&gt;2,#REF!&lt;-2),"",#REF!)</f>
        <v>#REF!</v>
      </c>
      <c r="IS6" s="7" t="e">
        <f aca="false">IF(OR(#REF!&gt;2,#REF!&lt;-2),"",#REF!)</f>
        <v>#REF!</v>
      </c>
      <c r="IT6" s="7" t="e">
        <f aca="false">IF(OR(#REF!&gt;2,#REF!&lt;-2),"",#REF!)</f>
        <v>#REF!</v>
      </c>
      <c r="IU6" s="7" t="e">
        <f aca="false">IF(OR(#REF!&gt;2,#REF!&lt;-2),"",#REF!)</f>
        <v>#REF!</v>
      </c>
      <c r="IV6" s="7" t="e">
        <f aca="false">IF(OR(#REF!&gt;2,#REF!&lt;-2),"",#REF!)</f>
        <v>#REF!</v>
      </c>
      <c r="IW6" s="7" t="e">
        <f aca="false">IF(OR(#REF!&gt;2,#REF!&lt;-2),"",#REF!)</f>
        <v>#REF!</v>
      </c>
      <c r="IX6" s="7" t="e">
        <f aca="false">IF(OR(#REF!&gt;2,#REF!&lt;-2),"",#REF!)</f>
        <v>#REF!</v>
      </c>
      <c r="IY6" s="7" t="e">
        <f aca="false">IF(OR(#REF!&gt;2,#REF!&lt;-2),"",#REF!)</f>
        <v>#REF!</v>
      </c>
      <c r="IZ6" s="7" t="e">
        <f aca="false">IF(OR(#REF!&gt;2,#REF!&lt;-2),"",#REF!)</f>
        <v>#REF!</v>
      </c>
      <c r="JA6" s="7" t="e">
        <f aca="false">IF(OR(#REF!&gt;2,#REF!&lt;-2),"",#REF!)</f>
        <v>#REF!</v>
      </c>
      <c r="JB6" s="7" t="e">
        <f aca="false">IF(OR(#REF!&gt;2,#REF!&lt;-2),"",#REF!)</f>
        <v>#REF!</v>
      </c>
      <c r="JC6" s="7" t="e">
        <f aca="false">IF(OR(#REF!&gt;2,#REF!&lt;-2),"",#REF!)</f>
        <v>#REF!</v>
      </c>
      <c r="JD6" s="7" t="e">
        <f aca="false">IF(OR(#REF!&gt;2,#REF!&lt;-2),"",#REF!)</f>
        <v>#REF!</v>
      </c>
      <c r="JE6" s="7" t="e">
        <f aca="false">IF(OR(#REF!&gt;2,#REF!&lt;-2),"",#REF!)</f>
        <v>#REF!</v>
      </c>
      <c r="JF6" s="7" t="e">
        <f aca="false">IF(OR(#REF!&gt;2,#REF!&lt;-2),"",#REF!)</f>
        <v>#REF!</v>
      </c>
      <c r="JG6" s="7" t="e">
        <f aca="false">IF(OR(#REF!&gt;2,#REF!&lt;-2),"",#REF!)</f>
        <v>#REF!</v>
      </c>
      <c r="JH6" s="7" t="e">
        <f aca="false">IF(OR(#REF!&gt;2,#REF!&lt;-2),"",#REF!)</f>
        <v>#REF!</v>
      </c>
      <c r="JI6" s="7" t="e">
        <f aca="false">IF(OR(#REF!&gt;2,#REF!&lt;-2),"",#REF!)</f>
        <v>#REF!</v>
      </c>
      <c r="JJ6" s="7" t="e">
        <f aca="false">IF(OR(#REF!&gt;2,#REF!&lt;-2),"",#REF!)</f>
        <v>#REF!</v>
      </c>
      <c r="JK6" s="7" t="e">
        <f aca="false">IF(OR(#REF!&gt;2,#REF!&lt;-2),"",#REF!)</f>
        <v>#REF!</v>
      </c>
      <c r="JL6" s="7" t="e">
        <f aca="false">IF(OR(#REF!&gt;2,#REF!&lt;-2),"",#REF!)</f>
        <v>#REF!</v>
      </c>
      <c r="JM6" s="7" t="e">
        <f aca="false">IF(OR(#REF!&gt;2,#REF!&lt;-2),"",#REF!)</f>
        <v>#REF!</v>
      </c>
      <c r="JN6" s="7" t="e">
        <f aca="false">IF(OR(#REF!&gt;2,#REF!&lt;-2),"",#REF!)</f>
        <v>#REF!</v>
      </c>
      <c r="JO6" s="7" t="e">
        <f aca="false">IF(OR(#REF!&gt;2,#REF!&lt;-2),"",#REF!)</f>
        <v>#REF!</v>
      </c>
      <c r="JP6" s="7" t="e">
        <f aca="false">IF(OR(#REF!&gt;2,#REF!&lt;-2),"",#REF!)</f>
        <v>#REF!</v>
      </c>
      <c r="JQ6" s="7" t="e">
        <f aca="false">IF(OR(#REF!&gt;2,#REF!&lt;-2),"",#REF!)</f>
        <v>#REF!</v>
      </c>
      <c r="JR6" s="7" t="e">
        <f aca="false">IF(OR(#REF!&gt;2,#REF!&lt;-2),"",#REF!)</f>
        <v>#REF!</v>
      </c>
      <c r="JS6" s="7" t="e">
        <f aca="false">IF(OR(#REF!&gt;2,#REF!&lt;-2),"",#REF!)</f>
        <v>#REF!</v>
      </c>
      <c r="JT6" s="7" t="e">
        <f aca="false">IF(OR(#REF!&gt;2,#REF!&lt;-2),"",#REF!)</f>
        <v>#REF!</v>
      </c>
      <c r="JU6" s="7" t="e">
        <f aca="false">IF(OR(#REF!&gt;2,#REF!&lt;-2),"",#REF!)</f>
        <v>#REF!</v>
      </c>
      <c r="JV6" s="7" t="e">
        <f aca="false">IF(OR(#REF!&gt;2,#REF!&lt;-2),"",#REF!)</f>
        <v>#REF!</v>
      </c>
      <c r="JW6" s="7" t="e">
        <f aca="false">IF(OR(#REF!&gt;2,#REF!&lt;-2),"",#REF!)</f>
        <v>#REF!</v>
      </c>
      <c r="JX6" s="7" t="e">
        <f aca="false">IF(OR(#REF!&gt;2,#REF!&lt;-2),"",#REF!)</f>
        <v>#REF!</v>
      </c>
      <c r="JY6" s="7" t="e">
        <f aca="false">IF(OR(#REF!&gt;2,#REF!&lt;-2),"",#REF!)</f>
        <v>#REF!</v>
      </c>
      <c r="JZ6" s="7" t="e">
        <f aca="false">IF(OR(#REF!&gt;2,#REF!&lt;-2),"",#REF!)</f>
        <v>#REF!</v>
      </c>
      <c r="KA6" s="7" t="e">
        <f aca="false">IF(OR(#REF!&gt;2,#REF!&lt;-2),"",#REF!)</f>
        <v>#REF!</v>
      </c>
      <c r="KB6" s="7" t="e">
        <f aca="false">IF(OR(#REF!&gt;2,#REF!&lt;-2),"",#REF!)</f>
        <v>#REF!</v>
      </c>
      <c r="KC6" s="7" t="e">
        <f aca="false">IF(OR(#REF!&gt;2,#REF!&lt;-2),"",#REF!)</f>
        <v>#REF!</v>
      </c>
      <c r="KD6" s="7" t="e">
        <f aca="false">IF(OR(#REF!&gt;2,#REF!&lt;-2),"",#REF!)</f>
        <v>#REF!</v>
      </c>
      <c r="KE6" s="7" t="e">
        <f aca="false">IF(OR(#REF!&gt;2,#REF!&lt;-2),"",#REF!)</f>
        <v>#REF!</v>
      </c>
      <c r="KF6" s="7" t="e">
        <f aca="false">IF(OR(#REF!&gt;2,#REF!&lt;-2),"",#REF!)</f>
        <v>#REF!</v>
      </c>
      <c r="KG6" s="7" t="e">
        <f aca="false">IF(OR(#REF!&gt;2,#REF!&lt;-2),"",#REF!)</f>
        <v>#REF!</v>
      </c>
      <c r="KH6" s="7" t="e">
        <f aca="false">IF(OR(#REF!&gt;2,#REF!&lt;-2),"",#REF!)</f>
        <v>#REF!</v>
      </c>
      <c r="KI6" s="7" t="e">
        <f aca="false">IF(OR(#REF!&gt;2,#REF!&lt;-2),"",#REF!)</f>
        <v>#REF!</v>
      </c>
      <c r="KJ6" s="7" t="e">
        <f aca="false">IF(OR(#REF!&gt;2,#REF!&lt;-2),"",#REF!)</f>
        <v>#REF!</v>
      </c>
      <c r="KK6" s="7" t="e">
        <f aca="false">IF(OR(#REF!&gt;2,#REF!&lt;-2),"",#REF!)</f>
        <v>#REF!</v>
      </c>
      <c r="KL6" s="7" t="e">
        <f aca="false">IF(OR(#REF!&gt;2,#REF!&lt;-2),"",#REF!)</f>
        <v>#REF!</v>
      </c>
      <c r="KM6" s="7" t="e">
        <f aca="false">IF(OR(#REF!&gt;2,#REF!&lt;-2),"",#REF!)</f>
        <v>#REF!</v>
      </c>
      <c r="KN6" s="7" t="e">
        <f aca="false">IF(OR(#REF!&gt;2,#REF!&lt;-2),"",#REF!)</f>
        <v>#REF!</v>
      </c>
      <c r="KO6" s="7" t="e">
        <f aca="false">IF(OR(#REF!&gt;2,#REF!&lt;-2),"",#REF!)</f>
        <v>#REF!</v>
      </c>
      <c r="KP6" s="7" t="e">
        <f aca="false">IF(OR(#REF!&gt;2,#REF!&lt;-2),"",#REF!)</f>
        <v>#REF!</v>
      </c>
      <c r="KQ6" s="7" t="e">
        <f aca="false">IF(OR(#REF!&gt;2,#REF!&lt;-2),"",#REF!)</f>
        <v>#REF!</v>
      </c>
      <c r="KR6" s="7" t="e">
        <f aca="false">IF(OR(#REF!&gt;2,#REF!&lt;-2),"",#REF!)</f>
        <v>#REF!</v>
      </c>
      <c r="KS6" s="7" t="e">
        <f aca="false">IF(OR(#REF!&gt;2,#REF!&lt;-2),"",#REF!)</f>
        <v>#REF!</v>
      </c>
      <c r="KT6" s="7" t="e">
        <f aca="false">IF(OR(#REF!&gt;2,#REF!&lt;-2),"",#REF!)</f>
        <v>#REF!</v>
      </c>
      <c r="KU6" s="7" t="e">
        <f aca="false">IF(OR(#REF!&gt;2,#REF!&lt;-2),"",#REF!)</f>
        <v>#REF!</v>
      </c>
      <c r="KV6" s="7" t="e">
        <f aca="false">IF(OR(#REF!&gt;2,#REF!&lt;-2),"",#REF!)</f>
        <v>#REF!</v>
      </c>
      <c r="KW6" s="7" t="e">
        <f aca="false">IF(OR(#REF!&gt;2,#REF!&lt;-2),"",#REF!)</f>
        <v>#REF!</v>
      </c>
      <c r="KX6" s="7" t="e">
        <f aca="false">IF(OR(#REF!&gt;2,#REF!&lt;-2),"",#REF!)</f>
        <v>#REF!</v>
      </c>
      <c r="KY6" s="7" t="e">
        <f aca="false">IF(OR(#REF!&gt;2,#REF!&lt;-2),"",#REF!)</f>
        <v>#REF!</v>
      </c>
      <c r="KZ6" s="7" t="e">
        <f aca="false">IF(OR(#REF!&gt;2,#REF!&lt;-2),"",#REF!)</f>
        <v>#REF!</v>
      </c>
      <c r="LA6" s="7" t="e">
        <f aca="false">IF(OR(#REF!&gt;2,#REF!&lt;-2),"",#REF!)</f>
        <v>#REF!</v>
      </c>
      <c r="LB6" s="7" t="e">
        <f aca="false">IF(OR(#REF!&gt;2,#REF!&lt;-2),"",#REF!)</f>
        <v>#REF!</v>
      </c>
      <c r="LC6" s="7" t="e">
        <f aca="false">IF(OR(#REF!&gt;2,#REF!&lt;-2),"",#REF!)</f>
        <v>#REF!</v>
      </c>
      <c r="LD6" s="7" t="e">
        <f aca="false">IF(OR(#REF!&gt;2,#REF!&lt;-2),"",#REF!)</f>
        <v>#REF!</v>
      </c>
      <c r="LE6" s="7" t="e">
        <f aca="false">IF(OR(#REF!&gt;2,#REF!&lt;-2),"",#REF!)</f>
        <v>#REF!</v>
      </c>
      <c r="LF6" s="7" t="e">
        <f aca="false">IF(OR(#REF!&gt;2,#REF!&lt;-2),"",#REF!)</f>
        <v>#REF!</v>
      </c>
      <c r="LG6" s="7" t="e">
        <f aca="false">IF(OR(#REF!&gt;2,#REF!&lt;-2),"",#REF!)</f>
        <v>#REF!</v>
      </c>
      <c r="LH6" s="7" t="e">
        <f aca="false">IF(OR(#REF!&gt;2,#REF!&lt;-2),"",#REF!)</f>
        <v>#REF!</v>
      </c>
      <c r="LI6" s="7" t="e">
        <f aca="false">IF(OR(#REF!&gt;2,#REF!&lt;-2),"",#REF!)</f>
        <v>#REF!</v>
      </c>
      <c r="LJ6" s="7" t="e">
        <f aca="false">IF(OR(#REF!&gt;2,#REF!&lt;-2),"",#REF!)</f>
        <v>#REF!</v>
      </c>
      <c r="LK6" s="7" t="e">
        <f aca="false">IF(OR(#REF!&gt;2,#REF!&lt;-2),"",#REF!)</f>
        <v>#REF!</v>
      </c>
      <c r="LL6" s="7" t="e">
        <f aca="false">IF(OR(#REF!&gt;2,#REF!&lt;-2),"",#REF!)</f>
        <v>#REF!</v>
      </c>
      <c r="LM6" s="7" t="e">
        <f aca="false">IF(OR(#REF!&gt;2,#REF!&lt;-2),"",#REF!)</f>
        <v>#REF!</v>
      </c>
      <c r="LN6" s="7" t="e">
        <f aca="false">IF(OR(#REF!&gt;2,#REF!&lt;-2),"",#REF!)</f>
        <v>#REF!</v>
      </c>
      <c r="LO6" s="7" t="e">
        <f aca="false">IF(OR(#REF!&gt;2,#REF!&lt;-2),"",#REF!)</f>
        <v>#REF!</v>
      </c>
      <c r="LP6" s="7" t="e">
        <f aca="false">IF(OR(#REF!&gt;2,#REF!&lt;-2),"",#REF!)</f>
        <v>#REF!</v>
      </c>
      <c r="LQ6" s="7" t="e">
        <f aca="false">IF(OR(#REF!&gt;2,#REF!&lt;-2),"",#REF!)</f>
        <v>#REF!</v>
      </c>
      <c r="LR6" s="7" t="e">
        <f aca="false">IF(OR(#REF!&gt;2,#REF!&lt;-2),"",#REF!)</f>
        <v>#REF!</v>
      </c>
      <c r="LS6" s="7" t="e">
        <f aca="false">IF(OR(#REF!&gt;2,#REF!&lt;-2),"",#REF!)</f>
        <v>#REF!</v>
      </c>
      <c r="LT6" s="7" t="e">
        <f aca="false">IF(OR(#REF!&gt;2,#REF!&lt;-2),"",#REF!)</f>
        <v>#REF!</v>
      </c>
      <c r="LU6" s="7" t="e">
        <f aca="false">IF(OR(#REF!&gt;2,#REF!&lt;-2),"",#REF!)</f>
        <v>#REF!</v>
      </c>
      <c r="LV6" s="7" t="e">
        <f aca="false">IF(OR(#REF!&gt;2,#REF!&lt;-2),"",#REF!)</f>
        <v>#REF!</v>
      </c>
      <c r="LW6" s="7" t="e">
        <f aca="false">IF(OR(#REF!&gt;2,#REF!&lt;-2),"",#REF!)</f>
        <v>#REF!</v>
      </c>
      <c r="LX6" s="7" t="e">
        <f aca="false">IF(OR(#REF!&gt;2,#REF!&lt;-2),"",#REF!)</f>
        <v>#REF!</v>
      </c>
      <c r="LY6" s="7" t="e">
        <f aca="false">IF(OR(#REF!&gt;2,#REF!&lt;-2),"",#REF!)</f>
        <v>#REF!</v>
      </c>
      <c r="LZ6" s="7" t="e">
        <f aca="false">IF(OR(#REF!&gt;2,#REF!&lt;-2),"",#REF!)</f>
        <v>#REF!</v>
      </c>
      <c r="MA6" s="7" t="e">
        <f aca="false">IF(OR(#REF!&gt;2,#REF!&lt;-2),"",#REF!)</f>
        <v>#REF!</v>
      </c>
      <c r="MB6" s="7" t="e">
        <f aca="false">IF(OR(#REF!&gt;2,#REF!&lt;-2),"",#REF!)</f>
        <v>#REF!</v>
      </c>
      <c r="MC6" s="7" t="e">
        <f aca="false">IF(OR(#REF!&gt;2,#REF!&lt;-2),"",#REF!)</f>
        <v>#REF!</v>
      </c>
      <c r="MD6" s="7" t="e">
        <f aca="false">IF(OR(#REF!&gt;2,#REF!&lt;-2),"",#REF!)</f>
        <v>#REF!</v>
      </c>
      <c r="ME6" s="7" t="e">
        <f aca="false">IF(OR(#REF!&gt;2,#REF!&lt;-2),"",#REF!)</f>
        <v>#REF!</v>
      </c>
      <c r="MF6" s="7" t="e">
        <f aca="false">IF(OR(#REF!&gt;2,#REF!&lt;-2),"",#REF!)</f>
        <v>#REF!</v>
      </c>
      <c r="MG6" s="7" t="e">
        <f aca="false">IF(OR(#REF!&gt;2,#REF!&lt;-2),"",#REF!)</f>
        <v>#REF!</v>
      </c>
      <c r="MH6" s="7" t="e">
        <f aca="false">IF(OR(#REF!&gt;2,#REF!&lt;-2),"",#REF!)</f>
        <v>#REF!</v>
      </c>
      <c r="MI6" s="7" t="e">
        <f aca="false">IF(OR(#REF!&gt;2,#REF!&lt;-2),"",#REF!)</f>
        <v>#REF!</v>
      </c>
      <c r="MJ6" s="7" t="e">
        <f aca="false">IF(OR(#REF!&gt;2,#REF!&lt;-2),"",#REF!)</f>
        <v>#REF!</v>
      </c>
      <c r="MK6" s="7" t="e">
        <f aca="false">IF(OR(#REF!&gt;2,#REF!&lt;-2),"",#REF!)</f>
        <v>#REF!</v>
      </c>
      <c r="ML6" s="7" t="e">
        <f aca="false">IF(OR(#REF!&gt;2,#REF!&lt;-2),"",#REF!)</f>
        <v>#REF!</v>
      </c>
      <c r="MM6" s="7" t="e">
        <f aca="false">IF(OR(#REF!&gt;2,#REF!&lt;-2),"",#REF!)</f>
        <v>#REF!</v>
      </c>
      <c r="MN6" s="7" t="e">
        <f aca="false">IF(OR(#REF!&gt;2,#REF!&lt;-2),"",#REF!)</f>
        <v>#REF!</v>
      </c>
      <c r="MO6" s="7" t="e">
        <f aca="false">IF(OR(#REF!&gt;2,#REF!&lt;-2),"",#REF!)</f>
        <v>#REF!</v>
      </c>
      <c r="MP6" s="7" t="e">
        <f aca="false">IF(OR(#REF!&gt;2,#REF!&lt;-2),"",#REF!)</f>
        <v>#REF!</v>
      </c>
      <c r="MQ6" s="7" t="e">
        <f aca="false">IF(OR(#REF!&gt;2,#REF!&lt;-2),"",#REF!)</f>
        <v>#REF!</v>
      </c>
      <c r="MR6" s="7" t="e">
        <f aca="false">IF(OR(#REF!&gt;2,#REF!&lt;-2),"",#REF!)</f>
        <v>#REF!</v>
      </c>
      <c r="MS6" s="7" t="e">
        <f aca="false">IF(OR(#REF!&gt;2,#REF!&lt;-2),"",#REF!)</f>
        <v>#REF!</v>
      </c>
      <c r="MT6" s="7" t="e">
        <f aca="false">IF(OR(#REF!&gt;2,#REF!&lt;-2),"",#REF!)</f>
        <v>#REF!</v>
      </c>
      <c r="MU6" s="7" t="e">
        <f aca="false">IF(OR(#REF!&gt;2,#REF!&lt;-2),"",#REF!)</f>
        <v>#REF!</v>
      </c>
      <c r="MV6" s="7" t="e">
        <f aca="false">IF(OR(#REF!&gt;2,#REF!&lt;-2),"",#REF!)</f>
        <v>#REF!</v>
      </c>
      <c r="MW6" s="7" t="e">
        <f aca="false">IF(OR(#REF!&gt;2,#REF!&lt;-2),"",#REF!)</f>
        <v>#REF!</v>
      </c>
      <c r="MX6" s="7" t="e">
        <f aca="false">IF(OR(#REF!&gt;2,#REF!&lt;-2),"",#REF!)</f>
        <v>#REF!</v>
      </c>
      <c r="MY6" s="7" t="e">
        <f aca="false">IF(OR(#REF!&gt;2,#REF!&lt;-2),"",#REF!)</f>
        <v>#REF!</v>
      </c>
      <c r="MZ6" s="7" t="e">
        <f aca="false">IF(OR(#REF!&gt;2,#REF!&lt;-2),"",#REF!)</f>
        <v>#REF!</v>
      </c>
      <c r="NA6" s="7" t="e">
        <f aca="false">IF(OR(#REF!&gt;2,#REF!&lt;-2),"",#REF!)</f>
        <v>#REF!</v>
      </c>
      <c r="NB6" s="7" t="e">
        <f aca="false">IF(OR(#REF!&gt;2,#REF!&lt;-2),"",#REF!)</f>
        <v>#REF!</v>
      </c>
      <c r="NC6" s="7" t="e">
        <f aca="false">IF(OR(#REF!&gt;2,#REF!&lt;-2),"",#REF!)</f>
        <v>#REF!</v>
      </c>
      <c r="ND6" s="7" t="e">
        <f aca="false">IF(OR(#REF!&gt;2,#REF!&lt;-2),"",#REF!)</f>
        <v>#REF!</v>
      </c>
      <c r="NE6" s="7" t="e">
        <f aca="false">IF(OR(#REF!&gt;2,#REF!&lt;-2),"",#REF!)</f>
        <v>#REF!</v>
      </c>
      <c r="NF6" s="7" t="e">
        <f aca="false">IF(OR(#REF!&gt;2,#REF!&lt;-2),"",#REF!)</f>
        <v>#REF!</v>
      </c>
      <c r="NG6" s="7" t="e">
        <f aca="false">IF(OR(#REF!&gt;2,#REF!&lt;-2),"",#REF!)</f>
        <v>#REF!</v>
      </c>
      <c r="NH6" s="7" t="e">
        <f aca="false">IF(OR(#REF!&gt;2,#REF!&lt;-2),"",#REF!)</f>
        <v>#REF!</v>
      </c>
      <c r="NI6" s="7" t="e">
        <f aca="false">IF(OR(#REF!&gt;2,#REF!&lt;-2),"",#REF!)</f>
        <v>#REF!</v>
      </c>
      <c r="NJ6" s="7" t="e">
        <f aca="false">IF(OR(#REF!&gt;2,#REF!&lt;-2),"",#REF!)</f>
        <v>#REF!</v>
      </c>
      <c r="NK6" s="7" t="e">
        <f aca="false">IF(OR(#REF!&gt;2,#REF!&lt;-2),"",#REF!)</f>
        <v>#REF!</v>
      </c>
      <c r="NL6" s="7" t="e">
        <f aca="false">IF(OR(#REF!&gt;2,#REF!&lt;-2),"",#REF!)</f>
        <v>#REF!</v>
      </c>
      <c r="NM6" s="7" t="e">
        <f aca="false">IF(OR(#REF!&gt;2,#REF!&lt;-2),"",#REF!)</f>
        <v>#REF!</v>
      </c>
      <c r="NN6" s="7" t="e">
        <f aca="false">IF(OR(#REF!&gt;2,#REF!&lt;-2),"",#REF!)</f>
        <v>#REF!</v>
      </c>
      <c r="NO6" s="7" t="e">
        <f aca="false">IF(OR(#REF!&gt;2,#REF!&lt;-2),"",#REF!)</f>
        <v>#REF!</v>
      </c>
      <c r="NP6" s="7" t="e">
        <f aca="false">IF(OR(#REF!&gt;2,#REF!&lt;-2),"",#REF!)</f>
        <v>#REF!</v>
      </c>
      <c r="NQ6" s="7" t="e">
        <f aca="false">IF(OR(#REF!&gt;2,#REF!&lt;-2),"",#REF!)</f>
        <v>#REF!</v>
      </c>
      <c r="NR6" s="7" t="e">
        <f aca="false">IF(OR(#REF!&gt;2,#REF!&lt;-2),"",#REF!)</f>
        <v>#REF!</v>
      </c>
      <c r="NS6" s="7" t="e">
        <f aca="false">IF(OR(#REF!&gt;2,#REF!&lt;-2),"",#REF!)</f>
        <v>#REF!</v>
      </c>
      <c r="NT6" s="7" t="e">
        <f aca="false">IF(OR(#REF!&gt;2,#REF!&lt;-2),"",#REF!)</f>
        <v>#REF!</v>
      </c>
      <c r="NU6" s="7" t="e">
        <f aca="false">IF(OR(#REF!&gt;2,#REF!&lt;-2),"",#REF!)</f>
        <v>#REF!</v>
      </c>
      <c r="NV6" s="7" t="e">
        <f aca="false">IF(OR(#REF!&gt;2,#REF!&lt;-2),"",#REF!)</f>
        <v>#REF!</v>
      </c>
      <c r="NW6" s="7" t="e">
        <f aca="false">IF(OR(#REF!&gt;2,#REF!&lt;-2),"",#REF!)</f>
        <v>#REF!</v>
      </c>
      <c r="NX6" s="7" t="e">
        <f aca="false">IF(OR(#REF!&gt;2,#REF!&lt;-2),"",#REF!)</f>
        <v>#REF!</v>
      </c>
      <c r="NY6" s="7" t="e">
        <f aca="false">IF(OR(#REF!&gt;2,#REF!&lt;-2),"",#REF!)</f>
        <v>#REF!</v>
      </c>
      <c r="NZ6" s="7" t="e">
        <f aca="false">IF(OR(#REF!&gt;2,#REF!&lt;-2),"",#REF!)</f>
        <v>#REF!</v>
      </c>
      <c r="OA6" s="7" t="e">
        <f aca="false">IF(OR(#REF!&gt;2,#REF!&lt;-2),"",#REF!)</f>
        <v>#REF!</v>
      </c>
      <c r="OB6" s="7" t="e">
        <f aca="false">IF(OR(#REF!&gt;2,#REF!&lt;-2),"",#REF!)</f>
        <v>#REF!</v>
      </c>
      <c r="OC6" s="7" t="e">
        <f aca="false">IF(OR(#REF!&gt;2,#REF!&lt;-2),"",#REF!)</f>
        <v>#REF!</v>
      </c>
      <c r="OD6" s="7" t="e">
        <f aca="false">IF(OR(#REF!&gt;2,#REF!&lt;-2),"",#REF!)</f>
        <v>#REF!</v>
      </c>
      <c r="OE6" s="7" t="e">
        <f aca="false">IF(OR(#REF!&gt;2,#REF!&lt;-2),"",#REF!)</f>
        <v>#REF!</v>
      </c>
      <c r="OF6" s="7" t="e">
        <f aca="false">IF(OR(#REF!&gt;2,#REF!&lt;-2),"",#REF!)</f>
        <v>#REF!</v>
      </c>
      <c r="OG6" s="7" t="e">
        <f aca="false">IF(OR(#REF!&gt;2,#REF!&lt;-2),"",#REF!)</f>
        <v>#REF!</v>
      </c>
      <c r="OH6" s="7" t="e">
        <f aca="false">IF(OR(#REF!&gt;2,#REF!&lt;-2),"",#REF!)</f>
        <v>#REF!</v>
      </c>
      <c r="OI6" s="7" t="e">
        <f aca="false">IF(OR(#REF!&gt;2,#REF!&lt;-2),"",#REF!)</f>
        <v>#REF!</v>
      </c>
      <c r="OJ6" s="7" t="e">
        <f aca="false">IF(OR(#REF!&gt;2,#REF!&lt;-2),"",#REF!)</f>
        <v>#REF!</v>
      </c>
      <c r="OK6" s="7" t="e">
        <f aca="false">IF(OR(#REF!&gt;2,#REF!&lt;-2),"",#REF!)</f>
        <v>#REF!</v>
      </c>
      <c r="OL6" s="7" t="e">
        <f aca="false">IF(OR(#REF!&gt;2,#REF!&lt;-2),"",#REF!)</f>
        <v>#REF!</v>
      </c>
      <c r="OM6" s="7" t="e">
        <f aca="false">IF(OR(#REF!&gt;2,#REF!&lt;-2),"",#REF!)</f>
        <v>#REF!</v>
      </c>
      <c r="ON6" s="7" t="e">
        <f aca="false">IF(OR(#REF!&gt;2,#REF!&lt;-2),"",#REF!)</f>
        <v>#REF!</v>
      </c>
      <c r="OO6" s="7" t="e">
        <f aca="false">IF(OR(#REF!&gt;2,#REF!&lt;-2),"",#REF!)</f>
        <v>#REF!</v>
      </c>
      <c r="OP6" s="7" t="e">
        <f aca="false">IF(OR(#REF!&gt;2,#REF!&lt;-2),"",#REF!)</f>
        <v>#REF!</v>
      </c>
      <c r="OQ6" s="7" t="e">
        <f aca="false">IF(OR(#REF!&gt;2,#REF!&lt;-2),"",#REF!)</f>
        <v>#REF!</v>
      </c>
      <c r="OR6" s="7" t="e">
        <f aca="false">IF(OR(#REF!&gt;2,#REF!&lt;-2),"",#REF!)</f>
        <v>#REF!</v>
      </c>
      <c r="OS6" s="7" t="e">
        <f aca="false">IF(OR(#REF!&gt;2,#REF!&lt;-2),"",#REF!)</f>
        <v>#REF!</v>
      </c>
      <c r="OT6" s="7" t="e">
        <f aca="false">IF(OR(#REF!&gt;2,#REF!&lt;-2),"",#REF!)</f>
        <v>#REF!</v>
      </c>
      <c r="OU6" s="7" t="e">
        <f aca="false">IF(OR(#REF!&gt;2,#REF!&lt;-2),"",#REF!)</f>
        <v>#REF!</v>
      </c>
      <c r="OV6" s="7" t="e">
        <f aca="false">IF(OR(#REF!&gt;2,#REF!&lt;-2),"",#REF!)</f>
        <v>#REF!</v>
      </c>
      <c r="OW6" s="7" t="e">
        <f aca="false">IF(OR(#REF!&gt;2,#REF!&lt;-2),"",#REF!)</f>
        <v>#REF!</v>
      </c>
      <c r="OX6" s="7" t="e">
        <f aca="false">IF(OR(#REF!&gt;2,#REF!&lt;-2),"",#REF!)</f>
        <v>#REF!</v>
      </c>
      <c r="OY6" s="7" t="e">
        <f aca="false">IF(OR(#REF!&gt;2,#REF!&lt;-2),"",#REF!)</f>
        <v>#REF!</v>
      </c>
      <c r="OZ6" s="7" t="e">
        <f aca="false">IF(OR(#REF!&gt;2,#REF!&lt;-2),"",#REF!)</f>
        <v>#REF!</v>
      </c>
      <c r="PA6" s="7" t="e">
        <f aca="false">IF(OR(#REF!&gt;2,#REF!&lt;-2),"",#REF!)</f>
        <v>#REF!</v>
      </c>
      <c r="PB6" s="7" t="e">
        <f aca="false">IF(OR(#REF!&gt;2,#REF!&lt;-2),"",#REF!)</f>
        <v>#REF!</v>
      </c>
      <c r="PC6" s="7" t="e">
        <f aca="false">IF(OR(#REF!&gt;2,#REF!&lt;-2),"",#REF!)</f>
        <v>#REF!</v>
      </c>
      <c r="PD6" s="7" t="e">
        <f aca="false">IF(OR(#REF!&gt;2,#REF!&lt;-2),"",#REF!)</f>
        <v>#REF!</v>
      </c>
      <c r="PE6" s="7" t="e">
        <f aca="false">IF(OR(#REF!&gt;2,#REF!&lt;-2),"",#REF!)</f>
        <v>#REF!</v>
      </c>
      <c r="PF6" s="7" t="e">
        <f aca="false">IF(OR(#REF!&gt;2,#REF!&lt;-2),"",#REF!)</f>
        <v>#REF!</v>
      </c>
      <c r="PG6" s="7" t="e">
        <f aca="false">IF(OR(#REF!&gt;2,#REF!&lt;-2),"",#REF!)</f>
        <v>#REF!</v>
      </c>
      <c r="PH6" s="7" t="e">
        <f aca="false">IF(OR(#REF!&gt;2,#REF!&lt;-2),"",#REF!)</f>
        <v>#REF!</v>
      </c>
      <c r="PI6" s="7" t="e">
        <f aca="false">IF(OR(#REF!&gt;2,#REF!&lt;-2),"",#REF!)</f>
        <v>#REF!</v>
      </c>
      <c r="PJ6" s="7" t="e">
        <f aca="false">IF(OR(#REF!&gt;2,#REF!&lt;-2),"",#REF!)</f>
        <v>#REF!</v>
      </c>
      <c r="PK6" s="7" t="e">
        <f aca="false">IF(OR(#REF!&gt;2,#REF!&lt;-2),"",#REF!)</f>
        <v>#REF!</v>
      </c>
      <c r="PL6" s="7" t="e">
        <f aca="false">IF(OR(#REF!&gt;2,#REF!&lt;-2),"",#REF!)</f>
        <v>#REF!</v>
      </c>
      <c r="PM6" s="7" t="e">
        <f aca="false">IF(OR(#REF!&gt;2,#REF!&lt;-2),"",#REF!)</f>
        <v>#REF!</v>
      </c>
      <c r="PN6" s="7" t="e">
        <f aca="false">IF(OR(#REF!&gt;2,#REF!&lt;-2),"",#REF!)</f>
        <v>#REF!</v>
      </c>
      <c r="PO6" s="7" t="e">
        <f aca="false">IF(OR(#REF!&gt;2,#REF!&lt;-2),"",#REF!)</f>
        <v>#REF!</v>
      </c>
      <c r="PP6" s="7" t="e">
        <f aca="false">IF(OR(#REF!&gt;2,#REF!&lt;-2),"",#REF!)</f>
        <v>#REF!</v>
      </c>
      <c r="PQ6" s="7" t="e">
        <f aca="false">IF(OR(#REF!&gt;2,#REF!&lt;-2),"",#REF!)</f>
        <v>#REF!</v>
      </c>
      <c r="PR6" s="7" t="e">
        <f aca="false">IF(OR(#REF!&gt;2,#REF!&lt;-2),"",#REF!)</f>
        <v>#REF!</v>
      </c>
      <c r="PS6" s="7" t="e">
        <f aca="false">IF(OR(#REF!&gt;2,#REF!&lt;-2),"",#REF!)</f>
        <v>#REF!</v>
      </c>
      <c r="PT6" s="7" t="e">
        <f aca="false">IF(OR(#REF!&gt;2,#REF!&lt;-2),"",#REF!)</f>
        <v>#REF!</v>
      </c>
      <c r="PU6" s="7" t="e">
        <f aca="false">IF(OR(#REF!&gt;2,#REF!&lt;-2),"",#REF!)</f>
        <v>#REF!</v>
      </c>
      <c r="PV6" s="7" t="e">
        <f aca="false">IF(OR(#REF!&gt;2,#REF!&lt;-2),"",#REF!)</f>
        <v>#REF!</v>
      </c>
      <c r="PW6" s="7" t="e">
        <f aca="false">IF(OR(#REF!&gt;2,#REF!&lt;-2),"",#REF!)</f>
        <v>#REF!</v>
      </c>
      <c r="PX6" s="7" t="e">
        <f aca="false">IF(OR(#REF!&gt;2,#REF!&lt;-2),"",#REF!)</f>
        <v>#REF!</v>
      </c>
      <c r="PY6" s="7" t="e">
        <f aca="false">IF(OR(#REF!&gt;2,#REF!&lt;-2),"",#REF!)</f>
        <v>#REF!</v>
      </c>
      <c r="PZ6" s="7" t="e">
        <f aca="false">IF(OR(#REF!&gt;2,#REF!&lt;-2),"",#REF!)</f>
        <v>#REF!</v>
      </c>
      <c r="QA6" s="7" t="e">
        <f aca="false">IF(OR(#REF!&gt;2,#REF!&lt;-2),"",#REF!)</f>
        <v>#REF!</v>
      </c>
      <c r="QB6" s="7" t="e">
        <f aca="false">IF(OR(#REF!&gt;2,#REF!&lt;-2),"",#REF!)</f>
        <v>#REF!</v>
      </c>
      <c r="QC6" s="7" t="e">
        <f aca="false">IF(OR(#REF!&gt;2,#REF!&lt;-2),"",#REF!)</f>
        <v>#REF!</v>
      </c>
      <c r="QD6" s="7" t="e">
        <f aca="false">IF(OR(#REF!&gt;2,#REF!&lt;-2),"",#REF!)</f>
        <v>#REF!</v>
      </c>
      <c r="QE6" s="7" t="e">
        <f aca="false">IF(OR(#REF!&gt;2,#REF!&lt;-2),"",#REF!)</f>
        <v>#REF!</v>
      </c>
      <c r="QF6" s="7" t="e">
        <f aca="false">IF(OR(#REF!&gt;2,#REF!&lt;-2),"",#REF!)</f>
        <v>#REF!</v>
      </c>
      <c r="QG6" s="7" t="e">
        <f aca="false">IF(OR(#REF!&gt;2,#REF!&lt;-2),"",#REF!)</f>
        <v>#REF!</v>
      </c>
      <c r="QH6" s="7" t="e">
        <f aca="false">IF(OR(#REF!&gt;2,#REF!&lt;-2),"",#REF!)</f>
        <v>#REF!</v>
      </c>
      <c r="QI6" s="7" t="e">
        <f aca="false">IF(OR(#REF!&gt;2,#REF!&lt;-2),"",#REF!)</f>
        <v>#REF!</v>
      </c>
      <c r="QJ6" s="7" t="e">
        <f aca="false">IF(OR(#REF!&gt;2,#REF!&lt;-2),"",#REF!)</f>
        <v>#REF!</v>
      </c>
      <c r="QK6" s="7" t="e">
        <f aca="false">IF(OR(#REF!&gt;2,#REF!&lt;-2),"",#REF!)</f>
        <v>#REF!</v>
      </c>
      <c r="QL6" s="7" t="e">
        <f aca="false">IF(OR(#REF!&gt;2,#REF!&lt;-2),"",#REF!)</f>
        <v>#REF!</v>
      </c>
      <c r="QM6" s="7" t="e">
        <f aca="false">IF(OR(#REF!&gt;2,#REF!&lt;-2),"",#REF!)</f>
        <v>#REF!</v>
      </c>
      <c r="QN6" s="7" t="e">
        <f aca="false">IF(OR(#REF!&gt;2,#REF!&lt;-2),"",#REF!)</f>
        <v>#REF!</v>
      </c>
      <c r="QO6" s="7" t="e">
        <f aca="false">IF(OR(#REF!&gt;2,#REF!&lt;-2),"",#REF!)</f>
        <v>#REF!</v>
      </c>
      <c r="QP6" s="7" t="e">
        <f aca="false">IF(OR(#REF!&gt;2,#REF!&lt;-2),"",#REF!)</f>
        <v>#REF!</v>
      </c>
      <c r="QQ6" s="7" t="e">
        <f aca="false">IF(OR(#REF!&gt;2,#REF!&lt;-2),"",#REF!)</f>
        <v>#REF!</v>
      </c>
      <c r="QR6" s="7" t="e">
        <f aca="false">IF(OR(#REF!&gt;2,#REF!&lt;-2),"",#REF!)</f>
        <v>#REF!</v>
      </c>
      <c r="QS6" s="7" t="e">
        <f aca="false">IF(OR(#REF!&gt;2,#REF!&lt;-2),"",#REF!)</f>
        <v>#REF!</v>
      </c>
      <c r="QT6" s="7" t="e">
        <f aca="false">IF(OR(#REF!&gt;2,#REF!&lt;-2),"",#REF!)</f>
        <v>#REF!</v>
      </c>
      <c r="QU6" s="7" t="e">
        <f aca="false">IF(OR(#REF!&gt;2,#REF!&lt;-2),"",#REF!)</f>
        <v>#REF!</v>
      </c>
      <c r="QV6" s="7" t="e">
        <f aca="false">IF(OR(#REF!&gt;2,#REF!&lt;-2),"",#REF!)</f>
        <v>#REF!</v>
      </c>
      <c r="QW6" s="7" t="e">
        <f aca="false">IF(OR(#REF!&gt;2,#REF!&lt;-2),"",#REF!)</f>
        <v>#REF!</v>
      </c>
      <c r="QX6" s="7" t="e">
        <f aca="false">IF(OR(#REF!&gt;2,#REF!&lt;-2),"",#REF!)</f>
        <v>#REF!</v>
      </c>
      <c r="QY6" s="7" t="e">
        <f aca="false">IF(OR(#REF!&gt;2,#REF!&lt;-2),"",#REF!)</f>
        <v>#REF!</v>
      </c>
      <c r="QZ6" s="7" t="e">
        <f aca="false">IF(OR(#REF!&gt;2,#REF!&lt;-2),"",#REF!)</f>
        <v>#REF!</v>
      </c>
      <c r="RA6" s="7" t="e">
        <f aca="false">IF(OR(#REF!&gt;2,#REF!&lt;-2),"",#REF!)</f>
        <v>#REF!</v>
      </c>
      <c r="RB6" s="7" t="e">
        <f aca="false">IF(OR(#REF!&gt;2,#REF!&lt;-2),"",#REF!)</f>
        <v>#REF!</v>
      </c>
      <c r="RC6" s="7" t="e">
        <f aca="false">IF(OR(#REF!&gt;2,#REF!&lt;-2),"",#REF!)</f>
        <v>#REF!</v>
      </c>
      <c r="RD6" s="7" t="e">
        <f aca="false">IF(OR(#REF!&gt;2,#REF!&lt;-2),"",#REF!)</f>
        <v>#REF!</v>
      </c>
      <c r="RE6" s="7" t="e">
        <f aca="false">IF(OR(#REF!&gt;2,#REF!&lt;-2),"",#REF!)</f>
        <v>#REF!</v>
      </c>
      <c r="RF6" s="7" t="e">
        <f aca="false">IF(OR(#REF!&gt;2,#REF!&lt;-2),"",#REF!)</f>
        <v>#REF!</v>
      </c>
      <c r="RG6" s="7" t="e">
        <f aca="false">IF(OR(#REF!&gt;2,#REF!&lt;-2),"",#REF!)</f>
        <v>#REF!</v>
      </c>
      <c r="RH6" s="7" t="e">
        <f aca="false">IF(OR(#REF!&gt;2,#REF!&lt;-2),"",#REF!)</f>
        <v>#REF!</v>
      </c>
      <c r="RI6" s="7" t="e">
        <f aca="false">IF(OR(#REF!&gt;2,#REF!&lt;-2),"",#REF!)</f>
        <v>#REF!</v>
      </c>
      <c r="RJ6" s="7" t="e">
        <f aca="false">IF(OR(#REF!&gt;2,#REF!&lt;-2),"",#REF!)</f>
        <v>#REF!</v>
      </c>
      <c r="RK6" s="7" t="e">
        <f aca="false">IF(OR(#REF!&gt;2,#REF!&lt;-2),"",#REF!)</f>
        <v>#REF!</v>
      </c>
      <c r="RL6" s="7" t="e">
        <f aca="false">IF(OR(#REF!&gt;2,#REF!&lt;-2),"",#REF!)</f>
        <v>#REF!</v>
      </c>
      <c r="RM6" s="7" t="e">
        <f aca="false">IF(OR(#REF!&gt;2,#REF!&lt;-2),"",#REF!)</f>
        <v>#REF!</v>
      </c>
      <c r="RN6" s="7" t="e">
        <f aca="false">IF(OR(#REF!&gt;2,#REF!&lt;-2),"",#REF!)</f>
        <v>#REF!</v>
      </c>
      <c r="RO6" s="7" t="e">
        <f aca="false">IF(OR(#REF!&gt;2,#REF!&lt;-2),"",#REF!)</f>
        <v>#REF!</v>
      </c>
      <c r="RP6" s="7" t="e">
        <f aca="false">IF(OR(#REF!&gt;2,#REF!&lt;-2),"",#REF!)</f>
        <v>#REF!</v>
      </c>
      <c r="RQ6" s="7" t="e">
        <f aca="false">IF(OR(#REF!&gt;2,#REF!&lt;-2),"",#REF!)</f>
        <v>#REF!</v>
      </c>
      <c r="RR6" s="7" t="e">
        <f aca="false">IF(OR(#REF!&gt;2,#REF!&lt;-2),"",#REF!)</f>
        <v>#REF!</v>
      </c>
      <c r="RS6" s="7" t="e">
        <f aca="false">IF(OR(#REF!&gt;2,#REF!&lt;-2),"",#REF!)</f>
        <v>#REF!</v>
      </c>
      <c r="RT6" s="7" t="e">
        <f aca="false">IF(OR(#REF!&gt;2,#REF!&lt;-2),"",#REF!)</f>
        <v>#REF!</v>
      </c>
      <c r="RU6" s="7" t="e">
        <f aca="false">IF(OR(#REF!&gt;2,#REF!&lt;-2),"",#REF!)</f>
        <v>#REF!</v>
      </c>
      <c r="RV6" s="7" t="e">
        <f aca="false">IF(OR(#REF!&gt;2,#REF!&lt;-2),"",#REF!)</f>
        <v>#REF!</v>
      </c>
      <c r="RW6" s="7" t="e">
        <f aca="false">IF(OR(#REF!&gt;2,#REF!&lt;-2),"",#REF!)</f>
        <v>#REF!</v>
      </c>
      <c r="RX6" s="7" t="e">
        <f aca="false">IF(OR(#REF!&gt;2,#REF!&lt;-2),"",#REF!)</f>
        <v>#REF!</v>
      </c>
      <c r="RY6" s="7" t="e">
        <f aca="false">IF(OR(#REF!&gt;2,#REF!&lt;-2),"",#REF!)</f>
        <v>#REF!</v>
      </c>
      <c r="RZ6" s="7" t="e">
        <f aca="false">IF(OR(#REF!&gt;2,#REF!&lt;-2),"",#REF!)</f>
        <v>#REF!</v>
      </c>
      <c r="SA6" s="7" t="e">
        <f aca="false">IF(OR(#REF!&gt;2,#REF!&lt;-2),"",#REF!)</f>
        <v>#REF!</v>
      </c>
      <c r="SB6" s="7" t="e">
        <f aca="false">IF(OR(#REF!&gt;2,#REF!&lt;-2),"",#REF!)</f>
        <v>#REF!</v>
      </c>
      <c r="SC6" s="7" t="e">
        <f aca="false">IF(OR(#REF!&gt;2,#REF!&lt;-2),"",#REF!)</f>
        <v>#REF!</v>
      </c>
      <c r="SD6" s="7" t="e">
        <f aca="false">IF(OR(#REF!&gt;2,#REF!&lt;-2),"",#REF!)</f>
        <v>#REF!</v>
      </c>
      <c r="SE6" s="7" t="e">
        <f aca="false">IF(OR(#REF!&gt;2,#REF!&lt;-2),"",#REF!)</f>
        <v>#REF!</v>
      </c>
      <c r="SF6" s="7" t="e">
        <f aca="false">IF(OR(#REF!&gt;2,#REF!&lt;-2),"",#REF!)</f>
        <v>#REF!</v>
      </c>
      <c r="SG6" s="7" t="e">
        <f aca="false">IF(OR(#REF!&gt;2,#REF!&lt;-2),"",#REF!)</f>
        <v>#REF!</v>
      </c>
      <c r="SH6" s="7" t="e">
        <f aca="false">IF(OR(#REF!&gt;2,#REF!&lt;-2),"",#REF!)</f>
        <v>#REF!</v>
      </c>
      <c r="SI6" s="7" t="e">
        <f aca="false">IF(OR(#REF!&gt;2,#REF!&lt;-2),"",#REF!)</f>
        <v>#REF!</v>
      </c>
      <c r="SJ6" s="7" t="e">
        <f aca="false">IF(OR(#REF!&gt;2,#REF!&lt;-2),"",#REF!)</f>
        <v>#REF!</v>
      </c>
      <c r="SK6" s="7" t="e">
        <f aca="false">IF(OR(#REF!&gt;2,#REF!&lt;-2),"",#REF!)</f>
        <v>#REF!</v>
      </c>
      <c r="SL6" s="7" t="e">
        <f aca="false">IF(OR(#REF!&gt;2,#REF!&lt;-2),"",#REF!)</f>
        <v>#REF!</v>
      </c>
      <c r="SM6" s="7" t="e">
        <f aca="false">IF(OR(#REF!&gt;2,#REF!&lt;-2),"",#REF!)</f>
        <v>#REF!</v>
      </c>
      <c r="SN6" s="7" t="e">
        <f aca="false">IF(OR(#REF!&gt;2,#REF!&lt;-2),"",#REF!)</f>
        <v>#REF!</v>
      </c>
      <c r="SO6" s="7" t="e">
        <f aca="false">IF(OR(#REF!&gt;2,#REF!&lt;-2),"",#REF!)</f>
        <v>#REF!</v>
      </c>
      <c r="SP6" s="7" t="e">
        <f aca="false">IF(OR(#REF!&gt;2,#REF!&lt;-2),"",#REF!)</f>
        <v>#REF!</v>
      </c>
      <c r="SQ6" s="7" t="e">
        <f aca="false">IF(OR(#REF!&gt;2,#REF!&lt;-2),"",#REF!)</f>
        <v>#REF!</v>
      </c>
      <c r="SR6" s="7" t="e">
        <f aca="false">IF(OR(#REF!&gt;2,#REF!&lt;-2),"",#REF!)</f>
        <v>#REF!</v>
      </c>
      <c r="SS6" s="7" t="e">
        <f aca="false">IF(OR(#REF!&gt;2,#REF!&lt;-2),"",#REF!)</f>
        <v>#REF!</v>
      </c>
      <c r="ST6" s="7" t="e">
        <f aca="false">IF(OR(#REF!&gt;2,#REF!&lt;-2),"",#REF!)</f>
        <v>#REF!</v>
      </c>
      <c r="SU6" s="7" t="e">
        <f aca="false">IF(OR(#REF!&gt;2,#REF!&lt;-2),"",#REF!)</f>
        <v>#REF!</v>
      </c>
      <c r="SV6" s="7" t="e">
        <f aca="false">IF(OR(#REF!&gt;2,#REF!&lt;-2),"",#REF!)</f>
        <v>#REF!</v>
      </c>
      <c r="SW6" s="7" t="e">
        <f aca="false">IF(OR(#REF!&gt;2,#REF!&lt;-2),"",#REF!)</f>
        <v>#REF!</v>
      </c>
      <c r="SX6" s="7" t="e">
        <f aca="false">IF(OR(#REF!&gt;2,#REF!&lt;-2),"",#REF!)</f>
        <v>#REF!</v>
      </c>
      <c r="SY6" s="7" t="e">
        <f aca="false">IF(OR(#REF!&gt;2,#REF!&lt;-2),"",#REF!)</f>
        <v>#REF!</v>
      </c>
      <c r="SZ6" s="7" t="e">
        <f aca="false">IF(OR(#REF!&gt;2,#REF!&lt;-2),"",#REF!)</f>
        <v>#REF!</v>
      </c>
      <c r="TA6" s="7" t="e">
        <f aca="false">IF(OR(#REF!&gt;2,#REF!&lt;-2),"",#REF!)</f>
        <v>#REF!</v>
      </c>
      <c r="TB6" s="7" t="e">
        <f aca="false">IF(OR(#REF!&gt;2,#REF!&lt;-2),"",#REF!)</f>
        <v>#REF!</v>
      </c>
      <c r="TC6" s="7" t="e">
        <f aca="false">IF(OR(#REF!&gt;2,#REF!&lt;-2),"",#REF!)</f>
        <v>#REF!</v>
      </c>
      <c r="TD6" s="7" t="e">
        <f aca="false">IF(OR(#REF!&gt;2,#REF!&lt;-2),"",#REF!)</f>
        <v>#REF!</v>
      </c>
      <c r="TE6" s="7" t="e">
        <f aca="false">IF(OR(#REF!&gt;2,#REF!&lt;-2),"",#REF!)</f>
        <v>#REF!</v>
      </c>
      <c r="TF6" s="7" t="e">
        <f aca="false">IF(OR(#REF!&gt;2,#REF!&lt;-2),"",#REF!)</f>
        <v>#REF!</v>
      </c>
      <c r="TG6" s="7" t="e">
        <f aca="false">IF(OR(#REF!&gt;2,#REF!&lt;-2),"",#REF!)</f>
        <v>#REF!</v>
      </c>
      <c r="TH6" s="7" t="e">
        <f aca="false">IF(OR(#REF!&gt;2,#REF!&lt;-2),"",#REF!)</f>
        <v>#REF!</v>
      </c>
      <c r="TI6" s="7" t="e">
        <f aca="false">IF(OR(#REF!&gt;2,#REF!&lt;-2),"",#REF!)</f>
        <v>#REF!</v>
      </c>
      <c r="TJ6" s="7" t="e">
        <f aca="false">IF(OR(#REF!&gt;2,#REF!&lt;-2),"",#REF!)</f>
        <v>#REF!</v>
      </c>
      <c r="TK6" s="7" t="e">
        <f aca="false">IF(OR(#REF!&gt;2,#REF!&lt;-2),"",#REF!)</f>
        <v>#REF!</v>
      </c>
      <c r="TL6" s="7" t="e">
        <f aca="false">IF(OR(#REF!&gt;2,#REF!&lt;-2),"",#REF!)</f>
        <v>#REF!</v>
      </c>
      <c r="TM6" s="7" t="e">
        <f aca="false">IF(OR(#REF!&gt;2,#REF!&lt;-2),"",#REF!)</f>
        <v>#REF!</v>
      </c>
      <c r="TN6" s="7" t="e">
        <f aca="false">IF(OR(#REF!&gt;2,#REF!&lt;-2),"",#REF!)</f>
        <v>#REF!</v>
      </c>
      <c r="TO6" s="7" t="e">
        <f aca="false">IF(OR(#REF!&gt;2,#REF!&lt;-2),"",#REF!)</f>
        <v>#REF!</v>
      </c>
      <c r="TP6" s="7" t="e">
        <f aca="false">IF(OR(#REF!&gt;2,#REF!&lt;-2),"",#REF!)</f>
        <v>#REF!</v>
      </c>
      <c r="TQ6" s="7" t="e">
        <f aca="false">IF(OR(#REF!&gt;2,#REF!&lt;-2),"",#REF!)</f>
        <v>#REF!</v>
      </c>
      <c r="TR6" s="7" t="e">
        <f aca="false">IF(OR(#REF!&gt;2,#REF!&lt;-2),"",#REF!)</f>
        <v>#REF!</v>
      </c>
      <c r="TS6" s="7" t="e">
        <f aca="false">IF(OR(#REF!&gt;2,#REF!&lt;-2),"",#REF!)</f>
        <v>#REF!</v>
      </c>
      <c r="TT6" s="7" t="e">
        <f aca="false">IF(OR(#REF!&gt;2,#REF!&lt;-2),"",#REF!)</f>
        <v>#REF!</v>
      </c>
      <c r="TU6" s="7" t="e">
        <f aca="false">IF(OR(#REF!&gt;2,#REF!&lt;-2),"",#REF!)</f>
        <v>#REF!</v>
      </c>
      <c r="TV6" s="7" t="e">
        <f aca="false">IF(OR(#REF!&gt;2,#REF!&lt;-2),"",#REF!)</f>
        <v>#REF!</v>
      </c>
      <c r="TW6" s="7" t="e">
        <f aca="false">IF(OR(#REF!&gt;2,#REF!&lt;-2),"",#REF!)</f>
        <v>#REF!</v>
      </c>
      <c r="TX6" s="7" t="e">
        <f aca="false">IF(OR(#REF!&gt;2,#REF!&lt;-2),"",#REF!)</f>
        <v>#REF!</v>
      </c>
      <c r="TY6" s="7" t="e">
        <f aca="false">IF(OR(#REF!&gt;2,#REF!&lt;-2),"",#REF!)</f>
        <v>#REF!</v>
      </c>
      <c r="TZ6" s="7" t="e">
        <f aca="false">IF(OR(#REF!&gt;2,#REF!&lt;-2),"",#REF!)</f>
        <v>#REF!</v>
      </c>
      <c r="UA6" s="7" t="e">
        <f aca="false">IF(OR(#REF!&gt;2,#REF!&lt;-2),"",#REF!)</f>
        <v>#REF!</v>
      </c>
      <c r="UB6" s="7" t="e">
        <f aca="false">IF(OR(#REF!&gt;2,#REF!&lt;-2),"",#REF!)</f>
        <v>#REF!</v>
      </c>
      <c r="UC6" s="7" t="e">
        <f aca="false">IF(OR(#REF!&gt;2,#REF!&lt;-2),"",#REF!)</f>
        <v>#REF!</v>
      </c>
      <c r="UD6" s="7" t="e">
        <f aca="false">IF(OR(#REF!&gt;2,#REF!&lt;-2),"",#REF!)</f>
        <v>#REF!</v>
      </c>
      <c r="UE6" s="7" t="e">
        <f aca="false">IF(OR(#REF!&gt;2,#REF!&lt;-2),"",#REF!)</f>
        <v>#REF!</v>
      </c>
      <c r="UF6" s="7" t="e">
        <f aca="false">IF(OR(#REF!&gt;2,#REF!&lt;-2),"",#REF!)</f>
        <v>#REF!</v>
      </c>
      <c r="UG6" s="7" t="e">
        <f aca="false">IF(OR(#REF!&gt;2,#REF!&lt;-2),"",#REF!)</f>
        <v>#REF!</v>
      </c>
      <c r="UH6" s="7" t="e">
        <f aca="false">IF(OR(#REF!&gt;2,#REF!&lt;-2),"",#REF!)</f>
        <v>#REF!</v>
      </c>
      <c r="UI6" s="7" t="e">
        <f aca="false">IF(OR(#REF!&gt;2,#REF!&lt;-2),"",#REF!)</f>
        <v>#REF!</v>
      </c>
      <c r="UJ6" s="7" t="e">
        <f aca="false">IF(OR(#REF!&gt;2,#REF!&lt;-2),"",#REF!)</f>
        <v>#REF!</v>
      </c>
      <c r="UK6" s="7" t="e">
        <f aca="false">IF(OR(#REF!&gt;2,#REF!&lt;-2),"",#REF!)</f>
        <v>#REF!</v>
      </c>
      <c r="UL6" s="7" t="e">
        <f aca="false">IF(OR(#REF!&gt;2,#REF!&lt;-2),"",#REF!)</f>
        <v>#REF!</v>
      </c>
      <c r="UM6" s="7" t="e">
        <f aca="false">IF(OR(#REF!&gt;2,#REF!&lt;-2),"",#REF!)</f>
        <v>#REF!</v>
      </c>
      <c r="UN6" s="7" t="e">
        <f aca="false">IF(OR(#REF!&gt;2,#REF!&lt;-2),"",#REF!)</f>
        <v>#REF!</v>
      </c>
      <c r="UO6" s="7" t="e">
        <f aca="false">IF(OR(#REF!&gt;2,#REF!&lt;-2),"",#REF!)</f>
        <v>#REF!</v>
      </c>
      <c r="UP6" s="7" t="e">
        <f aca="false">IF(OR(#REF!&gt;2,#REF!&lt;-2),"",#REF!)</f>
        <v>#REF!</v>
      </c>
    </row>
    <row r="7" customFormat="false" ht="14.5" hidden="false" customHeight="false" outlineLevel="0" collapsed="false">
      <c r="A7" s="0" t="n">
        <v>152</v>
      </c>
      <c r="B7" s="0" t="n">
        <v>0</v>
      </c>
      <c r="C7" s="7" t="e">
        <f aca="false">IF(OR(#REF!&gt;2,#REF!&lt;-2),"",#REF!)</f>
        <v>#REF!</v>
      </c>
      <c r="D7" s="7" t="e">
        <f aca="false">IF(OR(#REF!&gt;2,#REF!&lt;-2),"",#REF!)</f>
        <v>#REF!</v>
      </c>
      <c r="E7" s="7" t="e">
        <f aca="false">IF(OR(#REF!&gt;2,#REF!&lt;-2),"",#REF!)</f>
        <v>#REF!</v>
      </c>
      <c r="F7" s="7" t="e">
        <f aca="false">IF(OR(#REF!&gt;2,#REF!&lt;-2),"",#REF!)</f>
        <v>#REF!</v>
      </c>
      <c r="G7" s="7" t="e">
        <f aca="false">IF(OR(#REF!&gt;2,#REF!&lt;-2),"",#REF!)</f>
        <v>#REF!</v>
      </c>
      <c r="H7" s="7" t="e">
        <f aca="false">IF(OR(#REF!&gt;2,#REF!&lt;-2),"",#REF!)</f>
        <v>#REF!</v>
      </c>
      <c r="I7" s="7" t="e">
        <f aca="false">IF(OR(#REF!&gt;2,#REF!&lt;-2),"",#REF!)</f>
        <v>#REF!</v>
      </c>
      <c r="J7" s="7" t="e">
        <f aca="false">IF(OR(#REF!&gt;2,#REF!&lt;-2),"",#REF!)</f>
        <v>#REF!</v>
      </c>
      <c r="K7" s="7" t="e">
        <f aca="false">IF(OR(#REF!&gt;2,#REF!&lt;-2),"",#REF!)</f>
        <v>#REF!</v>
      </c>
      <c r="L7" s="7" t="e">
        <f aca="false">IF(OR(#REF!&gt;2,#REF!&lt;-2),"",#REF!)</f>
        <v>#REF!</v>
      </c>
      <c r="M7" s="7" t="e">
        <f aca="false">IF(OR(#REF!&gt;2,#REF!&lt;-2),"",#REF!)</f>
        <v>#REF!</v>
      </c>
      <c r="N7" s="7" t="e">
        <f aca="false">IF(OR(#REF!&gt;2,#REF!&lt;-2),"",#REF!)</f>
        <v>#REF!</v>
      </c>
      <c r="O7" s="7" t="e">
        <f aca="false">IF(OR(#REF!&gt;2,#REF!&lt;-2),"",#REF!)</f>
        <v>#REF!</v>
      </c>
      <c r="P7" s="7" t="e">
        <f aca="false">IF(OR(#REF!&gt;2,#REF!&lt;-2),"",#REF!)</f>
        <v>#REF!</v>
      </c>
      <c r="Q7" s="7" t="e">
        <f aca="false">IF(OR(#REF!&gt;2,#REF!&lt;-2),"",#REF!)</f>
        <v>#REF!</v>
      </c>
      <c r="R7" s="7" t="e">
        <f aca="false">IF(OR(#REF!&gt;2,#REF!&lt;-2),"",#REF!)</f>
        <v>#REF!</v>
      </c>
      <c r="S7" s="7" t="e">
        <f aca="false">IF(OR(#REF!&gt;2,#REF!&lt;-2),"",#REF!)</f>
        <v>#REF!</v>
      </c>
      <c r="T7" s="7" t="e">
        <f aca="false">IF(OR(#REF!&gt;2,#REF!&lt;-2),"",#REF!)</f>
        <v>#REF!</v>
      </c>
      <c r="U7" s="7" t="e">
        <f aca="false">IF(OR(#REF!&gt;2,#REF!&lt;-2),"",#REF!)</f>
        <v>#REF!</v>
      </c>
      <c r="V7" s="7" t="e">
        <f aca="false">IF(OR(#REF!&gt;2,#REF!&lt;-2),"",#REF!)</f>
        <v>#REF!</v>
      </c>
      <c r="W7" s="7" t="e">
        <f aca="false">IF(OR(#REF!&gt;2,#REF!&lt;-2),"",#REF!)</f>
        <v>#REF!</v>
      </c>
      <c r="X7" s="7" t="e">
        <f aca="false">IF(OR(#REF!&gt;2,#REF!&lt;-2),"",#REF!)</f>
        <v>#REF!</v>
      </c>
      <c r="Y7" s="7" t="e">
        <f aca="false">IF(OR(#REF!&gt;2,#REF!&lt;-2),"",#REF!)</f>
        <v>#REF!</v>
      </c>
      <c r="Z7" s="7" t="e">
        <f aca="false">IF(OR(#REF!&gt;2,#REF!&lt;-2),"",#REF!)</f>
        <v>#REF!</v>
      </c>
      <c r="AA7" s="7" t="e">
        <f aca="false">IF(OR(#REF!&gt;2,#REF!&lt;-2),"",#REF!)</f>
        <v>#REF!</v>
      </c>
      <c r="AB7" s="7" t="e">
        <f aca="false">IF(OR(#REF!&gt;2,#REF!&lt;-2),"",#REF!)</f>
        <v>#REF!</v>
      </c>
      <c r="AC7" s="7" t="e">
        <f aca="false">IF(OR(#REF!&gt;2,#REF!&lt;-2),"",#REF!)</f>
        <v>#REF!</v>
      </c>
      <c r="AD7" s="7" t="e">
        <f aca="false">IF(OR(#REF!&gt;2,#REF!&lt;-2),"",#REF!)</f>
        <v>#REF!</v>
      </c>
      <c r="AE7" s="7" t="e">
        <f aca="false">IF(OR(#REF!&gt;2,#REF!&lt;-2),"",#REF!)</f>
        <v>#REF!</v>
      </c>
      <c r="AF7" s="7" t="e">
        <f aca="false">IF(OR(#REF!&gt;2,#REF!&lt;-2),"",#REF!)</f>
        <v>#REF!</v>
      </c>
      <c r="AG7" s="7" t="e">
        <f aca="false">IF(OR(#REF!&gt;2,#REF!&lt;-2),"",#REF!)</f>
        <v>#REF!</v>
      </c>
      <c r="AH7" s="7" t="e">
        <f aca="false">IF(OR(#REF!&gt;2,#REF!&lt;-2),"",#REF!)</f>
        <v>#REF!</v>
      </c>
      <c r="AI7" s="7" t="e">
        <f aca="false">IF(OR(#REF!&gt;2,#REF!&lt;-2),"",#REF!)</f>
        <v>#REF!</v>
      </c>
      <c r="AJ7" s="7" t="e">
        <f aca="false">IF(OR(#REF!&gt;2,#REF!&lt;-2),"",#REF!)</f>
        <v>#REF!</v>
      </c>
      <c r="AK7" s="7" t="e">
        <f aca="false">IF(OR(#REF!&gt;2,#REF!&lt;-2),"",#REF!)</f>
        <v>#REF!</v>
      </c>
      <c r="AL7" s="7" t="e">
        <f aca="false">IF(OR(#REF!&gt;2,#REF!&lt;-2),"",#REF!)</f>
        <v>#REF!</v>
      </c>
      <c r="AM7" s="7" t="e">
        <f aca="false">IF(OR(#REF!&gt;2,#REF!&lt;-2),"",#REF!)</f>
        <v>#REF!</v>
      </c>
      <c r="AN7" s="7" t="e">
        <f aca="false">IF(OR(#REF!&gt;2,#REF!&lt;-2),"",#REF!)</f>
        <v>#REF!</v>
      </c>
      <c r="AO7" s="7" t="e">
        <f aca="false">IF(OR(#REF!&gt;2,#REF!&lt;-2),"",#REF!)</f>
        <v>#REF!</v>
      </c>
      <c r="AP7" s="7" t="e">
        <f aca="false">IF(OR(#REF!&gt;2,#REF!&lt;-2),"",#REF!)</f>
        <v>#REF!</v>
      </c>
      <c r="AQ7" s="7" t="e">
        <f aca="false">IF(OR(#REF!&gt;2,#REF!&lt;-2),"",#REF!)</f>
        <v>#REF!</v>
      </c>
      <c r="AR7" s="7" t="e">
        <f aca="false">IF(OR(#REF!&gt;2,#REF!&lt;-2),"",#REF!)</f>
        <v>#REF!</v>
      </c>
      <c r="AS7" s="7" t="e">
        <f aca="false">IF(OR(#REF!&gt;2,#REF!&lt;-2),"",#REF!)</f>
        <v>#REF!</v>
      </c>
      <c r="AT7" s="7" t="e">
        <f aca="false">IF(OR(#REF!&gt;2,#REF!&lt;-2),"",#REF!)</f>
        <v>#REF!</v>
      </c>
      <c r="AU7" s="7" t="e">
        <f aca="false">IF(OR(#REF!&gt;2,#REF!&lt;-2),"",#REF!)</f>
        <v>#REF!</v>
      </c>
      <c r="AV7" s="7" t="e">
        <f aca="false">IF(OR(#REF!&gt;2,#REF!&lt;-2),"",#REF!)</f>
        <v>#REF!</v>
      </c>
      <c r="AW7" s="7" t="e">
        <f aca="false">IF(OR(#REF!&gt;2,#REF!&lt;-2),"",#REF!)</f>
        <v>#REF!</v>
      </c>
      <c r="AX7" s="7" t="e">
        <f aca="false">IF(OR(#REF!&gt;2,#REF!&lt;-2),"",#REF!)</f>
        <v>#REF!</v>
      </c>
      <c r="AY7" s="7" t="e">
        <f aca="false">IF(OR(#REF!&gt;2,#REF!&lt;-2),"",#REF!)</f>
        <v>#REF!</v>
      </c>
      <c r="AZ7" s="7" t="e">
        <f aca="false">IF(OR(#REF!&gt;2,#REF!&lt;-2),"",#REF!)</f>
        <v>#REF!</v>
      </c>
      <c r="BA7" s="7" t="e">
        <f aca="false">IF(OR(#REF!&gt;2,#REF!&lt;-2),"",#REF!)</f>
        <v>#REF!</v>
      </c>
      <c r="BB7" s="7" t="e">
        <f aca="false">IF(OR(#REF!&gt;2,#REF!&lt;-2),"",#REF!)</f>
        <v>#REF!</v>
      </c>
      <c r="BC7" s="7" t="e">
        <f aca="false">IF(OR(#REF!&gt;2,#REF!&lt;-2),"",#REF!)</f>
        <v>#REF!</v>
      </c>
      <c r="BD7" s="7" t="e">
        <f aca="false">IF(OR(#REF!&gt;2,#REF!&lt;-2),"",#REF!)</f>
        <v>#REF!</v>
      </c>
      <c r="BE7" s="7" t="e">
        <f aca="false">IF(OR(#REF!&gt;2,#REF!&lt;-2),"",#REF!)</f>
        <v>#REF!</v>
      </c>
      <c r="BF7" s="7" t="e">
        <f aca="false">IF(OR(#REF!&gt;2,#REF!&lt;-2),"",#REF!)</f>
        <v>#REF!</v>
      </c>
      <c r="BG7" s="7" t="e">
        <f aca="false">IF(OR(#REF!&gt;2,#REF!&lt;-2),"",#REF!)</f>
        <v>#REF!</v>
      </c>
      <c r="BH7" s="7" t="e">
        <f aca="false">IF(OR(#REF!&gt;2,#REF!&lt;-2),"",#REF!)</f>
        <v>#REF!</v>
      </c>
      <c r="BI7" s="7" t="e">
        <f aca="false">IF(OR(#REF!&gt;2,#REF!&lt;-2),"",#REF!)</f>
        <v>#REF!</v>
      </c>
      <c r="BJ7" s="7" t="e">
        <f aca="false">IF(OR(#REF!&gt;2,#REF!&lt;-2),"",#REF!)</f>
        <v>#REF!</v>
      </c>
      <c r="BK7" s="7" t="e">
        <f aca="false">IF(OR(#REF!&gt;2,#REF!&lt;-2),"",#REF!)</f>
        <v>#REF!</v>
      </c>
      <c r="BL7" s="7" t="e">
        <f aca="false">IF(OR(#REF!&gt;2,#REF!&lt;-2),"",#REF!)</f>
        <v>#REF!</v>
      </c>
      <c r="BM7" s="7" t="e">
        <f aca="false">IF(OR(#REF!&gt;2,#REF!&lt;-2),"",#REF!)</f>
        <v>#REF!</v>
      </c>
      <c r="BN7" s="7" t="e">
        <f aca="false">IF(OR(#REF!&gt;2,#REF!&lt;-2),"",#REF!)</f>
        <v>#REF!</v>
      </c>
      <c r="BO7" s="7" t="e">
        <f aca="false">IF(OR(#REF!&gt;2,#REF!&lt;-2),"",#REF!)</f>
        <v>#REF!</v>
      </c>
      <c r="BP7" s="7" t="e">
        <f aca="false">IF(OR(#REF!&gt;2,#REF!&lt;-2),"",#REF!)</f>
        <v>#REF!</v>
      </c>
      <c r="BQ7" s="7" t="e">
        <f aca="false">IF(OR(#REF!&gt;2,#REF!&lt;-2),"",#REF!)</f>
        <v>#REF!</v>
      </c>
      <c r="BR7" s="7" t="e">
        <f aca="false">IF(OR(#REF!&gt;2,#REF!&lt;-2),"",#REF!)</f>
        <v>#REF!</v>
      </c>
      <c r="BS7" s="7" t="e">
        <f aca="false">IF(OR(#REF!&gt;2,#REF!&lt;-2),"",#REF!)</f>
        <v>#REF!</v>
      </c>
      <c r="BT7" s="7" t="e">
        <f aca="false">IF(OR(#REF!&gt;2,#REF!&lt;-2),"",#REF!)</f>
        <v>#REF!</v>
      </c>
      <c r="BU7" s="7" t="e">
        <f aca="false">IF(OR(#REF!&gt;2,#REF!&lt;-2),"",#REF!)</f>
        <v>#REF!</v>
      </c>
      <c r="BV7" s="7" t="e">
        <f aca="false">IF(OR(#REF!&gt;2,#REF!&lt;-2),"",#REF!)</f>
        <v>#REF!</v>
      </c>
      <c r="BW7" s="7" t="e">
        <f aca="false">IF(OR(#REF!&gt;2,#REF!&lt;-2),"",#REF!)</f>
        <v>#REF!</v>
      </c>
      <c r="BX7" s="7" t="e">
        <f aca="false">IF(OR(#REF!&gt;2,#REF!&lt;-2),"",#REF!)</f>
        <v>#REF!</v>
      </c>
      <c r="BY7" s="7" t="e">
        <f aca="false">IF(OR(#REF!&gt;2,#REF!&lt;-2),"",#REF!)</f>
        <v>#REF!</v>
      </c>
      <c r="BZ7" s="7" t="e">
        <f aca="false">IF(OR(#REF!&gt;2,#REF!&lt;-2),"",#REF!)</f>
        <v>#REF!</v>
      </c>
      <c r="CA7" s="7" t="e">
        <f aca="false">IF(OR(#REF!&gt;2,#REF!&lt;-2),"",#REF!)</f>
        <v>#REF!</v>
      </c>
      <c r="CB7" s="7" t="e">
        <f aca="false">IF(OR(#REF!&gt;2,#REF!&lt;-2),"",#REF!)</f>
        <v>#REF!</v>
      </c>
      <c r="CC7" s="7" t="e">
        <f aca="false">IF(OR(#REF!&gt;2,#REF!&lt;-2),"",#REF!)</f>
        <v>#REF!</v>
      </c>
      <c r="CD7" s="7" t="e">
        <f aca="false">IF(OR(#REF!&gt;2,#REF!&lt;-2),"",#REF!)</f>
        <v>#REF!</v>
      </c>
      <c r="CE7" s="7" t="e">
        <f aca="false">IF(OR(#REF!&gt;2,#REF!&lt;-2),"",#REF!)</f>
        <v>#REF!</v>
      </c>
      <c r="CF7" s="7" t="e">
        <f aca="false">IF(OR(#REF!&gt;2,#REF!&lt;-2),"",#REF!)</f>
        <v>#REF!</v>
      </c>
      <c r="CG7" s="7" t="e">
        <f aca="false">IF(OR(#REF!&gt;2,#REF!&lt;-2),"",#REF!)</f>
        <v>#REF!</v>
      </c>
      <c r="CH7" s="7" t="e">
        <f aca="false">IF(OR(#REF!&gt;2,#REF!&lt;-2),"",#REF!)</f>
        <v>#REF!</v>
      </c>
      <c r="CI7" s="7" t="e">
        <f aca="false">IF(OR(#REF!&gt;2,#REF!&lt;-2),"",#REF!)</f>
        <v>#REF!</v>
      </c>
      <c r="CJ7" s="7" t="e">
        <f aca="false">IF(OR(#REF!&gt;2,#REF!&lt;-2),"",#REF!)</f>
        <v>#REF!</v>
      </c>
      <c r="CK7" s="7" t="e">
        <f aca="false">IF(OR(#REF!&gt;2,#REF!&lt;-2),"",#REF!)</f>
        <v>#REF!</v>
      </c>
      <c r="CL7" s="7" t="e">
        <f aca="false">IF(OR(#REF!&gt;2,#REF!&lt;-2),"",#REF!)</f>
        <v>#REF!</v>
      </c>
      <c r="CM7" s="7" t="e">
        <f aca="false">IF(OR(#REF!&gt;2,#REF!&lt;-2),"",#REF!)</f>
        <v>#REF!</v>
      </c>
      <c r="CN7" s="7" t="e">
        <f aca="false">IF(OR(#REF!&gt;2,#REF!&lt;-2),"",#REF!)</f>
        <v>#REF!</v>
      </c>
      <c r="CO7" s="7" t="e">
        <f aca="false">IF(OR(#REF!&gt;2,#REF!&lt;-2),"",#REF!)</f>
        <v>#REF!</v>
      </c>
      <c r="CP7" s="7" t="e">
        <f aca="false">IF(OR(#REF!&gt;2,#REF!&lt;-2),"",#REF!)</f>
        <v>#REF!</v>
      </c>
      <c r="CQ7" s="7" t="e">
        <f aca="false">IF(OR(#REF!&gt;2,#REF!&lt;-2),"",#REF!)</f>
        <v>#REF!</v>
      </c>
      <c r="CR7" s="7" t="e">
        <f aca="false">IF(OR(#REF!&gt;2,#REF!&lt;-2),"",#REF!)</f>
        <v>#REF!</v>
      </c>
      <c r="CS7" s="7" t="e">
        <f aca="false">IF(OR(#REF!&gt;2,#REF!&lt;-2),"",#REF!)</f>
        <v>#REF!</v>
      </c>
      <c r="CT7" s="7" t="e">
        <f aca="false">IF(OR(#REF!&gt;2,#REF!&lt;-2),"",#REF!)</f>
        <v>#REF!</v>
      </c>
      <c r="CU7" s="7" t="e">
        <f aca="false">IF(OR(#REF!&gt;2,#REF!&lt;-2),"",#REF!)</f>
        <v>#REF!</v>
      </c>
      <c r="CV7" s="7" t="e">
        <f aca="false">IF(OR(#REF!&gt;2,#REF!&lt;-2),"",#REF!)</f>
        <v>#REF!</v>
      </c>
      <c r="CW7" s="7" t="e">
        <f aca="false">IF(OR(#REF!&gt;2,#REF!&lt;-2),"",#REF!)</f>
        <v>#REF!</v>
      </c>
      <c r="CX7" s="7" t="e">
        <f aca="false">IF(OR(#REF!&gt;2,#REF!&lt;-2),"",#REF!)</f>
        <v>#REF!</v>
      </c>
      <c r="CY7" s="7" t="e">
        <f aca="false">IF(OR(#REF!&gt;2,#REF!&lt;-2),"",#REF!)</f>
        <v>#REF!</v>
      </c>
      <c r="CZ7" s="7" t="e">
        <f aca="false">IF(OR(#REF!&gt;2,#REF!&lt;-2),"",#REF!)</f>
        <v>#REF!</v>
      </c>
      <c r="DA7" s="7" t="e">
        <f aca="false">IF(OR(#REF!&gt;2,#REF!&lt;-2),"",#REF!)</f>
        <v>#REF!</v>
      </c>
      <c r="DB7" s="7" t="e">
        <f aca="false">IF(OR(#REF!&gt;2,#REF!&lt;-2),"",#REF!)</f>
        <v>#REF!</v>
      </c>
      <c r="DC7" s="7" t="e">
        <f aca="false">IF(OR(#REF!&gt;2,#REF!&lt;-2),"",#REF!)</f>
        <v>#REF!</v>
      </c>
      <c r="DD7" s="7" t="e">
        <f aca="false">IF(OR(#REF!&gt;2,#REF!&lt;-2),"",#REF!)</f>
        <v>#REF!</v>
      </c>
      <c r="DE7" s="7" t="e">
        <f aca="false">IF(OR(#REF!&gt;2,#REF!&lt;-2),"",#REF!)</f>
        <v>#REF!</v>
      </c>
      <c r="DF7" s="7" t="e">
        <f aca="false">IF(OR(#REF!&gt;2,#REF!&lt;-2),"",#REF!)</f>
        <v>#REF!</v>
      </c>
      <c r="DG7" s="7" t="e">
        <f aca="false">IF(OR(#REF!&gt;2,#REF!&lt;-2),"",#REF!)</f>
        <v>#REF!</v>
      </c>
      <c r="DH7" s="7" t="e">
        <f aca="false">IF(OR(#REF!&gt;2,#REF!&lt;-2),"",#REF!)</f>
        <v>#REF!</v>
      </c>
      <c r="DI7" s="7" t="e">
        <f aca="false">IF(OR(#REF!&gt;2,#REF!&lt;-2),"",#REF!)</f>
        <v>#REF!</v>
      </c>
      <c r="DJ7" s="7" t="e">
        <f aca="false">IF(OR(#REF!&gt;2,#REF!&lt;-2),"",#REF!)</f>
        <v>#REF!</v>
      </c>
      <c r="DK7" s="7" t="e">
        <f aca="false">IF(OR(#REF!&gt;2,#REF!&lt;-2),"",#REF!)</f>
        <v>#REF!</v>
      </c>
      <c r="DL7" s="7" t="e">
        <f aca="false">IF(OR(#REF!&gt;2,#REF!&lt;-2),"",#REF!)</f>
        <v>#REF!</v>
      </c>
      <c r="DM7" s="7" t="e">
        <f aca="false">IF(OR(#REF!&gt;2,#REF!&lt;-2),"",#REF!)</f>
        <v>#REF!</v>
      </c>
      <c r="DN7" s="7" t="e">
        <f aca="false">IF(OR(#REF!&gt;2,#REF!&lt;-2),"",#REF!)</f>
        <v>#REF!</v>
      </c>
      <c r="DO7" s="7" t="e">
        <f aca="false">IF(OR(#REF!&gt;2,#REF!&lt;-2),"",#REF!)</f>
        <v>#REF!</v>
      </c>
      <c r="DP7" s="7" t="e">
        <f aca="false">IF(OR(#REF!&gt;2,#REF!&lt;-2),"",#REF!)</f>
        <v>#REF!</v>
      </c>
      <c r="DQ7" s="7" t="e">
        <f aca="false">IF(OR(#REF!&gt;2,#REF!&lt;-2),"",#REF!)</f>
        <v>#REF!</v>
      </c>
      <c r="DR7" s="7" t="e">
        <f aca="false">IF(OR(#REF!&gt;2,#REF!&lt;-2),"",#REF!)</f>
        <v>#REF!</v>
      </c>
      <c r="DS7" s="7" t="e">
        <f aca="false">IF(OR(#REF!&gt;2,#REF!&lt;-2),"",#REF!)</f>
        <v>#REF!</v>
      </c>
      <c r="DT7" s="7" t="e">
        <f aca="false">IF(OR(#REF!&gt;2,#REF!&lt;-2),"",#REF!)</f>
        <v>#REF!</v>
      </c>
      <c r="DU7" s="7" t="e">
        <f aca="false">IF(OR(#REF!&gt;2,#REF!&lt;-2),"",#REF!)</f>
        <v>#REF!</v>
      </c>
      <c r="DV7" s="7" t="e">
        <f aca="false">IF(OR(#REF!&gt;2,#REF!&lt;-2),"",#REF!)</f>
        <v>#REF!</v>
      </c>
      <c r="DW7" s="7" t="e">
        <f aca="false">IF(OR(#REF!&gt;2,#REF!&lt;-2),"",#REF!)</f>
        <v>#REF!</v>
      </c>
      <c r="DX7" s="7" t="e">
        <f aca="false">IF(OR(#REF!&gt;2,#REF!&lt;-2),"",#REF!)</f>
        <v>#REF!</v>
      </c>
      <c r="DY7" s="7" t="e">
        <f aca="false">IF(OR(#REF!&gt;2,#REF!&lt;-2),"",#REF!)</f>
        <v>#REF!</v>
      </c>
      <c r="DZ7" s="7" t="e">
        <f aca="false">IF(OR(#REF!&gt;2,#REF!&lt;-2),"",#REF!)</f>
        <v>#REF!</v>
      </c>
      <c r="EA7" s="7" t="e">
        <f aca="false">IF(OR(#REF!&gt;2,#REF!&lt;-2),"",#REF!)</f>
        <v>#REF!</v>
      </c>
      <c r="EB7" s="7" t="e">
        <f aca="false">IF(OR(#REF!&gt;2,#REF!&lt;-2),"",#REF!)</f>
        <v>#REF!</v>
      </c>
      <c r="EC7" s="7" t="e">
        <f aca="false">IF(OR(#REF!&gt;2,#REF!&lt;-2),"",#REF!)</f>
        <v>#REF!</v>
      </c>
      <c r="ED7" s="7" t="e">
        <f aca="false">IF(OR(#REF!&gt;2,#REF!&lt;-2),"",#REF!)</f>
        <v>#REF!</v>
      </c>
      <c r="EE7" s="7" t="e">
        <f aca="false">IF(OR(#REF!&gt;2,#REF!&lt;-2),"",#REF!)</f>
        <v>#REF!</v>
      </c>
      <c r="EF7" s="7" t="e">
        <f aca="false">IF(OR(#REF!&gt;2,#REF!&lt;-2),"",#REF!)</f>
        <v>#REF!</v>
      </c>
      <c r="EG7" s="7" t="e">
        <f aca="false">IF(OR(#REF!&gt;2,#REF!&lt;-2),"",#REF!)</f>
        <v>#REF!</v>
      </c>
      <c r="EH7" s="7" t="e">
        <f aca="false">IF(OR(#REF!&gt;2,#REF!&lt;-2),"",#REF!)</f>
        <v>#REF!</v>
      </c>
      <c r="EI7" s="7" t="e">
        <f aca="false">IF(OR(#REF!&gt;2,#REF!&lt;-2),"",#REF!)</f>
        <v>#REF!</v>
      </c>
      <c r="EJ7" s="7" t="e">
        <f aca="false">IF(OR(#REF!&gt;2,#REF!&lt;-2),"",#REF!)</f>
        <v>#REF!</v>
      </c>
      <c r="EK7" s="7" t="e">
        <f aca="false">IF(OR(#REF!&gt;2,#REF!&lt;-2),"",#REF!)</f>
        <v>#REF!</v>
      </c>
      <c r="EL7" s="7" t="e">
        <f aca="false">IF(OR(#REF!&gt;2,#REF!&lt;-2),"",#REF!)</f>
        <v>#REF!</v>
      </c>
      <c r="EM7" s="7" t="e">
        <f aca="false">IF(OR(#REF!&gt;2,#REF!&lt;-2),"",#REF!)</f>
        <v>#REF!</v>
      </c>
      <c r="EN7" s="7" t="e">
        <f aca="false">IF(OR(#REF!&gt;2,#REF!&lt;-2),"",#REF!)</f>
        <v>#REF!</v>
      </c>
      <c r="EO7" s="7" t="e">
        <f aca="false">IF(OR(#REF!&gt;2,#REF!&lt;-2),"",#REF!)</f>
        <v>#REF!</v>
      </c>
      <c r="EP7" s="7" t="e">
        <f aca="false">IF(OR(#REF!&gt;2,#REF!&lt;-2),"",#REF!)</f>
        <v>#REF!</v>
      </c>
      <c r="EQ7" s="7" t="e">
        <f aca="false">IF(OR(#REF!&gt;2,#REF!&lt;-2),"",#REF!)</f>
        <v>#REF!</v>
      </c>
      <c r="ER7" s="7" t="e">
        <f aca="false">IF(OR(#REF!&gt;2,#REF!&lt;-2),"",#REF!)</f>
        <v>#REF!</v>
      </c>
      <c r="ES7" s="7" t="e">
        <f aca="false">IF(OR(#REF!&gt;2,#REF!&lt;-2),"",#REF!)</f>
        <v>#REF!</v>
      </c>
      <c r="ET7" s="7" t="e">
        <f aca="false">IF(OR(#REF!&gt;2,#REF!&lt;-2),"",#REF!)</f>
        <v>#REF!</v>
      </c>
      <c r="EU7" s="7" t="e">
        <f aca="false">IF(OR(#REF!&gt;2,#REF!&lt;-2),"",#REF!)</f>
        <v>#REF!</v>
      </c>
      <c r="EV7" s="7" t="e">
        <f aca="false">IF(OR(#REF!&gt;2,#REF!&lt;-2),"",#REF!)</f>
        <v>#REF!</v>
      </c>
      <c r="EW7" s="7" t="e">
        <f aca="false">IF(OR(#REF!&gt;2,#REF!&lt;-2),"",#REF!)</f>
        <v>#REF!</v>
      </c>
      <c r="EX7" s="7" t="e">
        <f aca="false">IF(OR(#REF!&gt;2,#REF!&lt;-2),"",#REF!)</f>
        <v>#REF!</v>
      </c>
      <c r="EY7" s="7" t="e">
        <f aca="false">IF(OR(#REF!&gt;2,#REF!&lt;-2),"",#REF!)</f>
        <v>#REF!</v>
      </c>
      <c r="EZ7" s="7" t="e">
        <f aca="false">IF(OR(#REF!&gt;2,#REF!&lt;-2),"",#REF!)</f>
        <v>#REF!</v>
      </c>
      <c r="FA7" s="7" t="e">
        <f aca="false">IF(OR(#REF!&gt;2,#REF!&lt;-2),"",#REF!)</f>
        <v>#REF!</v>
      </c>
      <c r="FB7" s="7" t="e">
        <f aca="false">IF(OR(#REF!&gt;2,#REF!&lt;-2),"",#REF!)</f>
        <v>#REF!</v>
      </c>
      <c r="FC7" s="7" t="e">
        <f aca="false">IF(OR(#REF!&gt;2,#REF!&lt;-2),"",#REF!)</f>
        <v>#REF!</v>
      </c>
      <c r="FD7" s="7" t="e">
        <f aca="false">IF(OR(#REF!&gt;2,#REF!&lt;-2),"",#REF!)</f>
        <v>#REF!</v>
      </c>
      <c r="FE7" s="7" t="e">
        <f aca="false">IF(OR(#REF!&gt;2,#REF!&lt;-2),"",#REF!)</f>
        <v>#REF!</v>
      </c>
      <c r="FF7" s="7" t="e">
        <f aca="false">IF(OR(#REF!&gt;2,#REF!&lt;-2),"",#REF!)</f>
        <v>#REF!</v>
      </c>
      <c r="FG7" s="7" t="e">
        <f aca="false">IF(OR(#REF!&gt;2,#REF!&lt;-2),"",#REF!)</f>
        <v>#REF!</v>
      </c>
      <c r="FH7" s="7" t="e">
        <f aca="false">IF(OR(#REF!&gt;2,#REF!&lt;-2),"",#REF!)</f>
        <v>#REF!</v>
      </c>
      <c r="FI7" s="7" t="e">
        <f aca="false">IF(OR(#REF!&gt;2,#REF!&lt;-2),"",#REF!)</f>
        <v>#REF!</v>
      </c>
      <c r="FJ7" s="7" t="e">
        <f aca="false">IF(OR(#REF!&gt;2,#REF!&lt;-2),"",#REF!)</f>
        <v>#REF!</v>
      </c>
      <c r="FK7" s="7" t="e">
        <f aca="false">IF(OR(#REF!&gt;2,#REF!&lt;-2),"",#REF!)</f>
        <v>#REF!</v>
      </c>
      <c r="FL7" s="7" t="e">
        <f aca="false">IF(OR(#REF!&gt;2,#REF!&lt;-2),"",#REF!)</f>
        <v>#REF!</v>
      </c>
      <c r="FM7" s="7" t="e">
        <f aca="false">IF(OR(#REF!&gt;2,#REF!&lt;-2),"",#REF!)</f>
        <v>#REF!</v>
      </c>
      <c r="FN7" s="7" t="e">
        <f aca="false">IF(OR(#REF!&gt;2,#REF!&lt;-2),"",#REF!)</f>
        <v>#REF!</v>
      </c>
      <c r="FO7" s="7" t="e">
        <f aca="false">IF(OR(#REF!&gt;2,#REF!&lt;-2),"",#REF!)</f>
        <v>#REF!</v>
      </c>
      <c r="FP7" s="7" t="e">
        <f aca="false">IF(OR(#REF!&gt;2,#REF!&lt;-2),"",#REF!)</f>
        <v>#REF!</v>
      </c>
      <c r="FQ7" s="7" t="e">
        <f aca="false">IF(OR(#REF!&gt;2,#REF!&lt;-2),"",#REF!)</f>
        <v>#REF!</v>
      </c>
      <c r="FR7" s="7" t="e">
        <f aca="false">IF(OR(#REF!&gt;2,#REF!&lt;-2),"",#REF!)</f>
        <v>#REF!</v>
      </c>
      <c r="FS7" s="7" t="e">
        <f aca="false">IF(OR(#REF!&gt;2,#REF!&lt;-2),"",#REF!)</f>
        <v>#REF!</v>
      </c>
      <c r="FT7" s="7" t="e">
        <f aca="false">IF(OR(#REF!&gt;2,#REF!&lt;-2),"",#REF!)</f>
        <v>#REF!</v>
      </c>
      <c r="FU7" s="7" t="e">
        <f aca="false">IF(OR(#REF!&gt;2,#REF!&lt;-2),"",#REF!)</f>
        <v>#REF!</v>
      </c>
      <c r="FV7" s="7" t="e">
        <f aca="false">IF(OR(#REF!&gt;2,#REF!&lt;-2),"",#REF!)</f>
        <v>#REF!</v>
      </c>
      <c r="FW7" s="7" t="e">
        <f aca="false">IF(OR(#REF!&gt;2,#REF!&lt;-2),"",#REF!)</f>
        <v>#REF!</v>
      </c>
      <c r="FX7" s="7" t="e">
        <f aca="false">IF(OR(#REF!&gt;2,#REF!&lt;-2),"",#REF!)</f>
        <v>#REF!</v>
      </c>
      <c r="FY7" s="7" t="e">
        <f aca="false">IF(OR(#REF!&gt;2,#REF!&lt;-2),"",#REF!)</f>
        <v>#REF!</v>
      </c>
      <c r="FZ7" s="7" t="e">
        <f aca="false">IF(OR(#REF!&gt;2,#REF!&lt;-2),"",#REF!)</f>
        <v>#REF!</v>
      </c>
      <c r="GA7" s="7" t="e">
        <f aca="false">IF(OR(#REF!&gt;2,#REF!&lt;-2),"",#REF!)</f>
        <v>#REF!</v>
      </c>
      <c r="GB7" s="7" t="e">
        <f aca="false">IF(OR(#REF!&gt;2,#REF!&lt;-2),"",#REF!)</f>
        <v>#REF!</v>
      </c>
      <c r="GC7" s="7" t="e">
        <f aca="false">IF(OR(#REF!&gt;2,#REF!&lt;-2),"",#REF!)</f>
        <v>#REF!</v>
      </c>
      <c r="GD7" s="7" t="e">
        <f aca="false">IF(OR(#REF!&gt;2,#REF!&lt;-2),"",#REF!)</f>
        <v>#REF!</v>
      </c>
      <c r="GE7" s="7" t="e">
        <f aca="false">IF(OR(#REF!&gt;2,#REF!&lt;-2),"",#REF!)</f>
        <v>#REF!</v>
      </c>
      <c r="GF7" s="7" t="e">
        <f aca="false">IF(OR(#REF!&gt;2,#REF!&lt;-2),"",#REF!)</f>
        <v>#REF!</v>
      </c>
      <c r="GG7" s="7" t="e">
        <f aca="false">IF(OR(#REF!&gt;2,#REF!&lt;-2),"",#REF!)</f>
        <v>#REF!</v>
      </c>
      <c r="GH7" s="7" t="e">
        <f aca="false">IF(OR(#REF!&gt;2,#REF!&lt;-2),"",#REF!)</f>
        <v>#REF!</v>
      </c>
      <c r="GI7" s="7" t="e">
        <f aca="false">IF(OR(#REF!&gt;2,#REF!&lt;-2),"",#REF!)</f>
        <v>#REF!</v>
      </c>
      <c r="GJ7" s="7" t="e">
        <f aca="false">IF(OR(#REF!&gt;2,#REF!&lt;-2),"",#REF!)</f>
        <v>#REF!</v>
      </c>
      <c r="GK7" s="7" t="e">
        <f aca="false">IF(OR(#REF!&gt;2,#REF!&lt;-2),"",#REF!)</f>
        <v>#REF!</v>
      </c>
      <c r="GL7" s="7" t="e">
        <f aca="false">IF(OR(#REF!&gt;2,#REF!&lt;-2),"",#REF!)</f>
        <v>#REF!</v>
      </c>
      <c r="GM7" s="7" t="e">
        <f aca="false">IF(OR(#REF!&gt;2,#REF!&lt;-2),"",#REF!)</f>
        <v>#REF!</v>
      </c>
      <c r="GN7" s="7" t="e">
        <f aca="false">IF(OR(#REF!&gt;2,#REF!&lt;-2),"",#REF!)</f>
        <v>#REF!</v>
      </c>
      <c r="GO7" s="7" t="e">
        <f aca="false">IF(OR(#REF!&gt;2,#REF!&lt;-2),"",#REF!)</f>
        <v>#REF!</v>
      </c>
      <c r="GP7" s="7" t="e">
        <f aca="false">IF(OR(#REF!&gt;2,#REF!&lt;-2),"",#REF!)</f>
        <v>#REF!</v>
      </c>
      <c r="GQ7" s="7" t="e">
        <f aca="false">IF(OR(#REF!&gt;2,#REF!&lt;-2),"",#REF!)</f>
        <v>#REF!</v>
      </c>
      <c r="GR7" s="7" t="e">
        <f aca="false">IF(OR(#REF!&gt;2,#REF!&lt;-2),"",#REF!)</f>
        <v>#REF!</v>
      </c>
      <c r="GS7" s="7" t="e">
        <f aca="false">IF(OR(#REF!&gt;2,#REF!&lt;-2),"",#REF!)</f>
        <v>#REF!</v>
      </c>
      <c r="GT7" s="7" t="e">
        <f aca="false">IF(OR(#REF!&gt;2,#REF!&lt;-2),"",#REF!)</f>
        <v>#REF!</v>
      </c>
      <c r="GU7" s="7" t="e">
        <f aca="false">IF(OR(#REF!&gt;2,#REF!&lt;-2),"",#REF!)</f>
        <v>#REF!</v>
      </c>
      <c r="GV7" s="7" t="e">
        <f aca="false">IF(OR(#REF!&gt;2,#REF!&lt;-2),"",#REF!)</f>
        <v>#REF!</v>
      </c>
      <c r="GW7" s="7" t="e">
        <f aca="false">IF(OR(#REF!&gt;2,#REF!&lt;-2),"",#REF!)</f>
        <v>#REF!</v>
      </c>
      <c r="GX7" s="7" t="e">
        <f aca="false">IF(OR(#REF!&gt;2,#REF!&lt;-2),"",#REF!)</f>
        <v>#REF!</v>
      </c>
      <c r="GY7" s="7" t="e">
        <f aca="false">IF(OR(#REF!&gt;2,#REF!&lt;-2),"",#REF!)</f>
        <v>#REF!</v>
      </c>
      <c r="GZ7" s="7" t="e">
        <f aca="false">IF(OR(#REF!&gt;2,#REF!&lt;-2),"",#REF!)</f>
        <v>#REF!</v>
      </c>
      <c r="HA7" s="7" t="e">
        <f aca="false">IF(OR(#REF!&gt;2,#REF!&lt;-2),"",#REF!)</f>
        <v>#REF!</v>
      </c>
      <c r="HB7" s="7" t="e">
        <f aca="false">IF(OR(#REF!&gt;2,#REF!&lt;-2),"",#REF!)</f>
        <v>#REF!</v>
      </c>
      <c r="HC7" s="7" t="e">
        <f aca="false">IF(OR(#REF!&gt;2,#REF!&lt;-2),"",#REF!)</f>
        <v>#REF!</v>
      </c>
      <c r="HD7" s="7" t="e">
        <f aca="false">IF(OR(#REF!&gt;2,#REF!&lt;-2),"",#REF!)</f>
        <v>#REF!</v>
      </c>
      <c r="HE7" s="7" t="e">
        <f aca="false">IF(OR(#REF!&gt;2,#REF!&lt;-2),"",#REF!)</f>
        <v>#REF!</v>
      </c>
      <c r="HF7" s="7" t="e">
        <f aca="false">IF(OR(#REF!&gt;2,#REF!&lt;-2),"",#REF!)</f>
        <v>#REF!</v>
      </c>
      <c r="HG7" s="7" t="e">
        <f aca="false">IF(OR(#REF!&gt;2,#REF!&lt;-2),"",#REF!)</f>
        <v>#REF!</v>
      </c>
      <c r="HH7" s="7" t="e">
        <f aca="false">IF(OR(#REF!&gt;2,#REF!&lt;-2),"",#REF!)</f>
        <v>#REF!</v>
      </c>
      <c r="HI7" s="7" t="e">
        <f aca="false">IF(OR(#REF!&gt;2,#REF!&lt;-2),"",#REF!)</f>
        <v>#REF!</v>
      </c>
      <c r="HJ7" s="7" t="e">
        <f aca="false">IF(OR(#REF!&gt;2,#REF!&lt;-2),"",#REF!)</f>
        <v>#REF!</v>
      </c>
      <c r="HK7" s="7" t="e">
        <f aca="false">IF(OR(#REF!&gt;2,#REF!&lt;-2),"",#REF!)</f>
        <v>#REF!</v>
      </c>
      <c r="HL7" s="7" t="e">
        <f aca="false">IF(OR(#REF!&gt;2,#REF!&lt;-2),"",#REF!)</f>
        <v>#REF!</v>
      </c>
      <c r="HM7" s="7" t="e">
        <f aca="false">IF(OR(#REF!&gt;2,#REF!&lt;-2),"",#REF!)</f>
        <v>#REF!</v>
      </c>
      <c r="HN7" s="7" t="e">
        <f aca="false">IF(OR(#REF!&gt;2,#REF!&lt;-2),"",#REF!)</f>
        <v>#REF!</v>
      </c>
      <c r="HO7" s="7" t="e">
        <f aca="false">IF(OR(#REF!&gt;2,#REF!&lt;-2),"",#REF!)</f>
        <v>#REF!</v>
      </c>
      <c r="HP7" s="7" t="e">
        <f aca="false">IF(OR(#REF!&gt;2,#REF!&lt;-2),"",#REF!)</f>
        <v>#REF!</v>
      </c>
      <c r="HQ7" s="7" t="e">
        <f aca="false">IF(OR(#REF!&gt;2,#REF!&lt;-2),"",#REF!)</f>
        <v>#REF!</v>
      </c>
      <c r="HR7" s="7" t="e">
        <f aca="false">IF(OR(#REF!&gt;2,#REF!&lt;-2),"",#REF!)</f>
        <v>#REF!</v>
      </c>
      <c r="HS7" s="7" t="e">
        <f aca="false">IF(OR(#REF!&gt;2,#REF!&lt;-2),"",#REF!)</f>
        <v>#REF!</v>
      </c>
      <c r="HT7" s="7" t="e">
        <f aca="false">IF(OR(#REF!&gt;2,#REF!&lt;-2),"",#REF!)</f>
        <v>#REF!</v>
      </c>
      <c r="HU7" s="7" t="e">
        <f aca="false">IF(OR(#REF!&gt;2,#REF!&lt;-2),"",#REF!)</f>
        <v>#REF!</v>
      </c>
      <c r="HV7" s="7" t="e">
        <f aca="false">IF(OR(#REF!&gt;2,#REF!&lt;-2),"",#REF!)</f>
        <v>#REF!</v>
      </c>
      <c r="HW7" s="7" t="e">
        <f aca="false">IF(OR(#REF!&gt;2,#REF!&lt;-2),"",#REF!)</f>
        <v>#REF!</v>
      </c>
      <c r="HX7" s="7" t="e">
        <f aca="false">IF(OR(#REF!&gt;2,#REF!&lt;-2),"",#REF!)</f>
        <v>#REF!</v>
      </c>
      <c r="HY7" s="7" t="e">
        <f aca="false">IF(OR(#REF!&gt;2,#REF!&lt;-2),"",#REF!)</f>
        <v>#REF!</v>
      </c>
      <c r="HZ7" s="7" t="e">
        <f aca="false">IF(OR(#REF!&gt;2,#REF!&lt;-2),"",#REF!)</f>
        <v>#REF!</v>
      </c>
      <c r="IA7" s="7" t="e">
        <f aca="false">IF(OR(#REF!&gt;2,#REF!&lt;-2),"",#REF!)</f>
        <v>#REF!</v>
      </c>
      <c r="IB7" s="7" t="e">
        <f aca="false">IF(OR(#REF!&gt;2,#REF!&lt;-2),"",#REF!)</f>
        <v>#REF!</v>
      </c>
      <c r="IC7" s="7" t="e">
        <f aca="false">IF(OR(#REF!&gt;2,#REF!&lt;-2),"",#REF!)</f>
        <v>#REF!</v>
      </c>
      <c r="ID7" s="7" t="e">
        <f aca="false">IF(OR(#REF!&gt;2,#REF!&lt;-2),"",#REF!)</f>
        <v>#REF!</v>
      </c>
      <c r="IE7" s="7" t="e">
        <f aca="false">IF(OR(#REF!&gt;2,#REF!&lt;-2),"",#REF!)</f>
        <v>#REF!</v>
      </c>
      <c r="IF7" s="7" t="e">
        <f aca="false">IF(OR(#REF!&gt;2,#REF!&lt;-2),"",#REF!)</f>
        <v>#REF!</v>
      </c>
      <c r="IG7" s="7" t="e">
        <f aca="false">IF(OR(#REF!&gt;2,#REF!&lt;-2),"",#REF!)</f>
        <v>#REF!</v>
      </c>
      <c r="IH7" s="7" t="e">
        <f aca="false">IF(OR(#REF!&gt;2,#REF!&lt;-2),"",#REF!)</f>
        <v>#REF!</v>
      </c>
      <c r="II7" s="7" t="e">
        <f aca="false">IF(OR(#REF!&gt;2,#REF!&lt;-2),"",#REF!)</f>
        <v>#REF!</v>
      </c>
      <c r="IJ7" s="7" t="e">
        <f aca="false">IF(OR(#REF!&gt;2,#REF!&lt;-2),"",#REF!)</f>
        <v>#REF!</v>
      </c>
      <c r="IK7" s="7" t="e">
        <f aca="false">IF(OR(#REF!&gt;2,#REF!&lt;-2),"",#REF!)</f>
        <v>#REF!</v>
      </c>
      <c r="IL7" s="7" t="e">
        <f aca="false">IF(OR(#REF!&gt;2,#REF!&lt;-2),"",#REF!)</f>
        <v>#REF!</v>
      </c>
      <c r="IM7" s="7" t="e">
        <f aca="false">IF(OR(#REF!&gt;2,#REF!&lt;-2),"",#REF!)</f>
        <v>#REF!</v>
      </c>
      <c r="IN7" s="7" t="e">
        <f aca="false">IF(OR(#REF!&gt;2,#REF!&lt;-2),"",#REF!)</f>
        <v>#REF!</v>
      </c>
      <c r="IO7" s="7" t="e">
        <f aca="false">IF(OR(#REF!&gt;2,#REF!&lt;-2),"",#REF!)</f>
        <v>#REF!</v>
      </c>
      <c r="IP7" s="7" t="e">
        <f aca="false">IF(OR(#REF!&gt;2,#REF!&lt;-2),"",#REF!)</f>
        <v>#REF!</v>
      </c>
      <c r="IQ7" s="7" t="e">
        <f aca="false">IF(OR(#REF!&gt;2,#REF!&lt;-2),"",#REF!)</f>
        <v>#REF!</v>
      </c>
      <c r="IR7" s="7" t="e">
        <f aca="false">IF(OR(#REF!&gt;2,#REF!&lt;-2),"",#REF!)</f>
        <v>#REF!</v>
      </c>
      <c r="IS7" s="7" t="e">
        <f aca="false">IF(OR(#REF!&gt;2,#REF!&lt;-2),"",#REF!)</f>
        <v>#REF!</v>
      </c>
      <c r="IT7" s="7" t="e">
        <f aca="false">IF(OR(#REF!&gt;2,#REF!&lt;-2),"",#REF!)</f>
        <v>#REF!</v>
      </c>
      <c r="IU7" s="7" t="e">
        <f aca="false">IF(OR(#REF!&gt;2,#REF!&lt;-2),"",#REF!)</f>
        <v>#REF!</v>
      </c>
      <c r="IV7" s="7" t="e">
        <f aca="false">IF(OR(#REF!&gt;2,#REF!&lt;-2),"",#REF!)</f>
        <v>#REF!</v>
      </c>
      <c r="IW7" s="7" t="e">
        <f aca="false">IF(OR(#REF!&gt;2,#REF!&lt;-2),"",#REF!)</f>
        <v>#REF!</v>
      </c>
      <c r="IX7" s="7" t="e">
        <f aca="false">IF(OR(#REF!&gt;2,#REF!&lt;-2),"",#REF!)</f>
        <v>#REF!</v>
      </c>
      <c r="IY7" s="7" t="e">
        <f aca="false">IF(OR(#REF!&gt;2,#REF!&lt;-2),"",#REF!)</f>
        <v>#REF!</v>
      </c>
      <c r="IZ7" s="7" t="e">
        <f aca="false">IF(OR(#REF!&gt;2,#REF!&lt;-2),"",#REF!)</f>
        <v>#REF!</v>
      </c>
      <c r="JA7" s="7" t="e">
        <f aca="false">IF(OR(#REF!&gt;2,#REF!&lt;-2),"",#REF!)</f>
        <v>#REF!</v>
      </c>
      <c r="JB7" s="7" t="e">
        <f aca="false">IF(OR(#REF!&gt;2,#REF!&lt;-2),"",#REF!)</f>
        <v>#REF!</v>
      </c>
      <c r="JC7" s="7" t="e">
        <f aca="false">IF(OR(#REF!&gt;2,#REF!&lt;-2),"",#REF!)</f>
        <v>#REF!</v>
      </c>
      <c r="JD7" s="7" t="e">
        <f aca="false">IF(OR(#REF!&gt;2,#REF!&lt;-2),"",#REF!)</f>
        <v>#REF!</v>
      </c>
      <c r="JE7" s="7" t="e">
        <f aca="false">IF(OR(#REF!&gt;2,#REF!&lt;-2),"",#REF!)</f>
        <v>#REF!</v>
      </c>
      <c r="JF7" s="7" t="e">
        <f aca="false">IF(OR(#REF!&gt;2,#REF!&lt;-2),"",#REF!)</f>
        <v>#REF!</v>
      </c>
      <c r="JG7" s="7" t="e">
        <f aca="false">IF(OR(#REF!&gt;2,#REF!&lt;-2),"",#REF!)</f>
        <v>#REF!</v>
      </c>
      <c r="JH7" s="7" t="e">
        <f aca="false">IF(OR(#REF!&gt;2,#REF!&lt;-2),"",#REF!)</f>
        <v>#REF!</v>
      </c>
      <c r="JI7" s="7" t="e">
        <f aca="false">IF(OR(#REF!&gt;2,#REF!&lt;-2),"",#REF!)</f>
        <v>#REF!</v>
      </c>
      <c r="JJ7" s="7" t="e">
        <f aca="false">IF(OR(#REF!&gt;2,#REF!&lt;-2),"",#REF!)</f>
        <v>#REF!</v>
      </c>
      <c r="JK7" s="7" t="e">
        <f aca="false">IF(OR(#REF!&gt;2,#REF!&lt;-2),"",#REF!)</f>
        <v>#REF!</v>
      </c>
      <c r="JL7" s="7" t="e">
        <f aca="false">IF(OR(#REF!&gt;2,#REF!&lt;-2),"",#REF!)</f>
        <v>#REF!</v>
      </c>
      <c r="JM7" s="7" t="e">
        <f aca="false">IF(OR(#REF!&gt;2,#REF!&lt;-2),"",#REF!)</f>
        <v>#REF!</v>
      </c>
      <c r="JN7" s="7" t="e">
        <f aca="false">IF(OR(#REF!&gt;2,#REF!&lt;-2),"",#REF!)</f>
        <v>#REF!</v>
      </c>
      <c r="JO7" s="7" t="e">
        <f aca="false">IF(OR(#REF!&gt;2,#REF!&lt;-2),"",#REF!)</f>
        <v>#REF!</v>
      </c>
      <c r="JP7" s="7" t="e">
        <f aca="false">IF(OR(#REF!&gt;2,#REF!&lt;-2),"",#REF!)</f>
        <v>#REF!</v>
      </c>
      <c r="JQ7" s="7" t="e">
        <f aca="false">IF(OR(#REF!&gt;2,#REF!&lt;-2),"",#REF!)</f>
        <v>#REF!</v>
      </c>
      <c r="JR7" s="7" t="e">
        <f aca="false">IF(OR(#REF!&gt;2,#REF!&lt;-2),"",#REF!)</f>
        <v>#REF!</v>
      </c>
      <c r="JS7" s="7" t="e">
        <f aca="false">IF(OR(#REF!&gt;2,#REF!&lt;-2),"",#REF!)</f>
        <v>#REF!</v>
      </c>
      <c r="JT7" s="7" t="e">
        <f aca="false">IF(OR(#REF!&gt;2,#REF!&lt;-2),"",#REF!)</f>
        <v>#REF!</v>
      </c>
      <c r="JU7" s="7" t="e">
        <f aca="false">IF(OR(#REF!&gt;2,#REF!&lt;-2),"",#REF!)</f>
        <v>#REF!</v>
      </c>
      <c r="JV7" s="7" t="e">
        <f aca="false">IF(OR(#REF!&gt;2,#REF!&lt;-2),"",#REF!)</f>
        <v>#REF!</v>
      </c>
      <c r="JW7" s="7" t="e">
        <f aca="false">IF(OR(#REF!&gt;2,#REF!&lt;-2),"",#REF!)</f>
        <v>#REF!</v>
      </c>
      <c r="JX7" s="7" t="e">
        <f aca="false">IF(OR(#REF!&gt;2,#REF!&lt;-2),"",#REF!)</f>
        <v>#REF!</v>
      </c>
      <c r="JY7" s="7" t="e">
        <f aca="false">IF(OR(#REF!&gt;2,#REF!&lt;-2),"",#REF!)</f>
        <v>#REF!</v>
      </c>
      <c r="JZ7" s="7" t="e">
        <f aca="false">IF(OR(#REF!&gt;2,#REF!&lt;-2),"",#REF!)</f>
        <v>#REF!</v>
      </c>
      <c r="KA7" s="7" t="e">
        <f aca="false">IF(OR(#REF!&gt;2,#REF!&lt;-2),"",#REF!)</f>
        <v>#REF!</v>
      </c>
      <c r="KB7" s="7" t="e">
        <f aca="false">IF(OR(#REF!&gt;2,#REF!&lt;-2),"",#REF!)</f>
        <v>#REF!</v>
      </c>
      <c r="KC7" s="7" t="e">
        <f aca="false">IF(OR(#REF!&gt;2,#REF!&lt;-2),"",#REF!)</f>
        <v>#REF!</v>
      </c>
      <c r="KD7" s="7" t="e">
        <f aca="false">IF(OR(#REF!&gt;2,#REF!&lt;-2),"",#REF!)</f>
        <v>#REF!</v>
      </c>
      <c r="KE7" s="7" t="e">
        <f aca="false">IF(OR(#REF!&gt;2,#REF!&lt;-2),"",#REF!)</f>
        <v>#REF!</v>
      </c>
      <c r="KF7" s="7" t="e">
        <f aca="false">IF(OR(#REF!&gt;2,#REF!&lt;-2),"",#REF!)</f>
        <v>#REF!</v>
      </c>
      <c r="KG7" s="7" t="e">
        <f aca="false">IF(OR(#REF!&gt;2,#REF!&lt;-2),"",#REF!)</f>
        <v>#REF!</v>
      </c>
      <c r="KH7" s="7" t="e">
        <f aca="false">IF(OR(#REF!&gt;2,#REF!&lt;-2),"",#REF!)</f>
        <v>#REF!</v>
      </c>
      <c r="KI7" s="7" t="e">
        <f aca="false">IF(OR(#REF!&gt;2,#REF!&lt;-2),"",#REF!)</f>
        <v>#REF!</v>
      </c>
      <c r="KJ7" s="7" t="e">
        <f aca="false">IF(OR(#REF!&gt;2,#REF!&lt;-2),"",#REF!)</f>
        <v>#REF!</v>
      </c>
      <c r="KK7" s="7" t="e">
        <f aca="false">IF(OR(#REF!&gt;2,#REF!&lt;-2),"",#REF!)</f>
        <v>#REF!</v>
      </c>
      <c r="KL7" s="7" t="e">
        <f aca="false">IF(OR(#REF!&gt;2,#REF!&lt;-2),"",#REF!)</f>
        <v>#REF!</v>
      </c>
      <c r="KM7" s="7" t="e">
        <f aca="false">IF(OR(#REF!&gt;2,#REF!&lt;-2),"",#REF!)</f>
        <v>#REF!</v>
      </c>
      <c r="KN7" s="7" t="e">
        <f aca="false">IF(OR(#REF!&gt;2,#REF!&lt;-2),"",#REF!)</f>
        <v>#REF!</v>
      </c>
      <c r="KO7" s="7" t="e">
        <f aca="false">IF(OR(#REF!&gt;2,#REF!&lt;-2),"",#REF!)</f>
        <v>#REF!</v>
      </c>
      <c r="KP7" s="7" t="e">
        <f aca="false">IF(OR(#REF!&gt;2,#REF!&lt;-2),"",#REF!)</f>
        <v>#REF!</v>
      </c>
      <c r="KQ7" s="7" t="e">
        <f aca="false">IF(OR(#REF!&gt;2,#REF!&lt;-2),"",#REF!)</f>
        <v>#REF!</v>
      </c>
      <c r="KR7" s="7" t="e">
        <f aca="false">IF(OR(#REF!&gt;2,#REF!&lt;-2),"",#REF!)</f>
        <v>#REF!</v>
      </c>
      <c r="KS7" s="7" t="e">
        <f aca="false">IF(OR(#REF!&gt;2,#REF!&lt;-2),"",#REF!)</f>
        <v>#REF!</v>
      </c>
      <c r="KT7" s="7" t="e">
        <f aca="false">IF(OR(#REF!&gt;2,#REF!&lt;-2),"",#REF!)</f>
        <v>#REF!</v>
      </c>
      <c r="KU7" s="7" t="e">
        <f aca="false">IF(OR(#REF!&gt;2,#REF!&lt;-2),"",#REF!)</f>
        <v>#REF!</v>
      </c>
      <c r="KV7" s="7" t="e">
        <f aca="false">IF(OR(#REF!&gt;2,#REF!&lt;-2),"",#REF!)</f>
        <v>#REF!</v>
      </c>
      <c r="KW7" s="7" t="e">
        <f aca="false">IF(OR(#REF!&gt;2,#REF!&lt;-2),"",#REF!)</f>
        <v>#REF!</v>
      </c>
      <c r="KX7" s="7" t="e">
        <f aca="false">IF(OR(#REF!&gt;2,#REF!&lt;-2),"",#REF!)</f>
        <v>#REF!</v>
      </c>
      <c r="KY7" s="7" t="e">
        <f aca="false">IF(OR(#REF!&gt;2,#REF!&lt;-2),"",#REF!)</f>
        <v>#REF!</v>
      </c>
      <c r="KZ7" s="7" t="e">
        <f aca="false">IF(OR(#REF!&gt;2,#REF!&lt;-2),"",#REF!)</f>
        <v>#REF!</v>
      </c>
      <c r="LA7" s="7" t="e">
        <f aca="false">IF(OR(#REF!&gt;2,#REF!&lt;-2),"",#REF!)</f>
        <v>#REF!</v>
      </c>
      <c r="LB7" s="7" t="e">
        <f aca="false">IF(OR(#REF!&gt;2,#REF!&lt;-2),"",#REF!)</f>
        <v>#REF!</v>
      </c>
      <c r="LC7" s="7" t="e">
        <f aca="false">IF(OR(#REF!&gt;2,#REF!&lt;-2),"",#REF!)</f>
        <v>#REF!</v>
      </c>
      <c r="LD7" s="7" t="e">
        <f aca="false">IF(OR(#REF!&gt;2,#REF!&lt;-2),"",#REF!)</f>
        <v>#REF!</v>
      </c>
      <c r="LE7" s="7" t="e">
        <f aca="false">IF(OR(#REF!&gt;2,#REF!&lt;-2),"",#REF!)</f>
        <v>#REF!</v>
      </c>
      <c r="LF7" s="7" t="e">
        <f aca="false">IF(OR(#REF!&gt;2,#REF!&lt;-2),"",#REF!)</f>
        <v>#REF!</v>
      </c>
      <c r="LG7" s="7" t="e">
        <f aca="false">IF(OR(#REF!&gt;2,#REF!&lt;-2),"",#REF!)</f>
        <v>#REF!</v>
      </c>
      <c r="LH7" s="7" t="e">
        <f aca="false">IF(OR(#REF!&gt;2,#REF!&lt;-2),"",#REF!)</f>
        <v>#REF!</v>
      </c>
      <c r="LI7" s="7" t="e">
        <f aca="false">IF(OR(#REF!&gt;2,#REF!&lt;-2),"",#REF!)</f>
        <v>#REF!</v>
      </c>
      <c r="LJ7" s="7" t="e">
        <f aca="false">IF(OR(#REF!&gt;2,#REF!&lt;-2),"",#REF!)</f>
        <v>#REF!</v>
      </c>
      <c r="LK7" s="7" t="e">
        <f aca="false">IF(OR(#REF!&gt;2,#REF!&lt;-2),"",#REF!)</f>
        <v>#REF!</v>
      </c>
      <c r="LL7" s="7" t="e">
        <f aca="false">IF(OR(#REF!&gt;2,#REF!&lt;-2),"",#REF!)</f>
        <v>#REF!</v>
      </c>
      <c r="LM7" s="7" t="e">
        <f aca="false">IF(OR(#REF!&gt;2,#REF!&lt;-2),"",#REF!)</f>
        <v>#REF!</v>
      </c>
      <c r="LN7" s="7" t="e">
        <f aca="false">IF(OR(#REF!&gt;2,#REF!&lt;-2),"",#REF!)</f>
        <v>#REF!</v>
      </c>
      <c r="LO7" s="7" t="e">
        <f aca="false">IF(OR(#REF!&gt;2,#REF!&lt;-2),"",#REF!)</f>
        <v>#REF!</v>
      </c>
      <c r="LP7" s="7" t="e">
        <f aca="false">IF(OR(#REF!&gt;2,#REF!&lt;-2),"",#REF!)</f>
        <v>#REF!</v>
      </c>
      <c r="LQ7" s="7" t="e">
        <f aca="false">IF(OR(#REF!&gt;2,#REF!&lt;-2),"",#REF!)</f>
        <v>#REF!</v>
      </c>
      <c r="LR7" s="7" t="e">
        <f aca="false">IF(OR(#REF!&gt;2,#REF!&lt;-2),"",#REF!)</f>
        <v>#REF!</v>
      </c>
      <c r="LS7" s="7" t="e">
        <f aca="false">IF(OR(#REF!&gt;2,#REF!&lt;-2),"",#REF!)</f>
        <v>#REF!</v>
      </c>
      <c r="LT7" s="7" t="e">
        <f aca="false">IF(OR(#REF!&gt;2,#REF!&lt;-2),"",#REF!)</f>
        <v>#REF!</v>
      </c>
      <c r="LU7" s="7" t="e">
        <f aca="false">IF(OR(#REF!&gt;2,#REF!&lt;-2),"",#REF!)</f>
        <v>#REF!</v>
      </c>
      <c r="LV7" s="7" t="e">
        <f aca="false">IF(OR(#REF!&gt;2,#REF!&lt;-2),"",#REF!)</f>
        <v>#REF!</v>
      </c>
      <c r="LW7" s="7" t="e">
        <f aca="false">IF(OR(#REF!&gt;2,#REF!&lt;-2),"",#REF!)</f>
        <v>#REF!</v>
      </c>
      <c r="LX7" s="7" t="e">
        <f aca="false">IF(OR(#REF!&gt;2,#REF!&lt;-2),"",#REF!)</f>
        <v>#REF!</v>
      </c>
      <c r="LY7" s="7" t="e">
        <f aca="false">IF(OR(#REF!&gt;2,#REF!&lt;-2),"",#REF!)</f>
        <v>#REF!</v>
      </c>
      <c r="LZ7" s="7" t="e">
        <f aca="false">IF(OR(#REF!&gt;2,#REF!&lt;-2),"",#REF!)</f>
        <v>#REF!</v>
      </c>
      <c r="MA7" s="7" t="e">
        <f aca="false">IF(OR(#REF!&gt;2,#REF!&lt;-2),"",#REF!)</f>
        <v>#REF!</v>
      </c>
      <c r="MB7" s="7" t="e">
        <f aca="false">IF(OR(#REF!&gt;2,#REF!&lt;-2),"",#REF!)</f>
        <v>#REF!</v>
      </c>
      <c r="MC7" s="7" t="e">
        <f aca="false">IF(OR(#REF!&gt;2,#REF!&lt;-2),"",#REF!)</f>
        <v>#REF!</v>
      </c>
      <c r="MD7" s="7" t="e">
        <f aca="false">IF(OR(#REF!&gt;2,#REF!&lt;-2),"",#REF!)</f>
        <v>#REF!</v>
      </c>
      <c r="ME7" s="7" t="e">
        <f aca="false">IF(OR(#REF!&gt;2,#REF!&lt;-2),"",#REF!)</f>
        <v>#REF!</v>
      </c>
      <c r="MF7" s="7" t="e">
        <f aca="false">IF(OR(#REF!&gt;2,#REF!&lt;-2),"",#REF!)</f>
        <v>#REF!</v>
      </c>
      <c r="MG7" s="7" t="e">
        <f aca="false">IF(OR(#REF!&gt;2,#REF!&lt;-2),"",#REF!)</f>
        <v>#REF!</v>
      </c>
      <c r="MH7" s="7" t="e">
        <f aca="false">IF(OR(#REF!&gt;2,#REF!&lt;-2),"",#REF!)</f>
        <v>#REF!</v>
      </c>
      <c r="MI7" s="7" t="e">
        <f aca="false">IF(OR(#REF!&gt;2,#REF!&lt;-2),"",#REF!)</f>
        <v>#REF!</v>
      </c>
      <c r="MJ7" s="7" t="e">
        <f aca="false">IF(OR(#REF!&gt;2,#REF!&lt;-2),"",#REF!)</f>
        <v>#REF!</v>
      </c>
      <c r="MK7" s="7" t="e">
        <f aca="false">IF(OR(#REF!&gt;2,#REF!&lt;-2),"",#REF!)</f>
        <v>#REF!</v>
      </c>
      <c r="ML7" s="7" t="e">
        <f aca="false">IF(OR(#REF!&gt;2,#REF!&lt;-2),"",#REF!)</f>
        <v>#REF!</v>
      </c>
      <c r="MM7" s="7" t="e">
        <f aca="false">IF(OR(#REF!&gt;2,#REF!&lt;-2),"",#REF!)</f>
        <v>#REF!</v>
      </c>
      <c r="MN7" s="7" t="e">
        <f aca="false">IF(OR(#REF!&gt;2,#REF!&lt;-2),"",#REF!)</f>
        <v>#REF!</v>
      </c>
      <c r="MO7" s="7" t="e">
        <f aca="false">IF(OR(#REF!&gt;2,#REF!&lt;-2),"",#REF!)</f>
        <v>#REF!</v>
      </c>
      <c r="MP7" s="7" t="e">
        <f aca="false">IF(OR(#REF!&gt;2,#REF!&lt;-2),"",#REF!)</f>
        <v>#REF!</v>
      </c>
      <c r="MQ7" s="7" t="e">
        <f aca="false">IF(OR(#REF!&gt;2,#REF!&lt;-2),"",#REF!)</f>
        <v>#REF!</v>
      </c>
      <c r="MR7" s="7" t="e">
        <f aca="false">IF(OR(#REF!&gt;2,#REF!&lt;-2),"",#REF!)</f>
        <v>#REF!</v>
      </c>
      <c r="MS7" s="7" t="e">
        <f aca="false">IF(OR(#REF!&gt;2,#REF!&lt;-2),"",#REF!)</f>
        <v>#REF!</v>
      </c>
      <c r="MT7" s="7" t="e">
        <f aca="false">IF(OR(#REF!&gt;2,#REF!&lt;-2),"",#REF!)</f>
        <v>#REF!</v>
      </c>
      <c r="MU7" s="7" t="e">
        <f aca="false">IF(OR(#REF!&gt;2,#REF!&lt;-2),"",#REF!)</f>
        <v>#REF!</v>
      </c>
      <c r="MV7" s="7" t="e">
        <f aca="false">IF(OR(#REF!&gt;2,#REF!&lt;-2),"",#REF!)</f>
        <v>#REF!</v>
      </c>
      <c r="MW7" s="7" t="e">
        <f aca="false">IF(OR(#REF!&gt;2,#REF!&lt;-2),"",#REF!)</f>
        <v>#REF!</v>
      </c>
      <c r="MX7" s="7" t="e">
        <f aca="false">IF(OR(#REF!&gt;2,#REF!&lt;-2),"",#REF!)</f>
        <v>#REF!</v>
      </c>
      <c r="MY7" s="7" t="e">
        <f aca="false">IF(OR(#REF!&gt;2,#REF!&lt;-2),"",#REF!)</f>
        <v>#REF!</v>
      </c>
      <c r="MZ7" s="7" t="e">
        <f aca="false">IF(OR(#REF!&gt;2,#REF!&lt;-2),"",#REF!)</f>
        <v>#REF!</v>
      </c>
      <c r="NA7" s="7" t="e">
        <f aca="false">IF(OR(#REF!&gt;2,#REF!&lt;-2),"",#REF!)</f>
        <v>#REF!</v>
      </c>
      <c r="NB7" s="7" t="e">
        <f aca="false">IF(OR(#REF!&gt;2,#REF!&lt;-2),"",#REF!)</f>
        <v>#REF!</v>
      </c>
      <c r="NC7" s="7" t="e">
        <f aca="false">IF(OR(#REF!&gt;2,#REF!&lt;-2),"",#REF!)</f>
        <v>#REF!</v>
      </c>
      <c r="ND7" s="7" t="e">
        <f aca="false">IF(OR(#REF!&gt;2,#REF!&lt;-2),"",#REF!)</f>
        <v>#REF!</v>
      </c>
      <c r="NE7" s="7" t="e">
        <f aca="false">IF(OR(#REF!&gt;2,#REF!&lt;-2),"",#REF!)</f>
        <v>#REF!</v>
      </c>
      <c r="NF7" s="7" t="e">
        <f aca="false">IF(OR(#REF!&gt;2,#REF!&lt;-2),"",#REF!)</f>
        <v>#REF!</v>
      </c>
      <c r="NG7" s="7" t="e">
        <f aca="false">IF(OR(#REF!&gt;2,#REF!&lt;-2),"",#REF!)</f>
        <v>#REF!</v>
      </c>
      <c r="NH7" s="7" t="e">
        <f aca="false">IF(OR(#REF!&gt;2,#REF!&lt;-2),"",#REF!)</f>
        <v>#REF!</v>
      </c>
      <c r="NI7" s="7" t="e">
        <f aca="false">IF(OR(#REF!&gt;2,#REF!&lt;-2),"",#REF!)</f>
        <v>#REF!</v>
      </c>
      <c r="NJ7" s="7" t="e">
        <f aca="false">IF(OR(#REF!&gt;2,#REF!&lt;-2),"",#REF!)</f>
        <v>#REF!</v>
      </c>
      <c r="NK7" s="7" t="e">
        <f aca="false">IF(OR(#REF!&gt;2,#REF!&lt;-2),"",#REF!)</f>
        <v>#REF!</v>
      </c>
      <c r="NL7" s="7" t="e">
        <f aca="false">IF(OR(#REF!&gt;2,#REF!&lt;-2),"",#REF!)</f>
        <v>#REF!</v>
      </c>
      <c r="NM7" s="7" t="e">
        <f aca="false">IF(OR(#REF!&gt;2,#REF!&lt;-2),"",#REF!)</f>
        <v>#REF!</v>
      </c>
      <c r="NN7" s="7" t="e">
        <f aca="false">IF(OR(#REF!&gt;2,#REF!&lt;-2),"",#REF!)</f>
        <v>#REF!</v>
      </c>
      <c r="NO7" s="7" t="e">
        <f aca="false">IF(OR(#REF!&gt;2,#REF!&lt;-2),"",#REF!)</f>
        <v>#REF!</v>
      </c>
      <c r="NP7" s="7" t="e">
        <f aca="false">IF(OR(#REF!&gt;2,#REF!&lt;-2),"",#REF!)</f>
        <v>#REF!</v>
      </c>
      <c r="NQ7" s="7" t="e">
        <f aca="false">IF(OR(#REF!&gt;2,#REF!&lt;-2),"",#REF!)</f>
        <v>#REF!</v>
      </c>
      <c r="NR7" s="7" t="e">
        <f aca="false">IF(OR(#REF!&gt;2,#REF!&lt;-2),"",#REF!)</f>
        <v>#REF!</v>
      </c>
      <c r="NS7" s="7" t="e">
        <f aca="false">IF(OR(#REF!&gt;2,#REF!&lt;-2),"",#REF!)</f>
        <v>#REF!</v>
      </c>
      <c r="NT7" s="7" t="e">
        <f aca="false">IF(OR(#REF!&gt;2,#REF!&lt;-2),"",#REF!)</f>
        <v>#REF!</v>
      </c>
      <c r="NU7" s="7" t="e">
        <f aca="false">IF(OR(#REF!&gt;2,#REF!&lt;-2),"",#REF!)</f>
        <v>#REF!</v>
      </c>
      <c r="NV7" s="7" t="e">
        <f aca="false">IF(OR(#REF!&gt;2,#REF!&lt;-2),"",#REF!)</f>
        <v>#REF!</v>
      </c>
      <c r="NW7" s="7" t="e">
        <f aca="false">IF(OR(#REF!&gt;2,#REF!&lt;-2),"",#REF!)</f>
        <v>#REF!</v>
      </c>
      <c r="NX7" s="7" t="e">
        <f aca="false">IF(OR(#REF!&gt;2,#REF!&lt;-2),"",#REF!)</f>
        <v>#REF!</v>
      </c>
      <c r="NY7" s="7" t="e">
        <f aca="false">IF(OR(#REF!&gt;2,#REF!&lt;-2),"",#REF!)</f>
        <v>#REF!</v>
      </c>
      <c r="NZ7" s="7" t="e">
        <f aca="false">IF(OR(#REF!&gt;2,#REF!&lt;-2),"",#REF!)</f>
        <v>#REF!</v>
      </c>
      <c r="OA7" s="7" t="e">
        <f aca="false">IF(OR(#REF!&gt;2,#REF!&lt;-2),"",#REF!)</f>
        <v>#REF!</v>
      </c>
      <c r="OB7" s="7" t="e">
        <f aca="false">IF(OR(#REF!&gt;2,#REF!&lt;-2),"",#REF!)</f>
        <v>#REF!</v>
      </c>
      <c r="OC7" s="7" t="e">
        <f aca="false">IF(OR(#REF!&gt;2,#REF!&lt;-2),"",#REF!)</f>
        <v>#REF!</v>
      </c>
      <c r="OD7" s="7" t="e">
        <f aca="false">IF(OR(#REF!&gt;2,#REF!&lt;-2),"",#REF!)</f>
        <v>#REF!</v>
      </c>
      <c r="OE7" s="7" t="e">
        <f aca="false">IF(OR(#REF!&gt;2,#REF!&lt;-2),"",#REF!)</f>
        <v>#REF!</v>
      </c>
      <c r="OF7" s="7" t="e">
        <f aca="false">IF(OR(#REF!&gt;2,#REF!&lt;-2),"",#REF!)</f>
        <v>#REF!</v>
      </c>
      <c r="OG7" s="7" t="e">
        <f aca="false">IF(OR(#REF!&gt;2,#REF!&lt;-2),"",#REF!)</f>
        <v>#REF!</v>
      </c>
      <c r="OH7" s="7" t="e">
        <f aca="false">IF(OR(#REF!&gt;2,#REF!&lt;-2),"",#REF!)</f>
        <v>#REF!</v>
      </c>
      <c r="OI7" s="7" t="e">
        <f aca="false">IF(OR(#REF!&gt;2,#REF!&lt;-2),"",#REF!)</f>
        <v>#REF!</v>
      </c>
      <c r="OJ7" s="7" t="e">
        <f aca="false">IF(OR(#REF!&gt;2,#REF!&lt;-2),"",#REF!)</f>
        <v>#REF!</v>
      </c>
      <c r="OK7" s="7" t="e">
        <f aca="false">IF(OR(#REF!&gt;2,#REF!&lt;-2),"",#REF!)</f>
        <v>#REF!</v>
      </c>
      <c r="OL7" s="7" t="e">
        <f aca="false">IF(OR(#REF!&gt;2,#REF!&lt;-2),"",#REF!)</f>
        <v>#REF!</v>
      </c>
      <c r="OM7" s="7" t="e">
        <f aca="false">IF(OR(#REF!&gt;2,#REF!&lt;-2),"",#REF!)</f>
        <v>#REF!</v>
      </c>
      <c r="ON7" s="7" t="e">
        <f aca="false">IF(OR(#REF!&gt;2,#REF!&lt;-2),"",#REF!)</f>
        <v>#REF!</v>
      </c>
      <c r="OO7" s="7" t="e">
        <f aca="false">IF(OR(#REF!&gt;2,#REF!&lt;-2),"",#REF!)</f>
        <v>#REF!</v>
      </c>
      <c r="OP7" s="7" t="e">
        <f aca="false">IF(OR(#REF!&gt;2,#REF!&lt;-2),"",#REF!)</f>
        <v>#REF!</v>
      </c>
      <c r="OQ7" s="7" t="e">
        <f aca="false">IF(OR(#REF!&gt;2,#REF!&lt;-2),"",#REF!)</f>
        <v>#REF!</v>
      </c>
      <c r="OR7" s="7" t="e">
        <f aca="false">IF(OR(#REF!&gt;2,#REF!&lt;-2),"",#REF!)</f>
        <v>#REF!</v>
      </c>
      <c r="OS7" s="7" t="e">
        <f aca="false">IF(OR(#REF!&gt;2,#REF!&lt;-2),"",#REF!)</f>
        <v>#REF!</v>
      </c>
      <c r="OT7" s="7" t="e">
        <f aca="false">IF(OR(#REF!&gt;2,#REF!&lt;-2),"",#REF!)</f>
        <v>#REF!</v>
      </c>
      <c r="OU7" s="7" t="e">
        <f aca="false">IF(OR(#REF!&gt;2,#REF!&lt;-2),"",#REF!)</f>
        <v>#REF!</v>
      </c>
      <c r="OV7" s="7" t="e">
        <f aca="false">IF(OR(#REF!&gt;2,#REF!&lt;-2),"",#REF!)</f>
        <v>#REF!</v>
      </c>
      <c r="OW7" s="7" t="e">
        <f aca="false">IF(OR(#REF!&gt;2,#REF!&lt;-2),"",#REF!)</f>
        <v>#REF!</v>
      </c>
      <c r="OX7" s="7" t="e">
        <f aca="false">IF(OR(#REF!&gt;2,#REF!&lt;-2),"",#REF!)</f>
        <v>#REF!</v>
      </c>
      <c r="OY7" s="7" t="e">
        <f aca="false">IF(OR(#REF!&gt;2,#REF!&lt;-2),"",#REF!)</f>
        <v>#REF!</v>
      </c>
      <c r="OZ7" s="7" t="e">
        <f aca="false">IF(OR(#REF!&gt;2,#REF!&lt;-2),"",#REF!)</f>
        <v>#REF!</v>
      </c>
      <c r="PA7" s="7" t="e">
        <f aca="false">IF(OR(#REF!&gt;2,#REF!&lt;-2),"",#REF!)</f>
        <v>#REF!</v>
      </c>
      <c r="PB7" s="7" t="e">
        <f aca="false">IF(OR(#REF!&gt;2,#REF!&lt;-2),"",#REF!)</f>
        <v>#REF!</v>
      </c>
      <c r="PC7" s="7" t="e">
        <f aca="false">IF(OR(#REF!&gt;2,#REF!&lt;-2),"",#REF!)</f>
        <v>#REF!</v>
      </c>
      <c r="PD7" s="7" t="e">
        <f aca="false">IF(OR(#REF!&gt;2,#REF!&lt;-2),"",#REF!)</f>
        <v>#REF!</v>
      </c>
      <c r="PE7" s="7" t="e">
        <f aca="false">IF(OR(#REF!&gt;2,#REF!&lt;-2),"",#REF!)</f>
        <v>#REF!</v>
      </c>
      <c r="PF7" s="7" t="e">
        <f aca="false">IF(OR(#REF!&gt;2,#REF!&lt;-2),"",#REF!)</f>
        <v>#REF!</v>
      </c>
      <c r="PG7" s="7" t="e">
        <f aca="false">IF(OR(#REF!&gt;2,#REF!&lt;-2),"",#REF!)</f>
        <v>#REF!</v>
      </c>
      <c r="PH7" s="7" t="e">
        <f aca="false">IF(OR(#REF!&gt;2,#REF!&lt;-2),"",#REF!)</f>
        <v>#REF!</v>
      </c>
      <c r="PI7" s="7" t="e">
        <f aca="false">IF(OR(#REF!&gt;2,#REF!&lt;-2),"",#REF!)</f>
        <v>#REF!</v>
      </c>
      <c r="PJ7" s="7" t="e">
        <f aca="false">IF(OR(#REF!&gt;2,#REF!&lt;-2),"",#REF!)</f>
        <v>#REF!</v>
      </c>
      <c r="PK7" s="7" t="e">
        <f aca="false">IF(OR(#REF!&gt;2,#REF!&lt;-2),"",#REF!)</f>
        <v>#REF!</v>
      </c>
      <c r="PL7" s="7" t="e">
        <f aca="false">IF(OR(#REF!&gt;2,#REF!&lt;-2),"",#REF!)</f>
        <v>#REF!</v>
      </c>
      <c r="PM7" s="7" t="e">
        <f aca="false">IF(OR(#REF!&gt;2,#REF!&lt;-2),"",#REF!)</f>
        <v>#REF!</v>
      </c>
      <c r="PN7" s="7" t="e">
        <f aca="false">IF(OR(#REF!&gt;2,#REF!&lt;-2),"",#REF!)</f>
        <v>#REF!</v>
      </c>
      <c r="PO7" s="7" t="e">
        <f aca="false">IF(OR(#REF!&gt;2,#REF!&lt;-2),"",#REF!)</f>
        <v>#REF!</v>
      </c>
      <c r="PP7" s="7" t="e">
        <f aca="false">IF(OR(#REF!&gt;2,#REF!&lt;-2),"",#REF!)</f>
        <v>#REF!</v>
      </c>
      <c r="PQ7" s="7" t="e">
        <f aca="false">IF(OR(#REF!&gt;2,#REF!&lt;-2),"",#REF!)</f>
        <v>#REF!</v>
      </c>
      <c r="PR7" s="7" t="e">
        <f aca="false">IF(OR(#REF!&gt;2,#REF!&lt;-2),"",#REF!)</f>
        <v>#REF!</v>
      </c>
      <c r="PS7" s="7" t="e">
        <f aca="false">IF(OR(#REF!&gt;2,#REF!&lt;-2),"",#REF!)</f>
        <v>#REF!</v>
      </c>
      <c r="PT7" s="7" t="e">
        <f aca="false">IF(OR(#REF!&gt;2,#REF!&lt;-2),"",#REF!)</f>
        <v>#REF!</v>
      </c>
      <c r="PU7" s="7" t="e">
        <f aca="false">IF(OR(#REF!&gt;2,#REF!&lt;-2),"",#REF!)</f>
        <v>#REF!</v>
      </c>
      <c r="PV7" s="7" t="e">
        <f aca="false">IF(OR(#REF!&gt;2,#REF!&lt;-2),"",#REF!)</f>
        <v>#REF!</v>
      </c>
      <c r="PW7" s="7" t="e">
        <f aca="false">IF(OR(#REF!&gt;2,#REF!&lt;-2),"",#REF!)</f>
        <v>#REF!</v>
      </c>
      <c r="PX7" s="7" t="e">
        <f aca="false">IF(OR(#REF!&gt;2,#REF!&lt;-2),"",#REF!)</f>
        <v>#REF!</v>
      </c>
      <c r="PY7" s="7" t="e">
        <f aca="false">IF(OR(#REF!&gt;2,#REF!&lt;-2),"",#REF!)</f>
        <v>#REF!</v>
      </c>
      <c r="PZ7" s="7" t="e">
        <f aca="false">IF(OR(#REF!&gt;2,#REF!&lt;-2),"",#REF!)</f>
        <v>#REF!</v>
      </c>
      <c r="QA7" s="7" t="e">
        <f aca="false">IF(OR(#REF!&gt;2,#REF!&lt;-2),"",#REF!)</f>
        <v>#REF!</v>
      </c>
      <c r="QB7" s="7" t="e">
        <f aca="false">IF(OR(#REF!&gt;2,#REF!&lt;-2),"",#REF!)</f>
        <v>#REF!</v>
      </c>
      <c r="QC7" s="7" t="e">
        <f aca="false">IF(OR(#REF!&gt;2,#REF!&lt;-2),"",#REF!)</f>
        <v>#REF!</v>
      </c>
      <c r="QD7" s="7" t="e">
        <f aca="false">IF(OR(#REF!&gt;2,#REF!&lt;-2),"",#REF!)</f>
        <v>#REF!</v>
      </c>
      <c r="QE7" s="7" t="e">
        <f aca="false">IF(OR(#REF!&gt;2,#REF!&lt;-2),"",#REF!)</f>
        <v>#REF!</v>
      </c>
      <c r="QF7" s="7" t="e">
        <f aca="false">IF(OR(#REF!&gt;2,#REF!&lt;-2),"",#REF!)</f>
        <v>#REF!</v>
      </c>
      <c r="QG7" s="7" t="e">
        <f aca="false">IF(OR(#REF!&gt;2,#REF!&lt;-2),"",#REF!)</f>
        <v>#REF!</v>
      </c>
      <c r="QH7" s="7" t="e">
        <f aca="false">IF(OR(#REF!&gt;2,#REF!&lt;-2),"",#REF!)</f>
        <v>#REF!</v>
      </c>
      <c r="QI7" s="7" t="e">
        <f aca="false">IF(OR(#REF!&gt;2,#REF!&lt;-2),"",#REF!)</f>
        <v>#REF!</v>
      </c>
      <c r="QJ7" s="7" t="e">
        <f aca="false">IF(OR(#REF!&gt;2,#REF!&lt;-2),"",#REF!)</f>
        <v>#REF!</v>
      </c>
      <c r="QK7" s="7" t="e">
        <f aca="false">IF(OR(#REF!&gt;2,#REF!&lt;-2),"",#REF!)</f>
        <v>#REF!</v>
      </c>
      <c r="QL7" s="7" t="e">
        <f aca="false">IF(OR(#REF!&gt;2,#REF!&lt;-2),"",#REF!)</f>
        <v>#REF!</v>
      </c>
      <c r="QM7" s="7" t="e">
        <f aca="false">IF(OR(#REF!&gt;2,#REF!&lt;-2),"",#REF!)</f>
        <v>#REF!</v>
      </c>
      <c r="QN7" s="7" t="e">
        <f aca="false">IF(OR(#REF!&gt;2,#REF!&lt;-2),"",#REF!)</f>
        <v>#REF!</v>
      </c>
      <c r="QO7" s="7" t="e">
        <f aca="false">IF(OR(#REF!&gt;2,#REF!&lt;-2),"",#REF!)</f>
        <v>#REF!</v>
      </c>
      <c r="QP7" s="7" t="e">
        <f aca="false">IF(OR(#REF!&gt;2,#REF!&lt;-2),"",#REF!)</f>
        <v>#REF!</v>
      </c>
      <c r="QQ7" s="7" t="e">
        <f aca="false">IF(OR(#REF!&gt;2,#REF!&lt;-2),"",#REF!)</f>
        <v>#REF!</v>
      </c>
      <c r="QR7" s="7" t="e">
        <f aca="false">IF(OR(#REF!&gt;2,#REF!&lt;-2),"",#REF!)</f>
        <v>#REF!</v>
      </c>
      <c r="QS7" s="7" t="e">
        <f aca="false">IF(OR(#REF!&gt;2,#REF!&lt;-2),"",#REF!)</f>
        <v>#REF!</v>
      </c>
      <c r="QT7" s="7" t="e">
        <f aca="false">IF(OR(#REF!&gt;2,#REF!&lt;-2),"",#REF!)</f>
        <v>#REF!</v>
      </c>
      <c r="QU7" s="7" t="e">
        <f aca="false">IF(OR(#REF!&gt;2,#REF!&lt;-2),"",#REF!)</f>
        <v>#REF!</v>
      </c>
      <c r="QV7" s="7" t="e">
        <f aca="false">IF(OR(#REF!&gt;2,#REF!&lt;-2),"",#REF!)</f>
        <v>#REF!</v>
      </c>
      <c r="QW7" s="7" t="e">
        <f aca="false">IF(OR(#REF!&gt;2,#REF!&lt;-2),"",#REF!)</f>
        <v>#REF!</v>
      </c>
      <c r="QX7" s="7" t="e">
        <f aca="false">IF(OR(#REF!&gt;2,#REF!&lt;-2),"",#REF!)</f>
        <v>#REF!</v>
      </c>
      <c r="QY7" s="7" t="e">
        <f aca="false">IF(OR(#REF!&gt;2,#REF!&lt;-2),"",#REF!)</f>
        <v>#REF!</v>
      </c>
      <c r="QZ7" s="7" t="e">
        <f aca="false">IF(OR(#REF!&gt;2,#REF!&lt;-2),"",#REF!)</f>
        <v>#REF!</v>
      </c>
      <c r="RA7" s="7" t="e">
        <f aca="false">IF(OR(#REF!&gt;2,#REF!&lt;-2),"",#REF!)</f>
        <v>#REF!</v>
      </c>
      <c r="RB7" s="7" t="e">
        <f aca="false">IF(OR(#REF!&gt;2,#REF!&lt;-2),"",#REF!)</f>
        <v>#REF!</v>
      </c>
      <c r="RC7" s="7" t="e">
        <f aca="false">IF(OR(#REF!&gt;2,#REF!&lt;-2),"",#REF!)</f>
        <v>#REF!</v>
      </c>
      <c r="RD7" s="7" t="e">
        <f aca="false">IF(OR(#REF!&gt;2,#REF!&lt;-2),"",#REF!)</f>
        <v>#REF!</v>
      </c>
      <c r="RE7" s="7" t="e">
        <f aca="false">IF(OR(#REF!&gt;2,#REF!&lt;-2),"",#REF!)</f>
        <v>#REF!</v>
      </c>
      <c r="RF7" s="7" t="e">
        <f aca="false">IF(OR(#REF!&gt;2,#REF!&lt;-2),"",#REF!)</f>
        <v>#REF!</v>
      </c>
      <c r="RG7" s="7" t="e">
        <f aca="false">IF(OR(#REF!&gt;2,#REF!&lt;-2),"",#REF!)</f>
        <v>#REF!</v>
      </c>
      <c r="RH7" s="7" t="e">
        <f aca="false">IF(OR(#REF!&gt;2,#REF!&lt;-2),"",#REF!)</f>
        <v>#REF!</v>
      </c>
      <c r="RI7" s="7" t="e">
        <f aca="false">IF(OR(#REF!&gt;2,#REF!&lt;-2),"",#REF!)</f>
        <v>#REF!</v>
      </c>
      <c r="RJ7" s="7" t="e">
        <f aca="false">IF(OR(#REF!&gt;2,#REF!&lt;-2),"",#REF!)</f>
        <v>#REF!</v>
      </c>
      <c r="RK7" s="7" t="e">
        <f aca="false">IF(OR(#REF!&gt;2,#REF!&lt;-2),"",#REF!)</f>
        <v>#REF!</v>
      </c>
      <c r="RL7" s="7" t="e">
        <f aca="false">IF(OR(#REF!&gt;2,#REF!&lt;-2),"",#REF!)</f>
        <v>#REF!</v>
      </c>
      <c r="RM7" s="7" t="e">
        <f aca="false">IF(OR(#REF!&gt;2,#REF!&lt;-2),"",#REF!)</f>
        <v>#REF!</v>
      </c>
      <c r="RN7" s="7" t="e">
        <f aca="false">IF(OR(#REF!&gt;2,#REF!&lt;-2),"",#REF!)</f>
        <v>#REF!</v>
      </c>
      <c r="RO7" s="7" t="e">
        <f aca="false">IF(OR(#REF!&gt;2,#REF!&lt;-2),"",#REF!)</f>
        <v>#REF!</v>
      </c>
      <c r="RP7" s="7" t="e">
        <f aca="false">IF(OR(#REF!&gt;2,#REF!&lt;-2),"",#REF!)</f>
        <v>#REF!</v>
      </c>
      <c r="RQ7" s="7" t="e">
        <f aca="false">IF(OR(#REF!&gt;2,#REF!&lt;-2),"",#REF!)</f>
        <v>#REF!</v>
      </c>
      <c r="RR7" s="7" t="e">
        <f aca="false">IF(OR(#REF!&gt;2,#REF!&lt;-2),"",#REF!)</f>
        <v>#REF!</v>
      </c>
      <c r="RS7" s="7" t="e">
        <f aca="false">IF(OR(#REF!&gt;2,#REF!&lt;-2),"",#REF!)</f>
        <v>#REF!</v>
      </c>
      <c r="RT7" s="7" t="e">
        <f aca="false">IF(OR(#REF!&gt;2,#REF!&lt;-2),"",#REF!)</f>
        <v>#REF!</v>
      </c>
      <c r="RU7" s="7" t="e">
        <f aca="false">IF(OR(#REF!&gt;2,#REF!&lt;-2),"",#REF!)</f>
        <v>#REF!</v>
      </c>
      <c r="RV7" s="7" t="e">
        <f aca="false">IF(OR(#REF!&gt;2,#REF!&lt;-2),"",#REF!)</f>
        <v>#REF!</v>
      </c>
      <c r="RW7" s="7" t="e">
        <f aca="false">IF(OR(#REF!&gt;2,#REF!&lt;-2),"",#REF!)</f>
        <v>#REF!</v>
      </c>
      <c r="RX7" s="7" t="e">
        <f aca="false">IF(OR(#REF!&gt;2,#REF!&lt;-2),"",#REF!)</f>
        <v>#REF!</v>
      </c>
      <c r="RY7" s="7" t="e">
        <f aca="false">IF(OR(#REF!&gt;2,#REF!&lt;-2),"",#REF!)</f>
        <v>#REF!</v>
      </c>
      <c r="RZ7" s="7" t="e">
        <f aca="false">IF(OR(#REF!&gt;2,#REF!&lt;-2),"",#REF!)</f>
        <v>#REF!</v>
      </c>
      <c r="SA7" s="7" t="e">
        <f aca="false">IF(OR(#REF!&gt;2,#REF!&lt;-2),"",#REF!)</f>
        <v>#REF!</v>
      </c>
      <c r="SB7" s="7" t="e">
        <f aca="false">IF(OR(#REF!&gt;2,#REF!&lt;-2),"",#REF!)</f>
        <v>#REF!</v>
      </c>
      <c r="SC7" s="7" t="e">
        <f aca="false">IF(OR(#REF!&gt;2,#REF!&lt;-2),"",#REF!)</f>
        <v>#REF!</v>
      </c>
      <c r="SD7" s="7" t="e">
        <f aca="false">IF(OR(#REF!&gt;2,#REF!&lt;-2),"",#REF!)</f>
        <v>#REF!</v>
      </c>
      <c r="SE7" s="7" t="e">
        <f aca="false">IF(OR(#REF!&gt;2,#REF!&lt;-2),"",#REF!)</f>
        <v>#REF!</v>
      </c>
      <c r="SF7" s="7" t="e">
        <f aca="false">IF(OR(#REF!&gt;2,#REF!&lt;-2),"",#REF!)</f>
        <v>#REF!</v>
      </c>
      <c r="SG7" s="7" t="e">
        <f aca="false">IF(OR(#REF!&gt;2,#REF!&lt;-2),"",#REF!)</f>
        <v>#REF!</v>
      </c>
      <c r="SH7" s="7" t="e">
        <f aca="false">IF(OR(#REF!&gt;2,#REF!&lt;-2),"",#REF!)</f>
        <v>#REF!</v>
      </c>
      <c r="SI7" s="7" t="e">
        <f aca="false">IF(OR(#REF!&gt;2,#REF!&lt;-2),"",#REF!)</f>
        <v>#REF!</v>
      </c>
      <c r="SJ7" s="7" t="e">
        <f aca="false">IF(OR(#REF!&gt;2,#REF!&lt;-2),"",#REF!)</f>
        <v>#REF!</v>
      </c>
      <c r="SK7" s="7" t="e">
        <f aca="false">IF(OR(#REF!&gt;2,#REF!&lt;-2),"",#REF!)</f>
        <v>#REF!</v>
      </c>
      <c r="SL7" s="7" t="e">
        <f aca="false">IF(OR(#REF!&gt;2,#REF!&lt;-2),"",#REF!)</f>
        <v>#REF!</v>
      </c>
      <c r="SM7" s="7" t="e">
        <f aca="false">IF(OR(#REF!&gt;2,#REF!&lt;-2),"",#REF!)</f>
        <v>#REF!</v>
      </c>
      <c r="SN7" s="7" t="e">
        <f aca="false">IF(OR(#REF!&gt;2,#REF!&lt;-2),"",#REF!)</f>
        <v>#REF!</v>
      </c>
      <c r="SO7" s="7" t="e">
        <f aca="false">IF(OR(#REF!&gt;2,#REF!&lt;-2),"",#REF!)</f>
        <v>#REF!</v>
      </c>
      <c r="SP7" s="7" t="e">
        <f aca="false">IF(OR(#REF!&gt;2,#REF!&lt;-2),"",#REF!)</f>
        <v>#REF!</v>
      </c>
      <c r="SQ7" s="7" t="e">
        <f aca="false">IF(OR(#REF!&gt;2,#REF!&lt;-2),"",#REF!)</f>
        <v>#REF!</v>
      </c>
      <c r="SR7" s="7" t="e">
        <f aca="false">IF(OR(#REF!&gt;2,#REF!&lt;-2),"",#REF!)</f>
        <v>#REF!</v>
      </c>
      <c r="SS7" s="7" t="e">
        <f aca="false">IF(OR(#REF!&gt;2,#REF!&lt;-2),"",#REF!)</f>
        <v>#REF!</v>
      </c>
      <c r="ST7" s="7" t="e">
        <f aca="false">IF(OR(#REF!&gt;2,#REF!&lt;-2),"",#REF!)</f>
        <v>#REF!</v>
      </c>
      <c r="SU7" s="7" t="e">
        <f aca="false">IF(OR(#REF!&gt;2,#REF!&lt;-2),"",#REF!)</f>
        <v>#REF!</v>
      </c>
      <c r="SV7" s="7" t="e">
        <f aca="false">IF(OR(#REF!&gt;2,#REF!&lt;-2),"",#REF!)</f>
        <v>#REF!</v>
      </c>
      <c r="SW7" s="7" t="e">
        <f aca="false">IF(OR(#REF!&gt;2,#REF!&lt;-2),"",#REF!)</f>
        <v>#REF!</v>
      </c>
      <c r="SX7" s="7" t="e">
        <f aca="false">IF(OR(#REF!&gt;2,#REF!&lt;-2),"",#REF!)</f>
        <v>#REF!</v>
      </c>
      <c r="SY7" s="7" t="e">
        <f aca="false">IF(OR(#REF!&gt;2,#REF!&lt;-2),"",#REF!)</f>
        <v>#REF!</v>
      </c>
      <c r="SZ7" s="7" t="e">
        <f aca="false">IF(OR(#REF!&gt;2,#REF!&lt;-2),"",#REF!)</f>
        <v>#REF!</v>
      </c>
      <c r="TA7" s="7" t="e">
        <f aca="false">IF(OR(#REF!&gt;2,#REF!&lt;-2),"",#REF!)</f>
        <v>#REF!</v>
      </c>
      <c r="TB7" s="7" t="e">
        <f aca="false">IF(OR(#REF!&gt;2,#REF!&lt;-2),"",#REF!)</f>
        <v>#REF!</v>
      </c>
      <c r="TC7" s="7" t="e">
        <f aca="false">IF(OR(#REF!&gt;2,#REF!&lt;-2),"",#REF!)</f>
        <v>#REF!</v>
      </c>
      <c r="TD7" s="7" t="e">
        <f aca="false">IF(OR(#REF!&gt;2,#REF!&lt;-2),"",#REF!)</f>
        <v>#REF!</v>
      </c>
      <c r="TE7" s="7" t="e">
        <f aca="false">IF(OR(#REF!&gt;2,#REF!&lt;-2),"",#REF!)</f>
        <v>#REF!</v>
      </c>
      <c r="TF7" s="7" t="e">
        <f aca="false">IF(OR(#REF!&gt;2,#REF!&lt;-2),"",#REF!)</f>
        <v>#REF!</v>
      </c>
      <c r="TG7" s="7" t="e">
        <f aca="false">IF(OR(#REF!&gt;2,#REF!&lt;-2),"",#REF!)</f>
        <v>#REF!</v>
      </c>
      <c r="TH7" s="7" t="e">
        <f aca="false">IF(OR(#REF!&gt;2,#REF!&lt;-2),"",#REF!)</f>
        <v>#REF!</v>
      </c>
      <c r="TI7" s="7" t="e">
        <f aca="false">IF(OR(#REF!&gt;2,#REF!&lt;-2),"",#REF!)</f>
        <v>#REF!</v>
      </c>
      <c r="TJ7" s="7" t="e">
        <f aca="false">IF(OR(#REF!&gt;2,#REF!&lt;-2),"",#REF!)</f>
        <v>#REF!</v>
      </c>
      <c r="TK7" s="7" t="e">
        <f aca="false">IF(OR(#REF!&gt;2,#REF!&lt;-2),"",#REF!)</f>
        <v>#REF!</v>
      </c>
      <c r="TL7" s="7" t="e">
        <f aca="false">IF(OR(#REF!&gt;2,#REF!&lt;-2),"",#REF!)</f>
        <v>#REF!</v>
      </c>
      <c r="TM7" s="7" t="e">
        <f aca="false">IF(OR(#REF!&gt;2,#REF!&lt;-2),"",#REF!)</f>
        <v>#REF!</v>
      </c>
      <c r="TN7" s="7" t="e">
        <f aca="false">IF(OR(#REF!&gt;2,#REF!&lt;-2),"",#REF!)</f>
        <v>#REF!</v>
      </c>
      <c r="TO7" s="7" t="e">
        <f aca="false">IF(OR(#REF!&gt;2,#REF!&lt;-2),"",#REF!)</f>
        <v>#REF!</v>
      </c>
      <c r="TP7" s="7" t="e">
        <f aca="false">IF(OR(#REF!&gt;2,#REF!&lt;-2),"",#REF!)</f>
        <v>#REF!</v>
      </c>
      <c r="TQ7" s="7" t="e">
        <f aca="false">IF(OR(#REF!&gt;2,#REF!&lt;-2),"",#REF!)</f>
        <v>#REF!</v>
      </c>
      <c r="TR7" s="7" t="e">
        <f aca="false">IF(OR(#REF!&gt;2,#REF!&lt;-2),"",#REF!)</f>
        <v>#REF!</v>
      </c>
      <c r="TS7" s="7" t="e">
        <f aca="false">IF(OR(#REF!&gt;2,#REF!&lt;-2),"",#REF!)</f>
        <v>#REF!</v>
      </c>
      <c r="TT7" s="7" t="e">
        <f aca="false">IF(OR(#REF!&gt;2,#REF!&lt;-2),"",#REF!)</f>
        <v>#REF!</v>
      </c>
      <c r="TU7" s="7" t="e">
        <f aca="false">IF(OR(#REF!&gt;2,#REF!&lt;-2),"",#REF!)</f>
        <v>#REF!</v>
      </c>
      <c r="TV7" s="7" t="e">
        <f aca="false">IF(OR(#REF!&gt;2,#REF!&lt;-2),"",#REF!)</f>
        <v>#REF!</v>
      </c>
      <c r="TW7" s="7" t="e">
        <f aca="false">IF(OR(#REF!&gt;2,#REF!&lt;-2),"",#REF!)</f>
        <v>#REF!</v>
      </c>
      <c r="TX7" s="7" t="e">
        <f aca="false">IF(OR(#REF!&gt;2,#REF!&lt;-2),"",#REF!)</f>
        <v>#REF!</v>
      </c>
      <c r="TY7" s="7" t="e">
        <f aca="false">IF(OR(#REF!&gt;2,#REF!&lt;-2),"",#REF!)</f>
        <v>#REF!</v>
      </c>
      <c r="TZ7" s="7" t="e">
        <f aca="false">IF(OR(#REF!&gt;2,#REF!&lt;-2),"",#REF!)</f>
        <v>#REF!</v>
      </c>
      <c r="UA7" s="7" t="e">
        <f aca="false">IF(OR(#REF!&gt;2,#REF!&lt;-2),"",#REF!)</f>
        <v>#REF!</v>
      </c>
      <c r="UB7" s="7" t="e">
        <f aca="false">IF(OR(#REF!&gt;2,#REF!&lt;-2),"",#REF!)</f>
        <v>#REF!</v>
      </c>
      <c r="UC7" s="7" t="e">
        <f aca="false">IF(OR(#REF!&gt;2,#REF!&lt;-2),"",#REF!)</f>
        <v>#REF!</v>
      </c>
      <c r="UD7" s="7" t="e">
        <f aca="false">IF(OR(#REF!&gt;2,#REF!&lt;-2),"",#REF!)</f>
        <v>#REF!</v>
      </c>
      <c r="UE7" s="7" t="e">
        <f aca="false">IF(OR(#REF!&gt;2,#REF!&lt;-2),"",#REF!)</f>
        <v>#REF!</v>
      </c>
      <c r="UF7" s="7" t="e">
        <f aca="false">IF(OR(#REF!&gt;2,#REF!&lt;-2),"",#REF!)</f>
        <v>#REF!</v>
      </c>
      <c r="UG7" s="7" t="e">
        <f aca="false">IF(OR(#REF!&gt;2,#REF!&lt;-2),"",#REF!)</f>
        <v>#REF!</v>
      </c>
      <c r="UH7" s="7" t="e">
        <f aca="false">IF(OR(#REF!&gt;2,#REF!&lt;-2),"",#REF!)</f>
        <v>#REF!</v>
      </c>
      <c r="UI7" s="7" t="e">
        <f aca="false">IF(OR(#REF!&gt;2,#REF!&lt;-2),"",#REF!)</f>
        <v>#REF!</v>
      </c>
      <c r="UJ7" s="7" t="e">
        <f aca="false">IF(OR(#REF!&gt;2,#REF!&lt;-2),"",#REF!)</f>
        <v>#REF!</v>
      </c>
      <c r="UK7" s="7" t="e">
        <f aca="false">IF(OR(#REF!&gt;2,#REF!&lt;-2),"",#REF!)</f>
        <v>#REF!</v>
      </c>
      <c r="UL7" s="7" t="e">
        <f aca="false">IF(OR(#REF!&gt;2,#REF!&lt;-2),"",#REF!)</f>
        <v>#REF!</v>
      </c>
      <c r="UM7" s="7" t="e">
        <f aca="false">IF(OR(#REF!&gt;2,#REF!&lt;-2),"",#REF!)</f>
        <v>#REF!</v>
      </c>
      <c r="UN7" s="7" t="e">
        <f aca="false">IF(OR(#REF!&gt;2,#REF!&lt;-2),"",#REF!)</f>
        <v>#REF!</v>
      </c>
      <c r="UO7" s="7" t="e">
        <f aca="false">IF(OR(#REF!&gt;2,#REF!&lt;-2),"",#REF!)</f>
        <v>#REF!</v>
      </c>
      <c r="UP7" s="7" t="e">
        <f aca="false">IF(OR(#REF!&gt;2,#REF!&lt;-2),"",#REF!)</f>
        <v>#REF!</v>
      </c>
    </row>
    <row r="8" customFormat="false" ht="14.5" hidden="false" customHeight="false" outlineLevel="0" collapsed="false">
      <c r="A8" s="0" t="n">
        <v>170</v>
      </c>
      <c r="B8" s="0" t="n">
        <v>0</v>
      </c>
      <c r="C8" s="7" t="e">
        <f aca="false">IF(OR(#REF!&gt;2,#REF!&lt;-2),"",#REF!)</f>
        <v>#REF!</v>
      </c>
      <c r="D8" s="7" t="e">
        <f aca="false">IF(OR(#REF!&gt;2,#REF!&lt;-2),"",#REF!)</f>
        <v>#REF!</v>
      </c>
      <c r="E8" s="7" t="e">
        <f aca="false">IF(OR(#REF!&gt;2,#REF!&lt;-2),"",#REF!)</f>
        <v>#REF!</v>
      </c>
      <c r="F8" s="7" t="e">
        <f aca="false">IF(OR(#REF!&gt;2,#REF!&lt;-2),"",#REF!)</f>
        <v>#REF!</v>
      </c>
      <c r="G8" s="7" t="e">
        <f aca="false">IF(OR(#REF!&gt;2,#REF!&lt;-2),"",#REF!)</f>
        <v>#REF!</v>
      </c>
      <c r="H8" s="7" t="e">
        <f aca="false">IF(OR(#REF!&gt;2,#REF!&lt;-2),"",#REF!)</f>
        <v>#REF!</v>
      </c>
      <c r="I8" s="7" t="e">
        <f aca="false">IF(OR(#REF!&gt;2,#REF!&lt;-2),"",#REF!)</f>
        <v>#REF!</v>
      </c>
      <c r="J8" s="7" t="e">
        <f aca="false">IF(OR(#REF!&gt;2,#REF!&lt;-2),"",#REF!)</f>
        <v>#REF!</v>
      </c>
      <c r="K8" s="7" t="e">
        <f aca="false">IF(OR(#REF!&gt;2,#REF!&lt;-2),"",#REF!)</f>
        <v>#REF!</v>
      </c>
      <c r="L8" s="7" t="e">
        <f aca="false">IF(OR(#REF!&gt;2,#REF!&lt;-2),"",#REF!)</f>
        <v>#REF!</v>
      </c>
      <c r="M8" s="7" t="e">
        <f aca="false">IF(OR(#REF!&gt;2,#REF!&lt;-2),"",#REF!)</f>
        <v>#REF!</v>
      </c>
      <c r="N8" s="7" t="e">
        <f aca="false">IF(OR(#REF!&gt;2,#REF!&lt;-2),"",#REF!)</f>
        <v>#REF!</v>
      </c>
      <c r="O8" s="7" t="e">
        <f aca="false">IF(OR(#REF!&gt;2,#REF!&lt;-2),"",#REF!)</f>
        <v>#REF!</v>
      </c>
      <c r="P8" s="7" t="e">
        <f aca="false">IF(OR(#REF!&gt;2,#REF!&lt;-2),"",#REF!)</f>
        <v>#REF!</v>
      </c>
      <c r="Q8" s="7" t="e">
        <f aca="false">IF(OR(#REF!&gt;2,#REF!&lt;-2),"",#REF!)</f>
        <v>#REF!</v>
      </c>
      <c r="R8" s="7" t="e">
        <f aca="false">IF(OR(#REF!&gt;2,#REF!&lt;-2),"",#REF!)</f>
        <v>#REF!</v>
      </c>
      <c r="S8" s="7" t="e">
        <f aca="false">IF(OR(#REF!&gt;2,#REF!&lt;-2),"",#REF!)</f>
        <v>#REF!</v>
      </c>
      <c r="T8" s="7" t="e">
        <f aca="false">IF(OR(#REF!&gt;2,#REF!&lt;-2),"",#REF!)</f>
        <v>#REF!</v>
      </c>
      <c r="U8" s="7" t="e">
        <f aca="false">IF(OR(#REF!&gt;2,#REF!&lt;-2),"",#REF!)</f>
        <v>#REF!</v>
      </c>
      <c r="V8" s="7" t="e">
        <f aca="false">IF(OR(#REF!&gt;2,#REF!&lt;-2),"",#REF!)</f>
        <v>#REF!</v>
      </c>
      <c r="W8" s="7" t="e">
        <f aca="false">IF(OR(#REF!&gt;2,#REF!&lt;-2),"",#REF!)</f>
        <v>#REF!</v>
      </c>
      <c r="X8" s="7" t="e">
        <f aca="false">IF(OR(#REF!&gt;2,#REF!&lt;-2),"",#REF!)</f>
        <v>#REF!</v>
      </c>
      <c r="Y8" s="7" t="e">
        <f aca="false">IF(OR(#REF!&gt;2,#REF!&lt;-2),"",#REF!)</f>
        <v>#REF!</v>
      </c>
      <c r="Z8" s="7" t="e">
        <f aca="false">IF(OR(#REF!&gt;2,#REF!&lt;-2),"",#REF!)</f>
        <v>#REF!</v>
      </c>
      <c r="AA8" s="7" t="e">
        <f aca="false">IF(OR(#REF!&gt;2,#REF!&lt;-2),"",#REF!)</f>
        <v>#REF!</v>
      </c>
      <c r="AB8" s="7" t="e">
        <f aca="false">IF(OR(#REF!&gt;2,#REF!&lt;-2),"",#REF!)</f>
        <v>#REF!</v>
      </c>
      <c r="AC8" s="7" t="e">
        <f aca="false">IF(OR(#REF!&gt;2,#REF!&lt;-2),"",#REF!)</f>
        <v>#REF!</v>
      </c>
      <c r="AD8" s="7" t="e">
        <f aca="false">IF(OR(#REF!&gt;2,#REF!&lt;-2),"",#REF!)</f>
        <v>#REF!</v>
      </c>
      <c r="AE8" s="7" t="e">
        <f aca="false">IF(OR(#REF!&gt;2,#REF!&lt;-2),"",#REF!)</f>
        <v>#REF!</v>
      </c>
      <c r="AF8" s="7" t="e">
        <f aca="false">IF(OR(#REF!&gt;2,#REF!&lt;-2),"",#REF!)</f>
        <v>#REF!</v>
      </c>
      <c r="AG8" s="7" t="e">
        <f aca="false">IF(OR(#REF!&gt;2,#REF!&lt;-2),"",#REF!)</f>
        <v>#REF!</v>
      </c>
      <c r="AH8" s="7" t="e">
        <f aca="false">IF(OR(#REF!&gt;2,#REF!&lt;-2),"",#REF!)</f>
        <v>#REF!</v>
      </c>
      <c r="AI8" s="7" t="e">
        <f aca="false">IF(OR(#REF!&gt;2,#REF!&lt;-2),"",#REF!)</f>
        <v>#REF!</v>
      </c>
      <c r="AJ8" s="7" t="e">
        <f aca="false">IF(OR(#REF!&gt;2,#REF!&lt;-2),"",#REF!)</f>
        <v>#REF!</v>
      </c>
      <c r="AK8" s="7" t="e">
        <f aca="false">IF(OR(#REF!&gt;2,#REF!&lt;-2),"",#REF!)</f>
        <v>#REF!</v>
      </c>
      <c r="AL8" s="7" t="e">
        <f aca="false">IF(OR(#REF!&gt;2,#REF!&lt;-2),"",#REF!)</f>
        <v>#REF!</v>
      </c>
      <c r="AM8" s="7" t="e">
        <f aca="false">IF(OR(#REF!&gt;2,#REF!&lt;-2),"",#REF!)</f>
        <v>#REF!</v>
      </c>
      <c r="AN8" s="7" t="e">
        <f aca="false">IF(OR(#REF!&gt;2,#REF!&lt;-2),"",#REF!)</f>
        <v>#REF!</v>
      </c>
      <c r="AO8" s="7" t="e">
        <f aca="false">IF(OR(#REF!&gt;2,#REF!&lt;-2),"",#REF!)</f>
        <v>#REF!</v>
      </c>
      <c r="AP8" s="7" t="e">
        <f aca="false">IF(OR(#REF!&gt;2,#REF!&lt;-2),"",#REF!)</f>
        <v>#REF!</v>
      </c>
      <c r="AQ8" s="7" t="e">
        <f aca="false">IF(OR(#REF!&gt;2,#REF!&lt;-2),"",#REF!)</f>
        <v>#REF!</v>
      </c>
      <c r="AR8" s="7" t="e">
        <f aca="false">IF(OR(#REF!&gt;2,#REF!&lt;-2),"",#REF!)</f>
        <v>#REF!</v>
      </c>
      <c r="AS8" s="7" t="e">
        <f aca="false">IF(OR(#REF!&gt;2,#REF!&lt;-2),"",#REF!)</f>
        <v>#REF!</v>
      </c>
      <c r="AT8" s="7" t="e">
        <f aca="false">IF(OR(#REF!&gt;2,#REF!&lt;-2),"",#REF!)</f>
        <v>#REF!</v>
      </c>
      <c r="AU8" s="7" t="e">
        <f aca="false">IF(OR(#REF!&gt;2,#REF!&lt;-2),"",#REF!)</f>
        <v>#REF!</v>
      </c>
      <c r="AV8" s="7" t="e">
        <f aca="false">IF(OR(#REF!&gt;2,#REF!&lt;-2),"",#REF!)</f>
        <v>#REF!</v>
      </c>
      <c r="AW8" s="7" t="e">
        <f aca="false">IF(OR(#REF!&gt;2,#REF!&lt;-2),"",#REF!)</f>
        <v>#REF!</v>
      </c>
      <c r="AX8" s="7" t="e">
        <f aca="false">IF(OR(#REF!&gt;2,#REF!&lt;-2),"",#REF!)</f>
        <v>#REF!</v>
      </c>
      <c r="AY8" s="7" t="e">
        <f aca="false">IF(OR(#REF!&gt;2,#REF!&lt;-2),"",#REF!)</f>
        <v>#REF!</v>
      </c>
      <c r="AZ8" s="7" t="e">
        <f aca="false">IF(OR(#REF!&gt;2,#REF!&lt;-2),"",#REF!)</f>
        <v>#REF!</v>
      </c>
      <c r="BA8" s="7" t="e">
        <f aca="false">IF(OR(#REF!&gt;2,#REF!&lt;-2),"",#REF!)</f>
        <v>#REF!</v>
      </c>
      <c r="BB8" s="7" t="e">
        <f aca="false">IF(OR(#REF!&gt;2,#REF!&lt;-2),"",#REF!)</f>
        <v>#REF!</v>
      </c>
      <c r="BC8" s="7" t="e">
        <f aca="false">IF(OR(#REF!&gt;2,#REF!&lt;-2),"",#REF!)</f>
        <v>#REF!</v>
      </c>
      <c r="BD8" s="7" t="e">
        <f aca="false">IF(OR(#REF!&gt;2,#REF!&lt;-2),"",#REF!)</f>
        <v>#REF!</v>
      </c>
      <c r="BE8" s="7" t="e">
        <f aca="false">IF(OR(#REF!&gt;2,#REF!&lt;-2),"",#REF!)</f>
        <v>#REF!</v>
      </c>
      <c r="BF8" s="7" t="e">
        <f aca="false">IF(OR(#REF!&gt;2,#REF!&lt;-2),"",#REF!)</f>
        <v>#REF!</v>
      </c>
      <c r="BG8" s="7" t="e">
        <f aca="false">IF(OR(#REF!&gt;2,#REF!&lt;-2),"",#REF!)</f>
        <v>#REF!</v>
      </c>
      <c r="BH8" s="7" t="e">
        <f aca="false">IF(OR(#REF!&gt;2,#REF!&lt;-2),"",#REF!)</f>
        <v>#REF!</v>
      </c>
      <c r="BI8" s="7" t="e">
        <f aca="false">IF(OR(#REF!&gt;2,#REF!&lt;-2),"",#REF!)</f>
        <v>#REF!</v>
      </c>
      <c r="BJ8" s="7" t="e">
        <f aca="false">IF(OR(#REF!&gt;2,#REF!&lt;-2),"",#REF!)</f>
        <v>#REF!</v>
      </c>
      <c r="BK8" s="7" t="e">
        <f aca="false">IF(OR(#REF!&gt;2,#REF!&lt;-2),"",#REF!)</f>
        <v>#REF!</v>
      </c>
      <c r="BL8" s="7" t="e">
        <f aca="false">IF(OR(#REF!&gt;2,#REF!&lt;-2),"",#REF!)</f>
        <v>#REF!</v>
      </c>
      <c r="BM8" s="7" t="e">
        <f aca="false">IF(OR(#REF!&gt;2,#REF!&lt;-2),"",#REF!)</f>
        <v>#REF!</v>
      </c>
      <c r="BN8" s="7" t="e">
        <f aca="false">IF(OR(#REF!&gt;2,#REF!&lt;-2),"",#REF!)</f>
        <v>#REF!</v>
      </c>
      <c r="BO8" s="7" t="e">
        <f aca="false">IF(OR(#REF!&gt;2,#REF!&lt;-2),"",#REF!)</f>
        <v>#REF!</v>
      </c>
      <c r="BP8" s="7" t="e">
        <f aca="false">IF(OR(#REF!&gt;2,#REF!&lt;-2),"",#REF!)</f>
        <v>#REF!</v>
      </c>
      <c r="BQ8" s="7" t="e">
        <f aca="false">IF(OR(#REF!&gt;2,#REF!&lt;-2),"",#REF!)</f>
        <v>#REF!</v>
      </c>
      <c r="BR8" s="7" t="e">
        <f aca="false">IF(OR(#REF!&gt;2,#REF!&lt;-2),"",#REF!)</f>
        <v>#REF!</v>
      </c>
      <c r="BS8" s="7" t="e">
        <f aca="false">IF(OR(#REF!&gt;2,#REF!&lt;-2),"",#REF!)</f>
        <v>#REF!</v>
      </c>
      <c r="BT8" s="7" t="e">
        <f aca="false">IF(OR(#REF!&gt;2,#REF!&lt;-2),"",#REF!)</f>
        <v>#REF!</v>
      </c>
      <c r="BU8" s="7" t="e">
        <f aca="false">IF(OR(#REF!&gt;2,#REF!&lt;-2),"",#REF!)</f>
        <v>#REF!</v>
      </c>
      <c r="BV8" s="7" t="e">
        <f aca="false">IF(OR(#REF!&gt;2,#REF!&lt;-2),"",#REF!)</f>
        <v>#REF!</v>
      </c>
      <c r="BW8" s="7" t="e">
        <f aca="false">IF(OR(#REF!&gt;2,#REF!&lt;-2),"",#REF!)</f>
        <v>#REF!</v>
      </c>
      <c r="BX8" s="7" t="e">
        <f aca="false">IF(OR(#REF!&gt;2,#REF!&lt;-2),"",#REF!)</f>
        <v>#REF!</v>
      </c>
      <c r="BY8" s="7" t="e">
        <f aca="false">IF(OR(#REF!&gt;2,#REF!&lt;-2),"",#REF!)</f>
        <v>#REF!</v>
      </c>
      <c r="BZ8" s="7" t="e">
        <f aca="false">IF(OR(#REF!&gt;2,#REF!&lt;-2),"",#REF!)</f>
        <v>#REF!</v>
      </c>
      <c r="CA8" s="7" t="e">
        <f aca="false">IF(OR(#REF!&gt;2,#REF!&lt;-2),"",#REF!)</f>
        <v>#REF!</v>
      </c>
      <c r="CB8" s="7" t="e">
        <f aca="false">IF(OR(#REF!&gt;2,#REF!&lt;-2),"",#REF!)</f>
        <v>#REF!</v>
      </c>
      <c r="CC8" s="7" t="e">
        <f aca="false">IF(OR(#REF!&gt;2,#REF!&lt;-2),"",#REF!)</f>
        <v>#REF!</v>
      </c>
      <c r="CD8" s="7" t="e">
        <f aca="false">IF(OR(#REF!&gt;2,#REF!&lt;-2),"",#REF!)</f>
        <v>#REF!</v>
      </c>
      <c r="CE8" s="7" t="e">
        <f aca="false">IF(OR(#REF!&gt;2,#REF!&lt;-2),"",#REF!)</f>
        <v>#REF!</v>
      </c>
      <c r="CF8" s="7" t="e">
        <f aca="false">IF(OR(#REF!&gt;2,#REF!&lt;-2),"",#REF!)</f>
        <v>#REF!</v>
      </c>
      <c r="CG8" s="7" t="e">
        <f aca="false">IF(OR(#REF!&gt;2,#REF!&lt;-2),"",#REF!)</f>
        <v>#REF!</v>
      </c>
      <c r="CH8" s="7" t="e">
        <f aca="false">IF(OR(#REF!&gt;2,#REF!&lt;-2),"",#REF!)</f>
        <v>#REF!</v>
      </c>
      <c r="CI8" s="7" t="e">
        <f aca="false">IF(OR(#REF!&gt;2,#REF!&lt;-2),"",#REF!)</f>
        <v>#REF!</v>
      </c>
      <c r="CJ8" s="7" t="e">
        <f aca="false">IF(OR(#REF!&gt;2,#REF!&lt;-2),"",#REF!)</f>
        <v>#REF!</v>
      </c>
      <c r="CK8" s="7" t="e">
        <f aca="false">IF(OR(#REF!&gt;2,#REF!&lt;-2),"",#REF!)</f>
        <v>#REF!</v>
      </c>
      <c r="CL8" s="7" t="e">
        <f aca="false">IF(OR(#REF!&gt;2,#REF!&lt;-2),"",#REF!)</f>
        <v>#REF!</v>
      </c>
      <c r="CM8" s="7" t="e">
        <f aca="false">IF(OR(#REF!&gt;2,#REF!&lt;-2),"",#REF!)</f>
        <v>#REF!</v>
      </c>
      <c r="CN8" s="7" t="e">
        <f aca="false">IF(OR(#REF!&gt;2,#REF!&lt;-2),"",#REF!)</f>
        <v>#REF!</v>
      </c>
      <c r="CO8" s="7" t="e">
        <f aca="false">IF(OR(#REF!&gt;2,#REF!&lt;-2),"",#REF!)</f>
        <v>#REF!</v>
      </c>
      <c r="CP8" s="7" t="e">
        <f aca="false">IF(OR(#REF!&gt;2,#REF!&lt;-2),"",#REF!)</f>
        <v>#REF!</v>
      </c>
      <c r="CQ8" s="7" t="e">
        <f aca="false">IF(OR(#REF!&gt;2,#REF!&lt;-2),"",#REF!)</f>
        <v>#REF!</v>
      </c>
      <c r="CR8" s="7" t="e">
        <f aca="false">IF(OR(#REF!&gt;2,#REF!&lt;-2),"",#REF!)</f>
        <v>#REF!</v>
      </c>
      <c r="CS8" s="7" t="e">
        <f aca="false">IF(OR(#REF!&gt;2,#REF!&lt;-2),"",#REF!)</f>
        <v>#REF!</v>
      </c>
      <c r="CT8" s="7" t="e">
        <f aca="false">IF(OR(#REF!&gt;2,#REF!&lt;-2),"",#REF!)</f>
        <v>#REF!</v>
      </c>
      <c r="CU8" s="7" t="e">
        <f aca="false">IF(OR(#REF!&gt;2,#REF!&lt;-2),"",#REF!)</f>
        <v>#REF!</v>
      </c>
      <c r="CV8" s="7" t="e">
        <f aca="false">IF(OR(#REF!&gt;2,#REF!&lt;-2),"",#REF!)</f>
        <v>#REF!</v>
      </c>
      <c r="CW8" s="7" t="e">
        <f aca="false">IF(OR(#REF!&gt;2,#REF!&lt;-2),"",#REF!)</f>
        <v>#REF!</v>
      </c>
      <c r="CX8" s="7" t="e">
        <f aca="false">IF(OR(#REF!&gt;2,#REF!&lt;-2),"",#REF!)</f>
        <v>#REF!</v>
      </c>
      <c r="CY8" s="7" t="e">
        <f aca="false">IF(OR(#REF!&gt;2,#REF!&lt;-2),"",#REF!)</f>
        <v>#REF!</v>
      </c>
      <c r="CZ8" s="7" t="e">
        <f aca="false">IF(OR(#REF!&gt;2,#REF!&lt;-2),"",#REF!)</f>
        <v>#REF!</v>
      </c>
      <c r="DA8" s="7" t="e">
        <f aca="false">IF(OR(#REF!&gt;2,#REF!&lt;-2),"",#REF!)</f>
        <v>#REF!</v>
      </c>
      <c r="DB8" s="7" t="e">
        <f aca="false">IF(OR(#REF!&gt;2,#REF!&lt;-2),"",#REF!)</f>
        <v>#REF!</v>
      </c>
      <c r="DC8" s="7" t="e">
        <f aca="false">IF(OR(#REF!&gt;2,#REF!&lt;-2),"",#REF!)</f>
        <v>#REF!</v>
      </c>
      <c r="DD8" s="7" t="e">
        <f aca="false">IF(OR(#REF!&gt;2,#REF!&lt;-2),"",#REF!)</f>
        <v>#REF!</v>
      </c>
      <c r="DE8" s="7" t="e">
        <f aca="false">IF(OR(#REF!&gt;2,#REF!&lt;-2),"",#REF!)</f>
        <v>#REF!</v>
      </c>
      <c r="DF8" s="7" t="e">
        <f aca="false">IF(OR(#REF!&gt;2,#REF!&lt;-2),"",#REF!)</f>
        <v>#REF!</v>
      </c>
      <c r="DG8" s="7" t="e">
        <f aca="false">IF(OR(#REF!&gt;2,#REF!&lt;-2),"",#REF!)</f>
        <v>#REF!</v>
      </c>
      <c r="DH8" s="7" t="e">
        <f aca="false">IF(OR(#REF!&gt;2,#REF!&lt;-2),"",#REF!)</f>
        <v>#REF!</v>
      </c>
      <c r="DI8" s="7" t="e">
        <f aca="false">IF(OR(#REF!&gt;2,#REF!&lt;-2),"",#REF!)</f>
        <v>#REF!</v>
      </c>
      <c r="DJ8" s="7" t="e">
        <f aca="false">IF(OR(#REF!&gt;2,#REF!&lt;-2),"",#REF!)</f>
        <v>#REF!</v>
      </c>
      <c r="DK8" s="7" t="e">
        <f aca="false">IF(OR(#REF!&gt;2,#REF!&lt;-2),"",#REF!)</f>
        <v>#REF!</v>
      </c>
      <c r="DL8" s="7" t="e">
        <f aca="false">IF(OR(#REF!&gt;2,#REF!&lt;-2),"",#REF!)</f>
        <v>#REF!</v>
      </c>
      <c r="DM8" s="7" t="e">
        <f aca="false">IF(OR(#REF!&gt;2,#REF!&lt;-2),"",#REF!)</f>
        <v>#REF!</v>
      </c>
      <c r="DN8" s="7" t="e">
        <f aca="false">IF(OR(#REF!&gt;2,#REF!&lt;-2),"",#REF!)</f>
        <v>#REF!</v>
      </c>
      <c r="DO8" s="7" t="e">
        <f aca="false">IF(OR(#REF!&gt;2,#REF!&lt;-2),"",#REF!)</f>
        <v>#REF!</v>
      </c>
      <c r="DP8" s="7" t="e">
        <f aca="false">IF(OR(#REF!&gt;2,#REF!&lt;-2),"",#REF!)</f>
        <v>#REF!</v>
      </c>
      <c r="DQ8" s="7" t="e">
        <f aca="false">IF(OR(#REF!&gt;2,#REF!&lt;-2),"",#REF!)</f>
        <v>#REF!</v>
      </c>
      <c r="DR8" s="7" t="e">
        <f aca="false">IF(OR(#REF!&gt;2,#REF!&lt;-2),"",#REF!)</f>
        <v>#REF!</v>
      </c>
      <c r="DS8" s="7" t="e">
        <f aca="false">IF(OR(#REF!&gt;2,#REF!&lt;-2),"",#REF!)</f>
        <v>#REF!</v>
      </c>
      <c r="DT8" s="7" t="e">
        <f aca="false">IF(OR(#REF!&gt;2,#REF!&lt;-2),"",#REF!)</f>
        <v>#REF!</v>
      </c>
      <c r="DU8" s="7" t="e">
        <f aca="false">IF(OR(#REF!&gt;2,#REF!&lt;-2),"",#REF!)</f>
        <v>#REF!</v>
      </c>
      <c r="DV8" s="7" t="e">
        <f aca="false">IF(OR(#REF!&gt;2,#REF!&lt;-2),"",#REF!)</f>
        <v>#REF!</v>
      </c>
      <c r="DW8" s="7" t="e">
        <f aca="false">IF(OR(#REF!&gt;2,#REF!&lt;-2),"",#REF!)</f>
        <v>#REF!</v>
      </c>
      <c r="DX8" s="7" t="e">
        <f aca="false">IF(OR(#REF!&gt;2,#REF!&lt;-2),"",#REF!)</f>
        <v>#REF!</v>
      </c>
      <c r="DY8" s="7" t="e">
        <f aca="false">IF(OR(#REF!&gt;2,#REF!&lt;-2),"",#REF!)</f>
        <v>#REF!</v>
      </c>
      <c r="DZ8" s="7" t="e">
        <f aca="false">IF(OR(#REF!&gt;2,#REF!&lt;-2),"",#REF!)</f>
        <v>#REF!</v>
      </c>
      <c r="EA8" s="7" t="e">
        <f aca="false">IF(OR(#REF!&gt;2,#REF!&lt;-2),"",#REF!)</f>
        <v>#REF!</v>
      </c>
      <c r="EB8" s="7" t="e">
        <f aca="false">IF(OR(#REF!&gt;2,#REF!&lt;-2),"",#REF!)</f>
        <v>#REF!</v>
      </c>
      <c r="EC8" s="7" t="e">
        <f aca="false">IF(OR(#REF!&gt;2,#REF!&lt;-2),"",#REF!)</f>
        <v>#REF!</v>
      </c>
      <c r="ED8" s="7" t="e">
        <f aca="false">IF(OR(#REF!&gt;2,#REF!&lt;-2),"",#REF!)</f>
        <v>#REF!</v>
      </c>
      <c r="EE8" s="7" t="e">
        <f aca="false">IF(OR(#REF!&gt;2,#REF!&lt;-2),"",#REF!)</f>
        <v>#REF!</v>
      </c>
      <c r="EF8" s="7" t="e">
        <f aca="false">IF(OR(#REF!&gt;2,#REF!&lt;-2),"",#REF!)</f>
        <v>#REF!</v>
      </c>
      <c r="EG8" s="7" t="e">
        <f aca="false">IF(OR(#REF!&gt;2,#REF!&lt;-2),"",#REF!)</f>
        <v>#REF!</v>
      </c>
      <c r="EH8" s="7" t="e">
        <f aca="false">IF(OR(#REF!&gt;2,#REF!&lt;-2),"",#REF!)</f>
        <v>#REF!</v>
      </c>
      <c r="EI8" s="7" t="e">
        <f aca="false">IF(OR(#REF!&gt;2,#REF!&lt;-2),"",#REF!)</f>
        <v>#REF!</v>
      </c>
      <c r="EJ8" s="7" t="e">
        <f aca="false">IF(OR(#REF!&gt;2,#REF!&lt;-2),"",#REF!)</f>
        <v>#REF!</v>
      </c>
      <c r="EK8" s="7" t="e">
        <f aca="false">IF(OR(#REF!&gt;2,#REF!&lt;-2),"",#REF!)</f>
        <v>#REF!</v>
      </c>
      <c r="EL8" s="7" t="e">
        <f aca="false">IF(OR(#REF!&gt;2,#REF!&lt;-2),"",#REF!)</f>
        <v>#REF!</v>
      </c>
      <c r="EM8" s="7" t="e">
        <f aca="false">IF(OR(#REF!&gt;2,#REF!&lt;-2),"",#REF!)</f>
        <v>#REF!</v>
      </c>
      <c r="EN8" s="7" t="e">
        <f aca="false">IF(OR(#REF!&gt;2,#REF!&lt;-2),"",#REF!)</f>
        <v>#REF!</v>
      </c>
      <c r="EO8" s="7" t="e">
        <f aca="false">IF(OR(#REF!&gt;2,#REF!&lt;-2),"",#REF!)</f>
        <v>#REF!</v>
      </c>
      <c r="EP8" s="7" t="e">
        <f aca="false">IF(OR(#REF!&gt;2,#REF!&lt;-2),"",#REF!)</f>
        <v>#REF!</v>
      </c>
      <c r="EQ8" s="7" t="e">
        <f aca="false">IF(OR(#REF!&gt;2,#REF!&lt;-2),"",#REF!)</f>
        <v>#REF!</v>
      </c>
      <c r="ER8" s="7" t="e">
        <f aca="false">IF(OR(#REF!&gt;2,#REF!&lt;-2),"",#REF!)</f>
        <v>#REF!</v>
      </c>
      <c r="ES8" s="7" t="e">
        <f aca="false">IF(OR(#REF!&gt;2,#REF!&lt;-2),"",#REF!)</f>
        <v>#REF!</v>
      </c>
      <c r="ET8" s="7" t="e">
        <f aca="false">IF(OR(#REF!&gt;2,#REF!&lt;-2),"",#REF!)</f>
        <v>#REF!</v>
      </c>
      <c r="EU8" s="7" t="e">
        <f aca="false">IF(OR(#REF!&gt;2,#REF!&lt;-2),"",#REF!)</f>
        <v>#REF!</v>
      </c>
      <c r="EV8" s="7" t="e">
        <f aca="false">IF(OR(#REF!&gt;2,#REF!&lt;-2),"",#REF!)</f>
        <v>#REF!</v>
      </c>
      <c r="EW8" s="7" t="e">
        <f aca="false">IF(OR(#REF!&gt;2,#REF!&lt;-2),"",#REF!)</f>
        <v>#REF!</v>
      </c>
      <c r="EX8" s="7" t="e">
        <f aca="false">IF(OR(#REF!&gt;2,#REF!&lt;-2),"",#REF!)</f>
        <v>#REF!</v>
      </c>
      <c r="EY8" s="7" t="e">
        <f aca="false">IF(OR(#REF!&gt;2,#REF!&lt;-2),"",#REF!)</f>
        <v>#REF!</v>
      </c>
      <c r="EZ8" s="7" t="e">
        <f aca="false">IF(OR(#REF!&gt;2,#REF!&lt;-2),"",#REF!)</f>
        <v>#REF!</v>
      </c>
      <c r="FA8" s="7" t="e">
        <f aca="false">IF(OR(#REF!&gt;2,#REF!&lt;-2),"",#REF!)</f>
        <v>#REF!</v>
      </c>
      <c r="FB8" s="7" t="e">
        <f aca="false">IF(OR(#REF!&gt;2,#REF!&lt;-2),"",#REF!)</f>
        <v>#REF!</v>
      </c>
      <c r="FC8" s="7" t="e">
        <f aca="false">IF(OR(#REF!&gt;2,#REF!&lt;-2),"",#REF!)</f>
        <v>#REF!</v>
      </c>
      <c r="FD8" s="7" t="e">
        <f aca="false">IF(OR(#REF!&gt;2,#REF!&lt;-2),"",#REF!)</f>
        <v>#REF!</v>
      </c>
      <c r="FE8" s="7" t="e">
        <f aca="false">IF(OR(#REF!&gt;2,#REF!&lt;-2),"",#REF!)</f>
        <v>#REF!</v>
      </c>
      <c r="FF8" s="7" t="e">
        <f aca="false">IF(OR(#REF!&gt;2,#REF!&lt;-2),"",#REF!)</f>
        <v>#REF!</v>
      </c>
      <c r="FG8" s="7" t="e">
        <f aca="false">IF(OR(#REF!&gt;2,#REF!&lt;-2),"",#REF!)</f>
        <v>#REF!</v>
      </c>
      <c r="FH8" s="7" t="e">
        <f aca="false">IF(OR(#REF!&gt;2,#REF!&lt;-2),"",#REF!)</f>
        <v>#REF!</v>
      </c>
      <c r="FI8" s="7" t="e">
        <f aca="false">IF(OR(#REF!&gt;2,#REF!&lt;-2),"",#REF!)</f>
        <v>#REF!</v>
      </c>
      <c r="FJ8" s="7" t="e">
        <f aca="false">IF(OR(#REF!&gt;2,#REF!&lt;-2),"",#REF!)</f>
        <v>#REF!</v>
      </c>
      <c r="FK8" s="7" t="e">
        <f aca="false">IF(OR(#REF!&gt;2,#REF!&lt;-2),"",#REF!)</f>
        <v>#REF!</v>
      </c>
      <c r="FL8" s="7" t="e">
        <f aca="false">IF(OR(#REF!&gt;2,#REF!&lt;-2),"",#REF!)</f>
        <v>#REF!</v>
      </c>
      <c r="FM8" s="7" t="e">
        <f aca="false">IF(OR(#REF!&gt;2,#REF!&lt;-2),"",#REF!)</f>
        <v>#REF!</v>
      </c>
      <c r="FN8" s="7" t="e">
        <f aca="false">IF(OR(#REF!&gt;2,#REF!&lt;-2),"",#REF!)</f>
        <v>#REF!</v>
      </c>
      <c r="FO8" s="7" t="e">
        <f aca="false">IF(OR(#REF!&gt;2,#REF!&lt;-2),"",#REF!)</f>
        <v>#REF!</v>
      </c>
      <c r="FP8" s="7" t="e">
        <f aca="false">IF(OR(#REF!&gt;2,#REF!&lt;-2),"",#REF!)</f>
        <v>#REF!</v>
      </c>
      <c r="FQ8" s="7" t="e">
        <f aca="false">IF(OR(#REF!&gt;2,#REF!&lt;-2),"",#REF!)</f>
        <v>#REF!</v>
      </c>
      <c r="FR8" s="7" t="e">
        <f aca="false">IF(OR(#REF!&gt;2,#REF!&lt;-2),"",#REF!)</f>
        <v>#REF!</v>
      </c>
      <c r="FS8" s="7" t="e">
        <f aca="false">IF(OR(#REF!&gt;2,#REF!&lt;-2),"",#REF!)</f>
        <v>#REF!</v>
      </c>
      <c r="FT8" s="7" t="e">
        <f aca="false">IF(OR(#REF!&gt;2,#REF!&lt;-2),"",#REF!)</f>
        <v>#REF!</v>
      </c>
      <c r="FU8" s="7" t="e">
        <f aca="false">IF(OR(#REF!&gt;2,#REF!&lt;-2),"",#REF!)</f>
        <v>#REF!</v>
      </c>
      <c r="FV8" s="7" t="e">
        <f aca="false">IF(OR(#REF!&gt;2,#REF!&lt;-2),"",#REF!)</f>
        <v>#REF!</v>
      </c>
      <c r="FW8" s="7" t="e">
        <f aca="false">IF(OR(#REF!&gt;2,#REF!&lt;-2),"",#REF!)</f>
        <v>#REF!</v>
      </c>
      <c r="FX8" s="7" t="e">
        <f aca="false">IF(OR(#REF!&gt;2,#REF!&lt;-2),"",#REF!)</f>
        <v>#REF!</v>
      </c>
      <c r="FY8" s="7" t="e">
        <f aca="false">IF(OR(#REF!&gt;2,#REF!&lt;-2),"",#REF!)</f>
        <v>#REF!</v>
      </c>
      <c r="FZ8" s="7" t="e">
        <f aca="false">IF(OR(#REF!&gt;2,#REF!&lt;-2),"",#REF!)</f>
        <v>#REF!</v>
      </c>
      <c r="GA8" s="7" t="e">
        <f aca="false">IF(OR(#REF!&gt;2,#REF!&lt;-2),"",#REF!)</f>
        <v>#REF!</v>
      </c>
      <c r="GB8" s="7" t="e">
        <f aca="false">IF(OR(#REF!&gt;2,#REF!&lt;-2),"",#REF!)</f>
        <v>#REF!</v>
      </c>
      <c r="GC8" s="7" t="e">
        <f aca="false">IF(OR(#REF!&gt;2,#REF!&lt;-2),"",#REF!)</f>
        <v>#REF!</v>
      </c>
      <c r="GD8" s="7" t="e">
        <f aca="false">IF(OR(#REF!&gt;2,#REF!&lt;-2),"",#REF!)</f>
        <v>#REF!</v>
      </c>
      <c r="GE8" s="7" t="e">
        <f aca="false">IF(OR(#REF!&gt;2,#REF!&lt;-2),"",#REF!)</f>
        <v>#REF!</v>
      </c>
      <c r="GF8" s="7" t="e">
        <f aca="false">IF(OR(#REF!&gt;2,#REF!&lt;-2),"",#REF!)</f>
        <v>#REF!</v>
      </c>
      <c r="GG8" s="7" t="e">
        <f aca="false">IF(OR(#REF!&gt;2,#REF!&lt;-2),"",#REF!)</f>
        <v>#REF!</v>
      </c>
      <c r="GH8" s="7" t="e">
        <f aca="false">IF(OR(#REF!&gt;2,#REF!&lt;-2),"",#REF!)</f>
        <v>#REF!</v>
      </c>
      <c r="GI8" s="7" t="e">
        <f aca="false">IF(OR(#REF!&gt;2,#REF!&lt;-2),"",#REF!)</f>
        <v>#REF!</v>
      </c>
      <c r="GJ8" s="7" t="e">
        <f aca="false">IF(OR(#REF!&gt;2,#REF!&lt;-2),"",#REF!)</f>
        <v>#REF!</v>
      </c>
      <c r="GK8" s="7" t="e">
        <f aca="false">IF(OR(#REF!&gt;2,#REF!&lt;-2),"",#REF!)</f>
        <v>#REF!</v>
      </c>
      <c r="GL8" s="7" t="e">
        <f aca="false">IF(OR(#REF!&gt;2,#REF!&lt;-2),"",#REF!)</f>
        <v>#REF!</v>
      </c>
      <c r="GM8" s="7" t="e">
        <f aca="false">IF(OR(#REF!&gt;2,#REF!&lt;-2),"",#REF!)</f>
        <v>#REF!</v>
      </c>
      <c r="GN8" s="7" t="e">
        <f aca="false">IF(OR(#REF!&gt;2,#REF!&lt;-2),"",#REF!)</f>
        <v>#REF!</v>
      </c>
      <c r="GO8" s="7" t="e">
        <f aca="false">IF(OR(#REF!&gt;2,#REF!&lt;-2),"",#REF!)</f>
        <v>#REF!</v>
      </c>
      <c r="GP8" s="7" t="e">
        <f aca="false">IF(OR(#REF!&gt;2,#REF!&lt;-2),"",#REF!)</f>
        <v>#REF!</v>
      </c>
      <c r="GQ8" s="7" t="e">
        <f aca="false">IF(OR(#REF!&gt;2,#REF!&lt;-2),"",#REF!)</f>
        <v>#REF!</v>
      </c>
      <c r="GR8" s="7" t="e">
        <f aca="false">IF(OR(#REF!&gt;2,#REF!&lt;-2),"",#REF!)</f>
        <v>#REF!</v>
      </c>
      <c r="GS8" s="7" t="e">
        <f aca="false">IF(OR(#REF!&gt;2,#REF!&lt;-2),"",#REF!)</f>
        <v>#REF!</v>
      </c>
      <c r="GT8" s="7" t="e">
        <f aca="false">IF(OR(#REF!&gt;2,#REF!&lt;-2),"",#REF!)</f>
        <v>#REF!</v>
      </c>
      <c r="GU8" s="7" t="e">
        <f aca="false">IF(OR(#REF!&gt;2,#REF!&lt;-2),"",#REF!)</f>
        <v>#REF!</v>
      </c>
      <c r="GV8" s="7" t="e">
        <f aca="false">IF(OR(#REF!&gt;2,#REF!&lt;-2),"",#REF!)</f>
        <v>#REF!</v>
      </c>
      <c r="GW8" s="7" t="e">
        <f aca="false">IF(OR(#REF!&gt;2,#REF!&lt;-2),"",#REF!)</f>
        <v>#REF!</v>
      </c>
      <c r="GX8" s="7" t="e">
        <f aca="false">IF(OR(#REF!&gt;2,#REF!&lt;-2),"",#REF!)</f>
        <v>#REF!</v>
      </c>
      <c r="GY8" s="7" t="e">
        <f aca="false">IF(OR(#REF!&gt;2,#REF!&lt;-2),"",#REF!)</f>
        <v>#REF!</v>
      </c>
      <c r="GZ8" s="7" t="e">
        <f aca="false">IF(OR(#REF!&gt;2,#REF!&lt;-2),"",#REF!)</f>
        <v>#REF!</v>
      </c>
      <c r="HA8" s="7" t="e">
        <f aca="false">IF(OR(#REF!&gt;2,#REF!&lt;-2),"",#REF!)</f>
        <v>#REF!</v>
      </c>
      <c r="HB8" s="7" t="e">
        <f aca="false">IF(OR(#REF!&gt;2,#REF!&lt;-2),"",#REF!)</f>
        <v>#REF!</v>
      </c>
      <c r="HC8" s="7" t="e">
        <f aca="false">IF(OR(#REF!&gt;2,#REF!&lt;-2),"",#REF!)</f>
        <v>#REF!</v>
      </c>
      <c r="HD8" s="7" t="e">
        <f aca="false">IF(OR(#REF!&gt;2,#REF!&lt;-2),"",#REF!)</f>
        <v>#REF!</v>
      </c>
      <c r="HE8" s="7" t="e">
        <f aca="false">IF(OR(#REF!&gt;2,#REF!&lt;-2),"",#REF!)</f>
        <v>#REF!</v>
      </c>
      <c r="HF8" s="7" t="e">
        <f aca="false">IF(OR(#REF!&gt;2,#REF!&lt;-2),"",#REF!)</f>
        <v>#REF!</v>
      </c>
      <c r="HG8" s="7" t="e">
        <f aca="false">IF(OR(#REF!&gt;2,#REF!&lt;-2),"",#REF!)</f>
        <v>#REF!</v>
      </c>
      <c r="HH8" s="7" t="e">
        <f aca="false">IF(OR(#REF!&gt;2,#REF!&lt;-2),"",#REF!)</f>
        <v>#REF!</v>
      </c>
      <c r="HI8" s="7" t="e">
        <f aca="false">IF(OR(#REF!&gt;2,#REF!&lt;-2),"",#REF!)</f>
        <v>#REF!</v>
      </c>
      <c r="HJ8" s="7" t="e">
        <f aca="false">IF(OR(#REF!&gt;2,#REF!&lt;-2),"",#REF!)</f>
        <v>#REF!</v>
      </c>
      <c r="HK8" s="7" t="e">
        <f aca="false">IF(OR(#REF!&gt;2,#REF!&lt;-2),"",#REF!)</f>
        <v>#REF!</v>
      </c>
      <c r="HL8" s="7" t="e">
        <f aca="false">IF(OR(#REF!&gt;2,#REF!&lt;-2),"",#REF!)</f>
        <v>#REF!</v>
      </c>
      <c r="HM8" s="7" t="e">
        <f aca="false">IF(OR(#REF!&gt;2,#REF!&lt;-2),"",#REF!)</f>
        <v>#REF!</v>
      </c>
      <c r="HN8" s="7" t="e">
        <f aca="false">IF(OR(#REF!&gt;2,#REF!&lt;-2),"",#REF!)</f>
        <v>#REF!</v>
      </c>
      <c r="HO8" s="7" t="e">
        <f aca="false">IF(OR(#REF!&gt;2,#REF!&lt;-2),"",#REF!)</f>
        <v>#REF!</v>
      </c>
      <c r="HP8" s="7" t="e">
        <f aca="false">IF(OR(#REF!&gt;2,#REF!&lt;-2),"",#REF!)</f>
        <v>#REF!</v>
      </c>
      <c r="HQ8" s="7" t="e">
        <f aca="false">IF(OR(#REF!&gt;2,#REF!&lt;-2),"",#REF!)</f>
        <v>#REF!</v>
      </c>
      <c r="HR8" s="7" t="e">
        <f aca="false">IF(OR(#REF!&gt;2,#REF!&lt;-2),"",#REF!)</f>
        <v>#REF!</v>
      </c>
      <c r="HS8" s="7" t="e">
        <f aca="false">IF(OR(#REF!&gt;2,#REF!&lt;-2),"",#REF!)</f>
        <v>#REF!</v>
      </c>
      <c r="HT8" s="7" t="e">
        <f aca="false">IF(OR(#REF!&gt;2,#REF!&lt;-2),"",#REF!)</f>
        <v>#REF!</v>
      </c>
      <c r="HU8" s="7" t="e">
        <f aca="false">IF(OR(#REF!&gt;2,#REF!&lt;-2),"",#REF!)</f>
        <v>#REF!</v>
      </c>
      <c r="HV8" s="7" t="e">
        <f aca="false">IF(OR(#REF!&gt;2,#REF!&lt;-2),"",#REF!)</f>
        <v>#REF!</v>
      </c>
      <c r="HW8" s="7" t="e">
        <f aca="false">IF(OR(#REF!&gt;2,#REF!&lt;-2),"",#REF!)</f>
        <v>#REF!</v>
      </c>
      <c r="HX8" s="7" t="e">
        <f aca="false">IF(OR(#REF!&gt;2,#REF!&lt;-2),"",#REF!)</f>
        <v>#REF!</v>
      </c>
      <c r="HY8" s="7" t="e">
        <f aca="false">IF(OR(#REF!&gt;2,#REF!&lt;-2),"",#REF!)</f>
        <v>#REF!</v>
      </c>
      <c r="HZ8" s="7" t="e">
        <f aca="false">IF(OR(#REF!&gt;2,#REF!&lt;-2),"",#REF!)</f>
        <v>#REF!</v>
      </c>
      <c r="IA8" s="7" t="e">
        <f aca="false">IF(OR(#REF!&gt;2,#REF!&lt;-2),"",#REF!)</f>
        <v>#REF!</v>
      </c>
      <c r="IB8" s="7" t="e">
        <f aca="false">IF(OR(#REF!&gt;2,#REF!&lt;-2),"",#REF!)</f>
        <v>#REF!</v>
      </c>
      <c r="IC8" s="7" t="e">
        <f aca="false">IF(OR(#REF!&gt;2,#REF!&lt;-2),"",#REF!)</f>
        <v>#REF!</v>
      </c>
      <c r="ID8" s="7" t="e">
        <f aca="false">IF(OR(#REF!&gt;2,#REF!&lt;-2),"",#REF!)</f>
        <v>#REF!</v>
      </c>
      <c r="IE8" s="7" t="e">
        <f aca="false">IF(OR(#REF!&gt;2,#REF!&lt;-2),"",#REF!)</f>
        <v>#REF!</v>
      </c>
      <c r="IF8" s="7" t="e">
        <f aca="false">IF(OR(#REF!&gt;2,#REF!&lt;-2),"",#REF!)</f>
        <v>#REF!</v>
      </c>
      <c r="IG8" s="7" t="e">
        <f aca="false">IF(OR(#REF!&gt;2,#REF!&lt;-2),"",#REF!)</f>
        <v>#REF!</v>
      </c>
      <c r="IH8" s="7" t="e">
        <f aca="false">IF(OR(#REF!&gt;2,#REF!&lt;-2),"",#REF!)</f>
        <v>#REF!</v>
      </c>
      <c r="II8" s="7" t="e">
        <f aca="false">IF(OR(#REF!&gt;2,#REF!&lt;-2),"",#REF!)</f>
        <v>#REF!</v>
      </c>
      <c r="IJ8" s="7" t="e">
        <f aca="false">IF(OR(#REF!&gt;2,#REF!&lt;-2),"",#REF!)</f>
        <v>#REF!</v>
      </c>
      <c r="IK8" s="7" t="e">
        <f aca="false">IF(OR(#REF!&gt;2,#REF!&lt;-2),"",#REF!)</f>
        <v>#REF!</v>
      </c>
      <c r="IL8" s="7" t="e">
        <f aca="false">IF(OR(#REF!&gt;2,#REF!&lt;-2),"",#REF!)</f>
        <v>#REF!</v>
      </c>
      <c r="IM8" s="7" t="e">
        <f aca="false">IF(OR(#REF!&gt;2,#REF!&lt;-2),"",#REF!)</f>
        <v>#REF!</v>
      </c>
      <c r="IN8" s="7" t="e">
        <f aca="false">IF(OR(#REF!&gt;2,#REF!&lt;-2),"",#REF!)</f>
        <v>#REF!</v>
      </c>
      <c r="IO8" s="7" t="e">
        <f aca="false">IF(OR(#REF!&gt;2,#REF!&lt;-2),"",#REF!)</f>
        <v>#REF!</v>
      </c>
      <c r="IP8" s="7" t="e">
        <f aca="false">IF(OR(#REF!&gt;2,#REF!&lt;-2),"",#REF!)</f>
        <v>#REF!</v>
      </c>
      <c r="IQ8" s="7" t="e">
        <f aca="false">IF(OR(#REF!&gt;2,#REF!&lt;-2),"",#REF!)</f>
        <v>#REF!</v>
      </c>
      <c r="IR8" s="7" t="e">
        <f aca="false">IF(OR(#REF!&gt;2,#REF!&lt;-2),"",#REF!)</f>
        <v>#REF!</v>
      </c>
      <c r="IS8" s="7" t="e">
        <f aca="false">IF(OR(#REF!&gt;2,#REF!&lt;-2),"",#REF!)</f>
        <v>#REF!</v>
      </c>
      <c r="IT8" s="7" t="e">
        <f aca="false">IF(OR(#REF!&gt;2,#REF!&lt;-2),"",#REF!)</f>
        <v>#REF!</v>
      </c>
      <c r="IU8" s="7" t="e">
        <f aca="false">IF(OR(#REF!&gt;2,#REF!&lt;-2),"",#REF!)</f>
        <v>#REF!</v>
      </c>
      <c r="IV8" s="7" t="e">
        <f aca="false">IF(OR(#REF!&gt;2,#REF!&lt;-2),"",#REF!)</f>
        <v>#REF!</v>
      </c>
      <c r="IW8" s="7" t="e">
        <f aca="false">IF(OR(#REF!&gt;2,#REF!&lt;-2),"",#REF!)</f>
        <v>#REF!</v>
      </c>
      <c r="IX8" s="7" t="e">
        <f aca="false">IF(OR(#REF!&gt;2,#REF!&lt;-2),"",#REF!)</f>
        <v>#REF!</v>
      </c>
      <c r="IY8" s="7" t="e">
        <f aca="false">IF(OR(#REF!&gt;2,#REF!&lt;-2),"",#REF!)</f>
        <v>#REF!</v>
      </c>
      <c r="IZ8" s="7" t="e">
        <f aca="false">IF(OR(#REF!&gt;2,#REF!&lt;-2),"",#REF!)</f>
        <v>#REF!</v>
      </c>
      <c r="JA8" s="7" t="e">
        <f aca="false">IF(OR(#REF!&gt;2,#REF!&lt;-2),"",#REF!)</f>
        <v>#REF!</v>
      </c>
      <c r="JB8" s="7" t="e">
        <f aca="false">IF(OR(#REF!&gt;2,#REF!&lt;-2),"",#REF!)</f>
        <v>#REF!</v>
      </c>
      <c r="JC8" s="7" t="e">
        <f aca="false">IF(OR(#REF!&gt;2,#REF!&lt;-2),"",#REF!)</f>
        <v>#REF!</v>
      </c>
      <c r="JD8" s="7" t="e">
        <f aca="false">IF(OR(#REF!&gt;2,#REF!&lt;-2),"",#REF!)</f>
        <v>#REF!</v>
      </c>
      <c r="JE8" s="7" t="e">
        <f aca="false">IF(OR(#REF!&gt;2,#REF!&lt;-2),"",#REF!)</f>
        <v>#REF!</v>
      </c>
      <c r="JF8" s="7" t="e">
        <f aca="false">IF(OR(#REF!&gt;2,#REF!&lt;-2),"",#REF!)</f>
        <v>#REF!</v>
      </c>
      <c r="JG8" s="7" t="e">
        <f aca="false">IF(OR(#REF!&gt;2,#REF!&lt;-2),"",#REF!)</f>
        <v>#REF!</v>
      </c>
      <c r="JH8" s="7" t="e">
        <f aca="false">IF(OR(#REF!&gt;2,#REF!&lt;-2),"",#REF!)</f>
        <v>#REF!</v>
      </c>
      <c r="JI8" s="7" t="e">
        <f aca="false">IF(OR(#REF!&gt;2,#REF!&lt;-2),"",#REF!)</f>
        <v>#REF!</v>
      </c>
      <c r="JJ8" s="7" t="e">
        <f aca="false">IF(OR(#REF!&gt;2,#REF!&lt;-2),"",#REF!)</f>
        <v>#REF!</v>
      </c>
      <c r="JK8" s="7" t="e">
        <f aca="false">IF(OR(#REF!&gt;2,#REF!&lt;-2),"",#REF!)</f>
        <v>#REF!</v>
      </c>
      <c r="JL8" s="7" t="e">
        <f aca="false">IF(OR(#REF!&gt;2,#REF!&lt;-2),"",#REF!)</f>
        <v>#REF!</v>
      </c>
      <c r="JM8" s="7" t="e">
        <f aca="false">IF(OR(#REF!&gt;2,#REF!&lt;-2),"",#REF!)</f>
        <v>#REF!</v>
      </c>
      <c r="JN8" s="7" t="e">
        <f aca="false">IF(OR(#REF!&gt;2,#REF!&lt;-2),"",#REF!)</f>
        <v>#REF!</v>
      </c>
      <c r="JO8" s="7" t="e">
        <f aca="false">IF(OR(#REF!&gt;2,#REF!&lt;-2),"",#REF!)</f>
        <v>#REF!</v>
      </c>
      <c r="JP8" s="7" t="e">
        <f aca="false">IF(OR(#REF!&gt;2,#REF!&lt;-2),"",#REF!)</f>
        <v>#REF!</v>
      </c>
      <c r="JQ8" s="7" t="e">
        <f aca="false">IF(OR(#REF!&gt;2,#REF!&lt;-2),"",#REF!)</f>
        <v>#REF!</v>
      </c>
      <c r="JR8" s="7" t="e">
        <f aca="false">IF(OR(#REF!&gt;2,#REF!&lt;-2),"",#REF!)</f>
        <v>#REF!</v>
      </c>
      <c r="JS8" s="7" t="e">
        <f aca="false">IF(OR(#REF!&gt;2,#REF!&lt;-2),"",#REF!)</f>
        <v>#REF!</v>
      </c>
      <c r="JT8" s="7" t="e">
        <f aca="false">IF(OR(#REF!&gt;2,#REF!&lt;-2),"",#REF!)</f>
        <v>#REF!</v>
      </c>
      <c r="JU8" s="7" t="e">
        <f aca="false">IF(OR(#REF!&gt;2,#REF!&lt;-2),"",#REF!)</f>
        <v>#REF!</v>
      </c>
      <c r="JV8" s="7" t="e">
        <f aca="false">IF(OR(#REF!&gt;2,#REF!&lt;-2),"",#REF!)</f>
        <v>#REF!</v>
      </c>
      <c r="JW8" s="7" t="e">
        <f aca="false">IF(OR(#REF!&gt;2,#REF!&lt;-2),"",#REF!)</f>
        <v>#REF!</v>
      </c>
      <c r="JX8" s="7" t="e">
        <f aca="false">IF(OR(#REF!&gt;2,#REF!&lt;-2),"",#REF!)</f>
        <v>#REF!</v>
      </c>
      <c r="JY8" s="7" t="e">
        <f aca="false">IF(OR(#REF!&gt;2,#REF!&lt;-2),"",#REF!)</f>
        <v>#REF!</v>
      </c>
      <c r="JZ8" s="7" t="e">
        <f aca="false">IF(OR(#REF!&gt;2,#REF!&lt;-2),"",#REF!)</f>
        <v>#REF!</v>
      </c>
      <c r="KA8" s="7" t="e">
        <f aca="false">IF(OR(#REF!&gt;2,#REF!&lt;-2),"",#REF!)</f>
        <v>#REF!</v>
      </c>
      <c r="KB8" s="7" t="e">
        <f aca="false">IF(OR(#REF!&gt;2,#REF!&lt;-2),"",#REF!)</f>
        <v>#REF!</v>
      </c>
      <c r="KC8" s="7" t="e">
        <f aca="false">IF(OR(#REF!&gt;2,#REF!&lt;-2),"",#REF!)</f>
        <v>#REF!</v>
      </c>
      <c r="KD8" s="7" t="e">
        <f aca="false">IF(OR(#REF!&gt;2,#REF!&lt;-2),"",#REF!)</f>
        <v>#REF!</v>
      </c>
      <c r="KE8" s="7" t="e">
        <f aca="false">IF(OR(#REF!&gt;2,#REF!&lt;-2),"",#REF!)</f>
        <v>#REF!</v>
      </c>
      <c r="KF8" s="7" t="e">
        <f aca="false">IF(OR(#REF!&gt;2,#REF!&lt;-2),"",#REF!)</f>
        <v>#REF!</v>
      </c>
      <c r="KG8" s="7" t="e">
        <f aca="false">IF(OR(#REF!&gt;2,#REF!&lt;-2),"",#REF!)</f>
        <v>#REF!</v>
      </c>
      <c r="KH8" s="7" t="e">
        <f aca="false">IF(OR(#REF!&gt;2,#REF!&lt;-2),"",#REF!)</f>
        <v>#REF!</v>
      </c>
      <c r="KI8" s="7" t="e">
        <f aca="false">IF(OR(#REF!&gt;2,#REF!&lt;-2),"",#REF!)</f>
        <v>#REF!</v>
      </c>
      <c r="KJ8" s="7" t="e">
        <f aca="false">IF(OR(#REF!&gt;2,#REF!&lt;-2),"",#REF!)</f>
        <v>#REF!</v>
      </c>
      <c r="KK8" s="7" t="e">
        <f aca="false">IF(OR(#REF!&gt;2,#REF!&lt;-2),"",#REF!)</f>
        <v>#REF!</v>
      </c>
      <c r="KL8" s="7" t="e">
        <f aca="false">IF(OR(#REF!&gt;2,#REF!&lt;-2),"",#REF!)</f>
        <v>#REF!</v>
      </c>
      <c r="KM8" s="7" t="e">
        <f aca="false">IF(OR(#REF!&gt;2,#REF!&lt;-2),"",#REF!)</f>
        <v>#REF!</v>
      </c>
      <c r="KN8" s="7" t="e">
        <f aca="false">IF(OR(#REF!&gt;2,#REF!&lt;-2),"",#REF!)</f>
        <v>#REF!</v>
      </c>
      <c r="KO8" s="7" t="e">
        <f aca="false">IF(OR(#REF!&gt;2,#REF!&lt;-2),"",#REF!)</f>
        <v>#REF!</v>
      </c>
      <c r="KP8" s="7" t="e">
        <f aca="false">IF(OR(#REF!&gt;2,#REF!&lt;-2),"",#REF!)</f>
        <v>#REF!</v>
      </c>
      <c r="KQ8" s="7" t="e">
        <f aca="false">IF(OR(#REF!&gt;2,#REF!&lt;-2),"",#REF!)</f>
        <v>#REF!</v>
      </c>
      <c r="KR8" s="7" t="e">
        <f aca="false">IF(OR(#REF!&gt;2,#REF!&lt;-2),"",#REF!)</f>
        <v>#REF!</v>
      </c>
      <c r="KS8" s="7" t="e">
        <f aca="false">IF(OR(#REF!&gt;2,#REF!&lt;-2),"",#REF!)</f>
        <v>#REF!</v>
      </c>
      <c r="KT8" s="7" t="e">
        <f aca="false">IF(OR(#REF!&gt;2,#REF!&lt;-2),"",#REF!)</f>
        <v>#REF!</v>
      </c>
      <c r="KU8" s="7" t="e">
        <f aca="false">IF(OR(#REF!&gt;2,#REF!&lt;-2),"",#REF!)</f>
        <v>#REF!</v>
      </c>
      <c r="KV8" s="7" t="e">
        <f aca="false">IF(OR(#REF!&gt;2,#REF!&lt;-2),"",#REF!)</f>
        <v>#REF!</v>
      </c>
      <c r="KW8" s="7" t="e">
        <f aca="false">IF(OR(#REF!&gt;2,#REF!&lt;-2),"",#REF!)</f>
        <v>#REF!</v>
      </c>
      <c r="KX8" s="7" t="e">
        <f aca="false">IF(OR(#REF!&gt;2,#REF!&lt;-2),"",#REF!)</f>
        <v>#REF!</v>
      </c>
      <c r="KY8" s="7" t="e">
        <f aca="false">IF(OR(#REF!&gt;2,#REF!&lt;-2),"",#REF!)</f>
        <v>#REF!</v>
      </c>
      <c r="KZ8" s="7" t="e">
        <f aca="false">IF(OR(#REF!&gt;2,#REF!&lt;-2),"",#REF!)</f>
        <v>#REF!</v>
      </c>
      <c r="LA8" s="7" t="e">
        <f aca="false">IF(OR(#REF!&gt;2,#REF!&lt;-2),"",#REF!)</f>
        <v>#REF!</v>
      </c>
      <c r="LB8" s="7" t="e">
        <f aca="false">IF(OR(#REF!&gt;2,#REF!&lt;-2),"",#REF!)</f>
        <v>#REF!</v>
      </c>
      <c r="LC8" s="7" t="e">
        <f aca="false">IF(OR(#REF!&gt;2,#REF!&lt;-2),"",#REF!)</f>
        <v>#REF!</v>
      </c>
      <c r="LD8" s="7" t="e">
        <f aca="false">IF(OR(#REF!&gt;2,#REF!&lt;-2),"",#REF!)</f>
        <v>#REF!</v>
      </c>
      <c r="LE8" s="7" t="e">
        <f aca="false">IF(OR(#REF!&gt;2,#REF!&lt;-2),"",#REF!)</f>
        <v>#REF!</v>
      </c>
      <c r="LF8" s="7" t="e">
        <f aca="false">IF(OR(#REF!&gt;2,#REF!&lt;-2),"",#REF!)</f>
        <v>#REF!</v>
      </c>
      <c r="LG8" s="7" t="e">
        <f aca="false">IF(OR(#REF!&gt;2,#REF!&lt;-2),"",#REF!)</f>
        <v>#REF!</v>
      </c>
      <c r="LH8" s="7" t="e">
        <f aca="false">IF(OR(#REF!&gt;2,#REF!&lt;-2),"",#REF!)</f>
        <v>#REF!</v>
      </c>
      <c r="LI8" s="7" t="e">
        <f aca="false">IF(OR(#REF!&gt;2,#REF!&lt;-2),"",#REF!)</f>
        <v>#REF!</v>
      </c>
      <c r="LJ8" s="7" t="e">
        <f aca="false">IF(OR(#REF!&gt;2,#REF!&lt;-2),"",#REF!)</f>
        <v>#REF!</v>
      </c>
      <c r="LK8" s="7" t="e">
        <f aca="false">IF(OR(#REF!&gt;2,#REF!&lt;-2),"",#REF!)</f>
        <v>#REF!</v>
      </c>
      <c r="LL8" s="7" t="e">
        <f aca="false">IF(OR(#REF!&gt;2,#REF!&lt;-2),"",#REF!)</f>
        <v>#REF!</v>
      </c>
      <c r="LM8" s="7" t="e">
        <f aca="false">IF(OR(#REF!&gt;2,#REF!&lt;-2),"",#REF!)</f>
        <v>#REF!</v>
      </c>
      <c r="LN8" s="7" t="e">
        <f aca="false">IF(OR(#REF!&gt;2,#REF!&lt;-2),"",#REF!)</f>
        <v>#REF!</v>
      </c>
      <c r="LO8" s="7" t="e">
        <f aca="false">IF(OR(#REF!&gt;2,#REF!&lt;-2),"",#REF!)</f>
        <v>#REF!</v>
      </c>
      <c r="LP8" s="7" t="e">
        <f aca="false">IF(OR(#REF!&gt;2,#REF!&lt;-2),"",#REF!)</f>
        <v>#REF!</v>
      </c>
      <c r="LQ8" s="7" t="e">
        <f aca="false">IF(OR(#REF!&gt;2,#REF!&lt;-2),"",#REF!)</f>
        <v>#REF!</v>
      </c>
      <c r="LR8" s="7" t="e">
        <f aca="false">IF(OR(#REF!&gt;2,#REF!&lt;-2),"",#REF!)</f>
        <v>#REF!</v>
      </c>
      <c r="LS8" s="7" t="e">
        <f aca="false">IF(OR(#REF!&gt;2,#REF!&lt;-2),"",#REF!)</f>
        <v>#REF!</v>
      </c>
      <c r="LT8" s="7" t="e">
        <f aca="false">IF(OR(#REF!&gt;2,#REF!&lt;-2),"",#REF!)</f>
        <v>#REF!</v>
      </c>
      <c r="LU8" s="7" t="e">
        <f aca="false">IF(OR(#REF!&gt;2,#REF!&lt;-2),"",#REF!)</f>
        <v>#REF!</v>
      </c>
      <c r="LV8" s="7" t="e">
        <f aca="false">IF(OR(#REF!&gt;2,#REF!&lt;-2),"",#REF!)</f>
        <v>#REF!</v>
      </c>
      <c r="LW8" s="7" t="e">
        <f aca="false">IF(OR(#REF!&gt;2,#REF!&lt;-2),"",#REF!)</f>
        <v>#REF!</v>
      </c>
      <c r="LX8" s="7" t="e">
        <f aca="false">IF(OR(#REF!&gt;2,#REF!&lt;-2),"",#REF!)</f>
        <v>#REF!</v>
      </c>
      <c r="LY8" s="7" t="e">
        <f aca="false">IF(OR(#REF!&gt;2,#REF!&lt;-2),"",#REF!)</f>
        <v>#REF!</v>
      </c>
      <c r="LZ8" s="7" t="e">
        <f aca="false">IF(OR(#REF!&gt;2,#REF!&lt;-2),"",#REF!)</f>
        <v>#REF!</v>
      </c>
      <c r="MA8" s="7" t="e">
        <f aca="false">IF(OR(#REF!&gt;2,#REF!&lt;-2),"",#REF!)</f>
        <v>#REF!</v>
      </c>
      <c r="MB8" s="7" t="e">
        <f aca="false">IF(OR(#REF!&gt;2,#REF!&lt;-2),"",#REF!)</f>
        <v>#REF!</v>
      </c>
      <c r="MC8" s="7" t="e">
        <f aca="false">IF(OR(#REF!&gt;2,#REF!&lt;-2),"",#REF!)</f>
        <v>#REF!</v>
      </c>
      <c r="MD8" s="7" t="e">
        <f aca="false">IF(OR(#REF!&gt;2,#REF!&lt;-2),"",#REF!)</f>
        <v>#REF!</v>
      </c>
      <c r="ME8" s="7" t="e">
        <f aca="false">IF(OR(#REF!&gt;2,#REF!&lt;-2),"",#REF!)</f>
        <v>#REF!</v>
      </c>
      <c r="MF8" s="7" t="e">
        <f aca="false">IF(OR(#REF!&gt;2,#REF!&lt;-2),"",#REF!)</f>
        <v>#REF!</v>
      </c>
      <c r="MG8" s="7" t="e">
        <f aca="false">IF(OR(#REF!&gt;2,#REF!&lt;-2),"",#REF!)</f>
        <v>#REF!</v>
      </c>
      <c r="MH8" s="7" t="e">
        <f aca="false">IF(OR(#REF!&gt;2,#REF!&lt;-2),"",#REF!)</f>
        <v>#REF!</v>
      </c>
      <c r="MI8" s="7" t="e">
        <f aca="false">IF(OR(#REF!&gt;2,#REF!&lt;-2),"",#REF!)</f>
        <v>#REF!</v>
      </c>
      <c r="MJ8" s="7" t="e">
        <f aca="false">IF(OR(#REF!&gt;2,#REF!&lt;-2),"",#REF!)</f>
        <v>#REF!</v>
      </c>
      <c r="MK8" s="7" t="e">
        <f aca="false">IF(OR(#REF!&gt;2,#REF!&lt;-2),"",#REF!)</f>
        <v>#REF!</v>
      </c>
      <c r="ML8" s="7" t="e">
        <f aca="false">IF(OR(#REF!&gt;2,#REF!&lt;-2),"",#REF!)</f>
        <v>#REF!</v>
      </c>
      <c r="MM8" s="7" t="e">
        <f aca="false">IF(OR(#REF!&gt;2,#REF!&lt;-2),"",#REF!)</f>
        <v>#REF!</v>
      </c>
      <c r="MN8" s="7" t="e">
        <f aca="false">IF(OR(#REF!&gt;2,#REF!&lt;-2),"",#REF!)</f>
        <v>#REF!</v>
      </c>
      <c r="MO8" s="7" t="e">
        <f aca="false">IF(OR(#REF!&gt;2,#REF!&lt;-2),"",#REF!)</f>
        <v>#REF!</v>
      </c>
      <c r="MP8" s="7" t="e">
        <f aca="false">IF(OR(#REF!&gt;2,#REF!&lt;-2),"",#REF!)</f>
        <v>#REF!</v>
      </c>
      <c r="MQ8" s="7" t="e">
        <f aca="false">IF(OR(#REF!&gt;2,#REF!&lt;-2),"",#REF!)</f>
        <v>#REF!</v>
      </c>
      <c r="MR8" s="7" t="e">
        <f aca="false">IF(OR(#REF!&gt;2,#REF!&lt;-2),"",#REF!)</f>
        <v>#REF!</v>
      </c>
      <c r="MS8" s="7" t="e">
        <f aca="false">IF(OR(#REF!&gt;2,#REF!&lt;-2),"",#REF!)</f>
        <v>#REF!</v>
      </c>
      <c r="MT8" s="7" t="e">
        <f aca="false">IF(OR(#REF!&gt;2,#REF!&lt;-2),"",#REF!)</f>
        <v>#REF!</v>
      </c>
      <c r="MU8" s="7" t="e">
        <f aca="false">IF(OR(#REF!&gt;2,#REF!&lt;-2),"",#REF!)</f>
        <v>#REF!</v>
      </c>
      <c r="MV8" s="7" t="e">
        <f aca="false">IF(OR(#REF!&gt;2,#REF!&lt;-2),"",#REF!)</f>
        <v>#REF!</v>
      </c>
      <c r="MW8" s="7" t="e">
        <f aca="false">IF(OR(#REF!&gt;2,#REF!&lt;-2),"",#REF!)</f>
        <v>#REF!</v>
      </c>
      <c r="MX8" s="7" t="e">
        <f aca="false">IF(OR(#REF!&gt;2,#REF!&lt;-2),"",#REF!)</f>
        <v>#REF!</v>
      </c>
      <c r="MY8" s="7" t="e">
        <f aca="false">IF(OR(#REF!&gt;2,#REF!&lt;-2),"",#REF!)</f>
        <v>#REF!</v>
      </c>
      <c r="MZ8" s="7" t="e">
        <f aca="false">IF(OR(#REF!&gt;2,#REF!&lt;-2),"",#REF!)</f>
        <v>#REF!</v>
      </c>
      <c r="NA8" s="7" t="e">
        <f aca="false">IF(OR(#REF!&gt;2,#REF!&lt;-2),"",#REF!)</f>
        <v>#REF!</v>
      </c>
      <c r="NB8" s="7" t="e">
        <f aca="false">IF(OR(#REF!&gt;2,#REF!&lt;-2),"",#REF!)</f>
        <v>#REF!</v>
      </c>
      <c r="NC8" s="7" t="e">
        <f aca="false">IF(OR(#REF!&gt;2,#REF!&lt;-2),"",#REF!)</f>
        <v>#REF!</v>
      </c>
      <c r="ND8" s="7" t="e">
        <f aca="false">IF(OR(#REF!&gt;2,#REF!&lt;-2),"",#REF!)</f>
        <v>#REF!</v>
      </c>
      <c r="NE8" s="7" t="e">
        <f aca="false">IF(OR(#REF!&gt;2,#REF!&lt;-2),"",#REF!)</f>
        <v>#REF!</v>
      </c>
      <c r="NF8" s="7" t="e">
        <f aca="false">IF(OR(#REF!&gt;2,#REF!&lt;-2),"",#REF!)</f>
        <v>#REF!</v>
      </c>
      <c r="NG8" s="7" t="e">
        <f aca="false">IF(OR(#REF!&gt;2,#REF!&lt;-2),"",#REF!)</f>
        <v>#REF!</v>
      </c>
      <c r="NH8" s="7" t="e">
        <f aca="false">IF(OR(#REF!&gt;2,#REF!&lt;-2),"",#REF!)</f>
        <v>#REF!</v>
      </c>
      <c r="NI8" s="7" t="e">
        <f aca="false">IF(OR(#REF!&gt;2,#REF!&lt;-2),"",#REF!)</f>
        <v>#REF!</v>
      </c>
      <c r="NJ8" s="7" t="e">
        <f aca="false">IF(OR(#REF!&gt;2,#REF!&lt;-2),"",#REF!)</f>
        <v>#REF!</v>
      </c>
      <c r="NK8" s="7" t="e">
        <f aca="false">IF(OR(#REF!&gt;2,#REF!&lt;-2),"",#REF!)</f>
        <v>#REF!</v>
      </c>
      <c r="NL8" s="7" t="e">
        <f aca="false">IF(OR(#REF!&gt;2,#REF!&lt;-2),"",#REF!)</f>
        <v>#REF!</v>
      </c>
      <c r="NM8" s="7" t="e">
        <f aca="false">IF(OR(#REF!&gt;2,#REF!&lt;-2),"",#REF!)</f>
        <v>#REF!</v>
      </c>
      <c r="NN8" s="7" t="e">
        <f aca="false">IF(OR(#REF!&gt;2,#REF!&lt;-2),"",#REF!)</f>
        <v>#REF!</v>
      </c>
      <c r="NO8" s="7" t="e">
        <f aca="false">IF(OR(#REF!&gt;2,#REF!&lt;-2),"",#REF!)</f>
        <v>#REF!</v>
      </c>
      <c r="NP8" s="7" t="e">
        <f aca="false">IF(OR(#REF!&gt;2,#REF!&lt;-2),"",#REF!)</f>
        <v>#REF!</v>
      </c>
      <c r="NQ8" s="7" t="e">
        <f aca="false">IF(OR(#REF!&gt;2,#REF!&lt;-2),"",#REF!)</f>
        <v>#REF!</v>
      </c>
      <c r="NR8" s="7" t="e">
        <f aca="false">IF(OR(#REF!&gt;2,#REF!&lt;-2),"",#REF!)</f>
        <v>#REF!</v>
      </c>
      <c r="NS8" s="7" t="e">
        <f aca="false">IF(OR(#REF!&gt;2,#REF!&lt;-2),"",#REF!)</f>
        <v>#REF!</v>
      </c>
      <c r="NT8" s="7" t="e">
        <f aca="false">IF(OR(#REF!&gt;2,#REF!&lt;-2),"",#REF!)</f>
        <v>#REF!</v>
      </c>
      <c r="NU8" s="7" t="e">
        <f aca="false">IF(OR(#REF!&gt;2,#REF!&lt;-2),"",#REF!)</f>
        <v>#REF!</v>
      </c>
      <c r="NV8" s="7" t="e">
        <f aca="false">IF(OR(#REF!&gt;2,#REF!&lt;-2),"",#REF!)</f>
        <v>#REF!</v>
      </c>
      <c r="NW8" s="7" t="e">
        <f aca="false">IF(OR(#REF!&gt;2,#REF!&lt;-2),"",#REF!)</f>
        <v>#REF!</v>
      </c>
      <c r="NX8" s="7" t="e">
        <f aca="false">IF(OR(#REF!&gt;2,#REF!&lt;-2),"",#REF!)</f>
        <v>#REF!</v>
      </c>
      <c r="NY8" s="7" t="e">
        <f aca="false">IF(OR(#REF!&gt;2,#REF!&lt;-2),"",#REF!)</f>
        <v>#REF!</v>
      </c>
      <c r="NZ8" s="7" t="e">
        <f aca="false">IF(OR(#REF!&gt;2,#REF!&lt;-2),"",#REF!)</f>
        <v>#REF!</v>
      </c>
      <c r="OA8" s="7" t="e">
        <f aca="false">IF(OR(#REF!&gt;2,#REF!&lt;-2),"",#REF!)</f>
        <v>#REF!</v>
      </c>
      <c r="OB8" s="7" t="e">
        <f aca="false">IF(OR(#REF!&gt;2,#REF!&lt;-2),"",#REF!)</f>
        <v>#REF!</v>
      </c>
      <c r="OC8" s="7" t="e">
        <f aca="false">IF(OR(#REF!&gt;2,#REF!&lt;-2),"",#REF!)</f>
        <v>#REF!</v>
      </c>
      <c r="OD8" s="7" t="e">
        <f aca="false">IF(OR(#REF!&gt;2,#REF!&lt;-2),"",#REF!)</f>
        <v>#REF!</v>
      </c>
      <c r="OE8" s="7" t="e">
        <f aca="false">IF(OR(#REF!&gt;2,#REF!&lt;-2),"",#REF!)</f>
        <v>#REF!</v>
      </c>
      <c r="OF8" s="7" t="e">
        <f aca="false">IF(OR(#REF!&gt;2,#REF!&lt;-2),"",#REF!)</f>
        <v>#REF!</v>
      </c>
      <c r="OG8" s="7" t="e">
        <f aca="false">IF(OR(#REF!&gt;2,#REF!&lt;-2),"",#REF!)</f>
        <v>#REF!</v>
      </c>
      <c r="OH8" s="7" t="e">
        <f aca="false">IF(OR(#REF!&gt;2,#REF!&lt;-2),"",#REF!)</f>
        <v>#REF!</v>
      </c>
      <c r="OI8" s="7" t="e">
        <f aca="false">IF(OR(#REF!&gt;2,#REF!&lt;-2),"",#REF!)</f>
        <v>#REF!</v>
      </c>
      <c r="OJ8" s="7" t="e">
        <f aca="false">IF(OR(#REF!&gt;2,#REF!&lt;-2),"",#REF!)</f>
        <v>#REF!</v>
      </c>
      <c r="OK8" s="7" t="e">
        <f aca="false">IF(OR(#REF!&gt;2,#REF!&lt;-2),"",#REF!)</f>
        <v>#REF!</v>
      </c>
      <c r="OL8" s="7" t="e">
        <f aca="false">IF(OR(#REF!&gt;2,#REF!&lt;-2),"",#REF!)</f>
        <v>#REF!</v>
      </c>
      <c r="OM8" s="7" t="e">
        <f aca="false">IF(OR(#REF!&gt;2,#REF!&lt;-2),"",#REF!)</f>
        <v>#REF!</v>
      </c>
      <c r="ON8" s="7" t="e">
        <f aca="false">IF(OR(#REF!&gt;2,#REF!&lt;-2),"",#REF!)</f>
        <v>#REF!</v>
      </c>
      <c r="OO8" s="7" t="e">
        <f aca="false">IF(OR(#REF!&gt;2,#REF!&lt;-2),"",#REF!)</f>
        <v>#REF!</v>
      </c>
      <c r="OP8" s="7" t="e">
        <f aca="false">IF(OR(#REF!&gt;2,#REF!&lt;-2),"",#REF!)</f>
        <v>#REF!</v>
      </c>
      <c r="OQ8" s="7" t="e">
        <f aca="false">IF(OR(#REF!&gt;2,#REF!&lt;-2),"",#REF!)</f>
        <v>#REF!</v>
      </c>
      <c r="OR8" s="7" t="e">
        <f aca="false">IF(OR(#REF!&gt;2,#REF!&lt;-2),"",#REF!)</f>
        <v>#REF!</v>
      </c>
      <c r="OS8" s="7" t="e">
        <f aca="false">IF(OR(#REF!&gt;2,#REF!&lt;-2),"",#REF!)</f>
        <v>#REF!</v>
      </c>
      <c r="OT8" s="7" t="e">
        <f aca="false">IF(OR(#REF!&gt;2,#REF!&lt;-2),"",#REF!)</f>
        <v>#REF!</v>
      </c>
      <c r="OU8" s="7" t="e">
        <f aca="false">IF(OR(#REF!&gt;2,#REF!&lt;-2),"",#REF!)</f>
        <v>#REF!</v>
      </c>
      <c r="OV8" s="7" t="e">
        <f aca="false">IF(OR(#REF!&gt;2,#REF!&lt;-2),"",#REF!)</f>
        <v>#REF!</v>
      </c>
      <c r="OW8" s="7" t="e">
        <f aca="false">IF(OR(#REF!&gt;2,#REF!&lt;-2),"",#REF!)</f>
        <v>#REF!</v>
      </c>
      <c r="OX8" s="7" t="e">
        <f aca="false">IF(OR(#REF!&gt;2,#REF!&lt;-2),"",#REF!)</f>
        <v>#REF!</v>
      </c>
      <c r="OY8" s="7" t="e">
        <f aca="false">IF(OR(#REF!&gt;2,#REF!&lt;-2),"",#REF!)</f>
        <v>#REF!</v>
      </c>
      <c r="OZ8" s="7" t="e">
        <f aca="false">IF(OR(#REF!&gt;2,#REF!&lt;-2),"",#REF!)</f>
        <v>#REF!</v>
      </c>
      <c r="PA8" s="7" t="e">
        <f aca="false">IF(OR(#REF!&gt;2,#REF!&lt;-2),"",#REF!)</f>
        <v>#REF!</v>
      </c>
      <c r="PB8" s="7" t="e">
        <f aca="false">IF(OR(#REF!&gt;2,#REF!&lt;-2),"",#REF!)</f>
        <v>#REF!</v>
      </c>
      <c r="PC8" s="7" t="e">
        <f aca="false">IF(OR(#REF!&gt;2,#REF!&lt;-2),"",#REF!)</f>
        <v>#REF!</v>
      </c>
      <c r="PD8" s="7" t="e">
        <f aca="false">IF(OR(#REF!&gt;2,#REF!&lt;-2),"",#REF!)</f>
        <v>#REF!</v>
      </c>
      <c r="PE8" s="7" t="e">
        <f aca="false">IF(OR(#REF!&gt;2,#REF!&lt;-2),"",#REF!)</f>
        <v>#REF!</v>
      </c>
      <c r="PF8" s="7" t="e">
        <f aca="false">IF(OR(#REF!&gt;2,#REF!&lt;-2),"",#REF!)</f>
        <v>#REF!</v>
      </c>
      <c r="PG8" s="7" t="e">
        <f aca="false">IF(OR(#REF!&gt;2,#REF!&lt;-2),"",#REF!)</f>
        <v>#REF!</v>
      </c>
      <c r="PH8" s="7" t="e">
        <f aca="false">IF(OR(#REF!&gt;2,#REF!&lt;-2),"",#REF!)</f>
        <v>#REF!</v>
      </c>
      <c r="PI8" s="7" t="e">
        <f aca="false">IF(OR(#REF!&gt;2,#REF!&lt;-2),"",#REF!)</f>
        <v>#REF!</v>
      </c>
      <c r="PJ8" s="7" t="e">
        <f aca="false">IF(OR(#REF!&gt;2,#REF!&lt;-2),"",#REF!)</f>
        <v>#REF!</v>
      </c>
      <c r="PK8" s="7" t="e">
        <f aca="false">IF(OR(#REF!&gt;2,#REF!&lt;-2),"",#REF!)</f>
        <v>#REF!</v>
      </c>
      <c r="PL8" s="7" t="e">
        <f aca="false">IF(OR(#REF!&gt;2,#REF!&lt;-2),"",#REF!)</f>
        <v>#REF!</v>
      </c>
      <c r="PM8" s="7" t="e">
        <f aca="false">IF(OR(#REF!&gt;2,#REF!&lt;-2),"",#REF!)</f>
        <v>#REF!</v>
      </c>
      <c r="PN8" s="7" t="e">
        <f aca="false">IF(OR(#REF!&gt;2,#REF!&lt;-2),"",#REF!)</f>
        <v>#REF!</v>
      </c>
      <c r="PO8" s="7" t="e">
        <f aca="false">IF(OR(#REF!&gt;2,#REF!&lt;-2),"",#REF!)</f>
        <v>#REF!</v>
      </c>
      <c r="PP8" s="7" t="e">
        <f aca="false">IF(OR(#REF!&gt;2,#REF!&lt;-2),"",#REF!)</f>
        <v>#REF!</v>
      </c>
      <c r="PQ8" s="7" t="e">
        <f aca="false">IF(OR(#REF!&gt;2,#REF!&lt;-2),"",#REF!)</f>
        <v>#REF!</v>
      </c>
      <c r="PR8" s="7" t="e">
        <f aca="false">IF(OR(#REF!&gt;2,#REF!&lt;-2),"",#REF!)</f>
        <v>#REF!</v>
      </c>
      <c r="PS8" s="7" t="e">
        <f aca="false">IF(OR(#REF!&gt;2,#REF!&lt;-2),"",#REF!)</f>
        <v>#REF!</v>
      </c>
      <c r="PT8" s="7" t="e">
        <f aca="false">IF(OR(#REF!&gt;2,#REF!&lt;-2),"",#REF!)</f>
        <v>#REF!</v>
      </c>
      <c r="PU8" s="7" t="e">
        <f aca="false">IF(OR(#REF!&gt;2,#REF!&lt;-2),"",#REF!)</f>
        <v>#REF!</v>
      </c>
      <c r="PV8" s="7" t="e">
        <f aca="false">IF(OR(#REF!&gt;2,#REF!&lt;-2),"",#REF!)</f>
        <v>#REF!</v>
      </c>
      <c r="PW8" s="7" t="e">
        <f aca="false">IF(OR(#REF!&gt;2,#REF!&lt;-2),"",#REF!)</f>
        <v>#REF!</v>
      </c>
      <c r="PX8" s="7" t="e">
        <f aca="false">IF(OR(#REF!&gt;2,#REF!&lt;-2),"",#REF!)</f>
        <v>#REF!</v>
      </c>
      <c r="PY8" s="7" t="e">
        <f aca="false">IF(OR(#REF!&gt;2,#REF!&lt;-2),"",#REF!)</f>
        <v>#REF!</v>
      </c>
      <c r="PZ8" s="7" t="e">
        <f aca="false">IF(OR(#REF!&gt;2,#REF!&lt;-2),"",#REF!)</f>
        <v>#REF!</v>
      </c>
      <c r="QA8" s="7" t="e">
        <f aca="false">IF(OR(#REF!&gt;2,#REF!&lt;-2),"",#REF!)</f>
        <v>#REF!</v>
      </c>
      <c r="QB8" s="7" t="e">
        <f aca="false">IF(OR(#REF!&gt;2,#REF!&lt;-2),"",#REF!)</f>
        <v>#REF!</v>
      </c>
      <c r="QC8" s="7" t="e">
        <f aca="false">IF(OR(#REF!&gt;2,#REF!&lt;-2),"",#REF!)</f>
        <v>#REF!</v>
      </c>
      <c r="QD8" s="7" t="e">
        <f aca="false">IF(OR(#REF!&gt;2,#REF!&lt;-2),"",#REF!)</f>
        <v>#REF!</v>
      </c>
      <c r="QE8" s="7" t="e">
        <f aca="false">IF(OR(#REF!&gt;2,#REF!&lt;-2),"",#REF!)</f>
        <v>#REF!</v>
      </c>
      <c r="QF8" s="7" t="e">
        <f aca="false">IF(OR(#REF!&gt;2,#REF!&lt;-2),"",#REF!)</f>
        <v>#REF!</v>
      </c>
      <c r="QG8" s="7" t="e">
        <f aca="false">IF(OR(#REF!&gt;2,#REF!&lt;-2),"",#REF!)</f>
        <v>#REF!</v>
      </c>
      <c r="QH8" s="7" t="e">
        <f aca="false">IF(OR(#REF!&gt;2,#REF!&lt;-2),"",#REF!)</f>
        <v>#REF!</v>
      </c>
      <c r="QI8" s="7" t="e">
        <f aca="false">IF(OR(#REF!&gt;2,#REF!&lt;-2),"",#REF!)</f>
        <v>#REF!</v>
      </c>
      <c r="QJ8" s="7" t="e">
        <f aca="false">IF(OR(#REF!&gt;2,#REF!&lt;-2),"",#REF!)</f>
        <v>#REF!</v>
      </c>
      <c r="QK8" s="7" t="e">
        <f aca="false">IF(OR(#REF!&gt;2,#REF!&lt;-2),"",#REF!)</f>
        <v>#REF!</v>
      </c>
      <c r="QL8" s="7" t="e">
        <f aca="false">IF(OR(#REF!&gt;2,#REF!&lt;-2),"",#REF!)</f>
        <v>#REF!</v>
      </c>
      <c r="QM8" s="7" t="e">
        <f aca="false">IF(OR(#REF!&gt;2,#REF!&lt;-2),"",#REF!)</f>
        <v>#REF!</v>
      </c>
      <c r="QN8" s="7" t="e">
        <f aca="false">IF(OR(#REF!&gt;2,#REF!&lt;-2),"",#REF!)</f>
        <v>#REF!</v>
      </c>
      <c r="QO8" s="7" t="e">
        <f aca="false">IF(OR(#REF!&gt;2,#REF!&lt;-2),"",#REF!)</f>
        <v>#REF!</v>
      </c>
      <c r="QP8" s="7" t="e">
        <f aca="false">IF(OR(#REF!&gt;2,#REF!&lt;-2),"",#REF!)</f>
        <v>#REF!</v>
      </c>
      <c r="QQ8" s="7" t="e">
        <f aca="false">IF(OR(#REF!&gt;2,#REF!&lt;-2),"",#REF!)</f>
        <v>#REF!</v>
      </c>
      <c r="QR8" s="7" t="e">
        <f aca="false">IF(OR(#REF!&gt;2,#REF!&lt;-2),"",#REF!)</f>
        <v>#REF!</v>
      </c>
      <c r="QS8" s="7" t="e">
        <f aca="false">IF(OR(#REF!&gt;2,#REF!&lt;-2),"",#REF!)</f>
        <v>#REF!</v>
      </c>
      <c r="QT8" s="7" t="e">
        <f aca="false">IF(OR(#REF!&gt;2,#REF!&lt;-2),"",#REF!)</f>
        <v>#REF!</v>
      </c>
      <c r="QU8" s="7" t="e">
        <f aca="false">IF(OR(#REF!&gt;2,#REF!&lt;-2),"",#REF!)</f>
        <v>#REF!</v>
      </c>
      <c r="QV8" s="7" t="e">
        <f aca="false">IF(OR(#REF!&gt;2,#REF!&lt;-2),"",#REF!)</f>
        <v>#REF!</v>
      </c>
      <c r="QW8" s="7" t="e">
        <f aca="false">IF(OR(#REF!&gt;2,#REF!&lt;-2),"",#REF!)</f>
        <v>#REF!</v>
      </c>
      <c r="QX8" s="7" t="e">
        <f aca="false">IF(OR(#REF!&gt;2,#REF!&lt;-2),"",#REF!)</f>
        <v>#REF!</v>
      </c>
      <c r="QY8" s="7" t="e">
        <f aca="false">IF(OR(#REF!&gt;2,#REF!&lt;-2),"",#REF!)</f>
        <v>#REF!</v>
      </c>
      <c r="QZ8" s="7" t="e">
        <f aca="false">IF(OR(#REF!&gt;2,#REF!&lt;-2),"",#REF!)</f>
        <v>#REF!</v>
      </c>
      <c r="RA8" s="7" t="e">
        <f aca="false">IF(OR(#REF!&gt;2,#REF!&lt;-2),"",#REF!)</f>
        <v>#REF!</v>
      </c>
      <c r="RB8" s="7" t="e">
        <f aca="false">IF(OR(#REF!&gt;2,#REF!&lt;-2),"",#REF!)</f>
        <v>#REF!</v>
      </c>
      <c r="RC8" s="7" t="e">
        <f aca="false">IF(OR(#REF!&gt;2,#REF!&lt;-2),"",#REF!)</f>
        <v>#REF!</v>
      </c>
      <c r="RD8" s="7" t="e">
        <f aca="false">IF(OR(#REF!&gt;2,#REF!&lt;-2),"",#REF!)</f>
        <v>#REF!</v>
      </c>
      <c r="RE8" s="7" t="e">
        <f aca="false">IF(OR(#REF!&gt;2,#REF!&lt;-2),"",#REF!)</f>
        <v>#REF!</v>
      </c>
      <c r="RF8" s="7" t="e">
        <f aca="false">IF(OR(#REF!&gt;2,#REF!&lt;-2),"",#REF!)</f>
        <v>#REF!</v>
      </c>
      <c r="RG8" s="7" t="e">
        <f aca="false">IF(OR(#REF!&gt;2,#REF!&lt;-2),"",#REF!)</f>
        <v>#REF!</v>
      </c>
      <c r="RH8" s="7" t="e">
        <f aca="false">IF(OR(#REF!&gt;2,#REF!&lt;-2),"",#REF!)</f>
        <v>#REF!</v>
      </c>
      <c r="RI8" s="7" t="e">
        <f aca="false">IF(OR(#REF!&gt;2,#REF!&lt;-2),"",#REF!)</f>
        <v>#REF!</v>
      </c>
      <c r="RJ8" s="7" t="e">
        <f aca="false">IF(OR(#REF!&gt;2,#REF!&lt;-2),"",#REF!)</f>
        <v>#REF!</v>
      </c>
      <c r="RK8" s="7" t="e">
        <f aca="false">IF(OR(#REF!&gt;2,#REF!&lt;-2),"",#REF!)</f>
        <v>#REF!</v>
      </c>
      <c r="RL8" s="7" t="e">
        <f aca="false">IF(OR(#REF!&gt;2,#REF!&lt;-2),"",#REF!)</f>
        <v>#REF!</v>
      </c>
      <c r="RM8" s="7" t="e">
        <f aca="false">IF(OR(#REF!&gt;2,#REF!&lt;-2),"",#REF!)</f>
        <v>#REF!</v>
      </c>
      <c r="RN8" s="7" t="e">
        <f aca="false">IF(OR(#REF!&gt;2,#REF!&lt;-2),"",#REF!)</f>
        <v>#REF!</v>
      </c>
      <c r="RO8" s="7" t="e">
        <f aca="false">IF(OR(#REF!&gt;2,#REF!&lt;-2),"",#REF!)</f>
        <v>#REF!</v>
      </c>
      <c r="RP8" s="7" t="e">
        <f aca="false">IF(OR(#REF!&gt;2,#REF!&lt;-2),"",#REF!)</f>
        <v>#REF!</v>
      </c>
      <c r="RQ8" s="7" t="e">
        <f aca="false">IF(OR(#REF!&gt;2,#REF!&lt;-2),"",#REF!)</f>
        <v>#REF!</v>
      </c>
      <c r="RR8" s="7" t="e">
        <f aca="false">IF(OR(#REF!&gt;2,#REF!&lt;-2),"",#REF!)</f>
        <v>#REF!</v>
      </c>
      <c r="RS8" s="7" t="e">
        <f aca="false">IF(OR(#REF!&gt;2,#REF!&lt;-2),"",#REF!)</f>
        <v>#REF!</v>
      </c>
      <c r="RT8" s="7" t="e">
        <f aca="false">IF(OR(#REF!&gt;2,#REF!&lt;-2),"",#REF!)</f>
        <v>#REF!</v>
      </c>
      <c r="RU8" s="7" t="e">
        <f aca="false">IF(OR(#REF!&gt;2,#REF!&lt;-2),"",#REF!)</f>
        <v>#REF!</v>
      </c>
      <c r="RV8" s="7" t="e">
        <f aca="false">IF(OR(#REF!&gt;2,#REF!&lt;-2),"",#REF!)</f>
        <v>#REF!</v>
      </c>
      <c r="RW8" s="7" t="e">
        <f aca="false">IF(OR(#REF!&gt;2,#REF!&lt;-2),"",#REF!)</f>
        <v>#REF!</v>
      </c>
      <c r="RX8" s="7" t="e">
        <f aca="false">IF(OR(#REF!&gt;2,#REF!&lt;-2),"",#REF!)</f>
        <v>#REF!</v>
      </c>
      <c r="RY8" s="7" t="e">
        <f aca="false">IF(OR(#REF!&gt;2,#REF!&lt;-2),"",#REF!)</f>
        <v>#REF!</v>
      </c>
      <c r="RZ8" s="7" t="e">
        <f aca="false">IF(OR(#REF!&gt;2,#REF!&lt;-2),"",#REF!)</f>
        <v>#REF!</v>
      </c>
      <c r="SA8" s="7" t="e">
        <f aca="false">IF(OR(#REF!&gt;2,#REF!&lt;-2),"",#REF!)</f>
        <v>#REF!</v>
      </c>
      <c r="SB8" s="7" t="e">
        <f aca="false">IF(OR(#REF!&gt;2,#REF!&lt;-2),"",#REF!)</f>
        <v>#REF!</v>
      </c>
      <c r="SC8" s="7" t="e">
        <f aca="false">IF(OR(#REF!&gt;2,#REF!&lt;-2),"",#REF!)</f>
        <v>#REF!</v>
      </c>
      <c r="SD8" s="7" t="e">
        <f aca="false">IF(OR(#REF!&gt;2,#REF!&lt;-2),"",#REF!)</f>
        <v>#REF!</v>
      </c>
      <c r="SE8" s="7" t="e">
        <f aca="false">IF(OR(#REF!&gt;2,#REF!&lt;-2),"",#REF!)</f>
        <v>#REF!</v>
      </c>
      <c r="SF8" s="7" t="e">
        <f aca="false">IF(OR(#REF!&gt;2,#REF!&lt;-2),"",#REF!)</f>
        <v>#REF!</v>
      </c>
      <c r="SG8" s="7" t="e">
        <f aca="false">IF(OR(#REF!&gt;2,#REF!&lt;-2),"",#REF!)</f>
        <v>#REF!</v>
      </c>
      <c r="SH8" s="7" t="e">
        <f aca="false">IF(OR(#REF!&gt;2,#REF!&lt;-2),"",#REF!)</f>
        <v>#REF!</v>
      </c>
      <c r="SI8" s="7" t="e">
        <f aca="false">IF(OR(#REF!&gt;2,#REF!&lt;-2),"",#REF!)</f>
        <v>#REF!</v>
      </c>
      <c r="SJ8" s="7" t="e">
        <f aca="false">IF(OR(#REF!&gt;2,#REF!&lt;-2),"",#REF!)</f>
        <v>#REF!</v>
      </c>
      <c r="SK8" s="7" t="e">
        <f aca="false">IF(OR(#REF!&gt;2,#REF!&lt;-2),"",#REF!)</f>
        <v>#REF!</v>
      </c>
      <c r="SL8" s="7" t="e">
        <f aca="false">IF(OR(#REF!&gt;2,#REF!&lt;-2),"",#REF!)</f>
        <v>#REF!</v>
      </c>
      <c r="SM8" s="7" t="e">
        <f aca="false">IF(OR(#REF!&gt;2,#REF!&lt;-2),"",#REF!)</f>
        <v>#REF!</v>
      </c>
      <c r="SN8" s="7" t="e">
        <f aca="false">IF(OR(#REF!&gt;2,#REF!&lt;-2),"",#REF!)</f>
        <v>#REF!</v>
      </c>
      <c r="SO8" s="7" t="e">
        <f aca="false">IF(OR(#REF!&gt;2,#REF!&lt;-2),"",#REF!)</f>
        <v>#REF!</v>
      </c>
      <c r="SP8" s="7" t="e">
        <f aca="false">IF(OR(#REF!&gt;2,#REF!&lt;-2),"",#REF!)</f>
        <v>#REF!</v>
      </c>
      <c r="SQ8" s="7" t="e">
        <f aca="false">IF(OR(#REF!&gt;2,#REF!&lt;-2),"",#REF!)</f>
        <v>#REF!</v>
      </c>
      <c r="SR8" s="7" t="e">
        <f aca="false">IF(OR(#REF!&gt;2,#REF!&lt;-2),"",#REF!)</f>
        <v>#REF!</v>
      </c>
      <c r="SS8" s="7" t="e">
        <f aca="false">IF(OR(#REF!&gt;2,#REF!&lt;-2),"",#REF!)</f>
        <v>#REF!</v>
      </c>
      <c r="ST8" s="7" t="e">
        <f aca="false">IF(OR(#REF!&gt;2,#REF!&lt;-2),"",#REF!)</f>
        <v>#REF!</v>
      </c>
      <c r="SU8" s="7" t="e">
        <f aca="false">IF(OR(#REF!&gt;2,#REF!&lt;-2),"",#REF!)</f>
        <v>#REF!</v>
      </c>
      <c r="SV8" s="7" t="e">
        <f aca="false">IF(OR(#REF!&gt;2,#REF!&lt;-2),"",#REF!)</f>
        <v>#REF!</v>
      </c>
      <c r="SW8" s="7" t="e">
        <f aca="false">IF(OR(#REF!&gt;2,#REF!&lt;-2),"",#REF!)</f>
        <v>#REF!</v>
      </c>
      <c r="SX8" s="7" t="e">
        <f aca="false">IF(OR(#REF!&gt;2,#REF!&lt;-2),"",#REF!)</f>
        <v>#REF!</v>
      </c>
      <c r="SY8" s="7" t="e">
        <f aca="false">IF(OR(#REF!&gt;2,#REF!&lt;-2),"",#REF!)</f>
        <v>#REF!</v>
      </c>
      <c r="SZ8" s="7" t="e">
        <f aca="false">IF(OR(#REF!&gt;2,#REF!&lt;-2),"",#REF!)</f>
        <v>#REF!</v>
      </c>
      <c r="TA8" s="7" t="e">
        <f aca="false">IF(OR(#REF!&gt;2,#REF!&lt;-2),"",#REF!)</f>
        <v>#REF!</v>
      </c>
      <c r="TB8" s="7" t="e">
        <f aca="false">IF(OR(#REF!&gt;2,#REF!&lt;-2),"",#REF!)</f>
        <v>#REF!</v>
      </c>
      <c r="TC8" s="7" t="e">
        <f aca="false">IF(OR(#REF!&gt;2,#REF!&lt;-2),"",#REF!)</f>
        <v>#REF!</v>
      </c>
      <c r="TD8" s="7" t="e">
        <f aca="false">IF(OR(#REF!&gt;2,#REF!&lt;-2),"",#REF!)</f>
        <v>#REF!</v>
      </c>
      <c r="TE8" s="7" t="e">
        <f aca="false">IF(OR(#REF!&gt;2,#REF!&lt;-2),"",#REF!)</f>
        <v>#REF!</v>
      </c>
      <c r="TF8" s="7" t="e">
        <f aca="false">IF(OR(#REF!&gt;2,#REF!&lt;-2),"",#REF!)</f>
        <v>#REF!</v>
      </c>
      <c r="TG8" s="7" t="e">
        <f aca="false">IF(OR(#REF!&gt;2,#REF!&lt;-2),"",#REF!)</f>
        <v>#REF!</v>
      </c>
      <c r="TH8" s="7" t="e">
        <f aca="false">IF(OR(#REF!&gt;2,#REF!&lt;-2),"",#REF!)</f>
        <v>#REF!</v>
      </c>
      <c r="TI8" s="7" t="e">
        <f aca="false">IF(OR(#REF!&gt;2,#REF!&lt;-2),"",#REF!)</f>
        <v>#REF!</v>
      </c>
      <c r="TJ8" s="7" t="e">
        <f aca="false">IF(OR(#REF!&gt;2,#REF!&lt;-2),"",#REF!)</f>
        <v>#REF!</v>
      </c>
      <c r="TK8" s="7" t="e">
        <f aca="false">IF(OR(#REF!&gt;2,#REF!&lt;-2),"",#REF!)</f>
        <v>#REF!</v>
      </c>
      <c r="TL8" s="7" t="e">
        <f aca="false">IF(OR(#REF!&gt;2,#REF!&lt;-2),"",#REF!)</f>
        <v>#REF!</v>
      </c>
      <c r="TM8" s="7" t="e">
        <f aca="false">IF(OR(#REF!&gt;2,#REF!&lt;-2),"",#REF!)</f>
        <v>#REF!</v>
      </c>
      <c r="TN8" s="7" t="e">
        <f aca="false">IF(OR(#REF!&gt;2,#REF!&lt;-2),"",#REF!)</f>
        <v>#REF!</v>
      </c>
      <c r="TO8" s="7" t="e">
        <f aca="false">IF(OR(#REF!&gt;2,#REF!&lt;-2),"",#REF!)</f>
        <v>#REF!</v>
      </c>
      <c r="TP8" s="7" t="e">
        <f aca="false">IF(OR(#REF!&gt;2,#REF!&lt;-2),"",#REF!)</f>
        <v>#REF!</v>
      </c>
      <c r="TQ8" s="7" t="e">
        <f aca="false">IF(OR(#REF!&gt;2,#REF!&lt;-2),"",#REF!)</f>
        <v>#REF!</v>
      </c>
      <c r="TR8" s="7" t="e">
        <f aca="false">IF(OR(#REF!&gt;2,#REF!&lt;-2),"",#REF!)</f>
        <v>#REF!</v>
      </c>
      <c r="TS8" s="7" t="e">
        <f aca="false">IF(OR(#REF!&gt;2,#REF!&lt;-2),"",#REF!)</f>
        <v>#REF!</v>
      </c>
      <c r="TT8" s="7" t="e">
        <f aca="false">IF(OR(#REF!&gt;2,#REF!&lt;-2),"",#REF!)</f>
        <v>#REF!</v>
      </c>
      <c r="TU8" s="7" t="e">
        <f aca="false">IF(OR(#REF!&gt;2,#REF!&lt;-2),"",#REF!)</f>
        <v>#REF!</v>
      </c>
      <c r="TV8" s="7" t="e">
        <f aca="false">IF(OR(#REF!&gt;2,#REF!&lt;-2),"",#REF!)</f>
        <v>#REF!</v>
      </c>
      <c r="TW8" s="7" t="e">
        <f aca="false">IF(OR(#REF!&gt;2,#REF!&lt;-2),"",#REF!)</f>
        <v>#REF!</v>
      </c>
      <c r="TX8" s="7" t="e">
        <f aca="false">IF(OR(#REF!&gt;2,#REF!&lt;-2),"",#REF!)</f>
        <v>#REF!</v>
      </c>
      <c r="TY8" s="7" t="e">
        <f aca="false">IF(OR(#REF!&gt;2,#REF!&lt;-2),"",#REF!)</f>
        <v>#REF!</v>
      </c>
      <c r="TZ8" s="7" t="e">
        <f aca="false">IF(OR(#REF!&gt;2,#REF!&lt;-2),"",#REF!)</f>
        <v>#REF!</v>
      </c>
      <c r="UA8" s="7" t="e">
        <f aca="false">IF(OR(#REF!&gt;2,#REF!&lt;-2),"",#REF!)</f>
        <v>#REF!</v>
      </c>
      <c r="UB8" s="7" t="e">
        <f aca="false">IF(OR(#REF!&gt;2,#REF!&lt;-2),"",#REF!)</f>
        <v>#REF!</v>
      </c>
      <c r="UC8" s="7" t="e">
        <f aca="false">IF(OR(#REF!&gt;2,#REF!&lt;-2),"",#REF!)</f>
        <v>#REF!</v>
      </c>
      <c r="UD8" s="7" t="e">
        <f aca="false">IF(OR(#REF!&gt;2,#REF!&lt;-2),"",#REF!)</f>
        <v>#REF!</v>
      </c>
      <c r="UE8" s="7" t="e">
        <f aca="false">IF(OR(#REF!&gt;2,#REF!&lt;-2),"",#REF!)</f>
        <v>#REF!</v>
      </c>
      <c r="UF8" s="7" t="e">
        <f aca="false">IF(OR(#REF!&gt;2,#REF!&lt;-2),"",#REF!)</f>
        <v>#REF!</v>
      </c>
      <c r="UG8" s="7" t="e">
        <f aca="false">IF(OR(#REF!&gt;2,#REF!&lt;-2),"",#REF!)</f>
        <v>#REF!</v>
      </c>
      <c r="UH8" s="7" t="e">
        <f aca="false">IF(OR(#REF!&gt;2,#REF!&lt;-2),"",#REF!)</f>
        <v>#REF!</v>
      </c>
      <c r="UI8" s="7" t="e">
        <f aca="false">IF(OR(#REF!&gt;2,#REF!&lt;-2),"",#REF!)</f>
        <v>#REF!</v>
      </c>
      <c r="UJ8" s="7" t="e">
        <f aca="false">IF(OR(#REF!&gt;2,#REF!&lt;-2),"",#REF!)</f>
        <v>#REF!</v>
      </c>
      <c r="UK8" s="7" t="e">
        <f aca="false">IF(OR(#REF!&gt;2,#REF!&lt;-2),"",#REF!)</f>
        <v>#REF!</v>
      </c>
      <c r="UL8" s="7" t="e">
        <f aca="false">IF(OR(#REF!&gt;2,#REF!&lt;-2),"",#REF!)</f>
        <v>#REF!</v>
      </c>
      <c r="UM8" s="7" t="e">
        <f aca="false">IF(OR(#REF!&gt;2,#REF!&lt;-2),"",#REF!)</f>
        <v>#REF!</v>
      </c>
      <c r="UN8" s="7" t="e">
        <f aca="false">IF(OR(#REF!&gt;2,#REF!&lt;-2),"",#REF!)</f>
        <v>#REF!</v>
      </c>
      <c r="UO8" s="7" t="e">
        <f aca="false">IF(OR(#REF!&gt;2,#REF!&lt;-2),"",#REF!)</f>
        <v>#REF!</v>
      </c>
      <c r="UP8" s="7" t="e">
        <f aca="false">IF(OR(#REF!&gt;2,#REF!&lt;-2),"",#REF!)</f>
        <v>#REF!</v>
      </c>
    </row>
    <row r="9" customFormat="false" ht="14.5" hidden="false" customHeight="false" outlineLevel="0" collapsed="false">
      <c r="A9" s="0" t="n">
        <v>171</v>
      </c>
      <c r="B9" s="0" t="n">
        <v>0</v>
      </c>
      <c r="C9" s="7" t="e">
        <f aca="false">IF(OR(#REF!&gt;2,#REF!&lt;-2),"",#REF!)</f>
        <v>#REF!</v>
      </c>
      <c r="D9" s="7" t="e">
        <f aca="false">IF(OR(#REF!&gt;2,#REF!&lt;-2),"",#REF!)</f>
        <v>#REF!</v>
      </c>
      <c r="E9" s="7" t="e">
        <f aca="false">IF(OR(#REF!&gt;2,#REF!&lt;-2),"",#REF!)</f>
        <v>#REF!</v>
      </c>
      <c r="F9" s="7" t="e">
        <f aca="false">IF(OR(#REF!&gt;2,#REF!&lt;-2),"",#REF!)</f>
        <v>#REF!</v>
      </c>
      <c r="G9" s="7" t="e">
        <f aca="false">IF(OR(#REF!&gt;2,#REF!&lt;-2),"",#REF!)</f>
        <v>#REF!</v>
      </c>
      <c r="H9" s="7" t="e">
        <f aca="false">IF(OR(#REF!&gt;2,#REF!&lt;-2),"",#REF!)</f>
        <v>#REF!</v>
      </c>
      <c r="I9" s="7" t="e">
        <f aca="false">IF(OR(#REF!&gt;2,#REF!&lt;-2),"",#REF!)</f>
        <v>#REF!</v>
      </c>
      <c r="J9" s="7" t="e">
        <f aca="false">IF(OR(#REF!&gt;2,#REF!&lt;-2),"",#REF!)</f>
        <v>#REF!</v>
      </c>
      <c r="K9" s="7" t="e">
        <f aca="false">IF(OR(#REF!&gt;2,#REF!&lt;-2),"",#REF!)</f>
        <v>#REF!</v>
      </c>
      <c r="L9" s="7" t="e">
        <f aca="false">IF(OR(#REF!&gt;2,#REF!&lt;-2),"",#REF!)</f>
        <v>#REF!</v>
      </c>
      <c r="M9" s="7" t="e">
        <f aca="false">IF(OR(#REF!&gt;2,#REF!&lt;-2),"",#REF!)</f>
        <v>#REF!</v>
      </c>
      <c r="N9" s="7" t="e">
        <f aca="false">IF(OR(#REF!&gt;2,#REF!&lt;-2),"",#REF!)</f>
        <v>#REF!</v>
      </c>
      <c r="O9" s="7" t="e">
        <f aca="false">IF(OR(#REF!&gt;2,#REF!&lt;-2),"",#REF!)</f>
        <v>#REF!</v>
      </c>
      <c r="P9" s="7" t="e">
        <f aca="false">IF(OR(#REF!&gt;2,#REF!&lt;-2),"",#REF!)</f>
        <v>#REF!</v>
      </c>
      <c r="Q9" s="7" t="e">
        <f aca="false">IF(OR(#REF!&gt;2,#REF!&lt;-2),"",#REF!)</f>
        <v>#REF!</v>
      </c>
      <c r="R9" s="7" t="e">
        <f aca="false">IF(OR(#REF!&gt;2,#REF!&lt;-2),"",#REF!)</f>
        <v>#REF!</v>
      </c>
      <c r="S9" s="7" t="e">
        <f aca="false">IF(OR(#REF!&gt;2,#REF!&lt;-2),"",#REF!)</f>
        <v>#REF!</v>
      </c>
      <c r="T9" s="7" t="e">
        <f aca="false">IF(OR(#REF!&gt;2,#REF!&lt;-2),"",#REF!)</f>
        <v>#REF!</v>
      </c>
      <c r="U9" s="7" t="e">
        <f aca="false">IF(OR(#REF!&gt;2,#REF!&lt;-2),"",#REF!)</f>
        <v>#REF!</v>
      </c>
      <c r="V9" s="7" t="e">
        <f aca="false">IF(OR(#REF!&gt;2,#REF!&lt;-2),"",#REF!)</f>
        <v>#REF!</v>
      </c>
      <c r="W9" s="7" t="e">
        <f aca="false">IF(OR(#REF!&gt;2,#REF!&lt;-2),"",#REF!)</f>
        <v>#REF!</v>
      </c>
      <c r="X9" s="7" t="e">
        <f aca="false">IF(OR(#REF!&gt;2,#REF!&lt;-2),"",#REF!)</f>
        <v>#REF!</v>
      </c>
      <c r="Y9" s="7" t="e">
        <f aca="false">IF(OR(#REF!&gt;2,#REF!&lt;-2),"",#REF!)</f>
        <v>#REF!</v>
      </c>
      <c r="Z9" s="7" t="e">
        <f aca="false">IF(OR(#REF!&gt;2,#REF!&lt;-2),"",#REF!)</f>
        <v>#REF!</v>
      </c>
      <c r="AA9" s="7" t="e">
        <f aca="false">IF(OR(#REF!&gt;2,#REF!&lt;-2),"",#REF!)</f>
        <v>#REF!</v>
      </c>
      <c r="AB9" s="7" t="e">
        <f aca="false">IF(OR(#REF!&gt;2,#REF!&lt;-2),"",#REF!)</f>
        <v>#REF!</v>
      </c>
      <c r="AC9" s="7" t="e">
        <f aca="false">IF(OR(#REF!&gt;2,#REF!&lt;-2),"",#REF!)</f>
        <v>#REF!</v>
      </c>
      <c r="AD9" s="7" t="e">
        <f aca="false">IF(OR(#REF!&gt;2,#REF!&lt;-2),"",#REF!)</f>
        <v>#REF!</v>
      </c>
      <c r="AE9" s="7" t="e">
        <f aca="false">IF(OR(#REF!&gt;2,#REF!&lt;-2),"",#REF!)</f>
        <v>#REF!</v>
      </c>
      <c r="AF9" s="7" t="e">
        <f aca="false">IF(OR(#REF!&gt;2,#REF!&lt;-2),"",#REF!)</f>
        <v>#REF!</v>
      </c>
      <c r="AG9" s="7" t="e">
        <f aca="false">IF(OR(#REF!&gt;2,#REF!&lt;-2),"",#REF!)</f>
        <v>#REF!</v>
      </c>
      <c r="AH9" s="7" t="e">
        <f aca="false">IF(OR(#REF!&gt;2,#REF!&lt;-2),"",#REF!)</f>
        <v>#REF!</v>
      </c>
      <c r="AI9" s="7" t="e">
        <f aca="false">IF(OR(#REF!&gt;2,#REF!&lt;-2),"",#REF!)</f>
        <v>#REF!</v>
      </c>
      <c r="AJ9" s="7" t="e">
        <f aca="false">IF(OR(#REF!&gt;2,#REF!&lt;-2),"",#REF!)</f>
        <v>#REF!</v>
      </c>
      <c r="AK9" s="7" t="e">
        <f aca="false">IF(OR(#REF!&gt;2,#REF!&lt;-2),"",#REF!)</f>
        <v>#REF!</v>
      </c>
      <c r="AL9" s="7" t="e">
        <f aca="false">IF(OR(#REF!&gt;2,#REF!&lt;-2),"",#REF!)</f>
        <v>#REF!</v>
      </c>
      <c r="AM9" s="7" t="e">
        <f aca="false">IF(OR(#REF!&gt;2,#REF!&lt;-2),"",#REF!)</f>
        <v>#REF!</v>
      </c>
      <c r="AN9" s="7" t="e">
        <f aca="false">IF(OR(#REF!&gt;2,#REF!&lt;-2),"",#REF!)</f>
        <v>#REF!</v>
      </c>
      <c r="AO9" s="7" t="e">
        <f aca="false">IF(OR(#REF!&gt;2,#REF!&lt;-2),"",#REF!)</f>
        <v>#REF!</v>
      </c>
      <c r="AP9" s="7" t="e">
        <f aca="false">IF(OR(#REF!&gt;2,#REF!&lt;-2),"",#REF!)</f>
        <v>#REF!</v>
      </c>
      <c r="AQ9" s="7" t="e">
        <f aca="false">IF(OR(#REF!&gt;2,#REF!&lt;-2),"",#REF!)</f>
        <v>#REF!</v>
      </c>
      <c r="AR9" s="7" t="e">
        <f aca="false">IF(OR(#REF!&gt;2,#REF!&lt;-2),"",#REF!)</f>
        <v>#REF!</v>
      </c>
      <c r="AS9" s="7" t="e">
        <f aca="false">IF(OR(#REF!&gt;2,#REF!&lt;-2),"",#REF!)</f>
        <v>#REF!</v>
      </c>
      <c r="AT9" s="7" t="e">
        <f aca="false">IF(OR(#REF!&gt;2,#REF!&lt;-2),"",#REF!)</f>
        <v>#REF!</v>
      </c>
      <c r="AU9" s="7" t="e">
        <f aca="false">IF(OR(#REF!&gt;2,#REF!&lt;-2),"",#REF!)</f>
        <v>#REF!</v>
      </c>
      <c r="AV9" s="7" t="e">
        <f aca="false">IF(OR(#REF!&gt;2,#REF!&lt;-2),"",#REF!)</f>
        <v>#REF!</v>
      </c>
      <c r="AW9" s="7" t="e">
        <f aca="false">IF(OR(#REF!&gt;2,#REF!&lt;-2),"",#REF!)</f>
        <v>#REF!</v>
      </c>
      <c r="AX9" s="7" t="e">
        <f aca="false">IF(OR(#REF!&gt;2,#REF!&lt;-2),"",#REF!)</f>
        <v>#REF!</v>
      </c>
      <c r="AY9" s="7" t="e">
        <f aca="false">IF(OR(#REF!&gt;2,#REF!&lt;-2),"",#REF!)</f>
        <v>#REF!</v>
      </c>
      <c r="AZ9" s="7" t="e">
        <f aca="false">IF(OR(#REF!&gt;2,#REF!&lt;-2),"",#REF!)</f>
        <v>#REF!</v>
      </c>
      <c r="BA9" s="7" t="e">
        <f aca="false">IF(OR(#REF!&gt;2,#REF!&lt;-2),"",#REF!)</f>
        <v>#REF!</v>
      </c>
      <c r="BB9" s="7" t="e">
        <f aca="false">IF(OR(#REF!&gt;2,#REF!&lt;-2),"",#REF!)</f>
        <v>#REF!</v>
      </c>
      <c r="BC9" s="7" t="e">
        <f aca="false">IF(OR(#REF!&gt;2,#REF!&lt;-2),"",#REF!)</f>
        <v>#REF!</v>
      </c>
      <c r="BD9" s="7" t="e">
        <f aca="false">IF(OR(#REF!&gt;2,#REF!&lt;-2),"",#REF!)</f>
        <v>#REF!</v>
      </c>
      <c r="BE9" s="7" t="e">
        <f aca="false">IF(OR(#REF!&gt;2,#REF!&lt;-2),"",#REF!)</f>
        <v>#REF!</v>
      </c>
      <c r="BF9" s="7" t="e">
        <f aca="false">IF(OR(#REF!&gt;2,#REF!&lt;-2),"",#REF!)</f>
        <v>#REF!</v>
      </c>
      <c r="BG9" s="7" t="e">
        <f aca="false">IF(OR(#REF!&gt;2,#REF!&lt;-2),"",#REF!)</f>
        <v>#REF!</v>
      </c>
      <c r="BH9" s="7" t="e">
        <f aca="false">IF(OR(#REF!&gt;2,#REF!&lt;-2),"",#REF!)</f>
        <v>#REF!</v>
      </c>
      <c r="BI9" s="7" t="e">
        <f aca="false">IF(OR(#REF!&gt;2,#REF!&lt;-2),"",#REF!)</f>
        <v>#REF!</v>
      </c>
      <c r="BJ9" s="7" t="e">
        <f aca="false">IF(OR(#REF!&gt;2,#REF!&lt;-2),"",#REF!)</f>
        <v>#REF!</v>
      </c>
      <c r="BK9" s="7" t="e">
        <f aca="false">IF(OR(#REF!&gt;2,#REF!&lt;-2),"",#REF!)</f>
        <v>#REF!</v>
      </c>
      <c r="BL9" s="7" t="e">
        <f aca="false">IF(OR(#REF!&gt;2,#REF!&lt;-2),"",#REF!)</f>
        <v>#REF!</v>
      </c>
      <c r="BM9" s="7" t="e">
        <f aca="false">IF(OR(#REF!&gt;2,#REF!&lt;-2),"",#REF!)</f>
        <v>#REF!</v>
      </c>
      <c r="BN9" s="7" t="e">
        <f aca="false">IF(OR(#REF!&gt;2,#REF!&lt;-2),"",#REF!)</f>
        <v>#REF!</v>
      </c>
      <c r="BO9" s="7" t="e">
        <f aca="false">IF(OR(#REF!&gt;2,#REF!&lt;-2),"",#REF!)</f>
        <v>#REF!</v>
      </c>
      <c r="BP9" s="7" t="e">
        <f aca="false">IF(OR(#REF!&gt;2,#REF!&lt;-2),"",#REF!)</f>
        <v>#REF!</v>
      </c>
      <c r="BQ9" s="7" t="e">
        <f aca="false">IF(OR(#REF!&gt;2,#REF!&lt;-2),"",#REF!)</f>
        <v>#REF!</v>
      </c>
      <c r="BR9" s="7" t="e">
        <f aca="false">IF(OR(#REF!&gt;2,#REF!&lt;-2),"",#REF!)</f>
        <v>#REF!</v>
      </c>
      <c r="BS9" s="7" t="e">
        <f aca="false">IF(OR(#REF!&gt;2,#REF!&lt;-2),"",#REF!)</f>
        <v>#REF!</v>
      </c>
      <c r="BT9" s="7" t="e">
        <f aca="false">IF(OR(#REF!&gt;2,#REF!&lt;-2),"",#REF!)</f>
        <v>#REF!</v>
      </c>
      <c r="BU9" s="7" t="e">
        <f aca="false">IF(OR(#REF!&gt;2,#REF!&lt;-2),"",#REF!)</f>
        <v>#REF!</v>
      </c>
      <c r="BV9" s="7" t="e">
        <f aca="false">IF(OR(#REF!&gt;2,#REF!&lt;-2),"",#REF!)</f>
        <v>#REF!</v>
      </c>
      <c r="BW9" s="7" t="e">
        <f aca="false">IF(OR(#REF!&gt;2,#REF!&lt;-2),"",#REF!)</f>
        <v>#REF!</v>
      </c>
      <c r="BX9" s="7" t="e">
        <f aca="false">IF(OR(#REF!&gt;2,#REF!&lt;-2),"",#REF!)</f>
        <v>#REF!</v>
      </c>
      <c r="BY9" s="7" t="e">
        <f aca="false">IF(OR(#REF!&gt;2,#REF!&lt;-2),"",#REF!)</f>
        <v>#REF!</v>
      </c>
      <c r="BZ9" s="7" t="e">
        <f aca="false">IF(OR(#REF!&gt;2,#REF!&lt;-2),"",#REF!)</f>
        <v>#REF!</v>
      </c>
      <c r="CA9" s="7" t="e">
        <f aca="false">IF(OR(#REF!&gt;2,#REF!&lt;-2),"",#REF!)</f>
        <v>#REF!</v>
      </c>
      <c r="CB9" s="7" t="e">
        <f aca="false">IF(OR(#REF!&gt;2,#REF!&lt;-2),"",#REF!)</f>
        <v>#REF!</v>
      </c>
      <c r="CC9" s="7" t="e">
        <f aca="false">IF(OR(#REF!&gt;2,#REF!&lt;-2),"",#REF!)</f>
        <v>#REF!</v>
      </c>
      <c r="CD9" s="7" t="e">
        <f aca="false">IF(OR(#REF!&gt;2,#REF!&lt;-2),"",#REF!)</f>
        <v>#REF!</v>
      </c>
      <c r="CE9" s="7" t="e">
        <f aca="false">IF(OR(#REF!&gt;2,#REF!&lt;-2),"",#REF!)</f>
        <v>#REF!</v>
      </c>
      <c r="CF9" s="7" t="e">
        <f aca="false">IF(OR(#REF!&gt;2,#REF!&lt;-2),"",#REF!)</f>
        <v>#REF!</v>
      </c>
      <c r="CG9" s="7" t="e">
        <f aca="false">IF(OR(#REF!&gt;2,#REF!&lt;-2),"",#REF!)</f>
        <v>#REF!</v>
      </c>
      <c r="CH9" s="7" t="e">
        <f aca="false">IF(OR(#REF!&gt;2,#REF!&lt;-2),"",#REF!)</f>
        <v>#REF!</v>
      </c>
      <c r="CI9" s="7" t="e">
        <f aca="false">IF(OR(#REF!&gt;2,#REF!&lt;-2),"",#REF!)</f>
        <v>#REF!</v>
      </c>
      <c r="CJ9" s="7" t="e">
        <f aca="false">IF(OR(#REF!&gt;2,#REF!&lt;-2),"",#REF!)</f>
        <v>#REF!</v>
      </c>
      <c r="CK9" s="7" t="e">
        <f aca="false">IF(OR(#REF!&gt;2,#REF!&lt;-2),"",#REF!)</f>
        <v>#REF!</v>
      </c>
      <c r="CL9" s="7" t="e">
        <f aca="false">IF(OR(#REF!&gt;2,#REF!&lt;-2),"",#REF!)</f>
        <v>#REF!</v>
      </c>
      <c r="CM9" s="7" t="e">
        <f aca="false">IF(OR(#REF!&gt;2,#REF!&lt;-2),"",#REF!)</f>
        <v>#REF!</v>
      </c>
      <c r="CN9" s="7" t="e">
        <f aca="false">IF(OR(#REF!&gt;2,#REF!&lt;-2),"",#REF!)</f>
        <v>#REF!</v>
      </c>
      <c r="CO9" s="7" t="e">
        <f aca="false">IF(OR(#REF!&gt;2,#REF!&lt;-2),"",#REF!)</f>
        <v>#REF!</v>
      </c>
      <c r="CP9" s="7" t="e">
        <f aca="false">IF(OR(#REF!&gt;2,#REF!&lt;-2),"",#REF!)</f>
        <v>#REF!</v>
      </c>
      <c r="CQ9" s="7" t="e">
        <f aca="false">IF(OR(#REF!&gt;2,#REF!&lt;-2),"",#REF!)</f>
        <v>#REF!</v>
      </c>
      <c r="CR9" s="7" t="e">
        <f aca="false">IF(OR(#REF!&gt;2,#REF!&lt;-2),"",#REF!)</f>
        <v>#REF!</v>
      </c>
      <c r="CS9" s="7" t="e">
        <f aca="false">IF(OR(#REF!&gt;2,#REF!&lt;-2),"",#REF!)</f>
        <v>#REF!</v>
      </c>
      <c r="CT9" s="7" t="e">
        <f aca="false">IF(OR(#REF!&gt;2,#REF!&lt;-2),"",#REF!)</f>
        <v>#REF!</v>
      </c>
      <c r="CU9" s="7" t="e">
        <f aca="false">IF(OR(#REF!&gt;2,#REF!&lt;-2),"",#REF!)</f>
        <v>#REF!</v>
      </c>
      <c r="CV9" s="7" t="e">
        <f aca="false">IF(OR(#REF!&gt;2,#REF!&lt;-2),"",#REF!)</f>
        <v>#REF!</v>
      </c>
      <c r="CW9" s="7" t="e">
        <f aca="false">IF(OR(#REF!&gt;2,#REF!&lt;-2),"",#REF!)</f>
        <v>#REF!</v>
      </c>
      <c r="CX9" s="7" t="e">
        <f aca="false">IF(OR(#REF!&gt;2,#REF!&lt;-2),"",#REF!)</f>
        <v>#REF!</v>
      </c>
      <c r="CY9" s="7" t="e">
        <f aca="false">IF(OR(#REF!&gt;2,#REF!&lt;-2),"",#REF!)</f>
        <v>#REF!</v>
      </c>
      <c r="CZ9" s="7" t="e">
        <f aca="false">IF(OR(#REF!&gt;2,#REF!&lt;-2),"",#REF!)</f>
        <v>#REF!</v>
      </c>
      <c r="DA9" s="7" t="e">
        <f aca="false">IF(OR(#REF!&gt;2,#REF!&lt;-2),"",#REF!)</f>
        <v>#REF!</v>
      </c>
      <c r="DB9" s="7" t="e">
        <f aca="false">IF(OR(#REF!&gt;2,#REF!&lt;-2),"",#REF!)</f>
        <v>#REF!</v>
      </c>
      <c r="DC9" s="7" t="e">
        <f aca="false">IF(OR(#REF!&gt;2,#REF!&lt;-2),"",#REF!)</f>
        <v>#REF!</v>
      </c>
      <c r="DD9" s="7" t="e">
        <f aca="false">IF(OR(#REF!&gt;2,#REF!&lt;-2),"",#REF!)</f>
        <v>#REF!</v>
      </c>
      <c r="DE9" s="7" t="e">
        <f aca="false">IF(OR(#REF!&gt;2,#REF!&lt;-2),"",#REF!)</f>
        <v>#REF!</v>
      </c>
      <c r="DF9" s="7" t="e">
        <f aca="false">IF(OR(#REF!&gt;2,#REF!&lt;-2),"",#REF!)</f>
        <v>#REF!</v>
      </c>
      <c r="DG9" s="7" t="e">
        <f aca="false">IF(OR(#REF!&gt;2,#REF!&lt;-2),"",#REF!)</f>
        <v>#REF!</v>
      </c>
      <c r="DH9" s="7" t="e">
        <f aca="false">IF(OR(#REF!&gt;2,#REF!&lt;-2),"",#REF!)</f>
        <v>#REF!</v>
      </c>
      <c r="DI9" s="7" t="e">
        <f aca="false">IF(OR(#REF!&gt;2,#REF!&lt;-2),"",#REF!)</f>
        <v>#REF!</v>
      </c>
      <c r="DJ9" s="7" t="e">
        <f aca="false">IF(OR(#REF!&gt;2,#REF!&lt;-2),"",#REF!)</f>
        <v>#REF!</v>
      </c>
      <c r="DK9" s="7" t="e">
        <f aca="false">IF(OR(#REF!&gt;2,#REF!&lt;-2),"",#REF!)</f>
        <v>#REF!</v>
      </c>
      <c r="DL9" s="7" t="e">
        <f aca="false">IF(OR(#REF!&gt;2,#REF!&lt;-2),"",#REF!)</f>
        <v>#REF!</v>
      </c>
      <c r="DM9" s="7" t="e">
        <f aca="false">IF(OR(#REF!&gt;2,#REF!&lt;-2),"",#REF!)</f>
        <v>#REF!</v>
      </c>
      <c r="DN9" s="7" t="e">
        <f aca="false">IF(OR(#REF!&gt;2,#REF!&lt;-2),"",#REF!)</f>
        <v>#REF!</v>
      </c>
      <c r="DO9" s="7" t="e">
        <f aca="false">IF(OR(#REF!&gt;2,#REF!&lt;-2),"",#REF!)</f>
        <v>#REF!</v>
      </c>
      <c r="DP9" s="7" t="e">
        <f aca="false">IF(OR(#REF!&gt;2,#REF!&lt;-2),"",#REF!)</f>
        <v>#REF!</v>
      </c>
      <c r="DQ9" s="7" t="e">
        <f aca="false">IF(OR(#REF!&gt;2,#REF!&lt;-2),"",#REF!)</f>
        <v>#REF!</v>
      </c>
      <c r="DR9" s="7" t="e">
        <f aca="false">IF(OR(#REF!&gt;2,#REF!&lt;-2),"",#REF!)</f>
        <v>#REF!</v>
      </c>
      <c r="DS9" s="7" t="e">
        <f aca="false">IF(OR(#REF!&gt;2,#REF!&lt;-2),"",#REF!)</f>
        <v>#REF!</v>
      </c>
      <c r="DT9" s="7" t="e">
        <f aca="false">IF(OR(#REF!&gt;2,#REF!&lt;-2),"",#REF!)</f>
        <v>#REF!</v>
      </c>
      <c r="DU9" s="7" t="e">
        <f aca="false">IF(OR(#REF!&gt;2,#REF!&lt;-2),"",#REF!)</f>
        <v>#REF!</v>
      </c>
      <c r="DV9" s="7" t="e">
        <f aca="false">IF(OR(#REF!&gt;2,#REF!&lt;-2),"",#REF!)</f>
        <v>#REF!</v>
      </c>
      <c r="DW9" s="7" t="e">
        <f aca="false">IF(OR(#REF!&gt;2,#REF!&lt;-2),"",#REF!)</f>
        <v>#REF!</v>
      </c>
      <c r="DX9" s="7" t="e">
        <f aca="false">IF(OR(#REF!&gt;2,#REF!&lt;-2),"",#REF!)</f>
        <v>#REF!</v>
      </c>
      <c r="DY9" s="7" t="e">
        <f aca="false">IF(OR(#REF!&gt;2,#REF!&lt;-2),"",#REF!)</f>
        <v>#REF!</v>
      </c>
      <c r="DZ9" s="7" t="e">
        <f aca="false">IF(OR(#REF!&gt;2,#REF!&lt;-2),"",#REF!)</f>
        <v>#REF!</v>
      </c>
      <c r="EA9" s="7" t="e">
        <f aca="false">IF(OR(#REF!&gt;2,#REF!&lt;-2),"",#REF!)</f>
        <v>#REF!</v>
      </c>
      <c r="EB9" s="7" t="e">
        <f aca="false">IF(OR(#REF!&gt;2,#REF!&lt;-2),"",#REF!)</f>
        <v>#REF!</v>
      </c>
      <c r="EC9" s="7" t="e">
        <f aca="false">IF(OR(#REF!&gt;2,#REF!&lt;-2),"",#REF!)</f>
        <v>#REF!</v>
      </c>
      <c r="ED9" s="7" t="e">
        <f aca="false">IF(OR(#REF!&gt;2,#REF!&lt;-2),"",#REF!)</f>
        <v>#REF!</v>
      </c>
      <c r="EE9" s="7" t="e">
        <f aca="false">IF(OR(#REF!&gt;2,#REF!&lt;-2),"",#REF!)</f>
        <v>#REF!</v>
      </c>
      <c r="EF9" s="7" t="e">
        <f aca="false">IF(OR(#REF!&gt;2,#REF!&lt;-2),"",#REF!)</f>
        <v>#REF!</v>
      </c>
      <c r="EG9" s="7" t="e">
        <f aca="false">IF(OR(#REF!&gt;2,#REF!&lt;-2),"",#REF!)</f>
        <v>#REF!</v>
      </c>
      <c r="EH9" s="7" t="e">
        <f aca="false">IF(OR(#REF!&gt;2,#REF!&lt;-2),"",#REF!)</f>
        <v>#REF!</v>
      </c>
      <c r="EI9" s="7" t="e">
        <f aca="false">IF(OR(#REF!&gt;2,#REF!&lt;-2),"",#REF!)</f>
        <v>#REF!</v>
      </c>
      <c r="EJ9" s="7" t="e">
        <f aca="false">IF(OR(#REF!&gt;2,#REF!&lt;-2),"",#REF!)</f>
        <v>#REF!</v>
      </c>
      <c r="EK9" s="7" t="e">
        <f aca="false">IF(OR(#REF!&gt;2,#REF!&lt;-2),"",#REF!)</f>
        <v>#REF!</v>
      </c>
      <c r="EL9" s="7" t="e">
        <f aca="false">IF(OR(#REF!&gt;2,#REF!&lt;-2),"",#REF!)</f>
        <v>#REF!</v>
      </c>
      <c r="EM9" s="7" t="e">
        <f aca="false">IF(OR(#REF!&gt;2,#REF!&lt;-2),"",#REF!)</f>
        <v>#REF!</v>
      </c>
      <c r="EN9" s="7" t="e">
        <f aca="false">IF(OR(#REF!&gt;2,#REF!&lt;-2),"",#REF!)</f>
        <v>#REF!</v>
      </c>
      <c r="EO9" s="7" t="e">
        <f aca="false">IF(OR(#REF!&gt;2,#REF!&lt;-2),"",#REF!)</f>
        <v>#REF!</v>
      </c>
      <c r="EP9" s="7" t="e">
        <f aca="false">IF(OR(#REF!&gt;2,#REF!&lt;-2),"",#REF!)</f>
        <v>#REF!</v>
      </c>
      <c r="EQ9" s="7" t="e">
        <f aca="false">IF(OR(#REF!&gt;2,#REF!&lt;-2),"",#REF!)</f>
        <v>#REF!</v>
      </c>
      <c r="ER9" s="7" t="e">
        <f aca="false">IF(OR(#REF!&gt;2,#REF!&lt;-2),"",#REF!)</f>
        <v>#REF!</v>
      </c>
      <c r="ES9" s="7" t="e">
        <f aca="false">IF(OR(#REF!&gt;2,#REF!&lt;-2),"",#REF!)</f>
        <v>#REF!</v>
      </c>
      <c r="ET9" s="7" t="e">
        <f aca="false">IF(OR(#REF!&gt;2,#REF!&lt;-2),"",#REF!)</f>
        <v>#REF!</v>
      </c>
      <c r="EU9" s="7" t="e">
        <f aca="false">IF(OR(#REF!&gt;2,#REF!&lt;-2),"",#REF!)</f>
        <v>#REF!</v>
      </c>
      <c r="EV9" s="7" t="e">
        <f aca="false">IF(OR(#REF!&gt;2,#REF!&lt;-2),"",#REF!)</f>
        <v>#REF!</v>
      </c>
      <c r="EW9" s="7" t="e">
        <f aca="false">IF(OR(#REF!&gt;2,#REF!&lt;-2),"",#REF!)</f>
        <v>#REF!</v>
      </c>
      <c r="EX9" s="7" t="e">
        <f aca="false">IF(OR(#REF!&gt;2,#REF!&lt;-2),"",#REF!)</f>
        <v>#REF!</v>
      </c>
      <c r="EY9" s="7" t="e">
        <f aca="false">IF(OR(#REF!&gt;2,#REF!&lt;-2),"",#REF!)</f>
        <v>#REF!</v>
      </c>
      <c r="EZ9" s="7" t="e">
        <f aca="false">IF(OR(#REF!&gt;2,#REF!&lt;-2),"",#REF!)</f>
        <v>#REF!</v>
      </c>
      <c r="FA9" s="7" t="e">
        <f aca="false">IF(OR(#REF!&gt;2,#REF!&lt;-2),"",#REF!)</f>
        <v>#REF!</v>
      </c>
      <c r="FB9" s="7" t="e">
        <f aca="false">IF(OR(#REF!&gt;2,#REF!&lt;-2),"",#REF!)</f>
        <v>#REF!</v>
      </c>
      <c r="FC9" s="7" t="e">
        <f aca="false">IF(OR(#REF!&gt;2,#REF!&lt;-2),"",#REF!)</f>
        <v>#REF!</v>
      </c>
      <c r="FD9" s="7" t="e">
        <f aca="false">IF(OR(#REF!&gt;2,#REF!&lt;-2),"",#REF!)</f>
        <v>#REF!</v>
      </c>
      <c r="FE9" s="7" t="e">
        <f aca="false">IF(OR(#REF!&gt;2,#REF!&lt;-2),"",#REF!)</f>
        <v>#REF!</v>
      </c>
      <c r="FF9" s="7" t="e">
        <f aca="false">IF(OR(#REF!&gt;2,#REF!&lt;-2),"",#REF!)</f>
        <v>#REF!</v>
      </c>
      <c r="FG9" s="7" t="e">
        <f aca="false">IF(OR(#REF!&gt;2,#REF!&lt;-2),"",#REF!)</f>
        <v>#REF!</v>
      </c>
      <c r="FH9" s="7" t="e">
        <f aca="false">IF(OR(#REF!&gt;2,#REF!&lt;-2),"",#REF!)</f>
        <v>#REF!</v>
      </c>
      <c r="FI9" s="7" t="e">
        <f aca="false">IF(OR(#REF!&gt;2,#REF!&lt;-2),"",#REF!)</f>
        <v>#REF!</v>
      </c>
      <c r="FJ9" s="7" t="e">
        <f aca="false">IF(OR(#REF!&gt;2,#REF!&lt;-2),"",#REF!)</f>
        <v>#REF!</v>
      </c>
      <c r="FK9" s="7" t="e">
        <f aca="false">IF(OR(#REF!&gt;2,#REF!&lt;-2),"",#REF!)</f>
        <v>#REF!</v>
      </c>
      <c r="FL9" s="7" t="e">
        <f aca="false">IF(OR(#REF!&gt;2,#REF!&lt;-2),"",#REF!)</f>
        <v>#REF!</v>
      </c>
      <c r="FM9" s="7" t="e">
        <f aca="false">IF(OR(#REF!&gt;2,#REF!&lt;-2),"",#REF!)</f>
        <v>#REF!</v>
      </c>
      <c r="FN9" s="7" t="e">
        <f aca="false">IF(OR(#REF!&gt;2,#REF!&lt;-2),"",#REF!)</f>
        <v>#REF!</v>
      </c>
      <c r="FO9" s="7" t="e">
        <f aca="false">IF(OR(#REF!&gt;2,#REF!&lt;-2),"",#REF!)</f>
        <v>#REF!</v>
      </c>
      <c r="FP9" s="7" t="e">
        <f aca="false">IF(OR(#REF!&gt;2,#REF!&lt;-2),"",#REF!)</f>
        <v>#REF!</v>
      </c>
      <c r="FQ9" s="7" t="e">
        <f aca="false">IF(OR(#REF!&gt;2,#REF!&lt;-2),"",#REF!)</f>
        <v>#REF!</v>
      </c>
      <c r="FR9" s="7" t="e">
        <f aca="false">IF(OR(#REF!&gt;2,#REF!&lt;-2),"",#REF!)</f>
        <v>#REF!</v>
      </c>
      <c r="FS9" s="7" t="e">
        <f aca="false">IF(OR(#REF!&gt;2,#REF!&lt;-2),"",#REF!)</f>
        <v>#REF!</v>
      </c>
      <c r="FT9" s="7" t="e">
        <f aca="false">IF(OR(#REF!&gt;2,#REF!&lt;-2),"",#REF!)</f>
        <v>#REF!</v>
      </c>
      <c r="FU9" s="7" t="e">
        <f aca="false">IF(OR(#REF!&gt;2,#REF!&lt;-2),"",#REF!)</f>
        <v>#REF!</v>
      </c>
      <c r="FV9" s="7" t="e">
        <f aca="false">IF(OR(#REF!&gt;2,#REF!&lt;-2),"",#REF!)</f>
        <v>#REF!</v>
      </c>
      <c r="FW9" s="7" t="e">
        <f aca="false">IF(OR(#REF!&gt;2,#REF!&lt;-2),"",#REF!)</f>
        <v>#REF!</v>
      </c>
      <c r="FX9" s="7" t="e">
        <f aca="false">IF(OR(#REF!&gt;2,#REF!&lt;-2),"",#REF!)</f>
        <v>#REF!</v>
      </c>
      <c r="FY9" s="7" t="e">
        <f aca="false">IF(OR(#REF!&gt;2,#REF!&lt;-2),"",#REF!)</f>
        <v>#REF!</v>
      </c>
      <c r="FZ9" s="7" t="e">
        <f aca="false">IF(OR(#REF!&gt;2,#REF!&lt;-2),"",#REF!)</f>
        <v>#REF!</v>
      </c>
      <c r="GA9" s="7" t="e">
        <f aca="false">IF(OR(#REF!&gt;2,#REF!&lt;-2),"",#REF!)</f>
        <v>#REF!</v>
      </c>
      <c r="GB9" s="7" t="e">
        <f aca="false">IF(OR(#REF!&gt;2,#REF!&lt;-2),"",#REF!)</f>
        <v>#REF!</v>
      </c>
      <c r="GC9" s="7" t="e">
        <f aca="false">IF(OR(#REF!&gt;2,#REF!&lt;-2),"",#REF!)</f>
        <v>#REF!</v>
      </c>
      <c r="GD9" s="7" t="e">
        <f aca="false">IF(OR(#REF!&gt;2,#REF!&lt;-2),"",#REF!)</f>
        <v>#REF!</v>
      </c>
      <c r="GE9" s="7" t="e">
        <f aca="false">IF(OR(#REF!&gt;2,#REF!&lt;-2),"",#REF!)</f>
        <v>#REF!</v>
      </c>
      <c r="GF9" s="7" t="e">
        <f aca="false">IF(OR(#REF!&gt;2,#REF!&lt;-2),"",#REF!)</f>
        <v>#REF!</v>
      </c>
      <c r="GG9" s="7" t="e">
        <f aca="false">IF(OR(#REF!&gt;2,#REF!&lt;-2),"",#REF!)</f>
        <v>#REF!</v>
      </c>
      <c r="GH9" s="7" t="e">
        <f aca="false">IF(OR(#REF!&gt;2,#REF!&lt;-2),"",#REF!)</f>
        <v>#REF!</v>
      </c>
      <c r="GI9" s="7" t="e">
        <f aca="false">IF(OR(#REF!&gt;2,#REF!&lt;-2),"",#REF!)</f>
        <v>#REF!</v>
      </c>
      <c r="GJ9" s="7" t="e">
        <f aca="false">IF(OR(#REF!&gt;2,#REF!&lt;-2),"",#REF!)</f>
        <v>#REF!</v>
      </c>
      <c r="GK9" s="7" t="e">
        <f aca="false">IF(OR(#REF!&gt;2,#REF!&lt;-2),"",#REF!)</f>
        <v>#REF!</v>
      </c>
      <c r="GL9" s="7" t="e">
        <f aca="false">IF(OR(#REF!&gt;2,#REF!&lt;-2),"",#REF!)</f>
        <v>#REF!</v>
      </c>
      <c r="GM9" s="7" t="e">
        <f aca="false">IF(OR(#REF!&gt;2,#REF!&lt;-2),"",#REF!)</f>
        <v>#REF!</v>
      </c>
      <c r="GN9" s="7" t="e">
        <f aca="false">IF(OR(#REF!&gt;2,#REF!&lt;-2),"",#REF!)</f>
        <v>#REF!</v>
      </c>
      <c r="GO9" s="7" t="e">
        <f aca="false">IF(OR(#REF!&gt;2,#REF!&lt;-2),"",#REF!)</f>
        <v>#REF!</v>
      </c>
      <c r="GP9" s="7" t="e">
        <f aca="false">IF(OR(#REF!&gt;2,#REF!&lt;-2),"",#REF!)</f>
        <v>#REF!</v>
      </c>
      <c r="GQ9" s="7" t="e">
        <f aca="false">IF(OR(#REF!&gt;2,#REF!&lt;-2),"",#REF!)</f>
        <v>#REF!</v>
      </c>
      <c r="GR9" s="7" t="e">
        <f aca="false">IF(OR(#REF!&gt;2,#REF!&lt;-2),"",#REF!)</f>
        <v>#REF!</v>
      </c>
      <c r="GS9" s="7" t="e">
        <f aca="false">IF(OR(#REF!&gt;2,#REF!&lt;-2),"",#REF!)</f>
        <v>#REF!</v>
      </c>
      <c r="GT9" s="7" t="e">
        <f aca="false">IF(OR(#REF!&gt;2,#REF!&lt;-2),"",#REF!)</f>
        <v>#REF!</v>
      </c>
      <c r="GU9" s="7" t="e">
        <f aca="false">IF(OR(#REF!&gt;2,#REF!&lt;-2),"",#REF!)</f>
        <v>#REF!</v>
      </c>
      <c r="GV9" s="7" t="e">
        <f aca="false">IF(OR(#REF!&gt;2,#REF!&lt;-2),"",#REF!)</f>
        <v>#REF!</v>
      </c>
      <c r="GW9" s="7" t="e">
        <f aca="false">IF(OR(#REF!&gt;2,#REF!&lt;-2),"",#REF!)</f>
        <v>#REF!</v>
      </c>
      <c r="GX9" s="7" t="e">
        <f aca="false">IF(OR(#REF!&gt;2,#REF!&lt;-2),"",#REF!)</f>
        <v>#REF!</v>
      </c>
      <c r="GY9" s="7" t="e">
        <f aca="false">IF(OR(#REF!&gt;2,#REF!&lt;-2),"",#REF!)</f>
        <v>#REF!</v>
      </c>
      <c r="GZ9" s="7" t="e">
        <f aca="false">IF(OR(#REF!&gt;2,#REF!&lt;-2),"",#REF!)</f>
        <v>#REF!</v>
      </c>
      <c r="HA9" s="7" t="e">
        <f aca="false">IF(OR(#REF!&gt;2,#REF!&lt;-2),"",#REF!)</f>
        <v>#REF!</v>
      </c>
      <c r="HB9" s="7" t="e">
        <f aca="false">IF(OR(#REF!&gt;2,#REF!&lt;-2),"",#REF!)</f>
        <v>#REF!</v>
      </c>
      <c r="HC9" s="7" t="e">
        <f aca="false">IF(OR(#REF!&gt;2,#REF!&lt;-2),"",#REF!)</f>
        <v>#REF!</v>
      </c>
      <c r="HD9" s="7" t="e">
        <f aca="false">IF(OR(#REF!&gt;2,#REF!&lt;-2),"",#REF!)</f>
        <v>#REF!</v>
      </c>
      <c r="HE9" s="7" t="e">
        <f aca="false">IF(OR(#REF!&gt;2,#REF!&lt;-2),"",#REF!)</f>
        <v>#REF!</v>
      </c>
      <c r="HF9" s="7" t="e">
        <f aca="false">IF(OR(#REF!&gt;2,#REF!&lt;-2),"",#REF!)</f>
        <v>#REF!</v>
      </c>
      <c r="HG9" s="7" t="e">
        <f aca="false">IF(OR(#REF!&gt;2,#REF!&lt;-2),"",#REF!)</f>
        <v>#REF!</v>
      </c>
      <c r="HH9" s="7" t="e">
        <f aca="false">IF(OR(#REF!&gt;2,#REF!&lt;-2),"",#REF!)</f>
        <v>#REF!</v>
      </c>
      <c r="HI9" s="7" t="e">
        <f aca="false">IF(OR(#REF!&gt;2,#REF!&lt;-2),"",#REF!)</f>
        <v>#REF!</v>
      </c>
      <c r="HJ9" s="7" t="e">
        <f aca="false">IF(OR(#REF!&gt;2,#REF!&lt;-2),"",#REF!)</f>
        <v>#REF!</v>
      </c>
      <c r="HK9" s="7" t="e">
        <f aca="false">IF(OR(#REF!&gt;2,#REF!&lt;-2),"",#REF!)</f>
        <v>#REF!</v>
      </c>
      <c r="HL9" s="7" t="e">
        <f aca="false">IF(OR(#REF!&gt;2,#REF!&lt;-2),"",#REF!)</f>
        <v>#REF!</v>
      </c>
      <c r="HM9" s="7" t="e">
        <f aca="false">IF(OR(#REF!&gt;2,#REF!&lt;-2),"",#REF!)</f>
        <v>#REF!</v>
      </c>
      <c r="HN9" s="7" t="e">
        <f aca="false">IF(OR(#REF!&gt;2,#REF!&lt;-2),"",#REF!)</f>
        <v>#REF!</v>
      </c>
      <c r="HO9" s="7" t="e">
        <f aca="false">IF(OR(#REF!&gt;2,#REF!&lt;-2),"",#REF!)</f>
        <v>#REF!</v>
      </c>
      <c r="HP9" s="7" t="e">
        <f aca="false">IF(OR(#REF!&gt;2,#REF!&lt;-2),"",#REF!)</f>
        <v>#REF!</v>
      </c>
      <c r="HQ9" s="7" t="e">
        <f aca="false">IF(OR(#REF!&gt;2,#REF!&lt;-2),"",#REF!)</f>
        <v>#REF!</v>
      </c>
      <c r="HR9" s="7" t="e">
        <f aca="false">IF(OR(#REF!&gt;2,#REF!&lt;-2),"",#REF!)</f>
        <v>#REF!</v>
      </c>
      <c r="HS9" s="7" t="e">
        <f aca="false">IF(OR(#REF!&gt;2,#REF!&lt;-2),"",#REF!)</f>
        <v>#REF!</v>
      </c>
      <c r="HT9" s="7" t="e">
        <f aca="false">IF(OR(#REF!&gt;2,#REF!&lt;-2),"",#REF!)</f>
        <v>#REF!</v>
      </c>
      <c r="HU9" s="7" t="e">
        <f aca="false">IF(OR(#REF!&gt;2,#REF!&lt;-2),"",#REF!)</f>
        <v>#REF!</v>
      </c>
      <c r="HV9" s="7" t="e">
        <f aca="false">IF(OR(#REF!&gt;2,#REF!&lt;-2),"",#REF!)</f>
        <v>#REF!</v>
      </c>
      <c r="HW9" s="7" t="e">
        <f aca="false">IF(OR(#REF!&gt;2,#REF!&lt;-2),"",#REF!)</f>
        <v>#REF!</v>
      </c>
      <c r="HX9" s="7" t="e">
        <f aca="false">IF(OR(#REF!&gt;2,#REF!&lt;-2),"",#REF!)</f>
        <v>#REF!</v>
      </c>
      <c r="HY9" s="7" t="e">
        <f aca="false">IF(OR(#REF!&gt;2,#REF!&lt;-2),"",#REF!)</f>
        <v>#REF!</v>
      </c>
      <c r="HZ9" s="7" t="e">
        <f aca="false">IF(OR(#REF!&gt;2,#REF!&lt;-2),"",#REF!)</f>
        <v>#REF!</v>
      </c>
      <c r="IA9" s="7" t="e">
        <f aca="false">IF(OR(#REF!&gt;2,#REF!&lt;-2),"",#REF!)</f>
        <v>#REF!</v>
      </c>
      <c r="IB9" s="7" t="e">
        <f aca="false">IF(OR(#REF!&gt;2,#REF!&lt;-2),"",#REF!)</f>
        <v>#REF!</v>
      </c>
      <c r="IC9" s="7" t="e">
        <f aca="false">IF(OR(#REF!&gt;2,#REF!&lt;-2),"",#REF!)</f>
        <v>#REF!</v>
      </c>
      <c r="ID9" s="7" t="e">
        <f aca="false">IF(OR(#REF!&gt;2,#REF!&lt;-2),"",#REF!)</f>
        <v>#REF!</v>
      </c>
      <c r="IE9" s="7" t="e">
        <f aca="false">IF(OR(#REF!&gt;2,#REF!&lt;-2),"",#REF!)</f>
        <v>#REF!</v>
      </c>
      <c r="IF9" s="7" t="e">
        <f aca="false">IF(OR(#REF!&gt;2,#REF!&lt;-2),"",#REF!)</f>
        <v>#REF!</v>
      </c>
      <c r="IG9" s="7" t="e">
        <f aca="false">IF(OR(#REF!&gt;2,#REF!&lt;-2),"",#REF!)</f>
        <v>#REF!</v>
      </c>
      <c r="IH9" s="7" t="e">
        <f aca="false">IF(OR(#REF!&gt;2,#REF!&lt;-2),"",#REF!)</f>
        <v>#REF!</v>
      </c>
      <c r="II9" s="7" t="e">
        <f aca="false">IF(OR(#REF!&gt;2,#REF!&lt;-2),"",#REF!)</f>
        <v>#REF!</v>
      </c>
      <c r="IJ9" s="7" t="e">
        <f aca="false">IF(OR(#REF!&gt;2,#REF!&lt;-2),"",#REF!)</f>
        <v>#REF!</v>
      </c>
      <c r="IK9" s="7" t="e">
        <f aca="false">IF(OR(#REF!&gt;2,#REF!&lt;-2),"",#REF!)</f>
        <v>#REF!</v>
      </c>
      <c r="IL9" s="7" t="e">
        <f aca="false">IF(OR(#REF!&gt;2,#REF!&lt;-2),"",#REF!)</f>
        <v>#REF!</v>
      </c>
      <c r="IM9" s="7" t="e">
        <f aca="false">IF(OR(#REF!&gt;2,#REF!&lt;-2),"",#REF!)</f>
        <v>#REF!</v>
      </c>
      <c r="IN9" s="7" t="e">
        <f aca="false">IF(OR(#REF!&gt;2,#REF!&lt;-2),"",#REF!)</f>
        <v>#REF!</v>
      </c>
      <c r="IO9" s="7" t="e">
        <f aca="false">IF(OR(#REF!&gt;2,#REF!&lt;-2),"",#REF!)</f>
        <v>#REF!</v>
      </c>
      <c r="IP9" s="7" t="e">
        <f aca="false">IF(OR(#REF!&gt;2,#REF!&lt;-2),"",#REF!)</f>
        <v>#REF!</v>
      </c>
      <c r="IQ9" s="7" t="e">
        <f aca="false">IF(OR(#REF!&gt;2,#REF!&lt;-2),"",#REF!)</f>
        <v>#REF!</v>
      </c>
      <c r="IR9" s="7" t="e">
        <f aca="false">IF(OR(#REF!&gt;2,#REF!&lt;-2),"",#REF!)</f>
        <v>#REF!</v>
      </c>
      <c r="IS9" s="7" t="e">
        <f aca="false">IF(OR(#REF!&gt;2,#REF!&lt;-2),"",#REF!)</f>
        <v>#REF!</v>
      </c>
      <c r="IT9" s="7" t="e">
        <f aca="false">IF(OR(#REF!&gt;2,#REF!&lt;-2),"",#REF!)</f>
        <v>#REF!</v>
      </c>
      <c r="IU9" s="7" t="e">
        <f aca="false">IF(OR(#REF!&gt;2,#REF!&lt;-2),"",#REF!)</f>
        <v>#REF!</v>
      </c>
      <c r="IV9" s="7" t="e">
        <f aca="false">IF(OR(#REF!&gt;2,#REF!&lt;-2),"",#REF!)</f>
        <v>#REF!</v>
      </c>
      <c r="IW9" s="7" t="e">
        <f aca="false">IF(OR(#REF!&gt;2,#REF!&lt;-2),"",#REF!)</f>
        <v>#REF!</v>
      </c>
      <c r="IX9" s="7" t="e">
        <f aca="false">IF(OR(#REF!&gt;2,#REF!&lt;-2),"",#REF!)</f>
        <v>#REF!</v>
      </c>
      <c r="IY9" s="7" t="e">
        <f aca="false">IF(OR(#REF!&gt;2,#REF!&lt;-2),"",#REF!)</f>
        <v>#REF!</v>
      </c>
      <c r="IZ9" s="7" t="e">
        <f aca="false">IF(OR(#REF!&gt;2,#REF!&lt;-2),"",#REF!)</f>
        <v>#REF!</v>
      </c>
      <c r="JA9" s="7" t="e">
        <f aca="false">IF(OR(#REF!&gt;2,#REF!&lt;-2),"",#REF!)</f>
        <v>#REF!</v>
      </c>
      <c r="JB9" s="7" t="e">
        <f aca="false">IF(OR(#REF!&gt;2,#REF!&lt;-2),"",#REF!)</f>
        <v>#REF!</v>
      </c>
      <c r="JC9" s="7" t="e">
        <f aca="false">IF(OR(#REF!&gt;2,#REF!&lt;-2),"",#REF!)</f>
        <v>#REF!</v>
      </c>
      <c r="JD9" s="7" t="e">
        <f aca="false">IF(OR(#REF!&gt;2,#REF!&lt;-2),"",#REF!)</f>
        <v>#REF!</v>
      </c>
      <c r="JE9" s="7" t="e">
        <f aca="false">IF(OR(#REF!&gt;2,#REF!&lt;-2),"",#REF!)</f>
        <v>#REF!</v>
      </c>
      <c r="JF9" s="7" t="e">
        <f aca="false">IF(OR(#REF!&gt;2,#REF!&lt;-2),"",#REF!)</f>
        <v>#REF!</v>
      </c>
      <c r="JG9" s="7" t="e">
        <f aca="false">IF(OR(#REF!&gt;2,#REF!&lt;-2),"",#REF!)</f>
        <v>#REF!</v>
      </c>
      <c r="JH9" s="7" t="e">
        <f aca="false">IF(OR(#REF!&gt;2,#REF!&lt;-2),"",#REF!)</f>
        <v>#REF!</v>
      </c>
      <c r="JI9" s="7" t="e">
        <f aca="false">IF(OR(#REF!&gt;2,#REF!&lt;-2),"",#REF!)</f>
        <v>#REF!</v>
      </c>
      <c r="JJ9" s="7" t="e">
        <f aca="false">IF(OR(#REF!&gt;2,#REF!&lt;-2),"",#REF!)</f>
        <v>#REF!</v>
      </c>
      <c r="JK9" s="7" t="e">
        <f aca="false">IF(OR(#REF!&gt;2,#REF!&lt;-2),"",#REF!)</f>
        <v>#REF!</v>
      </c>
      <c r="JL9" s="7" t="e">
        <f aca="false">IF(OR(#REF!&gt;2,#REF!&lt;-2),"",#REF!)</f>
        <v>#REF!</v>
      </c>
      <c r="JM9" s="7" t="e">
        <f aca="false">IF(OR(#REF!&gt;2,#REF!&lt;-2),"",#REF!)</f>
        <v>#REF!</v>
      </c>
      <c r="JN9" s="7" t="e">
        <f aca="false">IF(OR(#REF!&gt;2,#REF!&lt;-2),"",#REF!)</f>
        <v>#REF!</v>
      </c>
      <c r="JO9" s="7" t="e">
        <f aca="false">IF(OR(#REF!&gt;2,#REF!&lt;-2),"",#REF!)</f>
        <v>#REF!</v>
      </c>
      <c r="JP9" s="7" t="e">
        <f aca="false">IF(OR(#REF!&gt;2,#REF!&lt;-2),"",#REF!)</f>
        <v>#REF!</v>
      </c>
      <c r="JQ9" s="7" t="e">
        <f aca="false">IF(OR(#REF!&gt;2,#REF!&lt;-2),"",#REF!)</f>
        <v>#REF!</v>
      </c>
      <c r="JR9" s="7" t="e">
        <f aca="false">IF(OR(#REF!&gt;2,#REF!&lt;-2),"",#REF!)</f>
        <v>#REF!</v>
      </c>
      <c r="JS9" s="7" t="e">
        <f aca="false">IF(OR(#REF!&gt;2,#REF!&lt;-2),"",#REF!)</f>
        <v>#REF!</v>
      </c>
      <c r="JT9" s="7" t="e">
        <f aca="false">IF(OR(#REF!&gt;2,#REF!&lt;-2),"",#REF!)</f>
        <v>#REF!</v>
      </c>
      <c r="JU9" s="7" t="e">
        <f aca="false">IF(OR(#REF!&gt;2,#REF!&lt;-2),"",#REF!)</f>
        <v>#REF!</v>
      </c>
      <c r="JV9" s="7" t="e">
        <f aca="false">IF(OR(#REF!&gt;2,#REF!&lt;-2),"",#REF!)</f>
        <v>#REF!</v>
      </c>
      <c r="JW9" s="7" t="e">
        <f aca="false">IF(OR(#REF!&gt;2,#REF!&lt;-2),"",#REF!)</f>
        <v>#REF!</v>
      </c>
      <c r="JX9" s="7" t="e">
        <f aca="false">IF(OR(#REF!&gt;2,#REF!&lt;-2),"",#REF!)</f>
        <v>#REF!</v>
      </c>
      <c r="JY9" s="7" t="e">
        <f aca="false">IF(OR(#REF!&gt;2,#REF!&lt;-2),"",#REF!)</f>
        <v>#REF!</v>
      </c>
      <c r="JZ9" s="7" t="e">
        <f aca="false">IF(OR(#REF!&gt;2,#REF!&lt;-2),"",#REF!)</f>
        <v>#REF!</v>
      </c>
      <c r="KA9" s="7" t="e">
        <f aca="false">IF(OR(#REF!&gt;2,#REF!&lt;-2),"",#REF!)</f>
        <v>#REF!</v>
      </c>
      <c r="KB9" s="7" t="e">
        <f aca="false">IF(OR(#REF!&gt;2,#REF!&lt;-2),"",#REF!)</f>
        <v>#REF!</v>
      </c>
      <c r="KC9" s="7" t="e">
        <f aca="false">IF(OR(#REF!&gt;2,#REF!&lt;-2),"",#REF!)</f>
        <v>#REF!</v>
      </c>
      <c r="KD9" s="7" t="e">
        <f aca="false">IF(OR(#REF!&gt;2,#REF!&lt;-2),"",#REF!)</f>
        <v>#REF!</v>
      </c>
      <c r="KE9" s="7" t="e">
        <f aca="false">IF(OR(#REF!&gt;2,#REF!&lt;-2),"",#REF!)</f>
        <v>#REF!</v>
      </c>
      <c r="KF9" s="7" t="e">
        <f aca="false">IF(OR(#REF!&gt;2,#REF!&lt;-2),"",#REF!)</f>
        <v>#REF!</v>
      </c>
      <c r="KG9" s="7" t="e">
        <f aca="false">IF(OR(#REF!&gt;2,#REF!&lt;-2),"",#REF!)</f>
        <v>#REF!</v>
      </c>
      <c r="KH9" s="7" t="e">
        <f aca="false">IF(OR(#REF!&gt;2,#REF!&lt;-2),"",#REF!)</f>
        <v>#REF!</v>
      </c>
      <c r="KI9" s="7" t="e">
        <f aca="false">IF(OR(#REF!&gt;2,#REF!&lt;-2),"",#REF!)</f>
        <v>#REF!</v>
      </c>
      <c r="KJ9" s="7" t="e">
        <f aca="false">IF(OR(#REF!&gt;2,#REF!&lt;-2),"",#REF!)</f>
        <v>#REF!</v>
      </c>
      <c r="KK9" s="7" t="e">
        <f aca="false">IF(OR(#REF!&gt;2,#REF!&lt;-2),"",#REF!)</f>
        <v>#REF!</v>
      </c>
      <c r="KL9" s="7" t="e">
        <f aca="false">IF(OR(#REF!&gt;2,#REF!&lt;-2),"",#REF!)</f>
        <v>#REF!</v>
      </c>
      <c r="KM9" s="7" t="e">
        <f aca="false">IF(OR(#REF!&gt;2,#REF!&lt;-2),"",#REF!)</f>
        <v>#REF!</v>
      </c>
      <c r="KN9" s="7" t="e">
        <f aca="false">IF(OR(#REF!&gt;2,#REF!&lt;-2),"",#REF!)</f>
        <v>#REF!</v>
      </c>
      <c r="KO9" s="7" t="e">
        <f aca="false">IF(OR(#REF!&gt;2,#REF!&lt;-2),"",#REF!)</f>
        <v>#REF!</v>
      </c>
      <c r="KP9" s="7" t="e">
        <f aca="false">IF(OR(#REF!&gt;2,#REF!&lt;-2),"",#REF!)</f>
        <v>#REF!</v>
      </c>
      <c r="KQ9" s="7" t="e">
        <f aca="false">IF(OR(#REF!&gt;2,#REF!&lt;-2),"",#REF!)</f>
        <v>#REF!</v>
      </c>
      <c r="KR9" s="7" t="e">
        <f aca="false">IF(OR(#REF!&gt;2,#REF!&lt;-2),"",#REF!)</f>
        <v>#REF!</v>
      </c>
      <c r="KS9" s="7" t="e">
        <f aca="false">IF(OR(#REF!&gt;2,#REF!&lt;-2),"",#REF!)</f>
        <v>#REF!</v>
      </c>
      <c r="KT9" s="7" t="e">
        <f aca="false">IF(OR(#REF!&gt;2,#REF!&lt;-2),"",#REF!)</f>
        <v>#REF!</v>
      </c>
      <c r="KU9" s="7" t="e">
        <f aca="false">IF(OR(#REF!&gt;2,#REF!&lt;-2),"",#REF!)</f>
        <v>#REF!</v>
      </c>
      <c r="KV9" s="7" t="e">
        <f aca="false">IF(OR(#REF!&gt;2,#REF!&lt;-2),"",#REF!)</f>
        <v>#REF!</v>
      </c>
      <c r="KW9" s="7" t="e">
        <f aca="false">IF(OR(#REF!&gt;2,#REF!&lt;-2),"",#REF!)</f>
        <v>#REF!</v>
      </c>
      <c r="KX9" s="7" t="e">
        <f aca="false">IF(OR(#REF!&gt;2,#REF!&lt;-2),"",#REF!)</f>
        <v>#REF!</v>
      </c>
      <c r="KY9" s="7" t="e">
        <f aca="false">IF(OR(#REF!&gt;2,#REF!&lt;-2),"",#REF!)</f>
        <v>#REF!</v>
      </c>
      <c r="KZ9" s="7" t="e">
        <f aca="false">IF(OR(#REF!&gt;2,#REF!&lt;-2),"",#REF!)</f>
        <v>#REF!</v>
      </c>
      <c r="LA9" s="7" t="e">
        <f aca="false">IF(OR(#REF!&gt;2,#REF!&lt;-2),"",#REF!)</f>
        <v>#REF!</v>
      </c>
      <c r="LB9" s="7" t="e">
        <f aca="false">IF(OR(#REF!&gt;2,#REF!&lt;-2),"",#REF!)</f>
        <v>#REF!</v>
      </c>
      <c r="LC9" s="7" t="e">
        <f aca="false">IF(OR(#REF!&gt;2,#REF!&lt;-2),"",#REF!)</f>
        <v>#REF!</v>
      </c>
      <c r="LD9" s="7" t="e">
        <f aca="false">IF(OR(#REF!&gt;2,#REF!&lt;-2),"",#REF!)</f>
        <v>#REF!</v>
      </c>
      <c r="LE9" s="7" t="e">
        <f aca="false">IF(OR(#REF!&gt;2,#REF!&lt;-2),"",#REF!)</f>
        <v>#REF!</v>
      </c>
      <c r="LF9" s="7" t="e">
        <f aca="false">IF(OR(#REF!&gt;2,#REF!&lt;-2),"",#REF!)</f>
        <v>#REF!</v>
      </c>
      <c r="LG9" s="7" t="e">
        <f aca="false">IF(OR(#REF!&gt;2,#REF!&lt;-2),"",#REF!)</f>
        <v>#REF!</v>
      </c>
      <c r="LH9" s="7" t="e">
        <f aca="false">IF(OR(#REF!&gt;2,#REF!&lt;-2),"",#REF!)</f>
        <v>#REF!</v>
      </c>
      <c r="LI9" s="7" t="e">
        <f aca="false">IF(OR(#REF!&gt;2,#REF!&lt;-2),"",#REF!)</f>
        <v>#REF!</v>
      </c>
      <c r="LJ9" s="7" t="e">
        <f aca="false">IF(OR(#REF!&gt;2,#REF!&lt;-2),"",#REF!)</f>
        <v>#REF!</v>
      </c>
      <c r="LK9" s="7" t="e">
        <f aca="false">IF(OR(#REF!&gt;2,#REF!&lt;-2),"",#REF!)</f>
        <v>#REF!</v>
      </c>
      <c r="LL9" s="7" t="e">
        <f aca="false">IF(OR(#REF!&gt;2,#REF!&lt;-2),"",#REF!)</f>
        <v>#REF!</v>
      </c>
      <c r="LM9" s="7" t="e">
        <f aca="false">IF(OR(#REF!&gt;2,#REF!&lt;-2),"",#REF!)</f>
        <v>#REF!</v>
      </c>
      <c r="LN9" s="7" t="e">
        <f aca="false">IF(OR(#REF!&gt;2,#REF!&lt;-2),"",#REF!)</f>
        <v>#REF!</v>
      </c>
      <c r="LO9" s="7" t="e">
        <f aca="false">IF(OR(#REF!&gt;2,#REF!&lt;-2),"",#REF!)</f>
        <v>#REF!</v>
      </c>
      <c r="LP9" s="7" t="e">
        <f aca="false">IF(OR(#REF!&gt;2,#REF!&lt;-2),"",#REF!)</f>
        <v>#REF!</v>
      </c>
      <c r="LQ9" s="7" t="e">
        <f aca="false">IF(OR(#REF!&gt;2,#REF!&lt;-2),"",#REF!)</f>
        <v>#REF!</v>
      </c>
      <c r="LR9" s="7" t="e">
        <f aca="false">IF(OR(#REF!&gt;2,#REF!&lt;-2),"",#REF!)</f>
        <v>#REF!</v>
      </c>
      <c r="LS9" s="7" t="e">
        <f aca="false">IF(OR(#REF!&gt;2,#REF!&lt;-2),"",#REF!)</f>
        <v>#REF!</v>
      </c>
      <c r="LT9" s="7" t="e">
        <f aca="false">IF(OR(#REF!&gt;2,#REF!&lt;-2),"",#REF!)</f>
        <v>#REF!</v>
      </c>
      <c r="LU9" s="7" t="e">
        <f aca="false">IF(OR(#REF!&gt;2,#REF!&lt;-2),"",#REF!)</f>
        <v>#REF!</v>
      </c>
      <c r="LV9" s="7" t="e">
        <f aca="false">IF(OR(#REF!&gt;2,#REF!&lt;-2),"",#REF!)</f>
        <v>#REF!</v>
      </c>
      <c r="LW9" s="7" t="e">
        <f aca="false">IF(OR(#REF!&gt;2,#REF!&lt;-2),"",#REF!)</f>
        <v>#REF!</v>
      </c>
      <c r="LX9" s="7" t="e">
        <f aca="false">IF(OR(#REF!&gt;2,#REF!&lt;-2),"",#REF!)</f>
        <v>#REF!</v>
      </c>
      <c r="LY9" s="7" t="e">
        <f aca="false">IF(OR(#REF!&gt;2,#REF!&lt;-2),"",#REF!)</f>
        <v>#REF!</v>
      </c>
      <c r="LZ9" s="7" t="e">
        <f aca="false">IF(OR(#REF!&gt;2,#REF!&lt;-2),"",#REF!)</f>
        <v>#REF!</v>
      </c>
      <c r="MA9" s="7" t="e">
        <f aca="false">IF(OR(#REF!&gt;2,#REF!&lt;-2),"",#REF!)</f>
        <v>#REF!</v>
      </c>
      <c r="MB9" s="7" t="e">
        <f aca="false">IF(OR(#REF!&gt;2,#REF!&lt;-2),"",#REF!)</f>
        <v>#REF!</v>
      </c>
      <c r="MC9" s="7" t="e">
        <f aca="false">IF(OR(#REF!&gt;2,#REF!&lt;-2),"",#REF!)</f>
        <v>#REF!</v>
      </c>
      <c r="MD9" s="7" t="e">
        <f aca="false">IF(OR(#REF!&gt;2,#REF!&lt;-2),"",#REF!)</f>
        <v>#REF!</v>
      </c>
      <c r="ME9" s="7" t="e">
        <f aca="false">IF(OR(#REF!&gt;2,#REF!&lt;-2),"",#REF!)</f>
        <v>#REF!</v>
      </c>
      <c r="MF9" s="7" t="e">
        <f aca="false">IF(OR(#REF!&gt;2,#REF!&lt;-2),"",#REF!)</f>
        <v>#REF!</v>
      </c>
      <c r="MG9" s="7" t="e">
        <f aca="false">IF(OR(#REF!&gt;2,#REF!&lt;-2),"",#REF!)</f>
        <v>#REF!</v>
      </c>
      <c r="MH9" s="7" t="e">
        <f aca="false">IF(OR(#REF!&gt;2,#REF!&lt;-2),"",#REF!)</f>
        <v>#REF!</v>
      </c>
      <c r="MI9" s="7" t="e">
        <f aca="false">IF(OR(#REF!&gt;2,#REF!&lt;-2),"",#REF!)</f>
        <v>#REF!</v>
      </c>
      <c r="MJ9" s="7" t="e">
        <f aca="false">IF(OR(#REF!&gt;2,#REF!&lt;-2),"",#REF!)</f>
        <v>#REF!</v>
      </c>
      <c r="MK9" s="7" t="e">
        <f aca="false">IF(OR(#REF!&gt;2,#REF!&lt;-2),"",#REF!)</f>
        <v>#REF!</v>
      </c>
      <c r="ML9" s="7" t="e">
        <f aca="false">IF(OR(#REF!&gt;2,#REF!&lt;-2),"",#REF!)</f>
        <v>#REF!</v>
      </c>
      <c r="MM9" s="7" t="e">
        <f aca="false">IF(OR(#REF!&gt;2,#REF!&lt;-2),"",#REF!)</f>
        <v>#REF!</v>
      </c>
      <c r="MN9" s="7" t="e">
        <f aca="false">IF(OR(#REF!&gt;2,#REF!&lt;-2),"",#REF!)</f>
        <v>#REF!</v>
      </c>
      <c r="MO9" s="7" t="e">
        <f aca="false">IF(OR(#REF!&gt;2,#REF!&lt;-2),"",#REF!)</f>
        <v>#REF!</v>
      </c>
      <c r="MP9" s="7" t="e">
        <f aca="false">IF(OR(#REF!&gt;2,#REF!&lt;-2),"",#REF!)</f>
        <v>#REF!</v>
      </c>
      <c r="MQ9" s="7" t="e">
        <f aca="false">IF(OR(#REF!&gt;2,#REF!&lt;-2),"",#REF!)</f>
        <v>#REF!</v>
      </c>
      <c r="MR9" s="7" t="e">
        <f aca="false">IF(OR(#REF!&gt;2,#REF!&lt;-2),"",#REF!)</f>
        <v>#REF!</v>
      </c>
      <c r="MS9" s="7" t="e">
        <f aca="false">IF(OR(#REF!&gt;2,#REF!&lt;-2),"",#REF!)</f>
        <v>#REF!</v>
      </c>
      <c r="MT9" s="7" t="e">
        <f aca="false">IF(OR(#REF!&gt;2,#REF!&lt;-2),"",#REF!)</f>
        <v>#REF!</v>
      </c>
      <c r="MU9" s="7" t="e">
        <f aca="false">IF(OR(#REF!&gt;2,#REF!&lt;-2),"",#REF!)</f>
        <v>#REF!</v>
      </c>
      <c r="MV9" s="7" t="e">
        <f aca="false">IF(OR(#REF!&gt;2,#REF!&lt;-2),"",#REF!)</f>
        <v>#REF!</v>
      </c>
      <c r="MW9" s="7" t="e">
        <f aca="false">IF(OR(#REF!&gt;2,#REF!&lt;-2),"",#REF!)</f>
        <v>#REF!</v>
      </c>
      <c r="MX9" s="7" t="e">
        <f aca="false">IF(OR(#REF!&gt;2,#REF!&lt;-2),"",#REF!)</f>
        <v>#REF!</v>
      </c>
      <c r="MY9" s="7" t="e">
        <f aca="false">IF(OR(#REF!&gt;2,#REF!&lt;-2),"",#REF!)</f>
        <v>#REF!</v>
      </c>
      <c r="MZ9" s="7" t="e">
        <f aca="false">IF(OR(#REF!&gt;2,#REF!&lt;-2),"",#REF!)</f>
        <v>#REF!</v>
      </c>
      <c r="NA9" s="7" t="e">
        <f aca="false">IF(OR(#REF!&gt;2,#REF!&lt;-2),"",#REF!)</f>
        <v>#REF!</v>
      </c>
      <c r="NB9" s="7" t="e">
        <f aca="false">IF(OR(#REF!&gt;2,#REF!&lt;-2),"",#REF!)</f>
        <v>#REF!</v>
      </c>
      <c r="NC9" s="7" t="e">
        <f aca="false">IF(OR(#REF!&gt;2,#REF!&lt;-2),"",#REF!)</f>
        <v>#REF!</v>
      </c>
      <c r="ND9" s="7" t="e">
        <f aca="false">IF(OR(#REF!&gt;2,#REF!&lt;-2),"",#REF!)</f>
        <v>#REF!</v>
      </c>
      <c r="NE9" s="7" t="e">
        <f aca="false">IF(OR(#REF!&gt;2,#REF!&lt;-2),"",#REF!)</f>
        <v>#REF!</v>
      </c>
      <c r="NF9" s="7" t="e">
        <f aca="false">IF(OR(#REF!&gt;2,#REF!&lt;-2),"",#REF!)</f>
        <v>#REF!</v>
      </c>
      <c r="NG9" s="7" t="e">
        <f aca="false">IF(OR(#REF!&gt;2,#REF!&lt;-2),"",#REF!)</f>
        <v>#REF!</v>
      </c>
      <c r="NH9" s="7" t="e">
        <f aca="false">IF(OR(#REF!&gt;2,#REF!&lt;-2),"",#REF!)</f>
        <v>#REF!</v>
      </c>
      <c r="NI9" s="7" t="e">
        <f aca="false">IF(OR(#REF!&gt;2,#REF!&lt;-2),"",#REF!)</f>
        <v>#REF!</v>
      </c>
      <c r="NJ9" s="7" t="e">
        <f aca="false">IF(OR(#REF!&gt;2,#REF!&lt;-2),"",#REF!)</f>
        <v>#REF!</v>
      </c>
      <c r="NK9" s="7" t="e">
        <f aca="false">IF(OR(#REF!&gt;2,#REF!&lt;-2),"",#REF!)</f>
        <v>#REF!</v>
      </c>
      <c r="NL9" s="7" t="e">
        <f aca="false">IF(OR(#REF!&gt;2,#REF!&lt;-2),"",#REF!)</f>
        <v>#REF!</v>
      </c>
      <c r="NM9" s="7" t="e">
        <f aca="false">IF(OR(#REF!&gt;2,#REF!&lt;-2),"",#REF!)</f>
        <v>#REF!</v>
      </c>
      <c r="NN9" s="7" t="e">
        <f aca="false">IF(OR(#REF!&gt;2,#REF!&lt;-2),"",#REF!)</f>
        <v>#REF!</v>
      </c>
      <c r="NO9" s="7" t="e">
        <f aca="false">IF(OR(#REF!&gt;2,#REF!&lt;-2),"",#REF!)</f>
        <v>#REF!</v>
      </c>
      <c r="NP9" s="7" t="e">
        <f aca="false">IF(OR(#REF!&gt;2,#REF!&lt;-2),"",#REF!)</f>
        <v>#REF!</v>
      </c>
      <c r="NQ9" s="7" t="e">
        <f aca="false">IF(OR(#REF!&gt;2,#REF!&lt;-2),"",#REF!)</f>
        <v>#REF!</v>
      </c>
      <c r="NR9" s="7" t="e">
        <f aca="false">IF(OR(#REF!&gt;2,#REF!&lt;-2),"",#REF!)</f>
        <v>#REF!</v>
      </c>
      <c r="NS9" s="7" t="e">
        <f aca="false">IF(OR(#REF!&gt;2,#REF!&lt;-2),"",#REF!)</f>
        <v>#REF!</v>
      </c>
      <c r="NT9" s="7" t="e">
        <f aca="false">IF(OR(#REF!&gt;2,#REF!&lt;-2),"",#REF!)</f>
        <v>#REF!</v>
      </c>
      <c r="NU9" s="7" t="e">
        <f aca="false">IF(OR(#REF!&gt;2,#REF!&lt;-2),"",#REF!)</f>
        <v>#REF!</v>
      </c>
      <c r="NV9" s="7" t="e">
        <f aca="false">IF(OR(#REF!&gt;2,#REF!&lt;-2),"",#REF!)</f>
        <v>#REF!</v>
      </c>
      <c r="NW9" s="7" t="e">
        <f aca="false">IF(OR(#REF!&gt;2,#REF!&lt;-2),"",#REF!)</f>
        <v>#REF!</v>
      </c>
      <c r="NX9" s="7" t="e">
        <f aca="false">IF(OR(#REF!&gt;2,#REF!&lt;-2),"",#REF!)</f>
        <v>#REF!</v>
      </c>
      <c r="NY9" s="7" t="e">
        <f aca="false">IF(OR(#REF!&gt;2,#REF!&lt;-2),"",#REF!)</f>
        <v>#REF!</v>
      </c>
      <c r="NZ9" s="7" t="e">
        <f aca="false">IF(OR(#REF!&gt;2,#REF!&lt;-2),"",#REF!)</f>
        <v>#REF!</v>
      </c>
      <c r="OA9" s="7" t="e">
        <f aca="false">IF(OR(#REF!&gt;2,#REF!&lt;-2),"",#REF!)</f>
        <v>#REF!</v>
      </c>
      <c r="OB9" s="7" t="e">
        <f aca="false">IF(OR(#REF!&gt;2,#REF!&lt;-2),"",#REF!)</f>
        <v>#REF!</v>
      </c>
      <c r="OC9" s="7" t="e">
        <f aca="false">IF(OR(#REF!&gt;2,#REF!&lt;-2),"",#REF!)</f>
        <v>#REF!</v>
      </c>
      <c r="OD9" s="7" t="e">
        <f aca="false">IF(OR(#REF!&gt;2,#REF!&lt;-2),"",#REF!)</f>
        <v>#REF!</v>
      </c>
      <c r="OE9" s="7" t="e">
        <f aca="false">IF(OR(#REF!&gt;2,#REF!&lt;-2),"",#REF!)</f>
        <v>#REF!</v>
      </c>
      <c r="OF9" s="7" t="e">
        <f aca="false">IF(OR(#REF!&gt;2,#REF!&lt;-2),"",#REF!)</f>
        <v>#REF!</v>
      </c>
      <c r="OG9" s="7" t="e">
        <f aca="false">IF(OR(#REF!&gt;2,#REF!&lt;-2),"",#REF!)</f>
        <v>#REF!</v>
      </c>
      <c r="OH9" s="7" t="e">
        <f aca="false">IF(OR(#REF!&gt;2,#REF!&lt;-2),"",#REF!)</f>
        <v>#REF!</v>
      </c>
      <c r="OI9" s="7" t="e">
        <f aca="false">IF(OR(#REF!&gt;2,#REF!&lt;-2),"",#REF!)</f>
        <v>#REF!</v>
      </c>
      <c r="OJ9" s="7" t="e">
        <f aca="false">IF(OR(#REF!&gt;2,#REF!&lt;-2),"",#REF!)</f>
        <v>#REF!</v>
      </c>
      <c r="OK9" s="7" t="e">
        <f aca="false">IF(OR(#REF!&gt;2,#REF!&lt;-2),"",#REF!)</f>
        <v>#REF!</v>
      </c>
      <c r="OL9" s="7" t="e">
        <f aca="false">IF(OR(#REF!&gt;2,#REF!&lt;-2),"",#REF!)</f>
        <v>#REF!</v>
      </c>
      <c r="OM9" s="7" t="e">
        <f aca="false">IF(OR(#REF!&gt;2,#REF!&lt;-2),"",#REF!)</f>
        <v>#REF!</v>
      </c>
      <c r="ON9" s="7" t="e">
        <f aca="false">IF(OR(#REF!&gt;2,#REF!&lt;-2),"",#REF!)</f>
        <v>#REF!</v>
      </c>
      <c r="OO9" s="7" t="e">
        <f aca="false">IF(OR(#REF!&gt;2,#REF!&lt;-2),"",#REF!)</f>
        <v>#REF!</v>
      </c>
      <c r="OP9" s="7" t="e">
        <f aca="false">IF(OR(#REF!&gt;2,#REF!&lt;-2),"",#REF!)</f>
        <v>#REF!</v>
      </c>
      <c r="OQ9" s="7" t="e">
        <f aca="false">IF(OR(#REF!&gt;2,#REF!&lt;-2),"",#REF!)</f>
        <v>#REF!</v>
      </c>
      <c r="OR9" s="7" t="e">
        <f aca="false">IF(OR(#REF!&gt;2,#REF!&lt;-2),"",#REF!)</f>
        <v>#REF!</v>
      </c>
      <c r="OS9" s="7" t="e">
        <f aca="false">IF(OR(#REF!&gt;2,#REF!&lt;-2),"",#REF!)</f>
        <v>#REF!</v>
      </c>
      <c r="OT9" s="7" t="e">
        <f aca="false">IF(OR(#REF!&gt;2,#REF!&lt;-2),"",#REF!)</f>
        <v>#REF!</v>
      </c>
      <c r="OU9" s="7" t="e">
        <f aca="false">IF(OR(#REF!&gt;2,#REF!&lt;-2),"",#REF!)</f>
        <v>#REF!</v>
      </c>
      <c r="OV9" s="7" t="e">
        <f aca="false">IF(OR(#REF!&gt;2,#REF!&lt;-2),"",#REF!)</f>
        <v>#REF!</v>
      </c>
      <c r="OW9" s="7" t="e">
        <f aca="false">IF(OR(#REF!&gt;2,#REF!&lt;-2),"",#REF!)</f>
        <v>#REF!</v>
      </c>
      <c r="OX9" s="7" t="e">
        <f aca="false">IF(OR(#REF!&gt;2,#REF!&lt;-2),"",#REF!)</f>
        <v>#REF!</v>
      </c>
      <c r="OY9" s="7" t="e">
        <f aca="false">IF(OR(#REF!&gt;2,#REF!&lt;-2),"",#REF!)</f>
        <v>#REF!</v>
      </c>
      <c r="OZ9" s="7" t="e">
        <f aca="false">IF(OR(#REF!&gt;2,#REF!&lt;-2),"",#REF!)</f>
        <v>#REF!</v>
      </c>
      <c r="PA9" s="7" t="e">
        <f aca="false">IF(OR(#REF!&gt;2,#REF!&lt;-2),"",#REF!)</f>
        <v>#REF!</v>
      </c>
      <c r="PB9" s="7" t="e">
        <f aca="false">IF(OR(#REF!&gt;2,#REF!&lt;-2),"",#REF!)</f>
        <v>#REF!</v>
      </c>
      <c r="PC9" s="7" t="e">
        <f aca="false">IF(OR(#REF!&gt;2,#REF!&lt;-2),"",#REF!)</f>
        <v>#REF!</v>
      </c>
      <c r="PD9" s="7" t="e">
        <f aca="false">IF(OR(#REF!&gt;2,#REF!&lt;-2),"",#REF!)</f>
        <v>#REF!</v>
      </c>
      <c r="PE9" s="7" t="e">
        <f aca="false">IF(OR(#REF!&gt;2,#REF!&lt;-2),"",#REF!)</f>
        <v>#REF!</v>
      </c>
      <c r="PF9" s="7" t="e">
        <f aca="false">IF(OR(#REF!&gt;2,#REF!&lt;-2),"",#REF!)</f>
        <v>#REF!</v>
      </c>
      <c r="PG9" s="7" t="e">
        <f aca="false">IF(OR(#REF!&gt;2,#REF!&lt;-2),"",#REF!)</f>
        <v>#REF!</v>
      </c>
      <c r="PH9" s="7" t="e">
        <f aca="false">IF(OR(#REF!&gt;2,#REF!&lt;-2),"",#REF!)</f>
        <v>#REF!</v>
      </c>
      <c r="PI9" s="7" t="e">
        <f aca="false">IF(OR(#REF!&gt;2,#REF!&lt;-2),"",#REF!)</f>
        <v>#REF!</v>
      </c>
      <c r="PJ9" s="7" t="e">
        <f aca="false">IF(OR(#REF!&gt;2,#REF!&lt;-2),"",#REF!)</f>
        <v>#REF!</v>
      </c>
      <c r="PK9" s="7" t="e">
        <f aca="false">IF(OR(#REF!&gt;2,#REF!&lt;-2),"",#REF!)</f>
        <v>#REF!</v>
      </c>
      <c r="PL9" s="7" t="e">
        <f aca="false">IF(OR(#REF!&gt;2,#REF!&lt;-2),"",#REF!)</f>
        <v>#REF!</v>
      </c>
      <c r="PM9" s="7" t="e">
        <f aca="false">IF(OR(#REF!&gt;2,#REF!&lt;-2),"",#REF!)</f>
        <v>#REF!</v>
      </c>
      <c r="PN9" s="7" t="e">
        <f aca="false">IF(OR(#REF!&gt;2,#REF!&lt;-2),"",#REF!)</f>
        <v>#REF!</v>
      </c>
      <c r="PO9" s="7" t="e">
        <f aca="false">IF(OR(#REF!&gt;2,#REF!&lt;-2),"",#REF!)</f>
        <v>#REF!</v>
      </c>
      <c r="PP9" s="7" t="e">
        <f aca="false">IF(OR(#REF!&gt;2,#REF!&lt;-2),"",#REF!)</f>
        <v>#REF!</v>
      </c>
      <c r="PQ9" s="7" t="e">
        <f aca="false">IF(OR(#REF!&gt;2,#REF!&lt;-2),"",#REF!)</f>
        <v>#REF!</v>
      </c>
      <c r="PR9" s="7" t="e">
        <f aca="false">IF(OR(#REF!&gt;2,#REF!&lt;-2),"",#REF!)</f>
        <v>#REF!</v>
      </c>
      <c r="PS9" s="7" t="e">
        <f aca="false">IF(OR(#REF!&gt;2,#REF!&lt;-2),"",#REF!)</f>
        <v>#REF!</v>
      </c>
      <c r="PT9" s="7" t="e">
        <f aca="false">IF(OR(#REF!&gt;2,#REF!&lt;-2),"",#REF!)</f>
        <v>#REF!</v>
      </c>
      <c r="PU9" s="7" t="e">
        <f aca="false">IF(OR(#REF!&gt;2,#REF!&lt;-2),"",#REF!)</f>
        <v>#REF!</v>
      </c>
      <c r="PV9" s="7" t="e">
        <f aca="false">IF(OR(#REF!&gt;2,#REF!&lt;-2),"",#REF!)</f>
        <v>#REF!</v>
      </c>
      <c r="PW9" s="7" t="e">
        <f aca="false">IF(OR(#REF!&gt;2,#REF!&lt;-2),"",#REF!)</f>
        <v>#REF!</v>
      </c>
      <c r="PX9" s="7" t="e">
        <f aca="false">IF(OR(#REF!&gt;2,#REF!&lt;-2),"",#REF!)</f>
        <v>#REF!</v>
      </c>
      <c r="PY9" s="7" t="e">
        <f aca="false">IF(OR(#REF!&gt;2,#REF!&lt;-2),"",#REF!)</f>
        <v>#REF!</v>
      </c>
      <c r="PZ9" s="7" t="e">
        <f aca="false">IF(OR(#REF!&gt;2,#REF!&lt;-2),"",#REF!)</f>
        <v>#REF!</v>
      </c>
      <c r="QA9" s="7" t="e">
        <f aca="false">IF(OR(#REF!&gt;2,#REF!&lt;-2),"",#REF!)</f>
        <v>#REF!</v>
      </c>
      <c r="QB9" s="7" t="e">
        <f aca="false">IF(OR(#REF!&gt;2,#REF!&lt;-2),"",#REF!)</f>
        <v>#REF!</v>
      </c>
      <c r="QC9" s="7" t="e">
        <f aca="false">IF(OR(#REF!&gt;2,#REF!&lt;-2),"",#REF!)</f>
        <v>#REF!</v>
      </c>
      <c r="QD9" s="7" t="e">
        <f aca="false">IF(OR(#REF!&gt;2,#REF!&lt;-2),"",#REF!)</f>
        <v>#REF!</v>
      </c>
      <c r="QE9" s="7" t="e">
        <f aca="false">IF(OR(#REF!&gt;2,#REF!&lt;-2),"",#REF!)</f>
        <v>#REF!</v>
      </c>
      <c r="QF9" s="7" t="e">
        <f aca="false">IF(OR(#REF!&gt;2,#REF!&lt;-2),"",#REF!)</f>
        <v>#REF!</v>
      </c>
      <c r="QG9" s="7" t="e">
        <f aca="false">IF(OR(#REF!&gt;2,#REF!&lt;-2),"",#REF!)</f>
        <v>#REF!</v>
      </c>
      <c r="QH9" s="7" t="e">
        <f aca="false">IF(OR(#REF!&gt;2,#REF!&lt;-2),"",#REF!)</f>
        <v>#REF!</v>
      </c>
      <c r="QI9" s="7" t="e">
        <f aca="false">IF(OR(#REF!&gt;2,#REF!&lt;-2),"",#REF!)</f>
        <v>#REF!</v>
      </c>
      <c r="QJ9" s="7" t="e">
        <f aca="false">IF(OR(#REF!&gt;2,#REF!&lt;-2),"",#REF!)</f>
        <v>#REF!</v>
      </c>
      <c r="QK9" s="7" t="e">
        <f aca="false">IF(OR(#REF!&gt;2,#REF!&lt;-2),"",#REF!)</f>
        <v>#REF!</v>
      </c>
      <c r="QL9" s="7" t="e">
        <f aca="false">IF(OR(#REF!&gt;2,#REF!&lt;-2),"",#REF!)</f>
        <v>#REF!</v>
      </c>
      <c r="QM9" s="7" t="e">
        <f aca="false">IF(OR(#REF!&gt;2,#REF!&lt;-2),"",#REF!)</f>
        <v>#REF!</v>
      </c>
      <c r="QN9" s="7" t="e">
        <f aca="false">IF(OR(#REF!&gt;2,#REF!&lt;-2),"",#REF!)</f>
        <v>#REF!</v>
      </c>
      <c r="QO9" s="7" t="e">
        <f aca="false">IF(OR(#REF!&gt;2,#REF!&lt;-2),"",#REF!)</f>
        <v>#REF!</v>
      </c>
      <c r="QP9" s="7" t="e">
        <f aca="false">IF(OR(#REF!&gt;2,#REF!&lt;-2),"",#REF!)</f>
        <v>#REF!</v>
      </c>
      <c r="QQ9" s="7" t="e">
        <f aca="false">IF(OR(#REF!&gt;2,#REF!&lt;-2),"",#REF!)</f>
        <v>#REF!</v>
      </c>
      <c r="QR9" s="7" t="e">
        <f aca="false">IF(OR(#REF!&gt;2,#REF!&lt;-2),"",#REF!)</f>
        <v>#REF!</v>
      </c>
      <c r="QS9" s="7" t="e">
        <f aca="false">IF(OR(#REF!&gt;2,#REF!&lt;-2),"",#REF!)</f>
        <v>#REF!</v>
      </c>
      <c r="QT9" s="7" t="e">
        <f aca="false">IF(OR(#REF!&gt;2,#REF!&lt;-2),"",#REF!)</f>
        <v>#REF!</v>
      </c>
      <c r="QU9" s="7" t="e">
        <f aca="false">IF(OR(#REF!&gt;2,#REF!&lt;-2),"",#REF!)</f>
        <v>#REF!</v>
      </c>
      <c r="QV9" s="7" t="e">
        <f aca="false">IF(OR(#REF!&gt;2,#REF!&lt;-2),"",#REF!)</f>
        <v>#REF!</v>
      </c>
      <c r="QW9" s="7" t="e">
        <f aca="false">IF(OR(#REF!&gt;2,#REF!&lt;-2),"",#REF!)</f>
        <v>#REF!</v>
      </c>
      <c r="QX9" s="7" t="e">
        <f aca="false">IF(OR(#REF!&gt;2,#REF!&lt;-2),"",#REF!)</f>
        <v>#REF!</v>
      </c>
      <c r="QY9" s="7" t="e">
        <f aca="false">IF(OR(#REF!&gt;2,#REF!&lt;-2),"",#REF!)</f>
        <v>#REF!</v>
      </c>
      <c r="QZ9" s="7" t="e">
        <f aca="false">IF(OR(#REF!&gt;2,#REF!&lt;-2),"",#REF!)</f>
        <v>#REF!</v>
      </c>
      <c r="RA9" s="7" t="e">
        <f aca="false">IF(OR(#REF!&gt;2,#REF!&lt;-2),"",#REF!)</f>
        <v>#REF!</v>
      </c>
      <c r="RB9" s="7" t="e">
        <f aca="false">IF(OR(#REF!&gt;2,#REF!&lt;-2),"",#REF!)</f>
        <v>#REF!</v>
      </c>
      <c r="RC9" s="7" t="e">
        <f aca="false">IF(OR(#REF!&gt;2,#REF!&lt;-2),"",#REF!)</f>
        <v>#REF!</v>
      </c>
      <c r="RD9" s="7" t="e">
        <f aca="false">IF(OR(#REF!&gt;2,#REF!&lt;-2),"",#REF!)</f>
        <v>#REF!</v>
      </c>
      <c r="RE9" s="7" t="e">
        <f aca="false">IF(OR(#REF!&gt;2,#REF!&lt;-2),"",#REF!)</f>
        <v>#REF!</v>
      </c>
      <c r="RF9" s="7" t="e">
        <f aca="false">IF(OR(#REF!&gt;2,#REF!&lt;-2),"",#REF!)</f>
        <v>#REF!</v>
      </c>
      <c r="RG9" s="7" t="e">
        <f aca="false">IF(OR(#REF!&gt;2,#REF!&lt;-2),"",#REF!)</f>
        <v>#REF!</v>
      </c>
      <c r="RH9" s="7" t="e">
        <f aca="false">IF(OR(#REF!&gt;2,#REF!&lt;-2),"",#REF!)</f>
        <v>#REF!</v>
      </c>
      <c r="RI9" s="7" t="e">
        <f aca="false">IF(OR(#REF!&gt;2,#REF!&lt;-2),"",#REF!)</f>
        <v>#REF!</v>
      </c>
      <c r="RJ9" s="7" t="e">
        <f aca="false">IF(OR(#REF!&gt;2,#REF!&lt;-2),"",#REF!)</f>
        <v>#REF!</v>
      </c>
      <c r="RK9" s="7" t="e">
        <f aca="false">IF(OR(#REF!&gt;2,#REF!&lt;-2),"",#REF!)</f>
        <v>#REF!</v>
      </c>
      <c r="RL9" s="7" t="e">
        <f aca="false">IF(OR(#REF!&gt;2,#REF!&lt;-2),"",#REF!)</f>
        <v>#REF!</v>
      </c>
      <c r="RM9" s="7" t="e">
        <f aca="false">IF(OR(#REF!&gt;2,#REF!&lt;-2),"",#REF!)</f>
        <v>#REF!</v>
      </c>
      <c r="RN9" s="7" t="e">
        <f aca="false">IF(OR(#REF!&gt;2,#REF!&lt;-2),"",#REF!)</f>
        <v>#REF!</v>
      </c>
      <c r="RO9" s="7" t="e">
        <f aca="false">IF(OR(#REF!&gt;2,#REF!&lt;-2),"",#REF!)</f>
        <v>#REF!</v>
      </c>
      <c r="RP9" s="7" t="e">
        <f aca="false">IF(OR(#REF!&gt;2,#REF!&lt;-2),"",#REF!)</f>
        <v>#REF!</v>
      </c>
      <c r="RQ9" s="7" t="e">
        <f aca="false">IF(OR(#REF!&gt;2,#REF!&lt;-2),"",#REF!)</f>
        <v>#REF!</v>
      </c>
      <c r="RR9" s="7" t="e">
        <f aca="false">IF(OR(#REF!&gt;2,#REF!&lt;-2),"",#REF!)</f>
        <v>#REF!</v>
      </c>
      <c r="RS9" s="7" t="e">
        <f aca="false">IF(OR(#REF!&gt;2,#REF!&lt;-2),"",#REF!)</f>
        <v>#REF!</v>
      </c>
      <c r="RT9" s="7" t="e">
        <f aca="false">IF(OR(#REF!&gt;2,#REF!&lt;-2),"",#REF!)</f>
        <v>#REF!</v>
      </c>
      <c r="RU9" s="7" t="e">
        <f aca="false">IF(OR(#REF!&gt;2,#REF!&lt;-2),"",#REF!)</f>
        <v>#REF!</v>
      </c>
      <c r="RV9" s="7" t="e">
        <f aca="false">IF(OR(#REF!&gt;2,#REF!&lt;-2),"",#REF!)</f>
        <v>#REF!</v>
      </c>
      <c r="RW9" s="7" t="e">
        <f aca="false">IF(OR(#REF!&gt;2,#REF!&lt;-2),"",#REF!)</f>
        <v>#REF!</v>
      </c>
      <c r="RX9" s="7" t="e">
        <f aca="false">IF(OR(#REF!&gt;2,#REF!&lt;-2),"",#REF!)</f>
        <v>#REF!</v>
      </c>
      <c r="RY9" s="7" t="e">
        <f aca="false">IF(OR(#REF!&gt;2,#REF!&lt;-2),"",#REF!)</f>
        <v>#REF!</v>
      </c>
      <c r="RZ9" s="7" t="e">
        <f aca="false">IF(OR(#REF!&gt;2,#REF!&lt;-2),"",#REF!)</f>
        <v>#REF!</v>
      </c>
      <c r="SA9" s="7" t="e">
        <f aca="false">IF(OR(#REF!&gt;2,#REF!&lt;-2),"",#REF!)</f>
        <v>#REF!</v>
      </c>
      <c r="SB9" s="7" t="e">
        <f aca="false">IF(OR(#REF!&gt;2,#REF!&lt;-2),"",#REF!)</f>
        <v>#REF!</v>
      </c>
      <c r="SC9" s="7" t="e">
        <f aca="false">IF(OR(#REF!&gt;2,#REF!&lt;-2),"",#REF!)</f>
        <v>#REF!</v>
      </c>
      <c r="SD9" s="7" t="e">
        <f aca="false">IF(OR(#REF!&gt;2,#REF!&lt;-2),"",#REF!)</f>
        <v>#REF!</v>
      </c>
      <c r="SE9" s="7" t="e">
        <f aca="false">IF(OR(#REF!&gt;2,#REF!&lt;-2),"",#REF!)</f>
        <v>#REF!</v>
      </c>
      <c r="SF9" s="7" t="e">
        <f aca="false">IF(OR(#REF!&gt;2,#REF!&lt;-2),"",#REF!)</f>
        <v>#REF!</v>
      </c>
      <c r="SG9" s="7" t="e">
        <f aca="false">IF(OR(#REF!&gt;2,#REF!&lt;-2),"",#REF!)</f>
        <v>#REF!</v>
      </c>
      <c r="SH9" s="7" t="e">
        <f aca="false">IF(OR(#REF!&gt;2,#REF!&lt;-2),"",#REF!)</f>
        <v>#REF!</v>
      </c>
      <c r="SI9" s="7" t="e">
        <f aca="false">IF(OR(#REF!&gt;2,#REF!&lt;-2),"",#REF!)</f>
        <v>#REF!</v>
      </c>
      <c r="SJ9" s="7" t="e">
        <f aca="false">IF(OR(#REF!&gt;2,#REF!&lt;-2),"",#REF!)</f>
        <v>#REF!</v>
      </c>
      <c r="SK9" s="7" t="e">
        <f aca="false">IF(OR(#REF!&gt;2,#REF!&lt;-2),"",#REF!)</f>
        <v>#REF!</v>
      </c>
      <c r="SL9" s="7" t="e">
        <f aca="false">IF(OR(#REF!&gt;2,#REF!&lt;-2),"",#REF!)</f>
        <v>#REF!</v>
      </c>
      <c r="SM9" s="7" t="e">
        <f aca="false">IF(OR(#REF!&gt;2,#REF!&lt;-2),"",#REF!)</f>
        <v>#REF!</v>
      </c>
      <c r="SN9" s="7" t="e">
        <f aca="false">IF(OR(#REF!&gt;2,#REF!&lt;-2),"",#REF!)</f>
        <v>#REF!</v>
      </c>
      <c r="SO9" s="7" t="e">
        <f aca="false">IF(OR(#REF!&gt;2,#REF!&lt;-2),"",#REF!)</f>
        <v>#REF!</v>
      </c>
      <c r="SP9" s="7" t="e">
        <f aca="false">IF(OR(#REF!&gt;2,#REF!&lt;-2),"",#REF!)</f>
        <v>#REF!</v>
      </c>
      <c r="SQ9" s="7" t="e">
        <f aca="false">IF(OR(#REF!&gt;2,#REF!&lt;-2),"",#REF!)</f>
        <v>#REF!</v>
      </c>
      <c r="SR9" s="7" t="e">
        <f aca="false">IF(OR(#REF!&gt;2,#REF!&lt;-2),"",#REF!)</f>
        <v>#REF!</v>
      </c>
      <c r="SS9" s="7" t="e">
        <f aca="false">IF(OR(#REF!&gt;2,#REF!&lt;-2),"",#REF!)</f>
        <v>#REF!</v>
      </c>
      <c r="ST9" s="7" t="e">
        <f aca="false">IF(OR(#REF!&gt;2,#REF!&lt;-2),"",#REF!)</f>
        <v>#REF!</v>
      </c>
      <c r="SU9" s="7" t="e">
        <f aca="false">IF(OR(#REF!&gt;2,#REF!&lt;-2),"",#REF!)</f>
        <v>#REF!</v>
      </c>
      <c r="SV9" s="7" t="e">
        <f aca="false">IF(OR(#REF!&gt;2,#REF!&lt;-2),"",#REF!)</f>
        <v>#REF!</v>
      </c>
      <c r="SW9" s="7" t="e">
        <f aca="false">IF(OR(#REF!&gt;2,#REF!&lt;-2),"",#REF!)</f>
        <v>#REF!</v>
      </c>
      <c r="SX9" s="7" t="e">
        <f aca="false">IF(OR(#REF!&gt;2,#REF!&lt;-2),"",#REF!)</f>
        <v>#REF!</v>
      </c>
      <c r="SY9" s="7" t="e">
        <f aca="false">IF(OR(#REF!&gt;2,#REF!&lt;-2),"",#REF!)</f>
        <v>#REF!</v>
      </c>
      <c r="SZ9" s="7" t="e">
        <f aca="false">IF(OR(#REF!&gt;2,#REF!&lt;-2),"",#REF!)</f>
        <v>#REF!</v>
      </c>
      <c r="TA9" s="7" t="e">
        <f aca="false">IF(OR(#REF!&gt;2,#REF!&lt;-2),"",#REF!)</f>
        <v>#REF!</v>
      </c>
      <c r="TB9" s="7" t="e">
        <f aca="false">IF(OR(#REF!&gt;2,#REF!&lt;-2),"",#REF!)</f>
        <v>#REF!</v>
      </c>
      <c r="TC9" s="7" t="e">
        <f aca="false">IF(OR(#REF!&gt;2,#REF!&lt;-2),"",#REF!)</f>
        <v>#REF!</v>
      </c>
      <c r="TD9" s="7" t="e">
        <f aca="false">IF(OR(#REF!&gt;2,#REF!&lt;-2),"",#REF!)</f>
        <v>#REF!</v>
      </c>
      <c r="TE9" s="7" t="e">
        <f aca="false">IF(OR(#REF!&gt;2,#REF!&lt;-2),"",#REF!)</f>
        <v>#REF!</v>
      </c>
      <c r="TF9" s="7" t="e">
        <f aca="false">IF(OR(#REF!&gt;2,#REF!&lt;-2),"",#REF!)</f>
        <v>#REF!</v>
      </c>
      <c r="TG9" s="7" t="e">
        <f aca="false">IF(OR(#REF!&gt;2,#REF!&lt;-2),"",#REF!)</f>
        <v>#REF!</v>
      </c>
      <c r="TH9" s="7" t="e">
        <f aca="false">IF(OR(#REF!&gt;2,#REF!&lt;-2),"",#REF!)</f>
        <v>#REF!</v>
      </c>
      <c r="TI9" s="7" t="e">
        <f aca="false">IF(OR(#REF!&gt;2,#REF!&lt;-2),"",#REF!)</f>
        <v>#REF!</v>
      </c>
      <c r="TJ9" s="7" t="e">
        <f aca="false">IF(OR(#REF!&gt;2,#REF!&lt;-2),"",#REF!)</f>
        <v>#REF!</v>
      </c>
      <c r="TK9" s="7" t="e">
        <f aca="false">IF(OR(#REF!&gt;2,#REF!&lt;-2),"",#REF!)</f>
        <v>#REF!</v>
      </c>
      <c r="TL9" s="7" t="e">
        <f aca="false">IF(OR(#REF!&gt;2,#REF!&lt;-2),"",#REF!)</f>
        <v>#REF!</v>
      </c>
      <c r="TM9" s="7" t="e">
        <f aca="false">IF(OR(#REF!&gt;2,#REF!&lt;-2),"",#REF!)</f>
        <v>#REF!</v>
      </c>
      <c r="TN9" s="7" t="e">
        <f aca="false">IF(OR(#REF!&gt;2,#REF!&lt;-2),"",#REF!)</f>
        <v>#REF!</v>
      </c>
      <c r="TO9" s="7" t="e">
        <f aca="false">IF(OR(#REF!&gt;2,#REF!&lt;-2),"",#REF!)</f>
        <v>#REF!</v>
      </c>
      <c r="TP9" s="7" t="e">
        <f aca="false">IF(OR(#REF!&gt;2,#REF!&lt;-2),"",#REF!)</f>
        <v>#REF!</v>
      </c>
      <c r="TQ9" s="7" t="e">
        <f aca="false">IF(OR(#REF!&gt;2,#REF!&lt;-2),"",#REF!)</f>
        <v>#REF!</v>
      </c>
      <c r="TR9" s="7" t="e">
        <f aca="false">IF(OR(#REF!&gt;2,#REF!&lt;-2),"",#REF!)</f>
        <v>#REF!</v>
      </c>
      <c r="TS9" s="7" t="e">
        <f aca="false">IF(OR(#REF!&gt;2,#REF!&lt;-2),"",#REF!)</f>
        <v>#REF!</v>
      </c>
      <c r="TT9" s="7" t="e">
        <f aca="false">IF(OR(#REF!&gt;2,#REF!&lt;-2),"",#REF!)</f>
        <v>#REF!</v>
      </c>
      <c r="TU9" s="7" t="e">
        <f aca="false">IF(OR(#REF!&gt;2,#REF!&lt;-2),"",#REF!)</f>
        <v>#REF!</v>
      </c>
      <c r="TV9" s="7" t="e">
        <f aca="false">IF(OR(#REF!&gt;2,#REF!&lt;-2),"",#REF!)</f>
        <v>#REF!</v>
      </c>
      <c r="TW9" s="7" t="e">
        <f aca="false">IF(OR(#REF!&gt;2,#REF!&lt;-2),"",#REF!)</f>
        <v>#REF!</v>
      </c>
      <c r="TX9" s="7" t="e">
        <f aca="false">IF(OR(#REF!&gt;2,#REF!&lt;-2),"",#REF!)</f>
        <v>#REF!</v>
      </c>
      <c r="TY9" s="7" t="e">
        <f aca="false">IF(OR(#REF!&gt;2,#REF!&lt;-2),"",#REF!)</f>
        <v>#REF!</v>
      </c>
      <c r="TZ9" s="7" t="e">
        <f aca="false">IF(OR(#REF!&gt;2,#REF!&lt;-2),"",#REF!)</f>
        <v>#REF!</v>
      </c>
      <c r="UA9" s="7" t="e">
        <f aca="false">IF(OR(#REF!&gt;2,#REF!&lt;-2),"",#REF!)</f>
        <v>#REF!</v>
      </c>
      <c r="UB9" s="7" t="e">
        <f aca="false">IF(OR(#REF!&gt;2,#REF!&lt;-2),"",#REF!)</f>
        <v>#REF!</v>
      </c>
      <c r="UC9" s="7" t="e">
        <f aca="false">IF(OR(#REF!&gt;2,#REF!&lt;-2),"",#REF!)</f>
        <v>#REF!</v>
      </c>
      <c r="UD9" s="7" t="e">
        <f aca="false">IF(OR(#REF!&gt;2,#REF!&lt;-2),"",#REF!)</f>
        <v>#REF!</v>
      </c>
      <c r="UE9" s="7" t="e">
        <f aca="false">IF(OR(#REF!&gt;2,#REF!&lt;-2),"",#REF!)</f>
        <v>#REF!</v>
      </c>
      <c r="UF9" s="7" t="e">
        <f aca="false">IF(OR(#REF!&gt;2,#REF!&lt;-2),"",#REF!)</f>
        <v>#REF!</v>
      </c>
      <c r="UG9" s="7" t="e">
        <f aca="false">IF(OR(#REF!&gt;2,#REF!&lt;-2),"",#REF!)</f>
        <v>#REF!</v>
      </c>
      <c r="UH9" s="7" t="e">
        <f aca="false">IF(OR(#REF!&gt;2,#REF!&lt;-2),"",#REF!)</f>
        <v>#REF!</v>
      </c>
      <c r="UI9" s="7" t="e">
        <f aca="false">IF(OR(#REF!&gt;2,#REF!&lt;-2),"",#REF!)</f>
        <v>#REF!</v>
      </c>
      <c r="UJ9" s="7" t="e">
        <f aca="false">IF(OR(#REF!&gt;2,#REF!&lt;-2),"",#REF!)</f>
        <v>#REF!</v>
      </c>
      <c r="UK9" s="7" t="e">
        <f aca="false">IF(OR(#REF!&gt;2,#REF!&lt;-2),"",#REF!)</f>
        <v>#REF!</v>
      </c>
      <c r="UL9" s="7" t="e">
        <f aca="false">IF(OR(#REF!&gt;2,#REF!&lt;-2),"",#REF!)</f>
        <v>#REF!</v>
      </c>
      <c r="UM9" s="7" t="e">
        <f aca="false">IF(OR(#REF!&gt;2,#REF!&lt;-2),"",#REF!)</f>
        <v>#REF!</v>
      </c>
      <c r="UN9" s="7" t="e">
        <f aca="false">IF(OR(#REF!&gt;2,#REF!&lt;-2),"",#REF!)</f>
        <v>#REF!</v>
      </c>
      <c r="UO9" s="7" t="e">
        <f aca="false">IF(OR(#REF!&gt;2,#REF!&lt;-2),"",#REF!)</f>
        <v>#REF!</v>
      </c>
      <c r="UP9" s="7" t="e">
        <f aca="false">IF(OR(#REF!&gt;2,#REF!&lt;-2),"",#REF!)</f>
        <v>#REF!</v>
      </c>
    </row>
    <row r="10" customFormat="false" ht="14.5" hidden="false" customHeight="false" outlineLevel="0" collapsed="false">
      <c r="A10" s="0" t="n">
        <v>175</v>
      </c>
      <c r="B10" s="0" t="n">
        <v>0</v>
      </c>
      <c r="C10" s="7" t="e">
        <f aca="false">IF(OR(#REF!&gt;2,#REF!&lt;-2),"",#REF!)</f>
        <v>#REF!</v>
      </c>
      <c r="D10" s="7" t="e">
        <f aca="false">IF(OR(#REF!&gt;2,#REF!&lt;-2),"",#REF!)</f>
        <v>#REF!</v>
      </c>
      <c r="E10" s="7" t="e">
        <f aca="false">IF(OR(#REF!&gt;2,#REF!&lt;-2),"",#REF!)</f>
        <v>#REF!</v>
      </c>
      <c r="F10" s="7" t="e">
        <f aca="false">IF(OR(#REF!&gt;2,#REF!&lt;-2),"",#REF!)</f>
        <v>#REF!</v>
      </c>
      <c r="G10" s="7" t="e">
        <f aca="false">IF(OR(#REF!&gt;2,#REF!&lt;-2),"",#REF!)</f>
        <v>#REF!</v>
      </c>
      <c r="H10" s="7" t="e">
        <f aca="false">IF(OR(#REF!&gt;2,#REF!&lt;-2),"",#REF!)</f>
        <v>#REF!</v>
      </c>
      <c r="I10" s="7" t="e">
        <f aca="false">IF(OR(#REF!&gt;2,#REF!&lt;-2),"",#REF!)</f>
        <v>#REF!</v>
      </c>
      <c r="J10" s="7" t="e">
        <f aca="false">IF(OR(#REF!&gt;2,#REF!&lt;-2),"",#REF!)</f>
        <v>#REF!</v>
      </c>
      <c r="K10" s="7" t="e">
        <f aca="false">IF(OR(#REF!&gt;2,#REF!&lt;-2),"",#REF!)</f>
        <v>#REF!</v>
      </c>
      <c r="L10" s="7" t="e">
        <f aca="false">IF(OR(#REF!&gt;2,#REF!&lt;-2),"",#REF!)</f>
        <v>#REF!</v>
      </c>
      <c r="M10" s="7" t="e">
        <f aca="false">IF(OR(#REF!&gt;2,#REF!&lt;-2),"",#REF!)</f>
        <v>#REF!</v>
      </c>
      <c r="N10" s="7" t="e">
        <f aca="false">IF(OR(#REF!&gt;2,#REF!&lt;-2),"",#REF!)</f>
        <v>#REF!</v>
      </c>
      <c r="O10" s="7" t="e">
        <f aca="false">IF(OR(#REF!&gt;2,#REF!&lt;-2),"",#REF!)</f>
        <v>#REF!</v>
      </c>
      <c r="P10" s="7" t="e">
        <f aca="false">IF(OR(#REF!&gt;2,#REF!&lt;-2),"",#REF!)</f>
        <v>#REF!</v>
      </c>
      <c r="Q10" s="7" t="e">
        <f aca="false">IF(OR(#REF!&gt;2,#REF!&lt;-2),"",#REF!)</f>
        <v>#REF!</v>
      </c>
      <c r="R10" s="7" t="e">
        <f aca="false">IF(OR(#REF!&gt;2,#REF!&lt;-2),"",#REF!)</f>
        <v>#REF!</v>
      </c>
      <c r="S10" s="7" t="e">
        <f aca="false">IF(OR(#REF!&gt;2,#REF!&lt;-2),"",#REF!)</f>
        <v>#REF!</v>
      </c>
      <c r="T10" s="7" t="e">
        <f aca="false">IF(OR(#REF!&gt;2,#REF!&lt;-2),"",#REF!)</f>
        <v>#REF!</v>
      </c>
      <c r="U10" s="7" t="e">
        <f aca="false">IF(OR(#REF!&gt;2,#REF!&lt;-2),"",#REF!)</f>
        <v>#REF!</v>
      </c>
      <c r="V10" s="7" t="e">
        <f aca="false">IF(OR(#REF!&gt;2,#REF!&lt;-2),"",#REF!)</f>
        <v>#REF!</v>
      </c>
      <c r="W10" s="7" t="e">
        <f aca="false">IF(OR(#REF!&gt;2,#REF!&lt;-2),"",#REF!)</f>
        <v>#REF!</v>
      </c>
      <c r="X10" s="7" t="e">
        <f aca="false">IF(OR(#REF!&gt;2,#REF!&lt;-2),"",#REF!)</f>
        <v>#REF!</v>
      </c>
      <c r="Y10" s="7" t="e">
        <f aca="false">IF(OR(#REF!&gt;2,#REF!&lt;-2),"",#REF!)</f>
        <v>#REF!</v>
      </c>
      <c r="Z10" s="7" t="e">
        <f aca="false">IF(OR(#REF!&gt;2,#REF!&lt;-2),"",#REF!)</f>
        <v>#REF!</v>
      </c>
      <c r="AA10" s="7" t="e">
        <f aca="false">IF(OR(#REF!&gt;2,#REF!&lt;-2),"",#REF!)</f>
        <v>#REF!</v>
      </c>
      <c r="AB10" s="7" t="e">
        <f aca="false">IF(OR(#REF!&gt;2,#REF!&lt;-2),"",#REF!)</f>
        <v>#REF!</v>
      </c>
      <c r="AC10" s="7" t="e">
        <f aca="false">IF(OR(#REF!&gt;2,#REF!&lt;-2),"",#REF!)</f>
        <v>#REF!</v>
      </c>
      <c r="AD10" s="7" t="e">
        <f aca="false">IF(OR(#REF!&gt;2,#REF!&lt;-2),"",#REF!)</f>
        <v>#REF!</v>
      </c>
      <c r="AE10" s="7" t="e">
        <f aca="false">IF(OR(#REF!&gt;2,#REF!&lt;-2),"",#REF!)</f>
        <v>#REF!</v>
      </c>
      <c r="AF10" s="7" t="e">
        <f aca="false">IF(OR(#REF!&gt;2,#REF!&lt;-2),"",#REF!)</f>
        <v>#REF!</v>
      </c>
      <c r="AG10" s="7" t="e">
        <f aca="false">IF(OR(#REF!&gt;2,#REF!&lt;-2),"",#REF!)</f>
        <v>#REF!</v>
      </c>
      <c r="AH10" s="7" t="e">
        <f aca="false">IF(OR(#REF!&gt;2,#REF!&lt;-2),"",#REF!)</f>
        <v>#REF!</v>
      </c>
      <c r="AI10" s="7" t="e">
        <f aca="false">IF(OR(#REF!&gt;2,#REF!&lt;-2),"",#REF!)</f>
        <v>#REF!</v>
      </c>
      <c r="AJ10" s="7" t="e">
        <f aca="false">IF(OR(#REF!&gt;2,#REF!&lt;-2),"",#REF!)</f>
        <v>#REF!</v>
      </c>
      <c r="AK10" s="7" t="e">
        <f aca="false">IF(OR(#REF!&gt;2,#REF!&lt;-2),"",#REF!)</f>
        <v>#REF!</v>
      </c>
      <c r="AL10" s="7" t="e">
        <f aca="false">IF(OR(#REF!&gt;2,#REF!&lt;-2),"",#REF!)</f>
        <v>#REF!</v>
      </c>
      <c r="AM10" s="7" t="e">
        <f aca="false">IF(OR(#REF!&gt;2,#REF!&lt;-2),"",#REF!)</f>
        <v>#REF!</v>
      </c>
      <c r="AN10" s="7" t="e">
        <f aca="false">IF(OR(#REF!&gt;2,#REF!&lt;-2),"",#REF!)</f>
        <v>#REF!</v>
      </c>
      <c r="AO10" s="7" t="e">
        <f aca="false">IF(OR(#REF!&gt;2,#REF!&lt;-2),"",#REF!)</f>
        <v>#REF!</v>
      </c>
      <c r="AP10" s="7" t="e">
        <f aca="false">IF(OR(#REF!&gt;2,#REF!&lt;-2),"",#REF!)</f>
        <v>#REF!</v>
      </c>
      <c r="AQ10" s="7" t="e">
        <f aca="false">IF(OR(#REF!&gt;2,#REF!&lt;-2),"",#REF!)</f>
        <v>#REF!</v>
      </c>
      <c r="AR10" s="7" t="e">
        <f aca="false">IF(OR(#REF!&gt;2,#REF!&lt;-2),"",#REF!)</f>
        <v>#REF!</v>
      </c>
      <c r="AS10" s="7" t="e">
        <f aca="false">IF(OR(#REF!&gt;2,#REF!&lt;-2),"",#REF!)</f>
        <v>#REF!</v>
      </c>
      <c r="AT10" s="7" t="e">
        <f aca="false">IF(OR(#REF!&gt;2,#REF!&lt;-2),"",#REF!)</f>
        <v>#REF!</v>
      </c>
      <c r="AU10" s="7" t="e">
        <f aca="false">IF(OR(#REF!&gt;2,#REF!&lt;-2),"",#REF!)</f>
        <v>#REF!</v>
      </c>
      <c r="AV10" s="7" t="e">
        <f aca="false">IF(OR(#REF!&gt;2,#REF!&lt;-2),"",#REF!)</f>
        <v>#REF!</v>
      </c>
      <c r="AW10" s="7" t="e">
        <f aca="false">IF(OR(#REF!&gt;2,#REF!&lt;-2),"",#REF!)</f>
        <v>#REF!</v>
      </c>
      <c r="AX10" s="7" t="e">
        <f aca="false">IF(OR(#REF!&gt;2,#REF!&lt;-2),"",#REF!)</f>
        <v>#REF!</v>
      </c>
      <c r="AY10" s="7" t="e">
        <f aca="false">IF(OR(#REF!&gt;2,#REF!&lt;-2),"",#REF!)</f>
        <v>#REF!</v>
      </c>
      <c r="AZ10" s="7" t="e">
        <f aca="false">IF(OR(#REF!&gt;2,#REF!&lt;-2),"",#REF!)</f>
        <v>#REF!</v>
      </c>
      <c r="BA10" s="7" t="e">
        <f aca="false">IF(OR(#REF!&gt;2,#REF!&lt;-2),"",#REF!)</f>
        <v>#REF!</v>
      </c>
      <c r="BB10" s="7" t="e">
        <f aca="false">IF(OR(#REF!&gt;2,#REF!&lt;-2),"",#REF!)</f>
        <v>#REF!</v>
      </c>
      <c r="BC10" s="7" t="e">
        <f aca="false">IF(OR(#REF!&gt;2,#REF!&lt;-2),"",#REF!)</f>
        <v>#REF!</v>
      </c>
      <c r="BD10" s="7" t="e">
        <f aca="false">IF(OR(#REF!&gt;2,#REF!&lt;-2),"",#REF!)</f>
        <v>#REF!</v>
      </c>
      <c r="BE10" s="7" t="e">
        <f aca="false">IF(OR(#REF!&gt;2,#REF!&lt;-2),"",#REF!)</f>
        <v>#REF!</v>
      </c>
      <c r="BF10" s="7" t="e">
        <f aca="false">IF(OR(#REF!&gt;2,#REF!&lt;-2),"",#REF!)</f>
        <v>#REF!</v>
      </c>
      <c r="BG10" s="7" t="e">
        <f aca="false">IF(OR(#REF!&gt;2,#REF!&lt;-2),"",#REF!)</f>
        <v>#REF!</v>
      </c>
      <c r="BH10" s="7" t="e">
        <f aca="false">IF(OR(#REF!&gt;2,#REF!&lt;-2),"",#REF!)</f>
        <v>#REF!</v>
      </c>
      <c r="BI10" s="7" t="e">
        <f aca="false">IF(OR(#REF!&gt;2,#REF!&lt;-2),"",#REF!)</f>
        <v>#REF!</v>
      </c>
      <c r="BJ10" s="7" t="e">
        <f aca="false">IF(OR(#REF!&gt;2,#REF!&lt;-2),"",#REF!)</f>
        <v>#REF!</v>
      </c>
      <c r="BK10" s="7" t="e">
        <f aca="false">IF(OR(#REF!&gt;2,#REF!&lt;-2),"",#REF!)</f>
        <v>#REF!</v>
      </c>
      <c r="BL10" s="7" t="e">
        <f aca="false">IF(OR(#REF!&gt;2,#REF!&lt;-2),"",#REF!)</f>
        <v>#REF!</v>
      </c>
      <c r="BM10" s="7" t="e">
        <f aca="false">IF(OR(#REF!&gt;2,#REF!&lt;-2),"",#REF!)</f>
        <v>#REF!</v>
      </c>
      <c r="BN10" s="7" t="e">
        <f aca="false">IF(OR(#REF!&gt;2,#REF!&lt;-2),"",#REF!)</f>
        <v>#REF!</v>
      </c>
      <c r="BO10" s="7" t="e">
        <f aca="false">IF(OR(#REF!&gt;2,#REF!&lt;-2),"",#REF!)</f>
        <v>#REF!</v>
      </c>
      <c r="BP10" s="7" t="e">
        <f aca="false">IF(OR(#REF!&gt;2,#REF!&lt;-2),"",#REF!)</f>
        <v>#REF!</v>
      </c>
      <c r="BQ10" s="7" t="e">
        <f aca="false">IF(OR(#REF!&gt;2,#REF!&lt;-2),"",#REF!)</f>
        <v>#REF!</v>
      </c>
      <c r="BR10" s="7" t="e">
        <f aca="false">IF(OR(#REF!&gt;2,#REF!&lt;-2),"",#REF!)</f>
        <v>#REF!</v>
      </c>
      <c r="BS10" s="7" t="e">
        <f aca="false">IF(OR(#REF!&gt;2,#REF!&lt;-2),"",#REF!)</f>
        <v>#REF!</v>
      </c>
      <c r="BT10" s="7" t="e">
        <f aca="false">IF(OR(#REF!&gt;2,#REF!&lt;-2),"",#REF!)</f>
        <v>#REF!</v>
      </c>
      <c r="BU10" s="7" t="e">
        <f aca="false">IF(OR(#REF!&gt;2,#REF!&lt;-2),"",#REF!)</f>
        <v>#REF!</v>
      </c>
      <c r="BV10" s="7" t="e">
        <f aca="false">IF(OR(#REF!&gt;2,#REF!&lt;-2),"",#REF!)</f>
        <v>#REF!</v>
      </c>
      <c r="BW10" s="7" t="e">
        <f aca="false">IF(OR(#REF!&gt;2,#REF!&lt;-2),"",#REF!)</f>
        <v>#REF!</v>
      </c>
      <c r="BX10" s="7" t="e">
        <f aca="false">IF(OR(#REF!&gt;2,#REF!&lt;-2),"",#REF!)</f>
        <v>#REF!</v>
      </c>
      <c r="BY10" s="7" t="e">
        <f aca="false">IF(OR(#REF!&gt;2,#REF!&lt;-2),"",#REF!)</f>
        <v>#REF!</v>
      </c>
      <c r="BZ10" s="7" t="e">
        <f aca="false">IF(OR(#REF!&gt;2,#REF!&lt;-2),"",#REF!)</f>
        <v>#REF!</v>
      </c>
      <c r="CA10" s="7" t="e">
        <f aca="false">IF(OR(#REF!&gt;2,#REF!&lt;-2),"",#REF!)</f>
        <v>#REF!</v>
      </c>
      <c r="CB10" s="7" t="e">
        <f aca="false">IF(OR(#REF!&gt;2,#REF!&lt;-2),"",#REF!)</f>
        <v>#REF!</v>
      </c>
      <c r="CC10" s="7" t="e">
        <f aca="false">IF(OR(#REF!&gt;2,#REF!&lt;-2),"",#REF!)</f>
        <v>#REF!</v>
      </c>
      <c r="CD10" s="7" t="e">
        <f aca="false">IF(OR(#REF!&gt;2,#REF!&lt;-2),"",#REF!)</f>
        <v>#REF!</v>
      </c>
      <c r="CE10" s="7" t="e">
        <f aca="false">IF(OR(#REF!&gt;2,#REF!&lt;-2),"",#REF!)</f>
        <v>#REF!</v>
      </c>
      <c r="CF10" s="7" t="e">
        <f aca="false">IF(OR(#REF!&gt;2,#REF!&lt;-2),"",#REF!)</f>
        <v>#REF!</v>
      </c>
      <c r="CG10" s="7" t="e">
        <f aca="false">IF(OR(#REF!&gt;2,#REF!&lt;-2),"",#REF!)</f>
        <v>#REF!</v>
      </c>
      <c r="CH10" s="7" t="e">
        <f aca="false">IF(OR(#REF!&gt;2,#REF!&lt;-2),"",#REF!)</f>
        <v>#REF!</v>
      </c>
      <c r="CI10" s="7" t="e">
        <f aca="false">IF(OR(#REF!&gt;2,#REF!&lt;-2),"",#REF!)</f>
        <v>#REF!</v>
      </c>
      <c r="CJ10" s="7" t="e">
        <f aca="false">IF(OR(#REF!&gt;2,#REF!&lt;-2),"",#REF!)</f>
        <v>#REF!</v>
      </c>
      <c r="CK10" s="7" t="e">
        <f aca="false">IF(OR(#REF!&gt;2,#REF!&lt;-2),"",#REF!)</f>
        <v>#REF!</v>
      </c>
      <c r="CL10" s="7" t="e">
        <f aca="false">IF(OR(#REF!&gt;2,#REF!&lt;-2),"",#REF!)</f>
        <v>#REF!</v>
      </c>
      <c r="CM10" s="7" t="e">
        <f aca="false">IF(OR(#REF!&gt;2,#REF!&lt;-2),"",#REF!)</f>
        <v>#REF!</v>
      </c>
      <c r="CN10" s="7" t="e">
        <f aca="false">IF(OR(#REF!&gt;2,#REF!&lt;-2),"",#REF!)</f>
        <v>#REF!</v>
      </c>
      <c r="CO10" s="7" t="e">
        <f aca="false">IF(OR(#REF!&gt;2,#REF!&lt;-2),"",#REF!)</f>
        <v>#REF!</v>
      </c>
      <c r="CP10" s="7" t="e">
        <f aca="false">IF(OR(#REF!&gt;2,#REF!&lt;-2),"",#REF!)</f>
        <v>#REF!</v>
      </c>
      <c r="CQ10" s="7" t="e">
        <f aca="false">IF(OR(#REF!&gt;2,#REF!&lt;-2),"",#REF!)</f>
        <v>#REF!</v>
      </c>
      <c r="CR10" s="7" t="e">
        <f aca="false">IF(OR(#REF!&gt;2,#REF!&lt;-2),"",#REF!)</f>
        <v>#REF!</v>
      </c>
      <c r="CS10" s="7" t="e">
        <f aca="false">IF(OR(#REF!&gt;2,#REF!&lt;-2),"",#REF!)</f>
        <v>#REF!</v>
      </c>
      <c r="CT10" s="7" t="e">
        <f aca="false">IF(OR(#REF!&gt;2,#REF!&lt;-2),"",#REF!)</f>
        <v>#REF!</v>
      </c>
      <c r="CU10" s="7" t="e">
        <f aca="false">IF(OR(#REF!&gt;2,#REF!&lt;-2),"",#REF!)</f>
        <v>#REF!</v>
      </c>
      <c r="CV10" s="7" t="e">
        <f aca="false">IF(OR(#REF!&gt;2,#REF!&lt;-2),"",#REF!)</f>
        <v>#REF!</v>
      </c>
      <c r="CW10" s="7" t="e">
        <f aca="false">IF(OR(#REF!&gt;2,#REF!&lt;-2),"",#REF!)</f>
        <v>#REF!</v>
      </c>
      <c r="CX10" s="7" t="e">
        <f aca="false">IF(OR(#REF!&gt;2,#REF!&lt;-2),"",#REF!)</f>
        <v>#REF!</v>
      </c>
      <c r="CY10" s="7" t="e">
        <f aca="false">IF(OR(#REF!&gt;2,#REF!&lt;-2),"",#REF!)</f>
        <v>#REF!</v>
      </c>
      <c r="CZ10" s="7" t="e">
        <f aca="false">IF(OR(#REF!&gt;2,#REF!&lt;-2),"",#REF!)</f>
        <v>#REF!</v>
      </c>
      <c r="DA10" s="7" t="e">
        <f aca="false">IF(OR(#REF!&gt;2,#REF!&lt;-2),"",#REF!)</f>
        <v>#REF!</v>
      </c>
      <c r="DB10" s="7" t="e">
        <f aca="false">IF(OR(#REF!&gt;2,#REF!&lt;-2),"",#REF!)</f>
        <v>#REF!</v>
      </c>
      <c r="DC10" s="7" t="e">
        <f aca="false">IF(OR(#REF!&gt;2,#REF!&lt;-2),"",#REF!)</f>
        <v>#REF!</v>
      </c>
      <c r="DD10" s="7" t="e">
        <f aca="false">IF(OR(#REF!&gt;2,#REF!&lt;-2),"",#REF!)</f>
        <v>#REF!</v>
      </c>
      <c r="DE10" s="7" t="e">
        <f aca="false">IF(OR(#REF!&gt;2,#REF!&lt;-2),"",#REF!)</f>
        <v>#REF!</v>
      </c>
      <c r="DF10" s="7" t="e">
        <f aca="false">IF(OR(#REF!&gt;2,#REF!&lt;-2),"",#REF!)</f>
        <v>#REF!</v>
      </c>
      <c r="DG10" s="7" t="e">
        <f aca="false">IF(OR(#REF!&gt;2,#REF!&lt;-2),"",#REF!)</f>
        <v>#REF!</v>
      </c>
      <c r="DH10" s="7" t="e">
        <f aca="false">IF(OR(#REF!&gt;2,#REF!&lt;-2),"",#REF!)</f>
        <v>#REF!</v>
      </c>
      <c r="DI10" s="7" t="e">
        <f aca="false">IF(OR(#REF!&gt;2,#REF!&lt;-2),"",#REF!)</f>
        <v>#REF!</v>
      </c>
      <c r="DJ10" s="7" t="e">
        <f aca="false">IF(OR(#REF!&gt;2,#REF!&lt;-2),"",#REF!)</f>
        <v>#REF!</v>
      </c>
      <c r="DK10" s="7" t="e">
        <f aca="false">IF(OR(#REF!&gt;2,#REF!&lt;-2),"",#REF!)</f>
        <v>#REF!</v>
      </c>
      <c r="DL10" s="7" t="e">
        <f aca="false">IF(OR(#REF!&gt;2,#REF!&lt;-2),"",#REF!)</f>
        <v>#REF!</v>
      </c>
      <c r="DM10" s="7" t="e">
        <f aca="false">IF(OR(#REF!&gt;2,#REF!&lt;-2),"",#REF!)</f>
        <v>#REF!</v>
      </c>
      <c r="DN10" s="7" t="e">
        <f aca="false">IF(OR(#REF!&gt;2,#REF!&lt;-2),"",#REF!)</f>
        <v>#REF!</v>
      </c>
      <c r="DO10" s="7" t="e">
        <f aca="false">IF(OR(#REF!&gt;2,#REF!&lt;-2),"",#REF!)</f>
        <v>#REF!</v>
      </c>
      <c r="DP10" s="7" t="e">
        <f aca="false">IF(OR(#REF!&gt;2,#REF!&lt;-2),"",#REF!)</f>
        <v>#REF!</v>
      </c>
      <c r="DQ10" s="7" t="e">
        <f aca="false">IF(OR(#REF!&gt;2,#REF!&lt;-2),"",#REF!)</f>
        <v>#REF!</v>
      </c>
      <c r="DR10" s="7" t="e">
        <f aca="false">IF(OR(#REF!&gt;2,#REF!&lt;-2),"",#REF!)</f>
        <v>#REF!</v>
      </c>
      <c r="DS10" s="7" t="e">
        <f aca="false">IF(OR(#REF!&gt;2,#REF!&lt;-2),"",#REF!)</f>
        <v>#REF!</v>
      </c>
      <c r="DT10" s="7" t="e">
        <f aca="false">IF(OR(#REF!&gt;2,#REF!&lt;-2),"",#REF!)</f>
        <v>#REF!</v>
      </c>
      <c r="DU10" s="7" t="e">
        <f aca="false">IF(OR(#REF!&gt;2,#REF!&lt;-2),"",#REF!)</f>
        <v>#REF!</v>
      </c>
      <c r="DV10" s="7" t="e">
        <f aca="false">IF(OR(#REF!&gt;2,#REF!&lt;-2),"",#REF!)</f>
        <v>#REF!</v>
      </c>
      <c r="DW10" s="7" t="e">
        <f aca="false">IF(OR(#REF!&gt;2,#REF!&lt;-2),"",#REF!)</f>
        <v>#REF!</v>
      </c>
      <c r="DX10" s="7" t="e">
        <f aca="false">IF(OR(#REF!&gt;2,#REF!&lt;-2),"",#REF!)</f>
        <v>#REF!</v>
      </c>
      <c r="DY10" s="7" t="e">
        <f aca="false">IF(OR(#REF!&gt;2,#REF!&lt;-2),"",#REF!)</f>
        <v>#REF!</v>
      </c>
      <c r="DZ10" s="7" t="e">
        <f aca="false">IF(OR(#REF!&gt;2,#REF!&lt;-2),"",#REF!)</f>
        <v>#REF!</v>
      </c>
      <c r="EA10" s="7" t="e">
        <f aca="false">IF(OR(#REF!&gt;2,#REF!&lt;-2),"",#REF!)</f>
        <v>#REF!</v>
      </c>
      <c r="EB10" s="7" t="e">
        <f aca="false">IF(OR(#REF!&gt;2,#REF!&lt;-2),"",#REF!)</f>
        <v>#REF!</v>
      </c>
      <c r="EC10" s="7" t="e">
        <f aca="false">IF(OR(#REF!&gt;2,#REF!&lt;-2),"",#REF!)</f>
        <v>#REF!</v>
      </c>
      <c r="ED10" s="7" t="e">
        <f aca="false">IF(OR(#REF!&gt;2,#REF!&lt;-2),"",#REF!)</f>
        <v>#REF!</v>
      </c>
      <c r="EE10" s="7" t="e">
        <f aca="false">IF(OR(#REF!&gt;2,#REF!&lt;-2),"",#REF!)</f>
        <v>#REF!</v>
      </c>
      <c r="EF10" s="7" t="e">
        <f aca="false">IF(OR(#REF!&gt;2,#REF!&lt;-2),"",#REF!)</f>
        <v>#REF!</v>
      </c>
      <c r="EG10" s="7" t="e">
        <f aca="false">IF(OR(#REF!&gt;2,#REF!&lt;-2),"",#REF!)</f>
        <v>#REF!</v>
      </c>
      <c r="EH10" s="7" t="e">
        <f aca="false">IF(OR(#REF!&gt;2,#REF!&lt;-2),"",#REF!)</f>
        <v>#REF!</v>
      </c>
      <c r="EI10" s="7" t="e">
        <f aca="false">IF(OR(#REF!&gt;2,#REF!&lt;-2),"",#REF!)</f>
        <v>#REF!</v>
      </c>
      <c r="EJ10" s="7" t="e">
        <f aca="false">IF(OR(#REF!&gt;2,#REF!&lt;-2),"",#REF!)</f>
        <v>#REF!</v>
      </c>
      <c r="EK10" s="7" t="e">
        <f aca="false">IF(OR(#REF!&gt;2,#REF!&lt;-2),"",#REF!)</f>
        <v>#REF!</v>
      </c>
      <c r="EL10" s="7" t="e">
        <f aca="false">IF(OR(#REF!&gt;2,#REF!&lt;-2),"",#REF!)</f>
        <v>#REF!</v>
      </c>
      <c r="EM10" s="7" t="e">
        <f aca="false">IF(OR(#REF!&gt;2,#REF!&lt;-2),"",#REF!)</f>
        <v>#REF!</v>
      </c>
      <c r="EN10" s="7" t="e">
        <f aca="false">IF(OR(#REF!&gt;2,#REF!&lt;-2),"",#REF!)</f>
        <v>#REF!</v>
      </c>
      <c r="EO10" s="7" t="e">
        <f aca="false">IF(OR(#REF!&gt;2,#REF!&lt;-2),"",#REF!)</f>
        <v>#REF!</v>
      </c>
      <c r="EP10" s="7" t="e">
        <f aca="false">IF(OR(#REF!&gt;2,#REF!&lt;-2),"",#REF!)</f>
        <v>#REF!</v>
      </c>
      <c r="EQ10" s="7" t="e">
        <f aca="false">IF(OR(#REF!&gt;2,#REF!&lt;-2),"",#REF!)</f>
        <v>#REF!</v>
      </c>
      <c r="ER10" s="7" t="e">
        <f aca="false">IF(OR(#REF!&gt;2,#REF!&lt;-2),"",#REF!)</f>
        <v>#REF!</v>
      </c>
      <c r="ES10" s="7" t="e">
        <f aca="false">IF(OR(#REF!&gt;2,#REF!&lt;-2),"",#REF!)</f>
        <v>#REF!</v>
      </c>
      <c r="ET10" s="7" t="e">
        <f aca="false">IF(OR(#REF!&gt;2,#REF!&lt;-2),"",#REF!)</f>
        <v>#REF!</v>
      </c>
      <c r="EU10" s="7" t="e">
        <f aca="false">IF(OR(#REF!&gt;2,#REF!&lt;-2),"",#REF!)</f>
        <v>#REF!</v>
      </c>
      <c r="EV10" s="7" t="e">
        <f aca="false">IF(OR(#REF!&gt;2,#REF!&lt;-2),"",#REF!)</f>
        <v>#REF!</v>
      </c>
      <c r="EW10" s="7" t="e">
        <f aca="false">IF(OR(#REF!&gt;2,#REF!&lt;-2),"",#REF!)</f>
        <v>#REF!</v>
      </c>
      <c r="EX10" s="7" t="e">
        <f aca="false">IF(OR(#REF!&gt;2,#REF!&lt;-2),"",#REF!)</f>
        <v>#REF!</v>
      </c>
      <c r="EY10" s="7" t="e">
        <f aca="false">IF(OR(#REF!&gt;2,#REF!&lt;-2),"",#REF!)</f>
        <v>#REF!</v>
      </c>
      <c r="EZ10" s="7" t="e">
        <f aca="false">IF(OR(#REF!&gt;2,#REF!&lt;-2),"",#REF!)</f>
        <v>#REF!</v>
      </c>
      <c r="FA10" s="7" t="e">
        <f aca="false">IF(OR(#REF!&gt;2,#REF!&lt;-2),"",#REF!)</f>
        <v>#REF!</v>
      </c>
      <c r="FB10" s="7" t="e">
        <f aca="false">IF(OR(#REF!&gt;2,#REF!&lt;-2),"",#REF!)</f>
        <v>#REF!</v>
      </c>
      <c r="FC10" s="7" t="e">
        <f aca="false">IF(OR(#REF!&gt;2,#REF!&lt;-2),"",#REF!)</f>
        <v>#REF!</v>
      </c>
      <c r="FD10" s="7" t="e">
        <f aca="false">IF(OR(#REF!&gt;2,#REF!&lt;-2),"",#REF!)</f>
        <v>#REF!</v>
      </c>
      <c r="FE10" s="7" t="e">
        <f aca="false">IF(OR(#REF!&gt;2,#REF!&lt;-2),"",#REF!)</f>
        <v>#REF!</v>
      </c>
      <c r="FF10" s="7" t="e">
        <f aca="false">IF(OR(#REF!&gt;2,#REF!&lt;-2),"",#REF!)</f>
        <v>#REF!</v>
      </c>
      <c r="FG10" s="7" t="e">
        <f aca="false">IF(OR(#REF!&gt;2,#REF!&lt;-2),"",#REF!)</f>
        <v>#REF!</v>
      </c>
      <c r="FH10" s="7" t="e">
        <f aca="false">IF(OR(#REF!&gt;2,#REF!&lt;-2),"",#REF!)</f>
        <v>#REF!</v>
      </c>
      <c r="FI10" s="7" t="e">
        <f aca="false">IF(OR(#REF!&gt;2,#REF!&lt;-2),"",#REF!)</f>
        <v>#REF!</v>
      </c>
      <c r="FJ10" s="7" t="e">
        <f aca="false">IF(OR(#REF!&gt;2,#REF!&lt;-2),"",#REF!)</f>
        <v>#REF!</v>
      </c>
      <c r="FK10" s="7" t="e">
        <f aca="false">IF(OR(#REF!&gt;2,#REF!&lt;-2),"",#REF!)</f>
        <v>#REF!</v>
      </c>
      <c r="FL10" s="7" t="e">
        <f aca="false">IF(OR(#REF!&gt;2,#REF!&lt;-2),"",#REF!)</f>
        <v>#REF!</v>
      </c>
      <c r="FM10" s="7" t="e">
        <f aca="false">IF(OR(#REF!&gt;2,#REF!&lt;-2),"",#REF!)</f>
        <v>#REF!</v>
      </c>
      <c r="FN10" s="7" t="e">
        <f aca="false">IF(OR(#REF!&gt;2,#REF!&lt;-2),"",#REF!)</f>
        <v>#REF!</v>
      </c>
      <c r="FO10" s="7" t="e">
        <f aca="false">IF(OR(#REF!&gt;2,#REF!&lt;-2),"",#REF!)</f>
        <v>#REF!</v>
      </c>
      <c r="FP10" s="7" t="e">
        <f aca="false">IF(OR(#REF!&gt;2,#REF!&lt;-2),"",#REF!)</f>
        <v>#REF!</v>
      </c>
      <c r="FQ10" s="7" t="e">
        <f aca="false">IF(OR(#REF!&gt;2,#REF!&lt;-2),"",#REF!)</f>
        <v>#REF!</v>
      </c>
      <c r="FR10" s="7" t="e">
        <f aca="false">IF(OR(#REF!&gt;2,#REF!&lt;-2),"",#REF!)</f>
        <v>#REF!</v>
      </c>
      <c r="FS10" s="7" t="e">
        <f aca="false">IF(OR(#REF!&gt;2,#REF!&lt;-2),"",#REF!)</f>
        <v>#REF!</v>
      </c>
      <c r="FT10" s="7" t="e">
        <f aca="false">IF(OR(#REF!&gt;2,#REF!&lt;-2),"",#REF!)</f>
        <v>#REF!</v>
      </c>
      <c r="FU10" s="7" t="e">
        <f aca="false">IF(OR(#REF!&gt;2,#REF!&lt;-2),"",#REF!)</f>
        <v>#REF!</v>
      </c>
      <c r="FV10" s="7" t="e">
        <f aca="false">IF(OR(#REF!&gt;2,#REF!&lt;-2),"",#REF!)</f>
        <v>#REF!</v>
      </c>
      <c r="FW10" s="7" t="e">
        <f aca="false">IF(OR(#REF!&gt;2,#REF!&lt;-2),"",#REF!)</f>
        <v>#REF!</v>
      </c>
      <c r="FX10" s="7" t="e">
        <f aca="false">IF(OR(#REF!&gt;2,#REF!&lt;-2),"",#REF!)</f>
        <v>#REF!</v>
      </c>
      <c r="FY10" s="7" t="e">
        <f aca="false">IF(OR(#REF!&gt;2,#REF!&lt;-2),"",#REF!)</f>
        <v>#REF!</v>
      </c>
      <c r="FZ10" s="7" t="e">
        <f aca="false">IF(OR(#REF!&gt;2,#REF!&lt;-2),"",#REF!)</f>
        <v>#REF!</v>
      </c>
      <c r="GA10" s="7" t="e">
        <f aca="false">IF(OR(#REF!&gt;2,#REF!&lt;-2),"",#REF!)</f>
        <v>#REF!</v>
      </c>
      <c r="GB10" s="7" t="e">
        <f aca="false">IF(OR(#REF!&gt;2,#REF!&lt;-2),"",#REF!)</f>
        <v>#REF!</v>
      </c>
      <c r="GC10" s="7" t="e">
        <f aca="false">IF(OR(#REF!&gt;2,#REF!&lt;-2),"",#REF!)</f>
        <v>#REF!</v>
      </c>
      <c r="GD10" s="7" t="e">
        <f aca="false">IF(OR(#REF!&gt;2,#REF!&lt;-2),"",#REF!)</f>
        <v>#REF!</v>
      </c>
      <c r="GE10" s="7" t="e">
        <f aca="false">IF(OR(#REF!&gt;2,#REF!&lt;-2),"",#REF!)</f>
        <v>#REF!</v>
      </c>
      <c r="GF10" s="7" t="e">
        <f aca="false">IF(OR(#REF!&gt;2,#REF!&lt;-2),"",#REF!)</f>
        <v>#REF!</v>
      </c>
      <c r="GG10" s="7" t="e">
        <f aca="false">IF(OR(#REF!&gt;2,#REF!&lt;-2),"",#REF!)</f>
        <v>#REF!</v>
      </c>
      <c r="GH10" s="7" t="e">
        <f aca="false">IF(OR(#REF!&gt;2,#REF!&lt;-2),"",#REF!)</f>
        <v>#REF!</v>
      </c>
      <c r="GI10" s="7" t="e">
        <f aca="false">IF(OR(#REF!&gt;2,#REF!&lt;-2),"",#REF!)</f>
        <v>#REF!</v>
      </c>
      <c r="GJ10" s="7" t="e">
        <f aca="false">IF(OR(#REF!&gt;2,#REF!&lt;-2),"",#REF!)</f>
        <v>#REF!</v>
      </c>
      <c r="GK10" s="7" t="e">
        <f aca="false">IF(OR(#REF!&gt;2,#REF!&lt;-2),"",#REF!)</f>
        <v>#REF!</v>
      </c>
      <c r="GL10" s="7" t="e">
        <f aca="false">IF(OR(#REF!&gt;2,#REF!&lt;-2),"",#REF!)</f>
        <v>#REF!</v>
      </c>
      <c r="GM10" s="7" t="e">
        <f aca="false">IF(OR(#REF!&gt;2,#REF!&lt;-2),"",#REF!)</f>
        <v>#REF!</v>
      </c>
      <c r="GN10" s="7" t="e">
        <f aca="false">IF(OR(#REF!&gt;2,#REF!&lt;-2),"",#REF!)</f>
        <v>#REF!</v>
      </c>
      <c r="GO10" s="7" t="e">
        <f aca="false">IF(OR(#REF!&gt;2,#REF!&lt;-2),"",#REF!)</f>
        <v>#REF!</v>
      </c>
      <c r="GP10" s="7" t="e">
        <f aca="false">IF(OR(#REF!&gt;2,#REF!&lt;-2),"",#REF!)</f>
        <v>#REF!</v>
      </c>
      <c r="GQ10" s="7" t="e">
        <f aca="false">IF(OR(#REF!&gt;2,#REF!&lt;-2),"",#REF!)</f>
        <v>#REF!</v>
      </c>
      <c r="GR10" s="7" t="e">
        <f aca="false">IF(OR(#REF!&gt;2,#REF!&lt;-2),"",#REF!)</f>
        <v>#REF!</v>
      </c>
      <c r="GS10" s="7" t="e">
        <f aca="false">IF(OR(#REF!&gt;2,#REF!&lt;-2),"",#REF!)</f>
        <v>#REF!</v>
      </c>
      <c r="GT10" s="7" t="e">
        <f aca="false">IF(OR(#REF!&gt;2,#REF!&lt;-2),"",#REF!)</f>
        <v>#REF!</v>
      </c>
      <c r="GU10" s="7" t="e">
        <f aca="false">IF(OR(#REF!&gt;2,#REF!&lt;-2),"",#REF!)</f>
        <v>#REF!</v>
      </c>
      <c r="GV10" s="7" t="e">
        <f aca="false">IF(OR(#REF!&gt;2,#REF!&lt;-2),"",#REF!)</f>
        <v>#REF!</v>
      </c>
      <c r="GW10" s="7" t="e">
        <f aca="false">IF(OR(#REF!&gt;2,#REF!&lt;-2),"",#REF!)</f>
        <v>#REF!</v>
      </c>
      <c r="GX10" s="7" t="e">
        <f aca="false">IF(OR(#REF!&gt;2,#REF!&lt;-2),"",#REF!)</f>
        <v>#REF!</v>
      </c>
      <c r="GY10" s="7" t="e">
        <f aca="false">IF(OR(#REF!&gt;2,#REF!&lt;-2),"",#REF!)</f>
        <v>#REF!</v>
      </c>
      <c r="GZ10" s="7" t="e">
        <f aca="false">IF(OR(#REF!&gt;2,#REF!&lt;-2),"",#REF!)</f>
        <v>#REF!</v>
      </c>
      <c r="HA10" s="7" t="e">
        <f aca="false">IF(OR(#REF!&gt;2,#REF!&lt;-2),"",#REF!)</f>
        <v>#REF!</v>
      </c>
      <c r="HB10" s="7" t="e">
        <f aca="false">IF(OR(#REF!&gt;2,#REF!&lt;-2),"",#REF!)</f>
        <v>#REF!</v>
      </c>
      <c r="HC10" s="7" t="e">
        <f aca="false">IF(OR(#REF!&gt;2,#REF!&lt;-2),"",#REF!)</f>
        <v>#REF!</v>
      </c>
      <c r="HD10" s="7" t="e">
        <f aca="false">IF(OR(#REF!&gt;2,#REF!&lt;-2),"",#REF!)</f>
        <v>#REF!</v>
      </c>
      <c r="HE10" s="7" t="e">
        <f aca="false">IF(OR(#REF!&gt;2,#REF!&lt;-2),"",#REF!)</f>
        <v>#REF!</v>
      </c>
      <c r="HF10" s="7" t="e">
        <f aca="false">IF(OR(#REF!&gt;2,#REF!&lt;-2),"",#REF!)</f>
        <v>#REF!</v>
      </c>
      <c r="HG10" s="7" t="e">
        <f aca="false">IF(OR(#REF!&gt;2,#REF!&lt;-2),"",#REF!)</f>
        <v>#REF!</v>
      </c>
      <c r="HH10" s="7" t="e">
        <f aca="false">IF(OR(#REF!&gt;2,#REF!&lt;-2),"",#REF!)</f>
        <v>#REF!</v>
      </c>
      <c r="HI10" s="7" t="e">
        <f aca="false">IF(OR(#REF!&gt;2,#REF!&lt;-2),"",#REF!)</f>
        <v>#REF!</v>
      </c>
      <c r="HJ10" s="7" t="e">
        <f aca="false">IF(OR(#REF!&gt;2,#REF!&lt;-2),"",#REF!)</f>
        <v>#REF!</v>
      </c>
      <c r="HK10" s="7" t="e">
        <f aca="false">IF(OR(#REF!&gt;2,#REF!&lt;-2),"",#REF!)</f>
        <v>#REF!</v>
      </c>
      <c r="HL10" s="7" t="e">
        <f aca="false">IF(OR(#REF!&gt;2,#REF!&lt;-2),"",#REF!)</f>
        <v>#REF!</v>
      </c>
      <c r="HM10" s="7" t="e">
        <f aca="false">IF(OR(#REF!&gt;2,#REF!&lt;-2),"",#REF!)</f>
        <v>#REF!</v>
      </c>
      <c r="HN10" s="7" t="e">
        <f aca="false">IF(OR(#REF!&gt;2,#REF!&lt;-2),"",#REF!)</f>
        <v>#REF!</v>
      </c>
      <c r="HO10" s="7" t="e">
        <f aca="false">IF(OR(#REF!&gt;2,#REF!&lt;-2),"",#REF!)</f>
        <v>#REF!</v>
      </c>
      <c r="HP10" s="7" t="e">
        <f aca="false">IF(OR(#REF!&gt;2,#REF!&lt;-2),"",#REF!)</f>
        <v>#REF!</v>
      </c>
      <c r="HQ10" s="7" t="e">
        <f aca="false">IF(OR(#REF!&gt;2,#REF!&lt;-2),"",#REF!)</f>
        <v>#REF!</v>
      </c>
      <c r="HR10" s="7" t="e">
        <f aca="false">IF(OR(#REF!&gt;2,#REF!&lt;-2),"",#REF!)</f>
        <v>#REF!</v>
      </c>
      <c r="HS10" s="7" t="e">
        <f aca="false">IF(OR(#REF!&gt;2,#REF!&lt;-2),"",#REF!)</f>
        <v>#REF!</v>
      </c>
      <c r="HT10" s="7" t="e">
        <f aca="false">IF(OR(#REF!&gt;2,#REF!&lt;-2),"",#REF!)</f>
        <v>#REF!</v>
      </c>
      <c r="HU10" s="7" t="e">
        <f aca="false">IF(OR(#REF!&gt;2,#REF!&lt;-2),"",#REF!)</f>
        <v>#REF!</v>
      </c>
      <c r="HV10" s="7" t="e">
        <f aca="false">IF(OR(#REF!&gt;2,#REF!&lt;-2),"",#REF!)</f>
        <v>#REF!</v>
      </c>
      <c r="HW10" s="7" t="e">
        <f aca="false">IF(OR(#REF!&gt;2,#REF!&lt;-2),"",#REF!)</f>
        <v>#REF!</v>
      </c>
      <c r="HX10" s="7" t="e">
        <f aca="false">IF(OR(#REF!&gt;2,#REF!&lt;-2),"",#REF!)</f>
        <v>#REF!</v>
      </c>
      <c r="HY10" s="7" t="e">
        <f aca="false">IF(OR(#REF!&gt;2,#REF!&lt;-2),"",#REF!)</f>
        <v>#REF!</v>
      </c>
      <c r="HZ10" s="7" t="e">
        <f aca="false">IF(OR(#REF!&gt;2,#REF!&lt;-2),"",#REF!)</f>
        <v>#REF!</v>
      </c>
      <c r="IA10" s="7" t="e">
        <f aca="false">IF(OR(#REF!&gt;2,#REF!&lt;-2),"",#REF!)</f>
        <v>#REF!</v>
      </c>
      <c r="IB10" s="7" t="e">
        <f aca="false">IF(OR(#REF!&gt;2,#REF!&lt;-2),"",#REF!)</f>
        <v>#REF!</v>
      </c>
      <c r="IC10" s="7" t="e">
        <f aca="false">IF(OR(#REF!&gt;2,#REF!&lt;-2),"",#REF!)</f>
        <v>#REF!</v>
      </c>
      <c r="ID10" s="7" t="e">
        <f aca="false">IF(OR(#REF!&gt;2,#REF!&lt;-2),"",#REF!)</f>
        <v>#REF!</v>
      </c>
      <c r="IE10" s="7" t="e">
        <f aca="false">IF(OR(#REF!&gt;2,#REF!&lt;-2),"",#REF!)</f>
        <v>#REF!</v>
      </c>
      <c r="IF10" s="7" t="e">
        <f aca="false">IF(OR(#REF!&gt;2,#REF!&lt;-2),"",#REF!)</f>
        <v>#REF!</v>
      </c>
      <c r="IG10" s="7" t="e">
        <f aca="false">IF(OR(#REF!&gt;2,#REF!&lt;-2),"",#REF!)</f>
        <v>#REF!</v>
      </c>
      <c r="IH10" s="7" t="e">
        <f aca="false">IF(OR(#REF!&gt;2,#REF!&lt;-2),"",#REF!)</f>
        <v>#REF!</v>
      </c>
      <c r="II10" s="7" t="e">
        <f aca="false">IF(OR(#REF!&gt;2,#REF!&lt;-2),"",#REF!)</f>
        <v>#REF!</v>
      </c>
      <c r="IJ10" s="7" t="e">
        <f aca="false">IF(OR(#REF!&gt;2,#REF!&lt;-2),"",#REF!)</f>
        <v>#REF!</v>
      </c>
      <c r="IK10" s="7" t="e">
        <f aca="false">IF(OR(#REF!&gt;2,#REF!&lt;-2),"",#REF!)</f>
        <v>#REF!</v>
      </c>
      <c r="IL10" s="7" t="e">
        <f aca="false">IF(OR(#REF!&gt;2,#REF!&lt;-2),"",#REF!)</f>
        <v>#REF!</v>
      </c>
      <c r="IM10" s="7" t="e">
        <f aca="false">IF(OR(#REF!&gt;2,#REF!&lt;-2),"",#REF!)</f>
        <v>#REF!</v>
      </c>
      <c r="IN10" s="7" t="e">
        <f aca="false">IF(OR(#REF!&gt;2,#REF!&lt;-2),"",#REF!)</f>
        <v>#REF!</v>
      </c>
      <c r="IO10" s="7" t="e">
        <f aca="false">IF(OR(#REF!&gt;2,#REF!&lt;-2),"",#REF!)</f>
        <v>#REF!</v>
      </c>
      <c r="IP10" s="7" t="e">
        <f aca="false">IF(OR(#REF!&gt;2,#REF!&lt;-2),"",#REF!)</f>
        <v>#REF!</v>
      </c>
      <c r="IQ10" s="7" t="e">
        <f aca="false">IF(OR(#REF!&gt;2,#REF!&lt;-2),"",#REF!)</f>
        <v>#REF!</v>
      </c>
      <c r="IR10" s="7" t="e">
        <f aca="false">IF(OR(#REF!&gt;2,#REF!&lt;-2),"",#REF!)</f>
        <v>#REF!</v>
      </c>
      <c r="IS10" s="7" t="e">
        <f aca="false">IF(OR(#REF!&gt;2,#REF!&lt;-2),"",#REF!)</f>
        <v>#REF!</v>
      </c>
      <c r="IT10" s="7" t="e">
        <f aca="false">IF(OR(#REF!&gt;2,#REF!&lt;-2),"",#REF!)</f>
        <v>#REF!</v>
      </c>
      <c r="IU10" s="7" t="e">
        <f aca="false">IF(OR(#REF!&gt;2,#REF!&lt;-2),"",#REF!)</f>
        <v>#REF!</v>
      </c>
      <c r="IV10" s="7" t="e">
        <f aca="false">IF(OR(#REF!&gt;2,#REF!&lt;-2),"",#REF!)</f>
        <v>#REF!</v>
      </c>
      <c r="IW10" s="7" t="e">
        <f aca="false">IF(OR(#REF!&gt;2,#REF!&lt;-2),"",#REF!)</f>
        <v>#REF!</v>
      </c>
      <c r="IX10" s="7" t="e">
        <f aca="false">IF(OR(#REF!&gt;2,#REF!&lt;-2),"",#REF!)</f>
        <v>#REF!</v>
      </c>
      <c r="IY10" s="7" t="e">
        <f aca="false">IF(OR(#REF!&gt;2,#REF!&lt;-2),"",#REF!)</f>
        <v>#REF!</v>
      </c>
      <c r="IZ10" s="7" t="e">
        <f aca="false">IF(OR(#REF!&gt;2,#REF!&lt;-2),"",#REF!)</f>
        <v>#REF!</v>
      </c>
      <c r="JA10" s="7" t="e">
        <f aca="false">IF(OR(#REF!&gt;2,#REF!&lt;-2),"",#REF!)</f>
        <v>#REF!</v>
      </c>
      <c r="JB10" s="7" t="e">
        <f aca="false">IF(OR(#REF!&gt;2,#REF!&lt;-2),"",#REF!)</f>
        <v>#REF!</v>
      </c>
      <c r="JC10" s="7" t="e">
        <f aca="false">IF(OR(#REF!&gt;2,#REF!&lt;-2),"",#REF!)</f>
        <v>#REF!</v>
      </c>
      <c r="JD10" s="7" t="e">
        <f aca="false">IF(OR(#REF!&gt;2,#REF!&lt;-2),"",#REF!)</f>
        <v>#REF!</v>
      </c>
      <c r="JE10" s="7" t="e">
        <f aca="false">IF(OR(#REF!&gt;2,#REF!&lt;-2),"",#REF!)</f>
        <v>#REF!</v>
      </c>
      <c r="JF10" s="7" t="e">
        <f aca="false">IF(OR(#REF!&gt;2,#REF!&lt;-2),"",#REF!)</f>
        <v>#REF!</v>
      </c>
      <c r="JG10" s="7" t="e">
        <f aca="false">IF(OR(#REF!&gt;2,#REF!&lt;-2),"",#REF!)</f>
        <v>#REF!</v>
      </c>
      <c r="JH10" s="7" t="e">
        <f aca="false">IF(OR(#REF!&gt;2,#REF!&lt;-2),"",#REF!)</f>
        <v>#REF!</v>
      </c>
      <c r="JI10" s="7" t="e">
        <f aca="false">IF(OR(#REF!&gt;2,#REF!&lt;-2),"",#REF!)</f>
        <v>#REF!</v>
      </c>
      <c r="JJ10" s="7" t="e">
        <f aca="false">IF(OR(#REF!&gt;2,#REF!&lt;-2),"",#REF!)</f>
        <v>#REF!</v>
      </c>
      <c r="JK10" s="7" t="e">
        <f aca="false">IF(OR(#REF!&gt;2,#REF!&lt;-2),"",#REF!)</f>
        <v>#REF!</v>
      </c>
      <c r="JL10" s="7" t="e">
        <f aca="false">IF(OR(#REF!&gt;2,#REF!&lt;-2),"",#REF!)</f>
        <v>#REF!</v>
      </c>
      <c r="JM10" s="7" t="e">
        <f aca="false">IF(OR(#REF!&gt;2,#REF!&lt;-2),"",#REF!)</f>
        <v>#REF!</v>
      </c>
      <c r="JN10" s="7" t="e">
        <f aca="false">IF(OR(#REF!&gt;2,#REF!&lt;-2),"",#REF!)</f>
        <v>#REF!</v>
      </c>
      <c r="JO10" s="7" t="e">
        <f aca="false">IF(OR(#REF!&gt;2,#REF!&lt;-2),"",#REF!)</f>
        <v>#REF!</v>
      </c>
      <c r="JP10" s="7" t="e">
        <f aca="false">IF(OR(#REF!&gt;2,#REF!&lt;-2),"",#REF!)</f>
        <v>#REF!</v>
      </c>
      <c r="JQ10" s="7" t="e">
        <f aca="false">IF(OR(#REF!&gt;2,#REF!&lt;-2),"",#REF!)</f>
        <v>#REF!</v>
      </c>
      <c r="JR10" s="7" t="e">
        <f aca="false">IF(OR(#REF!&gt;2,#REF!&lt;-2),"",#REF!)</f>
        <v>#REF!</v>
      </c>
      <c r="JS10" s="7" t="e">
        <f aca="false">IF(OR(#REF!&gt;2,#REF!&lt;-2),"",#REF!)</f>
        <v>#REF!</v>
      </c>
      <c r="JT10" s="7" t="e">
        <f aca="false">IF(OR(#REF!&gt;2,#REF!&lt;-2),"",#REF!)</f>
        <v>#REF!</v>
      </c>
      <c r="JU10" s="7" t="e">
        <f aca="false">IF(OR(#REF!&gt;2,#REF!&lt;-2),"",#REF!)</f>
        <v>#REF!</v>
      </c>
      <c r="JV10" s="7" t="e">
        <f aca="false">IF(OR(#REF!&gt;2,#REF!&lt;-2),"",#REF!)</f>
        <v>#REF!</v>
      </c>
      <c r="JW10" s="7" t="e">
        <f aca="false">IF(OR(#REF!&gt;2,#REF!&lt;-2),"",#REF!)</f>
        <v>#REF!</v>
      </c>
      <c r="JX10" s="7" t="e">
        <f aca="false">IF(OR(#REF!&gt;2,#REF!&lt;-2),"",#REF!)</f>
        <v>#REF!</v>
      </c>
      <c r="JY10" s="7" t="e">
        <f aca="false">IF(OR(#REF!&gt;2,#REF!&lt;-2),"",#REF!)</f>
        <v>#REF!</v>
      </c>
      <c r="JZ10" s="7" t="e">
        <f aca="false">IF(OR(#REF!&gt;2,#REF!&lt;-2),"",#REF!)</f>
        <v>#REF!</v>
      </c>
      <c r="KA10" s="7" t="e">
        <f aca="false">IF(OR(#REF!&gt;2,#REF!&lt;-2),"",#REF!)</f>
        <v>#REF!</v>
      </c>
      <c r="KB10" s="7" t="e">
        <f aca="false">IF(OR(#REF!&gt;2,#REF!&lt;-2),"",#REF!)</f>
        <v>#REF!</v>
      </c>
      <c r="KC10" s="7" t="e">
        <f aca="false">IF(OR(#REF!&gt;2,#REF!&lt;-2),"",#REF!)</f>
        <v>#REF!</v>
      </c>
      <c r="KD10" s="7" t="e">
        <f aca="false">IF(OR(#REF!&gt;2,#REF!&lt;-2),"",#REF!)</f>
        <v>#REF!</v>
      </c>
      <c r="KE10" s="7" t="e">
        <f aca="false">IF(OR(#REF!&gt;2,#REF!&lt;-2),"",#REF!)</f>
        <v>#REF!</v>
      </c>
      <c r="KF10" s="7" t="e">
        <f aca="false">IF(OR(#REF!&gt;2,#REF!&lt;-2),"",#REF!)</f>
        <v>#REF!</v>
      </c>
      <c r="KG10" s="7" t="e">
        <f aca="false">IF(OR(#REF!&gt;2,#REF!&lt;-2),"",#REF!)</f>
        <v>#REF!</v>
      </c>
      <c r="KH10" s="7" t="e">
        <f aca="false">IF(OR(#REF!&gt;2,#REF!&lt;-2),"",#REF!)</f>
        <v>#REF!</v>
      </c>
      <c r="KI10" s="7" t="e">
        <f aca="false">IF(OR(#REF!&gt;2,#REF!&lt;-2),"",#REF!)</f>
        <v>#REF!</v>
      </c>
      <c r="KJ10" s="7" t="e">
        <f aca="false">IF(OR(#REF!&gt;2,#REF!&lt;-2),"",#REF!)</f>
        <v>#REF!</v>
      </c>
      <c r="KK10" s="7" t="e">
        <f aca="false">IF(OR(#REF!&gt;2,#REF!&lt;-2),"",#REF!)</f>
        <v>#REF!</v>
      </c>
      <c r="KL10" s="7" t="e">
        <f aca="false">IF(OR(#REF!&gt;2,#REF!&lt;-2),"",#REF!)</f>
        <v>#REF!</v>
      </c>
      <c r="KM10" s="7" t="e">
        <f aca="false">IF(OR(#REF!&gt;2,#REF!&lt;-2),"",#REF!)</f>
        <v>#REF!</v>
      </c>
      <c r="KN10" s="7" t="e">
        <f aca="false">IF(OR(#REF!&gt;2,#REF!&lt;-2),"",#REF!)</f>
        <v>#REF!</v>
      </c>
      <c r="KO10" s="7" t="e">
        <f aca="false">IF(OR(#REF!&gt;2,#REF!&lt;-2),"",#REF!)</f>
        <v>#REF!</v>
      </c>
      <c r="KP10" s="7" t="e">
        <f aca="false">IF(OR(#REF!&gt;2,#REF!&lt;-2),"",#REF!)</f>
        <v>#REF!</v>
      </c>
      <c r="KQ10" s="7" t="e">
        <f aca="false">IF(OR(#REF!&gt;2,#REF!&lt;-2),"",#REF!)</f>
        <v>#REF!</v>
      </c>
      <c r="KR10" s="7" t="e">
        <f aca="false">IF(OR(#REF!&gt;2,#REF!&lt;-2),"",#REF!)</f>
        <v>#REF!</v>
      </c>
      <c r="KS10" s="7" t="e">
        <f aca="false">IF(OR(#REF!&gt;2,#REF!&lt;-2),"",#REF!)</f>
        <v>#REF!</v>
      </c>
      <c r="KT10" s="7" t="e">
        <f aca="false">IF(OR(#REF!&gt;2,#REF!&lt;-2),"",#REF!)</f>
        <v>#REF!</v>
      </c>
      <c r="KU10" s="7" t="e">
        <f aca="false">IF(OR(#REF!&gt;2,#REF!&lt;-2),"",#REF!)</f>
        <v>#REF!</v>
      </c>
      <c r="KV10" s="7" t="e">
        <f aca="false">IF(OR(#REF!&gt;2,#REF!&lt;-2),"",#REF!)</f>
        <v>#REF!</v>
      </c>
      <c r="KW10" s="7" t="e">
        <f aca="false">IF(OR(#REF!&gt;2,#REF!&lt;-2),"",#REF!)</f>
        <v>#REF!</v>
      </c>
      <c r="KX10" s="7" t="e">
        <f aca="false">IF(OR(#REF!&gt;2,#REF!&lt;-2),"",#REF!)</f>
        <v>#REF!</v>
      </c>
      <c r="KY10" s="7" t="e">
        <f aca="false">IF(OR(#REF!&gt;2,#REF!&lt;-2),"",#REF!)</f>
        <v>#REF!</v>
      </c>
      <c r="KZ10" s="7" t="e">
        <f aca="false">IF(OR(#REF!&gt;2,#REF!&lt;-2),"",#REF!)</f>
        <v>#REF!</v>
      </c>
      <c r="LA10" s="7" t="e">
        <f aca="false">IF(OR(#REF!&gt;2,#REF!&lt;-2),"",#REF!)</f>
        <v>#REF!</v>
      </c>
      <c r="LB10" s="7" t="e">
        <f aca="false">IF(OR(#REF!&gt;2,#REF!&lt;-2),"",#REF!)</f>
        <v>#REF!</v>
      </c>
      <c r="LC10" s="7" t="e">
        <f aca="false">IF(OR(#REF!&gt;2,#REF!&lt;-2),"",#REF!)</f>
        <v>#REF!</v>
      </c>
      <c r="LD10" s="7" t="e">
        <f aca="false">IF(OR(#REF!&gt;2,#REF!&lt;-2),"",#REF!)</f>
        <v>#REF!</v>
      </c>
      <c r="LE10" s="7" t="e">
        <f aca="false">IF(OR(#REF!&gt;2,#REF!&lt;-2),"",#REF!)</f>
        <v>#REF!</v>
      </c>
      <c r="LF10" s="7" t="e">
        <f aca="false">IF(OR(#REF!&gt;2,#REF!&lt;-2),"",#REF!)</f>
        <v>#REF!</v>
      </c>
      <c r="LG10" s="7" t="e">
        <f aca="false">IF(OR(#REF!&gt;2,#REF!&lt;-2),"",#REF!)</f>
        <v>#REF!</v>
      </c>
      <c r="LH10" s="7" t="e">
        <f aca="false">IF(OR(#REF!&gt;2,#REF!&lt;-2),"",#REF!)</f>
        <v>#REF!</v>
      </c>
      <c r="LI10" s="7" t="e">
        <f aca="false">IF(OR(#REF!&gt;2,#REF!&lt;-2),"",#REF!)</f>
        <v>#REF!</v>
      </c>
      <c r="LJ10" s="7" t="e">
        <f aca="false">IF(OR(#REF!&gt;2,#REF!&lt;-2),"",#REF!)</f>
        <v>#REF!</v>
      </c>
      <c r="LK10" s="7" t="e">
        <f aca="false">IF(OR(#REF!&gt;2,#REF!&lt;-2),"",#REF!)</f>
        <v>#REF!</v>
      </c>
      <c r="LL10" s="7" t="e">
        <f aca="false">IF(OR(#REF!&gt;2,#REF!&lt;-2),"",#REF!)</f>
        <v>#REF!</v>
      </c>
      <c r="LM10" s="7" t="e">
        <f aca="false">IF(OR(#REF!&gt;2,#REF!&lt;-2),"",#REF!)</f>
        <v>#REF!</v>
      </c>
      <c r="LN10" s="7" t="e">
        <f aca="false">IF(OR(#REF!&gt;2,#REF!&lt;-2),"",#REF!)</f>
        <v>#REF!</v>
      </c>
      <c r="LO10" s="7" t="e">
        <f aca="false">IF(OR(#REF!&gt;2,#REF!&lt;-2),"",#REF!)</f>
        <v>#REF!</v>
      </c>
      <c r="LP10" s="7" t="e">
        <f aca="false">IF(OR(#REF!&gt;2,#REF!&lt;-2),"",#REF!)</f>
        <v>#REF!</v>
      </c>
      <c r="LQ10" s="7" t="e">
        <f aca="false">IF(OR(#REF!&gt;2,#REF!&lt;-2),"",#REF!)</f>
        <v>#REF!</v>
      </c>
      <c r="LR10" s="7" t="e">
        <f aca="false">IF(OR(#REF!&gt;2,#REF!&lt;-2),"",#REF!)</f>
        <v>#REF!</v>
      </c>
      <c r="LS10" s="7" t="e">
        <f aca="false">IF(OR(#REF!&gt;2,#REF!&lt;-2),"",#REF!)</f>
        <v>#REF!</v>
      </c>
      <c r="LT10" s="7" t="e">
        <f aca="false">IF(OR(#REF!&gt;2,#REF!&lt;-2),"",#REF!)</f>
        <v>#REF!</v>
      </c>
      <c r="LU10" s="7" t="e">
        <f aca="false">IF(OR(#REF!&gt;2,#REF!&lt;-2),"",#REF!)</f>
        <v>#REF!</v>
      </c>
      <c r="LV10" s="7" t="e">
        <f aca="false">IF(OR(#REF!&gt;2,#REF!&lt;-2),"",#REF!)</f>
        <v>#REF!</v>
      </c>
      <c r="LW10" s="7" t="e">
        <f aca="false">IF(OR(#REF!&gt;2,#REF!&lt;-2),"",#REF!)</f>
        <v>#REF!</v>
      </c>
      <c r="LX10" s="7" t="e">
        <f aca="false">IF(OR(#REF!&gt;2,#REF!&lt;-2),"",#REF!)</f>
        <v>#REF!</v>
      </c>
      <c r="LY10" s="7" t="e">
        <f aca="false">IF(OR(#REF!&gt;2,#REF!&lt;-2),"",#REF!)</f>
        <v>#REF!</v>
      </c>
      <c r="LZ10" s="7" t="e">
        <f aca="false">IF(OR(#REF!&gt;2,#REF!&lt;-2),"",#REF!)</f>
        <v>#REF!</v>
      </c>
      <c r="MA10" s="7" t="e">
        <f aca="false">IF(OR(#REF!&gt;2,#REF!&lt;-2),"",#REF!)</f>
        <v>#REF!</v>
      </c>
      <c r="MB10" s="7" t="e">
        <f aca="false">IF(OR(#REF!&gt;2,#REF!&lt;-2),"",#REF!)</f>
        <v>#REF!</v>
      </c>
      <c r="MC10" s="7" t="e">
        <f aca="false">IF(OR(#REF!&gt;2,#REF!&lt;-2),"",#REF!)</f>
        <v>#REF!</v>
      </c>
      <c r="MD10" s="7" t="e">
        <f aca="false">IF(OR(#REF!&gt;2,#REF!&lt;-2),"",#REF!)</f>
        <v>#REF!</v>
      </c>
      <c r="ME10" s="7" t="e">
        <f aca="false">IF(OR(#REF!&gt;2,#REF!&lt;-2),"",#REF!)</f>
        <v>#REF!</v>
      </c>
      <c r="MF10" s="7" t="e">
        <f aca="false">IF(OR(#REF!&gt;2,#REF!&lt;-2),"",#REF!)</f>
        <v>#REF!</v>
      </c>
      <c r="MG10" s="7" t="e">
        <f aca="false">IF(OR(#REF!&gt;2,#REF!&lt;-2),"",#REF!)</f>
        <v>#REF!</v>
      </c>
      <c r="MH10" s="7" t="e">
        <f aca="false">IF(OR(#REF!&gt;2,#REF!&lt;-2),"",#REF!)</f>
        <v>#REF!</v>
      </c>
      <c r="MI10" s="7" t="e">
        <f aca="false">IF(OR(#REF!&gt;2,#REF!&lt;-2),"",#REF!)</f>
        <v>#REF!</v>
      </c>
      <c r="MJ10" s="7" t="e">
        <f aca="false">IF(OR(#REF!&gt;2,#REF!&lt;-2),"",#REF!)</f>
        <v>#REF!</v>
      </c>
      <c r="MK10" s="7" t="e">
        <f aca="false">IF(OR(#REF!&gt;2,#REF!&lt;-2),"",#REF!)</f>
        <v>#REF!</v>
      </c>
      <c r="ML10" s="7" t="e">
        <f aca="false">IF(OR(#REF!&gt;2,#REF!&lt;-2),"",#REF!)</f>
        <v>#REF!</v>
      </c>
      <c r="MM10" s="7" t="e">
        <f aca="false">IF(OR(#REF!&gt;2,#REF!&lt;-2),"",#REF!)</f>
        <v>#REF!</v>
      </c>
      <c r="MN10" s="7" t="e">
        <f aca="false">IF(OR(#REF!&gt;2,#REF!&lt;-2),"",#REF!)</f>
        <v>#REF!</v>
      </c>
      <c r="MO10" s="7" t="e">
        <f aca="false">IF(OR(#REF!&gt;2,#REF!&lt;-2),"",#REF!)</f>
        <v>#REF!</v>
      </c>
      <c r="MP10" s="7" t="e">
        <f aca="false">IF(OR(#REF!&gt;2,#REF!&lt;-2),"",#REF!)</f>
        <v>#REF!</v>
      </c>
      <c r="MQ10" s="7" t="e">
        <f aca="false">IF(OR(#REF!&gt;2,#REF!&lt;-2),"",#REF!)</f>
        <v>#REF!</v>
      </c>
      <c r="MR10" s="7" t="e">
        <f aca="false">IF(OR(#REF!&gt;2,#REF!&lt;-2),"",#REF!)</f>
        <v>#REF!</v>
      </c>
      <c r="MS10" s="7" t="e">
        <f aca="false">IF(OR(#REF!&gt;2,#REF!&lt;-2),"",#REF!)</f>
        <v>#REF!</v>
      </c>
      <c r="MT10" s="7" t="e">
        <f aca="false">IF(OR(#REF!&gt;2,#REF!&lt;-2),"",#REF!)</f>
        <v>#REF!</v>
      </c>
      <c r="MU10" s="7" t="e">
        <f aca="false">IF(OR(#REF!&gt;2,#REF!&lt;-2),"",#REF!)</f>
        <v>#REF!</v>
      </c>
      <c r="MV10" s="7" t="e">
        <f aca="false">IF(OR(#REF!&gt;2,#REF!&lt;-2),"",#REF!)</f>
        <v>#REF!</v>
      </c>
      <c r="MW10" s="7" t="e">
        <f aca="false">IF(OR(#REF!&gt;2,#REF!&lt;-2),"",#REF!)</f>
        <v>#REF!</v>
      </c>
      <c r="MX10" s="7" t="e">
        <f aca="false">IF(OR(#REF!&gt;2,#REF!&lt;-2),"",#REF!)</f>
        <v>#REF!</v>
      </c>
      <c r="MY10" s="7" t="e">
        <f aca="false">IF(OR(#REF!&gt;2,#REF!&lt;-2),"",#REF!)</f>
        <v>#REF!</v>
      </c>
      <c r="MZ10" s="7" t="e">
        <f aca="false">IF(OR(#REF!&gt;2,#REF!&lt;-2),"",#REF!)</f>
        <v>#REF!</v>
      </c>
      <c r="NA10" s="7" t="e">
        <f aca="false">IF(OR(#REF!&gt;2,#REF!&lt;-2),"",#REF!)</f>
        <v>#REF!</v>
      </c>
      <c r="NB10" s="7" t="e">
        <f aca="false">IF(OR(#REF!&gt;2,#REF!&lt;-2),"",#REF!)</f>
        <v>#REF!</v>
      </c>
      <c r="NC10" s="7" t="e">
        <f aca="false">IF(OR(#REF!&gt;2,#REF!&lt;-2),"",#REF!)</f>
        <v>#REF!</v>
      </c>
      <c r="ND10" s="7" t="e">
        <f aca="false">IF(OR(#REF!&gt;2,#REF!&lt;-2),"",#REF!)</f>
        <v>#REF!</v>
      </c>
      <c r="NE10" s="7" t="e">
        <f aca="false">IF(OR(#REF!&gt;2,#REF!&lt;-2),"",#REF!)</f>
        <v>#REF!</v>
      </c>
      <c r="NF10" s="7" t="e">
        <f aca="false">IF(OR(#REF!&gt;2,#REF!&lt;-2),"",#REF!)</f>
        <v>#REF!</v>
      </c>
      <c r="NG10" s="7" t="e">
        <f aca="false">IF(OR(#REF!&gt;2,#REF!&lt;-2),"",#REF!)</f>
        <v>#REF!</v>
      </c>
      <c r="NH10" s="7" t="e">
        <f aca="false">IF(OR(#REF!&gt;2,#REF!&lt;-2),"",#REF!)</f>
        <v>#REF!</v>
      </c>
      <c r="NI10" s="7" t="e">
        <f aca="false">IF(OR(#REF!&gt;2,#REF!&lt;-2),"",#REF!)</f>
        <v>#REF!</v>
      </c>
      <c r="NJ10" s="7" t="e">
        <f aca="false">IF(OR(#REF!&gt;2,#REF!&lt;-2),"",#REF!)</f>
        <v>#REF!</v>
      </c>
      <c r="NK10" s="7" t="e">
        <f aca="false">IF(OR(#REF!&gt;2,#REF!&lt;-2),"",#REF!)</f>
        <v>#REF!</v>
      </c>
      <c r="NL10" s="7" t="e">
        <f aca="false">IF(OR(#REF!&gt;2,#REF!&lt;-2),"",#REF!)</f>
        <v>#REF!</v>
      </c>
      <c r="NM10" s="7" t="e">
        <f aca="false">IF(OR(#REF!&gt;2,#REF!&lt;-2),"",#REF!)</f>
        <v>#REF!</v>
      </c>
      <c r="NN10" s="7" t="e">
        <f aca="false">IF(OR(#REF!&gt;2,#REF!&lt;-2),"",#REF!)</f>
        <v>#REF!</v>
      </c>
      <c r="NO10" s="7" t="e">
        <f aca="false">IF(OR(#REF!&gt;2,#REF!&lt;-2),"",#REF!)</f>
        <v>#REF!</v>
      </c>
      <c r="NP10" s="7" t="e">
        <f aca="false">IF(OR(#REF!&gt;2,#REF!&lt;-2),"",#REF!)</f>
        <v>#REF!</v>
      </c>
      <c r="NQ10" s="7" t="e">
        <f aca="false">IF(OR(#REF!&gt;2,#REF!&lt;-2),"",#REF!)</f>
        <v>#REF!</v>
      </c>
      <c r="NR10" s="7" t="e">
        <f aca="false">IF(OR(#REF!&gt;2,#REF!&lt;-2),"",#REF!)</f>
        <v>#REF!</v>
      </c>
      <c r="NS10" s="7" t="e">
        <f aca="false">IF(OR(#REF!&gt;2,#REF!&lt;-2),"",#REF!)</f>
        <v>#REF!</v>
      </c>
      <c r="NT10" s="7" t="e">
        <f aca="false">IF(OR(#REF!&gt;2,#REF!&lt;-2),"",#REF!)</f>
        <v>#REF!</v>
      </c>
      <c r="NU10" s="7" t="e">
        <f aca="false">IF(OR(#REF!&gt;2,#REF!&lt;-2),"",#REF!)</f>
        <v>#REF!</v>
      </c>
      <c r="NV10" s="7" t="e">
        <f aca="false">IF(OR(#REF!&gt;2,#REF!&lt;-2),"",#REF!)</f>
        <v>#REF!</v>
      </c>
      <c r="NW10" s="7" t="e">
        <f aca="false">IF(OR(#REF!&gt;2,#REF!&lt;-2),"",#REF!)</f>
        <v>#REF!</v>
      </c>
      <c r="NX10" s="7" t="e">
        <f aca="false">IF(OR(#REF!&gt;2,#REF!&lt;-2),"",#REF!)</f>
        <v>#REF!</v>
      </c>
      <c r="NY10" s="7" t="e">
        <f aca="false">IF(OR(#REF!&gt;2,#REF!&lt;-2),"",#REF!)</f>
        <v>#REF!</v>
      </c>
      <c r="NZ10" s="7" t="e">
        <f aca="false">IF(OR(#REF!&gt;2,#REF!&lt;-2),"",#REF!)</f>
        <v>#REF!</v>
      </c>
      <c r="OA10" s="7" t="e">
        <f aca="false">IF(OR(#REF!&gt;2,#REF!&lt;-2),"",#REF!)</f>
        <v>#REF!</v>
      </c>
      <c r="OB10" s="7" t="e">
        <f aca="false">IF(OR(#REF!&gt;2,#REF!&lt;-2),"",#REF!)</f>
        <v>#REF!</v>
      </c>
      <c r="OC10" s="7" t="e">
        <f aca="false">IF(OR(#REF!&gt;2,#REF!&lt;-2),"",#REF!)</f>
        <v>#REF!</v>
      </c>
      <c r="OD10" s="7" t="e">
        <f aca="false">IF(OR(#REF!&gt;2,#REF!&lt;-2),"",#REF!)</f>
        <v>#REF!</v>
      </c>
      <c r="OE10" s="7" t="e">
        <f aca="false">IF(OR(#REF!&gt;2,#REF!&lt;-2),"",#REF!)</f>
        <v>#REF!</v>
      </c>
      <c r="OF10" s="7" t="e">
        <f aca="false">IF(OR(#REF!&gt;2,#REF!&lt;-2),"",#REF!)</f>
        <v>#REF!</v>
      </c>
      <c r="OG10" s="7" t="e">
        <f aca="false">IF(OR(#REF!&gt;2,#REF!&lt;-2),"",#REF!)</f>
        <v>#REF!</v>
      </c>
      <c r="OH10" s="7" t="e">
        <f aca="false">IF(OR(#REF!&gt;2,#REF!&lt;-2),"",#REF!)</f>
        <v>#REF!</v>
      </c>
      <c r="OI10" s="7" t="e">
        <f aca="false">IF(OR(#REF!&gt;2,#REF!&lt;-2),"",#REF!)</f>
        <v>#REF!</v>
      </c>
      <c r="OJ10" s="7" t="e">
        <f aca="false">IF(OR(#REF!&gt;2,#REF!&lt;-2),"",#REF!)</f>
        <v>#REF!</v>
      </c>
      <c r="OK10" s="7" t="e">
        <f aca="false">IF(OR(#REF!&gt;2,#REF!&lt;-2),"",#REF!)</f>
        <v>#REF!</v>
      </c>
      <c r="OL10" s="7" t="e">
        <f aca="false">IF(OR(#REF!&gt;2,#REF!&lt;-2),"",#REF!)</f>
        <v>#REF!</v>
      </c>
      <c r="OM10" s="7" t="e">
        <f aca="false">IF(OR(#REF!&gt;2,#REF!&lt;-2),"",#REF!)</f>
        <v>#REF!</v>
      </c>
      <c r="ON10" s="7" t="e">
        <f aca="false">IF(OR(#REF!&gt;2,#REF!&lt;-2),"",#REF!)</f>
        <v>#REF!</v>
      </c>
      <c r="OO10" s="7" t="e">
        <f aca="false">IF(OR(#REF!&gt;2,#REF!&lt;-2),"",#REF!)</f>
        <v>#REF!</v>
      </c>
      <c r="OP10" s="7" t="e">
        <f aca="false">IF(OR(#REF!&gt;2,#REF!&lt;-2),"",#REF!)</f>
        <v>#REF!</v>
      </c>
      <c r="OQ10" s="7" t="e">
        <f aca="false">IF(OR(#REF!&gt;2,#REF!&lt;-2),"",#REF!)</f>
        <v>#REF!</v>
      </c>
      <c r="OR10" s="7" t="e">
        <f aca="false">IF(OR(#REF!&gt;2,#REF!&lt;-2),"",#REF!)</f>
        <v>#REF!</v>
      </c>
      <c r="OS10" s="7" t="e">
        <f aca="false">IF(OR(#REF!&gt;2,#REF!&lt;-2),"",#REF!)</f>
        <v>#REF!</v>
      </c>
      <c r="OT10" s="7" t="e">
        <f aca="false">IF(OR(#REF!&gt;2,#REF!&lt;-2),"",#REF!)</f>
        <v>#REF!</v>
      </c>
      <c r="OU10" s="7" t="e">
        <f aca="false">IF(OR(#REF!&gt;2,#REF!&lt;-2),"",#REF!)</f>
        <v>#REF!</v>
      </c>
      <c r="OV10" s="7" t="e">
        <f aca="false">IF(OR(#REF!&gt;2,#REF!&lt;-2),"",#REF!)</f>
        <v>#REF!</v>
      </c>
      <c r="OW10" s="7" t="e">
        <f aca="false">IF(OR(#REF!&gt;2,#REF!&lt;-2),"",#REF!)</f>
        <v>#REF!</v>
      </c>
      <c r="OX10" s="7" t="e">
        <f aca="false">IF(OR(#REF!&gt;2,#REF!&lt;-2),"",#REF!)</f>
        <v>#REF!</v>
      </c>
      <c r="OY10" s="7" t="e">
        <f aca="false">IF(OR(#REF!&gt;2,#REF!&lt;-2),"",#REF!)</f>
        <v>#REF!</v>
      </c>
      <c r="OZ10" s="7" t="e">
        <f aca="false">IF(OR(#REF!&gt;2,#REF!&lt;-2),"",#REF!)</f>
        <v>#REF!</v>
      </c>
      <c r="PA10" s="7" t="e">
        <f aca="false">IF(OR(#REF!&gt;2,#REF!&lt;-2),"",#REF!)</f>
        <v>#REF!</v>
      </c>
      <c r="PB10" s="7" t="e">
        <f aca="false">IF(OR(#REF!&gt;2,#REF!&lt;-2),"",#REF!)</f>
        <v>#REF!</v>
      </c>
      <c r="PC10" s="7" t="e">
        <f aca="false">IF(OR(#REF!&gt;2,#REF!&lt;-2),"",#REF!)</f>
        <v>#REF!</v>
      </c>
      <c r="PD10" s="7" t="e">
        <f aca="false">IF(OR(#REF!&gt;2,#REF!&lt;-2),"",#REF!)</f>
        <v>#REF!</v>
      </c>
      <c r="PE10" s="7" t="e">
        <f aca="false">IF(OR(#REF!&gt;2,#REF!&lt;-2),"",#REF!)</f>
        <v>#REF!</v>
      </c>
      <c r="PF10" s="7" t="e">
        <f aca="false">IF(OR(#REF!&gt;2,#REF!&lt;-2),"",#REF!)</f>
        <v>#REF!</v>
      </c>
      <c r="PG10" s="7" t="e">
        <f aca="false">IF(OR(#REF!&gt;2,#REF!&lt;-2),"",#REF!)</f>
        <v>#REF!</v>
      </c>
      <c r="PH10" s="7" t="e">
        <f aca="false">IF(OR(#REF!&gt;2,#REF!&lt;-2),"",#REF!)</f>
        <v>#REF!</v>
      </c>
      <c r="PI10" s="7" t="e">
        <f aca="false">IF(OR(#REF!&gt;2,#REF!&lt;-2),"",#REF!)</f>
        <v>#REF!</v>
      </c>
      <c r="PJ10" s="7" t="e">
        <f aca="false">IF(OR(#REF!&gt;2,#REF!&lt;-2),"",#REF!)</f>
        <v>#REF!</v>
      </c>
      <c r="PK10" s="7" t="e">
        <f aca="false">IF(OR(#REF!&gt;2,#REF!&lt;-2),"",#REF!)</f>
        <v>#REF!</v>
      </c>
      <c r="PL10" s="7" t="e">
        <f aca="false">IF(OR(#REF!&gt;2,#REF!&lt;-2),"",#REF!)</f>
        <v>#REF!</v>
      </c>
      <c r="PM10" s="7" t="e">
        <f aca="false">IF(OR(#REF!&gt;2,#REF!&lt;-2),"",#REF!)</f>
        <v>#REF!</v>
      </c>
      <c r="PN10" s="7" t="e">
        <f aca="false">IF(OR(#REF!&gt;2,#REF!&lt;-2),"",#REF!)</f>
        <v>#REF!</v>
      </c>
      <c r="PO10" s="7" t="e">
        <f aca="false">IF(OR(#REF!&gt;2,#REF!&lt;-2),"",#REF!)</f>
        <v>#REF!</v>
      </c>
      <c r="PP10" s="7" t="e">
        <f aca="false">IF(OR(#REF!&gt;2,#REF!&lt;-2),"",#REF!)</f>
        <v>#REF!</v>
      </c>
      <c r="PQ10" s="7" t="e">
        <f aca="false">IF(OR(#REF!&gt;2,#REF!&lt;-2),"",#REF!)</f>
        <v>#REF!</v>
      </c>
      <c r="PR10" s="7" t="e">
        <f aca="false">IF(OR(#REF!&gt;2,#REF!&lt;-2),"",#REF!)</f>
        <v>#REF!</v>
      </c>
      <c r="PS10" s="7" t="e">
        <f aca="false">IF(OR(#REF!&gt;2,#REF!&lt;-2),"",#REF!)</f>
        <v>#REF!</v>
      </c>
      <c r="PT10" s="7" t="e">
        <f aca="false">IF(OR(#REF!&gt;2,#REF!&lt;-2),"",#REF!)</f>
        <v>#REF!</v>
      </c>
      <c r="PU10" s="7" t="e">
        <f aca="false">IF(OR(#REF!&gt;2,#REF!&lt;-2),"",#REF!)</f>
        <v>#REF!</v>
      </c>
      <c r="PV10" s="7" t="e">
        <f aca="false">IF(OR(#REF!&gt;2,#REF!&lt;-2),"",#REF!)</f>
        <v>#REF!</v>
      </c>
      <c r="PW10" s="7" t="e">
        <f aca="false">IF(OR(#REF!&gt;2,#REF!&lt;-2),"",#REF!)</f>
        <v>#REF!</v>
      </c>
      <c r="PX10" s="7" t="e">
        <f aca="false">IF(OR(#REF!&gt;2,#REF!&lt;-2),"",#REF!)</f>
        <v>#REF!</v>
      </c>
      <c r="PY10" s="7" t="e">
        <f aca="false">IF(OR(#REF!&gt;2,#REF!&lt;-2),"",#REF!)</f>
        <v>#REF!</v>
      </c>
      <c r="PZ10" s="7" t="e">
        <f aca="false">IF(OR(#REF!&gt;2,#REF!&lt;-2),"",#REF!)</f>
        <v>#REF!</v>
      </c>
      <c r="QA10" s="7" t="e">
        <f aca="false">IF(OR(#REF!&gt;2,#REF!&lt;-2),"",#REF!)</f>
        <v>#REF!</v>
      </c>
      <c r="QB10" s="7" t="e">
        <f aca="false">IF(OR(#REF!&gt;2,#REF!&lt;-2),"",#REF!)</f>
        <v>#REF!</v>
      </c>
      <c r="QC10" s="7" t="e">
        <f aca="false">IF(OR(#REF!&gt;2,#REF!&lt;-2),"",#REF!)</f>
        <v>#REF!</v>
      </c>
      <c r="QD10" s="7" t="e">
        <f aca="false">IF(OR(#REF!&gt;2,#REF!&lt;-2),"",#REF!)</f>
        <v>#REF!</v>
      </c>
      <c r="QE10" s="7" t="e">
        <f aca="false">IF(OR(#REF!&gt;2,#REF!&lt;-2),"",#REF!)</f>
        <v>#REF!</v>
      </c>
      <c r="QF10" s="7" t="e">
        <f aca="false">IF(OR(#REF!&gt;2,#REF!&lt;-2),"",#REF!)</f>
        <v>#REF!</v>
      </c>
      <c r="QG10" s="7" t="e">
        <f aca="false">IF(OR(#REF!&gt;2,#REF!&lt;-2),"",#REF!)</f>
        <v>#REF!</v>
      </c>
      <c r="QH10" s="7" t="e">
        <f aca="false">IF(OR(#REF!&gt;2,#REF!&lt;-2),"",#REF!)</f>
        <v>#REF!</v>
      </c>
      <c r="QI10" s="7" t="e">
        <f aca="false">IF(OR(#REF!&gt;2,#REF!&lt;-2),"",#REF!)</f>
        <v>#REF!</v>
      </c>
      <c r="QJ10" s="7" t="e">
        <f aca="false">IF(OR(#REF!&gt;2,#REF!&lt;-2),"",#REF!)</f>
        <v>#REF!</v>
      </c>
      <c r="QK10" s="7" t="e">
        <f aca="false">IF(OR(#REF!&gt;2,#REF!&lt;-2),"",#REF!)</f>
        <v>#REF!</v>
      </c>
      <c r="QL10" s="7" t="e">
        <f aca="false">IF(OR(#REF!&gt;2,#REF!&lt;-2),"",#REF!)</f>
        <v>#REF!</v>
      </c>
      <c r="QM10" s="7" t="e">
        <f aca="false">IF(OR(#REF!&gt;2,#REF!&lt;-2),"",#REF!)</f>
        <v>#REF!</v>
      </c>
      <c r="QN10" s="7" t="e">
        <f aca="false">IF(OR(#REF!&gt;2,#REF!&lt;-2),"",#REF!)</f>
        <v>#REF!</v>
      </c>
      <c r="QO10" s="7" t="e">
        <f aca="false">IF(OR(#REF!&gt;2,#REF!&lt;-2),"",#REF!)</f>
        <v>#REF!</v>
      </c>
      <c r="QP10" s="7" t="e">
        <f aca="false">IF(OR(#REF!&gt;2,#REF!&lt;-2),"",#REF!)</f>
        <v>#REF!</v>
      </c>
      <c r="QQ10" s="7" t="e">
        <f aca="false">IF(OR(#REF!&gt;2,#REF!&lt;-2),"",#REF!)</f>
        <v>#REF!</v>
      </c>
      <c r="QR10" s="7" t="e">
        <f aca="false">IF(OR(#REF!&gt;2,#REF!&lt;-2),"",#REF!)</f>
        <v>#REF!</v>
      </c>
      <c r="QS10" s="7" t="e">
        <f aca="false">IF(OR(#REF!&gt;2,#REF!&lt;-2),"",#REF!)</f>
        <v>#REF!</v>
      </c>
      <c r="QT10" s="7" t="e">
        <f aca="false">IF(OR(#REF!&gt;2,#REF!&lt;-2),"",#REF!)</f>
        <v>#REF!</v>
      </c>
      <c r="QU10" s="7" t="e">
        <f aca="false">IF(OR(#REF!&gt;2,#REF!&lt;-2),"",#REF!)</f>
        <v>#REF!</v>
      </c>
      <c r="QV10" s="7" t="e">
        <f aca="false">IF(OR(#REF!&gt;2,#REF!&lt;-2),"",#REF!)</f>
        <v>#REF!</v>
      </c>
      <c r="QW10" s="7" t="e">
        <f aca="false">IF(OR(#REF!&gt;2,#REF!&lt;-2),"",#REF!)</f>
        <v>#REF!</v>
      </c>
      <c r="QX10" s="7" t="e">
        <f aca="false">IF(OR(#REF!&gt;2,#REF!&lt;-2),"",#REF!)</f>
        <v>#REF!</v>
      </c>
      <c r="QY10" s="7" t="e">
        <f aca="false">IF(OR(#REF!&gt;2,#REF!&lt;-2),"",#REF!)</f>
        <v>#REF!</v>
      </c>
      <c r="QZ10" s="7" t="e">
        <f aca="false">IF(OR(#REF!&gt;2,#REF!&lt;-2),"",#REF!)</f>
        <v>#REF!</v>
      </c>
      <c r="RA10" s="7" t="e">
        <f aca="false">IF(OR(#REF!&gt;2,#REF!&lt;-2),"",#REF!)</f>
        <v>#REF!</v>
      </c>
      <c r="RB10" s="7" t="e">
        <f aca="false">IF(OR(#REF!&gt;2,#REF!&lt;-2),"",#REF!)</f>
        <v>#REF!</v>
      </c>
      <c r="RC10" s="7" t="e">
        <f aca="false">IF(OR(#REF!&gt;2,#REF!&lt;-2),"",#REF!)</f>
        <v>#REF!</v>
      </c>
      <c r="RD10" s="7" t="e">
        <f aca="false">IF(OR(#REF!&gt;2,#REF!&lt;-2),"",#REF!)</f>
        <v>#REF!</v>
      </c>
      <c r="RE10" s="7" t="e">
        <f aca="false">IF(OR(#REF!&gt;2,#REF!&lt;-2),"",#REF!)</f>
        <v>#REF!</v>
      </c>
      <c r="RF10" s="7" t="e">
        <f aca="false">IF(OR(#REF!&gt;2,#REF!&lt;-2),"",#REF!)</f>
        <v>#REF!</v>
      </c>
      <c r="RG10" s="7" t="e">
        <f aca="false">IF(OR(#REF!&gt;2,#REF!&lt;-2),"",#REF!)</f>
        <v>#REF!</v>
      </c>
      <c r="RH10" s="7" t="e">
        <f aca="false">IF(OR(#REF!&gt;2,#REF!&lt;-2),"",#REF!)</f>
        <v>#REF!</v>
      </c>
      <c r="RI10" s="7" t="e">
        <f aca="false">IF(OR(#REF!&gt;2,#REF!&lt;-2),"",#REF!)</f>
        <v>#REF!</v>
      </c>
      <c r="RJ10" s="7" t="e">
        <f aca="false">IF(OR(#REF!&gt;2,#REF!&lt;-2),"",#REF!)</f>
        <v>#REF!</v>
      </c>
      <c r="RK10" s="7" t="e">
        <f aca="false">IF(OR(#REF!&gt;2,#REF!&lt;-2),"",#REF!)</f>
        <v>#REF!</v>
      </c>
      <c r="RL10" s="7" t="e">
        <f aca="false">IF(OR(#REF!&gt;2,#REF!&lt;-2),"",#REF!)</f>
        <v>#REF!</v>
      </c>
      <c r="RM10" s="7" t="e">
        <f aca="false">IF(OR(#REF!&gt;2,#REF!&lt;-2),"",#REF!)</f>
        <v>#REF!</v>
      </c>
      <c r="RN10" s="7" t="e">
        <f aca="false">IF(OR(#REF!&gt;2,#REF!&lt;-2),"",#REF!)</f>
        <v>#REF!</v>
      </c>
      <c r="RO10" s="7" t="e">
        <f aca="false">IF(OR(#REF!&gt;2,#REF!&lt;-2),"",#REF!)</f>
        <v>#REF!</v>
      </c>
      <c r="RP10" s="7" t="e">
        <f aca="false">IF(OR(#REF!&gt;2,#REF!&lt;-2),"",#REF!)</f>
        <v>#REF!</v>
      </c>
      <c r="RQ10" s="7" t="e">
        <f aca="false">IF(OR(#REF!&gt;2,#REF!&lt;-2),"",#REF!)</f>
        <v>#REF!</v>
      </c>
      <c r="RR10" s="7" t="e">
        <f aca="false">IF(OR(#REF!&gt;2,#REF!&lt;-2),"",#REF!)</f>
        <v>#REF!</v>
      </c>
      <c r="RS10" s="7" t="e">
        <f aca="false">IF(OR(#REF!&gt;2,#REF!&lt;-2),"",#REF!)</f>
        <v>#REF!</v>
      </c>
      <c r="RT10" s="7" t="e">
        <f aca="false">IF(OR(#REF!&gt;2,#REF!&lt;-2),"",#REF!)</f>
        <v>#REF!</v>
      </c>
      <c r="RU10" s="7" t="e">
        <f aca="false">IF(OR(#REF!&gt;2,#REF!&lt;-2),"",#REF!)</f>
        <v>#REF!</v>
      </c>
      <c r="RV10" s="7" t="e">
        <f aca="false">IF(OR(#REF!&gt;2,#REF!&lt;-2),"",#REF!)</f>
        <v>#REF!</v>
      </c>
      <c r="RW10" s="7" t="e">
        <f aca="false">IF(OR(#REF!&gt;2,#REF!&lt;-2),"",#REF!)</f>
        <v>#REF!</v>
      </c>
      <c r="RX10" s="7" t="e">
        <f aca="false">IF(OR(#REF!&gt;2,#REF!&lt;-2),"",#REF!)</f>
        <v>#REF!</v>
      </c>
      <c r="RY10" s="7" t="e">
        <f aca="false">IF(OR(#REF!&gt;2,#REF!&lt;-2),"",#REF!)</f>
        <v>#REF!</v>
      </c>
      <c r="RZ10" s="7" t="e">
        <f aca="false">IF(OR(#REF!&gt;2,#REF!&lt;-2),"",#REF!)</f>
        <v>#REF!</v>
      </c>
      <c r="SA10" s="7" t="e">
        <f aca="false">IF(OR(#REF!&gt;2,#REF!&lt;-2),"",#REF!)</f>
        <v>#REF!</v>
      </c>
      <c r="SB10" s="7" t="e">
        <f aca="false">IF(OR(#REF!&gt;2,#REF!&lt;-2),"",#REF!)</f>
        <v>#REF!</v>
      </c>
      <c r="SC10" s="7" t="e">
        <f aca="false">IF(OR(#REF!&gt;2,#REF!&lt;-2),"",#REF!)</f>
        <v>#REF!</v>
      </c>
      <c r="SD10" s="7" t="e">
        <f aca="false">IF(OR(#REF!&gt;2,#REF!&lt;-2),"",#REF!)</f>
        <v>#REF!</v>
      </c>
      <c r="SE10" s="7" t="e">
        <f aca="false">IF(OR(#REF!&gt;2,#REF!&lt;-2),"",#REF!)</f>
        <v>#REF!</v>
      </c>
      <c r="SF10" s="7" t="e">
        <f aca="false">IF(OR(#REF!&gt;2,#REF!&lt;-2),"",#REF!)</f>
        <v>#REF!</v>
      </c>
      <c r="SG10" s="7" t="e">
        <f aca="false">IF(OR(#REF!&gt;2,#REF!&lt;-2),"",#REF!)</f>
        <v>#REF!</v>
      </c>
      <c r="SH10" s="7" t="e">
        <f aca="false">IF(OR(#REF!&gt;2,#REF!&lt;-2),"",#REF!)</f>
        <v>#REF!</v>
      </c>
      <c r="SI10" s="7" t="e">
        <f aca="false">IF(OR(#REF!&gt;2,#REF!&lt;-2),"",#REF!)</f>
        <v>#REF!</v>
      </c>
      <c r="SJ10" s="7" t="e">
        <f aca="false">IF(OR(#REF!&gt;2,#REF!&lt;-2),"",#REF!)</f>
        <v>#REF!</v>
      </c>
      <c r="SK10" s="7" t="e">
        <f aca="false">IF(OR(#REF!&gt;2,#REF!&lt;-2),"",#REF!)</f>
        <v>#REF!</v>
      </c>
      <c r="SL10" s="7" t="e">
        <f aca="false">IF(OR(#REF!&gt;2,#REF!&lt;-2),"",#REF!)</f>
        <v>#REF!</v>
      </c>
      <c r="SM10" s="7" t="e">
        <f aca="false">IF(OR(#REF!&gt;2,#REF!&lt;-2),"",#REF!)</f>
        <v>#REF!</v>
      </c>
      <c r="SN10" s="7" t="e">
        <f aca="false">IF(OR(#REF!&gt;2,#REF!&lt;-2),"",#REF!)</f>
        <v>#REF!</v>
      </c>
      <c r="SO10" s="7" t="e">
        <f aca="false">IF(OR(#REF!&gt;2,#REF!&lt;-2),"",#REF!)</f>
        <v>#REF!</v>
      </c>
      <c r="SP10" s="7" t="e">
        <f aca="false">IF(OR(#REF!&gt;2,#REF!&lt;-2),"",#REF!)</f>
        <v>#REF!</v>
      </c>
      <c r="SQ10" s="7" t="e">
        <f aca="false">IF(OR(#REF!&gt;2,#REF!&lt;-2),"",#REF!)</f>
        <v>#REF!</v>
      </c>
      <c r="SR10" s="7" t="e">
        <f aca="false">IF(OR(#REF!&gt;2,#REF!&lt;-2),"",#REF!)</f>
        <v>#REF!</v>
      </c>
      <c r="SS10" s="7" t="e">
        <f aca="false">IF(OR(#REF!&gt;2,#REF!&lt;-2),"",#REF!)</f>
        <v>#REF!</v>
      </c>
      <c r="ST10" s="7" t="e">
        <f aca="false">IF(OR(#REF!&gt;2,#REF!&lt;-2),"",#REF!)</f>
        <v>#REF!</v>
      </c>
      <c r="SU10" s="7" t="e">
        <f aca="false">IF(OR(#REF!&gt;2,#REF!&lt;-2),"",#REF!)</f>
        <v>#REF!</v>
      </c>
      <c r="SV10" s="7" t="e">
        <f aca="false">IF(OR(#REF!&gt;2,#REF!&lt;-2),"",#REF!)</f>
        <v>#REF!</v>
      </c>
      <c r="SW10" s="7" t="e">
        <f aca="false">IF(OR(#REF!&gt;2,#REF!&lt;-2),"",#REF!)</f>
        <v>#REF!</v>
      </c>
      <c r="SX10" s="7" t="e">
        <f aca="false">IF(OR(#REF!&gt;2,#REF!&lt;-2),"",#REF!)</f>
        <v>#REF!</v>
      </c>
      <c r="SY10" s="7" t="e">
        <f aca="false">IF(OR(#REF!&gt;2,#REF!&lt;-2),"",#REF!)</f>
        <v>#REF!</v>
      </c>
      <c r="SZ10" s="7" t="e">
        <f aca="false">IF(OR(#REF!&gt;2,#REF!&lt;-2),"",#REF!)</f>
        <v>#REF!</v>
      </c>
      <c r="TA10" s="7" t="e">
        <f aca="false">IF(OR(#REF!&gt;2,#REF!&lt;-2),"",#REF!)</f>
        <v>#REF!</v>
      </c>
      <c r="TB10" s="7" t="e">
        <f aca="false">IF(OR(#REF!&gt;2,#REF!&lt;-2),"",#REF!)</f>
        <v>#REF!</v>
      </c>
      <c r="TC10" s="7" t="e">
        <f aca="false">IF(OR(#REF!&gt;2,#REF!&lt;-2),"",#REF!)</f>
        <v>#REF!</v>
      </c>
      <c r="TD10" s="7" t="e">
        <f aca="false">IF(OR(#REF!&gt;2,#REF!&lt;-2),"",#REF!)</f>
        <v>#REF!</v>
      </c>
      <c r="TE10" s="7" t="e">
        <f aca="false">IF(OR(#REF!&gt;2,#REF!&lt;-2),"",#REF!)</f>
        <v>#REF!</v>
      </c>
      <c r="TF10" s="7" t="e">
        <f aca="false">IF(OR(#REF!&gt;2,#REF!&lt;-2),"",#REF!)</f>
        <v>#REF!</v>
      </c>
      <c r="TG10" s="7" t="e">
        <f aca="false">IF(OR(#REF!&gt;2,#REF!&lt;-2),"",#REF!)</f>
        <v>#REF!</v>
      </c>
      <c r="TH10" s="7" t="e">
        <f aca="false">IF(OR(#REF!&gt;2,#REF!&lt;-2),"",#REF!)</f>
        <v>#REF!</v>
      </c>
      <c r="TI10" s="7" t="e">
        <f aca="false">IF(OR(#REF!&gt;2,#REF!&lt;-2),"",#REF!)</f>
        <v>#REF!</v>
      </c>
      <c r="TJ10" s="7" t="e">
        <f aca="false">IF(OR(#REF!&gt;2,#REF!&lt;-2),"",#REF!)</f>
        <v>#REF!</v>
      </c>
      <c r="TK10" s="7" t="e">
        <f aca="false">IF(OR(#REF!&gt;2,#REF!&lt;-2),"",#REF!)</f>
        <v>#REF!</v>
      </c>
      <c r="TL10" s="7" t="e">
        <f aca="false">IF(OR(#REF!&gt;2,#REF!&lt;-2),"",#REF!)</f>
        <v>#REF!</v>
      </c>
      <c r="TM10" s="7" t="e">
        <f aca="false">IF(OR(#REF!&gt;2,#REF!&lt;-2),"",#REF!)</f>
        <v>#REF!</v>
      </c>
      <c r="TN10" s="7" t="e">
        <f aca="false">IF(OR(#REF!&gt;2,#REF!&lt;-2),"",#REF!)</f>
        <v>#REF!</v>
      </c>
      <c r="TO10" s="7" t="e">
        <f aca="false">IF(OR(#REF!&gt;2,#REF!&lt;-2),"",#REF!)</f>
        <v>#REF!</v>
      </c>
      <c r="TP10" s="7" t="e">
        <f aca="false">IF(OR(#REF!&gt;2,#REF!&lt;-2),"",#REF!)</f>
        <v>#REF!</v>
      </c>
      <c r="TQ10" s="7" t="e">
        <f aca="false">IF(OR(#REF!&gt;2,#REF!&lt;-2),"",#REF!)</f>
        <v>#REF!</v>
      </c>
      <c r="TR10" s="7" t="e">
        <f aca="false">IF(OR(#REF!&gt;2,#REF!&lt;-2),"",#REF!)</f>
        <v>#REF!</v>
      </c>
      <c r="TS10" s="7" t="e">
        <f aca="false">IF(OR(#REF!&gt;2,#REF!&lt;-2),"",#REF!)</f>
        <v>#REF!</v>
      </c>
      <c r="TT10" s="7" t="e">
        <f aca="false">IF(OR(#REF!&gt;2,#REF!&lt;-2),"",#REF!)</f>
        <v>#REF!</v>
      </c>
      <c r="TU10" s="7" t="e">
        <f aca="false">IF(OR(#REF!&gt;2,#REF!&lt;-2),"",#REF!)</f>
        <v>#REF!</v>
      </c>
      <c r="TV10" s="7" t="e">
        <f aca="false">IF(OR(#REF!&gt;2,#REF!&lt;-2),"",#REF!)</f>
        <v>#REF!</v>
      </c>
      <c r="TW10" s="7" t="e">
        <f aca="false">IF(OR(#REF!&gt;2,#REF!&lt;-2),"",#REF!)</f>
        <v>#REF!</v>
      </c>
      <c r="TX10" s="7" t="e">
        <f aca="false">IF(OR(#REF!&gt;2,#REF!&lt;-2),"",#REF!)</f>
        <v>#REF!</v>
      </c>
      <c r="TY10" s="7" t="e">
        <f aca="false">IF(OR(#REF!&gt;2,#REF!&lt;-2),"",#REF!)</f>
        <v>#REF!</v>
      </c>
      <c r="TZ10" s="7" t="e">
        <f aca="false">IF(OR(#REF!&gt;2,#REF!&lt;-2),"",#REF!)</f>
        <v>#REF!</v>
      </c>
      <c r="UA10" s="7" t="e">
        <f aca="false">IF(OR(#REF!&gt;2,#REF!&lt;-2),"",#REF!)</f>
        <v>#REF!</v>
      </c>
      <c r="UB10" s="7" t="e">
        <f aca="false">IF(OR(#REF!&gt;2,#REF!&lt;-2),"",#REF!)</f>
        <v>#REF!</v>
      </c>
      <c r="UC10" s="7" t="e">
        <f aca="false">IF(OR(#REF!&gt;2,#REF!&lt;-2),"",#REF!)</f>
        <v>#REF!</v>
      </c>
      <c r="UD10" s="7" t="e">
        <f aca="false">IF(OR(#REF!&gt;2,#REF!&lt;-2),"",#REF!)</f>
        <v>#REF!</v>
      </c>
      <c r="UE10" s="7" t="e">
        <f aca="false">IF(OR(#REF!&gt;2,#REF!&lt;-2),"",#REF!)</f>
        <v>#REF!</v>
      </c>
      <c r="UF10" s="7" t="e">
        <f aca="false">IF(OR(#REF!&gt;2,#REF!&lt;-2),"",#REF!)</f>
        <v>#REF!</v>
      </c>
      <c r="UG10" s="7" t="e">
        <f aca="false">IF(OR(#REF!&gt;2,#REF!&lt;-2),"",#REF!)</f>
        <v>#REF!</v>
      </c>
      <c r="UH10" s="7" t="e">
        <f aca="false">IF(OR(#REF!&gt;2,#REF!&lt;-2),"",#REF!)</f>
        <v>#REF!</v>
      </c>
      <c r="UI10" s="7" t="e">
        <f aca="false">IF(OR(#REF!&gt;2,#REF!&lt;-2),"",#REF!)</f>
        <v>#REF!</v>
      </c>
      <c r="UJ10" s="7" t="e">
        <f aca="false">IF(OR(#REF!&gt;2,#REF!&lt;-2),"",#REF!)</f>
        <v>#REF!</v>
      </c>
      <c r="UK10" s="7" t="e">
        <f aca="false">IF(OR(#REF!&gt;2,#REF!&lt;-2),"",#REF!)</f>
        <v>#REF!</v>
      </c>
      <c r="UL10" s="7" t="e">
        <f aca="false">IF(OR(#REF!&gt;2,#REF!&lt;-2),"",#REF!)</f>
        <v>#REF!</v>
      </c>
      <c r="UM10" s="7" t="e">
        <f aca="false">IF(OR(#REF!&gt;2,#REF!&lt;-2),"",#REF!)</f>
        <v>#REF!</v>
      </c>
      <c r="UN10" s="7" t="e">
        <f aca="false">IF(OR(#REF!&gt;2,#REF!&lt;-2),"",#REF!)</f>
        <v>#REF!</v>
      </c>
      <c r="UO10" s="7" t="e">
        <f aca="false">IF(OR(#REF!&gt;2,#REF!&lt;-2),"",#REF!)</f>
        <v>#REF!</v>
      </c>
      <c r="UP10" s="7" t="e">
        <f aca="false">IF(OR(#REF!&gt;2,#REF!&lt;-2),"",#REF!)</f>
        <v>#REF!</v>
      </c>
    </row>
    <row r="11" customFormat="false" ht="14.5" hidden="false" customHeight="false" outlineLevel="0" collapsed="false">
      <c r="A11" s="0" t="n">
        <v>183</v>
      </c>
      <c r="B11" s="0" t="n">
        <v>0</v>
      </c>
      <c r="C11" s="7" t="e">
        <f aca="false">IF(OR(#REF!&gt;2,#REF!&lt;-2),"",#REF!)</f>
        <v>#REF!</v>
      </c>
      <c r="D11" s="7" t="e">
        <f aca="false">IF(OR(#REF!&gt;2,#REF!&lt;-2),"",#REF!)</f>
        <v>#REF!</v>
      </c>
      <c r="E11" s="7" t="e">
        <f aca="false">IF(OR(#REF!&gt;2,#REF!&lt;-2),"",#REF!)</f>
        <v>#REF!</v>
      </c>
      <c r="F11" s="7" t="e">
        <f aca="false">IF(OR(#REF!&gt;2,#REF!&lt;-2),"",#REF!)</f>
        <v>#REF!</v>
      </c>
      <c r="G11" s="7" t="e">
        <f aca="false">IF(OR(#REF!&gt;2,#REF!&lt;-2),"",#REF!)</f>
        <v>#REF!</v>
      </c>
      <c r="H11" s="7" t="e">
        <f aca="false">IF(OR(#REF!&gt;2,#REF!&lt;-2),"",#REF!)</f>
        <v>#REF!</v>
      </c>
      <c r="I11" s="7" t="e">
        <f aca="false">IF(OR(#REF!&gt;2,#REF!&lt;-2),"",#REF!)</f>
        <v>#REF!</v>
      </c>
      <c r="J11" s="7" t="e">
        <f aca="false">IF(OR(#REF!&gt;2,#REF!&lt;-2),"",#REF!)</f>
        <v>#REF!</v>
      </c>
      <c r="K11" s="7" t="e">
        <f aca="false">IF(OR(#REF!&gt;2,#REF!&lt;-2),"",#REF!)</f>
        <v>#REF!</v>
      </c>
      <c r="L11" s="7" t="e">
        <f aca="false">IF(OR(#REF!&gt;2,#REF!&lt;-2),"",#REF!)</f>
        <v>#REF!</v>
      </c>
      <c r="M11" s="7" t="e">
        <f aca="false">IF(OR(#REF!&gt;2,#REF!&lt;-2),"",#REF!)</f>
        <v>#REF!</v>
      </c>
      <c r="N11" s="7" t="e">
        <f aca="false">IF(OR(#REF!&gt;2,#REF!&lt;-2),"",#REF!)</f>
        <v>#REF!</v>
      </c>
      <c r="O11" s="7" t="e">
        <f aca="false">IF(OR(#REF!&gt;2,#REF!&lt;-2),"",#REF!)</f>
        <v>#REF!</v>
      </c>
      <c r="P11" s="7" t="e">
        <f aca="false">IF(OR(#REF!&gt;2,#REF!&lt;-2),"",#REF!)</f>
        <v>#REF!</v>
      </c>
      <c r="Q11" s="7" t="e">
        <f aca="false">IF(OR(#REF!&gt;2,#REF!&lt;-2),"",#REF!)</f>
        <v>#REF!</v>
      </c>
      <c r="R11" s="7" t="e">
        <f aca="false">IF(OR(#REF!&gt;2,#REF!&lt;-2),"",#REF!)</f>
        <v>#REF!</v>
      </c>
      <c r="S11" s="7" t="e">
        <f aca="false">IF(OR(#REF!&gt;2,#REF!&lt;-2),"",#REF!)</f>
        <v>#REF!</v>
      </c>
      <c r="T11" s="7" t="e">
        <f aca="false">IF(OR(#REF!&gt;2,#REF!&lt;-2),"",#REF!)</f>
        <v>#REF!</v>
      </c>
      <c r="U11" s="7" t="e">
        <f aca="false">IF(OR(#REF!&gt;2,#REF!&lt;-2),"",#REF!)</f>
        <v>#REF!</v>
      </c>
      <c r="V11" s="7" t="e">
        <f aca="false">IF(OR(#REF!&gt;2,#REF!&lt;-2),"",#REF!)</f>
        <v>#REF!</v>
      </c>
      <c r="W11" s="7" t="e">
        <f aca="false">IF(OR(#REF!&gt;2,#REF!&lt;-2),"",#REF!)</f>
        <v>#REF!</v>
      </c>
      <c r="X11" s="7" t="e">
        <f aca="false">IF(OR(#REF!&gt;2,#REF!&lt;-2),"",#REF!)</f>
        <v>#REF!</v>
      </c>
      <c r="Y11" s="7" t="e">
        <f aca="false">IF(OR(#REF!&gt;2,#REF!&lt;-2),"",#REF!)</f>
        <v>#REF!</v>
      </c>
      <c r="Z11" s="7" t="e">
        <f aca="false">IF(OR(#REF!&gt;2,#REF!&lt;-2),"",#REF!)</f>
        <v>#REF!</v>
      </c>
      <c r="AA11" s="7" t="e">
        <f aca="false">IF(OR(#REF!&gt;2,#REF!&lt;-2),"",#REF!)</f>
        <v>#REF!</v>
      </c>
      <c r="AB11" s="7" t="e">
        <f aca="false">IF(OR(#REF!&gt;2,#REF!&lt;-2),"",#REF!)</f>
        <v>#REF!</v>
      </c>
      <c r="AC11" s="7" t="e">
        <f aca="false">IF(OR(#REF!&gt;2,#REF!&lt;-2),"",#REF!)</f>
        <v>#REF!</v>
      </c>
      <c r="AD11" s="7" t="e">
        <f aca="false">IF(OR(#REF!&gt;2,#REF!&lt;-2),"",#REF!)</f>
        <v>#REF!</v>
      </c>
      <c r="AE11" s="7" t="e">
        <f aca="false">IF(OR(#REF!&gt;2,#REF!&lt;-2),"",#REF!)</f>
        <v>#REF!</v>
      </c>
      <c r="AF11" s="7" t="e">
        <f aca="false">IF(OR(#REF!&gt;2,#REF!&lt;-2),"",#REF!)</f>
        <v>#REF!</v>
      </c>
      <c r="AG11" s="7" t="e">
        <f aca="false">IF(OR(#REF!&gt;2,#REF!&lt;-2),"",#REF!)</f>
        <v>#REF!</v>
      </c>
      <c r="AH11" s="7" t="e">
        <f aca="false">IF(OR(#REF!&gt;2,#REF!&lt;-2),"",#REF!)</f>
        <v>#REF!</v>
      </c>
      <c r="AI11" s="7" t="e">
        <f aca="false">IF(OR(#REF!&gt;2,#REF!&lt;-2),"",#REF!)</f>
        <v>#REF!</v>
      </c>
      <c r="AJ11" s="7" t="e">
        <f aca="false">IF(OR(#REF!&gt;2,#REF!&lt;-2),"",#REF!)</f>
        <v>#REF!</v>
      </c>
      <c r="AK11" s="7" t="e">
        <f aca="false">IF(OR(#REF!&gt;2,#REF!&lt;-2),"",#REF!)</f>
        <v>#REF!</v>
      </c>
      <c r="AL11" s="7" t="e">
        <f aca="false">IF(OR(#REF!&gt;2,#REF!&lt;-2),"",#REF!)</f>
        <v>#REF!</v>
      </c>
      <c r="AM11" s="7" t="e">
        <f aca="false">IF(OR(#REF!&gt;2,#REF!&lt;-2),"",#REF!)</f>
        <v>#REF!</v>
      </c>
      <c r="AN11" s="7" t="e">
        <f aca="false">IF(OR(#REF!&gt;2,#REF!&lt;-2),"",#REF!)</f>
        <v>#REF!</v>
      </c>
      <c r="AO11" s="7" t="e">
        <f aca="false">IF(OR(#REF!&gt;2,#REF!&lt;-2),"",#REF!)</f>
        <v>#REF!</v>
      </c>
      <c r="AP11" s="7" t="e">
        <f aca="false">IF(OR(#REF!&gt;2,#REF!&lt;-2),"",#REF!)</f>
        <v>#REF!</v>
      </c>
      <c r="AQ11" s="7" t="e">
        <f aca="false">IF(OR(#REF!&gt;2,#REF!&lt;-2),"",#REF!)</f>
        <v>#REF!</v>
      </c>
      <c r="AR11" s="7" t="e">
        <f aca="false">IF(OR(#REF!&gt;2,#REF!&lt;-2),"",#REF!)</f>
        <v>#REF!</v>
      </c>
      <c r="AS11" s="7" t="e">
        <f aca="false">IF(OR(#REF!&gt;2,#REF!&lt;-2),"",#REF!)</f>
        <v>#REF!</v>
      </c>
      <c r="AT11" s="7" t="e">
        <f aca="false">IF(OR(#REF!&gt;2,#REF!&lt;-2),"",#REF!)</f>
        <v>#REF!</v>
      </c>
      <c r="AU11" s="7" t="e">
        <f aca="false">IF(OR(#REF!&gt;2,#REF!&lt;-2),"",#REF!)</f>
        <v>#REF!</v>
      </c>
      <c r="AV11" s="7" t="e">
        <f aca="false">IF(OR(#REF!&gt;2,#REF!&lt;-2),"",#REF!)</f>
        <v>#REF!</v>
      </c>
      <c r="AW11" s="7" t="e">
        <f aca="false">IF(OR(#REF!&gt;2,#REF!&lt;-2),"",#REF!)</f>
        <v>#REF!</v>
      </c>
      <c r="AX11" s="7" t="e">
        <f aca="false">IF(OR(#REF!&gt;2,#REF!&lt;-2),"",#REF!)</f>
        <v>#REF!</v>
      </c>
      <c r="AY11" s="7" t="e">
        <f aca="false">IF(OR(#REF!&gt;2,#REF!&lt;-2),"",#REF!)</f>
        <v>#REF!</v>
      </c>
      <c r="AZ11" s="7" t="e">
        <f aca="false">IF(OR(#REF!&gt;2,#REF!&lt;-2),"",#REF!)</f>
        <v>#REF!</v>
      </c>
      <c r="BA11" s="7" t="e">
        <f aca="false">IF(OR(#REF!&gt;2,#REF!&lt;-2),"",#REF!)</f>
        <v>#REF!</v>
      </c>
      <c r="BB11" s="7" t="e">
        <f aca="false">IF(OR(#REF!&gt;2,#REF!&lt;-2),"",#REF!)</f>
        <v>#REF!</v>
      </c>
      <c r="BC11" s="7" t="e">
        <f aca="false">IF(OR(#REF!&gt;2,#REF!&lt;-2),"",#REF!)</f>
        <v>#REF!</v>
      </c>
      <c r="BD11" s="7" t="e">
        <f aca="false">IF(OR(#REF!&gt;2,#REF!&lt;-2),"",#REF!)</f>
        <v>#REF!</v>
      </c>
      <c r="BE11" s="7" t="e">
        <f aca="false">IF(OR(#REF!&gt;2,#REF!&lt;-2),"",#REF!)</f>
        <v>#REF!</v>
      </c>
      <c r="BF11" s="7" t="e">
        <f aca="false">IF(OR(#REF!&gt;2,#REF!&lt;-2),"",#REF!)</f>
        <v>#REF!</v>
      </c>
      <c r="BG11" s="7" t="e">
        <f aca="false">IF(OR(#REF!&gt;2,#REF!&lt;-2),"",#REF!)</f>
        <v>#REF!</v>
      </c>
      <c r="BH11" s="7" t="e">
        <f aca="false">IF(OR(#REF!&gt;2,#REF!&lt;-2),"",#REF!)</f>
        <v>#REF!</v>
      </c>
      <c r="BI11" s="7" t="e">
        <f aca="false">IF(OR(#REF!&gt;2,#REF!&lt;-2),"",#REF!)</f>
        <v>#REF!</v>
      </c>
      <c r="BJ11" s="7" t="e">
        <f aca="false">IF(OR(#REF!&gt;2,#REF!&lt;-2),"",#REF!)</f>
        <v>#REF!</v>
      </c>
      <c r="BK11" s="7" t="e">
        <f aca="false">IF(OR(#REF!&gt;2,#REF!&lt;-2),"",#REF!)</f>
        <v>#REF!</v>
      </c>
      <c r="BL11" s="7" t="e">
        <f aca="false">IF(OR(#REF!&gt;2,#REF!&lt;-2),"",#REF!)</f>
        <v>#REF!</v>
      </c>
      <c r="BM11" s="7" t="e">
        <f aca="false">IF(OR(#REF!&gt;2,#REF!&lt;-2),"",#REF!)</f>
        <v>#REF!</v>
      </c>
      <c r="BN11" s="7" t="e">
        <f aca="false">IF(OR(#REF!&gt;2,#REF!&lt;-2),"",#REF!)</f>
        <v>#REF!</v>
      </c>
      <c r="BO11" s="7" t="e">
        <f aca="false">IF(OR(#REF!&gt;2,#REF!&lt;-2),"",#REF!)</f>
        <v>#REF!</v>
      </c>
      <c r="BP11" s="7" t="e">
        <f aca="false">IF(OR(#REF!&gt;2,#REF!&lt;-2),"",#REF!)</f>
        <v>#REF!</v>
      </c>
      <c r="BQ11" s="7" t="e">
        <f aca="false">IF(OR(#REF!&gt;2,#REF!&lt;-2),"",#REF!)</f>
        <v>#REF!</v>
      </c>
      <c r="BR11" s="7" t="e">
        <f aca="false">IF(OR(#REF!&gt;2,#REF!&lt;-2),"",#REF!)</f>
        <v>#REF!</v>
      </c>
      <c r="BS11" s="7" t="e">
        <f aca="false">IF(OR(#REF!&gt;2,#REF!&lt;-2),"",#REF!)</f>
        <v>#REF!</v>
      </c>
      <c r="BT11" s="7" t="e">
        <f aca="false">IF(OR(#REF!&gt;2,#REF!&lt;-2),"",#REF!)</f>
        <v>#REF!</v>
      </c>
      <c r="BU11" s="7" t="e">
        <f aca="false">IF(OR(#REF!&gt;2,#REF!&lt;-2),"",#REF!)</f>
        <v>#REF!</v>
      </c>
      <c r="BV11" s="7" t="e">
        <f aca="false">IF(OR(#REF!&gt;2,#REF!&lt;-2),"",#REF!)</f>
        <v>#REF!</v>
      </c>
      <c r="BW11" s="7" t="e">
        <f aca="false">IF(OR(#REF!&gt;2,#REF!&lt;-2),"",#REF!)</f>
        <v>#REF!</v>
      </c>
      <c r="BX11" s="7" t="e">
        <f aca="false">IF(OR(#REF!&gt;2,#REF!&lt;-2),"",#REF!)</f>
        <v>#REF!</v>
      </c>
      <c r="BY11" s="7" t="e">
        <f aca="false">IF(OR(#REF!&gt;2,#REF!&lt;-2),"",#REF!)</f>
        <v>#REF!</v>
      </c>
      <c r="BZ11" s="7" t="e">
        <f aca="false">IF(OR(#REF!&gt;2,#REF!&lt;-2),"",#REF!)</f>
        <v>#REF!</v>
      </c>
      <c r="CA11" s="7" t="e">
        <f aca="false">IF(OR(#REF!&gt;2,#REF!&lt;-2),"",#REF!)</f>
        <v>#REF!</v>
      </c>
      <c r="CB11" s="7" t="e">
        <f aca="false">IF(OR(#REF!&gt;2,#REF!&lt;-2),"",#REF!)</f>
        <v>#REF!</v>
      </c>
      <c r="CC11" s="7" t="e">
        <f aca="false">IF(OR(#REF!&gt;2,#REF!&lt;-2),"",#REF!)</f>
        <v>#REF!</v>
      </c>
      <c r="CD11" s="7" t="e">
        <f aca="false">IF(OR(#REF!&gt;2,#REF!&lt;-2),"",#REF!)</f>
        <v>#REF!</v>
      </c>
      <c r="CE11" s="7" t="e">
        <f aca="false">IF(OR(#REF!&gt;2,#REF!&lt;-2),"",#REF!)</f>
        <v>#REF!</v>
      </c>
      <c r="CF11" s="7" t="e">
        <f aca="false">IF(OR(#REF!&gt;2,#REF!&lt;-2),"",#REF!)</f>
        <v>#REF!</v>
      </c>
      <c r="CG11" s="7" t="e">
        <f aca="false">IF(OR(#REF!&gt;2,#REF!&lt;-2),"",#REF!)</f>
        <v>#REF!</v>
      </c>
      <c r="CH11" s="7" t="e">
        <f aca="false">IF(OR(#REF!&gt;2,#REF!&lt;-2),"",#REF!)</f>
        <v>#REF!</v>
      </c>
      <c r="CI11" s="7" t="e">
        <f aca="false">IF(OR(#REF!&gt;2,#REF!&lt;-2),"",#REF!)</f>
        <v>#REF!</v>
      </c>
      <c r="CJ11" s="7" t="e">
        <f aca="false">IF(OR(#REF!&gt;2,#REF!&lt;-2),"",#REF!)</f>
        <v>#REF!</v>
      </c>
      <c r="CK11" s="7" t="e">
        <f aca="false">IF(OR(#REF!&gt;2,#REF!&lt;-2),"",#REF!)</f>
        <v>#REF!</v>
      </c>
      <c r="CL11" s="7" t="e">
        <f aca="false">IF(OR(#REF!&gt;2,#REF!&lt;-2),"",#REF!)</f>
        <v>#REF!</v>
      </c>
      <c r="CM11" s="7" t="e">
        <f aca="false">IF(OR(#REF!&gt;2,#REF!&lt;-2),"",#REF!)</f>
        <v>#REF!</v>
      </c>
      <c r="CN11" s="7" t="e">
        <f aca="false">IF(OR(#REF!&gt;2,#REF!&lt;-2),"",#REF!)</f>
        <v>#REF!</v>
      </c>
      <c r="CO11" s="7" t="e">
        <f aca="false">IF(OR(#REF!&gt;2,#REF!&lt;-2),"",#REF!)</f>
        <v>#REF!</v>
      </c>
      <c r="CP11" s="7" t="e">
        <f aca="false">IF(OR(#REF!&gt;2,#REF!&lt;-2),"",#REF!)</f>
        <v>#REF!</v>
      </c>
      <c r="CQ11" s="7" t="e">
        <f aca="false">IF(OR(#REF!&gt;2,#REF!&lt;-2),"",#REF!)</f>
        <v>#REF!</v>
      </c>
      <c r="CR11" s="7" t="e">
        <f aca="false">IF(OR(#REF!&gt;2,#REF!&lt;-2),"",#REF!)</f>
        <v>#REF!</v>
      </c>
      <c r="CS11" s="7" t="e">
        <f aca="false">IF(OR(#REF!&gt;2,#REF!&lt;-2),"",#REF!)</f>
        <v>#REF!</v>
      </c>
      <c r="CT11" s="7" t="e">
        <f aca="false">IF(OR(#REF!&gt;2,#REF!&lt;-2),"",#REF!)</f>
        <v>#REF!</v>
      </c>
      <c r="CU11" s="7" t="e">
        <f aca="false">IF(OR(#REF!&gt;2,#REF!&lt;-2),"",#REF!)</f>
        <v>#REF!</v>
      </c>
      <c r="CV11" s="7" t="e">
        <f aca="false">IF(OR(#REF!&gt;2,#REF!&lt;-2),"",#REF!)</f>
        <v>#REF!</v>
      </c>
      <c r="CW11" s="7" t="e">
        <f aca="false">IF(OR(#REF!&gt;2,#REF!&lt;-2),"",#REF!)</f>
        <v>#REF!</v>
      </c>
      <c r="CX11" s="7" t="e">
        <f aca="false">IF(OR(#REF!&gt;2,#REF!&lt;-2),"",#REF!)</f>
        <v>#REF!</v>
      </c>
      <c r="CY11" s="7" t="e">
        <f aca="false">IF(OR(#REF!&gt;2,#REF!&lt;-2),"",#REF!)</f>
        <v>#REF!</v>
      </c>
      <c r="CZ11" s="7" t="e">
        <f aca="false">IF(OR(#REF!&gt;2,#REF!&lt;-2),"",#REF!)</f>
        <v>#REF!</v>
      </c>
      <c r="DA11" s="7" t="e">
        <f aca="false">IF(OR(#REF!&gt;2,#REF!&lt;-2),"",#REF!)</f>
        <v>#REF!</v>
      </c>
      <c r="DB11" s="7" t="e">
        <f aca="false">IF(OR(#REF!&gt;2,#REF!&lt;-2),"",#REF!)</f>
        <v>#REF!</v>
      </c>
      <c r="DC11" s="7" t="e">
        <f aca="false">IF(OR(#REF!&gt;2,#REF!&lt;-2),"",#REF!)</f>
        <v>#REF!</v>
      </c>
      <c r="DD11" s="7" t="e">
        <f aca="false">IF(OR(#REF!&gt;2,#REF!&lt;-2),"",#REF!)</f>
        <v>#REF!</v>
      </c>
      <c r="DE11" s="7" t="e">
        <f aca="false">IF(OR(#REF!&gt;2,#REF!&lt;-2),"",#REF!)</f>
        <v>#REF!</v>
      </c>
      <c r="DF11" s="7" t="e">
        <f aca="false">IF(OR(#REF!&gt;2,#REF!&lt;-2),"",#REF!)</f>
        <v>#REF!</v>
      </c>
      <c r="DG11" s="7" t="e">
        <f aca="false">IF(OR(#REF!&gt;2,#REF!&lt;-2),"",#REF!)</f>
        <v>#REF!</v>
      </c>
      <c r="DH11" s="7" t="e">
        <f aca="false">IF(OR(#REF!&gt;2,#REF!&lt;-2),"",#REF!)</f>
        <v>#REF!</v>
      </c>
      <c r="DI11" s="7" t="e">
        <f aca="false">IF(OR(#REF!&gt;2,#REF!&lt;-2),"",#REF!)</f>
        <v>#REF!</v>
      </c>
      <c r="DJ11" s="7" t="e">
        <f aca="false">IF(OR(#REF!&gt;2,#REF!&lt;-2),"",#REF!)</f>
        <v>#REF!</v>
      </c>
      <c r="DK11" s="7" t="e">
        <f aca="false">IF(OR(#REF!&gt;2,#REF!&lt;-2),"",#REF!)</f>
        <v>#REF!</v>
      </c>
      <c r="DL11" s="7" t="e">
        <f aca="false">IF(OR(#REF!&gt;2,#REF!&lt;-2),"",#REF!)</f>
        <v>#REF!</v>
      </c>
      <c r="DM11" s="7" t="e">
        <f aca="false">IF(OR(#REF!&gt;2,#REF!&lt;-2),"",#REF!)</f>
        <v>#REF!</v>
      </c>
      <c r="DN11" s="7" t="e">
        <f aca="false">IF(OR(#REF!&gt;2,#REF!&lt;-2),"",#REF!)</f>
        <v>#REF!</v>
      </c>
      <c r="DO11" s="7" t="e">
        <f aca="false">IF(OR(#REF!&gt;2,#REF!&lt;-2),"",#REF!)</f>
        <v>#REF!</v>
      </c>
      <c r="DP11" s="7" t="e">
        <f aca="false">IF(OR(#REF!&gt;2,#REF!&lt;-2),"",#REF!)</f>
        <v>#REF!</v>
      </c>
      <c r="DQ11" s="7" t="e">
        <f aca="false">IF(OR(#REF!&gt;2,#REF!&lt;-2),"",#REF!)</f>
        <v>#REF!</v>
      </c>
      <c r="DR11" s="7" t="e">
        <f aca="false">IF(OR(#REF!&gt;2,#REF!&lt;-2),"",#REF!)</f>
        <v>#REF!</v>
      </c>
      <c r="DS11" s="7" t="e">
        <f aca="false">IF(OR(#REF!&gt;2,#REF!&lt;-2),"",#REF!)</f>
        <v>#REF!</v>
      </c>
      <c r="DT11" s="7" t="e">
        <f aca="false">IF(OR(#REF!&gt;2,#REF!&lt;-2),"",#REF!)</f>
        <v>#REF!</v>
      </c>
      <c r="DU11" s="7" t="e">
        <f aca="false">IF(OR(#REF!&gt;2,#REF!&lt;-2),"",#REF!)</f>
        <v>#REF!</v>
      </c>
      <c r="DV11" s="7" t="e">
        <f aca="false">IF(OR(#REF!&gt;2,#REF!&lt;-2),"",#REF!)</f>
        <v>#REF!</v>
      </c>
      <c r="DW11" s="7" t="e">
        <f aca="false">IF(OR(#REF!&gt;2,#REF!&lt;-2),"",#REF!)</f>
        <v>#REF!</v>
      </c>
      <c r="DX11" s="7" t="e">
        <f aca="false">IF(OR(#REF!&gt;2,#REF!&lt;-2),"",#REF!)</f>
        <v>#REF!</v>
      </c>
      <c r="DY11" s="7" t="e">
        <f aca="false">IF(OR(#REF!&gt;2,#REF!&lt;-2),"",#REF!)</f>
        <v>#REF!</v>
      </c>
      <c r="DZ11" s="7" t="e">
        <f aca="false">IF(OR(#REF!&gt;2,#REF!&lt;-2),"",#REF!)</f>
        <v>#REF!</v>
      </c>
      <c r="EA11" s="7" t="e">
        <f aca="false">IF(OR(#REF!&gt;2,#REF!&lt;-2),"",#REF!)</f>
        <v>#REF!</v>
      </c>
      <c r="EB11" s="7" t="e">
        <f aca="false">IF(OR(#REF!&gt;2,#REF!&lt;-2),"",#REF!)</f>
        <v>#REF!</v>
      </c>
      <c r="EC11" s="7" t="e">
        <f aca="false">IF(OR(#REF!&gt;2,#REF!&lt;-2),"",#REF!)</f>
        <v>#REF!</v>
      </c>
      <c r="ED11" s="7" t="e">
        <f aca="false">IF(OR(#REF!&gt;2,#REF!&lt;-2),"",#REF!)</f>
        <v>#REF!</v>
      </c>
      <c r="EE11" s="7" t="e">
        <f aca="false">IF(OR(#REF!&gt;2,#REF!&lt;-2),"",#REF!)</f>
        <v>#REF!</v>
      </c>
      <c r="EF11" s="7" t="e">
        <f aca="false">IF(OR(#REF!&gt;2,#REF!&lt;-2),"",#REF!)</f>
        <v>#REF!</v>
      </c>
      <c r="EG11" s="7" t="e">
        <f aca="false">IF(OR(#REF!&gt;2,#REF!&lt;-2),"",#REF!)</f>
        <v>#REF!</v>
      </c>
      <c r="EH11" s="7" t="e">
        <f aca="false">IF(OR(#REF!&gt;2,#REF!&lt;-2),"",#REF!)</f>
        <v>#REF!</v>
      </c>
      <c r="EI11" s="7" t="e">
        <f aca="false">IF(OR(#REF!&gt;2,#REF!&lt;-2),"",#REF!)</f>
        <v>#REF!</v>
      </c>
      <c r="EJ11" s="7" t="e">
        <f aca="false">IF(OR(#REF!&gt;2,#REF!&lt;-2),"",#REF!)</f>
        <v>#REF!</v>
      </c>
      <c r="EK11" s="7" t="e">
        <f aca="false">IF(OR(#REF!&gt;2,#REF!&lt;-2),"",#REF!)</f>
        <v>#REF!</v>
      </c>
      <c r="EL11" s="7" t="e">
        <f aca="false">IF(OR(#REF!&gt;2,#REF!&lt;-2),"",#REF!)</f>
        <v>#REF!</v>
      </c>
      <c r="EM11" s="7" t="e">
        <f aca="false">IF(OR(#REF!&gt;2,#REF!&lt;-2),"",#REF!)</f>
        <v>#REF!</v>
      </c>
      <c r="EN11" s="7" t="e">
        <f aca="false">IF(OR(#REF!&gt;2,#REF!&lt;-2),"",#REF!)</f>
        <v>#REF!</v>
      </c>
      <c r="EO11" s="7" t="e">
        <f aca="false">IF(OR(#REF!&gt;2,#REF!&lt;-2),"",#REF!)</f>
        <v>#REF!</v>
      </c>
      <c r="EP11" s="7" t="e">
        <f aca="false">IF(OR(#REF!&gt;2,#REF!&lt;-2),"",#REF!)</f>
        <v>#REF!</v>
      </c>
      <c r="EQ11" s="7" t="e">
        <f aca="false">IF(OR(#REF!&gt;2,#REF!&lt;-2),"",#REF!)</f>
        <v>#REF!</v>
      </c>
      <c r="ER11" s="7" t="e">
        <f aca="false">IF(OR(#REF!&gt;2,#REF!&lt;-2),"",#REF!)</f>
        <v>#REF!</v>
      </c>
      <c r="ES11" s="7" t="e">
        <f aca="false">IF(OR(#REF!&gt;2,#REF!&lt;-2),"",#REF!)</f>
        <v>#REF!</v>
      </c>
      <c r="ET11" s="7" t="e">
        <f aca="false">IF(OR(#REF!&gt;2,#REF!&lt;-2),"",#REF!)</f>
        <v>#REF!</v>
      </c>
      <c r="EU11" s="7" t="e">
        <f aca="false">IF(OR(#REF!&gt;2,#REF!&lt;-2),"",#REF!)</f>
        <v>#REF!</v>
      </c>
      <c r="EV11" s="7" t="e">
        <f aca="false">IF(OR(#REF!&gt;2,#REF!&lt;-2),"",#REF!)</f>
        <v>#REF!</v>
      </c>
      <c r="EW11" s="7" t="e">
        <f aca="false">IF(OR(#REF!&gt;2,#REF!&lt;-2),"",#REF!)</f>
        <v>#REF!</v>
      </c>
      <c r="EX11" s="7" t="e">
        <f aca="false">IF(OR(#REF!&gt;2,#REF!&lt;-2),"",#REF!)</f>
        <v>#REF!</v>
      </c>
      <c r="EY11" s="7" t="e">
        <f aca="false">IF(OR(#REF!&gt;2,#REF!&lt;-2),"",#REF!)</f>
        <v>#REF!</v>
      </c>
      <c r="EZ11" s="7" t="e">
        <f aca="false">IF(OR(#REF!&gt;2,#REF!&lt;-2),"",#REF!)</f>
        <v>#REF!</v>
      </c>
      <c r="FA11" s="7" t="e">
        <f aca="false">IF(OR(#REF!&gt;2,#REF!&lt;-2),"",#REF!)</f>
        <v>#REF!</v>
      </c>
      <c r="FB11" s="7" t="e">
        <f aca="false">IF(OR(#REF!&gt;2,#REF!&lt;-2),"",#REF!)</f>
        <v>#REF!</v>
      </c>
      <c r="FC11" s="7" t="e">
        <f aca="false">IF(OR(#REF!&gt;2,#REF!&lt;-2),"",#REF!)</f>
        <v>#REF!</v>
      </c>
      <c r="FD11" s="7" t="e">
        <f aca="false">IF(OR(#REF!&gt;2,#REF!&lt;-2),"",#REF!)</f>
        <v>#REF!</v>
      </c>
      <c r="FE11" s="7" t="e">
        <f aca="false">IF(OR(#REF!&gt;2,#REF!&lt;-2),"",#REF!)</f>
        <v>#REF!</v>
      </c>
      <c r="FF11" s="7" t="e">
        <f aca="false">IF(OR(#REF!&gt;2,#REF!&lt;-2),"",#REF!)</f>
        <v>#REF!</v>
      </c>
      <c r="FG11" s="7" t="e">
        <f aca="false">IF(OR(#REF!&gt;2,#REF!&lt;-2),"",#REF!)</f>
        <v>#REF!</v>
      </c>
      <c r="FH11" s="7" t="e">
        <f aca="false">IF(OR(#REF!&gt;2,#REF!&lt;-2),"",#REF!)</f>
        <v>#REF!</v>
      </c>
      <c r="FI11" s="7" t="e">
        <f aca="false">IF(OR(#REF!&gt;2,#REF!&lt;-2),"",#REF!)</f>
        <v>#REF!</v>
      </c>
      <c r="FJ11" s="7" t="e">
        <f aca="false">IF(OR(#REF!&gt;2,#REF!&lt;-2),"",#REF!)</f>
        <v>#REF!</v>
      </c>
      <c r="FK11" s="7" t="e">
        <f aca="false">IF(OR(#REF!&gt;2,#REF!&lt;-2),"",#REF!)</f>
        <v>#REF!</v>
      </c>
      <c r="FL11" s="7" t="e">
        <f aca="false">IF(OR(#REF!&gt;2,#REF!&lt;-2),"",#REF!)</f>
        <v>#REF!</v>
      </c>
      <c r="FM11" s="7" t="e">
        <f aca="false">IF(OR(#REF!&gt;2,#REF!&lt;-2),"",#REF!)</f>
        <v>#REF!</v>
      </c>
      <c r="FN11" s="7" t="e">
        <f aca="false">IF(OR(#REF!&gt;2,#REF!&lt;-2),"",#REF!)</f>
        <v>#REF!</v>
      </c>
      <c r="FO11" s="7" t="e">
        <f aca="false">IF(OR(#REF!&gt;2,#REF!&lt;-2),"",#REF!)</f>
        <v>#REF!</v>
      </c>
      <c r="FP11" s="7" t="e">
        <f aca="false">IF(OR(#REF!&gt;2,#REF!&lt;-2),"",#REF!)</f>
        <v>#REF!</v>
      </c>
      <c r="FQ11" s="7" t="e">
        <f aca="false">IF(OR(#REF!&gt;2,#REF!&lt;-2),"",#REF!)</f>
        <v>#REF!</v>
      </c>
      <c r="FR11" s="7" t="e">
        <f aca="false">IF(OR(#REF!&gt;2,#REF!&lt;-2),"",#REF!)</f>
        <v>#REF!</v>
      </c>
      <c r="FS11" s="7" t="e">
        <f aca="false">IF(OR(#REF!&gt;2,#REF!&lt;-2),"",#REF!)</f>
        <v>#REF!</v>
      </c>
      <c r="FT11" s="7" t="e">
        <f aca="false">IF(OR(#REF!&gt;2,#REF!&lt;-2),"",#REF!)</f>
        <v>#REF!</v>
      </c>
      <c r="FU11" s="7" t="e">
        <f aca="false">IF(OR(#REF!&gt;2,#REF!&lt;-2),"",#REF!)</f>
        <v>#REF!</v>
      </c>
      <c r="FV11" s="7" t="e">
        <f aca="false">IF(OR(#REF!&gt;2,#REF!&lt;-2),"",#REF!)</f>
        <v>#REF!</v>
      </c>
      <c r="FW11" s="7" t="e">
        <f aca="false">IF(OR(#REF!&gt;2,#REF!&lt;-2),"",#REF!)</f>
        <v>#REF!</v>
      </c>
      <c r="FX11" s="7" t="e">
        <f aca="false">IF(OR(#REF!&gt;2,#REF!&lt;-2),"",#REF!)</f>
        <v>#REF!</v>
      </c>
      <c r="FY11" s="7" t="e">
        <f aca="false">IF(OR(#REF!&gt;2,#REF!&lt;-2),"",#REF!)</f>
        <v>#REF!</v>
      </c>
      <c r="FZ11" s="7" t="e">
        <f aca="false">IF(OR(#REF!&gt;2,#REF!&lt;-2),"",#REF!)</f>
        <v>#REF!</v>
      </c>
      <c r="GA11" s="7" t="e">
        <f aca="false">IF(OR(#REF!&gt;2,#REF!&lt;-2),"",#REF!)</f>
        <v>#REF!</v>
      </c>
      <c r="GB11" s="7" t="e">
        <f aca="false">IF(OR(#REF!&gt;2,#REF!&lt;-2),"",#REF!)</f>
        <v>#REF!</v>
      </c>
      <c r="GC11" s="7" t="e">
        <f aca="false">IF(OR(#REF!&gt;2,#REF!&lt;-2),"",#REF!)</f>
        <v>#REF!</v>
      </c>
      <c r="GD11" s="7" t="e">
        <f aca="false">IF(OR(#REF!&gt;2,#REF!&lt;-2),"",#REF!)</f>
        <v>#REF!</v>
      </c>
      <c r="GE11" s="7" t="e">
        <f aca="false">IF(OR(#REF!&gt;2,#REF!&lt;-2),"",#REF!)</f>
        <v>#REF!</v>
      </c>
      <c r="GF11" s="7" t="e">
        <f aca="false">IF(OR(#REF!&gt;2,#REF!&lt;-2),"",#REF!)</f>
        <v>#REF!</v>
      </c>
      <c r="GG11" s="7" t="e">
        <f aca="false">IF(OR(#REF!&gt;2,#REF!&lt;-2),"",#REF!)</f>
        <v>#REF!</v>
      </c>
      <c r="GH11" s="7" t="e">
        <f aca="false">IF(OR(#REF!&gt;2,#REF!&lt;-2),"",#REF!)</f>
        <v>#REF!</v>
      </c>
      <c r="GI11" s="7" t="e">
        <f aca="false">IF(OR(#REF!&gt;2,#REF!&lt;-2),"",#REF!)</f>
        <v>#REF!</v>
      </c>
      <c r="GJ11" s="7" t="e">
        <f aca="false">IF(OR(#REF!&gt;2,#REF!&lt;-2),"",#REF!)</f>
        <v>#REF!</v>
      </c>
      <c r="GK11" s="7" t="e">
        <f aca="false">IF(OR(#REF!&gt;2,#REF!&lt;-2),"",#REF!)</f>
        <v>#REF!</v>
      </c>
      <c r="GL11" s="7" t="e">
        <f aca="false">IF(OR(#REF!&gt;2,#REF!&lt;-2),"",#REF!)</f>
        <v>#REF!</v>
      </c>
      <c r="GM11" s="7" t="e">
        <f aca="false">IF(OR(#REF!&gt;2,#REF!&lt;-2),"",#REF!)</f>
        <v>#REF!</v>
      </c>
      <c r="GN11" s="7" t="e">
        <f aca="false">IF(OR(#REF!&gt;2,#REF!&lt;-2),"",#REF!)</f>
        <v>#REF!</v>
      </c>
      <c r="GO11" s="7" t="e">
        <f aca="false">IF(OR(#REF!&gt;2,#REF!&lt;-2),"",#REF!)</f>
        <v>#REF!</v>
      </c>
      <c r="GP11" s="7" t="e">
        <f aca="false">IF(OR(#REF!&gt;2,#REF!&lt;-2),"",#REF!)</f>
        <v>#REF!</v>
      </c>
      <c r="GQ11" s="7" t="e">
        <f aca="false">IF(OR(#REF!&gt;2,#REF!&lt;-2),"",#REF!)</f>
        <v>#REF!</v>
      </c>
      <c r="GR11" s="7" t="e">
        <f aca="false">IF(OR(#REF!&gt;2,#REF!&lt;-2),"",#REF!)</f>
        <v>#REF!</v>
      </c>
      <c r="GS11" s="7" t="e">
        <f aca="false">IF(OR(#REF!&gt;2,#REF!&lt;-2),"",#REF!)</f>
        <v>#REF!</v>
      </c>
      <c r="GT11" s="7" t="e">
        <f aca="false">IF(OR(#REF!&gt;2,#REF!&lt;-2),"",#REF!)</f>
        <v>#REF!</v>
      </c>
      <c r="GU11" s="7" t="e">
        <f aca="false">IF(OR(#REF!&gt;2,#REF!&lt;-2),"",#REF!)</f>
        <v>#REF!</v>
      </c>
      <c r="GV11" s="7" t="e">
        <f aca="false">IF(OR(#REF!&gt;2,#REF!&lt;-2),"",#REF!)</f>
        <v>#REF!</v>
      </c>
      <c r="GW11" s="7" t="e">
        <f aca="false">IF(OR(#REF!&gt;2,#REF!&lt;-2),"",#REF!)</f>
        <v>#REF!</v>
      </c>
      <c r="GX11" s="7" t="e">
        <f aca="false">IF(OR(#REF!&gt;2,#REF!&lt;-2),"",#REF!)</f>
        <v>#REF!</v>
      </c>
      <c r="GY11" s="7" t="e">
        <f aca="false">IF(OR(#REF!&gt;2,#REF!&lt;-2),"",#REF!)</f>
        <v>#REF!</v>
      </c>
      <c r="GZ11" s="7" t="e">
        <f aca="false">IF(OR(#REF!&gt;2,#REF!&lt;-2),"",#REF!)</f>
        <v>#REF!</v>
      </c>
      <c r="HA11" s="7" t="e">
        <f aca="false">IF(OR(#REF!&gt;2,#REF!&lt;-2),"",#REF!)</f>
        <v>#REF!</v>
      </c>
      <c r="HB11" s="7" t="e">
        <f aca="false">IF(OR(#REF!&gt;2,#REF!&lt;-2),"",#REF!)</f>
        <v>#REF!</v>
      </c>
      <c r="HC11" s="7" t="e">
        <f aca="false">IF(OR(#REF!&gt;2,#REF!&lt;-2),"",#REF!)</f>
        <v>#REF!</v>
      </c>
      <c r="HD11" s="7" t="e">
        <f aca="false">IF(OR(#REF!&gt;2,#REF!&lt;-2),"",#REF!)</f>
        <v>#REF!</v>
      </c>
      <c r="HE11" s="7" t="e">
        <f aca="false">IF(OR(#REF!&gt;2,#REF!&lt;-2),"",#REF!)</f>
        <v>#REF!</v>
      </c>
      <c r="HF11" s="7" t="e">
        <f aca="false">IF(OR(#REF!&gt;2,#REF!&lt;-2),"",#REF!)</f>
        <v>#REF!</v>
      </c>
      <c r="HG11" s="7" t="e">
        <f aca="false">IF(OR(#REF!&gt;2,#REF!&lt;-2),"",#REF!)</f>
        <v>#REF!</v>
      </c>
      <c r="HH11" s="7" t="e">
        <f aca="false">IF(OR(#REF!&gt;2,#REF!&lt;-2),"",#REF!)</f>
        <v>#REF!</v>
      </c>
      <c r="HI11" s="7" t="e">
        <f aca="false">IF(OR(#REF!&gt;2,#REF!&lt;-2),"",#REF!)</f>
        <v>#REF!</v>
      </c>
      <c r="HJ11" s="7" t="e">
        <f aca="false">IF(OR(#REF!&gt;2,#REF!&lt;-2),"",#REF!)</f>
        <v>#REF!</v>
      </c>
      <c r="HK11" s="7" t="e">
        <f aca="false">IF(OR(#REF!&gt;2,#REF!&lt;-2),"",#REF!)</f>
        <v>#REF!</v>
      </c>
      <c r="HL11" s="7" t="e">
        <f aca="false">IF(OR(#REF!&gt;2,#REF!&lt;-2),"",#REF!)</f>
        <v>#REF!</v>
      </c>
      <c r="HM11" s="7" t="e">
        <f aca="false">IF(OR(#REF!&gt;2,#REF!&lt;-2),"",#REF!)</f>
        <v>#REF!</v>
      </c>
      <c r="HN11" s="7" t="e">
        <f aca="false">IF(OR(#REF!&gt;2,#REF!&lt;-2),"",#REF!)</f>
        <v>#REF!</v>
      </c>
      <c r="HO11" s="7" t="e">
        <f aca="false">IF(OR(#REF!&gt;2,#REF!&lt;-2),"",#REF!)</f>
        <v>#REF!</v>
      </c>
      <c r="HP11" s="7" t="e">
        <f aca="false">IF(OR(#REF!&gt;2,#REF!&lt;-2),"",#REF!)</f>
        <v>#REF!</v>
      </c>
      <c r="HQ11" s="7" t="e">
        <f aca="false">IF(OR(#REF!&gt;2,#REF!&lt;-2),"",#REF!)</f>
        <v>#REF!</v>
      </c>
      <c r="HR11" s="7" t="e">
        <f aca="false">IF(OR(#REF!&gt;2,#REF!&lt;-2),"",#REF!)</f>
        <v>#REF!</v>
      </c>
      <c r="HS11" s="7" t="e">
        <f aca="false">IF(OR(#REF!&gt;2,#REF!&lt;-2),"",#REF!)</f>
        <v>#REF!</v>
      </c>
      <c r="HT11" s="7" t="e">
        <f aca="false">IF(OR(#REF!&gt;2,#REF!&lt;-2),"",#REF!)</f>
        <v>#REF!</v>
      </c>
      <c r="HU11" s="7" t="e">
        <f aca="false">IF(OR(#REF!&gt;2,#REF!&lt;-2),"",#REF!)</f>
        <v>#REF!</v>
      </c>
      <c r="HV11" s="7" t="e">
        <f aca="false">IF(OR(#REF!&gt;2,#REF!&lt;-2),"",#REF!)</f>
        <v>#REF!</v>
      </c>
      <c r="HW11" s="7" t="e">
        <f aca="false">IF(OR(#REF!&gt;2,#REF!&lt;-2),"",#REF!)</f>
        <v>#REF!</v>
      </c>
      <c r="HX11" s="7" t="e">
        <f aca="false">IF(OR(#REF!&gt;2,#REF!&lt;-2),"",#REF!)</f>
        <v>#REF!</v>
      </c>
      <c r="HY11" s="7" t="e">
        <f aca="false">IF(OR(#REF!&gt;2,#REF!&lt;-2),"",#REF!)</f>
        <v>#REF!</v>
      </c>
      <c r="HZ11" s="7" t="e">
        <f aca="false">IF(OR(#REF!&gt;2,#REF!&lt;-2),"",#REF!)</f>
        <v>#REF!</v>
      </c>
      <c r="IA11" s="7" t="e">
        <f aca="false">IF(OR(#REF!&gt;2,#REF!&lt;-2),"",#REF!)</f>
        <v>#REF!</v>
      </c>
      <c r="IB11" s="7" t="e">
        <f aca="false">IF(OR(#REF!&gt;2,#REF!&lt;-2),"",#REF!)</f>
        <v>#REF!</v>
      </c>
      <c r="IC11" s="7" t="e">
        <f aca="false">IF(OR(#REF!&gt;2,#REF!&lt;-2),"",#REF!)</f>
        <v>#REF!</v>
      </c>
      <c r="ID11" s="7" t="e">
        <f aca="false">IF(OR(#REF!&gt;2,#REF!&lt;-2),"",#REF!)</f>
        <v>#REF!</v>
      </c>
      <c r="IE11" s="7" t="e">
        <f aca="false">IF(OR(#REF!&gt;2,#REF!&lt;-2),"",#REF!)</f>
        <v>#REF!</v>
      </c>
      <c r="IF11" s="7" t="e">
        <f aca="false">IF(OR(#REF!&gt;2,#REF!&lt;-2),"",#REF!)</f>
        <v>#REF!</v>
      </c>
      <c r="IG11" s="7" t="e">
        <f aca="false">IF(OR(#REF!&gt;2,#REF!&lt;-2),"",#REF!)</f>
        <v>#REF!</v>
      </c>
      <c r="IH11" s="7" t="e">
        <f aca="false">IF(OR(#REF!&gt;2,#REF!&lt;-2),"",#REF!)</f>
        <v>#REF!</v>
      </c>
      <c r="II11" s="7" t="e">
        <f aca="false">IF(OR(#REF!&gt;2,#REF!&lt;-2),"",#REF!)</f>
        <v>#REF!</v>
      </c>
      <c r="IJ11" s="7" t="e">
        <f aca="false">IF(OR(#REF!&gt;2,#REF!&lt;-2),"",#REF!)</f>
        <v>#REF!</v>
      </c>
      <c r="IK11" s="7" t="e">
        <f aca="false">IF(OR(#REF!&gt;2,#REF!&lt;-2),"",#REF!)</f>
        <v>#REF!</v>
      </c>
      <c r="IL11" s="7" t="e">
        <f aca="false">IF(OR(#REF!&gt;2,#REF!&lt;-2),"",#REF!)</f>
        <v>#REF!</v>
      </c>
      <c r="IM11" s="7" t="e">
        <f aca="false">IF(OR(#REF!&gt;2,#REF!&lt;-2),"",#REF!)</f>
        <v>#REF!</v>
      </c>
      <c r="IN11" s="7" t="e">
        <f aca="false">IF(OR(#REF!&gt;2,#REF!&lt;-2),"",#REF!)</f>
        <v>#REF!</v>
      </c>
      <c r="IO11" s="7" t="e">
        <f aca="false">IF(OR(#REF!&gt;2,#REF!&lt;-2),"",#REF!)</f>
        <v>#REF!</v>
      </c>
      <c r="IP11" s="7" t="e">
        <f aca="false">IF(OR(#REF!&gt;2,#REF!&lt;-2),"",#REF!)</f>
        <v>#REF!</v>
      </c>
      <c r="IQ11" s="7" t="e">
        <f aca="false">IF(OR(#REF!&gt;2,#REF!&lt;-2),"",#REF!)</f>
        <v>#REF!</v>
      </c>
      <c r="IR11" s="7" t="e">
        <f aca="false">IF(OR(#REF!&gt;2,#REF!&lt;-2),"",#REF!)</f>
        <v>#REF!</v>
      </c>
      <c r="IS11" s="7" t="e">
        <f aca="false">IF(OR(#REF!&gt;2,#REF!&lt;-2),"",#REF!)</f>
        <v>#REF!</v>
      </c>
      <c r="IT11" s="7" t="e">
        <f aca="false">IF(OR(#REF!&gt;2,#REF!&lt;-2),"",#REF!)</f>
        <v>#REF!</v>
      </c>
      <c r="IU11" s="7" t="e">
        <f aca="false">IF(OR(#REF!&gt;2,#REF!&lt;-2),"",#REF!)</f>
        <v>#REF!</v>
      </c>
      <c r="IV11" s="7" t="e">
        <f aca="false">IF(OR(#REF!&gt;2,#REF!&lt;-2),"",#REF!)</f>
        <v>#REF!</v>
      </c>
      <c r="IW11" s="7" t="e">
        <f aca="false">IF(OR(#REF!&gt;2,#REF!&lt;-2),"",#REF!)</f>
        <v>#REF!</v>
      </c>
      <c r="IX11" s="7" t="e">
        <f aca="false">IF(OR(#REF!&gt;2,#REF!&lt;-2),"",#REF!)</f>
        <v>#REF!</v>
      </c>
      <c r="IY11" s="7" t="e">
        <f aca="false">IF(OR(#REF!&gt;2,#REF!&lt;-2),"",#REF!)</f>
        <v>#REF!</v>
      </c>
      <c r="IZ11" s="7" t="e">
        <f aca="false">IF(OR(#REF!&gt;2,#REF!&lt;-2),"",#REF!)</f>
        <v>#REF!</v>
      </c>
      <c r="JA11" s="7" t="e">
        <f aca="false">IF(OR(#REF!&gt;2,#REF!&lt;-2),"",#REF!)</f>
        <v>#REF!</v>
      </c>
      <c r="JB11" s="7" t="e">
        <f aca="false">IF(OR(#REF!&gt;2,#REF!&lt;-2),"",#REF!)</f>
        <v>#REF!</v>
      </c>
      <c r="JC11" s="7" t="e">
        <f aca="false">IF(OR(#REF!&gt;2,#REF!&lt;-2),"",#REF!)</f>
        <v>#REF!</v>
      </c>
      <c r="JD11" s="7" t="e">
        <f aca="false">IF(OR(#REF!&gt;2,#REF!&lt;-2),"",#REF!)</f>
        <v>#REF!</v>
      </c>
      <c r="JE11" s="7" t="e">
        <f aca="false">IF(OR(#REF!&gt;2,#REF!&lt;-2),"",#REF!)</f>
        <v>#REF!</v>
      </c>
      <c r="JF11" s="7" t="e">
        <f aca="false">IF(OR(#REF!&gt;2,#REF!&lt;-2),"",#REF!)</f>
        <v>#REF!</v>
      </c>
      <c r="JG11" s="7" t="e">
        <f aca="false">IF(OR(#REF!&gt;2,#REF!&lt;-2),"",#REF!)</f>
        <v>#REF!</v>
      </c>
      <c r="JH11" s="7" t="e">
        <f aca="false">IF(OR(#REF!&gt;2,#REF!&lt;-2),"",#REF!)</f>
        <v>#REF!</v>
      </c>
      <c r="JI11" s="7" t="e">
        <f aca="false">IF(OR(#REF!&gt;2,#REF!&lt;-2),"",#REF!)</f>
        <v>#REF!</v>
      </c>
      <c r="JJ11" s="7" t="e">
        <f aca="false">IF(OR(#REF!&gt;2,#REF!&lt;-2),"",#REF!)</f>
        <v>#REF!</v>
      </c>
      <c r="JK11" s="7" t="e">
        <f aca="false">IF(OR(#REF!&gt;2,#REF!&lt;-2),"",#REF!)</f>
        <v>#REF!</v>
      </c>
      <c r="JL11" s="7" t="e">
        <f aca="false">IF(OR(#REF!&gt;2,#REF!&lt;-2),"",#REF!)</f>
        <v>#REF!</v>
      </c>
      <c r="JM11" s="7" t="e">
        <f aca="false">IF(OR(#REF!&gt;2,#REF!&lt;-2),"",#REF!)</f>
        <v>#REF!</v>
      </c>
      <c r="JN11" s="7" t="e">
        <f aca="false">IF(OR(#REF!&gt;2,#REF!&lt;-2),"",#REF!)</f>
        <v>#REF!</v>
      </c>
      <c r="JO11" s="7" t="e">
        <f aca="false">IF(OR(#REF!&gt;2,#REF!&lt;-2),"",#REF!)</f>
        <v>#REF!</v>
      </c>
      <c r="JP11" s="7" t="e">
        <f aca="false">IF(OR(#REF!&gt;2,#REF!&lt;-2),"",#REF!)</f>
        <v>#REF!</v>
      </c>
      <c r="JQ11" s="7" t="e">
        <f aca="false">IF(OR(#REF!&gt;2,#REF!&lt;-2),"",#REF!)</f>
        <v>#REF!</v>
      </c>
      <c r="JR11" s="7" t="e">
        <f aca="false">IF(OR(#REF!&gt;2,#REF!&lt;-2),"",#REF!)</f>
        <v>#REF!</v>
      </c>
      <c r="JS11" s="7" t="e">
        <f aca="false">IF(OR(#REF!&gt;2,#REF!&lt;-2),"",#REF!)</f>
        <v>#REF!</v>
      </c>
      <c r="JT11" s="7" t="e">
        <f aca="false">IF(OR(#REF!&gt;2,#REF!&lt;-2),"",#REF!)</f>
        <v>#REF!</v>
      </c>
      <c r="JU11" s="7" t="e">
        <f aca="false">IF(OR(#REF!&gt;2,#REF!&lt;-2),"",#REF!)</f>
        <v>#REF!</v>
      </c>
      <c r="JV11" s="7" t="e">
        <f aca="false">IF(OR(#REF!&gt;2,#REF!&lt;-2),"",#REF!)</f>
        <v>#REF!</v>
      </c>
      <c r="JW11" s="7" t="e">
        <f aca="false">IF(OR(#REF!&gt;2,#REF!&lt;-2),"",#REF!)</f>
        <v>#REF!</v>
      </c>
      <c r="JX11" s="7" t="e">
        <f aca="false">IF(OR(#REF!&gt;2,#REF!&lt;-2),"",#REF!)</f>
        <v>#REF!</v>
      </c>
      <c r="JY11" s="7" t="e">
        <f aca="false">IF(OR(#REF!&gt;2,#REF!&lt;-2),"",#REF!)</f>
        <v>#REF!</v>
      </c>
      <c r="JZ11" s="7" t="e">
        <f aca="false">IF(OR(#REF!&gt;2,#REF!&lt;-2),"",#REF!)</f>
        <v>#REF!</v>
      </c>
      <c r="KA11" s="7" t="e">
        <f aca="false">IF(OR(#REF!&gt;2,#REF!&lt;-2),"",#REF!)</f>
        <v>#REF!</v>
      </c>
      <c r="KB11" s="7" t="e">
        <f aca="false">IF(OR(#REF!&gt;2,#REF!&lt;-2),"",#REF!)</f>
        <v>#REF!</v>
      </c>
      <c r="KC11" s="7" t="e">
        <f aca="false">IF(OR(#REF!&gt;2,#REF!&lt;-2),"",#REF!)</f>
        <v>#REF!</v>
      </c>
      <c r="KD11" s="7" t="e">
        <f aca="false">IF(OR(#REF!&gt;2,#REF!&lt;-2),"",#REF!)</f>
        <v>#REF!</v>
      </c>
      <c r="KE11" s="7" t="e">
        <f aca="false">IF(OR(#REF!&gt;2,#REF!&lt;-2),"",#REF!)</f>
        <v>#REF!</v>
      </c>
      <c r="KF11" s="7" t="e">
        <f aca="false">IF(OR(#REF!&gt;2,#REF!&lt;-2),"",#REF!)</f>
        <v>#REF!</v>
      </c>
      <c r="KG11" s="7" t="e">
        <f aca="false">IF(OR(#REF!&gt;2,#REF!&lt;-2),"",#REF!)</f>
        <v>#REF!</v>
      </c>
      <c r="KH11" s="7" t="e">
        <f aca="false">IF(OR(#REF!&gt;2,#REF!&lt;-2),"",#REF!)</f>
        <v>#REF!</v>
      </c>
      <c r="KI11" s="7" t="e">
        <f aca="false">IF(OR(#REF!&gt;2,#REF!&lt;-2),"",#REF!)</f>
        <v>#REF!</v>
      </c>
      <c r="KJ11" s="7" t="e">
        <f aca="false">IF(OR(#REF!&gt;2,#REF!&lt;-2),"",#REF!)</f>
        <v>#REF!</v>
      </c>
      <c r="KK11" s="7" t="e">
        <f aca="false">IF(OR(#REF!&gt;2,#REF!&lt;-2),"",#REF!)</f>
        <v>#REF!</v>
      </c>
      <c r="KL11" s="7" t="e">
        <f aca="false">IF(OR(#REF!&gt;2,#REF!&lt;-2),"",#REF!)</f>
        <v>#REF!</v>
      </c>
      <c r="KM11" s="7" t="e">
        <f aca="false">IF(OR(#REF!&gt;2,#REF!&lt;-2),"",#REF!)</f>
        <v>#REF!</v>
      </c>
      <c r="KN11" s="7" t="e">
        <f aca="false">IF(OR(#REF!&gt;2,#REF!&lt;-2),"",#REF!)</f>
        <v>#REF!</v>
      </c>
      <c r="KO11" s="7" t="e">
        <f aca="false">IF(OR(#REF!&gt;2,#REF!&lt;-2),"",#REF!)</f>
        <v>#REF!</v>
      </c>
      <c r="KP11" s="7" t="e">
        <f aca="false">IF(OR(#REF!&gt;2,#REF!&lt;-2),"",#REF!)</f>
        <v>#REF!</v>
      </c>
      <c r="KQ11" s="7" t="e">
        <f aca="false">IF(OR(#REF!&gt;2,#REF!&lt;-2),"",#REF!)</f>
        <v>#REF!</v>
      </c>
      <c r="KR11" s="7" t="e">
        <f aca="false">IF(OR(#REF!&gt;2,#REF!&lt;-2),"",#REF!)</f>
        <v>#REF!</v>
      </c>
      <c r="KS11" s="7" t="e">
        <f aca="false">IF(OR(#REF!&gt;2,#REF!&lt;-2),"",#REF!)</f>
        <v>#REF!</v>
      </c>
      <c r="KT11" s="7" t="e">
        <f aca="false">IF(OR(#REF!&gt;2,#REF!&lt;-2),"",#REF!)</f>
        <v>#REF!</v>
      </c>
      <c r="KU11" s="7" t="e">
        <f aca="false">IF(OR(#REF!&gt;2,#REF!&lt;-2),"",#REF!)</f>
        <v>#REF!</v>
      </c>
      <c r="KV11" s="7" t="e">
        <f aca="false">IF(OR(#REF!&gt;2,#REF!&lt;-2),"",#REF!)</f>
        <v>#REF!</v>
      </c>
      <c r="KW11" s="7" t="e">
        <f aca="false">IF(OR(#REF!&gt;2,#REF!&lt;-2),"",#REF!)</f>
        <v>#REF!</v>
      </c>
      <c r="KX11" s="7" t="e">
        <f aca="false">IF(OR(#REF!&gt;2,#REF!&lt;-2),"",#REF!)</f>
        <v>#REF!</v>
      </c>
      <c r="KY11" s="7" t="e">
        <f aca="false">IF(OR(#REF!&gt;2,#REF!&lt;-2),"",#REF!)</f>
        <v>#REF!</v>
      </c>
      <c r="KZ11" s="7" t="e">
        <f aca="false">IF(OR(#REF!&gt;2,#REF!&lt;-2),"",#REF!)</f>
        <v>#REF!</v>
      </c>
      <c r="LA11" s="7" t="e">
        <f aca="false">IF(OR(#REF!&gt;2,#REF!&lt;-2),"",#REF!)</f>
        <v>#REF!</v>
      </c>
      <c r="LB11" s="7" t="e">
        <f aca="false">IF(OR(#REF!&gt;2,#REF!&lt;-2),"",#REF!)</f>
        <v>#REF!</v>
      </c>
      <c r="LC11" s="7" t="e">
        <f aca="false">IF(OR(#REF!&gt;2,#REF!&lt;-2),"",#REF!)</f>
        <v>#REF!</v>
      </c>
      <c r="LD11" s="7" t="e">
        <f aca="false">IF(OR(#REF!&gt;2,#REF!&lt;-2),"",#REF!)</f>
        <v>#REF!</v>
      </c>
      <c r="LE11" s="7" t="e">
        <f aca="false">IF(OR(#REF!&gt;2,#REF!&lt;-2),"",#REF!)</f>
        <v>#REF!</v>
      </c>
      <c r="LF11" s="7" t="e">
        <f aca="false">IF(OR(#REF!&gt;2,#REF!&lt;-2),"",#REF!)</f>
        <v>#REF!</v>
      </c>
      <c r="LG11" s="7" t="e">
        <f aca="false">IF(OR(#REF!&gt;2,#REF!&lt;-2),"",#REF!)</f>
        <v>#REF!</v>
      </c>
      <c r="LH11" s="7" t="e">
        <f aca="false">IF(OR(#REF!&gt;2,#REF!&lt;-2),"",#REF!)</f>
        <v>#REF!</v>
      </c>
      <c r="LI11" s="7" t="e">
        <f aca="false">IF(OR(#REF!&gt;2,#REF!&lt;-2),"",#REF!)</f>
        <v>#REF!</v>
      </c>
      <c r="LJ11" s="7" t="e">
        <f aca="false">IF(OR(#REF!&gt;2,#REF!&lt;-2),"",#REF!)</f>
        <v>#REF!</v>
      </c>
      <c r="LK11" s="7" t="e">
        <f aca="false">IF(OR(#REF!&gt;2,#REF!&lt;-2),"",#REF!)</f>
        <v>#REF!</v>
      </c>
      <c r="LL11" s="7" t="e">
        <f aca="false">IF(OR(#REF!&gt;2,#REF!&lt;-2),"",#REF!)</f>
        <v>#REF!</v>
      </c>
      <c r="LM11" s="7" t="e">
        <f aca="false">IF(OR(#REF!&gt;2,#REF!&lt;-2),"",#REF!)</f>
        <v>#REF!</v>
      </c>
      <c r="LN11" s="7" t="e">
        <f aca="false">IF(OR(#REF!&gt;2,#REF!&lt;-2),"",#REF!)</f>
        <v>#REF!</v>
      </c>
      <c r="LO11" s="7" t="e">
        <f aca="false">IF(OR(#REF!&gt;2,#REF!&lt;-2),"",#REF!)</f>
        <v>#REF!</v>
      </c>
      <c r="LP11" s="7" t="e">
        <f aca="false">IF(OR(#REF!&gt;2,#REF!&lt;-2),"",#REF!)</f>
        <v>#REF!</v>
      </c>
      <c r="LQ11" s="7" t="e">
        <f aca="false">IF(OR(#REF!&gt;2,#REF!&lt;-2),"",#REF!)</f>
        <v>#REF!</v>
      </c>
      <c r="LR11" s="7" t="e">
        <f aca="false">IF(OR(#REF!&gt;2,#REF!&lt;-2),"",#REF!)</f>
        <v>#REF!</v>
      </c>
      <c r="LS11" s="7" t="e">
        <f aca="false">IF(OR(#REF!&gt;2,#REF!&lt;-2),"",#REF!)</f>
        <v>#REF!</v>
      </c>
      <c r="LT11" s="7" t="e">
        <f aca="false">IF(OR(#REF!&gt;2,#REF!&lt;-2),"",#REF!)</f>
        <v>#REF!</v>
      </c>
      <c r="LU11" s="7" t="e">
        <f aca="false">IF(OR(#REF!&gt;2,#REF!&lt;-2),"",#REF!)</f>
        <v>#REF!</v>
      </c>
      <c r="LV11" s="7" t="e">
        <f aca="false">IF(OR(#REF!&gt;2,#REF!&lt;-2),"",#REF!)</f>
        <v>#REF!</v>
      </c>
      <c r="LW11" s="7" t="e">
        <f aca="false">IF(OR(#REF!&gt;2,#REF!&lt;-2),"",#REF!)</f>
        <v>#REF!</v>
      </c>
      <c r="LX11" s="7" t="e">
        <f aca="false">IF(OR(#REF!&gt;2,#REF!&lt;-2),"",#REF!)</f>
        <v>#REF!</v>
      </c>
      <c r="LY11" s="7" t="e">
        <f aca="false">IF(OR(#REF!&gt;2,#REF!&lt;-2),"",#REF!)</f>
        <v>#REF!</v>
      </c>
      <c r="LZ11" s="7" t="e">
        <f aca="false">IF(OR(#REF!&gt;2,#REF!&lt;-2),"",#REF!)</f>
        <v>#REF!</v>
      </c>
      <c r="MA11" s="7" t="e">
        <f aca="false">IF(OR(#REF!&gt;2,#REF!&lt;-2),"",#REF!)</f>
        <v>#REF!</v>
      </c>
      <c r="MB11" s="7" t="e">
        <f aca="false">IF(OR(#REF!&gt;2,#REF!&lt;-2),"",#REF!)</f>
        <v>#REF!</v>
      </c>
      <c r="MC11" s="7" t="e">
        <f aca="false">IF(OR(#REF!&gt;2,#REF!&lt;-2),"",#REF!)</f>
        <v>#REF!</v>
      </c>
      <c r="MD11" s="7" t="e">
        <f aca="false">IF(OR(#REF!&gt;2,#REF!&lt;-2),"",#REF!)</f>
        <v>#REF!</v>
      </c>
      <c r="ME11" s="7" t="e">
        <f aca="false">IF(OR(#REF!&gt;2,#REF!&lt;-2),"",#REF!)</f>
        <v>#REF!</v>
      </c>
      <c r="MF11" s="7" t="e">
        <f aca="false">IF(OR(#REF!&gt;2,#REF!&lt;-2),"",#REF!)</f>
        <v>#REF!</v>
      </c>
      <c r="MG11" s="7" t="e">
        <f aca="false">IF(OR(#REF!&gt;2,#REF!&lt;-2),"",#REF!)</f>
        <v>#REF!</v>
      </c>
      <c r="MH11" s="7" t="e">
        <f aca="false">IF(OR(#REF!&gt;2,#REF!&lt;-2),"",#REF!)</f>
        <v>#REF!</v>
      </c>
      <c r="MI11" s="7" t="e">
        <f aca="false">IF(OR(#REF!&gt;2,#REF!&lt;-2),"",#REF!)</f>
        <v>#REF!</v>
      </c>
      <c r="MJ11" s="7" t="e">
        <f aca="false">IF(OR(#REF!&gt;2,#REF!&lt;-2),"",#REF!)</f>
        <v>#REF!</v>
      </c>
      <c r="MK11" s="7" t="e">
        <f aca="false">IF(OR(#REF!&gt;2,#REF!&lt;-2),"",#REF!)</f>
        <v>#REF!</v>
      </c>
      <c r="ML11" s="7" t="e">
        <f aca="false">IF(OR(#REF!&gt;2,#REF!&lt;-2),"",#REF!)</f>
        <v>#REF!</v>
      </c>
      <c r="MM11" s="7" t="e">
        <f aca="false">IF(OR(#REF!&gt;2,#REF!&lt;-2),"",#REF!)</f>
        <v>#REF!</v>
      </c>
      <c r="MN11" s="7" t="e">
        <f aca="false">IF(OR(#REF!&gt;2,#REF!&lt;-2),"",#REF!)</f>
        <v>#REF!</v>
      </c>
      <c r="MO11" s="7" t="e">
        <f aca="false">IF(OR(#REF!&gt;2,#REF!&lt;-2),"",#REF!)</f>
        <v>#REF!</v>
      </c>
      <c r="MP11" s="7" t="e">
        <f aca="false">IF(OR(#REF!&gt;2,#REF!&lt;-2),"",#REF!)</f>
        <v>#REF!</v>
      </c>
      <c r="MQ11" s="7" t="e">
        <f aca="false">IF(OR(#REF!&gt;2,#REF!&lt;-2),"",#REF!)</f>
        <v>#REF!</v>
      </c>
      <c r="MR11" s="7" t="e">
        <f aca="false">IF(OR(#REF!&gt;2,#REF!&lt;-2),"",#REF!)</f>
        <v>#REF!</v>
      </c>
      <c r="MS11" s="7" t="e">
        <f aca="false">IF(OR(#REF!&gt;2,#REF!&lt;-2),"",#REF!)</f>
        <v>#REF!</v>
      </c>
      <c r="MT11" s="7" t="e">
        <f aca="false">IF(OR(#REF!&gt;2,#REF!&lt;-2),"",#REF!)</f>
        <v>#REF!</v>
      </c>
      <c r="MU11" s="7" t="e">
        <f aca="false">IF(OR(#REF!&gt;2,#REF!&lt;-2),"",#REF!)</f>
        <v>#REF!</v>
      </c>
      <c r="MV11" s="7" t="e">
        <f aca="false">IF(OR(#REF!&gt;2,#REF!&lt;-2),"",#REF!)</f>
        <v>#REF!</v>
      </c>
      <c r="MW11" s="7" t="e">
        <f aca="false">IF(OR(#REF!&gt;2,#REF!&lt;-2),"",#REF!)</f>
        <v>#REF!</v>
      </c>
      <c r="MX11" s="7" t="e">
        <f aca="false">IF(OR(#REF!&gt;2,#REF!&lt;-2),"",#REF!)</f>
        <v>#REF!</v>
      </c>
      <c r="MY11" s="7" t="e">
        <f aca="false">IF(OR(#REF!&gt;2,#REF!&lt;-2),"",#REF!)</f>
        <v>#REF!</v>
      </c>
      <c r="MZ11" s="7" t="e">
        <f aca="false">IF(OR(#REF!&gt;2,#REF!&lt;-2),"",#REF!)</f>
        <v>#REF!</v>
      </c>
      <c r="NA11" s="7" t="e">
        <f aca="false">IF(OR(#REF!&gt;2,#REF!&lt;-2),"",#REF!)</f>
        <v>#REF!</v>
      </c>
      <c r="NB11" s="7" t="e">
        <f aca="false">IF(OR(#REF!&gt;2,#REF!&lt;-2),"",#REF!)</f>
        <v>#REF!</v>
      </c>
      <c r="NC11" s="7" t="e">
        <f aca="false">IF(OR(#REF!&gt;2,#REF!&lt;-2),"",#REF!)</f>
        <v>#REF!</v>
      </c>
      <c r="ND11" s="7" t="e">
        <f aca="false">IF(OR(#REF!&gt;2,#REF!&lt;-2),"",#REF!)</f>
        <v>#REF!</v>
      </c>
      <c r="NE11" s="7" t="e">
        <f aca="false">IF(OR(#REF!&gt;2,#REF!&lt;-2),"",#REF!)</f>
        <v>#REF!</v>
      </c>
      <c r="NF11" s="7" t="e">
        <f aca="false">IF(OR(#REF!&gt;2,#REF!&lt;-2),"",#REF!)</f>
        <v>#REF!</v>
      </c>
      <c r="NG11" s="7" t="e">
        <f aca="false">IF(OR(#REF!&gt;2,#REF!&lt;-2),"",#REF!)</f>
        <v>#REF!</v>
      </c>
      <c r="NH11" s="7" t="e">
        <f aca="false">IF(OR(#REF!&gt;2,#REF!&lt;-2),"",#REF!)</f>
        <v>#REF!</v>
      </c>
      <c r="NI11" s="7" t="e">
        <f aca="false">IF(OR(#REF!&gt;2,#REF!&lt;-2),"",#REF!)</f>
        <v>#REF!</v>
      </c>
      <c r="NJ11" s="7" t="e">
        <f aca="false">IF(OR(#REF!&gt;2,#REF!&lt;-2),"",#REF!)</f>
        <v>#REF!</v>
      </c>
      <c r="NK11" s="7" t="e">
        <f aca="false">IF(OR(#REF!&gt;2,#REF!&lt;-2),"",#REF!)</f>
        <v>#REF!</v>
      </c>
      <c r="NL11" s="7" t="e">
        <f aca="false">IF(OR(#REF!&gt;2,#REF!&lt;-2),"",#REF!)</f>
        <v>#REF!</v>
      </c>
      <c r="NM11" s="7" t="e">
        <f aca="false">IF(OR(#REF!&gt;2,#REF!&lt;-2),"",#REF!)</f>
        <v>#REF!</v>
      </c>
      <c r="NN11" s="7" t="e">
        <f aca="false">IF(OR(#REF!&gt;2,#REF!&lt;-2),"",#REF!)</f>
        <v>#REF!</v>
      </c>
      <c r="NO11" s="7" t="e">
        <f aca="false">IF(OR(#REF!&gt;2,#REF!&lt;-2),"",#REF!)</f>
        <v>#REF!</v>
      </c>
      <c r="NP11" s="7" t="e">
        <f aca="false">IF(OR(#REF!&gt;2,#REF!&lt;-2),"",#REF!)</f>
        <v>#REF!</v>
      </c>
      <c r="NQ11" s="7" t="e">
        <f aca="false">IF(OR(#REF!&gt;2,#REF!&lt;-2),"",#REF!)</f>
        <v>#REF!</v>
      </c>
      <c r="NR11" s="7" t="e">
        <f aca="false">IF(OR(#REF!&gt;2,#REF!&lt;-2),"",#REF!)</f>
        <v>#REF!</v>
      </c>
      <c r="NS11" s="7" t="e">
        <f aca="false">IF(OR(#REF!&gt;2,#REF!&lt;-2),"",#REF!)</f>
        <v>#REF!</v>
      </c>
      <c r="NT11" s="7" t="e">
        <f aca="false">IF(OR(#REF!&gt;2,#REF!&lt;-2),"",#REF!)</f>
        <v>#REF!</v>
      </c>
      <c r="NU11" s="7" t="e">
        <f aca="false">IF(OR(#REF!&gt;2,#REF!&lt;-2),"",#REF!)</f>
        <v>#REF!</v>
      </c>
      <c r="NV11" s="7" t="e">
        <f aca="false">IF(OR(#REF!&gt;2,#REF!&lt;-2),"",#REF!)</f>
        <v>#REF!</v>
      </c>
      <c r="NW11" s="7" t="e">
        <f aca="false">IF(OR(#REF!&gt;2,#REF!&lt;-2),"",#REF!)</f>
        <v>#REF!</v>
      </c>
      <c r="NX11" s="7" t="e">
        <f aca="false">IF(OR(#REF!&gt;2,#REF!&lt;-2),"",#REF!)</f>
        <v>#REF!</v>
      </c>
      <c r="NY11" s="7" t="e">
        <f aca="false">IF(OR(#REF!&gt;2,#REF!&lt;-2),"",#REF!)</f>
        <v>#REF!</v>
      </c>
      <c r="NZ11" s="7" t="e">
        <f aca="false">IF(OR(#REF!&gt;2,#REF!&lt;-2),"",#REF!)</f>
        <v>#REF!</v>
      </c>
      <c r="OA11" s="7" t="e">
        <f aca="false">IF(OR(#REF!&gt;2,#REF!&lt;-2),"",#REF!)</f>
        <v>#REF!</v>
      </c>
      <c r="OB11" s="7" t="e">
        <f aca="false">IF(OR(#REF!&gt;2,#REF!&lt;-2),"",#REF!)</f>
        <v>#REF!</v>
      </c>
      <c r="OC11" s="7" t="e">
        <f aca="false">IF(OR(#REF!&gt;2,#REF!&lt;-2),"",#REF!)</f>
        <v>#REF!</v>
      </c>
      <c r="OD11" s="7" t="e">
        <f aca="false">IF(OR(#REF!&gt;2,#REF!&lt;-2),"",#REF!)</f>
        <v>#REF!</v>
      </c>
      <c r="OE11" s="7" t="e">
        <f aca="false">IF(OR(#REF!&gt;2,#REF!&lt;-2),"",#REF!)</f>
        <v>#REF!</v>
      </c>
      <c r="OF11" s="7" t="e">
        <f aca="false">IF(OR(#REF!&gt;2,#REF!&lt;-2),"",#REF!)</f>
        <v>#REF!</v>
      </c>
      <c r="OG11" s="7" t="e">
        <f aca="false">IF(OR(#REF!&gt;2,#REF!&lt;-2),"",#REF!)</f>
        <v>#REF!</v>
      </c>
      <c r="OH11" s="7" t="e">
        <f aca="false">IF(OR(#REF!&gt;2,#REF!&lt;-2),"",#REF!)</f>
        <v>#REF!</v>
      </c>
      <c r="OI11" s="7" t="e">
        <f aca="false">IF(OR(#REF!&gt;2,#REF!&lt;-2),"",#REF!)</f>
        <v>#REF!</v>
      </c>
      <c r="OJ11" s="7" t="e">
        <f aca="false">IF(OR(#REF!&gt;2,#REF!&lt;-2),"",#REF!)</f>
        <v>#REF!</v>
      </c>
      <c r="OK11" s="7" t="e">
        <f aca="false">IF(OR(#REF!&gt;2,#REF!&lt;-2),"",#REF!)</f>
        <v>#REF!</v>
      </c>
      <c r="OL11" s="7" t="e">
        <f aca="false">IF(OR(#REF!&gt;2,#REF!&lt;-2),"",#REF!)</f>
        <v>#REF!</v>
      </c>
      <c r="OM11" s="7" t="e">
        <f aca="false">IF(OR(#REF!&gt;2,#REF!&lt;-2),"",#REF!)</f>
        <v>#REF!</v>
      </c>
      <c r="ON11" s="7" t="e">
        <f aca="false">IF(OR(#REF!&gt;2,#REF!&lt;-2),"",#REF!)</f>
        <v>#REF!</v>
      </c>
      <c r="OO11" s="7" t="e">
        <f aca="false">IF(OR(#REF!&gt;2,#REF!&lt;-2),"",#REF!)</f>
        <v>#REF!</v>
      </c>
      <c r="OP11" s="7" t="e">
        <f aca="false">IF(OR(#REF!&gt;2,#REF!&lt;-2),"",#REF!)</f>
        <v>#REF!</v>
      </c>
      <c r="OQ11" s="7" t="e">
        <f aca="false">IF(OR(#REF!&gt;2,#REF!&lt;-2),"",#REF!)</f>
        <v>#REF!</v>
      </c>
      <c r="OR11" s="7" t="e">
        <f aca="false">IF(OR(#REF!&gt;2,#REF!&lt;-2),"",#REF!)</f>
        <v>#REF!</v>
      </c>
      <c r="OS11" s="7" t="e">
        <f aca="false">IF(OR(#REF!&gt;2,#REF!&lt;-2),"",#REF!)</f>
        <v>#REF!</v>
      </c>
      <c r="OT11" s="7" t="e">
        <f aca="false">IF(OR(#REF!&gt;2,#REF!&lt;-2),"",#REF!)</f>
        <v>#REF!</v>
      </c>
      <c r="OU11" s="7" t="e">
        <f aca="false">IF(OR(#REF!&gt;2,#REF!&lt;-2),"",#REF!)</f>
        <v>#REF!</v>
      </c>
      <c r="OV11" s="7" t="e">
        <f aca="false">IF(OR(#REF!&gt;2,#REF!&lt;-2),"",#REF!)</f>
        <v>#REF!</v>
      </c>
      <c r="OW11" s="7" t="e">
        <f aca="false">IF(OR(#REF!&gt;2,#REF!&lt;-2),"",#REF!)</f>
        <v>#REF!</v>
      </c>
      <c r="OX11" s="7" t="e">
        <f aca="false">IF(OR(#REF!&gt;2,#REF!&lt;-2),"",#REF!)</f>
        <v>#REF!</v>
      </c>
      <c r="OY11" s="7" t="e">
        <f aca="false">IF(OR(#REF!&gt;2,#REF!&lt;-2),"",#REF!)</f>
        <v>#REF!</v>
      </c>
      <c r="OZ11" s="7" t="e">
        <f aca="false">IF(OR(#REF!&gt;2,#REF!&lt;-2),"",#REF!)</f>
        <v>#REF!</v>
      </c>
      <c r="PA11" s="7" t="e">
        <f aca="false">IF(OR(#REF!&gt;2,#REF!&lt;-2),"",#REF!)</f>
        <v>#REF!</v>
      </c>
      <c r="PB11" s="7" t="e">
        <f aca="false">IF(OR(#REF!&gt;2,#REF!&lt;-2),"",#REF!)</f>
        <v>#REF!</v>
      </c>
      <c r="PC11" s="7" t="e">
        <f aca="false">IF(OR(#REF!&gt;2,#REF!&lt;-2),"",#REF!)</f>
        <v>#REF!</v>
      </c>
      <c r="PD11" s="7" t="e">
        <f aca="false">IF(OR(#REF!&gt;2,#REF!&lt;-2),"",#REF!)</f>
        <v>#REF!</v>
      </c>
      <c r="PE11" s="7" t="e">
        <f aca="false">IF(OR(#REF!&gt;2,#REF!&lt;-2),"",#REF!)</f>
        <v>#REF!</v>
      </c>
      <c r="PF11" s="7" t="e">
        <f aca="false">IF(OR(#REF!&gt;2,#REF!&lt;-2),"",#REF!)</f>
        <v>#REF!</v>
      </c>
      <c r="PG11" s="7" t="e">
        <f aca="false">IF(OR(#REF!&gt;2,#REF!&lt;-2),"",#REF!)</f>
        <v>#REF!</v>
      </c>
      <c r="PH11" s="7" t="e">
        <f aca="false">IF(OR(#REF!&gt;2,#REF!&lt;-2),"",#REF!)</f>
        <v>#REF!</v>
      </c>
      <c r="PI11" s="7" t="e">
        <f aca="false">IF(OR(#REF!&gt;2,#REF!&lt;-2),"",#REF!)</f>
        <v>#REF!</v>
      </c>
      <c r="PJ11" s="7" t="e">
        <f aca="false">IF(OR(#REF!&gt;2,#REF!&lt;-2),"",#REF!)</f>
        <v>#REF!</v>
      </c>
      <c r="PK11" s="7" t="e">
        <f aca="false">IF(OR(#REF!&gt;2,#REF!&lt;-2),"",#REF!)</f>
        <v>#REF!</v>
      </c>
      <c r="PL11" s="7" t="e">
        <f aca="false">IF(OR(#REF!&gt;2,#REF!&lt;-2),"",#REF!)</f>
        <v>#REF!</v>
      </c>
      <c r="PM11" s="7" t="e">
        <f aca="false">IF(OR(#REF!&gt;2,#REF!&lt;-2),"",#REF!)</f>
        <v>#REF!</v>
      </c>
      <c r="PN11" s="7" t="e">
        <f aca="false">IF(OR(#REF!&gt;2,#REF!&lt;-2),"",#REF!)</f>
        <v>#REF!</v>
      </c>
      <c r="PO11" s="7" t="e">
        <f aca="false">IF(OR(#REF!&gt;2,#REF!&lt;-2),"",#REF!)</f>
        <v>#REF!</v>
      </c>
      <c r="PP11" s="7" t="e">
        <f aca="false">IF(OR(#REF!&gt;2,#REF!&lt;-2),"",#REF!)</f>
        <v>#REF!</v>
      </c>
      <c r="PQ11" s="7" t="e">
        <f aca="false">IF(OR(#REF!&gt;2,#REF!&lt;-2),"",#REF!)</f>
        <v>#REF!</v>
      </c>
      <c r="PR11" s="7" t="e">
        <f aca="false">IF(OR(#REF!&gt;2,#REF!&lt;-2),"",#REF!)</f>
        <v>#REF!</v>
      </c>
      <c r="PS11" s="7" t="e">
        <f aca="false">IF(OR(#REF!&gt;2,#REF!&lt;-2),"",#REF!)</f>
        <v>#REF!</v>
      </c>
      <c r="PT11" s="7" t="e">
        <f aca="false">IF(OR(#REF!&gt;2,#REF!&lt;-2),"",#REF!)</f>
        <v>#REF!</v>
      </c>
      <c r="PU11" s="7" t="e">
        <f aca="false">IF(OR(#REF!&gt;2,#REF!&lt;-2),"",#REF!)</f>
        <v>#REF!</v>
      </c>
      <c r="PV11" s="7" t="e">
        <f aca="false">IF(OR(#REF!&gt;2,#REF!&lt;-2),"",#REF!)</f>
        <v>#REF!</v>
      </c>
      <c r="PW11" s="7" t="e">
        <f aca="false">IF(OR(#REF!&gt;2,#REF!&lt;-2),"",#REF!)</f>
        <v>#REF!</v>
      </c>
      <c r="PX11" s="7" t="e">
        <f aca="false">IF(OR(#REF!&gt;2,#REF!&lt;-2),"",#REF!)</f>
        <v>#REF!</v>
      </c>
      <c r="PY11" s="7" t="e">
        <f aca="false">IF(OR(#REF!&gt;2,#REF!&lt;-2),"",#REF!)</f>
        <v>#REF!</v>
      </c>
      <c r="PZ11" s="7" t="e">
        <f aca="false">IF(OR(#REF!&gt;2,#REF!&lt;-2),"",#REF!)</f>
        <v>#REF!</v>
      </c>
      <c r="QA11" s="7" t="e">
        <f aca="false">IF(OR(#REF!&gt;2,#REF!&lt;-2),"",#REF!)</f>
        <v>#REF!</v>
      </c>
      <c r="QB11" s="7" t="e">
        <f aca="false">IF(OR(#REF!&gt;2,#REF!&lt;-2),"",#REF!)</f>
        <v>#REF!</v>
      </c>
      <c r="QC11" s="7" t="e">
        <f aca="false">IF(OR(#REF!&gt;2,#REF!&lt;-2),"",#REF!)</f>
        <v>#REF!</v>
      </c>
      <c r="QD11" s="7" t="e">
        <f aca="false">IF(OR(#REF!&gt;2,#REF!&lt;-2),"",#REF!)</f>
        <v>#REF!</v>
      </c>
      <c r="QE11" s="7" t="e">
        <f aca="false">IF(OR(#REF!&gt;2,#REF!&lt;-2),"",#REF!)</f>
        <v>#REF!</v>
      </c>
      <c r="QF11" s="7" t="e">
        <f aca="false">IF(OR(#REF!&gt;2,#REF!&lt;-2),"",#REF!)</f>
        <v>#REF!</v>
      </c>
      <c r="QG11" s="7" t="e">
        <f aca="false">IF(OR(#REF!&gt;2,#REF!&lt;-2),"",#REF!)</f>
        <v>#REF!</v>
      </c>
      <c r="QH11" s="7" t="e">
        <f aca="false">IF(OR(#REF!&gt;2,#REF!&lt;-2),"",#REF!)</f>
        <v>#REF!</v>
      </c>
      <c r="QI11" s="7" t="e">
        <f aca="false">IF(OR(#REF!&gt;2,#REF!&lt;-2),"",#REF!)</f>
        <v>#REF!</v>
      </c>
      <c r="QJ11" s="7" t="e">
        <f aca="false">IF(OR(#REF!&gt;2,#REF!&lt;-2),"",#REF!)</f>
        <v>#REF!</v>
      </c>
      <c r="QK11" s="7" t="e">
        <f aca="false">IF(OR(#REF!&gt;2,#REF!&lt;-2),"",#REF!)</f>
        <v>#REF!</v>
      </c>
      <c r="QL11" s="7" t="e">
        <f aca="false">IF(OR(#REF!&gt;2,#REF!&lt;-2),"",#REF!)</f>
        <v>#REF!</v>
      </c>
      <c r="QM11" s="7" t="e">
        <f aca="false">IF(OR(#REF!&gt;2,#REF!&lt;-2),"",#REF!)</f>
        <v>#REF!</v>
      </c>
      <c r="QN11" s="7" t="e">
        <f aca="false">IF(OR(#REF!&gt;2,#REF!&lt;-2),"",#REF!)</f>
        <v>#REF!</v>
      </c>
      <c r="QO11" s="7" t="e">
        <f aca="false">IF(OR(#REF!&gt;2,#REF!&lt;-2),"",#REF!)</f>
        <v>#REF!</v>
      </c>
      <c r="QP11" s="7" t="e">
        <f aca="false">IF(OR(#REF!&gt;2,#REF!&lt;-2),"",#REF!)</f>
        <v>#REF!</v>
      </c>
      <c r="QQ11" s="7" t="e">
        <f aca="false">IF(OR(#REF!&gt;2,#REF!&lt;-2),"",#REF!)</f>
        <v>#REF!</v>
      </c>
      <c r="QR11" s="7" t="e">
        <f aca="false">IF(OR(#REF!&gt;2,#REF!&lt;-2),"",#REF!)</f>
        <v>#REF!</v>
      </c>
      <c r="QS11" s="7" t="e">
        <f aca="false">IF(OR(#REF!&gt;2,#REF!&lt;-2),"",#REF!)</f>
        <v>#REF!</v>
      </c>
      <c r="QT11" s="7" t="e">
        <f aca="false">IF(OR(#REF!&gt;2,#REF!&lt;-2),"",#REF!)</f>
        <v>#REF!</v>
      </c>
      <c r="QU11" s="7" t="e">
        <f aca="false">IF(OR(#REF!&gt;2,#REF!&lt;-2),"",#REF!)</f>
        <v>#REF!</v>
      </c>
      <c r="QV11" s="7" t="e">
        <f aca="false">IF(OR(#REF!&gt;2,#REF!&lt;-2),"",#REF!)</f>
        <v>#REF!</v>
      </c>
      <c r="QW11" s="7" t="e">
        <f aca="false">IF(OR(#REF!&gt;2,#REF!&lt;-2),"",#REF!)</f>
        <v>#REF!</v>
      </c>
      <c r="QX11" s="7" t="e">
        <f aca="false">IF(OR(#REF!&gt;2,#REF!&lt;-2),"",#REF!)</f>
        <v>#REF!</v>
      </c>
      <c r="QY11" s="7" t="e">
        <f aca="false">IF(OR(#REF!&gt;2,#REF!&lt;-2),"",#REF!)</f>
        <v>#REF!</v>
      </c>
      <c r="QZ11" s="7" t="e">
        <f aca="false">IF(OR(#REF!&gt;2,#REF!&lt;-2),"",#REF!)</f>
        <v>#REF!</v>
      </c>
      <c r="RA11" s="7" t="e">
        <f aca="false">IF(OR(#REF!&gt;2,#REF!&lt;-2),"",#REF!)</f>
        <v>#REF!</v>
      </c>
      <c r="RB11" s="7" t="e">
        <f aca="false">IF(OR(#REF!&gt;2,#REF!&lt;-2),"",#REF!)</f>
        <v>#REF!</v>
      </c>
      <c r="RC11" s="7" t="e">
        <f aca="false">IF(OR(#REF!&gt;2,#REF!&lt;-2),"",#REF!)</f>
        <v>#REF!</v>
      </c>
      <c r="RD11" s="7" t="e">
        <f aca="false">IF(OR(#REF!&gt;2,#REF!&lt;-2),"",#REF!)</f>
        <v>#REF!</v>
      </c>
      <c r="RE11" s="7" t="e">
        <f aca="false">IF(OR(#REF!&gt;2,#REF!&lt;-2),"",#REF!)</f>
        <v>#REF!</v>
      </c>
      <c r="RF11" s="7" t="e">
        <f aca="false">IF(OR(#REF!&gt;2,#REF!&lt;-2),"",#REF!)</f>
        <v>#REF!</v>
      </c>
      <c r="RG11" s="7" t="e">
        <f aca="false">IF(OR(#REF!&gt;2,#REF!&lt;-2),"",#REF!)</f>
        <v>#REF!</v>
      </c>
      <c r="RH11" s="7" t="e">
        <f aca="false">IF(OR(#REF!&gt;2,#REF!&lt;-2),"",#REF!)</f>
        <v>#REF!</v>
      </c>
      <c r="RI11" s="7" t="e">
        <f aca="false">IF(OR(#REF!&gt;2,#REF!&lt;-2),"",#REF!)</f>
        <v>#REF!</v>
      </c>
      <c r="RJ11" s="7" t="e">
        <f aca="false">IF(OR(#REF!&gt;2,#REF!&lt;-2),"",#REF!)</f>
        <v>#REF!</v>
      </c>
      <c r="RK11" s="7" t="e">
        <f aca="false">IF(OR(#REF!&gt;2,#REF!&lt;-2),"",#REF!)</f>
        <v>#REF!</v>
      </c>
      <c r="RL11" s="7" t="e">
        <f aca="false">IF(OR(#REF!&gt;2,#REF!&lt;-2),"",#REF!)</f>
        <v>#REF!</v>
      </c>
      <c r="RM11" s="7" t="e">
        <f aca="false">IF(OR(#REF!&gt;2,#REF!&lt;-2),"",#REF!)</f>
        <v>#REF!</v>
      </c>
      <c r="RN11" s="7" t="e">
        <f aca="false">IF(OR(#REF!&gt;2,#REF!&lt;-2),"",#REF!)</f>
        <v>#REF!</v>
      </c>
      <c r="RO11" s="7" t="e">
        <f aca="false">IF(OR(#REF!&gt;2,#REF!&lt;-2),"",#REF!)</f>
        <v>#REF!</v>
      </c>
      <c r="RP11" s="7" t="e">
        <f aca="false">IF(OR(#REF!&gt;2,#REF!&lt;-2),"",#REF!)</f>
        <v>#REF!</v>
      </c>
      <c r="RQ11" s="7" t="e">
        <f aca="false">IF(OR(#REF!&gt;2,#REF!&lt;-2),"",#REF!)</f>
        <v>#REF!</v>
      </c>
      <c r="RR11" s="7" t="e">
        <f aca="false">IF(OR(#REF!&gt;2,#REF!&lt;-2),"",#REF!)</f>
        <v>#REF!</v>
      </c>
      <c r="RS11" s="7" t="e">
        <f aca="false">IF(OR(#REF!&gt;2,#REF!&lt;-2),"",#REF!)</f>
        <v>#REF!</v>
      </c>
      <c r="RT11" s="7" t="e">
        <f aca="false">IF(OR(#REF!&gt;2,#REF!&lt;-2),"",#REF!)</f>
        <v>#REF!</v>
      </c>
      <c r="RU11" s="7" t="e">
        <f aca="false">IF(OR(#REF!&gt;2,#REF!&lt;-2),"",#REF!)</f>
        <v>#REF!</v>
      </c>
      <c r="RV11" s="7" t="e">
        <f aca="false">IF(OR(#REF!&gt;2,#REF!&lt;-2),"",#REF!)</f>
        <v>#REF!</v>
      </c>
      <c r="RW11" s="7" t="e">
        <f aca="false">IF(OR(#REF!&gt;2,#REF!&lt;-2),"",#REF!)</f>
        <v>#REF!</v>
      </c>
      <c r="RX11" s="7" t="e">
        <f aca="false">IF(OR(#REF!&gt;2,#REF!&lt;-2),"",#REF!)</f>
        <v>#REF!</v>
      </c>
      <c r="RY11" s="7" t="e">
        <f aca="false">IF(OR(#REF!&gt;2,#REF!&lt;-2),"",#REF!)</f>
        <v>#REF!</v>
      </c>
      <c r="RZ11" s="7" t="e">
        <f aca="false">IF(OR(#REF!&gt;2,#REF!&lt;-2),"",#REF!)</f>
        <v>#REF!</v>
      </c>
      <c r="SA11" s="7" t="e">
        <f aca="false">IF(OR(#REF!&gt;2,#REF!&lt;-2),"",#REF!)</f>
        <v>#REF!</v>
      </c>
      <c r="SB11" s="7" t="e">
        <f aca="false">IF(OR(#REF!&gt;2,#REF!&lt;-2),"",#REF!)</f>
        <v>#REF!</v>
      </c>
      <c r="SC11" s="7" t="e">
        <f aca="false">IF(OR(#REF!&gt;2,#REF!&lt;-2),"",#REF!)</f>
        <v>#REF!</v>
      </c>
      <c r="SD11" s="7" t="e">
        <f aca="false">IF(OR(#REF!&gt;2,#REF!&lt;-2),"",#REF!)</f>
        <v>#REF!</v>
      </c>
      <c r="SE11" s="7" t="e">
        <f aca="false">IF(OR(#REF!&gt;2,#REF!&lt;-2),"",#REF!)</f>
        <v>#REF!</v>
      </c>
      <c r="SF11" s="7" t="e">
        <f aca="false">IF(OR(#REF!&gt;2,#REF!&lt;-2),"",#REF!)</f>
        <v>#REF!</v>
      </c>
      <c r="SG11" s="7" t="e">
        <f aca="false">IF(OR(#REF!&gt;2,#REF!&lt;-2),"",#REF!)</f>
        <v>#REF!</v>
      </c>
      <c r="SH11" s="7" t="e">
        <f aca="false">IF(OR(#REF!&gt;2,#REF!&lt;-2),"",#REF!)</f>
        <v>#REF!</v>
      </c>
      <c r="SI11" s="7" t="e">
        <f aca="false">IF(OR(#REF!&gt;2,#REF!&lt;-2),"",#REF!)</f>
        <v>#REF!</v>
      </c>
      <c r="SJ11" s="7" t="e">
        <f aca="false">IF(OR(#REF!&gt;2,#REF!&lt;-2),"",#REF!)</f>
        <v>#REF!</v>
      </c>
      <c r="SK11" s="7" t="e">
        <f aca="false">IF(OR(#REF!&gt;2,#REF!&lt;-2),"",#REF!)</f>
        <v>#REF!</v>
      </c>
      <c r="SL11" s="7" t="e">
        <f aca="false">IF(OR(#REF!&gt;2,#REF!&lt;-2),"",#REF!)</f>
        <v>#REF!</v>
      </c>
      <c r="SM11" s="7" t="e">
        <f aca="false">IF(OR(#REF!&gt;2,#REF!&lt;-2),"",#REF!)</f>
        <v>#REF!</v>
      </c>
      <c r="SN11" s="7" t="e">
        <f aca="false">IF(OR(#REF!&gt;2,#REF!&lt;-2),"",#REF!)</f>
        <v>#REF!</v>
      </c>
      <c r="SO11" s="7" t="e">
        <f aca="false">IF(OR(#REF!&gt;2,#REF!&lt;-2),"",#REF!)</f>
        <v>#REF!</v>
      </c>
      <c r="SP11" s="7" t="e">
        <f aca="false">IF(OR(#REF!&gt;2,#REF!&lt;-2),"",#REF!)</f>
        <v>#REF!</v>
      </c>
      <c r="SQ11" s="7" t="e">
        <f aca="false">IF(OR(#REF!&gt;2,#REF!&lt;-2),"",#REF!)</f>
        <v>#REF!</v>
      </c>
      <c r="SR11" s="7" t="e">
        <f aca="false">IF(OR(#REF!&gt;2,#REF!&lt;-2),"",#REF!)</f>
        <v>#REF!</v>
      </c>
      <c r="SS11" s="7" t="e">
        <f aca="false">IF(OR(#REF!&gt;2,#REF!&lt;-2),"",#REF!)</f>
        <v>#REF!</v>
      </c>
      <c r="ST11" s="7" t="e">
        <f aca="false">IF(OR(#REF!&gt;2,#REF!&lt;-2),"",#REF!)</f>
        <v>#REF!</v>
      </c>
      <c r="SU11" s="7" t="e">
        <f aca="false">IF(OR(#REF!&gt;2,#REF!&lt;-2),"",#REF!)</f>
        <v>#REF!</v>
      </c>
      <c r="SV11" s="7" t="e">
        <f aca="false">IF(OR(#REF!&gt;2,#REF!&lt;-2),"",#REF!)</f>
        <v>#REF!</v>
      </c>
      <c r="SW11" s="7" t="e">
        <f aca="false">IF(OR(#REF!&gt;2,#REF!&lt;-2),"",#REF!)</f>
        <v>#REF!</v>
      </c>
      <c r="SX11" s="7" t="e">
        <f aca="false">IF(OR(#REF!&gt;2,#REF!&lt;-2),"",#REF!)</f>
        <v>#REF!</v>
      </c>
      <c r="SY11" s="7" t="e">
        <f aca="false">IF(OR(#REF!&gt;2,#REF!&lt;-2),"",#REF!)</f>
        <v>#REF!</v>
      </c>
      <c r="SZ11" s="7" t="e">
        <f aca="false">IF(OR(#REF!&gt;2,#REF!&lt;-2),"",#REF!)</f>
        <v>#REF!</v>
      </c>
      <c r="TA11" s="7" t="e">
        <f aca="false">IF(OR(#REF!&gt;2,#REF!&lt;-2),"",#REF!)</f>
        <v>#REF!</v>
      </c>
      <c r="TB11" s="7" t="e">
        <f aca="false">IF(OR(#REF!&gt;2,#REF!&lt;-2),"",#REF!)</f>
        <v>#REF!</v>
      </c>
      <c r="TC11" s="7" t="e">
        <f aca="false">IF(OR(#REF!&gt;2,#REF!&lt;-2),"",#REF!)</f>
        <v>#REF!</v>
      </c>
      <c r="TD11" s="7" t="e">
        <f aca="false">IF(OR(#REF!&gt;2,#REF!&lt;-2),"",#REF!)</f>
        <v>#REF!</v>
      </c>
      <c r="TE11" s="7" t="e">
        <f aca="false">IF(OR(#REF!&gt;2,#REF!&lt;-2),"",#REF!)</f>
        <v>#REF!</v>
      </c>
      <c r="TF11" s="7" t="e">
        <f aca="false">IF(OR(#REF!&gt;2,#REF!&lt;-2),"",#REF!)</f>
        <v>#REF!</v>
      </c>
      <c r="TG11" s="7" t="e">
        <f aca="false">IF(OR(#REF!&gt;2,#REF!&lt;-2),"",#REF!)</f>
        <v>#REF!</v>
      </c>
      <c r="TH11" s="7" t="e">
        <f aca="false">IF(OR(#REF!&gt;2,#REF!&lt;-2),"",#REF!)</f>
        <v>#REF!</v>
      </c>
      <c r="TI11" s="7" t="e">
        <f aca="false">IF(OR(#REF!&gt;2,#REF!&lt;-2),"",#REF!)</f>
        <v>#REF!</v>
      </c>
      <c r="TJ11" s="7" t="e">
        <f aca="false">IF(OR(#REF!&gt;2,#REF!&lt;-2),"",#REF!)</f>
        <v>#REF!</v>
      </c>
      <c r="TK11" s="7" t="e">
        <f aca="false">IF(OR(#REF!&gt;2,#REF!&lt;-2),"",#REF!)</f>
        <v>#REF!</v>
      </c>
      <c r="TL11" s="7" t="e">
        <f aca="false">IF(OR(#REF!&gt;2,#REF!&lt;-2),"",#REF!)</f>
        <v>#REF!</v>
      </c>
      <c r="TM11" s="7" t="e">
        <f aca="false">IF(OR(#REF!&gt;2,#REF!&lt;-2),"",#REF!)</f>
        <v>#REF!</v>
      </c>
      <c r="TN11" s="7" t="e">
        <f aca="false">IF(OR(#REF!&gt;2,#REF!&lt;-2),"",#REF!)</f>
        <v>#REF!</v>
      </c>
      <c r="TO11" s="7" t="e">
        <f aca="false">IF(OR(#REF!&gt;2,#REF!&lt;-2),"",#REF!)</f>
        <v>#REF!</v>
      </c>
      <c r="TP11" s="7" t="e">
        <f aca="false">IF(OR(#REF!&gt;2,#REF!&lt;-2),"",#REF!)</f>
        <v>#REF!</v>
      </c>
      <c r="TQ11" s="7" t="e">
        <f aca="false">IF(OR(#REF!&gt;2,#REF!&lt;-2),"",#REF!)</f>
        <v>#REF!</v>
      </c>
      <c r="TR11" s="7" t="e">
        <f aca="false">IF(OR(#REF!&gt;2,#REF!&lt;-2),"",#REF!)</f>
        <v>#REF!</v>
      </c>
      <c r="TS11" s="7" t="e">
        <f aca="false">IF(OR(#REF!&gt;2,#REF!&lt;-2),"",#REF!)</f>
        <v>#REF!</v>
      </c>
      <c r="TT11" s="7" t="e">
        <f aca="false">IF(OR(#REF!&gt;2,#REF!&lt;-2),"",#REF!)</f>
        <v>#REF!</v>
      </c>
      <c r="TU11" s="7" t="e">
        <f aca="false">IF(OR(#REF!&gt;2,#REF!&lt;-2),"",#REF!)</f>
        <v>#REF!</v>
      </c>
      <c r="TV11" s="7" t="e">
        <f aca="false">IF(OR(#REF!&gt;2,#REF!&lt;-2),"",#REF!)</f>
        <v>#REF!</v>
      </c>
      <c r="TW11" s="7" t="e">
        <f aca="false">IF(OR(#REF!&gt;2,#REF!&lt;-2),"",#REF!)</f>
        <v>#REF!</v>
      </c>
      <c r="TX11" s="7" t="e">
        <f aca="false">IF(OR(#REF!&gt;2,#REF!&lt;-2),"",#REF!)</f>
        <v>#REF!</v>
      </c>
      <c r="TY11" s="7" t="e">
        <f aca="false">IF(OR(#REF!&gt;2,#REF!&lt;-2),"",#REF!)</f>
        <v>#REF!</v>
      </c>
      <c r="TZ11" s="7" t="e">
        <f aca="false">IF(OR(#REF!&gt;2,#REF!&lt;-2),"",#REF!)</f>
        <v>#REF!</v>
      </c>
      <c r="UA11" s="7" t="e">
        <f aca="false">IF(OR(#REF!&gt;2,#REF!&lt;-2),"",#REF!)</f>
        <v>#REF!</v>
      </c>
      <c r="UB11" s="7" t="e">
        <f aca="false">IF(OR(#REF!&gt;2,#REF!&lt;-2),"",#REF!)</f>
        <v>#REF!</v>
      </c>
      <c r="UC11" s="7" t="e">
        <f aca="false">IF(OR(#REF!&gt;2,#REF!&lt;-2),"",#REF!)</f>
        <v>#REF!</v>
      </c>
      <c r="UD11" s="7" t="e">
        <f aca="false">IF(OR(#REF!&gt;2,#REF!&lt;-2),"",#REF!)</f>
        <v>#REF!</v>
      </c>
      <c r="UE11" s="7" t="e">
        <f aca="false">IF(OR(#REF!&gt;2,#REF!&lt;-2),"",#REF!)</f>
        <v>#REF!</v>
      </c>
      <c r="UF11" s="7" t="e">
        <f aca="false">IF(OR(#REF!&gt;2,#REF!&lt;-2),"",#REF!)</f>
        <v>#REF!</v>
      </c>
      <c r="UG11" s="7" t="e">
        <f aca="false">IF(OR(#REF!&gt;2,#REF!&lt;-2),"",#REF!)</f>
        <v>#REF!</v>
      </c>
      <c r="UH11" s="7" t="e">
        <f aca="false">IF(OR(#REF!&gt;2,#REF!&lt;-2),"",#REF!)</f>
        <v>#REF!</v>
      </c>
      <c r="UI11" s="7" t="e">
        <f aca="false">IF(OR(#REF!&gt;2,#REF!&lt;-2),"",#REF!)</f>
        <v>#REF!</v>
      </c>
      <c r="UJ11" s="7" t="e">
        <f aca="false">IF(OR(#REF!&gt;2,#REF!&lt;-2),"",#REF!)</f>
        <v>#REF!</v>
      </c>
      <c r="UK11" s="7" t="e">
        <f aca="false">IF(OR(#REF!&gt;2,#REF!&lt;-2),"",#REF!)</f>
        <v>#REF!</v>
      </c>
      <c r="UL11" s="7" t="e">
        <f aca="false">IF(OR(#REF!&gt;2,#REF!&lt;-2),"",#REF!)</f>
        <v>#REF!</v>
      </c>
      <c r="UM11" s="7" t="e">
        <f aca="false">IF(OR(#REF!&gt;2,#REF!&lt;-2),"",#REF!)</f>
        <v>#REF!</v>
      </c>
      <c r="UN11" s="7" t="e">
        <f aca="false">IF(OR(#REF!&gt;2,#REF!&lt;-2),"",#REF!)</f>
        <v>#REF!</v>
      </c>
      <c r="UO11" s="7" t="e">
        <f aca="false">IF(OR(#REF!&gt;2,#REF!&lt;-2),"",#REF!)</f>
        <v>#REF!</v>
      </c>
      <c r="UP11" s="7" t="e">
        <f aca="false">IF(OR(#REF!&gt;2,#REF!&lt;-2),"",#REF!)</f>
        <v>#REF!</v>
      </c>
    </row>
    <row r="12" customFormat="false" ht="14.5" hidden="false" customHeight="false" outlineLevel="0" collapsed="false">
      <c r="A12" s="0" t="n">
        <v>200</v>
      </c>
      <c r="B12" s="0" t="n">
        <v>0</v>
      </c>
      <c r="C12" s="7" t="e">
        <f aca="false">IF(OR(#REF!&gt;2,#REF!&lt;-2),"",#REF!)</f>
        <v>#REF!</v>
      </c>
      <c r="D12" s="7" t="e">
        <f aca="false">IF(OR(#REF!&gt;2,#REF!&lt;-2),"",#REF!)</f>
        <v>#REF!</v>
      </c>
      <c r="E12" s="7" t="e">
        <f aca="false">IF(OR(#REF!&gt;2,#REF!&lt;-2),"",#REF!)</f>
        <v>#REF!</v>
      </c>
      <c r="F12" s="7" t="e">
        <f aca="false">IF(OR(#REF!&gt;2,#REF!&lt;-2),"",#REF!)</f>
        <v>#REF!</v>
      </c>
      <c r="G12" s="7" t="e">
        <f aca="false">IF(OR(#REF!&gt;2,#REF!&lt;-2),"",#REF!)</f>
        <v>#REF!</v>
      </c>
      <c r="H12" s="7" t="e">
        <f aca="false">IF(OR(#REF!&gt;2,#REF!&lt;-2),"",#REF!)</f>
        <v>#REF!</v>
      </c>
      <c r="I12" s="7" t="e">
        <f aca="false">IF(OR(#REF!&gt;2,#REF!&lt;-2),"",#REF!)</f>
        <v>#REF!</v>
      </c>
      <c r="J12" s="7" t="e">
        <f aca="false">IF(OR(#REF!&gt;2,#REF!&lt;-2),"",#REF!)</f>
        <v>#REF!</v>
      </c>
      <c r="K12" s="7" t="e">
        <f aca="false">IF(OR(#REF!&gt;2,#REF!&lt;-2),"",#REF!)</f>
        <v>#REF!</v>
      </c>
      <c r="L12" s="7" t="e">
        <f aca="false">IF(OR(#REF!&gt;2,#REF!&lt;-2),"",#REF!)</f>
        <v>#REF!</v>
      </c>
      <c r="M12" s="7" t="e">
        <f aca="false">IF(OR(#REF!&gt;2,#REF!&lt;-2),"",#REF!)</f>
        <v>#REF!</v>
      </c>
      <c r="N12" s="7" t="e">
        <f aca="false">IF(OR(#REF!&gt;2,#REF!&lt;-2),"",#REF!)</f>
        <v>#REF!</v>
      </c>
      <c r="O12" s="7" t="e">
        <f aca="false">IF(OR(#REF!&gt;2,#REF!&lt;-2),"",#REF!)</f>
        <v>#REF!</v>
      </c>
      <c r="P12" s="7" t="e">
        <f aca="false">IF(OR(#REF!&gt;2,#REF!&lt;-2),"",#REF!)</f>
        <v>#REF!</v>
      </c>
      <c r="Q12" s="7" t="e">
        <f aca="false">IF(OR(#REF!&gt;2,#REF!&lt;-2),"",#REF!)</f>
        <v>#REF!</v>
      </c>
      <c r="R12" s="7" t="e">
        <f aca="false">IF(OR(#REF!&gt;2,#REF!&lt;-2),"",#REF!)</f>
        <v>#REF!</v>
      </c>
      <c r="S12" s="7" t="e">
        <f aca="false">IF(OR(#REF!&gt;2,#REF!&lt;-2),"",#REF!)</f>
        <v>#REF!</v>
      </c>
      <c r="T12" s="7" t="e">
        <f aca="false">IF(OR(#REF!&gt;2,#REF!&lt;-2),"",#REF!)</f>
        <v>#REF!</v>
      </c>
      <c r="U12" s="7" t="e">
        <f aca="false">IF(OR(#REF!&gt;2,#REF!&lt;-2),"",#REF!)</f>
        <v>#REF!</v>
      </c>
      <c r="V12" s="7" t="e">
        <f aca="false">IF(OR(#REF!&gt;2,#REF!&lt;-2),"",#REF!)</f>
        <v>#REF!</v>
      </c>
      <c r="W12" s="7" t="e">
        <f aca="false">IF(OR(#REF!&gt;2,#REF!&lt;-2),"",#REF!)</f>
        <v>#REF!</v>
      </c>
      <c r="X12" s="7" t="e">
        <f aca="false">IF(OR(#REF!&gt;2,#REF!&lt;-2),"",#REF!)</f>
        <v>#REF!</v>
      </c>
      <c r="Y12" s="7" t="e">
        <f aca="false">IF(OR(#REF!&gt;2,#REF!&lt;-2),"",#REF!)</f>
        <v>#REF!</v>
      </c>
      <c r="Z12" s="7" t="e">
        <f aca="false">IF(OR(#REF!&gt;2,#REF!&lt;-2),"",#REF!)</f>
        <v>#REF!</v>
      </c>
      <c r="AA12" s="7" t="e">
        <f aca="false">IF(OR(#REF!&gt;2,#REF!&lt;-2),"",#REF!)</f>
        <v>#REF!</v>
      </c>
      <c r="AB12" s="7" t="e">
        <f aca="false">IF(OR(#REF!&gt;2,#REF!&lt;-2),"",#REF!)</f>
        <v>#REF!</v>
      </c>
      <c r="AC12" s="7" t="e">
        <f aca="false">IF(OR(#REF!&gt;2,#REF!&lt;-2),"",#REF!)</f>
        <v>#REF!</v>
      </c>
      <c r="AD12" s="7" t="e">
        <f aca="false">IF(OR(#REF!&gt;2,#REF!&lt;-2),"",#REF!)</f>
        <v>#REF!</v>
      </c>
      <c r="AE12" s="7" t="e">
        <f aca="false">IF(OR(#REF!&gt;2,#REF!&lt;-2),"",#REF!)</f>
        <v>#REF!</v>
      </c>
      <c r="AF12" s="7" t="e">
        <f aca="false">IF(OR(#REF!&gt;2,#REF!&lt;-2),"",#REF!)</f>
        <v>#REF!</v>
      </c>
      <c r="AG12" s="7" t="e">
        <f aca="false">IF(OR(#REF!&gt;2,#REF!&lt;-2),"",#REF!)</f>
        <v>#REF!</v>
      </c>
      <c r="AH12" s="7" t="e">
        <f aca="false">IF(OR(#REF!&gt;2,#REF!&lt;-2),"",#REF!)</f>
        <v>#REF!</v>
      </c>
      <c r="AI12" s="7" t="e">
        <f aca="false">IF(OR(#REF!&gt;2,#REF!&lt;-2),"",#REF!)</f>
        <v>#REF!</v>
      </c>
      <c r="AJ12" s="7" t="e">
        <f aca="false">IF(OR(#REF!&gt;2,#REF!&lt;-2),"",#REF!)</f>
        <v>#REF!</v>
      </c>
      <c r="AK12" s="7" t="e">
        <f aca="false">IF(OR(#REF!&gt;2,#REF!&lt;-2),"",#REF!)</f>
        <v>#REF!</v>
      </c>
      <c r="AL12" s="7" t="e">
        <f aca="false">IF(OR(#REF!&gt;2,#REF!&lt;-2),"",#REF!)</f>
        <v>#REF!</v>
      </c>
      <c r="AM12" s="7" t="e">
        <f aca="false">IF(OR(#REF!&gt;2,#REF!&lt;-2),"",#REF!)</f>
        <v>#REF!</v>
      </c>
      <c r="AN12" s="7" t="e">
        <f aca="false">IF(OR(#REF!&gt;2,#REF!&lt;-2),"",#REF!)</f>
        <v>#REF!</v>
      </c>
      <c r="AO12" s="7" t="e">
        <f aca="false">IF(OR(#REF!&gt;2,#REF!&lt;-2),"",#REF!)</f>
        <v>#REF!</v>
      </c>
      <c r="AP12" s="7" t="e">
        <f aca="false">IF(OR(#REF!&gt;2,#REF!&lt;-2),"",#REF!)</f>
        <v>#REF!</v>
      </c>
      <c r="AQ12" s="7" t="e">
        <f aca="false">IF(OR(#REF!&gt;2,#REF!&lt;-2),"",#REF!)</f>
        <v>#REF!</v>
      </c>
      <c r="AR12" s="7" t="e">
        <f aca="false">IF(OR(#REF!&gt;2,#REF!&lt;-2),"",#REF!)</f>
        <v>#REF!</v>
      </c>
      <c r="AS12" s="7" t="e">
        <f aca="false">IF(OR(#REF!&gt;2,#REF!&lt;-2),"",#REF!)</f>
        <v>#REF!</v>
      </c>
      <c r="AT12" s="7" t="e">
        <f aca="false">IF(OR(#REF!&gt;2,#REF!&lt;-2),"",#REF!)</f>
        <v>#REF!</v>
      </c>
      <c r="AU12" s="7" t="e">
        <f aca="false">IF(OR(#REF!&gt;2,#REF!&lt;-2),"",#REF!)</f>
        <v>#REF!</v>
      </c>
      <c r="AV12" s="7" t="e">
        <f aca="false">IF(OR(#REF!&gt;2,#REF!&lt;-2),"",#REF!)</f>
        <v>#REF!</v>
      </c>
      <c r="AW12" s="7" t="e">
        <f aca="false">IF(OR(#REF!&gt;2,#REF!&lt;-2),"",#REF!)</f>
        <v>#REF!</v>
      </c>
      <c r="AX12" s="7" t="e">
        <f aca="false">IF(OR(#REF!&gt;2,#REF!&lt;-2),"",#REF!)</f>
        <v>#REF!</v>
      </c>
      <c r="AY12" s="7" t="e">
        <f aca="false">IF(OR(#REF!&gt;2,#REF!&lt;-2),"",#REF!)</f>
        <v>#REF!</v>
      </c>
      <c r="AZ12" s="7" t="e">
        <f aca="false">IF(OR(#REF!&gt;2,#REF!&lt;-2),"",#REF!)</f>
        <v>#REF!</v>
      </c>
      <c r="BA12" s="7" t="e">
        <f aca="false">IF(OR(#REF!&gt;2,#REF!&lt;-2),"",#REF!)</f>
        <v>#REF!</v>
      </c>
      <c r="BB12" s="7" t="e">
        <f aca="false">IF(OR(#REF!&gt;2,#REF!&lt;-2),"",#REF!)</f>
        <v>#REF!</v>
      </c>
      <c r="BC12" s="7" t="e">
        <f aca="false">IF(OR(#REF!&gt;2,#REF!&lt;-2),"",#REF!)</f>
        <v>#REF!</v>
      </c>
      <c r="BD12" s="7" t="e">
        <f aca="false">IF(OR(#REF!&gt;2,#REF!&lt;-2),"",#REF!)</f>
        <v>#REF!</v>
      </c>
      <c r="BE12" s="7" t="e">
        <f aca="false">IF(OR(#REF!&gt;2,#REF!&lt;-2),"",#REF!)</f>
        <v>#REF!</v>
      </c>
      <c r="BF12" s="7" t="e">
        <f aca="false">IF(OR(#REF!&gt;2,#REF!&lt;-2),"",#REF!)</f>
        <v>#REF!</v>
      </c>
      <c r="BG12" s="7" t="e">
        <f aca="false">IF(OR(#REF!&gt;2,#REF!&lt;-2),"",#REF!)</f>
        <v>#REF!</v>
      </c>
      <c r="BH12" s="7" t="e">
        <f aca="false">IF(OR(#REF!&gt;2,#REF!&lt;-2),"",#REF!)</f>
        <v>#REF!</v>
      </c>
      <c r="BI12" s="7" t="e">
        <f aca="false">IF(OR(#REF!&gt;2,#REF!&lt;-2),"",#REF!)</f>
        <v>#REF!</v>
      </c>
      <c r="BJ12" s="7" t="e">
        <f aca="false">IF(OR(#REF!&gt;2,#REF!&lt;-2),"",#REF!)</f>
        <v>#REF!</v>
      </c>
      <c r="BK12" s="7" t="e">
        <f aca="false">IF(OR(#REF!&gt;2,#REF!&lt;-2),"",#REF!)</f>
        <v>#REF!</v>
      </c>
      <c r="BL12" s="7" t="e">
        <f aca="false">IF(OR(#REF!&gt;2,#REF!&lt;-2),"",#REF!)</f>
        <v>#REF!</v>
      </c>
      <c r="BM12" s="7" t="e">
        <f aca="false">IF(OR(#REF!&gt;2,#REF!&lt;-2),"",#REF!)</f>
        <v>#REF!</v>
      </c>
      <c r="BN12" s="7" t="e">
        <f aca="false">IF(OR(#REF!&gt;2,#REF!&lt;-2),"",#REF!)</f>
        <v>#REF!</v>
      </c>
      <c r="BO12" s="7" t="e">
        <f aca="false">IF(OR(#REF!&gt;2,#REF!&lt;-2),"",#REF!)</f>
        <v>#REF!</v>
      </c>
      <c r="BP12" s="7" t="e">
        <f aca="false">IF(OR(#REF!&gt;2,#REF!&lt;-2),"",#REF!)</f>
        <v>#REF!</v>
      </c>
      <c r="BQ12" s="7" t="e">
        <f aca="false">IF(OR(#REF!&gt;2,#REF!&lt;-2),"",#REF!)</f>
        <v>#REF!</v>
      </c>
      <c r="BR12" s="7" t="e">
        <f aca="false">IF(OR(#REF!&gt;2,#REF!&lt;-2),"",#REF!)</f>
        <v>#REF!</v>
      </c>
      <c r="BS12" s="7" t="e">
        <f aca="false">IF(OR(#REF!&gt;2,#REF!&lt;-2),"",#REF!)</f>
        <v>#REF!</v>
      </c>
      <c r="BT12" s="7" t="e">
        <f aca="false">IF(OR(#REF!&gt;2,#REF!&lt;-2),"",#REF!)</f>
        <v>#REF!</v>
      </c>
      <c r="BU12" s="7" t="e">
        <f aca="false">IF(OR(#REF!&gt;2,#REF!&lt;-2),"",#REF!)</f>
        <v>#REF!</v>
      </c>
      <c r="BV12" s="7" t="e">
        <f aca="false">IF(OR(#REF!&gt;2,#REF!&lt;-2),"",#REF!)</f>
        <v>#REF!</v>
      </c>
      <c r="BW12" s="7" t="e">
        <f aca="false">IF(OR(#REF!&gt;2,#REF!&lt;-2),"",#REF!)</f>
        <v>#REF!</v>
      </c>
      <c r="BX12" s="7" t="e">
        <f aca="false">IF(OR(#REF!&gt;2,#REF!&lt;-2),"",#REF!)</f>
        <v>#REF!</v>
      </c>
      <c r="BY12" s="7" t="e">
        <f aca="false">IF(OR(#REF!&gt;2,#REF!&lt;-2),"",#REF!)</f>
        <v>#REF!</v>
      </c>
      <c r="BZ12" s="7" t="e">
        <f aca="false">IF(OR(#REF!&gt;2,#REF!&lt;-2),"",#REF!)</f>
        <v>#REF!</v>
      </c>
      <c r="CA12" s="7" t="e">
        <f aca="false">IF(OR(#REF!&gt;2,#REF!&lt;-2),"",#REF!)</f>
        <v>#REF!</v>
      </c>
      <c r="CB12" s="7" t="e">
        <f aca="false">IF(OR(#REF!&gt;2,#REF!&lt;-2),"",#REF!)</f>
        <v>#REF!</v>
      </c>
      <c r="CC12" s="7" t="e">
        <f aca="false">IF(OR(#REF!&gt;2,#REF!&lt;-2),"",#REF!)</f>
        <v>#REF!</v>
      </c>
      <c r="CD12" s="7" t="e">
        <f aca="false">IF(OR(#REF!&gt;2,#REF!&lt;-2),"",#REF!)</f>
        <v>#REF!</v>
      </c>
      <c r="CE12" s="7" t="e">
        <f aca="false">IF(OR(#REF!&gt;2,#REF!&lt;-2),"",#REF!)</f>
        <v>#REF!</v>
      </c>
      <c r="CF12" s="7" t="e">
        <f aca="false">IF(OR(#REF!&gt;2,#REF!&lt;-2),"",#REF!)</f>
        <v>#REF!</v>
      </c>
      <c r="CG12" s="7" t="e">
        <f aca="false">IF(OR(#REF!&gt;2,#REF!&lt;-2),"",#REF!)</f>
        <v>#REF!</v>
      </c>
      <c r="CH12" s="7" t="e">
        <f aca="false">IF(OR(#REF!&gt;2,#REF!&lt;-2),"",#REF!)</f>
        <v>#REF!</v>
      </c>
      <c r="CI12" s="7" t="e">
        <f aca="false">IF(OR(#REF!&gt;2,#REF!&lt;-2),"",#REF!)</f>
        <v>#REF!</v>
      </c>
      <c r="CJ12" s="7" t="e">
        <f aca="false">IF(OR(#REF!&gt;2,#REF!&lt;-2),"",#REF!)</f>
        <v>#REF!</v>
      </c>
      <c r="CK12" s="7" t="e">
        <f aca="false">IF(OR(#REF!&gt;2,#REF!&lt;-2),"",#REF!)</f>
        <v>#REF!</v>
      </c>
      <c r="CL12" s="7" t="e">
        <f aca="false">IF(OR(#REF!&gt;2,#REF!&lt;-2),"",#REF!)</f>
        <v>#REF!</v>
      </c>
      <c r="CM12" s="7" t="e">
        <f aca="false">IF(OR(#REF!&gt;2,#REF!&lt;-2),"",#REF!)</f>
        <v>#REF!</v>
      </c>
      <c r="CN12" s="7" t="e">
        <f aca="false">IF(OR(#REF!&gt;2,#REF!&lt;-2),"",#REF!)</f>
        <v>#REF!</v>
      </c>
      <c r="CO12" s="7" t="e">
        <f aca="false">IF(OR(#REF!&gt;2,#REF!&lt;-2),"",#REF!)</f>
        <v>#REF!</v>
      </c>
      <c r="CP12" s="7" t="e">
        <f aca="false">IF(OR(#REF!&gt;2,#REF!&lt;-2),"",#REF!)</f>
        <v>#REF!</v>
      </c>
      <c r="CQ12" s="7" t="e">
        <f aca="false">IF(OR(#REF!&gt;2,#REF!&lt;-2),"",#REF!)</f>
        <v>#REF!</v>
      </c>
      <c r="CR12" s="7" t="e">
        <f aca="false">IF(OR(#REF!&gt;2,#REF!&lt;-2),"",#REF!)</f>
        <v>#REF!</v>
      </c>
      <c r="CS12" s="7" t="e">
        <f aca="false">IF(OR(#REF!&gt;2,#REF!&lt;-2),"",#REF!)</f>
        <v>#REF!</v>
      </c>
      <c r="CT12" s="7" t="e">
        <f aca="false">IF(OR(#REF!&gt;2,#REF!&lt;-2),"",#REF!)</f>
        <v>#REF!</v>
      </c>
      <c r="CU12" s="7" t="e">
        <f aca="false">IF(OR(#REF!&gt;2,#REF!&lt;-2),"",#REF!)</f>
        <v>#REF!</v>
      </c>
      <c r="CV12" s="7" t="e">
        <f aca="false">IF(OR(#REF!&gt;2,#REF!&lt;-2),"",#REF!)</f>
        <v>#REF!</v>
      </c>
      <c r="CW12" s="7" t="e">
        <f aca="false">IF(OR(#REF!&gt;2,#REF!&lt;-2),"",#REF!)</f>
        <v>#REF!</v>
      </c>
      <c r="CX12" s="7" t="e">
        <f aca="false">IF(OR(#REF!&gt;2,#REF!&lt;-2),"",#REF!)</f>
        <v>#REF!</v>
      </c>
      <c r="CY12" s="7" t="e">
        <f aca="false">IF(OR(#REF!&gt;2,#REF!&lt;-2),"",#REF!)</f>
        <v>#REF!</v>
      </c>
      <c r="CZ12" s="7" t="e">
        <f aca="false">IF(OR(#REF!&gt;2,#REF!&lt;-2),"",#REF!)</f>
        <v>#REF!</v>
      </c>
      <c r="DA12" s="7" t="e">
        <f aca="false">IF(OR(#REF!&gt;2,#REF!&lt;-2),"",#REF!)</f>
        <v>#REF!</v>
      </c>
      <c r="DB12" s="7" t="e">
        <f aca="false">IF(OR(#REF!&gt;2,#REF!&lt;-2),"",#REF!)</f>
        <v>#REF!</v>
      </c>
      <c r="DC12" s="7" t="e">
        <f aca="false">IF(OR(#REF!&gt;2,#REF!&lt;-2),"",#REF!)</f>
        <v>#REF!</v>
      </c>
      <c r="DD12" s="7" t="e">
        <f aca="false">IF(OR(#REF!&gt;2,#REF!&lt;-2),"",#REF!)</f>
        <v>#REF!</v>
      </c>
      <c r="DE12" s="7" t="e">
        <f aca="false">IF(OR(#REF!&gt;2,#REF!&lt;-2),"",#REF!)</f>
        <v>#REF!</v>
      </c>
      <c r="DF12" s="7" t="e">
        <f aca="false">IF(OR(#REF!&gt;2,#REF!&lt;-2),"",#REF!)</f>
        <v>#REF!</v>
      </c>
      <c r="DG12" s="7" t="e">
        <f aca="false">IF(OR(#REF!&gt;2,#REF!&lt;-2),"",#REF!)</f>
        <v>#REF!</v>
      </c>
      <c r="DH12" s="7" t="e">
        <f aca="false">IF(OR(#REF!&gt;2,#REF!&lt;-2),"",#REF!)</f>
        <v>#REF!</v>
      </c>
      <c r="DI12" s="7" t="e">
        <f aca="false">IF(OR(#REF!&gt;2,#REF!&lt;-2),"",#REF!)</f>
        <v>#REF!</v>
      </c>
      <c r="DJ12" s="7" t="e">
        <f aca="false">IF(OR(#REF!&gt;2,#REF!&lt;-2),"",#REF!)</f>
        <v>#REF!</v>
      </c>
      <c r="DK12" s="7" t="e">
        <f aca="false">IF(OR(#REF!&gt;2,#REF!&lt;-2),"",#REF!)</f>
        <v>#REF!</v>
      </c>
      <c r="DL12" s="7" t="e">
        <f aca="false">IF(OR(#REF!&gt;2,#REF!&lt;-2),"",#REF!)</f>
        <v>#REF!</v>
      </c>
      <c r="DM12" s="7" t="e">
        <f aca="false">IF(OR(#REF!&gt;2,#REF!&lt;-2),"",#REF!)</f>
        <v>#REF!</v>
      </c>
      <c r="DN12" s="7" t="e">
        <f aca="false">IF(OR(#REF!&gt;2,#REF!&lt;-2),"",#REF!)</f>
        <v>#REF!</v>
      </c>
      <c r="DO12" s="7" t="e">
        <f aca="false">IF(OR(#REF!&gt;2,#REF!&lt;-2),"",#REF!)</f>
        <v>#REF!</v>
      </c>
      <c r="DP12" s="7" t="e">
        <f aca="false">IF(OR(#REF!&gt;2,#REF!&lt;-2),"",#REF!)</f>
        <v>#REF!</v>
      </c>
      <c r="DQ12" s="7" t="e">
        <f aca="false">IF(OR(#REF!&gt;2,#REF!&lt;-2),"",#REF!)</f>
        <v>#REF!</v>
      </c>
      <c r="DR12" s="7" t="e">
        <f aca="false">IF(OR(#REF!&gt;2,#REF!&lt;-2),"",#REF!)</f>
        <v>#REF!</v>
      </c>
      <c r="DS12" s="7" t="e">
        <f aca="false">IF(OR(#REF!&gt;2,#REF!&lt;-2),"",#REF!)</f>
        <v>#REF!</v>
      </c>
      <c r="DT12" s="7" t="e">
        <f aca="false">IF(OR(#REF!&gt;2,#REF!&lt;-2),"",#REF!)</f>
        <v>#REF!</v>
      </c>
      <c r="DU12" s="7" t="e">
        <f aca="false">IF(OR(#REF!&gt;2,#REF!&lt;-2),"",#REF!)</f>
        <v>#REF!</v>
      </c>
      <c r="DV12" s="7" t="e">
        <f aca="false">IF(OR(#REF!&gt;2,#REF!&lt;-2),"",#REF!)</f>
        <v>#REF!</v>
      </c>
      <c r="DW12" s="7" t="e">
        <f aca="false">IF(OR(#REF!&gt;2,#REF!&lt;-2),"",#REF!)</f>
        <v>#REF!</v>
      </c>
      <c r="DX12" s="7" t="e">
        <f aca="false">IF(OR(#REF!&gt;2,#REF!&lt;-2),"",#REF!)</f>
        <v>#REF!</v>
      </c>
      <c r="DY12" s="7" t="e">
        <f aca="false">IF(OR(#REF!&gt;2,#REF!&lt;-2),"",#REF!)</f>
        <v>#REF!</v>
      </c>
      <c r="DZ12" s="7" t="e">
        <f aca="false">IF(OR(#REF!&gt;2,#REF!&lt;-2),"",#REF!)</f>
        <v>#REF!</v>
      </c>
      <c r="EA12" s="7" t="e">
        <f aca="false">IF(OR(#REF!&gt;2,#REF!&lt;-2),"",#REF!)</f>
        <v>#REF!</v>
      </c>
      <c r="EB12" s="7" t="e">
        <f aca="false">IF(OR(#REF!&gt;2,#REF!&lt;-2),"",#REF!)</f>
        <v>#REF!</v>
      </c>
      <c r="EC12" s="7" t="e">
        <f aca="false">IF(OR(#REF!&gt;2,#REF!&lt;-2),"",#REF!)</f>
        <v>#REF!</v>
      </c>
      <c r="ED12" s="7" t="e">
        <f aca="false">IF(OR(#REF!&gt;2,#REF!&lt;-2),"",#REF!)</f>
        <v>#REF!</v>
      </c>
      <c r="EE12" s="7" t="e">
        <f aca="false">IF(OR(#REF!&gt;2,#REF!&lt;-2),"",#REF!)</f>
        <v>#REF!</v>
      </c>
      <c r="EF12" s="7" t="e">
        <f aca="false">IF(OR(#REF!&gt;2,#REF!&lt;-2),"",#REF!)</f>
        <v>#REF!</v>
      </c>
      <c r="EG12" s="7" t="e">
        <f aca="false">IF(OR(#REF!&gt;2,#REF!&lt;-2),"",#REF!)</f>
        <v>#REF!</v>
      </c>
      <c r="EH12" s="7" t="e">
        <f aca="false">IF(OR(#REF!&gt;2,#REF!&lt;-2),"",#REF!)</f>
        <v>#REF!</v>
      </c>
      <c r="EI12" s="7" t="e">
        <f aca="false">IF(OR(#REF!&gt;2,#REF!&lt;-2),"",#REF!)</f>
        <v>#REF!</v>
      </c>
      <c r="EJ12" s="7" t="e">
        <f aca="false">IF(OR(#REF!&gt;2,#REF!&lt;-2),"",#REF!)</f>
        <v>#REF!</v>
      </c>
      <c r="EK12" s="7" t="e">
        <f aca="false">IF(OR(#REF!&gt;2,#REF!&lt;-2),"",#REF!)</f>
        <v>#REF!</v>
      </c>
      <c r="EL12" s="7" t="e">
        <f aca="false">IF(OR(#REF!&gt;2,#REF!&lt;-2),"",#REF!)</f>
        <v>#REF!</v>
      </c>
      <c r="EM12" s="7" t="e">
        <f aca="false">IF(OR(#REF!&gt;2,#REF!&lt;-2),"",#REF!)</f>
        <v>#REF!</v>
      </c>
      <c r="EN12" s="7" t="e">
        <f aca="false">IF(OR(#REF!&gt;2,#REF!&lt;-2),"",#REF!)</f>
        <v>#REF!</v>
      </c>
      <c r="EO12" s="7" t="e">
        <f aca="false">IF(OR(#REF!&gt;2,#REF!&lt;-2),"",#REF!)</f>
        <v>#REF!</v>
      </c>
      <c r="EP12" s="7" t="e">
        <f aca="false">IF(OR(#REF!&gt;2,#REF!&lt;-2),"",#REF!)</f>
        <v>#REF!</v>
      </c>
      <c r="EQ12" s="7" t="e">
        <f aca="false">IF(OR(#REF!&gt;2,#REF!&lt;-2),"",#REF!)</f>
        <v>#REF!</v>
      </c>
      <c r="ER12" s="7" t="e">
        <f aca="false">IF(OR(#REF!&gt;2,#REF!&lt;-2),"",#REF!)</f>
        <v>#REF!</v>
      </c>
      <c r="ES12" s="7" t="e">
        <f aca="false">IF(OR(#REF!&gt;2,#REF!&lt;-2),"",#REF!)</f>
        <v>#REF!</v>
      </c>
      <c r="ET12" s="7" t="e">
        <f aca="false">IF(OR(#REF!&gt;2,#REF!&lt;-2),"",#REF!)</f>
        <v>#REF!</v>
      </c>
      <c r="EU12" s="7" t="e">
        <f aca="false">IF(OR(#REF!&gt;2,#REF!&lt;-2),"",#REF!)</f>
        <v>#REF!</v>
      </c>
      <c r="EV12" s="7" t="e">
        <f aca="false">IF(OR(#REF!&gt;2,#REF!&lt;-2),"",#REF!)</f>
        <v>#REF!</v>
      </c>
      <c r="EW12" s="7" t="e">
        <f aca="false">IF(OR(#REF!&gt;2,#REF!&lt;-2),"",#REF!)</f>
        <v>#REF!</v>
      </c>
      <c r="EX12" s="7" t="e">
        <f aca="false">IF(OR(#REF!&gt;2,#REF!&lt;-2),"",#REF!)</f>
        <v>#REF!</v>
      </c>
      <c r="EY12" s="7" t="e">
        <f aca="false">IF(OR(#REF!&gt;2,#REF!&lt;-2),"",#REF!)</f>
        <v>#REF!</v>
      </c>
      <c r="EZ12" s="7" t="e">
        <f aca="false">IF(OR(#REF!&gt;2,#REF!&lt;-2),"",#REF!)</f>
        <v>#REF!</v>
      </c>
      <c r="FA12" s="7" t="e">
        <f aca="false">IF(OR(#REF!&gt;2,#REF!&lt;-2),"",#REF!)</f>
        <v>#REF!</v>
      </c>
      <c r="FB12" s="7" t="e">
        <f aca="false">IF(OR(#REF!&gt;2,#REF!&lt;-2),"",#REF!)</f>
        <v>#REF!</v>
      </c>
      <c r="FC12" s="7" t="e">
        <f aca="false">IF(OR(#REF!&gt;2,#REF!&lt;-2),"",#REF!)</f>
        <v>#REF!</v>
      </c>
      <c r="FD12" s="7" t="e">
        <f aca="false">IF(OR(#REF!&gt;2,#REF!&lt;-2),"",#REF!)</f>
        <v>#REF!</v>
      </c>
      <c r="FE12" s="7" t="e">
        <f aca="false">IF(OR(#REF!&gt;2,#REF!&lt;-2),"",#REF!)</f>
        <v>#REF!</v>
      </c>
      <c r="FF12" s="7" t="e">
        <f aca="false">IF(OR(#REF!&gt;2,#REF!&lt;-2),"",#REF!)</f>
        <v>#REF!</v>
      </c>
      <c r="FG12" s="7" t="e">
        <f aca="false">IF(OR(#REF!&gt;2,#REF!&lt;-2),"",#REF!)</f>
        <v>#REF!</v>
      </c>
      <c r="FH12" s="7" t="e">
        <f aca="false">IF(OR(#REF!&gt;2,#REF!&lt;-2),"",#REF!)</f>
        <v>#REF!</v>
      </c>
      <c r="FI12" s="7" t="e">
        <f aca="false">IF(OR(#REF!&gt;2,#REF!&lt;-2),"",#REF!)</f>
        <v>#REF!</v>
      </c>
      <c r="FJ12" s="7" t="e">
        <f aca="false">IF(OR(#REF!&gt;2,#REF!&lt;-2),"",#REF!)</f>
        <v>#REF!</v>
      </c>
      <c r="FK12" s="7" t="e">
        <f aca="false">IF(OR(#REF!&gt;2,#REF!&lt;-2),"",#REF!)</f>
        <v>#REF!</v>
      </c>
      <c r="FL12" s="7" t="e">
        <f aca="false">IF(OR(#REF!&gt;2,#REF!&lt;-2),"",#REF!)</f>
        <v>#REF!</v>
      </c>
      <c r="FM12" s="7" t="e">
        <f aca="false">IF(OR(#REF!&gt;2,#REF!&lt;-2),"",#REF!)</f>
        <v>#REF!</v>
      </c>
      <c r="FN12" s="7" t="e">
        <f aca="false">IF(OR(#REF!&gt;2,#REF!&lt;-2),"",#REF!)</f>
        <v>#REF!</v>
      </c>
      <c r="FO12" s="7" t="e">
        <f aca="false">IF(OR(#REF!&gt;2,#REF!&lt;-2),"",#REF!)</f>
        <v>#REF!</v>
      </c>
      <c r="FP12" s="7" t="e">
        <f aca="false">IF(OR(#REF!&gt;2,#REF!&lt;-2),"",#REF!)</f>
        <v>#REF!</v>
      </c>
      <c r="FQ12" s="7" t="e">
        <f aca="false">IF(OR(#REF!&gt;2,#REF!&lt;-2),"",#REF!)</f>
        <v>#REF!</v>
      </c>
      <c r="FR12" s="7" t="e">
        <f aca="false">IF(OR(#REF!&gt;2,#REF!&lt;-2),"",#REF!)</f>
        <v>#REF!</v>
      </c>
      <c r="FS12" s="7" t="e">
        <f aca="false">IF(OR(#REF!&gt;2,#REF!&lt;-2),"",#REF!)</f>
        <v>#REF!</v>
      </c>
      <c r="FT12" s="7" t="e">
        <f aca="false">IF(OR(#REF!&gt;2,#REF!&lt;-2),"",#REF!)</f>
        <v>#REF!</v>
      </c>
      <c r="FU12" s="7" t="e">
        <f aca="false">IF(OR(#REF!&gt;2,#REF!&lt;-2),"",#REF!)</f>
        <v>#REF!</v>
      </c>
      <c r="FV12" s="7" t="e">
        <f aca="false">IF(OR(#REF!&gt;2,#REF!&lt;-2),"",#REF!)</f>
        <v>#REF!</v>
      </c>
      <c r="FW12" s="7" t="e">
        <f aca="false">IF(OR(#REF!&gt;2,#REF!&lt;-2),"",#REF!)</f>
        <v>#REF!</v>
      </c>
      <c r="FX12" s="7" t="e">
        <f aca="false">IF(OR(#REF!&gt;2,#REF!&lt;-2),"",#REF!)</f>
        <v>#REF!</v>
      </c>
      <c r="FY12" s="7" t="e">
        <f aca="false">IF(OR(#REF!&gt;2,#REF!&lt;-2),"",#REF!)</f>
        <v>#REF!</v>
      </c>
      <c r="FZ12" s="7" t="e">
        <f aca="false">IF(OR(#REF!&gt;2,#REF!&lt;-2),"",#REF!)</f>
        <v>#REF!</v>
      </c>
      <c r="GA12" s="7" t="e">
        <f aca="false">IF(OR(#REF!&gt;2,#REF!&lt;-2),"",#REF!)</f>
        <v>#REF!</v>
      </c>
      <c r="GB12" s="7" t="e">
        <f aca="false">IF(OR(#REF!&gt;2,#REF!&lt;-2),"",#REF!)</f>
        <v>#REF!</v>
      </c>
      <c r="GC12" s="7" t="e">
        <f aca="false">IF(OR(#REF!&gt;2,#REF!&lt;-2),"",#REF!)</f>
        <v>#REF!</v>
      </c>
      <c r="GD12" s="7" t="e">
        <f aca="false">IF(OR(#REF!&gt;2,#REF!&lt;-2),"",#REF!)</f>
        <v>#REF!</v>
      </c>
      <c r="GE12" s="7" t="e">
        <f aca="false">IF(OR(#REF!&gt;2,#REF!&lt;-2),"",#REF!)</f>
        <v>#REF!</v>
      </c>
      <c r="GF12" s="7" t="e">
        <f aca="false">IF(OR(#REF!&gt;2,#REF!&lt;-2),"",#REF!)</f>
        <v>#REF!</v>
      </c>
      <c r="GG12" s="7" t="e">
        <f aca="false">IF(OR(#REF!&gt;2,#REF!&lt;-2),"",#REF!)</f>
        <v>#REF!</v>
      </c>
      <c r="GH12" s="7" t="e">
        <f aca="false">IF(OR(#REF!&gt;2,#REF!&lt;-2),"",#REF!)</f>
        <v>#REF!</v>
      </c>
      <c r="GI12" s="7" t="e">
        <f aca="false">IF(OR(#REF!&gt;2,#REF!&lt;-2),"",#REF!)</f>
        <v>#REF!</v>
      </c>
      <c r="GJ12" s="7" t="e">
        <f aca="false">IF(OR(#REF!&gt;2,#REF!&lt;-2),"",#REF!)</f>
        <v>#REF!</v>
      </c>
      <c r="GK12" s="7" t="e">
        <f aca="false">IF(OR(#REF!&gt;2,#REF!&lt;-2),"",#REF!)</f>
        <v>#REF!</v>
      </c>
      <c r="GL12" s="7" t="e">
        <f aca="false">IF(OR(#REF!&gt;2,#REF!&lt;-2),"",#REF!)</f>
        <v>#REF!</v>
      </c>
      <c r="GM12" s="7" t="e">
        <f aca="false">IF(OR(#REF!&gt;2,#REF!&lt;-2),"",#REF!)</f>
        <v>#REF!</v>
      </c>
      <c r="GN12" s="7" t="e">
        <f aca="false">IF(OR(#REF!&gt;2,#REF!&lt;-2),"",#REF!)</f>
        <v>#REF!</v>
      </c>
      <c r="GO12" s="7" t="e">
        <f aca="false">IF(OR(#REF!&gt;2,#REF!&lt;-2),"",#REF!)</f>
        <v>#REF!</v>
      </c>
      <c r="GP12" s="7" t="e">
        <f aca="false">IF(OR(#REF!&gt;2,#REF!&lt;-2),"",#REF!)</f>
        <v>#REF!</v>
      </c>
      <c r="GQ12" s="7" t="e">
        <f aca="false">IF(OR(#REF!&gt;2,#REF!&lt;-2),"",#REF!)</f>
        <v>#REF!</v>
      </c>
      <c r="GR12" s="7" t="e">
        <f aca="false">IF(OR(#REF!&gt;2,#REF!&lt;-2),"",#REF!)</f>
        <v>#REF!</v>
      </c>
      <c r="GS12" s="7" t="e">
        <f aca="false">IF(OR(#REF!&gt;2,#REF!&lt;-2),"",#REF!)</f>
        <v>#REF!</v>
      </c>
      <c r="GT12" s="7" t="e">
        <f aca="false">IF(OR(#REF!&gt;2,#REF!&lt;-2),"",#REF!)</f>
        <v>#REF!</v>
      </c>
      <c r="GU12" s="7" t="e">
        <f aca="false">IF(OR(#REF!&gt;2,#REF!&lt;-2),"",#REF!)</f>
        <v>#REF!</v>
      </c>
      <c r="GV12" s="7" t="e">
        <f aca="false">IF(OR(#REF!&gt;2,#REF!&lt;-2),"",#REF!)</f>
        <v>#REF!</v>
      </c>
      <c r="GW12" s="7" t="e">
        <f aca="false">IF(OR(#REF!&gt;2,#REF!&lt;-2),"",#REF!)</f>
        <v>#REF!</v>
      </c>
      <c r="GX12" s="7" t="e">
        <f aca="false">IF(OR(#REF!&gt;2,#REF!&lt;-2),"",#REF!)</f>
        <v>#REF!</v>
      </c>
      <c r="GY12" s="7" t="e">
        <f aca="false">IF(OR(#REF!&gt;2,#REF!&lt;-2),"",#REF!)</f>
        <v>#REF!</v>
      </c>
      <c r="GZ12" s="7" t="e">
        <f aca="false">IF(OR(#REF!&gt;2,#REF!&lt;-2),"",#REF!)</f>
        <v>#REF!</v>
      </c>
      <c r="HA12" s="7" t="e">
        <f aca="false">IF(OR(#REF!&gt;2,#REF!&lt;-2),"",#REF!)</f>
        <v>#REF!</v>
      </c>
      <c r="HB12" s="7" t="e">
        <f aca="false">IF(OR(#REF!&gt;2,#REF!&lt;-2),"",#REF!)</f>
        <v>#REF!</v>
      </c>
      <c r="HC12" s="7" t="e">
        <f aca="false">IF(OR(#REF!&gt;2,#REF!&lt;-2),"",#REF!)</f>
        <v>#REF!</v>
      </c>
      <c r="HD12" s="7" t="e">
        <f aca="false">IF(OR(#REF!&gt;2,#REF!&lt;-2),"",#REF!)</f>
        <v>#REF!</v>
      </c>
      <c r="HE12" s="7" t="e">
        <f aca="false">IF(OR(#REF!&gt;2,#REF!&lt;-2),"",#REF!)</f>
        <v>#REF!</v>
      </c>
      <c r="HF12" s="7" t="e">
        <f aca="false">IF(OR(#REF!&gt;2,#REF!&lt;-2),"",#REF!)</f>
        <v>#REF!</v>
      </c>
      <c r="HG12" s="7" t="e">
        <f aca="false">IF(OR(#REF!&gt;2,#REF!&lt;-2),"",#REF!)</f>
        <v>#REF!</v>
      </c>
      <c r="HH12" s="7" t="e">
        <f aca="false">IF(OR(#REF!&gt;2,#REF!&lt;-2),"",#REF!)</f>
        <v>#REF!</v>
      </c>
      <c r="HI12" s="7" t="e">
        <f aca="false">IF(OR(#REF!&gt;2,#REF!&lt;-2),"",#REF!)</f>
        <v>#REF!</v>
      </c>
      <c r="HJ12" s="7" t="e">
        <f aca="false">IF(OR(#REF!&gt;2,#REF!&lt;-2),"",#REF!)</f>
        <v>#REF!</v>
      </c>
      <c r="HK12" s="7" t="e">
        <f aca="false">IF(OR(#REF!&gt;2,#REF!&lt;-2),"",#REF!)</f>
        <v>#REF!</v>
      </c>
      <c r="HL12" s="7" t="e">
        <f aca="false">IF(OR(#REF!&gt;2,#REF!&lt;-2),"",#REF!)</f>
        <v>#REF!</v>
      </c>
      <c r="HM12" s="7" t="e">
        <f aca="false">IF(OR(#REF!&gt;2,#REF!&lt;-2),"",#REF!)</f>
        <v>#REF!</v>
      </c>
      <c r="HN12" s="7" t="e">
        <f aca="false">IF(OR(#REF!&gt;2,#REF!&lt;-2),"",#REF!)</f>
        <v>#REF!</v>
      </c>
      <c r="HO12" s="7" t="e">
        <f aca="false">IF(OR(#REF!&gt;2,#REF!&lt;-2),"",#REF!)</f>
        <v>#REF!</v>
      </c>
      <c r="HP12" s="7" t="e">
        <f aca="false">IF(OR(#REF!&gt;2,#REF!&lt;-2),"",#REF!)</f>
        <v>#REF!</v>
      </c>
      <c r="HQ12" s="7" t="e">
        <f aca="false">IF(OR(#REF!&gt;2,#REF!&lt;-2),"",#REF!)</f>
        <v>#REF!</v>
      </c>
      <c r="HR12" s="7" t="e">
        <f aca="false">IF(OR(#REF!&gt;2,#REF!&lt;-2),"",#REF!)</f>
        <v>#REF!</v>
      </c>
      <c r="HS12" s="7" t="e">
        <f aca="false">IF(OR(#REF!&gt;2,#REF!&lt;-2),"",#REF!)</f>
        <v>#REF!</v>
      </c>
      <c r="HT12" s="7" t="e">
        <f aca="false">IF(OR(#REF!&gt;2,#REF!&lt;-2),"",#REF!)</f>
        <v>#REF!</v>
      </c>
      <c r="HU12" s="7" t="e">
        <f aca="false">IF(OR(#REF!&gt;2,#REF!&lt;-2),"",#REF!)</f>
        <v>#REF!</v>
      </c>
      <c r="HV12" s="7" t="e">
        <f aca="false">IF(OR(#REF!&gt;2,#REF!&lt;-2),"",#REF!)</f>
        <v>#REF!</v>
      </c>
      <c r="HW12" s="7" t="e">
        <f aca="false">IF(OR(#REF!&gt;2,#REF!&lt;-2),"",#REF!)</f>
        <v>#REF!</v>
      </c>
      <c r="HX12" s="7" t="e">
        <f aca="false">IF(OR(#REF!&gt;2,#REF!&lt;-2),"",#REF!)</f>
        <v>#REF!</v>
      </c>
      <c r="HY12" s="7" t="e">
        <f aca="false">IF(OR(#REF!&gt;2,#REF!&lt;-2),"",#REF!)</f>
        <v>#REF!</v>
      </c>
      <c r="HZ12" s="7" t="e">
        <f aca="false">IF(OR(#REF!&gt;2,#REF!&lt;-2),"",#REF!)</f>
        <v>#REF!</v>
      </c>
      <c r="IA12" s="7" t="e">
        <f aca="false">IF(OR(#REF!&gt;2,#REF!&lt;-2),"",#REF!)</f>
        <v>#REF!</v>
      </c>
      <c r="IB12" s="7" t="e">
        <f aca="false">IF(OR(#REF!&gt;2,#REF!&lt;-2),"",#REF!)</f>
        <v>#REF!</v>
      </c>
      <c r="IC12" s="7" t="e">
        <f aca="false">IF(OR(#REF!&gt;2,#REF!&lt;-2),"",#REF!)</f>
        <v>#REF!</v>
      </c>
      <c r="ID12" s="7" t="e">
        <f aca="false">IF(OR(#REF!&gt;2,#REF!&lt;-2),"",#REF!)</f>
        <v>#REF!</v>
      </c>
      <c r="IE12" s="7" t="e">
        <f aca="false">IF(OR(#REF!&gt;2,#REF!&lt;-2),"",#REF!)</f>
        <v>#REF!</v>
      </c>
      <c r="IF12" s="7" t="e">
        <f aca="false">IF(OR(#REF!&gt;2,#REF!&lt;-2),"",#REF!)</f>
        <v>#REF!</v>
      </c>
      <c r="IG12" s="7" t="e">
        <f aca="false">IF(OR(#REF!&gt;2,#REF!&lt;-2),"",#REF!)</f>
        <v>#REF!</v>
      </c>
      <c r="IH12" s="7" t="e">
        <f aca="false">IF(OR(#REF!&gt;2,#REF!&lt;-2),"",#REF!)</f>
        <v>#REF!</v>
      </c>
      <c r="II12" s="7" t="e">
        <f aca="false">IF(OR(#REF!&gt;2,#REF!&lt;-2),"",#REF!)</f>
        <v>#REF!</v>
      </c>
      <c r="IJ12" s="7" t="e">
        <f aca="false">IF(OR(#REF!&gt;2,#REF!&lt;-2),"",#REF!)</f>
        <v>#REF!</v>
      </c>
      <c r="IK12" s="7" t="e">
        <f aca="false">IF(OR(#REF!&gt;2,#REF!&lt;-2),"",#REF!)</f>
        <v>#REF!</v>
      </c>
      <c r="IL12" s="7" t="e">
        <f aca="false">IF(OR(#REF!&gt;2,#REF!&lt;-2),"",#REF!)</f>
        <v>#REF!</v>
      </c>
      <c r="IM12" s="7" t="e">
        <f aca="false">IF(OR(#REF!&gt;2,#REF!&lt;-2),"",#REF!)</f>
        <v>#REF!</v>
      </c>
      <c r="IN12" s="7" t="e">
        <f aca="false">IF(OR(#REF!&gt;2,#REF!&lt;-2),"",#REF!)</f>
        <v>#REF!</v>
      </c>
      <c r="IO12" s="7" t="e">
        <f aca="false">IF(OR(#REF!&gt;2,#REF!&lt;-2),"",#REF!)</f>
        <v>#REF!</v>
      </c>
      <c r="IP12" s="7" t="e">
        <f aca="false">IF(OR(#REF!&gt;2,#REF!&lt;-2),"",#REF!)</f>
        <v>#REF!</v>
      </c>
      <c r="IQ12" s="7" t="e">
        <f aca="false">IF(OR(#REF!&gt;2,#REF!&lt;-2),"",#REF!)</f>
        <v>#REF!</v>
      </c>
      <c r="IR12" s="7" t="e">
        <f aca="false">IF(OR(#REF!&gt;2,#REF!&lt;-2),"",#REF!)</f>
        <v>#REF!</v>
      </c>
      <c r="IS12" s="7" t="e">
        <f aca="false">IF(OR(#REF!&gt;2,#REF!&lt;-2),"",#REF!)</f>
        <v>#REF!</v>
      </c>
      <c r="IT12" s="7" t="e">
        <f aca="false">IF(OR(#REF!&gt;2,#REF!&lt;-2),"",#REF!)</f>
        <v>#REF!</v>
      </c>
      <c r="IU12" s="7" t="e">
        <f aca="false">IF(OR(#REF!&gt;2,#REF!&lt;-2),"",#REF!)</f>
        <v>#REF!</v>
      </c>
      <c r="IV12" s="7" t="e">
        <f aca="false">IF(OR(#REF!&gt;2,#REF!&lt;-2),"",#REF!)</f>
        <v>#REF!</v>
      </c>
      <c r="IW12" s="7" t="e">
        <f aca="false">IF(OR(#REF!&gt;2,#REF!&lt;-2),"",#REF!)</f>
        <v>#REF!</v>
      </c>
      <c r="IX12" s="7" t="e">
        <f aca="false">IF(OR(#REF!&gt;2,#REF!&lt;-2),"",#REF!)</f>
        <v>#REF!</v>
      </c>
      <c r="IY12" s="7" t="e">
        <f aca="false">IF(OR(#REF!&gt;2,#REF!&lt;-2),"",#REF!)</f>
        <v>#REF!</v>
      </c>
      <c r="IZ12" s="7" t="e">
        <f aca="false">IF(OR(#REF!&gt;2,#REF!&lt;-2),"",#REF!)</f>
        <v>#REF!</v>
      </c>
      <c r="JA12" s="7" t="e">
        <f aca="false">IF(OR(#REF!&gt;2,#REF!&lt;-2),"",#REF!)</f>
        <v>#REF!</v>
      </c>
      <c r="JB12" s="7" t="e">
        <f aca="false">IF(OR(#REF!&gt;2,#REF!&lt;-2),"",#REF!)</f>
        <v>#REF!</v>
      </c>
      <c r="JC12" s="7" t="e">
        <f aca="false">IF(OR(#REF!&gt;2,#REF!&lt;-2),"",#REF!)</f>
        <v>#REF!</v>
      </c>
      <c r="JD12" s="7" t="e">
        <f aca="false">IF(OR(#REF!&gt;2,#REF!&lt;-2),"",#REF!)</f>
        <v>#REF!</v>
      </c>
      <c r="JE12" s="7" t="e">
        <f aca="false">IF(OR(#REF!&gt;2,#REF!&lt;-2),"",#REF!)</f>
        <v>#REF!</v>
      </c>
      <c r="JF12" s="7" t="e">
        <f aca="false">IF(OR(#REF!&gt;2,#REF!&lt;-2),"",#REF!)</f>
        <v>#REF!</v>
      </c>
      <c r="JG12" s="7" t="e">
        <f aca="false">IF(OR(#REF!&gt;2,#REF!&lt;-2),"",#REF!)</f>
        <v>#REF!</v>
      </c>
      <c r="JH12" s="7" t="e">
        <f aca="false">IF(OR(#REF!&gt;2,#REF!&lt;-2),"",#REF!)</f>
        <v>#REF!</v>
      </c>
      <c r="JI12" s="7" t="e">
        <f aca="false">IF(OR(#REF!&gt;2,#REF!&lt;-2),"",#REF!)</f>
        <v>#REF!</v>
      </c>
      <c r="JJ12" s="7" t="e">
        <f aca="false">IF(OR(#REF!&gt;2,#REF!&lt;-2),"",#REF!)</f>
        <v>#REF!</v>
      </c>
      <c r="JK12" s="7" t="e">
        <f aca="false">IF(OR(#REF!&gt;2,#REF!&lt;-2),"",#REF!)</f>
        <v>#REF!</v>
      </c>
      <c r="JL12" s="7" t="e">
        <f aca="false">IF(OR(#REF!&gt;2,#REF!&lt;-2),"",#REF!)</f>
        <v>#REF!</v>
      </c>
      <c r="JM12" s="7" t="e">
        <f aca="false">IF(OR(#REF!&gt;2,#REF!&lt;-2),"",#REF!)</f>
        <v>#REF!</v>
      </c>
      <c r="JN12" s="7" t="e">
        <f aca="false">IF(OR(#REF!&gt;2,#REF!&lt;-2),"",#REF!)</f>
        <v>#REF!</v>
      </c>
      <c r="JO12" s="7" t="e">
        <f aca="false">IF(OR(#REF!&gt;2,#REF!&lt;-2),"",#REF!)</f>
        <v>#REF!</v>
      </c>
      <c r="JP12" s="7" t="e">
        <f aca="false">IF(OR(#REF!&gt;2,#REF!&lt;-2),"",#REF!)</f>
        <v>#REF!</v>
      </c>
      <c r="JQ12" s="7" t="e">
        <f aca="false">IF(OR(#REF!&gt;2,#REF!&lt;-2),"",#REF!)</f>
        <v>#REF!</v>
      </c>
      <c r="JR12" s="7" t="e">
        <f aca="false">IF(OR(#REF!&gt;2,#REF!&lt;-2),"",#REF!)</f>
        <v>#REF!</v>
      </c>
      <c r="JS12" s="7" t="e">
        <f aca="false">IF(OR(#REF!&gt;2,#REF!&lt;-2),"",#REF!)</f>
        <v>#REF!</v>
      </c>
      <c r="JT12" s="7" t="e">
        <f aca="false">IF(OR(#REF!&gt;2,#REF!&lt;-2),"",#REF!)</f>
        <v>#REF!</v>
      </c>
      <c r="JU12" s="7" t="e">
        <f aca="false">IF(OR(#REF!&gt;2,#REF!&lt;-2),"",#REF!)</f>
        <v>#REF!</v>
      </c>
      <c r="JV12" s="7" t="e">
        <f aca="false">IF(OR(#REF!&gt;2,#REF!&lt;-2),"",#REF!)</f>
        <v>#REF!</v>
      </c>
      <c r="JW12" s="7" t="e">
        <f aca="false">IF(OR(#REF!&gt;2,#REF!&lt;-2),"",#REF!)</f>
        <v>#REF!</v>
      </c>
      <c r="JX12" s="7" t="e">
        <f aca="false">IF(OR(#REF!&gt;2,#REF!&lt;-2),"",#REF!)</f>
        <v>#REF!</v>
      </c>
      <c r="JY12" s="7" t="e">
        <f aca="false">IF(OR(#REF!&gt;2,#REF!&lt;-2),"",#REF!)</f>
        <v>#REF!</v>
      </c>
      <c r="JZ12" s="7" t="e">
        <f aca="false">IF(OR(#REF!&gt;2,#REF!&lt;-2),"",#REF!)</f>
        <v>#REF!</v>
      </c>
      <c r="KA12" s="7" t="e">
        <f aca="false">IF(OR(#REF!&gt;2,#REF!&lt;-2),"",#REF!)</f>
        <v>#REF!</v>
      </c>
      <c r="KB12" s="7" t="e">
        <f aca="false">IF(OR(#REF!&gt;2,#REF!&lt;-2),"",#REF!)</f>
        <v>#REF!</v>
      </c>
      <c r="KC12" s="7" t="e">
        <f aca="false">IF(OR(#REF!&gt;2,#REF!&lt;-2),"",#REF!)</f>
        <v>#REF!</v>
      </c>
      <c r="KD12" s="7" t="e">
        <f aca="false">IF(OR(#REF!&gt;2,#REF!&lt;-2),"",#REF!)</f>
        <v>#REF!</v>
      </c>
      <c r="KE12" s="7" t="e">
        <f aca="false">IF(OR(#REF!&gt;2,#REF!&lt;-2),"",#REF!)</f>
        <v>#REF!</v>
      </c>
      <c r="KF12" s="7" t="e">
        <f aca="false">IF(OR(#REF!&gt;2,#REF!&lt;-2),"",#REF!)</f>
        <v>#REF!</v>
      </c>
      <c r="KG12" s="7" t="e">
        <f aca="false">IF(OR(#REF!&gt;2,#REF!&lt;-2),"",#REF!)</f>
        <v>#REF!</v>
      </c>
      <c r="KH12" s="7" t="e">
        <f aca="false">IF(OR(#REF!&gt;2,#REF!&lt;-2),"",#REF!)</f>
        <v>#REF!</v>
      </c>
      <c r="KI12" s="7" t="e">
        <f aca="false">IF(OR(#REF!&gt;2,#REF!&lt;-2),"",#REF!)</f>
        <v>#REF!</v>
      </c>
      <c r="KJ12" s="7" t="e">
        <f aca="false">IF(OR(#REF!&gt;2,#REF!&lt;-2),"",#REF!)</f>
        <v>#REF!</v>
      </c>
      <c r="KK12" s="7" t="e">
        <f aca="false">IF(OR(#REF!&gt;2,#REF!&lt;-2),"",#REF!)</f>
        <v>#REF!</v>
      </c>
      <c r="KL12" s="7" t="e">
        <f aca="false">IF(OR(#REF!&gt;2,#REF!&lt;-2),"",#REF!)</f>
        <v>#REF!</v>
      </c>
      <c r="KM12" s="7" t="e">
        <f aca="false">IF(OR(#REF!&gt;2,#REF!&lt;-2),"",#REF!)</f>
        <v>#REF!</v>
      </c>
      <c r="KN12" s="7" t="e">
        <f aca="false">IF(OR(#REF!&gt;2,#REF!&lt;-2),"",#REF!)</f>
        <v>#REF!</v>
      </c>
      <c r="KO12" s="7" t="e">
        <f aca="false">IF(OR(#REF!&gt;2,#REF!&lt;-2),"",#REF!)</f>
        <v>#REF!</v>
      </c>
      <c r="KP12" s="7" t="e">
        <f aca="false">IF(OR(#REF!&gt;2,#REF!&lt;-2),"",#REF!)</f>
        <v>#REF!</v>
      </c>
      <c r="KQ12" s="7" t="e">
        <f aca="false">IF(OR(#REF!&gt;2,#REF!&lt;-2),"",#REF!)</f>
        <v>#REF!</v>
      </c>
      <c r="KR12" s="7" t="e">
        <f aca="false">IF(OR(#REF!&gt;2,#REF!&lt;-2),"",#REF!)</f>
        <v>#REF!</v>
      </c>
      <c r="KS12" s="7" t="e">
        <f aca="false">IF(OR(#REF!&gt;2,#REF!&lt;-2),"",#REF!)</f>
        <v>#REF!</v>
      </c>
      <c r="KT12" s="7" t="e">
        <f aca="false">IF(OR(#REF!&gt;2,#REF!&lt;-2),"",#REF!)</f>
        <v>#REF!</v>
      </c>
      <c r="KU12" s="7" t="e">
        <f aca="false">IF(OR(#REF!&gt;2,#REF!&lt;-2),"",#REF!)</f>
        <v>#REF!</v>
      </c>
      <c r="KV12" s="7" t="e">
        <f aca="false">IF(OR(#REF!&gt;2,#REF!&lt;-2),"",#REF!)</f>
        <v>#REF!</v>
      </c>
      <c r="KW12" s="7" t="e">
        <f aca="false">IF(OR(#REF!&gt;2,#REF!&lt;-2),"",#REF!)</f>
        <v>#REF!</v>
      </c>
      <c r="KX12" s="7" t="e">
        <f aca="false">IF(OR(#REF!&gt;2,#REF!&lt;-2),"",#REF!)</f>
        <v>#REF!</v>
      </c>
      <c r="KY12" s="7" t="e">
        <f aca="false">IF(OR(#REF!&gt;2,#REF!&lt;-2),"",#REF!)</f>
        <v>#REF!</v>
      </c>
      <c r="KZ12" s="7" t="e">
        <f aca="false">IF(OR(#REF!&gt;2,#REF!&lt;-2),"",#REF!)</f>
        <v>#REF!</v>
      </c>
      <c r="LA12" s="7" t="e">
        <f aca="false">IF(OR(#REF!&gt;2,#REF!&lt;-2),"",#REF!)</f>
        <v>#REF!</v>
      </c>
      <c r="LB12" s="7" t="e">
        <f aca="false">IF(OR(#REF!&gt;2,#REF!&lt;-2),"",#REF!)</f>
        <v>#REF!</v>
      </c>
      <c r="LC12" s="7" t="e">
        <f aca="false">IF(OR(#REF!&gt;2,#REF!&lt;-2),"",#REF!)</f>
        <v>#REF!</v>
      </c>
      <c r="LD12" s="7" t="e">
        <f aca="false">IF(OR(#REF!&gt;2,#REF!&lt;-2),"",#REF!)</f>
        <v>#REF!</v>
      </c>
      <c r="LE12" s="7" t="e">
        <f aca="false">IF(OR(#REF!&gt;2,#REF!&lt;-2),"",#REF!)</f>
        <v>#REF!</v>
      </c>
      <c r="LF12" s="7" t="e">
        <f aca="false">IF(OR(#REF!&gt;2,#REF!&lt;-2),"",#REF!)</f>
        <v>#REF!</v>
      </c>
      <c r="LG12" s="7" t="e">
        <f aca="false">IF(OR(#REF!&gt;2,#REF!&lt;-2),"",#REF!)</f>
        <v>#REF!</v>
      </c>
      <c r="LH12" s="7" t="e">
        <f aca="false">IF(OR(#REF!&gt;2,#REF!&lt;-2),"",#REF!)</f>
        <v>#REF!</v>
      </c>
      <c r="LI12" s="7" t="e">
        <f aca="false">IF(OR(#REF!&gt;2,#REF!&lt;-2),"",#REF!)</f>
        <v>#REF!</v>
      </c>
      <c r="LJ12" s="7" t="e">
        <f aca="false">IF(OR(#REF!&gt;2,#REF!&lt;-2),"",#REF!)</f>
        <v>#REF!</v>
      </c>
      <c r="LK12" s="7" t="e">
        <f aca="false">IF(OR(#REF!&gt;2,#REF!&lt;-2),"",#REF!)</f>
        <v>#REF!</v>
      </c>
      <c r="LL12" s="7" t="e">
        <f aca="false">IF(OR(#REF!&gt;2,#REF!&lt;-2),"",#REF!)</f>
        <v>#REF!</v>
      </c>
      <c r="LM12" s="7" t="e">
        <f aca="false">IF(OR(#REF!&gt;2,#REF!&lt;-2),"",#REF!)</f>
        <v>#REF!</v>
      </c>
      <c r="LN12" s="7" t="e">
        <f aca="false">IF(OR(#REF!&gt;2,#REF!&lt;-2),"",#REF!)</f>
        <v>#REF!</v>
      </c>
      <c r="LO12" s="7" t="e">
        <f aca="false">IF(OR(#REF!&gt;2,#REF!&lt;-2),"",#REF!)</f>
        <v>#REF!</v>
      </c>
      <c r="LP12" s="7" t="e">
        <f aca="false">IF(OR(#REF!&gt;2,#REF!&lt;-2),"",#REF!)</f>
        <v>#REF!</v>
      </c>
      <c r="LQ12" s="7" t="e">
        <f aca="false">IF(OR(#REF!&gt;2,#REF!&lt;-2),"",#REF!)</f>
        <v>#REF!</v>
      </c>
      <c r="LR12" s="7" t="e">
        <f aca="false">IF(OR(#REF!&gt;2,#REF!&lt;-2),"",#REF!)</f>
        <v>#REF!</v>
      </c>
      <c r="LS12" s="7" t="e">
        <f aca="false">IF(OR(#REF!&gt;2,#REF!&lt;-2),"",#REF!)</f>
        <v>#REF!</v>
      </c>
      <c r="LT12" s="7" t="e">
        <f aca="false">IF(OR(#REF!&gt;2,#REF!&lt;-2),"",#REF!)</f>
        <v>#REF!</v>
      </c>
      <c r="LU12" s="7" t="e">
        <f aca="false">IF(OR(#REF!&gt;2,#REF!&lt;-2),"",#REF!)</f>
        <v>#REF!</v>
      </c>
      <c r="LV12" s="7" t="e">
        <f aca="false">IF(OR(#REF!&gt;2,#REF!&lt;-2),"",#REF!)</f>
        <v>#REF!</v>
      </c>
      <c r="LW12" s="7" t="e">
        <f aca="false">IF(OR(#REF!&gt;2,#REF!&lt;-2),"",#REF!)</f>
        <v>#REF!</v>
      </c>
      <c r="LX12" s="7" t="e">
        <f aca="false">IF(OR(#REF!&gt;2,#REF!&lt;-2),"",#REF!)</f>
        <v>#REF!</v>
      </c>
      <c r="LY12" s="7" t="e">
        <f aca="false">IF(OR(#REF!&gt;2,#REF!&lt;-2),"",#REF!)</f>
        <v>#REF!</v>
      </c>
      <c r="LZ12" s="7" t="e">
        <f aca="false">IF(OR(#REF!&gt;2,#REF!&lt;-2),"",#REF!)</f>
        <v>#REF!</v>
      </c>
      <c r="MA12" s="7" t="e">
        <f aca="false">IF(OR(#REF!&gt;2,#REF!&lt;-2),"",#REF!)</f>
        <v>#REF!</v>
      </c>
      <c r="MB12" s="7" t="e">
        <f aca="false">IF(OR(#REF!&gt;2,#REF!&lt;-2),"",#REF!)</f>
        <v>#REF!</v>
      </c>
      <c r="MC12" s="7" t="e">
        <f aca="false">IF(OR(#REF!&gt;2,#REF!&lt;-2),"",#REF!)</f>
        <v>#REF!</v>
      </c>
      <c r="MD12" s="7" t="e">
        <f aca="false">IF(OR(#REF!&gt;2,#REF!&lt;-2),"",#REF!)</f>
        <v>#REF!</v>
      </c>
      <c r="ME12" s="7" t="e">
        <f aca="false">IF(OR(#REF!&gt;2,#REF!&lt;-2),"",#REF!)</f>
        <v>#REF!</v>
      </c>
      <c r="MF12" s="7" t="e">
        <f aca="false">IF(OR(#REF!&gt;2,#REF!&lt;-2),"",#REF!)</f>
        <v>#REF!</v>
      </c>
      <c r="MG12" s="7" t="e">
        <f aca="false">IF(OR(#REF!&gt;2,#REF!&lt;-2),"",#REF!)</f>
        <v>#REF!</v>
      </c>
      <c r="MH12" s="7" t="e">
        <f aca="false">IF(OR(#REF!&gt;2,#REF!&lt;-2),"",#REF!)</f>
        <v>#REF!</v>
      </c>
      <c r="MI12" s="7" t="e">
        <f aca="false">IF(OR(#REF!&gt;2,#REF!&lt;-2),"",#REF!)</f>
        <v>#REF!</v>
      </c>
      <c r="MJ12" s="7" t="e">
        <f aca="false">IF(OR(#REF!&gt;2,#REF!&lt;-2),"",#REF!)</f>
        <v>#REF!</v>
      </c>
      <c r="MK12" s="7" t="e">
        <f aca="false">IF(OR(#REF!&gt;2,#REF!&lt;-2),"",#REF!)</f>
        <v>#REF!</v>
      </c>
      <c r="ML12" s="7" t="e">
        <f aca="false">IF(OR(#REF!&gt;2,#REF!&lt;-2),"",#REF!)</f>
        <v>#REF!</v>
      </c>
      <c r="MM12" s="7" t="e">
        <f aca="false">IF(OR(#REF!&gt;2,#REF!&lt;-2),"",#REF!)</f>
        <v>#REF!</v>
      </c>
      <c r="MN12" s="7" t="e">
        <f aca="false">IF(OR(#REF!&gt;2,#REF!&lt;-2),"",#REF!)</f>
        <v>#REF!</v>
      </c>
      <c r="MO12" s="7" t="e">
        <f aca="false">IF(OR(#REF!&gt;2,#REF!&lt;-2),"",#REF!)</f>
        <v>#REF!</v>
      </c>
      <c r="MP12" s="7" t="e">
        <f aca="false">IF(OR(#REF!&gt;2,#REF!&lt;-2),"",#REF!)</f>
        <v>#REF!</v>
      </c>
      <c r="MQ12" s="7" t="e">
        <f aca="false">IF(OR(#REF!&gt;2,#REF!&lt;-2),"",#REF!)</f>
        <v>#REF!</v>
      </c>
      <c r="MR12" s="7" t="e">
        <f aca="false">IF(OR(#REF!&gt;2,#REF!&lt;-2),"",#REF!)</f>
        <v>#REF!</v>
      </c>
      <c r="MS12" s="7" t="e">
        <f aca="false">IF(OR(#REF!&gt;2,#REF!&lt;-2),"",#REF!)</f>
        <v>#REF!</v>
      </c>
      <c r="MT12" s="7" t="e">
        <f aca="false">IF(OR(#REF!&gt;2,#REF!&lt;-2),"",#REF!)</f>
        <v>#REF!</v>
      </c>
      <c r="MU12" s="7" t="e">
        <f aca="false">IF(OR(#REF!&gt;2,#REF!&lt;-2),"",#REF!)</f>
        <v>#REF!</v>
      </c>
      <c r="MV12" s="7" t="e">
        <f aca="false">IF(OR(#REF!&gt;2,#REF!&lt;-2),"",#REF!)</f>
        <v>#REF!</v>
      </c>
      <c r="MW12" s="7" t="e">
        <f aca="false">IF(OR(#REF!&gt;2,#REF!&lt;-2),"",#REF!)</f>
        <v>#REF!</v>
      </c>
      <c r="MX12" s="7" t="e">
        <f aca="false">IF(OR(#REF!&gt;2,#REF!&lt;-2),"",#REF!)</f>
        <v>#REF!</v>
      </c>
      <c r="MY12" s="7" t="e">
        <f aca="false">IF(OR(#REF!&gt;2,#REF!&lt;-2),"",#REF!)</f>
        <v>#REF!</v>
      </c>
      <c r="MZ12" s="7" t="e">
        <f aca="false">IF(OR(#REF!&gt;2,#REF!&lt;-2),"",#REF!)</f>
        <v>#REF!</v>
      </c>
      <c r="NA12" s="7" t="e">
        <f aca="false">IF(OR(#REF!&gt;2,#REF!&lt;-2),"",#REF!)</f>
        <v>#REF!</v>
      </c>
      <c r="NB12" s="7" t="e">
        <f aca="false">IF(OR(#REF!&gt;2,#REF!&lt;-2),"",#REF!)</f>
        <v>#REF!</v>
      </c>
      <c r="NC12" s="7" t="e">
        <f aca="false">IF(OR(#REF!&gt;2,#REF!&lt;-2),"",#REF!)</f>
        <v>#REF!</v>
      </c>
      <c r="ND12" s="7" t="e">
        <f aca="false">IF(OR(#REF!&gt;2,#REF!&lt;-2),"",#REF!)</f>
        <v>#REF!</v>
      </c>
      <c r="NE12" s="7" t="e">
        <f aca="false">IF(OR(#REF!&gt;2,#REF!&lt;-2),"",#REF!)</f>
        <v>#REF!</v>
      </c>
      <c r="NF12" s="7" t="e">
        <f aca="false">IF(OR(#REF!&gt;2,#REF!&lt;-2),"",#REF!)</f>
        <v>#REF!</v>
      </c>
      <c r="NG12" s="7" t="e">
        <f aca="false">IF(OR(#REF!&gt;2,#REF!&lt;-2),"",#REF!)</f>
        <v>#REF!</v>
      </c>
      <c r="NH12" s="7" t="e">
        <f aca="false">IF(OR(#REF!&gt;2,#REF!&lt;-2),"",#REF!)</f>
        <v>#REF!</v>
      </c>
      <c r="NI12" s="7" t="e">
        <f aca="false">IF(OR(#REF!&gt;2,#REF!&lt;-2),"",#REF!)</f>
        <v>#REF!</v>
      </c>
      <c r="NJ12" s="7" t="e">
        <f aca="false">IF(OR(#REF!&gt;2,#REF!&lt;-2),"",#REF!)</f>
        <v>#REF!</v>
      </c>
      <c r="NK12" s="7" t="e">
        <f aca="false">IF(OR(#REF!&gt;2,#REF!&lt;-2),"",#REF!)</f>
        <v>#REF!</v>
      </c>
      <c r="NL12" s="7" t="e">
        <f aca="false">IF(OR(#REF!&gt;2,#REF!&lt;-2),"",#REF!)</f>
        <v>#REF!</v>
      </c>
      <c r="NM12" s="7" t="e">
        <f aca="false">IF(OR(#REF!&gt;2,#REF!&lt;-2),"",#REF!)</f>
        <v>#REF!</v>
      </c>
      <c r="NN12" s="7" t="e">
        <f aca="false">IF(OR(#REF!&gt;2,#REF!&lt;-2),"",#REF!)</f>
        <v>#REF!</v>
      </c>
      <c r="NO12" s="7" t="e">
        <f aca="false">IF(OR(#REF!&gt;2,#REF!&lt;-2),"",#REF!)</f>
        <v>#REF!</v>
      </c>
      <c r="NP12" s="7" t="e">
        <f aca="false">IF(OR(#REF!&gt;2,#REF!&lt;-2),"",#REF!)</f>
        <v>#REF!</v>
      </c>
      <c r="NQ12" s="7" t="e">
        <f aca="false">IF(OR(#REF!&gt;2,#REF!&lt;-2),"",#REF!)</f>
        <v>#REF!</v>
      </c>
      <c r="NR12" s="7" t="e">
        <f aca="false">IF(OR(#REF!&gt;2,#REF!&lt;-2),"",#REF!)</f>
        <v>#REF!</v>
      </c>
      <c r="NS12" s="7" t="e">
        <f aca="false">IF(OR(#REF!&gt;2,#REF!&lt;-2),"",#REF!)</f>
        <v>#REF!</v>
      </c>
      <c r="NT12" s="7" t="e">
        <f aca="false">IF(OR(#REF!&gt;2,#REF!&lt;-2),"",#REF!)</f>
        <v>#REF!</v>
      </c>
      <c r="NU12" s="7" t="e">
        <f aca="false">IF(OR(#REF!&gt;2,#REF!&lt;-2),"",#REF!)</f>
        <v>#REF!</v>
      </c>
      <c r="NV12" s="7" t="e">
        <f aca="false">IF(OR(#REF!&gt;2,#REF!&lt;-2),"",#REF!)</f>
        <v>#REF!</v>
      </c>
      <c r="NW12" s="7" t="e">
        <f aca="false">IF(OR(#REF!&gt;2,#REF!&lt;-2),"",#REF!)</f>
        <v>#REF!</v>
      </c>
      <c r="NX12" s="7" t="e">
        <f aca="false">IF(OR(#REF!&gt;2,#REF!&lt;-2),"",#REF!)</f>
        <v>#REF!</v>
      </c>
      <c r="NY12" s="7" t="e">
        <f aca="false">IF(OR(#REF!&gt;2,#REF!&lt;-2),"",#REF!)</f>
        <v>#REF!</v>
      </c>
      <c r="NZ12" s="7" t="e">
        <f aca="false">IF(OR(#REF!&gt;2,#REF!&lt;-2),"",#REF!)</f>
        <v>#REF!</v>
      </c>
      <c r="OA12" s="7" t="e">
        <f aca="false">IF(OR(#REF!&gt;2,#REF!&lt;-2),"",#REF!)</f>
        <v>#REF!</v>
      </c>
      <c r="OB12" s="7" t="e">
        <f aca="false">IF(OR(#REF!&gt;2,#REF!&lt;-2),"",#REF!)</f>
        <v>#REF!</v>
      </c>
      <c r="OC12" s="7" t="e">
        <f aca="false">IF(OR(#REF!&gt;2,#REF!&lt;-2),"",#REF!)</f>
        <v>#REF!</v>
      </c>
      <c r="OD12" s="7" t="e">
        <f aca="false">IF(OR(#REF!&gt;2,#REF!&lt;-2),"",#REF!)</f>
        <v>#REF!</v>
      </c>
      <c r="OE12" s="7" t="e">
        <f aca="false">IF(OR(#REF!&gt;2,#REF!&lt;-2),"",#REF!)</f>
        <v>#REF!</v>
      </c>
      <c r="OF12" s="7" t="e">
        <f aca="false">IF(OR(#REF!&gt;2,#REF!&lt;-2),"",#REF!)</f>
        <v>#REF!</v>
      </c>
      <c r="OG12" s="7" t="e">
        <f aca="false">IF(OR(#REF!&gt;2,#REF!&lt;-2),"",#REF!)</f>
        <v>#REF!</v>
      </c>
      <c r="OH12" s="7" t="e">
        <f aca="false">IF(OR(#REF!&gt;2,#REF!&lt;-2),"",#REF!)</f>
        <v>#REF!</v>
      </c>
      <c r="OI12" s="7" t="e">
        <f aca="false">IF(OR(#REF!&gt;2,#REF!&lt;-2),"",#REF!)</f>
        <v>#REF!</v>
      </c>
      <c r="OJ12" s="7" t="e">
        <f aca="false">IF(OR(#REF!&gt;2,#REF!&lt;-2),"",#REF!)</f>
        <v>#REF!</v>
      </c>
      <c r="OK12" s="7" t="e">
        <f aca="false">IF(OR(#REF!&gt;2,#REF!&lt;-2),"",#REF!)</f>
        <v>#REF!</v>
      </c>
      <c r="OL12" s="7" t="e">
        <f aca="false">IF(OR(#REF!&gt;2,#REF!&lt;-2),"",#REF!)</f>
        <v>#REF!</v>
      </c>
      <c r="OM12" s="7" t="e">
        <f aca="false">IF(OR(#REF!&gt;2,#REF!&lt;-2),"",#REF!)</f>
        <v>#REF!</v>
      </c>
      <c r="ON12" s="7" t="e">
        <f aca="false">IF(OR(#REF!&gt;2,#REF!&lt;-2),"",#REF!)</f>
        <v>#REF!</v>
      </c>
      <c r="OO12" s="7" t="e">
        <f aca="false">IF(OR(#REF!&gt;2,#REF!&lt;-2),"",#REF!)</f>
        <v>#REF!</v>
      </c>
      <c r="OP12" s="7" t="e">
        <f aca="false">IF(OR(#REF!&gt;2,#REF!&lt;-2),"",#REF!)</f>
        <v>#REF!</v>
      </c>
      <c r="OQ12" s="7" t="e">
        <f aca="false">IF(OR(#REF!&gt;2,#REF!&lt;-2),"",#REF!)</f>
        <v>#REF!</v>
      </c>
      <c r="OR12" s="7" t="e">
        <f aca="false">IF(OR(#REF!&gt;2,#REF!&lt;-2),"",#REF!)</f>
        <v>#REF!</v>
      </c>
      <c r="OS12" s="7" t="e">
        <f aca="false">IF(OR(#REF!&gt;2,#REF!&lt;-2),"",#REF!)</f>
        <v>#REF!</v>
      </c>
      <c r="OT12" s="7" t="e">
        <f aca="false">IF(OR(#REF!&gt;2,#REF!&lt;-2),"",#REF!)</f>
        <v>#REF!</v>
      </c>
      <c r="OU12" s="7" t="e">
        <f aca="false">IF(OR(#REF!&gt;2,#REF!&lt;-2),"",#REF!)</f>
        <v>#REF!</v>
      </c>
      <c r="OV12" s="7" t="e">
        <f aca="false">IF(OR(#REF!&gt;2,#REF!&lt;-2),"",#REF!)</f>
        <v>#REF!</v>
      </c>
      <c r="OW12" s="7" t="e">
        <f aca="false">IF(OR(#REF!&gt;2,#REF!&lt;-2),"",#REF!)</f>
        <v>#REF!</v>
      </c>
      <c r="OX12" s="7" t="e">
        <f aca="false">IF(OR(#REF!&gt;2,#REF!&lt;-2),"",#REF!)</f>
        <v>#REF!</v>
      </c>
      <c r="OY12" s="7" t="e">
        <f aca="false">IF(OR(#REF!&gt;2,#REF!&lt;-2),"",#REF!)</f>
        <v>#REF!</v>
      </c>
      <c r="OZ12" s="7" t="e">
        <f aca="false">IF(OR(#REF!&gt;2,#REF!&lt;-2),"",#REF!)</f>
        <v>#REF!</v>
      </c>
      <c r="PA12" s="7" t="e">
        <f aca="false">IF(OR(#REF!&gt;2,#REF!&lt;-2),"",#REF!)</f>
        <v>#REF!</v>
      </c>
      <c r="PB12" s="7" t="e">
        <f aca="false">IF(OR(#REF!&gt;2,#REF!&lt;-2),"",#REF!)</f>
        <v>#REF!</v>
      </c>
      <c r="PC12" s="7" t="e">
        <f aca="false">IF(OR(#REF!&gt;2,#REF!&lt;-2),"",#REF!)</f>
        <v>#REF!</v>
      </c>
      <c r="PD12" s="7" t="e">
        <f aca="false">IF(OR(#REF!&gt;2,#REF!&lt;-2),"",#REF!)</f>
        <v>#REF!</v>
      </c>
      <c r="PE12" s="7" t="e">
        <f aca="false">IF(OR(#REF!&gt;2,#REF!&lt;-2),"",#REF!)</f>
        <v>#REF!</v>
      </c>
      <c r="PF12" s="7" t="e">
        <f aca="false">IF(OR(#REF!&gt;2,#REF!&lt;-2),"",#REF!)</f>
        <v>#REF!</v>
      </c>
      <c r="PG12" s="7" t="e">
        <f aca="false">IF(OR(#REF!&gt;2,#REF!&lt;-2),"",#REF!)</f>
        <v>#REF!</v>
      </c>
      <c r="PH12" s="7" t="e">
        <f aca="false">IF(OR(#REF!&gt;2,#REF!&lt;-2),"",#REF!)</f>
        <v>#REF!</v>
      </c>
      <c r="PI12" s="7" t="e">
        <f aca="false">IF(OR(#REF!&gt;2,#REF!&lt;-2),"",#REF!)</f>
        <v>#REF!</v>
      </c>
      <c r="PJ12" s="7" t="e">
        <f aca="false">IF(OR(#REF!&gt;2,#REF!&lt;-2),"",#REF!)</f>
        <v>#REF!</v>
      </c>
      <c r="PK12" s="7" t="e">
        <f aca="false">IF(OR(#REF!&gt;2,#REF!&lt;-2),"",#REF!)</f>
        <v>#REF!</v>
      </c>
      <c r="PL12" s="7" t="e">
        <f aca="false">IF(OR(#REF!&gt;2,#REF!&lt;-2),"",#REF!)</f>
        <v>#REF!</v>
      </c>
      <c r="PM12" s="7" t="e">
        <f aca="false">IF(OR(#REF!&gt;2,#REF!&lt;-2),"",#REF!)</f>
        <v>#REF!</v>
      </c>
      <c r="PN12" s="7" t="e">
        <f aca="false">IF(OR(#REF!&gt;2,#REF!&lt;-2),"",#REF!)</f>
        <v>#REF!</v>
      </c>
      <c r="PO12" s="7" t="e">
        <f aca="false">IF(OR(#REF!&gt;2,#REF!&lt;-2),"",#REF!)</f>
        <v>#REF!</v>
      </c>
      <c r="PP12" s="7" t="e">
        <f aca="false">IF(OR(#REF!&gt;2,#REF!&lt;-2),"",#REF!)</f>
        <v>#REF!</v>
      </c>
      <c r="PQ12" s="7" t="e">
        <f aca="false">IF(OR(#REF!&gt;2,#REF!&lt;-2),"",#REF!)</f>
        <v>#REF!</v>
      </c>
      <c r="PR12" s="7" t="e">
        <f aca="false">IF(OR(#REF!&gt;2,#REF!&lt;-2),"",#REF!)</f>
        <v>#REF!</v>
      </c>
      <c r="PS12" s="7" t="e">
        <f aca="false">IF(OR(#REF!&gt;2,#REF!&lt;-2),"",#REF!)</f>
        <v>#REF!</v>
      </c>
      <c r="PT12" s="7" t="e">
        <f aca="false">IF(OR(#REF!&gt;2,#REF!&lt;-2),"",#REF!)</f>
        <v>#REF!</v>
      </c>
      <c r="PU12" s="7" t="e">
        <f aca="false">IF(OR(#REF!&gt;2,#REF!&lt;-2),"",#REF!)</f>
        <v>#REF!</v>
      </c>
      <c r="PV12" s="7" t="e">
        <f aca="false">IF(OR(#REF!&gt;2,#REF!&lt;-2),"",#REF!)</f>
        <v>#REF!</v>
      </c>
      <c r="PW12" s="7" t="e">
        <f aca="false">IF(OR(#REF!&gt;2,#REF!&lt;-2),"",#REF!)</f>
        <v>#REF!</v>
      </c>
      <c r="PX12" s="7" t="e">
        <f aca="false">IF(OR(#REF!&gt;2,#REF!&lt;-2),"",#REF!)</f>
        <v>#REF!</v>
      </c>
      <c r="PY12" s="7" t="e">
        <f aca="false">IF(OR(#REF!&gt;2,#REF!&lt;-2),"",#REF!)</f>
        <v>#REF!</v>
      </c>
      <c r="PZ12" s="7" t="e">
        <f aca="false">IF(OR(#REF!&gt;2,#REF!&lt;-2),"",#REF!)</f>
        <v>#REF!</v>
      </c>
      <c r="QA12" s="7" t="e">
        <f aca="false">IF(OR(#REF!&gt;2,#REF!&lt;-2),"",#REF!)</f>
        <v>#REF!</v>
      </c>
      <c r="QB12" s="7" t="e">
        <f aca="false">IF(OR(#REF!&gt;2,#REF!&lt;-2),"",#REF!)</f>
        <v>#REF!</v>
      </c>
      <c r="QC12" s="7" t="e">
        <f aca="false">IF(OR(#REF!&gt;2,#REF!&lt;-2),"",#REF!)</f>
        <v>#REF!</v>
      </c>
      <c r="QD12" s="7" t="e">
        <f aca="false">IF(OR(#REF!&gt;2,#REF!&lt;-2),"",#REF!)</f>
        <v>#REF!</v>
      </c>
      <c r="QE12" s="7" t="e">
        <f aca="false">IF(OR(#REF!&gt;2,#REF!&lt;-2),"",#REF!)</f>
        <v>#REF!</v>
      </c>
      <c r="QF12" s="7" t="e">
        <f aca="false">IF(OR(#REF!&gt;2,#REF!&lt;-2),"",#REF!)</f>
        <v>#REF!</v>
      </c>
      <c r="QG12" s="7" t="e">
        <f aca="false">IF(OR(#REF!&gt;2,#REF!&lt;-2),"",#REF!)</f>
        <v>#REF!</v>
      </c>
      <c r="QH12" s="7" t="e">
        <f aca="false">IF(OR(#REF!&gt;2,#REF!&lt;-2),"",#REF!)</f>
        <v>#REF!</v>
      </c>
      <c r="QI12" s="7" t="e">
        <f aca="false">IF(OR(#REF!&gt;2,#REF!&lt;-2),"",#REF!)</f>
        <v>#REF!</v>
      </c>
      <c r="QJ12" s="7" t="e">
        <f aca="false">IF(OR(#REF!&gt;2,#REF!&lt;-2),"",#REF!)</f>
        <v>#REF!</v>
      </c>
      <c r="QK12" s="7" t="e">
        <f aca="false">IF(OR(#REF!&gt;2,#REF!&lt;-2),"",#REF!)</f>
        <v>#REF!</v>
      </c>
      <c r="QL12" s="7" t="e">
        <f aca="false">IF(OR(#REF!&gt;2,#REF!&lt;-2),"",#REF!)</f>
        <v>#REF!</v>
      </c>
      <c r="QM12" s="7" t="e">
        <f aca="false">IF(OR(#REF!&gt;2,#REF!&lt;-2),"",#REF!)</f>
        <v>#REF!</v>
      </c>
      <c r="QN12" s="7" t="e">
        <f aca="false">IF(OR(#REF!&gt;2,#REF!&lt;-2),"",#REF!)</f>
        <v>#REF!</v>
      </c>
      <c r="QO12" s="7" t="e">
        <f aca="false">IF(OR(#REF!&gt;2,#REF!&lt;-2),"",#REF!)</f>
        <v>#REF!</v>
      </c>
      <c r="QP12" s="7" t="e">
        <f aca="false">IF(OR(#REF!&gt;2,#REF!&lt;-2),"",#REF!)</f>
        <v>#REF!</v>
      </c>
      <c r="QQ12" s="7" t="e">
        <f aca="false">IF(OR(#REF!&gt;2,#REF!&lt;-2),"",#REF!)</f>
        <v>#REF!</v>
      </c>
      <c r="QR12" s="7" t="e">
        <f aca="false">IF(OR(#REF!&gt;2,#REF!&lt;-2),"",#REF!)</f>
        <v>#REF!</v>
      </c>
      <c r="QS12" s="7" t="e">
        <f aca="false">IF(OR(#REF!&gt;2,#REF!&lt;-2),"",#REF!)</f>
        <v>#REF!</v>
      </c>
      <c r="QT12" s="7" t="e">
        <f aca="false">IF(OR(#REF!&gt;2,#REF!&lt;-2),"",#REF!)</f>
        <v>#REF!</v>
      </c>
      <c r="QU12" s="7" t="e">
        <f aca="false">IF(OR(#REF!&gt;2,#REF!&lt;-2),"",#REF!)</f>
        <v>#REF!</v>
      </c>
      <c r="QV12" s="7" t="e">
        <f aca="false">IF(OR(#REF!&gt;2,#REF!&lt;-2),"",#REF!)</f>
        <v>#REF!</v>
      </c>
      <c r="QW12" s="7" t="e">
        <f aca="false">IF(OR(#REF!&gt;2,#REF!&lt;-2),"",#REF!)</f>
        <v>#REF!</v>
      </c>
      <c r="QX12" s="7" t="e">
        <f aca="false">IF(OR(#REF!&gt;2,#REF!&lt;-2),"",#REF!)</f>
        <v>#REF!</v>
      </c>
      <c r="QY12" s="7" t="e">
        <f aca="false">IF(OR(#REF!&gt;2,#REF!&lt;-2),"",#REF!)</f>
        <v>#REF!</v>
      </c>
      <c r="QZ12" s="7" t="e">
        <f aca="false">IF(OR(#REF!&gt;2,#REF!&lt;-2),"",#REF!)</f>
        <v>#REF!</v>
      </c>
      <c r="RA12" s="7" t="e">
        <f aca="false">IF(OR(#REF!&gt;2,#REF!&lt;-2),"",#REF!)</f>
        <v>#REF!</v>
      </c>
      <c r="RB12" s="7" t="e">
        <f aca="false">IF(OR(#REF!&gt;2,#REF!&lt;-2),"",#REF!)</f>
        <v>#REF!</v>
      </c>
      <c r="RC12" s="7" t="e">
        <f aca="false">IF(OR(#REF!&gt;2,#REF!&lt;-2),"",#REF!)</f>
        <v>#REF!</v>
      </c>
      <c r="RD12" s="7" t="e">
        <f aca="false">IF(OR(#REF!&gt;2,#REF!&lt;-2),"",#REF!)</f>
        <v>#REF!</v>
      </c>
      <c r="RE12" s="7" t="e">
        <f aca="false">IF(OR(#REF!&gt;2,#REF!&lt;-2),"",#REF!)</f>
        <v>#REF!</v>
      </c>
      <c r="RF12" s="7" t="e">
        <f aca="false">IF(OR(#REF!&gt;2,#REF!&lt;-2),"",#REF!)</f>
        <v>#REF!</v>
      </c>
      <c r="RG12" s="7" t="e">
        <f aca="false">IF(OR(#REF!&gt;2,#REF!&lt;-2),"",#REF!)</f>
        <v>#REF!</v>
      </c>
      <c r="RH12" s="7" t="e">
        <f aca="false">IF(OR(#REF!&gt;2,#REF!&lt;-2),"",#REF!)</f>
        <v>#REF!</v>
      </c>
      <c r="RI12" s="7" t="e">
        <f aca="false">IF(OR(#REF!&gt;2,#REF!&lt;-2),"",#REF!)</f>
        <v>#REF!</v>
      </c>
      <c r="RJ12" s="7" t="e">
        <f aca="false">IF(OR(#REF!&gt;2,#REF!&lt;-2),"",#REF!)</f>
        <v>#REF!</v>
      </c>
      <c r="RK12" s="7" t="e">
        <f aca="false">IF(OR(#REF!&gt;2,#REF!&lt;-2),"",#REF!)</f>
        <v>#REF!</v>
      </c>
      <c r="RL12" s="7" t="e">
        <f aca="false">IF(OR(#REF!&gt;2,#REF!&lt;-2),"",#REF!)</f>
        <v>#REF!</v>
      </c>
      <c r="RM12" s="7" t="e">
        <f aca="false">IF(OR(#REF!&gt;2,#REF!&lt;-2),"",#REF!)</f>
        <v>#REF!</v>
      </c>
      <c r="RN12" s="7" t="e">
        <f aca="false">IF(OR(#REF!&gt;2,#REF!&lt;-2),"",#REF!)</f>
        <v>#REF!</v>
      </c>
      <c r="RO12" s="7" t="e">
        <f aca="false">IF(OR(#REF!&gt;2,#REF!&lt;-2),"",#REF!)</f>
        <v>#REF!</v>
      </c>
      <c r="RP12" s="7" t="e">
        <f aca="false">IF(OR(#REF!&gt;2,#REF!&lt;-2),"",#REF!)</f>
        <v>#REF!</v>
      </c>
      <c r="RQ12" s="7" t="e">
        <f aca="false">IF(OR(#REF!&gt;2,#REF!&lt;-2),"",#REF!)</f>
        <v>#REF!</v>
      </c>
      <c r="RR12" s="7" t="e">
        <f aca="false">IF(OR(#REF!&gt;2,#REF!&lt;-2),"",#REF!)</f>
        <v>#REF!</v>
      </c>
      <c r="RS12" s="7" t="e">
        <f aca="false">IF(OR(#REF!&gt;2,#REF!&lt;-2),"",#REF!)</f>
        <v>#REF!</v>
      </c>
      <c r="RT12" s="7" t="e">
        <f aca="false">IF(OR(#REF!&gt;2,#REF!&lt;-2),"",#REF!)</f>
        <v>#REF!</v>
      </c>
      <c r="RU12" s="7" t="e">
        <f aca="false">IF(OR(#REF!&gt;2,#REF!&lt;-2),"",#REF!)</f>
        <v>#REF!</v>
      </c>
      <c r="RV12" s="7" t="e">
        <f aca="false">IF(OR(#REF!&gt;2,#REF!&lt;-2),"",#REF!)</f>
        <v>#REF!</v>
      </c>
      <c r="RW12" s="7" t="e">
        <f aca="false">IF(OR(#REF!&gt;2,#REF!&lt;-2),"",#REF!)</f>
        <v>#REF!</v>
      </c>
      <c r="RX12" s="7" t="e">
        <f aca="false">IF(OR(#REF!&gt;2,#REF!&lt;-2),"",#REF!)</f>
        <v>#REF!</v>
      </c>
      <c r="RY12" s="7" t="e">
        <f aca="false">IF(OR(#REF!&gt;2,#REF!&lt;-2),"",#REF!)</f>
        <v>#REF!</v>
      </c>
      <c r="RZ12" s="7" t="e">
        <f aca="false">IF(OR(#REF!&gt;2,#REF!&lt;-2),"",#REF!)</f>
        <v>#REF!</v>
      </c>
      <c r="SA12" s="7" t="e">
        <f aca="false">IF(OR(#REF!&gt;2,#REF!&lt;-2),"",#REF!)</f>
        <v>#REF!</v>
      </c>
      <c r="SB12" s="7" t="e">
        <f aca="false">IF(OR(#REF!&gt;2,#REF!&lt;-2),"",#REF!)</f>
        <v>#REF!</v>
      </c>
      <c r="SC12" s="7" t="e">
        <f aca="false">IF(OR(#REF!&gt;2,#REF!&lt;-2),"",#REF!)</f>
        <v>#REF!</v>
      </c>
      <c r="SD12" s="7" t="e">
        <f aca="false">IF(OR(#REF!&gt;2,#REF!&lt;-2),"",#REF!)</f>
        <v>#REF!</v>
      </c>
      <c r="SE12" s="7" t="e">
        <f aca="false">IF(OR(#REF!&gt;2,#REF!&lt;-2),"",#REF!)</f>
        <v>#REF!</v>
      </c>
      <c r="SF12" s="7" t="e">
        <f aca="false">IF(OR(#REF!&gt;2,#REF!&lt;-2),"",#REF!)</f>
        <v>#REF!</v>
      </c>
      <c r="SG12" s="7" t="e">
        <f aca="false">IF(OR(#REF!&gt;2,#REF!&lt;-2),"",#REF!)</f>
        <v>#REF!</v>
      </c>
      <c r="SH12" s="7" t="e">
        <f aca="false">IF(OR(#REF!&gt;2,#REF!&lt;-2),"",#REF!)</f>
        <v>#REF!</v>
      </c>
      <c r="SI12" s="7" t="e">
        <f aca="false">IF(OR(#REF!&gt;2,#REF!&lt;-2),"",#REF!)</f>
        <v>#REF!</v>
      </c>
      <c r="SJ12" s="7" t="e">
        <f aca="false">IF(OR(#REF!&gt;2,#REF!&lt;-2),"",#REF!)</f>
        <v>#REF!</v>
      </c>
      <c r="SK12" s="7" t="e">
        <f aca="false">IF(OR(#REF!&gt;2,#REF!&lt;-2),"",#REF!)</f>
        <v>#REF!</v>
      </c>
      <c r="SL12" s="7" t="e">
        <f aca="false">IF(OR(#REF!&gt;2,#REF!&lt;-2),"",#REF!)</f>
        <v>#REF!</v>
      </c>
      <c r="SM12" s="7" t="e">
        <f aca="false">IF(OR(#REF!&gt;2,#REF!&lt;-2),"",#REF!)</f>
        <v>#REF!</v>
      </c>
      <c r="SN12" s="7" t="e">
        <f aca="false">IF(OR(#REF!&gt;2,#REF!&lt;-2),"",#REF!)</f>
        <v>#REF!</v>
      </c>
      <c r="SO12" s="7" t="e">
        <f aca="false">IF(OR(#REF!&gt;2,#REF!&lt;-2),"",#REF!)</f>
        <v>#REF!</v>
      </c>
      <c r="SP12" s="7" t="e">
        <f aca="false">IF(OR(#REF!&gt;2,#REF!&lt;-2),"",#REF!)</f>
        <v>#REF!</v>
      </c>
      <c r="SQ12" s="7" t="e">
        <f aca="false">IF(OR(#REF!&gt;2,#REF!&lt;-2),"",#REF!)</f>
        <v>#REF!</v>
      </c>
      <c r="SR12" s="7" t="e">
        <f aca="false">IF(OR(#REF!&gt;2,#REF!&lt;-2),"",#REF!)</f>
        <v>#REF!</v>
      </c>
      <c r="SS12" s="7" t="e">
        <f aca="false">IF(OR(#REF!&gt;2,#REF!&lt;-2),"",#REF!)</f>
        <v>#REF!</v>
      </c>
      <c r="ST12" s="7" t="e">
        <f aca="false">IF(OR(#REF!&gt;2,#REF!&lt;-2),"",#REF!)</f>
        <v>#REF!</v>
      </c>
      <c r="SU12" s="7" t="e">
        <f aca="false">IF(OR(#REF!&gt;2,#REF!&lt;-2),"",#REF!)</f>
        <v>#REF!</v>
      </c>
      <c r="SV12" s="7" t="e">
        <f aca="false">IF(OR(#REF!&gt;2,#REF!&lt;-2),"",#REF!)</f>
        <v>#REF!</v>
      </c>
      <c r="SW12" s="7" t="e">
        <f aca="false">IF(OR(#REF!&gt;2,#REF!&lt;-2),"",#REF!)</f>
        <v>#REF!</v>
      </c>
      <c r="SX12" s="7" t="e">
        <f aca="false">IF(OR(#REF!&gt;2,#REF!&lt;-2),"",#REF!)</f>
        <v>#REF!</v>
      </c>
      <c r="SY12" s="7" t="e">
        <f aca="false">IF(OR(#REF!&gt;2,#REF!&lt;-2),"",#REF!)</f>
        <v>#REF!</v>
      </c>
      <c r="SZ12" s="7" t="e">
        <f aca="false">IF(OR(#REF!&gt;2,#REF!&lt;-2),"",#REF!)</f>
        <v>#REF!</v>
      </c>
      <c r="TA12" s="7" t="e">
        <f aca="false">IF(OR(#REF!&gt;2,#REF!&lt;-2),"",#REF!)</f>
        <v>#REF!</v>
      </c>
      <c r="TB12" s="7" t="e">
        <f aca="false">IF(OR(#REF!&gt;2,#REF!&lt;-2),"",#REF!)</f>
        <v>#REF!</v>
      </c>
      <c r="TC12" s="7" t="e">
        <f aca="false">IF(OR(#REF!&gt;2,#REF!&lt;-2),"",#REF!)</f>
        <v>#REF!</v>
      </c>
      <c r="TD12" s="7" t="e">
        <f aca="false">IF(OR(#REF!&gt;2,#REF!&lt;-2),"",#REF!)</f>
        <v>#REF!</v>
      </c>
      <c r="TE12" s="7" t="e">
        <f aca="false">IF(OR(#REF!&gt;2,#REF!&lt;-2),"",#REF!)</f>
        <v>#REF!</v>
      </c>
      <c r="TF12" s="7" t="e">
        <f aca="false">IF(OR(#REF!&gt;2,#REF!&lt;-2),"",#REF!)</f>
        <v>#REF!</v>
      </c>
      <c r="TG12" s="7" t="e">
        <f aca="false">IF(OR(#REF!&gt;2,#REF!&lt;-2),"",#REF!)</f>
        <v>#REF!</v>
      </c>
      <c r="TH12" s="7" t="e">
        <f aca="false">IF(OR(#REF!&gt;2,#REF!&lt;-2),"",#REF!)</f>
        <v>#REF!</v>
      </c>
      <c r="TI12" s="7" t="e">
        <f aca="false">IF(OR(#REF!&gt;2,#REF!&lt;-2),"",#REF!)</f>
        <v>#REF!</v>
      </c>
      <c r="TJ12" s="7" t="e">
        <f aca="false">IF(OR(#REF!&gt;2,#REF!&lt;-2),"",#REF!)</f>
        <v>#REF!</v>
      </c>
      <c r="TK12" s="7" t="e">
        <f aca="false">IF(OR(#REF!&gt;2,#REF!&lt;-2),"",#REF!)</f>
        <v>#REF!</v>
      </c>
      <c r="TL12" s="7" t="e">
        <f aca="false">IF(OR(#REF!&gt;2,#REF!&lt;-2),"",#REF!)</f>
        <v>#REF!</v>
      </c>
      <c r="TM12" s="7" t="e">
        <f aca="false">IF(OR(#REF!&gt;2,#REF!&lt;-2),"",#REF!)</f>
        <v>#REF!</v>
      </c>
      <c r="TN12" s="7" t="e">
        <f aca="false">IF(OR(#REF!&gt;2,#REF!&lt;-2),"",#REF!)</f>
        <v>#REF!</v>
      </c>
      <c r="TO12" s="7" t="e">
        <f aca="false">IF(OR(#REF!&gt;2,#REF!&lt;-2),"",#REF!)</f>
        <v>#REF!</v>
      </c>
      <c r="TP12" s="7" t="e">
        <f aca="false">IF(OR(#REF!&gt;2,#REF!&lt;-2),"",#REF!)</f>
        <v>#REF!</v>
      </c>
      <c r="TQ12" s="7" t="e">
        <f aca="false">IF(OR(#REF!&gt;2,#REF!&lt;-2),"",#REF!)</f>
        <v>#REF!</v>
      </c>
      <c r="TR12" s="7" t="e">
        <f aca="false">IF(OR(#REF!&gt;2,#REF!&lt;-2),"",#REF!)</f>
        <v>#REF!</v>
      </c>
      <c r="TS12" s="7" t="e">
        <f aca="false">IF(OR(#REF!&gt;2,#REF!&lt;-2),"",#REF!)</f>
        <v>#REF!</v>
      </c>
      <c r="TT12" s="7" t="e">
        <f aca="false">IF(OR(#REF!&gt;2,#REF!&lt;-2),"",#REF!)</f>
        <v>#REF!</v>
      </c>
      <c r="TU12" s="7" t="e">
        <f aca="false">IF(OR(#REF!&gt;2,#REF!&lt;-2),"",#REF!)</f>
        <v>#REF!</v>
      </c>
      <c r="TV12" s="7" t="e">
        <f aca="false">IF(OR(#REF!&gt;2,#REF!&lt;-2),"",#REF!)</f>
        <v>#REF!</v>
      </c>
      <c r="TW12" s="7" t="e">
        <f aca="false">IF(OR(#REF!&gt;2,#REF!&lt;-2),"",#REF!)</f>
        <v>#REF!</v>
      </c>
      <c r="TX12" s="7" t="e">
        <f aca="false">IF(OR(#REF!&gt;2,#REF!&lt;-2),"",#REF!)</f>
        <v>#REF!</v>
      </c>
      <c r="TY12" s="7" t="e">
        <f aca="false">IF(OR(#REF!&gt;2,#REF!&lt;-2),"",#REF!)</f>
        <v>#REF!</v>
      </c>
      <c r="TZ12" s="7" t="e">
        <f aca="false">IF(OR(#REF!&gt;2,#REF!&lt;-2),"",#REF!)</f>
        <v>#REF!</v>
      </c>
      <c r="UA12" s="7" t="e">
        <f aca="false">IF(OR(#REF!&gt;2,#REF!&lt;-2),"",#REF!)</f>
        <v>#REF!</v>
      </c>
      <c r="UB12" s="7" t="e">
        <f aca="false">IF(OR(#REF!&gt;2,#REF!&lt;-2),"",#REF!)</f>
        <v>#REF!</v>
      </c>
      <c r="UC12" s="7" t="e">
        <f aca="false">IF(OR(#REF!&gt;2,#REF!&lt;-2),"",#REF!)</f>
        <v>#REF!</v>
      </c>
      <c r="UD12" s="7" t="e">
        <f aca="false">IF(OR(#REF!&gt;2,#REF!&lt;-2),"",#REF!)</f>
        <v>#REF!</v>
      </c>
      <c r="UE12" s="7" t="e">
        <f aca="false">IF(OR(#REF!&gt;2,#REF!&lt;-2),"",#REF!)</f>
        <v>#REF!</v>
      </c>
      <c r="UF12" s="7" t="e">
        <f aca="false">IF(OR(#REF!&gt;2,#REF!&lt;-2),"",#REF!)</f>
        <v>#REF!</v>
      </c>
      <c r="UG12" s="7" t="e">
        <f aca="false">IF(OR(#REF!&gt;2,#REF!&lt;-2),"",#REF!)</f>
        <v>#REF!</v>
      </c>
      <c r="UH12" s="7" t="e">
        <f aca="false">IF(OR(#REF!&gt;2,#REF!&lt;-2),"",#REF!)</f>
        <v>#REF!</v>
      </c>
      <c r="UI12" s="7" t="e">
        <f aca="false">IF(OR(#REF!&gt;2,#REF!&lt;-2),"",#REF!)</f>
        <v>#REF!</v>
      </c>
      <c r="UJ12" s="7" t="e">
        <f aca="false">IF(OR(#REF!&gt;2,#REF!&lt;-2),"",#REF!)</f>
        <v>#REF!</v>
      </c>
      <c r="UK12" s="7" t="e">
        <f aca="false">IF(OR(#REF!&gt;2,#REF!&lt;-2),"",#REF!)</f>
        <v>#REF!</v>
      </c>
      <c r="UL12" s="7" t="e">
        <f aca="false">IF(OR(#REF!&gt;2,#REF!&lt;-2),"",#REF!)</f>
        <v>#REF!</v>
      </c>
      <c r="UM12" s="7" t="e">
        <f aca="false">IF(OR(#REF!&gt;2,#REF!&lt;-2),"",#REF!)</f>
        <v>#REF!</v>
      </c>
      <c r="UN12" s="7" t="e">
        <f aca="false">IF(OR(#REF!&gt;2,#REF!&lt;-2),"",#REF!)</f>
        <v>#REF!</v>
      </c>
      <c r="UO12" s="7" t="e">
        <f aca="false">IF(OR(#REF!&gt;2,#REF!&lt;-2),"",#REF!)</f>
        <v>#REF!</v>
      </c>
      <c r="UP12" s="7" t="e">
        <f aca="false">IF(OR(#REF!&gt;2,#REF!&lt;-2),"",#REF!)</f>
        <v>#REF!</v>
      </c>
    </row>
    <row r="13" customFormat="false" ht="14.5" hidden="false" customHeight="false" outlineLevel="0" collapsed="false">
      <c r="A13" s="0" t="n">
        <v>113</v>
      </c>
      <c r="B13" s="0" t="n">
        <v>1</v>
      </c>
      <c r="C13" s="7" t="e">
        <f aca="false">IF(OR(#REF!&gt;2,#REF!&lt;-2),"",#REF!)</f>
        <v>#REF!</v>
      </c>
      <c r="D13" s="7" t="e">
        <f aca="false">IF(OR(#REF!&gt;2,#REF!&lt;-2),"",#REF!)</f>
        <v>#REF!</v>
      </c>
      <c r="E13" s="7" t="e">
        <f aca="false">IF(OR(#REF!&gt;2,#REF!&lt;-2),"",#REF!)</f>
        <v>#REF!</v>
      </c>
      <c r="F13" s="7" t="e">
        <f aca="false">IF(OR(#REF!&gt;2,#REF!&lt;-2),"",#REF!)</f>
        <v>#REF!</v>
      </c>
      <c r="G13" s="7" t="e">
        <f aca="false">IF(OR(#REF!&gt;2,#REF!&lt;-2),"",#REF!)</f>
        <v>#REF!</v>
      </c>
      <c r="H13" s="7" t="e">
        <f aca="false">IF(OR(#REF!&gt;2,#REF!&lt;-2),"",#REF!)</f>
        <v>#REF!</v>
      </c>
      <c r="I13" s="7" t="e">
        <f aca="false">IF(OR(#REF!&gt;2,#REF!&lt;-2),"",#REF!)</f>
        <v>#REF!</v>
      </c>
      <c r="J13" s="7" t="e">
        <f aca="false">IF(OR(#REF!&gt;2,#REF!&lt;-2),"",#REF!)</f>
        <v>#REF!</v>
      </c>
      <c r="K13" s="7" t="e">
        <f aca="false">IF(OR(#REF!&gt;2,#REF!&lt;-2),"",#REF!)</f>
        <v>#REF!</v>
      </c>
      <c r="L13" s="7" t="e">
        <f aca="false">IF(OR(#REF!&gt;2,#REF!&lt;-2),"",#REF!)</f>
        <v>#REF!</v>
      </c>
      <c r="M13" s="7" t="e">
        <f aca="false">IF(OR(#REF!&gt;2,#REF!&lt;-2),"",#REF!)</f>
        <v>#REF!</v>
      </c>
      <c r="N13" s="7" t="e">
        <f aca="false">IF(OR(#REF!&gt;2,#REF!&lt;-2),"",#REF!)</f>
        <v>#REF!</v>
      </c>
      <c r="O13" s="7" t="e">
        <f aca="false">IF(OR(#REF!&gt;2,#REF!&lt;-2),"",#REF!)</f>
        <v>#REF!</v>
      </c>
      <c r="P13" s="7" t="e">
        <f aca="false">IF(OR(#REF!&gt;2,#REF!&lt;-2),"",#REF!)</f>
        <v>#REF!</v>
      </c>
      <c r="Q13" s="7" t="e">
        <f aca="false">IF(OR(#REF!&gt;2,#REF!&lt;-2),"",#REF!)</f>
        <v>#REF!</v>
      </c>
      <c r="R13" s="7" t="e">
        <f aca="false">IF(OR(#REF!&gt;2,#REF!&lt;-2),"",#REF!)</f>
        <v>#REF!</v>
      </c>
      <c r="S13" s="7" t="e">
        <f aca="false">IF(OR(#REF!&gt;2,#REF!&lt;-2),"",#REF!)</f>
        <v>#REF!</v>
      </c>
      <c r="T13" s="7" t="e">
        <f aca="false">IF(OR(#REF!&gt;2,#REF!&lt;-2),"",#REF!)</f>
        <v>#REF!</v>
      </c>
      <c r="U13" s="7" t="e">
        <f aca="false">IF(OR(#REF!&gt;2,#REF!&lt;-2),"",#REF!)</f>
        <v>#REF!</v>
      </c>
      <c r="V13" s="7" t="e">
        <f aca="false">IF(OR(#REF!&gt;2,#REF!&lt;-2),"",#REF!)</f>
        <v>#REF!</v>
      </c>
      <c r="W13" s="7" t="e">
        <f aca="false">IF(OR(#REF!&gt;2,#REF!&lt;-2),"",#REF!)</f>
        <v>#REF!</v>
      </c>
      <c r="X13" s="7" t="e">
        <f aca="false">IF(OR(#REF!&gt;2,#REF!&lt;-2),"",#REF!)</f>
        <v>#REF!</v>
      </c>
      <c r="Y13" s="7" t="e">
        <f aca="false">IF(OR(#REF!&gt;2,#REF!&lt;-2),"",#REF!)</f>
        <v>#REF!</v>
      </c>
      <c r="Z13" s="7" t="e">
        <f aca="false">IF(OR(#REF!&gt;2,#REF!&lt;-2),"",#REF!)</f>
        <v>#REF!</v>
      </c>
      <c r="AA13" s="7" t="e">
        <f aca="false">IF(OR(#REF!&gt;2,#REF!&lt;-2),"",#REF!)</f>
        <v>#REF!</v>
      </c>
      <c r="AB13" s="7" t="e">
        <f aca="false">IF(OR(#REF!&gt;2,#REF!&lt;-2),"",#REF!)</f>
        <v>#REF!</v>
      </c>
      <c r="AC13" s="7" t="e">
        <f aca="false">IF(OR(#REF!&gt;2,#REF!&lt;-2),"",#REF!)</f>
        <v>#REF!</v>
      </c>
      <c r="AD13" s="7" t="e">
        <f aca="false">IF(OR(#REF!&gt;2,#REF!&lt;-2),"",#REF!)</f>
        <v>#REF!</v>
      </c>
      <c r="AE13" s="7" t="e">
        <f aca="false">IF(OR(#REF!&gt;2,#REF!&lt;-2),"",#REF!)</f>
        <v>#REF!</v>
      </c>
      <c r="AF13" s="7" t="e">
        <f aca="false">IF(OR(#REF!&gt;2,#REF!&lt;-2),"",#REF!)</f>
        <v>#REF!</v>
      </c>
      <c r="AG13" s="7" t="e">
        <f aca="false">IF(OR(#REF!&gt;2,#REF!&lt;-2),"",#REF!)</f>
        <v>#REF!</v>
      </c>
      <c r="AH13" s="7" t="e">
        <f aca="false">IF(OR(#REF!&gt;2,#REF!&lt;-2),"",#REF!)</f>
        <v>#REF!</v>
      </c>
      <c r="AI13" s="7" t="e">
        <f aca="false">IF(OR(#REF!&gt;2,#REF!&lt;-2),"",#REF!)</f>
        <v>#REF!</v>
      </c>
      <c r="AJ13" s="7" t="e">
        <f aca="false">IF(OR(#REF!&gt;2,#REF!&lt;-2),"",#REF!)</f>
        <v>#REF!</v>
      </c>
      <c r="AK13" s="7" t="e">
        <f aca="false">IF(OR(#REF!&gt;2,#REF!&lt;-2),"",#REF!)</f>
        <v>#REF!</v>
      </c>
      <c r="AL13" s="7" t="e">
        <f aca="false">IF(OR(#REF!&gt;2,#REF!&lt;-2),"",#REF!)</f>
        <v>#REF!</v>
      </c>
      <c r="AM13" s="7" t="e">
        <f aca="false">IF(OR(#REF!&gt;2,#REF!&lt;-2),"",#REF!)</f>
        <v>#REF!</v>
      </c>
      <c r="AN13" s="7" t="e">
        <f aca="false">IF(OR(#REF!&gt;2,#REF!&lt;-2),"",#REF!)</f>
        <v>#REF!</v>
      </c>
      <c r="AO13" s="7" t="e">
        <f aca="false">IF(OR(#REF!&gt;2,#REF!&lt;-2),"",#REF!)</f>
        <v>#REF!</v>
      </c>
      <c r="AP13" s="7" t="e">
        <f aca="false">IF(OR(#REF!&gt;2,#REF!&lt;-2),"",#REF!)</f>
        <v>#REF!</v>
      </c>
      <c r="AQ13" s="7" t="e">
        <f aca="false">IF(OR(#REF!&gt;2,#REF!&lt;-2),"",#REF!)</f>
        <v>#REF!</v>
      </c>
      <c r="AR13" s="7" t="e">
        <f aca="false">IF(OR(#REF!&gt;2,#REF!&lt;-2),"",#REF!)</f>
        <v>#REF!</v>
      </c>
      <c r="AS13" s="7" t="e">
        <f aca="false">IF(OR(#REF!&gt;2,#REF!&lt;-2),"",#REF!)</f>
        <v>#REF!</v>
      </c>
      <c r="AT13" s="7" t="e">
        <f aca="false">IF(OR(#REF!&gt;2,#REF!&lt;-2),"",#REF!)</f>
        <v>#REF!</v>
      </c>
      <c r="AU13" s="7" t="e">
        <f aca="false">IF(OR(#REF!&gt;2,#REF!&lt;-2),"",#REF!)</f>
        <v>#REF!</v>
      </c>
      <c r="AV13" s="7" t="e">
        <f aca="false">IF(OR(#REF!&gt;2,#REF!&lt;-2),"",#REF!)</f>
        <v>#REF!</v>
      </c>
      <c r="AW13" s="7" t="e">
        <f aca="false">IF(OR(#REF!&gt;2,#REF!&lt;-2),"",#REF!)</f>
        <v>#REF!</v>
      </c>
      <c r="AX13" s="7" t="e">
        <f aca="false">IF(OR(#REF!&gt;2,#REF!&lt;-2),"",#REF!)</f>
        <v>#REF!</v>
      </c>
      <c r="AY13" s="7" t="e">
        <f aca="false">IF(OR(#REF!&gt;2,#REF!&lt;-2),"",#REF!)</f>
        <v>#REF!</v>
      </c>
      <c r="AZ13" s="7" t="e">
        <f aca="false">IF(OR(#REF!&gt;2,#REF!&lt;-2),"",#REF!)</f>
        <v>#REF!</v>
      </c>
      <c r="BA13" s="7" t="e">
        <f aca="false">IF(OR(#REF!&gt;2,#REF!&lt;-2),"",#REF!)</f>
        <v>#REF!</v>
      </c>
      <c r="BB13" s="7" t="e">
        <f aca="false">IF(OR(#REF!&gt;2,#REF!&lt;-2),"",#REF!)</f>
        <v>#REF!</v>
      </c>
      <c r="BC13" s="7" t="e">
        <f aca="false">IF(OR(#REF!&gt;2,#REF!&lt;-2),"",#REF!)</f>
        <v>#REF!</v>
      </c>
      <c r="BD13" s="7" t="e">
        <f aca="false">IF(OR(#REF!&gt;2,#REF!&lt;-2),"",#REF!)</f>
        <v>#REF!</v>
      </c>
      <c r="BE13" s="7" t="e">
        <f aca="false">IF(OR(#REF!&gt;2,#REF!&lt;-2),"",#REF!)</f>
        <v>#REF!</v>
      </c>
      <c r="BF13" s="7" t="e">
        <f aca="false">IF(OR(#REF!&gt;2,#REF!&lt;-2),"",#REF!)</f>
        <v>#REF!</v>
      </c>
      <c r="BG13" s="7" t="e">
        <f aca="false">IF(OR(#REF!&gt;2,#REF!&lt;-2),"",#REF!)</f>
        <v>#REF!</v>
      </c>
      <c r="BH13" s="7" t="e">
        <f aca="false">IF(OR(#REF!&gt;2,#REF!&lt;-2),"",#REF!)</f>
        <v>#REF!</v>
      </c>
      <c r="BI13" s="7" t="e">
        <f aca="false">IF(OR(#REF!&gt;2,#REF!&lt;-2),"",#REF!)</f>
        <v>#REF!</v>
      </c>
      <c r="BJ13" s="7" t="e">
        <f aca="false">IF(OR(#REF!&gt;2,#REF!&lt;-2),"",#REF!)</f>
        <v>#REF!</v>
      </c>
      <c r="BK13" s="7" t="e">
        <f aca="false">IF(OR(#REF!&gt;2,#REF!&lt;-2),"",#REF!)</f>
        <v>#REF!</v>
      </c>
      <c r="BL13" s="7" t="e">
        <f aca="false">IF(OR(#REF!&gt;2,#REF!&lt;-2),"",#REF!)</f>
        <v>#REF!</v>
      </c>
      <c r="BM13" s="7" t="e">
        <f aca="false">IF(OR(#REF!&gt;2,#REF!&lt;-2),"",#REF!)</f>
        <v>#REF!</v>
      </c>
      <c r="BN13" s="7" t="e">
        <f aca="false">IF(OR(#REF!&gt;2,#REF!&lt;-2),"",#REF!)</f>
        <v>#REF!</v>
      </c>
      <c r="BO13" s="7" t="e">
        <f aca="false">IF(OR(#REF!&gt;2,#REF!&lt;-2),"",#REF!)</f>
        <v>#REF!</v>
      </c>
      <c r="BP13" s="7" t="e">
        <f aca="false">IF(OR(#REF!&gt;2,#REF!&lt;-2),"",#REF!)</f>
        <v>#REF!</v>
      </c>
      <c r="BQ13" s="7" t="e">
        <f aca="false">IF(OR(#REF!&gt;2,#REF!&lt;-2),"",#REF!)</f>
        <v>#REF!</v>
      </c>
      <c r="BR13" s="7" t="e">
        <f aca="false">IF(OR(#REF!&gt;2,#REF!&lt;-2),"",#REF!)</f>
        <v>#REF!</v>
      </c>
      <c r="BS13" s="7" t="e">
        <f aca="false">IF(OR(#REF!&gt;2,#REF!&lt;-2),"",#REF!)</f>
        <v>#REF!</v>
      </c>
      <c r="BT13" s="7" t="e">
        <f aca="false">IF(OR(#REF!&gt;2,#REF!&lt;-2),"",#REF!)</f>
        <v>#REF!</v>
      </c>
      <c r="BU13" s="7" t="e">
        <f aca="false">IF(OR(#REF!&gt;2,#REF!&lt;-2),"",#REF!)</f>
        <v>#REF!</v>
      </c>
      <c r="BV13" s="7" t="e">
        <f aca="false">IF(OR(#REF!&gt;2,#REF!&lt;-2),"",#REF!)</f>
        <v>#REF!</v>
      </c>
      <c r="BW13" s="7" t="e">
        <f aca="false">IF(OR(#REF!&gt;2,#REF!&lt;-2),"",#REF!)</f>
        <v>#REF!</v>
      </c>
      <c r="BX13" s="7" t="e">
        <f aca="false">IF(OR(#REF!&gt;2,#REF!&lt;-2),"",#REF!)</f>
        <v>#REF!</v>
      </c>
      <c r="BY13" s="7" t="e">
        <f aca="false">IF(OR(#REF!&gt;2,#REF!&lt;-2),"",#REF!)</f>
        <v>#REF!</v>
      </c>
      <c r="BZ13" s="7" t="e">
        <f aca="false">IF(OR(#REF!&gt;2,#REF!&lt;-2),"",#REF!)</f>
        <v>#REF!</v>
      </c>
      <c r="CA13" s="7" t="e">
        <f aca="false">IF(OR(#REF!&gt;2,#REF!&lt;-2),"",#REF!)</f>
        <v>#REF!</v>
      </c>
      <c r="CB13" s="7" t="e">
        <f aca="false">IF(OR(#REF!&gt;2,#REF!&lt;-2),"",#REF!)</f>
        <v>#REF!</v>
      </c>
      <c r="CC13" s="7" t="e">
        <f aca="false">IF(OR(#REF!&gt;2,#REF!&lt;-2),"",#REF!)</f>
        <v>#REF!</v>
      </c>
      <c r="CD13" s="7" t="e">
        <f aca="false">IF(OR(#REF!&gt;2,#REF!&lt;-2),"",#REF!)</f>
        <v>#REF!</v>
      </c>
      <c r="CE13" s="7" t="e">
        <f aca="false">IF(OR(#REF!&gt;2,#REF!&lt;-2),"",#REF!)</f>
        <v>#REF!</v>
      </c>
      <c r="CF13" s="7" t="e">
        <f aca="false">IF(OR(#REF!&gt;2,#REF!&lt;-2),"",#REF!)</f>
        <v>#REF!</v>
      </c>
      <c r="CG13" s="7" t="e">
        <f aca="false">IF(OR(#REF!&gt;2,#REF!&lt;-2),"",#REF!)</f>
        <v>#REF!</v>
      </c>
      <c r="CH13" s="7" t="e">
        <f aca="false">IF(OR(#REF!&gt;2,#REF!&lt;-2),"",#REF!)</f>
        <v>#REF!</v>
      </c>
      <c r="CI13" s="7" t="e">
        <f aca="false">IF(OR(#REF!&gt;2,#REF!&lt;-2),"",#REF!)</f>
        <v>#REF!</v>
      </c>
      <c r="CJ13" s="7" t="e">
        <f aca="false">IF(OR(#REF!&gt;2,#REF!&lt;-2),"",#REF!)</f>
        <v>#REF!</v>
      </c>
      <c r="CK13" s="7" t="e">
        <f aca="false">IF(OR(#REF!&gt;2,#REF!&lt;-2),"",#REF!)</f>
        <v>#REF!</v>
      </c>
      <c r="CL13" s="7" t="e">
        <f aca="false">IF(OR(#REF!&gt;2,#REF!&lt;-2),"",#REF!)</f>
        <v>#REF!</v>
      </c>
      <c r="CM13" s="7" t="e">
        <f aca="false">IF(OR(#REF!&gt;2,#REF!&lt;-2),"",#REF!)</f>
        <v>#REF!</v>
      </c>
      <c r="CN13" s="7" t="e">
        <f aca="false">IF(OR(#REF!&gt;2,#REF!&lt;-2),"",#REF!)</f>
        <v>#REF!</v>
      </c>
      <c r="CO13" s="7" t="e">
        <f aca="false">IF(OR(#REF!&gt;2,#REF!&lt;-2),"",#REF!)</f>
        <v>#REF!</v>
      </c>
      <c r="CP13" s="7" t="e">
        <f aca="false">IF(OR(#REF!&gt;2,#REF!&lt;-2),"",#REF!)</f>
        <v>#REF!</v>
      </c>
      <c r="CQ13" s="7" t="e">
        <f aca="false">IF(OR(#REF!&gt;2,#REF!&lt;-2),"",#REF!)</f>
        <v>#REF!</v>
      </c>
      <c r="CR13" s="7" t="e">
        <f aca="false">IF(OR(#REF!&gt;2,#REF!&lt;-2),"",#REF!)</f>
        <v>#REF!</v>
      </c>
      <c r="CS13" s="7" t="e">
        <f aca="false">IF(OR(#REF!&gt;2,#REF!&lt;-2),"",#REF!)</f>
        <v>#REF!</v>
      </c>
      <c r="CT13" s="7" t="e">
        <f aca="false">IF(OR(#REF!&gt;2,#REF!&lt;-2),"",#REF!)</f>
        <v>#REF!</v>
      </c>
      <c r="CU13" s="7" t="e">
        <f aca="false">IF(OR(#REF!&gt;2,#REF!&lt;-2),"",#REF!)</f>
        <v>#REF!</v>
      </c>
      <c r="CV13" s="7" t="e">
        <f aca="false">IF(OR(#REF!&gt;2,#REF!&lt;-2),"",#REF!)</f>
        <v>#REF!</v>
      </c>
      <c r="CW13" s="7" t="e">
        <f aca="false">IF(OR(#REF!&gt;2,#REF!&lt;-2),"",#REF!)</f>
        <v>#REF!</v>
      </c>
      <c r="CX13" s="7" t="e">
        <f aca="false">IF(OR(#REF!&gt;2,#REF!&lt;-2),"",#REF!)</f>
        <v>#REF!</v>
      </c>
      <c r="CY13" s="7" t="e">
        <f aca="false">IF(OR(#REF!&gt;2,#REF!&lt;-2),"",#REF!)</f>
        <v>#REF!</v>
      </c>
      <c r="CZ13" s="7" t="e">
        <f aca="false">IF(OR(#REF!&gt;2,#REF!&lt;-2),"",#REF!)</f>
        <v>#REF!</v>
      </c>
      <c r="DA13" s="7" t="e">
        <f aca="false">IF(OR(#REF!&gt;2,#REF!&lt;-2),"",#REF!)</f>
        <v>#REF!</v>
      </c>
      <c r="DB13" s="7" t="e">
        <f aca="false">IF(OR(#REF!&gt;2,#REF!&lt;-2),"",#REF!)</f>
        <v>#REF!</v>
      </c>
      <c r="DC13" s="7" t="e">
        <f aca="false">IF(OR(#REF!&gt;2,#REF!&lt;-2),"",#REF!)</f>
        <v>#REF!</v>
      </c>
      <c r="DD13" s="7" t="e">
        <f aca="false">IF(OR(#REF!&gt;2,#REF!&lt;-2),"",#REF!)</f>
        <v>#REF!</v>
      </c>
      <c r="DE13" s="7" t="e">
        <f aca="false">IF(OR(#REF!&gt;2,#REF!&lt;-2),"",#REF!)</f>
        <v>#REF!</v>
      </c>
      <c r="DF13" s="7" t="e">
        <f aca="false">IF(OR(#REF!&gt;2,#REF!&lt;-2),"",#REF!)</f>
        <v>#REF!</v>
      </c>
      <c r="DG13" s="7" t="e">
        <f aca="false">IF(OR(#REF!&gt;2,#REF!&lt;-2),"",#REF!)</f>
        <v>#REF!</v>
      </c>
      <c r="DH13" s="7" t="e">
        <f aca="false">IF(OR(#REF!&gt;2,#REF!&lt;-2),"",#REF!)</f>
        <v>#REF!</v>
      </c>
      <c r="DI13" s="7" t="e">
        <f aca="false">IF(OR(#REF!&gt;2,#REF!&lt;-2),"",#REF!)</f>
        <v>#REF!</v>
      </c>
      <c r="DJ13" s="7" t="e">
        <f aca="false">IF(OR(#REF!&gt;2,#REF!&lt;-2),"",#REF!)</f>
        <v>#REF!</v>
      </c>
      <c r="DK13" s="7" t="e">
        <f aca="false">IF(OR(#REF!&gt;2,#REF!&lt;-2),"",#REF!)</f>
        <v>#REF!</v>
      </c>
      <c r="DL13" s="7" t="e">
        <f aca="false">IF(OR(#REF!&gt;2,#REF!&lt;-2),"",#REF!)</f>
        <v>#REF!</v>
      </c>
      <c r="DM13" s="7" t="e">
        <f aca="false">IF(OR(#REF!&gt;2,#REF!&lt;-2),"",#REF!)</f>
        <v>#REF!</v>
      </c>
      <c r="DN13" s="7" t="e">
        <f aca="false">IF(OR(#REF!&gt;2,#REF!&lt;-2),"",#REF!)</f>
        <v>#REF!</v>
      </c>
      <c r="DO13" s="7" t="e">
        <f aca="false">IF(OR(#REF!&gt;2,#REF!&lt;-2),"",#REF!)</f>
        <v>#REF!</v>
      </c>
      <c r="DP13" s="7" t="e">
        <f aca="false">IF(OR(#REF!&gt;2,#REF!&lt;-2),"",#REF!)</f>
        <v>#REF!</v>
      </c>
      <c r="DQ13" s="7" t="e">
        <f aca="false">IF(OR(#REF!&gt;2,#REF!&lt;-2),"",#REF!)</f>
        <v>#REF!</v>
      </c>
      <c r="DR13" s="7" t="e">
        <f aca="false">IF(OR(#REF!&gt;2,#REF!&lt;-2),"",#REF!)</f>
        <v>#REF!</v>
      </c>
      <c r="DS13" s="7" t="e">
        <f aca="false">IF(OR(#REF!&gt;2,#REF!&lt;-2),"",#REF!)</f>
        <v>#REF!</v>
      </c>
      <c r="DT13" s="7" t="e">
        <f aca="false">IF(OR(#REF!&gt;2,#REF!&lt;-2),"",#REF!)</f>
        <v>#REF!</v>
      </c>
      <c r="DU13" s="7" t="e">
        <f aca="false">IF(OR(#REF!&gt;2,#REF!&lt;-2),"",#REF!)</f>
        <v>#REF!</v>
      </c>
      <c r="DV13" s="7" t="e">
        <f aca="false">IF(OR(#REF!&gt;2,#REF!&lt;-2),"",#REF!)</f>
        <v>#REF!</v>
      </c>
      <c r="DW13" s="7" t="e">
        <f aca="false">IF(OR(#REF!&gt;2,#REF!&lt;-2),"",#REF!)</f>
        <v>#REF!</v>
      </c>
      <c r="DX13" s="7" t="e">
        <f aca="false">IF(OR(#REF!&gt;2,#REF!&lt;-2),"",#REF!)</f>
        <v>#REF!</v>
      </c>
      <c r="DY13" s="7" t="e">
        <f aca="false">IF(OR(#REF!&gt;2,#REF!&lt;-2),"",#REF!)</f>
        <v>#REF!</v>
      </c>
      <c r="DZ13" s="7" t="e">
        <f aca="false">IF(OR(#REF!&gt;2,#REF!&lt;-2),"",#REF!)</f>
        <v>#REF!</v>
      </c>
      <c r="EA13" s="7" t="e">
        <f aca="false">IF(OR(#REF!&gt;2,#REF!&lt;-2),"",#REF!)</f>
        <v>#REF!</v>
      </c>
      <c r="EB13" s="7" t="e">
        <f aca="false">IF(OR(#REF!&gt;2,#REF!&lt;-2),"",#REF!)</f>
        <v>#REF!</v>
      </c>
      <c r="EC13" s="7" t="e">
        <f aca="false">IF(OR(#REF!&gt;2,#REF!&lt;-2),"",#REF!)</f>
        <v>#REF!</v>
      </c>
      <c r="ED13" s="7" t="e">
        <f aca="false">IF(OR(#REF!&gt;2,#REF!&lt;-2),"",#REF!)</f>
        <v>#REF!</v>
      </c>
      <c r="EE13" s="7" t="e">
        <f aca="false">IF(OR(#REF!&gt;2,#REF!&lt;-2),"",#REF!)</f>
        <v>#REF!</v>
      </c>
      <c r="EF13" s="7" t="e">
        <f aca="false">IF(OR(#REF!&gt;2,#REF!&lt;-2),"",#REF!)</f>
        <v>#REF!</v>
      </c>
      <c r="EG13" s="7" t="e">
        <f aca="false">IF(OR(#REF!&gt;2,#REF!&lt;-2),"",#REF!)</f>
        <v>#REF!</v>
      </c>
      <c r="EH13" s="7" t="e">
        <f aca="false">IF(OR(#REF!&gt;2,#REF!&lt;-2),"",#REF!)</f>
        <v>#REF!</v>
      </c>
      <c r="EI13" s="7" t="e">
        <f aca="false">IF(OR(#REF!&gt;2,#REF!&lt;-2),"",#REF!)</f>
        <v>#REF!</v>
      </c>
      <c r="EJ13" s="7" t="e">
        <f aca="false">IF(OR(#REF!&gt;2,#REF!&lt;-2),"",#REF!)</f>
        <v>#REF!</v>
      </c>
      <c r="EK13" s="7" t="e">
        <f aca="false">IF(OR(#REF!&gt;2,#REF!&lt;-2),"",#REF!)</f>
        <v>#REF!</v>
      </c>
      <c r="EL13" s="7" t="e">
        <f aca="false">IF(OR(#REF!&gt;2,#REF!&lt;-2),"",#REF!)</f>
        <v>#REF!</v>
      </c>
      <c r="EM13" s="7" t="e">
        <f aca="false">IF(OR(#REF!&gt;2,#REF!&lt;-2),"",#REF!)</f>
        <v>#REF!</v>
      </c>
      <c r="EN13" s="7" t="e">
        <f aca="false">IF(OR(#REF!&gt;2,#REF!&lt;-2),"",#REF!)</f>
        <v>#REF!</v>
      </c>
      <c r="EO13" s="7" t="e">
        <f aca="false">IF(OR(#REF!&gt;2,#REF!&lt;-2),"",#REF!)</f>
        <v>#REF!</v>
      </c>
      <c r="EP13" s="7" t="e">
        <f aca="false">IF(OR(#REF!&gt;2,#REF!&lt;-2),"",#REF!)</f>
        <v>#REF!</v>
      </c>
      <c r="EQ13" s="7" t="e">
        <f aca="false">IF(OR(#REF!&gt;2,#REF!&lt;-2),"",#REF!)</f>
        <v>#REF!</v>
      </c>
      <c r="ER13" s="7" t="e">
        <f aca="false">IF(OR(#REF!&gt;2,#REF!&lt;-2),"",#REF!)</f>
        <v>#REF!</v>
      </c>
      <c r="ES13" s="7" t="e">
        <f aca="false">IF(OR(#REF!&gt;2,#REF!&lt;-2),"",#REF!)</f>
        <v>#REF!</v>
      </c>
      <c r="ET13" s="7" t="e">
        <f aca="false">IF(OR(#REF!&gt;2,#REF!&lt;-2),"",#REF!)</f>
        <v>#REF!</v>
      </c>
      <c r="EU13" s="7" t="e">
        <f aca="false">IF(OR(#REF!&gt;2,#REF!&lt;-2),"",#REF!)</f>
        <v>#REF!</v>
      </c>
      <c r="EV13" s="7" t="e">
        <f aca="false">IF(OR(#REF!&gt;2,#REF!&lt;-2),"",#REF!)</f>
        <v>#REF!</v>
      </c>
      <c r="EW13" s="7" t="e">
        <f aca="false">IF(OR(#REF!&gt;2,#REF!&lt;-2),"",#REF!)</f>
        <v>#REF!</v>
      </c>
      <c r="EX13" s="7" t="e">
        <f aca="false">IF(OR(#REF!&gt;2,#REF!&lt;-2),"",#REF!)</f>
        <v>#REF!</v>
      </c>
      <c r="EY13" s="7" t="e">
        <f aca="false">IF(OR(#REF!&gt;2,#REF!&lt;-2),"",#REF!)</f>
        <v>#REF!</v>
      </c>
      <c r="EZ13" s="7" t="e">
        <f aca="false">IF(OR(#REF!&gt;2,#REF!&lt;-2),"",#REF!)</f>
        <v>#REF!</v>
      </c>
      <c r="FA13" s="7" t="e">
        <f aca="false">IF(OR(#REF!&gt;2,#REF!&lt;-2),"",#REF!)</f>
        <v>#REF!</v>
      </c>
      <c r="FB13" s="7" t="e">
        <f aca="false">IF(OR(#REF!&gt;2,#REF!&lt;-2),"",#REF!)</f>
        <v>#REF!</v>
      </c>
      <c r="FC13" s="7" t="e">
        <f aca="false">IF(OR(#REF!&gt;2,#REF!&lt;-2),"",#REF!)</f>
        <v>#REF!</v>
      </c>
      <c r="FD13" s="7" t="e">
        <f aca="false">IF(OR(#REF!&gt;2,#REF!&lt;-2),"",#REF!)</f>
        <v>#REF!</v>
      </c>
      <c r="FE13" s="7" t="e">
        <f aca="false">IF(OR(#REF!&gt;2,#REF!&lt;-2),"",#REF!)</f>
        <v>#REF!</v>
      </c>
      <c r="FF13" s="7" t="e">
        <f aca="false">IF(OR(#REF!&gt;2,#REF!&lt;-2),"",#REF!)</f>
        <v>#REF!</v>
      </c>
      <c r="FG13" s="7" t="e">
        <f aca="false">IF(OR(#REF!&gt;2,#REF!&lt;-2),"",#REF!)</f>
        <v>#REF!</v>
      </c>
      <c r="FH13" s="7" t="e">
        <f aca="false">IF(OR(#REF!&gt;2,#REF!&lt;-2),"",#REF!)</f>
        <v>#REF!</v>
      </c>
      <c r="FI13" s="7" t="e">
        <f aca="false">IF(OR(#REF!&gt;2,#REF!&lt;-2),"",#REF!)</f>
        <v>#REF!</v>
      </c>
      <c r="FJ13" s="7" t="e">
        <f aca="false">IF(OR(#REF!&gt;2,#REF!&lt;-2),"",#REF!)</f>
        <v>#REF!</v>
      </c>
      <c r="FK13" s="7" t="e">
        <f aca="false">IF(OR(#REF!&gt;2,#REF!&lt;-2),"",#REF!)</f>
        <v>#REF!</v>
      </c>
      <c r="FL13" s="7" t="e">
        <f aca="false">IF(OR(#REF!&gt;2,#REF!&lt;-2),"",#REF!)</f>
        <v>#REF!</v>
      </c>
      <c r="FM13" s="7" t="e">
        <f aca="false">IF(OR(#REF!&gt;2,#REF!&lt;-2),"",#REF!)</f>
        <v>#REF!</v>
      </c>
      <c r="FN13" s="7" t="e">
        <f aca="false">IF(OR(#REF!&gt;2,#REF!&lt;-2),"",#REF!)</f>
        <v>#REF!</v>
      </c>
      <c r="FO13" s="7" t="e">
        <f aca="false">IF(OR(#REF!&gt;2,#REF!&lt;-2),"",#REF!)</f>
        <v>#REF!</v>
      </c>
      <c r="FP13" s="7" t="e">
        <f aca="false">IF(OR(#REF!&gt;2,#REF!&lt;-2),"",#REF!)</f>
        <v>#REF!</v>
      </c>
      <c r="FQ13" s="7" t="e">
        <f aca="false">IF(OR(#REF!&gt;2,#REF!&lt;-2),"",#REF!)</f>
        <v>#REF!</v>
      </c>
      <c r="FR13" s="7" t="e">
        <f aca="false">IF(OR(#REF!&gt;2,#REF!&lt;-2),"",#REF!)</f>
        <v>#REF!</v>
      </c>
      <c r="FS13" s="7" t="e">
        <f aca="false">IF(OR(#REF!&gt;2,#REF!&lt;-2),"",#REF!)</f>
        <v>#REF!</v>
      </c>
      <c r="FT13" s="7" t="e">
        <f aca="false">IF(OR(#REF!&gt;2,#REF!&lt;-2),"",#REF!)</f>
        <v>#REF!</v>
      </c>
      <c r="FU13" s="7" t="e">
        <f aca="false">IF(OR(#REF!&gt;2,#REF!&lt;-2),"",#REF!)</f>
        <v>#REF!</v>
      </c>
      <c r="FV13" s="7" t="e">
        <f aca="false">IF(OR(#REF!&gt;2,#REF!&lt;-2),"",#REF!)</f>
        <v>#REF!</v>
      </c>
      <c r="FW13" s="7" t="e">
        <f aca="false">IF(OR(#REF!&gt;2,#REF!&lt;-2),"",#REF!)</f>
        <v>#REF!</v>
      </c>
      <c r="FX13" s="7" t="e">
        <f aca="false">IF(OR(#REF!&gt;2,#REF!&lt;-2),"",#REF!)</f>
        <v>#REF!</v>
      </c>
      <c r="FY13" s="7" t="e">
        <f aca="false">IF(OR(#REF!&gt;2,#REF!&lt;-2),"",#REF!)</f>
        <v>#REF!</v>
      </c>
      <c r="FZ13" s="7" t="e">
        <f aca="false">IF(OR(#REF!&gt;2,#REF!&lt;-2),"",#REF!)</f>
        <v>#REF!</v>
      </c>
      <c r="GA13" s="7" t="e">
        <f aca="false">IF(OR(#REF!&gt;2,#REF!&lt;-2),"",#REF!)</f>
        <v>#REF!</v>
      </c>
      <c r="GB13" s="7" t="e">
        <f aca="false">IF(OR(#REF!&gt;2,#REF!&lt;-2),"",#REF!)</f>
        <v>#REF!</v>
      </c>
      <c r="GC13" s="7" t="e">
        <f aca="false">IF(OR(#REF!&gt;2,#REF!&lt;-2),"",#REF!)</f>
        <v>#REF!</v>
      </c>
      <c r="GD13" s="7" t="e">
        <f aca="false">IF(OR(#REF!&gt;2,#REF!&lt;-2),"",#REF!)</f>
        <v>#REF!</v>
      </c>
      <c r="GE13" s="7" t="e">
        <f aca="false">IF(OR(#REF!&gt;2,#REF!&lt;-2),"",#REF!)</f>
        <v>#REF!</v>
      </c>
      <c r="GF13" s="7" t="e">
        <f aca="false">IF(OR(#REF!&gt;2,#REF!&lt;-2),"",#REF!)</f>
        <v>#REF!</v>
      </c>
      <c r="GG13" s="7" t="e">
        <f aca="false">IF(OR(#REF!&gt;2,#REF!&lt;-2),"",#REF!)</f>
        <v>#REF!</v>
      </c>
      <c r="GH13" s="7" t="e">
        <f aca="false">IF(OR(#REF!&gt;2,#REF!&lt;-2),"",#REF!)</f>
        <v>#REF!</v>
      </c>
      <c r="GI13" s="7" t="e">
        <f aca="false">IF(OR(#REF!&gt;2,#REF!&lt;-2),"",#REF!)</f>
        <v>#REF!</v>
      </c>
      <c r="GJ13" s="7" t="e">
        <f aca="false">IF(OR(#REF!&gt;2,#REF!&lt;-2),"",#REF!)</f>
        <v>#REF!</v>
      </c>
      <c r="GK13" s="7" t="e">
        <f aca="false">IF(OR(#REF!&gt;2,#REF!&lt;-2),"",#REF!)</f>
        <v>#REF!</v>
      </c>
      <c r="GL13" s="7" t="e">
        <f aca="false">IF(OR(#REF!&gt;2,#REF!&lt;-2),"",#REF!)</f>
        <v>#REF!</v>
      </c>
      <c r="GM13" s="7" t="e">
        <f aca="false">IF(OR(#REF!&gt;2,#REF!&lt;-2),"",#REF!)</f>
        <v>#REF!</v>
      </c>
      <c r="GN13" s="7" t="e">
        <f aca="false">IF(OR(#REF!&gt;2,#REF!&lt;-2),"",#REF!)</f>
        <v>#REF!</v>
      </c>
      <c r="GO13" s="7" t="e">
        <f aca="false">IF(OR(#REF!&gt;2,#REF!&lt;-2),"",#REF!)</f>
        <v>#REF!</v>
      </c>
      <c r="GP13" s="7" t="e">
        <f aca="false">IF(OR(#REF!&gt;2,#REF!&lt;-2),"",#REF!)</f>
        <v>#REF!</v>
      </c>
      <c r="GQ13" s="7" t="e">
        <f aca="false">IF(OR(#REF!&gt;2,#REF!&lt;-2),"",#REF!)</f>
        <v>#REF!</v>
      </c>
      <c r="GR13" s="7" t="e">
        <f aca="false">IF(OR(#REF!&gt;2,#REF!&lt;-2),"",#REF!)</f>
        <v>#REF!</v>
      </c>
      <c r="GS13" s="7" t="e">
        <f aca="false">IF(OR(#REF!&gt;2,#REF!&lt;-2),"",#REF!)</f>
        <v>#REF!</v>
      </c>
      <c r="GT13" s="7" t="e">
        <f aca="false">IF(OR(#REF!&gt;2,#REF!&lt;-2),"",#REF!)</f>
        <v>#REF!</v>
      </c>
      <c r="GU13" s="7" t="e">
        <f aca="false">IF(OR(#REF!&gt;2,#REF!&lt;-2),"",#REF!)</f>
        <v>#REF!</v>
      </c>
      <c r="GV13" s="7" t="e">
        <f aca="false">IF(OR(#REF!&gt;2,#REF!&lt;-2),"",#REF!)</f>
        <v>#REF!</v>
      </c>
      <c r="GW13" s="7" t="e">
        <f aca="false">IF(OR(#REF!&gt;2,#REF!&lt;-2),"",#REF!)</f>
        <v>#REF!</v>
      </c>
      <c r="GX13" s="7" t="e">
        <f aca="false">IF(OR(#REF!&gt;2,#REF!&lt;-2),"",#REF!)</f>
        <v>#REF!</v>
      </c>
      <c r="GY13" s="7" t="e">
        <f aca="false">IF(OR(#REF!&gt;2,#REF!&lt;-2),"",#REF!)</f>
        <v>#REF!</v>
      </c>
      <c r="GZ13" s="7" t="e">
        <f aca="false">IF(OR(#REF!&gt;2,#REF!&lt;-2),"",#REF!)</f>
        <v>#REF!</v>
      </c>
      <c r="HA13" s="7" t="e">
        <f aca="false">IF(OR(#REF!&gt;2,#REF!&lt;-2),"",#REF!)</f>
        <v>#REF!</v>
      </c>
      <c r="HB13" s="7" t="e">
        <f aca="false">IF(OR(#REF!&gt;2,#REF!&lt;-2),"",#REF!)</f>
        <v>#REF!</v>
      </c>
      <c r="HC13" s="7" t="e">
        <f aca="false">IF(OR(#REF!&gt;2,#REF!&lt;-2),"",#REF!)</f>
        <v>#REF!</v>
      </c>
      <c r="HD13" s="7" t="e">
        <f aca="false">IF(OR(#REF!&gt;2,#REF!&lt;-2),"",#REF!)</f>
        <v>#REF!</v>
      </c>
      <c r="HE13" s="7" t="e">
        <f aca="false">IF(OR(#REF!&gt;2,#REF!&lt;-2),"",#REF!)</f>
        <v>#REF!</v>
      </c>
      <c r="HF13" s="7" t="e">
        <f aca="false">IF(OR(#REF!&gt;2,#REF!&lt;-2),"",#REF!)</f>
        <v>#REF!</v>
      </c>
      <c r="HG13" s="7" t="e">
        <f aca="false">IF(OR(#REF!&gt;2,#REF!&lt;-2),"",#REF!)</f>
        <v>#REF!</v>
      </c>
      <c r="HH13" s="7" t="e">
        <f aca="false">IF(OR(#REF!&gt;2,#REF!&lt;-2),"",#REF!)</f>
        <v>#REF!</v>
      </c>
      <c r="HI13" s="7" t="e">
        <f aca="false">IF(OR(#REF!&gt;2,#REF!&lt;-2),"",#REF!)</f>
        <v>#REF!</v>
      </c>
      <c r="HJ13" s="7" t="e">
        <f aca="false">IF(OR(#REF!&gt;2,#REF!&lt;-2),"",#REF!)</f>
        <v>#REF!</v>
      </c>
      <c r="HK13" s="7" t="e">
        <f aca="false">IF(OR(#REF!&gt;2,#REF!&lt;-2),"",#REF!)</f>
        <v>#REF!</v>
      </c>
      <c r="HL13" s="7" t="e">
        <f aca="false">IF(OR(#REF!&gt;2,#REF!&lt;-2),"",#REF!)</f>
        <v>#REF!</v>
      </c>
      <c r="HM13" s="7" t="e">
        <f aca="false">IF(OR(#REF!&gt;2,#REF!&lt;-2),"",#REF!)</f>
        <v>#REF!</v>
      </c>
      <c r="HN13" s="7" t="e">
        <f aca="false">IF(OR(#REF!&gt;2,#REF!&lt;-2),"",#REF!)</f>
        <v>#REF!</v>
      </c>
      <c r="HO13" s="7" t="e">
        <f aca="false">IF(OR(#REF!&gt;2,#REF!&lt;-2),"",#REF!)</f>
        <v>#REF!</v>
      </c>
      <c r="HP13" s="7" t="e">
        <f aca="false">IF(OR(#REF!&gt;2,#REF!&lt;-2),"",#REF!)</f>
        <v>#REF!</v>
      </c>
      <c r="HQ13" s="7" t="e">
        <f aca="false">IF(OR(#REF!&gt;2,#REF!&lt;-2),"",#REF!)</f>
        <v>#REF!</v>
      </c>
      <c r="HR13" s="7" t="e">
        <f aca="false">IF(OR(#REF!&gt;2,#REF!&lt;-2),"",#REF!)</f>
        <v>#REF!</v>
      </c>
      <c r="HS13" s="7" t="e">
        <f aca="false">IF(OR(#REF!&gt;2,#REF!&lt;-2),"",#REF!)</f>
        <v>#REF!</v>
      </c>
      <c r="HT13" s="7" t="e">
        <f aca="false">IF(OR(#REF!&gt;2,#REF!&lt;-2),"",#REF!)</f>
        <v>#REF!</v>
      </c>
      <c r="HU13" s="7" t="e">
        <f aca="false">IF(OR(#REF!&gt;2,#REF!&lt;-2),"",#REF!)</f>
        <v>#REF!</v>
      </c>
      <c r="HV13" s="7" t="e">
        <f aca="false">IF(OR(#REF!&gt;2,#REF!&lt;-2),"",#REF!)</f>
        <v>#REF!</v>
      </c>
      <c r="HW13" s="7" t="e">
        <f aca="false">IF(OR(#REF!&gt;2,#REF!&lt;-2),"",#REF!)</f>
        <v>#REF!</v>
      </c>
      <c r="HX13" s="7" t="e">
        <f aca="false">IF(OR(#REF!&gt;2,#REF!&lt;-2),"",#REF!)</f>
        <v>#REF!</v>
      </c>
      <c r="HY13" s="7" t="e">
        <f aca="false">IF(OR(#REF!&gt;2,#REF!&lt;-2),"",#REF!)</f>
        <v>#REF!</v>
      </c>
      <c r="HZ13" s="7" t="e">
        <f aca="false">IF(OR(#REF!&gt;2,#REF!&lt;-2),"",#REF!)</f>
        <v>#REF!</v>
      </c>
      <c r="IA13" s="7" t="e">
        <f aca="false">IF(OR(#REF!&gt;2,#REF!&lt;-2),"",#REF!)</f>
        <v>#REF!</v>
      </c>
      <c r="IB13" s="7" t="e">
        <f aca="false">IF(OR(#REF!&gt;2,#REF!&lt;-2),"",#REF!)</f>
        <v>#REF!</v>
      </c>
      <c r="IC13" s="7" t="e">
        <f aca="false">IF(OR(#REF!&gt;2,#REF!&lt;-2),"",#REF!)</f>
        <v>#REF!</v>
      </c>
      <c r="ID13" s="7" t="e">
        <f aca="false">IF(OR(#REF!&gt;2,#REF!&lt;-2),"",#REF!)</f>
        <v>#REF!</v>
      </c>
      <c r="IE13" s="7" t="e">
        <f aca="false">IF(OR(#REF!&gt;2,#REF!&lt;-2),"",#REF!)</f>
        <v>#REF!</v>
      </c>
      <c r="IF13" s="7" t="e">
        <f aca="false">IF(OR(#REF!&gt;2,#REF!&lt;-2),"",#REF!)</f>
        <v>#REF!</v>
      </c>
      <c r="IG13" s="7" t="e">
        <f aca="false">IF(OR(#REF!&gt;2,#REF!&lt;-2),"",#REF!)</f>
        <v>#REF!</v>
      </c>
      <c r="IH13" s="7" t="e">
        <f aca="false">IF(OR(#REF!&gt;2,#REF!&lt;-2),"",#REF!)</f>
        <v>#REF!</v>
      </c>
      <c r="II13" s="7" t="e">
        <f aca="false">IF(OR(#REF!&gt;2,#REF!&lt;-2),"",#REF!)</f>
        <v>#REF!</v>
      </c>
      <c r="IJ13" s="7" t="e">
        <f aca="false">IF(OR(#REF!&gt;2,#REF!&lt;-2),"",#REF!)</f>
        <v>#REF!</v>
      </c>
      <c r="IK13" s="7" t="e">
        <f aca="false">IF(OR(#REF!&gt;2,#REF!&lt;-2),"",#REF!)</f>
        <v>#REF!</v>
      </c>
      <c r="IL13" s="7" t="e">
        <f aca="false">IF(OR(#REF!&gt;2,#REF!&lt;-2),"",#REF!)</f>
        <v>#REF!</v>
      </c>
      <c r="IM13" s="7" t="e">
        <f aca="false">IF(OR(#REF!&gt;2,#REF!&lt;-2),"",#REF!)</f>
        <v>#REF!</v>
      </c>
      <c r="IN13" s="7" t="e">
        <f aca="false">IF(OR(#REF!&gt;2,#REF!&lt;-2),"",#REF!)</f>
        <v>#REF!</v>
      </c>
      <c r="IO13" s="7" t="e">
        <f aca="false">IF(OR(#REF!&gt;2,#REF!&lt;-2),"",#REF!)</f>
        <v>#REF!</v>
      </c>
      <c r="IP13" s="7" t="e">
        <f aca="false">IF(OR(#REF!&gt;2,#REF!&lt;-2),"",#REF!)</f>
        <v>#REF!</v>
      </c>
      <c r="IQ13" s="7" t="e">
        <f aca="false">IF(OR(#REF!&gt;2,#REF!&lt;-2),"",#REF!)</f>
        <v>#REF!</v>
      </c>
      <c r="IR13" s="7" t="e">
        <f aca="false">IF(OR(#REF!&gt;2,#REF!&lt;-2),"",#REF!)</f>
        <v>#REF!</v>
      </c>
      <c r="IS13" s="7" t="e">
        <f aca="false">IF(OR(#REF!&gt;2,#REF!&lt;-2),"",#REF!)</f>
        <v>#REF!</v>
      </c>
      <c r="IT13" s="7" t="e">
        <f aca="false">IF(OR(#REF!&gt;2,#REF!&lt;-2),"",#REF!)</f>
        <v>#REF!</v>
      </c>
      <c r="IU13" s="7" t="e">
        <f aca="false">IF(OR(#REF!&gt;2,#REF!&lt;-2),"",#REF!)</f>
        <v>#REF!</v>
      </c>
      <c r="IV13" s="7" t="e">
        <f aca="false">IF(OR(#REF!&gt;2,#REF!&lt;-2),"",#REF!)</f>
        <v>#REF!</v>
      </c>
      <c r="IW13" s="7" t="e">
        <f aca="false">IF(OR(#REF!&gt;2,#REF!&lt;-2),"",#REF!)</f>
        <v>#REF!</v>
      </c>
      <c r="IX13" s="7" t="e">
        <f aca="false">IF(OR(#REF!&gt;2,#REF!&lt;-2),"",#REF!)</f>
        <v>#REF!</v>
      </c>
      <c r="IY13" s="7" t="e">
        <f aca="false">IF(OR(#REF!&gt;2,#REF!&lt;-2),"",#REF!)</f>
        <v>#REF!</v>
      </c>
      <c r="IZ13" s="7" t="e">
        <f aca="false">IF(OR(#REF!&gt;2,#REF!&lt;-2),"",#REF!)</f>
        <v>#REF!</v>
      </c>
      <c r="JA13" s="7" t="e">
        <f aca="false">IF(OR(#REF!&gt;2,#REF!&lt;-2),"",#REF!)</f>
        <v>#REF!</v>
      </c>
      <c r="JB13" s="7" t="e">
        <f aca="false">IF(OR(#REF!&gt;2,#REF!&lt;-2),"",#REF!)</f>
        <v>#REF!</v>
      </c>
      <c r="JC13" s="7" t="e">
        <f aca="false">IF(OR(#REF!&gt;2,#REF!&lt;-2),"",#REF!)</f>
        <v>#REF!</v>
      </c>
      <c r="JD13" s="7" t="e">
        <f aca="false">IF(OR(#REF!&gt;2,#REF!&lt;-2),"",#REF!)</f>
        <v>#REF!</v>
      </c>
      <c r="JE13" s="7" t="e">
        <f aca="false">IF(OR(#REF!&gt;2,#REF!&lt;-2),"",#REF!)</f>
        <v>#REF!</v>
      </c>
      <c r="JF13" s="7" t="e">
        <f aca="false">IF(OR(#REF!&gt;2,#REF!&lt;-2),"",#REF!)</f>
        <v>#REF!</v>
      </c>
      <c r="JG13" s="7" t="e">
        <f aca="false">IF(OR(#REF!&gt;2,#REF!&lt;-2),"",#REF!)</f>
        <v>#REF!</v>
      </c>
      <c r="JH13" s="7" t="e">
        <f aca="false">IF(OR(#REF!&gt;2,#REF!&lt;-2),"",#REF!)</f>
        <v>#REF!</v>
      </c>
      <c r="JI13" s="7" t="e">
        <f aca="false">IF(OR(#REF!&gt;2,#REF!&lt;-2),"",#REF!)</f>
        <v>#REF!</v>
      </c>
      <c r="JJ13" s="7" t="e">
        <f aca="false">IF(OR(#REF!&gt;2,#REF!&lt;-2),"",#REF!)</f>
        <v>#REF!</v>
      </c>
      <c r="JK13" s="7" t="e">
        <f aca="false">IF(OR(#REF!&gt;2,#REF!&lt;-2),"",#REF!)</f>
        <v>#REF!</v>
      </c>
      <c r="JL13" s="7" t="e">
        <f aca="false">IF(OR(#REF!&gt;2,#REF!&lt;-2),"",#REF!)</f>
        <v>#REF!</v>
      </c>
      <c r="JM13" s="7" t="e">
        <f aca="false">IF(OR(#REF!&gt;2,#REF!&lt;-2),"",#REF!)</f>
        <v>#REF!</v>
      </c>
      <c r="JN13" s="7" t="e">
        <f aca="false">IF(OR(#REF!&gt;2,#REF!&lt;-2),"",#REF!)</f>
        <v>#REF!</v>
      </c>
      <c r="JO13" s="7" t="e">
        <f aca="false">IF(OR(#REF!&gt;2,#REF!&lt;-2),"",#REF!)</f>
        <v>#REF!</v>
      </c>
      <c r="JP13" s="7" t="e">
        <f aca="false">IF(OR(#REF!&gt;2,#REF!&lt;-2),"",#REF!)</f>
        <v>#REF!</v>
      </c>
      <c r="JQ13" s="7" t="e">
        <f aca="false">IF(OR(#REF!&gt;2,#REF!&lt;-2),"",#REF!)</f>
        <v>#REF!</v>
      </c>
      <c r="JR13" s="7" t="e">
        <f aca="false">IF(OR(#REF!&gt;2,#REF!&lt;-2),"",#REF!)</f>
        <v>#REF!</v>
      </c>
      <c r="JS13" s="7" t="e">
        <f aca="false">IF(OR(#REF!&gt;2,#REF!&lt;-2),"",#REF!)</f>
        <v>#REF!</v>
      </c>
      <c r="JT13" s="7" t="e">
        <f aca="false">IF(OR(#REF!&gt;2,#REF!&lt;-2),"",#REF!)</f>
        <v>#REF!</v>
      </c>
      <c r="JU13" s="7" t="e">
        <f aca="false">IF(OR(#REF!&gt;2,#REF!&lt;-2),"",#REF!)</f>
        <v>#REF!</v>
      </c>
      <c r="JV13" s="7" t="e">
        <f aca="false">IF(OR(#REF!&gt;2,#REF!&lt;-2),"",#REF!)</f>
        <v>#REF!</v>
      </c>
      <c r="JW13" s="7" t="e">
        <f aca="false">IF(OR(#REF!&gt;2,#REF!&lt;-2),"",#REF!)</f>
        <v>#REF!</v>
      </c>
      <c r="JX13" s="7" t="e">
        <f aca="false">IF(OR(#REF!&gt;2,#REF!&lt;-2),"",#REF!)</f>
        <v>#REF!</v>
      </c>
      <c r="JY13" s="7" t="e">
        <f aca="false">IF(OR(#REF!&gt;2,#REF!&lt;-2),"",#REF!)</f>
        <v>#REF!</v>
      </c>
      <c r="JZ13" s="7" t="e">
        <f aca="false">IF(OR(#REF!&gt;2,#REF!&lt;-2),"",#REF!)</f>
        <v>#REF!</v>
      </c>
      <c r="KA13" s="7" t="e">
        <f aca="false">IF(OR(#REF!&gt;2,#REF!&lt;-2),"",#REF!)</f>
        <v>#REF!</v>
      </c>
      <c r="KB13" s="7" t="e">
        <f aca="false">IF(OR(#REF!&gt;2,#REF!&lt;-2),"",#REF!)</f>
        <v>#REF!</v>
      </c>
      <c r="KC13" s="7" t="e">
        <f aca="false">IF(OR(#REF!&gt;2,#REF!&lt;-2),"",#REF!)</f>
        <v>#REF!</v>
      </c>
      <c r="KD13" s="7" t="e">
        <f aca="false">IF(OR(#REF!&gt;2,#REF!&lt;-2),"",#REF!)</f>
        <v>#REF!</v>
      </c>
      <c r="KE13" s="7" t="e">
        <f aca="false">IF(OR(#REF!&gt;2,#REF!&lt;-2),"",#REF!)</f>
        <v>#REF!</v>
      </c>
      <c r="KF13" s="7" t="e">
        <f aca="false">IF(OR(#REF!&gt;2,#REF!&lt;-2),"",#REF!)</f>
        <v>#REF!</v>
      </c>
      <c r="KG13" s="7" t="e">
        <f aca="false">IF(OR(#REF!&gt;2,#REF!&lt;-2),"",#REF!)</f>
        <v>#REF!</v>
      </c>
      <c r="KH13" s="7" t="e">
        <f aca="false">IF(OR(#REF!&gt;2,#REF!&lt;-2),"",#REF!)</f>
        <v>#REF!</v>
      </c>
      <c r="KI13" s="7" t="e">
        <f aca="false">IF(OR(#REF!&gt;2,#REF!&lt;-2),"",#REF!)</f>
        <v>#REF!</v>
      </c>
      <c r="KJ13" s="7" t="e">
        <f aca="false">IF(OR(#REF!&gt;2,#REF!&lt;-2),"",#REF!)</f>
        <v>#REF!</v>
      </c>
      <c r="KK13" s="7" t="e">
        <f aca="false">IF(OR(#REF!&gt;2,#REF!&lt;-2),"",#REF!)</f>
        <v>#REF!</v>
      </c>
      <c r="KL13" s="7" t="e">
        <f aca="false">IF(OR(#REF!&gt;2,#REF!&lt;-2),"",#REF!)</f>
        <v>#REF!</v>
      </c>
      <c r="KM13" s="7" t="e">
        <f aca="false">IF(OR(#REF!&gt;2,#REF!&lt;-2),"",#REF!)</f>
        <v>#REF!</v>
      </c>
      <c r="KN13" s="7" t="e">
        <f aca="false">IF(OR(#REF!&gt;2,#REF!&lt;-2),"",#REF!)</f>
        <v>#REF!</v>
      </c>
      <c r="KO13" s="7" t="e">
        <f aca="false">IF(OR(#REF!&gt;2,#REF!&lt;-2),"",#REF!)</f>
        <v>#REF!</v>
      </c>
      <c r="KP13" s="7" t="e">
        <f aca="false">IF(OR(#REF!&gt;2,#REF!&lt;-2),"",#REF!)</f>
        <v>#REF!</v>
      </c>
      <c r="KQ13" s="7" t="e">
        <f aca="false">IF(OR(#REF!&gt;2,#REF!&lt;-2),"",#REF!)</f>
        <v>#REF!</v>
      </c>
      <c r="KR13" s="7" t="e">
        <f aca="false">IF(OR(#REF!&gt;2,#REF!&lt;-2),"",#REF!)</f>
        <v>#REF!</v>
      </c>
      <c r="KS13" s="7" t="e">
        <f aca="false">IF(OR(#REF!&gt;2,#REF!&lt;-2),"",#REF!)</f>
        <v>#REF!</v>
      </c>
      <c r="KT13" s="7" t="e">
        <f aca="false">IF(OR(#REF!&gt;2,#REF!&lt;-2),"",#REF!)</f>
        <v>#REF!</v>
      </c>
      <c r="KU13" s="7" t="e">
        <f aca="false">IF(OR(#REF!&gt;2,#REF!&lt;-2),"",#REF!)</f>
        <v>#REF!</v>
      </c>
      <c r="KV13" s="7" t="e">
        <f aca="false">IF(OR(#REF!&gt;2,#REF!&lt;-2),"",#REF!)</f>
        <v>#REF!</v>
      </c>
      <c r="KW13" s="7" t="e">
        <f aca="false">IF(OR(#REF!&gt;2,#REF!&lt;-2),"",#REF!)</f>
        <v>#REF!</v>
      </c>
      <c r="KX13" s="7" t="e">
        <f aca="false">IF(OR(#REF!&gt;2,#REF!&lt;-2),"",#REF!)</f>
        <v>#REF!</v>
      </c>
      <c r="KY13" s="7" t="e">
        <f aca="false">IF(OR(#REF!&gt;2,#REF!&lt;-2),"",#REF!)</f>
        <v>#REF!</v>
      </c>
      <c r="KZ13" s="7" t="e">
        <f aca="false">IF(OR(#REF!&gt;2,#REF!&lt;-2),"",#REF!)</f>
        <v>#REF!</v>
      </c>
      <c r="LA13" s="7" t="e">
        <f aca="false">IF(OR(#REF!&gt;2,#REF!&lt;-2),"",#REF!)</f>
        <v>#REF!</v>
      </c>
      <c r="LB13" s="7" t="e">
        <f aca="false">IF(OR(#REF!&gt;2,#REF!&lt;-2),"",#REF!)</f>
        <v>#REF!</v>
      </c>
      <c r="LC13" s="7" t="e">
        <f aca="false">IF(OR(#REF!&gt;2,#REF!&lt;-2),"",#REF!)</f>
        <v>#REF!</v>
      </c>
      <c r="LD13" s="7" t="e">
        <f aca="false">IF(OR(#REF!&gt;2,#REF!&lt;-2),"",#REF!)</f>
        <v>#REF!</v>
      </c>
      <c r="LE13" s="7" t="e">
        <f aca="false">IF(OR(#REF!&gt;2,#REF!&lt;-2),"",#REF!)</f>
        <v>#REF!</v>
      </c>
      <c r="LF13" s="7" t="e">
        <f aca="false">IF(OR(#REF!&gt;2,#REF!&lt;-2),"",#REF!)</f>
        <v>#REF!</v>
      </c>
      <c r="LG13" s="7" t="e">
        <f aca="false">IF(OR(#REF!&gt;2,#REF!&lt;-2),"",#REF!)</f>
        <v>#REF!</v>
      </c>
      <c r="LH13" s="7" t="e">
        <f aca="false">IF(OR(#REF!&gt;2,#REF!&lt;-2),"",#REF!)</f>
        <v>#REF!</v>
      </c>
      <c r="LI13" s="7" t="e">
        <f aca="false">IF(OR(#REF!&gt;2,#REF!&lt;-2),"",#REF!)</f>
        <v>#REF!</v>
      </c>
      <c r="LJ13" s="7" t="e">
        <f aca="false">IF(OR(#REF!&gt;2,#REF!&lt;-2),"",#REF!)</f>
        <v>#REF!</v>
      </c>
      <c r="LK13" s="7" t="e">
        <f aca="false">IF(OR(#REF!&gt;2,#REF!&lt;-2),"",#REF!)</f>
        <v>#REF!</v>
      </c>
      <c r="LL13" s="7" t="e">
        <f aca="false">IF(OR(#REF!&gt;2,#REF!&lt;-2),"",#REF!)</f>
        <v>#REF!</v>
      </c>
      <c r="LM13" s="7" t="e">
        <f aca="false">IF(OR(#REF!&gt;2,#REF!&lt;-2),"",#REF!)</f>
        <v>#REF!</v>
      </c>
      <c r="LN13" s="7" t="e">
        <f aca="false">IF(OR(#REF!&gt;2,#REF!&lt;-2),"",#REF!)</f>
        <v>#REF!</v>
      </c>
      <c r="LO13" s="7" t="e">
        <f aca="false">IF(OR(#REF!&gt;2,#REF!&lt;-2),"",#REF!)</f>
        <v>#REF!</v>
      </c>
      <c r="LP13" s="7" t="e">
        <f aca="false">IF(OR(#REF!&gt;2,#REF!&lt;-2),"",#REF!)</f>
        <v>#REF!</v>
      </c>
      <c r="LQ13" s="7" t="e">
        <f aca="false">IF(OR(#REF!&gt;2,#REF!&lt;-2),"",#REF!)</f>
        <v>#REF!</v>
      </c>
      <c r="LR13" s="7" t="e">
        <f aca="false">IF(OR(#REF!&gt;2,#REF!&lt;-2),"",#REF!)</f>
        <v>#REF!</v>
      </c>
      <c r="LS13" s="7" t="e">
        <f aca="false">IF(OR(#REF!&gt;2,#REF!&lt;-2),"",#REF!)</f>
        <v>#REF!</v>
      </c>
      <c r="LT13" s="7" t="e">
        <f aca="false">IF(OR(#REF!&gt;2,#REF!&lt;-2),"",#REF!)</f>
        <v>#REF!</v>
      </c>
      <c r="LU13" s="7" t="e">
        <f aca="false">IF(OR(#REF!&gt;2,#REF!&lt;-2),"",#REF!)</f>
        <v>#REF!</v>
      </c>
      <c r="LV13" s="7" t="e">
        <f aca="false">IF(OR(#REF!&gt;2,#REF!&lt;-2),"",#REF!)</f>
        <v>#REF!</v>
      </c>
      <c r="LW13" s="7" t="e">
        <f aca="false">IF(OR(#REF!&gt;2,#REF!&lt;-2),"",#REF!)</f>
        <v>#REF!</v>
      </c>
      <c r="LX13" s="7" t="e">
        <f aca="false">IF(OR(#REF!&gt;2,#REF!&lt;-2),"",#REF!)</f>
        <v>#REF!</v>
      </c>
      <c r="LY13" s="7" t="e">
        <f aca="false">IF(OR(#REF!&gt;2,#REF!&lt;-2),"",#REF!)</f>
        <v>#REF!</v>
      </c>
      <c r="LZ13" s="7" t="e">
        <f aca="false">IF(OR(#REF!&gt;2,#REF!&lt;-2),"",#REF!)</f>
        <v>#REF!</v>
      </c>
      <c r="MA13" s="7" t="e">
        <f aca="false">IF(OR(#REF!&gt;2,#REF!&lt;-2),"",#REF!)</f>
        <v>#REF!</v>
      </c>
      <c r="MB13" s="7" t="e">
        <f aca="false">IF(OR(#REF!&gt;2,#REF!&lt;-2),"",#REF!)</f>
        <v>#REF!</v>
      </c>
      <c r="MC13" s="7" t="e">
        <f aca="false">IF(OR(#REF!&gt;2,#REF!&lt;-2),"",#REF!)</f>
        <v>#REF!</v>
      </c>
      <c r="MD13" s="7" t="e">
        <f aca="false">IF(OR(#REF!&gt;2,#REF!&lt;-2),"",#REF!)</f>
        <v>#REF!</v>
      </c>
      <c r="ME13" s="7" t="e">
        <f aca="false">IF(OR(#REF!&gt;2,#REF!&lt;-2),"",#REF!)</f>
        <v>#REF!</v>
      </c>
      <c r="MF13" s="7" t="e">
        <f aca="false">IF(OR(#REF!&gt;2,#REF!&lt;-2),"",#REF!)</f>
        <v>#REF!</v>
      </c>
      <c r="MG13" s="7" t="e">
        <f aca="false">IF(OR(#REF!&gt;2,#REF!&lt;-2),"",#REF!)</f>
        <v>#REF!</v>
      </c>
      <c r="MH13" s="7" t="e">
        <f aca="false">IF(OR(#REF!&gt;2,#REF!&lt;-2),"",#REF!)</f>
        <v>#REF!</v>
      </c>
      <c r="MI13" s="7" t="e">
        <f aca="false">IF(OR(#REF!&gt;2,#REF!&lt;-2),"",#REF!)</f>
        <v>#REF!</v>
      </c>
      <c r="MJ13" s="7" t="e">
        <f aca="false">IF(OR(#REF!&gt;2,#REF!&lt;-2),"",#REF!)</f>
        <v>#REF!</v>
      </c>
      <c r="MK13" s="7" t="e">
        <f aca="false">IF(OR(#REF!&gt;2,#REF!&lt;-2),"",#REF!)</f>
        <v>#REF!</v>
      </c>
      <c r="ML13" s="7" t="e">
        <f aca="false">IF(OR(#REF!&gt;2,#REF!&lt;-2),"",#REF!)</f>
        <v>#REF!</v>
      </c>
      <c r="MM13" s="7" t="e">
        <f aca="false">IF(OR(#REF!&gt;2,#REF!&lt;-2),"",#REF!)</f>
        <v>#REF!</v>
      </c>
      <c r="MN13" s="7" t="e">
        <f aca="false">IF(OR(#REF!&gt;2,#REF!&lt;-2),"",#REF!)</f>
        <v>#REF!</v>
      </c>
      <c r="MO13" s="7" t="e">
        <f aca="false">IF(OR(#REF!&gt;2,#REF!&lt;-2),"",#REF!)</f>
        <v>#REF!</v>
      </c>
      <c r="MP13" s="7" t="e">
        <f aca="false">IF(OR(#REF!&gt;2,#REF!&lt;-2),"",#REF!)</f>
        <v>#REF!</v>
      </c>
      <c r="MQ13" s="7" t="e">
        <f aca="false">IF(OR(#REF!&gt;2,#REF!&lt;-2),"",#REF!)</f>
        <v>#REF!</v>
      </c>
      <c r="MR13" s="7" t="e">
        <f aca="false">IF(OR(#REF!&gt;2,#REF!&lt;-2),"",#REF!)</f>
        <v>#REF!</v>
      </c>
      <c r="MS13" s="7" t="e">
        <f aca="false">IF(OR(#REF!&gt;2,#REF!&lt;-2),"",#REF!)</f>
        <v>#REF!</v>
      </c>
      <c r="MT13" s="7" t="e">
        <f aca="false">IF(OR(#REF!&gt;2,#REF!&lt;-2),"",#REF!)</f>
        <v>#REF!</v>
      </c>
      <c r="MU13" s="7" t="e">
        <f aca="false">IF(OR(#REF!&gt;2,#REF!&lt;-2),"",#REF!)</f>
        <v>#REF!</v>
      </c>
      <c r="MV13" s="7" t="e">
        <f aca="false">IF(OR(#REF!&gt;2,#REF!&lt;-2),"",#REF!)</f>
        <v>#REF!</v>
      </c>
      <c r="MW13" s="7" t="e">
        <f aca="false">IF(OR(#REF!&gt;2,#REF!&lt;-2),"",#REF!)</f>
        <v>#REF!</v>
      </c>
      <c r="MX13" s="7" t="e">
        <f aca="false">IF(OR(#REF!&gt;2,#REF!&lt;-2),"",#REF!)</f>
        <v>#REF!</v>
      </c>
      <c r="MY13" s="7" t="e">
        <f aca="false">IF(OR(#REF!&gt;2,#REF!&lt;-2),"",#REF!)</f>
        <v>#REF!</v>
      </c>
      <c r="MZ13" s="7" t="e">
        <f aca="false">IF(OR(#REF!&gt;2,#REF!&lt;-2),"",#REF!)</f>
        <v>#REF!</v>
      </c>
      <c r="NA13" s="7" t="e">
        <f aca="false">IF(OR(#REF!&gt;2,#REF!&lt;-2),"",#REF!)</f>
        <v>#REF!</v>
      </c>
      <c r="NB13" s="7" t="e">
        <f aca="false">IF(OR(#REF!&gt;2,#REF!&lt;-2),"",#REF!)</f>
        <v>#REF!</v>
      </c>
      <c r="NC13" s="7" t="e">
        <f aca="false">IF(OR(#REF!&gt;2,#REF!&lt;-2),"",#REF!)</f>
        <v>#REF!</v>
      </c>
      <c r="ND13" s="7" t="e">
        <f aca="false">IF(OR(#REF!&gt;2,#REF!&lt;-2),"",#REF!)</f>
        <v>#REF!</v>
      </c>
      <c r="NE13" s="7" t="e">
        <f aca="false">IF(OR(#REF!&gt;2,#REF!&lt;-2),"",#REF!)</f>
        <v>#REF!</v>
      </c>
      <c r="NF13" s="7" t="e">
        <f aca="false">IF(OR(#REF!&gt;2,#REF!&lt;-2),"",#REF!)</f>
        <v>#REF!</v>
      </c>
      <c r="NG13" s="7" t="e">
        <f aca="false">IF(OR(#REF!&gt;2,#REF!&lt;-2),"",#REF!)</f>
        <v>#REF!</v>
      </c>
      <c r="NH13" s="7" t="e">
        <f aca="false">IF(OR(#REF!&gt;2,#REF!&lt;-2),"",#REF!)</f>
        <v>#REF!</v>
      </c>
      <c r="NI13" s="7" t="e">
        <f aca="false">IF(OR(#REF!&gt;2,#REF!&lt;-2),"",#REF!)</f>
        <v>#REF!</v>
      </c>
      <c r="NJ13" s="7" t="e">
        <f aca="false">IF(OR(#REF!&gt;2,#REF!&lt;-2),"",#REF!)</f>
        <v>#REF!</v>
      </c>
      <c r="NK13" s="7" t="e">
        <f aca="false">IF(OR(#REF!&gt;2,#REF!&lt;-2),"",#REF!)</f>
        <v>#REF!</v>
      </c>
      <c r="NL13" s="7" t="e">
        <f aca="false">IF(OR(#REF!&gt;2,#REF!&lt;-2),"",#REF!)</f>
        <v>#REF!</v>
      </c>
      <c r="NM13" s="7" t="e">
        <f aca="false">IF(OR(#REF!&gt;2,#REF!&lt;-2),"",#REF!)</f>
        <v>#REF!</v>
      </c>
      <c r="NN13" s="7" t="e">
        <f aca="false">IF(OR(#REF!&gt;2,#REF!&lt;-2),"",#REF!)</f>
        <v>#REF!</v>
      </c>
      <c r="NO13" s="7" t="e">
        <f aca="false">IF(OR(#REF!&gt;2,#REF!&lt;-2),"",#REF!)</f>
        <v>#REF!</v>
      </c>
      <c r="NP13" s="7" t="e">
        <f aca="false">IF(OR(#REF!&gt;2,#REF!&lt;-2),"",#REF!)</f>
        <v>#REF!</v>
      </c>
      <c r="NQ13" s="7" t="e">
        <f aca="false">IF(OR(#REF!&gt;2,#REF!&lt;-2),"",#REF!)</f>
        <v>#REF!</v>
      </c>
      <c r="NR13" s="7" t="e">
        <f aca="false">IF(OR(#REF!&gt;2,#REF!&lt;-2),"",#REF!)</f>
        <v>#REF!</v>
      </c>
      <c r="NS13" s="7" t="e">
        <f aca="false">IF(OR(#REF!&gt;2,#REF!&lt;-2),"",#REF!)</f>
        <v>#REF!</v>
      </c>
      <c r="NT13" s="7" t="e">
        <f aca="false">IF(OR(#REF!&gt;2,#REF!&lt;-2),"",#REF!)</f>
        <v>#REF!</v>
      </c>
      <c r="NU13" s="7" t="e">
        <f aca="false">IF(OR(#REF!&gt;2,#REF!&lt;-2),"",#REF!)</f>
        <v>#REF!</v>
      </c>
      <c r="NV13" s="7" t="e">
        <f aca="false">IF(OR(#REF!&gt;2,#REF!&lt;-2),"",#REF!)</f>
        <v>#REF!</v>
      </c>
      <c r="NW13" s="7" t="e">
        <f aca="false">IF(OR(#REF!&gt;2,#REF!&lt;-2),"",#REF!)</f>
        <v>#REF!</v>
      </c>
      <c r="NX13" s="7" t="e">
        <f aca="false">IF(OR(#REF!&gt;2,#REF!&lt;-2),"",#REF!)</f>
        <v>#REF!</v>
      </c>
      <c r="NY13" s="7" t="e">
        <f aca="false">IF(OR(#REF!&gt;2,#REF!&lt;-2),"",#REF!)</f>
        <v>#REF!</v>
      </c>
      <c r="NZ13" s="7" t="e">
        <f aca="false">IF(OR(#REF!&gt;2,#REF!&lt;-2),"",#REF!)</f>
        <v>#REF!</v>
      </c>
      <c r="OA13" s="7" t="e">
        <f aca="false">IF(OR(#REF!&gt;2,#REF!&lt;-2),"",#REF!)</f>
        <v>#REF!</v>
      </c>
      <c r="OB13" s="7" t="e">
        <f aca="false">IF(OR(#REF!&gt;2,#REF!&lt;-2),"",#REF!)</f>
        <v>#REF!</v>
      </c>
      <c r="OC13" s="7" t="e">
        <f aca="false">IF(OR(#REF!&gt;2,#REF!&lt;-2),"",#REF!)</f>
        <v>#REF!</v>
      </c>
      <c r="OD13" s="7" t="e">
        <f aca="false">IF(OR(#REF!&gt;2,#REF!&lt;-2),"",#REF!)</f>
        <v>#REF!</v>
      </c>
      <c r="OE13" s="7" t="e">
        <f aca="false">IF(OR(#REF!&gt;2,#REF!&lt;-2),"",#REF!)</f>
        <v>#REF!</v>
      </c>
      <c r="OF13" s="7" t="e">
        <f aca="false">IF(OR(#REF!&gt;2,#REF!&lt;-2),"",#REF!)</f>
        <v>#REF!</v>
      </c>
      <c r="OG13" s="7" t="e">
        <f aca="false">IF(OR(#REF!&gt;2,#REF!&lt;-2),"",#REF!)</f>
        <v>#REF!</v>
      </c>
      <c r="OH13" s="7" t="e">
        <f aca="false">IF(OR(#REF!&gt;2,#REF!&lt;-2),"",#REF!)</f>
        <v>#REF!</v>
      </c>
      <c r="OI13" s="7" t="e">
        <f aca="false">IF(OR(#REF!&gt;2,#REF!&lt;-2),"",#REF!)</f>
        <v>#REF!</v>
      </c>
      <c r="OJ13" s="7" t="e">
        <f aca="false">IF(OR(#REF!&gt;2,#REF!&lt;-2),"",#REF!)</f>
        <v>#REF!</v>
      </c>
      <c r="OK13" s="7" t="e">
        <f aca="false">IF(OR(#REF!&gt;2,#REF!&lt;-2),"",#REF!)</f>
        <v>#REF!</v>
      </c>
      <c r="OL13" s="7" t="e">
        <f aca="false">IF(OR(#REF!&gt;2,#REF!&lt;-2),"",#REF!)</f>
        <v>#REF!</v>
      </c>
      <c r="OM13" s="7" t="e">
        <f aca="false">IF(OR(#REF!&gt;2,#REF!&lt;-2),"",#REF!)</f>
        <v>#REF!</v>
      </c>
      <c r="ON13" s="7" t="e">
        <f aca="false">IF(OR(#REF!&gt;2,#REF!&lt;-2),"",#REF!)</f>
        <v>#REF!</v>
      </c>
      <c r="OO13" s="7" t="e">
        <f aca="false">IF(OR(#REF!&gt;2,#REF!&lt;-2),"",#REF!)</f>
        <v>#REF!</v>
      </c>
      <c r="OP13" s="7" t="e">
        <f aca="false">IF(OR(#REF!&gt;2,#REF!&lt;-2),"",#REF!)</f>
        <v>#REF!</v>
      </c>
      <c r="OQ13" s="7" t="e">
        <f aca="false">IF(OR(#REF!&gt;2,#REF!&lt;-2),"",#REF!)</f>
        <v>#REF!</v>
      </c>
      <c r="OR13" s="7" t="e">
        <f aca="false">IF(OR(#REF!&gt;2,#REF!&lt;-2),"",#REF!)</f>
        <v>#REF!</v>
      </c>
      <c r="OS13" s="7" t="e">
        <f aca="false">IF(OR(#REF!&gt;2,#REF!&lt;-2),"",#REF!)</f>
        <v>#REF!</v>
      </c>
      <c r="OT13" s="7" t="e">
        <f aca="false">IF(OR(#REF!&gt;2,#REF!&lt;-2),"",#REF!)</f>
        <v>#REF!</v>
      </c>
      <c r="OU13" s="7" t="e">
        <f aca="false">IF(OR(#REF!&gt;2,#REF!&lt;-2),"",#REF!)</f>
        <v>#REF!</v>
      </c>
      <c r="OV13" s="7" t="e">
        <f aca="false">IF(OR(#REF!&gt;2,#REF!&lt;-2),"",#REF!)</f>
        <v>#REF!</v>
      </c>
      <c r="OW13" s="7" t="e">
        <f aca="false">IF(OR(#REF!&gt;2,#REF!&lt;-2),"",#REF!)</f>
        <v>#REF!</v>
      </c>
      <c r="OX13" s="7" t="e">
        <f aca="false">IF(OR(#REF!&gt;2,#REF!&lt;-2),"",#REF!)</f>
        <v>#REF!</v>
      </c>
      <c r="OY13" s="7" t="e">
        <f aca="false">IF(OR(#REF!&gt;2,#REF!&lt;-2),"",#REF!)</f>
        <v>#REF!</v>
      </c>
      <c r="OZ13" s="7" t="e">
        <f aca="false">IF(OR(#REF!&gt;2,#REF!&lt;-2),"",#REF!)</f>
        <v>#REF!</v>
      </c>
      <c r="PA13" s="7" t="e">
        <f aca="false">IF(OR(#REF!&gt;2,#REF!&lt;-2),"",#REF!)</f>
        <v>#REF!</v>
      </c>
      <c r="PB13" s="7" t="e">
        <f aca="false">IF(OR(#REF!&gt;2,#REF!&lt;-2),"",#REF!)</f>
        <v>#REF!</v>
      </c>
      <c r="PC13" s="7" t="e">
        <f aca="false">IF(OR(#REF!&gt;2,#REF!&lt;-2),"",#REF!)</f>
        <v>#REF!</v>
      </c>
      <c r="PD13" s="7" t="e">
        <f aca="false">IF(OR(#REF!&gt;2,#REF!&lt;-2),"",#REF!)</f>
        <v>#REF!</v>
      </c>
      <c r="PE13" s="7" t="e">
        <f aca="false">IF(OR(#REF!&gt;2,#REF!&lt;-2),"",#REF!)</f>
        <v>#REF!</v>
      </c>
      <c r="PF13" s="7" t="e">
        <f aca="false">IF(OR(#REF!&gt;2,#REF!&lt;-2),"",#REF!)</f>
        <v>#REF!</v>
      </c>
      <c r="PG13" s="7" t="e">
        <f aca="false">IF(OR(#REF!&gt;2,#REF!&lt;-2),"",#REF!)</f>
        <v>#REF!</v>
      </c>
      <c r="PH13" s="7" t="e">
        <f aca="false">IF(OR(#REF!&gt;2,#REF!&lt;-2),"",#REF!)</f>
        <v>#REF!</v>
      </c>
      <c r="PI13" s="7" t="e">
        <f aca="false">IF(OR(#REF!&gt;2,#REF!&lt;-2),"",#REF!)</f>
        <v>#REF!</v>
      </c>
      <c r="PJ13" s="7" t="e">
        <f aca="false">IF(OR(#REF!&gt;2,#REF!&lt;-2),"",#REF!)</f>
        <v>#REF!</v>
      </c>
      <c r="PK13" s="7" t="e">
        <f aca="false">IF(OR(#REF!&gt;2,#REF!&lt;-2),"",#REF!)</f>
        <v>#REF!</v>
      </c>
      <c r="PL13" s="7" t="e">
        <f aca="false">IF(OR(#REF!&gt;2,#REF!&lt;-2),"",#REF!)</f>
        <v>#REF!</v>
      </c>
      <c r="PM13" s="7" t="e">
        <f aca="false">IF(OR(#REF!&gt;2,#REF!&lt;-2),"",#REF!)</f>
        <v>#REF!</v>
      </c>
      <c r="PN13" s="7" t="e">
        <f aca="false">IF(OR(#REF!&gt;2,#REF!&lt;-2),"",#REF!)</f>
        <v>#REF!</v>
      </c>
      <c r="PO13" s="7" t="e">
        <f aca="false">IF(OR(#REF!&gt;2,#REF!&lt;-2),"",#REF!)</f>
        <v>#REF!</v>
      </c>
      <c r="PP13" s="7" t="e">
        <f aca="false">IF(OR(#REF!&gt;2,#REF!&lt;-2),"",#REF!)</f>
        <v>#REF!</v>
      </c>
      <c r="PQ13" s="7" t="e">
        <f aca="false">IF(OR(#REF!&gt;2,#REF!&lt;-2),"",#REF!)</f>
        <v>#REF!</v>
      </c>
      <c r="PR13" s="7" t="e">
        <f aca="false">IF(OR(#REF!&gt;2,#REF!&lt;-2),"",#REF!)</f>
        <v>#REF!</v>
      </c>
      <c r="PS13" s="7" t="e">
        <f aca="false">IF(OR(#REF!&gt;2,#REF!&lt;-2),"",#REF!)</f>
        <v>#REF!</v>
      </c>
      <c r="PT13" s="7" t="e">
        <f aca="false">IF(OR(#REF!&gt;2,#REF!&lt;-2),"",#REF!)</f>
        <v>#REF!</v>
      </c>
      <c r="PU13" s="7" t="e">
        <f aca="false">IF(OR(#REF!&gt;2,#REF!&lt;-2),"",#REF!)</f>
        <v>#REF!</v>
      </c>
      <c r="PV13" s="7" t="e">
        <f aca="false">IF(OR(#REF!&gt;2,#REF!&lt;-2),"",#REF!)</f>
        <v>#REF!</v>
      </c>
      <c r="PW13" s="7" t="e">
        <f aca="false">IF(OR(#REF!&gt;2,#REF!&lt;-2),"",#REF!)</f>
        <v>#REF!</v>
      </c>
      <c r="PX13" s="7" t="e">
        <f aca="false">IF(OR(#REF!&gt;2,#REF!&lt;-2),"",#REF!)</f>
        <v>#REF!</v>
      </c>
      <c r="PY13" s="7" t="e">
        <f aca="false">IF(OR(#REF!&gt;2,#REF!&lt;-2),"",#REF!)</f>
        <v>#REF!</v>
      </c>
      <c r="PZ13" s="7" t="e">
        <f aca="false">IF(OR(#REF!&gt;2,#REF!&lt;-2),"",#REF!)</f>
        <v>#REF!</v>
      </c>
      <c r="QA13" s="7" t="e">
        <f aca="false">IF(OR(#REF!&gt;2,#REF!&lt;-2),"",#REF!)</f>
        <v>#REF!</v>
      </c>
      <c r="QB13" s="7" t="e">
        <f aca="false">IF(OR(#REF!&gt;2,#REF!&lt;-2),"",#REF!)</f>
        <v>#REF!</v>
      </c>
      <c r="QC13" s="7" t="e">
        <f aca="false">IF(OR(#REF!&gt;2,#REF!&lt;-2),"",#REF!)</f>
        <v>#REF!</v>
      </c>
      <c r="QD13" s="7" t="e">
        <f aca="false">IF(OR(#REF!&gt;2,#REF!&lt;-2),"",#REF!)</f>
        <v>#REF!</v>
      </c>
      <c r="QE13" s="7" t="e">
        <f aca="false">IF(OR(#REF!&gt;2,#REF!&lt;-2),"",#REF!)</f>
        <v>#REF!</v>
      </c>
      <c r="QF13" s="7" t="e">
        <f aca="false">IF(OR(#REF!&gt;2,#REF!&lt;-2),"",#REF!)</f>
        <v>#REF!</v>
      </c>
      <c r="QG13" s="7" t="e">
        <f aca="false">IF(OR(#REF!&gt;2,#REF!&lt;-2),"",#REF!)</f>
        <v>#REF!</v>
      </c>
      <c r="QH13" s="7" t="e">
        <f aca="false">IF(OR(#REF!&gt;2,#REF!&lt;-2),"",#REF!)</f>
        <v>#REF!</v>
      </c>
      <c r="QI13" s="7" t="e">
        <f aca="false">IF(OR(#REF!&gt;2,#REF!&lt;-2),"",#REF!)</f>
        <v>#REF!</v>
      </c>
      <c r="QJ13" s="7" t="e">
        <f aca="false">IF(OR(#REF!&gt;2,#REF!&lt;-2),"",#REF!)</f>
        <v>#REF!</v>
      </c>
      <c r="QK13" s="7" t="e">
        <f aca="false">IF(OR(#REF!&gt;2,#REF!&lt;-2),"",#REF!)</f>
        <v>#REF!</v>
      </c>
      <c r="QL13" s="7" t="e">
        <f aca="false">IF(OR(#REF!&gt;2,#REF!&lt;-2),"",#REF!)</f>
        <v>#REF!</v>
      </c>
      <c r="QM13" s="7" t="e">
        <f aca="false">IF(OR(#REF!&gt;2,#REF!&lt;-2),"",#REF!)</f>
        <v>#REF!</v>
      </c>
      <c r="QN13" s="7" t="e">
        <f aca="false">IF(OR(#REF!&gt;2,#REF!&lt;-2),"",#REF!)</f>
        <v>#REF!</v>
      </c>
      <c r="QO13" s="7" t="e">
        <f aca="false">IF(OR(#REF!&gt;2,#REF!&lt;-2),"",#REF!)</f>
        <v>#REF!</v>
      </c>
      <c r="QP13" s="7" t="e">
        <f aca="false">IF(OR(#REF!&gt;2,#REF!&lt;-2),"",#REF!)</f>
        <v>#REF!</v>
      </c>
      <c r="QQ13" s="7" t="e">
        <f aca="false">IF(OR(#REF!&gt;2,#REF!&lt;-2),"",#REF!)</f>
        <v>#REF!</v>
      </c>
      <c r="QR13" s="7" t="e">
        <f aca="false">IF(OR(#REF!&gt;2,#REF!&lt;-2),"",#REF!)</f>
        <v>#REF!</v>
      </c>
      <c r="QS13" s="7" t="e">
        <f aca="false">IF(OR(#REF!&gt;2,#REF!&lt;-2),"",#REF!)</f>
        <v>#REF!</v>
      </c>
      <c r="QT13" s="7" t="e">
        <f aca="false">IF(OR(#REF!&gt;2,#REF!&lt;-2),"",#REF!)</f>
        <v>#REF!</v>
      </c>
      <c r="QU13" s="7" t="e">
        <f aca="false">IF(OR(#REF!&gt;2,#REF!&lt;-2),"",#REF!)</f>
        <v>#REF!</v>
      </c>
      <c r="QV13" s="7" t="e">
        <f aca="false">IF(OR(#REF!&gt;2,#REF!&lt;-2),"",#REF!)</f>
        <v>#REF!</v>
      </c>
      <c r="QW13" s="7" t="e">
        <f aca="false">IF(OR(#REF!&gt;2,#REF!&lt;-2),"",#REF!)</f>
        <v>#REF!</v>
      </c>
      <c r="QX13" s="7" t="e">
        <f aca="false">IF(OR(#REF!&gt;2,#REF!&lt;-2),"",#REF!)</f>
        <v>#REF!</v>
      </c>
      <c r="QY13" s="7" t="e">
        <f aca="false">IF(OR(#REF!&gt;2,#REF!&lt;-2),"",#REF!)</f>
        <v>#REF!</v>
      </c>
      <c r="QZ13" s="7" t="e">
        <f aca="false">IF(OR(#REF!&gt;2,#REF!&lt;-2),"",#REF!)</f>
        <v>#REF!</v>
      </c>
      <c r="RA13" s="7" t="e">
        <f aca="false">IF(OR(#REF!&gt;2,#REF!&lt;-2),"",#REF!)</f>
        <v>#REF!</v>
      </c>
      <c r="RB13" s="7" t="e">
        <f aca="false">IF(OR(#REF!&gt;2,#REF!&lt;-2),"",#REF!)</f>
        <v>#REF!</v>
      </c>
      <c r="RC13" s="7" t="e">
        <f aca="false">IF(OR(#REF!&gt;2,#REF!&lt;-2),"",#REF!)</f>
        <v>#REF!</v>
      </c>
      <c r="RD13" s="7" t="e">
        <f aca="false">IF(OR(#REF!&gt;2,#REF!&lt;-2),"",#REF!)</f>
        <v>#REF!</v>
      </c>
      <c r="RE13" s="7" t="e">
        <f aca="false">IF(OR(#REF!&gt;2,#REF!&lt;-2),"",#REF!)</f>
        <v>#REF!</v>
      </c>
      <c r="RF13" s="7" t="e">
        <f aca="false">IF(OR(#REF!&gt;2,#REF!&lt;-2),"",#REF!)</f>
        <v>#REF!</v>
      </c>
      <c r="RG13" s="7" t="e">
        <f aca="false">IF(OR(#REF!&gt;2,#REF!&lt;-2),"",#REF!)</f>
        <v>#REF!</v>
      </c>
      <c r="RH13" s="7" t="e">
        <f aca="false">IF(OR(#REF!&gt;2,#REF!&lt;-2),"",#REF!)</f>
        <v>#REF!</v>
      </c>
      <c r="RI13" s="7" t="e">
        <f aca="false">IF(OR(#REF!&gt;2,#REF!&lt;-2),"",#REF!)</f>
        <v>#REF!</v>
      </c>
      <c r="RJ13" s="7" t="e">
        <f aca="false">IF(OR(#REF!&gt;2,#REF!&lt;-2),"",#REF!)</f>
        <v>#REF!</v>
      </c>
      <c r="RK13" s="7" t="e">
        <f aca="false">IF(OR(#REF!&gt;2,#REF!&lt;-2),"",#REF!)</f>
        <v>#REF!</v>
      </c>
      <c r="RL13" s="7" t="e">
        <f aca="false">IF(OR(#REF!&gt;2,#REF!&lt;-2),"",#REF!)</f>
        <v>#REF!</v>
      </c>
      <c r="RM13" s="7" t="e">
        <f aca="false">IF(OR(#REF!&gt;2,#REF!&lt;-2),"",#REF!)</f>
        <v>#REF!</v>
      </c>
      <c r="RN13" s="7" t="e">
        <f aca="false">IF(OR(#REF!&gt;2,#REF!&lt;-2),"",#REF!)</f>
        <v>#REF!</v>
      </c>
      <c r="RO13" s="7" t="e">
        <f aca="false">IF(OR(#REF!&gt;2,#REF!&lt;-2),"",#REF!)</f>
        <v>#REF!</v>
      </c>
      <c r="RP13" s="7" t="e">
        <f aca="false">IF(OR(#REF!&gt;2,#REF!&lt;-2),"",#REF!)</f>
        <v>#REF!</v>
      </c>
      <c r="RQ13" s="7" t="e">
        <f aca="false">IF(OR(#REF!&gt;2,#REF!&lt;-2),"",#REF!)</f>
        <v>#REF!</v>
      </c>
      <c r="RR13" s="7" t="e">
        <f aca="false">IF(OR(#REF!&gt;2,#REF!&lt;-2),"",#REF!)</f>
        <v>#REF!</v>
      </c>
      <c r="RS13" s="7" t="e">
        <f aca="false">IF(OR(#REF!&gt;2,#REF!&lt;-2),"",#REF!)</f>
        <v>#REF!</v>
      </c>
      <c r="RT13" s="7" t="e">
        <f aca="false">IF(OR(#REF!&gt;2,#REF!&lt;-2),"",#REF!)</f>
        <v>#REF!</v>
      </c>
      <c r="RU13" s="7" t="e">
        <f aca="false">IF(OR(#REF!&gt;2,#REF!&lt;-2),"",#REF!)</f>
        <v>#REF!</v>
      </c>
      <c r="RV13" s="7" t="e">
        <f aca="false">IF(OR(#REF!&gt;2,#REF!&lt;-2),"",#REF!)</f>
        <v>#REF!</v>
      </c>
      <c r="RW13" s="7" t="e">
        <f aca="false">IF(OR(#REF!&gt;2,#REF!&lt;-2),"",#REF!)</f>
        <v>#REF!</v>
      </c>
      <c r="RX13" s="7" t="e">
        <f aca="false">IF(OR(#REF!&gt;2,#REF!&lt;-2),"",#REF!)</f>
        <v>#REF!</v>
      </c>
      <c r="RY13" s="7" t="e">
        <f aca="false">IF(OR(#REF!&gt;2,#REF!&lt;-2),"",#REF!)</f>
        <v>#REF!</v>
      </c>
      <c r="RZ13" s="7" t="e">
        <f aca="false">IF(OR(#REF!&gt;2,#REF!&lt;-2),"",#REF!)</f>
        <v>#REF!</v>
      </c>
      <c r="SA13" s="7" t="e">
        <f aca="false">IF(OR(#REF!&gt;2,#REF!&lt;-2),"",#REF!)</f>
        <v>#REF!</v>
      </c>
      <c r="SB13" s="7" t="e">
        <f aca="false">IF(OR(#REF!&gt;2,#REF!&lt;-2),"",#REF!)</f>
        <v>#REF!</v>
      </c>
      <c r="SC13" s="7" t="e">
        <f aca="false">IF(OR(#REF!&gt;2,#REF!&lt;-2),"",#REF!)</f>
        <v>#REF!</v>
      </c>
      <c r="SD13" s="7" t="e">
        <f aca="false">IF(OR(#REF!&gt;2,#REF!&lt;-2),"",#REF!)</f>
        <v>#REF!</v>
      </c>
      <c r="SE13" s="7" t="e">
        <f aca="false">IF(OR(#REF!&gt;2,#REF!&lt;-2),"",#REF!)</f>
        <v>#REF!</v>
      </c>
      <c r="SF13" s="7" t="e">
        <f aca="false">IF(OR(#REF!&gt;2,#REF!&lt;-2),"",#REF!)</f>
        <v>#REF!</v>
      </c>
      <c r="SG13" s="7" t="e">
        <f aca="false">IF(OR(#REF!&gt;2,#REF!&lt;-2),"",#REF!)</f>
        <v>#REF!</v>
      </c>
      <c r="SH13" s="7" t="e">
        <f aca="false">IF(OR(#REF!&gt;2,#REF!&lt;-2),"",#REF!)</f>
        <v>#REF!</v>
      </c>
      <c r="SI13" s="7" t="e">
        <f aca="false">IF(OR(#REF!&gt;2,#REF!&lt;-2),"",#REF!)</f>
        <v>#REF!</v>
      </c>
      <c r="SJ13" s="7" t="e">
        <f aca="false">IF(OR(#REF!&gt;2,#REF!&lt;-2),"",#REF!)</f>
        <v>#REF!</v>
      </c>
      <c r="SK13" s="7" t="e">
        <f aca="false">IF(OR(#REF!&gt;2,#REF!&lt;-2),"",#REF!)</f>
        <v>#REF!</v>
      </c>
      <c r="SL13" s="7" t="e">
        <f aca="false">IF(OR(#REF!&gt;2,#REF!&lt;-2),"",#REF!)</f>
        <v>#REF!</v>
      </c>
      <c r="SM13" s="7" t="e">
        <f aca="false">IF(OR(#REF!&gt;2,#REF!&lt;-2),"",#REF!)</f>
        <v>#REF!</v>
      </c>
      <c r="SN13" s="7" t="e">
        <f aca="false">IF(OR(#REF!&gt;2,#REF!&lt;-2),"",#REF!)</f>
        <v>#REF!</v>
      </c>
      <c r="SO13" s="7" t="e">
        <f aca="false">IF(OR(#REF!&gt;2,#REF!&lt;-2),"",#REF!)</f>
        <v>#REF!</v>
      </c>
      <c r="SP13" s="7" t="e">
        <f aca="false">IF(OR(#REF!&gt;2,#REF!&lt;-2),"",#REF!)</f>
        <v>#REF!</v>
      </c>
      <c r="SQ13" s="7" t="e">
        <f aca="false">IF(OR(#REF!&gt;2,#REF!&lt;-2),"",#REF!)</f>
        <v>#REF!</v>
      </c>
      <c r="SR13" s="7" t="e">
        <f aca="false">IF(OR(#REF!&gt;2,#REF!&lt;-2),"",#REF!)</f>
        <v>#REF!</v>
      </c>
      <c r="SS13" s="7" t="e">
        <f aca="false">IF(OR(#REF!&gt;2,#REF!&lt;-2),"",#REF!)</f>
        <v>#REF!</v>
      </c>
      <c r="ST13" s="7" t="e">
        <f aca="false">IF(OR(#REF!&gt;2,#REF!&lt;-2),"",#REF!)</f>
        <v>#REF!</v>
      </c>
      <c r="SU13" s="7" t="e">
        <f aca="false">IF(OR(#REF!&gt;2,#REF!&lt;-2),"",#REF!)</f>
        <v>#REF!</v>
      </c>
      <c r="SV13" s="7" t="e">
        <f aca="false">IF(OR(#REF!&gt;2,#REF!&lt;-2),"",#REF!)</f>
        <v>#REF!</v>
      </c>
      <c r="SW13" s="7" t="e">
        <f aca="false">IF(OR(#REF!&gt;2,#REF!&lt;-2),"",#REF!)</f>
        <v>#REF!</v>
      </c>
      <c r="SX13" s="7" t="e">
        <f aca="false">IF(OR(#REF!&gt;2,#REF!&lt;-2),"",#REF!)</f>
        <v>#REF!</v>
      </c>
      <c r="SY13" s="7" t="e">
        <f aca="false">IF(OR(#REF!&gt;2,#REF!&lt;-2),"",#REF!)</f>
        <v>#REF!</v>
      </c>
      <c r="SZ13" s="7" t="e">
        <f aca="false">IF(OR(#REF!&gt;2,#REF!&lt;-2),"",#REF!)</f>
        <v>#REF!</v>
      </c>
      <c r="TA13" s="7" t="e">
        <f aca="false">IF(OR(#REF!&gt;2,#REF!&lt;-2),"",#REF!)</f>
        <v>#REF!</v>
      </c>
      <c r="TB13" s="7" t="e">
        <f aca="false">IF(OR(#REF!&gt;2,#REF!&lt;-2),"",#REF!)</f>
        <v>#REF!</v>
      </c>
      <c r="TC13" s="7" t="e">
        <f aca="false">IF(OR(#REF!&gt;2,#REF!&lt;-2),"",#REF!)</f>
        <v>#REF!</v>
      </c>
      <c r="TD13" s="7" t="e">
        <f aca="false">IF(OR(#REF!&gt;2,#REF!&lt;-2),"",#REF!)</f>
        <v>#REF!</v>
      </c>
      <c r="TE13" s="7" t="e">
        <f aca="false">IF(OR(#REF!&gt;2,#REF!&lt;-2),"",#REF!)</f>
        <v>#REF!</v>
      </c>
      <c r="TF13" s="7" t="e">
        <f aca="false">IF(OR(#REF!&gt;2,#REF!&lt;-2),"",#REF!)</f>
        <v>#REF!</v>
      </c>
      <c r="TG13" s="7" t="e">
        <f aca="false">IF(OR(#REF!&gt;2,#REF!&lt;-2),"",#REF!)</f>
        <v>#REF!</v>
      </c>
      <c r="TH13" s="7" t="e">
        <f aca="false">IF(OR(#REF!&gt;2,#REF!&lt;-2),"",#REF!)</f>
        <v>#REF!</v>
      </c>
      <c r="TI13" s="7" t="e">
        <f aca="false">IF(OR(#REF!&gt;2,#REF!&lt;-2),"",#REF!)</f>
        <v>#REF!</v>
      </c>
      <c r="TJ13" s="7" t="e">
        <f aca="false">IF(OR(#REF!&gt;2,#REF!&lt;-2),"",#REF!)</f>
        <v>#REF!</v>
      </c>
      <c r="TK13" s="7" t="e">
        <f aca="false">IF(OR(#REF!&gt;2,#REF!&lt;-2),"",#REF!)</f>
        <v>#REF!</v>
      </c>
      <c r="TL13" s="7" t="e">
        <f aca="false">IF(OR(#REF!&gt;2,#REF!&lt;-2),"",#REF!)</f>
        <v>#REF!</v>
      </c>
      <c r="TM13" s="7" t="e">
        <f aca="false">IF(OR(#REF!&gt;2,#REF!&lt;-2),"",#REF!)</f>
        <v>#REF!</v>
      </c>
      <c r="TN13" s="7" t="e">
        <f aca="false">IF(OR(#REF!&gt;2,#REF!&lt;-2),"",#REF!)</f>
        <v>#REF!</v>
      </c>
      <c r="TO13" s="7" t="e">
        <f aca="false">IF(OR(#REF!&gt;2,#REF!&lt;-2),"",#REF!)</f>
        <v>#REF!</v>
      </c>
      <c r="TP13" s="7" t="e">
        <f aca="false">IF(OR(#REF!&gt;2,#REF!&lt;-2),"",#REF!)</f>
        <v>#REF!</v>
      </c>
      <c r="TQ13" s="7" t="e">
        <f aca="false">IF(OR(#REF!&gt;2,#REF!&lt;-2),"",#REF!)</f>
        <v>#REF!</v>
      </c>
      <c r="TR13" s="7" t="e">
        <f aca="false">IF(OR(#REF!&gt;2,#REF!&lt;-2),"",#REF!)</f>
        <v>#REF!</v>
      </c>
      <c r="TS13" s="7" t="e">
        <f aca="false">IF(OR(#REF!&gt;2,#REF!&lt;-2),"",#REF!)</f>
        <v>#REF!</v>
      </c>
      <c r="TT13" s="7" t="e">
        <f aca="false">IF(OR(#REF!&gt;2,#REF!&lt;-2),"",#REF!)</f>
        <v>#REF!</v>
      </c>
      <c r="TU13" s="7" t="e">
        <f aca="false">IF(OR(#REF!&gt;2,#REF!&lt;-2),"",#REF!)</f>
        <v>#REF!</v>
      </c>
      <c r="TV13" s="7" t="e">
        <f aca="false">IF(OR(#REF!&gt;2,#REF!&lt;-2),"",#REF!)</f>
        <v>#REF!</v>
      </c>
      <c r="TW13" s="7" t="e">
        <f aca="false">IF(OR(#REF!&gt;2,#REF!&lt;-2),"",#REF!)</f>
        <v>#REF!</v>
      </c>
      <c r="TX13" s="7" t="e">
        <f aca="false">IF(OR(#REF!&gt;2,#REF!&lt;-2),"",#REF!)</f>
        <v>#REF!</v>
      </c>
      <c r="TY13" s="7" t="e">
        <f aca="false">IF(OR(#REF!&gt;2,#REF!&lt;-2),"",#REF!)</f>
        <v>#REF!</v>
      </c>
      <c r="TZ13" s="7" t="e">
        <f aca="false">IF(OR(#REF!&gt;2,#REF!&lt;-2),"",#REF!)</f>
        <v>#REF!</v>
      </c>
      <c r="UA13" s="7" t="e">
        <f aca="false">IF(OR(#REF!&gt;2,#REF!&lt;-2),"",#REF!)</f>
        <v>#REF!</v>
      </c>
      <c r="UB13" s="7" t="e">
        <f aca="false">IF(OR(#REF!&gt;2,#REF!&lt;-2),"",#REF!)</f>
        <v>#REF!</v>
      </c>
      <c r="UC13" s="7" t="e">
        <f aca="false">IF(OR(#REF!&gt;2,#REF!&lt;-2),"",#REF!)</f>
        <v>#REF!</v>
      </c>
      <c r="UD13" s="7" t="e">
        <f aca="false">IF(OR(#REF!&gt;2,#REF!&lt;-2),"",#REF!)</f>
        <v>#REF!</v>
      </c>
      <c r="UE13" s="7" t="e">
        <f aca="false">IF(OR(#REF!&gt;2,#REF!&lt;-2),"",#REF!)</f>
        <v>#REF!</v>
      </c>
      <c r="UF13" s="7" t="e">
        <f aca="false">IF(OR(#REF!&gt;2,#REF!&lt;-2),"",#REF!)</f>
        <v>#REF!</v>
      </c>
      <c r="UG13" s="7" t="e">
        <f aca="false">IF(OR(#REF!&gt;2,#REF!&lt;-2),"",#REF!)</f>
        <v>#REF!</v>
      </c>
      <c r="UH13" s="7" t="e">
        <f aca="false">IF(OR(#REF!&gt;2,#REF!&lt;-2),"",#REF!)</f>
        <v>#REF!</v>
      </c>
      <c r="UI13" s="7" t="e">
        <f aca="false">IF(OR(#REF!&gt;2,#REF!&lt;-2),"",#REF!)</f>
        <v>#REF!</v>
      </c>
      <c r="UJ13" s="7" t="e">
        <f aca="false">IF(OR(#REF!&gt;2,#REF!&lt;-2),"",#REF!)</f>
        <v>#REF!</v>
      </c>
      <c r="UK13" s="7" t="e">
        <f aca="false">IF(OR(#REF!&gt;2,#REF!&lt;-2),"",#REF!)</f>
        <v>#REF!</v>
      </c>
      <c r="UL13" s="7" t="e">
        <f aca="false">IF(OR(#REF!&gt;2,#REF!&lt;-2),"",#REF!)</f>
        <v>#REF!</v>
      </c>
      <c r="UM13" s="7" t="e">
        <f aca="false">IF(OR(#REF!&gt;2,#REF!&lt;-2),"",#REF!)</f>
        <v>#REF!</v>
      </c>
      <c r="UN13" s="7" t="e">
        <f aca="false">IF(OR(#REF!&gt;2,#REF!&lt;-2),"",#REF!)</f>
        <v>#REF!</v>
      </c>
      <c r="UO13" s="7" t="e">
        <f aca="false">IF(OR(#REF!&gt;2,#REF!&lt;-2),"",#REF!)</f>
        <v>#REF!</v>
      </c>
      <c r="UP13" s="7" t="e">
        <f aca="false">IF(OR(#REF!&gt;2,#REF!&lt;-2),"",#REF!)</f>
        <v>#REF!</v>
      </c>
    </row>
    <row r="14" customFormat="false" ht="14.5" hidden="false" customHeight="false" outlineLevel="0" collapsed="false">
      <c r="A14" s="0" t="n">
        <v>172</v>
      </c>
      <c r="B14" s="0" t="n">
        <v>1</v>
      </c>
      <c r="C14" s="7" t="e">
        <f aca="false">IF(OR(#REF!&gt;2,#REF!&lt;-2),"",#REF!)</f>
        <v>#REF!</v>
      </c>
      <c r="D14" s="7" t="e">
        <f aca="false">IF(OR(#REF!&gt;2,#REF!&lt;-2),"",#REF!)</f>
        <v>#REF!</v>
      </c>
      <c r="E14" s="7" t="e">
        <f aca="false">IF(OR(#REF!&gt;2,#REF!&lt;-2),"",#REF!)</f>
        <v>#REF!</v>
      </c>
      <c r="F14" s="7" t="e">
        <f aca="false">IF(OR(#REF!&gt;2,#REF!&lt;-2),"",#REF!)</f>
        <v>#REF!</v>
      </c>
      <c r="G14" s="7" t="e">
        <f aca="false">IF(OR(#REF!&gt;2,#REF!&lt;-2),"",#REF!)</f>
        <v>#REF!</v>
      </c>
      <c r="H14" s="7" t="e">
        <f aca="false">IF(OR(#REF!&gt;2,#REF!&lt;-2),"",#REF!)</f>
        <v>#REF!</v>
      </c>
      <c r="I14" s="7" t="e">
        <f aca="false">IF(OR(#REF!&gt;2,#REF!&lt;-2),"",#REF!)</f>
        <v>#REF!</v>
      </c>
      <c r="J14" s="7" t="e">
        <f aca="false">IF(OR(#REF!&gt;2,#REF!&lt;-2),"",#REF!)</f>
        <v>#REF!</v>
      </c>
      <c r="K14" s="7" t="e">
        <f aca="false">IF(OR(#REF!&gt;2,#REF!&lt;-2),"",#REF!)</f>
        <v>#REF!</v>
      </c>
      <c r="L14" s="7" t="e">
        <f aca="false">IF(OR(#REF!&gt;2,#REF!&lt;-2),"",#REF!)</f>
        <v>#REF!</v>
      </c>
      <c r="M14" s="7" t="e">
        <f aca="false">IF(OR(#REF!&gt;2,#REF!&lt;-2),"",#REF!)</f>
        <v>#REF!</v>
      </c>
      <c r="N14" s="7" t="e">
        <f aca="false">IF(OR(#REF!&gt;2,#REF!&lt;-2),"",#REF!)</f>
        <v>#REF!</v>
      </c>
      <c r="O14" s="7" t="e">
        <f aca="false">IF(OR(#REF!&gt;2,#REF!&lt;-2),"",#REF!)</f>
        <v>#REF!</v>
      </c>
      <c r="P14" s="7" t="e">
        <f aca="false">IF(OR(#REF!&gt;2,#REF!&lt;-2),"",#REF!)</f>
        <v>#REF!</v>
      </c>
      <c r="Q14" s="7" t="e">
        <f aca="false">IF(OR(#REF!&gt;2,#REF!&lt;-2),"",#REF!)</f>
        <v>#REF!</v>
      </c>
      <c r="R14" s="7" t="e">
        <f aca="false">IF(OR(#REF!&gt;2,#REF!&lt;-2),"",#REF!)</f>
        <v>#REF!</v>
      </c>
      <c r="S14" s="7" t="e">
        <f aca="false">IF(OR(#REF!&gt;2,#REF!&lt;-2),"",#REF!)</f>
        <v>#REF!</v>
      </c>
      <c r="T14" s="7" t="e">
        <f aca="false">IF(OR(#REF!&gt;2,#REF!&lt;-2),"",#REF!)</f>
        <v>#REF!</v>
      </c>
      <c r="U14" s="7" t="e">
        <f aca="false">IF(OR(#REF!&gt;2,#REF!&lt;-2),"",#REF!)</f>
        <v>#REF!</v>
      </c>
      <c r="V14" s="7" t="e">
        <f aca="false">IF(OR(#REF!&gt;2,#REF!&lt;-2),"",#REF!)</f>
        <v>#REF!</v>
      </c>
      <c r="W14" s="7" t="e">
        <f aca="false">IF(OR(#REF!&gt;2,#REF!&lt;-2),"",#REF!)</f>
        <v>#REF!</v>
      </c>
      <c r="X14" s="7" t="e">
        <f aca="false">IF(OR(#REF!&gt;2,#REF!&lt;-2),"",#REF!)</f>
        <v>#REF!</v>
      </c>
      <c r="Y14" s="7" t="e">
        <f aca="false">IF(OR(#REF!&gt;2,#REF!&lt;-2),"",#REF!)</f>
        <v>#REF!</v>
      </c>
      <c r="Z14" s="7" t="e">
        <f aca="false">IF(OR(#REF!&gt;2,#REF!&lt;-2),"",#REF!)</f>
        <v>#REF!</v>
      </c>
      <c r="AA14" s="7" t="e">
        <f aca="false">IF(OR(#REF!&gt;2,#REF!&lt;-2),"",#REF!)</f>
        <v>#REF!</v>
      </c>
      <c r="AB14" s="7" t="e">
        <f aca="false">IF(OR(#REF!&gt;2,#REF!&lt;-2),"",#REF!)</f>
        <v>#REF!</v>
      </c>
      <c r="AC14" s="7" t="e">
        <f aca="false">IF(OR(#REF!&gt;2,#REF!&lt;-2),"",#REF!)</f>
        <v>#REF!</v>
      </c>
      <c r="AD14" s="7" t="e">
        <f aca="false">IF(OR(#REF!&gt;2,#REF!&lt;-2),"",#REF!)</f>
        <v>#REF!</v>
      </c>
      <c r="AE14" s="7" t="e">
        <f aca="false">IF(OR(#REF!&gt;2,#REF!&lt;-2),"",#REF!)</f>
        <v>#REF!</v>
      </c>
      <c r="AF14" s="7" t="e">
        <f aca="false">IF(OR(#REF!&gt;2,#REF!&lt;-2),"",#REF!)</f>
        <v>#REF!</v>
      </c>
      <c r="AG14" s="7" t="e">
        <f aca="false">IF(OR(#REF!&gt;2,#REF!&lt;-2),"",#REF!)</f>
        <v>#REF!</v>
      </c>
      <c r="AH14" s="7" t="e">
        <f aca="false">IF(OR(#REF!&gt;2,#REF!&lt;-2),"",#REF!)</f>
        <v>#REF!</v>
      </c>
      <c r="AI14" s="7" t="e">
        <f aca="false">IF(OR(#REF!&gt;2,#REF!&lt;-2),"",#REF!)</f>
        <v>#REF!</v>
      </c>
      <c r="AJ14" s="7" t="e">
        <f aca="false">IF(OR(#REF!&gt;2,#REF!&lt;-2),"",#REF!)</f>
        <v>#REF!</v>
      </c>
      <c r="AK14" s="7" t="e">
        <f aca="false">IF(OR(#REF!&gt;2,#REF!&lt;-2),"",#REF!)</f>
        <v>#REF!</v>
      </c>
      <c r="AL14" s="7" t="e">
        <f aca="false">IF(OR(#REF!&gt;2,#REF!&lt;-2),"",#REF!)</f>
        <v>#REF!</v>
      </c>
      <c r="AM14" s="7" t="e">
        <f aca="false">IF(OR(#REF!&gt;2,#REF!&lt;-2),"",#REF!)</f>
        <v>#REF!</v>
      </c>
      <c r="AN14" s="7" t="e">
        <f aca="false">IF(OR(#REF!&gt;2,#REF!&lt;-2),"",#REF!)</f>
        <v>#REF!</v>
      </c>
      <c r="AO14" s="7" t="e">
        <f aca="false">IF(OR(#REF!&gt;2,#REF!&lt;-2),"",#REF!)</f>
        <v>#REF!</v>
      </c>
      <c r="AP14" s="7" t="e">
        <f aca="false">IF(OR(#REF!&gt;2,#REF!&lt;-2),"",#REF!)</f>
        <v>#REF!</v>
      </c>
      <c r="AQ14" s="7" t="e">
        <f aca="false">IF(OR(#REF!&gt;2,#REF!&lt;-2),"",#REF!)</f>
        <v>#REF!</v>
      </c>
      <c r="AR14" s="7" t="e">
        <f aca="false">IF(OR(#REF!&gt;2,#REF!&lt;-2),"",#REF!)</f>
        <v>#REF!</v>
      </c>
      <c r="AS14" s="7" t="e">
        <f aca="false">IF(OR(#REF!&gt;2,#REF!&lt;-2),"",#REF!)</f>
        <v>#REF!</v>
      </c>
      <c r="AT14" s="7" t="e">
        <f aca="false">IF(OR(#REF!&gt;2,#REF!&lt;-2),"",#REF!)</f>
        <v>#REF!</v>
      </c>
      <c r="AU14" s="7" t="e">
        <f aca="false">IF(OR(#REF!&gt;2,#REF!&lt;-2),"",#REF!)</f>
        <v>#REF!</v>
      </c>
      <c r="AV14" s="7" t="e">
        <f aca="false">IF(OR(#REF!&gt;2,#REF!&lt;-2),"",#REF!)</f>
        <v>#REF!</v>
      </c>
      <c r="AW14" s="7" t="e">
        <f aca="false">IF(OR(#REF!&gt;2,#REF!&lt;-2),"",#REF!)</f>
        <v>#REF!</v>
      </c>
      <c r="AX14" s="7" t="e">
        <f aca="false">IF(OR(#REF!&gt;2,#REF!&lt;-2),"",#REF!)</f>
        <v>#REF!</v>
      </c>
      <c r="AY14" s="7" t="e">
        <f aca="false">IF(OR(#REF!&gt;2,#REF!&lt;-2),"",#REF!)</f>
        <v>#REF!</v>
      </c>
      <c r="AZ14" s="7" t="e">
        <f aca="false">IF(OR(#REF!&gt;2,#REF!&lt;-2),"",#REF!)</f>
        <v>#REF!</v>
      </c>
      <c r="BA14" s="7" t="e">
        <f aca="false">IF(OR(#REF!&gt;2,#REF!&lt;-2),"",#REF!)</f>
        <v>#REF!</v>
      </c>
      <c r="BB14" s="7" t="e">
        <f aca="false">IF(OR(#REF!&gt;2,#REF!&lt;-2),"",#REF!)</f>
        <v>#REF!</v>
      </c>
      <c r="BC14" s="7" t="e">
        <f aca="false">IF(OR(#REF!&gt;2,#REF!&lt;-2),"",#REF!)</f>
        <v>#REF!</v>
      </c>
      <c r="BD14" s="7" t="e">
        <f aca="false">IF(OR(#REF!&gt;2,#REF!&lt;-2),"",#REF!)</f>
        <v>#REF!</v>
      </c>
      <c r="BE14" s="7" t="e">
        <f aca="false">IF(OR(#REF!&gt;2,#REF!&lt;-2),"",#REF!)</f>
        <v>#REF!</v>
      </c>
      <c r="BF14" s="7" t="e">
        <f aca="false">IF(OR(#REF!&gt;2,#REF!&lt;-2),"",#REF!)</f>
        <v>#REF!</v>
      </c>
      <c r="BG14" s="7" t="e">
        <f aca="false">IF(OR(#REF!&gt;2,#REF!&lt;-2),"",#REF!)</f>
        <v>#REF!</v>
      </c>
      <c r="BH14" s="7" t="e">
        <f aca="false">IF(OR(#REF!&gt;2,#REF!&lt;-2),"",#REF!)</f>
        <v>#REF!</v>
      </c>
      <c r="BI14" s="7" t="e">
        <f aca="false">IF(OR(#REF!&gt;2,#REF!&lt;-2),"",#REF!)</f>
        <v>#REF!</v>
      </c>
      <c r="BJ14" s="7" t="e">
        <f aca="false">IF(OR(#REF!&gt;2,#REF!&lt;-2),"",#REF!)</f>
        <v>#REF!</v>
      </c>
      <c r="BK14" s="7" t="e">
        <f aca="false">IF(OR(#REF!&gt;2,#REF!&lt;-2),"",#REF!)</f>
        <v>#REF!</v>
      </c>
      <c r="BL14" s="7" t="e">
        <f aca="false">IF(OR(#REF!&gt;2,#REF!&lt;-2),"",#REF!)</f>
        <v>#REF!</v>
      </c>
      <c r="BM14" s="7" t="e">
        <f aca="false">IF(OR(#REF!&gt;2,#REF!&lt;-2),"",#REF!)</f>
        <v>#REF!</v>
      </c>
      <c r="BN14" s="7" t="e">
        <f aca="false">IF(OR(#REF!&gt;2,#REF!&lt;-2),"",#REF!)</f>
        <v>#REF!</v>
      </c>
      <c r="BO14" s="7" t="e">
        <f aca="false">IF(OR(#REF!&gt;2,#REF!&lt;-2),"",#REF!)</f>
        <v>#REF!</v>
      </c>
      <c r="BP14" s="7" t="e">
        <f aca="false">IF(OR(#REF!&gt;2,#REF!&lt;-2),"",#REF!)</f>
        <v>#REF!</v>
      </c>
      <c r="BQ14" s="7" t="e">
        <f aca="false">IF(OR(#REF!&gt;2,#REF!&lt;-2),"",#REF!)</f>
        <v>#REF!</v>
      </c>
      <c r="BR14" s="7" t="e">
        <f aca="false">IF(OR(#REF!&gt;2,#REF!&lt;-2),"",#REF!)</f>
        <v>#REF!</v>
      </c>
      <c r="BS14" s="7" t="e">
        <f aca="false">IF(OR(#REF!&gt;2,#REF!&lt;-2),"",#REF!)</f>
        <v>#REF!</v>
      </c>
      <c r="BT14" s="7" t="e">
        <f aca="false">IF(OR(#REF!&gt;2,#REF!&lt;-2),"",#REF!)</f>
        <v>#REF!</v>
      </c>
      <c r="BU14" s="7" t="e">
        <f aca="false">IF(OR(#REF!&gt;2,#REF!&lt;-2),"",#REF!)</f>
        <v>#REF!</v>
      </c>
      <c r="BV14" s="7" t="e">
        <f aca="false">IF(OR(#REF!&gt;2,#REF!&lt;-2),"",#REF!)</f>
        <v>#REF!</v>
      </c>
      <c r="BW14" s="7" t="e">
        <f aca="false">IF(OR(#REF!&gt;2,#REF!&lt;-2),"",#REF!)</f>
        <v>#REF!</v>
      </c>
      <c r="BX14" s="7" t="e">
        <f aca="false">IF(OR(#REF!&gt;2,#REF!&lt;-2),"",#REF!)</f>
        <v>#REF!</v>
      </c>
      <c r="BY14" s="7" t="e">
        <f aca="false">IF(OR(#REF!&gt;2,#REF!&lt;-2),"",#REF!)</f>
        <v>#REF!</v>
      </c>
      <c r="BZ14" s="7" t="e">
        <f aca="false">IF(OR(#REF!&gt;2,#REF!&lt;-2),"",#REF!)</f>
        <v>#REF!</v>
      </c>
      <c r="CA14" s="7" t="e">
        <f aca="false">IF(OR(#REF!&gt;2,#REF!&lt;-2),"",#REF!)</f>
        <v>#REF!</v>
      </c>
      <c r="CB14" s="7" t="e">
        <f aca="false">IF(OR(#REF!&gt;2,#REF!&lt;-2),"",#REF!)</f>
        <v>#REF!</v>
      </c>
      <c r="CC14" s="7" t="e">
        <f aca="false">IF(OR(#REF!&gt;2,#REF!&lt;-2),"",#REF!)</f>
        <v>#REF!</v>
      </c>
      <c r="CD14" s="7" t="e">
        <f aca="false">IF(OR(#REF!&gt;2,#REF!&lt;-2),"",#REF!)</f>
        <v>#REF!</v>
      </c>
      <c r="CE14" s="7" t="e">
        <f aca="false">IF(OR(#REF!&gt;2,#REF!&lt;-2),"",#REF!)</f>
        <v>#REF!</v>
      </c>
      <c r="CF14" s="7" t="e">
        <f aca="false">IF(OR(#REF!&gt;2,#REF!&lt;-2),"",#REF!)</f>
        <v>#REF!</v>
      </c>
      <c r="CG14" s="7" t="e">
        <f aca="false">IF(OR(#REF!&gt;2,#REF!&lt;-2),"",#REF!)</f>
        <v>#REF!</v>
      </c>
      <c r="CH14" s="7" t="e">
        <f aca="false">IF(OR(#REF!&gt;2,#REF!&lt;-2),"",#REF!)</f>
        <v>#REF!</v>
      </c>
      <c r="CI14" s="7" t="e">
        <f aca="false">IF(OR(#REF!&gt;2,#REF!&lt;-2),"",#REF!)</f>
        <v>#REF!</v>
      </c>
      <c r="CJ14" s="7" t="e">
        <f aca="false">IF(OR(#REF!&gt;2,#REF!&lt;-2),"",#REF!)</f>
        <v>#REF!</v>
      </c>
      <c r="CK14" s="7" t="e">
        <f aca="false">IF(OR(#REF!&gt;2,#REF!&lt;-2),"",#REF!)</f>
        <v>#REF!</v>
      </c>
      <c r="CL14" s="7" t="e">
        <f aca="false">IF(OR(#REF!&gt;2,#REF!&lt;-2),"",#REF!)</f>
        <v>#REF!</v>
      </c>
      <c r="CM14" s="7" t="e">
        <f aca="false">IF(OR(#REF!&gt;2,#REF!&lt;-2),"",#REF!)</f>
        <v>#REF!</v>
      </c>
      <c r="CN14" s="7" t="e">
        <f aca="false">IF(OR(#REF!&gt;2,#REF!&lt;-2),"",#REF!)</f>
        <v>#REF!</v>
      </c>
      <c r="CO14" s="7" t="e">
        <f aca="false">IF(OR(#REF!&gt;2,#REF!&lt;-2),"",#REF!)</f>
        <v>#REF!</v>
      </c>
      <c r="CP14" s="7" t="e">
        <f aca="false">IF(OR(#REF!&gt;2,#REF!&lt;-2),"",#REF!)</f>
        <v>#REF!</v>
      </c>
      <c r="CQ14" s="7" t="e">
        <f aca="false">IF(OR(#REF!&gt;2,#REF!&lt;-2),"",#REF!)</f>
        <v>#REF!</v>
      </c>
      <c r="CR14" s="7" t="e">
        <f aca="false">IF(OR(#REF!&gt;2,#REF!&lt;-2),"",#REF!)</f>
        <v>#REF!</v>
      </c>
      <c r="CS14" s="7" t="e">
        <f aca="false">IF(OR(#REF!&gt;2,#REF!&lt;-2),"",#REF!)</f>
        <v>#REF!</v>
      </c>
      <c r="CT14" s="7" t="e">
        <f aca="false">IF(OR(#REF!&gt;2,#REF!&lt;-2),"",#REF!)</f>
        <v>#REF!</v>
      </c>
      <c r="CU14" s="7" t="e">
        <f aca="false">IF(OR(#REF!&gt;2,#REF!&lt;-2),"",#REF!)</f>
        <v>#REF!</v>
      </c>
      <c r="CV14" s="7" t="e">
        <f aca="false">IF(OR(#REF!&gt;2,#REF!&lt;-2),"",#REF!)</f>
        <v>#REF!</v>
      </c>
      <c r="CW14" s="7" t="e">
        <f aca="false">IF(OR(#REF!&gt;2,#REF!&lt;-2),"",#REF!)</f>
        <v>#REF!</v>
      </c>
      <c r="CX14" s="7" t="e">
        <f aca="false">IF(OR(#REF!&gt;2,#REF!&lt;-2),"",#REF!)</f>
        <v>#REF!</v>
      </c>
      <c r="CY14" s="7" t="e">
        <f aca="false">IF(OR(#REF!&gt;2,#REF!&lt;-2),"",#REF!)</f>
        <v>#REF!</v>
      </c>
      <c r="CZ14" s="7" t="e">
        <f aca="false">IF(OR(#REF!&gt;2,#REF!&lt;-2),"",#REF!)</f>
        <v>#REF!</v>
      </c>
      <c r="DA14" s="7" t="e">
        <f aca="false">IF(OR(#REF!&gt;2,#REF!&lt;-2),"",#REF!)</f>
        <v>#REF!</v>
      </c>
      <c r="DB14" s="7" t="e">
        <f aca="false">IF(OR(#REF!&gt;2,#REF!&lt;-2),"",#REF!)</f>
        <v>#REF!</v>
      </c>
      <c r="DC14" s="7" t="e">
        <f aca="false">IF(OR(#REF!&gt;2,#REF!&lt;-2),"",#REF!)</f>
        <v>#REF!</v>
      </c>
      <c r="DD14" s="7" t="e">
        <f aca="false">IF(OR(#REF!&gt;2,#REF!&lt;-2),"",#REF!)</f>
        <v>#REF!</v>
      </c>
      <c r="DE14" s="7" t="e">
        <f aca="false">IF(OR(#REF!&gt;2,#REF!&lt;-2),"",#REF!)</f>
        <v>#REF!</v>
      </c>
      <c r="DF14" s="7" t="e">
        <f aca="false">IF(OR(#REF!&gt;2,#REF!&lt;-2),"",#REF!)</f>
        <v>#REF!</v>
      </c>
      <c r="DG14" s="7" t="e">
        <f aca="false">IF(OR(#REF!&gt;2,#REF!&lt;-2),"",#REF!)</f>
        <v>#REF!</v>
      </c>
      <c r="DH14" s="7" t="e">
        <f aca="false">IF(OR(#REF!&gt;2,#REF!&lt;-2),"",#REF!)</f>
        <v>#REF!</v>
      </c>
      <c r="DI14" s="7" t="e">
        <f aca="false">IF(OR(#REF!&gt;2,#REF!&lt;-2),"",#REF!)</f>
        <v>#REF!</v>
      </c>
      <c r="DJ14" s="7" t="e">
        <f aca="false">IF(OR(#REF!&gt;2,#REF!&lt;-2),"",#REF!)</f>
        <v>#REF!</v>
      </c>
      <c r="DK14" s="7" t="e">
        <f aca="false">IF(OR(#REF!&gt;2,#REF!&lt;-2),"",#REF!)</f>
        <v>#REF!</v>
      </c>
      <c r="DL14" s="7" t="e">
        <f aca="false">IF(OR(#REF!&gt;2,#REF!&lt;-2),"",#REF!)</f>
        <v>#REF!</v>
      </c>
      <c r="DM14" s="7" t="e">
        <f aca="false">IF(OR(#REF!&gt;2,#REF!&lt;-2),"",#REF!)</f>
        <v>#REF!</v>
      </c>
      <c r="DN14" s="7" t="e">
        <f aca="false">IF(OR(#REF!&gt;2,#REF!&lt;-2),"",#REF!)</f>
        <v>#REF!</v>
      </c>
      <c r="DO14" s="7" t="e">
        <f aca="false">IF(OR(#REF!&gt;2,#REF!&lt;-2),"",#REF!)</f>
        <v>#REF!</v>
      </c>
      <c r="DP14" s="7" t="e">
        <f aca="false">IF(OR(#REF!&gt;2,#REF!&lt;-2),"",#REF!)</f>
        <v>#REF!</v>
      </c>
      <c r="DQ14" s="7" t="e">
        <f aca="false">IF(OR(#REF!&gt;2,#REF!&lt;-2),"",#REF!)</f>
        <v>#REF!</v>
      </c>
      <c r="DR14" s="7" t="e">
        <f aca="false">IF(OR(#REF!&gt;2,#REF!&lt;-2),"",#REF!)</f>
        <v>#REF!</v>
      </c>
      <c r="DS14" s="7" t="e">
        <f aca="false">IF(OR(#REF!&gt;2,#REF!&lt;-2),"",#REF!)</f>
        <v>#REF!</v>
      </c>
      <c r="DT14" s="7" t="e">
        <f aca="false">IF(OR(#REF!&gt;2,#REF!&lt;-2),"",#REF!)</f>
        <v>#REF!</v>
      </c>
      <c r="DU14" s="7" t="e">
        <f aca="false">IF(OR(#REF!&gt;2,#REF!&lt;-2),"",#REF!)</f>
        <v>#REF!</v>
      </c>
      <c r="DV14" s="7" t="e">
        <f aca="false">IF(OR(#REF!&gt;2,#REF!&lt;-2),"",#REF!)</f>
        <v>#REF!</v>
      </c>
      <c r="DW14" s="7" t="e">
        <f aca="false">IF(OR(#REF!&gt;2,#REF!&lt;-2),"",#REF!)</f>
        <v>#REF!</v>
      </c>
      <c r="DX14" s="7" t="e">
        <f aca="false">IF(OR(#REF!&gt;2,#REF!&lt;-2),"",#REF!)</f>
        <v>#REF!</v>
      </c>
      <c r="DY14" s="7" t="e">
        <f aca="false">IF(OR(#REF!&gt;2,#REF!&lt;-2),"",#REF!)</f>
        <v>#REF!</v>
      </c>
      <c r="DZ14" s="7" t="e">
        <f aca="false">IF(OR(#REF!&gt;2,#REF!&lt;-2),"",#REF!)</f>
        <v>#REF!</v>
      </c>
      <c r="EA14" s="7" t="e">
        <f aca="false">IF(OR(#REF!&gt;2,#REF!&lt;-2),"",#REF!)</f>
        <v>#REF!</v>
      </c>
      <c r="EB14" s="7" t="e">
        <f aca="false">IF(OR(#REF!&gt;2,#REF!&lt;-2),"",#REF!)</f>
        <v>#REF!</v>
      </c>
      <c r="EC14" s="7" t="e">
        <f aca="false">IF(OR(#REF!&gt;2,#REF!&lt;-2),"",#REF!)</f>
        <v>#REF!</v>
      </c>
      <c r="ED14" s="7" t="e">
        <f aca="false">IF(OR(#REF!&gt;2,#REF!&lt;-2),"",#REF!)</f>
        <v>#REF!</v>
      </c>
      <c r="EE14" s="7" t="e">
        <f aca="false">IF(OR(#REF!&gt;2,#REF!&lt;-2),"",#REF!)</f>
        <v>#REF!</v>
      </c>
      <c r="EF14" s="7" t="e">
        <f aca="false">IF(OR(#REF!&gt;2,#REF!&lt;-2),"",#REF!)</f>
        <v>#REF!</v>
      </c>
      <c r="EG14" s="7" t="e">
        <f aca="false">IF(OR(#REF!&gt;2,#REF!&lt;-2),"",#REF!)</f>
        <v>#REF!</v>
      </c>
      <c r="EH14" s="7" t="e">
        <f aca="false">IF(OR(#REF!&gt;2,#REF!&lt;-2),"",#REF!)</f>
        <v>#REF!</v>
      </c>
      <c r="EI14" s="7" t="e">
        <f aca="false">IF(OR(#REF!&gt;2,#REF!&lt;-2),"",#REF!)</f>
        <v>#REF!</v>
      </c>
      <c r="EJ14" s="7" t="e">
        <f aca="false">IF(OR(#REF!&gt;2,#REF!&lt;-2),"",#REF!)</f>
        <v>#REF!</v>
      </c>
      <c r="EK14" s="7" t="e">
        <f aca="false">IF(OR(#REF!&gt;2,#REF!&lt;-2),"",#REF!)</f>
        <v>#REF!</v>
      </c>
      <c r="EL14" s="7" t="e">
        <f aca="false">IF(OR(#REF!&gt;2,#REF!&lt;-2),"",#REF!)</f>
        <v>#REF!</v>
      </c>
      <c r="EM14" s="7" t="e">
        <f aca="false">IF(OR(#REF!&gt;2,#REF!&lt;-2),"",#REF!)</f>
        <v>#REF!</v>
      </c>
      <c r="EN14" s="7" t="e">
        <f aca="false">IF(OR(#REF!&gt;2,#REF!&lt;-2),"",#REF!)</f>
        <v>#REF!</v>
      </c>
      <c r="EO14" s="7" t="e">
        <f aca="false">IF(OR(#REF!&gt;2,#REF!&lt;-2),"",#REF!)</f>
        <v>#REF!</v>
      </c>
      <c r="EP14" s="7" t="e">
        <f aca="false">IF(OR(#REF!&gt;2,#REF!&lt;-2),"",#REF!)</f>
        <v>#REF!</v>
      </c>
      <c r="EQ14" s="7" t="e">
        <f aca="false">IF(OR(#REF!&gt;2,#REF!&lt;-2),"",#REF!)</f>
        <v>#REF!</v>
      </c>
      <c r="ER14" s="7" t="e">
        <f aca="false">IF(OR(#REF!&gt;2,#REF!&lt;-2),"",#REF!)</f>
        <v>#REF!</v>
      </c>
      <c r="ES14" s="7" t="e">
        <f aca="false">IF(OR(#REF!&gt;2,#REF!&lt;-2),"",#REF!)</f>
        <v>#REF!</v>
      </c>
      <c r="ET14" s="7" t="e">
        <f aca="false">IF(OR(#REF!&gt;2,#REF!&lt;-2),"",#REF!)</f>
        <v>#REF!</v>
      </c>
      <c r="EU14" s="7" t="e">
        <f aca="false">IF(OR(#REF!&gt;2,#REF!&lt;-2),"",#REF!)</f>
        <v>#REF!</v>
      </c>
      <c r="EV14" s="7" t="e">
        <f aca="false">IF(OR(#REF!&gt;2,#REF!&lt;-2),"",#REF!)</f>
        <v>#REF!</v>
      </c>
      <c r="EW14" s="7" t="e">
        <f aca="false">IF(OR(#REF!&gt;2,#REF!&lt;-2),"",#REF!)</f>
        <v>#REF!</v>
      </c>
      <c r="EX14" s="7" t="e">
        <f aca="false">IF(OR(#REF!&gt;2,#REF!&lt;-2),"",#REF!)</f>
        <v>#REF!</v>
      </c>
      <c r="EY14" s="7" t="e">
        <f aca="false">IF(OR(#REF!&gt;2,#REF!&lt;-2),"",#REF!)</f>
        <v>#REF!</v>
      </c>
      <c r="EZ14" s="7" t="e">
        <f aca="false">IF(OR(#REF!&gt;2,#REF!&lt;-2),"",#REF!)</f>
        <v>#REF!</v>
      </c>
      <c r="FA14" s="7" t="e">
        <f aca="false">IF(OR(#REF!&gt;2,#REF!&lt;-2),"",#REF!)</f>
        <v>#REF!</v>
      </c>
      <c r="FB14" s="7" t="e">
        <f aca="false">IF(OR(#REF!&gt;2,#REF!&lt;-2),"",#REF!)</f>
        <v>#REF!</v>
      </c>
      <c r="FC14" s="7" t="e">
        <f aca="false">IF(OR(#REF!&gt;2,#REF!&lt;-2),"",#REF!)</f>
        <v>#REF!</v>
      </c>
      <c r="FD14" s="7" t="e">
        <f aca="false">IF(OR(#REF!&gt;2,#REF!&lt;-2),"",#REF!)</f>
        <v>#REF!</v>
      </c>
      <c r="FE14" s="7" t="e">
        <f aca="false">IF(OR(#REF!&gt;2,#REF!&lt;-2),"",#REF!)</f>
        <v>#REF!</v>
      </c>
      <c r="FF14" s="7" t="e">
        <f aca="false">IF(OR(#REF!&gt;2,#REF!&lt;-2),"",#REF!)</f>
        <v>#REF!</v>
      </c>
      <c r="FG14" s="7" t="e">
        <f aca="false">IF(OR(#REF!&gt;2,#REF!&lt;-2),"",#REF!)</f>
        <v>#REF!</v>
      </c>
      <c r="FH14" s="7" t="e">
        <f aca="false">IF(OR(#REF!&gt;2,#REF!&lt;-2),"",#REF!)</f>
        <v>#REF!</v>
      </c>
      <c r="FI14" s="7" t="e">
        <f aca="false">IF(OR(#REF!&gt;2,#REF!&lt;-2),"",#REF!)</f>
        <v>#REF!</v>
      </c>
      <c r="FJ14" s="7" t="e">
        <f aca="false">IF(OR(#REF!&gt;2,#REF!&lt;-2),"",#REF!)</f>
        <v>#REF!</v>
      </c>
      <c r="FK14" s="7" t="e">
        <f aca="false">IF(OR(#REF!&gt;2,#REF!&lt;-2),"",#REF!)</f>
        <v>#REF!</v>
      </c>
      <c r="FL14" s="7" t="e">
        <f aca="false">IF(OR(#REF!&gt;2,#REF!&lt;-2),"",#REF!)</f>
        <v>#REF!</v>
      </c>
      <c r="FM14" s="7" t="e">
        <f aca="false">IF(OR(#REF!&gt;2,#REF!&lt;-2),"",#REF!)</f>
        <v>#REF!</v>
      </c>
      <c r="FN14" s="7" t="e">
        <f aca="false">IF(OR(#REF!&gt;2,#REF!&lt;-2),"",#REF!)</f>
        <v>#REF!</v>
      </c>
      <c r="FO14" s="7" t="e">
        <f aca="false">IF(OR(#REF!&gt;2,#REF!&lt;-2),"",#REF!)</f>
        <v>#REF!</v>
      </c>
      <c r="FP14" s="7" t="e">
        <f aca="false">IF(OR(#REF!&gt;2,#REF!&lt;-2),"",#REF!)</f>
        <v>#REF!</v>
      </c>
      <c r="FQ14" s="7" t="e">
        <f aca="false">IF(OR(#REF!&gt;2,#REF!&lt;-2),"",#REF!)</f>
        <v>#REF!</v>
      </c>
      <c r="FR14" s="7" t="e">
        <f aca="false">IF(OR(#REF!&gt;2,#REF!&lt;-2),"",#REF!)</f>
        <v>#REF!</v>
      </c>
      <c r="FS14" s="7" t="e">
        <f aca="false">IF(OR(#REF!&gt;2,#REF!&lt;-2),"",#REF!)</f>
        <v>#REF!</v>
      </c>
      <c r="FT14" s="7" t="e">
        <f aca="false">IF(OR(#REF!&gt;2,#REF!&lt;-2),"",#REF!)</f>
        <v>#REF!</v>
      </c>
      <c r="FU14" s="7" t="e">
        <f aca="false">IF(OR(#REF!&gt;2,#REF!&lt;-2),"",#REF!)</f>
        <v>#REF!</v>
      </c>
      <c r="FV14" s="7" t="e">
        <f aca="false">IF(OR(#REF!&gt;2,#REF!&lt;-2),"",#REF!)</f>
        <v>#REF!</v>
      </c>
      <c r="FW14" s="7" t="e">
        <f aca="false">IF(OR(#REF!&gt;2,#REF!&lt;-2),"",#REF!)</f>
        <v>#REF!</v>
      </c>
      <c r="FX14" s="7" t="e">
        <f aca="false">IF(OR(#REF!&gt;2,#REF!&lt;-2),"",#REF!)</f>
        <v>#REF!</v>
      </c>
      <c r="FY14" s="7" t="e">
        <f aca="false">IF(OR(#REF!&gt;2,#REF!&lt;-2),"",#REF!)</f>
        <v>#REF!</v>
      </c>
      <c r="FZ14" s="7" t="e">
        <f aca="false">IF(OR(#REF!&gt;2,#REF!&lt;-2),"",#REF!)</f>
        <v>#REF!</v>
      </c>
      <c r="GA14" s="7" t="e">
        <f aca="false">IF(OR(#REF!&gt;2,#REF!&lt;-2),"",#REF!)</f>
        <v>#REF!</v>
      </c>
      <c r="GB14" s="7" t="e">
        <f aca="false">IF(OR(#REF!&gt;2,#REF!&lt;-2),"",#REF!)</f>
        <v>#REF!</v>
      </c>
      <c r="GC14" s="7" t="e">
        <f aca="false">IF(OR(#REF!&gt;2,#REF!&lt;-2),"",#REF!)</f>
        <v>#REF!</v>
      </c>
      <c r="GD14" s="7" t="e">
        <f aca="false">IF(OR(#REF!&gt;2,#REF!&lt;-2),"",#REF!)</f>
        <v>#REF!</v>
      </c>
      <c r="GE14" s="7" t="e">
        <f aca="false">IF(OR(#REF!&gt;2,#REF!&lt;-2),"",#REF!)</f>
        <v>#REF!</v>
      </c>
      <c r="GF14" s="7" t="e">
        <f aca="false">IF(OR(#REF!&gt;2,#REF!&lt;-2),"",#REF!)</f>
        <v>#REF!</v>
      </c>
      <c r="GG14" s="7" t="e">
        <f aca="false">IF(OR(#REF!&gt;2,#REF!&lt;-2),"",#REF!)</f>
        <v>#REF!</v>
      </c>
      <c r="GH14" s="7" t="e">
        <f aca="false">IF(OR(#REF!&gt;2,#REF!&lt;-2),"",#REF!)</f>
        <v>#REF!</v>
      </c>
      <c r="GI14" s="7" t="e">
        <f aca="false">IF(OR(#REF!&gt;2,#REF!&lt;-2),"",#REF!)</f>
        <v>#REF!</v>
      </c>
      <c r="GJ14" s="7" t="e">
        <f aca="false">IF(OR(#REF!&gt;2,#REF!&lt;-2),"",#REF!)</f>
        <v>#REF!</v>
      </c>
      <c r="GK14" s="7" t="e">
        <f aca="false">IF(OR(#REF!&gt;2,#REF!&lt;-2),"",#REF!)</f>
        <v>#REF!</v>
      </c>
      <c r="GL14" s="7" t="e">
        <f aca="false">IF(OR(#REF!&gt;2,#REF!&lt;-2),"",#REF!)</f>
        <v>#REF!</v>
      </c>
      <c r="GM14" s="7" t="e">
        <f aca="false">IF(OR(#REF!&gt;2,#REF!&lt;-2),"",#REF!)</f>
        <v>#REF!</v>
      </c>
      <c r="GN14" s="7" t="e">
        <f aca="false">IF(OR(#REF!&gt;2,#REF!&lt;-2),"",#REF!)</f>
        <v>#REF!</v>
      </c>
      <c r="GO14" s="7" t="e">
        <f aca="false">IF(OR(#REF!&gt;2,#REF!&lt;-2),"",#REF!)</f>
        <v>#REF!</v>
      </c>
      <c r="GP14" s="7" t="e">
        <f aca="false">IF(OR(#REF!&gt;2,#REF!&lt;-2),"",#REF!)</f>
        <v>#REF!</v>
      </c>
      <c r="GQ14" s="7" t="e">
        <f aca="false">IF(OR(#REF!&gt;2,#REF!&lt;-2),"",#REF!)</f>
        <v>#REF!</v>
      </c>
      <c r="GR14" s="7" t="e">
        <f aca="false">IF(OR(#REF!&gt;2,#REF!&lt;-2),"",#REF!)</f>
        <v>#REF!</v>
      </c>
      <c r="GS14" s="7" t="e">
        <f aca="false">IF(OR(#REF!&gt;2,#REF!&lt;-2),"",#REF!)</f>
        <v>#REF!</v>
      </c>
      <c r="GT14" s="7" t="e">
        <f aca="false">IF(OR(#REF!&gt;2,#REF!&lt;-2),"",#REF!)</f>
        <v>#REF!</v>
      </c>
      <c r="GU14" s="7" t="e">
        <f aca="false">IF(OR(#REF!&gt;2,#REF!&lt;-2),"",#REF!)</f>
        <v>#REF!</v>
      </c>
      <c r="GV14" s="7" t="e">
        <f aca="false">IF(OR(#REF!&gt;2,#REF!&lt;-2),"",#REF!)</f>
        <v>#REF!</v>
      </c>
      <c r="GW14" s="7" t="e">
        <f aca="false">IF(OR(#REF!&gt;2,#REF!&lt;-2),"",#REF!)</f>
        <v>#REF!</v>
      </c>
      <c r="GX14" s="7" t="e">
        <f aca="false">IF(OR(#REF!&gt;2,#REF!&lt;-2),"",#REF!)</f>
        <v>#REF!</v>
      </c>
      <c r="GY14" s="7" t="e">
        <f aca="false">IF(OR(#REF!&gt;2,#REF!&lt;-2),"",#REF!)</f>
        <v>#REF!</v>
      </c>
      <c r="GZ14" s="7" t="e">
        <f aca="false">IF(OR(#REF!&gt;2,#REF!&lt;-2),"",#REF!)</f>
        <v>#REF!</v>
      </c>
      <c r="HA14" s="7" t="e">
        <f aca="false">IF(OR(#REF!&gt;2,#REF!&lt;-2),"",#REF!)</f>
        <v>#REF!</v>
      </c>
      <c r="HB14" s="7" t="e">
        <f aca="false">IF(OR(#REF!&gt;2,#REF!&lt;-2),"",#REF!)</f>
        <v>#REF!</v>
      </c>
      <c r="HC14" s="7" t="e">
        <f aca="false">IF(OR(#REF!&gt;2,#REF!&lt;-2),"",#REF!)</f>
        <v>#REF!</v>
      </c>
      <c r="HD14" s="7" t="e">
        <f aca="false">IF(OR(#REF!&gt;2,#REF!&lt;-2),"",#REF!)</f>
        <v>#REF!</v>
      </c>
      <c r="HE14" s="7" t="e">
        <f aca="false">IF(OR(#REF!&gt;2,#REF!&lt;-2),"",#REF!)</f>
        <v>#REF!</v>
      </c>
      <c r="HF14" s="7" t="e">
        <f aca="false">IF(OR(#REF!&gt;2,#REF!&lt;-2),"",#REF!)</f>
        <v>#REF!</v>
      </c>
      <c r="HG14" s="7" t="e">
        <f aca="false">IF(OR(#REF!&gt;2,#REF!&lt;-2),"",#REF!)</f>
        <v>#REF!</v>
      </c>
      <c r="HH14" s="7" t="e">
        <f aca="false">IF(OR(#REF!&gt;2,#REF!&lt;-2),"",#REF!)</f>
        <v>#REF!</v>
      </c>
      <c r="HI14" s="7" t="e">
        <f aca="false">IF(OR(#REF!&gt;2,#REF!&lt;-2),"",#REF!)</f>
        <v>#REF!</v>
      </c>
      <c r="HJ14" s="7" t="e">
        <f aca="false">IF(OR(#REF!&gt;2,#REF!&lt;-2),"",#REF!)</f>
        <v>#REF!</v>
      </c>
      <c r="HK14" s="7" t="e">
        <f aca="false">IF(OR(#REF!&gt;2,#REF!&lt;-2),"",#REF!)</f>
        <v>#REF!</v>
      </c>
      <c r="HL14" s="7" t="e">
        <f aca="false">IF(OR(#REF!&gt;2,#REF!&lt;-2),"",#REF!)</f>
        <v>#REF!</v>
      </c>
      <c r="HM14" s="7" t="e">
        <f aca="false">IF(OR(#REF!&gt;2,#REF!&lt;-2),"",#REF!)</f>
        <v>#REF!</v>
      </c>
      <c r="HN14" s="7" t="e">
        <f aca="false">IF(OR(#REF!&gt;2,#REF!&lt;-2),"",#REF!)</f>
        <v>#REF!</v>
      </c>
      <c r="HO14" s="7" t="e">
        <f aca="false">IF(OR(#REF!&gt;2,#REF!&lt;-2),"",#REF!)</f>
        <v>#REF!</v>
      </c>
      <c r="HP14" s="7" t="e">
        <f aca="false">IF(OR(#REF!&gt;2,#REF!&lt;-2),"",#REF!)</f>
        <v>#REF!</v>
      </c>
      <c r="HQ14" s="7" t="e">
        <f aca="false">IF(OR(#REF!&gt;2,#REF!&lt;-2),"",#REF!)</f>
        <v>#REF!</v>
      </c>
      <c r="HR14" s="7" t="e">
        <f aca="false">IF(OR(#REF!&gt;2,#REF!&lt;-2),"",#REF!)</f>
        <v>#REF!</v>
      </c>
      <c r="HS14" s="7" t="e">
        <f aca="false">IF(OR(#REF!&gt;2,#REF!&lt;-2),"",#REF!)</f>
        <v>#REF!</v>
      </c>
      <c r="HT14" s="7" t="e">
        <f aca="false">IF(OR(#REF!&gt;2,#REF!&lt;-2),"",#REF!)</f>
        <v>#REF!</v>
      </c>
      <c r="HU14" s="7" t="e">
        <f aca="false">IF(OR(#REF!&gt;2,#REF!&lt;-2),"",#REF!)</f>
        <v>#REF!</v>
      </c>
      <c r="HV14" s="7" t="e">
        <f aca="false">IF(OR(#REF!&gt;2,#REF!&lt;-2),"",#REF!)</f>
        <v>#REF!</v>
      </c>
      <c r="HW14" s="7" t="e">
        <f aca="false">IF(OR(#REF!&gt;2,#REF!&lt;-2),"",#REF!)</f>
        <v>#REF!</v>
      </c>
      <c r="HX14" s="7" t="e">
        <f aca="false">IF(OR(#REF!&gt;2,#REF!&lt;-2),"",#REF!)</f>
        <v>#REF!</v>
      </c>
      <c r="HY14" s="7" t="e">
        <f aca="false">IF(OR(#REF!&gt;2,#REF!&lt;-2),"",#REF!)</f>
        <v>#REF!</v>
      </c>
      <c r="HZ14" s="7" t="e">
        <f aca="false">IF(OR(#REF!&gt;2,#REF!&lt;-2),"",#REF!)</f>
        <v>#REF!</v>
      </c>
      <c r="IA14" s="7" t="e">
        <f aca="false">IF(OR(#REF!&gt;2,#REF!&lt;-2),"",#REF!)</f>
        <v>#REF!</v>
      </c>
      <c r="IB14" s="7" t="e">
        <f aca="false">IF(OR(#REF!&gt;2,#REF!&lt;-2),"",#REF!)</f>
        <v>#REF!</v>
      </c>
      <c r="IC14" s="7" t="e">
        <f aca="false">IF(OR(#REF!&gt;2,#REF!&lt;-2),"",#REF!)</f>
        <v>#REF!</v>
      </c>
      <c r="ID14" s="7" t="e">
        <f aca="false">IF(OR(#REF!&gt;2,#REF!&lt;-2),"",#REF!)</f>
        <v>#REF!</v>
      </c>
      <c r="IE14" s="7" t="e">
        <f aca="false">IF(OR(#REF!&gt;2,#REF!&lt;-2),"",#REF!)</f>
        <v>#REF!</v>
      </c>
      <c r="IF14" s="7" t="e">
        <f aca="false">IF(OR(#REF!&gt;2,#REF!&lt;-2),"",#REF!)</f>
        <v>#REF!</v>
      </c>
      <c r="IG14" s="7" t="e">
        <f aca="false">IF(OR(#REF!&gt;2,#REF!&lt;-2),"",#REF!)</f>
        <v>#REF!</v>
      </c>
      <c r="IH14" s="7" t="e">
        <f aca="false">IF(OR(#REF!&gt;2,#REF!&lt;-2),"",#REF!)</f>
        <v>#REF!</v>
      </c>
      <c r="II14" s="7" t="e">
        <f aca="false">IF(OR(#REF!&gt;2,#REF!&lt;-2),"",#REF!)</f>
        <v>#REF!</v>
      </c>
      <c r="IJ14" s="7" t="e">
        <f aca="false">IF(OR(#REF!&gt;2,#REF!&lt;-2),"",#REF!)</f>
        <v>#REF!</v>
      </c>
      <c r="IK14" s="7" t="e">
        <f aca="false">IF(OR(#REF!&gt;2,#REF!&lt;-2),"",#REF!)</f>
        <v>#REF!</v>
      </c>
      <c r="IL14" s="7" t="e">
        <f aca="false">IF(OR(#REF!&gt;2,#REF!&lt;-2),"",#REF!)</f>
        <v>#REF!</v>
      </c>
      <c r="IM14" s="7" t="e">
        <f aca="false">IF(OR(#REF!&gt;2,#REF!&lt;-2),"",#REF!)</f>
        <v>#REF!</v>
      </c>
      <c r="IN14" s="7" t="e">
        <f aca="false">IF(OR(#REF!&gt;2,#REF!&lt;-2),"",#REF!)</f>
        <v>#REF!</v>
      </c>
      <c r="IO14" s="7" t="e">
        <f aca="false">IF(OR(#REF!&gt;2,#REF!&lt;-2),"",#REF!)</f>
        <v>#REF!</v>
      </c>
      <c r="IP14" s="7" t="e">
        <f aca="false">IF(OR(#REF!&gt;2,#REF!&lt;-2),"",#REF!)</f>
        <v>#REF!</v>
      </c>
      <c r="IQ14" s="7" t="e">
        <f aca="false">IF(OR(#REF!&gt;2,#REF!&lt;-2),"",#REF!)</f>
        <v>#REF!</v>
      </c>
      <c r="IR14" s="7" t="e">
        <f aca="false">IF(OR(#REF!&gt;2,#REF!&lt;-2),"",#REF!)</f>
        <v>#REF!</v>
      </c>
      <c r="IS14" s="7" t="e">
        <f aca="false">IF(OR(#REF!&gt;2,#REF!&lt;-2),"",#REF!)</f>
        <v>#REF!</v>
      </c>
      <c r="IT14" s="7" t="e">
        <f aca="false">IF(OR(#REF!&gt;2,#REF!&lt;-2),"",#REF!)</f>
        <v>#REF!</v>
      </c>
      <c r="IU14" s="7" t="e">
        <f aca="false">IF(OR(#REF!&gt;2,#REF!&lt;-2),"",#REF!)</f>
        <v>#REF!</v>
      </c>
      <c r="IV14" s="7" t="e">
        <f aca="false">IF(OR(#REF!&gt;2,#REF!&lt;-2),"",#REF!)</f>
        <v>#REF!</v>
      </c>
      <c r="IW14" s="7" t="e">
        <f aca="false">IF(OR(#REF!&gt;2,#REF!&lt;-2),"",#REF!)</f>
        <v>#REF!</v>
      </c>
      <c r="IX14" s="7" t="e">
        <f aca="false">IF(OR(#REF!&gt;2,#REF!&lt;-2),"",#REF!)</f>
        <v>#REF!</v>
      </c>
      <c r="IY14" s="7" t="e">
        <f aca="false">IF(OR(#REF!&gt;2,#REF!&lt;-2),"",#REF!)</f>
        <v>#REF!</v>
      </c>
      <c r="IZ14" s="7" t="e">
        <f aca="false">IF(OR(#REF!&gt;2,#REF!&lt;-2),"",#REF!)</f>
        <v>#REF!</v>
      </c>
      <c r="JA14" s="7" t="e">
        <f aca="false">IF(OR(#REF!&gt;2,#REF!&lt;-2),"",#REF!)</f>
        <v>#REF!</v>
      </c>
      <c r="JB14" s="7" t="e">
        <f aca="false">IF(OR(#REF!&gt;2,#REF!&lt;-2),"",#REF!)</f>
        <v>#REF!</v>
      </c>
      <c r="JC14" s="7" t="e">
        <f aca="false">IF(OR(#REF!&gt;2,#REF!&lt;-2),"",#REF!)</f>
        <v>#REF!</v>
      </c>
      <c r="JD14" s="7" t="e">
        <f aca="false">IF(OR(#REF!&gt;2,#REF!&lt;-2),"",#REF!)</f>
        <v>#REF!</v>
      </c>
      <c r="JE14" s="7" t="e">
        <f aca="false">IF(OR(#REF!&gt;2,#REF!&lt;-2),"",#REF!)</f>
        <v>#REF!</v>
      </c>
      <c r="JF14" s="7" t="e">
        <f aca="false">IF(OR(#REF!&gt;2,#REF!&lt;-2),"",#REF!)</f>
        <v>#REF!</v>
      </c>
      <c r="JG14" s="7" t="e">
        <f aca="false">IF(OR(#REF!&gt;2,#REF!&lt;-2),"",#REF!)</f>
        <v>#REF!</v>
      </c>
      <c r="JH14" s="7" t="e">
        <f aca="false">IF(OR(#REF!&gt;2,#REF!&lt;-2),"",#REF!)</f>
        <v>#REF!</v>
      </c>
      <c r="JI14" s="7" t="e">
        <f aca="false">IF(OR(#REF!&gt;2,#REF!&lt;-2),"",#REF!)</f>
        <v>#REF!</v>
      </c>
      <c r="JJ14" s="7" t="e">
        <f aca="false">IF(OR(#REF!&gt;2,#REF!&lt;-2),"",#REF!)</f>
        <v>#REF!</v>
      </c>
      <c r="JK14" s="7" t="e">
        <f aca="false">IF(OR(#REF!&gt;2,#REF!&lt;-2),"",#REF!)</f>
        <v>#REF!</v>
      </c>
      <c r="JL14" s="7" t="e">
        <f aca="false">IF(OR(#REF!&gt;2,#REF!&lt;-2),"",#REF!)</f>
        <v>#REF!</v>
      </c>
      <c r="JM14" s="7" t="e">
        <f aca="false">IF(OR(#REF!&gt;2,#REF!&lt;-2),"",#REF!)</f>
        <v>#REF!</v>
      </c>
      <c r="JN14" s="7" t="e">
        <f aca="false">IF(OR(#REF!&gt;2,#REF!&lt;-2),"",#REF!)</f>
        <v>#REF!</v>
      </c>
      <c r="JO14" s="7" t="e">
        <f aca="false">IF(OR(#REF!&gt;2,#REF!&lt;-2),"",#REF!)</f>
        <v>#REF!</v>
      </c>
      <c r="JP14" s="7" t="e">
        <f aca="false">IF(OR(#REF!&gt;2,#REF!&lt;-2),"",#REF!)</f>
        <v>#REF!</v>
      </c>
      <c r="JQ14" s="7" t="e">
        <f aca="false">IF(OR(#REF!&gt;2,#REF!&lt;-2),"",#REF!)</f>
        <v>#REF!</v>
      </c>
      <c r="JR14" s="7" t="e">
        <f aca="false">IF(OR(#REF!&gt;2,#REF!&lt;-2),"",#REF!)</f>
        <v>#REF!</v>
      </c>
      <c r="JS14" s="7" t="e">
        <f aca="false">IF(OR(#REF!&gt;2,#REF!&lt;-2),"",#REF!)</f>
        <v>#REF!</v>
      </c>
      <c r="JT14" s="7" t="e">
        <f aca="false">IF(OR(#REF!&gt;2,#REF!&lt;-2),"",#REF!)</f>
        <v>#REF!</v>
      </c>
      <c r="JU14" s="7" t="e">
        <f aca="false">IF(OR(#REF!&gt;2,#REF!&lt;-2),"",#REF!)</f>
        <v>#REF!</v>
      </c>
      <c r="JV14" s="7" t="e">
        <f aca="false">IF(OR(#REF!&gt;2,#REF!&lt;-2),"",#REF!)</f>
        <v>#REF!</v>
      </c>
      <c r="JW14" s="7" t="e">
        <f aca="false">IF(OR(#REF!&gt;2,#REF!&lt;-2),"",#REF!)</f>
        <v>#REF!</v>
      </c>
      <c r="JX14" s="7" t="e">
        <f aca="false">IF(OR(#REF!&gt;2,#REF!&lt;-2),"",#REF!)</f>
        <v>#REF!</v>
      </c>
      <c r="JY14" s="7" t="e">
        <f aca="false">IF(OR(#REF!&gt;2,#REF!&lt;-2),"",#REF!)</f>
        <v>#REF!</v>
      </c>
      <c r="JZ14" s="7" t="e">
        <f aca="false">IF(OR(#REF!&gt;2,#REF!&lt;-2),"",#REF!)</f>
        <v>#REF!</v>
      </c>
      <c r="KA14" s="7" t="e">
        <f aca="false">IF(OR(#REF!&gt;2,#REF!&lt;-2),"",#REF!)</f>
        <v>#REF!</v>
      </c>
      <c r="KB14" s="7" t="e">
        <f aca="false">IF(OR(#REF!&gt;2,#REF!&lt;-2),"",#REF!)</f>
        <v>#REF!</v>
      </c>
      <c r="KC14" s="7" t="e">
        <f aca="false">IF(OR(#REF!&gt;2,#REF!&lt;-2),"",#REF!)</f>
        <v>#REF!</v>
      </c>
      <c r="KD14" s="7" t="e">
        <f aca="false">IF(OR(#REF!&gt;2,#REF!&lt;-2),"",#REF!)</f>
        <v>#REF!</v>
      </c>
      <c r="KE14" s="7" t="e">
        <f aca="false">IF(OR(#REF!&gt;2,#REF!&lt;-2),"",#REF!)</f>
        <v>#REF!</v>
      </c>
      <c r="KF14" s="7" t="e">
        <f aca="false">IF(OR(#REF!&gt;2,#REF!&lt;-2),"",#REF!)</f>
        <v>#REF!</v>
      </c>
      <c r="KG14" s="7" t="e">
        <f aca="false">IF(OR(#REF!&gt;2,#REF!&lt;-2),"",#REF!)</f>
        <v>#REF!</v>
      </c>
      <c r="KH14" s="7" t="e">
        <f aca="false">IF(OR(#REF!&gt;2,#REF!&lt;-2),"",#REF!)</f>
        <v>#REF!</v>
      </c>
      <c r="KI14" s="7" t="e">
        <f aca="false">IF(OR(#REF!&gt;2,#REF!&lt;-2),"",#REF!)</f>
        <v>#REF!</v>
      </c>
      <c r="KJ14" s="7" t="e">
        <f aca="false">IF(OR(#REF!&gt;2,#REF!&lt;-2),"",#REF!)</f>
        <v>#REF!</v>
      </c>
      <c r="KK14" s="7" t="e">
        <f aca="false">IF(OR(#REF!&gt;2,#REF!&lt;-2),"",#REF!)</f>
        <v>#REF!</v>
      </c>
      <c r="KL14" s="7" t="e">
        <f aca="false">IF(OR(#REF!&gt;2,#REF!&lt;-2),"",#REF!)</f>
        <v>#REF!</v>
      </c>
      <c r="KM14" s="7" t="e">
        <f aca="false">IF(OR(#REF!&gt;2,#REF!&lt;-2),"",#REF!)</f>
        <v>#REF!</v>
      </c>
      <c r="KN14" s="7" t="e">
        <f aca="false">IF(OR(#REF!&gt;2,#REF!&lt;-2),"",#REF!)</f>
        <v>#REF!</v>
      </c>
      <c r="KO14" s="7" t="e">
        <f aca="false">IF(OR(#REF!&gt;2,#REF!&lt;-2),"",#REF!)</f>
        <v>#REF!</v>
      </c>
      <c r="KP14" s="7" t="e">
        <f aca="false">IF(OR(#REF!&gt;2,#REF!&lt;-2),"",#REF!)</f>
        <v>#REF!</v>
      </c>
      <c r="KQ14" s="7" t="e">
        <f aca="false">IF(OR(#REF!&gt;2,#REF!&lt;-2),"",#REF!)</f>
        <v>#REF!</v>
      </c>
      <c r="KR14" s="7" t="e">
        <f aca="false">IF(OR(#REF!&gt;2,#REF!&lt;-2),"",#REF!)</f>
        <v>#REF!</v>
      </c>
      <c r="KS14" s="7" t="e">
        <f aca="false">IF(OR(#REF!&gt;2,#REF!&lt;-2),"",#REF!)</f>
        <v>#REF!</v>
      </c>
      <c r="KT14" s="7" t="e">
        <f aca="false">IF(OR(#REF!&gt;2,#REF!&lt;-2),"",#REF!)</f>
        <v>#REF!</v>
      </c>
      <c r="KU14" s="7" t="e">
        <f aca="false">IF(OR(#REF!&gt;2,#REF!&lt;-2),"",#REF!)</f>
        <v>#REF!</v>
      </c>
      <c r="KV14" s="7" t="e">
        <f aca="false">IF(OR(#REF!&gt;2,#REF!&lt;-2),"",#REF!)</f>
        <v>#REF!</v>
      </c>
      <c r="KW14" s="7" t="e">
        <f aca="false">IF(OR(#REF!&gt;2,#REF!&lt;-2),"",#REF!)</f>
        <v>#REF!</v>
      </c>
      <c r="KX14" s="7" t="e">
        <f aca="false">IF(OR(#REF!&gt;2,#REF!&lt;-2),"",#REF!)</f>
        <v>#REF!</v>
      </c>
      <c r="KY14" s="7" t="e">
        <f aca="false">IF(OR(#REF!&gt;2,#REF!&lt;-2),"",#REF!)</f>
        <v>#REF!</v>
      </c>
      <c r="KZ14" s="7" t="e">
        <f aca="false">IF(OR(#REF!&gt;2,#REF!&lt;-2),"",#REF!)</f>
        <v>#REF!</v>
      </c>
      <c r="LA14" s="7" t="e">
        <f aca="false">IF(OR(#REF!&gt;2,#REF!&lt;-2),"",#REF!)</f>
        <v>#REF!</v>
      </c>
      <c r="LB14" s="7" t="e">
        <f aca="false">IF(OR(#REF!&gt;2,#REF!&lt;-2),"",#REF!)</f>
        <v>#REF!</v>
      </c>
      <c r="LC14" s="7" t="e">
        <f aca="false">IF(OR(#REF!&gt;2,#REF!&lt;-2),"",#REF!)</f>
        <v>#REF!</v>
      </c>
      <c r="LD14" s="7" t="e">
        <f aca="false">IF(OR(#REF!&gt;2,#REF!&lt;-2),"",#REF!)</f>
        <v>#REF!</v>
      </c>
      <c r="LE14" s="7" t="e">
        <f aca="false">IF(OR(#REF!&gt;2,#REF!&lt;-2),"",#REF!)</f>
        <v>#REF!</v>
      </c>
      <c r="LF14" s="7" t="e">
        <f aca="false">IF(OR(#REF!&gt;2,#REF!&lt;-2),"",#REF!)</f>
        <v>#REF!</v>
      </c>
      <c r="LG14" s="7" t="e">
        <f aca="false">IF(OR(#REF!&gt;2,#REF!&lt;-2),"",#REF!)</f>
        <v>#REF!</v>
      </c>
      <c r="LH14" s="7" t="e">
        <f aca="false">IF(OR(#REF!&gt;2,#REF!&lt;-2),"",#REF!)</f>
        <v>#REF!</v>
      </c>
      <c r="LI14" s="7" t="e">
        <f aca="false">IF(OR(#REF!&gt;2,#REF!&lt;-2),"",#REF!)</f>
        <v>#REF!</v>
      </c>
      <c r="LJ14" s="7" t="e">
        <f aca="false">IF(OR(#REF!&gt;2,#REF!&lt;-2),"",#REF!)</f>
        <v>#REF!</v>
      </c>
      <c r="LK14" s="7" t="e">
        <f aca="false">IF(OR(#REF!&gt;2,#REF!&lt;-2),"",#REF!)</f>
        <v>#REF!</v>
      </c>
      <c r="LL14" s="7" t="e">
        <f aca="false">IF(OR(#REF!&gt;2,#REF!&lt;-2),"",#REF!)</f>
        <v>#REF!</v>
      </c>
      <c r="LM14" s="7" t="e">
        <f aca="false">IF(OR(#REF!&gt;2,#REF!&lt;-2),"",#REF!)</f>
        <v>#REF!</v>
      </c>
      <c r="LN14" s="7" t="e">
        <f aca="false">IF(OR(#REF!&gt;2,#REF!&lt;-2),"",#REF!)</f>
        <v>#REF!</v>
      </c>
      <c r="LO14" s="7" t="e">
        <f aca="false">IF(OR(#REF!&gt;2,#REF!&lt;-2),"",#REF!)</f>
        <v>#REF!</v>
      </c>
      <c r="LP14" s="7" t="e">
        <f aca="false">IF(OR(#REF!&gt;2,#REF!&lt;-2),"",#REF!)</f>
        <v>#REF!</v>
      </c>
      <c r="LQ14" s="7" t="e">
        <f aca="false">IF(OR(#REF!&gt;2,#REF!&lt;-2),"",#REF!)</f>
        <v>#REF!</v>
      </c>
      <c r="LR14" s="7" t="e">
        <f aca="false">IF(OR(#REF!&gt;2,#REF!&lt;-2),"",#REF!)</f>
        <v>#REF!</v>
      </c>
      <c r="LS14" s="7" t="e">
        <f aca="false">IF(OR(#REF!&gt;2,#REF!&lt;-2),"",#REF!)</f>
        <v>#REF!</v>
      </c>
      <c r="LT14" s="7" t="e">
        <f aca="false">IF(OR(#REF!&gt;2,#REF!&lt;-2),"",#REF!)</f>
        <v>#REF!</v>
      </c>
      <c r="LU14" s="7" t="e">
        <f aca="false">IF(OR(#REF!&gt;2,#REF!&lt;-2),"",#REF!)</f>
        <v>#REF!</v>
      </c>
      <c r="LV14" s="7" t="e">
        <f aca="false">IF(OR(#REF!&gt;2,#REF!&lt;-2),"",#REF!)</f>
        <v>#REF!</v>
      </c>
      <c r="LW14" s="7" t="e">
        <f aca="false">IF(OR(#REF!&gt;2,#REF!&lt;-2),"",#REF!)</f>
        <v>#REF!</v>
      </c>
      <c r="LX14" s="7" t="e">
        <f aca="false">IF(OR(#REF!&gt;2,#REF!&lt;-2),"",#REF!)</f>
        <v>#REF!</v>
      </c>
      <c r="LY14" s="7" t="e">
        <f aca="false">IF(OR(#REF!&gt;2,#REF!&lt;-2),"",#REF!)</f>
        <v>#REF!</v>
      </c>
      <c r="LZ14" s="7" t="e">
        <f aca="false">IF(OR(#REF!&gt;2,#REF!&lt;-2),"",#REF!)</f>
        <v>#REF!</v>
      </c>
      <c r="MA14" s="7" t="e">
        <f aca="false">IF(OR(#REF!&gt;2,#REF!&lt;-2),"",#REF!)</f>
        <v>#REF!</v>
      </c>
      <c r="MB14" s="7" t="e">
        <f aca="false">IF(OR(#REF!&gt;2,#REF!&lt;-2),"",#REF!)</f>
        <v>#REF!</v>
      </c>
      <c r="MC14" s="7" t="e">
        <f aca="false">IF(OR(#REF!&gt;2,#REF!&lt;-2),"",#REF!)</f>
        <v>#REF!</v>
      </c>
      <c r="MD14" s="7" t="e">
        <f aca="false">IF(OR(#REF!&gt;2,#REF!&lt;-2),"",#REF!)</f>
        <v>#REF!</v>
      </c>
      <c r="ME14" s="7" t="e">
        <f aca="false">IF(OR(#REF!&gt;2,#REF!&lt;-2),"",#REF!)</f>
        <v>#REF!</v>
      </c>
      <c r="MF14" s="7" t="e">
        <f aca="false">IF(OR(#REF!&gt;2,#REF!&lt;-2),"",#REF!)</f>
        <v>#REF!</v>
      </c>
      <c r="MG14" s="7" t="e">
        <f aca="false">IF(OR(#REF!&gt;2,#REF!&lt;-2),"",#REF!)</f>
        <v>#REF!</v>
      </c>
      <c r="MH14" s="7" t="e">
        <f aca="false">IF(OR(#REF!&gt;2,#REF!&lt;-2),"",#REF!)</f>
        <v>#REF!</v>
      </c>
      <c r="MI14" s="7" t="e">
        <f aca="false">IF(OR(#REF!&gt;2,#REF!&lt;-2),"",#REF!)</f>
        <v>#REF!</v>
      </c>
      <c r="MJ14" s="7" t="e">
        <f aca="false">IF(OR(#REF!&gt;2,#REF!&lt;-2),"",#REF!)</f>
        <v>#REF!</v>
      </c>
      <c r="MK14" s="7" t="e">
        <f aca="false">IF(OR(#REF!&gt;2,#REF!&lt;-2),"",#REF!)</f>
        <v>#REF!</v>
      </c>
      <c r="ML14" s="7" t="e">
        <f aca="false">IF(OR(#REF!&gt;2,#REF!&lt;-2),"",#REF!)</f>
        <v>#REF!</v>
      </c>
      <c r="MM14" s="7" t="e">
        <f aca="false">IF(OR(#REF!&gt;2,#REF!&lt;-2),"",#REF!)</f>
        <v>#REF!</v>
      </c>
      <c r="MN14" s="7" t="e">
        <f aca="false">IF(OR(#REF!&gt;2,#REF!&lt;-2),"",#REF!)</f>
        <v>#REF!</v>
      </c>
      <c r="MO14" s="7" t="e">
        <f aca="false">IF(OR(#REF!&gt;2,#REF!&lt;-2),"",#REF!)</f>
        <v>#REF!</v>
      </c>
      <c r="MP14" s="7" t="e">
        <f aca="false">IF(OR(#REF!&gt;2,#REF!&lt;-2),"",#REF!)</f>
        <v>#REF!</v>
      </c>
      <c r="MQ14" s="7" t="e">
        <f aca="false">IF(OR(#REF!&gt;2,#REF!&lt;-2),"",#REF!)</f>
        <v>#REF!</v>
      </c>
      <c r="MR14" s="7" t="e">
        <f aca="false">IF(OR(#REF!&gt;2,#REF!&lt;-2),"",#REF!)</f>
        <v>#REF!</v>
      </c>
      <c r="MS14" s="7" t="e">
        <f aca="false">IF(OR(#REF!&gt;2,#REF!&lt;-2),"",#REF!)</f>
        <v>#REF!</v>
      </c>
      <c r="MT14" s="7" t="e">
        <f aca="false">IF(OR(#REF!&gt;2,#REF!&lt;-2),"",#REF!)</f>
        <v>#REF!</v>
      </c>
      <c r="MU14" s="7" t="e">
        <f aca="false">IF(OR(#REF!&gt;2,#REF!&lt;-2),"",#REF!)</f>
        <v>#REF!</v>
      </c>
      <c r="MV14" s="7" t="e">
        <f aca="false">IF(OR(#REF!&gt;2,#REF!&lt;-2),"",#REF!)</f>
        <v>#REF!</v>
      </c>
      <c r="MW14" s="7" t="e">
        <f aca="false">IF(OR(#REF!&gt;2,#REF!&lt;-2),"",#REF!)</f>
        <v>#REF!</v>
      </c>
      <c r="MX14" s="7" t="e">
        <f aca="false">IF(OR(#REF!&gt;2,#REF!&lt;-2),"",#REF!)</f>
        <v>#REF!</v>
      </c>
      <c r="MY14" s="7" t="e">
        <f aca="false">IF(OR(#REF!&gt;2,#REF!&lt;-2),"",#REF!)</f>
        <v>#REF!</v>
      </c>
      <c r="MZ14" s="7" t="e">
        <f aca="false">IF(OR(#REF!&gt;2,#REF!&lt;-2),"",#REF!)</f>
        <v>#REF!</v>
      </c>
      <c r="NA14" s="7" t="e">
        <f aca="false">IF(OR(#REF!&gt;2,#REF!&lt;-2),"",#REF!)</f>
        <v>#REF!</v>
      </c>
      <c r="NB14" s="7" t="e">
        <f aca="false">IF(OR(#REF!&gt;2,#REF!&lt;-2),"",#REF!)</f>
        <v>#REF!</v>
      </c>
      <c r="NC14" s="7" t="e">
        <f aca="false">IF(OR(#REF!&gt;2,#REF!&lt;-2),"",#REF!)</f>
        <v>#REF!</v>
      </c>
      <c r="ND14" s="7" t="e">
        <f aca="false">IF(OR(#REF!&gt;2,#REF!&lt;-2),"",#REF!)</f>
        <v>#REF!</v>
      </c>
      <c r="NE14" s="7" t="e">
        <f aca="false">IF(OR(#REF!&gt;2,#REF!&lt;-2),"",#REF!)</f>
        <v>#REF!</v>
      </c>
      <c r="NF14" s="7" t="e">
        <f aca="false">IF(OR(#REF!&gt;2,#REF!&lt;-2),"",#REF!)</f>
        <v>#REF!</v>
      </c>
      <c r="NG14" s="7" t="e">
        <f aca="false">IF(OR(#REF!&gt;2,#REF!&lt;-2),"",#REF!)</f>
        <v>#REF!</v>
      </c>
      <c r="NH14" s="7" t="e">
        <f aca="false">IF(OR(#REF!&gt;2,#REF!&lt;-2),"",#REF!)</f>
        <v>#REF!</v>
      </c>
      <c r="NI14" s="7" t="e">
        <f aca="false">IF(OR(#REF!&gt;2,#REF!&lt;-2),"",#REF!)</f>
        <v>#REF!</v>
      </c>
      <c r="NJ14" s="7" t="e">
        <f aca="false">IF(OR(#REF!&gt;2,#REF!&lt;-2),"",#REF!)</f>
        <v>#REF!</v>
      </c>
      <c r="NK14" s="7" t="e">
        <f aca="false">IF(OR(#REF!&gt;2,#REF!&lt;-2),"",#REF!)</f>
        <v>#REF!</v>
      </c>
      <c r="NL14" s="7" t="e">
        <f aca="false">IF(OR(#REF!&gt;2,#REF!&lt;-2),"",#REF!)</f>
        <v>#REF!</v>
      </c>
      <c r="NM14" s="7" t="e">
        <f aca="false">IF(OR(#REF!&gt;2,#REF!&lt;-2),"",#REF!)</f>
        <v>#REF!</v>
      </c>
      <c r="NN14" s="7" t="e">
        <f aca="false">IF(OR(#REF!&gt;2,#REF!&lt;-2),"",#REF!)</f>
        <v>#REF!</v>
      </c>
      <c r="NO14" s="7" t="e">
        <f aca="false">IF(OR(#REF!&gt;2,#REF!&lt;-2),"",#REF!)</f>
        <v>#REF!</v>
      </c>
      <c r="NP14" s="7" t="e">
        <f aca="false">IF(OR(#REF!&gt;2,#REF!&lt;-2),"",#REF!)</f>
        <v>#REF!</v>
      </c>
      <c r="NQ14" s="7" t="e">
        <f aca="false">IF(OR(#REF!&gt;2,#REF!&lt;-2),"",#REF!)</f>
        <v>#REF!</v>
      </c>
      <c r="NR14" s="7" t="e">
        <f aca="false">IF(OR(#REF!&gt;2,#REF!&lt;-2),"",#REF!)</f>
        <v>#REF!</v>
      </c>
      <c r="NS14" s="7" t="e">
        <f aca="false">IF(OR(#REF!&gt;2,#REF!&lt;-2),"",#REF!)</f>
        <v>#REF!</v>
      </c>
      <c r="NT14" s="7" t="e">
        <f aca="false">IF(OR(#REF!&gt;2,#REF!&lt;-2),"",#REF!)</f>
        <v>#REF!</v>
      </c>
      <c r="NU14" s="7" t="e">
        <f aca="false">IF(OR(#REF!&gt;2,#REF!&lt;-2),"",#REF!)</f>
        <v>#REF!</v>
      </c>
      <c r="NV14" s="7" t="e">
        <f aca="false">IF(OR(#REF!&gt;2,#REF!&lt;-2),"",#REF!)</f>
        <v>#REF!</v>
      </c>
      <c r="NW14" s="7" t="e">
        <f aca="false">IF(OR(#REF!&gt;2,#REF!&lt;-2),"",#REF!)</f>
        <v>#REF!</v>
      </c>
      <c r="NX14" s="7" t="e">
        <f aca="false">IF(OR(#REF!&gt;2,#REF!&lt;-2),"",#REF!)</f>
        <v>#REF!</v>
      </c>
      <c r="NY14" s="7" t="e">
        <f aca="false">IF(OR(#REF!&gt;2,#REF!&lt;-2),"",#REF!)</f>
        <v>#REF!</v>
      </c>
      <c r="NZ14" s="7" t="e">
        <f aca="false">IF(OR(#REF!&gt;2,#REF!&lt;-2),"",#REF!)</f>
        <v>#REF!</v>
      </c>
      <c r="OA14" s="7" t="e">
        <f aca="false">IF(OR(#REF!&gt;2,#REF!&lt;-2),"",#REF!)</f>
        <v>#REF!</v>
      </c>
      <c r="OB14" s="7" t="e">
        <f aca="false">IF(OR(#REF!&gt;2,#REF!&lt;-2),"",#REF!)</f>
        <v>#REF!</v>
      </c>
      <c r="OC14" s="7" t="e">
        <f aca="false">IF(OR(#REF!&gt;2,#REF!&lt;-2),"",#REF!)</f>
        <v>#REF!</v>
      </c>
      <c r="OD14" s="7" t="e">
        <f aca="false">IF(OR(#REF!&gt;2,#REF!&lt;-2),"",#REF!)</f>
        <v>#REF!</v>
      </c>
      <c r="OE14" s="7" t="e">
        <f aca="false">IF(OR(#REF!&gt;2,#REF!&lt;-2),"",#REF!)</f>
        <v>#REF!</v>
      </c>
      <c r="OF14" s="7" t="e">
        <f aca="false">IF(OR(#REF!&gt;2,#REF!&lt;-2),"",#REF!)</f>
        <v>#REF!</v>
      </c>
      <c r="OG14" s="7" t="e">
        <f aca="false">IF(OR(#REF!&gt;2,#REF!&lt;-2),"",#REF!)</f>
        <v>#REF!</v>
      </c>
      <c r="OH14" s="7" t="e">
        <f aca="false">IF(OR(#REF!&gt;2,#REF!&lt;-2),"",#REF!)</f>
        <v>#REF!</v>
      </c>
      <c r="OI14" s="7" t="e">
        <f aca="false">IF(OR(#REF!&gt;2,#REF!&lt;-2),"",#REF!)</f>
        <v>#REF!</v>
      </c>
      <c r="OJ14" s="7" t="e">
        <f aca="false">IF(OR(#REF!&gt;2,#REF!&lt;-2),"",#REF!)</f>
        <v>#REF!</v>
      </c>
      <c r="OK14" s="7" t="e">
        <f aca="false">IF(OR(#REF!&gt;2,#REF!&lt;-2),"",#REF!)</f>
        <v>#REF!</v>
      </c>
      <c r="OL14" s="7" t="e">
        <f aca="false">IF(OR(#REF!&gt;2,#REF!&lt;-2),"",#REF!)</f>
        <v>#REF!</v>
      </c>
      <c r="OM14" s="7" t="e">
        <f aca="false">IF(OR(#REF!&gt;2,#REF!&lt;-2),"",#REF!)</f>
        <v>#REF!</v>
      </c>
      <c r="ON14" s="7" t="e">
        <f aca="false">IF(OR(#REF!&gt;2,#REF!&lt;-2),"",#REF!)</f>
        <v>#REF!</v>
      </c>
      <c r="OO14" s="7" t="e">
        <f aca="false">IF(OR(#REF!&gt;2,#REF!&lt;-2),"",#REF!)</f>
        <v>#REF!</v>
      </c>
      <c r="OP14" s="7" t="e">
        <f aca="false">IF(OR(#REF!&gt;2,#REF!&lt;-2),"",#REF!)</f>
        <v>#REF!</v>
      </c>
      <c r="OQ14" s="7" t="e">
        <f aca="false">IF(OR(#REF!&gt;2,#REF!&lt;-2),"",#REF!)</f>
        <v>#REF!</v>
      </c>
      <c r="OR14" s="7" t="e">
        <f aca="false">IF(OR(#REF!&gt;2,#REF!&lt;-2),"",#REF!)</f>
        <v>#REF!</v>
      </c>
      <c r="OS14" s="7" t="e">
        <f aca="false">IF(OR(#REF!&gt;2,#REF!&lt;-2),"",#REF!)</f>
        <v>#REF!</v>
      </c>
      <c r="OT14" s="7" t="e">
        <f aca="false">IF(OR(#REF!&gt;2,#REF!&lt;-2),"",#REF!)</f>
        <v>#REF!</v>
      </c>
      <c r="OU14" s="7" t="e">
        <f aca="false">IF(OR(#REF!&gt;2,#REF!&lt;-2),"",#REF!)</f>
        <v>#REF!</v>
      </c>
      <c r="OV14" s="7" t="e">
        <f aca="false">IF(OR(#REF!&gt;2,#REF!&lt;-2),"",#REF!)</f>
        <v>#REF!</v>
      </c>
      <c r="OW14" s="7" t="e">
        <f aca="false">IF(OR(#REF!&gt;2,#REF!&lt;-2),"",#REF!)</f>
        <v>#REF!</v>
      </c>
      <c r="OX14" s="7" t="e">
        <f aca="false">IF(OR(#REF!&gt;2,#REF!&lt;-2),"",#REF!)</f>
        <v>#REF!</v>
      </c>
      <c r="OY14" s="7" t="e">
        <f aca="false">IF(OR(#REF!&gt;2,#REF!&lt;-2),"",#REF!)</f>
        <v>#REF!</v>
      </c>
      <c r="OZ14" s="7" t="e">
        <f aca="false">IF(OR(#REF!&gt;2,#REF!&lt;-2),"",#REF!)</f>
        <v>#REF!</v>
      </c>
      <c r="PA14" s="7" t="e">
        <f aca="false">IF(OR(#REF!&gt;2,#REF!&lt;-2),"",#REF!)</f>
        <v>#REF!</v>
      </c>
      <c r="PB14" s="7" t="e">
        <f aca="false">IF(OR(#REF!&gt;2,#REF!&lt;-2),"",#REF!)</f>
        <v>#REF!</v>
      </c>
      <c r="PC14" s="7" t="e">
        <f aca="false">IF(OR(#REF!&gt;2,#REF!&lt;-2),"",#REF!)</f>
        <v>#REF!</v>
      </c>
      <c r="PD14" s="7" t="e">
        <f aca="false">IF(OR(#REF!&gt;2,#REF!&lt;-2),"",#REF!)</f>
        <v>#REF!</v>
      </c>
      <c r="PE14" s="7" t="e">
        <f aca="false">IF(OR(#REF!&gt;2,#REF!&lt;-2),"",#REF!)</f>
        <v>#REF!</v>
      </c>
      <c r="PF14" s="7" t="e">
        <f aca="false">IF(OR(#REF!&gt;2,#REF!&lt;-2),"",#REF!)</f>
        <v>#REF!</v>
      </c>
      <c r="PG14" s="7" t="e">
        <f aca="false">IF(OR(#REF!&gt;2,#REF!&lt;-2),"",#REF!)</f>
        <v>#REF!</v>
      </c>
      <c r="PH14" s="7" t="e">
        <f aca="false">IF(OR(#REF!&gt;2,#REF!&lt;-2),"",#REF!)</f>
        <v>#REF!</v>
      </c>
      <c r="PI14" s="7" t="e">
        <f aca="false">IF(OR(#REF!&gt;2,#REF!&lt;-2),"",#REF!)</f>
        <v>#REF!</v>
      </c>
      <c r="PJ14" s="7" t="e">
        <f aca="false">IF(OR(#REF!&gt;2,#REF!&lt;-2),"",#REF!)</f>
        <v>#REF!</v>
      </c>
      <c r="PK14" s="7" t="e">
        <f aca="false">IF(OR(#REF!&gt;2,#REF!&lt;-2),"",#REF!)</f>
        <v>#REF!</v>
      </c>
      <c r="PL14" s="7" t="e">
        <f aca="false">IF(OR(#REF!&gt;2,#REF!&lt;-2),"",#REF!)</f>
        <v>#REF!</v>
      </c>
      <c r="PM14" s="7" t="e">
        <f aca="false">IF(OR(#REF!&gt;2,#REF!&lt;-2),"",#REF!)</f>
        <v>#REF!</v>
      </c>
      <c r="PN14" s="7" t="e">
        <f aca="false">IF(OR(#REF!&gt;2,#REF!&lt;-2),"",#REF!)</f>
        <v>#REF!</v>
      </c>
      <c r="PO14" s="7" t="e">
        <f aca="false">IF(OR(#REF!&gt;2,#REF!&lt;-2),"",#REF!)</f>
        <v>#REF!</v>
      </c>
      <c r="PP14" s="7" t="e">
        <f aca="false">IF(OR(#REF!&gt;2,#REF!&lt;-2),"",#REF!)</f>
        <v>#REF!</v>
      </c>
      <c r="PQ14" s="7" t="e">
        <f aca="false">IF(OR(#REF!&gt;2,#REF!&lt;-2),"",#REF!)</f>
        <v>#REF!</v>
      </c>
      <c r="PR14" s="7" t="e">
        <f aca="false">IF(OR(#REF!&gt;2,#REF!&lt;-2),"",#REF!)</f>
        <v>#REF!</v>
      </c>
      <c r="PS14" s="7" t="e">
        <f aca="false">IF(OR(#REF!&gt;2,#REF!&lt;-2),"",#REF!)</f>
        <v>#REF!</v>
      </c>
      <c r="PT14" s="7" t="e">
        <f aca="false">IF(OR(#REF!&gt;2,#REF!&lt;-2),"",#REF!)</f>
        <v>#REF!</v>
      </c>
      <c r="PU14" s="7" t="e">
        <f aca="false">IF(OR(#REF!&gt;2,#REF!&lt;-2),"",#REF!)</f>
        <v>#REF!</v>
      </c>
      <c r="PV14" s="7" t="e">
        <f aca="false">IF(OR(#REF!&gt;2,#REF!&lt;-2),"",#REF!)</f>
        <v>#REF!</v>
      </c>
      <c r="PW14" s="7" t="e">
        <f aca="false">IF(OR(#REF!&gt;2,#REF!&lt;-2),"",#REF!)</f>
        <v>#REF!</v>
      </c>
      <c r="PX14" s="7" t="e">
        <f aca="false">IF(OR(#REF!&gt;2,#REF!&lt;-2),"",#REF!)</f>
        <v>#REF!</v>
      </c>
      <c r="PY14" s="7" t="e">
        <f aca="false">IF(OR(#REF!&gt;2,#REF!&lt;-2),"",#REF!)</f>
        <v>#REF!</v>
      </c>
      <c r="PZ14" s="7" t="e">
        <f aca="false">IF(OR(#REF!&gt;2,#REF!&lt;-2),"",#REF!)</f>
        <v>#REF!</v>
      </c>
      <c r="QA14" s="7" t="e">
        <f aca="false">IF(OR(#REF!&gt;2,#REF!&lt;-2),"",#REF!)</f>
        <v>#REF!</v>
      </c>
      <c r="QB14" s="7" t="e">
        <f aca="false">IF(OR(#REF!&gt;2,#REF!&lt;-2),"",#REF!)</f>
        <v>#REF!</v>
      </c>
      <c r="QC14" s="7" t="e">
        <f aca="false">IF(OR(#REF!&gt;2,#REF!&lt;-2),"",#REF!)</f>
        <v>#REF!</v>
      </c>
      <c r="QD14" s="7" t="e">
        <f aca="false">IF(OR(#REF!&gt;2,#REF!&lt;-2),"",#REF!)</f>
        <v>#REF!</v>
      </c>
      <c r="QE14" s="7" t="e">
        <f aca="false">IF(OR(#REF!&gt;2,#REF!&lt;-2),"",#REF!)</f>
        <v>#REF!</v>
      </c>
      <c r="QF14" s="7" t="e">
        <f aca="false">IF(OR(#REF!&gt;2,#REF!&lt;-2),"",#REF!)</f>
        <v>#REF!</v>
      </c>
      <c r="QG14" s="7" t="e">
        <f aca="false">IF(OR(#REF!&gt;2,#REF!&lt;-2),"",#REF!)</f>
        <v>#REF!</v>
      </c>
      <c r="QH14" s="7" t="e">
        <f aca="false">IF(OR(#REF!&gt;2,#REF!&lt;-2),"",#REF!)</f>
        <v>#REF!</v>
      </c>
      <c r="QI14" s="7" t="e">
        <f aca="false">IF(OR(#REF!&gt;2,#REF!&lt;-2),"",#REF!)</f>
        <v>#REF!</v>
      </c>
      <c r="QJ14" s="7" t="e">
        <f aca="false">IF(OR(#REF!&gt;2,#REF!&lt;-2),"",#REF!)</f>
        <v>#REF!</v>
      </c>
      <c r="QK14" s="7" t="e">
        <f aca="false">IF(OR(#REF!&gt;2,#REF!&lt;-2),"",#REF!)</f>
        <v>#REF!</v>
      </c>
      <c r="QL14" s="7" t="e">
        <f aca="false">IF(OR(#REF!&gt;2,#REF!&lt;-2),"",#REF!)</f>
        <v>#REF!</v>
      </c>
      <c r="QM14" s="7" t="e">
        <f aca="false">IF(OR(#REF!&gt;2,#REF!&lt;-2),"",#REF!)</f>
        <v>#REF!</v>
      </c>
      <c r="QN14" s="7" t="e">
        <f aca="false">IF(OR(#REF!&gt;2,#REF!&lt;-2),"",#REF!)</f>
        <v>#REF!</v>
      </c>
      <c r="QO14" s="7" t="e">
        <f aca="false">IF(OR(#REF!&gt;2,#REF!&lt;-2),"",#REF!)</f>
        <v>#REF!</v>
      </c>
      <c r="QP14" s="7" t="e">
        <f aca="false">IF(OR(#REF!&gt;2,#REF!&lt;-2),"",#REF!)</f>
        <v>#REF!</v>
      </c>
      <c r="QQ14" s="7" t="e">
        <f aca="false">IF(OR(#REF!&gt;2,#REF!&lt;-2),"",#REF!)</f>
        <v>#REF!</v>
      </c>
      <c r="QR14" s="7" t="e">
        <f aca="false">IF(OR(#REF!&gt;2,#REF!&lt;-2),"",#REF!)</f>
        <v>#REF!</v>
      </c>
      <c r="QS14" s="7" t="e">
        <f aca="false">IF(OR(#REF!&gt;2,#REF!&lt;-2),"",#REF!)</f>
        <v>#REF!</v>
      </c>
      <c r="QT14" s="7" t="e">
        <f aca="false">IF(OR(#REF!&gt;2,#REF!&lt;-2),"",#REF!)</f>
        <v>#REF!</v>
      </c>
      <c r="QU14" s="7" t="e">
        <f aca="false">IF(OR(#REF!&gt;2,#REF!&lt;-2),"",#REF!)</f>
        <v>#REF!</v>
      </c>
      <c r="QV14" s="7" t="e">
        <f aca="false">IF(OR(#REF!&gt;2,#REF!&lt;-2),"",#REF!)</f>
        <v>#REF!</v>
      </c>
      <c r="QW14" s="7" t="e">
        <f aca="false">IF(OR(#REF!&gt;2,#REF!&lt;-2),"",#REF!)</f>
        <v>#REF!</v>
      </c>
      <c r="QX14" s="7" t="e">
        <f aca="false">IF(OR(#REF!&gt;2,#REF!&lt;-2),"",#REF!)</f>
        <v>#REF!</v>
      </c>
      <c r="QY14" s="7" t="e">
        <f aca="false">IF(OR(#REF!&gt;2,#REF!&lt;-2),"",#REF!)</f>
        <v>#REF!</v>
      </c>
      <c r="QZ14" s="7" t="e">
        <f aca="false">IF(OR(#REF!&gt;2,#REF!&lt;-2),"",#REF!)</f>
        <v>#REF!</v>
      </c>
      <c r="RA14" s="7" t="e">
        <f aca="false">IF(OR(#REF!&gt;2,#REF!&lt;-2),"",#REF!)</f>
        <v>#REF!</v>
      </c>
      <c r="RB14" s="7" t="e">
        <f aca="false">IF(OR(#REF!&gt;2,#REF!&lt;-2),"",#REF!)</f>
        <v>#REF!</v>
      </c>
      <c r="RC14" s="7" t="e">
        <f aca="false">IF(OR(#REF!&gt;2,#REF!&lt;-2),"",#REF!)</f>
        <v>#REF!</v>
      </c>
      <c r="RD14" s="7" t="e">
        <f aca="false">IF(OR(#REF!&gt;2,#REF!&lt;-2),"",#REF!)</f>
        <v>#REF!</v>
      </c>
      <c r="RE14" s="7" t="e">
        <f aca="false">IF(OR(#REF!&gt;2,#REF!&lt;-2),"",#REF!)</f>
        <v>#REF!</v>
      </c>
      <c r="RF14" s="7" t="e">
        <f aca="false">IF(OR(#REF!&gt;2,#REF!&lt;-2),"",#REF!)</f>
        <v>#REF!</v>
      </c>
      <c r="RG14" s="7" t="e">
        <f aca="false">IF(OR(#REF!&gt;2,#REF!&lt;-2),"",#REF!)</f>
        <v>#REF!</v>
      </c>
      <c r="RH14" s="7" t="e">
        <f aca="false">IF(OR(#REF!&gt;2,#REF!&lt;-2),"",#REF!)</f>
        <v>#REF!</v>
      </c>
      <c r="RI14" s="7" t="e">
        <f aca="false">IF(OR(#REF!&gt;2,#REF!&lt;-2),"",#REF!)</f>
        <v>#REF!</v>
      </c>
      <c r="RJ14" s="7" t="e">
        <f aca="false">IF(OR(#REF!&gt;2,#REF!&lt;-2),"",#REF!)</f>
        <v>#REF!</v>
      </c>
      <c r="RK14" s="7" t="e">
        <f aca="false">IF(OR(#REF!&gt;2,#REF!&lt;-2),"",#REF!)</f>
        <v>#REF!</v>
      </c>
      <c r="RL14" s="7" t="e">
        <f aca="false">IF(OR(#REF!&gt;2,#REF!&lt;-2),"",#REF!)</f>
        <v>#REF!</v>
      </c>
      <c r="RM14" s="7" t="e">
        <f aca="false">IF(OR(#REF!&gt;2,#REF!&lt;-2),"",#REF!)</f>
        <v>#REF!</v>
      </c>
      <c r="RN14" s="7" t="e">
        <f aca="false">IF(OR(#REF!&gt;2,#REF!&lt;-2),"",#REF!)</f>
        <v>#REF!</v>
      </c>
      <c r="RO14" s="7" t="e">
        <f aca="false">IF(OR(#REF!&gt;2,#REF!&lt;-2),"",#REF!)</f>
        <v>#REF!</v>
      </c>
      <c r="RP14" s="7" t="e">
        <f aca="false">IF(OR(#REF!&gt;2,#REF!&lt;-2),"",#REF!)</f>
        <v>#REF!</v>
      </c>
      <c r="RQ14" s="7" t="e">
        <f aca="false">IF(OR(#REF!&gt;2,#REF!&lt;-2),"",#REF!)</f>
        <v>#REF!</v>
      </c>
      <c r="RR14" s="7" t="e">
        <f aca="false">IF(OR(#REF!&gt;2,#REF!&lt;-2),"",#REF!)</f>
        <v>#REF!</v>
      </c>
      <c r="RS14" s="7" t="e">
        <f aca="false">IF(OR(#REF!&gt;2,#REF!&lt;-2),"",#REF!)</f>
        <v>#REF!</v>
      </c>
      <c r="RT14" s="7" t="e">
        <f aca="false">IF(OR(#REF!&gt;2,#REF!&lt;-2),"",#REF!)</f>
        <v>#REF!</v>
      </c>
      <c r="RU14" s="7" t="e">
        <f aca="false">IF(OR(#REF!&gt;2,#REF!&lt;-2),"",#REF!)</f>
        <v>#REF!</v>
      </c>
      <c r="RV14" s="7" t="e">
        <f aca="false">IF(OR(#REF!&gt;2,#REF!&lt;-2),"",#REF!)</f>
        <v>#REF!</v>
      </c>
      <c r="RW14" s="7" t="e">
        <f aca="false">IF(OR(#REF!&gt;2,#REF!&lt;-2),"",#REF!)</f>
        <v>#REF!</v>
      </c>
      <c r="RX14" s="7" t="e">
        <f aca="false">IF(OR(#REF!&gt;2,#REF!&lt;-2),"",#REF!)</f>
        <v>#REF!</v>
      </c>
      <c r="RY14" s="7" t="e">
        <f aca="false">IF(OR(#REF!&gt;2,#REF!&lt;-2),"",#REF!)</f>
        <v>#REF!</v>
      </c>
      <c r="RZ14" s="7" t="e">
        <f aca="false">IF(OR(#REF!&gt;2,#REF!&lt;-2),"",#REF!)</f>
        <v>#REF!</v>
      </c>
      <c r="SA14" s="7" t="e">
        <f aca="false">IF(OR(#REF!&gt;2,#REF!&lt;-2),"",#REF!)</f>
        <v>#REF!</v>
      </c>
      <c r="SB14" s="7" t="e">
        <f aca="false">IF(OR(#REF!&gt;2,#REF!&lt;-2),"",#REF!)</f>
        <v>#REF!</v>
      </c>
      <c r="SC14" s="7" t="e">
        <f aca="false">IF(OR(#REF!&gt;2,#REF!&lt;-2),"",#REF!)</f>
        <v>#REF!</v>
      </c>
      <c r="SD14" s="7" t="e">
        <f aca="false">IF(OR(#REF!&gt;2,#REF!&lt;-2),"",#REF!)</f>
        <v>#REF!</v>
      </c>
      <c r="SE14" s="7" t="e">
        <f aca="false">IF(OR(#REF!&gt;2,#REF!&lt;-2),"",#REF!)</f>
        <v>#REF!</v>
      </c>
      <c r="SF14" s="7" t="e">
        <f aca="false">IF(OR(#REF!&gt;2,#REF!&lt;-2),"",#REF!)</f>
        <v>#REF!</v>
      </c>
      <c r="SG14" s="7" t="e">
        <f aca="false">IF(OR(#REF!&gt;2,#REF!&lt;-2),"",#REF!)</f>
        <v>#REF!</v>
      </c>
      <c r="SH14" s="7" t="e">
        <f aca="false">IF(OR(#REF!&gt;2,#REF!&lt;-2),"",#REF!)</f>
        <v>#REF!</v>
      </c>
      <c r="SI14" s="7" t="e">
        <f aca="false">IF(OR(#REF!&gt;2,#REF!&lt;-2),"",#REF!)</f>
        <v>#REF!</v>
      </c>
      <c r="SJ14" s="7" t="e">
        <f aca="false">IF(OR(#REF!&gt;2,#REF!&lt;-2),"",#REF!)</f>
        <v>#REF!</v>
      </c>
      <c r="SK14" s="7" t="e">
        <f aca="false">IF(OR(#REF!&gt;2,#REF!&lt;-2),"",#REF!)</f>
        <v>#REF!</v>
      </c>
      <c r="SL14" s="7" t="e">
        <f aca="false">IF(OR(#REF!&gt;2,#REF!&lt;-2),"",#REF!)</f>
        <v>#REF!</v>
      </c>
      <c r="SM14" s="7" t="e">
        <f aca="false">IF(OR(#REF!&gt;2,#REF!&lt;-2),"",#REF!)</f>
        <v>#REF!</v>
      </c>
      <c r="SN14" s="7" t="e">
        <f aca="false">IF(OR(#REF!&gt;2,#REF!&lt;-2),"",#REF!)</f>
        <v>#REF!</v>
      </c>
      <c r="SO14" s="7" t="e">
        <f aca="false">IF(OR(#REF!&gt;2,#REF!&lt;-2),"",#REF!)</f>
        <v>#REF!</v>
      </c>
      <c r="SP14" s="7" t="e">
        <f aca="false">IF(OR(#REF!&gt;2,#REF!&lt;-2),"",#REF!)</f>
        <v>#REF!</v>
      </c>
      <c r="SQ14" s="7" t="e">
        <f aca="false">IF(OR(#REF!&gt;2,#REF!&lt;-2),"",#REF!)</f>
        <v>#REF!</v>
      </c>
      <c r="SR14" s="7" t="e">
        <f aca="false">IF(OR(#REF!&gt;2,#REF!&lt;-2),"",#REF!)</f>
        <v>#REF!</v>
      </c>
      <c r="SS14" s="7" t="e">
        <f aca="false">IF(OR(#REF!&gt;2,#REF!&lt;-2),"",#REF!)</f>
        <v>#REF!</v>
      </c>
      <c r="ST14" s="7" t="e">
        <f aca="false">IF(OR(#REF!&gt;2,#REF!&lt;-2),"",#REF!)</f>
        <v>#REF!</v>
      </c>
      <c r="SU14" s="7" t="e">
        <f aca="false">IF(OR(#REF!&gt;2,#REF!&lt;-2),"",#REF!)</f>
        <v>#REF!</v>
      </c>
      <c r="SV14" s="7" t="e">
        <f aca="false">IF(OR(#REF!&gt;2,#REF!&lt;-2),"",#REF!)</f>
        <v>#REF!</v>
      </c>
      <c r="SW14" s="7" t="e">
        <f aca="false">IF(OR(#REF!&gt;2,#REF!&lt;-2),"",#REF!)</f>
        <v>#REF!</v>
      </c>
      <c r="SX14" s="7" t="e">
        <f aca="false">IF(OR(#REF!&gt;2,#REF!&lt;-2),"",#REF!)</f>
        <v>#REF!</v>
      </c>
      <c r="SY14" s="7" t="e">
        <f aca="false">IF(OR(#REF!&gt;2,#REF!&lt;-2),"",#REF!)</f>
        <v>#REF!</v>
      </c>
      <c r="SZ14" s="7" t="e">
        <f aca="false">IF(OR(#REF!&gt;2,#REF!&lt;-2),"",#REF!)</f>
        <v>#REF!</v>
      </c>
      <c r="TA14" s="7" t="e">
        <f aca="false">IF(OR(#REF!&gt;2,#REF!&lt;-2),"",#REF!)</f>
        <v>#REF!</v>
      </c>
      <c r="TB14" s="7" t="e">
        <f aca="false">IF(OR(#REF!&gt;2,#REF!&lt;-2),"",#REF!)</f>
        <v>#REF!</v>
      </c>
      <c r="TC14" s="7" t="e">
        <f aca="false">IF(OR(#REF!&gt;2,#REF!&lt;-2),"",#REF!)</f>
        <v>#REF!</v>
      </c>
      <c r="TD14" s="7" t="e">
        <f aca="false">IF(OR(#REF!&gt;2,#REF!&lt;-2),"",#REF!)</f>
        <v>#REF!</v>
      </c>
      <c r="TE14" s="7" t="e">
        <f aca="false">IF(OR(#REF!&gt;2,#REF!&lt;-2),"",#REF!)</f>
        <v>#REF!</v>
      </c>
      <c r="TF14" s="7" t="e">
        <f aca="false">IF(OR(#REF!&gt;2,#REF!&lt;-2),"",#REF!)</f>
        <v>#REF!</v>
      </c>
      <c r="TG14" s="7" t="e">
        <f aca="false">IF(OR(#REF!&gt;2,#REF!&lt;-2),"",#REF!)</f>
        <v>#REF!</v>
      </c>
      <c r="TH14" s="7" t="e">
        <f aca="false">IF(OR(#REF!&gt;2,#REF!&lt;-2),"",#REF!)</f>
        <v>#REF!</v>
      </c>
      <c r="TI14" s="7" t="e">
        <f aca="false">IF(OR(#REF!&gt;2,#REF!&lt;-2),"",#REF!)</f>
        <v>#REF!</v>
      </c>
      <c r="TJ14" s="7" t="e">
        <f aca="false">IF(OR(#REF!&gt;2,#REF!&lt;-2),"",#REF!)</f>
        <v>#REF!</v>
      </c>
      <c r="TK14" s="7" t="e">
        <f aca="false">IF(OR(#REF!&gt;2,#REF!&lt;-2),"",#REF!)</f>
        <v>#REF!</v>
      </c>
      <c r="TL14" s="7" t="e">
        <f aca="false">IF(OR(#REF!&gt;2,#REF!&lt;-2),"",#REF!)</f>
        <v>#REF!</v>
      </c>
      <c r="TM14" s="7" t="e">
        <f aca="false">IF(OR(#REF!&gt;2,#REF!&lt;-2),"",#REF!)</f>
        <v>#REF!</v>
      </c>
      <c r="TN14" s="7" t="e">
        <f aca="false">IF(OR(#REF!&gt;2,#REF!&lt;-2),"",#REF!)</f>
        <v>#REF!</v>
      </c>
      <c r="TO14" s="7" t="e">
        <f aca="false">IF(OR(#REF!&gt;2,#REF!&lt;-2),"",#REF!)</f>
        <v>#REF!</v>
      </c>
      <c r="TP14" s="7" t="e">
        <f aca="false">IF(OR(#REF!&gt;2,#REF!&lt;-2),"",#REF!)</f>
        <v>#REF!</v>
      </c>
      <c r="TQ14" s="7" t="e">
        <f aca="false">IF(OR(#REF!&gt;2,#REF!&lt;-2),"",#REF!)</f>
        <v>#REF!</v>
      </c>
      <c r="TR14" s="7" t="e">
        <f aca="false">IF(OR(#REF!&gt;2,#REF!&lt;-2),"",#REF!)</f>
        <v>#REF!</v>
      </c>
      <c r="TS14" s="7" t="e">
        <f aca="false">IF(OR(#REF!&gt;2,#REF!&lt;-2),"",#REF!)</f>
        <v>#REF!</v>
      </c>
      <c r="TT14" s="7" t="e">
        <f aca="false">IF(OR(#REF!&gt;2,#REF!&lt;-2),"",#REF!)</f>
        <v>#REF!</v>
      </c>
      <c r="TU14" s="7" t="e">
        <f aca="false">IF(OR(#REF!&gt;2,#REF!&lt;-2),"",#REF!)</f>
        <v>#REF!</v>
      </c>
      <c r="TV14" s="7" t="e">
        <f aca="false">IF(OR(#REF!&gt;2,#REF!&lt;-2),"",#REF!)</f>
        <v>#REF!</v>
      </c>
      <c r="TW14" s="7" t="e">
        <f aca="false">IF(OR(#REF!&gt;2,#REF!&lt;-2),"",#REF!)</f>
        <v>#REF!</v>
      </c>
      <c r="TX14" s="7" t="e">
        <f aca="false">IF(OR(#REF!&gt;2,#REF!&lt;-2),"",#REF!)</f>
        <v>#REF!</v>
      </c>
      <c r="TY14" s="7" t="e">
        <f aca="false">IF(OR(#REF!&gt;2,#REF!&lt;-2),"",#REF!)</f>
        <v>#REF!</v>
      </c>
      <c r="TZ14" s="7" t="e">
        <f aca="false">IF(OR(#REF!&gt;2,#REF!&lt;-2),"",#REF!)</f>
        <v>#REF!</v>
      </c>
      <c r="UA14" s="7" t="e">
        <f aca="false">IF(OR(#REF!&gt;2,#REF!&lt;-2),"",#REF!)</f>
        <v>#REF!</v>
      </c>
      <c r="UB14" s="7" t="e">
        <f aca="false">IF(OR(#REF!&gt;2,#REF!&lt;-2),"",#REF!)</f>
        <v>#REF!</v>
      </c>
      <c r="UC14" s="7" t="e">
        <f aca="false">IF(OR(#REF!&gt;2,#REF!&lt;-2),"",#REF!)</f>
        <v>#REF!</v>
      </c>
      <c r="UD14" s="7" t="e">
        <f aca="false">IF(OR(#REF!&gt;2,#REF!&lt;-2),"",#REF!)</f>
        <v>#REF!</v>
      </c>
      <c r="UE14" s="7" t="e">
        <f aca="false">IF(OR(#REF!&gt;2,#REF!&lt;-2),"",#REF!)</f>
        <v>#REF!</v>
      </c>
      <c r="UF14" s="7" t="e">
        <f aca="false">IF(OR(#REF!&gt;2,#REF!&lt;-2),"",#REF!)</f>
        <v>#REF!</v>
      </c>
      <c r="UG14" s="7" t="e">
        <f aca="false">IF(OR(#REF!&gt;2,#REF!&lt;-2),"",#REF!)</f>
        <v>#REF!</v>
      </c>
      <c r="UH14" s="7" t="e">
        <f aca="false">IF(OR(#REF!&gt;2,#REF!&lt;-2),"",#REF!)</f>
        <v>#REF!</v>
      </c>
      <c r="UI14" s="7" t="e">
        <f aca="false">IF(OR(#REF!&gt;2,#REF!&lt;-2),"",#REF!)</f>
        <v>#REF!</v>
      </c>
      <c r="UJ14" s="7" t="e">
        <f aca="false">IF(OR(#REF!&gt;2,#REF!&lt;-2),"",#REF!)</f>
        <v>#REF!</v>
      </c>
      <c r="UK14" s="7" t="e">
        <f aca="false">IF(OR(#REF!&gt;2,#REF!&lt;-2),"",#REF!)</f>
        <v>#REF!</v>
      </c>
      <c r="UL14" s="7" t="e">
        <f aca="false">IF(OR(#REF!&gt;2,#REF!&lt;-2),"",#REF!)</f>
        <v>#REF!</v>
      </c>
      <c r="UM14" s="7" t="e">
        <f aca="false">IF(OR(#REF!&gt;2,#REF!&lt;-2),"",#REF!)</f>
        <v>#REF!</v>
      </c>
      <c r="UN14" s="7" t="e">
        <f aca="false">IF(OR(#REF!&gt;2,#REF!&lt;-2),"",#REF!)</f>
        <v>#REF!</v>
      </c>
      <c r="UO14" s="7" t="e">
        <f aca="false">IF(OR(#REF!&gt;2,#REF!&lt;-2),"",#REF!)</f>
        <v>#REF!</v>
      </c>
      <c r="UP14" s="7" t="e">
        <f aca="false">IF(OR(#REF!&gt;2,#REF!&lt;-2),"",#REF!)</f>
        <v>#REF!</v>
      </c>
    </row>
    <row r="15" customFormat="false" ht="14.5" hidden="false" customHeight="false" outlineLevel="0" collapsed="false">
      <c r="A15" s="0" t="n">
        <v>177</v>
      </c>
      <c r="B15" s="0" t="n">
        <v>1</v>
      </c>
      <c r="C15" s="7" t="e">
        <f aca="false">IF(OR(#REF!&gt;2,#REF!&lt;-2),"",#REF!)</f>
        <v>#REF!</v>
      </c>
      <c r="D15" s="7" t="e">
        <f aca="false">IF(OR(#REF!&gt;2,#REF!&lt;-2),"",#REF!)</f>
        <v>#REF!</v>
      </c>
      <c r="E15" s="7" t="e">
        <f aca="false">IF(OR(#REF!&gt;2,#REF!&lt;-2),"",#REF!)</f>
        <v>#REF!</v>
      </c>
      <c r="F15" s="7" t="e">
        <f aca="false">IF(OR(#REF!&gt;2,#REF!&lt;-2),"",#REF!)</f>
        <v>#REF!</v>
      </c>
      <c r="G15" s="7" t="e">
        <f aca="false">IF(OR(#REF!&gt;2,#REF!&lt;-2),"",#REF!)</f>
        <v>#REF!</v>
      </c>
      <c r="H15" s="7" t="e">
        <f aca="false">IF(OR(#REF!&gt;2,#REF!&lt;-2),"",#REF!)</f>
        <v>#REF!</v>
      </c>
      <c r="I15" s="7" t="e">
        <f aca="false">IF(OR(#REF!&gt;2,#REF!&lt;-2),"",#REF!)</f>
        <v>#REF!</v>
      </c>
      <c r="J15" s="7" t="e">
        <f aca="false">IF(OR(#REF!&gt;2,#REF!&lt;-2),"",#REF!)</f>
        <v>#REF!</v>
      </c>
      <c r="K15" s="7" t="e">
        <f aca="false">IF(OR(#REF!&gt;2,#REF!&lt;-2),"",#REF!)</f>
        <v>#REF!</v>
      </c>
      <c r="L15" s="7" t="e">
        <f aca="false">IF(OR(#REF!&gt;2,#REF!&lt;-2),"",#REF!)</f>
        <v>#REF!</v>
      </c>
      <c r="M15" s="7" t="e">
        <f aca="false">IF(OR(#REF!&gt;2,#REF!&lt;-2),"",#REF!)</f>
        <v>#REF!</v>
      </c>
      <c r="N15" s="7" t="e">
        <f aca="false">IF(OR(#REF!&gt;2,#REF!&lt;-2),"",#REF!)</f>
        <v>#REF!</v>
      </c>
      <c r="O15" s="7" t="e">
        <f aca="false">IF(OR(#REF!&gt;2,#REF!&lt;-2),"",#REF!)</f>
        <v>#REF!</v>
      </c>
      <c r="P15" s="7" t="e">
        <f aca="false">IF(OR(#REF!&gt;2,#REF!&lt;-2),"",#REF!)</f>
        <v>#REF!</v>
      </c>
      <c r="Q15" s="7" t="e">
        <f aca="false">IF(OR(#REF!&gt;2,#REF!&lt;-2),"",#REF!)</f>
        <v>#REF!</v>
      </c>
      <c r="R15" s="7" t="e">
        <f aca="false">IF(OR(#REF!&gt;2,#REF!&lt;-2),"",#REF!)</f>
        <v>#REF!</v>
      </c>
      <c r="S15" s="7" t="e">
        <f aca="false">IF(OR(#REF!&gt;2,#REF!&lt;-2),"",#REF!)</f>
        <v>#REF!</v>
      </c>
      <c r="T15" s="7" t="e">
        <f aca="false">IF(OR(#REF!&gt;2,#REF!&lt;-2),"",#REF!)</f>
        <v>#REF!</v>
      </c>
      <c r="U15" s="7" t="e">
        <f aca="false">IF(OR(#REF!&gt;2,#REF!&lt;-2),"",#REF!)</f>
        <v>#REF!</v>
      </c>
      <c r="V15" s="7" t="e">
        <f aca="false">IF(OR(#REF!&gt;2,#REF!&lt;-2),"",#REF!)</f>
        <v>#REF!</v>
      </c>
      <c r="W15" s="7" t="e">
        <f aca="false">IF(OR(#REF!&gt;2,#REF!&lt;-2),"",#REF!)</f>
        <v>#REF!</v>
      </c>
      <c r="X15" s="7" t="e">
        <f aca="false">IF(OR(#REF!&gt;2,#REF!&lt;-2),"",#REF!)</f>
        <v>#REF!</v>
      </c>
      <c r="Y15" s="7" t="e">
        <f aca="false">IF(OR(#REF!&gt;2,#REF!&lt;-2),"",#REF!)</f>
        <v>#REF!</v>
      </c>
      <c r="Z15" s="7" t="e">
        <f aca="false">IF(OR(#REF!&gt;2,#REF!&lt;-2),"",#REF!)</f>
        <v>#REF!</v>
      </c>
      <c r="AA15" s="7" t="e">
        <f aca="false">IF(OR(#REF!&gt;2,#REF!&lt;-2),"",#REF!)</f>
        <v>#REF!</v>
      </c>
      <c r="AB15" s="7" t="e">
        <f aca="false">IF(OR(#REF!&gt;2,#REF!&lt;-2),"",#REF!)</f>
        <v>#REF!</v>
      </c>
      <c r="AC15" s="7" t="e">
        <f aca="false">IF(OR(#REF!&gt;2,#REF!&lt;-2),"",#REF!)</f>
        <v>#REF!</v>
      </c>
      <c r="AD15" s="7" t="e">
        <f aca="false">IF(OR(#REF!&gt;2,#REF!&lt;-2),"",#REF!)</f>
        <v>#REF!</v>
      </c>
      <c r="AE15" s="7" t="e">
        <f aca="false">IF(OR(#REF!&gt;2,#REF!&lt;-2),"",#REF!)</f>
        <v>#REF!</v>
      </c>
      <c r="AF15" s="7" t="e">
        <f aca="false">IF(OR(#REF!&gt;2,#REF!&lt;-2),"",#REF!)</f>
        <v>#REF!</v>
      </c>
      <c r="AG15" s="7" t="e">
        <f aca="false">IF(OR(#REF!&gt;2,#REF!&lt;-2),"",#REF!)</f>
        <v>#REF!</v>
      </c>
      <c r="AH15" s="7" t="e">
        <f aca="false">IF(OR(#REF!&gt;2,#REF!&lt;-2),"",#REF!)</f>
        <v>#REF!</v>
      </c>
      <c r="AI15" s="7" t="e">
        <f aca="false">IF(OR(#REF!&gt;2,#REF!&lt;-2),"",#REF!)</f>
        <v>#REF!</v>
      </c>
      <c r="AJ15" s="7" t="e">
        <f aca="false">IF(OR(#REF!&gt;2,#REF!&lt;-2),"",#REF!)</f>
        <v>#REF!</v>
      </c>
      <c r="AK15" s="7" t="e">
        <f aca="false">IF(OR(#REF!&gt;2,#REF!&lt;-2),"",#REF!)</f>
        <v>#REF!</v>
      </c>
      <c r="AL15" s="7" t="e">
        <f aca="false">IF(OR(#REF!&gt;2,#REF!&lt;-2),"",#REF!)</f>
        <v>#REF!</v>
      </c>
      <c r="AM15" s="7" t="e">
        <f aca="false">IF(OR(#REF!&gt;2,#REF!&lt;-2),"",#REF!)</f>
        <v>#REF!</v>
      </c>
      <c r="AN15" s="7" t="e">
        <f aca="false">IF(OR(#REF!&gt;2,#REF!&lt;-2),"",#REF!)</f>
        <v>#REF!</v>
      </c>
      <c r="AO15" s="7" t="e">
        <f aca="false">IF(OR(#REF!&gt;2,#REF!&lt;-2),"",#REF!)</f>
        <v>#REF!</v>
      </c>
      <c r="AP15" s="7" t="e">
        <f aca="false">IF(OR(#REF!&gt;2,#REF!&lt;-2),"",#REF!)</f>
        <v>#REF!</v>
      </c>
      <c r="AQ15" s="7" t="e">
        <f aca="false">IF(OR(#REF!&gt;2,#REF!&lt;-2),"",#REF!)</f>
        <v>#REF!</v>
      </c>
      <c r="AR15" s="7" t="e">
        <f aca="false">IF(OR(#REF!&gt;2,#REF!&lt;-2),"",#REF!)</f>
        <v>#REF!</v>
      </c>
      <c r="AS15" s="7" t="e">
        <f aca="false">IF(OR(#REF!&gt;2,#REF!&lt;-2),"",#REF!)</f>
        <v>#REF!</v>
      </c>
      <c r="AT15" s="7" t="e">
        <f aca="false">IF(OR(#REF!&gt;2,#REF!&lt;-2),"",#REF!)</f>
        <v>#REF!</v>
      </c>
      <c r="AU15" s="7" t="e">
        <f aca="false">IF(OR(#REF!&gt;2,#REF!&lt;-2),"",#REF!)</f>
        <v>#REF!</v>
      </c>
      <c r="AV15" s="7" t="e">
        <f aca="false">IF(OR(#REF!&gt;2,#REF!&lt;-2),"",#REF!)</f>
        <v>#REF!</v>
      </c>
      <c r="AW15" s="7" t="e">
        <f aca="false">IF(OR(#REF!&gt;2,#REF!&lt;-2),"",#REF!)</f>
        <v>#REF!</v>
      </c>
      <c r="AX15" s="7" t="e">
        <f aca="false">IF(OR(#REF!&gt;2,#REF!&lt;-2),"",#REF!)</f>
        <v>#REF!</v>
      </c>
      <c r="AY15" s="7" t="e">
        <f aca="false">IF(OR(#REF!&gt;2,#REF!&lt;-2),"",#REF!)</f>
        <v>#REF!</v>
      </c>
      <c r="AZ15" s="7" t="e">
        <f aca="false">IF(OR(#REF!&gt;2,#REF!&lt;-2),"",#REF!)</f>
        <v>#REF!</v>
      </c>
      <c r="BA15" s="7" t="e">
        <f aca="false">IF(OR(#REF!&gt;2,#REF!&lt;-2),"",#REF!)</f>
        <v>#REF!</v>
      </c>
      <c r="BB15" s="7" t="e">
        <f aca="false">IF(OR(#REF!&gt;2,#REF!&lt;-2),"",#REF!)</f>
        <v>#REF!</v>
      </c>
      <c r="BC15" s="7" t="e">
        <f aca="false">IF(OR(#REF!&gt;2,#REF!&lt;-2),"",#REF!)</f>
        <v>#REF!</v>
      </c>
      <c r="BD15" s="7" t="e">
        <f aca="false">IF(OR(#REF!&gt;2,#REF!&lt;-2),"",#REF!)</f>
        <v>#REF!</v>
      </c>
      <c r="BE15" s="7" t="e">
        <f aca="false">IF(OR(#REF!&gt;2,#REF!&lt;-2),"",#REF!)</f>
        <v>#REF!</v>
      </c>
      <c r="BF15" s="7" t="e">
        <f aca="false">IF(OR(#REF!&gt;2,#REF!&lt;-2),"",#REF!)</f>
        <v>#REF!</v>
      </c>
      <c r="BG15" s="7" t="e">
        <f aca="false">IF(OR(#REF!&gt;2,#REF!&lt;-2),"",#REF!)</f>
        <v>#REF!</v>
      </c>
      <c r="BH15" s="7" t="e">
        <f aca="false">IF(OR(#REF!&gt;2,#REF!&lt;-2),"",#REF!)</f>
        <v>#REF!</v>
      </c>
      <c r="BI15" s="7" t="e">
        <f aca="false">IF(OR(#REF!&gt;2,#REF!&lt;-2),"",#REF!)</f>
        <v>#REF!</v>
      </c>
      <c r="BJ15" s="7" t="e">
        <f aca="false">IF(OR(#REF!&gt;2,#REF!&lt;-2),"",#REF!)</f>
        <v>#REF!</v>
      </c>
      <c r="BK15" s="7" t="e">
        <f aca="false">IF(OR(#REF!&gt;2,#REF!&lt;-2),"",#REF!)</f>
        <v>#REF!</v>
      </c>
      <c r="BL15" s="7" t="e">
        <f aca="false">IF(OR(#REF!&gt;2,#REF!&lt;-2),"",#REF!)</f>
        <v>#REF!</v>
      </c>
      <c r="BM15" s="7" t="e">
        <f aca="false">IF(OR(#REF!&gt;2,#REF!&lt;-2),"",#REF!)</f>
        <v>#REF!</v>
      </c>
      <c r="BN15" s="7" t="e">
        <f aca="false">IF(OR(#REF!&gt;2,#REF!&lt;-2),"",#REF!)</f>
        <v>#REF!</v>
      </c>
      <c r="BO15" s="7" t="e">
        <f aca="false">IF(OR(#REF!&gt;2,#REF!&lt;-2),"",#REF!)</f>
        <v>#REF!</v>
      </c>
      <c r="BP15" s="7" t="e">
        <f aca="false">IF(OR(#REF!&gt;2,#REF!&lt;-2),"",#REF!)</f>
        <v>#REF!</v>
      </c>
      <c r="BQ15" s="7" t="e">
        <f aca="false">IF(OR(#REF!&gt;2,#REF!&lt;-2),"",#REF!)</f>
        <v>#REF!</v>
      </c>
      <c r="BR15" s="7" t="e">
        <f aca="false">IF(OR(#REF!&gt;2,#REF!&lt;-2),"",#REF!)</f>
        <v>#REF!</v>
      </c>
      <c r="BS15" s="7" t="e">
        <f aca="false">IF(OR(#REF!&gt;2,#REF!&lt;-2),"",#REF!)</f>
        <v>#REF!</v>
      </c>
      <c r="BT15" s="7" t="e">
        <f aca="false">IF(OR(#REF!&gt;2,#REF!&lt;-2),"",#REF!)</f>
        <v>#REF!</v>
      </c>
      <c r="BU15" s="7" t="e">
        <f aca="false">IF(OR(#REF!&gt;2,#REF!&lt;-2),"",#REF!)</f>
        <v>#REF!</v>
      </c>
      <c r="BV15" s="7" t="e">
        <f aca="false">IF(OR(#REF!&gt;2,#REF!&lt;-2),"",#REF!)</f>
        <v>#REF!</v>
      </c>
      <c r="BW15" s="7" t="e">
        <f aca="false">IF(OR(#REF!&gt;2,#REF!&lt;-2),"",#REF!)</f>
        <v>#REF!</v>
      </c>
      <c r="BX15" s="7" t="e">
        <f aca="false">IF(OR(#REF!&gt;2,#REF!&lt;-2),"",#REF!)</f>
        <v>#REF!</v>
      </c>
      <c r="BY15" s="7" t="e">
        <f aca="false">IF(OR(#REF!&gt;2,#REF!&lt;-2),"",#REF!)</f>
        <v>#REF!</v>
      </c>
      <c r="BZ15" s="7" t="e">
        <f aca="false">IF(OR(#REF!&gt;2,#REF!&lt;-2),"",#REF!)</f>
        <v>#REF!</v>
      </c>
      <c r="CA15" s="7" t="e">
        <f aca="false">IF(OR(#REF!&gt;2,#REF!&lt;-2),"",#REF!)</f>
        <v>#REF!</v>
      </c>
      <c r="CB15" s="7" t="e">
        <f aca="false">IF(OR(#REF!&gt;2,#REF!&lt;-2),"",#REF!)</f>
        <v>#REF!</v>
      </c>
      <c r="CC15" s="7" t="e">
        <f aca="false">IF(OR(#REF!&gt;2,#REF!&lt;-2),"",#REF!)</f>
        <v>#REF!</v>
      </c>
      <c r="CD15" s="7" t="e">
        <f aca="false">IF(OR(#REF!&gt;2,#REF!&lt;-2),"",#REF!)</f>
        <v>#REF!</v>
      </c>
      <c r="CE15" s="7" t="e">
        <f aca="false">IF(OR(#REF!&gt;2,#REF!&lt;-2),"",#REF!)</f>
        <v>#REF!</v>
      </c>
      <c r="CF15" s="7" t="e">
        <f aca="false">IF(OR(#REF!&gt;2,#REF!&lt;-2),"",#REF!)</f>
        <v>#REF!</v>
      </c>
      <c r="CG15" s="7" t="e">
        <f aca="false">IF(OR(#REF!&gt;2,#REF!&lt;-2),"",#REF!)</f>
        <v>#REF!</v>
      </c>
      <c r="CH15" s="7" t="e">
        <f aca="false">IF(OR(#REF!&gt;2,#REF!&lt;-2),"",#REF!)</f>
        <v>#REF!</v>
      </c>
      <c r="CI15" s="7" t="e">
        <f aca="false">IF(OR(#REF!&gt;2,#REF!&lt;-2),"",#REF!)</f>
        <v>#REF!</v>
      </c>
      <c r="CJ15" s="7" t="e">
        <f aca="false">IF(OR(#REF!&gt;2,#REF!&lt;-2),"",#REF!)</f>
        <v>#REF!</v>
      </c>
      <c r="CK15" s="7" t="e">
        <f aca="false">IF(OR(#REF!&gt;2,#REF!&lt;-2),"",#REF!)</f>
        <v>#REF!</v>
      </c>
      <c r="CL15" s="7" t="e">
        <f aca="false">IF(OR(#REF!&gt;2,#REF!&lt;-2),"",#REF!)</f>
        <v>#REF!</v>
      </c>
      <c r="CM15" s="7" t="e">
        <f aca="false">IF(OR(#REF!&gt;2,#REF!&lt;-2),"",#REF!)</f>
        <v>#REF!</v>
      </c>
      <c r="CN15" s="7" t="e">
        <f aca="false">IF(OR(#REF!&gt;2,#REF!&lt;-2),"",#REF!)</f>
        <v>#REF!</v>
      </c>
      <c r="CO15" s="7" t="e">
        <f aca="false">IF(OR(#REF!&gt;2,#REF!&lt;-2),"",#REF!)</f>
        <v>#REF!</v>
      </c>
      <c r="CP15" s="7" t="e">
        <f aca="false">IF(OR(#REF!&gt;2,#REF!&lt;-2),"",#REF!)</f>
        <v>#REF!</v>
      </c>
      <c r="CQ15" s="7" t="e">
        <f aca="false">IF(OR(#REF!&gt;2,#REF!&lt;-2),"",#REF!)</f>
        <v>#REF!</v>
      </c>
      <c r="CR15" s="7" t="e">
        <f aca="false">IF(OR(#REF!&gt;2,#REF!&lt;-2),"",#REF!)</f>
        <v>#REF!</v>
      </c>
      <c r="CS15" s="7" t="e">
        <f aca="false">IF(OR(#REF!&gt;2,#REF!&lt;-2),"",#REF!)</f>
        <v>#REF!</v>
      </c>
      <c r="CT15" s="7" t="e">
        <f aca="false">IF(OR(#REF!&gt;2,#REF!&lt;-2),"",#REF!)</f>
        <v>#REF!</v>
      </c>
      <c r="CU15" s="7" t="e">
        <f aca="false">IF(OR(#REF!&gt;2,#REF!&lt;-2),"",#REF!)</f>
        <v>#REF!</v>
      </c>
      <c r="CV15" s="7" t="e">
        <f aca="false">IF(OR(#REF!&gt;2,#REF!&lt;-2),"",#REF!)</f>
        <v>#REF!</v>
      </c>
      <c r="CW15" s="7" t="e">
        <f aca="false">IF(OR(#REF!&gt;2,#REF!&lt;-2),"",#REF!)</f>
        <v>#REF!</v>
      </c>
      <c r="CX15" s="7" t="e">
        <f aca="false">IF(OR(#REF!&gt;2,#REF!&lt;-2),"",#REF!)</f>
        <v>#REF!</v>
      </c>
      <c r="CY15" s="7" t="e">
        <f aca="false">IF(OR(#REF!&gt;2,#REF!&lt;-2),"",#REF!)</f>
        <v>#REF!</v>
      </c>
      <c r="CZ15" s="7" t="e">
        <f aca="false">IF(OR(#REF!&gt;2,#REF!&lt;-2),"",#REF!)</f>
        <v>#REF!</v>
      </c>
      <c r="DA15" s="7" t="e">
        <f aca="false">IF(OR(#REF!&gt;2,#REF!&lt;-2),"",#REF!)</f>
        <v>#REF!</v>
      </c>
      <c r="DB15" s="7" t="e">
        <f aca="false">IF(OR(#REF!&gt;2,#REF!&lt;-2),"",#REF!)</f>
        <v>#REF!</v>
      </c>
      <c r="DC15" s="7" t="e">
        <f aca="false">IF(OR(#REF!&gt;2,#REF!&lt;-2),"",#REF!)</f>
        <v>#REF!</v>
      </c>
      <c r="DD15" s="7" t="e">
        <f aca="false">IF(OR(#REF!&gt;2,#REF!&lt;-2),"",#REF!)</f>
        <v>#REF!</v>
      </c>
      <c r="DE15" s="7" t="e">
        <f aca="false">IF(OR(#REF!&gt;2,#REF!&lt;-2),"",#REF!)</f>
        <v>#REF!</v>
      </c>
      <c r="DF15" s="7" t="e">
        <f aca="false">IF(OR(#REF!&gt;2,#REF!&lt;-2),"",#REF!)</f>
        <v>#REF!</v>
      </c>
      <c r="DG15" s="7" t="e">
        <f aca="false">IF(OR(#REF!&gt;2,#REF!&lt;-2),"",#REF!)</f>
        <v>#REF!</v>
      </c>
      <c r="DH15" s="7" t="e">
        <f aca="false">IF(OR(#REF!&gt;2,#REF!&lt;-2),"",#REF!)</f>
        <v>#REF!</v>
      </c>
      <c r="DI15" s="7" t="e">
        <f aca="false">IF(OR(#REF!&gt;2,#REF!&lt;-2),"",#REF!)</f>
        <v>#REF!</v>
      </c>
      <c r="DJ15" s="7" t="e">
        <f aca="false">IF(OR(#REF!&gt;2,#REF!&lt;-2),"",#REF!)</f>
        <v>#REF!</v>
      </c>
      <c r="DK15" s="7" t="e">
        <f aca="false">IF(OR(#REF!&gt;2,#REF!&lt;-2),"",#REF!)</f>
        <v>#REF!</v>
      </c>
      <c r="DL15" s="7" t="e">
        <f aca="false">IF(OR(#REF!&gt;2,#REF!&lt;-2),"",#REF!)</f>
        <v>#REF!</v>
      </c>
      <c r="DM15" s="7" t="e">
        <f aca="false">IF(OR(#REF!&gt;2,#REF!&lt;-2),"",#REF!)</f>
        <v>#REF!</v>
      </c>
      <c r="DN15" s="7" t="e">
        <f aca="false">IF(OR(#REF!&gt;2,#REF!&lt;-2),"",#REF!)</f>
        <v>#REF!</v>
      </c>
      <c r="DO15" s="7" t="e">
        <f aca="false">IF(OR(#REF!&gt;2,#REF!&lt;-2),"",#REF!)</f>
        <v>#REF!</v>
      </c>
      <c r="DP15" s="7" t="e">
        <f aca="false">IF(OR(#REF!&gt;2,#REF!&lt;-2),"",#REF!)</f>
        <v>#REF!</v>
      </c>
      <c r="DQ15" s="7" t="e">
        <f aca="false">IF(OR(#REF!&gt;2,#REF!&lt;-2),"",#REF!)</f>
        <v>#REF!</v>
      </c>
      <c r="DR15" s="7" t="e">
        <f aca="false">IF(OR(#REF!&gt;2,#REF!&lt;-2),"",#REF!)</f>
        <v>#REF!</v>
      </c>
      <c r="DS15" s="7" t="e">
        <f aca="false">IF(OR(#REF!&gt;2,#REF!&lt;-2),"",#REF!)</f>
        <v>#REF!</v>
      </c>
      <c r="DT15" s="7" t="e">
        <f aca="false">IF(OR(#REF!&gt;2,#REF!&lt;-2),"",#REF!)</f>
        <v>#REF!</v>
      </c>
      <c r="DU15" s="7" t="e">
        <f aca="false">IF(OR(#REF!&gt;2,#REF!&lt;-2),"",#REF!)</f>
        <v>#REF!</v>
      </c>
      <c r="DV15" s="7" t="e">
        <f aca="false">IF(OR(#REF!&gt;2,#REF!&lt;-2),"",#REF!)</f>
        <v>#REF!</v>
      </c>
      <c r="DW15" s="7" t="e">
        <f aca="false">IF(OR(#REF!&gt;2,#REF!&lt;-2),"",#REF!)</f>
        <v>#REF!</v>
      </c>
      <c r="DX15" s="7" t="e">
        <f aca="false">IF(OR(#REF!&gt;2,#REF!&lt;-2),"",#REF!)</f>
        <v>#REF!</v>
      </c>
      <c r="DY15" s="7" t="e">
        <f aca="false">IF(OR(#REF!&gt;2,#REF!&lt;-2),"",#REF!)</f>
        <v>#REF!</v>
      </c>
      <c r="DZ15" s="7" t="e">
        <f aca="false">IF(OR(#REF!&gt;2,#REF!&lt;-2),"",#REF!)</f>
        <v>#REF!</v>
      </c>
      <c r="EA15" s="7" t="e">
        <f aca="false">IF(OR(#REF!&gt;2,#REF!&lt;-2),"",#REF!)</f>
        <v>#REF!</v>
      </c>
      <c r="EB15" s="7" t="e">
        <f aca="false">IF(OR(#REF!&gt;2,#REF!&lt;-2),"",#REF!)</f>
        <v>#REF!</v>
      </c>
      <c r="EC15" s="7" t="e">
        <f aca="false">IF(OR(#REF!&gt;2,#REF!&lt;-2),"",#REF!)</f>
        <v>#REF!</v>
      </c>
      <c r="ED15" s="7" t="e">
        <f aca="false">IF(OR(#REF!&gt;2,#REF!&lt;-2),"",#REF!)</f>
        <v>#REF!</v>
      </c>
      <c r="EE15" s="7" t="e">
        <f aca="false">IF(OR(#REF!&gt;2,#REF!&lt;-2),"",#REF!)</f>
        <v>#REF!</v>
      </c>
      <c r="EF15" s="7" t="e">
        <f aca="false">IF(OR(#REF!&gt;2,#REF!&lt;-2),"",#REF!)</f>
        <v>#REF!</v>
      </c>
      <c r="EG15" s="7" t="e">
        <f aca="false">IF(OR(#REF!&gt;2,#REF!&lt;-2),"",#REF!)</f>
        <v>#REF!</v>
      </c>
      <c r="EH15" s="7" t="e">
        <f aca="false">IF(OR(#REF!&gt;2,#REF!&lt;-2),"",#REF!)</f>
        <v>#REF!</v>
      </c>
      <c r="EI15" s="7" t="e">
        <f aca="false">IF(OR(#REF!&gt;2,#REF!&lt;-2),"",#REF!)</f>
        <v>#REF!</v>
      </c>
      <c r="EJ15" s="7" t="e">
        <f aca="false">IF(OR(#REF!&gt;2,#REF!&lt;-2),"",#REF!)</f>
        <v>#REF!</v>
      </c>
      <c r="EK15" s="7" t="e">
        <f aca="false">IF(OR(#REF!&gt;2,#REF!&lt;-2),"",#REF!)</f>
        <v>#REF!</v>
      </c>
      <c r="EL15" s="7" t="e">
        <f aca="false">IF(OR(#REF!&gt;2,#REF!&lt;-2),"",#REF!)</f>
        <v>#REF!</v>
      </c>
      <c r="EM15" s="7" t="e">
        <f aca="false">IF(OR(#REF!&gt;2,#REF!&lt;-2),"",#REF!)</f>
        <v>#REF!</v>
      </c>
      <c r="EN15" s="7" t="e">
        <f aca="false">IF(OR(#REF!&gt;2,#REF!&lt;-2),"",#REF!)</f>
        <v>#REF!</v>
      </c>
      <c r="EO15" s="7" t="e">
        <f aca="false">IF(OR(#REF!&gt;2,#REF!&lt;-2),"",#REF!)</f>
        <v>#REF!</v>
      </c>
      <c r="EP15" s="7" t="e">
        <f aca="false">IF(OR(#REF!&gt;2,#REF!&lt;-2),"",#REF!)</f>
        <v>#REF!</v>
      </c>
      <c r="EQ15" s="7" t="e">
        <f aca="false">IF(OR(#REF!&gt;2,#REF!&lt;-2),"",#REF!)</f>
        <v>#REF!</v>
      </c>
      <c r="ER15" s="7" t="e">
        <f aca="false">IF(OR(#REF!&gt;2,#REF!&lt;-2),"",#REF!)</f>
        <v>#REF!</v>
      </c>
      <c r="ES15" s="7" t="e">
        <f aca="false">IF(OR(#REF!&gt;2,#REF!&lt;-2),"",#REF!)</f>
        <v>#REF!</v>
      </c>
      <c r="ET15" s="7" t="e">
        <f aca="false">IF(OR(#REF!&gt;2,#REF!&lt;-2),"",#REF!)</f>
        <v>#REF!</v>
      </c>
      <c r="EU15" s="7" t="e">
        <f aca="false">IF(OR(#REF!&gt;2,#REF!&lt;-2),"",#REF!)</f>
        <v>#REF!</v>
      </c>
      <c r="EV15" s="7" t="e">
        <f aca="false">IF(OR(#REF!&gt;2,#REF!&lt;-2),"",#REF!)</f>
        <v>#REF!</v>
      </c>
      <c r="EW15" s="7" t="e">
        <f aca="false">IF(OR(#REF!&gt;2,#REF!&lt;-2),"",#REF!)</f>
        <v>#REF!</v>
      </c>
      <c r="EX15" s="7" t="e">
        <f aca="false">IF(OR(#REF!&gt;2,#REF!&lt;-2),"",#REF!)</f>
        <v>#REF!</v>
      </c>
      <c r="EY15" s="7" t="e">
        <f aca="false">IF(OR(#REF!&gt;2,#REF!&lt;-2),"",#REF!)</f>
        <v>#REF!</v>
      </c>
      <c r="EZ15" s="7" t="e">
        <f aca="false">IF(OR(#REF!&gt;2,#REF!&lt;-2),"",#REF!)</f>
        <v>#REF!</v>
      </c>
      <c r="FA15" s="7" t="e">
        <f aca="false">IF(OR(#REF!&gt;2,#REF!&lt;-2),"",#REF!)</f>
        <v>#REF!</v>
      </c>
      <c r="FB15" s="7" t="e">
        <f aca="false">IF(OR(#REF!&gt;2,#REF!&lt;-2),"",#REF!)</f>
        <v>#REF!</v>
      </c>
      <c r="FC15" s="7" t="e">
        <f aca="false">IF(OR(#REF!&gt;2,#REF!&lt;-2),"",#REF!)</f>
        <v>#REF!</v>
      </c>
      <c r="FD15" s="7" t="e">
        <f aca="false">IF(OR(#REF!&gt;2,#REF!&lt;-2),"",#REF!)</f>
        <v>#REF!</v>
      </c>
      <c r="FE15" s="7" t="e">
        <f aca="false">IF(OR(#REF!&gt;2,#REF!&lt;-2),"",#REF!)</f>
        <v>#REF!</v>
      </c>
      <c r="FF15" s="7" t="e">
        <f aca="false">IF(OR(#REF!&gt;2,#REF!&lt;-2),"",#REF!)</f>
        <v>#REF!</v>
      </c>
      <c r="FG15" s="7" t="e">
        <f aca="false">IF(OR(#REF!&gt;2,#REF!&lt;-2),"",#REF!)</f>
        <v>#REF!</v>
      </c>
      <c r="FH15" s="7" t="e">
        <f aca="false">IF(OR(#REF!&gt;2,#REF!&lt;-2),"",#REF!)</f>
        <v>#REF!</v>
      </c>
      <c r="FI15" s="7" t="e">
        <f aca="false">IF(OR(#REF!&gt;2,#REF!&lt;-2),"",#REF!)</f>
        <v>#REF!</v>
      </c>
      <c r="FJ15" s="7" t="e">
        <f aca="false">IF(OR(#REF!&gt;2,#REF!&lt;-2),"",#REF!)</f>
        <v>#REF!</v>
      </c>
      <c r="FK15" s="7" t="e">
        <f aca="false">IF(OR(#REF!&gt;2,#REF!&lt;-2),"",#REF!)</f>
        <v>#REF!</v>
      </c>
      <c r="FL15" s="7" t="e">
        <f aca="false">IF(OR(#REF!&gt;2,#REF!&lt;-2),"",#REF!)</f>
        <v>#REF!</v>
      </c>
      <c r="FM15" s="7" t="e">
        <f aca="false">IF(OR(#REF!&gt;2,#REF!&lt;-2),"",#REF!)</f>
        <v>#REF!</v>
      </c>
      <c r="FN15" s="7" t="e">
        <f aca="false">IF(OR(#REF!&gt;2,#REF!&lt;-2),"",#REF!)</f>
        <v>#REF!</v>
      </c>
      <c r="FO15" s="7" t="e">
        <f aca="false">IF(OR(#REF!&gt;2,#REF!&lt;-2),"",#REF!)</f>
        <v>#REF!</v>
      </c>
      <c r="FP15" s="7" t="e">
        <f aca="false">IF(OR(#REF!&gt;2,#REF!&lt;-2),"",#REF!)</f>
        <v>#REF!</v>
      </c>
      <c r="FQ15" s="7" t="e">
        <f aca="false">IF(OR(#REF!&gt;2,#REF!&lt;-2),"",#REF!)</f>
        <v>#REF!</v>
      </c>
      <c r="FR15" s="7" t="e">
        <f aca="false">IF(OR(#REF!&gt;2,#REF!&lt;-2),"",#REF!)</f>
        <v>#REF!</v>
      </c>
      <c r="FS15" s="7" t="e">
        <f aca="false">IF(OR(#REF!&gt;2,#REF!&lt;-2),"",#REF!)</f>
        <v>#REF!</v>
      </c>
      <c r="FT15" s="7" t="e">
        <f aca="false">IF(OR(#REF!&gt;2,#REF!&lt;-2),"",#REF!)</f>
        <v>#REF!</v>
      </c>
      <c r="FU15" s="7" t="e">
        <f aca="false">IF(OR(#REF!&gt;2,#REF!&lt;-2),"",#REF!)</f>
        <v>#REF!</v>
      </c>
      <c r="FV15" s="7" t="e">
        <f aca="false">IF(OR(#REF!&gt;2,#REF!&lt;-2),"",#REF!)</f>
        <v>#REF!</v>
      </c>
      <c r="FW15" s="7" t="e">
        <f aca="false">IF(OR(#REF!&gt;2,#REF!&lt;-2),"",#REF!)</f>
        <v>#REF!</v>
      </c>
      <c r="FX15" s="7" t="e">
        <f aca="false">IF(OR(#REF!&gt;2,#REF!&lt;-2),"",#REF!)</f>
        <v>#REF!</v>
      </c>
      <c r="FY15" s="7" t="e">
        <f aca="false">IF(OR(#REF!&gt;2,#REF!&lt;-2),"",#REF!)</f>
        <v>#REF!</v>
      </c>
      <c r="FZ15" s="7" t="e">
        <f aca="false">IF(OR(#REF!&gt;2,#REF!&lt;-2),"",#REF!)</f>
        <v>#REF!</v>
      </c>
      <c r="GA15" s="7" t="e">
        <f aca="false">IF(OR(#REF!&gt;2,#REF!&lt;-2),"",#REF!)</f>
        <v>#REF!</v>
      </c>
      <c r="GB15" s="7" t="e">
        <f aca="false">IF(OR(#REF!&gt;2,#REF!&lt;-2),"",#REF!)</f>
        <v>#REF!</v>
      </c>
      <c r="GC15" s="7" t="e">
        <f aca="false">IF(OR(#REF!&gt;2,#REF!&lt;-2),"",#REF!)</f>
        <v>#REF!</v>
      </c>
      <c r="GD15" s="7" t="e">
        <f aca="false">IF(OR(#REF!&gt;2,#REF!&lt;-2),"",#REF!)</f>
        <v>#REF!</v>
      </c>
      <c r="GE15" s="7" t="e">
        <f aca="false">IF(OR(#REF!&gt;2,#REF!&lt;-2),"",#REF!)</f>
        <v>#REF!</v>
      </c>
      <c r="GF15" s="7" t="e">
        <f aca="false">IF(OR(#REF!&gt;2,#REF!&lt;-2),"",#REF!)</f>
        <v>#REF!</v>
      </c>
      <c r="GG15" s="7" t="e">
        <f aca="false">IF(OR(#REF!&gt;2,#REF!&lt;-2),"",#REF!)</f>
        <v>#REF!</v>
      </c>
      <c r="GH15" s="7" t="e">
        <f aca="false">IF(OR(#REF!&gt;2,#REF!&lt;-2),"",#REF!)</f>
        <v>#REF!</v>
      </c>
      <c r="GI15" s="7" t="e">
        <f aca="false">IF(OR(#REF!&gt;2,#REF!&lt;-2),"",#REF!)</f>
        <v>#REF!</v>
      </c>
      <c r="GJ15" s="7" t="e">
        <f aca="false">IF(OR(#REF!&gt;2,#REF!&lt;-2),"",#REF!)</f>
        <v>#REF!</v>
      </c>
      <c r="GK15" s="7" t="e">
        <f aca="false">IF(OR(#REF!&gt;2,#REF!&lt;-2),"",#REF!)</f>
        <v>#REF!</v>
      </c>
      <c r="GL15" s="7" t="e">
        <f aca="false">IF(OR(#REF!&gt;2,#REF!&lt;-2),"",#REF!)</f>
        <v>#REF!</v>
      </c>
      <c r="GM15" s="7" t="e">
        <f aca="false">IF(OR(#REF!&gt;2,#REF!&lt;-2),"",#REF!)</f>
        <v>#REF!</v>
      </c>
      <c r="GN15" s="7" t="e">
        <f aca="false">IF(OR(#REF!&gt;2,#REF!&lt;-2),"",#REF!)</f>
        <v>#REF!</v>
      </c>
      <c r="GO15" s="7" t="e">
        <f aca="false">IF(OR(#REF!&gt;2,#REF!&lt;-2),"",#REF!)</f>
        <v>#REF!</v>
      </c>
      <c r="GP15" s="7" t="e">
        <f aca="false">IF(OR(#REF!&gt;2,#REF!&lt;-2),"",#REF!)</f>
        <v>#REF!</v>
      </c>
      <c r="GQ15" s="7" t="e">
        <f aca="false">IF(OR(#REF!&gt;2,#REF!&lt;-2),"",#REF!)</f>
        <v>#REF!</v>
      </c>
      <c r="GR15" s="7" t="e">
        <f aca="false">IF(OR(#REF!&gt;2,#REF!&lt;-2),"",#REF!)</f>
        <v>#REF!</v>
      </c>
      <c r="GS15" s="7" t="e">
        <f aca="false">IF(OR(#REF!&gt;2,#REF!&lt;-2),"",#REF!)</f>
        <v>#REF!</v>
      </c>
      <c r="GT15" s="7" t="e">
        <f aca="false">IF(OR(#REF!&gt;2,#REF!&lt;-2),"",#REF!)</f>
        <v>#REF!</v>
      </c>
      <c r="GU15" s="7" t="e">
        <f aca="false">IF(OR(#REF!&gt;2,#REF!&lt;-2),"",#REF!)</f>
        <v>#REF!</v>
      </c>
      <c r="GV15" s="7" t="e">
        <f aca="false">IF(OR(#REF!&gt;2,#REF!&lt;-2),"",#REF!)</f>
        <v>#REF!</v>
      </c>
      <c r="GW15" s="7" t="e">
        <f aca="false">IF(OR(#REF!&gt;2,#REF!&lt;-2),"",#REF!)</f>
        <v>#REF!</v>
      </c>
      <c r="GX15" s="7" t="e">
        <f aca="false">IF(OR(#REF!&gt;2,#REF!&lt;-2),"",#REF!)</f>
        <v>#REF!</v>
      </c>
      <c r="GY15" s="7" t="e">
        <f aca="false">IF(OR(#REF!&gt;2,#REF!&lt;-2),"",#REF!)</f>
        <v>#REF!</v>
      </c>
      <c r="GZ15" s="7" t="e">
        <f aca="false">IF(OR(#REF!&gt;2,#REF!&lt;-2),"",#REF!)</f>
        <v>#REF!</v>
      </c>
      <c r="HA15" s="7" t="e">
        <f aca="false">IF(OR(#REF!&gt;2,#REF!&lt;-2),"",#REF!)</f>
        <v>#REF!</v>
      </c>
      <c r="HB15" s="7" t="e">
        <f aca="false">IF(OR(#REF!&gt;2,#REF!&lt;-2),"",#REF!)</f>
        <v>#REF!</v>
      </c>
      <c r="HC15" s="7" t="e">
        <f aca="false">IF(OR(#REF!&gt;2,#REF!&lt;-2),"",#REF!)</f>
        <v>#REF!</v>
      </c>
      <c r="HD15" s="7" t="e">
        <f aca="false">IF(OR(#REF!&gt;2,#REF!&lt;-2),"",#REF!)</f>
        <v>#REF!</v>
      </c>
      <c r="HE15" s="7" t="e">
        <f aca="false">IF(OR(#REF!&gt;2,#REF!&lt;-2),"",#REF!)</f>
        <v>#REF!</v>
      </c>
      <c r="HF15" s="7" t="e">
        <f aca="false">IF(OR(#REF!&gt;2,#REF!&lt;-2),"",#REF!)</f>
        <v>#REF!</v>
      </c>
      <c r="HG15" s="7" t="e">
        <f aca="false">IF(OR(#REF!&gt;2,#REF!&lt;-2),"",#REF!)</f>
        <v>#REF!</v>
      </c>
      <c r="HH15" s="7" t="e">
        <f aca="false">IF(OR(#REF!&gt;2,#REF!&lt;-2),"",#REF!)</f>
        <v>#REF!</v>
      </c>
      <c r="HI15" s="7" t="e">
        <f aca="false">IF(OR(#REF!&gt;2,#REF!&lt;-2),"",#REF!)</f>
        <v>#REF!</v>
      </c>
      <c r="HJ15" s="7" t="e">
        <f aca="false">IF(OR(#REF!&gt;2,#REF!&lt;-2),"",#REF!)</f>
        <v>#REF!</v>
      </c>
      <c r="HK15" s="7" t="e">
        <f aca="false">IF(OR(#REF!&gt;2,#REF!&lt;-2),"",#REF!)</f>
        <v>#REF!</v>
      </c>
      <c r="HL15" s="7" t="e">
        <f aca="false">IF(OR(#REF!&gt;2,#REF!&lt;-2),"",#REF!)</f>
        <v>#REF!</v>
      </c>
      <c r="HM15" s="7" t="e">
        <f aca="false">IF(OR(#REF!&gt;2,#REF!&lt;-2),"",#REF!)</f>
        <v>#REF!</v>
      </c>
      <c r="HN15" s="7" t="e">
        <f aca="false">IF(OR(#REF!&gt;2,#REF!&lt;-2),"",#REF!)</f>
        <v>#REF!</v>
      </c>
      <c r="HO15" s="7" t="e">
        <f aca="false">IF(OR(#REF!&gt;2,#REF!&lt;-2),"",#REF!)</f>
        <v>#REF!</v>
      </c>
      <c r="HP15" s="7" t="e">
        <f aca="false">IF(OR(#REF!&gt;2,#REF!&lt;-2),"",#REF!)</f>
        <v>#REF!</v>
      </c>
      <c r="HQ15" s="7" t="e">
        <f aca="false">IF(OR(#REF!&gt;2,#REF!&lt;-2),"",#REF!)</f>
        <v>#REF!</v>
      </c>
      <c r="HR15" s="7" t="e">
        <f aca="false">IF(OR(#REF!&gt;2,#REF!&lt;-2),"",#REF!)</f>
        <v>#REF!</v>
      </c>
      <c r="HS15" s="7" t="e">
        <f aca="false">IF(OR(#REF!&gt;2,#REF!&lt;-2),"",#REF!)</f>
        <v>#REF!</v>
      </c>
      <c r="HT15" s="7" t="e">
        <f aca="false">IF(OR(#REF!&gt;2,#REF!&lt;-2),"",#REF!)</f>
        <v>#REF!</v>
      </c>
      <c r="HU15" s="7" t="e">
        <f aca="false">IF(OR(#REF!&gt;2,#REF!&lt;-2),"",#REF!)</f>
        <v>#REF!</v>
      </c>
      <c r="HV15" s="7" t="e">
        <f aca="false">IF(OR(#REF!&gt;2,#REF!&lt;-2),"",#REF!)</f>
        <v>#REF!</v>
      </c>
      <c r="HW15" s="7" t="e">
        <f aca="false">IF(OR(#REF!&gt;2,#REF!&lt;-2),"",#REF!)</f>
        <v>#REF!</v>
      </c>
      <c r="HX15" s="7" t="e">
        <f aca="false">IF(OR(#REF!&gt;2,#REF!&lt;-2),"",#REF!)</f>
        <v>#REF!</v>
      </c>
      <c r="HY15" s="7" t="e">
        <f aca="false">IF(OR(#REF!&gt;2,#REF!&lt;-2),"",#REF!)</f>
        <v>#REF!</v>
      </c>
      <c r="HZ15" s="7" t="e">
        <f aca="false">IF(OR(#REF!&gt;2,#REF!&lt;-2),"",#REF!)</f>
        <v>#REF!</v>
      </c>
      <c r="IA15" s="7" t="e">
        <f aca="false">IF(OR(#REF!&gt;2,#REF!&lt;-2),"",#REF!)</f>
        <v>#REF!</v>
      </c>
      <c r="IB15" s="7" t="e">
        <f aca="false">IF(OR(#REF!&gt;2,#REF!&lt;-2),"",#REF!)</f>
        <v>#REF!</v>
      </c>
      <c r="IC15" s="7" t="e">
        <f aca="false">IF(OR(#REF!&gt;2,#REF!&lt;-2),"",#REF!)</f>
        <v>#REF!</v>
      </c>
      <c r="ID15" s="7" t="e">
        <f aca="false">IF(OR(#REF!&gt;2,#REF!&lt;-2),"",#REF!)</f>
        <v>#REF!</v>
      </c>
      <c r="IE15" s="7" t="e">
        <f aca="false">IF(OR(#REF!&gt;2,#REF!&lt;-2),"",#REF!)</f>
        <v>#REF!</v>
      </c>
      <c r="IF15" s="7" t="e">
        <f aca="false">IF(OR(#REF!&gt;2,#REF!&lt;-2),"",#REF!)</f>
        <v>#REF!</v>
      </c>
      <c r="IG15" s="7" t="e">
        <f aca="false">IF(OR(#REF!&gt;2,#REF!&lt;-2),"",#REF!)</f>
        <v>#REF!</v>
      </c>
      <c r="IH15" s="7" t="e">
        <f aca="false">IF(OR(#REF!&gt;2,#REF!&lt;-2),"",#REF!)</f>
        <v>#REF!</v>
      </c>
      <c r="II15" s="7" t="e">
        <f aca="false">IF(OR(#REF!&gt;2,#REF!&lt;-2),"",#REF!)</f>
        <v>#REF!</v>
      </c>
      <c r="IJ15" s="7" t="e">
        <f aca="false">IF(OR(#REF!&gt;2,#REF!&lt;-2),"",#REF!)</f>
        <v>#REF!</v>
      </c>
      <c r="IK15" s="7" t="e">
        <f aca="false">IF(OR(#REF!&gt;2,#REF!&lt;-2),"",#REF!)</f>
        <v>#REF!</v>
      </c>
      <c r="IL15" s="7" t="e">
        <f aca="false">IF(OR(#REF!&gt;2,#REF!&lt;-2),"",#REF!)</f>
        <v>#REF!</v>
      </c>
      <c r="IM15" s="7" t="e">
        <f aca="false">IF(OR(#REF!&gt;2,#REF!&lt;-2),"",#REF!)</f>
        <v>#REF!</v>
      </c>
      <c r="IN15" s="7" t="e">
        <f aca="false">IF(OR(#REF!&gt;2,#REF!&lt;-2),"",#REF!)</f>
        <v>#REF!</v>
      </c>
      <c r="IO15" s="7" t="e">
        <f aca="false">IF(OR(#REF!&gt;2,#REF!&lt;-2),"",#REF!)</f>
        <v>#REF!</v>
      </c>
      <c r="IP15" s="7" t="e">
        <f aca="false">IF(OR(#REF!&gt;2,#REF!&lt;-2),"",#REF!)</f>
        <v>#REF!</v>
      </c>
      <c r="IQ15" s="7" t="e">
        <f aca="false">IF(OR(#REF!&gt;2,#REF!&lt;-2),"",#REF!)</f>
        <v>#REF!</v>
      </c>
      <c r="IR15" s="7" t="e">
        <f aca="false">IF(OR(#REF!&gt;2,#REF!&lt;-2),"",#REF!)</f>
        <v>#REF!</v>
      </c>
      <c r="IS15" s="7" t="e">
        <f aca="false">IF(OR(#REF!&gt;2,#REF!&lt;-2),"",#REF!)</f>
        <v>#REF!</v>
      </c>
      <c r="IT15" s="7" t="e">
        <f aca="false">IF(OR(#REF!&gt;2,#REF!&lt;-2),"",#REF!)</f>
        <v>#REF!</v>
      </c>
      <c r="IU15" s="7" t="e">
        <f aca="false">IF(OR(#REF!&gt;2,#REF!&lt;-2),"",#REF!)</f>
        <v>#REF!</v>
      </c>
      <c r="IV15" s="7" t="e">
        <f aca="false">IF(OR(#REF!&gt;2,#REF!&lt;-2),"",#REF!)</f>
        <v>#REF!</v>
      </c>
      <c r="IW15" s="7" t="e">
        <f aca="false">IF(OR(#REF!&gt;2,#REF!&lt;-2),"",#REF!)</f>
        <v>#REF!</v>
      </c>
      <c r="IX15" s="7" t="e">
        <f aca="false">IF(OR(#REF!&gt;2,#REF!&lt;-2),"",#REF!)</f>
        <v>#REF!</v>
      </c>
      <c r="IY15" s="7" t="e">
        <f aca="false">IF(OR(#REF!&gt;2,#REF!&lt;-2),"",#REF!)</f>
        <v>#REF!</v>
      </c>
      <c r="IZ15" s="7" t="e">
        <f aca="false">IF(OR(#REF!&gt;2,#REF!&lt;-2),"",#REF!)</f>
        <v>#REF!</v>
      </c>
      <c r="JA15" s="7" t="e">
        <f aca="false">IF(OR(#REF!&gt;2,#REF!&lt;-2),"",#REF!)</f>
        <v>#REF!</v>
      </c>
      <c r="JB15" s="7" t="e">
        <f aca="false">IF(OR(#REF!&gt;2,#REF!&lt;-2),"",#REF!)</f>
        <v>#REF!</v>
      </c>
      <c r="JC15" s="7" t="e">
        <f aca="false">IF(OR(#REF!&gt;2,#REF!&lt;-2),"",#REF!)</f>
        <v>#REF!</v>
      </c>
      <c r="JD15" s="7" t="e">
        <f aca="false">IF(OR(#REF!&gt;2,#REF!&lt;-2),"",#REF!)</f>
        <v>#REF!</v>
      </c>
      <c r="JE15" s="7" t="e">
        <f aca="false">IF(OR(#REF!&gt;2,#REF!&lt;-2),"",#REF!)</f>
        <v>#REF!</v>
      </c>
      <c r="JF15" s="7" t="e">
        <f aca="false">IF(OR(#REF!&gt;2,#REF!&lt;-2),"",#REF!)</f>
        <v>#REF!</v>
      </c>
      <c r="JG15" s="7" t="e">
        <f aca="false">IF(OR(#REF!&gt;2,#REF!&lt;-2),"",#REF!)</f>
        <v>#REF!</v>
      </c>
      <c r="JH15" s="7" t="e">
        <f aca="false">IF(OR(#REF!&gt;2,#REF!&lt;-2),"",#REF!)</f>
        <v>#REF!</v>
      </c>
      <c r="JI15" s="7" t="e">
        <f aca="false">IF(OR(#REF!&gt;2,#REF!&lt;-2),"",#REF!)</f>
        <v>#REF!</v>
      </c>
      <c r="JJ15" s="7" t="e">
        <f aca="false">IF(OR(#REF!&gt;2,#REF!&lt;-2),"",#REF!)</f>
        <v>#REF!</v>
      </c>
      <c r="JK15" s="7" t="e">
        <f aca="false">IF(OR(#REF!&gt;2,#REF!&lt;-2),"",#REF!)</f>
        <v>#REF!</v>
      </c>
      <c r="JL15" s="7" t="e">
        <f aca="false">IF(OR(#REF!&gt;2,#REF!&lt;-2),"",#REF!)</f>
        <v>#REF!</v>
      </c>
      <c r="JM15" s="7" t="e">
        <f aca="false">IF(OR(#REF!&gt;2,#REF!&lt;-2),"",#REF!)</f>
        <v>#REF!</v>
      </c>
      <c r="JN15" s="7" t="e">
        <f aca="false">IF(OR(#REF!&gt;2,#REF!&lt;-2),"",#REF!)</f>
        <v>#REF!</v>
      </c>
      <c r="JO15" s="7" t="e">
        <f aca="false">IF(OR(#REF!&gt;2,#REF!&lt;-2),"",#REF!)</f>
        <v>#REF!</v>
      </c>
      <c r="JP15" s="7" t="e">
        <f aca="false">IF(OR(#REF!&gt;2,#REF!&lt;-2),"",#REF!)</f>
        <v>#REF!</v>
      </c>
      <c r="JQ15" s="7" t="e">
        <f aca="false">IF(OR(#REF!&gt;2,#REF!&lt;-2),"",#REF!)</f>
        <v>#REF!</v>
      </c>
      <c r="JR15" s="7" t="e">
        <f aca="false">IF(OR(#REF!&gt;2,#REF!&lt;-2),"",#REF!)</f>
        <v>#REF!</v>
      </c>
      <c r="JS15" s="7" t="e">
        <f aca="false">IF(OR(#REF!&gt;2,#REF!&lt;-2),"",#REF!)</f>
        <v>#REF!</v>
      </c>
      <c r="JT15" s="7" t="e">
        <f aca="false">IF(OR(#REF!&gt;2,#REF!&lt;-2),"",#REF!)</f>
        <v>#REF!</v>
      </c>
      <c r="JU15" s="7" t="e">
        <f aca="false">IF(OR(#REF!&gt;2,#REF!&lt;-2),"",#REF!)</f>
        <v>#REF!</v>
      </c>
      <c r="JV15" s="7" t="e">
        <f aca="false">IF(OR(#REF!&gt;2,#REF!&lt;-2),"",#REF!)</f>
        <v>#REF!</v>
      </c>
      <c r="JW15" s="7" t="e">
        <f aca="false">IF(OR(#REF!&gt;2,#REF!&lt;-2),"",#REF!)</f>
        <v>#REF!</v>
      </c>
      <c r="JX15" s="7" t="e">
        <f aca="false">IF(OR(#REF!&gt;2,#REF!&lt;-2),"",#REF!)</f>
        <v>#REF!</v>
      </c>
      <c r="JY15" s="7" t="e">
        <f aca="false">IF(OR(#REF!&gt;2,#REF!&lt;-2),"",#REF!)</f>
        <v>#REF!</v>
      </c>
      <c r="JZ15" s="7" t="e">
        <f aca="false">IF(OR(#REF!&gt;2,#REF!&lt;-2),"",#REF!)</f>
        <v>#REF!</v>
      </c>
      <c r="KA15" s="7" t="e">
        <f aca="false">IF(OR(#REF!&gt;2,#REF!&lt;-2),"",#REF!)</f>
        <v>#REF!</v>
      </c>
      <c r="KB15" s="7" t="e">
        <f aca="false">IF(OR(#REF!&gt;2,#REF!&lt;-2),"",#REF!)</f>
        <v>#REF!</v>
      </c>
      <c r="KC15" s="7" t="e">
        <f aca="false">IF(OR(#REF!&gt;2,#REF!&lt;-2),"",#REF!)</f>
        <v>#REF!</v>
      </c>
      <c r="KD15" s="7" t="e">
        <f aca="false">IF(OR(#REF!&gt;2,#REF!&lt;-2),"",#REF!)</f>
        <v>#REF!</v>
      </c>
      <c r="KE15" s="7" t="e">
        <f aca="false">IF(OR(#REF!&gt;2,#REF!&lt;-2),"",#REF!)</f>
        <v>#REF!</v>
      </c>
      <c r="KF15" s="7" t="e">
        <f aca="false">IF(OR(#REF!&gt;2,#REF!&lt;-2),"",#REF!)</f>
        <v>#REF!</v>
      </c>
      <c r="KG15" s="7" t="e">
        <f aca="false">IF(OR(#REF!&gt;2,#REF!&lt;-2),"",#REF!)</f>
        <v>#REF!</v>
      </c>
      <c r="KH15" s="7" t="e">
        <f aca="false">IF(OR(#REF!&gt;2,#REF!&lt;-2),"",#REF!)</f>
        <v>#REF!</v>
      </c>
      <c r="KI15" s="7" t="e">
        <f aca="false">IF(OR(#REF!&gt;2,#REF!&lt;-2),"",#REF!)</f>
        <v>#REF!</v>
      </c>
      <c r="KJ15" s="7" t="e">
        <f aca="false">IF(OR(#REF!&gt;2,#REF!&lt;-2),"",#REF!)</f>
        <v>#REF!</v>
      </c>
      <c r="KK15" s="7" t="e">
        <f aca="false">IF(OR(#REF!&gt;2,#REF!&lt;-2),"",#REF!)</f>
        <v>#REF!</v>
      </c>
      <c r="KL15" s="7" t="e">
        <f aca="false">IF(OR(#REF!&gt;2,#REF!&lt;-2),"",#REF!)</f>
        <v>#REF!</v>
      </c>
      <c r="KM15" s="7" t="e">
        <f aca="false">IF(OR(#REF!&gt;2,#REF!&lt;-2),"",#REF!)</f>
        <v>#REF!</v>
      </c>
      <c r="KN15" s="7" t="e">
        <f aca="false">IF(OR(#REF!&gt;2,#REF!&lt;-2),"",#REF!)</f>
        <v>#REF!</v>
      </c>
      <c r="KO15" s="7" t="e">
        <f aca="false">IF(OR(#REF!&gt;2,#REF!&lt;-2),"",#REF!)</f>
        <v>#REF!</v>
      </c>
      <c r="KP15" s="7" t="e">
        <f aca="false">IF(OR(#REF!&gt;2,#REF!&lt;-2),"",#REF!)</f>
        <v>#REF!</v>
      </c>
      <c r="KQ15" s="7" t="e">
        <f aca="false">IF(OR(#REF!&gt;2,#REF!&lt;-2),"",#REF!)</f>
        <v>#REF!</v>
      </c>
      <c r="KR15" s="7" t="e">
        <f aca="false">IF(OR(#REF!&gt;2,#REF!&lt;-2),"",#REF!)</f>
        <v>#REF!</v>
      </c>
      <c r="KS15" s="7" t="e">
        <f aca="false">IF(OR(#REF!&gt;2,#REF!&lt;-2),"",#REF!)</f>
        <v>#REF!</v>
      </c>
      <c r="KT15" s="7" t="e">
        <f aca="false">IF(OR(#REF!&gt;2,#REF!&lt;-2),"",#REF!)</f>
        <v>#REF!</v>
      </c>
      <c r="KU15" s="7" t="e">
        <f aca="false">IF(OR(#REF!&gt;2,#REF!&lt;-2),"",#REF!)</f>
        <v>#REF!</v>
      </c>
      <c r="KV15" s="7" t="e">
        <f aca="false">IF(OR(#REF!&gt;2,#REF!&lt;-2),"",#REF!)</f>
        <v>#REF!</v>
      </c>
      <c r="KW15" s="7" t="e">
        <f aca="false">IF(OR(#REF!&gt;2,#REF!&lt;-2),"",#REF!)</f>
        <v>#REF!</v>
      </c>
      <c r="KX15" s="7" t="e">
        <f aca="false">IF(OR(#REF!&gt;2,#REF!&lt;-2),"",#REF!)</f>
        <v>#REF!</v>
      </c>
      <c r="KY15" s="7" t="e">
        <f aca="false">IF(OR(#REF!&gt;2,#REF!&lt;-2),"",#REF!)</f>
        <v>#REF!</v>
      </c>
      <c r="KZ15" s="7" t="e">
        <f aca="false">IF(OR(#REF!&gt;2,#REF!&lt;-2),"",#REF!)</f>
        <v>#REF!</v>
      </c>
      <c r="LA15" s="7" t="e">
        <f aca="false">IF(OR(#REF!&gt;2,#REF!&lt;-2),"",#REF!)</f>
        <v>#REF!</v>
      </c>
      <c r="LB15" s="7" t="e">
        <f aca="false">IF(OR(#REF!&gt;2,#REF!&lt;-2),"",#REF!)</f>
        <v>#REF!</v>
      </c>
      <c r="LC15" s="7" t="e">
        <f aca="false">IF(OR(#REF!&gt;2,#REF!&lt;-2),"",#REF!)</f>
        <v>#REF!</v>
      </c>
      <c r="LD15" s="7" t="e">
        <f aca="false">IF(OR(#REF!&gt;2,#REF!&lt;-2),"",#REF!)</f>
        <v>#REF!</v>
      </c>
      <c r="LE15" s="7" t="e">
        <f aca="false">IF(OR(#REF!&gt;2,#REF!&lt;-2),"",#REF!)</f>
        <v>#REF!</v>
      </c>
      <c r="LF15" s="7" t="e">
        <f aca="false">IF(OR(#REF!&gt;2,#REF!&lt;-2),"",#REF!)</f>
        <v>#REF!</v>
      </c>
      <c r="LG15" s="7" t="e">
        <f aca="false">IF(OR(#REF!&gt;2,#REF!&lt;-2),"",#REF!)</f>
        <v>#REF!</v>
      </c>
      <c r="LH15" s="7" t="e">
        <f aca="false">IF(OR(#REF!&gt;2,#REF!&lt;-2),"",#REF!)</f>
        <v>#REF!</v>
      </c>
      <c r="LI15" s="7" t="e">
        <f aca="false">IF(OR(#REF!&gt;2,#REF!&lt;-2),"",#REF!)</f>
        <v>#REF!</v>
      </c>
      <c r="LJ15" s="7" t="e">
        <f aca="false">IF(OR(#REF!&gt;2,#REF!&lt;-2),"",#REF!)</f>
        <v>#REF!</v>
      </c>
      <c r="LK15" s="7" t="e">
        <f aca="false">IF(OR(#REF!&gt;2,#REF!&lt;-2),"",#REF!)</f>
        <v>#REF!</v>
      </c>
      <c r="LL15" s="7" t="e">
        <f aca="false">IF(OR(#REF!&gt;2,#REF!&lt;-2),"",#REF!)</f>
        <v>#REF!</v>
      </c>
      <c r="LM15" s="7" t="e">
        <f aca="false">IF(OR(#REF!&gt;2,#REF!&lt;-2),"",#REF!)</f>
        <v>#REF!</v>
      </c>
      <c r="LN15" s="7" t="e">
        <f aca="false">IF(OR(#REF!&gt;2,#REF!&lt;-2),"",#REF!)</f>
        <v>#REF!</v>
      </c>
      <c r="LO15" s="7" t="e">
        <f aca="false">IF(OR(#REF!&gt;2,#REF!&lt;-2),"",#REF!)</f>
        <v>#REF!</v>
      </c>
      <c r="LP15" s="7" t="e">
        <f aca="false">IF(OR(#REF!&gt;2,#REF!&lt;-2),"",#REF!)</f>
        <v>#REF!</v>
      </c>
      <c r="LQ15" s="7" t="e">
        <f aca="false">IF(OR(#REF!&gt;2,#REF!&lt;-2),"",#REF!)</f>
        <v>#REF!</v>
      </c>
      <c r="LR15" s="7" t="e">
        <f aca="false">IF(OR(#REF!&gt;2,#REF!&lt;-2),"",#REF!)</f>
        <v>#REF!</v>
      </c>
      <c r="LS15" s="7" t="e">
        <f aca="false">IF(OR(#REF!&gt;2,#REF!&lt;-2),"",#REF!)</f>
        <v>#REF!</v>
      </c>
      <c r="LT15" s="7" t="e">
        <f aca="false">IF(OR(#REF!&gt;2,#REF!&lt;-2),"",#REF!)</f>
        <v>#REF!</v>
      </c>
      <c r="LU15" s="7" t="e">
        <f aca="false">IF(OR(#REF!&gt;2,#REF!&lt;-2),"",#REF!)</f>
        <v>#REF!</v>
      </c>
      <c r="LV15" s="7" t="e">
        <f aca="false">IF(OR(#REF!&gt;2,#REF!&lt;-2),"",#REF!)</f>
        <v>#REF!</v>
      </c>
      <c r="LW15" s="7" t="e">
        <f aca="false">IF(OR(#REF!&gt;2,#REF!&lt;-2),"",#REF!)</f>
        <v>#REF!</v>
      </c>
      <c r="LX15" s="7" t="e">
        <f aca="false">IF(OR(#REF!&gt;2,#REF!&lt;-2),"",#REF!)</f>
        <v>#REF!</v>
      </c>
      <c r="LY15" s="7" t="e">
        <f aca="false">IF(OR(#REF!&gt;2,#REF!&lt;-2),"",#REF!)</f>
        <v>#REF!</v>
      </c>
      <c r="LZ15" s="7" t="e">
        <f aca="false">IF(OR(#REF!&gt;2,#REF!&lt;-2),"",#REF!)</f>
        <v>#REF!</v>
      </c>
      <c r="MA15" s="7" t="e">
        <f aca="false">IF(OR(#REF!&gt;2,#REF!&lt;-2),"",#REF!)</f>
        <v>#REF!</v>
      </c>
      <c r="MB15" s="7" t="e">
        <f aca="false">IF(OR(#REF!&gt;2,#REF!&lt;-2),"",#REF!)</f>
        <v>#REF!</v>
      </c>
      <c r="MC15" s="7" t="e">
        <f aca="false">IF(OR(#REF!&gt;2,#REF!&lt;-2),"",#REF!)</f>
        <v>#REF!</v>
      </c>
      <c r="MD15" s="7" t="e">
        <f aca="false">IF(OR(#REF!&gt;2,#REF!&lt;-2),"",#REF!)</f>
        <v>#REF!</v>
      </c>
      <c r="ME15" s="7" t="e">
        <f aca="false">IF(OR(#REF!&gt;2,#REF!&lt;-2),"",#REF!)</f>
        <v>#REF!</v>
      </c>
      <c r="MF15" s="7" t="e">
        <f aca="false">IF(OR(#REF!&gt;2,#REF!&lt;-2),"",#REF!)</f>
        <v>#REF!</v>
      </c>
      <c r="MG15" s="7" t="e">
        <f aca="false">IF(OR(#REF!&gt;2,#REF!&lt;-2),"",#REF!)</f>
        <v>#REF!</v>
      </c>
      <c r="MH15" s="7" t="e">
        <f aca="false">IF(OR(#REF!&gt;2,#REF!&lt;-2),"",#REF!)</f>
        <v>#REF!</v>
      </c>
      <c r="MI15" s="7" t="e">
        <f aca="false">IF(OR(#REF!&gt;2,#REF!&lt;-2),"",#REF!)</f>
        <v>#REF!</v>
      </c>
      <c r="MJ15" s="7" t="e">
        <f aca="false">IF(OR(#REF!&gt;2,#REF!&lt;-2),"",#REF!)</f>
        <v>#REF!</v>
      </c>
      <c r="MK15" s="7" t="e">
        <f aca="false">IF(OR(#REF!&gt;2,#REF!&lt;-2),"",#REF!)</f>
        <v>#REF!</v>
      </c>
      <c r="ML15" s="7" t="e">
        <f aca="false">IF(OR(#REF!&gt;2,#REF!&lt;-2),"",#REF!)</f>
        <v>#REF!</v>
      </c>
      <c r="MM15" s="7" t="e">
        <f aca="false">IF(OR(#REF!&gt;2,#REF!&lt;-2),"",#REF!)</f>
        <v>#REF!</v>
      </c>
      <c r="MN15" s="7" t="e">
        <f aca="false">IF(OR(#REF!&gt;2,#REF!&lt;-2),"",#REF!)</f>
        <v>#REF!</v>
      </c>
      <c r="MO15" s="7" t="e">
        <f aca="false">IF(OR(#REF!&gt;2,#REF!&lt;-2),"",#REF!)</f>
        <v>#REF!</v>
      </c>
      <c r="MP15" s="7" t="e">
        <f aca="false">IF(OR(#REF!&gt;2,#REF!&lt;-2),"",#REF!)</f>
        <v>#REF!</v>
      </c>
      <c r="MQ15" s="7" t="e">
        <f aca="false">IF(OR(#REF!&gt;2,#REF!&lt;-2),"",#REF!)</f>
        <v>#REF!</v>
      </c>
      <c r="MR15" s="7" t="e">
        <f aca="false">IF(OR(#REF!&gt;2,#REF!&lt;-2),"",#REF!)</f>
        <v>#REF!</v>
      </c>
      <c r="MS15" s="7" t="e">
        <f aca="false">IF(OR(#REF!&gt;2,#REF!&lt;-2),"",#REF!)</f>
        <v>#REF!</v>
      </c>
      <c r="MT15" s="7" t="e">
        <f aca="false">IF(OR(#REF!&gt;2,#REF!&lt;-2),"",#REF!)</f>
        <v>#REF!</v>
      </c>
      <c r="MU15" s="7" t="e">
        <f aca="false">IF(OR(#REF!&gt;2,#REF!&lt;-2),"",#REF!)</f>
        <v>#REF!</v>
      </c>
      <c r="MV15" s="7" t="e">
        <f aca="false">IF(OR(#REF!&gt;2,#REF!&lt;-2),"",#REF!)</f>
        <v>#REF!</v>
      </c>
      <c r="MW15" s="7" t="e">
        <f aca="false">IF(OR(#REF!&gt;2,#REF!&lt;-2),"",#REF!)</f>
        <v>#REF!</v>
      </c>
      <c r="MX15" s="7" t="e">
        <f aca="false">IF(OR(#REF!&gt;2,#REF!&lt;-2),"",#REF!)</f>
        <v>#REF!</v>
      </c>
      <c r="MY15" s="7" t="e">
        <f aca="false">IF(OR(#REF!&gt;2,#REF!&lt;-2),"",#REF!)</f>
        <v>#REF!</v>
      </c>
      <c r="MZ15" s="7" t="e">
        <f aca="false">IF(OR(#REF!&gt;2,#REF!&lt;-2),"",#REF!)</f>
        <v>#REF!</v>
      </c>
      <c r="NA15" s="7" t="e">
        <f aca="false">IF(OR(#REF!&gt;2,#REF!&lt;-2),"",#REF!)</f>
        <v>#REF!</v>
      </c>
      <c r="NB15" s="7" t="e">
        <f aca="false">IF(OR(#REF!&gt;2,#REF!&lt;-2),"",#REF!)</f>
        <v>#REF!</v>
      </c>
      <c r="NC15" s="7" t="e">
        <f aca="false">IF(OR(#REF!&gt;2,#REF!&lt;-2),"",#REF!)</f>
        <v>#REF!</v>
      </c>
      <c r="ND15" s="7" t="e">
        <f aca="false">IF(OR(#REF!&gt;2,#REF!&lt;-2),"",#REF!)</f>
        <v>#REF!</v>
      </c>
      <c r="NE15" s="7" t="e">
        <f aca="false">IF(OR(#REF!&gt;2,#REF!&lt;-2),"",#REF!)</f>
        <v>#REF!</v>
      </c>
      <c r="NF15" s="7" t="e">
        <f aca="false">IF(OR(#REF!&gt;2,#REF!&lt;-2),"",#REF!)</f>
        <v>#REF!</v>
      </c>
      <c r="NG15" s="7" t="e">
        <f aca="false">IF(OR(#REF!&gt;2,#REF!&lt;-2),"",#REF!)</f>
        <v>#REF!</v>
      </c>
      <c r="NH15" s="7" t="e">
        <f aca="false">IF(OR(#REF!&gt;2,#REF!&lt;-2),"",#REF!)</f>
        <v>#REF!</v>
      </c>
      <c r="NI15" s="7" t="e">
        <f aca="false">IF(OR(#REF!&gt;2,#REF!&lt;-2),"",#REF!)</f>
        <v>#REF!</v>
      </c>
      <c r="NJ15" s="7" t="e">
        <f aca="false">IF(OR(#REF!&gt;2,#REF!&lt;-2),"",#REF!)</f>
        <v>#REF!</v>
      </c>
      <c r="NK15" s="7" t="e">
        <f aca="false">IF(OR(#REF!&gt;2,#REF!&lt;-2),"",#REF!)</f>
        <v>#REF!</v>
      </c>
      <c r="NL15" s="7" t="e">
        <f aca="false">IF(OR(#REF!&gt;2,#REF!&lt;-2),"",#REF!)</f>
        <v>#REF!</v>
      </c>
      <c r="NM15" s="7" t="e">
        <f aca="false">IF(OR(#REF!&gt;2,#REF!&lt;-2),"",#REF!)</f>
        <v>#REF!</v>
      </c>
      <c r="NN15" s="7" t="e">
        <f aca="false">IF(OR(#REF!&gt;2,#REF!&lt;-2),"",#REF!)</f>
        <v>#REF!</v>
      </c>
      <c r="NO15" s="7" t="e">
        <f aca="false">IF(OR(#REF!&gt;2,#REF!&lt;-2),"",#REF!)</f>
        <v>#REF!</v>
      </c>
      <c r="NP15" s="7" t="e">
        <f aca="false">IF(OR(#REF!&gt;2,#REF!&lt;-2),"",#REF!)</f>
        <v>#REF!</v>
      </c>
      <c r="NQ15" s="7" t="e">
        <f aca="false">IF(OR(#REF!&gt;2,#REF!&lt;-2),"",#REF!)</f>
        <v>#REF!</v>
      </c>
      <c r="NR15" s="7" t="e">
        <f aca="false">IF(OR(#REF!&gt;2,#REF!&lt;-2),"",#REF!)</f>
        <v>#REF!</v>
      </c>
      <c r="NS15" s="7" t="e">
        <f aca="false">IF(OR(#REF!&gt;2,#REF!&lt;-2),"",#REF!)</f>
        <v>#REF!</v>
      </c>
      <c r="NT15" s="7" t="e">
        <f aca="false">IF(OR(#REF!&gt;2,#REF!&lt;-2),"",#REF!)</f>
        <v>#REF!</v>
      </c>
      <c r="NU15" s="7" t="e">
        <f aca="false">IF(OR(#REF!&gt;2,#REF!&lt;-2),"",#REF!)</f>
        <v>#REF!</v>
      </c>
      <c r="NV15" s="7" t="e">
        <f aca="false">IF(OR(#REF!&gt;2,#REF!&lt;-2),"",#REF!)</f>
        <v>#REF!</v>
      </c>
      <c r="NW15" s="7" t="e">
        <f aca="false">IF(OR(#REF!&gt;2,#REF!&lt;-2),"",#REF!)</f>
        <v>#REF!</v>
      </c>
      <c r="NX15" s="7" t="e">
        <f aca="false">IF(OR(#REF!&gt;2,#REF!&lt;-2),"",#REF!)</f>
        <v>#REF!</v>
      </c>
      <c r="NY15" s="7" t="e">
        <f aca="false">IF(OR(#REF!&gt;2,#REF!&lt;-2),"",#REF!)</f>
        <v>#REF!</v>
      </c>
      <c r="NZ15" s="7" t="e">
        <f aca="false">IF(OR(#REF!&gt;2,#REF!&lt;-2),"",#REF!)</f>
        <v>#REF!</v>
      </c>
      <c r="OA15" s="7" t="e">
        <f aca="false">IF(OR(#REF!&gt;2,#REF!&lt;-2),"",#REF!)</f>
        <v>#REF!</v>
      </c>
      <c r="OB15" s="7" t="e">
        <f aca="false">IF(OR(#REF!&gt;2,#REF!&lt;-2),"",#REF!)</f>
        <v>#REF!</v>
      </c>
      <c r="OC15" s="7" t="e">
        <f aca="false">IF(OR(#REF!&gt;2,#REF!&lt;-2),"",#REF!)</f>
        <v>#REF!</v>
      </c>
      <c r="OD15" s="7" t="e">
        <f aca="false">IF(OR(#REF!&gt;2,#REF!&lt;-2),"",#REF!)</f>
        <v>#REF!</v>
      </c>
      <c r="OE15" s="7" t="e">
        <f aca="false">IF(OR(#REF!&gt;2,#REF!&lt;-2),"",#REF!)</f>
        <v>#REF!</v>
      </c>
      <c r="OF15" s="7" t="e">
        <f aca="false">IF(OR(#REF!&gt;2,#REF!&lt;-2),"",#REF!)</f>
        <v>#REF!</v>
      </c>
      <c r="OG15" s="7" t="e">
        <f aca="false">IF(OR(#REF!&gt;2,#REF!&lt;-2),"",#REF!)</f>
        <v>#REF!</v>
      </c>
      <c r="OH15" s="7" t="e">
        <f aca="false">IF(OR(#REF!&gt;2,#REF!&lt;-2),"",#REF!)</f>
        <v>#REF!</v>
      </c>
      <c r="OI15" s="7" t="e">
        <f aca="false">IF(OR(#REF!&gt;2,#REF!&lt;-2),"",#REF!)</f>
        <v>#REF!</v>
      </c>
      <c r="OJ15" s="7" t="e">
        <f aca="false">IF(OR(#REF!&gt;2,#REF!&lt;-2),"",#REF!)</f>
        <v>#REF!</v>
      </c>
      <c r="OK15" s="7" t="e">
        <f aca="false">IF(OR(#REF!&gt;2,#REF!&lt;-2),"",#REF!)</f>
        <v>#REF!</v>
      </c>
      <c r="OL15" s="7" t="e">
        <f aca="false">IF(OR(#REF!&gt;2,#REF!&lt;-2),"",#REF!)</f>
        <v>#REF!</v>
      </c>
      <c r="OM15" s="7" t="e">
        <f aca="false">IF(OR(#REF!&gt;2,#REF!&lt;-2),"",#REF!)</f>
        <v>#REF!</v>
      </c>
      <c r="ON15" s="7" t="e">
        <f aca="false">IF(OR(#REF!&gt;2,#REF!&lt;-2),"",#REF!)</f>
        <v>#REF!</v>
      </c>
      <c r="OO15" s="7" t="e">
        <f aca="false">IF(OR(#REF!&gt;2,#REF!&lt;-2),"",#REF!)</f>
        <v>#REF!</v>
      </c>
      <c r="OP15" s="7" t="e">
        <f aca="false">IF(OR(#REF!&gt;2,#REF!&lt;-2),"",#REF!)</f>
        <v>#REF!</v>
      </c>
      <c r="OQ15" s="7" t="e">
        <f aca="false">IF(OR(#REF!&gt;2,#REF!&lt;-2),"",#REF!)</f>
        <v>#REF!</v>
      </c>
      <c r="OR15" s="7" t="e">
        <f aca="false">IF(OR(#REF!&gt;2,#REF!&lt;-2),"",#REF!)</f>
        <v>#REF!</v>
      </c>
      <c r="OS15" s="7" t="e">
        <f aca="false">IF(OR(#REF!&gt;2,#REF!&lt;-2),"",#REF!)</f>
        <v>#REF!</v>
      </c>
      <c r="OT15" s="7" t="e">
        <f aca="false">IF(OR(#REF!&gt;2,#REF!&lt;-2),"",#REF!)</f>
        <v>#REF!</v>
      </c>
      <c r="OU15" s="7" t="e">
        <f aca="false">IF(OR(#REF!&gt;2,#REF!&lt;-2),"",#REF!)</f>
        <v>#REF!</v>
      </c>
      <c r="OV15" s="7" t="e">
        <f aca="false">IF(OR(#REF!&gt;2,#REF!&lt;-2),"",#REF!)</f>
        <v>#REF!</v>
      </c>
      <c r="OW15" s="7" t="e">
        <f aca="false">IF(OR(#REF!&gt;2,#REF!&lt;-2),"",#REF!)</f>
        <v>#REF!</v>
      </c>
      <c r="OX15" s="7" t="e">
        <f aca="false">IF(OR(#REF!&gt;2,#REF!&lt;-2),"",#REF!)</f>
        <v>#REF!</v>
      </c>
      <c r="OY15" s="7" t="e">
        <f aca="false">IF(OR(#REF!&gt;2,#REF!&lt;-2),"",#REF!)</f>
        <v>#REF!</v>
      </c>
      <c r="OZ15" s="7" t="e">
        <f aca="false">IF(OR(#REF!&gt;2,#REF!&lt;-2),"",#REF!)</f>
        <v>#REF!</v>
      </c>
      <c r="PA15" s="7" t="e">
        <f aca="false">IF(OR(#REF!&gt;2,#REF!&lt;-2),"",#REF!)</f>
        <v>#REF!</v>
      </c>
      <c r="PB15" s="7" t="e">
        <f aca="false">IF(OR(#REF!&gt;2,#REF!&lt;-2),"",#REF!)</f>
        <v>#REF!</v>
      </c>
      <c r="PC15" s="7" t="e">
        <f aca="false">IF(OR(#REF!&gt;2,#REF!&lt;-2),"",#REF!)</f>
        <v>#REF!</v>
      </c>
      <c r="PD15" s="7" t="e">
        <f aca="false">IF(OR(#REF!&gt;2,#REF!&lt;-2),"",#REF!)</f>
        <v>#REF!</v>
      </c>
      <c r="PE15" s="7" t="e">
        <f aca="false">IF(OR(#REF!&gt;2,#REF!&lt;-2),"",#REF!)</f>
        <v>#REF!</v>
      </c>
      <c r="PF15" s="7" t="e">
        <f aca="false">IF(OR(#REF!&gt;2,#REF!&lt;-2),"",#REF!)</f>
        <v>#REF!</v>
      </c>
      <c r="PG15" s="7" t="e">
        <f aca="false">IF(OR(#REF!&gt;2,#REF!&lt;-2),"",#REF!)</f>
        <v>#REF!</v>
      </c>
      <c r="PH15" s="7" t="e">
        <f aca="false">IF(OR(#REF!&gt;2,#REF!&lt;-2),"",#REF!)</f>
        <v>#REF!</v>
      </c>
      <c r="PI15" s="7" t="e">
        <f aca="false">IF(OR(#REF!&gt;2,#REF!&lt;-2),"",#REF!)</f>
        <v>#REF!</v>
      </c>
      <c r="PJ15" s="7" t="e">
        <f aca="false">IF(OR(#REF!&gt;2,#REF!&lt;-2),"",#REF!)</f>
        <v>#REF!</v>
      </c>
      <c r="PK15" s="7" t="e">
        <f aca="false">IF(OR(#REF!&gt;2,#REF!&lt;-2),"",#REF!)</f>
        <v>#REF!</v>
      </c>
      <c r="PL15" s="7" t="e">
        <f aca="false">IF(OR(#REF!&gt;2,#REF!&lt;-2),"",#REF!)</f>
        <v>#REF!</v>
      </c>
      <c r="PM15" s="7" t="e">
        <f aca="false">IF(OR(#REF!&gt;2,#REF!&lt;-2),"",#REF!)</f>
        <v>#REF!</v>
      </c>
      <c r="PN15" s="7" t="e">
        <f aca="false">IF(OR(#REF!&gt;2,#REF!&lt;-2),"",#REF!)</f>
        <v>#REF!</v>
      </c>
      <c r="PO15" s="7" t="e">
        <f aca="false">IF(OR(#REF!&gt;2,#REF!&lt;-2),"",#REF!)</f>
        <v>#REF!</v>
      </c>
      <c r="PP15" s="7" t="e">
        <f aca="false">IF(OR(#REF!&gt;2,#REF!&lt;-2),"",#REF!)</f>
        <v>#REF!</v>
      </c>
      <c r="PQ15" s="7" t="e">
        <f aca="false">IF(OR(#REF!&gt;2,#REF!&lt;-2),"",#REF!)</f>
        <v>#REF!</v>
      </c>
      <c r="PR15" s="7" t="e">
        <f aca="false">IF(OR(#REF!&gt;2,#REF!&lt;-2),"",#REF!)</f>
        <v>#REF!</v>
      </c>
      <c r="PS15" s="7" t="e">
        <f aca="false">IF(OR(#REF!&gt;2,#REF!&lt;-2),"",#REF!)</f>
        <v>#REF!</v>
      </c>
      <c r="PT15" s="7" t="e">
        <f aca="false">IF(OR(#REF!&gt;2,#REF!&lt;-2),"",#REF!)</f>
        <v>#REF!</v>
      </c>
      <c r="PU15" s="7" t="e">
        <f aca="false">IF(OR(#REF!&gt;2,#REF!&lt;-2),"",#REF!)</f>
        <v>#REF!</v>
      </c>
      <c r="PV15" s="7" t="e">
        <f aca="false">IF(OR(#REF!&gt;2,#REF!&lt;-2),"",#REF!)</f>
        <v>#REF!</v>
      </c>
      <c r="PW15" s="7" t="e">
        <f aca="false">IF(OR(#REF!&gt;2,#REF!&lt;-2),"",#REF!)</f>
        <v>#REF!</v>
      </c>
      <c r="PX15" s="7" t="e">
        <f aca="false">IF(OR(#REF!&gt;2,#REF!&lt;-2),"",#REF!)</f>
        <v>#REF!</v>
      </c>
      <c r="PY15" s="7" t="e">
        <f aca="false">IF(OR(#REF!&gt;2,#REF!&lt;-2),"",#REF!)</f>
        <v>#REF!</v>
      </c>
      <c r="PZ15" s="7" t="e">
        <f aca="false">IF(OR(#REF!&gt;2,#REF!&lt;-2),"",#REF!)</f>
        <v>#REF!</v>
      </c>
      <c r="QA15" s="7" t="e">
        <f aca="false">IF(OR(#REF!&gt;2,#REF!&lt;-2),"",#REF!)</f>
        <v>#REF!</v>
      </c>
      <c r="QB15" s="7" t="e">
        <f aca="false">IF(OR(#REF!&gt;2,#REF!&lt;-2),"",#REF!)</f>
        <v>#REF!</v>
      </c>
      <c r="QC15" s="7" t="e">
        <f aca="false">IF(OR(#REF!&gt;2,#REF!&lt;-2),"",#REF!)</f>
        <v>#REF!</v>
      </c>
      <c r="QD15" s="7" t="e">
        <f aca="false">IF(OR(#REF!&gt;2,#REF!&lt;-2),"",#REF!)</f>
        <v>#REF!</v>
      </c>
      <c r="QE15" s="7" t="e">
        <f aca="false">IF(OR(#REF!&gt;2,#REF!&lt;-2),"",#REF!)</f>
        <v>#REF!</v>
      </c>
      <c r="QF15" s="7" t="e">
        <f aca="false">IF(OR(#REF!&gt;2,#REF!&lt;-2),"",#REF!)</f>
        <v>#REF!</v>
      </c>
      <c r="QG15" s="7" t="e">
        <f aca="false">IF(OR(#REF!&gt;2,#REF!&lt;-2),"",#REF!)</f>
        <v>#REF!</v>
      </c>
      <c r="QH15" s="7" t="e">
        <f aca="false">IF(OR(#REF!&gt;2,#REF!&lt;-2),"",#REF!)</f>
        <v>#REF!</v>
      </c>
      <c r="QI15" s="7" t="e">
        <f aca="false">IF(OR(#REF!&gt;2,#REF!&lt;-2),"",#REF!)</f>
        <v>#REF!</v>
      </c>
      <c r="QJ15" s="7" t="e">
        <f aca="false">IF(OR(#REF!&gt;2,#REF!&lt;-2),"",#REF!)</f>
        <v>#REF!</v>
      </c>
      <c r="QK15" s="7" t="e">
        <f aca="false">IF(OR(#REF!&gt;2,#REF!&lt;-2),"",#REF!)</f>
        <v>#REF!</v>
      </c>
      <c r="QL15" s="7" t="e">
        <f aca="false">IF(OR(#REF!&gt;2,#REF!&lt;-2),"",#REF!)</f>
        <v>#REF!</v>
      </c>
      <c r="QM15" s="7" t="e">
        <f aca="false">IF(OR(#REF!&gt;2,#REF!&lt;-2),"",#REF!)</f>
        <v>#REF!</v>
      </c>
      <c r="QN15" s="7" t="e">
        <f aca="false">IF(OR(#REF!&gt;2,#REF!&lt;-2),"",#REF!)</f>
        <v>#REF!</v>
      </c>
      <c r="QO15" s="7" t="e">
        <f aca="false">IF(OR(#REF!&gt;2,#REF!&lt;-2),"",#REF!)</f>
        <v>#REF!</v>
      </c>
      <c r="QP15" s="7" t="e">
        <f aca="false">IF(OR(#REF!&gt;2,#REF!&lt;-2),"",#REF!)</f>
        <v>#REF!</v>
      </c>
      <c r="QQ15" s="7" t="e">
        <f aca="false">IF(OR(#REF!&gt;2,#REF!&lt;-2),"",#REF!)</f>
        <v>#REF!</v>
      </c>
      <c r="QR15" s="7" t="e">
        <f aca="false">IF(OR(#REF!&gt;2,#REF!&lt;-2),"",#REF!)</f>
        <v>#REF!</v>
      </c>
      <c r="QS15" s="7" t="e">
        <f aca="false">IF(OR(#REF!&gt;2,#REF!&lt;-2),"",#REF!)</f>
        <v>#REF!</v>
      </c>
      <c r="QT15" s="7" t="e">
        <f aca="false">IF(OR(#REF!&gt;2,#REF!&lt;-2),"",#REF!)</f>
        <v>#REF!</v>
      </c>
      <c r="QU15" s="7" t="e">
        <f aca="false">IF(OR(#REF!&gt;2,#REF!&lt;-2),"",#REF!)</f>
        <v>#REF!</v>
      </c>
      <c r="QV15" s="7" t="e">
        <f aca="false">IF(OR(#REF!&gt;2,#REF!&lt;-2),"",#REF!)</f>
        <v>#REF!</v>
      </c>
      <c r="QW15" s="7" t="e">
        <f aca="false">IF(OR(#REF!&gt;2,#REF!&lt;-2),"",#REF!)</f>
        <v>#REF!</v>
      </c>
      <c r="QX15" s="7" t="e">
        <f aca="false">IF(OR(#REF!&gt;2,#REF!&lt;-2),"",#REF!)</f>
        <v>#REF!</v>
      </c>
      <c r="QY15" s="7" t="e">
        <f aca="false">IF(OR(#REF!&gt;2,#REF!&lt;-2),"",#REF!)</f>
        <v>#REF!</v>
      </c>
      <c r="QZ15" s="7" t="e">
        <f aca="false">IF(OR(#REF!&gt;2,#REF!&lt;-2),"",#REF!)</f>
        <v>#REF!</v>
      </c>
      <c r="RA15" s="7" t="e">
        <f aca="false">IF(OR(#REF!&gt;2,#REF!&lt;-2),"",#REF!)</f>
        <v>#REF!</v>
      </c>
      <c r="RB15" s="7" t="e">
        <f aca="false">IF(OR(#REF!&gt;2,#REF!&lt;-2),"",#REF!)</f>
        <v>#REF!</v>
      </c>
      <c r="RC15" s="7" t="e">
        <f aca="false">IF(OR(#REF!&gt;2,#REF!&lt;-2),"",#REF!)</f>
        <v>#REF!</v>
      </c>
      <c r="RD15" s="7" t="e">
        <f aca="false">IF(OR(#REF!&gt;2,#REF!&lt;-2),"",#REF!)</f>
        <v>#REF!</v>
      </c>
      <c r="RE15" s="7" t="e">
        <f aca="false">IF(OR(#REF!&gt;2,#REF!&lt;-2),"",#REF!)</f>
        <v>#REF!</v>
      </c>
      <c r="RF15" s="7" t="e">
        <f aca="false">IF(OR(#REF!&gt;2,#REF!&lt;-2),"",#REF!)</f>
        <v>#REF!</v>
      </c>
      <c r="RG15" s="7" t="e">
        <f aca="false">IF(OR(#REF!&gt;2,#REF!&lt;-2),"",#REF!)</f>
        <v>#REF!</v>
      </c>
      <c r="RH15" s="7" t="e">
        <f aca="false">IF(OR(#REF!&gt;2,#REF!&lt;-2),"",#REF!)</f>
        <v>#REF!</v>
      </c>
      <c r="RI15" s="7" t="e">
        <f aca="false">IF(OR(#REF!&gt;2,#REF!&lt;-2),"",#REF!)</f>
        <v>#REF!</v>
      </c>
      <c r="RJ15" s="7" t="e">
        <f aca="false">IF(OR(#REF!&gt;2,#REF!&lt;-2),"",#REF!)</f>
        <v>#REF!</v>
      </c>
      <c r="RK15" s="7" t="e">
        <f aca="false">IF(OR(#REF!&gt;2,#REF!&lt;-2),"",#REF!)</f>
        <v>#REF!</v>
      </c>
      <c r="RL15" s="7" t="e">
        <f aca="false">IF(OR(#REF!&gt;2,#REF!&lt;-2),"",#REF!)</f>
        <v>#REF!</v>
      </c>
      <c r="RM15" s="7" t="e">
        <f aca="false">IF(OR(#REF!&gt;2,#REF!&lt;-2),"",#REF!)</f>
        <v>#REF!</v>
      </c>
      <c r="RN15" s="7" t="e">
        <f aca="false">IF(OR(#REF!&gt;2,#REF!&lt;-2),"",#REF!)</f>
        <v>#REF!</v>
      </c>
      <c r="RO15" s="7" t="e">
        <f aca="false">IF(OR(#REF!&gt;2,#REF!&lt;-2),"",#REF!)</f>
        <v>#REF!</v>
      </c>
      <c r="RP15" s="7" t="e">
        <f aca="false">IF(OR(#REF!&gt;2,#REF!&lt;-2),"",#REF!)</f>
        <v>#REF!</v>
      </c>
      <c r="RQ15" s="7" t="e">
        <f aca="false">IF(OR(#REF!&gt;2,#REF!&lt;-2),"",#REF!)</f>
        <v>#REF!</v>
      </c>
      <c r="RR15" s="7" t="e">
        <f aca="false">IF(OR(#REF!&gt;2,#REF!&lt;-2),"",#REF!)</f>
        <v>#REF!</v>
      </c>
      <c r="RS15" s="7" t="e">
        <f aca="false">IF(OR(#REF!&gt;2,#REF!&lt;-2),"",#REF!)</f>
        <v>#REF!</v>
      </c>
      <c r="RT15" s="7" t="e">
        <f aca="false">IF(OR(#REF!&gt;2,#REF!&lt;-2),"",#REF!)</f>
        <v>#REF!</v>
      </c>
      <c r="RU15" s="7" t="e">
        <f aca="false">IF(OR(#REF!&gt;2,#REF!&lt;-2),"",#REF!)</f>
        <v>#REF!</v>
      </c>
      <c r="RV15" s="7" t="e">
        <f aca="false">IF(OR(#REF!&gt;2,#REF!&lt;-2),"",#REF!)</f>
        <v>#REF!</v>
      </c>
      <c r="RW15" s="7" t="e">
        <f aca="false">IF(OR(#REF!&gt;2,#REF!&lt;-2),"",#REF!)</f>
        <v>#REF!</v>
      </c>
      <c r="RX15" s="7" t="e">
        <f aca="false">IF(OR(#REF!&gt;2,#REF!&lt;-2),"",#REF!)</f>
        <v>#REF!</v>
      </c>
      <c r="RY15" s="7" t="e">
        <f aca="false">IF(OR(#REF!&gt;2,#REF!&lt;-2),"",#REF!)</f>
        <v>#REF!</v>
      </c>
      <c r="RZ15" s="7" t="e">
        <f aca="false">IF(OR(#REF!&gt;2,#REF!&lt;-2),"",#REF!)</f>
        <v>#REF!</v>
      </c>
      <c r="SA15" s="7" t="e">
        <f aca="false">IF(OR(#REF!&gt;2,#REF!&lt;-2),"",#REF!)</f>
        <v>#REF!</v>
      </c>
      <c r="SB15" s="7" t="e">
        <f aca="false">IF(OR(#REF!&gt;2,#REF!&lt;-2),"",#REF!)</f>
        <v>#REF!</v>
      </c>
      <c r="SC15" s="7" t="e">
        <f aca="false">IF(OR(#REF!&gt;2,#REF!&lt;-2),"",#REF!)</f>
        <v>#REF!</v>
      </c>
      <c r="SD15" s="7" t="e">
        <f aca="false">IF(OR(#REF!&gt;2,#REF!&lt;-2),"",#REF!)</f>
        <v>#REF!</v>
      </c>
      <c r="SE15" s="7" t="e">
        <f aca="false">IF(OR(#REF!&gt;2,#REF!&lt;-2),"",#REF!)</f>
        <v>#REF!</v>
      </c>
      <c r="SF15" s="7" t="e">
        <f aca="false">IF(OR(#REF!&gt;2,#REF!&lt;-2),"",#REF!)</f>
        <v>#REF!</v>
      </c>
      <c r="SG15" s="7" t="e">
        <f aca="false">IF(OR(#REF!&gt;2,#REF!&lt;-2),"",#REF!)</f>
        <v>#REF!</v>
      </c>
      <c r="SH15" s="7" t="e">
        <f aca="false">IF(OR(#REF!&gt;2,#REF!&lt;-2),"",#REF!)</f>
        <v>#REF!</v>
      </c>
      <c r="SI15" s="7" t="e">
        <f aca="false">IF(OR(#REF!&gt;2,#REF!&lt;-2),"",#REF!)</f>
        <v>#REF!</v>
      </c>
      <c r="SJ15" s="7" t="e">
        <f aca="false">IF(OR(#REF!&gt;2,#REF!&lt;-2),"",#REF!)</f>
        <v>#REF!</v>
      </c>
      <c r="SK15" s="7" t="e">
        <f aca="false">IF(OR(#REF!&gt;2,#REF!&lt;-2),"",#REF!)</f>
        <v>#REF!</v>
      </c>
      <c r="SL15" s="7" t="e">
        <f aca="false">IF(OR(#REF!&gt;2,#REF!&lt;-2),"",#REF!)</f>
        <v>#REF!</v>
      </c>
      <c r="SM15" s="7" t="e">
        <f aca="false">IF(OR(#REF!&gt;2,#REF!&lt;-2),"",#REF!)</f>
        <v>#REF!</v>
      </c>
      <c r="SN15" s="7" t="e">
        <f aca="false">IF(OR(#REF!&gt;2,#REF!&lt;-2),"",#REF!)</f>
        <v>#REF!</v>
      </c>
      <c r="SO15" s="7" t="e">
        <f aca="false">IF(OR(#REF!&gt;2,#REF!&lt;-2),"",#REF!)</f>
        <v>#REF!</v>
      </c>
      <c r="SP15" s="7" t="e">
        <f aca="false">IF(OR(#REF!&gt;2,#REF!&lt;-2),"",#REF!)</f>
        <v>#REF!</v>
      </c>
      <c r="SQ15" s="7" t="e">
        <f aca="false">IF(OR(#REF!&gt;2,#REF!&lt;-2),"",#REF!)</f>
        <v>#REF!</v>
      </c>
      <c r="SR15" s="7" t="e">
        <f aca="false">IF(OR(#REF!&gt;2,#REF!&lt;-2),"",#REF!)</f>
        <v>#REF!</v>
      </c>
      <c r="SS15" s="7" t="e">
        <f aca="false">IF(OR(#REF!&gt;2,#REF!&lt;-2),"",#REF!)</f>
        <v>#REF!</v>
      </c>
      <c r="ST15" s="7" t="e">
        <f aca="false">IF(OR(#REF!&gt;2,#REF!&lt;-2),"",#REF!)</f>
        <v>#REF!</v>
      </c>
      <c r="SU15" s="7" t="e">
        <f aca="false">IF(OR(#REF!&gt;2,#REF!&lt;-2),"",#REF!)</f>
        <v>#REF!</v>
      </c>
      <c r="SV15" s="7" t="e">
        <f aca="false">IF(OR(#REF!&gt;2,#REF!&lt;-2),"",#REF!)</f>
        <v>#REF!</v>
      </c>
      <c r="SW15" s="7" t="e">
        <f aca="false">IF(OR(#REF!&gt;2,#REF!&lt;-2),"",#REF!)</f>
        <v>#REF!</v>
      </c>
      <c r="SX15" s="7" t="e">
        <f aca="false">IF(OR(#REF!&gt;2,#REF!&lt;-2),"",#REF!)</f>
        <v>#REF!</v>
      </c>
      <c r="SY15" s="7" t="e">
        <f aca="false">IF(OR(#REF!&gt;2,#REF!&lt;-2),"",#REF!)</f>
        <v>#REF!</v>
      </c>
      <c r="SZ15" s="7" t="e">
        <f aca="false">IF(OR(#REF!&gt;2,#REF!&lt;-2),"",#REF!)</f>
        <v>#REF!</v>
      </c>
      <c r="TA15" s="7" t="e">
        <f aca="false">IF(OR(#REF!&gt;2,#REF!&lt;-2),"",#REF!)</f>
        <v>#REF!</v>
      </c>
      <c r="TB15" s="7" t="e">
        <f aca="false">IF(OR(#REF!&gt;2,#REF!&lt;-2),"",#REF!)</f>
        <v>#REF!</v>
      </c>
      <c r="TC15" s="7" t="e">
        <f aca="false">IF(OR(#REF!&gt;2,#REF!&lt;-2),"",#REF!)</f>
        <v>#REF!</v>
      </c>
      <c r="TD15" s="7" t="e">
        <f aca="false">IF(OR(#REF!&gt;2,#REF!&lt;-2),"",#REF!)</f>
        <v>#REF!</v>
      </c>
      <c r="TE15" s="7" t="e">
        <f aca="false">IF(OR(#REF!&gt;2,#REF!&lt;-2),"",#REF!)</f>
        <v>#REF!</v>
      </c>
      <c r="TF15" s="7" t="e">
        <f aca="false">IF(OR(#REF!&gt;2,#REF!&lt;-2),"",#REF!)</f>
        <v>#REF!</v>
      </c>
      <c r="TG15" s="7" t="e">
        <f aca="false">IF(OR(#REF!&gt;2,#REF!&lt;-2),"",#REF!)</f>
        <v>#REF!</v>
      </c>
      <c r="TH15" s="7" t="e">
        <f aca="false">IF(OR(#REF!&gt;2,#REF!&lt;-2),"",#REF!)</f>
        <v>#REF!</v>
      </c>
      <c r="TI15" s="7" t="e">
        <f aca="false">IF(OR(#REF!&gt;2,#REF!&lt;-2),"",#REF!)</f>
        <v>#REF!</v>
      </c>
      <c r="TJ15" s="7" t="e">
        <f aca="false">IF(OR(#REF!&gt;2,#REF!&lt;-2),"",#REF!)</f>
        <v>#REF!</v>
      </c>
      <c r="TK15" s="7" t="e">
        <f aca="false">IF(OR(#REF!&gt;2,#REF!&lt;-2),"",#REF!)</f>
        <v>#REF!</v>
      </c>
      <c r="TL15" s="7" t="e">
        <f aca="false">IF(OR(#REF!&gt;2,#REF!&lt;-2),"",#REF!)</f>
        <v>#REF!</v>
      </c>
      <c r="TM15" s="7" t="e">
        <f aca="false">IF(OR(#REF!&gt;2,#REF!&lt;-2),"",#REF!)</f>
        <v>#REF!</v>
      </c>
      <c r="TN15" s="7" t="e">
        <f aca="false">IF(OR(#REF!&gt;2,#REF!&lt;-2),"",#REF!)</f>
        <v>#REF!</v>
      </c>
      <c r="TO15" s="7" t="e">
        <f aca="false">IF(OR(#REF!&gt;2,#REF!&lt;-2),"",#REF!)</f>
        <v>#REF!</v>
      </c>
      <c r="TP15" s="7" t="e">
        <f aca="false">IF(OR(#REF!&gt;2,#REF!&lt;-2),"",#REF!)</f>
        <v>#REF!</v>
      </c>
      <c r="TQ15" s="7" t="e">
        <f aca="false">IF(OR(#REF!&gt;2,#REF!&lt;-2),"",#REF!)</f>
        <v>#REF!</v>
      </c>
      <c r="TR15" s="7" t="e">
        <f aca="false">IF(OR(#REF!&gt;2,#REF!&lt;-2),"",#REF!)</f>
        <v>#REF!</v>
      </c>
      <c r="TS15" s="7" t="e">
        <f aca="false">IF(OR(#REF!&gt;2,#REF!&lt;-2),"",#REF!)</f>
        <v>#REF!</v>
      </c>
      <c r="TT15" s="7" t="e">
        <f aca="false">IF(OR(#REF!&gt;2,#REF!&lt;-2),"",#REF!)</f>
        <v>#REF!</v>
      </c>
      <c r="TU15" s="7" t="e">
        <f aca="false">IF(OR(#REF!&gt;2,#REF!&lt;-2),"",#REF!)</f>
        <v>#REF!</v>
      </c>
      <c r="TV15" s="7" t="e">
        <f aca="false">IF(OR(#REF!&gt;2,#REF!&lt;-2),"",#REF!)</f>
        <v>#REF!</v>
      </c>
      <c r="TW15" s="7" t="e">
        <f aca="false">IF(OR(#REF!&gt;2,#REF!&lt;-2),"",#REF!)</f>
        <v>#REF!</v>
      </c>
      <c r="TX15" s="7" t="e">
        <f aca="false">IF(OR(#REF!&gt;2,#REF!&lt;-2),"",#REF!)</f>
        <v>#REF!</v>
      </c>
      <c r="TY15" s="7" t="e">
        <f aca="false">IF(OR(#REF!&gt;2,#REF!&lt;-2),"",#REF!)</f>
        <v>#REF!</v>
      </c>
      <c r="TZ15" s="7" t="e">
        <f aca="false">IF(OR(#REF!&gt;2,#REF!&lt;-2),"",#REF!)</f>
        <v>#REF!</v>
      </c>
      <c r="UA15" s="7" t="e">
        <f aca="false">IF(OR(#REF!&gt;2,#REF!&lt;-2),"",#REF!)</f>
        <v>#REF!</v>
      </c>
      <c r="UB15" s="7" t="e">
        <f aca="false">IF(OR(#REF!&gt;2,#REF!&lt;-2),"",#REF!)</f>
        <v>#REF!</v>
      </c>
      <c r="UC15" s="7" t="e">
        <f aca="false">IF(OR(#REF!&gt;2,#REF!&lt;-2),"",#REF!)</f>
        <v>#REF!</v>
      </c>
      <c r="UD15" s="7" t="e">
        <f aca="false">IF(OR(#REF!&gt;2,#REF!&lt;-2),"",#REF!)</f>
        <v>#REF!</v>
      </c>
      <c r="UE15" s="7" t="e">
        <f aca="false">IF(OR(#REF!&gt;2,#REF!&lt;-2),"",#REF!)</f>
        <v>#REF!</v>
      </c>
      <c r="UF15" s="7" t="e">
        <f aca="false">IF(OR(#REF!&gt;2,#REF!&lt;-2),"",#REF!)</f>
        <v>#REF!</v>
      </c>
      <c r="UG15" s="7" t="e">
        <f aca="false">IF(OR(#REF!&gt;2,#REF!&lt;-2),"",#REF!)</f>
        <v>#REF!</v>
      </c>
      <c r="UH15" s="7" t="e">
        <f aca="false">IF(OR(#REF!&gt;2,#REF!&lt;-2),"",#REF!)</f>
        <v>#REF!</v>
      </c>
      <c r="UI15" s="7" t="e">
        <f aca="false">IF(OR(#REF!&gt;2,#REF!&lt;-2),"",#REF!)</f>
        <v>#REF!</v>
      </c>
      <c r="UJ15" s="7" t="e">
        <f aca="false">IF(OR(#REF!&gt;2,#REF!&lt;-2),"",#REF!)</f>
        <v>#REF!</v>
      </c>
      <c r="UK15" s="7" t="e">
        <f aca="false">IF(OR(#REF!&gt;2,#REF!&lt;-2),"",#REF!)</f>
        <v>#REF!</v>
      </c>
      <c r="UL15" s="7" t="e">
        <f aca="false">IF(OR(#REF!&gt;2,#REF!&lt;-2),"",#REF!)</f>
        <v>#REF!</v>
      </c>
      <c r="UM15" s="7" t="e">
        <f aca="false">IF(OR(#REF!&gt;2,#REF!&lt;-2),"",#REF!)</f>
        <v>#REF!</v>
      </c>
      <c r="UN15" s="7" t="e">
        <f aca="false">IF(OR(#REF!&gt;2,#REF!&lt;-2),"",#REF!)</f>
        <v>#REF!</v>
      </c>
      <c r="UO15" s="7" t="e">
        <f aca="false">IF(OR(#REF!&gt;2,#REF!&lt;-2),"",#REF!)</f>
        <v>#REF!</v>
      </c>
      <c r="UP15" s="7" t="e">
        <f aca="false">IF(OR(#REF!&gt;2,#REF!&lt;-2),"",#REF!)</f>
        <v>#REF!</v>
      </c>
    </row>
    <row r="16" customFormat="false" ht="14.5" hidden="false" customHeight="false" outlineLevel="0" collapsed="false">
      <c r="A16" s="0" t="n">
        <v>178</v>
      </c>
      <c r="B16" s="0" t="n">
        <v>1</v>
      </c>
      <c r="C16" s="7" t="e">
        <f aca="false">IF(OR(#REF!&gt;2,#REF!&lt;-2),"",#REF!)</f>
        <v>#REF!</v>
      </c>
      <c r="D16" s="7" t="e">
        <f aca="false">IF(OR(#REF!&gt;2,#REF!&lt;-2),"",#REF!)</f>
        <v>#REF!</v>
      </c>
      <c r="E16" s="7" t="e">
        <f aca="false">IF(OR(#REF!&gt;2,#REF!&lt;-2),"",#REF!)</f>
        <v>#REF!</v>
      </c>
      <c r="F16" s="7" t="e">
        <f aca="false">IF(OR(#REF!&gt;2,#REF!&lt;-2),"",#REF!)</f>
        <v>#REF!</v>
      </c>
      <c r="G16" s="7" t="e">
        <f aca="false">IF(OR(#REF!&gt;2,#REF!&lt;-2),"",#REF!)</f>
        <v>#REF!</v>
      </c>
      <c r="H16" s="7" t="e">
        <f aca="false">IF(OR(#REF!&gt;2,#REF!&lt;-2),"",#REF!)</f>
        <v>#REF!</v>
      </c>
      <c r="I16" s="7" t="e">
        <f aca="false">IF(OR(#REF!&gt;2,#REF!&lt;-2),"",#REF!)</f>
        <v>#REF!</v>
      </c>
      <c r="J16" s="7" t="e">
        <f aca="false">IF(OR(#REF!&gt;2,#REF!&lt;-2),"",#REF!)</f>
        <v>#REF!</v>
      </c>
      <c r="K16" s="7" t="e">
        <f aca="false">IF(OR(#REF!&gt;2,#REF!&lt;-2),"",#REF!)</f>
        <v>#REF!</v>
      </c>
      <c r="L16" s="7" t="e">
        <f aca="false">IF(OR(#REF!&gt;2,#REF!&lt;-2),"",#REF!)</f>
        <v>#REF!</v>
      </c>
      <c r="M16" s="7" t="e">
        <f aca="false">IF(OR(#REF!&gt;2,#REF!&lt;-2),"",#REF!)</f>
        <v>#REF!</v>
      </c>
      <c r="N16" s="7" t="e">
        <f aca="false">IF(OR(#REF!&gt;2,#REF!&lt;-2),"",#REF!)</f>
        <v>#REF!</v>
      </c>
      <c r="O16" s="7" t="e">
        <f aca="false">IF(OR(#REF!&gt;2,#REF!&lt;-2),"",#REF!)</f>
        <v>#REF!</v>
      </c>
      <c r="P16" s="7" t="e">
        <f aca="false">IF(OR(#REF!&gt;2,#REF!&lt;-2),"",#REF!)</f>
        <v>#REF!</v>
      </c>
      <c r="Q16" s="7" t="e">
        <f aca="false">IF(OR(#REF!&gt;2,#REF!&lt;-2),"",#REF!)</f>
        <v>#REF!</v>
      </c>
      <c r="R16" s="7" t="e">
        <f aca="false">IF(OR(#REF!&gt;2,#REF!&lt;-2),"",#REF!)</f>
        <v>#REF!</v>
      </c>
      <c r="S16" s="7" t="e">
        <f aca="false">IF(OR(#REF!&gt;2,#REF!&lt;-2),"",#REF!)</f>
        <v>#REF!</v>
      </c>
      <c r="T16" s="7" t="e">
        <f aca="false">IF(OR(#REF!&gt;2,#REF!&lt;-2),"",#REF!)</f>
        <v>#REF!</v>
      </c>
      <c r="U16" s="7" t="e">
        <f aca="false">IF(OR(#REF!&gt;2,#REF!&lt;-2),"",#REF!)</f>
        <v>#REF!</v>
      </c>
      <c r="V16" s="7" t="e">
        <f aca="false">IF(OR(#REF!&gt;2,#REF!&lt;-2),"",#REF!)</f>
        <v>#REF!</v>
      </c>
      <c r="W16" s="7" t="e">
        <f aca="false">IF(OR(#REF!&gt;2,#REF!&lt;-2),"",#REF!)</f>
        <v>#REF!</v>
      </c>
      <c r="X16" s="7" t="e">
        <f aca="false">IF(OR(#REF!&gt;2,#REF!&lt;-2),"",#REF!)</f>
        <v>#REF!</v>
      </c>
      <c r="Y16" s="7" t="e">
        <f aca="false">IF(OR(#REF!&gt;2,#REF!&lt;-2),"",#REF!)</f>
        <v>#REF!</v>
      </c>
      <c r="Z16" s="7" t="e">
        <f aca="false">IF(OR(#REF!&gt;2,#REF!&lt;-2),"",#REF!)</f>
        <v>#REF!</v>
      </c>
      <c r="AA16" s="7" t="e">
        <f aca="false">IF(OR(#REF!&gt;2,#REF!&lt;-2),"",#REF!)</f>
        <v>#REF!</v>
      </c>
      <c r="AB16" s="7" t="e">
        <f aca="false">IF(OR(#REF!&gt;2,#REF!&lt;-2),"",#REF!)</f>
        <v>#REF!</v>
      </c>
      <c r="AC16" s="7" t="e">
        <f aca="false">IF(OR(#REF!&gt;2,#REF!&lt;-2),"",#REF!)</f>
        <v>#REF!</v>
      </c>
      <c r="AD16" s="7" t="e">
        <f aca="false">IF(OR(#REF!&gt;2,#REF!&lt;-2),"",#REF!)</f>
        <v>#REF!</v>
      </c>
      <c r="AE16" s="7" t="e">
        <f aca="false">IF(OR(#REF!&gt;2,#REF!&lt;-2),"",#REF!)</f>
        <v>#REF!</v>
      </c>
      <c r="AF16" s="7" t="e">
        <f aca="false">IF(OR(#REF!&gt;2,#REF!&lt;-2),"",#REF!)</f>
        <v>#REF!</v>
      </c>
      <c r="AG16" s="7" t="e">
        <f aca="false">IF(OR(#REF!&gt;2,#REF!&lt;-2),"",#REF!)</f>
        <v>#REF!</v>
      </c>
      <c r="AH16" s="7" t="e">
        <f aca="false">IF(OR(#REF!&gt;2,#REF!&lt;-2),"",#REF!)</f>
        <v>#REF!</v>
      </c>
      <c r="AI16" s="7" t="e">
        <f aca="false">IF(OR(#REF!&gt;2,#REF!&lt;-2),"",#REF!)</f>
        <v>#REF!</v>
      </c>
      <c r="AJ16" s="7" t="e">
        <f aca="false">IF(OR(#REF!&gt;2,#REF!&lt;-2),"",#REF!)</f>
        <v>#REF!</v>
      </c>
      <c r="AK16" s="7" t="e">
        <f aca="false">IF(OR(#REF!&gt;2,#REF!&lt;-2),"",#REF!)</f>
        <v>#REF!</v>
      </c>
      <c r="AL16" s="7" t="e">
        <f aca="false">IF(OR(#REF!&gt;2,#REF!&lt;-2),"",#REF!)</f>
        <v>#REF!</v>
      </c>
      <c r="AM16" s="7" t="e">
        <f aca="false">IF(OR(#REF!&gt;2,#REF!&lt;-2),"",#REF!)</f>
        <v>#REF!</v>
      </c>
      <c r="AN16" s="7" t="e">
        <f aca="false">IF(OR(#REF!&gt;2,#REF!&lt;-2),"",#REF!)</f>
        <v>#REF!</v>
      </c>
      <c r="AO16" s="7" t="e">
        <f aca="false">IF(OR(#REF!&gt;2,#REF!&lt;-2),"",#REF!)</f>
        <v>#REF!</v>
      </c>
      <c r="AP16" s="7" t="e">
        <f aca="false">IF(OR(#REF!&gt;2,#REF!&lt;-2),"",#REF!)</f>
        <v>#REF!</v>
      </c>
      <c r="AQ16" s="7" t="e">
        <f aca="false">IF(OR(#REF!&gt;2,#REF!&lt;-2),"",#REF!)</f>
        <v>#REF!</v>
      </c>
      <c r="AR16" s="7" t="e">
        <f aca="false">IF(OR(#REF!&gt;2,#REF!&lt;-2),"",#REF!)</f>
        <v>#REF!</v>
      </c>
      <c r="AS16" s="7" t="e">
        <f aca="false">IF(OR(#REF!&gt;2,#REF!&lt;-2),"",#REF!)</f>
        <v>#REF!</v>
      </c>
      <c r="AT16" s="7" t="e">
        <f aca="false">IF(OR(#REF!&gt;2,#REF!&lt;-2),"",#REF!)</f>
        <v>#REF!</v>
      </c>
      <c r="AU16" s="7" t="e">
        <f aca="false">IF(OR(#REF!&gt;2,#REF!&lt;-2),"",#REF!)</f>
        <v>#REF!</v>
      </c>
      <c r="AV16" s="7" t="e">
        <f aca="false">IF(OR(#REF!&gt;2,#REF!&lt;-2),"",#REF!)</f>
        <v>#REF!</v>
      </c>
      <c r="AW16" s="7" t="e">
        <f aca="false">IF(OR(#REF!&gt;2,#REF!&lt;-2),"",#REF!)</f>
        <v>#REF!</v>
      </c>
      <c r="AX16" s="7" t="e">
        <f aca="false">IF(OR(#REF!&gt;2,#REF!&lt;-2),"",#REF!)</f>
        <v>#REF!</v>
      </c>
      <c r="AY16" s="7" t="e">
        <f aca="false">IF(OR(#REF!&gt;2,#REF!&lt;-2),"",#REF!)</f>
        <v>#REF!</v>
      </c>
      <c r="AZ16" s="7" t="e">
        <f aca="false">IF(OR(#REF!&gt;2,#REF!&lt;-2),"",#REF!)</f>
        <v>#REF!</v>
      </c>
      <c r="BA16" s="7" t="e">
        <f aca="false">IF(OR(#REF!&gt;2,#REF!&lt;-2),"",#REF!)</f>
        <v>#REF!</v>
      </c>
      <c r="BB16" s="7" t="e">
        <f aca="false">IF(OR(#REF!&gt;2,#REF!&lt;-2),"",#REF!)</f>
        <v>#REF!</v>
      </c>
      <c r="BC16" s="7" t="e">
        <f aca="false">IF(OR(#REF!&gt;2,#REF!&lt;-2),"",#REF!)</f>
        <v>#REF!</v>
      </c>
      <c r="BD16" s="7" t="e">
        <f aca="false">IF(OR(#REF!&gt;2,#REF!&lt;-2),"",#REF!)</f>
        <v>#REF!</v>
      </c>
      <c r="BE16" s="7" t="e">
        <f aca="false">IF(OR(#REF!&gt;2,#REF!&lt;-2),"",#REF!)</f>
        <v>#REF!</v>
      </c>
      <c r="BF16" s="7" t="e">
        <f aca="false">IF(OR(#REF!&gt;2,#REF!&lt;-2),"",#REF!)</f>
        <v>#REF!</v>
      </c>
      <c r="BG16" s="7" t="e">
        <f aca="false">IF(OR(#REF!&gt;2,#REF!&lt;-2),"",#REF!)</f>
        <v>#REF!</v>
      </c>
      <c r="BH16" s="7" t="e">
        <f aca="false">IF(OR(#REF!&gt;2,#REF!&lt;-2),"",#REF!)</f>
        <v>#REF!</v>
      </c>
      <c r="BI16" s="7" t="e">
        <f aca="false">IF(OR(#REF!&gt;2,#REF!&lt;-2),"",#REF!)</f>
        <v>#REF!</v>
      </c>
      <c r="BJ16" s="7" t="e">
        <f aca="false">IF(OR(#REF!&gt;2,#REF!&lt;-2),"",#REF!)</f>
        <v>#REF!</v>
      </c>
      <c r="BK16" s="7" t="e">
        <f aca="false">IF(OR(#REF!&gt;2,#REF!&lt;-2),"",#REF!)</f>
        <v>#REF!</v>
      </c>
      <c r="BL16" s="7" t="e">
        <f aca="false">IF(OR(#REF!&gt;2,#REF!&lt;-2),"",#REF!)</f>
        <v>#REF!</v>
      </c>
      <c r="BM16" s="7" t="e">
        <f aca="false">IF(OR(#REF!&gt;2,#REF!&lt;-2),"",#REF!)</f>
        <v>#REF!</v>
      </c>
      <c r="BN16" s="7" t="e">
        <f aca="false">IF(OR(#REF!&gt;2,#REF!&lt;-2),"",#REF!)</f>
        <v>#REF!</v>
      </c>
      <c r="BO16" s="7" t="e">
        <f aca="false">IF(OR(#REF!&gt;2,#REF!&lt;-2),"",#REF!)</f>
        <v>#REF!</v>
      </c>
      <c r="BP16" s="7" t="e">
        <f aca="false">IF(OR(#REF!&gt;2,#REF!&lt;-2),"",#REF!)</f>
        <v>#REF!</v>
      </c>
      <c r="BQ16" s="7" t="e">
        <f aca="false">IF(OR(#REF!&gt;2,#REF!&lt;-2),"",#REF!)</f>
        <v>#REF!</v>
      </c>
      <c r="BR16" s="7" t="e">
        <f aca="false">IF(OR(#REF!&gt;2,#REF!&lt;-2),"",#REF!)</f>
        <v>#REF!</v>
      </c>
      <c r="BS16" s="7" t="e">
        <f aca="false">IF(OR(#REF!&gt;2,#REF!&lt;-2),"",#REF!)</f>
        <v>#REF!</v>
      </c>
      <c r="BT16" s="7" t="e">
        <f aca="false">IF(OR(#REF!&gt;2,#REF!&lt;-2),"",#REF!)</f>
        <v>#REF!</v>
      </c>
      <c r="BU16" s="7" t="e">
        <f aca="false">IF(OR(#REF!&gt;2,#REF!&lt;-2),"",#REF!)</f>
        <v>#REF!</v>
      </c>
      <c r="BV16" s="7" t="e">
        <f aca="false">IF(OR(#REF!&gt;2,#REF!&lt;-2),"",#REF!)</f>
        <v>#REF!</v>
      </c>
      <c r="BW16" s="7" t="e">
        <f aca="false">IF(OR(#REF!&gt;2,#REF!&lt;-2),"",#REF!)</f>
        <v>#REF!</v>
      </c>
      <c r="BX16" s="7" t="e">
        <f aca="false">IF(OR(#REF!&gt;2,#REF!&lt;-2),"",#REF!)</f>
        <v>#REF!</v>
      </c>
      <c r="BY16" s="7" t="e">
        <f aca="false">IF(OR(#REF!&gt;2,#REF!&lt;-2),"",#REF!)</f>
        <v>#REF!</v>
      </c>
      <c r="BZ16" s="7" t="e">
        <f aca="false">IF(OR(#REF!&gt;2,#REF!&lt;-2),"",#REF!)</f>
        <v>#REF!</v>
      </c>
      <c r="CA16" s="7" t="e">
        <f aca="false">IF(OR(#REF!&gt;2,#REF!&lt;-2),"",#REF!)</f>
        <v>#REF!</v>
      </c>
      <c r="CB16" s="7" t="e">
        <f aca="false">IF(OR(#REF!&gt;2,#REF!&lt;-2),"",#REF!)</f>
        <v>#REF!</v>
      </c>
      <c r="CC16" s="7" t="e">
        <f aca="false">IF(OR(#REF!&gt;2,#REF!&lt;-2),"",#REF!)</f>
        <v>#REF!</v>
      </c>
      <c r="CD16" s="7" t="e">
        <f aca="false">IF(OR(#REF!&gt;2,#REF!&lt;-2),"",#REF!)</f>
        <v>#REF!</v>
      </c>
      <c r="CE16" s="7" t="e">
        <f aca="false">IF(OR(#REF!&gt;2,#REF!&lt;-2),"",#REF!)</f>
        <v>#REF!</v>
      </c>
      <c r="CF16" s="7" t="e">
        <f aca="false">IF(OR(#REF!&gt;2,#REF!&lt;-2),"",#REF!)</f>
        <v>#REF!</v>
      </c>
      <c r="CG16" s="7" t="e">
        <f aca="false">IF(OR(#REF!&gt;2,#REF!&lt;-2),"",#REF!)</f>
        <v>#REF!</v>
      </c>
      <c r="CH16" s="7" t="e">
        <f aca="false">IF(OR(#REF!&gt;2,#REF!&lt;-2),"",#REF!)</f>
        <v>#REF!</v>
      </c>
      <c r="CI16" s="7" t="e">
        <f aca="false">IF(OR(#REF!&gt;2,#REF!&lt;-2),"",#REF!)</f>
        <v>#REF!</v>
      </c>
      <c r="CJ16" s="7" t="e">
        <f aca="false">IF(OR(#REF!&gt;2,#REF!&lt;-2),"",#REF!)</f>
        <v>#REF!</v>
      </c>
      <c r="CK16" s="7" t="e">
        <f aca="false">IF(OR(#REF!&gt;2,#REF!&lt;-2),"",#REF!)</f>
        <v>#REF!</v>
      </c>
      <c r="CL16" s="7" t="e">
        <f aca="false">IF(OR(#REF!&gt;2,#REF!&lt;-2),"",#REF!)</f>
        <v>#REF!</v>
      </c>
      <c r="CM16" s="7" t="e">
        <f aca="false">IF(OR(#REF!&gt;2,#REF!&lt;-2),"",#REF!)</f>
        <v>#REF!</v>
      </c>
      <c r="CN16" s="7" t="e">
        <f aca="false">IF(OR(#REF!&gt;2,#REF!&lt;-2),"",#REF!)</f>
        <v>#REF!</v>
      </c>
      <c r="CO16" s="7" t="e">
        <f aca="false">IF(OR(#REF!&gt;2,#REF!&lt;-2),"",#REF!)</f>
        <v>#REF!</v>
      </c>
      <c r="CP16" s="7" t="e">
        <f aca="false">IF(OR(#REF!&gt;2,#REF!&lt;-2),"",#REF!)</f>
        <v>#REF!</v>
      </c>
      <c r="CQ16" s="7" t="e">
        <f aca="false">IF(OR(#REF!&gt;2,#REF!&lt;-2),"",#REF!)</f>
        <v>#REF!</v>
      </c>
      <c r="CR16" s="7" t="e">
        <f aca="false">IF(OR(#REF!&gt;2,#REF!&lt;-2),"",#REF!)</f>
        <v>#REF!</v>
      </c>
      <c r="CS16" s="7" t="e">
        <f aca="false">IF(OR(#REF!&gt;2,#REF!&lt;-2),"",#REF!)</f>
        <v>#REF!</v>
      </c>
      <c r="CT16" s="7" t="e">
        <f aca="false">IF(OR(#REF!&gt;2,#REF!&lt;-2),"",#REF!)</f>
        <v>#REF!</v>
      </c>
      <c r="CU16" s="7" t="e">
        <f aca="false">IF(OR(#REF!&gt;2,#REF!&lt;-2),"",#REF!)</f>
        <v>#REF!</v>
      </c>
      <c r="CV16" s="7" t="e">
        <f aca="false">IF(OR(#REF!&gt;2,#REF!&lt;-2),"",#REF!)</f>
        <v>#REF!</v>
      </c>
      <c r="CW16" s="7" t="e">
        <f aca="false">IF(OR(#REF!&gt;2,#REF!&lt;-2),"",#REF!)</f>
        <v>#REF!</v>
      </c>
      <c r="CX16" s="7" t="e">
        <f aca="false">IF(OR(#REF!&gt;2,#REF!&lt;-2),"",#REF!)</f>
        <v>#REF!</v>
      </c>
      <c r="CY16" s="7" t="e">
        <f aca="false">IF(OR(#REF!&gt;2,#REF!&lt;-2),"",#REF!)</f>
        <v>#REF!</v>
      </c>
      <c r="CZ16" s="7" t="e">
        <f aca="false">IF(OR(#REF!&gt;2,#REF!&lt;-2),"",#REF!)</f>
        <v>#REF!</v>
      </c>
      <c r="DA16" s="7" t="e">
        <f aca="false">IF(OR(#REF!&gt;2,#REF!&lt;-2),"",#REF!)</f>
        <v>#REF!</v>
      </c>
      <c r="DB16" s="7" t="e">
        <f aca="false">IF(OR(#REF!&gt;2,#REF!&lt;-2),"",#REF!)</f>
        <v>#REF!</v>
      </c>
      <c r="DC16" s="7" t="e">
        <f aca="false">IF(OR(#REF!&gt;2,#REF!&lt;-2),"",#REF!)</f>
        <v>#REF!</v>
      </c>
      <c r="DD16" s="7" t="e">
        <f aca="false">IF(OR(#REF!&gt;2,#REF!&lt;-2),"",#REF!)</f>
        <v>#REF!</v>
      </c>
      <c r="DE16" s="7" t="e">
        <f aca="false">IF(OR(#REF!&gt;2,#REF!&lt;-2),"",#REF!)</f>
        <v>#REF!</v>
      </c>
      <c r="DF16" s="7" t="e">
        <f aca="false">IF(OR(#REF!&gt;2,#REF!&lt;-2),"",#REF!)</f>
        <v>#REF!</v>
      </c>
      <c r="DG16" s="7" t="e">
        <f aca="false">IF(OR(#REF!&gt;2,#REF!&lt;-2),"",#REF!)</f>
        <v>#REF!</v>
      </c>
      <c r="DH16" s="7" t="e">
        <f aca="false">IF(OR(#REF!&gt;2,#REF!&lt;-2),"",#REF!)</f>
        <v>#REF!</v>
      </c>
      <c r="DI16" s="7" t="e">
        <f aca="false">IF(OR(#REF!&gt;2,#REF!&lt;-2),"",#REF!)</f>
        <v>#REF!</v>
      </c>
      <c r="DJ16" s="7" t="e">
        <f aca="false">IF(OR(#REF!&gt;2,#REF!&lt;-2),"",#REF!)</f>
        <v>#REF!</v>
      </c>
      <c r="DK16" s="7" t="e">
        <f aca="false">IF(OR(#REF!&gt;2,#REF!&lt;-2),"",#REF!)</f>
        <v>#REF!</v>
      </c>
      <c r="DL16" s="7" t="e">
        <f aca="false">IF(OR(#REF!&gt;2,#REF!&lt;-2),"",#REF!)</f>
        <v>#REF!</v>
      </c>
      <c r="DM16" s="7" t="e">
        <f aca="false">IF(OR(#REF!&gt;2,#REF!&lt;-2),"",#REF!)</f>
        <v>#REF!</v>
      </c>
      <c r="DN16" s="7" t="e">
        <f aca="false">IF(OR(#REF!&gt;2,#REF!&lt;-2),"",#REF!)</f>
        <v>#REF!</v>
      </c>
      <c r="DO16" s="7" t="e">
        <f aca="false">IF(OR(#REF!&gt;2,#REF!&lt;-2),"",#REF!)</f>
        <v>#REF!</v>
      </c>
      <c r="DP16" s="7" t="e">
        <f aca="false">IF(OR(#REF!&gt;2,#REF!&lt;-2),"",#REF!)</f>
        <v>#REF!</v>
      </c>
      <c r="DQ16" s="7" t="e">
        <f aca="false">IF(OR(#REF!&gt;2,#REF!&lt;-2),"",#REF!)</f>
        <v>#REF!</v>
      </c>
      <c r="DR16" s="7" t="e">
        <f aca="false">IF(OR(#REF!&gt;2,#REF!&lt;-2),"",#REF!)</f>
        <v>#REF!</v>
      </c>
      <c r="DS16" s="7" t="e">
        <f aca="false">IF(OR(#REF!&gt;2,#REF!&lt;-2),"",#REF!)</f>
        <v>#REF!</v>
      </c>
      <c r="DT16" s="7" t="e">
        <f aca="false">IF(OR(#REF!&gt;2,#REF!&lt;-2),"",#REF!)</f>
        <v>#REF!</v>
      </c>
      <c r="DU16" s="7" t="e">
        <f aca="false">IF(OR(#REF!&gt;2,#REF!&lt;-2),"",#REF!)</f>
        <v>#REF!</v>
      </c>
      <c r="DV16" s="7" t="e">
        <f aca="false">IF(OR(#REF!&gt;2,#REF!&lt;-2),"",#REF!)</f>
        <v>#REF!</v>
      </c>
      <c r="DW16" s="7" t="e">
        <f aca="false">IF(OR(#REF!&gt;2,#REF!&lt;-2),"",#REF!)</f>
        <v>#REF!</v>
      </c>
      <c r="DX16" s="7" t="e">
        <f aca="false">IF(OR(#REF!&gt;2,#REF!&lt;-2),"",#REF!)</f>
        <v>#REF!</v>
      </c>
      <c r="DY16" s="7" t="e">
        <f aca="false">IF(OR(#REF!&gt;2,#REF!&lt;-2),"",#REF!)</f>
        <v>#REF!</v>
      </c>
      <c r="DZ16" s="7" t="e">
        <f aca="false">IF(OR(#REF!&gt;2,#REF!&lt;-2),"",#REF!)</f>
        <v>#REF!</v>
      </c>
      <c r="EA16" s="7" t="e">
        <f aca="false">IF(OR(#REF!&gt;2,#REF!&lt;-2),"",#REF!)</f>
        <v>#REF!</v>
      </c>
      <c r="EB16" s="7" t="e">
        <f aca="false">IF(OR(#REF!&gt;2,#REF!&lt;-2),"",#REF!)</f>
        <v>#REF!</v>
      </c>
      <c r="EC16" s="7" t="e">
        <f aca="false">IF(OR(#REF!&gt;2,#REF!&lt;-2),"",#REF!)</f>
        <v>#REF!</v>
      </c>
      <c r="ED16" s="7" t="e">
        <f aca="false">IF(OR(#REF!&gt;2,#REF!&lt;-2),"",#REF!)</f>
        <v>#REF!</v>
      </c>
      <c r="EE16" s="7" t="e">
        <f aca="false">IF(OR(#REF!&gt;2,#REF!&lt;-2),"",#REF!)</f>
        <v>#REF!</v>
      </c>
      <c r="EF16" s="7" t="e">
        <f aca="false">IF(OR(#REF!&gt;2,#REF!&lt;-2),"",#REF!)</f>
        <v>#REF!</v>
      </c>
      <c r="EG16" s="7" t="e">
        <f aca="false">IF(OR(#REF!&gt;2,#REF!&lt;-2),"",#REF!)</f>
        <v>#REF!</v>
      </c>
      <c r="EH16" s="7" t="e">
        <f aca="false">IF(OR(#REF!&gt;2,#REF!&lt;-2),"",#REF!)</f>
        <v>#REF!</v>
      </c>
      <c r="EI16" s="7" t="e">
        <f aca="false">IF(OR(#REF!&gt;2,#REF!&lt;-2),"",#REF!)</f>
        <v>#REF!</v>
      </c>
      <c r="EJ16" s="7" t="e">
        <f aca="false">IF(OR(#REF!&gt;2,#REF!&lt;-2),"",#REF!)</f>
        <v>#REF!</v>
      </c>
      <c r="EK16" s="7" t="e">
        <f aca="false">IF(OR(#REF!&gt;2,#REF!&lt;-2),"",#REF!)</f>
        <v>#REF!</v>
      </c>
      <c r="EL16" s="7" t="e">
        <f aca="false">IF(OR(#REF!&gt;2,#REF!&lt;-2),"",#REF!)</f>
        <v>#REF!</v>
      </c>
      <c r="EM16" s="7" t="e">
        <f aca="false">IF(OR(#REF!&gt;2,#REF!&lt;-2),"",#REF!)</f>
        <v>#REF!</v>
      </c>
      <c r="EN16" s="7" t="e">
        <f aca="false">IF(OR(#REF!&gt;2,#REF!&lt;-2),"",#REF!)</f>
        <v>#REF!</v>
      </c>
      <c r="EO16" s="7" t="e">
        <f aca="false">IF(OR(#REF!&gt;2,#REF!&lt;-2),"",#REF!)</f>
        <v>#REF!</v>
      </c>
      <c r="EP16" s="7" t="e">
        <f aca="false">IF(OR(#REF!&gt;2,#REF!&lt;-2),"",#REF!)</f>
        <v>#REF!</v>
      </c>
      <c r="EQ16" s="7" t="e">
        <f aca="false">IF(OR(#REF!&gt;2,#REF!&lt;-2),"",#REF!)</f>
        <v>#REF!</v>
      </c>
      <c r="ER16" s="7" t="e">
        <f aca="false">IF(OR(#REF!&gt;2,#REF!&lt;-2),"",#REF!)</f>
        <v>#REF!</v>
      </c>
      <c r="ES16" s="7" t="e">
        <f aca="false">IF(OR(#REF!&gt;2,#REF!&lt;-2),"",#REF!)</f>
        <v>#REF!</v>
      </c>
      <c r="ET16" s="7" t="e">
        <f aca="false">IF(OR(#REF!&gt;2,#REF!&lt;-2),"",#REF!)</f>
        <v>#REF!</v>
      </c>
      <c r="EU16" s="7" t="e">
        <f aca="false">IF(OR(#REF!&gt;2,#REF!&lt;-2),"",#REF!)</f>
        <v>#REF!</v>
      </c>
      <c r="EV16" s="7" t="e">
        <f aca="false">IF(OR(#REF!&gt;2,#REF!&lt;-2),"",#REF!)</f>
        <v>#REF!</v>
      </c>
      <c r="EW16" s="7" t="e">
        <f aca="false">IF(OR(#REF!&gt;2,#REF!&lt;-2),"",#REF!)</f>
        <v>#REF!</v>
      </c>
      <c r="EX16" s="7" t="e">
        <f aca="false">IF(OR(#REF!&gt;2,#REF!&lt;-2),"",#REF!)</f>
        <v>#REF!</v>
      </c>
      <c r="EY16" s="7" t="e">
        <f aca="false">IF(OR(#REF!&gt;2,#REF!&lt;-2),"",#REF!)</f>
        <v>#REF!</v>
      </c>
      <c r="EZ16" s="7" t="e">
        <f aca="false">IF(OR(#REF!&gt;2,#REF!&lt;-2),"",#REF!)</f>
        <v>#REF!</v>
      </c>
      <c r="FA16" s="7" t="e">
        <f aca="false">IF(OR(#REF!&gt;2,#REF!&lt;-2),"",#REF!)</f>
        <v>#REF!</v>
      </c>
      <c r="FB16" s="7" t="e">
        <f aca="false">IF(OR(#REF!&gt;2,#REF!&lt;-2),"",#REF!)</f>
        <v>#REF!</v>
      </c>
      <c r="FC16" s="7" t="e">
        <f aca="false">IF(OR(#REF!&gt;2,#REF!&lt;-2),"",#REF!)</f>
        <v>#REF!</v>
      </c>
      <c r="FD16" s="7" t="e">
        <f aca="false">IF(OR(#REF!&gt;2,#REF!&lt;-2),"",#REF!)</f>
        <v>#REF!</v>
      </c>
      <c r="FE16" s="7" t="e">
        <f aca="false">IF(OR(#REF!&gt;2,#REF!&lt;-2),"",#REF!)</f>
        <v>#REF!</v>
      </c>
      <c r="FF16" s="7" t="e">
        <f aca="false">IF(OR(#REF!&gt;2,#REF!&lt;-2),"",#REF!)</f>
        <v>#REF!</v>
      </c>
      <c r="FG16" s="7" t="e">
        <f aca="false">IF(OR(#REF!&gt;2,#REF!&lt;-2),"",#REF!)</f>
        <v>#REF!</v>
      </c>
      <c r="FH16" s="7" t="e">
        <f aca="false">IF(OR(#REF!&gt;2,#REF!&lt;-2),"",#REF!)</f>
        <v>#REF!</v>
      </c>
      <c r="FI16" s="7" t="e">
        <f aca="false">IF(OR(#REF!&gt;2,#REF!&lt;-2),"",#REF!)</f>
        <v>#REF!</v>
      </c>
      <c r="FJ16" s="7" t="e">
        <f aca="false">IF(OR(#REF!&gt;2,#REF!&lt;-2),"",#REF!)</f>
        <v>#REF!</v>
      </c>
      <c r="FK16" s="7" t="e">
        <f aca="false">IF(OR(#REF!&gt;2,#REF!&lt;-2),"",#REF!)</f>
        <v>#REF!</v>
      </c>
      <c r="FL16" s="7" t="e">
        <f aca="false">IF(OR(#REF!&gt;2,#REF!&lt;-2),"",#REF!)</f>
        <v>#REF!</v>
      </c>
      <c r="FM16" s="7" t="e">
        <f aca="false">IF(OR(#REF!&gt;2,#REF!&lt;-2),"",#REF!)</f>
        <v>#REF!</v>
      </c>
      <c r="FN16" s="7" t="e">
        <f aca="false">IF(OR(#REF!&gt;2,#REF!&lt;-2),"",#REF!)</f>
        <v>#REF!</v>
      </c>
      <c r="FO16" s="7" t="e">
        <f aca="false">IF(OR(#REF!&gt;2,#REF!&lt;-2),"",#REF!)</f>
        <v>#REF!</v>
      </c>
      <c r="FP16" s="7" t="e">
        <f aca="false">IF(OR(#REF!&gt;2,#REF!&lt;-2),"",#REF!)</f>
        <v>#REF!</v>
      </c>
      <c r="FQ16" s="7" t="e">
        <f aca="false">IF(OR(#REF!&gt;2,#REF!&lt;-2),"",#REF!)</f>
        <v>#REF!</v>
      </c>
      <c r="FR16" s="7" t="e">
        <f aca="false">IF(OR(#REF!&gt;2,#REF!&lt;-2),"",#REF!)</f>
        <v>#REF!</v>
      </c>
      <c r="FS16" s="7" t="e">
        <f aca="false">IF(OR(#REF!&gt;2,#REF!&lt;-2),"",#REF!)</f>
        <v>#REF!</v>
      </c>
      <c r="FT16" s="7" t="e">
        <f aca="false">IF(OR(#REF!&gt;2,#REF!&lt;-2),"",#REF!)</f>
        <v>#REF!</v>
      </c>
      <c r="FU16" s="7" t="e">
        <f aca="false">IF(OR(#REF!&gt;2,#REF!&lt;-2),"",#REF!)</f>
        <v>#REF!</v>
      </c>
      <c r="FV16" s="7" t="e">
        <f aca="false">IF(OR(#REF!&gt;2,#REF!&lt;-2),"",#REF!)</f>
        <v>#REF!</v>
      </c>
      <c r="FW16" s="7" t="e">
        <f aca="false">IF(OR(#REF!&gt;2,#REF!&lt;-2),"",#REF!)</f>
        <v>#REF!</v>
      </c>
      <c r="FX16" s="7" t="e">
        <f aca="false">IF(OR(#REF!&gt;2,#REF!&lt;-2),"",#REF!)</f>
        <v>#REF!</v>
      </c>
      <c r="FY16" s="7" t="e">
        <f aca="false">IF(OR(#REF!&gt;2,#REF!&lt;-2),"",#REF!)</f>
        <v>#REF!</v>
      </c>
      <c r="FZ16" s="7" t="e">
        <f aca="false">IF(OR(#REF!&gt;2,#REF!&lt;-2),"",#REF!)</f>
        <v>#REF!</v>
      </c>
      <c r="GA16" s="7" t="e">
        <f aca="false">IF(OR(#REF!&gt;2,#REF!&lt;-2),"",#REF!)</f>
        <v>#REF!</v>
      </c>
      <c r="GB16" s="7" t="e">
        <f aca="false">IF(OR(#REF!&gt;2,#REF!&lt;-2),"",#REF!)</f>
        <v>#REF!</v>
      </c>
      <c r="GC16" s="7" t="e">
        <f aca="false">IF(OR(#REF!&gt;2,#REF!&lt;-2),"",#REF!)</f>
        <v>#REF!</v>
      </c>
      <c r="GD16" s="7" t="e">
        <f aca="false">IF(OR(#REF!&gt;2,#REF!&lt;-2),"",#REF!)</f>
        <v>#REF!</v>
      </c>
      <c r="GE16" s="7" t="e">
        <f aca="false">IF(OR(#REF!&gt;2,#REF!&lt;-2),"",#REF!)</f>
        <v>#REF!</v>
      </c>
      <c r="GF16" s="7" t="e">
        <f aca="false">IF(OR(#REF!&gt;2,#REF!&lt;-2),"",#REF!)</f>
        <v>#REF!</v>
      </c>
      <c r="GG16" s="7" t="e">
        <f aca="false">IF(OR(#REF!&gt;2,#REF!&lt;-2),"",#REF!)</f>
        <v>#REF!</v>
      </c>
      <c r="GH16" s="7" t="e">
        <f aca="false">IF(OR(#REF!&gt;2,#REF!&lt;-2),"",#REF!)</f>
        <v>#REF!</v>
      </c>
      <c r="GI16" s="7" t="e">
        <f aca="false">IF(OR(#REF!&gt;2,#REF!&lt;-2),"",#REF!)</f>
        <v>#REF!</v>
      </c>
      <c r="GJ16" s="7" t="e">
        <f aca="false">IF(OR(#REF!&gt;2,#REF!&lt;-2),"",#REF!)</f>
        <v>#REF!</v>
      </c>
      <c r="GK16" s="7" t="e">
        <f aca="false">IF(OR(#REF!&gt;2,#REF!&lt;-2),"",#REF!)</f>
        <v>#REF!</v>
      </c>
      <c r="GL16" s="7" t="e">
        <f aca="false">IF(OR(#REF!&gt;2,#REF!&lt;-2),"",#REF!)</f>
        <v>#REF!</v>
      </c>
      <c r="GM16" s="7" t="e">
        <f aca="false">IF(OR(#REF!&gt;2,#REF!&lt;-2),"",#REF!)</f>
        <v>#REF!</v>
      </c>
      <c r="GN16" s="7" t="e">
        <f aca="false">IF(OR(#REF!&gt;2,#REF!&lt;-2),"",#REF!)</f>
        <v>#REF!</v>
      </c>
      <c r="GO16" s="7" t="e">
        <f aca="false">IF(OR(#REF!&gt;2,#REF!&lt;-2),"",#REF!)</f>
        <v>#REF!</v>
      </c>
      <c r="GP16" s="7" t="e">
        <f aca="false">IF(OR(#REF!&gt;2,#REF!&lt;-2),"",#REF!)</f>
        <v>#REF!</v>
      </c>
      <c r="GQ16" s="7" t="e">
        <f aca="false">IF(OR(#REF!&gt;2,#REF!&lt;-2),"",#REF!)</f>
        <v>#REF!</v>
      </c>
      <c r="GR16" s="7" t="e">
        <f aca="false">IF(OR(#REF!&gt;2,#REF!&lt;-2),"",#REF!)</f>
        <v>#REF!</v>
      </c>
      <c r="GS16" s="7" t="e">
        <f aca="false">IF(OR(#REF!&gt;2,#REF!&lt;-2),"",#REF!)</f>
        <v>#REF!</v>
      </c>
      <c r="GT16" s="7" t="e">
        <f aca="false">IF(OR(#REF!&gt;2,#REF!&lt;-2),"",#REF!)</f>
        <v>#REF!</v>
      </c>
      <c r="GU16" s="7" t="e">
        <f aca="false">IF(OR(#REF!&gt;2,#REF!&lt;-2),"",#REF!)</f>
        <v>#REF!</v>
      </c>
      <c r="GV16" s="7" t="e">
        <f aca="false">IF(OR(#REF!&gt;2,#REF!&lt;-2),"",#REF!)</f>
        <v>#REF!</v>
      </c>
      <c r="GW16" s="7" t="e">
        <f aca="false">IF(OR(#REF!&gt;2,#REF!&lt;-2),"",#REF!)</f>
        <v>#REF!</v>
      </c>
      <c r="GX16" s="7" t="e">
        <f aca="false">IF(OR(#REF!&gt;2,#REF!&lt;-2),"",#REF!)</f>
        <v>#REF!</v>
      </c>
      <c r="GY16" s="7" t="e">
        <f aca="false">IF(OR(#REF!&gt;2,#REF!&lt;-2),"",#REF!)</f>
        <v>#REF!</v>
      </c>
      <c r="GZ16" s="7" t="e">
        <f aca="false">IF(OR(#REF!&gt;2,#REF!&lt;-2),"",#REF!)</f>
        <v>#REF!</v>
      </c>
      <c r="HA16" s="7" t="e">
        <f aca="false">IF(OR(#REF!&gt;2,#REF!&lt;-2),"",#REF!)</f>
        <v>#REF!</v>
      </c>
      <c r="HB16" s="7" t="e">
        <f aca="false">IF(OR(#REF!&gt;2,#REF!&lt;-2),"",#REF!)</f>
        <v>#REF!</v>
      </c>
      <c r="HC16" s="7" t="e">
        <f aca="false">IF(OR(#REF!&gt;2,#REF!&lt;-2),"",#REF!)</f>
        <v>#REF!</v>
      </c>
      <c r="HD16" s="7" t="e">
        <f aca="false">IF(OR(#REF!&gt;2,#REF!&lt;-2),"",#REF!)</f>
        <v>#REF!</v>
      </c>
      <c r="HE16" s="7" t="e">
        <f aca="false">IF(OR(#REF!&gt;2,#REF!&lt;-2),"",#REF!)</f>
        <v>#REF!</v>
      </c>
      <c r="HF16" s="7" t="e">
        <f aca="false">IF(OR(#REF!&gt;2,#REF!&lt;-2),"",#REF!)</f>
        <v>#REF!</v>
      </c>
      <c r="HG16" s="7" t="e">
        <f aca="false">IF(OR(#REF!&gt;2,#REF!&lt;-2),"",#REF!)</f>
        <v>#REF!</v>
      </c>
      <c r="HH16" s="7" t="e">
        <f aca="false">IF(OR(#REF!&gt;2,#REF!&lt;-2),"",#REF!)</f>
        <v>#REF!</v>
      </c>
      <c r="HI16" s="7" t="e">
        <f aca="false">IF(OR(#REF!&gt;2,#REF!&lt;-2),"",#REF!)</f>
        <v>#REF!</v>
      </c>
      <c r="HJ16" s="7" t="e">
        <f aca="false">IF(OR(#REF!&gt;2,#REF!&lt;-2),"",#REF!)</f>
        <v>#REF!</v>
      </c>
      <c r="HK16" s="7" t="e">
        <f aca="false">IF(OR(#REF!&gt;2,#REF!&lt;-2),"",#REF!)</f>
        <v>#REF!</v>
      </c>
      <c r="HL16" s="7" t="e">
        <f aca="false">IF(OR(#REF!&gt;2,#REF!&lt;-2),"",#REF!)</f>
        <v>#REF!</v>
      </c>
      <c r="HM16" s="7" t="e">
        <f aca="false">IF(OR(#REF!&gt;2,#REF!&lt;-2),"",#REF!)</f>
        <v>#REF!</v>
      </c>
      <c r="HN16" s="7" t="e">
        <f aca="false">IF(OR(#REF!&gt;2,#REF!&lt;-2),"",#REF!)</f>
        <v>#REF!</v>
      </c>
      <c r="HO16" s="7" t="e">
        <f aca="false">IF(OR(#REF!&gt;2,#REF!&lt;-2),"",#REF!)</f>
        <v>#REF!</v>
      </c>
      <c r="HP16" s="7" t="e">
        <f aca="false">IF(OR(#REF!&gt;2,#REF!&lt;-2),"",#REF!)</f>
        <v>#REF!</v>
      </c>
      <c r="HQ16" s="7" t="e">
        <f aca="false">IF(OR(#REF!&gt;2,#REF!&lt;-2),"",#REF!)</f>
        <v>#REF!</v>
      </c>
      <c r="HR16" s="7" t="e">
        <f aca="false">IF(OR(#REF!&gt;2,#REF!&lt;-2),"",#REF!)</f>
        <v>#REF!</v>
      </c>
      <c r="HS16" s="7" t="e">
        <f aca="false">IF(OR(#REF!&gt;2,#REF!&lt;-2),"",#REF!)</f>
        <v>#REF!</v>
      </c>
      <c r="HT16" s="7" t="e">
        <f aca="false">IF(OR(#REF!&gt;2,#REF!&lt;-2),"",#REF!)</f>
        <v>#REF!</v>
      </c>
      <c r="HU16" s="7" t="e">
        <f aca="false">IF(OR(#REF!&gt;2,#REF!&lt;-2),"",#REF!)</f>
        <v>#REF!</v>
      </c>
      <c r="HV16" s="7" t="e">
        <f aca="false">IF(OR(#REF!&gt;2,#REF!&lt;-2),"",#REF!)</f>
        <v>#REF!</v>
      </c>
      <c r="HW16" s="7" t="e">
        <f aca="false">IF(OR(#REF!&gt;2,#REF!&lt;-2),"",#REF!)</f>
        <v>#REF!</v>
      </c>
      <c r="HX16" s="7" t="e">
        <f aca="false">IF(OR(#REF!&gt;2,#REF!&lt;-2),"",#REF!)</f>
        <v>#REF!</v>
      </c>
      <c r="HY16" s="7" t="e">
        <f aca="false">IF(OR(#REF!&gt;2,#REF!&lt;-2),"",#REF!)</f>
        <v>#REF!</v>
      </c>
      <c r="HZ16" s="7" t="e">
        <f aca="false">IF(OR(#REF!&gt;2,#REF!&lt;-2),"",#REF!)</f>
        <v>#REF!</v>
      </c>
      <c r="IA16" s="7" t="e">
        <f aca="false">IF(OR(#REF!&gt;2,#REF!&lt;-2),"",#REF!)</f>
        <v>#REF!</v>
      </c>
      <c r="IB16" s="7" t="e">
        <f aca="false">IF(OR(#REF!&gt;2,#REF!&lt;-2),"",#REF!)</f>
        <v>#REF!</v>
      </c>
      <c r="IC16" s="7" t="e">
        <f aca="false">IF(OR(#REF!&gt;2,#REF!&lt;-2),"",#REF!)</f>
        <v>#REF!</v>
      </c>
      <c r="ID16" s="7" t="e">
        <f aca="false">IF(OR(#REF!&gt;2,#REF!&lt;-2),"",#REF!)</f>
        <v>#REF!</v>
      </c>
      <c r="IE16" s="7" t="e">
        <f aca="false">IF(OR(#REF!&gt;2,#REF!&lt;-2),"",#REF!)</f>
        <v>#REF!</v>
      </c>
      <c r="IF16" s="7" t="e">
        <f aca="false">IF(OR(#REF!&gt;2,#REF!&lt;-2),"",#REF!)</f>
        <v>#REF!</v>
      </c>
      <c r="IG16" s="7" t="e">
        <f aca="false">IF(OR(#REF!&gt;2,#REF!&lt;-2),"",#REF!)</f>
        <v>#REF!</v>
      </c>
      <c r="IH16" s="7" t="e">
        <f aca="false">IF(OR(#REF!&gt;2,#REF!&lt;-2),"",#REF!)</f>
        <v>#REF!</v>
      </c>
      <c r="II16" s="7" t="e">
        <f aca="false">IF(OR(#REF!&gt;2,#REF!&lt;-2),"",#REF!)</f>
        <v>#REF!</v>
      </c>
      <c r="IJ16" s="7" t="e">
        <f aca="false">IF(OR(#REF!&gt;2,#REF!&lt;-2),"",#REF!)</f>
        <v>#REF!</v>
      </c>
      <c r="IK16" s="7" t="e">
        <f aca="false">IF(OR(#REF!&gt;2,#REF!&lt;-2),"",#REF!)</f>
        <v>#REF!</v>
      </c>
      <c r="IL16" s="7" t="e">
        <f aca="false">IF(OR(#REF!&gt;2,#REF!&lt;-2),"",#REF!)</f>
        <v>#REF!</v>
      </c>
      <c r="IM16" s="7" t="e">
        <f aca="false">IF(OR(#REF!&gt;2,#REF!&lt;-2),"",#REF!)</f>
        <v>#REF!</v>
      </c>
      <c r="IN16" s="7" t="e">
        <f aca="false">IF(OR(#REF!&gt;2,#REF!&lt;-2),"",#REF!)</f>
        <v>#REF!</v>
      </c>
      <c r="IO16" s="7" t="e">
        <f aca="false">IF(OR(#REF!&gt;2,#REF!&lt;-2),"",#REF!)</f>
        <v>#REF!</v>
      </c>
      <c r="IP16" s="7" t="e">
        <f aca="false">IF(OR(#REF!&gt;2,#REF!&lt;-2),"",#REF!)</f>
        <v>#REF!</v>
      </c>
      <c r="IQ16" s="7" t="e">
        <f aca="false">IF(OR(#REF!&gt;2,#REF!&lt;-2),"",#REF!)</f>
        <v>#REF!</v>
      </c>
      <c r="IR16" s="7" t="e">
        <f aca="false">IF(OR(#REF!&gt;2,#REF!&lt;-2),"",#REF!)</f>
        <v>#REF!</v>
      </c>
      <c r="IS16" s="7" t="e">
        <f aca="false">IF(OR(#REF!&gt;2,#REF!&lt;-2),"",#REF!)</f>
        <v>#REF!</v>
      </c>
      <c r="IT16" s="7" t="e">
        <f aca="false">IF(OR(#REF!&gt;2,#REF!&lt;-2),"",#REF!)</f>
        <v>#REF!</v>
      </c>
      <c r="IU16" s="7" t="e">
        <f aca="false">IF(OR(#REF!&gt;2,#REF!&lt;-2),"",#REF!)</f>
        <v>#REF!</v>
      </c>
      <c r="IV16" s="7" t="e">
        <f aca="false">IF(OR(#REF!&gt;2,#REF!&lt;-2),"",#REF!)</f>
        <v>#REF!</v>
      </c>
      <c r="IW16" s="7" t="e">
        <f aca="false">IF(OR(#REF!&gt;2,#REF!&lt;-2),"",#REF!)</f>
        <v>#REF!</v>
      </c>
      <c r="IX16" s="7" t="e">
        <f aca="false">IF(OR(#REF!&gt;2,#REF!&lt;-2),"",#REF!)</f>
        <v>#REF!</v>
      </c>
      <c r="IY16" s="7" t="e">
        <f aca="false">IF(OR(#REF!&gt;2,#REF!&lt;-2),"",#REF!)</f>
        <v>#REF!</v>
      </c>
      <c r="IZ16" s="7" t="e">
        <f aca="false">IF(OR(#REF!&gt;2,#REF!&lt;-2),"",#REF!)</f>
        <v>#REF!</v>
      </c>
      <c r="JA16" s="7" t="e">
        <f aca="false">IF(OR(#REF!&gt;2,#REF!&lt;-2),"",#REF!)</f>
        <v>#REF!</v>
      </c>
      <c r="JB16" s="7" t="e">
        <f aca="false">IF(OR(#REF!&gt;2,#REF!&lt;-2),"",#REF!)</f>
        <v>#REF!</v>
      </c>
      <c r="JC16" s="7" t="e">
        <f aca="false">IF(OR(#REF!&gt;2,#REF!&lt;-2),"",#REF!)</f>
        <v>#REF!</v>
      </c>
      <c r="JD16" s="7" t="e">
        <f aca="false">IF(OR(#REF!&gt;2,#REF!&lt;-2),"",#REF!)</f>
        <v>#REF!</v>
      </c>
      <c r="JE16" s="7" t="e">
        <f aca="false">IF(OR(#REF!&gt;2,#REF!&lt;-2),"",#REF!)</f>
        <v>#REF!</v>
      </c>
      <c r="JF16" s="7" t="e">
        <f aca="false">IF(OR(#REF!&gt;2,#REF!&lt;-2),"",#REF!)</f>
        <v>#REF!</v>
      </c>
      <c r="JG16" s="7" t="e">
        <f aca="false">IF(OR(#REF!&gt;2,#REF!&lt;-2),"",#REF!)</f>
        <v>#REF!</v>
      </c>
      <c r="JH16" s="7" t="e">
        <f aca="false">IF(OR(#REF!&gt;2,#REF!&lt;-2),"",#REF!)</f>
        <v>#REF!</v>
      </c>
      <c r="JI16" s="7" t="e">
        <f aca="false">IF(OR(#REF!&gt;2,#REF!&lt;-2),"",#REF!)</f>
        <v>#REF!</v>
      </c>
      <c r="JJ16" s="7" t="e">
        <f aca="false">IF(OR(#REF!&gt;2,#REF!&lt;-2),"",#REF!)</f>
        <v>#REF!</v>
      </c>
      <c r="JK16" s="7" t="e">
        <f aca="false">IF(OR(#REF!&gt;2,#REF!&lt;-2),"",#REF!)</f>
        <v>#REF!</v>
      </c>
      <c r="JL16" s="7" t="e">
        <f aca="false">IF(OR(#REF!&gt;2,#REF!&lt;-2),"",#REF!)</f>
        <v>#REF!</v>
      </c>
      <c r="JM16" s="7" t="e">
        <f aca="false">IF(OR(#REF!&gt;2,#REF!&lt;-2),"",#REF!)</f>
        <v>#REF!</v>
      </c>
      <c r="JN16" s="7" t="e">
        <f aca="false">IF(OR(#REF!&gt;2,#REF!&lt;-2),"",#REF!)</f>
        <v>#REF!</v>
      </c>
      <c r="JO16" s="7" t="e">
        <f aca="false">IF(OR(#REF!&gt;2,#REF!&lt;-2),"",#REF!)</f>
        <v>#REF!</v>
      </c>
      <c r="JP16" s="7" t="e">
        <f aca="false">IF(OR(#REF!&gt;2,#REF!&lt;-2),"",#REF!)</f>
        <v>#REF!</v>
      </c>
      <c r="JQ16" s="7" t="e">
        <f aca="false">IF(OR(#REF!&gt;2,#REF!&lt;-2),"",#REF!)</f>
        <v>#REF!</v>
      </c>
      <c r="JR16" s="7" t="e">
        <f aca="false">IF(OR(#REF!&gt;2,#REF!&lt;-2),"",#REF!)</f>
        <v>#REF!</v>
      </c>
      <c r="JS16" s="7" t="e">
        <f aca="false">IF(OR(#REF!&gt;2,#REF!&lt;-2),"",#REF!)</f>
        <v>#REF!</v>
      </c>
      <c r="JT16" s="7" t="e">
        <f aca="false">IF(OR(#REF!&gt;2,#REF!&lt;-2),"",#REF!)</f>
        <v>#REF!</v>
      </c>
      <c r="JU16" s="7" t="e">
        <f aca="false">IF(OR(#REF!&gt;2,#REF!&lt;-2),"",#REF!)</f>
        <v>#REF!</v>
      </c>
      <c r="JV16" s="7" t="e">
        <f aca="false">IF(OR(#REF!&gt;2,#REF!&lt;-2),"",#REF!)</f>
        <v>#REF!</v>
      </c>
      <c r="JW16" s="7" t="e">
        <f aca="false">IF(OR(#REF!&gt;2,#REF!&lt;-2),"",#REF!)</f>
        <v>#REF!</v>
      </c>
      <c r="JX16" s="7" t="e">
        <f aca="false">IF(OR(#REF!&gt;2,#REF!&lt;-2),"",#REF!)</f>
        <v>#REF!</v>
      </c>
      <c r="JY16" s="7" t="e">
        <f aca="false">IF(OR(#REF!&gt;2,#REF!&lt;-2),"",#REF!)</f>
        <v>#REF!</v>
      </c>
      <c r="JZ16" s="7" t="e">
        <f aca="false">IF(OR(#REF!&gt;2,#REF!&lt;-2),"",#REF!)</f>
        <v>#REF!</v>
      </c>
      <c r="KA16" s="7" t="e">
        <f aca="false">IF(OR(#REF!&gt;2,#REF!&lt;-2),"",#REF!)</f>
        <v>#REF!</v>
      </c>
      <c r="KB16" s="7" t="e">
        <f aca="false">IF(OR(#REF!&gt;2,#REF!&lt;-2),"",#REF!)</f>
        <v>#REF!</v>
      </c>
      <c r="KC16" s="7" t="e">
        <f aca="false">IF(OR(#REF!&gt;2,#REF!&lt;-2),"",#REF!)</f>
        <v>#REF!</v>
      </c>
      <c r="KD16" s="7" t="e">
        <f aca="false">IF(OR(#REF!&gt;2,#REF!&lt;-2),"",#REF!)</f>
        <v>#REF!</v>
      </c>
      <c r="KE16" s="7" t="e">
        <f aca="false">IF(OR(#REF!&gt;2,#REF!&lt;-2),"",#REF!)</f>
        <v>#REF!</v>
      </c>
      <c r="KF16" s="7" t="e">
        <f aca="false">IF(OR(#REF!&gt;2,#REF!&lt;-2),"",#REF!)</f>
        <v>#REF!</v>
      </c>
      <c r="KG16" s="7" t="e">
        <f aca="false">IF(OR(#REF!&gt;2,#REF!&lt;-2),"",#REF!)</f>
        <v>#REF!</v>
      </c>
      <c r="KH16" s="7" t="e">
        <f aca="false">IF(OR(#REF!&gt;2,#REF!&lt;-2),"",#REF!)</f>
        <v>#REF!</v>
      </c>
      <c r="KI16" s="7" t="e">
        <f aca="false">IF(OR(#REF!&gt;2,#REF!&lt;-2),"",#REF!)</f>
        <v>#REF!</v>
      </c>
      <c r="KJ16" s="7" t="e">
        <f aca="false">IF(OR(#REF!&gt;2,#REF!&lt;-2),"",#REF!)</f>
        <v>#REF!</v>
      </c>
      <c r="KK16" s="7" t="e">
        <f aca="false">IF(OR(#REF!&gt;2,#REF!&lt;-2),"",#REF!)</f>
        <v>#REF!</v>
      </c>
      <c r="KL16" s="7" t="e">
        <f aca="false">IF(OR(#REF!&gt;2,#REF!&lt;-2),"",#REF!)</f>
        <v>#REF!</v>
      </c>
      <c r="KM16" s="7" t="e">
        <f aca="false">IF(OR(#REF!&gt;2,#REF!&lt;-2),"",#REF!)</f>
        <v>#REF!</v>
      </c>
      <c r="KN16" s="7" t="e">
        <f aca="false">IF(OR(#REF!&gt;2,#REF!&lt;-2),"",#REF!)</f>
        <v>#REF!</v>
      </c>
      <c r="KO16" s="7" t="e">
        <f aca="false">IF(OR(#REF!&gt;2,#REF!&lt;-2),"",#REF!)</f>
        <v>#REF!</v>
      </c>
      <c r="KP16" s="7" t="e">
        <f aca="false">IF(OR(#REF!&gt;2,#REF!&lt;-2),"",#REF!)</f>
        <v>#REF!</v>
      </c>
      <c r="KQ16" s="7" t="e">
        <f aca="false">IF(OR(#REF!&gt;2,#REF!&lt;-2),"",#REF!)</f>
        <v>#REF!</v>
      </c>
      <c r="KR16" s="7" t="e">
        <f aca="false">IF(OR(#REF!&gt;2,#REF!&lt;-2),"",#REF!)</f>
        <v>#REF!</v>
      </c>
      <c r="KS16" s="7" t="e">
        <f aca="false">IF(OR(#REF!&gt;2,#REF!&lt;-2),"",#REF!)</f>
        <v>#REF!</v>
      </c>
      <c r="KT16" s="7" t="e">
        <f aca="false">IF(OR(#REF!&gt;2,#REF!&lt;-2),"",#REF!)</f>
        <v>#REF!</v>
      </c>
      <c r="KU16" s="7" t="e">
        <f aca="false">IF(OR(#REF!&gt;2,#REF!&lt;-2),"",#REF!)</f>
        <v>#REF!</v>
      </c>
      <c r="KV16" s="7" t="e">
        <f aca="false">IF(OR(#REF!&gt;2,#REF!&lt;-2),"",#REF!)</f>
        <v>#REF!</v>
      </c>
      <c r="KW16" s="7" t="e">
        <f aca="false">IF(OR(#REF!&gt;2,#REF!&lt;-2),"",#REF!)</f>
        <v>#REF!</v>
      </c>
      <c r="KX16" s="7" t="e">
        <f aca="false">IF(OR(#REF!&gt;2,#REF!&lt;-2),"",#REF!)</f>
        <v>#REF!</v>
      </c>
      <c r="KY16" s="7" t="e">
        <f aca="false">IF(OR(#REF!&gt;2,#REF!&lt;-2),"",#REF!)</f>
        <v>#REF!</v>
      </c>
      <c r="KZ16" s="7" t="e">
        <f aca="false">IF(OR(#REF!&gt;2,#REF!&lt;-2),"",#REF!)</f>
        <v>#REF!</v>
      </c>
      <c r="LA16" s="7" t="e">
        <f aca="false">IF(OR(#REF!&gt;2,#REF!&lt;-2),"",#REF!)</f>
        <v>#REF!</v>
      </c>
      <c r="LB16" s="7" t="e">
        <f aca="false">IF(OR(#REF!&gt;2,#REF!&lt;-2),"",#REF!)</f>
        <v>#REF!</v>
      </c>
      <c r="LC16" s="7" t="e">
        <f aca="false">IF(OR(#REF!&gt;2,#REF!&lt;-2),"",#REF!)</f>
        <v>#REF!</v>
      </c>
      <c r="LD16" s="7" t="e">
        <f aca="false">IF(OR(#REF!&gt;2,#REF!&lt;-2),"",#REF!)</f>
        <v>#REF!</v>
      </c>
      <c r="LE16" s="7" t="e">
        <f aca="false">IF(OR(#REF!&gt;2,#REF!&lt;-2),"",#REF!)</f>
        <v>#REF!</v>
      </c>
      <c r="LF16" s="7" t="e">
        <f aca="false">IF(OR(#REF!&gt;2,#REF!&lt;-2),"",#REF!)</f>
        <v>#REF!</v>
      </c>
      <c r="LG16" s="7" t="e">
        <f aca="false">IF(OR(#REF!&gt;2,#REF!&lt;-2),"",#REF!)</f>
        <v>#REF!</v>
      </c>
      <c r="LH16" s="7" t="e">
        <f aca="false">IF(OR(#REF!&gt;2,#REF!&lt;-2),"",#REF!)</f>
        <v>#REF!</v>
      </c>
      <c r="LI16" s="7" t="e">
        <f aca="false">IF(OR(#REF!&gt;2,#REF!&lt;-2),"",#REF!)</f>
        <v>#REF!</v>
      </c>
      <c r="LJ16" s="7" t="e">
        <f aca="false">IF(OR(#REF!&gt;2,#REF!&lt;-2),"",#REF!)</f>
        <v>#REF!</v>
      </c>
      <c r="LK16" s="7" t="e">
        <f aca="false">IF(OR(#REF!&gt;2,#REF!&lt;-2),"",#REF!)</f>
        <v>#REF!</v>
      </c>
      <c r="LL16" s="7" t="e">
        <f aca="false">IF(OR(#REF!&gt;2,#REF!&lt;-2),"",#REF!)</f>
        <v>#REF!</v>
      </c>
      <c r="LM16" s="7" t="e">
        <f aca="false">IF(OR(#REF!&gt;2,#REF!&lt;-2),"",#REF!)</f>
        <v>#REF!</v>
      </c>
      <c r="LN16" s="7" t="e">
        <f aca="false">IF(OR(#REF!&gt;2,#REF!&lt;-2),"",#REF!)</f>
        <v>#REF!</v>
      </c>
      <c r="LO16" s="7" t="e">
        <f aca="false">IF(OR(#REF!&gt;2,#REF!&lt;-2),"",#REF!)</f>
        <v>#REF!</v>
      </c>
      <c r="LP16" s="7" t="e">
        <f aca="false">IF(OR(#REF!&gt;2,#REF!&lt;-2),"",#REF!)</f>
        <v>#REF!</v>
      </c>
      <c r="LQ16" s="7" t="e">
        <f aca="false">IF(OR(#REF!&gt;2,#REF!&lt;-2),"",#REF!)</f>
        <v>#REF!</v>
      </c>
      <c r="LR16" s="7" t="e">
        <f aca="false">IF(OR(#REF!&gt;2,#REF!&lt;-2),"",#REF!)</f>
        <v>#REF!</v>
      </c>
      <c r="LS16" s="7" t="e">
        <f aca="false">IF(OR(#REF!&gt;2,#REF!&lt;-2),"",#REF!)</f>
        <v>#REF!</v>
      </c>
      <c r="LT16" s="7" t="e">
        <f aca="false">IF(OR(#REF!&gt;2,#REF!&lt;-2),"",#REF!)</f>
        <v>#REF!</v>
      </c>
      <c r="LU16" s="7" t="e">
        <f aca="false">IF(OR(#REF!&gt;2,#REF!&lt;-2),"",#REF!)</f>
        <v>#REF!</v>
      </c>
      <c r="LV16" s="7" t="e">
        <f aca="false">IF(OR(#REF!&gt;2,#REF!&lt;-2),"",#REF!)</f>
        <v>#REF!</v>
      </c>
      <c r="LW16" s="7" t="e">
        <f aca="false">IF(OR(#REF!&gt;2,#REF!&lt;-2),"",#REF!)</f>
        <v>#REF!</v>
      </c>
      <c r="LX16" s="7" t="e">
        <f aca="false">IF(OR(#REF!&gt;2,#REF!&lt;-2),"",#REF!)</f>
        <v>#REF!</v>
      </c>
      <c r="LY16" s="7" t="e">
        <f aca="false">IF(OR(#REF!&gt;2,#REF!&lt;-2),"",#REF!)</f>
        <v>#REF!</v>
      </c>
      <c r="LZ16" s="7" t="e">
        <f aca="false">IF(OR(#REF!&gt;2,#REF!&lt;-2),"",#REF!)</f>
        <v>#REF!</v>
      </c>
      <c r="MA16" s="7" t="e">
        <f aca="false">IF(OR(#REF!&gt;2,#REF!&lt;-2),"",#REF!)</f>
        <v>#REF!</v>
      </c>
      <c r="MB16" s="7" t="e">
        <f aca="false">IF(OR(#REF!&gt;2,#REF!&lt;-2),"",#REF!)</f>
        <v>#REF!</v>
      </c>
      <c r="MC16" s="7" t="e">
        <f aca="false">IF(OR(#REF!&gt;2,#REF!&lt;-2),"",#REF!)</f>
        <v>#REF!</v>
      </c>
      <c r="MD16" s="7" t="e">
        <f aca="false">IF(OR(#REF!&gt;2,#REF!&lt;-2),"",#REF!)</f>
        <v>#REF!</v>
      </c>
      <c r="ME16" s="7" t="e">
        <f aca="false">IF(OR(#REF!&gt;2,#REF!&lt;-2),"",#REF!)</f>
        <v>#REF!</v>
      </c>
      <c r="MF16" s="7" t="e">
        <f aca="false">IF(OR(#REF!&gt;2,#REF!&lt;-2),"",#REF!)</f>
        <v>#REF!</v>
      </c>
      <c r="MG16" s="7" t="e">
        <f aca="false">IF(OR(#REF!&gt;2,#REF!&lt;-2),"",#REF!)</f>
        <v>#REF!</v>
      </c>
      <c r="MH16" s="7" t="e">
        <f aca="false">IF(OR(#REF!&gt;2,#REF!&lt;-2),"",#REF!)</f>
        <v>#REF!</v>
      </c>
      <c r="MI16" s="7" t="e">
        <f aca="false">IF(OR(#REF!&gt;2,#REF!&lt;-2),"",#REF!)</f>
        <v>#REF!</v>
      </c>
      <c r="MJ16" s="7" t="e">
        <f aca="false">IF(OR(#REF!&gt;2,#REF!&lt;-2),"",#REF!)</f>
        <v>#REF!</v>
      </c>
      <c r="MK16" s="7" t="e">
        <f aca="false">IF(OR(#REF!&gt;2,#REF!&lt;-2),"",#REF!)</f>
        <v>#REF!</v>
      </c>
      <c r="ML16" s="7" t="e">
        <f aca="false">IF(OR(#REF!&gt;2,#REF!&lt;-2),"",#REF!)</f>
        <v>#REF!</v>
      </c>
      <c r="MM16" s="7" t="e">
        <f aca="false">IF(OR(#REF!&gt;2,#REF!&lt;-2),"",#REF!)</f>
        <v>#REF!</v>
      </c>
      <c r="MN16" s="7" t="e">
        <f aca="false">IF(OR(#REF!&gt;2,#REF!&lt;-2),"",#REF!)</f>
        <v>#REF!</v>
      </c>
      <c r="MO16" s="7" t="e">
        <f aca="false">IF(OR(#REF!&gt;2,#REF!&lt;-2),"",#REF!)</f>
        <v>#REF!</v>
      </c>
      <c r="MP16" s="7" t="e">
        <f aca="false">IF(OR(#REF!&gt;2,#REF!&lt;-2),"",#REF!)</f>
        <v>#REF!</v>
      </c>
      <c r="MQ16" s="7" t="e">
        <f aca="false">IF(OR(#REF!&gt;2,#REF!&lt;-2),"",#REF!)</f>
        <v>#REF!</v>
      </c>
      <c r="MR16" s="7" t="e">
        <f aca="false">IF(OR(#REF!&gt;2,#REF!&lt;-2),"",#REF!)</f>
        <v>#REF!</v>
      </c>
      <c r="MS16" s="7" t="e">
        <f aca="false">IF(OR(#REF!&gt;2,#REF!&lt;-2),"",#REF!)</f>
        <v>#REF!</v>
      </c>
      <c r="MT16" s="7" t="e">
        <f aca="false">IF(OR(#REF!&gt;2,#REF!&lt;-2),"",#REF!)</f>
        <v>#REF!</v>
      </c>
      <c r="MU16" s="7" t="e">
        <f aca="false">IF(OR(#REF!&gt;2,#REF!&lt;-2),"",#REF!)</f>
        <v>#REF!</v>
      </c>
      <c r="MV16" s="7" t="e">
        <f aca="false">IF(OR(#REF!&gt;2,#REF!&lt;-2),"",#REF!)</f>
        <v>#REF!</v>
      </c>
      <c r="MW16" s="7" t="e">
        <f aca="false">IF(OR(#REF!&gt;2,#REF!&lt;-2),"",#REF!)</f>
        <v>#REF!</v>
      </c>
      <c r="MX16" s="7" t="e">
        <f aca="false">IF(OR(#REF!&gt;2,#REF!&lt;-2),"",#REF!)</f>
        <v>#REF!</v>
      </c>
      <c r="MY16" s="7" t="e">
        <f aca="false">IF(OR(#REF!&gt;2,#REF!&lt;-2),"",#REF!)</f>
        <v>#REF!</v>
      </c>
      <c r="MZ16" s="7" t="e">
        <f aca="false">IF(OR(#REF!&gt;2,#REF!&lt;-2),"",#REF!)</f>
        <v>#REF!</v>
      </c>
      <c r="NA16" s="7" t="e">
        <f aca="false">IF(OR(#REF!&gt;2,#REF!&lt;-2),"",#REF!)</f>
        <v>#REF!</v>
      </c>
      <c r="NB16" s="7" t="e">
        <f aca="false">IF(OR(#REF!&gt;2,#REF!&lt;-2),"",#REF!)</f>
        <v>#REF!</v>
      </c>
      <c r="NC16" s="7" t="e">
        <f aca="false">IF(OR(#REF!&gt;2,#REF!&lt;-2),"",#REF!)</f>
        <v>#REF!</v>
      </c>
      <c r="ND16" s="7" t="e">
        <f aca="false">IF(OR(#REF!&gt;2,#REF!&lt;-2),"",#REF!)</f>
        <v>#REF!</v>
      </c>
      <c r="NE16" s="7" t="e">
        <f aca="false">IF(OR(#REF!&gt;2,#REF!&lt;-2),"",#REF!)</f>
        <v>#REF!</v>
      </c>
      <c r="NF16" s="7" t="e">
        <f aca="false">IF(OR(#REF!&gt;2,#REF!&lt;-2),"",#REF!)</f>
        <v>#REF!</v>
      </c>
      <c r="NG16" s="7" t="e">
        <f aca="false">IF(OR(#REF!&gt;2,#REF!&lt;-2),"",#REF!)</f>
        <v>#REF!</v>
      </c>
      <c r="NH16" s="7" t="e">
        <f aca="false">IF(OR(#REF!&gt;2,#REF!&lt;-2),"",#REF!)</f>
        <v>#REF!</v>
      </c>
      <c r="NI16" s="7" t="e">
        <f aca="false">IF(OR(#REF!&gt;2,#REF!&lt;-2),"",#REF!)</f>
        <v>#REF!</v>
      </c>
      <c r="NJ16" s="7" t="e">
        <f aca="false">IF(OR(#REF!&gt;2,#REF!&lt;-2),"",#REF!)</f>
        <v>#REF!</v>
      </c>
      <c r="NK16" s="7" t="e">
        <f aca="false">IF(OR(#REF!&gt;2,#REF!&lt;-2),"",#REF!)</f>
        <v>#REF!</v>
      </c>
      <c r="NL16" s="7" t="e">
        <f aca="false">IF(OR(#REF!&gt;2,#REF!&lt;-2),"",#REF!)</f>
        <v>#REF!</v>
      </c>
      <c r="NM16" s="7" t="e">
        <f aca="false">IF(OR(#REF!&gt;2,#REF!&lt;-2),"",#REF!)</f>
        <v>#REF!</v>
      </c>
      <c r="NN16" s="7" t="e">
        <f aca="false">IF(OR(#REF!&gt;2,#REF!&lt;-2),"",#REF!)</f>
        <v>#REF!</v>
      </c>
      <c r="NO16" s="7" t="e">
        <f aca="false">IF(OR(#REF!&gt;2,#REF!&lt;-2),"",#REF!)</f>
        <v>#REF!</v>
      </c>
      <c r="NP16" s="7" t="e">
        <f aca="false">IF(OR(#REF!&gt;2,#REF!&lt;-2),"",#REF!)</f>
        <v>#REF!</v>
      </c>
      <c r="NQ16" s="7" t="e">
        <f aca="false">IF(OR(#REF!&gt;2,#REF!&lt;-2),"",#REF!)</f>
        <v>#REF!</v>
      </c>
      <c r="NR16" s="7" t="e">
        <f aca="false">IF(OR(#REF!&gt;2,#REF!&lt;-2),"",#REF!)</f>
        <v>#REF!</v>
      </c>
      <c r="NS16" s="7" t="e">
        <f aca="false">IF(OR(#REF!&gt;2,#REF!&lt;-2),"",#REF!)</f>
        <v>#REF!</v>
      </c>
      <c r="NT16" s="7" t="e">
        <f aca="false">IF(OR(#REF!&gt;2,#REF!&lt;-2),"",#REF!)</f>
        <v>#REF!</v>
      </c>
      <c r="NU16" s="7" t="e">
        <f aca="false">IF(OR(#REF!&gt;2,#REF!&lt;-2),"",#REF!)</f>
        <v>#REF!</v>
      </c>
      <c r="NV16" s="7" t="e">
        <f aca="false">IF(OR(#REF!&gt;2,#REF!&lt;-2),"",#REF!)</f>
        <v>#REF!</v>
      </c>
      <c r="NW16" s="7" t="e">
        <f aca="false">IF(OR(#REF!&gt;2,#REF!&lt;-2),"",#REF!)</f>
        <v>#REF!</v>
      </c>
      <c r="NX16" s="7" t="e">
        <f aca="false">IF(OR(#REF!&gt;2,#REF!&lt;-2),"",#REF!)</f>
        <v>#REF!</v>
      </c>
      <c r="NY16" s="7" t="e">
        <f aca="false">IF(OR(#REF!&gt;2,#REF!&lt;-2),"",#REF!)</f>
        <v>#REF!</v>
      </c>
      <c r="NZ16" s="7" t="e">
        <f aca="false">IF(OR(#REF!&gt;2,#REF!&lt;-2),"",#REF!)</f>
        <v>#REF!</v>
      </c>
      <c r="OA16" s="7" t="e">
        <f aca="false">IF(OR(#REF!&gt;2,#REF!&lt;-2),"",#REF!)</f>
        <v>#REF!</v>
      </c>
      <c r="OB16" s="7" t="e">
        <f aca="false">IF(OR(#REF!&gt;2,#REF!&lt;-2),"",#REF!)</f>
        <v>#REF!</v>
      </c>
      <c r="OC16" s="7" t="e">
        <f aca="false">IF(OR(#REF!&gt;2,#REF!&lt;-2),"",#REF!)</f>
        <v>#REF!</v>
      </c>
      <c r="OD16" s="7" t="e">
        <f aca="false">IF(OR(#REF!&gt;2,#REF!&lt;-2),"",#REF!)</f>
        <v>#REF!</v>
      </c>
      <c r="OE16" s="7" t="e">
        <f aca="false">IF(OR(#REF!&gt;2,#REF!&lt;-2),"",#REF!)</f>
        <v>#REF!</v>
      </c>
      <c r="OF16" s="7" t="e">
        <f aca="false">IF(OR(#REF!&gt;2,#REF!&lt;-2),"",#REF!)</f>
        <v>#REF!</v>
      </c>
      <c r="OG16" s="7" t="e">
        <f aca="false">IF(OR(#REF!&gt;2,#REF!&lt;-2),"",#REF!)</f>
        <v>#REF!</v>
      </c>
      <c r="OH16" s="7" t="e">
        <f aca="false">IF(OR(#REF!&gt;2,#REF!&lt;-2),"",#REF!)</f>
        <v>#REF!</v>
      </c>
      <c r="OI16" s="7" t="e">
        <f aca="false">IF(OR(#REF!&gt;2,#REF!&lt;-2),"",#REF!)</f>
        <v>#REF!</v>
      </c>
      <c r="OJ16" s="7" t="e">
        <f aca="false">IF(OR(#REF!&gt;2,#REF!&lt;-2),"",#REF!)</f>
        <v>#REF!</v>
      </c>
      <c r="OK16" s="7" t="e">
        <f aca="false">IF(OR(#REF!&gt;2,#REF!&lt;-2),"",#REF!)</f>
        <v>#REF!</v>
      </c>
      <c r="OL16" s="7" t="e">
        <f aca="false">IF(OR(#REF!&gt;2,#REF!&lt;-2),"",#REF!)</f>
        <v>#REF!</v>
      </c>
      <c r="OM16" s="7" t="e">
        <f aca="false">IF(OR(#REF!&gt;2,#REF!&lt;-2),"",#REF!)</f>
        <v>#REF!</v>
      </c>
      <c r="ON16" s="7" t="e">
        <f aca="false">IF(OR(#REF!&gt;2,#REF!&lt;-2),"",#REF!)</f>
        <v>#REF!</v>
      </c>
      <c r="OO16" s="7" t="e">
        <f aca="false">IF(OR(#REF!&gt;2,#REF!&lt;-2),"",#REF!)</f>
        <v>#REF!</v>
      </c>
      <c r="OP16" s="7" t="e">
        <f aca="false">IF(OR(#REF!&gt;2,#REF!&lt;-2),"",#REF!)</f>
        <v>#REF!</v>
      </c>
      <c r="OQ16" s="7" t="e">
        <f aca="false">IF(OR(#REF!&gt;2,#REF!&lt;-2),"",#REF!)</f>
        <v>#REF!</v>
      </c>
      <c r="OR16" s="7" t="e">
        <f aca="false">IF(OR(#REF!&gt;2,#REF!&lt;-2),"",#REF!)</f>
        <v>#REF!</v>
      </c>
      <c r="OS16" s="7" t="e">
        <f aca="false">IF(OR(#REF!&gt;2,#REF!&lt;-2),"",#REF!)</f>
        <v>#REF!</v>
      </c>
      <c r="OT16" s="7" t="e">
        <f aca="false">IF(OR(#REF!&gt;2,#REF!&lt;-2),"",#REF!)</f>
        <v>#REF!</v>
      </c>
      <c r="OU16" s="7" t="e">
        <f aca="false">IF(OR(#REF!&gt;2,#REF!&lt;-2),"",#REF!)</f>
        <v>#REF!</v>
      </c>
      <c r="OV16" s="7" t="e">
        <f aca="false">IF(OR(#REF!&gt;2,#REF!&lt;-2),"",#REF!)</f>
        <v>#REF!</v>
      </c>
      <c r="OW16" s="7" t="e">
        <f aca="false">IF(OR(#REF!&gt;2,#REF!&lt;-2),"",#REF!)</f>
        <v>#REF!</v>
      </c>
      <c r="OX16" s="7" t="e">
        <f aca="false">IF(OR(#REF!&gt;2,#REF!&lt;-2),"",#REF!)</f>
        <v>#REF!</v>
      </c>
      <c r="OY16" s="7" t="e">
        <f aca="false">IF(OR(#REF!&gt;2,#REF!&lt;-2),"",#REF!)</f>
        <v>#REF!</v>
      </c>
      <c r="OZ16" s="7" t="e">
        <f aca="false">IF(OR(#REF!&gt;2,#REF!&lt;-2),"",#REF!)</f>
        <v>#REF!</v>
      </c>
      <c r="PA16" s="7" t="e">
        <f aca="false">IF(OR(#REF!&gt;2,#REF!&lt;-2),"",#REF!)</f>
        <v>#REF!</v>
      </c>
      <c r="PB16" s="7" t="e">
        <f aca="false">IF(OR(#REF!&gt;2,#REF!&lt;-2),"",#REF!)</f>
        <v>#REF!</v>
      </c>
      <c r="PC16" s="7" t="e">
        <f aca="false">IF(OR(#REF!&gt;2,#REF!&lt;-2),"",#REF!)</f>
        <v>#REF!</v>
      </c>
      <c r="PD16" s="7" t="e">
        <f aca="false">IF(OR(#REF!&gt;2,#REF!&lt;-2),"",#REF!)</f>
        <v>#REF!</v>
      </c>
      <c r="PE16" s="7" t="e">
        <f aca="false">IF(OR(#REF!&gt;2,#REF!&lt;-2),"",#REF!)</f>
        <v>#REF!</v>
      </c>
      <c r="PF16" s="7" t="e">
        <f aca="false">IF(OR(#REF!&gt;2,#REF!&lt;-2),"",#REF!)</f>
        <v>#REF!</v>
      </c>
      <c r="PG16" s="7" t="e">
        <f aca="false">IF(OR(#REF!&gt;2,#REF!&lt;-2),"",#REF!)</f>
        <v>#REF!</v>
      </c>
      <c r="PH16" s="7" t="e">
        <f aca="false">IF(OR(#REF!&gt;2,#REF!&lt;-2),"",#REF!)</f>
        <v>#REF!</v>
      </c>
      <c r="PI16" s="7" t="e">
        <f aca="false">IF(OR(#REF!&gt;2,#REF!&lt;-2),"",#REF!)</f>
        <v>#REF!</v>
      </c>
      <c r="PJ16" s="7" t="e">
        <f aca="false">IF(OR(#REF!&gt;2,#REF!&lt;-2),"",#REF!)</f>
        <v>#REF!</v>
      </c>
      <c r="PK16" s="7" t="e">
        <f aca="false">IF(OR(#REF!&gt;2,#REF!&lt;-2),"",#REF!)</f>
        <v>#REF!</v>
      </c>
      <c r="PL16" s="7" t="e">
        <f aca="false">IF(OR(#REF!&gt;2,#REF!&lt;-2),"",#REF!)</f>
        <v>#REF!</v>
      </c>
      <c r="PM16" s="7" t="e">
        <f aca="false">IF(OR(#REF!&gt;2,#REF!&lt;-2),"",#REF!)</f>
        <v>#REF!</v>
      </c>
      <c r="PN16" s="7" t="e">
        <f aca="false">IF(OR(#REF!&gt;2,#REF!&lt;-2),"",#REF!)</f>
        <v>#REF!</v>
      </c>
      <c r="PO16" s="7" t="e">
        <f aca="false">IF(OR(#REF!&gt;2,#REF!&lt;-2),"",#REF!)</f>
        <v>#REF!</v>
      </c>
      <c r="PP16" s="7" t="e">
        <f aca="false">IF(OR(#REF!&gt;2,#REF!&lt;-2),"",#REF!)</f>
        <v>#REF!</v>
      </c>
      <c r="PQ16" s="7" t="e">
        <f aca="false">IF(OR(#REF!&gt;2,#REF!&lt;-2),"",#REF!)</f>
        <v>#REF!</v>
      </c>
      <c r="PR16" s="7" t="e">
        <f aca="false">IF(OR(#REF!&gt;2,#REF!&lt;-2),"",#REF!)</f>
        <v>#REF!</v>
      </c>
      <c r="PS16" s="7" t="e">
        <f aca="false">IF(OR(#REF!&gt;2,#REF!&lt;-2),"",#REF!)</f>
        <v>#REF!</v>
      </c>
      <c r="PT16" s="7" t="e">
        <f aca="false">IF(OR(#REF!&gt;2,#REF!&lt;-2),"",#REF!)</f>
        <v>#REF!</v>
      </c>
      <c r="PU16" s="7" t="e">
        <f aca="false">IF(OR(#REF!&gt;2,#REF!&lt;-2),"",#REF!)</f>
        <v>#REF!</v>
      </c>
      <c r="PV16" s="7" t="e">
        <f aca="false">IF(OR(#REF!&gt;2,#REF!&lt;-2),"",#REF!)</f>
        <v>#REF!</v>
      </c>
      <c r="PW16" s="7" t="e">
        <f aca="false">IF(OR(#REF!&gt;2,#REF!&lt;-2),"",#REF!)</f>
        <v>#REF!</v>
      </c>
      <c r="PX16" s="7" t="e">
        <f aca="false">IF(OR(#REF!&gt;2,#REF!&lt;-2),"",#REF!)</f>
        <v>#REF!</v>
      </c>
      <c r="PY16" s="7" t="e">
        <f aca="false">IF(OR(#REF!&gt;2,#REF!&lt;-2),"",#REF!)</f>
        <v>#REF!</v>
      </c>
      <c r="PZ16" s="7" t="e">
        <f aca="false">IF(OR(#REF!&gt;2,#REF!&lt;-2),"",#REF!)</f>
        <v>#REF!</v>
      </c>
      <c r="QA16" s="7" t="e">
        <f aca="false">IF(OR(#REF!&gt;2,#REF!&lt;-2),"",#REF!)</f>
        <v>#REF!</v>
      </c>
      <c r="QB16" s="7" t="e">
        <f aca="false">IF(OR(#REF!&gt;2,#REF!&lt;-2),"",#REF!)</f>
        <v>#REF!</v>
      </c>
      <c r="QC16" s="7" t="e">
        <f aca="false">IF(OR(#REF!&gt;2,#REF!&lt;-2),"",#REF!)</f>
        <v>#REF!</v>
      </c>
      <c r="QD16" s="7" t="e">
        <f aca="false">IF(OR(#REF!&gt;2,#REF!&lt;-2),"",#REF!)</f>
        <v>#REF!</v>
      </c>
      <c r="QE16" s="7" t="e">
        <f aca="false">IF(OR(#REF!&gt;2,#REF!&lt;-2),"",#REF!)</f>
        <v>#REF!</v>
      </c>
      <c r="QF16" s="7" t="e">
        <f aca="false">IF(OR(#REF!&gt;2,#REF!&lt;-2),"",#REF!)</f>
        <v>#REF!</v>
      </c>
      <c r="QG16" s="7" t="e">
        <f aca="false">IF(OR(#REF!&gt;2,#REF!&lt;-2),"",#REF!)</f>
        <v>#REF!</v>
      </c>
      <c r="QH16" s="7" t="e">
        <f aca="false">IF(OR(#REF!&gt;2,#REF!&lt;-2),"",#REF!)</f>
        <v>#REF!</v>
      </c>
      <c r="QI16" s="7" t="e">
        <f aca="false">IF(OR(#REF!&gt;2,#REF!&lt;-2),"",#REF!)</f>
        <v>#REF!</v>
      </c>
      <c r="QJ16" s="7" t="e">
        <f aca="false">IF(OR(#REF!&gt;2,#REF!&lt;-2),"",#REF!)</f>
        <v>#REF!</v>
      </c>
      <c r="QK16" s="7" t="e">
        <f aca="false">IF(OR(#REF!&gt;2,#REF!&lt;-2),"",#REF!)</f>
        <v>#REF!</v>
      </c>
      <c r="QL16" s="7" t="e">
        <f aca="false">IF(OR(#REF!&gt;2,#REF!&lt;-2),"",#REF!)</f>
        <v>#REF!</v>
      </c>
      <c r="QM16" s="7" t="e">
        <f aca="false">IF(OR(#REF!&gt;2,#REF!&lt;-2),"",#REF!)</f>
        <v>#REF!</v>
      </c>
      <c r="QN16" s="7" t="e">
        <f aca="false">IF(OR(#REF!&gt;2,#REF!&lt;-2),"",#REF!)</f>
        <v>#REF!</v>
      </c>
      <c r="QO16" s="7" t="e">
        <f aca="false">IF(OR(#REF!&gt;2,#REF!&lt;-2),"",#REF!)</f>
        <v>#REF!</v>
      </c>
      <c r="QP16" s="7" t="e">
        <f aca="false">IF(OR(#REF!&gt;2,#REF!&lt;-2),"",#REF!)</f>
        <v>#REF!</v>
      </c>
      <c r="QQ16" s="7" t="e">
        <f aca="false">IF(OR(#REF!&gt;2,#REF!&lt;-2),"",#REF!)</f>
        <v>#REF!</v>
      </c>
      <c r="QR16" s="7" t="e">
        <f aca="false">IF(OR(#REF!&gt;2,#REF!&lt;-2),"",#REF!)</f>
        <v>#REF!</v>
      </c>
      <c r="QS16" s="7" t="e">
        <f aca="false">IF(OR(#REF!&gt;2,#REF!&lt;-2),"",#REF!)</f>
        <v>#REF!</v>
      </c>
      <c r="QT16" s="7" t="e">
        <f aca="false">IF(OR(#REF!&gt;2,#REF!&lt;-2),"",#REF!)</f>
        <v>#REF!</v>
      </c>
      <c r="QU16" s="7" t="e">
        <f aca="false">IF(OR(#REF!&gt;2,#REF!&lt;-2),"",#REF!)</f>
        <v>#REF!</v>
      </c>
      <c r="QV16" s="7" t="e">
        <f aca="false">IF(OR(#REF!&gt;2,#REF!&lt;-2),"",#REF!)</f>
        <v>#REF!</v>
      </c>
      <c r="QW16" s="7" t="e">
        <f aca="false">IF(OR(#REF!&gt;2,#REF!&lt;-2),"",#REF!)</f>
        <v>#REF!</v>
      </c>
      <c r="QX16" s="7" t="e">
        <f aca="false">IF(OR(#REF!&gt;2,#REF!&lt;-2),"",#REF!)</f>
        <v>#REF!</v>
      </c>
      <c r="QY16" s="7" t="e">
        <f aca="false">IF(OR(#REF!&gt;2,#REF!&lt;-2),"",#REF!)</f>
        <v>#REF!</v>
      </c>
      <c r="QZ16" s="7" t="e">
        <f aca="false">IF(OR(#REF!&gt;2,#REF!&lt;-2),"",#REF!)</f>
        <v>#REF!</v>
      </c>
      <c r="RA16" s="7" t="e">
        <f aca="false">IF(OR(#REF!&gt;2,#REF!&lt;-2),"",#REF!)</f>
        <v>#REF!</v>
      </c>
      <c r="RB16" s="7" t="e">
        <f aca="false">IF(OR(#REF!&gt;2,#REF!&lt;-2),"",#REF!)</f>
        <v>#REF!</v>
      </c>
      <c r="RC16" s="7" t="e">
        <f aca="false">IF(OR(#REF!&gt;2,#REF!&lt;-2),"",#REF!)</f>
        <v>#REF!</v>
      </c>
      <c r="RD16" s="7" t="e">
        <f aca="false">IF(OR(#REF!&gt;2,#REF!&lt;-2),"",#REF!)</f>
        <v>#REF!</v>
      </c>
      <c r="RE16" s="7" t="e">
        <f aca="false">IF(OR(#REF!&gt;2,#REF!&lt;-2),"",#REF!)</f>
        <v>#REF!</v>
      </c>
      <c r="RF16" s="7" t="e">
        <f aca="false">IF(OR(#REF!&gt;2,#REF!&lt;-2),"",#REF!)</f>
        <v>#REF!</v>
      </c>
      <c r="RG16" s="7" t="e">
        <f aca="false">IF(OR(#REF!&gt;2,#REF!&lt;-2),"",#REF!)</f>
        <v>#REF!</v>
      </c>
      <c r="RH16" s="7" t="e">
        <f aca="false">IF(OR(#REF!&gt;2,#REF!&lt;-2),"",#REF!)</f>
        <v>#REF!</v>
      </c>
      <c r="RI16" s="7" t="e">
        <f aca="false">IF(OR(#REF!&gt;2,#REF!&lt;-2),"",#REF!)</f>
        <v>#REF!</v>
      </c>
      <c r="RJ16" s="7" t="e">
        <f aca="false">IF(OR(#REF!&gt;2,#REF!&lt;-2),"",#REF!)</f>
        <v>#REF!</v>
      </c>
      <c r="RK16" s="7" t="e">
        <f aca="false">IF(OR(#REF!&gt;2,#REF!&lt;-2),"",#REF!)</f>
        <v>#REF!</v>
      </c>
      <c r="RL16" s="7" t="e">
        <f aca="false">IF(OR(#REF!&gt;2,#REF!&lt;-2),"",#REF!)</f>
        <v>#REF!</v>
      </c>
      <c r="RM16" s="7" t="e">
        <f aca="false">IF(OR(#REF!&gt;2,#REF!&lt;-2),"",#REF!)</f>
        <v>#REF!</v>
      </c>
      <c r="RN16" s="7" t="e">
        <f aca="false">IF(OR(#REF!&gt;2,#REF!&lt;-2),"",#REF!)</f>
        <v>#REF!</v>
      </c>
      <c r="RO16" s="7" t="e">
        <f aca="false">IF(OR(#REF!&gt;2,#REF!&lt;-2),"",#REF!)</f>
        <v>#REF!</v>
      </c>
      <c r="RP16" s="7" t="e">
        <f aca="false">IF(OR(#REF!&gt;2,#REF!&lt;-2),"",#REF!)</f>
        <v>#REF!</v>
      </c>
      <c r="RQ16" s="7" t="e">
        <f aca="false">IF(OR(#REF!&gt;2,#REF!&lt;-2),"",#REF!)</f>
        <v>#REF!</v>
      </c>
      <c r="RR16" s="7" t="e">
        <f aca="false">IF(OR(#REF!&gt;2,#REF!&lt;-2),"",#REF!)</f>
        <v>#REF!</v>
      </c>
      <c r="RS16" s="7" t="e">
        <f aca="false">IF(OR(#REF!&gt;2,#REF!&lt;-2),"",#REF!)</f>
        <v>#REF!</v>
      </c>
      <c r="RT16" s="7" t="e">
        <f aca="false">IF(OR(#REF!&gt;2,#REF!&lt;-2),"",#REF!)</f>
        <v>#REF!</v>
      </c>
      <c r="RU16" s="7" t="e">
        <f aca="false">IF(OR(#REF!&gt;2,#REF!&lt;-2),"",#REF!)</f>
        <v>#REF!</v>
      </c>
      <c r="RV16" s="7" t="e">
        <f aca="false">IF(OR(#REF!&gt;2,#REF!&lt;-2),"",#REF!)</f>
        <v>#REF!</v>
      </c>
      <c r="RW16" s="7" t="e">
        <f aca="false">IF(OR(#REF!&gt;2,#REF!&lt;-2),"",#REF!)</f>
        <v>#REF!</v>
      </c>
      <c r="RX16" s="7" t="e">
        <f aca="false">IF(OR(#REF!&gt;2,#REF!&lt;-2),"",#REF!)</f>
        <v>#REF!</v>
      </c>
      <c r="RY16" s="7" t="e">
        <f aca="false">IF(OR(#REF!&gt;2,#REF!&lt;-2),"",#REF!)</f>
        <v>#REF!</v>
      </c>
      <c r="RZ16" s="7" t="e">
        <f aca="false">IF(OR(#REF!&gt;2,#REF!&lt;-2),"",#REF!)</f>
        <v>#REF!</v>
      </c>
      <c r="SA16" s="7" t="e">
        <f aca="false">IF(OR(#REF!&gt;2,#REF!&lt;-2),"",#REF!)</f>
        <v>#REF!</v>
      </c>
      <c r="SB16" s="7" t="e">
        <f aca="false">IF(OR(#REF!&gt;2,#REF!&lt;-2),"",#REF!)</f>
        <v>#REF!</v>
      </c>
      <c r="SC16" s="7" t="e">
        <f aca="false">IF(OR(#REF!&gt;2,#REF!&lt;-2),"",#REF!)</f>
        <v>#REF!</v>
      </c>
      <c r="SD16" s="7" t="e">
        <f aca="false">IF(OR(#REF!&gt;2,#REF!&lt;-2),"",#REF!)</f>
        <v>#REF!</v>
      </c>
      <c r="SE16" s="7" t="e">
        <f aca="false">IF(OR(#REF!&gt;2,#REF!&lt;-2),"",#REF!)</f>
        <v>#REF!</v>
      </c>
      <c r="SF16" s="7" t="e">
        <f aca="false">IF(OR(#REF!&gt;2,#REF!&lt;-2),"",#REF!)</f>
        <v>#REF!</v>
      </c>
      <c r="SG16" s="7" t="e">
        <f aca="false">IF(OR(#REF!&gt;2,#REF!&lt;-2),"",#REF!)</f>
        <v>#REF!</v>
      </c>
      <c r="SH16" s="7" t="e">
        <f aca="false">IF(OR(#REF!&gt;2,#REF!&lt;-2),"",#REF!)</f>
        <v>#REF!</v>
      </c>
      <c r="SI16" s="7" t="e">
        <f aca="false">IF(OR(#REF!&gt;2,#REF!&lt;-2),"",#REF!)</f>
        <v>#REF!</v>
      </c>
      <c r="SJ16" s="7" t="e">
        <f aca="false">IF(OR(#REF!&gt;2,#REF!&lt;-2),"",#REF!)</f>
        <v>#REF!</v>
      </c>
      <c r="SK16" s="7" t="e">
        <f aca="false">IF(OR(#REF!&gt;2,#REF!&lt;-2),"",#REF!)</f>
        <v>#REF!</v>
      </c>
      <c r="SL16" s="7" t="e">
        <f aca="false">IF(OR(#REF!&gt;2,#REF!&lt;-2),"",#REF!)</f>
        <v>#REF!</v>
      </c>
      <c r="SM16" s="7" t="e">
        <f aca="false">IF(OR(#REF!&gt;2,#REF!&lt;-2),"",#REF!)</f>
        <v>#REF!</v>
      </c>
      <c r="SN16" s="7" t="e">
        <f aca="false">IF(OR(#REF!&gt;2,#REF!&lt;-2),"",#REF!)</f>
        <v>#REF!</v>
      </c>
      <c r="SO16" s="7" t="e">
        <f aca="false">IF(OR(#REF!&gt;2,#REF!&lt;-2),"",#REF!)</f>
        <v>#REF!</v>
      </c>
      <c r="SP16" s="7" t="e">
        <f aca="false">IF(OR(#REF!&gt;2,#REF!&lt;-2),"",#REF!)</f>
        <v>#REF!</v>
      </c>
      <c r="SQ16" s="7" t="e">
        <f aca="false">IF(OR(#REF!&gt;2,#REF!&lt;-2),"",#REF!)</f>
        <v>#REF!</v>
      </c>
      <c r="SR16" s="7" t="e">
        <f aca="false">IF(OR(#REF!&gt;2,#REF!&lt;-2),"",#REF!)</f>
        <v>#REF!</v>
      </c>
      <c r="SS16" s="7" t="e">
        <f aca="false">IF(OR(#REF!&gt;2,#REF!&lt;-2),"",#REF!)</f>
        <v>#REF!</v>
      </c>
      <c r="ST16" s="7" t="e">
        <f aca="false">IF(OR(#REF!&gt;2,#REF!&lt;-2),"",#REF!)</f>
        <v>#REF!</v>
      </c>
      <c r="SU16" s="7" t="e">
        <f aca="false">IF(OR(#REF!&gt;2,#REF!&lt;-2),"",#REF!)</f>
        <v>#REF!</v>
      </c>
      <c r="SV16" s="7" t="e">
        <f aca="false">IF(OR(#REF!&gt;2,#REF!&lt;-2),"",#REF!)</f>
        <v>#REF!</v>
      </c>
      <c r="SW16" s="7" t="e">
        <f aca="false">IF(OR(#REF!&gt;2,#REF!&lt;-2),"",#REF!)</f>
        <v>#REF!</v>
      </c>
      <c r="SX16" s="7" t="e">
        <f aca="false">IF(OR(#REF!&gt;2,#REF!&lt;-2),"",#REF!)</f>
        <v>#REF!</v>
      </c>
      <c r="SY16" s="7" t="e">
        <f aca="false">IF(OR(#REF!&gt;2,#REF!&lt;-2),"",#REF!)</f>
        <v>#REF!</v>
      </c>
      <c r="SZ16" s="7" t="e">
        <f aca="false">IF(OR(#REF!&gt;2,#REF!&lt;-2),"",#REF!)</f>
        <v>#REF!</v>
      </c>
      <c r="TA16" s="7" t="e">
        <f aca="false">IF(OR(#REF!&gt;2,#REF!&lt;-2),"",#REF!)</f>
        <v>#REF!</v>
      </c>
      <c r="TB16" s="7" t="e">
        <f aca="false">IF(OR(#REF!&gt;2,#REF!&lt;-2),"",#REF!)</f>
        <v>#REF!</v>
      </c>
      <c r="TC16" s="7" t="e">
        <f aca="false">IF(OR(#REF!&gt;2,#REF!&lt;-2),"",#REF!)</f>
        <v>#REF!</v>
      </c>
      <c r="TD16" s="7" t="e">
        <f aca="false">IF(OR(#REF!&gt;2,#REF!&lt;-2),"",#REF!)</f>
        <v>#REF!</v>
      </c>
      <c r="TE16" s="7" t="e">
        <f aca="false">IF(OR(#REF!&gt;2,#REF!&lt;-2),"",#REF!)</f>
        <v>#REF!</v>
      </c>
      <c r="TF16" s="7" t="e">
        <f aca="false">IF(OR(#REF!&gt;2,#REF!&lt;-2),"",#REF!)</f>
        <v>#REF!</v>
      </c>
      <c r="TG16" s="7" t="e">
        <f aca="false">IF(OR(#REF!&gt;2,#REF!&lt;-2),"",#REF!)</f>
        <v>#REF!</v>
      </c>
      <c r="TH16" s="7" t="e">
        <f aca="false">IF(OR(#REF!&gt;2,#REF!&lt;-2),"",#REF!)</f>
        <v>#REF!</v>
      </c>
      <c r="TI16" s="7" t="e">
        <f aca="false">IF(OR(#REF!&gt;2,#REF!&lt;-2),"",#REF!)</f>
        <v>#REF!</v>
      </c>
      <c r="TJ16" s="7" t="e">
        <f aca="false">IF(OR(#REF!&gt;2,#REF!&lt;-2),"",#REF!)</f>
        <v>#REF!</v>
      </c>
      <c r="TK16" s="7" t="e">
        <f aca="false">IF(OR(#REF!&gt;2,#REF!&lt;-2),"",#REF!)</f>
        <v>#REF!</v>
      </c>
      <c r="TL16" s="7" t="e">
        <f aca="false">IF(OR(#REF!&gt;2,#REF!&lt;-2),"",#REF!)</f>
        <v>#REF!</v>
      </c>
      <c r="TM16" s="7" t="e">
        <f aca="false">IF(OR(#REF!&gt;2,#REF!&lt;-2),"",#REF!)</f>
        <v>#REF!</v>
      </c>
      <c r="TN16" s="7" t="e">
        <f aca="false">IF(OR(#REF!&gt;2,#REF!&lt;-2),"",#REF!)</f>
        <v>#REF!</v>
      </c>
      <c r="TO16" s="7" t="e">
        <f aca="false">IF(OR(#REF!&gt;2,#REF!&lt;-2),"",#REF!)</f>
        <v>#REF!</v>
      </c>
      <c r="TP16" s="7" t="e">
        <f aca="false">IF(OR(#REF!&gt;2,#REF!&lt;-2),"",#REF!)</f>
        <v>#REF!</v>
      </c>
      <c r="TQ16" s="7" t="e">
        <f aca="false">IF(OR(#REF!&gt;2,#REF!&lt;-2),"",#REF!)</f>
        <v>#REF!</v>
      </c>
      <c r="TR16" s="7" t="e">
        <f aca="false">IF(OR(#REF!&gt;2,#REF!&lt;-2),"",#REF!)</f>
        <v>#REF!</v>
      </c>
      <c r="TS16" s="7" t="e">
        <f aca="false">IF(OR(#REF!&gt;2,#REF!&lt;-2),"",#REF!)</f>
        <v>#REF!</v>
      </c>
      <c r="TT16" s="7" t="e">
        <f aca="false">IF(OR(#REF!&gt;2,#REF!&lt;-2),"",#REF!)</f>
        <v>#REF!</v>
      </c>
      <c r="TU16" s="7" t="e">
        <f aca="false">IF(OR(#REF!&gt;2,#REF!&lt;-2),"",#REF!)</f>
        <v>#REF!</v>
      </c>
      <c r="TV16" s="7" t="e">
        <f aca="false">IF(OR(#REF!&gt;2,#REF!&lt;-2),"",#REF!)</f>
        <v>#REF!</v>
      </c>
      <c r="TW16" s="7" t="e">
        <f aca="false">IF(OR(#REF!&gt;2,#REF!&lt;-2),"",#REF!)</f>
        <v>#REF!</v>
      </c>
      <c r="TX16" s="7" t="e">
        <f aca="false">IF(OR(#REF!&gt;2,#REF!&lt;-2),"",#REF!)</f>
        <v>#REF!</v>
      </c>
      <c r="TY16" s="7" t="e">
        <f aca="false">IF(OR(#REF!&gt;2,#REF!&lt;-2),"",#REF!)</f>
        <v>#REF!</v>
      </c>
      <c r="TZ16" s="7" t="e">
        <f aca="false">IF(OR(#REF!&gt;2,#REF!&lt;-2),"",#REF!)</f>
        <v>#REF!</v>
      </c>
      <c r="UA16" s="7" t="e">
        <f aca="false">IF(OR(#REF!&gt;2,#REF!&lt;-2),"",#REF!)</f>
        <v>#REF!</v>
      </c>
      <c r="UB16" s="7" t="e">
        <f aca="false">IF(OR(#REF!&gt;2,#REF!&lt;-2),"",#REF!)</f>
        <v>#REF!</v>
      </c>
      <c r="UC16" s="7" t="e">
        <f aca="false">IF(OR(#REF!&gt;2,#REF!&lt;-2),"",#REF!)</f>
        <v>#REF!</v>
      </c>
      <c r="UD16" s="7" t="e">
        <f aca="false">IF(OR(#REF!&gt;2,#REF!&lt;-2),"",#REF!)</f>
        <v>#REF!</v>
      </c>
      <c r="UE16" s="7" t="e">
        <f aca="false">IF(OR(#REF!&gt;2,#REF!&lt;-2),"",#REF!)</f>
        <v>#REF!</v>
      </c>
      <c r="UF16" s="7" t="e">
        <f aca="false">IF(OR(#REF!&gt;2,#REF!&lt;-2),"",#REF!)</f>
        <v>#REF!</v>
      </c>
      <c r="UG16" s="7" t="e">
        <f aca="false">IF(OR(#REF!&gt;2,#REF!&lt;-2),"",#REF!)</f>
        <v>#REF!</v>
      </c>
      <c r="UH16" s="7" t="e">
        <f aca="false">IF(OR(#REF!&gt;2,#REF!&lt;-2),"",#REF!)</f>
        <v>#REF!</v>
      </c>
      <c r="UI16" s="7" t="e">
        <f aca="false">IF(OR(#REF!&gt;2,#REF!&lt;-2),"",#REF!)</f>
        <v>#REF!</v>
      </c>
      <c r="UJ16" s="7" t="e">
        <f aca="false">IF(OR(#REF!&gt;2,#REF!&lt;-2),"",#REF!)</f>
        <v>#REF!</v>
      </c>
      <c r="UK16" s="7" t="e">
        <f aca="false">IF(OR(#REF!&gt;2,#REF!&lt;-2),"",#REF!)</f>
        <v>#REF!</v>
      </c>
      <c r="UL16" s="7" t="e">
        <f aca="false">IF(OR(#REF!&gt;2,#REF!&lt;-2),"",#REF!)</f>
        <v>#REF!</v>
      </c>
      <c r="UM16" s="7" t="e">
        <f aca="false">IF(OR(#REF!&gt;2,#REF!&lt;-2),"",#REF!)</f>
        <v>#REF!</v>
      </c>
      <c r="UN16" s="7" t="e">
        <f aca="false">IF(OR(#REF!&gt;2,#REF!&lt;-2),"",#REF!)</f>
        <v>#REF!</v>
      </c>
      <c r="UO16" s="7" t="e">
        <f aca="false">IF(OR(#REF!&gt;2,#REF!&lt;-2),"",#REF!)</f>
        <v>#REF!</v>
      </c>
      <c r="UP16" s="7" t="e">
        <f aca="false">IF(OR(#REF!&gt;2,#REF!&lt;-2),"",#REF!)</f>
        <v>#REF!</v>
      </c>
    </row>
    <row r="17" customFormat="false" ht="14.5" hidden="false" customHeight="false" outlineLevel="0" collapsed="false">
      <c r="A17" s="0" t="n">
        <v>179</v>
      </c>
      <c r="B17" s="0" t="n">
        <v>1</v>
      </c>
      <c r="C17" s="7" t="e">
        <f aca="false">IF(OR(#REF!&gt;2,#REF!&lt;-2),"",#REF!)</f>
        <v>#REF!</v>
      </c>
      <c r="D17" s="7" t="e">
        <f aca="false">IF(OR(#REF!&gt;2,#REF!&lt;-2),"",#REF!)</f>
        <v>#REF!</v>
      </c>
      <c r="E17" s="7" t="e">
        <f aca="false">IF(OR(#REF!&gt;2,#REF!&lt;-2),"",#REF!)</f>
        <v>#REF!</v>
      </c>
      <c r="F17" s="7" t="e">
        <f aca="false">IF(OR(#REF!&gt;2,#REF!&lt;-2),"",#REF!)</f>
        <v>#REF!</v>
      </c>
      <c r="G17" s="7" t="e">
        <f aca="false">IF(OR(#REF!&gt;2,#REF!&lt;-2),"",#REF!)</f>
        <v>#REF!</v>
      </c>
      <c r="H17" s="7" t="e">
        <f aca="false">IF(OR(#REF!&gt;2,#REF!&lt;-2),"",#REF!)</f>
        <v>#REF!</v>
      </c>
      <c r="I17" s="7" t="e">
        <f aca="false">IF(OR(#REF!&gt;2,#REF!&lt;-2),"",#REF!)</f>
        <v>#REF!</v>
      </c>
      <c r="J17" s="7" t="e">
        <f aca="false">IF(OR(#REF!&gt;2,#REF!&lt;-2),"",#REF!)</f>
        <v>#REF!</v>
      </c>
      <c r="K17" s="7" t="e">
        <f aca="false">IF(OR(#REF!&gt;2,#REF!&lt;-2),"",#REF!)</f>
        <v>#REF!</v>
      </c>
      <c r="L17" s="7" t="e">
        <f aca="false">IF(OR(#REF!&gt;2,#REF!&lt;-2),"",#REF!)</f>
        <v>#REF!</v>
      </c>
      <c r="M17" s="7" t="e">
        <f aca="false">IF(OR(#REF!&gt;2,#REF!&lt;-2),"",#REF!)</f>
        <v>#REF!</v>
      </c>
      <c r="N17" s="7" t="e">
        <f aca="false">IF(OR(#REF!&gt;2,#REF!&lt;-2),"",#REF!)</f>
        <v>#REF!</v>
      </c>
      <c r="O17" s="7" t="e">
        <f aca="false">IF(OR(#REF!&gt;2,#REF!&lt;-2),"",#REF!)</f>
        <v>#REF!</v>
      </c>
      <c r="P17" s="7" t="e">
        <f aca="false">IF(OR(#REF!&gt;2,#REF!&lt;-2),"",#REF!)</f>
        <v>#REF!</v>
      </c>
      <c r="Q17" s="7" t="e">
        <f aca="false">IF(OR(#REF!&gt;2,#REF!&lt;-2),"",#REF!)</f>
        <v>#REF!</v>
      </c>
      <c r="R17" s="7" t="e">
        <f aca="false">IF(OR(#REF!&gt;2,#REF!&lt;-2),"",#REF!)</f>
        <v>#REF!</v>
      </c>
      <c r="S17" s="7" t="e">
        <f aca="false">IF(OR(#REF!&gt;2,#REF!&lt;-2),"",#REF!)</f>
        <v>#REF!</v>
      </c>
      <c r="T17" s="7" t="e">
        <f aca="false">IF(OR(#REF!&gt;2,#REF!&lt;-2),"",#REF!)</f>
        <v>#REF!</v>
      </c>
      <c r="U17" s="7" t="e">
        <f aca="false">IF(OR(#REF!&gt;2,#REF!&lt;-2),"",#REF!)</f>
        <v>#REF!</v>
      </c>
      <c r="V17" s="7" t="e">
        <f aca="false">IF(OR(#REF!&gt;2,#REF!&lt;-2),"",#REF!)</f>
        <v>#REF!</v>
      </c>
      <c r="W17" s="7" t="e">
        <f aca="false">IF(OR(#REF!&gt;2,#REF!&lt;-2),"",#REF!)</f>
        <v>#REF!</v>
      </c>
      <c r="X17" s="7" t="e">
        <f aca="false">IF(OR(#REF!&gt;2,#REF!&lt;-2),"",#REF!)</f>
        <v>#REF!</v>
      </c>
      <c r="Y17" s="7" t="e">
        <f aca="false">IF(OR(#REF!&gt;2,#REF!&lt;-2),"",#REF!)</f>
        <v>#REF!</v>
      </c>
      <c r="Z17" s="7" t="e">
        <f aca="false">IF(OR(#REF!&gt;2,#REF!&lt;-2),"",#REF!)</f>
        <v>#REF!</v>
      </c>
      <c r="AA17" s="7" t="e">
        <f aca="false">IF(OR(#REF!&gt;2,#REF!&lt;-2),"",#REF!)</f>
        <v>#REF!</v>
      </c>
      <c r="AB17" s="7" t="e">
        <f aca="false">IF(OR(#REF!&gt;2,#REF!&lt;-2),"",#REF!)</f>
        <v>#REF!</v>
      </c>
      <c r="AC17" s="7" t="e">
        <f aca="false">IF(OR(#REF!&gt;2,#REF!&lt;-2),"",#REF!)</f>
        <v>#REF!</v>
      </c>
      <c r="AD17" s="7" t="e">
        <f aca="false">IF(OR(#REF!&gt;2,#REF!&lt;-2),"",#REF!)</f>
        <v>#REF!</v>
      </c>
      <c r="AE17" s="7" t="e">
        <f aca="false">IF(OR(#REF!&gt;2,#REF!&lt;-2),"",#REF!)</f>
        <v>#REF!</v>
      </c>
      <c r="AF17" s="7" t="e">
        <f aca="false">IF(OR(#REF!&gt;2,#REF!&lt;-2),"",#REF!)</f>
        <v>#REF!</v>
      </c>
      <c r="AG17" s="7" t="e">
        <f aca="false">IF(OR(#REF!&gt;2,#REF!&lt;-2),"",#REF!)</f>
        <v>#REF!</v>
      </c>
      <c r="AH17" s="7" t="e">
        <f aca="false">IF(OR(#REF!&gt;2,#REF!&lt;-2),"",#REF!)</f>
        <v>#REF!</v>
      </c>
      <c r="AI17" s="7" t="e">
        <f aca="false">IF(OR(#REF!&gt;2,#REF!&lt;-2),"",#REF!)</f>
        <v>#REF!</v>
      </c>
      <c r="AJ17" s="7" t="e">
        <f aca="false">IF(OR(#REF!&gt;2,#REF!&lt;-2),"",#REF!)</f>
        <v>#REF!</v>
      </c>
      <c r="AK17" s="7" t="e">
        <f aca="false">IF(OR(#REF!&gt;2,#REF!&lt;-2),"",#REF!)</f>
        <v>#REF!</v>
      </c>
      <c r="AL17" s="7" t="e">
        <f aca="false">IF(OR(#REF!&gt;2,#REF!&lt;-2),"",#REF!)</f>
        <v>#REF!</v>
      </c>
      <c r="AM17" s="7" t="e">
        <f aca="false">IF(OR(#REF!&gt;2,#REF!&lt;-2),"",#REF!)</f>
        <v>#REF!</v>
      </c>
      <c r="AN17" s="7" t="e">
        <f aca="false">IF(OR(#REF!&gt;2,#REF!&lt;-2),"",#REF!)</f>
        <v>#REF!</v>
      </c>
      <c r="AO17" s="7" t="e">
        <f aca="false">IF(OR(#REF!&gt;2,#REF!&lt;-2),"",#REF!)</f>
        <v>#REF!</v>
      </c>
      <c r="AP17" s="7" t="e">
        <f aca="false">IF(OR(#REF!&gt;2,#REF!&lt;-2),"",#REF!)</f>
        <v>#REF!</v>
      </c>
      <c r="AQ17" s="7" t="e">
        <f aca="false">IF(OR(#REF!&gt;2,#REF!&lt;-2),"",#REF!)</f>
        <v>#REF!</v>
      </c>
      <c r="AR17" s="7" t="e">
        <f aca="false">IF(OR(#REF!&gt;2,#REF!&lt;-2),"",#REF!)</f>
        <v>#REF!</v>
      </c>
      <c r="AS17" s="7" t="e">
        <f aca="false">IF(OR(#REF!&gt;2,#REF!&lt;-2),"",#REF!)</f>
        <v>#REF!</v>
      </c>
      <c r="AT17" s="7" t="e">
        <f aca="false">IF(OR(#REF!&gt;2,#REF!&lt;-2),"",#REF!)</f>
        <v>#REF!</v>
      </c>
      <c r="AU17" s="7" t="e">
        <f aca="false">IF(OR(#REF!&gt;2,#REF!&lt;-2),"",#REF!)</f>
        <v>#REF!</v>
      </c>
      <c r="AV17" s="7" t="e">
        <f aca="false">IF(OR(#REF!&gt;2,#REF!&lt;-2),"",#REF!)</f>
        <v>#REF!</v>
      </c>
      <c r="AW17" s="7" t="e">
        <f aca="false">IF(OR(#REF!&gt;2,#REF!&lt;-2),"",#REF!)</f>
        <v>#REF!</v>
      </c>
      <c r="AX17" s="7" t="e">
        <f aca="false">IF(OR(#REF!&gt;2,#REF!&lt;-2),"",#REF!)</f>
        <v>#REF!</v>
      </c>
      <c r="AY17" s="7" t="e">
        <f aca="false">IF(OR(#REF!&gt;2,#REF!&lt;-2),"",#REF!)</f>
        <v>#REF!</v>
      </c>
      <c r="AZ17" s="7" t="e">
        <f aca="false">IF(OR(#REF!&gt;2,#REF!&lt;-2),"",#REF!)</f>
        <v>#REF!</v>
      </c>
      <c r="BA17" s="7" t="e">
        <f aca="false">IF(OR(#REF!&gt;2,#REF!&lt;-2),"",#REF!)</f>
        <v>#REF!</v>
      </c>
      <c r="BB17" s="7" t="e">
        <f aca="false">IF(OR(#REF!&gt;2,#REF!&lt;-2),"",#REF!)</f>
        <v>#REF!</v>
      </c>
      <c r="BC17" s="7" t="e">
        <f aca="false">IF(OR(#REF!&gt;2,#REF!&lt;-2),"",#REF!)</f>
        <v>#REF!</v>
      </c>
      <c r="BD17" s="7" t="e">
        <f aca="false">IF(OR(#REF!&gt;2,#REF!&lt;-2),"",#REF!)</f>
        <v>#REF!</v>
      </c>
      <c r="BE17" s="7" t="e">
        <f aca="false">IF(OR(#REF!&gt;2,#REF!&lt;-2),"",#REF!)</f>
        <v>#REF!</v>
      </c>
      <c r="BF17" s="7" t="e">
        <f aca="false">IF(OR(#REF!&gt;2,#REF!&lt;-2),"",#REF!)</f>
        <v>#REF!</v>
      </c>
      <c r="BG17" s="7" t="e">
        <f aca="false">IF(OR(#REF!&gt;2,#REF!&lt;-2),"",#REF!)</f>
        <v>#REF!</v>
      </c>
      <c r="BH17" s="7" t="e">
        <f aca="false">IF(OR(#REF!&gt;2,#REF!&lt;-2),"",#REF!)</f>
        <v>#REF!</v>
      </c>
      <c r="BI17" s="7" t="e">
        <f aca="false">IF(OR(#REF!&gt;2,#REF!&lt;-2),"",#REF!)</f>
        <v>#REF!</v>
      </c>
      <c r="BJ17" s="7" t="e">
        <f aca="false">IF(OR(#REF!&gt;2,#REF!&lt;-2),"",#REF!)</f>
        <v>#REF!</v>
      </c>
      <c r="BK17" s="7" t="e">
        <f aca="false">IF(OR(#REF!&gt;2,#REF!&lt;-2),"",#REF!)</f>
        <v>#REF!</v>
      </c>
      <c r="BL17" s="7" t="e">
        <f aca="false">IF(OR(#REF!&gt;2,#REF!&lt;-2),"",#REF!)</f>
        <v>#REF!</v>
      </c>
      <c r="BM17" s="7" t="e">
        <f aca="false">IF(OR(#REF!&gt;2,#REF!&lt;-2),"",#REF!)</f>
        <v>#REF!</v>
      </c>
      <c r="BN17" s="7" t="e">
        <f aca="false">IF(OR(#REF!&gt;2,#REF!&lt;-2),"",#REF!)</f>
        <v>#REF!</v>
      </c>
      <c r="BO17" s="7" t="e">
        <f aca="false">IF(OR(#REF!&gt;2,#REF!&lt;-2),"",#REF!)</f>
        <v>#REF!</v>
      </c>
      <c r="BP17" s="7" t="e">
        <f aca="false">IF(OR(#REF!&gt;2,#REF!&lt;-2),"",#REF!)</f>
        <v>#REF!</v>
      </c>
      <c r="BQ17" s="7" t="e">
        <f aca="false">IF(OR(#REF!&gt;2,#REF!&lt;-2),"",#REF!)</f>
        <v>#REF!</v>
      </c>
      <c r="BR17" s="7" t="e">
        <f aca="false">IF(OR(#REF!&gt;2,#REF!&lt;-2),"",#REF!)</f>
        <v>#REF!</v>
      </c>
      <c r="BS17" s="7" t="e">
        <f aca="false">IF(OR(#REF!&gt;2,#REF!&lt;-2),"",#REF!)</f>
        <v>#REF!</v>
      </c>
      <c r="BT17" s="7" t="e">
        <f aca="false">IF(OR(#REF!&gt;2,#REF!&lt;-2),"",#REF!)</f>
        <v>#REF!</v>
      </c>
      <c r="BU17" s="7" t="e">
        <f aca="false">IF(OR(#REF!&gt;2,#REF!&lt;-2),"",#REF!)</f>
        <v>#REF!</v>
      </c>
      <c r="BV17" s="7" t="e">
        <f aca="false">IF(OR(#REF!&gt;2,#REF!&lt;-2),"",#REF!)</f>
        <v>#REF!</v>
      </c>
      <c r="BW17" s="7" t="e">
        <f aca="false">IF(OR(#REF!&gt;2,#REF!&lt;-2),"",#REF!)</f>
        <v>#REF!</v>
      </c>
      <c r="BX17" s="7" t="e">
        <f aca="false">IF(OR(#REF!&gt;2,#REF!&lt;-2),"",#REF!)</f>
        <v>#REF!</v>
      </c>
      <c r="BY17" s="7" t="e">
        <f aca="false">IF(OR(#REF!&gt;2,#REF!&lt;-2),"",#REF!)</f>
        <v>#REF!</v>
      </c>
      <c r="BZ17" s="7" t="e">
        <f aca="false">IF(OR(#REF!&gt;2,#REF!&lt;-2),"",#REF!)</f>
        <v>#REF!</v>
      </c>
      <c r="CA17" s="7" t="e">
        <f aca="false">IF(OR(#REF!&gt;2,#REF!&lt;-2),"",#REF!)</f>
        <v>#REF!</v>
      </c>
      <c r="CB17" s="7" t="e">
        <f aca="false">IF(OR(#REF!&gt;2,#REF!&lt;-2),"",#REF!)</f>
        <v>#REF!</v>
      </c>
      <c r="CC17" s="7" t="e">
        <f aca="false">IF(OR(#REF!&gt;2,#REF!&lt;-2),"",#REF!)</f>
        <v>#REF!</v>
      </c>
      <c r="CD17" s="7" t="e">
        <f aca="false">IF(OR(#REF!&gt;2,#REF!&lt;-2),"",#REF!)</f>
        <v>#REF!</v>
      </c>
      <c r="CE17" s="7" t="e">
        <f aca="false">IF(OR(#REF!&gt;2,#REF!&lt;-2),"",#REF!)</f>
        <v>#REF!</v>
      </c>
      <c r="CF17" s="7" t="e">
        <f aca="false">IF(OR(#REF!&gt;2,#REF!&lt;-2),"",#REF!)</f>
        <v>#REF!</v>
      </c>
      <c r="CG17" s="7" t="e">
        <f aca="false">IF(OR(#REF!&gt;2,#REF!&lt;-2),"",#REF!)</f>
        <v>#REF!</v>
      </c>
      <c r="CH17" s="7" t="e">
        <f aca="false">IF(OR(#REF!&gt;2,#REF!&lt;-2),"",#REF!)</f>
        <v>#REF!</v>
      </c>
      <c r="CI17" s="7" t="e">
        <f aca="false">IF(OR(#REF!&gt;2,#REF!&lt;-2),"",#REF!)</f>
        <v>#REF!</v>
      </c>
      <c r="CJ17" s="7" t="e">
        <f aca="false">IF(OR(#REF!&gt;2,#REF!&lt;-2),"",#REF!)</f>
        <v>#REF!</v>
      </c>
      <c r="CK17" s="7" t="e">
        <f aca="false">IF(OR(#REF!&gt;2,#REF!&lt;-2),"",#REF!)</f>
        <v>#REF!</v>
      </c>
      <c r="CL17" s="7" t="e">
        <f aca="false">IF(OR(#REF!&gt;2,#REF!&lt;-2),"",#REF!)</f>
        <v>#REF!</v>
      </c>
      <c r="CM17" s="7" t="e">
        <f aca="false">IF(OR(#REF!&gt;2,#REF!&lt;-2),"",#REF!)</f>
        <v>#REF!</v>
      </c>
      <c r="CN17" s="7" t="e">
        <f aca="false">IF(OR(#REF!&gt;2,#REF!&lt;-2),"",#REF!)</f>
        <v>#REF!</v>
      </c>
      <c r="CO17" s="7" t="e">
        <f aca="false">IF(OR(#REF!&gt;2,#REF!&lt;-2),"",#REF!)</f>
        <v>#REF!</v>
      </c>
      <c r="CP17" s="7" t="e">
        <f aca="false">IF(OR(#REF!&gt;2,#REF!&lt;-2),"",#REF!)</f>
        <v>#REF!</v>
      </c>
      <c r="CQ17" s="7" t="e">
        <f aca="false">IF(OR(#REF!&gt;2,#REF!&lt;-2),"",#REF!)</f>
        <v>#REF!</v>
      </c>
      <c r="CR17" s="7" t="e">
        <f aca="false">IF(OR(#REF!&gt;2,#REF!&lt;-2),"",#REF!)</f>
        <v>#REF!</v>
      </c>
      <c r="CS17" s="7" t="e">
        <f aca="false">IF(OR(#REF!&gt;2,#REF!&lt;-2),"",#REF!)</f>
        <v>#REF!</v>
      </c>
      <c r="CT17" s="7" t="e">
        <f aca="false">IF(OR(#REF!&gt;2,#REF!&lt;-2),"",#REF!)</f>
        <v>#REF!</v>
      </c>
      <c r="CU17" s="7" t="e">
        <f aca="false">IF(OR(#REF!&gt;2,#REF!&lt;-2),"",#REF!)</f>
        <v>#REF!</v>
      </c>
      <c r="CV17" s="7" t="e">
        <f aca="false">IF(OR(#REF!&gt;2,#REF!&lt;-2),"",#REF!)</f>
        <v>#REF!</v>
      </c>
      <c r="CW17" s="7" t="e">
        <f aca="false">IF(OR(#REF!&gt;2,#REF!&lt;-2),"",#REF!)</f>
        <v>#REF!</v>
      </c>
      <c r="CX17" s="7" t="e">
        <f aca="false">IF(OR(#REF!&gt;2,#REF!&lt;-2),"",#REF!)</f>
        <v>#REF!</v>
      </c>
      <c r="CY17" s="7" t="e">
        <f aca="false">IF(OR(#REF!&gt;2,#REF!&lt;-2),"",#REF!)</f>
        <v>#REF!</v>
      </c>
      <c r="CZ17" s="7" t="e">
        <f aca="false">IF(OR(#REF!&gt;2,#REF!&lt;-2),"",#REF!)</f>
        <v>#REF!</v>
      </c>
      <c r="DA17" s="7" t="e">
        <f aca="false">IF(OR(#REF!&gt;2,#REF!&lt;-2),"",#REF!)</f>
        <v>#REF!</v>
      </c>
      <c r="DB17" s="7" t="e">
        <f aca="false">IF(OR(#REF!&gt;2,#REF!&lt;-2),"",#REF!)</f>
        <v>#REF!</v>
      </c>
      <c r="DC17" s="7" t="e">
        <f aca="false">IF(OR(#REF!&gt;2,#REF!&lt;-2),"",#REF!)</f>
        <v>#REF!</v>
      </c>
      <c r="DD17" s="7" t="e">
        <f aca="false">IF(OR(#REF!&gt;2,#REF!&lt;-2),"",#REF!)</f>
        <v>#REF!</v>
      </c>
      <c r="DE17" s="7" t="e">
        <f aca="false">IF(OR(#REF!&gt;2,#REF!&lt;-2),"",#REF!)</f>
        <v>#REF!</v>
      </c>
      <c r="DF17" s="7" t="e">
        <f aca="false">IF(OR(#REF!&gt;2,#REF!&lt;-2),"",#REF!)</f>
        <v>#REF!</v>
      </c>
      <c r="DG17" s="7" t="e">
        <f aca="false">IF(OR(#REF!&gt;2,#REF!&lt;-2),"",#REF!)</f>
        <v>#REF!</v>
      </c>
      <c r="DH17" s="7" t="e">
        <f aca="false">IF(OR(#REF!&gt;2,#REF!&lt;-2),"",#REF!)</f>
        <v>#REF!</v>
      </c>
      <c r="DI17" s="7" t="e">
        <f aca="false">IF(OR(#REF!&gt;2,#REF!&lt;-2),"",#REF!)</f>
        <v>#REF!</v>
      </c>
      <c r="DJ17" s="7" t="e">
        <f aca="false">IF(OR(#REF!&gt;2,#REF!&lt;-2),"",#REF!)</f>
        <v>#REF!</v>
      </c>
      <c r="DK17" s="7" t="e">
        <f aca="false">IF(OR(#REF!&gt;2,#REF!&lt;-2),"",#REF!)</f>
        <v>#REF!</v>
      </c>
      <c r="DL17" s="7" t="e">
        <f aca="false">IF(OR(#REF!&gt;2,#REF!&lt;-2),"",#REF!)</f>
        <v>#REF!</v>
      </c>
      <c r="DM17" s="7" t="e">
        <f aca="false">IF(OR(#REF!&gt;2,#REF!&lt;-2),"",#REF!)</f>
        <v>#REF!</v>
      </c>
      <c r="DN17" s="7" t="e">
        <f aca="false">IF(OR(#REF!&gt;2,#REF!&lt;-2),"",#REF!)</f>
        <v>#REF!</v>
      </c>
      <c r="DO17" s="7" t="e">
        <f aca="false">IF(OR(#REF!&gt;2,#REF!&lt;-2),"",#REF!)</f>
        <v>#REF!</v>
      </c>
      <c r="DP17" s="7" t="e">
        <f aca="false">IF(OR(#REF!&gt;2,#REF!&lt;-2),"",#REF!)</f>
        <v>#REF!</v>
      </c>
      <c r="DQ17" s="7" t="e">
        <f aca="false">IF(OR(#REF!&gt;2,#REF!&lt;-2),"",#REF!)</f>
        <v>#REF!</v>
      </c>
      <c r="DR17" s="7" t="e">
        <f aca="false">IF(OR(#REF!&gt;2,#REF!&lt;-2),"",#REF!)</f>
        <v>#REF!</v>
      </c>
      <c r="DS17" s="7" t="e">
        <f aca="false">IF(OR(#REF!&gt;2,#REF!&lt;-2),"",#REF!)</f>
        <v>#REF!</v>
      </c>
      <c r="DT17" s="7" t="e">
        <f aca="false">IF(OR(#REF!&gt;2,#REF!&lt;-2),"",#REF!)</f>
        <v>#REF!</v>
      </c>
      <c r="DU17" s="7" t="e">
        <f aca="false">IF(OR(#REF!&gt;2,#REF!&lt;-2),"",#REF!)</f>
        <v>#REF!</v>
      </c>
      <c r="DV17" s="7" t="e">
        <f aca="false">IF(OR(#REF!&gt;2,#REF!&lt;-2),"",#REF!)</f>
        <v>#REF!</v>
      </c>
      <c r="DW17" s="7" t="e">
        <f aca="false">IF(OR(#REF!&gt;2,#REF!&lt;-2),"",#REF!)</f>
        <v>#REF!</v>
      </c>
      <c r="DX17" s="7" t="e">
        <f aca="false">IF(OR(#REF!&gt;2,#REF!&lt;-2),"",#REF!)</f>
        <v>#REF!</v>
      </c>
      <c r="DY17" s="7" t="e">
        <f aca="false">IF(OR(#REF!&gt;2,#REF!&lt;-2),"",#REF!)</f>
        <v>#REF!</v>
      </c>
      <c r="DZ17" s="7" t="e">
        <f aca="false">IF(OR(#REF!&gt;2,#REF!&lt;-2),"",#REF!)</f>
        <v>#REF!</v>
      </c>
      <c r="EA17" s="7" t="e">
        <f aca="false">IF(OR(#REF!&gt;2,#REF!&lt;-2),"",#REF!)</f>
        <v>#REF!</v>
      </c>
      <c r="EB17" s="7" t="e">
        <f aca="false">IF(OR(#REF!&gt;2,#REF!&lt;-2),"",#REF!)</f>
        <v>#REF!</v>
      </c>
      <c r="EC17" s="7" t="e">
        <f aca="false">IF(OR(#REF!&gt;2,#REF!&lt;-2),"",#REF!)</f>
        <v>#REF!</v>
      </c>
      <c r="ED17" s="7" t="e">
        <f aca="false">IF(OR(#REF!&gt;2,#REF!&lt;-2),"",#REF!)</f>
        <v>#REF!</v>
      </c>
      <c r="EE17" s="7" t="e">
        <f aca="false">IF(OR(#REF!&gt;2,#REF!&lt;-2),"",#REF!)</f>
        <v>#REF!</v>
      </c>
      <c r="EF17" s="7" t="e">
        <f aca="false">IF(OR(#REF!&gt;2,#REF!&lt;-2),"",#REF!)</f>
        <v>#REF!</v>
      </c>
      <c r="EG17" s="7" t="e">
        <f aca="false">IF(OR(#REF!&gt;2,#REF!&lt;-2),"",#REF!)</f>
        <v>#REF!</v>
      </c>
      <c r="EH17" s="7" t="e">
        <f aca="false">IF(OR(#REF!&gt;2,#REF!&lt;-2),"",#REF!)</f>
        <v>#REF!</v>
      </c>
      <c r="EI17" s="7" t="e">
        <f aca="false">IF(OR(#REF!&gt;2,#REF!&lt;-2),"",#REF!)</f>
        <v>#REF!</v>
      </c>
      <c r="EJ17" s="7" t="e">
        <f aca="false">IF(OR(#REF!&gt;2,#REF!&lt;-2),"",#REF!)</f>
        <v>#REF!</v>
      </c>
      <c r="EK17" s="7" t="e">
        <f aca="false">IF(OR(#REF!&gt;2,#REF!&lt;-2),"",#REF!)</f>
        <v>#REF!</v>
      </c>
      <c r="EL17" s="7" t="e">
        <f aca="false">IF(OR(#REF!&gt;2,#REF!&lt;-2),"",#REF!)</f>
        <v>#REF!</v>
      </c>
      <c r="EM17" s="7" t="e">
        <f aca="false">IF(OR(#REF!&gt;2,#REF!&lt;-2),"",#REF!)</f>
        <v>#REF!</v>
      </c>
      <c r="EN17" s="7" t="e">
        <f aca="false">IF(OR(#REF!&gt;2,#REF!&lt;-2),"",#REF!)</f>
        <v>#REF!</v>
      </c>
      <c r="EO17" s="7" t="e">
        <f aca="false">IF(OR(#REF!&gt;2,#REF!&lt;-2),"",#REF!)</f>
        <v>#REF!</v>
      </c>
      <c r="EP17" s="7" t="e">
        <f aca="false">IF(OR(#REF!&gt;2,#REF!&lt;-2),"",#REF!)</f>
        <v>#REF!</v>
      </c>
      <c r="EQ17" s="7" t="e">
        <f aca="false">IF(OR(#REF!&gt;2,#REF!&lt;-2),"",#REF!)</f>
        <v>#REF!</v>
      </c>
      <c r="ER17" s="7" t="e">
        <f aca="false">IF(OR(#REF!&gt;2,#REF!&lt;-2),"",#REF!)</f>
        <v>#REF!</v>
      </c>
      <c r="ES17" s="7" t="e">
        <f aca="false">IF(OR(#REF!&gt;2,#REF!&lt;-2),"",#REF!)</f>
        <v>#REF!</v>
      </c>
      <c r="ET17" s="7" t="e">
        <f aca="false">IF(OR(#REF!&gt;2,#REF!&lt;-2),"",#REF!)</f>
        <v>#REF!</v>
      </c>
      <c r="EU17" s="7" t="e">
        <f aca="false">IF(OR(#REF!&gt;2,#REF!&lt;-2),"",#REF!)</f>
        <v>#REF!</v>
      </c>
      <c r="EV17" s="7" t="e">
        <f aca="false">IF(OR(#REF!&gt;2,#REF!&lt;-2),"",#REF!)</f>
        <v>#REF!</v>
      </c>
      <c r="EW17" s="7" t="e">
        <f aca="false">IF(OR(#REF!&gt;2,#REF!&lt;-2),"",#REF!)</f>
        <v>#REF!</v>
      </c>
      <c r="EX17" s="7" t="e">
        <f aca="false">IF(OR(#REF!&gt;2,#REF!&lt;-2),"",#REF!)</f>
        <v>#REF!</v>
      </c>
      <c r="EY17" s="7" t="e">
        <f aca="false">IF(OR(#REF!&gt;2,#REF!&lt;-2),"",#REF!)</f>
        <v>#REF!</v>
      </c>
      <c r="EZ17" s="7" t="e">
        <f aca="false">IF(OR(#REF!&gt;2,#REF!&lt;-2),"",#REF!)</f>
        <v>#REF!</v>
      </c>
      <c r="FA17" s="7" t="e">
        <f aca="false">IF(OR(#REF!&gt;2,#REF!&lt;-2),"",#REF!)</f>
        <v>#REF!</v>
      </c>
      <c r="FB17" s="7" t="e">
        <f aca="false">IF(OR(#REF!&gt;2,#REF!&lt;-2),"",#REF!)</f>
        <v>#REF!</v>
      </c>
      <c r="FC17" s="7" t="e">
        <f aca="false">IF(OR(#REF!&gt;2,#REF!&lt;-2),"",#REF!)</f>
        <v>#REF!</v>
      </c>
      <c r="FD17" s="7" t="e">
        <f aca="false">IF(OR(#REF!&gt;2,#REF!&lt;-2),"",#REF!)</f>
        <v>#REF!</v>
      </c>
      <c r="FE17" s="7" t="e">
        <f aca="false">IF(OR(#REF!&gt;2,#REF!&lt;-2),"",#REF!)</f>
        <v>#REF!</v>
      </c>
      <c r="FF17" s="7" t="e">
        <f aca="false">IF(OR(#REF!&gt;2,#REF!&lt;-2),"",#REF!)</f>
        <v>#REF!</v>
      </c>
      <c r="FG17" s="7" t="e">
        <f aca="false">IF(OR(#REF!&gt;2,#REF!&lt;-2),"",#REF!)</f>
        <v>#REF!</v>
      </c>
      <c r="FH17" s="7" t="e">
        <f aca="false">IF(OR(#REF!&gt;2,#REF!&lt;-2),"",#REF!)</f>
        <v>#REF!</v>
      </c>
      <c r="FI17" s="7" t="e">
        <f aca="false">IF(OR(#REF!&gt;2,#REF!&lt;-2),"",#REF!)</f>
        <v>#REF!</v>
      </c>
      <c r="FJ17" s="7" t="e">
        <f aca="false">IF(OR(#REF!&gt;2,#REF!&lt;-2),"",#REF!)</f>
        <v>#REF!</v>
      </c>
      <c r="FK17" s="7" t="e">
        <f aca="false">IF(OR(#REF!&gt;2,#REF!&lt;-2),"",#REF!)</f>
        <v>#REF!</v>
      </c>
      <c r="FL17" s="7" t="e">
        <f aca="false">IF(OR(#REF!&gt;2,#REF!&lt;-2),"",#REF!)</f>
        <v>#REF!</v>
      </c>
      <c r="FM17" s="7" t="e">
        <f aca="false">IF(OR(#REF!&gt;2,#REF!&lt;-2),"",#REF!)</f>
        <v>#REF!</v>
      </c>
      <c r="FN17" s="7" t="e">
        <f aca="false">IF(OR(#REF!&gt;2,#REF!&lt;-2),"",#REF!)</f>
        <v>#REF!</v>
      </c>
      <c r="FO17" s="7" t="e">
        <f aca="false">IF(OR(#REF!&gt;2,#REF!&lt;-2),"",#REF!)</f>
        <v>#REF!</v>
      </c>
      <c r="FP17" s="7" t="e">
        <f aca="false">IF(OR(#REF!&gt;2,#REF!&lt;-2),"",#REF!)</f>
        <v>#REF!</v>
      </c>
      <c r="FQ17" s="7" t="e">
        <f aca="false">IF(OR(#REF!&gt;2,#REF!&lt;-2),"",#REF!)</f>
        <v>#REF!</v>
      </c>
      <c r="FR17" s="7" t="e">
        <f aca="false">IF(OR(#REF!&gt;2,#REF!&lt;-2),"",#REF!)</f>
        <v>#REF!</v>
      </c>
      <c r="FS17" s="7" t="e">
        <f aca="false">IF(OR(#REF!&gt;2,#REF!&lt;-2),"",#REF!)</f>
        <v>#REF!</v>
      </c>
      <c r="FT17" s="7" t="e">
        <f aca="false">IF(OR(#REF!&gt;2,#REF!&lt;-2),"",#REF!)</f>
        <v>#REF!</v>
      </c>
      <c r="FU17" s="7" t="e">
        <f aca="false">IF(OR(#REF!&gt;2,#REF!&lt;-2),"",#REF!)</f>
        <v>#REF!</v>
      </c>
      <c r="FV17" s="7" t="e">
        <f aca="false">IF(OR(#REF!&gt;2,#REF!&lt;-2),"",#REF!)</f>
        <v>#REF!</v>
      </c>
      <c r="FW17" s="7" t="e">
        <f aca="false">IF(OR(#REF!&gt;2,#REF!&lt;-2),"",#REF!)</f>
        <v>#REF!</v>
      </c>
      <c r="FX17" s="7" t="e">
        <f aca="false">IF(OR(#REF!&gt;2,#REF!&lt;-2),"",#REF!)</f>
        <v>#REF!</v>
      </c>
      <c r="FY17" s="7" t="e">
        <f aca="false">IF(OR(#REF!&gt;2,#REF!&lt;-2),"",#REF!)</f>
        <v>#REF!</v>
      </c>
      <c r="FZ17" s="7" t="e">
        <f aca="false">IF(OR(#REF!&gt;2,#REF!&lt;-2),"",#REF!)</f>
        <v>#REF!</v>
      </c>
      <c r="GA17" s="7" t="e">
        <f aca="false">IF(OR(#REF!&gt;2,#REF!&lt;-2),"",#REF!)</f>
        <v>#REF!</v>
      </c>
      <c r="GB17" s="7" t="e">
        <f aca="false">IF(OR(#REF!&gt;2,#REF!&lt;-2),"",#REF!)</f>
        <v>#REF!</v>
      </c>
      <c r="GC17" s="7" t="e">
        <f aca="false">IF(OR(#REF!&gt;2,#REF!&lt;-2),"",#REF!)</f>
        <v>#REF!</v>
      </c>
      <c r="GD17" s="7" t="e">
        <f aca="false">IF(OR(#REF!&gt;2,#REF!&lt;-2),"",#REF!)</f>
        <v>#REF!</v>
      </c>
      <c r="GE17" s="7" t="e">
        <f aca="false">IF(OR(#REF!&gt;2,#REF!&lt;-2),"",#REF!)</f>
        <v>#REF!</v>
      </c>
      <c r="GF17" s="7" t="e">
        <f aca="false">IF(OR(#REF!&gt;2,#REF!&lt;-2),"",#REF!)</f>
        <v>#REF!</v>
      </c>
      <c r="GG17" s="7" t="e">
        <f aca="false">IF(OR(#REF!&gt;2,#REF!&lt;-2),"",#REF!)</f>
        <v>#REF!</v>
      </c>
      <c r="GH17" s="7" t="e">
        <f aca="false">IF(OR(#REF!&gt;2,#REF!&lt;-2),"",#REF!)</f>
        <v>#REF!</v>
      </c>
      <c r="GI17" s="7" t="e">
        <f aca="false">IF(OR(#REF!&gt;2,#REF!&lt;-2),"",#REF!)</f>
        <v>#REF!</v>
      </c>
      <c r="GJ17" s="7" t="e">
        <f aca="false">IF(OR(#REF!&gt;2,#REF!&lt;-2),"",#REF!)</f>
        <v>#REF!</v>
      </c>
      <c r="GK17" s="7" t="e">
        <f aca="false">IF(OR(#REF!&gt;2,#REF!&lt;-2),"",#REF!)</f>
        <v>#REF!</v>
      </c>
      <c r="GL17" s="7" t="e">
        <f aca="false">IF(OR(#REF!&gt;2,#REF!&lt;-2),"",#REF!)</f>
        <v>#REF!</v>
      </c>
      <c r="GM17" s="7" t="e">
        <f aca="false">IF(OR(#REF!&gt;2,#REF!&lt;-2),"",#REF!)</f>
        <v>#REF!</v>
      </c>
      <c r="GN17" s="7" t="e">
        <f aca="false">IF(OR(#REF!&gt;2,#REF!&lt;-2),"",#REF!)</f>
        <v>#REF!</v>
      </c>
      <c r="GO17" s="7" t="e">
        <f aca="false">IF(OR(#REF!&gt;2,#REF!&lt;-2),"",#REF!)</f>
        <v>#REF!</v>
      </c>
      <c r="GP17" s="7" t="e">
        <f aca="false">IF(OR(#REF!&gt;2,#REF!&lt;-2),"",#REF!)</f>
        <v>#REF!</v>
      </c>
      <c r="GQ17" s="7" t="e">
        <f aca="false">IF(OR(#REF!&gt;2,#REF!&lt;-2),"",#REF!)</f>
        <v>#REF!</v>
      </c>
      <c r="GR17" s="7" t="e">
        <f aca="false">IF(OR(#REF!&gt;2,#REF!&lt;-2),"",#REF!)</f>
        <v>#REF!</v>
      </c>
      <c r="GS17" s="7" t="e">
        <f aca="false">IF(OR(#REF!&gt;2,#REF!&lt;-2),"",#REF!)</f>
        <v>#REF!</v>
      </c>
      <c r="GT17" s="7" t="e">
        <f aca="false">IF(OR(#REF!&gt;2,#REF!&lt;-2),"",#REF!)</f>
        <v>#REF!</v>
      </c>
      <c r="GU17" s="7" t="e">
        <f aca="false">IF(OR(#REF!&gt;2,#REF!&lt;-2),"",#REF!)</f>
        <v>#REF!</v>
      </c>
      <c r="GV17" s="7" t="e">
        <f aca="false">IF(OR(#REF!&gt;2,#REF!&lt;-2),"",#REF!)</f>
        <v>#REF!</v>
      </c>
      <c r="GW17" s="7" t="e">
        <f aca="false">IF(OR(#REF!&gt;2,#REF!&lt;-2),"",#REF!)</f>
        <v>#REF!</v>
      </c>
      <c r="GX17" s="7" t="e">
        <f aca="false">IF(OR(#REF!&gt;2,#REF!&lt;-2),"",#REF!)</f>
        <v>#REF!</v>
      </c>
      <c r="GY17" s="7" t="e">
        <f aca="false">IF(OR(#REF!&gt;2,#REF!&lt;-2),"",#REF!)</f>
        <v>#REF!</v>
      </c>
      <c r="GZ17" s="7" t="e">
        <f aca="false">IF(OR(#REF!&gt;2,#REF!&lt;-2),"",#REF!)</f>
        <v>#REF!</v>
      </c>
      <c r="HA17" s="7" t="e">
        <f aca="false">IF(OR(#REF!&gt;2,#REF!&lt;-2),"",#REF!)</f>
        <v>#REF!</v>
      </c>
      <c r="HB17" s="7" t="e">
        <f aca="false">IF(OR(#REF!&gt;2,#REF!&lt;-2),"",#REF!)</f>
        <v>#REF!</v>
      </c>
      <c r="HC17" s="7" t="e">
        <f aca="false">IF(OR(#REF!&gt;2,#REF!&lt;-2),"",#REF!)</f>
        <v>#REF!</v>
      </c>
      <c r="HD17" s="7" t="e">
        <f aca="false">IF(OR(#REF!&gt;2,#REF!&lt;-2),"",#REF!)</f>
        <v>#REF!</v>
      </c>
      <c r="HE17" s="7" t="e">
        <f aca="false">IF(OR(#REF!&gt;2,#REF!&lt;-2),"",#REF!)</f>
        <v>#REF!</v>
      </c>
      <c r="HF17" s="7" t="e">
        <f aca="false">IF(OR(#REF!&gt;2,#REF!&lt;-2),"",#REF!)</f>
        <v>#REF!</v>
      </c>
      <c r="HG17" s="7" t="e">
        <f aca="false">IF(OR(#REF!&gt;2,#REF!&lt;-2),"",#REF!)</f>
        <v>#REF!</v>
      </c>
      <c r="HH17" s="7" t="e">
        <f aca="false">IF(OR(#REF!&gt;2,#REF!&lt;-2),"",#REF!)</f>
        <v>#REF!</v>
      </c>
      <c r="HI17" s="7" t="e">
        <f aca="false">IF(OR(#REF!&gt;2,#REF!&lt;-2),"",#REF!)</f>
        <v>#REF!</v>
      </c>
      <c r="HJ17" s="7" t="e">
        <f aca="false">IF(OR(#REF!&gt;2,#REF!&lt;-2),"",#REF!)</f>
        <v>#REF!</v>
      </c>
      <c r="HK17" s="7" t="e">
        <f aca="false">IF(OR(#REF!&gt;2,#REF!&lt;-2),"",#REF!)</f>
        <v>#REF!</v>
      </c>
      <c r="HL17" s="7" t="e">
        <f aca="false">IF(OR(#REF!&gt;2,#REF!&lt;-2),"",#REF!)</f>
        <v>#REF!</v>
      </c>
      <c r="HM17" s="7" t="e">
        <f aca="false">IF(OR(#REF!&gt;2,#REF!&lt;-2),"",#REF!)</f>
        <v>#REF!</v>
      </c>
      <c r="HN17" s="7" t="e">
        <f aca="false">IF(OR(#REF!&gt;2,#REF!&lt;-2),"",#REF!)</f>
        <v>#REF!</v>
      </c>
      <c r="HO17" s="7" t="e">
        <f aca="false">IF(OR(#REF!&gt;2,#REF!&lt;-2),"",#REF!)</f>
        <v>#REF!</v>
      </c>
      <c r="HP17" s="7" t="e">
        <f aca="false">IF(OR(#REF!&gt;2,#REF!&lt;-2),"",#REF!)</f>
        <v>#REF!</v>
      </c>
      <c r="HQ17" s="7" t="e">
        <f aca="false">IF(OR(#REF!&gt;2,#REF!&lt;-2),"",#REF!)</f>
        <v>#REF!</v>
      </c>
      <c r="HR17" s="7" t="e">
        <f aca="false">IF(OR(#REF!&gt;2,#REF!&lt;-2),"",#REF!)</f>
        <v>#REF!</v>
      </c>
      <c r="HS17" s="7" t="e">
        <f aca="false">IF(OR(#REF!&gt;2,#REF!&lt;-2),"",#REF!)</f>
        <v>#REF!</v>
      </c>
      <c r="HT17" s="7" t="e">
        <f aca="false">IF(OR(#REF!&gt;2,#REF!&lt;-2),"",#REF!)</f>
        <v>#REF!</v>
      </c>
      <c r="HU17" s="7" t="e">
        <f aca="false">IF(OR(#REF!&gt;2,#REF!&lt;-2),"",#REF!)</f>
        <v>#REF!</v>
      </c>
      <c r="HV17" s="7" t="e">
        <f aca="false">IF(OR(#REF!&gt;2,#REF!&lt;-2),"",#REF!)</f>
        <v>#REF!</v>
      </c>
      <c r="HW17" s="7" t="e">
        <f aca="false">IF(OR(#REF!&gt;2,#REF!&lt;-2),"",#REF!)</f>
        <v>#REF!</v>
      </c>
      <c r="HX17" s="7" t="e">
        <f aca="false">IF(OR(#REF!&gt;2,#REF!&lt;-2),"",#REF!)</f>
        <v>#REF!</v>
      </c>
      <c r="HY17" s="7" t="e">
        <f aca="false">IF(OR(#REF!&gt;2,#REF!&lt;-2),"",#REF!)</f>
        <v>#REF!</v>
      </c>
      <c r="HZ17" s="7" t="e">
        <f aca="false">IF(OR(#REF!&gt;2,#REF!&lt;-2),"",#REF!)</f>
        <v>#REF!</v>
      </c>
      <c r="IA17" s="7" t="e">
        <f aca="false">IF(OR(#REF!&gt;2,#REF!&lt;-2),"",#REF!)</f>
        <v>#REF!</v>
      </c>
      <c r="IB17" s="7" t="e">
        <f aca="false">IF(OR(#REF!&gt;2,#REF!&lt;-2),"",#REF!)</f>
        <v>#REF!</v>
      </c>
      <c r="IC17" s="7" t="e">
        <f aca="false">IF(OR(#REF!&gt;2,#REF!&lt;-2),"",#REF!)</f>
        <v>#REF!</v>
      </c>
      <c r="ID17" s="7" t="e">
        <f aca="false">IF(OR(#REF!&gt;2,#REF!&lt;-2),"",#REF!)</f>
        <v>#REF!</v>
      </c>
      <c r="IE17" s="7" t="e">
        <f aca="false">IF(OR(#REF!&gt;2,#REF!&lt;-2),"",#REF!)</f>
        <v>#REF!</v>
      </c>
      <c r="IF17" s="7" t="e">
        <f aca="false">IF(OR(#REF!&gt;2,#REF!&lt;-2),"",#REF!)</f>
        <v>#REF!</v>
      </c>
      <c r="IG17" s="7" t="e">
        <f aca="false">IF(OR(#REF!&gt;2,#REF!&lt;-2),"",#REF!)</f>
        <v>#REF!</v>
      </c>
      <c r="IH17" s="7" t="e">
        <f aca="false">IF(OR(#REF!&gt;2,#REF!&lt;-2),"",#REF!)</f>
        <v>#REF!</v>
      </c>
      <c r="II17" s="7" t="e">
        <f aca="false">IF(OR(#REF!&gt;2,#REF!&lt;-2),"",#REF!)</f>
        <v>#REF!</v>
      </c>
      <c r="IJ17" s="7" t="e">
        <f aca="false">IF(OR(#REF!&gt;2,#REF!&lt;-2),"",#REF!)</f>
        <v>#REF!</v>
      </c>
      <c r="IK17" s="7" t="e">
        <f aca="false">IF(OR(#REF!&gt;2,#REF!&lt;-2),"",#REF!)</f>
        <v>#REF!</v>
      </c>
      <c r="IL17" s="7" t="e">
        <f aca="false">IF(OR(#REF!&gt;2,#REF!&lt;-2),"",#REF!)</f>
        <v>#REF!</v>
      </c>
      <c r="IM17" s="7" t="e">
        <f aca="false">IF(OR(#REF!&gt;2,#REF!&lt;-2),"",#REF!)</f>
        <v>#REF!</v>
      </c>
      <c r="IN17" s="7" t="e">
        <f aca="false">IF(OR(#REF!&gt;2,#REF!&lt;-2),"",#REF!)</f>
        <v>#REF!</v>
      </c>
      <c r="IO17" s="7" t="e">
        <f aca="false">IF(OR(#REF!&gt;2,#REF!&lt;-2),"",#REF!)</f>
        <v>#REF!</v>
      </c>
      <c r="IP17" s="7" t="e">
        <f aca="false">IF(OR(#REF!&gt;2,#REF!&lt;-2),"",#REF!)</f>
        <v>#REF!</v>
      </c>
      <c r="IQ17" s="7" t="e">
        <f aca="false">IF(OR(#REF!&gt;2,#REF!&lt;-2),"",#REF!)</f>
        <v>#REF!</v>
      </c>
      <c r="IR17" s="7" t="e">
        <f aca="false">IF(OR(#REF!&gt;2,#REF!&lt;-2),"",#REF!)</f>
        <v>#REF!</v>
      </c>
      <c r="IS17" s="7" t="e">
        <f aca="false">IF(OR(#REF!&gt;2,#REF!&lt;-2),"",#REF!)</f>
        <v>#REF!</v>
      </c>
      <c r="IT17" s="7" t="e">
        <f aca="false">IF(OR(#REF!&gt;2,#REF!&lt;-2),"",#REF!)</f>
        <v>#REF!</v>
      </c>
      <c r="IU17" s="7" t="e">
        <f aca="false">IF(OR(#REF!&gt;2,#REF!&lt;-2),"",#REF!)</f>
        <v>#REF!</v>
      </c>
      <c r="IV17" s="7" t="e">
        <f aca="false">IF(OR(#REF!&gt;2,#REF!&lt;-2),"",#REF!)</f>
        <v>#REF!</v>
      </c>
      <c r="IW17" s="7" t="e">
        <f aca="false">IF(OR(#REF!&gt;2,#REF!&lt;-2),"",#REF!)</f>
        <v>#REF!</v>
      </c>
      <c r="IX17" s="7" t="e">
        <f aca="false">IF(OR(#REF!&gt;2,#REF!&lt;-2),"",#REF!)</f>
        <v>#REF!</v>
      </c>
      <c r="IY17" s="7" t="e">
        <f aca="false">IF(OR(#REF!&gt;2,#REF!&lt;-2),"",#REF!)</f>
        <v>#REF!</v>
      </c>
      <c r="IZ17" s="7" t="e">
        <f aca="false">IF(OR(#REF!&gt;2,#REF!&lt;-2),"",#REF!)</f>
        <v>#REF!</v>
      </c>
      <c r="JA17" s="7" t="e">
        <f aca="false">IF(OR(#REF!&gt;2,#REF!&lt;-2),"",#REF!)</f>
        <v>#REF!</v>
      </c>
      <c r="JB17" s="7" t="e">
        <f aca="false">IF(OR(#REF!&gt;2,#REF!&lt;-2),"",#REF!)</f>
        <v>#REF!</v>
      </c>
      <c r="JC17" s="7" t="e">
        <f aca="false">IF(OR(#REF!&gt;2,#REF!&lt;-2),"",#REF!)</f>
        <v>#REF!</v>
      </c>
      <c r="JD17" s="7" t="e">
        <f aca="false">IF(OR(#REF!&gt;2,#REF!&lt;-2),"",#REF!)</f>
        <v>#REF!</v>
      </c>
      <c r="JE17" s="7" t="e">
        <f aca="false">IF(OR(#REF!&gt;2,#REF!&lt;-2),"",#REF!)</f>
        <v>#REF!</v>
      </c>
      <c r="JF17" s="7" t="e">
        <f aca="false">IF(OR(#REF!&gt;2,#REF!&lt;-2),"",#REF!)</f>
        <v>#REF!</v>
      </c>
      <c r="JG17" s="7" t="e">
        <f aca="false">IF(OR(#REF!&gt;2,#REF!&lt;-2),"",#REF!)</f>
        <v>#REF!</v>
      </c>
      <c r="JH17" s="7" t="e">
        <f aca="false">IF(OR(#REF!&gt;2,#REF!&lt;-2),"",#REF!)</f>
        <v>#REF!</v>
      </c>
      <c r="JI17" s="7" t="e">
        <f aca="false">IF(OR(#REF!&gt;2,#REF!&lt;-2),"",#REF!)</f>
        <v>#REF!</v>
      </c>
      <c r="JJ17" s="7" t="e">
        <f aca="false">IF(OR(#REF!&gt;2,#REF!&lt;-2),"",#REF!)</f>
        <v>#REF!</v>
      </c>
      <c r="JK17" s="7" t="e">
        <f aca="false">IF(OR(#REF!&gt;2,#REF!&lt;-2),"",#REF!)</f>
        <v>#REF!</v>
      </c>
      <c r="JL17" s="7" t="e">
        <f aca="false">IF(OR(#REF!&gt;2,#REF!&lt;-2),"",#REF!)</f>
        <v>#REF!</v>
      </c>
      <c r="JM17" s="7" t="e">
        <f aca="false">IF(OR(#REF!&gt;2,#REF!&lt;-2),"",#REF!)</f>
        <v>#REF!</v>
      </c>
      <c r="JN17" s="7" t="e">
        <f aca="false">IF(OR(#REF!&gt;2,#REF!&lt;-2),"",#REF!)</f>
        <v>#REF!</v>
      </c>
      <c r="JO17" s="7" t="e">
        <f aca="false">IF(OR(#REF!&gt;2,#REF!&lt;-2),"",#REF!)</f>
        <v>#REF!</v>
      </c>
      <c r="JP17" s="7" t="e">
        <f aca="false">IF(OR(#REF!&gt;2,#REF!&lt;-2),"",#REF!)</f>
        <v>#REF!</v>
      </c>
      <c r="JQ17" s="7" t="e">
        <f aca="false">IF(OR(#REF!&gt;2,#REF!&lt;-2),"",#REF!)</f>
        <v>#REF!</v>
      </c>
      <c r="JR17" s="7" t="e">
        <f aca="false">IF(OR(#REF!&gt;2,#REF!&lt;-2),"",#REF!)</f>
        <v>#REF!</v>
      </c>
      <c r="JS17" s="7" t="e">
        <f aca="false">IF(OR(#REF!&gt;2,#REF!&lt;-2),"",#REF!)</f>
        <v>#REF!</v>
      </c>
      <c r="JT17" s="7" t="e">
        <f aca="false">IF(OR(#REF!&gt;2,#REF!&lt;-2),"",#REF!)</f>
        <v>#REF!</v>
      </c>
      <c r="JU17" s="7" t="e">
        <f aca="false">IF(OR(#REF!&gt;2,#REF!&lt;-2),"",#REF!)</f>
        <v>#REF!</v>
      </c>
      <c r="JV17" s="7" t="e">
        <f aca="false">IF(OR(#REF!&gt;2,#REF!&lt;-2),"",#REF!)</f>
        <v>#REF!</v>
      </c>
      <c r="JW17" s="7" t="e">
        <f aca="false">IF(OR(#REF!&gt;2,#REF!&lt;-2),"",#REF!)</f>
        <v>#REF!</v>
      </c>
      <c r="JX17" s="7" t="e">
        <f aca="false">IF(OR(#REF!&gt;2,#REF!&lt;-2),"",#REF!)</f>
        <v>#REF!</v>
      </c>
      <c r="JY17" s="7" t="e">
        <f aca="false">IF(OR(#REF!&gt;2,#REF!&lt;-2),"",#REF!)</f>
        <v>#REF!</v>
      </c>
      <c r="JZ17" s="7" t="e">
        <f aca="false">IF(OR(#REF!&gt;2,#REF!&lt;-2),"",#REF!)</f>
        <v>#REF!</v>
      </c>
      <c r="KA17" s="7" t="e">
        <f aca="false">IF(OR(#REF!&gt;2,#REF!&lt;-2),"",#REF!)</f>
        <v>#REF!</v>
      </c>
      <c r="KB17" s="7" t="e">
        <f aca="false">IF(OR(#REF!&gt;2,#REF!&lt;-2),"",#REF!)</f>
        <v>#REF!</v>
      </c>
      <c r="KC17" s="7" t="e">
        <f aca="false">IF(OR(#REF!&gt;2,#REF!&lt;-2),"",#REF!)</f>
        <v>#REF!</v>
      </c>
      <c r="KD17" s="7" t="e">
        <f aca="false">IF(OR(#REF!&gt;2,#REF!&lt;-2),"",#REF!)</f>
        <v>#REF!</v>
      </c>
      <c r="KE17" s="7" t="e">
        <f aca="false">IF(OR(#REF!&gt;2,#REF!&lt;-2),"",#REF!)</f>
        <v>#REF!</v>
      </c>
      <c r="KF17" s="7" t="e">
        <f aca="false">IF(OR(#REF!&gt;2,#REF!&lt;-2),"",#REF!)</f>
        <v>#REF!</v>
      </c>
      <c r="KG17" s="7" t="e">
        <f aca="false">IF(OR(#REF!&gt;2,#REF!&lt;-2),"",#REF!)</f>
        <v>#REF!</v>
      </c>
      <c r="KH17" s="7" t="e">
        <f aca="false">IF(OR(#REF!&gt;2,#REF!&lt;-2),"",#REF!)</f>
        <v>#REF!</v>
      </c>
      <c r="KI17" s="7" t="e">
        <f aca="false">IF(OR(#REF!&gt;2,#REF!&lt;-2),"",#REF!)</f>
        <v>#REF!</v>
      </c>
      <c r="KJ17" s="7" t="e">
        <f aca="false">IF(OR(#REF!&gt;2,#REF!&lt;-2),"",#REF!)</f>
        <v>#REF!</v>
      </c>
      <c r="KK17" s="7" t="e">
        <f aca="false">IF(OR(#REF!&gt;2,#REF!&lt;-2),"",#REF!)</f>
        <v>#REF!</v>
      </c>
      <c r="KL17" s="7" t="e">
        <f aca="false">IF(OR(#REF!&gt;2,#REF!&lt;-2),"",#REF!)</f>
        <v>#REF!</v>
      </c>
      <c r="KM17" s="7" t="e">
        <f aca="false">IF(OR(#REF!&gt;2,#REF!&lt;-2),"",#REF!)</f>
        <v>#REF!</v>
      </c>
      <c r="KN17" s="7" t="e">
        <f aca="false">IF(OR(#REF!&gt;2,#REF!&lt;-2),"",#REF!)</f>
        <v>#REF!</v>
      </c>
      <c r="KO17" s="7" t="e">
        <f aca="false">IF(OR(#REF!&gt;2,#REF!&lt;-2),"",#REF!)</f>
        <v>#REF!</v>
      </c>
      <c r="KP17" s="7" t="e">
        <f aca="false">IF(OR(#REF!&gt;2,#REF!&lt;-2),"",#REF!)</f>
        <v>#REF!</v>
      </c>
      <c r="KQ17" s="7" t="e">
        <f aca="false">IF(OR(#REF!&gt;2,#REF!&lt;-2),"",#REF!)</f>
        <v>#REF!</v>
      </c>
      <c r="KR17" s="7" t="e">
        <f aca="false">IF(OR(#REF!&gt;2,#REF!&lt;-2),"",#REF!)</f>
        <v>#REF!</v>
      </c>
      <c r="KS17" s="7" t="e">
        <f aca="false">IF(OR(#REF!&gt;2,#REF!&lt;-2),"",#REF!)</f>
        <v>#REF!</v>
      </c>
      <c r="KT17" s="7" t="e">
        <f aca="false">IF(OR(#REF!&gt;2,#REF!&lt;-2),"",#REF!)</f>
        <v>#REF!</v>
      </c>
      <c r="KU17" s="7" t="e">
        <f aca="false">IF(OR(#REF!&gt;2,#REF!&lt;-2),"",#REF!)</f>
        <v>#REF!</v>
      </c>
      <c r="KV17" s="7" t="e">
        <f aca="false">IF(OR(#REF!&gt;2,#REF!&lt;-2),"",#REF!)</f>
        <v>#REF!</v>
      </c>
      <c r="KW17" s="7" t="e">
        <f aca="false">IF(OR(#REF!&gt;2,#REF!&lt;-2),"",#REF!)</f>
        <v>#REF!</v>
      </c>
      <c r="KX17" s="7" t="e">
        <f aca="false">IF(OR(#REF!&gt;2,#REF!&lt;-2),"",#REF!)</f>
        <v>#REF!</v>
      </c>
      <c r="KY17" s="7" t="e">
        <f aca="false">IF(OR(#REF!&gt;2,#REF!&lt;-2),"",#REF!)</f>
        <v>#REF!</v>
      </c>
      <c r="KZ17" s="7" t="e">
        <f aca="false">IF(OR(#REF!&gt;2,#REF!&lt;-2),"",#REF!)</f>
        <v>#REF!</v>
      </c>
      <c r="LA17" s="7" t="e">
        <f aca="false">IF(OR(#REF!&gt;2,#REF!&lt;-2),"",#REF!)</f>
        <v>#REF!</v>
      </c>
      <c r="LB17" s="7" t="e">
        <f aca="false">IF(OR(#REF!&gt;2,#REF!&lt;-2),"",#REF!)</f>
        <v>#REF!</v>
      </c>
      <c r="LC17" s="7" t="e">
        <f aca="false">IF(OR(#REF!&gt;2,#REF!&lt;-2),"",#REF!)</f>
        <v>#REF!</v>
      </c>
      <c r="LD17" s="7" t="e">
        <f aca="false">IF(OR(#REF!&gt;2,#REF!&lt;-2),"",#REF!)</f>
        <v>#REF!</v>
      </c>
      <c r="LE17" s="7" t="e">
        <f aca="false">IF(OR(#REF!&gt;2,#REF!&lt;-2),"",#REF!)</f>
        <v>#REF!</v>
      </c>
      <c r="LF17" s="7" t="e">
        <f aca="false">IF(OR(#REF!&gt;2,#REF!&lt;-2),"",#REF!)</f>
        <v>#REF!</v>
      </c>
      <c r="LG17" s="7" t="e">
        <f aca="false">IF(OR(#REF!&gt;2,#REF!&lt;-2),"",#REF!)</f>
        <v>#REF!</v>
      </c>
      <c r="LH17" s="7" t="e">
        <f aca="false">IF(OR(#REF!&gt;2,#REF!&lt;-2),"",#REF!)</f>
        <v>#REF!</v>
      </c>
      <c r="LI17" s="7" t="e">
        <f aca="false">IF(OR(#REF!&gt;2,#REF!&lt;-2),"",#REF!)</f>
        <v>#REF!</v>
      </c>
      <c r="LJ17" s="7" t="e">
        <f aca="false">IF(OR(#REF!&gt;2,#REF!&lt;-2),"",#REF!)</f>
        <v>#REF!</v>
      </c>
      <c r="LK17" s="7" t="e">
        <f aca="false">IF(OR(#REF!&gt;2,#REF!&lt;-2),"",#REF!)</f>
        <v>#REF!</v>
      </c>
      <c r="LL17" s="7" t="e">
        <f aca="false">IF(OR(#REF!&gt;2,#REF!&lt;-2),"",#REF!)</f>
        <v>#REF!</v>
      </c>
      <c r="LM17" s="7" t="e">
        <f aca="false">IF(OR(#REF!&gt;2,#REF!&lt;-2),"",#REF!)</f>
        <v>#REF!</v>
      </c>
      <c r="LN17" s="7" t="e">
        <f aca="false">IF(OR(#REF!&gt;2,#REF!&lt;-2),"",#REF!)</f>
        <v>#REF!</v>
      </c>
      <c r="LO17" s="7" t="e">
        <f aca="false">IF(OR(#REF!&gt;2,#REF!&lt;-2),"",#REF!)</f>
        <v>#REF!</v>
      </c>
      <c r="LP17" s="7" t="e">
        <f aca="false">IF(OR(#REF!&gt;2,#REF!&lt;-2),"",#REF!)</f>
        <v>#REF!</v>
      </c>
      <c r="LQ17" s="7" t="e">
        <f aca="false">IF(OR(#REF!&gt;2,#REF!&lt;-2),"",#REF!)</f>
        <v>#REF!</v>
      </c>
      <c r="LR17" s="7" t="e">
        <f aca="false">IF(OR(#REF!&gt;2,#REF!&lt;-2),"",#REF!)</f>
        <v>#REF!</v>
      </c>
      <c r="LS17" s="7" t="e">
        <f aca="false">IF(OR(#REF!&gt;2,#REF!&lt;-2),"",#REF!)</f>
        <v>#REF!</v>
      </c>
      <c r="LT17" s="7" t="e">
        <f aca="false">IF(OR(#REF!&gt;2,#REF!&lt;-2),"",#REF!)</f>
        <v>#REF!</v>
      </c>
      <c r="LU17" s="7" t="e">
        <f aca="false">IF(OR(#REF!&gt;2,#REF!&lt;-2),"",#REF!)</f>
        <v>#REF!</v>
      </c>
      <c r="LV17" s="7" t="e">
        <f aca="false">IF(OR(#REF!&gt;2,#REF!&lt;-2),"",#REF!)</f>
        <v>#REF!</v>
      </c>
      <c r="LW17" s="7" t="e">
        <f aca="false">IF(OR(#REF!&gt;2,#REF!&lt;-2),"",#REF!)</f>
        <v>#REF!</v>
      </c>
      <c r="LX17" s="7" t="e">
        <f aca="false">IF(OR(#REF!&gt;2,#REF!&lt;-2),"",#REF!)</f>
        <v>#REF!</v>
      </c>
      <c r="LY17" s="7" t="e">
        <f aca="false">IF(OR(#REF!&gt;2,#REF!&lt;-2),"",#REF!)</f>
        <v>#REF!</v>
      </c>
      <c r="LZ17" s="7" t="e">
        <f aca="false">IF(OR(#REF!&gt;2,#REF!&lt;-2),"",#REF!)</f>
        <v>#REF!</v>
      </c>
      <c r="MA17" s="7" t="e">
        <f aca="false">IF(OR(#REF!&gt;2,#REF!&lt;-2),"",#REF!)</f>
        <v>#REF!</v>
      </c>
      <c r="MB17" s="7" t="e">
        <f aca="false">IF(OR(#REF!&gt;2,#REF!&lt;-2),"",#REF!)</f>
        <v>#REF!</v>
      </c>
      <c r="MC17" s="7" t="e">
        <f aca="false">IF(OR(#REF!&gt;2,#REF!&lt;-2),"",#REF!)</f>
        <v>#REF!</v>
      </c>
      <c r="MD17" s="7" t="e">
        <f aca="false">IF(OR(#REF!&gt;2,#REF!&lt;-2),"",#REF!)</f>
        <v>#REF!</v>
      </c>
      <c r="ME17" s="7" t="e">
        <f aca="false">IF(OR(#REF!&gt;2,#REF!&lt;-2),"",#REF!)</f>
        <v>#REF!</v>
      </c>
      <c r="MF17" s="7" t="e">
        <f aca="false">IF(OR(#REF!&gt;2,#REF!&lt;-2),"",#REF!)</f>
        <v>#REF!</v>
      </c>
      <c r="MG17" s="7" t="e">
        <f aca="false">IF(OR(#REF!&gt;2,#REF!&lt;-2),"",#REF!)</f>
        <v>#REF!</v>
      </c>
      <c r="MH17" s="7" t="e">
        <f aca="false">IF(OR(#REF!&gt;2,#REF!&lt;-2),"",#REF!)</f>
        <v>#REF!</v>
      </c>
      <c r="MI17" s="7" t="e">
        <f aca="false">IF(OR(#REF!&gt;2,#REF!&lt;-2),"",#REF!)</f>
        <v>#REF!</v>
      </c>
      <c r="MJ17" s="7" t="e">
        <f aca="false">IF(OR(#REF!&gt;2,#REF!&lt;-2),"",#REF!)</f>
        <v>#REF!</v>
      </c>
      <c r="MK17" s="7" t="e">
        <f aca="false">IF(OR(#REF!&gt;2,#REF!&lt;-2),"",#REF!)</f>
        <v>#REF!</v>
      </c>
      <c r="ML17" s="7" t="e">
        <f aca="false">IF(OR(#REF!&gt;2,#REF!&lt;-2),"",#REF!)</f>
        <v>#REF!</v>
      </c>
      <c r="MM17" s="7" t="e">
        <f aca="false">IF(OR(#REF!&gt;2,#REF!&lt;-2),"",#REF!)</f>
        <v>#REF!</v>
      </c>
      <c r="MN17" s="7" t="e">
        <f aca="false">IF(OR(#REF!&gt;2,#REF!&lt;-2),"",#REF!)</f>
        <v>#REF!</v>
      </c>
      <c r="MO17" s="7" t="e">
        <f aca="false">IF(OR(#REF!&gt;2,#REF!&lt;-2),"",#REF!)</f>
        <v>#REF!</v>
      </c>
      <c r="MP17" s="7" t="e">
        <f aca="false">IF(OR(#REF!&gt;2,#REF!&lt;-2),"",#REF!)</f>
        <v>#REF!</v>
      </c>
      <c r="MQ17" s="7" t="e">
        <f aca="false">IF(OR(#REF!&gt;2,#REF!&lt;-2),"",#REF!)</f>
        <v>#REF!</v>
      </c>
      <c r="MR17" s="7" t="e">
        <f aca="false">IF(OR(#REF!&gt;2,#REF!&lt;-2),"",#REF!)</f>
        <v>#REF!</v>
      </c>
      <c r="MS17" s="7" t="e">
        <f aca="false">IF(OR(#REF!&gt;2,#REF!&lt;-2),"",#REF!)</f>
        <v>#REF!</v>
      </c>
      <c r="MT17" s="7" t="e">
        <f aca="false">IF(OR(#REF!&gt;2,#REF!&lt;-2),"",#REF!)</f>
        <v>#REF!</v>
      </c>
      <c r="MU17" s="7" t="e">
        <f aca="false">IF(OR(#REF!&gt;2,#REF!&lt;-2),"",#REF!)</f>
        <v>#REF!</v>
      </c>
      <c r="MV17" s="7" t="e">
        <f aca="false">IF(OR(#REF!&gt;2,#REF!&lt;-2),"",#REF!)</f>
        <v>#REF!</v>
      </c>
      <c r="MW17" s="7" t="e">
        <f aca="false">IF(OR(#REF!&gt;2,#REF!&lt;-2),"",#REF!)</f>
        <v>#REF!</v>
      </c>
      <c r="MX17" s="7" t="e">
        <f aca="false">IF(OR(#REF!&gt;2,#REF!&lt;-2),"",#REF!)</f>
        <v>#REF!</v>
      </c>
      <c r="MY17" s="7" t="e">
        <f aca="false">IF(OR(#REF!&gt;2,#REF!&lt;-2),"",#REF!)</f>
        <v>#REF!</v>
      </c>
      <c r="MZ17" s="7" t="e">
        <f aca="false">IF(OR(#REF!&gt;2,#REF!&lt;-2),"",#REF!)</f>
        <v>#REF!</v>
      </c>
      <c r="NA17" s="7" t="e">
        <f aca="false">IF(OR(#REF!&gt;2,#REF!&lt;-2),"",#REF!)</f>
        <v>#REF!</v>
      </c>
      <c r="NB17" s="7" t="e">
        <f aca="false">IF(OR(#REF!&gt;2,#REF!&lt;-2),"",#REF!)</f>
        <v>#REF!</v>
      </c>
      <c r="NC17" s="7" t="e">
        <f aca="false">IF(OR(#REF!&gt;2,#REF!&lt;-2),"",#REF!)</f>
        <v>#REF!</v>
      </c>
      <c r="ND17" s="7" t="e">
        <f aca="false">IF(OR(#REF!&gt;2,#REF!&lt;-2),"",#REF!)</f>
        <v>#REF!</v>
      </c>
      <c r="NE17" s="7" t="e">
        <f aca="false">IF(OR(#REF!&gt;2,#REF!&lt;-2),"",#REF!)</f>
        <v>#REF!</v>
      </c>
      <c r="NF17" s="7" t="e">
        <f aca="false">IF(OR(#REF!&gt;2,#REF!&lt;-2),"",#REF!)</f>
        <v>#REF!</v>
      </c>
      <c r="NG17" s="7" t="e">
        <f aca="false">IF(OR(#REF!&gt;2,#REF!&lt;-2),"",#REF!)</f>
        <v>#REF!</v>
      </c>
      <c r="NH17" s="7" t="e">
        <f aca="false">IF(OR(#REF!&gt;2,#REF!&lt;-2),"",#REF!)</f>
        <v>#REF!</v>
      </c>
      <c r="NI17" s="7" t="e">
        <f aca="false">IF(OR(#REF!&gt;2,#REF!&lt;-2),"",#REF!)</f>
        <v>#REF!</v>
      </c>
      <c r="NJ17" s="7" t="e">
        <f aca="false">IF(OR(#REF!&gt;2,#REF!&lt;-2),"",#REF!)</f>
        <v>#REF!</v>
      </c>
      <c r="NK17" s="7" t="e">
        <f aca="false">IF(OR(#REF!&gt;2,#REF!&lt;-2),"",#REF!)</f>
        <v>#REF!</v>
      </c>
      <c r="NL17" s="7" t="e">
        <f aca="false">IF(OR(#REF!&gt;2,#REF!&lt;-2),"",#REF!)</f>
        <v>#REF!</v>
      </c>
      <c r="NM17" s="7" t="e">
        <f aca="false">IF(OR(#REF!&gt;2,#REF!&lt;-2),"",#REF!)</f>
        <v>#REF!</v>
      </c>
      <c r="NN17" s="7" t="e">
        <f aca="false">IF(OR(#REF!&gt;2,#REF!&lt;-2),"",#REF!)</f>
        <v>#REF!</v>
      </c>
      <c r="NO17" s="7" t="e">
        <f aca="false">IF(OR(#REF!&gt;2,#REF!&lt;-2),"",#REF!)</f>
        <v>#REF!</v>
      </c>
      <c r="NP17" s="7" t="e">
        <f aca="false">IF(OR(#REF!&gt;2,#REF!&lt;-2),"",#REF!)</f>
        <v>#REF!</v>
      </c>
      <c r="NQ17" s="7" t="e">
        <f aca="false">IF(OR(#REF!&gt;2,#REF!&lt;-2),"",#REF!)</f>
        <v>#REF!</v>
      </c>
      <c r="NR17" s="7" t="e">
        <f aca="false">IF(OR(#REF!&gt;2,#REF!&lt;-2),"",#REF!)</f>
        <v>#REF!</v>
      </c>
      <c r="NS17" s="7" t="e">
        <f aca="false">IF(OR(#REF!&gt;2,#REF!&lt;-2),"",#REF!)</f>
        <v>#REF!</v>
      </c>
      <c r="NT17" s="7" t="e">
        <f aca="false">IF(OR(#REF!&gt;2,#REF!&lt;-2),"",#REF!)</f>
        <v>#REF!</v>
      </c>
      <c r="NU17" s="7" t="e">
        <f aca="false">IF(OR(#REF!&gt;2,#REF!&lt;-2),"",#REF!)</f>
        <v>#REF!</v>
      </c>
      <c r="NV17" s="7" t="e">
        <f aca="false">IF(OR(#REF!&gt;2,#REF!&lt;-2),"",#REF!)</f>
        <v>#REF!</v>
      </c>
      <c r="NW17" s="7" t="e">
        <f aca="false">IF(OR(#REF!&gt;2,#REF!&lt;-2),"",#REF!)</f>
        <v>#REF!</v>
      </c>
      <c r="NX17" s="7" t="e">
        <f aca="false">IF(OR(#REF!&gt;2,#REF!&lt;-2),"",#REF!)</f>
        <v>#REF!</v>
      </c>
      <c r="NY17" s="7" t="e">
        <f aca="false">IF(OR(#REF!&gt;2,#REF!&lt;-2),"",#REF!)</f>
        <v>#REF!</v>
      </c>
      <c r="NZ17" s="7" t="e">
        <f aca="false">IF(OR(#REF!&gt;2,#REF!&lt;-2),"",#REF!)</f>
        <v>#REF!</v>
      </c>
      <c r="OA17" s="7" t="e">
        <f aca="false">IF(OR(#REF!&gt;2,#REF!&lt;-2),"",#REF!)</f>
        <v>#REF!</v>
      </c>
      <c r="OB17" s="7" t="e">
        <f aca="false">IF(OR(#REF!&gt;2,#REF!&lt;-2),"",#REF!)</f>
        <v>#REF!</v>
      </c>
      <c r="OC17" s="7" t="e">
        <f aca="false">IF(OR(#REF!&gt;2,#REF!&lt;-2),"",#REF!)</f>
        <v>#REF!</v>
      </c>
      <c r="OD17" s="7" t="e">
        <f aca="false">IF(OR(#REF!&gt;2,#REF!&lt;-2),"",#REF!)</f>
        <v>#REF!</v>
      </c>
      <c r="OE17" s="7" t="e">
        <f aca="false">IF(OR(#REF!&gt;2,#REF!&lt;-2),"",#REF!)</f>
        <v>#REF!</v>
      </c>
      <c r="OF17" s="7" t="e">
        <f aca="false">IF(OR(#REF!&gt;2,#REF!&lt;-2),"",#REF!)</f>
        <v>#REF!</v>
      </c>
      <c r="OG17" s="7" t="e">
        <f aca="false">IF(OR(#REF!&gt;2,#REF!&lt;-2),"",#REF!)</f>
        <v>#REF!</v>
      </c>
      <c r="OH17" s="7" t="e">
        <f aca="false">IF(OR(#REF!&gt;2,#REF!&lt;-2),"",#REF!)</f>
        <v>#REF!</v>
      </c>
      <c r="OI17" s="7" t="e">
        <f aca="false">IF(OR(#REF!&gt;2,#REF!&lt;-2),"",#REF!)</f>
        <v>#REF!</v>
      </c>
      <c r="OJ17" s="7" t="e">
        <f aca="false">IF(OR(#REF!&gt;2,#REF!&lt;-2),"",#REF!)</f>
        <v>#REF!</v>
      </c>
      <c r="OK17" s="7" t="e">
        <f aca="false">IF(OR(#REF!&gt;2,#REF!&lt;-2),"",#REF!)</f>
        <v>#REF!</v>
      </c>
      <c r="OL17" s="7" t="e">
        <f aca="false">IF(OR(#REF!&gt;2,#REF!&lt;-2),"",#REF!)</f>
        <v>#REF!</v>
      </c>
      <c r="OM17" s="7" t="e">
        <f aca="false">IF(OR(#REF!&gt;2,#REF!&lt;-2),"",#REF!)</f>
        <v>#REF!</v>
      </c>
      <c r="ON17" s="7" t="e">
        <f aca="false">IF(OR(#REF!&gt;2,#REF!&lt;-2),"",#REF!)</f>
        <v>#REF!</v>
      </c>
      <c r="OO17" s="7" t="e">
        <f aca="false">IF(OR(#REF!&gt;2,#REF!&lt;-2),"",#REF!)</f>
        <v>#REF!</v>
      </c>
      <c r="OP17" s="7" t="e">
        <f aca="false">IF(OR(#REF!&gt;2,#REF!&lt;-2),"",#REF!)</f>
        <v>#REF!</v>
      </c>
      <c r="OQ17" s="7" t="e">
        <f aca="false">IF(OR(#REF!&gt;2,#REF!&lt;-2),"",#REF!)</f>
        <v>#REF!</v>
      </c>
      <c r="OR17" s="7" t="e">
        <f aca="false">IF(OR(#REF!&gt;2,#REF!&lt;-2),"",#REF!)</f>
        <v>#REF!</v>
      </c>
      <c r="OS17" s="7" t="e">
        <f aca="false">IF(OR(#REF!&gt;2,#REF!&lt;-2),"",#REF!)</f>
        <v>#REF!</v>
      </c>
      <c r="OT17" s="7" t="e">
        <f aca="false">IF(OR(#REF!&gt;2,#REF!&lt;-2),"",#REF!)</f>
        <v>#REF!</v>
      </c>
      <c r="OU17" s="7" t="e">
        <f aca="false">IF(OR(#REF!&gt;2,#REF!&lt;-2),"",#REF!)</f>
        <v>#REF!</v>
      </c>
      <c r="OV17" s="7" t="e">
        <f aca="false">IF(OR(#REF!&gt;2,#REF!&lt;-2),"",#REF!)</f>
        <v>#REF!</v>
      </c>
      <c r="OW17" s="7" t="e">
        <f aca="false">IF(OR(#REF!&gt;2,#REF!&lt;-2),"",#REF!)</f>
        <v>#REF!</v>
      </c>
      <c r="OX17" s="7" t="e">
        <f aca="false">IF(OR(#REF!&gt;2,#REF!&lt;-2),"",#REF!)</f>
        <v>#REF!</v>
      </c>
      <c r="OY17" s="7" t="e">
        <f aca="false">IF(OR(#REF!&gt;2,#REF!&lt;-2),"",#REF!)</f>
        <v>#REF!</v>
      </c>
      <c r="OZ17" s="7" t="e">
        <f aca="false">IF(OR(#REF!&gt;2,#REF!&lt;-2),"",#REF!)</f>
        <v>#REF!</v>
      </c>
      <c r="PA17" s="7" t="e">
        <f aca="false">IF(OR(#REF!&gt;2,#REF!&lt;-2),"",#REF!)</f>
        <v>#REF!</v>
      </c>
      <c r="PB17" s="7" t="e">
        <f aca="false">IF(OR(#REF!&gt;2,#REF!&lt;-2),"",#REF!)</f>
        <v>#REF!</v>
      </c>
      <c r="PC17" s="7" t="e">
        <f aca="false">IF(OR(#REF!&gt;2,#REF!&lt;-2),"",#REF!)</f>
        <v>#REF!</v>
      </c>
      <c r="PD17" s="7" t="e">
        <f aca="false">IF(OR(#REF!&gt;2,#REF!&lt;-2),"",#REF!)</f>
        <v>#REF!</v>
      </c>
      <c r="PE17" s="7" t="e">
        <f aca="false">IF(OR(#REF!&gt;2,#REF!&lt;-2),"",#REF!)</f>
        <v>#REF!</v>
      </c>
      <c r="PF17" s="7" t="e">
        <f aca="false">IF(OR(#REF!&gt;2,#REF!&lt;-2),"",#REF!)</f>
        <v>#REF!</v>
      </c>
      <c r="PG17" s="7" t="e">
        <f aca="false">IF(OR(#REF!&gt;2,#REF!&lt;-2),"",#REF!)</f>
        <v>#REF!</v>
      </c>
      <c r="PH17" s="7" t="e">
        <f aca="false">IF(OR(#REF!&gt;2,#REF!&lt;-2),"",#REF!)</f>
        <v>#REF!</v>
      </c>
      <c r="PI17" s="7" t="e">
        <f aca="false">IF(OR(#REF!&gt;2,#REF!&lt;-2),"",#REF!)</f>
        <v>#REF!</v>
      </c>
      <c r="PJ17" s="7" t="e">
        <f aca="false">IF(OR(#REF!&gt;2,#REF!&lt;-2),"",#REF!)</f>
        <v>#REF!</v>
      </c>
      <c r="PK17" s="7" t="e">
        <f aca="false">IF(OR(#REF!&gt;2,#REF!&lt;-2),"",#REF!)</f>
        <v>#REF!</v>
      </c>
      <c r="PL17" s="7" t="e">
        <f aca="false">IF(OR(#REF!&gt;2,#REF!&lt;-2),"",#REF!)</f>
        <v>#REF!</v>
      </c>
      <c r="PM17" s="7" t="e">
        <f aca="false">IF(OR(#REF!&gt;2,#REF!&lt;-2),"",#REF!)</f>
        <v>#REF!</v>
      </c>
      <c r="PN17" s="7" t="e">
        <f aca="false">IF(OR(#REF!&gt;2,#REF!&lt;-2),"",#REF!)</f>
        <v>#REF!</v>
      </c>
      <c r="PO17" s="7" t="e">
        <f aca="false">IF(OR(#REF!&gt;2,#REF!&lt;-2),"",#REF!)</f>
        <v>#REF!</v>
      </c>
      <c r="PP17" s="7" t="e">
        <f aca="false">IF(OR(#REF!&gt;2,#REF!&lt;-2),"",#REF!)</f>
        <v>#REF!</v>
      </c>
      <c r="PQ17" s="7" t="e">
        <f aca="false">IF(OR(#REF!&gt;2,#REF!&lt;-2),"",#REF!)</f>
        <v>#REF!</v>
      </c>
      <c r="PR17" s="7" t="e">
        <f aca="false">IF(OR(#REF!&gt;2,#REF!&lt;-2),"",#REF!)</f>
        <v>#REF!</v>
      </c>
      <c r="PS17" s="7" t="e">
        <f aca="false">IF(OR(#REF!&gt;2,#REF!&lt;-2),"",#REF!)</f>
        <v>#REF!</v>
      </c>
      <c r="PT17" s="7" t="e">
        <f aca="false">IF(OR(#REF!&gt;2,#REF!&lt;-2),"",#REF!)</f>
        <v>#REF!</v>
      </c>
      <c r="PU17" s="7" t="e">
        <f aca="false">IF(OR(#REF!&gt;2,#REF!&lt;-2),"",#REF!)</f>
        <v>#REF!</v>
      </c>
      <c r="PV17" s="7" t="e">
        <f aca="false">IF(OR(#REF!&gt;2,#REF!&lt;-2),"",#REF!)</f>
        <v>#REF!</v>
      </c>
      <c r="PW17" s="7" t="e">
        <f aca="false">IF(OR(#REF!&gt;2,#REF!&lt;-2),"",#REF!)</f>
        <v>#REF!</v>
      </c>
      <c r="PX17" s="7" t="e">
        <f aca="false">IF(OR(#REF!&gt;2,#REF!&lt;-2),"",#REF!)</f>
        <v>#REF!</v>
      </c>
      <c r="PY17" s="7" t="e">
        <f aca="false">IF(OR(#REF!&gt;2,#REF!&lt;-2),"",#REF!)</f>
        <v>#REF!</v>
      </c>
      <c r="PZ17" s="7" t="e">
        <f aca="false">IF(OR(#REF!&gt;2,#REF!&lt;-2),"",#REF!)</f>
        <v>#REF!</v>
      </c>
      <c r="QA17" s="7" t="e">
        <f aca="false">IF(OR(#REF!&gt;2,#REF!&lt;-2),"",#REF!)</f>
        <v>#REF!</v>
      </c>
      <c r="QB17" s="7" t="e">
        <f aca="false">IF(OR(#REF!&gt;2,#REF!&lt;-2),"",#REF!)</f>
        <v>#REF!</v>
      </c>
      <c r="QC17" s="7" t="e">
        <f aca="false">IF(OR(#REF!&gt;2,#REF!&lt;-2),"",#REF!)</f>
        <v>#REF!</v>
      </c>
      <c r="QD17" s="7" t="e">
        <f aca="false">IF(OR(#REF!&gt;2,#REF!&lt;-2),"",#REF!)</f>
        <v>#REF!</v>
      </c>
      <c r="QE17" s="7" t="e">
        <f aca="false">IF(OR(#REF!&gt;2,#REF!&lt;-2),"",#REF!)</f>
        <v>#REF!</v>
      </c>
      <c r="QF17" s="7" t="e">
        <f aca="false">IF(OR(#REF!&gt;2,#REF!&lt;-2),"",#REF!)</f>
        <v>#REF!</v>
      </c>
      <c r="QG17" s="7" t="e">
        <f aca="false">IF(OR(#REF!&gt;2,#REF!&lt;-2),"",#REF!)</f>
        <v>#REF!</v>
      </c>
      <c r="QH17" s="7" t="e">
        <f aca="false">IF(OR(#REF!&gt;2,#REF!&lt;-2),"",#REF!)</f>
        <v>#REF!</v>
      </c>
      <c r="QI17" s="7" t="e">
        <f aca="false">IF(OR(#REF!&gt;2,#REF!&lt;-2),"",#REF!)</f>
        <v>#REF!</v>
      </c>
      <c r="QJ17" s="7" t="e">
        <f aca="false">IF(OR(#REF!&gt;2,#REF!&lt;-2),"",#REF!)</f>
        <v>#REF!</v>
      </c>
      <c r="QK17" s="7" t="e">
        <f aca="false">IF(OR(#REF!&gt;2,#REF!&lt;-2),"",#REF!)</f>
        <v>#REF!</v>
      </c>
      <c r="QL17" s="7" t="e">
        <f aca="false">IF(OR(#REF!&gt;2,#REF!&lt;-2),"",#REF!)</f>
        <v>#REF!</v>
      </c>
      <c r="QM17" s="7" t="e">
        <f aca="false">IF(OR(#REF!&gt;2,#REF!&lt;-2),"",#REF!)</f>
        <v>#REF!</v>
      </c>
      <c r="QN17" s="7" t="e">
        <f aca="false">IF(OR(#REF!&gt;2,#REF!&lt;-2),"",#REF!)</f>
        <v>#REF!</v>
      </c>
      <c r="QO17" s="7" t="e">
        <f aca="false">IF(OR(#REF!&gt;2,#REF!&lt;-2),"",#REF!)</f>
        <v>#REF!</v>
      </c>
      <c r="QP17" s="7" t="e">
        <f aca="false">IF(OR(#REF!&gt;2,#REF!&lt;-2),"",#REF!)</f>
        <v>#REF!</v>
      </c>
      <c r="QQ17" s="7" t="e">
        <f aca="false">IF(OR(#REF!&gt;2,#REF!&lt;-2),"",#REF!)</f>
        <v>#REF!</v>
      </c>
      <c r="QR17" s="7" t="e">
        <f aca="false">IF(OR(#REF!&gt;2,#REF!&lt;-2),"",#REF!)</f>
        <v>#REF!</v>
      </c>
      <c r="QS17" s="7" t="e">
        <f aca="false">IF(OR(#REF!&gt;2,#REF!&lt;-2),"",#REF!)</f>
        <v>#REF!</v>
      </c>
      <c r="QT17" s="7" t="e">
        <f aca="false">IF(OR(#REF!&gt;2,#REF!&lt;-2),"",#REF!)</f>
        <v>#REF!</v>
      </c>
      <c r="QU17" s="7" t="e">
        <f aca="false">IF(OR(#REF!&gt;2,#REF!&lt;-2),"",#REF!)</f>
        <v>#REF!</v>
      </c>
      <c r="QV17" s="7" t="e">
        <f aca="false">IF(OR(#REF!&gt;2,#REF!&lt;-2),"",#REF!)</f>
        <v>#REF!</v>
      </c>
      <c r="QW17" s="7" t="e">
        <f aca="false">IF(OR(#REF!&gt;2,#REF!&lt;-2),"",#REF!)</f>
        <v>#REF!</v>
      </c>
      <c r="QX17" s="7" t="e">
        <f aca="false">IF(OR(#REF!&gt;2,#REF!&lt;-2),"",#REF!)</f>
        <v>#REF!</v>
      </c>
      <c r="QY17" s="7" t="e">
        <f aca="false">IF(OR(#REF!&gt;2,#REF!&lt;-2),"",#REF!)</f>
        <v>#REF!</v>
      </c>
      <c r="QZ17" s="7" t="e">
        <f aca="false">IF(OR(#REF!&gt;2,#REF!&lt;-2),"",#REF!)</f>
        <v>#REF!</v>
      </c>
      <c r="RA17" s="7" t="e">
        <f aca="false">IF(OR(#REF!&gt;2,#REF!&lt;-2),"",#REF!)</f>
        <v>#REF!</v>
      </c>
      <c r="RB17" s="7" t="e">
        <f aca="false">IF(OR(#REF!&gt;2,#REF!&lt;-2),"",#REF!)</f>
        <v>#REF!</v>
      </c>
      <c r="RC17" s="7" t="e">
        <f aca="false">IF(OR(#REF!&gt;2,#REF!&lt;-2),"",#REF!)</f>
        <v>#REF!</v>
      </c>
      <c r="RD17" s="7" t="e">
        <f aca="false">IF(OR(#REF!&gt;2,#REF!&lt;-2),"",#REF!)</f>
        <v>#REF!</v>
      </c>
      <c r="RE17" s="7" t="e">
        <f aca="false">IF(OR(#REF!&gt;2,#REF!&lt;-2),"",#REF!)</f>
        <v>#REF!</v>
      </c>
      <c r="RF17" s="7" t="e">
        <f aca="false">IF(OR(#REF!&gt;2,#REF!&lt;-2),"",#REF!)</f>
        <v>#REF!</v>
      </c>
      <c r="RG17" s="7" t="e">
        <f aca="false">IF(OR(#REF!&gt;2,#REF!&lt;-2),"",#REF!)</f>
        <v>#REF!</v>
      </c>
      <c r="RH17" s="7" t="e">
        <f aca="false">IF(OR(#REF!&gt;2,#REF!&lt;-2),"",#REF!)</f>
        <v>#REF!</v>
      </c>
      <c r="RI17" s="7" t="e">
        <f aca="false">IF(OR(#REF!&gt;2,#REF!&lt;-2),"",#REF!)</f>
        <v>#REF!</v>
      </c>
      <c r="RJ17" s="7" t="e">
        <f aca="false">IF(OR(#REF!&gt;2,#REF!&lt;-2),"",#REF!)</f>
        <v>#REF!</v>
      </c>
      <c r="RK17" s="7" t="e">
        <f aca="false">IF(OR(#REF!&gt;2,#REF!&lt;-2),"",#REF!)</f>
        <v>#REF!</v>
      </c>
      <c r="RL17" s="7" t="e">
        <f aca="false">IF(OR(#REF!&gt;2,#REF!&lt;-2),"",#REF!)</f>
        <v>#REF!</v>
      </c>
      <c r="RM17" s="7" t="e">
        <f aca="false">IF(OR(#REF!&gt;2,#REF!&lt;-2),"",#REF!)</f>
        <v>#REF!</v>
      </c>
      <c r="RN17" s="7" t="e">
        <f aca="false">IF(OR(#REF!&gt;2,#REF!&lt;-2),"",#REF!)</f>
        <v>#REF!</v>
      </c>
      <c r="RO17" s="7" t="e">
        <f aca="false">IF(OR(#REF!&gt;2,#REF!&lt;-2),"",#REF!)</f>
        <v>#REF!</v>
      </c>
      <c r="RP17" s="7" t="e">
        <f aca="false">IF(OR(#REF!&gt;2,#REF!&lt;-2),"",#REF!)</f>
        <v>#REF!</v>
      </c>
      <c r="RQ17" s="7" t="e">
        <f aca="false">IF(OR(#REF!&gt;2,#REF!&lt;-2),"",#REF!)</f>
        <v>#REF!</v>
      </c>
      <c r="RR17" s="7" t="e">
        <f aca="false">IF(OR(#REF!&gt;2,#REF!&lt;-2),"",#REF!)</f>
        <v>#REF!</v>
      </c>
      <c r="RS17" s="7" t="e">
        <f aca="false">IF(OR(#REF!&gt;2,#REF!&lt;-2),"",#REF!)</f>
        <v>#REF!</v>
      </c>
      <c r="RT17" s="7" t="e">
        <f aca="false">IF(OR(#REF!&gt;2,#REF!&lt;-2),"",#REF!)</f>
        <v>#REF!</v>
      </c>
      <c r="RU17" s="7" t="e">
        <f aca="false">IF(OR(#REF!&gt;2,#REF!&lt;-2),"",#REF!)</f>
        <v>#REF!</v>
      </c>
      <c r="RV17" s="7" t="e">
        <f aca="false">IF(OR(#REF!&gt;2,#REF!&lt;-2),"",#REF!)</f>
        <v>#REF!</v>
      </c>
      <c r="RW17" s="7" t="e">
        <f aca="false">IF(OR(#REF!&gt;2,#REF!&lt;-2),"",#REF!)</f>
        <v>#REF!</v>
      </c>
      <c r="RX17" s="7" t="e">
        <f aca="false">IF(OR(#REF!&gt;2,#REF!&lt;-2),"",#REF!)</f>
        <v>#REF!</v>
      </c>
      <c r="RY17" s="7" t="e">
        <f aca="false">IF(OR(#REF!&gt;2,#REF!&lt;-2),"",#REF!)</f>
        <v>#REF!</v>
      </c>
      <c r="RZ17" s="7" t="e">
        <f aca="false">IF(OR(#REF!&gt;2,#REF!&lt;-2),"",#REF!)</f>
        <v>#REF!</v>
      </c>
      <c r="SA17" s="7" t="e">
        <f aca="false">IF(OR(#REF!&gt;2,#REF!&lt;-2),"",#REF!)</f>
        <v>#REF!</v>
      </c>
      <c r="SB17" s="7" t="e">
        <f aca="false">IF(OR(#REF!&gt;2,#REF!&lt;-2),"",#REF!)</f>
        <v>#REF!</v>
      </c>
      <c r="SC17" s="7" t="e">
        <f aca="false">IF(OR(#REF!&gt;2,#REF!&lt;-2),"",#REF!)</f>
        <v>#REF!</v>
      </c>
      <c r="SD17" s="7" t="e">
        <f aca="false">IF(OR(#REF!&gt;2,#REF!&lt;-2),"",#REF!)</f>
        <v>#REF!</v>
      </c>
      <c r="SE17" s="7" t="e">
        <f aca="false">IF(OR(#REF!&gt;2,#REF!&lt;-2),"",#REF!)</f>
        <v>#REF!</v>
      </c>
      <c r="SF17" s="7" t="e">
        <f aca="false">IF(OR(#REF!&gt;2,#REF!&lt;-2),"",#REF!)</f>
        <v>#REF!</v>
      </c>
      <c r="SG17" s="7" t="e">
        <f aca="false">IF(OR(#REF!&gt;2,#REF!&lt;-2),"",#REF!)</f>
        <v>#REF!</v>
      </c>
      <c r="SH17" s="7" t="e">
        <f aca="false">IF(OR(#REF!&gt;2,#REF!&lt;-2),"",#REF!)</f>
        <v>#REF!</v>
      </c>
      <c r="SI17" s="7" t="e">
        <f aca="false">IF(OR(#REF!&gt;2,#REF!&lt;-2),"",#REF!)</f>
        <v>#REF!</v>
      </c>
      <c r="SJ17" s="7" t="e">
        <f aca="false">IF(OR(#REF!&gt;2,#REF!&lt;-2),"",#REF!)</f>
        <v>#REF!</v>
      </c>
      <c r="SK17" s="7" t="e">
        <f aca="false">IF(OR(#REF!&gt;2,#REF!&lt;-2),"",#REF!)</f>
        <v>#REF!</v>
      </c>
      <c r="SL17" s="7" t="e">
        <f aca="false">IF(OR(#REF!&gt;2,#REF!&lt;-2),"",#REF!)</f>
        <v>#REF!</v>
      </c>
      <c r="SM17" s="7" t="e">
        <f aca="false">IF(OR(#REF!&gt;2,#REF!&lt;-2),"",#REF!)</f>
        <v>#REF!</v>
      </c>
      <c r="SN17" s="7" t="e">
        <f aca="false">IF(OR(#REF!&gt;2,#REF!&lt;-2),"",#REF!)</f>
        <v>#REF!</v>
      </c>
      <c r="SO17" s="7" t="e">
        <f aca="false">IF(OR(#REF!&gt;2,#REF!&lt;-2),"",#REF!)</f>
        <v>#REF!</v>
      </c>
      <c r="SP17" s="7" t="e">
        <f aca="false">IF(OR(#REF!&gt;2,#REF!&lt;-2),"",#REF!)</f>
        <v>#REF!</v>
      </c>
      <c r="SQ17" s="7" t="e">
        <f aca="false">IF(OR(#REF!&gt;2,#REF!&lt;-2),"",#REF!)</f>
        <v>#REF!</v>
      </c>
      <c r="SR17" s="7" t="e">
        <f aca="false">IF(OR(#REF!&gt;2,#REF!&lt;-2),"",#REF!)</f>
        <v>#REF!</v>
      </c>
      <c r="SS17" s="7" t="e">
        <f aca="false">IF(OR(#REF!&gt;2,#REF!&lt;-2),"",#REF!)</f>
        <v>#REF!</v>
      </c>
      <c r="ST17" s="7" t="e">
        <f aca="false">IF(OR(#REF!&gt;2,#REF!&lt;-2),"",#REF!)</f>
        <v>#REF!</v>
      </c>
      <c r="SU17" s="7" t="e">
        <f aca="false">IF(OR(#REF!&gt;2,#REF!&lt;-2),"",#REF!)</f>
        <v>#REF!</v>
      </c>
      <c r="SV17" s="7" t="e">
        <f aca="false">IF(OR(#REF!&gt;2,#REF!&lt;-2),"",#REF!)</f>
        <v>#REF!</v>
      </c>
      <c r="SW17" s="7" t="e">
        <f aca="false">IF(OR(#REF!&gt;2,#REF!&lt;-2),"",#REF!)</f>
        <v>#REF!</v>
      </c>
      <c r="SX17" s="7" t="e">
        <f aca="false">IF(OR(#REF!&gt;2,#REF!&lt;-2),"",#REF!)</f>
        <v>#REF!</v>
      </c>
      <c r="SY17" s="7" t="e">
        <f aca="false">IF(OR(#REF!&gt;2,#REF!&lt;-2),"",#REF!)</f>
        <v>#REF!</v>
      </c>
      <c r="SZ17" s="7" t="e">
        <f aca="false">IF(OR(#REF!&gt;2,#REF!&lt;-2),"",#REF!)</f>
        <v>#REF!</v>
      </c>
      <c r="TA17" s="7" t="e">
        <f aca="false">IF(OR(#REF!&gt;2,#REF!&lt;-2),"",#REF!)</f>
        <v>#REF!</v>
      </c>
      <c r="TB17" s="7" t="e">
        <f aca="false">IF(OR(#REF!&gt;2,#REF!&lt;-2),"",#REF!)</f>
        <v>#REF!</v>
      </c>
      <c r="TC17" s="7" t="e">
        <f aca="false">IF(OR(#REF!&gt;2,#REF!&lt;-2),"",#REF!)</f>
        <v>#REF!</v>
      </c>
      <c r="TD17" s="7" t="e">
        <f aca="false">IF(OR(#REF!&gt;2,#REF!&lt;-2),"",#REF!)</f>
        <v>#REF!</v>
      </c>
      <c r="TE17" s="7" t="e">
        <f aca="false">IF(OR(#REF!&gt;2,#REF!&lt;-2),"",#REF!)</f>
        <v>#REF!</v>
      </c>
      <c r="TF17" s="7" t="e">
        <f aca="false">IF(OR(#REF!&gt;2,#REF!&lt;-2),"",#REF!)</f>
        <v>#REF!</v>
      </c>
      <c r="TG17" s="7" t="e">
        <f aca="false">IF(OR(#REF!&gt;2,#REF!&lt;-2),"",#REF!)</f>
        <v>#REF!</v>
      </c>
      <c r="TH17" s="7" t="e">
        <f aca="false">IF(OR(#REF!&gt;2,#REF!&lt;-2),"",#REF!)</f>
        <v>#REF!</v>
      </c>
      <c r="TI17" s="7" t="e">
        <f aca="false">IF(OR(#REF!&gt;2,#REF!&lt;-2),"",#REF!)</f>
        <v>#REF!</v>
      </c>
      <c r="TJ17" s="7" t="e">
        <f aca="false">IF(OR(#REF!&gt;2,#REF!&lt;-2),"",#REF!)</f>
        <v>#REF!</v>
      </c>
      <c r="TK17" s="7" t="e">
        <f aca="false">IF(OR(#REF!&gt;2,#REF!&lt;-2),"",#REF!)</f>
        <v>#REF!</v>
      </c>
      <c r="TL17" s="7" t="e">
        <f aca="false">IF(OR(#REF!&gt;2,#REF!&lt;-2),"",#REF!)</f>
        <v>#REF!</v>
      </c>
      <c r="TM17" s="7" t="e">
        <f aca="false">IF(OR(#REF!&gt;2,#REF!&lt;-2),"",#REF!)</f>
        <v>#REF!</v>
      </c>
      <c r="TN17" s="7" t="e">
        <f aca="false">IF(OR(#REF!&gt;2,#REF!&lt;-2),"",#REF!)</f>
        <v>#REF!</v>
      </c>
      <c r="TO17" s="7" t="e">
        <f aca="false">IF(OR(#REF!&gt;2,#REF!&lt;-2),"",#REF!)</f>
        <v>#REF!</v>
      </c>
      <c r="TP17" s="7" t="e">
        <f aca="false">IF(OR(#REF!&gt;2,#REF!&lt;-2),"",#REF!)</f>
        <v>#REF!</v>
      </c>
      <c r="TQ17" s="7" t="e">
        <f aca="false">IF(OR(#REF!&gt;2,#REF!&lt;-2),"",#REF!)</f>
        <v>#REF!</v>
      </c>
      <c r="TR17" s="7" t="e">
        <f aca="false">IF(OR(#REF!&gt;2,#REF!&lt;-2),"",#REF!)</f>
        <v>#REF!</v>
      </c>
      <c r="TS17" s="7" t="e">
        <f aca="false">IF(OR(#REF!&gt;2,#REF!&lt;-2),"",#REF!)</f>
        <v>#REF!</v>
      </c>
      <c r="TT17" s="7" t="e">
        <f aca="false">IF(OR(#REF!&gt;2,#REF!&lt;-2),"",#REF!)</f>
        <v>#REF!</v>
      </c>
      <c r="TU17" s="7" t="e">
        <f aca="false">IF(OR(#REF!&gt;2,#REF!&lt;-2),"",#REF!)</f>
        <v>#REF!</v>
      </c>
      <c r="TV17" s="7" t="e">
        <f aca="false">IF(OR(#REF!&gt;2,#REF!&lt;-2),"",#REF!)</f>
        <v>#REF!</v>
      </c>
      <c r="TW17" s="7" t="e">
        <f aca="false">IF(OR(#REF!&gt;2,#REF!&lt;-2),"",#REF!)</f>
        <v>#REF!</v>
      </c>
      <c r="TX17" s="7" t="e">
        <f aca="false">IF(OR(#REF!&gt;2,#REF!&lt;-2),"",#REF!)</f>
        <v>#REF!</v>
      </c>
      <c r="TY17" s="7" t="e">
        <f aca="false">IF(OR(#REF!&gt;2,#REF!&lt;-2),"",#REF!)</f>
        <v>#REF!</v>
      </c>
      <c r="TZ17" s="7" t="e">
        <f aca="false">IF(OR(#REF!&gt;2,#REF!&lt;-2),"",#REF!)</f>
        <v>#REF!</v>
      </c>
      <c r="UA17" s="7" t="e">
        <f aca="false">IF(OR(#REF!&gt;2,#REF!&lt;-2),"",#REF!)</f>
        <v>#REF!</v>
      </c>
      <c r="UB17" s="7" t="e">
        <f aca="false">IF(OR(#REF!&gt;2,#REF!&lt;-2),"",#REF!)</f>
        <v>#REF!</v>
      </c>
      <c r="UC17" s="7" t="e">
        <f aca="false">IF(OR(#REF!&gt;2,#REF!&lt;-2),"",#REF!)</f>
        <v>#REF!</v>
      </c>
      <c r="UD17" s="7" t="e">
        <f aca="false">IF(OR(#REF!&gt;2,#REF!&lt;-2),"",#REF!)</f>
        <v>#REF!</v>
      </c>
      <c r="UE17" s="7" t="e">
        <f aca="false">IF(OR(#REF!&gt;2,#REF!&lt;-2),"",#REF!)</f>
        <v>#REF!</v>
      </c>
      <c r="UF17" s="7" t="e">
        <f aca="false">IF(OR(#REF!&gt;2,#REF!&lt;-2),"",#REF!)</f>
        <v>#REF!</v>
      </c>
      <c r="UG17" s="7" t="e">
        <f aca="false">IF(OR(#REF!&gt;2,#REF!&lt;-2),"",#REF!)</f>
        <v>#REF!</v>
      </c>
      <c r="UH17" s="7" t="e">
        <f aca="false">IF(OR(#REF!&gt;2,#REF!&lt;-2),"",#REF!)</f>
        <v>#REF!</v>
      </c>
      <c r="UI17" s="7" t="e">
        <f aca="false">IF(OR(#REF!&gt;2,#REF!&lt;-2),"",#REF!)</f>
        <v>#REF!</v>
      </c>
      <c r="UJ17" s="7" t="e">
        <f aca="false">IF(OR(#REF!&gt;2,#REF!&lt;-2),"",#REF!)</f>
        <v>#REF!</v>
      </c>
      <c r="UK17" s="7" t="e">
        <f aca="false">IF(OR(#REF!&gt;2,#REF!&lt;-2),"",#REF!)</f>
        <v>#REF!</v>
      </c>
      <c r="UL17" s="7" t="e">
        <f aca="false">IF(OR(#REF!&gt;2,#REF!&lt;-2),"",#REF!)</f>
        <v>#REF!</v>
      </c>
      <c r="UM17" s="7" t="e">
        <f aca="false">IF(OR(#REF!&gt;2,#REF!&lt;-2),"",#REF!)</f>
        <v>#REF!</v>
      </c>
      <c r="UN17" s="7" t="e">
        <f aca="false">IF(OR(#REF!&gt;2,#REF!&lt;-2),"",#REF!)</f>
        <v>#REF!</v>
      </c>
      <c r="UO17" s="7" t="e">
        <f aca="false">IF(OR(#REF!&gt;2,#REF!&lt;-2),"",#REF!)</f>
        <v>#REF!</v>
      </c>
      <c r="UP17" s="7" t="e">
        <f aca="false">IF(OR(#REF!&gt;2,#REF!&lt;-2),"",#REF!)</f>
        <v>#REF!</v>
      </c>
    </row>
    <row r="18" customFormat="false" ht="14.5" hidden="false" customHeight="false" outlineLevel="0" collapsed="false">
      <c r="A18" s="0" t="n">
        <v>180</v>
      </c>
      <c r="B18" s="0" t="n">
        <v>1</v>
      </c>
      <c r="C18" s="7" t="e">
        <f aca="false">IF(OR(#REF!&gt;2,#REF!&lt;-2),"",#REF!)</f>
        <v>#REF!</v>
      </c>
      <c r="D18" s="7" t="e">
        <f aca="false">IF(OR(#REF!&gt;2,#REF!&lt;-2),"",#REF!)</f>
        <v>#REF!</v>
      </c>
      <c r="E18" s="7" t="e">
        <f aca="false">IF(OR(#REF!&gt;2,#REF!&lt;-2),"",#REF!)</f>
        <v>#REF!</v>
      </c>
      <c r="F18" s="7" t="e">
        <f aca="false">IF(OR(#REF!&gt;2,#REF!&lt;-2),"",#REF!)</f>
        <v>#REF!</v>
      </c>
      <c r="G18" s="7" t="e">
        <f aca="false">IF(OR(#REF!&gt;2,#REF!&lt;-2),"",#REF!)</f>
        <v>#REF!</v>
      </c>
      <c r="H18" s="7" t="e">
        <f aca="false">IF(OR(#REF!&gt;2,#REF!&lt;-2),"",#REF!)</f>
        <v>#REF!</v>
      </c>
      <c r="I18" s="7" t="e">
        <f aca="false">IF(OR(#REF!&gt;2,#REF!&lt;-2),"",#REF!)</f>
        <v>#REF!</v>
      </c>
      <c r="J18" s="7" t="e">
        <f aca="false">IF(OR(#REF!&gt;2,#REF!&lt;-2),"",#REF!)</f>
        <v>#REF!</v>
      </c>
      <c r="K18" s="7" t="e">
        <f aca="false">IF(OR(#REF!&gt;2,#REF!&lt;-2),"",#REF!)</f>
        <v>#REF!</v>
      </c>
      <c r="L18" s="7" t="e">
        <f aca="false">IF(OR(#REF!&gt;2,#REF!&lt;-2),"",#REF!)</f>
        <v>#REF!</v>
      </c>
      <c r="M18" s="7" t="e">
        <f aca="false">IF(OR(#REF!&gt;2,#REF!&lt;-2),"",#REF!)</f>
        <v>#REF!</v>
      </c>
      <c r="N18" s="7" t="e">
        <f aca="false">IF(OR(#REF!&gt;2,#REF!&lt;-2),"",#REF!)</f>
        <v>#REF!</v>
      </c>
      <c r="O18" s="7" t="e">
        <f aca="false">IF(OR(#REF!&gt;2,#REF!&lt;-2),"",#REF!)</f>
        <v>#REF!</v>
      </c>
      <c r="P18" s="7" t="e">
        <f aca="false">IF(OR(#REF!&gt;2,#REF!&lt;-2),"",#REF!)</f>
        <v>#REF!</v>
      </c>
      <c r="Q18" s="7" t="e">
        <f aca="false">IF(OR(#REF!&gt;2,#REF!&lt;-2),"",#REF!)</f>
        <v>#REF!</v>
      </c>
      <c r="R18" s="7" t="e">
        <f aca="false">IF(OR(#REF!&gt;2,#REF!&lt;-2),"",#REF!)</f>
        <v>#REF!</v>
      </c>
      <c r="S18" s="7" t="e">
        <f aca="false">IF(OR(#REF!&gt;2,#REF!&lt;-2),"",#REF!)</f>
        <v>#REF!</v>
      </c>
      <c r="T18" s="7" t="e">
        <f aca="false">IF(OR(#REF!&gt;2,#REF!&lt;-2),"",#REF!)</f>
        <v>#REF!</v>
      </c>
      <c r="U18" s="7" t="e">
        <f aca="false">IF(OR(#REF!&gt;2,#REF!&lt;-2),"",#REF!)</f>
        <v>#REF!</v>
      </c>
      <c r="V18" s="7" t="e">
        <f aca="false">IF(OR(#REF!&gt;2,#REF!&lt;-2),"",#REF!)</f>
        <v>#REF!</v>
      </c>
      <c r="W18" s="7" t="e">
        <f aca="false">IF(OR(#REF!&gt;2,#REF!&lt;-2),"",#REF!)</f>
        <v>#REF!</v>
      </c>
      <c r="X18" s="7" t="e">
        <f aca="false">IF(OR(#REF!&gt;2,#REF!&lt;-2),"",#REF!)</f>
        <v>#REF!</v>
      </c>
      <c r="Y18" s="7" t="e">
        <f aca="false">IF(OR(#REF!&gt;2,#REF!&lt;-2),"",#REF!)</f>
        <v>#REF!</v>
      </c>
      <c r="Z18" s="7" t="e">
        <f aca="false">IF(OR(#REF!&gt;2,#REF!&lt;-2),"",#REF!)</f>
        <v>#REF!</v>
      </c>
      <c r="AA18" s="7" t="e">
        <f aca="false">IF(OR(#REF!&gt;2,#REF!&lt;-2),"",#REF!)</f>
        <v>#REF!</v>
      </c>
      <c r="AB18" s="7" t="e">
        <f aca="false">IF(OR(#REF!&gt;2,#REF!&lt;-2),"",#REF!)</f>
        <v>#REF!</v>
      </c>
      <c r="AC18" s="7" t="e">
        <f aca="false">IF(OR(#REF!&gt;2,#REF!&lt;-2),"",#REF!)</f>
        <v>#REF!</v>
      </c>
      <c r="AD18" s="7" t="e">
        <f aca="false">IF(OR(#REF!&gt;2,#REF!&lt;-2),"",#REF!)</f>
        <v>#REF!</v>
      </c>
      <c r="AE18" s="7" t="e">
        <f aca="false">IF(OR(#REF!&gt;2,#REF!&lt;-2),"",#REF!)</f>
        <v>#REF!</v>
      </c>
      <c r="AF18" s="7" t="e">
        <f aca="false">IF(OR(#REF!&gt;2,#REF!&lt;-2),"",#REF!)</f>
        <v>#REF!</v>
      </c>
      <c r="AG18" s="7" t="e">
        <f aca="false">IF(OR(#REF!&gt;2,#REF!&lt;-2),"",#REF!)</f>
        <v>#REF!</v>
      </c>
      <c r="AH18" s="7" t="e">
        <f aca="false">IF(OR(#REF!&gt;2,#REF!&lt;-2),"",#REF!)</f>
        <v>#REF!</v>
      </c>
      <c r="AI18" s="7" t="e">
        <f aca="false">IF(OR(#REF!&gt;2,#REF!&lt;-2),"",#REF!)</f>
        <v>#REF!</v>
      </c>
      <c r="AJ18" s="7" t="e">
        <f aca="false">IF(OR(#REF!&gt;2,#REF!&lt;-2),"",#REF!)</f>
        <v>#REF!</v>
      </c>
      <c r="AK18" s="7" t="e">
        <f aca="false">IF(OR(#REF!&gt;2,#REF!&lt;-2),"",#REF!)</f>
        <v>#REF!</v>
      </c>
      <c r="AL18" s="7" t="e">
        <f aca="false">IF(OR(#REF!&gt;2,#REF!&lt;-2),"",#REF!)</f>
        <v>#REF!</v>
      </c>
      <c r="AM18" s="7" t="e">
        <f aca="false">IF(OR(#REF!&gt;2,#REF!&lt;-2),"",#REF!)</f>
        <v>#REF!</v>
      </c>
      <c r="AN18" s="7" t="e">
        <f aca="false">IF(OR(#REF!&gt;2,#REF!&lt;-2),"",#REF!)</f>
        <v>#REF!</v>
      </c>
      <c r="AO18" s="7" t="e">
        <f aca="false">IF(OR(#REF!&gt;2,#REF!&lt;-2),"",#REF!)</f>
        <v>#REF!</v>
      </c>
      <c r="AP18" s="7" t="e">
        <f aca="false">IF(OR(#REF!&gt;2,#REF!&lt;-2),"",#REF!)</f>
        <v>#REF!</v>
      </c>
      <c r="AQ18" s="7" t="e">
        <f aca="false">IF(OR(#REF!&gt;2,#REF!&lt;-2),"",#REF!)</f>
        <v>#REF!</v>
      </c>
      <c r="AR18" s="7" t="e">
        <f aca="false">IF(OR(#REF!&gt;2,#REF!&lt;-2),"",#REF!)</f>
        <v>#REF!</v>
      </c>
      <c r="AS18" s="7" t="e">
        <f aca="false">IF(OR(#REF!&gt;2,#REF!&lt;-2),"",#REF!)</f>
        <v>#REF!</v>
      </c>
      <c r="AT18" s="7" t="e">
        <f aca="false">IF(OR(#REF!&gt;2,#REF!&lt;-2),"",#REF!)</f>
        <v>#REF!</v>
      </c>
      <c r="AU18" s="7" t="e">
        <f aca="false">IF(OR(#REF!&gt;2,#REF!&lt;-2),"",#REF!)</f>
        <v>#REF!</v>
      </c>
      <c r="AV18" s="7" t="e">
        <f aca="false">IF(OR(#REF!&gt;2,#REF!&lt;-2),"",#REF!)</f>
        <v>#REF!</v>
      </c>
      <c r="AW18" s="7" t="e">
        <f aca="false">IF(OR(#REF!&gt;2,#REF!&lt;-2),"",#REF!)</f>
        <v>#REF!</v>
      </c>
      <c r="AX18" s="7" t="e">
        <f aca="false">IF(OR(#REF!&gt;2,#REF!&lt;-2),"",#REF!)</f>
        <v>#REF!</v>
      </c>
      <c r="AY18" s="7" t="e">
        <f aca="false">IF(OR(#REF!&gt;2,#REF!&lt;-2),"",#REF!)</f>
        <v>#REF!</v>
      </c>
      <c r="AZ18" s="7" t="e">
        <f aca="false">IF(OR(#REF!&gt;2,#REF!&lt;-2),"",#REF!)</f>
        <v>#REF!</v>
      </c>
      <c r="BA18" s="7" t="e">
        <f aca="false">IF(OR(#REF!&gt;2,#REF!&lt;-2),"",#REF!)</f>
        <v>#REF!</v>
      </c>
      <c r="BB18" s="7" t="e">
        <f aca="false">IF(OR(#REF!&gt;2,#REF!&lt;-2),"",#REF!)</f>
        <v>#REF!</v>
      </c>
      <c r="BC18" s="7" t="e">
        <f aca="false">IF(OR(#REF!&gt;2,#REF!&lt;-2),"",#REF!)</f>
        <v>#REF!</v>
      </c>
      <c r="BD18" s="7" t="e">
        <f aca="false">IF(OR(#REF!&gt;2,#REF!&lt;-2),"",#REF!)</f>
        <v>#REF!</v>
      </c>
      <c r="BE18" s="7" t="e">
        <f aca="false">IF(OR(#REF!&gt;2,#REF!&lt;-2),"",#REF!)</f>
        <v>#REF!</v>
      </c>
      <c r="BF18" s="7" t="e">
        <f aca="false">IF(OR(#REF!&gt;2,#REF!&lt;-2),"",#REF!)</f>
        <v>#REF!</v>
      </c>
      <c r="BG18" s="7" t="e">
        <f aca="false">IF(OR(#REF!&gt;2,#REF!&lt;-2),"",#REF!)</f>
        <v>#REF!</v>
      </c>
      <c r="BH18" s="7" t="e">
        <f aca="false">IF(OR(#REF!&gt;2,#REF!&lt;-2),"",#REF!)</f>
        <v>#REF!</v>
      </c>
      <c r="BI18" s="7" t="e">
        <f aca="false">IF(OR(#REF!&gt;2,#REF!&lt;-2),"",#REF!)</f>
        <v>#REF!</v>
      </c>
      <c r="BJ18" s="7" t="e">
        <f aca="false">IF(OR(#REF!&gt;2,#REF!&lt;-2),"",#REF!)</f>
        <v>#REF!</v>
      </c>
      <c r="BK18" s="7" t="e">
        <f aca="false">IF(OR(#REF!&gt;2,#REF!&lt;-2),"",#REF!)</f>
        <v>#REF!</v>
      </c>
      <c r="BL18" s="7" t="e">
        <f aca="false">IF(OR(#REF!&gt;2,#REF!&lt;-2),"",#REF!)</f>
        <v>#REF!</v>
      </c>
      <c r="BM18" s="7" t="e">
        <f aca="false">IF(OR(#REF!&gt;2,#REF!&lt;-2),"",#REF!)</f>
        <v>#REF!</v>
      </c>
      <c r="BN18" s="7" t="e">
        <f aca="false">IF(OR(#REF!&gt;2,#REF!&lt;-2),"",#REF!)</f>
        <v>#REF!</v>
      </c>
      <c r="BO18" s="7" t="e">
        <f aca="false">IF(OR(#REF!&gt;2,#REF!&lt;-2),"",#REF!)</f>
        <v>#REF!</v>
      </c>
      <c r="BP18" s="7" t="e">
        <f aca="false">IF(OR(#REF!&gt;2,#REF!&lt;-2),"",#REF!)</f>
        <v>#REF!</v>
      </c>
      <c r="BQ18" s="7" t="e">
        <f aca="false">IF(OR(#REF!&gt;2,#REF!&lt;-2),"",#REF!)</f>
        <v>#REF!</v>
      </c>
      <c r="BR18" s="7" t="e">
        <f aca="false">IF(OR(#REF!&gt;2,#REF!&lt;-2),"",#REF!)</f>
        <v>#REF!</v>
      </c>
      <c r="BS18" s="7" t="e">
        <f aca="false">IF(OR(#REF!&gt;2,#REF!&lt;-2),"",#REF!)</f>
        <v>#REF!</v>
      </c>
      <c r="BT18" s="7" t="e">
        <f aca="false">IF(OR(#REF!&gt;2,#REF!&lt;-2),"",#REF!)</f>
        <v>#REF!</v>
      </c>
      <c r="BU18" s="7" t="e">
        <f aca="false">IF(OR(#REF!&gt;2,#REF!&lt;-2),"",#REF!)</f>
        <v>#REF!</v>
      </c>
      <c r="BV18" s="7" t="e">
        <f aca="false">IF(OR(#REF!&gt;2,#REF!&lt;-2),"",#REF!)</f>
        <v>#REF!</v>
      </c>
      <c r="BW18" s="7" t="e">
        <f aca="false">IF(OR(#REF!&gt;2,#REF!&lt;-2),"",#REF!)</f>
        <v>#REF!</v>
      </c>
      <c r="BX18" s="7" t="e">
        <f aca="false">IF(OR(#REF!&gt;2,#REF!&lt;-2),"",#REF!)</f>
        <v>#REF!</v>
      </c>
      <c r="BY18" s="7" t="e">
        <f aca="false">IF(OR(#REF!&gt;2,#REF!&lt;-2),"",#REF!)</f>
        <v>#REF!</v>
      </c>
      <c r="BZ18" s="7" t="e">
        <f aca="false">IF(OR(#REF!&gt;2,#REF!&lt;-2),"",#REF!)</f>
        <v>#REF!</v>
      </c>
      <c r="CA18" s="7" t="e">
        <f aca="false">IF(OR(#REF!&gt;2,#REF!&lt;-2),"",#REF!)</f>
        <v>#REF!</v>
      </c>
      <c r="CB18" s="7" t="e">
        <f aca="false">IF(OR(#REF!&gt;2,#REF!&lt;-2),"",#REF!)</f>
        <v>#REF!</v>
      </c>
      <c r="CC18" s="7" t="e">
        <f aca="false">IF(OR(#REF!&gt;2,#REF!&lt;-2),"",#REF!)</f>
        <v>#REF!</v>
      </c>
      <c r="CD18" s="7" t="e">
        <f aca="false">IF(OR(#REF!&gt;2,#REF!&lt;-2),"",#REF!)</f>
        <v>#REF!</v>
      </c>
      <c r="CE18" s="7" t="e">
        <f aca="false">IF(OR(#REF!&gt;2,#REF!&lt;-2),"",#REF!)</f>
        <v>#REF!</v>
      </c>
      <c r="CF18" s="7" t="e">
        <f aca="false">IF(OR(#REF!&gt;2,#REF!&lt;-2),"",#REF!)</f>
        <v>#REF!</v>
      </c>
      <c r="CG18" s="7" t="e">
        <f aca="false">IF(OR(#REF!&gt;2,#REF!&lt;-2),"",#REF!)</f>
        <v>#REF!</v>
      </c>
      <c r="CH18" s="7" t="e">
        <f aca="false">IF(OR(#REF!&gt;2,#REF!&lt;-2),"",#REF!)</f>
        <v>#REF!</v>
      </c>
      <c r="CI18" s="7" t="e">
        <f aca="false">IF(OR(#REF!&gt;2,#REF!&lt;-2),"",#REF!)</f>
        <v>#REF!</v>
      </c>
      <c r="CJ18" s="7" t="e">
        <f aca="false">IF(OR(#REF!&gt;2,#REF!&lt;-2),"",#REF!)</f>
        <v>#REF!</v>
      </c>
      <c r="CK18" s="7" t="e">
        <f aca="false">IF(OR(#REF!&gt;2,#REF!&lt;-2),"",#REF!)</f>
        <v>#REF!</v>
      </c>
      <c r="CL18" s="7" t="e">
        <f aca="false">IF(OR(#REF!&gt;2,#REF!&lt;-2),"",#REF!)</f>
        <v>#REF!</v>
      </c>
      <c r="CM18" s="7" t="e">
        <f aca="false">IF(OR(#REF!&gt;2,#REF!&lt;-2),"",#REF!)</f>
        <v>#REF!</v>
      </c>
      <c r="CN18" s="7" t="e">
        <f aca="false">IF(OR(#REF!&gt;2,#REF!&lt;-2),"",#REF!)</f>
        <v>#REF!</v>
      </c>
      <c r="CO18" s="7" t="e">
        <f aca="false">IF(OR(#REF!&gt;2,#REF!&lt;-2),"",#REF!)</f>
        <v>#REF!</v>
      </c>
      <c r="CP18" s="7" t="e">
        <f aca="false">IF(OR(#REF!&gt;2,#REF!&lt;-2),"",#REF!)</f>
        <v>#REF!</v>
      </c>
      <c r="CQ18" s="7" t="e">
        <f aca="false">IF(OR(#REF!&gt;2,#REF!&lt;-2),"",#REF!)</f>
        <v>#REF!</v>
      </c>
      <c r="CR18" s="7" t="e">
        <f aca="false">IF(OR(#REF!&gt;2,#REF!&lt;-2),"",#REF!)</f>
        <v>#REF!</v>
      </c>
      <c r="CS18" s="7" t="e">
        <f aca="false">IF(OR(#REF!&gt;2,#REF!&lt;-2),"",#REF!)</f>
        <v>#REF!</v>
      </c>
      <c r="CT18" s="7" t="e">
        <f aca="false">IF(OR(#REF!&gt;2,#REF!&lt;-2),"",#REF!)</f>
        <v>#REF!</v>
      </c>
      <c r="CU18" s="7" t="e">
        <f aca="false">IF(OR(#REF!&gt;2,#REF!&lt;-2),"",#REF!)</f>
        <v>#REF!</v>
      </c>
      <c r="CV18" s="7" t="e">
        <f aca="false">IF(OR(#REF!&gt;2,#REF!&lt;-2),"",#REF!)</f>
        <v>#REF!</v>
      </c>
      <c r="CW18" s="7" t="e">
        <f aca="false">IF(OR(#REF!&gt;2,#REF!&lt;-2),"",#REF!)</f>
        <v>#REF!</v>
      </c>
      <c r="CX18" s="7" t="e">
        <f aca="false">IF(OR(#REF!&gt;2,#REF!&lt;-2),"",#REF!)</f>
        <v>#REF!</v>
      </c>
      <c r="CY18" s="7" t="e">
        <f aca="false">IF(OR(#REF!&gt;2,#REF!&lt;-2),"",#REF!)</f>
        <v>#REF!</v>
      </c>
      <c r="CZ18" s="7" t="e">
        <f aca="false">IF(OR(#REF!&gt;2,#REF!&lt;-2),"",#REF!)</f>
        <v>#REF!</v>
      </c>
      <c r="DA18" s="7" t="e">
        <f aca="false">IF(OR(#REF!&gt;2,#REF!&lt;-2),"",#REF!)</f>
        <v>#REF!</v>
      </c>
      <c r="DB18" s="7" t="e">
        <f aca="false">IF(OR(#REF!&gt;2,#REF!&lt;-2),"",#REF!)</f>
        <v>#REF!</v>
      </c>
      <c r="DC18" s="7" t="e">
        <f aca="false">IF(OR(#REF!&gt;2,#REF!&lt;-2),"",#REF!)</f>
        <v>#REF!</v>
      </c>
      <c r="DD18" s="7" t="e">
        <f aca="false">IF(OR(#REF!&gt;2,#REF!&lt;-2),"",#REF!)</f>
        <v>#REF!</v>
      </c>
      <c r="DE18" s="7" t="e">
        <f aca="false">IF(OR(#REF!&gt;2,#REF!&lt;-2),"",#REF!)</f>
        <v>#REF!</v>
      </c>
      <c r="DF18" s="7" t="e">
        <f aca="false">IF(OR(#REF!&gt;2,#REF!&lt;-2),"",#REF!)</f>
        <v>#REF!</v>
      </c>
      <c r="DG18" s="7" t="e">
        <f aca="false">IF(OR(#REF!&gt;2,#REF!&lt;-2),"",#REF!)</f>
        <v>#REF!</v>
      </c>
      <c r="DH18" s="7" t="e">
        <f aca="false">IF(OR(#REF!&gt;2,#REF!&lt;-2),"",#REF!)</f>
        <v>#REF!</v>
      </c>
      <c r="DI18" s="7" t="e">
        <f aca="false">IF(OR(#REF!&gt;2,#REF!&lt;-2),"",#REF!)</f>
        <v>#REF!</v>
      </c>
      <c r="DJ18" s="7" t="e">
        <f aca="false">IF(OR(#REF!&gt;2,#REF!&lt;-2),"",#REF!)</f>
        <v>#REF!</v>
      </c>
      <c r="DK18" s="7" t="e">
        <f aca="false">IF(OR(#REF!&gt;2,#REF!&lt;-2),"",#REF!)</f>
        <v>#REF!</v>
      </c>
      <c r="DL18" s="7" t="e">
        <f aca="false">IF(OR(#REF!&gt;2,#REF!&lt;-2),"",#REF!)</f>
        <v>#REF!</v>
      </c>
      <c r="DM18" s="7" t="e">
        <f aca="false">IF(OR(#REF!&gt;2,#REF!&lt;-2),"",#REF!)</f>
        <v>#REF!</v>
      </c>
      <c r="DN18" s="7" t="e">
        <f aca="false">IF(OR(#REF!&gt;2,#REF!&lt;-2),"",#REF!)</f>
        <v>#REF!</v>
      </c>
      <c r="DO18" s="7" t="e">
        <f aca="false">IF(OR(#REF!&gt;2,#REF!&lt;-2),"",#REF!)</f>
        <v>#REF!</v>
      </c>
      <c r="DP18" s="7" t="e">
        <f aca="false">IF(OR(#REF!&gt;2,#REF!&lt;-2),"",#REF!)</f>
        <v>#REF!</v>
      </c>
      <c r="DQ18" s="7" t="e">
        <f aca="false">IF(OR(#REF!&gt;2,#REF!&lt;-2),"",#REF!)</f>
        <v>#REF!</v>
      </c>
      <c r="DR18" s="7" t="e">
        <f aca="false">IF(OR(#REF!&gt;2,#REF!&lt;-2),"",#REF!)</f>
        <v>#REF!</v>
      </c>
      <c r="DS18" s="7" t="e">
        <f aca="false">IF(OR(#REF!&gt;2,#REF!&lt;-2),"",#REF!)</f>
        <v>#REF!</v>
      </c>
      <c r="DT18" s="7" t="e">
        <f aca="false">IF(OR(#REF!&gt;2,#REF!&lt;-2),"",#REF!)</f>
        <v>#REF!</v>
      </c>
      <c r="DU18" s="7" t="e">
        <f aca="false">IF(OR(#REF!&gt;2,#REF!&lt;-2),"",#REF!)</f>
        <v>#REF!</v>
      </c>
      <c r="DV18" s="7" t="e">
        <f aca="false">IF(OR(#REF!&gt;2,#REF!&lt;-2),"",#REF!)</f>
        <v>#REF!</v>
      </c>
      <c r="DW18" s="7" t="e">
        <f aca="false">IF(OR(#REF!&gt;2,#REF!&lt;-2),"",#REF!)</f>
        <v>#REF!</v>
      </c>
      <c r="DX18" s="7" t="e">
        <f aca="false">IF(OR(#REF!&gt;2,#REF!&lt;-2),"",#REF!)</f>
        <v>#REF!</v>
      </c>
      <c r="DY18" s="7" t="e">
        <f aca="false">IF(OR(#REF!&gt;2,#REF!&lt;-2),"",#REF!)</f>
        <v>#REF!</v>
      </c>
      <c r="DZ18" s="7" t="e">
        <f aca="false">IF(OR(#REF!&gt;2,#REF!&lt;-2),"",#REF!)</f>
        <v>#REF!</v>
      </c>
      <c r="EA18" s="7" t="e">
        <f aca="false">IF(OR(#REF!&gt;2,#REF!&lt;-2),"",#REF!)</f>
        <v>#REF!</v>
      </c>
      <c r="EB18" s="7" t="e">
        <f aca="false">IF(OR(#REF!&gt;2,#REF!&lt;-2),"",#REF!)</f>
        <v>#REF!</v>
      </c>
      <c r="EC18" s="7" t="e">
        <f aca="false">IF(OR(#REF!&gt;2,#REF!&lt;-2),"",#REF!)</f>
        <v>#REF!</v>
      </c>
      <c r="ED18" s="7" t="e">
        <f aca="false">IF(OR(#REF!&gt;2,#REF!&lt;-2),"",#REF!)</f>
        <v>#REF!</v>
      </c>
      <c r="EE18" s="7" t="e">
        <f aca="false">IF(OR(#REF!&gt;2,#REF!&lt;-2),"",#REF!)</f>
        <v>#REF!</v>
      </c>
      <c r="EF18" s="7" t="e">
        <f aca="false">IF(OR(#REF!&gt;2,#REF!&lt;-2),"",#REF!)</f>
        <v>#REF!</v>
      </c>
      <c r="EG18" s="7" t="e">
        <f aca="false">IF(OR(#REF!&gt;2,#REF!&lt;-2),"",#REF!)</f>
        <v>#REF!</v>
      </c>
      <c r="EH18" s="7" t="e">
        <f aca="false">IF(OR(#REF!&gt;2,#REF!&lt;-2),"",#REF!)</f>
        <v>#REF!</v>
      </c>
      <c r="EI18" s="7" t="e">
        <f aca="false">IF(OR(#REF!&gt;2,#REF!&lt;-2),"",#REF!)</f>
        <v>#REF!</v>
      </c>
      <c r="EJ18" s="7" t="e">
        <f aca="false">IF(OR(#REF!&gt;2,#REF!&lt;-2),"",#REF!)</f>
        <v>#REF!</v>
      </c>
      <c r="EK18" s="7" t="e">
        <f aca="false">IF(OR(#REF!&gt;2,#REF!&lt;-2),"",#REF!)</f>
        <v>#REF!</v>
      </c>
      <c r="EL18" s="7" t="e">
        <f aca="false">IF(OR(#REF!&gt;2,#REF!&lt;-2),"",#REF!)</f>
        <v>#REF!</v>
      </c>
      <c r="EM18" s="7" t="e">
        <f aca="false">IF(OR(#REF!&gt;2,#REF!&lt;-2),"",#REF!)</f>
        <v>#REF!</v>
      </c>
      <c r="EN18" s="7" t="e">
        <f aca="false">IF(OR(#REF!&gt;2,#REF!&lt;-2),"",#REF!)</f>
        <v>#REF!</v>
      </c>
      <c r="EO18" s="7" t="e">
        <f aca="false">IF(OR(#REF!&gt;2,#REF!&lt;-2),"",#REF!)</f>
        <v>#REF!</v>
      </c>
      <c r="EP18" s="7" t="e">
        <f aca="false">IF(OR(#REF!&gt;2,#REF!&lt;-2),"",#REF!)</f>
        <v>#REF!</v>
      </c>
      <c r="EQ18" s="7" t="e">
        <f aca="false">IF(OR(#REF!&gt;2,#REF!&lt;-2),"",#REF!)</f>
        <v>#REF!</v>
      </c>
      <c r="ER18" s="7" t="e">
        <f aca="false">IF(OR(#REF!&gt;2,#REF!&lt;-2),"",#REF!)</f>
        <v>#REF!</v>
      </c>
      <c r="ES18" s="7" t="e">
        <f aca="false">IF(OR(#REF!&gt;2,#REF!&lt;-2),"",#REF!)</f>
        <v>#REF!</v>
      </c>
      <c r="ET18" s="7" t="e">
        <f aca="false">IF(OR(#REF!&gt;2,#REF!&lt;-2),"",#REF!)</f>
        <v>#REF!</v>
      </c>
      <c r="EU18" s="7" t="e">
        <f aca="false">IF(OR(#REF!&gt;2,#REF!&lt;-2),"",#REF!)</f>
        <v>#REF!</v>
      </c>
      <c r="EV18" s="7" t="e">
        <f aca="false">IF(OR(#REF!&gt;2,#REF!&lt;-2),"",#REF!)</f>
        <v>#REF!</v>
      </c>
      <c r="EW18" s="7" t="e">
        <f aca="false">IF(OR(#REF!&gt;2,#REF!&lt;-2),"",#REF!)</f>
        <v>#REF!</v>
      </c>
      <c r="EX18" s="7" t="e">
        <f aca="false">IF(OR(#REF!&gt;2,#REF!&lt;-2),"",#REF!)</f>
        <v>#REF!</v>
      </c>
      <c r="EY18" s="7" t="e">
        <f aca="false">IF(OR(#REF!&gt;2,#REF!&lt;-2),"",#REF!)</f>
        <v>#REF!</v>
      </c>
      <c r="EZ18" s="7" t="e">
        <f aca="false">IF(OR(#REF!&gt;2,#REF!&lt;-2),"",#REF!)</f>
        <v>#REF!</v>
      </c>
      <c r="FA18" s="7" t="e">
        <f aca="false">IF(OR(#REF!&gt;2,#REF!&lt;-2),"",#REF!)</f>
        <v>#REF!</v>
      </c>
      <c r="FB18" s="7" t="e">
        <f aca="false">IF(OR(#REF!&gt;2,#REF!&lt;-2),"",#REF!)</f>
        <v>#REF!</v>
      </c>
      <c r="FC18" s="7" t="e">
        <f aca="false">IF(OR(#REF!&gt;2,#REF!&lt;-2),"",#REF!)</f>
        <v>#REF!</v>
      </c>
      <c r="FD18" s="7" t="e">
        <f aca="false">IF(OR(#REF!&gt;2,#REF!&lt;-2),"",#REF!)</f>
        <v>#REF!</v>
      </c>
      <c r="FE18" s="7" t="e">
        <f aca="false">IF(OR(#REF!&gt;2,#REF!&lt;-2),"",#REF!)</f>
        <v>#REF!</v>
      </c>
      <c r="FF18" s="7" t="e">
        <f aca="false">IF(OR(#REF!&gt;2,#REF!&lt;-2),"",#REF!)</f>
        <v>#REF!</v>
      </c>
      <c r="FG18" s="7" t="e">
        <f aca="false">IF(OR(#REF!&gt;2,#REF!&lt;-2),"",#REF!)</f>
        <v>#REF!</v>
      </c>
      <c r="FH18" s="7" t="e">
        <f aca="false">IF(OR(#REF!&gt;2,#REF!&lt;-2),"",#REF!)</f>
        <v>#REF!</v>
      </c>
      <c r="FI18" s="7" t="e">
        <f aca="false">IF(OR(#REF!&gt;2,#REF!&lt;-2),"",#REF!)</f>
        <v>#REF!</v>
      </c>
      <c r="FJ18" s="7" t="e">
        <f aca="false">IF(OR(#REF!&gt;2,#REF!&lt;-2),"",#REF!)</f>
        <v>#REF!</v>
      </c>
      <c r="FK18" s="7" t="e">
        <f aca="false">IF(OR(#REF!&gt;2,#REF!&lt;-2),"",#REF!)</f>
        <v>#REF!</v>
      </c>
      <c r="FL18" s="7" t="e">
        <f aca="false">IF(OR(#REF!&gt;2,#REF!&lt;-2),"",#REF!)</f>
        <v>#REF!</v>
      </c>
      <c r="FM18" s="7" t="e">
        <f aca="false">IF(OR(#REF!&gt;2,#REF!&lt;-2),"",#REF!)</f>
        <v>#REF!</v>
      </c>
      <c r="FN18" s="7" t="e">
        <f aca="false">IF(OR(#REF!&gt;2,#REF!&lt;-2),"",#REF!)</f>
        <v>#REF!</v>
      </c>
      <c r="FO18" s="7" t="e">
        <f aca="false">IF(OR(#REF!&gt;2,#REF!&lt;-2),"",#REF!)</f>
        <v>#REF!</v>
      </c>
      <c r="FP18" s="7" t="e">
        <f aca="false">IF(OR(#REF!&gt;2,#REF!&lt;-2),"",#REF!)</f>
        <v>#REF!</v>
      </c>
      <c r="FQ18" s="7" t="e">
        <f aca="false">IF(OR(#REF!&gt;2,#REF!&lt;-2),"",#REF!)</f>
        <v>#REF!</v>
      </c>
      <c r="FR18" s="7" t="e">
        <f aca="false">IF(OR(#REF!&gt;2,#REF!&lt;-2),"",#REF!)</f>
        <v>#REF!</v>
      </c>
      <c r="FS18" s="7" t="e">
        <f aca="false">IF(OR(#REF!&gt;2,#REF!&lt;-2),"",#REF!)</f>
        <v>#REF!</v>
      </c>
      <c r="FT18" s="7" t="e">
        <f aca="false">IF(OR(#REF!&gt;2,#REF!&lt;-2),"",#REF!)</f>
        <v>#REF!</v>
      </c>
      <c r="FU18" s="7" t="e">
        <f aca="false">IF(OR(#REF!&gt;2,#REF!&lt;-2),"",#REF!)</f>
        <v>#REF!</v>
      </c>
      <c r="FV18" s="7" t="e">
        <f aca="false">IF(OR(#REF!&gt;2,#REF!&lt;-2),"",#REF!)</f>
        <v>#REF!</v>
      </c>
      <c r="FW18" s="7" t="e">
        <f aca="false">IF(OR(#REF!&gt;2,#REF!&lt;-2),"",#REF!)</f>
        <v>#REF!</v>
      </c>
      <c r="FX18" s="7" t="e">
        <f aca="false">IF(OR(#REF!&gt;2,#REF!&lt;-2),"",#REF!)</f>
        <v>#REF!</v>
      </c>
      <c r="FY18" s="7" t="e">
        <f aca="false">IF(OR(#REF!&gt;2,#REF!&lt;-2),"",#REF!)</f>
        <v>#REF!</v>
      </c>
      <c r="FZ18" s="7" t="e">
        <f aca="false">IF(OR(#REF!&gt;2,#REF!&lt;-2),"",#REF!)</f>
        <v>#REF!</v>
      </c>
      <c r="GA18" s="7" t="e">
        <f aca="false">IF(OR(#REF!&gt;2,#REF!&lt;-2),"",#REF!)</f>
        <v>#REF!</v>
      </c>
      <c r="GB18" s="7" t="e">
        <f aca="false">IF(OR(#REF!&gt;2,#REF!&lt;-2),"",#REF!)</f>
        <v>#REF!</v>
      </c>
      <c r="GC18" s="7" t="e">
        <f aca="false">IF(OR(#REF!&gt;2,#REF!&lt;-2),"",#REF!)</f>
        <v>#REF!</v>
      </c>
      <c r="GD18" s="7" t="e">
        <f aca="false">IF(OR(#REF!&gt;2,#REF!&lt;-2),"",#REF!)</f>
        <v>#REF!</v>
      </c>
      <c r="GE18" s="7" t="e">
        <f aca="false">IF(OR(#REF!&gt;2,#REF!&lt;-2),"",#REF!)</f>
        <v>#REF!</v>
      </c>
      <c r="GF18" s="7" t="e">
        <f aca="false">IF(OR(#REF!&gt;2,#REF!&lt;-2),"",#REF!)</f>
        <v>#REF!</v>
      </c>
      <c r="GG18" s="7" t="e">
        <f aca="false">IF(OR(#REF!&gt;2,#REF!&lt;-2),"",#REF!)</f>
        <v>#REF!</v>
      </c>
      <c r="GH18" s="7" t="e">
        <f aca="false">IF(OR(#REF!&gt;2,#REF!&lt;-2),"",#REF!)</f>
        <v>#REF!</v>
      </c>
      <c r="GI18" s="7" t="e">
        <f aca="false">IF(OR(#REF!&gt;2,#REF!&lt;-2),"",#REF!)</f>
        <v>#REF!</v>
      </c>
      <c r="GJ18" s="7" t="e">
        <f aca="false">IF(OR(#REF!&gt;2,#REF!&lt;-2),"",#REF!)</f>
        <v>#REF!</v>
      </c>
      <c r="GK18" s="7" t="e">
        <f aca="false">IF(OR(#REF!&gt;2,#REF!&lt;-2),"",#REF!)</f>
        <v>#REF!</v>
      </c>
      <c r="GL18" s="7" t="e">
        <f aca="false">IF(OR(#REF!&gt;2,#REF!&lt;-2),"",#REF!)</f>
        <v>#REF!</v>
      </c>
      <c r="GM18" s="7" t="e">
        <f aca="false">IF(OR(#REF!&gt;2,#REF!&lt;-2),"",#REF!)</f>
        <v>#REF!</v>
      </c>
      <c r="GN18" s="7" t="e">
        <f aca="false">IF(OR(#REF!&gt;2,#REF!&lt;-2),"",#REF!)</f>
        <v>#REF!</v>
      </c>
      <c r="GO18" s="7" t="e">
        <f aca="false">IF(OR(#REF!&gt;2,#REF!&lt;-2),"",#REF!)</f>
        <v>#REF!</v>
      </c>
      <c r="GP18" s="7" t="e">
        <f aca="false">IF(OR(#REF!&gt;2,#REF!&lt;-2),"",#REF!)</f>
        <v>#REF!</v>
      </c>
      <c r="GQ18" s="7" t="e">
        <f aca="false">IF(OR(#REF!&gt;2,#REF!&lt;-2),"",#REF!)</f>
        <v>#REF!</v>
      </c>
      <c r="GR18" s="7" t="e">
        <f aca="false">IF(OR(#REF!&gt;2,#REF!&lt;-2),"",#REF!)</f>
        <v>#REF!</v>
      </c>
      <c r="GS18" s="7" t="e">
        <f aca="false">IF(OR(#REF!&gt;2,#REF!&lt;-2),"",#REF!)</f>
        <v>#REF!</v>
      </c>
      <c r="GT18" s="7" t="e">
        <f aca="false">IF(OR(#REF!&gt;2,#REF!&lt;-2),"",#REF!)</f>
        <v>#REF!</v>
      </c>
      <c r="GU18" s="7" t="e">
        <f aca="false">IF(OR(#REF!&gt;2,#REF!&lt;-2),"",#REF!)</f>
        <v>#REF!</v>
      </c>
      <c r="GV18" s="7" t="e">
        <f aca="false">IF(OR(#REF!&gt;2,#REF!&lt;-2),"",#REF!)</f>
        <v>#REF!</v>
      </c>
      <c r="GW18" s="7" t="e">
        <f aca="false">IF(OR(#REF!&gt;2,#REF!&lt;-2),"",#REF!)</f>
        <v>#REF!</v>
      </c>
      <c r="GX18" s="7" t="e">
        <f aca="false">IF(OR(#REF!&gt;2,#REF!&lt;-2),"",#REF!)</f>
        <v>#REF!</v>
      </c>
      <c r="GY18" s="7" t="e">
        <f aca="false">IF(OR(#REF!&gt;2,#REF!&lt;-2),"",#REF!)</f>
        <v>#REF!</v>
      </c>
      <c r="GZ18" s="7" t="e">
        <f aca="false">IF(OR(#REF!&gt;2,#REF!&lt;-2),"",#REF!)</f>
        <v>#REF!</v>
      </c>
      <c r="HA18" s="7" t="e">
        <f aca="false">IF(OR(#REF!&gt;2,#REF!&lt;-2),"",#REF!)</f>
        <v>#REF!</v>
      </c>
      <c r="HB18" s="7" t="e">
        <f aca="false">IF(OR(#REF!&gt;2,#REF!&lt;-2),"",#REF!)</f>
        <v>#REF!</v>
      </c>
      <c r="HC18" s="7" t="e">
        <f aca="false">IF(OR(#REF!&gt;2,#REF!&lt;-2),"",#REF!)</f>
        <v>#REF!</v>
      </c>
      <c r="HD18" s="7" t="e">
        <f aca="false">IF(OR(#REF!&gt;2,#REF!&lt;-2),"",#REF!)</f>
        <v>#REF!</v>
      </c>
      <c r="HE18" s="7" t="e">
        <f aca="false">IF(OR(#REF!&gt;2,#REF!&lt;-2),"",#REF!)</f>
        <v>#REF!</v>
      </c>
      <c r="HF18" s="7" t="e">
        <f aca="false">IF(OR(#REF!&gt;2,#REF!&lt;-2),"",#REF!)</f>
        <v>#REF!</v>
      </c>
      <c r="HG18" s="7" t="e">
        <f aca="false">IF(OR(#REF!&gt;2,#REF!&lt;-2),"",#REF!)</f>
        <v>#REF!</v>
      </c>
      <c r="HH18" s="7" t="e">
        <f aca="false">IF(OR(#REF!&gt;2,#REF!&lt;-2),"",#REF!)</f>
        <v>#REF!</v>
      </c>
      <c r="HI18" s="7" t="e">
        <f aca="false">IF(OR(#REF!&gt;2,#REF!&lt;-2),"",#REF!)</f>
        <v>#REF!</v>
      </c>
      <c r="HJ18" s="7" t="e">
        <f aca="false">IF(OR(#REF!&gt;2,#REF!&lt;-2),"",#REF!)</f>
        <v>#REF!</v>
      </c>
      <c r="HK18" s="7" t="e">
        <f aca="false">IF(OR(#REF!&gt;2,#REF!&lt;-2),"",#REF!)</f>
        <v>#REF!</v>
      </c>
      <c r="HL18" s="7" t="e">
        <f aca="false">IF(OR(#REF!&gt;2,#REF!&lt;-2),"",#REF!)</f>
        <v>#REF!</v>
      </c>
      <c r="HM18" s="7" t="e">
        <f aca="false">IF(OR(#REF!&gt;2,#REF!&lt;-2),"",#REF!)</f>
        <v>#REF!</v>
      </c>
      <c r="HN18" s="7" t="e">
        <f aca="false">IF(OR(#REF!&gt;2,#REF!&lt;-2),"",#REF!)</f>
        <v>#REF!</v>
      </c>
      <c r="HO18" s="7" t="e">
        <f aca="false">IF(OR(#REF!&gt;2,#REF!&lt;-2),"",#REF!)</f>
        <v>#REF!</v>
      </c>
      <c r="HP18" s="7" t="e">
        <f aca="false">IF(OR(#REF!&gt;2,#REF!&lt;-2),"",#REF!)</f>
        <v>#REF!</v>
      </c>
      <c r="HQ18" s="7" t="e">
        <f aca="false">IF(OR(#REF!&gt;2,#REF!&lt;-2),"",#REF!)</f>
        <v>#REF!</v>
      </c>
      <c r="HR18" s="7" t="e">
        <f aca="false">IF(OR(#REF!&gt;2,#REF!&lt;-2),"",#REF!)</f>
        <v>#REF!</v>
      </c>
      <c r="HS18" s="7" t="e">
        <f aca="false">IF(OR(#REF!&gt;2,#REF!&lt;-2),"",#REF!)</f>
        <v>#REF!</v>
      </c>
      <c r="HT18" s="7" t="e">
        <f aca="false">IF(OR(#REF!&gt;2,#REF!&lt;-2),"",#REF!)</f>
        <v>#REF!</v>
      </c>
      <c r="HU18" s="7" t="e">
        <f aca="false">IF(OR(#REF!&gt;2,#REF!&lt;-2),"",#REF!)</f>
        <v>#REF!</v>
      </c>
      <c r="HV18" s="7" t="e">
        <f aca="false">IF(OR(#REF!&gt;2,#REF!&lt;-2),"",#REF!)</f>
        <v>#REF!</v>
      </c>
      <c r="HW18" s="7" t="e">
        <f aca="false">IF(OR(#REF!&gt;2,#REF!&lt;-2),"",#REF!)</f>
        <v>#REF!</v>
      </c>
      <c r="HX18" s="7" t="e">
        <f aca="false">IF(OR(#REF!&gt;2,#REF!&lt;-2),"",#REF!)</f>
        <v>#REF!</v>
      </c>
      <c r="HY18" s="7" t="e">
        <f aca="false">IF(OR(#REF!&gt;2,#REF!&lt;-2),"",#REF!)</f>
        <v>#REF!</v>
      </c>
      <c r="HZ18" s="7" t="e">
        <f aca="false">IF(OR(#REF!&gt;2,#REF!&lt;-2),"",#REF!)</f>
        <v>#REF!</v>
      </c>
      <c r="IA18" s="7" t="e">
        <f aca="false">IF(OR(#REF!&gt;2,#REF!&lt;-2),"",#REF!)</f>
        <v>#REF!</v>
      </c>
      <c r="IB18" s="7" t="e">
        <f aca="false">IF(OR(#REF!&gt;2,#REF!&lt;-2),"",#REF!)</f>
        <v>#REF!</v>
      </c>
      <c r="IC18" s="7" t="e">
        <f aca="false">IF(OR(#REF!&gt;2,#REF!&lt;-2),"",#REF!)</f>
        <v>#REF!</v>
      </c>
      <c r="ID18" s="7" t="e">
        <f aca="false">IF(OR(#REF!&gt;2,#REF!&lt;-2),"",#REF!)</f>
        <v>#REF!</v>
      </c>
      <c r="IE18" s="7" t="e">
        <f aca="false">IF(OR(#REF!&gt;2,#REF!&lt;-2),"",#REF!)</f>
        <v>#REF!</v>
      </c>
      <c r="IF18" s="7" t="e">
        <f aca="false">IF(OR(#REF!&gt;2,#REF!&lt;-2),"",#REF!)</f>
        <v>#REF!</v>
      </c>
      <c r="IG18" s="7" t="e">
        <f aca="false">IF(OR(#REF!&gt;2,#REF!&lt;-2),"",#REF!)</f>
        <v>#REF!</v>
      </c>
      <c r="IH18" s="7" t="e">
        <f aca="false">IF(OR(#REF!&gt;2,#REF!&lt;-2),"",#REF!)</f>
        <v>#REF!</v>
      </c>
      <c r="II18" s="7" t="e">
        <f aca="false">IF(OR(#REF!&gt;2,#REF!&lt;-2),"",#REF!)</f>
        <v>#REF!</v>
      </c>
      <c r="IJ18" s="7" t="e">
        <f aca="false">IF(OR(#REF!&gt;2,#REF!&lt;-2),"",#REF!)</f>
        <v>#REF!</v>
      </c>
      <c r="IK18" s="7" t="e">
        <f aca="false">IF(OR(#REF!&gt;2,#REF!&lt;-2),"",#REF!)</f>
        <v>#REF!</v>
      </c>
      <c r="IL18" s="7" t="e">
        <f aca="false">IF(OR(#REF!&gt;2,#REF!&lt;-2),"",#REF!)</f>
        <v>#REF!</v>
      </c>
      <c r="IM18" s="7" t="e">
        <f aca="false">IF(OR(#REF!&gt;2,#REF!&lt;-2),"",#REF!)</f>
        <v>#REF!</v>
      </c>
      <c r="IN18" s="7" t="e">
        <f aca="false">IF(OR(#REF!&gt;2,#REF!&lt;-2),"",#REF!)</f>
        <v>#REF!</v>
      </c>
      <c r="IO18" s="7" t="e">
        <f aca="false">IF(OR(#REF!&gt;2,#REF!&lt;-2),"",#REF!)</f>
        <v>#REF!</v>
      </c>
      <c r="IP18" s="7" t="e">
        <f aca="false">IF(OR(#REF!&gt;2,#REF!&lt;-2),"",#REF!)</f>
        <v>#REF!</v>
      </c>
      <c r="IQ18" s="7" t="e">
        <f aca="false">IF(OR(#REF!&gt;2,#REF!&lt;-2),"",#REF!)</f>
        <v>#REF!</v>
      </c>
      <c r="IR18" s="7" t="e">
        <f aca="false">IF(OR(#REF!&gt;2,#REF!&lt;-2),"",#REF!)</f>
        <v>#REF!</v>
      </c>
      <c r="IS18" s="7" t="e">
        <f aca="false">IF(OR(#REF!&gt;2,#REF!&lt;-2),"",#REF!)</f>
        <v>#REF!</v>
      </c>
      <c r="IT18" s="7" t="e">
        <f aca="false">IF(OR(#REF!&gt;2,#REF!&lt;-2),"",#REF!)</f>
        <v>#REF!</v>
      </c>
      <c r="IU18" s="7" t="e">
        <f aca="false">IF(OR(#REF!&gt;2,#REF!&lt;-2),"",#REF!)</f>
        <v>#REF!</v>
      </c>
      <c r="IV18" s="7" t="e">
        <f aca="false">IF(OR(#REF!&gt;2,#REF!&lt;-2),"",#REF!)</f>
        <v>#REF!</v>
      </c>
      <c r="IW18" s="7" t="e">
        <f aca="false">IF(OR(#REF!&gt;2,#REF!&lt;-2),"",#REF!)</f>
        <v>#REF!</v>
      </c>
      <c r="IX18" s="7" t="e">
        <f aca="false">IF(OR(#REF!&gt;2,#REF!&lt;-2),"",#REF!)</f>
        <v>#REF!</v>
      </c>
      <c r="IY18" s="7" t="e">
        <f aca="false">IF(OR(#REF!&gt;2,#REF!&lt;-2),"",#REF!)</f>
        <v>#REF!</v>
      </c>
      <c r="IZ18" s="7" t="e">
        <f aca="false">IF(OR(#REF!&gt;2,#REF!&lt;-2),"",#REF!)</f>
        <v>#REF!</v>
      </c>
      <c r="JA18" s="7" t="e">
        <f aca="false">IF(OR(#REF!&gt;2,#REF!&lt;-2),"",#REF!)</f>
        <v>#REF!</v>
      </c>
      <c r="JB18" s="7" t="e">
        <f aca="false">IF(OR(#REF!&gt;2,#REF!&lt;-2),"",#REF!)</f>
        <v>#REF!</v>
      </c>
      <c r="JC18" s="7" t="e">
        <f aca="false">IF(OR(#REF!&gt;2,#REF!&lt;-2),"",#REF!)</f>
        <v>#REF!</v>
      </c>
      <c r="JD18" s="7" t="e">
        <f aca="false">IF(OR(#REF!&gt;2,#REF!&lt;-2),"",#REF!)</f>
        <v>#REF!</v>
      </c>
      <c r="JE18" s="7" t="e">
        <f aca="false">IF(OR(#REF!&gt;2,#REF!&lt;-2),"",#REF!)</f>
        <v>#REF!</v>
      </c>
      <c r="JF18" s="7" t="e">
        <f aca="false">IF(OR(#REF!&gt;2,#REF!&lt;-2),"",#REF!)</f>
        <v>#REF!</v>
      </c>
      <c r="JG18" s="7" t="e">
        <f aca="false">IF(OR(#REF!&gt;2,#REF!&lt;-2),"",#REF!)</f>
        <v>#REF!</v>
      </c>
      <c r="JH18" s="7" t="e">
        <f aca="false">IF(OR(#REF!&gt;2,#REF!&lt;-2),"",#REF!)</f>
        <v>#REF!</v>
      </c>
      <c r="JI18" s="7" t="e">
        <f aca="false">IF(OR(#REF!&gt;2,#REF!&lt;-2),"",#REF!)</f>
        <v>#REF!</v>
      </c>
      <c r="JJ18" s="7" t="e">
        <f aca="false">IF(OR(#REF!&gt;2,#REF!&lt;-2),"",#REF!)</f>
        <v>#REF!</v>
      </c>
      <c r="JK18" s="7" t="e">
        <f aca="false">IF(OR(#REF!&gt;2,#REF!&lt;-2),"",#REF!)</f>
        <v>#REF!</v>
      </c>
      <c r="JL18" s="7" t="e">
        <f aca="false">IF(OR(#REF!&gt;2,#REF!&lt;-2),"",#REF!)</f>
        <v>#REF!</v>
      </c>
      <c r="JM18" s="7" t="e">
        <f aca="false">IF(OR(#REF!&gt;2,#REF!&lt;-2),"",#REF!)</f>
        <v>#REF!</v>
      </c>
      <c r="JN18" s="7" t="e">
        <f aca="false">IF(OR(#REF!&gt;2,#REF!&lt;-2),"",#REF!)</f>
        <v>#REF!</v>
      </c>
      <c r="JO18" s="7" t="e">
        <f aca="false">IF(OR(#REF!&gt;2,#REF!&lt;-2),"",#REF!)</f>
        <v>#REF!</v>
      </c>
      <c r="JP18" s="7" t="e">
        <f aca="false">IF(OR(#REF!&gt;2,#REF!&lt;-2),"",#REF!)</f>
        <v>#REF!</v>
      </c>
      <c r="JQ18" s="7" t="e">
        <f aca="false">IF(OR(#REF!&gt;2,#REF!&lt;-2),"",#REF!)</f>
        <v>#REF!</v>
      </c>
      <c r="JR18" s="7" t="e">
        <f aca="false">IF(OR(#REF!&gt;2,#REF!&lt;-2),"",#REF!)</f>
        <v>#REF!</v>
      </c>
      <c r="JS18" s="7" t="e">
        <f aca="false">IF(OR(#REF!&gt;2,#REF!&lt;-2),"",#REF!)</f>
        <v>#REF!</v>
      </c>
      <c r="JT18" s="7" t="e">
        <f aca="false">IF(OR(#REF!&gt;2,#REF!&lt;-2),"",#REF!)</f>
        <v>#REF!</v>
      </c>
      <c r="JU18" s="7" t="e">
        <f aca="false">IF(OR(#REF!&gt;2,#REF!&lt;-2),"",#REF!)</f>
        <v>#REF!</v>
      </c>
      <c r="JV18" s="7" t="e">
        <f aca="false">IF(OR(#REF!&gt;2,#REF!&lt;-2),"",#REF!)</f>
        <v>#REF!</v>
      </c>
      <c r="JW18" s="7" t="e">
        <f aca="false">IF(OR(#REF!&gt;2,#REF!&lt;-2),"",#REF!)</f>
        <v>#REF!</v>
      </c>
      <c r="JX18" s="7" t="e">
        <f aca="false">IF(OR(#REF!&gt;2,#REF!&lt;-2),"",#REF!)</f>
        <v>#REF!</v>
      </c>
      <c r="JY18" s="7" t="e">
        <f aca="false">IF(OR(#REF!&gt;2,#REF!&lt;-2),"",#REF!)</f>
        <v>#REF!</v>
      </c>
      <c r="JZ18" s="7" t="e">
        <f aca="false">IF(OR(#REF!&gt;2,#REF!&lt;-2),"",#REF!)</f>
        <v>#REF!</v>
      </c>
      <c r="KA18" s="7" t="e">
        <f aca="false">IF(OR(#REF!&gt;2,#REF!&lt;-2),"",#REF!)</f>
        <v>#REF!</v>
      </c>
      <c r="KB18" s="7" t="e">
        <f aca="false">IF(OR(#REF!&gt;2,#REF!&lt;-2),"",#REF!)</f>
        <v>#REF!</v>
      </c>
      <c r="KC18" s="7" t="e">
        <f aca="false">IF(OR(#REF!&gt;2,#REF!&lt;-2),"",#REF!)</f>
        <v>#REF!</v>
      </c>
      <c r="KD18" s="7" t="e">
        <f aca="false">IF(OR(#REF!&gt;2,#REF!&lt;-2),"",#REF!)</f>
        <v>#REF!</v>
      </c>
      <c r="KE18" s="7" t="e">
        <f aca="false">IF(OR(#REF!&gt;2,#REF!&lt;-2),"",#REF!)</f>
        <v>#REF!</v>
      </c>
      <c r="KF18" s="7" t="e">
        <f aca="false">IF(OR(#REF!&gt;2,#REF!&lt;-2),"",#REF!)</f>
        <v>#REF!</v>
      </c>
      <c r="KG18" s="7" t="e">
        <f aca="false">IF(OR(#REF!&gt;2,#REF!&lt;-2),"",#REF!)</f>
        <v>#REF!</v>
      </c>
      <c r="KH18" s="7" t="e">
        <f aca="false">IF(OR(#REF!&gt;2,#REF!&lt;-2),"",#REF!)</f>
        <v>#REF!</v>
      </c>
      <c r="KI18" s="7" t="e">
        <f aca="false">IF(OR(#REF!&gt;2,#REF!&lt;-2),"",#REF!)</f>
        <v>#REF!</v>
      </c>
      <c r="KJ18" s="7" t="e">
        <f aca="false">IF(OR(#REF!&gt;2,#REF!&lt;-2),"",#REF!)</f>
        <v>#REF!</v>
      </c>
      <c r="KK18" s="7" t="e">
        <f aca="false">IF(OR(#REF!&gt;2,#REF!&lt;-2),"",#REF!)</f>
        <v>#REF!</v>
      </c>
      <c r="KL18" s="7" t="e">
        <f aca="false">IF(OR(#REF!&gt;2,#REF!&lt;-2),"",#REF!)</f>
        <v>#REF!</v>
      </c>
      <c r="KM18" s="7" t="e">
        <f aca="false">IF(OR(#REF!&gt;2,#REF!&lt;-2),"",#REF!)</f>
        <v>#REF!</v>
      </c>
      <c r="KN18" s="7" t="e">
        <f aca="false">IF(OR(#REF!&gt;2,#REF!&lt;-2),"",#REF!)</f>
        <v>#REF!</v>
      </c>
      <c r="KO18" s="7" t="e">
        <f aca="false">IF(OR(#REF!&gt;2,#REF!&lt;-2),"",#REF!)</f>
        <v>#REF!</v>
      </c>
      <c r="KP18" s="7" t="e">
        <f aca="false">IF(OR(#REF!&gt;2,#REF!&lt;-2),"",#REF!)</f>
        <v>#REF!</v>
      </c>
      <c r="KQ18" s="7" t="e">
        <f aca="false">IF(OR(#REF!&gt;2,#REF!&lt;-2),"",#REF!)</f>
        <v>#REF!</v>
      </c>
      <c r="KR18" s="7" t="e">
        <f aca="false">IF(OR(#REF!&gt;2,#REF!&lt;-2),"",#REF!)</f>
        <v>#REF!</v>
      </c>
      <c r="KS18" s="7" t="e">
        <f aca="false">IF(OR(#REF!&gt;2,#REF!&lt;-2),"",#REF!)</f>
        <v>#REF!</v>
      </c>
      <c r="KT18" s="7" t="e">
        <f aca="false">IF(OR(#REF!&gt;2,#REF!&lt;-2),"",#REF!)</f>
        <v>#REF!</v>
      </c>
      <c r="KU18" s="7" t="e">
        <f aca="false">IF(OR(#REF!&gt;2,#REF!&lt;-2),"",#REF!)</f>
        <v>#REF!</v>
      </c>
      <c r="KV18" s="7" t="e">
        <f aca="false">IF(OR(#REF!&gt;2,#REF!&lt;-2),"",#REF!)</f>
        <v>#REF!</v>
      </c>
      <c r="KW18" s="7" t="e">
        <f aca="false">IF(OR(#REF!&gt;2,#REF!&lt;-2),"",#REF!)</f>
        <v>#REF!</v>
      </c>
      <c r="KX18" s="7" t="e">
        <f aca="false">IF(OR(#REF!&gt;2,#REF!&lt;-2),"",#REF!)</f>
        <v>#REF!</v>
      </c>
      <c r="KY18" s="7" t="e">
        <f aca="false">IF(OR(#REF!&gt;2,#REF!&lt;-2),"",#REF!)</f>
        <v>#REF!</v>
      </c>
      <c r="KZ18" s="7" t="e">
        <f aca="false">IF(OR(#REF!&gt;2,#REF!&lt;-2),"",#REF!)</f>
        <v>#REF!</v>
      </c>
      <c r="LA18" s="7" t="e">
        <f aca="false">IF(OR(#REF!&gt;2,#REF!&lt;-2),"",#REF!)</f>
        <v>#REF!</v>
      </c>
      <c r="LB18" s="7" t="e">
        <f aca="false">IF(OR(#REF!&gt;2,#REF!&lt;-2),"",#REF!)</f>
        <v>#REF!</v>
      </c>
      <c r="LC18" s="7" t="e">
        <f aca="false">IF(OR(#REF!&gt;2,#REF!&lt;-2),"",#REF!)</f>
        <v>#REF!</v>
      </c>
      <c r="LD18" s="7" t="e">
        <f aca="false">IF(OR(#REF!&gt;2,#REF!&lt;-2),"",#REF!)</f>
        <v>#REF!</v>
      </c>
      <c r="LE18" s="7" t="e">
        <f aca="false">IF(OR(#REF!&gt;2,#REF!&lt;-2),"",#REF!)</f>
        <v>#REF!</v>
      </c>
      <c r="LF18" s="7" t="e">
        <f aca="false">IF(OR(#REF!&gt;2,#REF!&lt;-2),"",#REF!)</f>
        <v>#REF!</v>
      </c>
      <c r="LG18" s="7" t="e">
        <f aca="false">IF(OR(#REF!&gt;2,#REF!&lt;-2),"",#REF!)</f>
        <v>#REF!</v>
      </c>
      <c r="LH18" s="7" t="e">
        <f aca="false">IF(OR(#REF!&gt;2,#REF!&lt;-2),"",#REF!)</f>
        <v>#REF!</v>
      </c>
      <c r="LI18" s="7" t="e">
        <f aca="false">IF(OR(#REF!&gt;2,#REF!&lt;-2),"",#REF!)</f>
        <v>#REF!</v>
      </c>
      <c r="LJ18" s="7" t="e">
        <f aca="false">IF(OR(#REF!&gt;2,#REF!&lt;-2),"",#REF!)</f>
        <v>#REF!</v>
      </c>
      <c r="LK18" s="7" t="e">
        <f aca="false">IF(OR(#REF!&gt;2,#REF!&lt;-2),"",#REF!)</f>
        <v>#REF!</v>
      </c>
      <c r="LL18" s="7" t="e">
        <f aca="false">IF(OR(#REF!&gt;2,#REF!&lt;-2),"",#REF!)</f>
        <v>#REF!</v>
      </c>
      <c r="LM18" s="7" t="e">
        <f aca="false">IF(OR(#REF!&gt;2,#REF!&lt;-2),"",#REF!)</f>
        <v>#REF!</v>
      </c>
      <c r="LN18" s="7" t="e">
        <f aca="false">IF(OR(#REF!&gt;2,#REF!&lt;-2),"",#REF!)</f>
        <v>#REF!</v>
      </c>
      <c r="LO18" s="7" t="e">
        <f aca="false">IF(OR(#REF!&gt;2,#REF!&lt;-2),"",#REF!)</f>
        <v>#REF!</v>
      </c>
      <c r="LP18" s="7" t="e">
        <f aca="false">IF(OR(#REF!&gt;2,#REF!&lt;-2),"",#REF!)</f>
        <v>#REF!</v>
      </c>
      <c r="LQ18" s="7" t="e">
        <f aca="false">IF(OR(#REF!&gt;2,#REF!&lt;-2),"",#REF!)</f>
        <v>#REF!</v>
      </c>
      <c r="LR18" s="7" t="e">
        <f aca="false">IF(OR(#REF!&gt;2,#REF!&lt;-2),"",#REF!)</f>
        <v>#REF!</v>
      </c>
      <c r="LS18" s="7" t="e">
        <f aca="false">IF(OR(#REF!&gt;2,#REF!&lt;-2),"",#REF!)</f>
        <v>#REF!</v>
      </c>
      <c r="LT18" s="7" t="e">
        <f aca="false">IF(OR(#REF!&gt;2,#REF!&lt;-2),"",#REF!)</f>
        <v>#REF!</v>
      </c>
      <c r="LU18" s="7" t="e">
        <f aca="false">IF(OR(#REF!&gt;2,#REF!&lt;-2),"",#REF!)</f>
        <v>#REF!</v>
      </c>
      <c r="LV18" s="7" t="e">
        <f aca="false">IF(OR(#REF!&gt;2,#REF!&lt;-2),"",#REF!)</f>
        <v>#REF!</v>
      </c>
      <c r="LW18" s="7" t="e">
        <f aca="false">IF(OR(#REF!&gt;2,#REF!&lt;-2),"",#REF!)</f>
        <v>#REF!</v>
      </c>
      <c r="LX18" s="7" t="e">
        <f aca="false">IF(OR(#REF!&gt;2,#REF!&lt;-2),"",#REF!)</f>
        <v>#REF!</v>
      </c>
      <c r="LY18" s="7" t="e">
        <f aca="false">IF(OR(#REF!&gt;2,#REF!&lt;-2),"",#REF!)</f>
        <v>#REF!</v>
      </c>
      <c r="LZ18" s="7" t="e">
        <f aca="false">IF(OR(#REF!&gt;2,#REF!&lt;-2),"",#REF!)</f>
        <v>#REF!</v>
      </c>
      <c r="MA18" s="7" t="e">
        <f aca="false">IF(OR(#REF!&gt;2,#REF!&lt;-2),"",#REF!)</f>
        <v>#REF!</v>
      </c>
      <c r="MB18" s="7" t="e">
        <f aca="false">IF(OR(#REF!&gt;2,#REF!&lt;-2),"",#REF!)</f>
        <v>#REF!</v>
      </c>
      <c r="MC18" s="7" t="e">
        <f aca="false">IF(OR(#REF!&gt;2,#REF!&lt;-2),"",#REF!)</f>
        <v>#REF!</v>
      </c>
      <c r="MD18" s="7" t="e">
        <f aca="false">IF(OR(#REF!&gt;2,#REF!&lt;-2),"",#REF!)</f>
        <v>#REF!</v>
      </c>
      <c r="ME18" s="7" t="e">
        <f aca="false">IF(OR(#REF!&gt;2,#REF!&lt;-2),"",#REF!)</f>
        <v>#REF!</v>
      </c>
      <c r="MF18" s="7" t="e">
        <f aca="false">IF(OR(#REF!&gt;2,#REF!&lt;-2),"",#REF!)</f>
        <v>#REF!</v>
      </c>
      <c r="MG18" s="7" t="e">
        <f aca="false">IF(OR(#REF!&gt;2,#REF!&lt;-2),"",#REF!)</f>
        <v>#REF!</v>
      </c>
      <c r="MH18" s="7" t="e">
        <f aca="false">IF(OR(#REF!&gt;2,#REF!&lt;-2),"",#REF!)</f>
        <v>#REF!</v>
      </c>
      <c r="MI18" s="7" t="e">
        <f aca="false">IF(OR(#REF!&gt;2,#REF!&lt;-2),"",#REF!)</f>
        <v>#REF!</v>
      </c>
      <c r="MJ18" s="7" t="e">
        <f aca="false">IF(OR(#REF!&gt;2,#REF!&lt;-2),"",#REF!)</f>
        <v>#REF!</v>
      </c>
      <c r="MK18" s="7" t="e">
        <f aca="false">IF(OR(#REF!&gt;2,#REF!&lt;-2),"",#REF!)</f>
        <v>#REF!</v>
      </c>
      <c r="ML18" s="7" t="e">
        <f aca="false">IF(OR(#REF!&gt;2,#REF!&lt;-2),"",#REF!)</f>
        <v>#REF!</v>
      </c>
      <c r="MM18" s="7" t="e">
        <f aca="false">IF(OR(#REF!&gt;2,#REF!&lt;-2),"",#REF!)</f>
        <v>#REF!</v>
      </c>
      <c r="MN18" s="7" t="e">
        <f aca="false">IF(OR(#REF!&gt;2,#REF!&lt;-2),"",#REF!)</f>
        <v>#REF!</v>
      </c>
      <c r="MO18" s="7" t="e">
        <f aca="false">IF(OR(#REF!&gt;2,#REF!&lt;-2),"",#REF!)</f>
        <v>#REF!</v>
      </c>
      <c r="MP18" s="7" t="e">
        <f aca="false">IF(OR(#REF!&gt;2,#REF!&lt;-2),"",#REF!)</f>
        <v>#REF!</v>
      </c>
      <c r="MQ18" s="7" t="e">
        <f aca="false">IF(OR(#REF!&gt;2,#REF!&lt;-2),"",#REF!)</f>
        <v>#REF!</v>
      </c>
      <c r="MR18" s="7" t="e">
        <f aca="false">IF(OR(#REF!&gt;2,#REF!&lt;-2),"",#REF!)</f>
        <v>#REF!</v>
      </c>
      <c r="MS18" s="7" t="e">
        <f aca="false">IF(OR(#REF!&gt;2,#REF!&lt;-2),"",#REF!)</f>
        <v>#REF!</v>
      </c>
      <c r="MT18" s="7" t="e">
        <f aca="false">IF(OR(#REF!&gt;2,#REF!&lt;-2),"",#REF!)</f>
        <v>#REF!</v>
      </c>
      <c r="MU18" s="7" t="e">
        <f aca="false">IF(OR(#REF!&gt;2,#REF!&lt;-2),"",#REF!)</f>
        <v>#REF!</v>
      </c>
      <c r="MV18" s="7" t="e">
        <f aca="false">IF(OR(#REF!&gt;2,#REF!&lt;-2),"",#REF!)</f>
        <v>#REF!</v>
      </c>
      <c r="MW18" s="7" t="e">
        <f aca="false">IF(OR(#REF!&gt;2,#REF!&lt;-2),"",#REF!)</f>
        <v>#REF!</v>
      </c>
      <c r="MX18" s="7" t="e">
        <f aca="false">IF(OR(#REF!&gt;2,#REF!&lt;-2),"",#REF!)</f>
        <v>#REF!</v>
      </c>
      <c r="MY18" s="7" t="e">
        <f aca="false">IF(OR(#REF!&gt;2,#REF!&lt;-2),"",#REF!)</f>
        <v>#REF!</v>
      </c>
      <c r="MZ18" s="7" t="e">
        <f aca="false">IF(OR(#REF!&gt;2,#REF!&lt;-2),"",#REF!)</f>
        <v>#REF!</v>
      </c>
      <c r="NA18" s="7" t="e">
        <f aca="false">IF(OR(#REF!&gt;2,#REF!&lt;-2),"",#REF!)</f>
        <v>#REF!</v>
      </c>
      <c r="NB18" s="7" t="e">
        <f aca="false">IF(OR(#REF!&gt;2,#REF!&lt;-2),"",#REF!)</f>
        <v>#REF!</v>
      </c>
      <c r="NC18" s="7" t="e">
        <f aca="false">IF(OR(#REF!&gt;2,#REF!&lt;-2),"",#REF!)</f>
        <v>#REF!</v>
      </c>
      <c r="ND18" s="7" t="e">
        <f aca="false">IF(OR(#REF!&gt;2,#REF!&lt;-2),"",#REF!)</f>
        <v>#REF!</v>
      </c>
      <c r="NE18" s="7" t="e">
        <f aca="false">IF(OR(#REF!&gt;2,#REF!&lt;-2),"",#REF!)</f>
        <v>#REF!</v>
      </c>
      <c r="NF18" s="7" t="e">
        <f aca="false">IF(OR(#REF!&gt;2,#REF!&lt;-2),"",#REF!)</f>
        <v>#REF!</v>
      </c>
      <c r="NG18" s="7" t="e">
        <f aca="false">IF(OR(#REF!&gt;2,#REF!&lt;-2),"",#REF!)</f>
        <v>#REF!</v>
      </c>
      <c r="NH18" s="7" t="e">
        <f aca="false">IF(OR(#REF!&gt;2,#REF!&lt;-2),"",#REF!)</f>
        <v>#REF!</v>
      </c>
      <c r="NI18" s="7" t="e">
        <f aca="false">IF(OR(#REF!&gt;2,#REF!&lt;-2),"",#REF!)</f>
        <v>#REF!</v>
      </c>
      <c r="NJ18" s="7" t="e">
        <f aca="false">IF(OR(#REF!&gt;2,#REF!&lt;-2),"",#REF!)</f>
        <v>#REF!</v>
      </c>
      <c r="NK18" s="7" t="e">
        <f aca="false">IF(OR(#REF!&gt;2,#REF!&lt;-2),"",#REF!)</f>
        <v>#REF!</v>
      </c>
      <c r="NL18" s="7" t="e">
        <f aca="false">IF(OR(#REF!&gt;2,#REF!&lt;-2),"",#REF!)</f>
        <v>#REF!</v>
      </c>
      <c r="NM18" s="7" t="e">
        <f aca="false">IF(OR(#REF!&gt;2,#REF!&lt;-2),"",#REF!)</f>
        <v>#REF!</v>
      </c>
      <c r="NN18" s="7" t="e">
        <f aca="false">IF(OR(#REF!&gt;2,#REF!&lt;-2),"",#REF!)</f>
        <v>#REF!</v>
      </c>
      <c r="NO18" s="7" t="e">
        <f aca="false">IF(OR(#REF!&gt;2,#REF!&lt;-2),"",#REF!)</f>
        <v>#REF!</v>
      </c>
      <c r="NP18" s="7" t="e">
        <f aca="false">IF(OR(#REF!&gt;2,#REF!&lt;-2),"",#REF!)</f>
        <v>#REF!</v>
      </c>
      <c r="NQ18" s="7" t="e">
        <f aca="false">IF(OR(#REF!&gt;2,#REF!&lt;-2),"",#REF!)</f>
        <v>#REF!</v>
      </c>
      <c r="NR18" s="7" t="e">
        <f aca="false">IF(OR(#REF!&gt;2,#REF!&lt;-2),"",#REF!)</f>
        <v>#REF!</v>
      </c>
      <c r="NS18" s="7" t="e">
        <f aca="false">IF(OR(#REF!&gt;2,#REF!&lt;-2),"",#REF!)</f>
        <v>#REF!</v>
      </c>
      <c r="NT18" s="7" t="e">
        <f aca="false">IF(OR(#REF!&gt;2,#REF!&lt;-2),"",#REF!)</f>
        <v>#REF!</v>
      </c>
      <c r="NU18" s="7" t="e">
        <f aca="false">IF(OR(#REF!&gt;2,#REF!&lt;-2),"",#REF!)</f>
        <v>#REF!</v>
      </c>
      <c r="NV18" s="7" t="e">
        <f aca="false">IF(OR(#REF!&gt;2,#REF!&lt;-2),"",#REF!)</f>
        <v>#REF!</v>
      </c>
      <c r="NW18" s="7" t="e">
        <f aca="false">IF(OR(#REF!&gt;2,#REF!&lt;-2),"",#REF!)</f>
        <v>#REF!</v>
      </c>
      <c r="NX18" s="7" t="e">
        <f aca="false">IF(OR(#REF!&gt;2,#REF!&lt;-2),"",#REF!)</f>
        <v>#REF!</v>
      </c>
      <c r="NY18" s="7" t="e">
        <f aca="false">IF(OR(#REF!&gt;2,#REF!&lt;-2),"",#REF!)</f>
        <v>#REF!</v>
      </c>
      <c r="NZ18" s="7" t="e">
        <f aca="false">IF(OR(#REF!&gt;2,#REF!&lt;-2),"",#REF!)</f>
        <v>#REF!</v>
      </c>
      <c r="OA18" s="7" t="e">
        <f aca="false">IF(OR(#REF!&gt;2,#REF!&lt;-2),"",#REF!)</f>
        <v>#REF!</v>
      </c>
      <c r="OB18" s="7" t="e">
        <f aca="false">IF(OR(#REF!&gt;2,#REF!&lt;-2),"",#REF!)</f>
        <v>#REF!</v>
      </c>
      <c r="OC18" s="7" t="e">
        <f aca="false">IF(OR(#REF!&gt;2,#REF!&lt;-2),"",#REF!)</f>
        <v>#REF!</v>
      </c>
      <c r="OD18" s="7" t="e">
        <f aca="false">IF(OR(#REF!&gt;2,#REF!&lt;-2),"",#REF!)</f>
        <v>#REF!</v>
      </c>
      <c r="OE18" s="7" t="e">
        <f aca="false">IF(OR(#REF!&gt;2,#REF!&lt;-2),"",#REF!)</f>
        <v>#REF!</v>
      </c>
      <c r="OF18" s="7" t="e">
        <f aca="false">IF(OR(#REF!&gt;2,#REF!&lt;-2),"",#REF!)</f>
        <v>#REF!</v>
      </c>
      <c r="OG18" s="7" t="e">
        <f aca="false">IF(OR(#REF!&gt;2,#REF!&lt;-2),"",#REF!)</f>
        <v>#REF!</v>
      </c>
      <c r="OH18" s="7" t="e">
        <f aca="false">IF(OR(#REF!&gt;2,#REF!&lt;-2),"",#REF!)</f>
        <v>#REF!</v>
      </c>
      <c r="OI18" s="7" t="e">
        <f aca="false">IF(OR(#REF!&gt;2,#REF!&lt;-2),"",#REF!)</f>
        <v>#REF!</v>
      </c>
      <c r="OJ18" s="7" t="e">
        <f aca="false">IF(OR(#REF!&gt;2,#REF!&lt;-2),"",#REF!)</f>
        <v>#REF!</v>
      </c>
      <c r="OK18" s="7" t="e">
        <f aca="false">IF(OR(#REF!&gt;2,#REF!&lt;-2),"",#REF!)</f>
        <v>#REF!</v>
      </c>
      <c r="OL18" s="7" t="e">
        <f aca="false">IF(OR(#REF!&gt;2,#REF!&lt;-2),"",#REF!)</f>
        <v>#REF!</v>
      </c>
      <c r="OM18" s="7" t="e">
        <f aca="false">IF(OR(#REF!&gt;2,#REF!&lt;-2),"",#REF!)</f>
        <v>#REF!</v>
      </c>
      <c r="ON18" s="7" t="e">
        <f aca="false">IF(OR(#REF!&gt;2,#REF!&lt;-2),"",#REF!)</f>
        <v>#REF!</v>
      </c>
      <c r="OO18" s="7" t="e">
        <f aca="false">IF(OR(#REF!&gt;2,#REF!&lt;-2),"",#REF!)</f>
        <v>#REF!</v>
      </c>
      <c r="OP18" s="7" t="e">
        <f aca="false">IF(OR(#REF!&gt;2,#REF!&lt;-2),"",#REF!)</f>
        <v>#REF!</v>
      </c>
      <c r="OQ18" s="7" t="e">
        <f aca="false">IF(OR(#REF!&gt;2,#REF!&lt;-2),"",#REF!)</f>
        <v>#REF!</v>
      </c>
      <c r="OR18" s="7" t="e">
        <f aca="false">IF(OR(#REF!&gt;2,#REF!&lt;-2),"",#REF!)</f>
        <v>#REF!</v>
      </c>
      <c r="OS18" s="7" t="e">
        <f aca="false">IF(OR(#REF!&gt;2,#REF!&lt;-2),"",#REF!)</f>
        <v>#REF!</v>
      </c>
      <c r="OT18" s="7" t="e">
        <f aca="false">IF(OR(#REF!&gt;2,#REF!&lt;-2),"",#REF!)</f>
        <v>#REF!</v>
      </c>
      <c r="OU18" s="7" t="e">
        <f aca="false">IF(OR(#REF!&gt;2,#REF!&lt;-2),"",#REF!)</f>
        <v>#REF!</v>
      </c>
      <c r="OV18" s="7" t="e">
        <f aca="false">IF(OR(#REF!&gt;2,#REF!&lt;-2),"",#REF!)</f>
        <v>#REF!</v>
      </c>
      <c r="OW18" s="7" t="e">
        <f aca="false">IF(OR(#REF!&gt;2,#REF!&lt;-2),"",#REF!)</f>
        <v>#REF!</v>
      </c>
      <c r="OX18" s="7" t="e">
        <f aca="false">IF(OR(#REF!&gt;2,#REF!&lt;-2),"",#REF!)</f>
        <v>#REF!</v>
      </c>
      <c r="OY18" s="7" t="e">
        <f aca="false">IF(OR(#REF!&gt;2,#REF!&lt;-2),"",#REF!)</f>
        <v>#REF!</v>
      </c>
      <c r="OZ18" s="7" t="e">
        <f aca="false">IF(OR(#REF!&gt;2,#REF!&lt;-2),"",#REF!)</f>
        <v>#REF!</v>
      </c>
      <c r="PA18" s="7" t="e">
        <f aca="false">IF(OR(#REF!&gt;2,#REF!&lt;-2),"",#REF!)</f>
        <v>#REF!</v>
      </c>
      <c r="PB18" s="7" t="e">
        <f aca="false">IF(OR(#REF!&gt;2,#REF!&lt;-2),"",#REF!)</f>
        <v>#REF!</v>
      </c>
      <c r="PC18" s="7" t="e">
        <f aca="false">IF(OR(#REF!&gt;2,#REF!&lt;-2),"",#REF!)</f>
        <v>#REF!</v>
      </c>
      <c r="PD18" s="7" t="e">
        <f aca="false">IF(OR(#REF!&gt;2,#REF!&lt;-2),"",#REF!)</f>
        <v>#REF!</v>
      </c>
      <c r="PE18" s="7" t="e">
        <f aca="false">IF(OR(#REF!&gt;2,#REF!&lt;-2),"",#REF!)</f>
        <v>#REF!</v>
      </c>
      <c r="PF18" s="7" t="e">
        <f aca="false">IF(OR(#REF!&gt;2,#REF!&lt;-2),"",#REF!)</f>
        <v>#REF!</v>
      </c>
      <c r="PG18" s="7" t="e">
        <f aca="false">IF(OR(#REF!&gt;2,#REF!&lt;-2),"",#REF!)</f>
        <v>#REF!</v>
      </c>
      <c r="PH18" s="7" t="e">
        <f aca="false">IF(OR(#REF!&gt;2,#REF!&lt;-2),"",#REF!)</f>
        <v>#REF!</v>
      </c>
      <c r="PI18" s="7" t="e">
        <f aca="false">IF(OR(#REF!&gt;2,#REF!&lt;-2),"",#REF!)</f>
        <v>#REF!</v>
      </c>
      <c r="PJ18" s="7" t="e">
        <f aca="false">IF(OR(#REF!&gt;2,#REF!&lt;-2),"",#REF!)</f>
        <v>#REF!</v>
      </c>
      <c r="PK18" s="7" t="e">
        <f aca="false">IF(OR(#REF!&gt;2,#REF!&lt;-2),"",#REF!)</f>
        <v>#REF!</v>
      </c>
      <c r="PL18" s="7" t="e">
        <f aca="false">IF(OR(#REF!&gt;2,#REF!&lt;-2),"",#REF!)</f>
        <v>#REF!</v>
      </c>
      <c r="PM18" s="7" t="e">
        <f aca="false">IF(OR(#REF!&gt;2,#REF!&lt;-2),"",#REF!)</f>
        <v>#REF!</v>
      </c>
      <c r="PN18" s="7" t="e">
        <f aca="false">IF(OR(#REF!&gt;2,#REF!&lt;-2),"",#REF!)</f>
        <v>#REF!</v>
      </c>
      <c r="PO18" s="7" t="e">
        <f aca="false">IF(OR(#REF!&gt;2,#REF!&lt;-2),"",#REF!)</f>
        <v>#REF!</v>
      </c>
      <c r="PP18" s="7" t="e">
        <f aca="false">IF(OR(#REF!&gt;2,#REF!&lt;-2),"",#REF!)</f>
        <v>#REF!</v>
      </c>
      <c r="PQ18" s="7" t="e">
        <f aca="false">IF(OR(#REF!&gt;2,#REF!&lt;-2),"",#REF!)</f>
        <v>#REF!</v>
      </c>
      <c r="PR18" s="7" t="e">
        <f aca="false">IF(OR(#REF!&gt;2,#REF!&lt;-2),"",#REF!)</f>
        <v>#REF!</v>
      </c>
      <c r="PS18" s="7" t="e">
        <f aca="false">IF(OR(#REF!&gt;2,#REF!&lt;-2),"",#REF!)</f>
        <v>#REF!</v>
      </c>
      <c r="PT18" s="7" t="e">
        <f aca="false">IF(OR(#REF!&gt;2,#REF!&lt;-2),"",#REF!)</f>
        <v>#REF!</v>
      </c>
      <c r="PU18" s="7" t="e">
        <f aca="false">IF(OR(#REF!&gt;2,#REF!&lt;-2),"",#REF!)</f>
        <v>#REF!</v>
      </c>
      <c r="PV18" s="7" t="e">
        <f aca="false">IF(OR(#REF!&gt;2,#REF!&lt;-2),"",#REF!)</f>
        <v>#REF!</v>
      </c>
      <c r="PW18" s="7" t="e">
        <f aca="false">IF(OR(#REF!&gt;2,#REF!&lt;-2),"",#REF!)</f>
        <v>#REF!</v>
      </c>
      <c r="PX18" s="7" t="e">
        <f aca="false">IF(OR(#REF!&gt;2,#REF!&lt;-2),"",#REF!)</f>
        <v>#REF!</v>
      </c>
      <c r="PY18" s="7" t="e">
        <f aca="false">IF(OR(#REF!&gt;2,#REF!&lt;-2),"",#REF!)</f>
        <v>#REF!</v>
      </c>
      <c r="PZ18" s="7" t="e">
        <f aca="false">IF(OR(#REF!&gt;2,#REF!&lt;-2),"",#REF!)</f>
        <v>#REF!</v>
      </c>
      <c r="QA18" s="7" t="e">
        <f aca="false">IF(OR(#REF!&gt;2,#REF!&lt;-2),"",#REF!)</f>
        <v>#REF!</v>
      </c>
      <c r="QB18" s="7" t="e">
        <f aca="false">IF(OR(#REF!&gt;2,#REF!&lt;-2),"",#REF!)</f>
        <v>#REF!</v>
      </c>
      <c r="QC18" s="7" t="e">
        <f aca="false">IF(OR(#REF!&gt;2,#REF!&lt;-2),"",#REF!)</f>
        <v>#REF!</v>
      </c>
      <c r="QD18" s="7" t="e">
        <f aca="false">IF(OR(#REF!&gt;2,#REF!&lt;-2),"",#REF!)</f>
        <v>#REF!</v>
      </c>
      <c r="QE18" s="7" t="e">
        <f aca="false">IF(OR(#REF!&gt;2,#REF!&lt;-2),"",#REF!)</f>
        <v>#REF!</v>
      </c>
      <c r="QF18" s="7" t="e">
        <f aca="false">IF(OR(#REF!&gt;2,#REF!&lt;-2),"",#REF!)</f>
        <v>#REF!</v>
      </c>
      <c r="QG18" s="7" t="e">
        <f aca="false">IF(OR(#REF!&gt;2,#REF!&lt;-2),"",#REF!)</f>
        <v>#REF!</v>
      </c>
      <c r="QH18" s="7" t="e">
        <f aca="false">IF(OR(#REF!&gt;2,#REF!&lt;-2),"",#REF!)</f>
        <v>#REF!</v>
      </c>
      <c r="QI18" s="7" t="e">
        <f aca="false">IF(OR(#REF!&gt;2,#REF!&lt;-2),"",#REF!)</f>
        <v>#REF!</v>
      </c>
      <c r="QJ18" s="7" t="e">
        <f aca="false">IF(OR(#REF!&gt;2,#REF!&lt;-2),"",#REF!)</f>
        <v>#REF!</v>
      </c>
      <c r="QK18" s="7" t="e">
        <f aca="false">IF(OR(#REF!&gt;2,#REF!&lt;-2),"",#REF!)</f>
        <v>#REF!</v>
      </c>
      <c r="QL18" s="7" t="e">
        <f aca="false">IF(OR(#REF!&gt;2,#REF!&lt;-2),"",#REF!)</f>
        <v>#REF!</v>
      </c>
      <c r="QM18" s="7" t="e">
        <f aca="false">IF(OR(#REF!&gt;2,#REF!&lt;-2),"",#REF!)</f>
        <v>#REF!</v>
      </c>
      <c r="QN18" s="7" t="e">
        <f aca="false">IF(OR(#REF!&gt;2,#REF!&lt;-2),"",#REF!)</f>
        <v>#REF!</v>
      </c>
      <c r="QO18" s="7" t="e">
        <f aca="false">IF(OR(#REF!&gt;2,#REF!&lt;-2),"",#REF!)</f>
        <v>#REF!</v>
      </c>
      <c r="QP18" s="7" t="e">
        <f aca="false">IF(OR(#REF!&gt;2,#REF!&lt;-2),"",#REF!)</f>
        <v>#REF!</v>
      </c>
      <c r="QQ18" s="7" t="e">
        <f aca="false">IF(OR(#REF!&gt;2,#REF!&lt;-2),"",#REF!)</f>
        <v>#REF!</v>
      </c>
      <c r="QR18" s="7" t="e">
        <f aca="false">IF(OR(#REF!&gt;2,#REF!&lt;-2),"",#REF!)</f>
        <v>#REF!</v>
      </c>
      <c r="QS18" s="7" t="e">
        <f aca="false">IF(OR(#REF!&gt;2,#REF!&lt;-2),"",#REF!)</f>
        <v>#REF!</v>
      </c>
      <c r="QT18" s="7" t="e">
        <f aca="false">IF(OR(#REF!&gt;2,#REF!&lt;-2),"",#REF!)</f>
        <v>#REF!</v>
      </c>
      <c r="QU18" s="7" t="e">
        <f aca="false">IF(OR(#REF!&gt;2,#REF!&lt;-2),"",#REF!)</f>
        <v>#REF!</v>
      </c>
      <c r="QV18" s="7" t="e">
        <f aca="false">IF(OR(#REF!&gt;2,#REF!&lt;-2),"",#REF!)</f>
        <v>#REF!</v>
      </c>
      <c r="QW18" s="7" t="e">
        <f aca="false">IF(OR(#REF!&gt;2,#REF!&lt;-2),"",#REF!)</f>
        <v>#REF!</v>
      </c>
      <c r="QX18" s="7" t="e">
        <f aca="false">IF(OR(#REF!&gt;2,#REF!&lt;-2),"",#REF!)</f>
        <v>#REF!</v>
      </c>
      <c r="QY18" s="7" t="e">
        <f aca="false">IF(OR(#REF!&gt;2,#REF!&lt;-2),"",#REF!)</f>
        <v>#REF!</v>
      </c>
      <c r="QZ18" s="7" t="e">
        <f aca="false">IF(OR(#REF!&gt;2,#REF!&lt;-2),"",#REF!)</f>
        <v>#REF!</v>
      </c>
      <c r="RA18" s="7" t="e">
        <f aca="false">IF(OR(#REF!&gt;2,#REF!&lt;-2),"",#REF!)</f>
        <v>#REF!</v>
      </c>
      <c r="RB18" s="7" t="e">
        <f aca="false">IF(OR(#REF!&gt;2,#REF!&lt;-2),"",#REF!)</f>
        <v>#REF!</v>
      </c>
      <c r="RC18" s="7" t="e">
        <f aca="false">IF(OR(#REF!&gt;2,#REF!&lt;-2),"",#REF!)</f>
        <v>#REF!</v>
      </c>
      <c r="RD18" s="7" t="e">
        <f aca="false">IF(OR(#REF!&gt;2,#REF!&lt;-2),"",#REF!)</f>
        <v>#REF!</v>
      </c>
      <c r="RE18" s="7" t="e">
        <f aca="false">IF(OR(#REF!&gt;2,#REF!&lt;-2),"",#REF!)</f>
        <v>#REF!</v>
      </c>
      <c r="RF18" s="7" t="e">
        <f aca="false">IF(OR(#REF!&gt;2,#REF!&lt;-2),"",#REF!)</f>
        <v>#REF!</v>
      </c>
      <c r="RG18" s="7" t="e">
        <f aca="false">IF(OR(#REF!&gt;2,#REF!&lt;-2),"",#REF!)</f>
        <v>#REF!</v>
      </c>
      <c r="RH18" s="7" t="e">
        <f aca="false">IF(OR(#REF!&gt;2,#REF!&lt;-2),"",#REF!)</f>
        <v>#REF!</v>
      </c>
      <c r="RI18" s="7" t="e">
        <f aca="false">IF(OR(#REF!&gt;2,#REF!&lt;-2),"",#REF!)</f>
        <v>#REF!</v>
      </c>
      <c r="RJ18" s="7" t="e">
        <f aca="false">IF(OR(#REF!&gt;2,#REF!&lt;-2),"",#REF!)</f>
        <v>#REF!</v>
      </c>
      <c r="RK18" s="7" t="e">
        <f aca="false">IF(OR(#REF!&gt;2,#REF!&lt;-2),"",#REF!)</f>
        <v>#REF!</v>
      </c>
      <c r="RL18" s="7" t="e">
        <f aca="false">IF(OR(#REF!&gt;2,#REF!&lt;-2),"",#REF!)</f>
        <v>#REF!</v>
      </c>
      <c r="RM18" s="7" t="e">
        <f aca="false">IF(OR(#REF!&gt;2,#REF!&lt;-2),"",#REF!)</f>
        <v>#REF!</v>
      </c>
      <c r="RN18" s="7" t="e">
        <f aca="false">IF(OR(#REF!&gt;2,#REF!&lt;-2),"",#REF!)</f>
        <v>#REF!</v>
      </c>
      <c r="RO18" s="7" t="e">
        <f aca="false">IF(OR(#REF!&gt;2,#REF!&lt;-2),"",#REF!)</f>
        <v>#REF!</v>
      </c>
      <c r="RP18" s="7" t="e">
        <f aca="false">IF(OR(#REF!&gt;2,#REF!&lt;-2),"",#REF!)</f>
        <v>#REF!</v>
      </c>
      <c r="RQ18" s="7" t="e">
        <f aca="false">IF(OR(#REF!&gt;2,#REF!&lt;-2),"",#REF!)</f>
        <v>#REF!</v>
      </c>
      <c r="RR18" s="7" t="e">
        <f aca="false">IF(OR(#REF!&gt;2,#REF!&lt;-2),"",#REF!)</f>
        <v>#REF!</v>
      </c>
      <c r="RS18" s="7" t="e">
        <f aca="false">IF(OR(#REF!&gt;2,#REF!&lt;-2),"",#REF!)</f>
        <v>#REF!</v>
      </c>
      <c r="RT18" s="7" t="e">
        <f aca="false">IF(OR(#REF!&gt;2,#REF!&lt;-2),"",#REF!)</f>
        <v>#REF!</v>
      </c>
      <c r="RU18" s="7" t="e">
        <f aca="false">IF(OR(#REF!&gt;2,#REF!&lt;-2),"",#REF!)</f>
        <v>#REF!</v>
      </c>
      <c r="RV18" s="7" t="e">
        <f aca="false">IF(OR(#REF!&gt;2,#REF!&lt;-2),"",#REF!)</f>
        <v>#REF!</v>
      </c>
      <c r="RW18" s="7" t="e">
        <f aca="false">IF(OR(#REF!&gt;2,#REF!&lt;-2),"",#REF!)</f>
        <v>#REF!</v>
      </c>
      <c r="RX18" s="7" t="e">
        <f aca="false">IF(OR(#REF!&gt;2,#REF!&lt;-2),"",#REF!)</f>
        <v>#REF!</v>
      </c>
      <c r="RY18" s="7" t="e">
        <f aca="false">IF(OR(#REF!&gt;2,#REF!&lt;-2),"",#REF!)</f>
        <v>#REF!</v>
      </c>
      <c r="RZ18" s="7" t="e">
        <f aca="false">IF(OR(#REF!&gt;2,#REF!&lt;-2),"",#REF!)</f>
        <v>#REF!</v>
      </c>
      <c r="SA18" s="7" t="e">
        <f aca="false">IF(OR(#REF!&gt;2,#REF!&lt;-2),"",#REF!)</f>
        <v>#REF!</v>
      </c>
      <c r="SB18" s="7" t="e">
        <f aca="false">IF(OR(#REF!&gt;2,#REF!&lt;-2),"",#REF!)</f>
        <v>#REF!</v>
      </c>
      <c r="SC18" s="7" t="e">
        <f aca="false">IF(OR(#REF!&gt;2,#REF!&lt;-2),"",#REF!)</f>
        <v>#REF!</v>
      </c>
      <c r="SD18" s="7" t="e">
        <f aca="false">IF(OR(#REF!&gt;2,#REF!&lt;-2),"",#REF!)</f>
        <v>#REF!</v>
      </c>
      <c r="SE18" s="7" t="e">
        <f aca="false">IF(OR(#REF!&gt;2,#REF!&lt;-2),"",#REF!)</f>
        <v>#REF!</v>
      </c>
      <c r="SF18" s="7" t="e">
        <f aca="false">IF(OR(#REF!&gt;2,#REF!&lt;-2),"",#REF!)</f>
        <v>#REF!</v>
      </c>
      <c r="SG18" s="7" t="e">
        <f aca="false">IF(OR(#REF!&gt;2,#REF!&lt;-2),"",#REF!)</f>
        <v>#REF!</v>
      </c>
      <c r="SH18" s="7" t="e">
        <f aca="false">IF(OR(#REF!&gt;2,#REF!&lt;-2),"",#REF!)</f>
        <v>#REF!</v>
      </c>
      <c r="SI18" s="7" t="e">
        <f aca="false">IF(OR(#REF!&gt;2,#REF!&lt;-2),"",#REF!)</f>
        <v>#REF!</v>
      </c>
      <c r="SJ18" s="7" t="e">
        <f aca="false">IF(OR(#REF!&gt;2,#REF!&lt;-2),"",#REF!)</f>
        <v>#REF!</v>
      </c>
      <c r="SK18" s="7" t="e">
        <f aca="false">IF(OR(#REF!&gt;2,#REF!&lt;-2),"",#REF!)</f>
        <v>#REF!</v>
      </c>
      <c r="SL18" s="7" t="e">
        <f aca="false">IF(OR(#REF!&gt;2,#REF!&lt;-2),"",#REF!)</f>
        <v>#REF!</v>
      </c>
      <c r="SM18" s="7" t="e">
        <f aca="false">IF(OR(#REF!&gt;2,#REF!&lt;-2),"",#REF!)</f>
        <v>#REF!</v>
      </c>
      <c r="SN18" s="7" t="e">
        <f aca="false">IF(OR(#REF!&gt;2,#REF!&lt;-2),"",#REF!)</f>
        <v>#REF!</v>
      </c>
      <c r="SO18" s="7" t="e">
        <f aca="false">IF(OR(#REF!&gt;2,#REF!&lt;-2),"",#REF!)</f>
        <v>#REF!</v>
      </c>
      <c r="SP18" s="7" t="e">
        <f aca="false">IF(OR(#REF!&gt;2,#REF!&lt;-2),"",#REF!)</f>
        <v>#REF!</v>
      </c>
      <c r="SQ18" s="7" t="e">
        <f aca="false">IF(OR(#REF!&gt;2,#REF!&lt;-2),"",#REF!)</f>
        <v>#REF!</v>
      </c>
      <c r="SR18" s="7" t="e">
        <f aca="false">IF(OR(#REF!&gt;2,#REF!&lt;-2),"",#REF!)</f>
        <v>#REF!</v>
      </c>
      <c r="SS18" s="7" t="e">
        <f aca="false">IF(OR(#REF!&gt;2,#REF!&lt;-2),"",#REF!)</f>
        <v>#REF!</v>
      </c>
      <c r="ST18" s="7" t="e">
        <f aca="false">IF(OR(#REF!&gt;2,#REF!&lt;-2),"",#REF!)</f>
        <v>#REF!</v>
      </c>
      <c r="SU18" s="7" t="e">
        <f aca="false">IF(OR(#REF!&gt;2,#REF!&lt;-2),"",#REF!)</f>
        <v>#REF!</v>
      </c>
      <c r="SV18" s="7" t="e">
        <f aca="false">IF(OR(#REF!&gt;2,#REF!&lt;-2),"",#REF!)</f>
        <v>#REF!</v>
      </c>
      <c r="SW18" s="7" t="e">
        <f aca="false">IF(OR(#REF!&gt;2,#REF!&lt;-2),"",#REF!)</f>
        <v>#REF!</v>
      </c>
      <c r="SX18" s="7" t="e">
        <f aca="false">IF(OR(#REF!&gt;2,#REF!&lt;-2),"",#REF!)</f>
        <v>#REF!</v>
      </c>
      <c r="SY18" s="7" t="e">
        <f aca="false">IF(OR(#REF!&gt;2,#REF!&lt;-2),"",#REF!)</f>
        <v>#REF!</v>
      </c>
      <c r="SZ18" s="7" t="e">
        <f aca="false">IF(OR(#REF!&gt;2,#REF!&lt;-2),"",#REF!)</f>
        <v>#REF!</v>
      </c>
      <c r="TA18" s="7" t="e">
        <f aca="false">IF(OR(#REF!&gt;2,#REF!&lt;-2),"",#REF!)</f>
        <v>#REF!</v>
      </c>
      <c r="TB18" s="7" t="e">
        <f aca="false">IF(OR(#REF!&gt;2,#REF!&lt;-2),"",#REF!)</f>
        <v>#REF!</v>
      </c>
      <c r="TC18" s="7" t="e">
        <f aca="false">IF(OR(#REF!&gt;2,#REF!&lt;-2),"",#REF!)</f>
        <v>#REF!</v>
      </c>
      <c r="TD18" s="7" t="e">
        <f aca="false">IF(OR(#REF!&gt;2,#REF!&lt;-2),"",#REF!)</f>
        <v>#REF!</v>
      </c>
      <c r="TE18" s="7" t="e">
        <f aca="false">IF(OR(#REF!&gt;2,#REF!&lt;-2),"",#REF!)</f>
        <v>#REF!</v>
      </c>
      <c r="TF18" s="7" t="e">
        <f aca="false">IF(OR(#REF!&gt;2,#REF!&lt;-2),"",#REF!)</f>
        <v>#REF!</v>
      </c>
      <c r="TG18" s="7" t="e">
        <f aca="false">IF(OR(#REF!&gt;2,#REF!&lt;-2),"",#REF!)</f>
        <v>#REF!</v>
      </c>
      <c r="TH18" s="7" t="e">
        <f aca="false">IF(OR(#REF!&gt;2,#REF!&lt;-2),"",#REF!)</f>
        <v>#REF!</v>
      </c>
      <c r="TI18" s="7" t="e">
        <f aca="false">IF(OR(#REF!&gt;2,#REF!&lt;-2),"",#REF!)</f>
        <v>#REF!</v>
      </c>
      <c r="TJ18" s="7" t="e">
        <f aca="false">IF(OR(#REF!&gt;2,#REF!&lt;-2),"",#REF!)</f>
        <v>#REF!</v>
      </c>
      <c r="TK18" s="7" t="e">
        <f aca="false">IF(OR(#REF!&gt;2,#REF!&lt;-2),"",#REF!)</f>
        <v>#REF!</v>
      </c>
      <c r="TL18" s="7" t="e">
        <f aca="false">IF(OR(#REF!&gt;2,#REF!&lt;-2),"",#REF!)</f>
        <v>#REF!</v>
      </c>
      <c r="TM18" s="7" t="e">
        <f aca="false">IF(OR(#REF!&gt;2,#REF!&lt;-2),"",#REF!)</f>
        <v>#REF!</v>
      </c>
      <c r="TN18" s="7" t="e">
        <f aca="false">IF(OR(#REF!&gt;2,#REF!&lt;-2),"",#REF!)</f>
        <v>#REF!</v>
      </c>
      <c r="TO18" s="7" t="e">
        <f aca="false">IF(OR(#REF!&gt;2,#REF!&lt;-2),"",#REF!)</f>
        <v>#REF!</v>
      </c>
      <c r="TP18" s="7" t="e">
        <f aca="false">IF(OR(#REF!&gt;2,#REF!&lt;-2),"",#REF!)</f>
        <v>#REF!</v>
      </c>
      <c r="TQ18" s="7" t="e">
        <f aca="false">IF(OR(#REF!&gt;2,#REF!&lt;-2),"",#REF!)</f>
        <v>#REF!</v>
      </c>
      <c r="TR18" s="7" t="e">
        <f aca="false">IF(OR(#REF!&gt;2,#REF!&lt;-2),"",#REF!)</f>
        <v>#REF!</v>
      </c>
      <c r="TS18" s="7" t="e">
        <f aca="false">IF(OR(#REF!&gt;2,#REF!&lt;-2),"",#REF!)</f>
        <v>#REF!</v>
      </c>
      <c r="TT18" s="7" t="e">
        <f aca="false">IF(OR(#REF!&gt;2,#REF!&lt;-2),"",#REF!)</f>
        <v>#REF!</v>
      </c>
      <c r="TU18" s="7" t="e">
        <f aca="false">IF(OR(#REF!&gt;2,#REF!&lt;-2),"",#REF!)</f>
        <v>#REF!</v>
      </c>
      <c r="TV18" s="7" t="e">
        <f aca="false">IF(OR(#REF!&gt;2,#REF!&lt;-2),"",#REF!)</f>
        <v>#REF!</v>
      </c>
      <c r="TW18" s="7" t="e">
        <f aca="false">IF(OR(#REF!&gt;2,#REF!&lt;-2),"",#REF!)</f>
        <v>#REF!</v>
      </c>
      <c r="TX18" s="7" t="e">
        <f aca="false">IF(OR(#REF!&gt;2,#REF!&lt;-2),"",#REF!)</f>
        <v>#REF!</v>
      </c>
      <c r="TY18" s="7" t="e">
        <f aca="false">IF(OR(#REF!&gt;2,#REF!&lt;-2),"",#REF!)</f>
        <v>#REF!</v>
      </c>
      <c r="TZ18" s="7" t="e">
        <f aca="false">IF(OR(#REF!&gt;2,#REF!&lt;-2),"",#REF!)</f>
        <v>#REF!</v>
      </c>
      <c r="UA18" s="7" t="e">
        <f aca="false">IF(OR(#REF!&gt;2,#REF!&lt;-2),"",#REF!)</f>
        <v>#REF!</v>
      </c>
      <c r="UB18" s="7" t="e">
        <f aca="false">IF(OR(#REF!&gt;2,#REF!&lt;-2),"",#REF!)</f>
        <v>#REF!</v>
      </c>
      <c r="UC18" s="7" t="e">
        <f aca="false">IF(OR(#REF!&gt;2,#REF!&lt;-2),"",#REF!)</f>
        <v>#REF!</v>
      </c>
      <c r="UD18" s="7" t="e">
        <f aca="false">IF(OR(#REF!&gt;2,#REF!&lt;-2),"",#REF!)</f>
        <v>#REF!</v>
      </c>
      <c r="UE18" s="7" t="e">
        <f aca="false">IF(OR(#REF!&gt;2,#REF!&lt;-2),"",#REF!)</f>
        <v>#REF!</v>
      </c>
      <c r="UF18" s="7" t="e">
        <f aca="false">IF(OR(#REF!&gt;2,#REF!&lt;-2),"",#REF!)</f>
        <v>#REF!</v>
      </c>
      <c r="UG18" s="7" t="e">
        <f aca="false">IF(OR(#REF!&gt;2,#REF!&lt;-2),"",#REF!)</f>
        <v>#REF!</v>
      </c>
      <c r="UH18" s="7" t="e">
        <f aca="false">IF(OR(#REF!&gt;2,#REF!&lt;-2),"",#REF!)</f>
        <v>#REF!</v>
      </c>
      <c r="UI18" s="7" t="e">
        <f aca="false">IF(OR(#REF!&gt;2,#REF!&lt;-2),"",#REF!)</f>
        <v>#REF!</v>
      </c>
      <c r="UJ18" s="7" t="e">
        <f aca="false">IF(OR(#REF!&gt;2,#REF!&lt;-2),"",#REF!)</f>
        <v>#REF!</v>
      </c>
      <c r="UK18" s="7" t="e">
        <f aca="false">IF(OR(#REF!&gt;2,#REF!&lt;-2),"",#REF!)</f>
        <v>#REF!</v>
      </c>
      <c r="UL18" s="7" t="e">
        <f aca="false">IF(OR(#REF!&gt;2,#REF!&lt;-2),"",#REF!)</f>
        <v>#REF!</v>
      </c>
      <c r="UM18" s="7" t="e">
        <f aca="false">IF(OR(#REF!&gt;2,#REF!&lt;-2),"",#REF!)</f>
        <v>#REF!</v>
      </c>
      <c r="UN18" s="7" t="e">
        <f aca="false">IF(OR(#REF!&gt;2,#REF!&lt;-2),"",#REF!)</f>
        <v>#REF!</v>
      </c>
      <c r="UO18" s="7" t="e">
        <f aca="false">IF(OR(#REF!&gt;2,#REF!&lt;-2),"",#REF!)</f>
        <v>#REF!</v>
      </c>
      <c r="UP18" s="7" t="e">
        <f aca="false">IF(OR(#REF!&gt;2,#REF!&lt;-2),"",#REF!)</f>
        <v>#REF!</v>
      </c>
    </row>
    <row r="19" customFormat="false" ht="14.5" hidden="false" customHeight="false" outlineLevel="0" collapsed="false">
      <c r="A19" s="0" t="n">
        <v>184</v>
      </c>
      <c r="B19" s="0" t="n">
        <v>1</v>
      </c>
      <c r="C19" s="7" t="e">
        <f aca="false">IF(OR(#REF!&gt;2,#REF!&lt;-2),"",#REF!)</f>
        <v>#REF!</v>
      </c>
      <c r="D19" s="7" t="e">
        <f aca="false">IF(OR(#REF!&gt;2,#REF!&lt;-2),"",#REF!)</f>
        <v>#REF!</v>
      </c>
      <c r="E19" s="7" t="e">
        <f aca="false">IF(OR(#REF!&gt;2,#REF!&lt;-2),"",#REF!)</f>
        <v>#REF!</v>
      </c>
      <c r="F19" s="7" t="e">
        <f aca="false">IF(OR(#REF!&gt;2,#REF!&lt;-2),"",#REF!)</f>
        <v>#REF!</v>
      </c>
      <c r="G19" s="7" t="e">
        <f aca="false">IF(OR(#REF!&gt;2,#REF!&lt;-2),"",#REF!)</f>
        <v>#REF!</v>
      </c>
      <c r="H19" s="7" t="e">
        <f aca="false">IF(OR(#REF!&gt;2,#REF!&lt;-2),"",#REF!)</f>
        <v>#REF!</v>
      </c>
      <c r="I19" s="7" t="e">
        <f aca="false">IF(OR(#REF!&gt;2,#REF!&lt;-2),"",#REF!)</f>
        <v>#REF!</v>
      </c>
      <c r="J19" s="7" t="e">
        <f aca="false">IF(OR(#REF!&gt;2,#REF!&lt;-2),"",#REF!)</f>
        <v>#REF!</v>
      </c>
      <c r="K19" s="7" t="e">
        <f aca="false">IF(OR(#REF!&gt;2,#REF!&lt;-2),"",#REF!)</f>
        <v>#REF!</v>
      </c>
      <c r="L19" s="7" t="e">
        <f aca="false">IF(OR(#REF!&gt;2,#REF!&lt;-2),"",#REF!)</f>
        <v>#REF!</v>
      </c>
      <c r="M19" s="7" t="e">
        <f aca="false">IF(OR(#REF!&gt;2,#REF!&lt;-2),"",#REF!)</f>
        <v>#REF!</v>
      </c>
      <c r="N19" s="7" t="e">
        <f aca="false">IF(OR(#REF!&gt;2,#REF!&lt;-2),"",#REF!)</f>
        <v>#REF!</v>
      </c>
      <c r="O19" s="7" t="e">
        <f aca="false">IF(OR(#REF!&gt;2,#REF!&lt;-2),"",#REF!)</f>
        <v>#REF!</v>
      </c>
      <c r="P19" s="7" t="e">
        <f aca="false">IF(OR(#REF!&gt;2,#REF!&lt;-2),"",#REF!)</f>
        <v>#REF!</v>
      </c>
      <c r="Q19" s="7" t="e">
        <f aca="false">IF(OR(#REF!&gt;2,#REF!&lt;-2),"",#REF!)</f>
        <v>#REF!</v>
      </c>
      <c r="R19" s="7" t="e">
        <f aca="false">IF(OR(#REF!&gt;2,#REF!&lt;-2),"",#REF!)</f>
        <v>#REF!</v>
      </c>
      <c r="S19" s="7" t="e">
        <f aca="false">IF(OR(#REF!&gt;2,#REF!&lt;-2),"",#REF!)</f>
        <v>#REF!</v>
      </c>
      <c r="T19" s="7" t="e">
        <f aca="false">IF(OR(#REF!&gt;2,#REF!&lt;-2),"",#REF!)</f>
        <v>#REF!</v>
      </c>
      <c r="U19" s="7" t="e">
        <f aca="false">IF(OR(#REF!&gt;2,#REF!&lt;-2),"",#REF!)</f>
        <v>#REF!</v>
      </c>
      <c r="V19" s="7" t="e">
        <f aca="false">IF(OR(#REF!&gt;2,#REF!&lt;-2),"",#REF!)</f>
        <v>#REF!</v>
      </c>
      <c r="W19" s="7" t="e">
        <f aca="false">IF(OR(#REF!&gt;2,#REF!&lt;-2),"",#REF!)</f>
        <v>#REF!</v>
      </c>
      <c r="X19" s="7" t="e">
        <f aca="false">IF(OR(#REF!&gt;2,#REF!&lt;-2),"",#REF!)</f>
        <v>#REF!</v>
      </c>
      <c r="Y19" s="7" t="e">
        <f aca="false">IF(OR(#REF!&gt;2,#REF!&lt;-2),"",#REF!)</f>
        <v>#REF!</v>
      </c>
      <c r="Z19" s="7" t="e">
        <f aca="false">IF(OR(#REF!&gt;2,#REF!&lt;-2),"",#REF!)</f>
        <v>#REF!</v>
      </c>
      <c r="AA19" s="7" t="e">
        <f aca="false">IF(OR(#REF!&gt;2,#REF!&lt;-2),"",#REF!)</f>
        <v>#REF!</v>
      </c>
      <c r="AB19" s="7" t="e">
        <f aca="false">IF(OR(#REF!&gt;2,#REF!&lt;-2),"",#REF!)</f>
        <v>#REF!</v>
      </c>
      <c r="AC19" s="7" t="e">
        <f aca="false">IF(OR(#REF!&gt;2,#REF!&lt;-2),"",#REF!)</f>
        <v>#REF!</v>
      </c>
      <c r="AD19" s="7" t="e">
        <f aca="false">IF(OR(#REF!&gt;2,#REF!&lt;-2),"",#REF!)</f>
        <v>#REF!</v>
      </c>
      <c r="AE19" s="7" t="e">
        <f aca="false">IF(OR(#REF!&gt;2,#REF!&lt;-2),"",#REF!)</f>
        <v>#REF!</v>
      </c>
      <c r="AF19" s="7" t="e">
        <f aca="false">IF(OR(#REF!&gt;2,#REF!&lt;-2),"",#REF!)</f>
        <v>#REF!</v>
      </c>
      <c r="AG19" s="7" t="e">
        <f aca="false">IF(OR(#REF!&gt;2,#REF!&lt;-2),"",#REF!)</f>
        <v>#REF!</v>
      </c>
      <c r="AH19" s="7" t="e">
        <f aca="false">IF(OR(#REF!&gt;2,#REF!&lt;-2),"",#REF!)</f>
        <v>#REF!</v>
      </c>
      <c r="AI19" s="7" t="e">
        <f aca="false">IF(OR(#REF!&gt;2,#REF!&lt;-2),"",#REF!)</f>
        <v>#REF!</v>
      </c>
      <c r="AJ19" s="7" t="e">
        <f aca="false">IF(OR(#REF!&gt;2,#REF!&lt;-2),"",#REF!)</f>
        <v>#REF!</v>
      </c>
      <c r="AK19" s="7" t="e">
        <f aca="false">IF(OR(#REF!&gt;2,#REF!&lt;-2),"",#REF!)</f>
        <v>#REF!</v>
      </c>
      <c r="AL19" s="7" t="e">
        <f aca="false">IF(OR(#REF!&gt;2,#REF!&lt;-2),"",#REF!)</f>
        <v>#REF!</v>
      </c>
      <c r="AM19" s="7" t="e">
        <f aca="false">IF(OR(#REF!&gt;2,#REF!&lt;-2),"",#REF!)</f>
        <v>#REF!</v>
      </c>
      <c r="AN19" s="7" t="e">
        <f aca="false">IF(OR(#REF!&gt;2,#REF!&lt;-2),"",#REF!)</f>
        <v>#REF!</v>
      </c>
      <c r="AO19" s="7" t="e">
        <f aca="false">IF(OR(#REF!&gt;2,#REF!&lt;-2),"",#REF!)</f>
        <v>#REF!</v>
      </c>
      <c r="AP19" s="7" t="e">
        <f aca="false">IF(OR(#REF!&gt;2,#REF!&lt;-2),"",#REF!)</f>
        <v>#REF!</v>
      </c>
      <c r="AQ19" s="7" t="e">
        <f aca="false">IF(OR(#REF!&gt;2,#REF!&lt;-2),"",#REF!)</f>
        <v>#REF!</v>
      </c>
      <c r="AR19" s="7" t="e">
        <f aca="false">IF(OR(#REF!&gt;2,#REF!&lt;-2),"",#REF!)</f>
        <v>#REF!</v>
      </c>
      <c r="AS19" s="7" t="e">
        <f aca="false">IF(OR(#REF!&gt;2,#REF!&lt;-2),"",#REF!)</f>
        <v>#REF!</v>
      </c>
      <c r="AT19" s="7" t="e">
        <f aca="false">IF(OR(#REF!&gt;2,#REF!&lt;-2),"",#REF!)</f>
        <v>#REF!</v>
      </c>
      <c r="AU19" s="7" t="e">
        <f aca="false">IF(OR(#REF!&gt;2,#REF!&lt;-2),"",#REF!)</f>
        <v>#REF!</v>
      </c>
      <c r="AV19" s="7" t="e">
        <f aca="false">IF(OR(#REF!&gt;2,#REF!&lt;-2),"",#REF!)</f>
        <v>#REF!</v>
      </c>
      <c r="AW19" s="7" t="e">
        <f aca="false">IF(OR(#REF!&gt;2,#REF!&lt;-2),"",#REF!)</f>
        <v>#REF!</v>
      </c>
      <c r="AX19" s="7" t="e">
        <f aca="false">IF(OR(#REF!&gt;2,#REF!&lt;-2),"",#REF!)</f>
        <v>#REF!</v>
      </c>
      <c r="AY19" s="7" t="e">
        <f aca="false">IF(OR(#REF!&gt;2,#REF!&lt;-2),"",#REF!)</f>
        <v>#REF!</v>
      </c>
      <c r="AZ19" s="7" t="e">
        <f aca="false">IF(OR(#REF!&gt;2,#REF!&lt;-2),"",#REF!)</f>
        <v>#REF!</v>
      </c>
      <c r="BA19" s="7" t="e">
        <f aca="false">IF(OR(#REF!&gt;2,#REF!&lt;-2),"",#REF!)</f>
        <v>#REF!</v>
      </c>
      <c r="BB19" s="7" t="e">
        <f aca="false">IF(OR(#REF!&gt;2,#REF!&lt;-2),"",#REF!)</f>
        <v>#REF!</v>
      </c>
      <c r="BC19" s="7" t="e">
        <f aca="false">IF(OR(#REF!&gt;2,#REF!&lt;-2),"",#REF!)</f>
        <v>#REF!</v>
      </c>
      <c r="BD19" s="7" t="e">
        <f aca="false">IF(OR(#REF!&gt;2,#REF!&lt;-2),"",#REF!)</f>
        <v>#REF!</v>
      </c>
      <c r="BE19" s="7" t="e">
        <f aca="false">IF(OR(#REF!&gt;2,#REF!&lt;-2),"",#REF!)</f>
        <v>#REF!</v>
      </c>
      <c r="BF19" s="7" t="e">
        <f aca="false">IF(OR(#REF!&gt;2,#REF!&lt;-2),"",#REF!)</f>
        <v>#REF!</v>
      </c>
      <c r="BG19" s="7" t="e">
        <f aca="false">IF(OR(#REF!&gt;2,#REF!&lt;-2),"",#REF!)</f>
        <v>#REF!</v>
      </c>
      <c r="BH19" s="7" t="e">
        <f aca="false">IF(OR(#REF!&gt;2,#REF!&lt;-2),"",#REF!)</f>
        <v>#REF!</v>
      </c>
      <c r="BI19" s="7" t="e">
        <f aca="false">IF(OR(#REF!&gt;2,#REF!&lt;-2),"",#REF!)</f>
        <v>#REF!</v>
      </c>
      <c r="BJ19" s="7" t="e">
        <f aca="false">IF(OR(#REF!&gt;2,#REF!&lt;-2),"",#REF!)</f>
        <v>#REF!</v>
      </c>
      <c r="BK19" s="7" t="e">
        <f aca="false">IF(OR(#REF!&gt;2,#REF!&lt;-2),"",#REF!)</f>
        <v>#REF!</v>
      </c>
      <c r="BL19" s="7" t="e">
        <f aca="false">IF(OR(#REF!&gt;2,#REF!&lt;-2),"",#REF!)</f>
        <v>#REF!</v>
      </c>
      <c r="BM19" s="7" t="e">
        <f aca="false">IF(OR(#REF!&gt;2,#REF!&lt;-2),"",#REF!)</f>
        <v>#REF!</v>
      </c>
      <c r="BN19" s="7" t="e">
        <f aca="false">IF(OR(#REF!&gt;2,#REF!&lt;-2),"",#REF!)</f>
        <v>#REF!</v>
      </c>
      <c r="BO19" s="7" t="e">
        <f aca="false">IF(OR(#REF!&gt;2,#REF!&lt;-2),"",#REF!)</f>
        <v>#REF!</v>
      </c>
      <c r="BP19" s="7" t="e">
        <f aca="false">IF(OR(#REF!&gt;2,#REF!&lt;-2),"",#REF!)</f>
        <v>#REF!</v>
      </c>
      <c r="BQ19" s="7" t="e">
        <f aca="false">IF(OR(#REF!&gt;2,#REF!&lt;-2),"",#REF!)</f>
        <v>#REF!</v>
      </c>
      <c r="BR19" s="7" t="e">
        <f aca="false">IF(OR(#REF!&gt;2,#REF!&lt;-2),"",#REF!)</f>
        <v>#REF!</v>
      </c>
      <c r="BS19" s="7" t="e">
        <f aca="false">IF(OR(#REF!&gt;2,#REF!&lt;-2),"",#REF!)</f>
        <v>#REF!</v>
      </c>
      <c r="BT19" s="7" t="e">
        <f aca="false">IF(OR(#REF!&gt;2,#REF!&lt;-2),"",#REF!)</f>
        <v>#REF!</v>
      </c>
      <c r="BU19" s="7" t="e">
        <f aca="false">IF(OR(#REF!&gt;2,#REF!&lt;-2),"",#REF!)</f>
        <v>#REF!</v>
      </c>
      <c r="BV19" s="7" t="e">
        <f aca="false">IF(OR(#REF!&gt;2,#REF!&lt;-2),"",#REF!)</f>
        <v>#REF!</v>
      </c>
      <c r="BW19" s="7" t="e">
        <f aca="false">IF(OR(#REF!&gt;2,#REF!&lt;-2),"",#REF!)</f>
        <v>#REF!</v>
      </c>
      <c r="BX19" s="7" t="e">
        <f aca="false">IF(OR(#REF!&gt;2,#REF!&lt;-2),"",#REF!)</f>
        <v>#REF!</v>
      </c>
      <c r="BY19" s="7" t="e">
        <f aca="false">IF(OR(#REF!&gt;2,#REF!&lt;-2),"",#REF!)</f>
        <v>#REF!</v>
      </c>
      <c r="BZ19" s="7" t="e">
        <f aca="false">IF(OR(#REF!&gt;2,#REF!&lt;-2),"",#REF!)</f>
        <v>#REF!</v>
      </c>
      <c r="CA19" s="7" t="e">
        <f aca="false">IF(OR(#REF!&gt;2,#REF!&lt;-2),"",#REF!)</f>
        <v>#REF!</v>
      </c>
      <c r="CB19" s="7" t="e">
        <f aca="false">IF(OR(#REF!&gt;2,#REF!&lt;-2),"",#REF!)</f>
        <v>#REF!</v>
      </c>
      <c r="CC19" s="7" t="e">
        <f aca="false">IF(OR(#REF!&gt;2,#REF!&lt;-2),"",#REF!)</f>
        <v>#REF!</v>
      </c>
      <c r="CD19" s="7" t="e">
        <f aca="false">IF(OR(#REF!&gt;2,#REF!&lt;-2),"",#REF!)</f>
        <v>#REF!</v>
      </c>
      <c r="CE19" s="7" t="e">
        <f aca="false">IF(OR(#REF!&gt;2,#REF!&lt;-2),"",#REF!)</f>
        <v>#REF!</v>
      </c>
      <c r="CF19" s="7" t="e">
        <f aca="false">IF(OR(#REF!&gt;2,#REF!&lt;-2),"",#REF!)</f>
        <v>#REF!</v>
      </c>
      <c r="CG19" s="7" t="e">
        <f aca="false">IF(OR(#REF!&gt;2,#REF!&lt;-2),"",#REF!)</f>
        <v>#REF!</v>
      </c>
      <c r="CH19" s="7" t="e">
        <f aca="false">IF(OR(#REF!&gt;2,#REF!&lt;-2),"",#REF!)</f>
        <v>#REF!</v>
      </c>
      <c r="CI19" s="7" t="e">
        <f aca="false">IF(OR(#REF!&gt;2,#REF!&lt;-2),"",#REF!)</f>
        <v>#REF!</v>
      </c>
      <c r="CJ19" s="7" t="e">
        <f aca="false">IF(OR(#REF!&gt;2,#REF!&lt;-2),"",#REF!)</f>
        <v>#REF!</v>
      </c>
      <c r="CK19" s="7" t="e">
        <f aca="false">IF(OR(#REF!&gt;2,#REF!&lt;-2),"",#REF!)</f>
        <v>#REF!</v>
      </c>
      <c r="CL19" s="7" t="e">
        <f aca="false">IF(OR(#REF!&gt;2,#REF!&lt;-2),"",#REF!)</f>
        <v>#REF!</v>
      </c>
      <c r="CM19" s="7" t="e">
        <f aca="false">IF(OR(#REF!&gt;2,#REF!&lt;-2),"",#REF!)</f>
        <v>#REF!</v>
      </c>
      <c r="CN19" s="7" t="e">
        <f aca="false">IF(OR(#REF!&gt;2,#REF!&lt;-2),"",#REF!)</f>
        <v>#REF!</v>
      </c>
      <c r="CO19" s="7" t="e">
        <f aca="false">IF(OR(#REF!&gt;2,#REF!&lt;-2),"",#REF!)</f>
        <v>#REF!</v>
      </c>
      <c r="CP19" s="7" t="e">
        <f aca="false">IF(OR(#REF!&gt;2,#REF!&lt;-2),"",#REF!)</f>
        <v>#REF!</v>
      </c>
      <c r="CQ19" s="7" t="e">
        <f aca="false">IF(OR(#REF!&gt;2,#REF!&lt;-2),"",#REF!)</f>
        <v>#REF!</v>
      </c>
      <c r="CR19" s="7" t="e">
        <f aca="false">IF(OR(#REF!&gt;2,#REF!&lt;-2),"",#REF!)</f>
        <v>#REF!</v>
      </c>
      <c r="CS19" s="7" t="e">
        <f aca="false">IF(OR(#REF!&gt;2,#REF!&lt;-2),"",#REF!)</f>
        <v>#REF!</v>
      </c>
      <c r="CT19" s="7" t="e">
        <f aca="false">IF(OR(#REF!&gt;2,#REF!&lt;-2),"",#REF!)</f>
        <v>#REF!</v>
      </c>
      <c r="CU19" s="7" t="e">
        <f aca="false">IF(OR(#REF!&gt;2,#REF!&lt;-2),"",#REF!)</f>
        <v>#REF!</v>
      </c>
      <c r="CV19" s="7" t="e">
        <f aca="false">IF(OR(#REF!&gt;2,#REF!&lt;-2),"",#REF!)</f>
        <v>#REF!</v>
      </c>
      <c r="CW19" s="7" t="e">
        <f aca="false">IF(OR(#REF!&gt;2,#REF!&lt;-2),"",#REF!)</f>
        <v>#REF!</v>
      </c>
      <c r="CX19" s="7" t="e">
        <f aca="false">IF(OR(#REF!&gt;2,#REF!&lt;-2),"",#REF!)</f>
        <v>#REF!</v>
      </c>
      <c r="CY19" s="7" t="e">
        <f aca="false">IF(OR(#REF!&gt;2,#REF!&lt;-2),"",#REF!)</f>
        <v>#REF!</v>
      </c>
      <c r="CZ19" s="7" t="e">
        <f aca="false">IF(OR(#REF!&gt;2,#REF!&lt;-2),"",#REF!)</f>
        <v>#REF!</v>
      </c>
      <c r="DA19" s="7" t="e">
        <f aca="false">IF(OR(#REF!&gt;2,#REF!&lt;-2),"",#REF!)</f>
        <v>#REF!</v>
      </c>
      <c r="DB19" s="7" t="e">
        <f aca="false">IF(OR(#REF!&gt;2,#REF!&lt;-2),"",#REF!)</f>
        <v>#REF!</v>
      </c>
      <c r="DC19" s="7" t="e">
        <f aca="false">IF(OR(#REF!&gt;2,#REF!&lt;-2),"",#REF!)</f>
        <v>#REF!</v>
      </c>
      <c r="DD19" s="7" t="e">
        <f aca="false">IF(OR(#REF!&gt;2,#REF!&lt;-2),"",#REF!)</f>
        <v>#REF!</v>
      </c>
      <c r="DE19" s="7" t="e">
        <f aca="false">IF(OR(#REF!&gt;2,#REF!&lt;-2),"",#REF!)</f>
        <v>#REF!</v>
      </c>
      <c r="DF19" s="7" t="e">
        <f aca="false">IF(OR(#REF!&gt;2,#REF!&lt;-2),"",#REF!)</f>
        <v>#REF!</v>
      </c>
      <c r="DG19" s="7" t="e">
        <f aca="false">IF(OR(#REF!&gt;2,#REF!&lt;-2),"",#REF!)</f>
        <v>#REF!</v>
      </c>
      <c r="DH19" s="7" t="e">
        <f aca="false">IF(OR(#REF!&gt;2,#REF!&lt;-2),"",#REF!)</f>
        <v>#REF!</v>
      </c>
      <c r="DI19" s="7" t="e">
        <f aca="false">IF(OR(#REF!&gt;2,#REF!&lt;-2),"",#REF!)</f>
        <v>#REF!</v>
      </c>
      <c r="DJ19" s="7" t="e">
        <f aca="false">IF(OR(#REF!&gt;2,#REF!&lt;-2),"",#REF!)</f>
        <v>#REF!</v>
      </c>
      <c r="DK19" s="7" t="e">
        <f aca="false">IF(OR(#REF!&gt;2,#REF!&lt;-2),"",#REF!)</f>
        <v>#REF!</v>
      </c>
      <c r="DL19" s="7" t="e">
        <f aca="false">IF(OR(#REF!&gt;2,#REF!&lt;-2),"",#REF!)</f>
        <v>#REF!</v>
      </c>
      <c r="DM19" s="7" t="e">
        <f aca="false">IF(OR(#REF!&gt;2,#REF!&lt;-2),"",#REF!)</f>
        <v>#REF!</v>
      </c>
      <c r="DN19" s="7" t="e">
        <f aca="false">IF(OR(#REF!&gt;2,#REF!&lt;-2),"",#REF!)</f>
        <v>#REF!</v>
      </c>
      <c r="DO19" s="7" t="e">
        <f aca="false">IF(OR(#REF!&gt;2,#REF!&lt;-2),"",#REF!)</f>
        <v>#REF!</v>
      </c>
      <c r="DP19" s="7" t="e">
        <f aca="false">IF(OR(#REF!&gt;2,#REF!&lt;-2),"",#REF!)</f>
        <v>#REF!</v>
      </c>
      <c r="DQ19" s="7" t="e">
        <f aca="false">IF(OR(#REF!&gt;2,#REF!&lt;-2),"",#REF!)</f>
        <v>#REF!</v>
      </c>
      <c r="DR19" s="7" t="e">
        <f aca="false">IF(OR(#REF!&gt;2,#REF!&lt;-2),"",#REF!)</f>
        <v>#REF!</v>
      </c>
      <c r="DS19" s="7" t="e">
        <f aca="false">IF(OR(#REF!&gt;2,#REF!&lt;-2),"",#REF!)</f>
        <v>#REF!</v>
      </c>
      <c r="DT19" s="7" t="e">
        <f aca="false">IF(OR(#REF!&gt;2,#REF!&lt;-2),"",#REF!)</f>
        <v>#REF!</v>
      </c>
      <c r="DU19" s="7" t="e">
        <f aca="false">IF(OR(#REF!&gt;2,#REF!&lt;-2),"",#REF!)</f>
        <v>#REF!</v>
      </c>
      <c r="DV19" s="7" t="e">
        <f aca="false">IF(OR(#REF!&gt;2,#REF!&lt;-2),"",#REF!)</f>
        <v>#REF!</v>
      </c>
      <c r="DW19" s="7" t="e">
        <f aca="false">IF(OR(#REF!&gt;2,#REF!&lt;-2),"",#REF!)</f>
        <v>#REF!</v>
      </c>
      <c r="DX19" s="7" t="e">
        <f aca="false">IF(OR(#REF!&gt;2,#REF!&lt;-2),"",#REF!)</f>
        <v>#REF!</v>
      </c>
      <c r="DY19" s="7" t="e">
        <f aca="false">IF(OR(#REF!&gt;2,#REF!&lt;-2),"",#REF!)</f>
        <v>#REF!</v>
      </c>
      <c r="DZ19" s="7" t="e">
        <f aca="false">IF(OR(#REF!&gt;2,#REF!&lt;-2),"",#REF!)</f>
        <v>#REF!</v>
      </c>
      <c r="EA19" s="7" t="e">
        <f aca="false">IF(OR(#REF!&gt;2,#REF!&lt;-2),"",#REF!)</f>
        <v>#REF!</v>
      </c>
      <c r="EB19" s="7" t="e">
        <f aca="false">IF(OR(#REF!&gt;2,#REF!&lt;-2),"",#REF!)</f>
        <v>#REF!</v>
      </c>
      <c r="EC19" s="7" t="e">
        <f aca="false">IF(OR(#REF!&gt;2,#REF!&lt;-2),"",#REF!)</f>
        <v>#REF!</v>
      </c>
      <c r="ED19" s="7" t="e">
        <f aca="false">IF(OR(#REF!&gt;2,#REF!&lt;-2),"",#REF!)</f>
        <v>#REF!</v>
      </c>
      <c r="EE19" s="7" t="e">
        <f aca="false">IF(OR(#REF!&gt;2,#REF!&lt;-2),"",#REF!)</f>
        <v>#REF!</v>
      </c>
      <c r="EF19" s="7" t="e">
        <f aca="false">IF(OR(#REF!&gt;2,#REF!&lt;-2),"",#REF!)</f>
        <v>#REF!</v>
      </c>
      <c r="EG19" s="7" t="e">
        <f aca="false">IF(OR(#REF!&gt;2,#REF!&lt;-2),"",#REF!)</f>
        <v>#REF!</v>
      </c>
      <c r="EH19" s="7" t="e">
        <f aca="false">IF(OR(#REF!&gt;2,#REF!&lt;-2),"",#REF!)</f>
        <v>#REF!</v>
      </c>
      <c r="EI19" s="7" t="e">
        <f aca="false">IF(OR(#REF!&gt;2,#REF!&lt;-2),"",#REF!)</f>
        <v>#REF!</v>
      </c>
      <c r="EJ19" s="7" t="e">
        <f aca="false">IF(OR(#REF!&gt;2,#REF!&lt;-2),"",#REF!)</f>
        <v>#REF!</v>
      </c>
      <c r="EK19" s="7" t="e">
        <f aca="false">IF(OR(#REF!&gt;2,#REF!&lt;-2),"",#REF!)</f>
        <v>#REF!</v>
      </c>
      <c r="EL19" s="7" t="e">
        <f aca="false">IF(OR(#REF!&gt;2,#REF!&lt;-2),"",#REF!)</f>
        <v>#REF!</v>
      </c>
      <c r="EM19" s="7" t="e">
        <f aca="false">IF(OR(#REF!&gt;2,#REF!&lt;-2),"",#REF!)</f>
        <v>#REF!</v>
      </c>
      <c r="EN19" s="7" t="e">
        <f aca="false">IF(OR(#REF!&gt;2,#REF!&lt;-2),"",#REF!)</f>
        <v>#REF!</v>
      </c>
      <c r="EO19" s="7" t="e">
        <f aca="false">IF(OR(#REF!&gt;2,#REF!&lt;-2),"",#REF!)</f>
        <v>#REF!</v>
      </c>
      <c r="EP19" s="7" t="e">
        <f aca="false">IF(OR(#REF!&gt;2,#REF!&lt;-2),"",#REF!)</f>
        <v>#REF!</v>
      </c>
      <c r="EQ19" s="7" t="e">
        <f aca="false">IF(OR(#REF!&gt;2,#REF!&lt;-2),"",#REF!)</f>
        <v>#REF!</v>
      </c>
      <c r="ER19" s="7" t="e">
        <f aca="false">IF(OR(#REF!&gt;2,#REF!&lt;-2),"",#REF!)</f>
        <v>#REF!</v>
      </c>
      <c r="ES19" s="7" t="e">
        <f aca="false">IF(OR(#REF!&gt;2,#REF!&lt;-2),"",#REF!)</f>
        <v>#REF!</v>
      </c>
      <c r="ET19" s="7" t="e">
        <f aca="false">IF(OR(#REF!&gt;2,#REF!&lt;-2),"",#REF!)</f>
        <v>#REF!</v>
      </c>
      <c r="EU19" s="7" t="e">
        <f aca="false">IF(OR(#REF!&gt;2,#REF!&lt;-2),"",#REF!)</f>
        <v>#REF!</v>
      </c>
      <c r="EV19" s="7" t="e">
        <f aca="false">IF(OR(#REF!&gt;2,#REF!&lt;-2),"",#REF!)</f>
        <v>#REF!</v>
      </c>
      <c r="EW19" s="7" t="e">
        <f aca="false">IF(OR(#REF!&gt;2,#REF!&lt;-2),"",#REF!)</f>
        <v>#REF!</v>
      </c>
      <c r="EX19" s="7" t="e">
        <f aca="false">IF(OR(#REF!&gt;2,#REF!&lt;-2),"",#REF!)</f>
        <v>#REF!</v>
      </c>
      <c r="EY19" s="7" t="e">
        <f aca="false">IF(OR(#REF!&gt;2,#REF!&lt;-2),"",#REF!)</f>
        <v>#REF!</v>
      </c>
      <c r="EZ19" s="7" t="e">
        <f aca="false">IF(OR(#REF!&gt;2,#REF!&lt;-2),"",#REF!)</f>
        <v>#REF!</v>
      </c>
      <c r="FA19" s="7" t="e">
        <f aca="false">IF(OR(#REF!&gt;2,#REF!&lt;-2),"",#REF!)</f>
        <v>#REF!</v>
      </c>
      <c r="FB19" s="7" t="e">
        <f aca="false">IF(OR(#REF!&gt;2,#REF!&lt;-2),"",#REF!)</f>
        <v>#REF!</v>
      </c>
      <c r="FC19" s="7" t="e">
        <f aca="false">IF(OR(#REF!&gt;2,#REF!&lt;-2),"",#REF!)</f>
        <v>#REF!</v>
      </c>
      <c r="FD19" s="7" t="e">
        <f aca="false">IF(OR(#REF!&gt;2,#REF!&lt;-2),"",#REF!)</f>
        <v>#REF!</v>
      </c>
      <c r="FE19" s="7" t="e">
        <f aca="false">IF(OR(#REF!&gt;2,#REF!&lt;-2),"",#REF!)</f>
        <v>#REF!</v>
      </c>
      <c r="FF19" s="7" t="e">
        <f aca="false">IF(OR(#REF!&gt;2,#REF!&lt;-2),"",#REF!)</f>
        <v>#REF!</v>
      </c>
      <c r="FG19" s="7" t="e">
        <f aca="false">IF(OR(#REF!&gt;2,#REF!&lt;-2),"",#REF!)</f>
        <v>#REF!</v>
      </c>
      <c r="FH19" s="7" t="e">
        <f aca="false">IF(OR(#REF!&gt;2,#REF!&lt;-2),"",#REF!)</f>
        <v>#REF!</v>
      </c>
      <c r="FI19" s="7" t="e">
        <f aca="false">IF(OR(#REF!&gt;2,#REF!&lt;-2),"",#REF!)</f>
        <v>#REF!</v>
      </c>
      <c r="FJ19" s="7" t="e">
        <f aca="false">IF(OR(#REF!&gt;2,#REF!&lt;-2),"",#REF!)</f>
        <v>#REF!</v>
      </c>
      <c r="FK19" s="7" t="e">
        <f aca="false">IF(OR(#REF!&gt;2,#REF!&lt;-2),"",#REF!)</f>
        <v>#REF!</v>
      </c>
      <c r="FL19" s="7" t="e">
        <f aca="false">IF(OR(#REF!&gt;2,#REF!&lt;-2),"",#REF!)</f>
        <v>#REF!</v>
      </c>
      <c r="FM19" s="7" t="e">
        <f aca="false">IF(OR(#REF!&gt;2,#REF!&lt;-2),"",#REF!)</f>
        <v>#REF!</v>
      </c>
      <c r="FN19" s="7" t="e">
        <f aca="false">IF(OR(#REF!&gt;2,#REF!&lt;-2),"",#REF!)</f>
        <v>#REF!</v>
      </c>
      <c r="FO19" s="7" t="e">
        <f aca="false">IF(OR(#REF!&gt;2,#REF!&lt;-2),"",#REF!)</f>
        <v>#REF!</v>
      </c>
      <c r="FP19" s="7" t="e">
        <f aca="false">IF(OR(#REF!&gt;2,#REF!&lt;-2),"",#REF!)</f>
        <v>#REF!</v>
      </c>
      <c r="FQ19" s="7" t="e">
        <f aca="false">IF(OR(#REF!&gt;2,#REF!&lt;-2),"",#REF!)</f>
        <v>#REF!</v>
      </c>
      <c r="FR19" s="7" t="e">
        <f aca="false">IF(OR(#REF!&gt;2,#REF!&lt;-2),"",#REF!)</f>
        <v>#REF!</v>
      </c>
      <c r="FS19" s="7" t="e">
        <f aca="false">IF(OR(#REF!&gt;2,#REF!&lt;-2),"",#REF!)</f>
        <v>#REF!</v>
      </c>
      <c r="FT19" s="7" t="e">
        <f aca="false">IF(OR(#REF!&gt;2,#REF!&lt;-2),"",#REF!)</f>
        <v>#REF!</v>
      </c>
      <c r="FU19" s="7" t="e">
        <f aca="false">IF(OR(#REF!&gt;2,#REF!&lt;-2),"",#REF!)</f>
        <v>#REF!</v>
      </c>
      <c r="FV19" s="7" t="e">
        <f aca="false">IF(OR(#REF!&gt;2,#REF!&lt;-2),"",#REF!)</f>
        <v>#REF!</v>
      </c>
      <c r="FW19" s="7" t="e">
        <f aca="false">IF(OR(#REF!&gt;2,#REF!&lt;-2),"",#REF!)</f>
        <v>#REF!</v>
      </c>
      <c r="FX19" s="7" t="e">
        <f aca="false">IF(OR(#REF!&gt;2,#REF!&lt;-2),"",#REF!)</f>
        <v>#REF!</v>
      </c>
      <c r="FY19" s="7" t="e">
        <f aca="false">IF(OR(#REF!&gt;2,#REF!&lt;-2),"",#REF!)</f>
        <v>#REF!</v>
      </c>
      <c r="FZ19" s="7" t="e">
        <f aca="false">IF(OR(#REF!&gt;2,#REF!&lt;-2),"",#REF!)</f>
        <v>#REF!</v>
      </c>
      <c r="GA19" s="7" t="e">
        <f aca="false">IF(OR(#REF!&gt;2,#REF!&lt;-2),"",#REF!)</f>
        <v>#REF!</v>
      </c>
      <c r="GB19" s="7" t="e">
        <f aca="false">IF(OR(#REF!&gt;2,#REF!&lt;-2),"",#REF!)</f>
        <v>#REF!</v>
      </c>
      <c r="GC19" s="7" t="e">
        <f aca="false">IF(OR(#REF!&gt;2,#REF!&lt;-2),"",#REF!)</f>
        <v>#REF!</v>
      </c>
      <c r="GD19" s="7" t="e">
        <f aca="false">IF(OR(#REF!&gt;2,#REF!&lt;-2),"",#REF!)</f>
        <v>#REF!</v>
      </c>
      <c r="GE19" s="7" t="e">
        <f aca="false">IF(OR(#REF!&gt;2,#REF!&lt;-2),"",#REF!)</f>
        <v>#REF!</v>
      </c>
      <c r="GF19" s="7" t="e">
        <f aca="false">IF(OR(#REF!&gt;2,#REF!&lt;-2),"",#REF!)</f>
        <v>#REF!</v>
      </c>
      <c r="GG19" s="7" t="e">
        <f aca="false">IF(OR(#REF!&gt;2,#REF!&lt;-2),"",#REF!)</f>
        <v>#REF!</v>
      </c>
      <c r="GH19" s="7" t="e">
        <f aca="false">IF(OR(#REF!&gt;2,#REF!&lt;-2),"",#REF!)</f>
        <v>#REF!</v>
      </c>
      <c r="GI19" s="7" t="e">
        <f aca="false">IF(OR(#REF!&gt;2,#REF!&lt;-2),"",#REF!)</f>
        <v>#REF!</v>
      </c>
      <c r="GJ19" s="7" t="e">
        <f aca="false">IF(OR(#REF!&gt;2,#REF!&lt;-2),"",#REF!)</f>
        <v>#REF!</v>
      </c>
      <c r="GK19" s="7" t="e">
        <f aca="false">IF(OR(#REF!&gt;2,#REF!&lt;-2),"",#REF!)</f>
        <v>#REF!</v>
      </c>
      <c r="GL19" s="7" t="e">
        <f aca="false">IF(OR(#REF!&gt;2,#REF!&lt;-2),"",#REF!)</f>
        <v>#REF!</v>
      </c>
      <c r="GM19" s="7" t="e">
        <f aca="false">IF(OR(#REF!&gt;2,#REF!&lt;-2),"",#REF!)</f>
        <v>#REF!</v>
      </c>
      <c r="GN19" s="7" t="e">
        <f aca="false">IF(OR(#REF!&gt;2,#REF!&lt;-2),"",#REF!)</f>
        <v>#REF!</v>
      </c>
      <c r="GO19" s="7" t="e">
        <f aca="false">IF(OR(#REF!&gt;2,#REF!&lt;-2),"",#REF!)</f>
        <v>#REF!</v>
      </c>
      <c r="GP19" s="7" t="e">
        <f aca="false">IF(OR(#REF!&gt;2,#REF!&lt;-2),"",#REF!)</f>
        <v>#REF!</v>
      </c>
      <c r="GQ19" s="7" t="e">
        <f aca="false">IF(OR(#REF!&gt;2,#REF!&lt;-2),"",#REF!)</f>
        <v>#REF!</v>
      </c>
      <c r="GR19" s="7" t="e">
        <f aca="false">IF(OR(#REF!&gt;2,#REF!&lt;-2),"",#REF!)</f>
        <v>#REF!</v>
      </c>
      <c r="GS19" s="7" t="e">
        <f aca="false">IF(OR(#REF!&gt;2,#REF!&lt;-2),"",#REF!)</f>
        <v>#REF!</v>
      </c>
      <c r="GT19" s="7" t="e">
        <f aca="false">IF(OR(#REF!&gt;2,#REF!&lt;-2),"",#REF!)</f>
        <v>#REF!</v>
      </c>
      <c r="GU19" s="7" t="e">
        <f aca="false">IF(OR(#REF!&gt;2,#REF!&lt;-2),"",#REF!)</f>
        <v>#REF!</v>
      </c>
      <c r="GV19" s="7" t="e">
        <f aca="false">IF(OR(#REF!&gt;2,#REF!&lt;-2),"",#REF!)</f>
        <v>#REF!</v>
      </c>
      <c r="GW19" s="7" t="e">
        <f aca="false">IF(OR(#REF!&gt;2,#REF!&lt;-2),"",#REF!)</f>
        <v>#REF!</v>
      </c>
      <c r="GX19" s="7" t="e">
        <f aca="false">IF(OR(#REF!&gt;2,#REF!&lt;-2),"",#REF!)</f>
        <v>#REF!</v>
      </c>
      <c r="GY19" s="7" t="e">
        <f aca="false">IF(OR(#REF!&gt;2,#REF!&lt;-2),"",#REF!)</f>
        <v>#REF!</v>
      </c>
      <c r="GZ19" s="7" t="e">
        <f aca="false">IF(OR(#REF!&gt;2,#REF!&lt;-2),"",#REF!)</f>
        <v>#REF!</v>
      </c>
      <c r="HA19" s="7" t="e">
        <f aca="false">IF(OR(#REF!&gt;2,#REF!&lt;-2),"",#REF!)</f>
        <v>#REF!</v>
      </c>
      <c r="HB19" s="7" t="e">
        <f aca="false">IF(OR(#REF!&gt;2,#REF!&lt;-2),"",#REF!)</f>
        <v>#REF!</v>
      </c>
      <c r="HC19" s="7" t="e">
        <f aca="false">IF(OR(#REF!&gt;2,#REF!&lt;-2),"",#REF!)</f>
        <v>#REF!</v>
      </c>
      <c r="HD19" s="7" t="e">
        <f aca="false">IF(OR(#REF!&gt;2,#REF!&lt;-2),"",#REF!)</f>
        <v>#REF!</v>
      </c>
      <c r="HE19" s="7" t="e">
        <f aca="false">IF(OR(#REF!&gt;2,#REF!&lt;-2),"",#REF!)</f>
        <v>#REF!</v>
      </c>
      <c r="HF19" s="7" t="e">
        <f aca="false">IF(OR(#REF!&gt;2,#REF!&lt;-2),"",#REF!)</f>
        <v>#REF!</v>
      </c>
      <c r="HG19" s="7" t="e">
        <f aca="false">IF(OR(#REF!&gt;2,#REF!&lt;-2),"",#REF!)</f>
        <v>#REF!</v>
      </c>
      <c r="HH19" s="7" t="e">
        <f aca="false">IF(OR(#REF!&gt;2,#REF!&lt;-2),"",#REF!)</f>
        <v>#REF!</v>
      </c>
      <c r="HI19" s="7" t="e">
        <f aca="false">IF(OR(#REF!&gt;2,#REF!&lt;-2),"",#REF!)</f>
        <v>#REF!</v>
      </c>
      <c r="HJ19" s="7" t="e">
        <f aca="false">IF(OR(#REF!&gt;2,#REF!&lt;-2),"",#REF!)</f>
        <v>#REF!</v>
      </c>
      <c r="HK19" s="7" t="e">
        <f aca="false">IF(OR(#REF!&gt;2,#REF!&lt;-2),"",#REF!)</f>
        <v>#REF!</v>
      </c>
      <c r="HL19" s="7" t="e">
        <f aca="false">IF(OR(#REF!&gt;2,#REF!&lt;-2),"",#REF!)</f>
        <v>#REF!</v>
      </c>
      <c r="HM19" s="7" t="e">
        <f aca="false">IF(OR(#REF!&gt;2,#REF!&lt;-2),"",#REF!)</f>
        <v>#REF!</v>
      </c>
      <c r="HN19" s="7" t="e">
        <f aca="false">IF(OR(#REF!&gt;2,#REF!&lt;-2),"",#REF!)</f>
        <v>#REF!</v>
      </c>
      <c r="HO19" s="7" t="e">
        <f aca="false">IF(OR(#REF!&gt;2,#REF!&lt;-2),"",#REF!)</f>
        <v>#REF!</v>
      </c>
      <c r="HP19" s="7" t="e">
        <f aca="false">IF(OR(#REF!&gt;2,#REF!&lt;-2),"",#REF!)</f>
        <v>#REF!</v>
      </c>
      <c r="HQ19" s="7" t="e">
        <f aca="false">IF(OR(#REF!&gt;2,#REF!&lt;-2),"",#REF!)</f>
        <v>#REF!</v>
      </c>
      <c r="HR19" s="7" t="e">
        <f aca="false">IF(OR(#REF!&gt;2,#REF!&lt;-2),"",#REF!)</f>
        <v>#REF!</v>
      </c>
      <c r="HS19" s="7" t="e">
        <f aca="false">IF(OR(#REF!&gt;2,#REF!&lt;-2),"",#REF!)</f>
        <v>#REF!</v>
      </c>
      <c r="HT19" s="7" t="e">
        <f aca="false">IF(OR(#REF!&gt;2,#REF!&lt;-2),"",#REF!)</f>
        <v>#REF!</v>
      </c>
      <c r="HU19" s="7" t="e">
        <f aca="false">IF(OR(#REF!&gt;2,#REF!&lt;-2),"",#REF!)</f>
        <v>#REF!</v>
      </c>
      <c r="HV19" s="7" t="e">
        <f aca="false">IF(OR(#REF!&gt;2,#REF!&lt;-2),"",#REF!)</f>
        <v>#REF!</v>
      </c>
      <c r="HW19" s="7" t="e">
        <f aca="false">IF(OR(#REF!&gt;2,#REF!&lt;-2),"",#REF!)</f>
        <v>#REF!</v>
      </c>
      <c r="HX19" s="7" t="e">
        <f aca="false">IF(OR(#REF!&gt;2,#REF!&lt;-2),"",#REF!)</f>
        <v>#REF!</v>
      </c>
      <c r="HY19" s="7" t="e">
        <f aca="false">IF(OR(#REF!&gt;2,#REF!&lt;-2),"",#REF!)</f>
        <v>#REF!</v>
      </c>
      <c r="HZ19" s="7" t="e">
        <f aca="false">IF(OR(#REF!&gt;2,#REF!&lt;-2),"",#REF!)</f>
        <v>#REF!</v>
      </c>
      <c r="IA19" s="7" t="e">
        <f aca="false">IF(OR(#REF!&gt;2,#REF!&lt;-2),"",#REF!)</f>
        <v>#REF!</v>
      </c>
      <c r="IB19" s="7" t="e">
        <f aca="false">IF(OR(#REF!&gt;2,#REF!&lt;-2),"",#REF!)</f>
        <v>#REF!</v>
      </c>
      <c r="IC19" s="7" t="e">
        <f aca="false">IF(OR(#REF!&gt;2,#REF!&lt;-2),"",#REF!)</f>
        <v>#REF!</v>
      </c>
      <c r="ID19" s="7" t="e">
        <f aca="false">IF(OR(#REF!&gt;2,#REF!&lt;-2),"",#REF!)</f>
        <v>#REF!</v>
      </c>
      <c r="IE19" s="7" t="e">
        <f aca="false">IF(OR(#REF!&gt;2,#REF!&lt;-2),"",#REF!)</f>
        <v>#REF!</v>
      </c>
      <c r="IF19" s="7" t="e">
        <f aca="false">IF(OR(#REF!&gt;2,#REF!&lt;-2),"",#REF!)</f>
        <v>#REF!</v>
      </c>
      <c r="IG19" s="7" t="e">
        <f aca="false">IF(OR(#REF!&gt;2,#REF!&lt;-2),"",#REF!)</f>
        <v>#REF!</v>
      </c>
      <c r="IH19" s="7" t="e">
        <f aca="false">IF(OR(#REF!&gt;2,#REF!&lt;-2),"",#REF!)</f>
        <v>#REF!</v>
      </c>
      <c r="II19" s="7" t="e">
        <f aca="false">IF(OR(#REF!&gt;2,#REF!&lt;-2),"",#REF!)</f>
        <v>#REF!</v>
      </c>
      <c r="IJ19" s="7" t="e">
        <f aca="false">IF(OR(#REF!&gt;2,#REF!&lt;-2),"",#REF!)</f>
        <v>#REF!</v>
      </c>
      <c r="IK19" s="7" t="e">
        <f aca="false">IF(OR(#REF!&gt;2,#REF!&lt;-2),"",#REF!)</f>
        <v>#REF!</v>
      </c>
      <c r="IL19" s="7" t="e">
        <f aca="false">IF(OR(#REF!&gt;2,#REF!&lt;-2),"",#REF!)</f>
        <v>#REF!</v>
      </c>
      <c r="IM19" s="7" t="e">
        <f aca="false">IF(OR(#REF!&gt;2,#REF!&lt;-2),"",#REF!)</f>
        <v>#REF!</v>
      </c>
      <c r="IN19" s="7" t="e">
        <f aca="false">IF(OR(#REF!&gt;2,#REF!&lt;-2),"",#REF!)</f>
        <v>#REF!</v>
      </c>
      <c r="IO19" s="7" t="e">
        <f aca="false">IF(OR(#REF!&gt;2,#REF!&lt;-2),"",#REF!)</f>
        <v>#REF!</v>
      </c>
      <c r="IP19" s="7" t="e">
        <f aca="false">IF(OR(#REF!&gt;2,#REF!&lt;-2),"",#REF!)</f>
        <v>#REF!</v>
      </c>
      <c r="IQ19" s="7" t="e">
        <f aca="false">IF(OR(#REF!&gt;2,#REF!&lt;-2),"",#REF!)</f>
        <v>#REF!</v>
      </c>
      <c r="IR19" s="7" t="e">
        <f aca="false">IF(OR(#REF!&gt;2,#REF!&lt;-2),"",#REF!)</f>
        <v>#REF!</v>
      </c>
      <c r="IS19" s="7" t="e">
        <f aca="false">IF(OR(#REF!&gt;2,#REF!&lt;-2),"",#REF!)</f>
        <v>#REF!</v>
      </c>
      <c r="IT19" s="7" t="e">
        <f aca="false">IF(OR(#REF!&gt;2,#REF!&lt;-2),"",#REF!)</f>
        <v>#REF!</v>
      </c>
      <c r="IU19" s="7" t="e">
        <f aca="false">IF(OR(#REF!&gt;2,#REF!&lt;-2),"",#REF!)</f>
        <v>#REF!</v>
      </c>
      <c r="IV19" s="7" t="e">
        <f aca="false">IF(OR(#REF!&gt;2,#REF!&lt;-2),"",#REF!)</f>
        <v>#REF!</v>
      </c>
      <c r="IW19" s="7" t="e">
        <f aca="false">IF(OR(#REF!&gt;2,#REF!&lt;-2),"",#REF!)</f>
        <v>#REF!</v>
      </c>
      <c r="IX19" s="7" t="e">
        <f aca="false">IF(OR(#REF!&gt;2,#REF!&lt;-2),"",#REF!)</f>
        <v>#REF!</v>
      </c>
      <c r="IY19" s="7" t="e">
        <f aca="false">IF(OR(#REF!&gt;2,#REF!&lt;-2),"",#REF!)</f>
        <v>#REF!</v>
      </c>
      <c r="IZ19" s="7" t="e">
        <f aca="false">IF(OR(#REF!&gt;2,#REF!&lt;-2),"",#REF!)</f>
        <v>#REF!</v>
      </c>
      <c r="JA19" s="7" t="e">
        <f aca="false">IF(OR(#REF!&gt;2,#REF!&lt;-2),"",#REF!)</f>
        <v>#REF!</v>
      </c>
      <c r="JB19" s="7" t="e">
        <f aca="false">IF(OR(#REF!&gt;2,#REF!&lt;-2),"",#REF!)</f>
        <v>#REF!</v>
      </c>
      <c r="JC19" s="7" t="e">
        <f aca="false">IF(OR(#REF!&gt;2,#REF!&lt;-2),"",#REF!)</f>
        <v>#REF!</v>
      </c>
      <c r="JD19" s="7" t="e">
        <f aca="false">IF(OR(#REF!&gt;2,#REF!&lt;-2),"",#REF!)</f>
        <v>#REF!</v>
      </c>
      <c r="JE19" s="7" t="e">
        <f aca="false">IF(OR(#REF!&gt;2,#REF!&lt;-2),"",#REF!)</f>
        <v>#REF!</v>
      </c>
      <c r="JF19" s="7" t="e">
        <f aca="false">IF(OR(#REF!&gt;2,#REF!&lt;-2),"",#REF!)</f>
        <v>#REF!</v>
      </c>
      <c r="JG19" s="7" t="e">
        <f aca="false">IF(OR(#REF!&gt;2,#REF!&lt;-2),"",#REF!)</f>
        <v>#REF!</v>
      </c>
      <c r="JH19" s="7" t="e">
        <f aca="false">IF(OR(#REF!&gt;2,#REF!&lt;-2),"",#REF!)</f>
        <v>#REF!</v>
      </c>
      <c r="JI19" s="7" t="e">
        <f aca="false">IF(OR(#REF!&gt;2,#REF!&lt;-2),"",#REF!)</f>
        <v>#REF!</v>
      </c>
      <c r="JJ19" s="7" t="e">
        <f aca="false">IF(OR(#REF!&gt;2,#REF!&lt;-2),"",#REF!)</f>
        <v>#REF!</v>
      </c>
      <c r="JK19" s="7" t="e">
        <f aca="false">IF(OR(#REF!&gt;2,#REF!&lt;-2),"",#REF!)</f>
        <v>#REF!</v>
      </c>
      <c r="JL19" s="7" t="e">
        <f aca="false">IF(OR(#REF!&gt;2,#REF!&lt;-2),"",#REF!)</f>
        <v>#REF!</v>
      </c>
      <c r="JM19" s="7" t="e">
        <f aca="false">IF(OR(#REF!&gt;2,#REF!&lt;-2),"",#REF!)</f>
        <v>#REF!</v>
      </c>
      <c r="JN19" s="7" t="e">
        <f aca="false">IF(OR(#REF!&gt;2,#REF!&lt;-2),"",#REF!)</f>
        <v>#REF!</v>
      </c>
      <c r="JO19" s="7" t="e">
        <f aca="false">IF(OR(#REF!&gt;2,#REF!&lt;-2),"",#REF!)</f>
        <v>#REF!</v>
      </c>
      <c r="JP19" s="7" t="e">
        <f aca="false">IF(OR(#REF!&gt;2,#REF!&lt;-2),"",#REF!)</f>
        <v>#REF!</v>
      </c>
      <c r="JQ19" s="7" t="e">
        <f aca="false">IF(OR(#REF!&gt;2,#REF!&lt;-2),"",#REF!)</f>
        <v>#REF!</v>
      </c>
      <c r="JR19" s="7" t="e">
        <f aca="false">IF(OR(#REF!&gt;2,#REF!&lt;-2),"",#REF!)</f>
        <v>#REF!</v>
      </c>
      <c r="JS19" s="7" t="e">
        <f aca="false">IF(OR(#REF!&gt;2,#REF!&lt;-2),"",#REF!)</f>
        <v>#REF!</v>
      </c>
      <c r="JT19" s="7" t="e">
        <f aca="false">IF(OR(#REF!&gt;2,#REF!&lt;-2),"",#REF!)</f>
        <v>#REF!</v>
      </c>
      <c r="JU19" s="7" t="e">
        <f aca="false">IF(OR(#REF!&gt;2,#REF!&lt;-2),"",#REF!)</f>
        <v>#REF!</v>
      </c>
      <c r="JV19" s="7" t="e">
        <f aca="false">IF(OR(#REF!&gt;2,#REF!&lt;-2),"",#REF!)</f>
        <v>#REF!</v>
      </c>
      <c r="JW19" s="7" t="e">
        <f aca="false">IF(OR(#REF!&gt;2,#REF!&lt;-2),"",#REF!)</f>
        <v>#REF!</v>
      </c>
      <c r="JX19" s="7" t="e">
        <f aca="false">IF(OR(#REF!&gt;2,#REF!&lt;-2),"",#REF!)</f>
        <v>#REF!</v>
      </c>
      <c r="JY19" s="7" t="e">
        <f aca="false">IF(OR(#REF!&gt;2,#REF!&lt;-2),"",#REF!)</f>
        <v>#REF!</v>
      </c>
      <c r="JZ19" s="7" t="e">
        <f aca="false">IF(OR(#REF!&gt;2,#REF!&lt;-2),"",#REF!)</f>
        <v>#REF!</v>
      </c>
      <c r="KA19" s="7" t="e">
        <f aca="false">IF(OR(#REF!&gt;2,#REF!&lt;-2),"",#REF!)</f>
        <v>#REF!</v>
      </c>
      <c r="KB19" s="7" t="e">
        <f aca="false">IF(OR(#REF!&gt;2,#REF!&lt;-2),"",#REF!)</f>
        <v>#REF!</v>
      </c>
      <c r="KC19" s="7" t="e">
        <f aca="false">IF(OR(#REF!&gt;2,#REF!&lt;-2),"",#REF!)</f>
        <v>#REF!</v>
      </c>
      <c r="KD19" s="7" t="e">
        <f aca="false">IF(OR(#REF!&gt;2,#REF!&lt;-2),"",#REF!)</f>
        <v>#REF!</v>
      </c>
      <c r="KE19" s="7" t="e">
        <f aca="false">IF(OR(#REF!&gt;2,#REF!&lt;-2),"",#REF!)</f>
        <v>#REF!</v>
      </c>
      <c r="KF19" s="7" t="e">
        <f aca="false">IF(OR(#REF!&gt;2,#REF!&lt;-2),"",#REF!)</f>
        <v>#REF!</v>
      </c>
      <c r="KG19" s="7" t="e">
        <f aca="false">IF(OR(#REF!&gt;2,#REF!&lt;-2),"",#REF!)</f>
        <v>#REF!</v>
      </c>
      <c r="KH19" s="7" t="e">
        <f aca="false">IF(OR(#REF!&gt;2,#REF!&lt;-2),"",#REF!)</f>
        <v>#REF!</v>
      </c>
      <c r="KI19" s="7" t="e">
        <f aca="false">IF(OR(#REF!&gt;2,#REF!&lt;-2),"",#REF!)</f>
        <v>#REF!</v>
      </c>
      <c r="KJ19" s="7" t="e">
        <f aca="false">IF(OR(#REF!&gt;2,#REF!&lt;-2),"",#REF!)</f>
        <v>#REF!</v>
      </c>
      <c r="KK19" s="7" t="e">
        <f aca="false">IF(OR(#REF!&gt;2,#REF!&lt;-2),"",#REF!)</f>
        <v>#REF!</v>
      </c>
      <c r="KL19" s="7" t="e">
        <f aca="false">IF(OR(#REF!&gt;2,#REF!&lt;-2),"",#REF!)</f>
        <v>#REF!</v>
      </c>
      <c r="KM19" s="7" t="e">
        <f aca="false">IF(OR(#REF!&gt;2,#REF!&lt;-2),"",#REF!)</f>
        <v>#REF!</v>
      </c>
      <c r="KN19" s="7" t="e">
        <f aca="false">IF(OR(#REF!&gt;2,#REF!&lt;-2),"",#REF!)</f>
        <v>#REF!</v>
      </c>
      <c r="KO19" s="7" t="e">
        <f aca="false">IF(OR(#REF!&gt;2,#REF!&lt;-2),"",#REF!)</f>
        <v>#REF!</v>
      </c>
      <c r="KP19" s="7" t="e">
        <f aca="false">IF(OR(#REF!&gt;2,#REF!&lt;-2),"",#REF!)</f>
        <v>#REF!</v>
      </c>
      <c r="KQ19" s="7" t="e">
        <f aca="false">IF(OR(#REF!&gt;2,#REF!&lt;-2),"",#REF!)</f>
        <v>#REF!</v>
      </c>
      <c r="KR19" s="7" t="e">
        <f aca="false">IF(OR(#REF!&gt;2,#REF!&lt;-2),"",#REF!)</f>
        <v>#REF!</v>
      </c>
      <c r="KS19" s="7" t="e">
        <f aca="false">IF(OR(#REF!&gt;2,#REF!&lt;-2),"",#REF!)</f>
        <v>#REF!</v>
      </c>
      <c r="KT19" s="7" t="e">
        <f aca="false">IF(OR(#REF!&gt;2,#REF!&lt;-2),"",#REF!)</f>
        <v>#REF!</v>
      </c>
      <c r="KU19" s="7" t="e">
        <f aca="false">IF(OR(#REF!&gt;2,#REF!&lt;-2),"",#REF!)</f>
        <v>#REF!</v>
      </c>
      <c r="KV19" s="7" t="e">
        <f aca="false">IF(OR(#REF!&gt;2,#REF!&lt;-2),"",#REF!)</f>
        <v>#REF!</v>
      </c>
      <c r="KW19" s="7" t="e">
        <f aca="false">IF(OR(#REF!&gt;2,#REF!&lt;-2),"",#REF!)</f>
        <v>#REF!</v>
      </c>
      <c r="KX19" s="7" t="e">
        <f aca="false">IF(OR(#REF!&gt;2,#REF!&lt;-2),"",#REF!)</f>
        <v>#REF!</v>
      </c>
      <c r="KY19" s="7" t="e">
        <f aca="false">IF(OR(#REF!&gt;2,#REF!&lt;-2),"",#REF!)</f>
        <v>#REF!</v>
      </c>
      <c r="KZ19" s="7" t="e">
        <f aca="false">IF(OR(#REF!&gt;2,#REF!&lt;-2),"",#REF!)</f>
        <v>#REF!</v>
      </c>
      <c r="LA19" s="7" t="e">
        <f aca="false">IF(OR(#REF!&gt;2,#REF!&lt;-2),"",#REF!)</f>
        <v>#REF!</v>
      </c>
      <c r="LB19" s="7" t="e">
        <f aca="false">IF(OR(#REF!&gt;2,#REF!&lt;-2),"",#REF!)</f>
        <v>#REF!</v>
      </c>
      <c r="LC19" s="7" t="e">
        <f aca="false">IF(OR(#REF!&gt;2,#REF!&lt;-2),"",#REF!)</f>
        <v>#REF!</v>
      </c>
      <c r="LD19" s="7" t="e">
        <f aca="false">IF(OR(#REF!&gt;2,#REF!&lt;-2),"",#REF!)</f>
        <v>#REF!</v>
      </c>
      <c r="LE19" s="7" t="e">
        <f aca="false">IF(OR(#REF!&gt;2,#REF!&lt;-2),"",#REF!)</f>
        <v>#REF!</v>
      </c>
      <c r="LF19" s="7" t="e">
        <f aca="false">IF(OR(#REF!&gt;2,#REF!&lt;-2),"",#REF!)</f>
        <v>#REF!</v>
      </c>
      <c r="LG19" s="7" t="e">
        <f aca="false">IF(OR(#REF!&gt;2,#REF!&lt;-2),"",#REF!)</f>
        <v>#REF!</v>
      </c>
      <c r="LH19" s="7" t="e">
        <f aca="false">IF(OR(#REF!&gt;2,#REF!&lt;-2),"",#REF!)</f>
        <v>#REF!</v>
      </c>
      <c r="LI19" s="7" t="e">
        <f aca="false">IF(OR(#REF!&gt;2,#REF!&lt;-2),"",#REF!)</f>
        <v>#REF!</v>
      </c>
      <c r="LJ19" s="7" t="e">
        <f aca="false">IF(OR(#REF!&gt;2,#REF!&lt;-2),"",#REF!)</f>
        <v>#REF!</v>
      </c>
      <c r="LK19" s="7" t="e">
        <f aca="false">IF(OR(#REF!&gt;2,#REF!&lt;-2),"",#REF!)</f>
        <v>#REF!</v>
      </c>
      <c r="LL19" s="7" t="e">
        <f aca="false">IF(OR(#REF!&gt;2,#REF!&lt;-2),"",#REF!)</f>
        <v>#REF!</v>
      </c>
      <c r="LM19" s="7" t="e">
        <f aca="false">IF(OR(#REF!&gt;2,#REF!&lt;-2),"",#REF!)</f>
        <v>#REF!</v>
      </c>
      <c r="LN19" s="7" t="e">
        <f aca="false">IF(OR(#REF!&gt;2,#REF!&lt;-2),"",#REF!)</f>
        <v>#REF!</v>
      </c>
      <c r="LO19" s="7" t="e">
        <f aca="false">IF(OR(#REF!&gt;2,#REF!&lt;-2),"",#REF!)</f>
        <v>#REF!</v>
      </c>
      <c r="LP19" s="7" t="e">
        <f aca="false">IF(OR(#REF!&gt;2,#REF!&lt;-2),"",#REF!)</f>
        <v>#REF!</v>
      </c>
      <c r="LQ19" s="7" t="e">
        <f aca="false">IF(OR(#REF!&gt;2,#REF!&lt;-2),"",#REF!)</f>
        <v>#REF!</v>
      </c>
      <c r="LR19" s="7" t="e">
        <f aca="false">IF(OR(#REF!&gt;2,#REF!&lt;-2),"",#REF!)</f>
        <v>#REF!</v>
      </c>
      <c r="LS19" s="7" t="e">
        <f aca="false">IF(OR(#REF!&gt;2,#REF!&lt;-2),"",#REF!)</f>
        <v>#REF!</v>
      </c>
      <c r="LT19" s="7" t="e">
        <f aca="false">IF(OR(#REF!&gt;2,#REF!&lt;-2),"",#REF!)</f>
        <v>#REF!</v>
      </c>
      <c r="LU19" s="7" t="e">
        <f aca="false">IF(OR(#REF!&gt;2,#REF!&lt;-2),"",#REF!)</f>
        <v>#REF!</v>
      </c>
      <c r="LV19" s="7" t="e">
        <f aca="false">IF(OR(#REF!&gt;2,#REF!&lt;-2),"",#REF!)</f>
        <v>#REF!</v>
      </c>
      <c r="LW19" s="7" t="e">
        <f aca="false">IF(OR(#REF!&gt;2,#REF!&lt;-2),"",#REF!)</f>
        <v>#REF!</v>
      </c>
      <c r="LX19" s="7" t="e">
        <f aca="false">IF(OR(#REF!&gt;2,#REF!&lt;-2),"",#REF!)</f>
        <v>#REF!</v>
      </c>
      <c r="LY19" s="7" t="e">
        <f aca="false">IF(OR(#REF!&gt;2,#REF!&lt;-2),"",#REF!)</f>
        <v>#REF!</v>
      </c>
      <c r="LZ19" s="7" t="e">
        <f aca="false">IF(OR(#REF!&gt;2,#REF!&lt;-2),"",#REF!)</f>
        <v>#REF!</v>
      </c>
      <c r="MA19" s="7" t="e">
        <f aca="false">IF(OR(#REF!&gt;2,#REF!&lt;-2),"",#REF!)</f>
        <v>#REF!</v>
      </c>
      <c r="MB19" s="7" t="e">
        <f aca="false">IF(OR(#REF!&gt;2,#REF!&lt;-2),"",#REF!)</f>
        <v>#REF!</v>
      </c>
      <c r="MC19" s="7" t="e">
        <f aca="false">IF(OR(#REF!&gt;2,#REF!&lt;-2),"",#REF!)</f>
        <v>#REF!</v>
      </c>
      <c r="MD19" s="7" t="e">
        <f aca="false">IF(OR(#REF!&gt;2,#REF!&lt;-2),"",#REF!)</f>
        <v>#REF!</v>
      </c>
      <c r="ME19" s="7" t="e">
        <f aca="false">IF(OR(#REF!&gt;2,#REF!&lt;-2),"",#REF!)</f>
        <v>#REF!</v>
      </c>
      <c r="MF19" s="7" t="e">
        <f aca="false">IF(OR(#REF!&gt;2,#REF!&lt;-2),"",#REF!)</f>
        <v>#REF!</v>
      </c>
      <c r="MG19" s="7" t="e">
        <f aca="false">IF(OR(#REF!&gt;2,#REF!&lt;-2),"",#REF!)</f>
        <v>#REF!</v>
      </c>
      <c r="MH19" s="7" t="e">
        <f aca="false">IF(OR(#REF!&gt;2,#REF!&lt;-2),"",#REF!)</f>
        <v>#REF!</v>
      </c>
      <c r="MI19" s="7" t="e">
        <f aca="false">IF(OR(#REF!&gt;2,#REF!&lt;-2),"",#REF!)</f>
        <v>#REF!</v>
      </c>
      <c r="MJ19" s="7" t="e">
        <f aca="false">IF(OR(#REF!&gt;2,#REF!&lt;-2),"",#REF!)</f>
        <v>#REF!</v>
      </c>
      <c r="MK19" s="7" t="e">
        <f aca="false">IF(OR(#REF!&gt;2,#REF!&lt;-2),"",#REF!)</f>
        <v>#REF!</v>
      </c>
      <c r="ML19" s="7" t="e">
        <f aca="false">IF(OR(#REF!&gt;2,#REF!&lt;-2),"",#REF!)</f>
        <v>#REF!</v>
      </c>
      <c r="MM19" s="7" t="e">
        <f aca="false">IF(OR(#REF!&gt;2,#REF!&lt;-2),"",#REF!)</f>
        <v>#REF!</v>
      </c>
      <c r="MN19" s="7" t="e">
        <f aca="false">IF(OR(#REF!&gt;2,#REF!&lt;-2),"",#REF!)</f>
        <v>#REF!</v>
      </c>
      <c r="MO19" s="7" t="e">
        <f aca="false">IF(OR(#REF!&gt;2,#REF!&lt;-2),"",#REF!)</f>
        <v>#REF!</v>
      </c>
      <c r="MP19" s="7" t="e">
        <f aca="false">IF(OR(#REF!&gt;2,#REF!&lt;-2),"",#REF!)</f>
        <v>#REF!</v>
      </c>
      <c r="MQ19" s="7" t="e">
        <f aca="false">IF(OR(#REF!&gt;2,#REF!&lt;-2),"",#REF!)</f>
        <v>#REF!</v>
      </c>
      <c r="MR19" s="7" t="e">
        <f aca="false">IF(OR(#REF!&gt;2,#REF!&lt;-2),"",#REF!)</f>
        <v>#REF!</v>
      </c>
      <c r="MS19" s="7" t="e">
        <f aca="false">IF(OR(#REF!&gt;2,#REF!&lt;-2),"",#REF!)</f>
        <v>#REF!</v>
      </c>
      <c r="MT19" s="7" t="e">
        <f aca="false">IF(OR(#REF!&gt;2,#REF!&lt;-2),"",#REF!)</f>
        <v>#REF!</v>
      </c>
      <c r="MU19" s="7" t="e">
        <f aca="false">IF(OR(#REF!&gt;2,#REF!&lt;-2),"",#REF!)</f>
        <v>#REF!</v>
      </c>
      <c r="MV19" s="7" t="e">
        <f aca="false">IF(OR(#REF!&gt;2,#REF!&lt;-2),"",#REF!)</f>
        <v>#REF!</v>
      </c>
      <c r="MW19" s="7" t="e">
        <f aca="false">IF(OR(#REF!&gt;2,#REF!&lt;-2),"",#REF!)</f>
        <v>#REF!</v>
      </c>
      <c r="MX19" s="7" t="e">
        <f aca="false">IF(OR(#REF!&gt;2,#REF!&lt;-2),"",#REF!)</f>
        <v>#REF!</v>
      </c>
      <c r="MY19" s="7" t="e">
        <f aca="false">IF(OR(#REF!&gt;2,#REF!&lt;-2),"",#REF!)</f>
        <v>#REF!</v>
      </c>
      <c r="MZ19" s="7" t="e">
        <f aca="false">IF(OR(#REF!&gt;2,#REF!&lt;-2),"",#REF!)</f>
        <v>#REF!</v>
      </c>
      <c r="NA19" s="7" t="e">
        <f aca="false">IF(OR(#REF!&gt;2,#REF!&lt;-2),"",#REF!)</f>
        <v>#REF!</v>
      </c>
      <c r="NB19" s="7" t="e">
        <f aca="false">IF(OR(#REF!&gt;2,#REF!&lt;-2),"",#REF!)</f>
        <v>#REF!</v>
      </c>
      <c r="NC19" s="7" t="e">
        <f aca="false">IF(OR(#REF!&gt;2,#REF!&lt;-2),"",#REF!)</f>
        <v>#REF!</v>
      </c>
      <c r="ND19" s="7" t="e">
        <f aca="false">IF(OR(#REF!&gt;2,#REF!&lt;-2),"",#REF!)</f>
        <v>#REF!</v>
      </c>
      <c r="NE19" s="7" t="e">
        <f aca="false">IF(OR(#REF!&gt;2,#REF!&lt;-2),"",#REF!)</f>
        <v>#REF!</v>
      </c>
      <c r="NF19" s="7" t="e">
        <f aca="false">IF(OR(#REF!&gt;2,#REF!&lt;-2),"",#REF!)</f>
        <v>#REF!</v>
      </c>
      <c r="NG19" s="7" t="e">
        <f aca="false">IF(OR(#REF!&gt;2,#REF!&lt;-2),"",#REF!)</f>
        <v>#REF!</v>
      </c>
      <c r="NH19" s="7" t="e">
        <f aca="false">IF(OR(#REF!&gt;2,#REF!&lt;-2),"",#REF!)</f>
        <v>#REF!</v>
      </c>
      <c r="NI19" s="7" t="e">
        <f aca="false">IF(OR(#REF!&gt;2,#REF!&lt;-2),"",#REF!)</f>
        <v>#REF!</v>
      </c>
      <c r="NJ19" s="7" t="e">
        <f aca="false">IF(OR(#REF!&gt;2,#REF!&lt;-2),"",#REF!)</f>
        <v>#REF!</v>
      </c>
      <c r="NK19" s="7" t="e">
        <f aca="false">IF(OR(#REF!&gt;2,#REF!&lt;-2),"",#REF!)</f>
        <v>#REF!</v>
      </c>
      <c r="NL19" s="7" t="e">
        <f aca="false">IF(OR(#REF!&gt;2,#REF!&lt;-2),"",#REF!)</f>
        <v>#REF!</v>
      </c>
      <c r="NM19" s="7" t="e">
        <f aca="false">IF(OR(#REF!&gt;2,#REF!&lt;-2),"",#REF!)</f>
        <v>#REF!</v>
      </c>
      <c r="NN19" s="7" t="e">
        <f aca="false">IF(OR(#REF!&gt;2,#REF!&lt;-2),"",#REF!)</f>
        <v>#REF!</v>
      </c>
      <c r="NO19" s="7" t="e">
        <f aca="false">IF(OR(#REF!&gt;2,#REF!&lt;-2),"",#REF!)</f>
        <v>#REF!</v>
      </c>
      <c r="NP19" s="7" t="e">
        <f aca="false">IF(OR(#REF!&gt;2,#REF!&lt;-2),"",#REF!)</f>
        <v>#REF!</v>
      </c>
      <c r="NQ19" s="7" t="e">
        <f aca="false">IF(OR(#REF!&gt;2,#REF!&lt;-2),"",#REF!)</f>
        <v>#REF!</v>
      </c>
      <c r="NR19" s="7" t="e">
        <f aca="false">IF(OR(#REF!&gt;2,#REF!&lt;-2),"",#REF!)</f>
        <v>#REF!</v>
      </c>
      <c r="NS19" s="7" t="e">
        <f aca="false">IF(OR(#REF!&gt;2,#REF!&lt;-2),"",#REF!)</f>
        <v>#REF!</v>
      </c>
      <c r="NT19" s="7" t="e">
        <f aca="false">IF(OR(#REF!&gt;2,#REF!&lt;-2),"",#REF!)</f>
        <v>#REF!</v>
      </c>
      <c r="NU19" s="7" t="e">
        <f aca="false">IF(OR(#REF!&gt;2,#REF!&lt;-2),"",#REF!)</f>
        <v>#REF!</v>
      </c>
      <c r="NV19" s="7" t="e">
        <f aca="false">IF(OR(#REF!&gt;2,#REF!&lt;-2),"",#REF!)</f>
        <v>#REF!</v>
      </c>
      <c r="NW19" s="7" t="e">
        <f aca="false">IF(OR(#REF!&gt;2,#REF!&lt;-2),"",#REF!)</f>
        <v>#REF!</v>
      </c>
      <c r="NX19" s="7" t="e">
        <f aca="false">IF(OR(#REF!&gt;2,#REF!&lt;-2),"",#REF!)</f>
        <v>#REF!</v>
      </c>
      <c r="NY19" s="7" t="e">
        <f aca="false">IF(OR(#REF!&gt;2,#REF!&lt;-2),"",#REF!)</f>
        <v>#REF!</v>
      </c>
      <c r="NZ19" s="7" t="e">
        <f aca="false">IF(OR(#REF!&gt;2,#REF!&lt;-2),"",#REF!)</f>
        <v>#REF!</v>
      </c>
      <c r="OA19" s="7" t="e">
        <f aca="false">IF(OR(#REF!&gt;2,#REF!&lt;-2),"",#REF!)</f>
        <v>#REF!</v>
      </c>
      <c r="OB19" s="7" t="e">
        <f aca="false">IF(OR(#REF!&gt;2,#REF!&lt;-2),"",#REF!)</f>
        <v>#REF!</v>
      </c>
      <c r="OC19" s="7" t="e">
        <f aca="false">IF(OR(#REF!&gt;2,#REF!&lt;-2),"",#REF!)</f>
        <v>#REF!</v>
      </c>
      <c r="OD19" s="7" t="e">
        <f aca="false">IF(OR(#REF!&gt;2,#REF!&lt;-2),"",#REF!)</f>
        <v>#REF!</v>
      </c>
      <c r="OE19" s="7" t="e">
        <f aca="false">IF(OR(#REF!&gt;2,#REF!&lt;-2),"",#REF!)</f>
        <v>#REF!</v>
      </c>
      <c r="OF19" s="7" t="e">
        <f aca="false">IF(OR(#REF!&gt;2,#REF!&lt;-2),"",#REF!)</f>
        <v>#REF!</v>
      </c>
      <c r="OG19" s="7" t="e">
        <f aca="false">IF(OR(#REF!&gt;2,#REF!&lt;-2),"",#REF!)</f>
        <v>#REF!</v>
      </c>
      <c r="OH19" s="7" t="e">
        <f aca="false">IF(OR(#REF!&gt;2,#REF!&lt;-2),"",#REF!)</f>
        <v>#REF!</v>
      </c>
      <c r="OI19" s="7" t="e">
        <f aca="false">IF(OR(#REF!&gt;2,#REF!&lt;-2),"",#REF!)</f>
        <v>#REF!</v>
      </c>
      <c r="OJ19" s="7" t="e">
        <f aca="false">IF(OR(#REF!&gt;2,#REF!&lt;-2),"",#REF!)</f>
        <v>#REF!</v>
      </c>
      <c r="OK19" s="7" t="e">
        <f aca="false">IF(OR(#REF!&gt;2,#REF!&lt;-2),"",#REF!)</f>
        <v>#REF!</v>
      </c>
      <c r="OL19" s="7" t="e">
        <f aca="false">IF(OR(#REF!&gt;2,#REF!&lt;-2),"",#REF!)</f>
        <v>#REF!</v>
      </c>
      <c r="OM19" s="7" t="e">
        <f aca="false">IF(OR(#REF!&gt;2,#REF!&lt;-2),"",#REF!)</f>
        <v>#REF!</v>
      </c>
      <c r="ON19" s="7" t="e">
        <f aca="false">IF(OR(#REF!&gt;2,#REF!&lt;-2),"",#REF!)</f>
        <v>#REF!</v>
      </c>
      <c r="OO19" s="7" t="e">
        <f aca="false">IF(OR(#REF!&gt;2,#REF!&lt;-2),"",#REF!)</f>
        <v>#REF!</v>
      </c>
      <c r="OP19" s="7" t="e">
        <f aca="false">IF(OR(#REF!&gt;2,#REF!&lt;-2),"",#REF!)</f>
        <v>#REF!</v>
      </c>
      <c r="OQ19" s="7" t="e">
        <f aca="false">IF(OR(#REF!&gt;2,#REF!&lt;-2),"",#REF!)</f>
        <v>#REF!</v>
      </c>
      <c r="OR19" s="7" t="e">
        <f aca="false">IF(OR(#REF!&gt;2,#REF!&lt;-2),"",#REF!)</f>
        <v>#REF!</v>
      </c>
      <c r="OS19" s="7" t="e">
        <f aca="false">IF(OR(#REF!&gt;2,#REF!&lt;-2),"",#REF!)</f>
        <v>#REF!</v>
      </c>
      <c r="OT19" s="7" t="e">
        <f aca="false">IF(OR(#REF!&gt;2,#REF!&lt;-2),"",#REF!)</f>
        <v>#REF!</v>
      </c>
      <c r="OU19" s="7" t="e">
        <f aca="false">IF(OR(#REF!&gt;2,#REF!&lt;-2),"",#REF!)</f>
        <v>#REF!</v>
      </c>
      <c r="OV19" s="7" t="e">
        <f aca="false">IF(OR(#REF!&gt;2,#REF!&lt;-2),"",#REF!)</f>
        <v>#REF!</v>
      </c>
      <c r="OW19" s="7" t="e">
        <f aca="false">IF(OR(#REF!&gt;2,#REF!&lt;-2),"",#REF!)</f>
        <v>#REF!</v>
      </c>
      <c r="OX19" s="7" t="e">
        <f aca="false">IF(OR(#REF!&gt;2,#REF!&lt;-2),"",#REF!)</f>
        <v>#REF!</v>
      </c>
      <c r="OY19" s="7" t="e">
        <f aca="false">IF(OR(#REF!&gt;2,#REF!&lt;-2),"",#REF!)</f>
        <v>#REF!</v>
      </c>
      <c r="OZ19" s="7" t="e">
        <f aca="false">IF(OR(#REF!&gt;2,#REF!&lt;-2),"",#REF!)</f>
        <v>#REF!</v>
      </c>
      <c r="PA19" s="7" t="e">
        <f aca="false">IF(OR(#REF!&gt;2,#REF!&lt;-2),"",#REF!)</f>
        <v>#REF!</v>
      </c>
      <c r="PB19" s="7" t="e">
        <f aca="false">IF(OR(#REF!&gt;2,#REF!&lt;-2),"",#REF!)</f>
        <v>#REF!</v>
      </c>
      <c r="PC19" s="7" t="e">
        <f aca="false">IF(OR(#REF!&gt;2,#REF!&lt;-2),"",#REF!)</f>
        <v>#REF!</v>
      </c>
      <c r="PD19" s="7" t="e">
        <f aca="false">IF(OR(#REF!&gt;2,#REF!&lt;-2),"",#REF!)</f>
        <v>#REF!</v>
      </c>
      <c r="PE19" s="7" t="e">
        <f aca="false">IF(OR(#REF!&gt;2,#REF!&lt;-2),"",#REF!)</f>
        <v>#REF!</v>
      </c>
      <c r="PF19" s="7" t="e">
        <f aca="false">IF(OR(#REF!&gt;2,#REF!&lt;-2),"",#REF!)</f>
        <v>#REF!</v>
      </c>
      <c r="PG19" s="7" t="e">
        <f aca="false">IF(OR(#REF!&gt;2,#REF!&lt;-2),"",#REF!)</f>
        <v>#REF!</v>
      </c>
      <c r="PH19" s="7" t="e">
        <f aca="false">IF(OR(#REF!&gt;2,#REF!&lt;-2),"",#REF!)</f>
        <v>#REF!</v>
      </c>
      <c r="PI19" s="7" t="e">
        <f aca="false">IF(OR(#REF!&gt;2,#REF!&lt;-2),"",#REF!)</f>
        <v>#REF!</v>
      </c>
      <c r="PJ19" s="7" t="e">
        <f aca="false">IF(OR(#REF!&gt;2,#REF!&lt;-2),"",#REF!)</f>
        <v>#REF!</v>
      </c>
      <c r="PK19" s="7" t="e">
        <f aca="false">IF(OR(#REF!&gt;2,#REF!&lt;-2),"",#REF!)</f>
        <v>#REF!</v>
      </c>
      <c r="PL19" s="7" t="e">
        <f aca="false">IF(OR(#REF!&gt;2,#REF!&lt;-2),"",#REF!)</f>
        <v>#REF!</v>
      </c>
      <c r="PM19" s="7" t="e">
        <f aca="false">IF(OR(#REF!&gt;2,#REF!&lt;-2),"",#REF!)</f>
        <v>#REF!</v>
      </c>
      <c r="PN19" s="7" t="e">
        <f aca="false">IF(OR(#REF!&gt;2,#REF!&lt;-2),"",#REF!)</f>
        <v>#REF!</v>
      </c>
      <c r="PO19" s="7" t="e">
        <f aca="false">IF(OR(#REF!&gt;2,#REF!&lt;-2),"",#REF!)</f>
        <v>#REF!</v>
      </c>
      <c r="PP19" s="7" t="e">
        <f aca="false">IF(OR(#REF!&gt;2,#REF!&lt;-2),"",#REF!)</f>
        <v>#REF!</v>
      </c>
      <c r="PQ19" s="7" t="e">
        <f aca="false">IF(OR(#REF!&gt;2,#REF!&lt;-2),"",#REF!)</f>
        <v>#REF!</v>
      </c>
      <c r="PR19" s="7" t="e">
        <f aca="false">IF(OR(#REF!&gt;2,#REF!&lt;-2),"",#REF!)</f>
        <v>#REF!</v>
      </c>
      <c r="PS19" s="7" t="e">
        <f aca="false">IF(OR(#REF!&gt;2,#REF!&lt;-2),"",#REF!)</f>
        <v>#REF!</v>
      </c>
      <c r="PT19" s="7" t="e">
        <f aca="false">IF(OR(#REF!&gt;2,#REF!&lt;-2),"",#REF!)</f>
        <v>#REF!</v>
      </c>
      <c r="PU19" s="7" t="e">
        <f aca="false">IF(OR(#REF!&gt;2,#REF!&lt;-2),"",#REF!)</f>
        <v>#REF!</v>
      </c>
      <c r="PV19" s="7" t="e">
        <f aca="false">IF(OR(#REF!&gt;2,#REF!&lt;-2),"",#REF!)</f>
        <v>#REF!</v>
      </c>
      <c r="PW19" s="7" t="e">
        <f aca="false">IF(OR(#REF!&gt;2,#REF!&lt;-2),"",#REF!)</f>
        <v>#REF!</v>
      </c>
      <c r="PX19" s="7" t="e">
        <f aca="false">IF(OR(#REF!&gt;2,#REF!&lt;-2),"",#REF!)</f>
        <v>#REF!</v>
      </c>
      <c r="PY19" s="7" t="e">
        <f aca="false">IF(OR(#REF!&gt;2,#REF!&lt;-2),"",#REF!)</f>
        <v>#REF!</v>
      </c>
      <c r="PZ19" s="7" t="e">
        <f aca="false">IF(OR(#REF!&gt;2,#REF!&lt;-2),"",#REF!)</f>
        <v>#REF!</v>
      </c>
      <c r="QA19" s="7" t="e">
        <f aca="false">IF(OR(#REF!&gt;2,#REF!&lt;-2),"",#REF!)</f>
        <v>#REF!</v>
      </c>
      <c r="QB19" s="7" t="e">
        <f aca="false">IF(OR(#REF!&gt;2,#REF!&lt;-2),"",#REF!)</f>
        <v>#REF!</v>
      </c>
      <c r="QC19" s="7" t="e">
        <f aca="false">IF(OR(#REF!&gt;2,#REF!&lt;-2),"",#REF!)</f>
        <v>#REF!</v>
      </c>
      <c r="QD19" s="7" t="e">
        <f aca="false">IF(OR(#REF!&gt;2,#REF!&lt;-2),"",#REF!)</f>
        <v>#REF!</v>
      </c>
      <c r="QE19" s="7" t="e">
        <f aca="false">IF(OR(#REF!&gt;2,#REF!&lt;-2),"",#REF!)</f>
        <v>#REF!</v>
      </c>
      <c r="QF19" s="7" t="e">
        <f aca="false">IF(OR(#REF!&gt;2,#REF!&lt;-2),"",#REF!)</f>
        <v>#REF!</v>
      </c>
      <c r="QG19" s="7" t="e">
        <f aca="false">IF(OR(#REF!&gt;2,#REF!&lt;-2),"",#REF!)</f>
        <v>#REF!</v>
      </c>
      <c r="QH19" s="7" t="e">
        <f aca="false">IF(OR(#REF!&gt;2,#REF!&lt;-2),"",#REF!)</f>
        <v>#REF!</v>
      </c>
      <c r="QI19" s="7" t="e">
        <f aca="false">IF(OR(#REF!&gt;2,#REF!&lt;-2),"",#REF!)</f>
        <v>#REF!</v>
      </c>
      <c r="QJ19" s="7" t="e">
        <f aca="false">IF(OR(#REF!&gt;2,#REF!&lt;-2),"",#REF!)</f>
        <v>#REF!</v>
      </c>
      <c r="QK19" s="7" t="e">
        <f aca="false">IF(OR(#REF!&gt;2,#REF!&lt;-2),"",#REF!)</f>
        <v>#REF!</v>
      </c>
      <c r="QL19" s="7" t="e">
        <f aca="false">IF(OR(#REF!&gt;2,#REF!&lt;-2),"",#REF!)</f>
        <v>#REF!</v>
      </c>
      <c r="QM19" s="7" t="e">
        <f aca="false">IF(OR(#REF!&gt;2,#REF!&lt;-2),"",#REF!)</f>
        <v>#REF!</v>
      </c>
      <c r="QN19" s="7" t="e">
        <f aca="false">IF(OR(#REF!&gt;2,#REF!&lt;-2),"",#REF!)</f>
        <v>#REF!</v>
      </c>
      <c r="QO19" s="7" t="e">
        <f aca="false">IF(OR(#REF!&gt;2,#REF!&lt;-2),"",#REF!)</f>
        <v>#REF!</v>
      </c>
      <c r="QP19" s="7" t="e">
        <f aca="false">IF(OR(#REF!&gt;2,#REF!&lt;-2),"",#REF!)</f>
        <v>#REF!</v>
      </c>
      <c r="QQ19" s="7" t="e">
        <f aca="false">IF(OR(#REF!&gt;2,#REF!&lt;-2),"",#REF!)</f>
        <v>#REF!</v>
      </c>
      <c r="QR19" s="7" t="e">
        <f aca="false">IF(OR(#REF!&gt;2,#REF!&lt;-2),"",#REF!)</f>
        <v>#REF!</v>
      </c>
      <c r="QS19" s="7" t="e">
        <f aca="false">IF(OR(#REF!&gt;2,#REF!&lt;-2),"",#REF!)</f>
        <v>#REF!</v>
      </c>
      <c r="QT19" s="7" t="e">
        <f aca="false">IF(OR(#REF!&gt;2,#REF!&lt;-2),"",#REF!)</f>
        <v>#REF!</v>
      </c>
      <c r="QU19" s="7" t="e">
        <f aca="false">IF(OR(#REF!&gt;2,#REF!&lt;-2),"",#REF!)</f>
        <v>#REF!</v>
      </c>
      <c r="QV19" s="7" t="e">
        <f aca="false">IF(OR(#REF!&gt;2,#REF!&lt;-2),"",#REF!)</f>
        <v>#REF!</v>
      </c>
      <c r="QW19" s="7" t="e">
        <f aca="false">IF(OR(#REF!&gt;2,#REF!&lt;-2),"",#REF!)</f>
        <v>#REF!</v>
      </c>
      <c r="QX19" s="7" t="e">
        <f aca="false">IF(OR(#REF!&gt;2,#REF!&lt;-2),"",#REF!)</f>
        <v>#REF!</v>
      </c>
      <c r="QY19" s="7" t="e">
        <f aca="false">IF(OR(#REF!&gt;2,#REF!&lt;-2),"",#REF!)</f>
        <v>#REF!</v>
      </c>
      <c r="QZ19" s="7" t="e">
        <f aca="false">IF(OR(#REF!&gt;2,#REF!&lt;-2),"",#REF!)</f>
        <v>#REF!</v>
      </c>
      <c r="RA19" s="7" t="e">
        <f aca="false">IF(OR(#REF!&gt;2,#REF!&lt;-2),"",#REF!)</f>
        <v>#REF!</v>
      </c>
      <c r="RB19" s="7" t="e">
        <f aca="false">IF(OR(#REF!&gt;2,#REF!&lt;-2),"",#REF!)</f>
        <v>#REF!</v>
      </c>
      <c r="RC19" s="7" t="e">
        <f aca="false">IF(OR(#REF!&gt;2,#REF!&lt;-2),"",#REF!)</f>
        <v>#REF!</v>
      </c>
      <c r="RD19" s="7" t="e">
        <f aca="false">IF(OR(#REF!&gt;2,#REF!&lt;-2),"",#REF!)</f>
        <v>#REF!</v>
      </c>
      <c r="RE19" s="7" t="e">
        <f aca="false">IF(OR(#REF!&gt;2,#REF!&lt;-2),"",#REF!)</f>
        <v>#REF!</v>
      </c>
      <c r="RF19" s="7" t="e">
        <f aca="false">IF(OR(#REF!&gt;2,#REF!&lt;-2),"",#REF!)</f>
        <v>#REF!</v>
      </c>
      <c r="RG19" s="7" t="e">
        <f aca="false">IF(OR(#REF!&gt;2,#REF!&lt;-2),"",#REF!)</f>
        <v>#REF!</v>
      </c>
      <c r="RH19" s="7" t="e">
        <f aca="false">IF(OR(#REF!&gt;2,#REF!&lt;-2),"",#REF!)</f>
        <v>#REF!</v>
      </c>
      <c r="RI19" s="7" t="e">
        <f aca="false">IF(OR(#REF!&gt;2,#REF!&lt;-2),"",#REF!)</f>
        <v>#REF!</v>
      </c>
      <c r="RJ19" s="7" t="e">
        <f aca="false">IF(OR(#REF!&gt;2,#REF!&lt;-2),"",#REF!)</f>
        <v>#REF!</v>
      </c>
      <c r="RK19" s="7" t="e">
        <f aca="false">IF(OR(#REF!&gt;2,#REF!&lt;-2),"",#REF!)</f>
        <v>#REF!</v>
      </c>
      <c r="RL19" s="7" t="e">
        <f aca="false">IF(OR(#REF!&gt;2,#REF!&lt;-2),"",#REF!)</f>
        <v>#REF!</v>
      </c>
      <c r="RM19" s="7" t="e">
        <f aca="false">IF(OR(#REF!&gt;2,#REF!&lt;-2),"",#REF!)</f>
        <v>#REF!</v>
      </c>
      <c r="RN19" s="7" t="e">
        <f aca="false">IF(OR(#REF!&gt;2,#REF!&lt;-2),"",#REF!)</f>
        <v>#REF!</v>
      </c>
      <c r="RO19" s="7" t="e">
        <f aca="false">IF(OR(#REF!&gt;2,#REF!&lt;-2),"",#REF!)</f>
        <v>#REF!</v>
      </c>
      <c r="RP19" s="7" t="e">
        <f aca="false">IF(OR(#REF!&gt;2,#REF!&lt;-2),"",#REF!)</f>
        <v>#REF!</v>
      </c>
      <c r="RQ19" s="7" t="e">
        <f aca="false">IF(OR(#REF!&gt;2,#REF!&lt;-2),"",#REF!)</f>
        <v>#REF!</v>
      </c>
      <c r="RR19" s="7" t="e">
        <f aca="false">IF(OR(#REF!&gt;2,#REF!&lt;-2),"",#REF!)</f>
        <v>#REF!</v>
      </c>
      <c r="RS19" s="7" t="e">
        <f aca="false">IF(OR(#REF!&gt;2,#REF!&lt;-2),"",#REF!)</f>
        <v>#REF!</v>
      </c>
      <c r="RT19" s="7" t="e">
        <f aca="false">IF(OR(#REF!&gt;2,#REF!&lt;-2),"",#REF!)</f>
        <v>#REF!</v>
      </c>
      <c r="RU19" s="7" t="e">
        <f aca="false">IF(OR(#REF!&gt;2,#REF!&lt;-2),"",#REF!)</f>
        <v>#REF!</v>
      </c>
      <c r="RV19" s="7" t="e">
        <f aca="false">IF(OR(#REF!&gt;2,#REF!&lt;-2),"",#REF!)</f>
        <v>#REF!</v>
      </c>
      <c r="RW19" s="7" t="e">
        <f aca="false">IF(OR(#REF!&gt;2,#REF!&lt;-2),"",#REF!)</f>
        <v>#REF!</v>
      </c>
      <c r="RX19" s="7" t="e">
        <f aca="false">IF(OR(#REF!&gt;2,#REF!&lt;-2),"",#REF!)</f>
        <v>#REF!</v>
      </c>
      <c r="RY19" s="7" t="e">
        <f aca="false">IF(OR(#REF!&gt;2,#REF!&lt;-2),"",#REF!)</f>
        <v>#REF!</v>
      </c>
      <c r="RZ19" s="7" t="e">
        <f aca="false">IF(OR(#REF!&gt;2,#REF!&lt;-2),"",#REF!)</f>
        <v>#REF!</v>
      </c>
      <c r="SA19" s="7" t="e">
        <f aca="false">IF(OR(#REF!&gt;2,#REF!&lt;-2),"",#REF!)</f>
        <v>#REF!</v>
      </c>
      <c r="SB19" s="7" t="e">
        <f aca="false">IF(OR(#REF!&gt;2,#REF!&lt;-2),"",#REF!)</f>
        <v>#REF!</v>
      </c>
      <c r="SC19" s="7" t="e">
        <f aca="false">IF(OR(#REF!&gt;2,#REF!&lt;-2),"",#REF!)</f>
        <v>#REF!</v>
      </c>
      <c r="SD19" s="7" t="e">
        <f aca="false">IF(OR(#REF!&gt;2,#REF!&lt;-2),"",#REF!)</f>
        <v>#REF!</v>
      </c>
      <c r="SE19" s="7" t="e">
        <f aca="false">IF(OR(#REF!&gt;2,#REF!&lt;-2),"",#REF!)</f>
        <v>#REF!</v>
      </c>
      <c r="SF19" s="7" t="e">
        <f aca="false">IF(OR(#REF!&gt;2,#REF!&lt;-2),"",#REF!)</f>
        <v>#REF!</v>
      </c>
      <c r="SG19" s="7" t="e">
        <f aca="false">IF(OR(#REF!&gt;2,#REF!&lt;-2),"",#REF!)</f>
        <v>#REF!</v>
      </c>
      <c r="SH19" s="7" t="e">
        <f aca="false">IF(OR(#REF!&gt;2,#REF!&lt;-2),"",#REF!)</f>
        <v>#REF!</v>
      </c>
      <c r="SI19" s="7" t="e">
        <f aca="false">IF(OR(#REF!&gt;2,#REF!&lt;-2),"",#REF!)</f>
        <v>#REF!</v>
      </c>
      <c r="SJ19" s="7" t="e">
        <f aca="false">IF(OR(#REF!&gt;2,#REF!&lt;-2),"",#REF!)</f>
        <v>#REF!</v>
      </c>
      <c r="SK19" s="7" t="e">
        <f aca="false">IF(OR(#REF!&gt;2,#REF!&lt;-2),"",#REF!)</f>
        <v>#REF!</v>
      </c>
      <c r="SL19" s="7" t="e">
        <f aca="false">IF(OR(#REF!&gt;2,#REF!&lt;-2),"",#REF!)</f>
        <v>#REF!</v>
      </c>
      <c r="SM19" s="7" t="e">
        <f aca="false">IF(OR(#REF!&gt;2,#REF!&lt;-2),"",#REF!)</f>
        <v>#REF!</v>
      </c>
      <c r="SN19" s="7" t="e">
        <f aca="false">IF(OR(#REF!&gt;2,#REF!&lt;-2),"",#REF!)</f>
        <v>#REF!</v>
      </c>
      <c r="SO19" s="7" t="e">
        <f aca="false">IF(OR(#REF!&gt;2,#REF!&lt;-2),"",#REF!)</f>
        <v>#REF!</v>
      </c>
      <c r="SP19" s="7" t="e">
        <f aca="false">IF(OR(#REF!&gt;2,#REF!&lt;-2),"",#REF!)</f>
        <v>#REF!</v>
      </c>
      <c r="SQ19" s="7" t="e">
        <f aca="false">IF(OR(#REF!&gt;2,#REF!&lt;-2),"",#REF!)</f>
        <v>#REF!</v>
      </c>
      <c r="SR19" s="7" t="e">
        <f aca="false">IF(OR(#REF!&gt;2,#REF!&lt;-2),"",#REF!)</f>
        <v>#REF!</v>
      </c>
      <c r="SS19" s="7" t="e">
        <f aca="false">IF(OR(#REF!&gt;2,#REF!&lt;-2),"",#REF!)</f>
        <v>#REF!</v>
      </c>
      <c r="ST19" s="7" t="e">
        <f aca="false">IF(OR(#REF!&gt;2,#REF!&lt;-2),"",#REF!)</f>
        <v>#REF!</v>
      </c>
      <c r="SU19" s="7" t="e">
        <f aca="false">IF(OR(#REF!&gt;2,#REF!&lt;-2),"",#REF!)</f>
        <v>#REF!</v>
      </c>
      <c r="SV19" s="7" t="e">
        <f aca="false">IF(OR(#REF!&gt;2,#REF!&lt;-2),"",#REF!)</f>
        <v>#REF!</v>
      </c>
      <c r="SW19" s="7" t="e">
        <f aca="false">IF(OR(#REF!&gt;2,#REF!&lt;-2),"",#REF!)</f>
        <v>#REF!</v>
      </c>
      <c r="SX19" s="7" t="e">
        <f aca="false">IF(OR(#REF!&gt;2,#REF!&lt;-2),"",#REF!)</f>
        <v>#REF!</v>
      </c>
      <c r="SY19" s="7" t="e">
        <f aca="false">IF(OR(#REF!&gt;2,#REF!&lt;-2),"",#REF!)</f>
        <v>#REF!</v>
      </c>
      <c r="SZ19" s="7" t="e">
        <f aca="false">IF(OR(#REF!&gt;2,#REF!&lt;-2),"",#REF!)</f>
        <v>#REF!</v>
      </c>
      <c r="TA19" s="7" t="e">
        <f aca="false">IF(OR(#REF!&gt;2,#REF!&lt;-2),"",#REF!)</f>
        <v>#REF!</v>
      </c>
      <c r="TB19" s="7" t="e">
        <f aca="false">IF(OR(#REF!&gt;2,#REF!&lt;-2),"",#REF!)</f>
        <v>#REF!</v>
      </c>
      <c r="TC19" s="7" t="e">
        <f aca="false">IF(OR(#REF!&gt;2,#REF!&lt;-2),"",#REF!)</f>
        <v>#REF!</v>
      </c>
      <c r="TD19" s="7" t="e">
        <f aca="false">IF(OR(#REF!&gt;2,#REF!&lt;-2),"",#REF!)</f>
        <v>#REF!</v>
      </c>
      <c r="TE19" s="7" t="e">
        <f aca="false">IF(OR(#REF!&gt;2,#REF!&lt;-2),"",#REF!)</f>
        <v>#REF!</v>
      </c>
      <c r="TF19" s="7" t="e">
        <f aca="false">IF(OR(#REF!&gt;2,#REF!&lt;-2),"",#REF!)</f>
        <v>#REF!</v>
      </c>
      <c r="TG19" s="7" t="e">
        <f aca="false">IF(OR(#REF!&gt;2,#REF!&lt;-2),"",#REF!)</f>
        <v>#REF!</v>
      </c>
      <c r="TH19" s="7" t="e">
        <f aca="false">IF(OR(#REF!&gt;2,#REF!&lt;-2),"",#REF!)</f>
        <v>#REF!</v>
      </c>
      <c r="TI19" s="7" t="e">
        <f aca="false">IF(OR(#REF!&gt;2,#REF!&lt;-2),"",#REF!)</f>
        <v>#REF!</v>
      </c>
      <c r="TJ19" s="7" t="e">
        <f aca="false">IF(OR(#REF!&gt;2,#REF!&lt;-2),"",#REF!)</f>
        <v>#REF!</v>
      </c>
      <c r="TK19" s="7" t="e">
        <f aca="false">IF(OR(#REF!&gt;2,#REF!&lt;-2),"",#REF!)</f>
        <v>#REF!</v>
      </c>
      <c r="TL19" s="7" t="e">
        <f aca="false">IF(OR(#REF!&gt;2,#REF!&lt;-2),"",#REF!)</f>
        <v>#REF!</v>
      </c>
      <c r="TM19" s="7" t="e">
        <f aca="false">IF(OR(#REF!&gt;2,#REF!&lt;-2),"",#REF!)</f>
        <v>#REF!</v>
      </c>
      <c r="TN19" s="7" t="e">
        <f aca="false">IF(OR(#REF!&gt;2,#REF!&lt;-2),"",#REF!)</f>
        <v>#REF!</v>
      </c>
      <c r="TO19" s="7" t="e">
        <f aca="false">IF(OR(#REF!&gt;2,#REF!&lt;-2),"",#REF!)</f>
        <v>#REF!</v>
      </c>
      <c r="TP19" s="7" t="e">
        <f aca="false">IF(OR(#REF!&gt;2,#REF!&lt;-2),"",#REF!)</f>
        <v>#REF!</v>
      </c>
      <c r="TQ19" s="7" t="e">
        <f aca="false">IF(OR(#REF!&gt;2,#REF!&lt;-2),"",#REF!)</f>
        <v>#REF!</v>
      </c>
      <c r="TR19" s="7" t="e">
        <f aca="false">IF(OR(#REF!&gt;2,#REF!&lt;-2),"",#REF!)</f>
        <v>#REF!</v>
      </c>
      <c r="TS19" s="7" t="e">
        <f aca="false">IF(OR(#REF!&gt;2,#REF!&lt;-2),"",#REF!)</f>
        <v>#REF!</v>
      </c>
      <c r="TT19" s="7" t="e">
        <f aca="false">IF(OR(#REF!&gt;2,#REF!&lt;-2),"",#REF!)</f>
        <v>#REF!</v>
      </c>
      <c r="TU19" s="7" t="e">
        <f aca="false">IF(OR(#REF!&gt;2,#REF!&lt;-2),"",#REF!)</f>
        <v>#REF!</v>
      </c>
      <c r="TV19" s="7" t="e">
        <f aca="false">IF(OR(#REF!&gt;2,#REF!&lt;-2),"",#REF!)</f>
        <v>#REF!</v>
      </c>
      <c r="TW19" s="7" t="e">
        <f aca="false">IF(OR(#REF!&gt;2,#REF!&lt;-2),"",#REF!)</f>
        <v>#REF!</v>
      </c>
      <c r="TX19" s="7" t="e">
        <f aca="false">IF(OR(#REF!&gt;2,#REF!&lt;-2),"",#REF!)</f>
        <v>#REF!</v>
      </c>
      <c r="TY19" s="7" t="e">
        <f aca="false">IF(OR(#REF!&gt;2,#REF!&lt;-2),"",#REF!)</f>
        <v>#REF!</v>
      </c>
      <c r="TZ19" s="7" t="e">
        <f aca="false">IF(OR(#REF!&gt;2,#REF!&lt;-2),"",#REF!)</f>
        <v>#REF!</v>
      </c>
      <c r="UA19" s="7" t="e">
        <f aca="false">IF(OR(#REF!&gt;2,#REF!&lt;-2),"",#REF!)</f>
        <v>#REF!</v>
      </c>
      <c r="UB19" s="7" t="e">
        <f aca="false">IF(OR(#REF!&gt;2,#REF!&lt;-2),"",#REF!)</f>
        <v>#REF!</v>
      </c>
      <c r="UC19" s="7" t="e">
        <f aca="false">IF(OR(#REF!&gt;2,#REF!&lt;-2),"",#REF!)</f>
        <v>#REF!</v>
      </c>
      <c r="UD19" s="7" t="e">
        <f aca="false">IF(OR(#REF!&gt;2,#REF!&lt;-2),"",#REF!)</f>
        <v>#REF!</v>
      </c>
      <c r="UE19" s="7" t="e">
        <f aca="false">IF(OR(#REF!&gt;2,#REF!&lt;-2),"",#REF!)</f>
        <v>#REF!</v>
      </c>
      <c r="UF19" s="7" t="e">
        <f aca="false">IF(OR(#REF!&gt;2,#REF!&lt;-2),"",#REF!)</f>
        <v>#REF!</v>
      </c>
      <c r="UG19" s="7" t="e">
        <f aca="false">IF(OR(#REF!&gt;2,#REF!&lt;-2),"",#REF!)</f>
        <v>#REF!</v>
      </c>
      <c r="UH19" s="7" t="e">
        <f aca="false">IF(OR(#REF!&gt;2,#REF!&lt;-2),"",#REF!)</f>
        <v>#REF!</v>
      </c>
      <c r="UI19" s="7" t="e">
        <f aca="false">IF(OR(#REF!&gt;2,#REF!&lt;-2),"",#REF!)</f>
        <v>#REF!</v>
      </c>
      <c r="UJ19" s="7" t="e">
        <f aca="false">IF(OR(#REF!&gt;2,#REF!&lt;-2),"",#REF!)</f>
        <v>#REF!</v>
      </c>
      <c r="UK19" s="7" t="e">
        <f aca="false">IF(OR(#REF!&gt;2,#REF!&lt;-2),"",#REF!)</f>
        <v>#REF!</v>
      </c>
      <c r="UL19" s="7" t="e">
        <f aca="false">IF(OR(#REF!&gt;2,#REF!&lt;-2),"",#REF!)</f>
        <v>#REF!</v>
      </c>
      <c r="UM19" s="7" t="e">
        <f aca="false">IF(OR(#REF!&gt;2,#REF!&lt;-2),"",#REF!)</f>
        <v>#REF!</v>
      </c>
      <c r="UN19" s="7" t="e">
        <f aca="false">IF(OR(#REF!&gt;2,#REF!&lt;-2),"",#REF!)</f>
        <v>#REF!</v>
      </c>
      <c r="UO19" s="7" t="e">
        <f aca="false">IF(OR(#REF!&gt;2,#REF!&lt;-2),"",#REF!)</f>
        <v>#REF!</v>
      </c>
      <c r="UP19" s="7" t="e">
        <f aca="false">IF(OR(#REF!&gt;2,#REF!&lt;-2),"",#REF!)</f>
        <v>#REF!</v>
      </c>
    </row>
    <row r="20" customFormat="false" ht="14.5" hidden="false" customHeight="false" outlineLevel="0" collapsed="false">
      <c r="A20" s="0" t="n">
        <v>207</v>
      </c>
      <c r="B20" s="0" t="n">
        <v>1</v>
      </c>
      <c r="C20" s="7" t="e">
        <f aca="false">IF(OR(#REF!&gt;2,#REF!&lt;-2),"",#REF!)</f>
        <v>#REF!</v>
      </c>
      <c r="D20" s="7" t="e">
        <f aca="false">IF(OR(#REF!&gt;2,#REF!&lt;-2),"",#REF!)</f>
        <v>#REF!</v>
      </c>
      <c r="E20" s="7" t="e">
        <f aca="false">IF(OR(#REF!&gt;2,#REF!&lt;-2),"",#REF!)</f>
        <v>#REF!</v>
      </c>
      <c r="F20" s="7" t="e">
        <f aca="false">IF(OR(#REF!&gt;2,#REF!&lt;-2),"",#REF!)</f>
        <v>#REF!</v>
      </c>
      <c r="G20" s="7" t="e">
        <f aca="false">IF(OR(#REF!&gt;2,#REF!&lt;-2),"",#REF!)</f>
        <v>#REF!</v>
      </c>
      <c r="H20" s="7" t="e">
        <f aca="false">IF(OR(#REF!&gt;2,#REF!&lt;-2),"",#REF!)</f>
        <v>#REF!</v>
      </c>
      <c r="I20" s="7" t="e">
        <f aca="false">IF(OR(#REF!&gt;2,#REF!&lt;-2),"",#REF!)</f>
        <v>#REF!</v>
      </c>
      <c r="J20" s="7" t="e">
        <f aca="false">IF(OR(#REF!&gt;2,#REF!&lt;-2),"",#REF!)</f>
        <v>#REF!</v>
      </c>
      <c r="K20" s="7" t="e">
        <f aca="false">IF(OR(#REF!&gt;2,#REF!&lt;-2),"",#REF!)</f>
        <v>#REF!</v>
      </c>
      <c r="L20" s="7" t="e">
        <f aca="false">IF(OR(#REF!&gt;2,#REF!&lt;-2),"",#REF!)</f>
        <v>#REF!</v>
      </c>
      <c r="M20" s="7" t="e">
        <f aca="false">IF(OR(#REF!&gt;2,#REF!&lt;-2),"",#REF!)</f>
        <v>#REF!</v>
      </c>
      <c r="N20" s="7" t="e">
        <f aca="false">IF(OR(#REF!&gt;2,#REF!&lt;-2),"",#REF!)</f>
        <v>#REF!</v>
      </c>
      <c r="O20" s="7" t="e">
        <f aca="false">IF(OR(#REF!&gt;2,#REF!&lt;-2),"",#REF!)</f>
        <v>#REF!</v>
      </c>
      <c r="P20" s="7" t="e">
        <f aca="false">IF(OR(#REF!&gt;2,#REF!&lt;-2),"",#REF!)</f>
        <v>#REF!</v>
      </c>
      <c r="Q20" s="7" t="e">
        <f aca="false">IF(OR(#REF!&gt;2,#REF!&lt;-2),"",#REF!)</f>
        <v>#REF!</v>
      </c>
      <c r="R20" s="7" t="e">
        <f aca="false">IF(OR(#REF!&gt;2,#REF!&lt;-2),"",#REF!)</f>
        <v>#REF!</v>
      </c>
      <c r="S20" s="7" t="e">
        <f aca="false">IF(OR(#REF!&gt;2,#REF!&lt;-2),"",#REF!)</f>
        <v>#REF!</v>
      </c>
      <c r="T20" s="7" t="e">
        <f aca="false">IF(OR(#REF!&gt;2,#REF!&lt;-2),"",#REF!)</f>
        <v>#REF!</v>
      </c>
      <c r="U20" s="7" t="e">
        <f aca="false">IF(OR(#REF!&gt;2,#REF!&lt;-2),"",#REF!)</f>
        <v>#REF!</v>
      </c>
      <c r="V20" s="7" t="e">
        <f aca="false">IF(OR(#REF!&gt;2,#REF!&lt;-2),"",#REF!)</f>
        <v>#REF!</v>
      </c>
      <c r="W20" s="7" t="e">
        <f aca="false">IF(OR(#REF!&gt;2,#REF!&lt;-2),"",#REF!)</f>
        <v>#REF!</v>
      </c>
      <c r="X20" s="7" t="e">
        <f aca="false">IF(OR(#REF!&gt;2,#REF!&lt;-2),"",#REF!)</f>
        <v>#REF!</v>
      </c>
      <c r="Y20" s="7" t="e">
        <f aca="false">IF(OR(#REF!&gt;2,#REF!&lt;-2),"",#REF!)</f>
        <v>#REF!</v>
      </c>
      <c r="Z20" s="7" t="e">
        <f aca="false">IF(OR(#REF!&gt;2,#REF!&lt;-2),"",#REF!)</f>
        <v>#REF!</v>
      </c>
      <c r="AA20" s="7" t="e">
        <f aca="false">IF(OR(#REF!&gt;2,#REF!&lt;-2),"",#REF!)</f>
        <v>#REF!</v>
      </c>
      <c r="AB20" s="7" t="e">
        <f aca="false">IF(OR(#REF!&gt;2,#REF!&lt;-2),"",#REF!)</f>
        <v>#REF!</v>
      </c>
      <c r="AC20" s="7" t="e">
        <f aca="false">IF(OR(#REF!&gt;2,#REF!&lt;-2),"",#REF!)</f>
        <v>#REF!</v>
      </c>
      <c r="AD20" s="7" t="e">
        <f aca="false">IF(OR(#REF!&gt;2,#REF!&lt;-2),"",#REF!)</f>
        <v>#REF!</v>
      </c>
      <c r="AE20" s="7" t="e">
        <f aca="false">IF(OR(#REF!&gt;2,#REF!&lt;-2),"",#REF!)</f>
        <v>#REF!</v>
      </c>
      <c r="AF20" s="7" t="e">
        <f aca="false">IF(OR(#REF!&gt;2,#REF!&lt;-2),"",#REF!)</f>
        <v>#REF!</v>
      </c>
      <c r="AG20" s="7" t="e">
        <f aca="false">IF(OR(#REF!&gt;2,#REF!&lt;-2),"",#REF!)</f>
        <v>#REF!</v>
      </c>
      <c r="AH20" s="7" t="e">
        <f aca="false">IF(OR(#REF!&gt;2,#REF!&lt;-2),"",#REF!)</f>
        <v>#REF!</v>
      </c>
      <c r="AI20" s="7" t="e">
        <f aca="false">IF(OR(#REF!&gt;2,#REF!&lt;-2),"",#REF!)</f>
        <v>#REF!</v>
      </c>
      <c r="AJ20" s="7" t="e">
        <f aca="false">IF(OR(#REF!&gt;2,#REF!&lt;-2),"",#REF!)</f>
        <v>#REF!</v>
      </c>
      <c r="AK20" s="7" t="e">
        <f aca="false">IF(OR(#REF!&gt;2,#REF!&lt;-2),"",#REF!)</f>
        <v>#REF!</v>
      </c>
      <c r="AL20" s="7" t="e">
        <f aca="false">IF(OR(#REF!&gt;2,#REF!&lt;-2),"",#REF!)</f>
        <v>#REF!</v>
      </c>
      <c r="AM20" s="7" t="e">
        <f aca="false">IF(OR(#REF!&gt;2,#REF!&lt;-2),"",#REF!)</f>
        <v>#REF!</v>
      </c>
      <c r="AN20" s="7" t="e">
        <f aca="false">IF(OR(#REF!&gt;2,#REF!&lt;-2),"",#REF!)</f>
        <v>#REF!</v>
      </c>
      <c r="AO20" s="7" t="e">
        <f aca="false">IF(OR(#REF!&gt;2,#REF!&lt;-2),"",#REF!)</f>
        <v>#REF!</v>
      </c>
      <c r="AP20" s="7" t="e">
        <f aca="false">IF(OR(#REF!&gt;2,#REF!&lt;-2),"",#REF!)</f>
        <v>#REF!</v>
      </c>
      <c r="AQ20" s="7" t="e">
        <f aca="false">IF(OR(#REF!&gt;2,#REF!&lt;-2),"",#REF!)</f>
        <v>#REF!</v>
      </c>
      <c r="AR20" s="7" t="e">
        <f aca="false">IF(OR(#REF!&gt;2,#REF!&lt;-2),"",#REF!)</f>
        <v>#REF!</v>
      </c>
      <c r="AS20" s="7" t="e">
        <f aca="false">IF(OR(#REF!&gt;2,#REF!&lt;-2),"",#REF!)</f>
        <v>#REF!</v>
      </c>
      <c r="AT20" s="7" t="e">
        <f aca="false">IF(OR(#REF!&gt;2,#REF!&lt;-2),"",#REF!)</f>
        <v>#REF!</v>
      </c>
      <c r="AU20" s="7" t="e">
        <f aca="false">IF(OR(#REF!&gt;2,#REF!&lt;-2),"",#REF!)</f>
        <v>#REF!</v>
      </c>
      <c r="AV20" s="7" t="e">
        <f aca="false">IF(OR(#REF!&gt;2,#REF!&lt;-2),"",#REF!)</f>
        <v>#REF!</v>
      </c>
      <c r="AW20" s="7" t="e">
        <f aca="false">IF(OR(#REF!&gt;2,#REF!&lt;-2),"",#REF!)</f>
        <v>#REF!</v>
      </c>
      <c r="AX20" s="7" t="e">
        <f aca="false">IF(OR(#REF!&gt;2,#REF!&lt;-2),"",#REF!)</f>
        <v>#REF!</v>
      </c>
      <c r="AY20" s="7" t="e">
        <f aca="false">IF(OR(#REF!&gt;2,#REF!&lt;-2),"",#REF!)</f>
        <v>#REF!</v>
      </c>
      <c r="AZ20" s="7" t="e">
        <f aca="false">IF(OR(#REF!&gt;2,#REF!&lt;-2),"",#REF!)</f>
        <v>#REF!</v>
      </c>
      <c r="BA20" s="7" t="e">
        <f aca="false">IF(OR(#REF!&gt;2,#REF!&lt;-2),"",#REF!)</f>
        <v>#REF!</v>
      </c>
      <c r="BB20" s="7" t="e">
        <f aca="false">IF(OR(#REF!&gt;2,#REF!&lt;-2),"",#REF!)</f>
        <v>#REF!</v>
      </c>
      <c r="BC20" s="7" t="e">
        <f aca="false">IF(OR(#REF!&gt;2,#REF!&lt;-2),"",#REF!)</f>
        <v>#REF!</v>
      </c>
      <c r="BD20" s="7" t="e">
        <f aca="false">IF(OR(#REF!&gt;2,#REF!&lt;-2),"",#REF!)</f>
        <v>#REF!</v>
      </c>
      <c r="BE20" s="7" t="e">
        <f aca="false">IF(OR(#REF!&gt;2,#REF!&lt;-2),"",#REF!)</f>
        <v>#REF!</v>
      </c>
      <c r="BF20" s="7" t="e">
        <f aca="false">IF(OR(#REF!&gt;2,#REF!&lt;-2),"",#REF!)</f>
        <v>#REF!</v>
      </c>
      <c r="BG20" s="7" t="e">
        <f aca="false">IF(OR(#REF!&gt;2,#REF!&lt;-2),"",#REF!)</f>
        <v>#REF!</v>
      </c>
      <c r="BH20" s="7" t="e">
        <f aca="false">IF(OR(#REF!&gt;2,#REF!&lt;-2),"",#REF!)</f>
        <v>#REF!</v>
      </c>
      <c r="BI20" s="7" t="e">
        <f aca="false">IF(OR(#REF!&gt;2,#REF!&lt;-2),"",#REF!)</f>
        <v>#REF!</v>
      </c>
      <c r="BJ20" s="7" t="e">
        <f aca="false">IF(OR(#REF!&gt;2,#REF!&lt;-2),"",#REF!)</f>
        <v>#REF!</v>
      </c>
      <c r="BK20" s="7" t="e">
        <f aca="false">IF(OR(#REF!&gt;2,#REF!&lt;-2),"",#REF!)</f>
        <v>#REF!</v>
      </c>
      <c r="BL20" s="7" t="e">
        <f aca="false">IF(OR(#REF!&gt;2,#REF!&lt;-2),"",#REF!)</f>
        <v>#REF!</v>
      </c>
      <c r="BM20" s="7" t="e">
        <f aca="false">IF(OR(#REF!&gt;2,#REF!&lt;-2),"",#REF!)</f>
        <v>#REF!</v>
      </c>
      <c r="BN20" s="7" t="e">
        <f aca="false">IF(OR(#REF!&gt;2,#REF!&lt;-2),"",#REF!)</f>
        <v>#REF!</v>
      </c>
      <c r="BO20" s="7" t="e">
        <f aca="false">IF(OR(#REF!&gt;2,#REF!&lt;-2),"",#REF!)</f>
        <v>#REF!</v>
      </c>
      <c r="BP20" s="7" t="e">
        <f aca="false">IF(OR(#REF!&gt;2,#REF!&lt;-2),"",#REF!)</f>
        <v>#REF!</v>
      </c>
      <c r="BQ20" s="7" t="e">
        <f aca="false">IF(OR(#REF!&gt;2,#REF!&lt;-2),"",#REF!)</f>
        <v>#REF!</v>
      </c>
      <c r="BR20" s="7" t="e">
        <f aca="false">IF(OR(#REF!&gt;2,#REF!&lt;-2),"",#REF!)</f>
        <v>#REF!</v>
      </c>
      <c r="BS20" s="7" t="e">
        <f aca="false">IF(OR(#REF!&gt;2,#REF!&lt;-2),"",#REF!)</f>
        <v>#REF!</v>
      </c>
      <c r="BT20" s="7" t="e">
        <f aca="false">IF(OR(#REF!&gt;2,#REF!&lt;-2),"",#REF!)</f>
        <v>#REF!</v>
      </c>
      <c r="BU20" s="7" t="e">
        <f aca="false">IF(OR(#REF!&gt;2,#REF!&lt;-2),"",#REF!)</f>
        <v>#REF!</v>
      </c>
      <c r="BV20" s="7" t="e">
        <f aca="false">IF(OR(#REF!&gt;2,#REF!&lt;-2),"",#REF!)</f>
        <v>#REF!</v>
      </c>
      <c r="BW20" s="7" t="e">
        <f aca="false">IF(OR(#REF!&gt;2,#REF!&lt;-2),"",#REF!)</f>
        <v>#REF!</v>
      </c>
      <c r="BX20" s="7" t="e">
        <f aca="false">IF(OR(#REF!&gt;2,#REF!&lt;-2),"",#REF!)</f>
        <v>#REF!</v>
      </c>
      <c r="BY20" s="7" t="e">
        <f aca="false">IF(OR(#REF!&gt;2,#REF!&lt;-2),"",#REF!)</f>
        <v>#REF!</v>
      </c>
      <c r="BZ20" s="7" t="e">
        <f aca="false">IF(OR(#REF!&gt;2,#REF!&lt;-2),"",#REF!)</f>
        <v>#REF!</v>
      </c>
      <c r="CA20" s="7" t="e">
        <f aca="false">IF(OR(#REF!&gt;2,#REF!&lt;-2),"",#REF!)</f>
        <v>#REF!</v>
      </c>
      <c r="CB20" s="7" t="e">
        <f aca="false">IF(OR(#REF!&gt;2,#REF!&lt;-2),"",#REF!)</f>
        <v>#REF!</v>
      </c>
      <c r="CC20" s="7" t="e">
        <f aca="false">IF(OR(#REF!&gt;2,#REF!&lt;-2),"",#REF!)</f>
        <v>#REF!</v>
      </c>
      <c r="CD20" s="7" t="e">
        <f aca="false">IF(OR(#REF!&gt;2,#REF!&lt;-2),"",#REF!)</f>
        <v>#REF!</v>
      </c>
      <c r="CE20" s="7" t="e">
        <f aca="false">IF(OR(#REF!&gt;2,#REF!&lt;-2),"",#REF!)</f>
        <v>#REF!</v>
      </c>
      <c r="CF20" s="7" t="e">
        <f aca="false">IF(OR(#REF!&gt;2,#REF!&lt;-2),"",#REF!)</f>
        <v>#REF!</v>
      </c>
      <c r="CG20" s="7" t="e">
        <f aca="false">IF(OR(#REF!&gt;2,#REF!&lt;-2),"",#REF!)</f>
        <v>#REF!</v>
      </c>
      <c r="CH20" s="7" t="e">
        <f aca="false">IF(OR(#REF!&gt;2,#REF!&lt;-2),"",#REF!)</f>
        <v>#REF!</v>
      </c>
      <c r="CI20" s="7" t="e">
        <f aca="false">IF(OR(#REF!&gt;2,#REF!&lt;-2),"",#REF!)</f>
        <v>#REF!</v>
      </c>
      <c r="CJ20" s="7" t="e">
        <f aca="false">IF(OR(#REF!&gt;2,#REF!&lt;-2),"",#REF!)</f>
        <v>#REF!</v>
      </c>
      <c r="CK20" s="7" t="e">
        <f aca="false">IF(OR(#REF!&gt;2,#REF!&lt;-2),"",#REF!)</f>
        <v>#REF!</v>
      </c>
      <c r="CL20" s="7" t="e">
        <f aca="false">IF(OR(#REF!&gt;2,#REF!&lt;-2),"",#REF!)</f>
        <v>#REF!</v>
      </c>
      <c r="CM20" s="7" t="e">
        <f aca="false">IF(OR(#REF!&gt;2,#REF!&lt;-2),"",#REF!)</f>
        <v>#REF!</v>
      </c>
      <c r="CN20" s="7" t="e">
        <f aca="false">IF(OR(#REF!&gt;2,#REF!&lt;-2),"",#REF!)</f>
        <v>#REF!</v>
      </c>
      <c r="CO20" s="7" t="e">
        <f aca="false">IF(OR(#REF!&gt;2,#REF!&lt;-2),"",#REF!)</f>
        <v>#REF!</v>
      </c>
      <c r="CP20" s="7" t="e">
        <f aca="false">IF(OR(#REF!&gt;2,#REF!&lt;-2),"",#REF!)</f>
        <v>#REF!</v>
      </c>
      <c r="CQ20" s="7" t="e">
        <f aca="false">IF(OR(#REF!&gt;2,#REF!&lt;-2),"",#REF!)</f>
        <v>#REF!</v>
      </c>
      <c r="CR20" s="7" t="e">
        <f aca="false">IF(OR(#REF!&gt;2,#REF!&lt;-2),"",#REF!)</f>
        <v>#REF!</v>
      </c>
      <c r="CS20" s="7" t="e">
        <f aca="false">IF(OR(#REF!&gt;2,#REF!&lt;-2),"",#REF!)</f>
        <v>#REF!</v>
      </c>
      <c r="CT20" s="7" t="e">
        <f aca="false">IF(OR(#REF!&gt;2,#REF!&lt;-2),"",#REF!)</f>
        <v>#REF!</v>
      </c>
      <c r="CU20" s="7" t="e">
        <f aca="false">IF(OR(#REF!&gt;2,#REF!&lt;-2),"",#REF!)</f>
        <v>#REF!</v>
      </c>
      <c r="CV20" s="7" t="e">
        <f aca="false">IF(OR(#REF!&gt;2,#REF!&lt;-2),"",#REF!)</f>
        <v>#REF!</v>
      </c>
      <c r="CW20" s="7" t="e">
        <f aca="false">IF(OR(#REF!&gt;2,#REF!&lt;-2),"",#REF!)</f>
        <v>#REF!</v>
      </c>
      <c r="CX20" s="7" t="e">
        <f aca="false">IF(OR(#REF!&gt;2,#REF!&lt;-2),"",#REF!)</f>
        <v>#REF!</v>
      </c>
      <c r="CY20" s="7" t="e">
        <f aca="false">IF(OR(#REF!&gt;2,#REF!&lt;-2),"",#REF!)</f>
        <v>#REF!</v>
      </c>
      <c r="CZ20" s="7" t="e">
        <f aca="false">IF(OR(#REF!&gt;2,#REF!&lt;-2),"",#REF!)</f>
        <v>#REF!</v>
      </c>
      <c r="DA20" s="7" t="e">
        <f aca="false">IF(OR(#REF!&gt;2,#REF!&lt;-2),"",#REF!)</f>
        <v>#REF!</v>
      </c>
      <c r="DB20" s="7" t="e">
        <f aca="false">IF(OR(#REF!&gt;2,#REF!&lt;-2),"",#REF!)</f>
        <v>#REF!</v>
      </c>
      <c r="DC20" s="7" t="e">
        <f aca="false">IF(OR(#REF!&gt;2,#REF!&lt;-2),"",#REF!)</f>
        <v>#REF!</v>
      </c>
      <c r="DD20" s="7" t="e">
        <f aca="false">IF(OR(#REF!&gt;2,#REF!&lt;-2),"",#REF!)</f>
        <v>#REF!</v>
      </c>
      <c r="DE20" s="7" t="e">
        <f aca="false">IF(OR(#REF!&gt;2,#REF!&lt;-2),"",#REF!)</f>
        <v>#REF!</v>
      </c>
      <c r="DF20" s="7" t="e">
        <f aca="false">IF(OR(#REF!&gt;2,#REF!&lt;-2),"",#REF!)</f>
        <v>#REF!</v>
      </c>
      <c r="DG20" s="7" t="e">
        <f aca="false">IF(OR(#REF!&gt;2,#REF!&lt;-2),"",#REF!)</f>
        <v>#REF!</v>
      </c>
      <c r="DH20" s="7" t="e">
        <f aca="false">IF(OR(#REF!&gt;2,#REF!&lt;-2),"",#REF!)</f>
        <v>#REF!</v>
      </c>
      <c r="DI20" s="7" t="e">
        <f aca="false">IF(OR(#REF!&gt;2,#REF!&lt;-2),"",#REF!)</f>
        <v>#REF!</v>
      </c>
      <c r="DJ20" s="7" t="e">
        <f aca="false">IF(OR(#REF!&gt;2,#REF!&lt;-2),"",#REF!)</f>
        <v>#REF!</v>
      </c>
      <c r="DK20" s="7" t="e">
        <f aca="false">IF(OR(#REF!&gt;2,#REF!&lt;-2),"",#REF!)</f>
        <v>#REF!</v>
      </c>
      <c r="DL20" s="7" t="e">
        <f aca="false">IF(OR(#REF!&gt;2,#REF!&lt;-2),"",#REF!)</f>
        <v>#REF!</v>
      </c>
      <c r="DM20" s="7" t="e">
        <f aca="false">IF(OR(#REF!&gt;2,#REF!&lt;-2),"",#REF!)</f>
        <v>#REF!</v>
      </c>
      <c r="DN20" s="7" t="e">
        <f aca="false">IF(OR(#REF!&gt;2,#REF!&lt;-2),"",#REF!)</f>
        <v>#REF!</v>
      </c>
      <c r="DO20" s="7" t="e">
        <f aca="false">IF(OR(#REF!&gt;2,#REF!&lt;-2),"",#REF!)</f>
        <v>#REF!</v>
      </c>
      <c r="DP20" s="7" t="e">
        <f aca="false">IF(OR(#REF!&gt;2,#REF!&lt;-2),"",#REF!)</f>
        <v>#REF!</v>
      </c>
      <c r="DQ20" s="7" t="e">
        <f aca="false">IF(OR(#REF!&gt;2,#REF!&lt;-2),"",#REF!)</f>
        <v>#REF!</v>
      </c>
      <c r="DR20" s="7" t="e">
        <f aca="false">IF(OR(#REF!&gt;2,#REF!&lt;-2),"",#REF!)</f>
        <v>#REF!</v>
      </c>
      <c r="DS20" s="7" t="e">
        <f aca="false">IF(OR(#REF!&gt;2,#REF!&lt;-2),"",#REF!)</f>
        <v>#REF!</v>
      </c>
      <c r="DT20" s="7" t="e">
        <f aca="false">IF(OR(#REF!&gt;2,#REF!&lt;-2),"",#REF!)</f>
        <v>#REF!</v>
      </c>
      <c r="DU20" s="7" t="e">
        <f aca="false">IF(OR(#REF!&gt;2,#REF!&lt;-2),"",#REF!)</f>
        <v>#REF!</v>
      </c>
      <c r="DV20" s="7" t="e">
        <f aca="false">IF(OR(#REF!&gt;2,#REF!&lt;-2),"",#REF!)</f>
        <v>#REF!</v>
      </c>
      <c r="DW20" s="7" t="e">
        <f aca="false">IF(OR(#REF!&gt;2,#REF!&lt;-2),"",#REF!)</f>
        <v>#REF!</v>
      </c>
      <c r="DX20" s="7" t="e">
        <f aca="false">IF(OR(#REF!&gt;2,#REF!&lt;-2),"",#REF!)</f>
        <v>#REF!</v>
      </c>
      <c r="DY20" s="7" t="e">
        <f aca="false">IF(OR(#REF!&gt;2,#REF!&lt;-2),"",#REF!)</f>
        <v>#REF!</v>
      </c>
      <c r="DZ20" s="7" t="e">
        <f aca="false">IF(OR(#REF!&gt;2,#REF!&lt;-2),"",#REF!)</f>
        <v>#REF!</v>
      </c>
      <c r="EA20" s="7" t="e">
        <f aca="false">IF(OR(#REF!&gt;2,#REF!&lt;-2),"",#REF!)</f>
        <v>#REF!</v>
      </c>
      <c r="EB20" s="7" t="e">
        <f aca="false">IF(OR(#REF!&gt;2,#REF!&lt;-2),"",#REF!)</f>
        <v>#REF!</v>
      </c>
      <c r="EC20" s="7" t="e">
        <f aca="false">IF(OR(#REF!&gt;2,#REF!&lt;-2),"",#REF!)</f>
        <v>#REF!</v>
      </c>
      <c r="ED20" s="7" t="e">
        <f aca="false">IF(OR(#REF!&gt;2,#REF!&lt;-2),"",#REF!)</f>
        <v>#REF!</v>
      </c>
      <c r="EE20" s="7" t="e">
        <f aca="false">IF(OR(#REF!&gt;2,#REF!&lt;-2),"",#REF!)</f>
        <v>#REF!</v>
      </c>
      <c r="EF20" s="7" t="e">
        <f aca="false">IF(OR(#REF!&gt;2,#REF!&lt;-2),"",#REF!)</f>
        <v>#REF!</v>
      </c>
      <c r="EG20" s="7" t="e">
        <f aca="false">IF(OR(#REF!&gt;2,#REF!&lt;-2),"",#REF!)</f>
        <v>#REF!</v>
      </c>
      <c r="EH20" s="7" t="e">
        <f aca="false">IF(OR(#REF!&gt;2,#REF!&lt;-2),"",#REF!)</f>
        <v>#REF!</v>
      </c>
      <c r="EI20" s="7" t="e">
        <f aca="false">IF(OR(#REF!&gt;2,#REF!&lt;-2),"",#REF!)</f>
        <v>#REF!</v>
      </c>
      <c r="EJ20" s="7" t="e">
        <f aca="false">IF(OR(#REF!&gt;2,#REF!&lt;-2),"",#REF!)</f>
        <v>#REF!</v>
      </c>
      <c r="EK20" s="7" t="e">
        <f aca="false">IF(OR(#REF!&gt;2,#REF!&lt;-2),"",#REF!)</f>
        <v>#REF!</v>
      </c>
      <c r="EL20" s="7" t="e">
        <f aca="false">IF(OR(#REF!&gt;2,#REF!&lt;-2),"",#REF!)</f>
        <v>#REF!</v>
      </c>
      <c r="EM20" s="7" t="e">
        <f aca="false">IF(OR(#REF!&gt;2,#REF!&lt;-2),"",#REF!)</f>
        <v>#REF!</v>
      </c>
      <c r="EN20" s="7" t="e">
        <f aca="false">IF(OR(#REF!&gt;2,#REF!&lt;-2),"",#REF!)</f>
        <v>#REF!</v>
      </c>
      <c r="EO20" s="7" t="e">
        <f aca="false">IF(OR(#REF!&gt;2,#REF!&lt;-2),"",#REF!)</f>
        <v>#REF!</v>
      </c>
      <c r="EP20" s="7" t="e">
        <f aca="false">IF(OR(#REF!&gt;2,#REF!&lt;-2),"",#REF!)</f>
        <v>#REF!</v>
      </c>
      <c r="EQ20" s="7" t="e">
        <f aca="false">IF(OR(#REF!&gt;2,#REF!&lt;-2),"",#REF!)</f>
        <v>#REF!</v>
      </c>
      <c r="ER20" s="7" t="e">
        <f aca="false">IF(OR(#REF!&gt;2,#REF!&lt;-2),"",#REF!)</f>
        <v>#REF!</v>
      </c>
      <c r="ES20" s="7" t="e">
        <f aca="false">IF(OR(#REF!&gt;2,#REF!&lt;-2),"",#REF!)</f>
        <v>#REF!</v>
      </c>
      <c r="ET20" s="7" t="e">
        <f aca="false">IF(OR(#REF!&gt;2,#REF!&lt;-2),"",#REF!)</f>
        <v>#REF!</v>
      </c>
      <c r="EU20" s="7" t="e">
        <f aca="false">IF(OR(#REF!&gt;2,#REF!&lt;-2),"",#REF!)</f>
        <v>#REF!</v>
      </c>
      <c r="EV20" s="7" t="e">
        <f aca="false">IF(OR(#REF!&gt;2,#REF!&lt;-2),"",#REF!)</f>
        <v>#REF!</v>
      </c>
      <c r="EW20" s="7" t="e">
        <f aca="false">IF(OR(#REF!&gt;2,#REF!&lt;-2),"",#REF!)</f>
        <v>#REF!</v>
      </c>
      <c r="EX20" s="7" t="e">
        <f aca="false">IF(OR(#REF!&gt;2,#REF!&lt;-2),"",#REF!)</f>
        <v>#REF!</v>
      </c>
      <c r="EY20" s="7" t="e">
        <f aca="false">IF(OR(#REF!&gt;2,#REF!&lt;-2),"",#REF!)</f>
        <v>#REF!</v>
      </c>
      <c r="EZ20" s="7" t="e">
        <f aca="false">IF(OR(#REF!&gt;2,#REF!&lt;-2),"",#REF!)</f>
        <v>#REF!</v>
      </c>
      <c r="FA20" s="7" t="e">
        <f aca="false">IF(OR(#REF!&gt;2,#REF!&lt;-2),"",#REF!)</f>
        <v>#REF!</v>
      </c>
      <c r="FB20" s="7" t="e">
        <f aca="false">IF(OR(#REF!&gt;2,#REF!&lt;-2),"",#REF!)</f>
        <v>#REF!</v>
      </c>
      <c r="FC20" s="7" t="e">
        <f aca="false">IF(OR(#REF!&gt;2,#REF!&lt;-2),"",#REF!)</f>
        <v>#REF!</v>
      </c>
      <c r="FD20" s="7" t="e">
        <f aca="false">IF(OR(#REF!&gt;2,#REF!&lt;-2),"",#REF!)</f>
        <v>#REF!</v>
      </c>
      <c r="FE20" s="7" t="e">
        <f aca="false">IF(OR(#REF!&gt;2,#REF!&lt;-2),"",#REF!)</f>
        <v>#REF!</v>
      </c>
      <c r="FF20" s="7" t="e">
        <f aca="false">IF(OR(#REF!&gt;2,#REF!&lt;-2),"",#REF!)</f>
        <v>#REF!</v>
      </c>
      <c r="FG20" s="7" t="e">
        <f aca="false">IF(OR(#REF!&gt;2,#REF!&lt;-2),"",#REF!)</f>
        <v>#REF!</v>
      </c>
      <c r="FH20" s="7" t="e">
        <f aca="false">IF(OR(#REF!&gt;2,#REF!&lt;-2),"",#REF!)</f>
        <v>#REF!</v>
      </c>
      <c r="FI20" s="7" t="e">
        <f aca="false">IF(OR(#REF!&gt;2,#REF!&lt;-2),"",#REF!)</f>
        <v>#REF!</v>
      </c>
      <c r="FJ20" s="7" t="e">
        <f aca="false">IF(OR(#REF!&gt;2,#REF!&lt;-2),"",#REF!)</f>
        <v>#REF!</v>
      </c>
      <c r="FK20" s="7" t="e">
        <f aca="false">IF(OR(#REF!&gt;2,#REF!&lt;-2),"",#REF!)</f>
        <v>#REF!</v>
      </c>
      <c r="FL20" s="7" t="e">
        <f aca="false">IF(OR(#REF!&gt;2,#REF!&lt;-2),"",#REF!)</f>
        <v>#REF!</v>
      </c>
      <c r="FM20" s="7" t="e">
        <f aca="false">IF(OR(#REF!&gt;2,#REF!&lt;-2),"",#REF!)</f>
        <v>#REF!</v>
      </c>
      <c r="FN20" s="7" t="e">
        <f aca="false">IF(OR(#REF!&gt;2,#REF!&lt;-2),"",#REF!)</f>
        <v>#REF!</v>
      </c>
      <c r="FO20" s="7" t="e">
        <f aca="false">IF(OR(#REF!&gt;2,#REF!&lt;-2),"",#REF!)</f>
        <v>#REF!</v>
      </c>
      <c r="FP20" s="7" t="e">
        <f aca="false">IF(OR(#REF!&gt;2,#REF!&lt;-2),"",#REF!)</f>
        <v>#REF!</v>
      </c>
      <c r="FQ20" s="7" t="e">
        <f aca="false">IF(OR(#REF!&gt;2,#REF!&lt;-2),"",#REF!)</f>
        <v>#REF!</v>
      </c>
      <c r="FR20" s="7" t="e">
        <f aca="false">IF(OR(#REF!&gt;2,#REF!&lt;-2),"",#REF!)</f>
        <v>#REF!</v>
      </c>
      <c r="FS20" s="7" t="e">
        <f aca="false">IF(OR(#REF!&gt;2,#REF!&lt;-2),"",#REF!)</f>
        <v>#REF!</v>
      </c>
      <c r="FT20" s="7" t="e">
        <f aca="false">IF(OR(#REF!&gt;2,#REF!&lt;-2),"",#REF!)</f>
        <v>#REF!</v>
      </c>
      <c r="FU20" s="7" t="e">
        <f aca="false">IF(OR(#REF!&gt;2,#REF!&lt;-2),"",#REF!)</f>
        <v>#REF!</v>
      </c>
      <c r="FV20" s="7" t="e">
        <f aca="false">IF(OR(#REF!&gt;2,#REF!&lt;-2),"",#REF!)</f>
        <v>#REF!</v>
      </c>
      <c r="FW20" s="7" t="e">
        <f aca="false">IF(OR(#REF!&gt;2,#REF!&lt;-2),"",#REF!)</f>
        <v>#REF!</v>
      </c>
      <c r="FX20" s="7" t="e">
        <f aca="false">IF(OR(#REF!&gt;2,#REF!&lt;-2),"",#REF!)</f>
        <v>#REF!</v>
      </c>
      <c r="FY20" s="7" t="e">
        <f aca="false">IF(OR(#REF!&gt;2,#REF!&lt;-2),"",#REF!)</f>
        <v>#REF!</v>
      </c>
      <c r="FZ20" s="7" t="e">
        <f aca="false">IF(OR(#REF!&gt;2,#REF!&lt;-2),"",#REF!)</f>
        <v>#REF!</v>
      </c>
      <c r="GA20" s="7" t="e">
        <f aca="false">IF(OR(#REF!&gt;2,#REF!&lt;-2),"",#REF!)</f>
        <v>#REF!</v>
      </c>
      <c r="GB20" s="7" t="e">
        <f aca="false">IF(OR(#REF!&gt;2,#REF!&lt;-2),"",#REF!)</f>
        <v>#REF!</v>
      </c>
      <c r="GC20" s="7" t="e">
        <f aca="false">IF(OR(#REF!&gt;2,#REF!&lt;-2),"",#REF!)</f>
        <v>#REF!</v>
      </c>
      <c r="GD20" s="7" t="e">
        <f aca="false">IF(OR(#REF!&gt;2,#REF!&lt;-2),"",#REF!)</f>
        <v>#REF!</v>
      </c>
      <c r="GE20" s="7" t="e">
        <f aca="false">IF(OR(#REF!&gt;2,#REF!&lt;-2),"",#REF!)</f>
        <v>#REF!</v>
      </c>
      <c r="GF20" s="7" t="e">
        <f aca="false">IF(OR(#REF!&gt;2,#REF!&lt;-2),"",#REF!)</f>
        <v>#REF!</v>
      </c>
      <c r="GG20" s="7" t="e">
        <f aca="false">IF(OR(#REF!&gt;2,#REF!&lt;-2),"",#REF!)</f>
        <v>#REF!</v>
      </c>
      <c r="GH20" s="7" t="e">
        <f aca="false">IF(OR(#REF!&gt;2,#REF!&lt;-2),"",#REF!)</f>
        <v>#REF!</v>
      </c>
      <c r="GI20" s="7" t="e">
        <f aca="false">IF(OR(#REF!&gt;2,#REF!&lt;-2),"",#REF!)</f>
        <v>#REF!</v>
      </c>
      <c r="GJ20" s="7" t="e">
        <f aca="false">IF(OR(#REF!&gt;2,#REF!&lt;-2),"",#REF!)</f>
        <v>#REF!</v>
      </c>
      <c r="GK20" s="7" t="e">
        <f aca="false">IF(OR(#REF!&gt;2,#REF!&lt;-2),"",#REF!)</f>
        <v>#REF!</v>
      </c>
      <c r="GL20" s="7" t="e">
        <f aca="false">IF(OR(#REF!&gt;2,#REF!&lt;-2),"",#REF!)</f>
        <v>#REF!</v>
      </c>
      <c r="GM20" s="7" t="e">
        <f aca="false">IF(OR(#REF!&gt;2,#REF!&lt;-2),"",#REF!)</f>
        <v>#REF!</v>
      </c>
      <c r="GN20" s="7" t="e">
        <f aca="false">IF(OR(#REF!&gt;2,#REF!&lt;-2),"",#REF!)</f>
        <v>#REF!</v>
      </c>
      <c r="GO20" s="7" t="e">
        <f aca="false">IF(OR(#REF!&gt;2,#REF!&lt;-2),"",#REF!)</f>
        <v>#REF!</v>
      </c>
      <c r="GP20" s="7" t="e">
        <f aca="false">IF(OR(#REF!&gt;2,#REF!&lt;-2),"",#REF!)</f>
        <v>#REF!</v>
      </c>
      <c r="GQ20" s="7" t="e">
        <f aca="false">IF(OR(#REF!&gt;2,#REF!&lt;-2),"",#REF!)</f>
        <v>#REF!</v>
      </c>
      <c r="GR20" s="7" t="e">
        <f aca="false">IF(OR(#REF!&gt;2,#REF!&lt;-2),"",#REF!)</f>
        <v>#REF!</v>
      </c>
      <c r="GS20" s="7" t="e">
        <f aca="false">IF(OR(#REF!&gt;2,#REF!&lt;-2),"",#REF!)</f>
        <v>#REF!</v>
      </c>
      <c r="GT20" s="7" t="e">
        <f aca="false">IF(OR(#REF!&gt;2,#REF!&lt;-2),"",#REF!)</f>
        <v>#REF!</v>
      </c>
      <c r="GU20" s="7" t="e">
        <f aca="false">IF(OR(#REF!&gt;2,#REF!&lt;-2),"",#REF!)</f>
        <v>#REF!</v>
      </c>
      <c r="GV20" s="7" t="e">
        <f aca="false">IF(OR(#REF!&gt;2,#REF!&lt;-2),"",#REF!)</f>
        <v>#REF!</v>
      </c>
      <c r="GW20" s="7" t="e">
        <f aca="false">IF(OR(#REF!&gt;2,#REF!&lt;-2),"",#REF!)</f>
        <v>#REF!</v>
      </c>
      <c r="GX20" s="7" t="e">
        <f aca="false">IF(OR(#REF!&gt;2,#REF!&lt;-2),"",#REF!)</f>
        <v>#REF!</v>
      </c>
      <c r="GY20" s="7" t="e">
        <f aca="false">IF(OR(#REF!&gt;2,#REF!&lt;-2),"",#REF!)</f>
        <v>#REF!</v>
      </c>
      <c r="GZ20" s="7" t="e">
        <f aca="false">IF(OR(#REF!&gt;2,#REF!&lt;-2),"",#REF!)</f>
        <v>#REF!</v>
      </c>
      <c r="HA20" s="7" t="e">
        <f aca="false">IF(OR(#REF!&gt;2,#REF!&lt;-2),"",#REF!)</f>
        <v>#REF!</v>
      </c>
      <c r="HB20" s="7" t="e">
        <f aca="false">IF(OR(#REF!&gt;2,#REF!&lt;-2),"",#REF!)</f>
        <v>#REF!</v>
      </c>
      <c r="HC20" s="7" t="e">
        <f aca="false">IF(OR(#REF!&gt;2,#REF!&lt;-2),"",#REF!)</f>
        <v>#REF!</v>
      </c>
      <c r="HD20" s="7" t="e">
        <f aca="false">IF(OR(#REF!&gt;2,#REF!&lt;-2),"",#REF!)</f>
        <v>#REF!</v>
      </c>
      <c r="HE20" s="7" t="e">
        <f aca="false">IF(OR(#REF!&gt;2,#REF!&lt;-2),"",#REF!)</f>
        <v>#REF!</v>
      </c>
      <c r="HF20" s="7" t="e">
        <f aca="false">IF(OR(#REF!&gt;2,#REF!&lt;-2),"",#REF!)</f>
        <v>#REF!</v>
      </c>
      <c r="HG20" s="7" t="e">
        <f aca="false">IF(OR(#REF!&gt;2,#REF!&lt;-2),"",#REF!)</f>
        <v>#REF!</v>
      </c>
      <c r="HH20" s="7" t="e">
        <f aca="false">IF(OR(#REF!&gt;2,#REF!&lt;-2),"",#REF!)</f>
        <v>#REF!</v>
      </c>
      <c r="HI20" s="7" t="e">
        <f aca="false">IF(OR(#REF!&gt;2,#REF!&lt;-2),"",#REF!)</f>
        <v>#REF!</v>
      </c>
      <c r="HJ20" s="7" t="e">
        <f aca="false">IF(OR(#REF!&gt;2,#REF!&lt;-2),"",#REF!)</f>
        <v>#REF!</v>
      </c>
      <c r="HK20" s="7" t="e">
        <f aca="false">IF(OR(#REF!&gt;2,#REF!&lt;-2),"",#REF!)</f>
        <v>#REF!</v>
      </c>
      <c r="HL20" s="7" t="e">
        <f aca="false">IF(OR(#REF!&gt;2,#REF!&lt;-2),"",#REF!)</f>
        <v>#REF!</v>
      </c>
      <c r="HM20" s="7" t="e">
        <f aca="false">IF(OR(#REF!&gt;2,#REF!&lt;-2),"",#REF!)</f>
        <v>#REF!</v>
      </c>
      <c r="HN20" s="7" t="e">
        <f aca="false">IF(OR(#REF!&gt;2,#REF!&lt;-2),"",#REF!)</f>
        <v>#REF!</v>
      </c>
      <c r="HO20" s="7" t="e">
        <f aca="false">IF(OR(#REF!&gt;2,#REF!&lt;-2),"",#REF!)</f>
        <v>#REF!</v>
      </c>
      <c r="HP20" s="7" t="e">
        <f aca="false">IF(OR(#REF!&gt;2,#REF!&lt;-2),"",#REF!)</f>
        <v>#REF!</v>
      </c>
      <c r="HQ20" s="7" t="e">
        <f aca="false">IF(OR(#REF!&gt;2,#REF!&lt;-2),"",#REF!)</f>
        <v>#REF!</v>
      </c>
      <c r="HR20" s="7" t="e">
        <f aca="false">IF(OR(#REF!&gt;2,#REF!&lt;-2),"",#REF!)</f>
        <v>#REF!</v>
      </c>
      <c r="HS20" s="7" t="e">
        <f aca="false">IF(OR(#REF!&gt;2,#REF!&lt;-2),"",#REF!)</f>
        <v>#REF!</v>
      </c>
      <c r="HT20" s="7" t="e">
        <f aca="false">IF(OR(#REF!&gt;2,#REF!&lt;-2),"",#REF!)</f>
        <v>#REF!</v>
      </c>
      <c r="HU20" s="7" t="e">
        <f aca="false">IF(OR(#REF!&gt;2,#REF!&lt;-2),"",#REF!)</f>
        <v>#REF!</v>
      </c>
      <c r="HV20" s="7" t="e">
        <f aca="false">IF(OR(#REF!&gt;2,#REF!&lt;-2),"",#REF!)</f>
        <v>#REF!</v>
      </c>
      <c r="HW20" s="7" t="e">
        <f aca="false">IF(OR(#REF!&gt;2,#REF!&lt;-2),"",#REF!)</f>
        <v>#REF!</v>
      </c>
      <c r="HX20" s="7" t="e">
        <f aca="false">IF(OR(#REF!&gt;2,#REF!&lt;-2),"",#REF!)</f>
        <v>#REF!</v>
      </c>
      <c r="HY20" s="7" t="e">
        <f aca="false">IF(OR(#REF!&gt;2,#REF!&lt;-2),"",#REF!)</f>
        <v>#REF!</v>
      </c>
      <c r="HZ20" s="7" t="e">
        <f aca="false">IF(OR(#REF!&gt;2,#REF!&lt;-2),"",#REF!)</f>
        <v>#REF!</v>
      </c>
      <c r="IA20" s="7" t="e">
        <f aca="false">IF(OR(#REF!&gt;2,#REF!&lt;-2),"",#REF!)</f>
        <v>#REF!</v>
      </c>
      <c r="IB20" s="7" t="e">
        <f aca="false">IF(OR(#REF!&gt;2,#REF!&lt;-2),"",#REF!)</f>
        <v>#REF!</v>
      </c>
      <c r="IC20" s="7" t="e">
        <f aca="false">IF(OR(#REF!&gt;2,#REF!&lt;-2),"",#REF!)</f>
        <v>#REF!</v>
      </c>
      <c r="ID20" s="7" t="e">
        <f aca="false">IF(OR(#REF!&gt;2,#REF!&lt;-2),"",#REF!)</f>
        <v>#REF!</v>
      </c>
      <c r="IE20" s="7" t="e">
        <f aca="false">IF(OR(#REF!&gt;2,#REF!&lt;-2),"",#REF!)</f>
        <v>#REF!</v>
      </c>
      <c r="IF20" s="7" t="e">
        <f aca="false">IF(OR(#REF!&gt;2,#REF!&lt;-2),"",#REF!)</f>
        <v>#REF!</v>
      </c>
      <c r="IG20" s="7" t="e">
        <f aca="false">IF(OR(#REF!&gt;2,#REF!&lt;-2),"",#REF!)</f>
        <v>#REF!</v>
      </c>
      <c r="IH20" s="7" t="e">
        <f aca="false">IF(OR(#REF!&gt;2,#REF!&lt;-2),"",#REF!)</f>
        <v>#REF!</v>
      </c>
      <c r="II20" s="7" t="e">
        <f aca="false">IF(OR(#REF!&gt;2,#REF!&lt;-2),"",#REF!)</f>
        <v>#REF!</v>
      </c>
      <c r="IJ20" s="7" t="e">
        <f aca="false">IF(OR(#REF!&gt;2,#REF!&lt;-2),"",#REF!)</f>
        <v>#REF!</v>
      </c>
      <c r="IK20" s="7" t="e">
        <f aca="false">IF(OR(#REF!&gt;2,#REF!&lt;-2),"",#REF!)</f>
        <v>#REF!</v>
      </c>
      <c r="IL20" s="7" t="e">
        <f aca="false">IF(OR(#REF!&gt;2,#REF!&lt;-2),"",#REF!)</f>
        <v>#REF!</v>
      </c>
      <c r="IM20" s="7" t="e">
        <f aca="false">IF(OR(#REF!&gt;2,#REF!&lt;-2),"",#REF!)</f>
        <v>#REF!</v>
      </c>
      <c r="IN20" s="7" t="e">
        <f aca="false">IF(OR(#REF!&gt;2,#REF!&lt;-2),"",#REF!)</f>
        <v>#REF!</v>
      </c>
      <c r="IO20" s="7" t="e">
        <f aca="false">IF(OR(#REF!&gt;2,#REF!&lt;-2),"",#REF!)</f>
        <v>#REF!</v>
      </c>
      <c r="IP20" s="7" t="e">
        <f aca="false">IF(OR(#REF!&gt;2,#REF!&lt;-2),"",#REF!)</f>
        <v>#REF!</v>
      </c>
      <c r="IQ20" s="7" t="e">
        <f aca="false">IF(OR(#REF!&gt;2,#REF!&lt;-2),"",#REF!)</f>
        <v>#REF!</v>
      </c>
      <c r="IR20" s="7" t="e">
        <f aca="false">IF(OR(#REF!&gt;2,#REF!&lt;-2),"",#REF!)</f>
        <v>#REF!</v>
      </c>
      <c r="IS20" s="7" t="e">
        <f aca="false">IF(OR(#REF!&gt;2,#REF!&lt;-2),"",#REF!)</f>
        <v>#REF!</v>
      </c>
      <c r="IT20" s="7" t="e">
        <f aca="false">IF(OR(#REF!&gt;2,#REF!&lt;-2),"",#REF!)</f>
        <v>#REF!</v>
      </c>
      <c r="IU20" s="7" t="e">
        <f aca="false">IF(OR(#REF!&gt;2,#REF!&lt;-2),"",#REF!)</f>
        <v>#REF!</v>
      </c>
      <c r="IV20" s="7" t="e">
        <f aca="false">IF(OR(#REF!&gt;2,#REF!&lt;-2),"",#REF!)</f>
        <v>#REF!</v>
      </c>
      <c r="IW20" s="7" t="e">
        <f aca="false">IF(OR(#REF!&gt;2,#REF!&lt;-2),"",#REF!)</f>
        <v>#REF!</v>
      </c>
      <c r="IX20" s="7" t="e">
        <f aca="false">IF(OR(#REF!&gt;2,#REF!&lt;-2),"",#REF!)</f>
        <v>#REF!</v>
      </c>
      <c r="IY20" s="7" t="e">
        <f aca="false">IF(OR(#REF!&gt;2,#REF!&lt;-2),"",#REF!)</f>
        <v>#REF!</v>
      </c>
      <c r="IZ20" s="7" t="e">
        <f aca="false">IF(OR(#REF!&gt;2,#REF!&lt;-2),"",#REF!)</f>
        <v>#REF!</v>
      </c>
      <c r="JA20" s="7" t="e">
        <f aca="false">IF(OR(#REF!&gt;2,#REF!&lt;-2),"",#REF!)</f>
        <v>#REF!</v>
      </c>
      <c r="JB20" s="7" t="e">
        <f aca="false">IF(OR(#REF!&gt;2,#REF!&lt;-2),"",#REF!)</f>
        <v>#REF!</v>
      </c>
      <c r="JC20" s="7" t="e">
        <f aca="false">IF(OR(#REF!&gt;2,#REF!&lt;-2),"",#REF!)</f>
        <v>#REF!</v>
      </c>
      <c r="JD20" s="7" t="e">
        <f aca="false">IF(OR(#REF!&gt;2,#REF!&lt;-2),"",#REF!)</f>
        <v>#REF!</v>
      </c>
      <c r="JE20" s="7" t="e">
        <f aca="false">IF(OR(#REF!&gt;2,#REF!&lt;-2),"",#REF!)</f>
        <v>#REF!</v>
      </c>
      <c r="JF20" s="7" t="e">
        <f aca="false">IF(OR(#REF!&gt;2,#REF!&lt;-2),"",#REF!)</f>
        <v>#REF!</v>
      </c>
      <c r="JG20" s="7" t="e">
        <f aca="false">IF(OR(#REF!&gt;2,#REF!&lt;-2),"",#REF!)</f>
        <v>#REF!</v>
      </c>
      <c r="JH20" s="7" t="e">
        <f aca="false">IF(OR(#REF!&gt;2,#REF!&lt;-2),"",#REF!)</f>
        <v>#REF!</v>
      </c>
      <c r="JI20" s="7" t="e">
        <f aca="false">IF(OR(#REF!&gt;2,#REF!&lt;-2),"",#REF!)</f>
        <v>#REF!</v>
      </c>
      <c r="JJ20" s="7" t="e">
        <f aca="false">IF(OR(#REF!&gt;2,#REF!&lt;-2),"",#REF!)</f>
        <v>#REF!</v>
      </c>
      <c r="JK20" s="7" t="e">
        <f aca="false">IF(OR(#REF!&gt;2,#REF!&lt;-2),"",#REF!)</f>
        <v>#REF!</v>
      </c>
      <c r="JL20" s="7" t="e">
        <f aca="false">IF(OR(#REF!&gt;2,#REF!&lt;-2),"",#REF!)</f>
        <v>#REF!</v>
      </c>
      <c r="JM20" s="7" t="e">
        <f aca="false">IF(OR(#REF!&gt;2,#REF!&lt;-2),"",#REF!)</f>
        <v>#REF!</v>
      </c>
      <c r="JN20" s="7" t="e">
        <f aca="false">IF(OR(#REF!&gt;2,#REF!&lt;-2),"",#REF!)</f>
        <v>#REF!</v>
      </c>
      <c r="JO20" s="7" t="e">
        <f aca="false">IF(OR(#REF!&gt;2,#REF!&lt;-2),"",#REF!)</f>
        <v>#REF!</v>
      </c>
      <c r="JP20" s="7" t="e">
        <f aca="false">IF(OR(#REF!&gt;2,#REF!&lt;-2),"",#REF!)</f>
        <v>#REF!</v>
      </c>
      <c r="JQ20" s="7" t="e">
        <f aca="false">IF(OR(#REF!&gt;2,#REF!&lt;-2),"",#REF!)</f>
        <v>#REF!</v>
      </c>
      <c r="JR20" s="7" t="e">
        <f aca="false">IF(OR(#REF!&gt;2,#REF!&lt;-2),"",#REF!)</f>
        <v>#REF!</v>
      </c>
      <c r="JS20" s="7" t="e">
        <f aca="false">IF(OR(#REF!&gt;2,#REF!&lt;-2),"",#REF!)</f>
        <v>#REF!</v>
      </c>
      <c r="JT20" s="7" t="e">
        <f aca="false">IF(OR(#REF!&gt;2,#REF!&lt;-2),"",#REF!)</f>
        <v>#REF!</v>
      </c>
      <c r="JU20" s="7" t="e">
        <f aca="false">IF(OR(#REF!&gt;2,#REF!&lt;-2),"",#REF!)</f>
        <v>#REF!</v>
      </c>
      <c r="JV20" s="7" t="e">
        <f aca="false">IF(OR(#REF!&gt;2,#REF!&lt;-2),"",#REF!)</f>
        <v>#REF!</v>
      </c>
      <c r="JW20" s="7" t="e">
        <f aca="false">IF(OR(#REF!&gt;2,#REF!&lt;-2),"",#REF!)</f>
        <v>#REF!</v>
      </c>
      <c r="JX20" s="7" t="e">
        <f aca="false">IF(OR(#REF!&gt;2,#REF!&lt;-2),"",#REF!)</f>
        <v>#REF!</v>
      </c>
      <c r="JY20" s="7" t="e">
        <f aca="false">IF(OR(#REF!&gt;2,#REF!&lt;-2),"",#REF!)</f>
        <v>#REF!</v>
      </c>
      <c r="JZ20" s="7" t="e">
        <f aca="false">IF(OR(#REF!&gt;2,#REF!&lt;-2),"",#REF!)</f>
        <v>#REF!</v>
      </c>
      <c r="KA20" s="7" t="e">
        <f aca="false">IF(OR(#REF!&gt;2,#REF!&lt;-2),"",#REF!)</f>
        <v>#REF!</v>
      </c>
      <c r="KB20" s="7" t="e">
        <f aca="false">IF(OR(#REF!&gt;2,#REF!&lt;-2),"",#REF!)</f>
        <v>#REF!</v>
      </c>
      <c r="KC20" s="7" t="e">
        <f aca="false">IF(OR(#REF!&gt;2,#REF!&lt;-2),"",#REF!)</f>
        <v>#REF!</v>
      </c>
      <c r="KD20" s="7" t="e">
        <f aca="false">IF(OR(#REF!&gt;2,#REF!&lt;-2),"",#REF!)</f>
        <v>#REF!</v>
      </c>
      <c r="KE20" s="7" t="e">
        <f aca="false">IF(OR(#REF!&gt;2,#REF!&lt;-2),"",#REF!)</f>
        <v>#REF!</v>
      </c>
      <c r="KF20" s="7" t="e">
        <f aca="false">IF(OR(#REF!&gt;2,#REF!&lt;-2),"",#REF!)</f>
        <v>#REF!</v>
      </c>
      <c r="KG20" s="7" t="e">
        <f aca="false">IF(OR(#REF!&gt;2,#REF!&lt;-2),"",#REF!)</f>
        <v>#REF!</v>
      </c>
      <c r="KH20" s="7" t="e">
        <f aca="false">IF(OR(#REF!&gt;2,#REF!&lt;-2),"",#REF!)</f>
        <v>#REF!</v>
      </c>
      <c r="KI20" s="7" t="e">
        <f aca="false">IF(OR(#REF!&gt;2,#REF!&lt;-2),"",#REF!)</f>
        <v>#REF!</v>
      </c>
      <c r="KJ20" s="7" t="e">
        <f aca="false">IF(OR(#REF!&gt;2,#REF!&lt;-2),"",#REF!)</f>
        <v>#REF!</v>
      </c>
      <c r="KK20" s="7" t="e">
        <f aca="false">IF(OR(#REF!&gt;2,#REF!&lt;-2),"",#REF!)</f>
        <v>#REF!</v>
      </c>
      <c r="KL20" s="7" t="e">
        <f aca="false">IF(OR(#REF!&gt;2,#REF!&lt;-2),"",#REF!)</f>
        <v>#REF!</v>
      </c>
      <c r="KM20" s="7" t="e">
        <f aca="false">IF(OR(#REF!&gt;2,#REF!&lt;-2),"",#REF!)</f>
        <v>#REF!</v>
      </c>
      <c r="KN20" s="7" t="e">
        <f aca="false">IF(OR(#REF!&gt;2,#REF!&lt;-2),"",#REF!)</f>
        <v>#REF!</v>
      </c>
      <c r="KO20" s="7" t="e">
        <f aca="false">IF(OR(#REF!&gt;2,#REF!&lt;-2),"",#REF!)</f>
        <v>#REF!</v>
      </c>
      <c r="KP20" s="7" t="e">
        <f aca="false">IF(OR(#REF!&gt;2,#REF!&lt;-2),"",#REF!)</f>
        <v>#REF!</v>
      </c>
      <c r="KQ20" s="7" t="e">
        <f aca="false">IF(OR(#REF!&gt;2,#REF!&lt;-2),"",#REF!)</f>
        <v>#REF!</v>
      </c>
      <c r="KR20" s="7" t="e">
        <f aca="false">IF(OR(#REF!&gt;2,#REF!&lt;-2),"",#REF!)</f>
        <v>#REF!</v>
      </c>
      <c r="KS20" s="7" t="e">
        <f aca="false">IF(OR(#REF!&gt;2,#REF!&lt;-2),"",#REF!)</f>
        <v>#REF!</v>
      </c>
      <c r="KT20" s="7" t="e">
        <f aca="false">IF(OR(#REF!&gt;2,#REF!&lt;-2),"",#REF!)</f>
        <v>#REF!</v>
      </c>
      <c r="KU20" s="7" t="e">
        <f aca="false">IF(OR(#REF!&gt;2,#REF!&lt;-2),"",#REF!)</f>
        <v>#REF!</v>
      </c>
      <c r="KV20" s="7" t="e">
        <f aca="false">IF(OR(#REF!&gt;2,#REF!&lt;-2),"",#REF!)</f>
        <v>#REF!</v>
      </c>
      <c r="KW20" s="7" t="e">
        <f aca="false">IF(OR(#REF!&gt;2,#REF!&lt;-2),"",#REF!)</f>
        <v>#REF!</v>
      </c>
      <c r="KX20" s="7" t="e">
        <f aca="false">IF(OR(#REF!&gt;2,#REF!&lt;-2),"",#REF!)</f>
        <v>#REF!</v>
      </c>
      <c r="KY20" s="7" t="e">
        <f aca="false">IF(OR(#REF!&gt;2,#REF!&lt;-2),"",#REF!)</f>
        <v>#REF!</v>
      </c>
      <c r="KZ20" s="7" t="e">
        <f aca="false">IF(OR(#REF!&gt;2,#REF!&lt;-2),"",#REF!)</f>
        <v>#REF!</v>
      </c>
      <c r="LA20" s="7" t="e">
        <f aca="false">IF(OR(#REF!&gt;2,#REF!&lt;-2),"",#REF!)</f>
        <v>#REF!</v>
      </c>
      <c r="LB20" s="7" t="e">
        <f aca="false">IF(OR(#REF!&gt;2,#REF!&lt;-2),"",#REF!)</f>
        <v>#REF!</v>
      </c>
      <c r="LC20" s="7" t="e">
        <f aca="false">IF(OR(#REF!&gt;2,#REF!&lt;-2),"",#REF!)</f>
        <v>#REF!</v>
      </c>
      <c r="LD20" s="7" t="e">
        <f aca="false">IF(OR(#REF!&gt;2,#REF!&lt;-2),"",#REF!)</f>
        <v>#REF!</v>
      </c>
      <c r="LE20" s="7" t="e">
        <f aca="false">IF(OR(#REF!&gt;2,#REF!&lt;-2),"",#REF!)</f>
        <v>#REF!</v>
      </c>
      <c r="LF20" s="7" t="e">
        <f aca="false">IF(OR(#REF!&gt;2,#REF!&lt;-2),"",#REF!)</f>
        <v>#REF!</v>
      </c>
      <c r="LG20" s="7" t="e">
        <f aca="false">IF(OR(#REF!&gt;2,#REF!&lt;-2),"",#REF!)</f>
        <v>#REF!</v>
      </c>
      <c r="LH20" s="7" t="e">
        <f aca="false">IF(OR(#REF!&gt;2,#REF!&lt;-2),"",#REF!)</f>
        <v>#REF!</v>
      </c>
      <c r="LI20" s="7" t="e">
        <f aca="false">IF(OR(#REF!&gt;2,#REF!&lt;-2),"",#REF!)</f>
        <v>#REF!</v>
      </c>
      <c r="LJ20" s="7" t="e">
        <f aca="false">IF(OR(#REF!&gt;2,#REF!&lt;-2),"",#REF!)</f>
        <v>#REF!</v>
      </c>
      <c r="LK20" s="7" t="e">
        <f aca="false">IF(OR(#REF!&gt;2,#REF!&lt;-2),"",#REF!)</f>
        <v>#REF!</v>
      </c>
      <c r="LL20" s="7" t="e">
        <f aca="false">IF(OR(#REF!&gt;2,#REF!&lt;-2),"",#REF!)</f>
        <v>#REF!</v>
      </c>
      <c r="LM20" s="7" t="e">
        <f aca="false">IF(OR(#REF!&gt;2,#REF!&lt;-2),"",#REF!)</f>
        <v>#REF!</v>
      </c>
      <c r="LN20" s="7" t="e">
        <f aca="false">IF(OR(#REF!&gt;2,#REF!&lt;-2),"",#REF!)</f>
        <v>#REF!</v>
      </c>
      <c r="LO20" s="7" t="e">
        <f aca="false">IF(OR(#REF!&gt;2,#REF!&lt;-2),"",#REF!)</f>
        <v>#REF!</v>
      </c>
      <c r="LP20" s="7" t="e">
        <f aca="false">IF(OR(#REF!&gt;2,#REF!&lt;-2),"",#REF!)</f>
        <v>#REF!</v>
      </c>
      <c r="LQ20" s="7" t="e">
        <f aca="false">IF(OR(#REF!&gt;2,#REF!&lt;-2),"",#REF!)</f>
        <v>#REF!</v>
      </c>
      <c r="LR20" s="7" t="e">
        <f aca="false">IF(OR(#REF!&gt;2,#REF!&lt;-2),"",#REF!)</f>
        <v>#REF!</v>
      </c>
      <c r="LS20" s="7" t="e">
        <f aca="false">IF(OR(#REF!&gt;2,#REF!&lt;-2),"",#REF!)</f>
        <v>#REF!</v>
      </c>
      <c r="LT20" s="7" t="e">
        <f aca="false">IF(OR(#REF!&gt;2,#REF!&lt;-2),"",#REF!)</f>
        <v>#REF!</v>
      </c>
      <c r="LU20" s="7" t="e">
        <f aca="false">IF(OR(#REF!&gt;2,#REF!&lt;-2),"",#REF!)</f>
        <v>#REF!</v>
      </c>
      <c r="LV20" s="7" t="e">
        <f aca="false">IF(OR(#REF!&gt;2,#REF!&lt;-2),"",#REF!)</f>
        <v>#REF!</v>
      </c>
      <c r="LW20" s="7" t="e">
        <f aca="false">IF(OR(#REF!&gt;2,#REF!&lt;-2),"",#REF!)</f>
        <v>#REF!</v>
      </c>
      <c r="LX20" s="7" t="e">
        <f aca="false">IF(OR(#REF!&gt;2,#REF!&lt;-2),"",#REF!)</f>
        <v>#REF!</v>
      </c>
      <c r="LY20" s="7" t="e">
        <f aca="false">IF(OR(#REF!&gt;2,#REF!&lt;-2),"",#REF!)</f>
        <v>#REF!</v>
      </c>
      <c r="LZ20" s="7" t="e">
        <f aca="false">IF(OR(#REF!&gt;2,#REF!&lt;-2),"",#REF!)</f>
        <v>#REF!</v>
      </c>
      <c r="MA20" s="7" t="e">
        <f aca="false">IF(OR(#REF!&gt;2,#REF!&lt;-2),"",#REF!)</f>
        <v>#REF!</v>
      </c>
      <c r="MB20" s="7" t="e">
        <f aca="false">IF(OR(#REF!&gt;2,#REF!&lt;-2),"",#REF!)</f>
        <v>#REF!</v>
      </c>
      <c r="MC20" s="7" t="e">
        <f aca="false">IF(OR(#REF!&gt;2,#REF!&lt;-2),"",#REF!)</f>
        <v>#REF!</v>
      </c>
      <c r="MD20" s="7" t="e">
        <f aca="false">IF(OR(#REF!&gt;2,#REF!&lt;-2),"",#REF!)</f>
        <v>#REF!</v>
      </c>
      <c r="ME20" s="7" t="e">
        <f aca="false">IF(OR(#REF!&gt;2,#REF!&lt;-2),"",#REF!)</f>
        <v>#REF!</v>
      </c>
      <c r="MF20" s="7" t="e">
        <f aca="false">IF(OR(#REF!&gt;2,#REF!&lt;-2),"",#REF!)</f>
        <v>#REF!</v>
      </c>
      <c r="MG20" s="7" t="e">
        <f aca="false">IF(OR(#REF!&gt;2,#REF!&lt;-2),"",#REF!)</f>
        <v>#REF!</v>
      </c>
      <c r="MH20" s="7" t="e">
        <f aca="false">IF(OR(#REF!&gt;2,#REF!&lt;-2),"",#REF!)</f>
        <v>#REF!</v>
      </c>
      <c r="MI20" s="7" t="e">
        <f aca="false">IF(OR(#REF!&gt;2,#REF!&lt;-2),"",#REF!)</f>
        <v>#REF!</v>
      </c>
      <c r="MJ20" s="7" t="e">
        <f aca="false">IF(OR(#REF!&gt;2,#REF!&lt;-2),"",#REF!)</f>
        <v>#REF!</v>
      </c>
      <c r="MK20" s="7" t="e">
        <f aca="false">IF(OR(#REF!&gt;2,#REF!&lt;-2),"",#REF!)</f>
        <v>#REF!</v>
      </c>
      <c r="ML20" s="7" t="e">
        <f aca="false">IF(OR(#REF!&gt;2,#REF!&lt;-2),"",#REF!)</f>
        <v>#REF!</v>
      </c>
      <c r="MM20" s="7" t="e">
        <f aca="false">IF(OR(#REF!&gt;2,#REF!&lt;-2),"",#REF!)</f>
        <v>#REF!</v>
      </c>
      <c r="MN20" s="7" t="e">
        <f aca="false">IF(OR(#REF!&gt;2,#REF!&lt;-2),"",#REF!)</f>
        <v>#REF!</v>
      </c>
      <c r="MO20" s="7" t="e">
        <f aca="false">IF(OR(#REF!&gt;2,#REF!&lt;-2),"",#REF!)</f>
        <v>#REF!</v>
      </c>
      <c r="MP20" s="7" t="e">
        <f aca="false">IF(OR(#REF!&gt;2,#REF!&lt;-2),"",#REF!)</f>
        <v>#REF!</v>
      </c>
      <c r="MQ20" s="7" t="e">
        <f aca="false">IF(OR(#REF!&gt;2,#REF!&lt;-2),"",#REF!)</f>
        <v>#REF!</v>
      </c>
      <c r="MR20" s="7" t="e">
        <f aca="false">IF(OR(#REF!&gt;2,#REF!&lt;-2),"",#REF!)</f>
        <v>#REF!</v>
      </c>
      <c r="MS20" s="7" t="e">
        <f aca="false">IF(OR(#REF!&gt;2,#REF!&lt;-2),"",#REF!)</f>
        <v>#REF!</v>
      </c>
      <c r="MT20" s="7" t="e">
        <f aca="false">IF(OR(#REF!&gt;2,#REF!&lt;-2),"",#REF!)</f>
        <v>#REF!</v>
      </c>
      <c r="MU20" s="7" t="e">
        <f aca="false">IF(OR(#REF!&gt;2,#REF!&lt;-2),"",#REF!)</f>
        <v>#REF!</v>
      </c>
      <c r="MV20" s="7" t="e">
        <f aca="false">IF(OR(#REF!&gt;2,#REF!&lt;-2),"",#REF!)</f>
        <v>#REF!</v>
      </c>
      <c r="MW20" s="7" t="e">
        <f aca="false">IF(OR(#REF!&gt;2,#REF!&lt;-2),"",#REF!)</f>
        <v>#REF!</v>
      </c>
      <c r="MX20" s="7" t="e">
        <f aca="false">IF(OR(#REF!&gt;2,#REF!&lt;-2),"",#REF!)</f>
        <v>#REF!</v>
      </c>
      <c r="MY20" s="7" t="e">
        <f aca="false">IF(OR(#REF!&gt;2,#REF!&lt;-2),"",#REF!)</f>
        <v>#REF!</v>
      </c>
      <c r="MZ20" s="7" t="e">
        <f aca="false">IF(OR(#REF!&gt;2,#REF!&lt;-2),"",#REF!)</f>
        <v>#REF!</v>
      </c>
      <c r="NA20" s="7" t="e">
        <f aca="false">IF(OR(#REF!&gt;2,#REF!&lt;-2),"",#REF!)</f>
        <v>#REF!</v>
      </c>
      <c r="NB20" s="7" t="e">
        <f aca="false">IF(OR(#REF!&gt;2,#REF!&lt;-2),"",#REF!)</f>
        <v>#REF!</v>
      </c>
      <c r="NC20" s="7" t="e">
        <f aca="false">IF(OR(#REF!&gt;2,#REF!&lt;-2),"",#REF!)</f>
        <v>#REF!</v>
      </c>
      <c r="ND20" s="7" t="e">
        <f aca="false">IF(OR(#REF!&gt;2,#REF!&lt;-2),"",#REF!)</f>
        <v>#REF!</v>
      </c>
      <c r="NE20" s="7" t="e">
        <f aca="false">IF(OR(#REF!&gt;2,#REF!&lt;-2),"",#REF!)</f>
        <v>#REF!</v>
      </c>
      <c r="NF20" s="7" t="e">
        <f aca="false">IF(OR(#REF!&gt;2,#REF!&lt;-2),"",#REF!)</f>
        <v>#REF!</v>
      </c>
      <c r="NG20" s="7" t="e">
        <f aca="false">IF(OR(#REF!&gt;2,#REF!&lt;-2),"",#REF!)</f>
        <v>#REF!</v>
      </c>
      <c r="NH20" s="7" t="e">
        <f aca="false">IF(OR(#REF!&gt;2,#REF!&lt;-2),"",#REF!)</f>
        <v>#REF!</v>
      </c>
      <c r="NI20" s="7" t="e">
        <f aca="false">IF(OR(#REF!&gt;2,#REF!&lt;-2),"",#REF!)</f>
        <v>#REF!</v>
      </c>
      <c r="NJ20" s="7" t="e">
        <f aca="false">IF(OR(#REF!&gt;2,#REF!&lt;-2),"",#REF!)</f>
        <v>#REF!</v>
      </c>
      <c r="NK20" s="7" t="e">
        <f aca="false">IF(OR(#REF!&gt;2,#REF!&lt;-2),"",#REF!)</f>
        <v>#REF!</v>
      </c>
      <c r="NL20" s="7" t="e">
        <f aca="false">IF(OR(#REF!&gt;2,#REF!&lt;-2),"",#REF!)</f>
        <v>#REF!</v>
      </c>
      <c r="NM20" s="7" t="e">
        <f aca="false">IF(OR(#REF!&gt;2,#REF!&lt;-2),"",#REF!)</f>
        <v>#REF!</v>
      </c>
      <c r="NN20" s="7" t="e">
        <f aca="false">IF(OR(#REF!&gt;2,#REF!&lt;-2),"",#REF!)</f>
        <v>#REF!</v>
      </c>
      <c r="NO20" s="7" t="e">
        <f aca="false">IF(OR(#REF!&gt;2,#REF!&lt;-2),"",#REF!)</f>
        <v>#REF!</v>
      </c>
      <c r="NP20" s="7" t="e">
        <f aca="false">IF(OR(#REF!&gt;2,#REF!&lt;-2),"",#REF!)</f>
        <v>#REF!</v>
      </c>
      <c r="NQ20" s="7" t="e">
        <f aca="false">IF(OR(#REF!&gt;2,#REF!&lt;-2),"",#REF!)</f>
        <v>#REF!</v>
      </c>
      <c r="NR20" s="7" t="e">
        <f aca="false">IF(OR(#REF!&gt;2,#REF!&lt;-2),"",#REF!)</f>
        <v>#REF!</v>
      </c>
      <c r="NS20" s="7" t="e">
        <f aca="false">IF(OR(#REF!&gt;2,#REF!&lt;-2),"",#REF!)</f>
        <v>#REF!</v>
      </c>
      <c r="NT20" s="7" t="e">
        <f aca="false">IF(OR(#REF!&gt;2,#REF!&lt;-2),"",#REF!)</f>
        <v>#REF!</v>
      </c>
      <c r="NU20" s="7" t="e">
        <f aca="false">IF(OR(#REF!&gt;2,#REF!&lt;-2),"",#REF!)</f>
        <v>#REF!</v>
      </c>
      <c r="NV20" s="7" t="e">
        <f aca="false">IF(OR(#REF!&gt;2,#REF!&lt;-2),"",#REF!)</f>
        <v>#REF!</v>
      </c>
      <c r="NW20" s="7" t="e">
        <f aca="false">IF(OR(#REF!&gt;2,#REF!&lt;-2),"",#REF!)</f>
        <v>#REF!</v>
      </c>
      <c r="NX20" s="7" t="e">
        <f aca="false">IF(OR(#REF!&gt;2,#REF!&lt;-2),"",#REF!)</f>
        <v>#REF!</v>
      </c>
      <c r="NY20" s="7" t="e">
        <f aca="false">IF(OR(#REF!&gt;2,#REF!&lt;-2),"",#REF!)</f>
        <v>#REF!</v>
      </c>
      <c r="NZ20" s="7" t="e">
        <f aca="false">IF(OR(#REF!&gt;2,#REF!&lt;-2),"",#REF!)</f>
        <v>#REF!</v>
      </c>
      <c r="OA20" s="7" t="e">
        <f aca="false">IF(OR(#REF!&gt;2,#REF!&lt;-2),"",#REF!)</f>
        <v>#REF!</v>
      </c>
      <c r="OB20" s="7" t="e">
        <f aca="false">IF(OR(#REF!&gt;2,#REF!&lt;-2),"",#REF!)</f>
        <v>#REF!</v>
      </c>
      <c r="OC20" s="7" t="e">
        <f aca="false">IF(OR(#REF!&gt;2,#REF!&lt;-2),"",#REF!)</f>
        <v>#REF!</v>
      </c>
      <c r="OD20" s="7" t="e">
        <f aca="false">IF(OR(#REF!&gt;2,#REF!&lt;-2),"",#REF!)</f>
        <v>#REF!</v>
      </c>
      <c r="OE20" s="7" t="e">
        <f aca="false">IF(OR(#REF!&gt;2,#REF!&lt;-2),"",#REF!)</f>
        <v>#REF!</v>
      </c>
      <c r="OF20" s="7" t="e">
        <f aca="false">IF(OR(#REF!&gt;2,#REF!&lt;-2),"",#REF!)</f>
        <v>#REF!</v>
      </c>
      <c r="OG20" s="7" t="e">
        <f aca="false">IF(OR(#REF!&gt;2,#REF!&lt;-2),"",#REF!)</f>
        <v>#REF!</v>
      </c>
      <c r="OH20" s="7" t="e">
        <f aca="false">IF(OR(#REF!&gt;2,#REF!&lt;-2),"",#REF!)</f>
        <v>#REF!</v>
      </c>
      <c r="OI20" s="7" t="e">
        <f aca="false">IF(OR(#REF!&gt;2,#REF!&lt;-2),"",#REF!)</f>
        <v>#REF!</v>
      </c>
      <c r="OJ20" s="7" t="e">
        <f aca="false">IF(OR(#REF!&gt;2,#REF!&lt;-2),"",#REF!)</f>
        <v>#REF!</v>
      </c>
      <c r="OK20" s="7" t="e">
        <f aca="false">IF(OR(#REF!&gt;2,#REF!&lt;-2),"",#REF!)</f>
        <v>#REF!</v>
      </c>
      <c r="OL20" s="7" t="e">
        <f aca="false">IF(OR(#REF!&gt;2,#REF!&lt;-2),"",#REF!)</f>
        <v>#REF!</v>
      </c>
      <c r="OM20" s="7" t="e">
        <f aca="false">IF(OR(#REF!&gt;2,#REF!&lt;-2),"",#REF!)</f>
        <v>#REF!</v>
      </c>
      <c r="ON20" s="7" t="e">
        <f aca="false">IF(OR(#REF!&gt;2,#REF!&lt;-2),"",#REF!)</f>
        <v>#REF!</v>
      </c>
      <c r="OO20" s="7" t="e">
        <f aca="false">IF(OR(#REF!&gt;2,#REF!&lt;-2),"",#REF!)</f>
        <v>#REF!</v>
      </c>
      <c r="OP20" s="7" t="e">
        <f aca="false">IF(OR(#REF!&gt;2,#REF!&lt;-2),"",#REF!)</f>
        <v>#REF!</v>
      </c>
      <c r="OQ20" s="7" t="e">
        <f aca="false">IF(OR(#REF!&gt;2,#REF!&lt;-2),"",#REF!)</f>
        <v>#REF!</v>
      </c>
      <c r="OR20" s="7" t="e">
        <f aca="false">IF(OR(#REF!&gt;2,#REF!&lt;-2),"",#REF!)</f>
        <v>#REF!</v>
      </c>
      <c r="OS20" s="7" t="e">
        <f aca="false">IF(OR(#REF!&gt;2,#REF!&lt;-2),"",#REF!)</f>
        <v>#REF!</v>
      </c>
      <c r="OT20" s="7" t="e">
        <f aca="false">IF(OR(#REF!&gt;2,#REF!&lt;-2),"",#REF!)</f>
        <v>#REF!</v>
      </c>
      <c r="OU20" s="7" t="e">
        <f aca="false">IF(OR(#REF!&gt;2,#REF!&lt;-2),"",#REF!)</f>
        <v>#REF!</v>
      </c>
      <c r="OV20" s="7" t="e">
        <f aca="false">IF(OR(#REF!&gt;2,#REF!&lt;-2),"",#REF!)</f>
        <v>#REF!</v>
      </c>
      <c r="OW20" s="7" t="e">
        <f aca="false">IF(OR(#REF!&gt;2,#REF!&lt;-2),"",#REF!)</f>
        <v>#REF!</v>
      </c>
      <c r="OX20" s="7" t="e">
        <f aca="false">IF(OR(#REF!&gt;2,#REF!&lt;-2),"",#REF!)</f>
        <v>#REF!</v>
      </c>
      <c r="OY20" s="7" t="e">
        <f aca="false">IF(OR(#REF!&gt;2,#REF!&lt;-2),"",#REF!)</f>
        <v>#REF!</v>
      </c>
      <c r="OZ20" s="7" t="e">
        <f aca="false">IF(OR(#REF!&gt;2,#REF!&lt;-2),"",#REF!)</f>
        <v>#REF!</v>
      </c>
      <c r="PA20" s="7" t="e">
        <f aca="false">IF(OR(#REF!&gt;2,#REF!&lt;-2),"",#REF!)</f>
        <v>#REF!</v>
      </c>
      <c r="PB20" s="7" t="e">
        <f aca="false">IF(OR(#REF!&gt;2,#REF!&lt;-2),"",#REF!)</f>
        <v>#REF!</v>
      </c>
      <c r="PC20" s="7" t="e">
        <f aca="false">IF(OR(#REF!&gt;2,#REF!&lt;-2),"",#REF!)</f>
        <v>#REF!</v>
      </c>
      <c r="PD20" s="7" t="e">
        <f aca="false">IF(OR(#REF!&gt;2,#REF!&lt;-2),"",#REF!)</f>
        <v>#REF!</v>
      </c>
      <c r="PE20" s="7" t="e">
        <f aca="false">IF(OR(#REF!&gt;2,#REF!&lt;-2),"",#REF!)</f>
        <v>#REF!</v>
      </c>
      <c r="PF20" s="7" t="e">
        <f aca="false">IF(OR(#REF!&gt;2,#REF!&lt;-2),"",#REF!)</f>
        <v>#REF!</v>
      </c>
      <c r="PG20" s="7" t="e">
        <f aca="false">IF(OR(#REF!&gt;2,#REF!&lt;-2),"",#REF!)</f>
        <v>#REF!</v>
      </c>
      <c r="PH20" s="7" t="e">
        <f aca="false">IF(OR(#REF!&gt;2,#REF!&lt;-2),"",#REF!)</f>
        <v>#REF!</v>
      </c>
      <c r="PI20" s="7" t="e">
        <f aca="false">IF(OR(#REF!&gt;2,#REF!&lt;-2),"",#REF!)</f>
        <v>#REF!</v>
      </c>
      <c r="PJ20" s="7" t="e">
        <f aca="false">IF(OR(#REF!&gt;2,#REF!&lt;-2),"",#REF!)</f>
        <v>#REF!</v>
      </c>
      <c r="PK20" s="7" t="e">
        <f aca="false">IF(OR(#REF!&gt;2,#REF!&lt;-2),"",#REF!)</f>
        <v>#REF!</v>
      </c>
      <c r="PL20" s="7" t="e">
        <f aca="false">IF(OR(#REF!&gt;2,#REF!&lt;-2),"",#REF!)</f>
        <v>#REF!</v>
      </c>
      <c r="PM20" s="7" t="e">
        <f aca="false">IF(OR(#REF!&gt;2,#REF!&lt;-2),"",#REF!)</f>
        <v>#REF!</v>
      </c>
      <c r="PN20" s="7" t="e">
        <f aca="false">IF(OR(#REF!&gt;2,#REF!&lt;-2),"",#REF!)</f>
        <v>#REF!</v>
      </c>
      <c r="PO20" s="7" t="e">
        <f aca="false">IF(OR(#REF!&gt;2,#REF!&lt;-2),"",#REF!)</f>
        <v>#REF!</v>
      </c>
      <c r="PP20" s="7" t="e">
        <f aca="false">IF(OR(#REF!&gt;2,#REF!&lt;-2),"",#REF!)</f>
        <v>#REF!</v>
      </c>
      <c r="PQ20" s="7" t="e">
        <f aca="false">IF(OR(#REF!&gt;2,#REF!&lt;-2),"",#REF!)</f>
        <v>#REF!</v>
      </c>
      <c r="PR20" s="7" t="e">
        <f aca="false">IF(OR(#REF!&gt;2,#REF!&lt;-2),"",#REF!)</f>
        <v>#REF!</v>
      </c>
      <c r="PS20" s="7" t="e">
        <f aca="false">IF(OR(#REF!&gt;2,#REF!&lt;-2),"",#REF!)</f>
        <v>#REF!</v>
      </c>
      <c r="PT20" s="7" t="e">
        <f aca="false">IF(OR(#REF!&gt;2,#REF!&lt;-2),"",#REF!)</f>
        <v>#REF!</v>
      </c>
      <c r="PU20" s="7" t="e">
        <f aca="false">IF(OR(#REF!&gt;2,#REF!&lt;-2),"",#REF!)</f>
        <v>#REF!</v>
      </c>
      <c r="PV20" s="7" t="e">
        <f aca="false">IF(OR(#REF!&gt;2,#REF!&lt;-2),"",#REF!)</f>
        <v>#REF!</v>
      </c>
      <c r="PW20" s="7" t="e">
        <f aca="false">IF(OR(#REF!&gt;2,#REF!&lt;-2),"",#REF!)</f>
        <v>#REF!</v>
      </c>
      <c r="PX20" s="7" t="e">
        <f aca="false">IF(OR(#REF!&gt;2,#REF!&lt;-2),"",#REF!)</f>
        <v>#REF!</v>
      </c>
      <c r="PY20" s="7" t="e">
        <f aca="false">IF(OR(#REF!&gt;2,#REF!&lt;-2),"",#REF!)</f>
        <v>#REF!</v>
      </c>
      <c r="PZ20" s="7" t="e">
        <f aca="false">IF(OR(#REF!&gt;2,#REF!&lt;-2),"",#REF!)</f>
        <v>#REF!</v>
      </c>
      <c r="QA20" s="7" t="e">
        <f aca="false">IF(OR(#REF!&gt;2,#REF!&lt;-2),"",#REF!)</f>
        <v>#REF!</v>
      </c>
      <c r="QB20" s="7" t="e">
        <f aca="false">IF(OR(#REF!&gt;2,#REF!&lt;-2),"",#REF!)</f>
        <v>#REF!</v>
      </c>
      <c r="QC20" s="7" t="e">
        <f aca="false">IF(OR(#REF!&gt;2,#REF!&lt;-2),"",#REF!)</f>
        <v>#REF!</v>
      </c>
      <c r="QD20" s="7" t="e">
        <f aca="false">IF(OR(#REF!&gt;2,#REF!&lt;-2),"",#REF!)</f>
        <v>#REF!</v>
      </c>
      <c r="QE20" s="7" t="e">
        <f aca="false">IF(OR(#REF!&gt;2,#REF!&lt;-2),"",#REF!)</f>
        <v>#REF!</v>
      </c>
      <c r="QF20" s="7" t="e">
        <f aca="false">IF(OR(#REF!&gt;2,#REF!&lt;-2),"",#REF!)</f>
        <v>#REF!</v>
      </c>
      <c r="QG20" s="7" t="e">
        <f aca="false">IF(OR(#REF!&gt;2,#REF!&lt;-2),"",#REF!)</f>
        <v>#REF!</v>
      </c>
      <c r="QH20" s="7" t="e">
        <f aca="false">IF(OR(#REF!&gt;2,#REF!&lt;-2),"",#REF!)</f>
        <v>#REF!</v>
      </c>
      <c r="QI20" s="7" t="e">
        <f aca="false">IF(OR(#REF!&gt;2,#REF!&lt;-2),"",#REF!)</f>
        <v>#REF!</v>
      </c>
      <c r="QJ20" s="7" t="e">
        <f aca="false">IF(OR(#REF!&gt;2,#REF!&lt;-2),"",#REF!)</f>
        <v>#REF!</v>
      </c>
      <c r="QK20" s="7" t="e">
        <f aca="false">IF(OR(#REF!&gt;2,#REF!&lt;-2),"",#REF!)</f>
        <v>#REF!</v>
      </c>
      <c r="QL20" s="7" t="e">
        <f aca="false">IF(OR(#REF!&gt;2,#REF!&lt;-2),"",#REF!)</f>
        <v>#REF!</v>
      </c>
      <c r="QM20" s="7" t="e">
        <f aca="false">IF(OR(#REF!&gt;2,#REF!&lt;-2),"",#REF!)</f>
        <v>#REF!</v>
      </c>
      <c r="QN20" s="7" t="e">
        <f aca="false">IF(OR(#REF!&gt;2,#REF!&lt;-2),"",#REF!)</f>
        <v>#REF!</v>
      </c>
      <c r="QO20" s="7" t="e">
        <f aca="false">IF(OR(#REF!&gt;2,#REF!&lt;-2),"",#REF!)</f>
        <v>#REF!</v>
      </c>
      <c r="QP20" s="7" t="e">
        <f aca="false">IF(OR(#REF!&gt;2,#REF!&lt;-2),"",#REF!)</f>
        <v>#REF!</v>
      </c>
      <c r="QQ20" s="7" t="e">
        <f aca="false">IF(OR(#REF!&gt;2,#REF!&lt;-2),"",#REF!)</f>
        <v>#REF!</v>
      </c>
      <c r="QR20" s="7" t="e">
        <f aca="false">IF(OR(#REF!&gt;2,#REF!&lt;-2),"",#REF!)</f>
        <v>#REF!</v>
      </c>
      <c r="QS20" s="7" t="e">
        <f aca="false">IF(OR(#REF!&gt;2,#REF!&lt;-2),"",#REF!)</f>
        <v>#REF!</v>
      </c>
      <c r="QT20" s="7" t="e">
        <f aca="false">IF(OR(#REF!&gt;2,#REF!&lt;-2),"",#REF!)</f>
        <v>#REF!</v>
      </c>
      <c r="QU20" s="7" t="e">
        <f aca="false">IF(OR(#REF!&gt;2,#REF!&lt;-2),"",#REF!)</f>
        <v>#REF!</v>
      </c>
      <c r="QV20" s="7" t="e">
        <f aca="false">IF(OR(#REF!&gt;2,#REF!&lt;-2),"",#REF!)</f>
        <v>#REF!</v>
      </c>
      <c r="QW20" s="7" t="e">
        <f aca="false">IF(OR(#REF!&gt;2,#REF!&lt;-2),"",#REF!)</f>
        <v>#REF!</v>
      </c>
      <c r="QX20" s="7" t="e">
        <f aca="false">IF(OR(#REF!&gt;2,#REF!&lt;-2),"",#REF!)</f>
        <v>#REF!</v>
      </c>
      <c r="QY20" s="7" t="e">
        <f aca="false">IF(OR(#REF!&gt;2,#REF!&lt;-2),"",#REF!)</f>
        <v>#REF!</v>
      </c>
      <c r="QZ20" s="7" t="e">
        <f aca="false">IF(OR(#REF!&gt;2,#REF!&lt;-2),"",#REF!)</f>
        <v>#REF!</v>
      </c>
      <c r="RA20" s="7" t="e">
        <f aca="false">IF(OR(#REF!&gt;2,#REF!&lt;-2),"",#REF!)</f>
        <v>#REF!</v>
      </c>
      <c r="RB20" s="7" t="e">
        <f aca="false">IF(OR(#REF!&gt;2,#REF!&lt;-2),"",#REF!)</f>
        <v>#REF!</v>
      </c>
      <c r="RC20" s="7" t="e">
        <f aca="false">IF(OR(#REF!&gt;2,#REF!&lt;-2),"",#REF!)</f>
        <v>#REF!</v>
      </c>
      <c r="RD20" s="7" t="e">
        <f aca="false">IF(OR(#REF!&gt;2,#REF!&lt;-2),"",#REF!)</f>
        <v>#REF!</v>
      </c>
      <c r="RE20" s="7" t="e">
        <f aca="false">IF(OR(#REF!&gt;2,#REF!&lt;-2),"",#REF!)</f>
        <v>#REF!</v>
      </c>
      <c r="RF20" s="7" t="e">
        <f aca="false">IF(OR(#REF!&gt;2,#REF!&lt;-2),"",#REF!)</f>
        <v>#REF!</v>
      </c>
      <c r="RG20" s="7" t="e">
        <f aca="false">IF(OR(#REF!&gt;2,#REF!&lt;-2),"",#REF!)</f>
        <v>#REF!</v>
      </c>
      <c r="RH20" s="7" t="e">
        <f aca="false">IF(OR(#REF!&gt;2,#REF!&lt;-2),"",#REF!)</f>
        <v>#REF!</v>
      </c>
      <c r="RI20" s="7" t="e">
        <f aca="false">IF(OR(#REF!&gt;2,#REF!&lt;-2),"",#REF!)</f>
        <v>#REF!</v>
      </c>
      <c r="RJ20" s="7" t="e">
        <f aca="false">IF(OR(#REF!&gt;2,#REF!&lt;-2),"",#REF!)</f>
        <v>#REF!</v>
      </c>
      <c r="RK20" s="7" t="e">
        <f aca="false">IF(OR(#REF!&gt;2,#REF!&lt;-2),"",#REF!)</f>
        <v>#REF!</v>
      </c>
      <c r="RL20" s="7" t="e">
        <f aca="false">IF(OR(#REF!&gt;2,#REF!&lt;-2),"",#REF!)</f>
        <v>#REF!</v>
      </c>
      <c r="RM20" s="7" t="e">
        <f aca="false">IF(OR(#REF!&gt;2,#REF!&lt;-2),"",#REF!)</f>
        <v>#REF!</v>
      </c>
      <c r="RN20" s="7" t="e">
        <f aca="false">IF(OR(#REF!&gt;2,#REF!&lt;-2),"",#REF!)</f>
        <v>#REF!</v>
      </c>
      <c r="RO20" s="7" t="e">
        <f aca="false">IF(OR(#REF!&gt;2,#REF!&lt;-2),"",#REF!)</f>
        <v>#REF!</v>
      </c>
      <c r="RP20" s="7" t="e">
        <f aca="false">IF(OR(#REF!&gt;2,#REF!&lt;-2),"",#REF!)</f>
        <v>#REF!</v>
      </c>
      <c r="RQ20" s="7" t="e">
        <f aca="false">IF(OR(#REF!&gt;2,#REF!&lt;-2),"",#REF!)</f>
        <v>#REF!</v>
      </c>
      <c r="RR20" s="7" t="e">
        <f aca="false">IF(OR(#REF!&gt;2,#REF!&lt;-2),"",#REF!)</f>
        <v>#REF!</v>
      </c>
      <c r="RS20" s="7" t="e">
        <f aca="false">IF(OR(#REF!&gt;2,#REF!&lt;-2),"",#REF!)</f>
        <v>#REF!</v>
      </c>
      <c r="RT20" s="7" t="e">
        <f aca="false">IF(OR(#REF!&gt;2,#REF!&lt;-2),"",#REF!)</f>
        <v>#REF!</v>
      </c>
      <c r="RU20" s="7" t="e">
        <f aca="false">IF(OR(#REF!&gt;2,#REF!&lt;-2),"",#REF!)</f>
        <v>#REF!</v>
      </c>
      <c r="RV20" s="7" t="e">
        <f aca="false">IF(OR(#REF!&gt;2,#REF!&lt;-2),"",#REF!)</f>
        <v>#REF!</v>
      </c>
      <c r="RW20" s="7" t="e">
        <f aca="false">IF(OR(#REF!&gt;2,#REF!&lt;-2),"",#REF!)</f>
        <v>#REF!</v>
      </c>
      <c r="RX20" s="7" t="e">
        <f aca="false">IF(OR(#REF!&gt;2,#REF!&lt;-2),"",#REF!)</f>
        <v>#REF!</v>
      </c>
      <c r="RY20" s="7" t="e">
        <f aca="false">IF(OR(#REF!&gt;2,#REF!&lt;-2),"",#REF!)</f>
        <v>#REF!</v>
      </c>
      <c r="RZ20" s="7" t="e">
        <f aca="false">IF(OR(#REF!&gt;2,#REF!&lt;-2),"",#REF!)</f>
        <v>#REF!</v>
      </c>
      <c r="SA20" s="7" t="e">
        <f aca="false">IF(OR(#REF!&gt;2,#REF!&lt;-2),"",#REF!)</f>
        <v>#REF!</v>
      </c>
      <c r="SB20" s="7" t="e">
        <f aca="false">IF(OR(#REF!&gt;2,#REF!&lt;-2),"",#REF!)</f>
        <v>#REF!</v>
      </c>
      <c r="SC20" s="7" t="e">
        <f aca="false">IF(OR(#REF!&gt;2,#REF!&lt;-2),"",#REF!)</f>
        <v>#REF!</v>
      </c>
      <c r="SD20" s="7" t="e">
        <f aca="false">IF(OR(#REF!&gt;2,#REF!&lt;-2),"",#REF!)</f>
        <v>#REF!</v>
      </c>
      <c r="SE20" s="7" t="e">
        <f aca="false">IF(OR(#REF!&gt;2,#REF!&lt;-2),"",#REF!)</f>
        <v>#REF!</v>
      </c>
      <c r="SF20" s="7" t="e">
        <f aca="false">IF(OR(#REF!&gt;2,#REF!&lt;-2),"",#REF!)</f>
        <v>#REF!</v>
      </c>
      <c r="SG20" s="7" t="e">
        <f aca="false">IF(OR(#REF!&gt;2,#REF!&lt;-2),"",#REF!)</f>
        <v>#REF!</v>
      </c>
      <c r="SH20" s="7" t="e">
        <f aca="false">IF(OR(#REF!&gt;2,#REF!&lt;-2),"",#REF!)</f>
        <v>#REF!</v>
      </c>
      <c r="SI20" s="7" t="e">
        <f aca="false">IF(OR(#REF!&gt;2,#REF!&lt;-2),"",#REF!)</f>
        <v>#REF!</v>
      </c>
      <c r="SJ20" s="7" t="e">
        <f aca="false">IF(OR(#REF!&gt;2,#REF!&lt;-2),"",#REF!)</f>
        <v>#REF!</v>
      </c>
      <c r="SK20" s="7" t="e">
        <f aca="false">IF(OR(#REF!&gt;2,#REF!&lt;-2),"",#REF!)</f>
        <v>#REF!</v>
      </c>
      <c r="SL20" s="7" t="e">
        <f aca="false">IF(OR(#REF!&gt;2,#REF!&lt;-2),"",#REF!)</f>
        <v>#REF!</v>
      </c>
      <c r="SM20" s="7" t="e">
        <f aca="false">IF(OR(#REF!&gt;2,#REF!&lt;-2),"",#REF!)</f>
        <v>#REF!</v>
      </c>
      <c r="SN20" s="7" t="e">
        <f aca="false">IF(OR(#REF!&gt;2,#REF!&lt;-2),"",#REF!)</f>
        <v>#REF!</v>
      </c>
      <c r="SO20" s="7" t="e">
        <f aca="false">IF(OR(#REF!&gt;2,#REF!&lt;-2),"",#REF!)</f>
        <v>#REF!</v>
      </c>
      <c r="SP20" s="7" t="e">
        <f aca="false">IF(OR(#REF!&gt;2,#REF!&lt;-2),"",#REF!)</f>
        <v>#REF!</v>
      </c>
      <c r="SQ20" s="7" t="e">
        <f aca="false">IF(OR(#REF!&gt;2,#REF!&lt;-2),"",#REF!)</f>
        <v>#REF!</v>
      </c>
      <c r="SR20" s="7" t="e">
        <f aca="false">IF(OR(#REF!&gt;2,#REF!&lt;-2),"",#REF!)</f>
        <v>#REF!</v>
      </c>
      <c r="SS20" s="7" t="e">
        <f aca="false">IF(OR(#REF!&gt;2,#REF!&lt;-2),"",#REF!)</f>
        <v>#REF!</v>
      </c>
      <c r="ST20" s="7" t="e">
        <f aca="false">IF(OR(#REF!&gt;2,#REF!&lt;-2),"",#REF!)</f>
        <v>#REF!</v>
      </c>
      <c r="SU20" s="7" t="e">
        <f aca="false">IF(OR(#REF!&gt;2,#REF!&lt;-2),"",#REF!)</f>
        <v>#REF!</v>
      </c>
      <c r="SV20" s="7" t="e">
        <f aca="false">IF(OR(#REF!&gt;2,#REF!&lt;-2),"",#REF!)</f>
        <v>#REF!</v>
      </c>
      <c r="SW20" s="7" t="e">
        <f aca="false">IF(OR(#REF!&gt;2,#REF!&lt;-2),"",#REF!)</f>
        <v>#REF!</v>
      </c>
      <c r="SX20" s="7" t="e">
        <f aca="false">IF(OR(#REF!&gt;2,#REF!&lt;-2),"",#REF!)</f>
        <v>#REF!</v>
      </c>
      <c r="SY20" s="7" t="e">
        <f aca="false">IF(OR(#REF!&gt;2,#REF!&lt;-2),"",#REF!)</f>
        <v>#REF!</v>
      </c>
      <c r="SZ20" s="7" t="e">
        <f aca="false">IF(OR(#REF!&gt;2,#REF!&lt;-2),"",#REF!)</f>
        <v>#REF!</v>
      </c>
      <c r="TA20" s="7" t="e">
        <f aca="false">IF(OR(#REF!&gt;2,#REF!&lt;-2),"",#REF!)</f>
        <v>#REF!</v>
      </c>
      <c r="TB20" s="7" t="e">
        <f aca="false">IF(OR(#REF!&gt;2,#REF!&lt;-2),"",#REF!)</f>
        <v>#REF!</v>
      </c>
      <c r="TC20" s="7" t="e">
        <f aca="false">IF(OR(#REF!&gt;2,#REF!&lt;-2),"",#REF!)</f>
        <v>#REF!</v>
      </c>
      <c r="TD20" s="7" t="e">
        <f aca="false">IF(OR(#REF!&gt;2,#REF!&lt;-2),"",#REF!)</f>
        <v>#REF!</v>
      </c>
      <c r="TE20" s="7" t="e">
        <f aca="false">IF(OR(#REF!&gt;2,#REF!&lt;-2),"",#REF!)</f>
        <v>#REF!</v>
      </c>
      <c r="TF20" s="7" t="e">
        <f aca="false">IF(OR(#REF!&gt;2,#REF!&lt;-2),"",#REF!)</f>
        <v>#REF!</v>
      </c>
      <c r="TG20" s="7" t="e">
        <f aca="false">IF(OR(#REF!&gt;2,#REF!&lt;-2),"",#REF!)</f>
        <v>#REF!</v>
      </c>
      <c r="TH20" s="7" t="e">
        <f aca="false">IF(OR(#REF!&gt;2,#REF!&lt;-2),"",#REF!)</f>
        <v>#REF!</v>
      </c>
      <c r="TI20" s="7" t="e">
        <f aca="false">IF(OR(#REF!&gt;2,#REF!&lt;-2),"",#REF!)</f>
        <v>#REF!</v>
      </c>
      <c r="TJ20" s="7" t="e">
        <f aca="false">IF(OR(#REF!&gt;2,#REF!&lt;-2),"",#REF!)</f>
        <v>#REF!</v>
      </c>
      <c r="TK20" s="7" t="e">
        <f aca="false">IF(OR(#REF!&gt;2,#REF!&lt;-2),"",#REF!)</f>
        <v>#REF!</v>
      </c>
      <c r="TL20" s="7" t="e">
        <f aca="false">IF(OR(#REF!&gt;2,#REF!&lt;-2),"",#REF!)</f>
        <v>#REF!</v>
      </c>
      <c r="TM20" s="7" t="e">
        <f aca="false">IF(OR(#REF!&gt;2,#REF!&lt;-2),"",#REF!)</f>
        <v>#REF!</v>
      </c>
      <c r="TN20" s="7" t="e">
        <f aca="false">IF(OR(#REF!&gt;2,#REF!&lt;-2),"",#REF!)</f>
        <v>#REF!</v>
      </c>
      <c r="TO20" s="7" t="e">
        <f aca="false">IF(OR(#REF!&gt;2,#REF!&lt;-2),"",#REF!)</f>
        <v>#REF!</v>
      </c>
      <c r="TP20" s="7" t="e">
        <f aca="false">IF(OR(#REF!&gt;2,#REF!&lt;-2),"",#REF!)</f>
        <v>#REF!</v>
      </c>
      <c r="TQ20" s="7" t="e">
        <f aca="false">IF(OR(#REF!&gt;2,#REF!&lt;-2),"",#REF!)</f>
        <v>#REF!</v>
      </c>
      <c r="TR20" s="7" t="e">
        <f aca="false">IF(OR(#REF!&gt;2,#REF!&lt;-2),"",#REF!)</f>
        <v>#REF!</v>
      </c>
      <c r="TS20" s="7" t="e">
        <f aca="false">IF(OR(#REF!&gt;2,#REF!&lt;-2),"",#REF!)</f>
        <v>#REF!</v>
      </c>
      <c r="TT20" s="7" t="e">
        <f aca="false">IF(OR(#REF!&gt;2,#REF!&lt;-2),"",#REF!)</f>
        <v>#REF!</v>
      </c>
      <c r="TU20" s="7" t="e">
        <f aca="false">IF(OR(#REF!&gt;2,#REF!&lt;-2),"",#REF!)</f>
        <v>#REF!</v>
      </c>
      <c r="TV20" s="7" t="e">
        <f aca="false">IF(OR(#REF!&gt;2,#REF!&lt;-2),"",#REF!)</f>
        <v>#REF!</v>
      </c>
      <c r="TW20" s="7" t="e">
        <f aca="false">IF(OR(#REF!&gt;2,#REF!&lt;-2),"",#REF!)</f>
        <v>#REF!</v>
      </c>
      <c r="TX20" s="7" t="e">
        <f aca="false">IF(OR(#REF!&gt;2,#REF!&lt;-2),"",#REF!)</f>
        <v>#REF!</v>
      </c>
      <c r="TY20" s="7" t="e">
        <f aca="false">IF(OR(#REF!&gt;2,#REF!&lt;-2),"",#REF!)</f>
        <v>#REF!</v>
      </c>
      <c r="TZ20" s="7" t="e">
        <f aca="false">IF(OR(#REF!&gt;2,#REF!&lt;-2),"",#REF!)</f>
        <v>#REF!</v>
      </c>
      <c r="UA20" s="7" t="e">
        <f aca="false">IF(OR(#REF!&gt;2,#REF!&lt;-2),"",#REF!)</f>
        <v>#REF!</v>
      </c>
      <c r="UB20" s="7" t="e">
        <f aca="false">IF(OR(#REF!&gt;2,#REF!&lt;-2),"",#REF!)</f>
        <v>#REF!</v>
      </c>
      <c r="UC20" s="7" t="e">
        <f aca="false">IF(OR(#REF!&gt;2,#REF!&lt;-2),"",#REF!)</f>
        <v>#REF!</v>
      </c>
      <c r="UD20" s="7" t="e">
        <f aca="false">IF(OR(#REF!&gt;2,#REF!&lt;-2),"",#REF!)</f>
        <v>#REF!</v>
      </c>
      <c r="UE20" s="7" t="e">
        <f aca="false">IF(OR(#REF!&gt;2,#REF!&lt;-2),"",#REF!)</f>
        <v>#REF!</v>
      </c>
      <c r="UF20" s="7" t="e">
        <f aca="false">IF(OR(#REF!&gt;2,#REF!&lt;-2),"",#REF!)</f>
        <v>#REF!</v>
      </c>
      <c r="UG20" s="7" t="e">
        <f aca="false">IF(OR(#REF!&gt;2,#REF!&lt;-2),"",#REF!)</f>
        <v>#REF!</v>
      </c>
      <c r="UH20" s="7" t="e">
        <f aca="false">IF(OR(#REF!&gt;2,#REF!&lt;-2),"",#REF!)</f>
        <v>#REF!</v>
      </c>
      <c r="UI20" s="7" t="e">
        <f aca="false">IF(OR(#REF!&gt;2,#REF!&lt;-2),"",#REF!)</f>
        <v>#REF!</v>
      </c>
      <c r="UJ20" s="7" t="e">
        <f aca="false">IF(OR(#REF!&gt;2,#REF!&lt;-2),"",#REF!)</f>
        <v>#REF!</v>
      </c>
      <c r="UK20" s="7" t="e">
        <f aca="false">IF(OR(#REF!&gt;2,#REF!&lt;-2),"",#REF!)</f>
        <v>#REF!</v>
      </c>
      <c r="UL20" s="7" t="e">
        <f aca="false">IF(OR(#REF!&gt;2,#REF!&lt;-2),"",#REF!)</f>
        <v>#REF!</v>
      </c>
      <c r="UM20" s="7" t="e">
        <f aca="false">IF(OR(#REF!&gt;2,#REF!&lt;-2),"",#REF!)</f>
        <v>#REF!</v>
      </c>
      <c r="UN20" s="7" t="e">
        <f aca="false">IF(OR(#REF!&gt;2,#REF!&lt;-2),"",#REF!)</f>
        <v>#REF!</v>
      </c>
      <c r="UO20" s="7" t="e">
        <f aca="false">IF(OR(#REF!&gt;2,#REF!&lt;-2),"",#REF!)</f>
        <v>#REF!</v>
      </c>
      <c r="UP20" s="7" t="e">
        <f aca="false">IF(OR(#REF!&gt;2,#REF!&lt;-2),"",#REF!)</f>
        <v>#REF!</v>
      </c>
    </row>
    <row r="21" s="7" customFormat="true" ht="14.5" hidden="false" customHeight="false" outlineLevel="0" collapsed="false">
      <c r="A21" s="0"/>
      <c r="B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4.5" hidden="false" customHeight="false" outlineLevel="0" collapsed="false">
      <c r="A22" s="0" t="s">
        <v>1310</v>
      </c>
      <c r="C22" s="7" t="e">
        <f aca="false">AVERAGE(C13:C20)-AVERAGE(C4:C12)</f>
        <v>#REF!</v>
      </c>
      <c r="D22" s="7" t="e">
        <f aca="false">AVERAGE(D13:D20)-AVERAGE(D4:D12)</f>
        <v>#REF!</v>
      </c>
      <c r="E22" s="7" t="e">
        <f aca="false">AVERAGE(E13:E20)-AVERAGE(E4:E12)</f>
        <v>#REF!</v>
      </c>
      <c r="F22" s="7" t="e">
        <f aca="false">AVERAGE(F13:F20)-AVERAGE(F4:F12)</f>
        <v>#REF!</v>
      </c>
      <c r="G22" s="7" t="e">
        <f aca="false">AVERAGE(G13:G20)-AVERAGE(G4:G12)</f>
        <v>#REF!</v>
      </c>
      <c r="H22" s="7" t="e">
        <f aca="false">AVERAGE(H13:H20)-AVERAGE(H4:H12)</f>
        <v>#REF!</v>
      </c>
      <c r="I22" s="7" t="e">
        <f aca="false">AVERAGE(I13:I20)-AVERAGE(I4:I12)</f>
        <v>#REF!</v>
      </c>
      <c r="J22" s="7" t="e">
        <f aca="false">AVERAGE(J13:J20)-AVERAGE(J4:J12)</f>
        <v>#REF!</v>
      </c>
      <c r="K22" s="7" t="e">
        <f aca="false">AVERAGE(K13:K20)-AVERAGE(K4:K12)</f>
        <v>#REF!</v>
      </c>
      <c r="L22" s="7" t="e">
        <f aca="false">AVERAGE(L13:L20)-AVERAGE(L4:L12)</f>
        <v>#REF!</v>
      </c>
      <c r="M22" s="7" t="e">
        <f aca="false">AVERAGE(M13:M20)-AVERAGE(M4:M12)</f>
        <v>#REF!</v>
      </c>
      <c r="N22" s="7" t="e">
        <f aca="false">AVERAGE(N13:N20)-AVERAGE(N4:N12)</f>
        <v>#REF!</v>
      </c>
      <c r="O22" s="7" t="e">
        <f aca="false">AVERAGE(O13:O20)-AVERAGE(O4:O12)</f>
        <v>#REF!</v>
      </c>
      <c r="P22" s="7" t="e">
        <f aca="false">AVERAGE(P13:P20)-AVERAGE(P4:P12)</f>
        <v>#REF!</v>
      </c>
      <c r="Q22" s="7" t="e">
        <f aca="false">AVERAGE(Q13:Q20)-AVERAGE(Q4:Q12)</f>
        <v>#REF!</v>
      </c>
      <c r="R22" s="7" t="e">
        <f aca="false">AVERAGE(R13:R20)-AVERAGE(R4:R12)</f>
        <v>#REF!</v>
      </c>
      <c r="S22" s="7" t="e">
        <f aca="false">AVERAGE(S13:S20)-AVERAGE(S4:S12)</f>
        <v>#REF!</v>
      </c>
      <c r="T22" s="7" t="e">
        <f aca="false">AVERAGE(T13:T20)-AVERAGE(T4:T12)</f>
        <v>#REF!</v>
      </c>
      <c r="U22" s="7" t="e">
        <f aca="false">AVERAGE(U13:U20)-AVERAGE(U4:U12)</f>
        <v>#REF!</v>
      </c>
      <c r="V22" s="7" t="e">
        <f aca="false">AVERAGE(V13:V20)-AVERAGE(V4:V12)</f>
        <v>#REF!</v>
      </c>
      <c r="W22" s="7" t="e">
        <f aca="false">AVERAGE(W13:W20)-AVERAGE(W4:W12)</f>
        <v>#REF!</v>
      </c>
      <c r="X22" s="7" t="e">
        <f aca="false">AVERAGE(X13:X20)-AVERAGE(X4:X12)</f>
        <v>#REF!</v>
      </c>
      <c r="Y22" s="7" t="e">
        <f aca="false">AVERAGE(Y13:Y20)-AVERAGE(Y4:Y12)</f>
        <v>#REF!</v>
      </c>
      <c r="Z22" s="7" t="e">
        <f aca="false">AVERAGE(Z13:Z20)-AVERAGE(Z4:Z12)</f>
        <v>#REF!</v>
      </c>
      <c r="AA22" s="7" t="e">
        <f aca="false">AVERAGE(AA13:AA20)-AVERAGE(AA4:AA12)</f>
        <v>#REF!</v>
      </c>
      <c r="AB22" s="7" t="e">
        <f aca="false">AVERAGE(AB13:AB20)-AVERAGE(AB4:AB12)</f>
        <v>#REF!</v>
      </c>
      <c r="AC22" s="7" t="e">
        <f aca="false">AVERAGE(AC13:AC20)-AVERAGE(AC4:AC12)</f>
        <v>#REF!</v>
      </c>
      <c r="AD22" s="7" t="e">
        <f aca="false">AVERAGE(AD13:AD20)-AVERAGE(AD4:AD12)</f>
        <v>#REF!</v>
      </c>
      <c r="AE22" s="7" t="e">
        <f aca="false">AVERAGE(AE13:AE20)-AVERAGE(AE4:AE12)</f>
        <v>#REF!</v>
      </c>
      <c r="AF22" s="7" t="e">
        <f aca="false">AVERAGE(AF13:AF20)-AVERAGE(AF4:AF12)</f>
        <v>#REF!</v>
      </c>
      <c r="AG22" s="7" t="e">
        <f aca="false">AVERAGE(AG13:AG20)-AVERAGE(AG4:AG12)</f>
        <v>#REF!</v>
      </c>
      <c r="AH22" s="7" t="e">
        <f aca="false">AVERAGE(AH13:AH20)-AVERAGE(AH4:AH12)</f>
        <v>#REF!</v>
      </c>
      <c r="AI22" s="7" t="e">
        <f aca="false">AVERAGE(AI13:AI20)-AVERAGE(AI4:AI12)</f>
        <v>#REF!</v>
      </c>
      <c r="AJ22" s="7" t="e">
        <f aca="false">AVERAGE(AJ13:AJ20)-AVERAGE(AJ4:AJ12)</f>
        <v>#REF!</v>
      </c>
      <c r="AK22" s="7" t="e">
        <f aca="false">AVERAGE(AK13:AK20)-AVERAGE(AK4:AK12)</f>
        <v>#REF!</v>
      </c>
      <c r="AL22" s="7" t="e">
        <f aca="false">AVERAGE(AL13:AL20)-AVERAGE(AL4:AL12)</f>
        <v>#REF!</v>
      </c>
      <c r="AM22" s="7" t="e">
        <f aca="false">AVERAGE(AM13:AM20)-AVERAGE(AM4:AM12)</f>
        <v>#REF!</v>
      </c>
      <c r="AN22" s="7" t="e">
        <f aca="false">AVERAGE(AN13:AN20)-AVERAGE(AN4:AN12)</f>
        <v>#REF!</v>
      </c>
      <c r="AO22" s="7" t="e">
        <f aca="false">AVERAGE(AO13:AO20)-AVERAGE(AO4:AO12)</f>
        <v>#REF!</v>
      </c>
      <c r="AP22" s="7" t="e">
        <f aca="false">AVERAGE(AP13:AP20)-AVERAGE(AP4:AP12)</f>
        <v>#REF!</v>
      </c>
      <c r="AQ22" s="7" t="e">
        <f aca="false">AVERAGE(AQ13:AQ20)-AVERAGE(AQ4:AQ12)</f>
        <v>#REF!</v>
      </c>
      <c r="AR22" s="7" t="e">
        <f aca="false">AVERAGE(AR13:AR20)-AVERAGE(AR4:AR12)</f>
        <v>#REF!</v>
      </c>
      <c r="AS22" s="7" t="e">
        <f aca="false">AVERAGE(AS13:AS20)-AVERAGE(AS4:AS12)</f>
        <v>#REF!</v>
      </c>
      <c r="AT22" s="7" t="e">
        <f aca="false">AVERAGE(AT13:AT20)-AVERAGE(AT4:AT12)</f>
        <v>#REF!</v>
      </c>
      <c r="AU22" s="7" t="e">
        <f aca="false">AVERAGE(AU13:AU20)-AVERAGE(AU4:AU12)</f>
        <v>#REF!</v>
      </c>
      <c r="AV22" s="7" t="e">
        <f aca="false">AVERAGE(AV13:AV20)-AVERAGE(AV4:AV12)</f>
        <v>#REF!</v>
      </c>
      <c r="AW22" s="7" t="e">
        <f aca="false">AVERAGE(AW13:AW20)-AVERAGE(AW4:AW12)</f>
        <v>#REF!</v>
      </c>
      <c r="AX22" s="7" t="e">
        <f aca="false">AVERAGE(AX13:AX20)-AVERAGE(AX4:AX12)</f>
        <v>#REF!</v>
      </c>
      <c r="AY22" s="7" t="e">
        <f aca="false">AVERAGE(AY13:AY20)-AVERAGE(AY4:AY12)</f>
        <v>#REF!</v>
      </c>
      <c r="AZ22" s="7" t="e">
        <f aca="false">AVERAGE(AZ13:AZ20)-AVERAGE(AZ4:AZ12)</f>
        <v>#REF!</v>
      </c>
      <c r="BA22" s="7" t="e">
        <f aca="false">AVERAGE(BA13:BA20)-AVERAGE(BA4:BA12)</f>
        <v>#REF!</v>
      </c>
      <c r="BB22" s="7" t="e">
        <f aca="false">AVERAGE(BB13:BB20)-AVERAGE(BB4:BB12)</f>
        <v>#REF!</v>
      </c>
      <c r="BC22" s="7" t="e">
        <f aca="false">AVERAGE(BC13:BC20)-AVERAGE(BC4:BC12)</f>
        <v>#REF!</v>
      </c>
      <c r="BD22" s="7" t="e">
        <f aca="false">AVERAGE(BD13:BD20)-AVERAGE(BD4:BD12)</f>
        <v>#REF!</v>
      </c>
      <c r="BE22" s="7" t="e">
        <f aca="false">AVERAGE(BE13:BE20)-AVERAGE(BE4:BE12)</f>
        <v>#REF!</v>
      </c>
      <c r="BF22" s="7" t="e">
        <f aca="false">AVERAGE(BF13:BF20)-AVERAGE(BF4:BF12)</f>
        <v>#REF!</v>
      </c>
      <c r="BG22" s="7" t="e">
        <f aca="false">AVERAGE(BG13:BG20)-AVERAGE(BG4:BG12)</f>
        <v>#REF!</v>
      </c>
      <c r="BH22" s="7" t="e">
        <f aca="false">AVERAGE(BH13:BH20)-AVERAGE(BH4:BH12)</f>
        <v>#REF!</v>
      </c>
      <c r="BI22" s="7" t="e">
        <f aca="false">AVERAGE(BI13:BI20)-AVERAGE(BI4:BI12)</f>
        <v>#REF!</v>
      </c>
      <c r="BJ22" s="7" t="e">
        <f aca="false">AVERAGE(BJ13:BJ20)-AVERAGE(BJ4:BJ12)</f>
        <v>#REF!</v>
      </c>
      <c r="BK22" s="7" t="e">
        <f aca="false">AVERAGE(BK13:BK20)-AVERAGE(BK4:BK12)</f>
        <v>#REF!</v>
      </c>
      <c r="BL22" s="7" t="e">
        <f aca="false">AVERAGE(BL13:BL20)-AVERAGE(BL4:BL12)</f>
        <v>#REF!</v>
      </c>
      <c r="BM22" s="7" t="e">
        <f aca="false">AVERAGE(BM13:BM20)-AVERAGE(BM4:BM12)</f>
        <v>#REF!</v>
      </c>
      <c r="BN22" s="7" t="e">
        <f aca="false">AVERAGE(BN13:BN20)-AVERAGE(BN4:BN12)</f>
        <v>#REF!</v>
      </c>
      <c r="BO22" s="7" t="e">
        <f aca="false">AVERAGE(BO13:BO20)-AVERAGE(BO4:BO12)</f>
        <v>#REF!</v>
      </c>
      <c r="BP22" s="7" t="e">
        <f aca="false">AVERAGE(BP13:BP20)-AVERAGE(BP4:BP12)</f>
        <v>#REF!</v>
      </c>
      <c r="BQ22" s="7" t="e">
        <f aca="false">AVERAGE(BQ13:BQ20)-AVERAGE(BQ4:BQ12)</f>
        <v>#REF!</v>
      </c>
      <c r="BR22" s="7" t="e">
        <f aca="false">AVERAGE(BR13:BR20)-AVERAGE(BR4:BR12)</f>
        <v>#REF!</v>
      </c>
      <c r="BS22" s="7" t="e">
        <f aca="false">AVERAGE(BS13:BS20)-AVERAGE(BS4:BS12)</f>
        <v>#REF!</v>
      </c>
      <c r="BT22" s="7" t="e">
        <f aca="false">AVERAGE(BT13:BT20)-AVERAGE(BT4:BT12)</f>
        <v>#REF!</v>
      </c>
      <c r="BU22" s="7" t="e">
        <f aca="false">AVERAGE(BU13:BU20)-AVERAGE(BU4:BU12)</f>
        <v>#REF!</v>
      </c>
      <c r="BV22" s="7" t="e">
        <f aca="false">AVERAGE(BV13:BV20)-AVERAGE(BV4:BV12)</f>
        <v>#REF!</v>
      </c>
      <c r="BW22" s="7" t="e">
        <f aca="false">AVERAGE(BW13:BW20)-AVERAGE(BW4:BW12)</f>
        <v>#REF!</v>
      </c>
      <c r="BX22" s="7" t="e">
        <f aca="false">AVERAGE(BX13:BX20)-AVERAGE(BX4:BX12)</f>
        <v>#REF!</v>
      </c>
      <c r="BY22" s="7" t="e">
        <f aca="false">AVERAGE(BY13:BY20)-AVERAGE(BY4:BY12)</f>
        <v>#REF!</v>
      </c>
      <c r="BZ22" s="7" t="e">
        <f aca="false">AVERAGE(BZ13:BZ20)-AVERAGE(BZ4:BZ12)</f>
        <v>#REF!</v>
      </c>
      <c r="CA22" s="7" t="e">
        <f aca="false">AVERAGE(CA13:CA20)-AVERAGE(CA4:CA12)</f>
        <v>#REF!</v>
      </c>
      <c r="CB22" s="7" t="e">
        <f aca="false">AVERAGE(CB13:CB20)-AVERAGE(CB4:CB12)</f>
        <v>#REF!</v>
      </c>
      <c r="CC22" s="7" t="e">
        <f aca="false">AVERAGE(CC13:CC20)-AVERAGE(CC4:CC12)</f>
        <v>#REF!</v>
      </c>
      <c r="CD22" s="7" t="e">
        <f aca="false">AVERAGE(CD13:CD20)-AVERAGE(CD4:CD12)</f>
        <v>#REF!</v>
      </c>
      <c r="CE22" s="7" t="e">
        <f aca="false">AVERAGE(CE13:CE20)-AVERAGE(CE4:CE12)</f>
        <v>#REF!</v>
      </c>
      <c r="CF22" s="7" t="e">
        <f aca="false">AVERAGE(CF13:CF20)-AVERAGE(CF4:CF12)</f>
        <v>#REF!</v>
      </c>
      <c r="CG22" s="7" t="e">
        <f aca="false">AVERAGE(CG13:CG20)-AVERAGE(CG4:CG12)</f>
        <v>#REF!</v>
      </c>
      <c r="CH22" s="7" t="e">
        <f aca="false">AVERAGE(CH13:CH20)-AVERAGE(CH4:CH12)</f>
        <v>#REF!</v>
      </c>
      <c r="CI22" s="7" t="e">
        <f aca="false">AVERAGE(CI13:CI20)-AVERAGE(CI4:CI12)</f>
        <v>#REF!</v>
      </c>
      <c r="CJ22" s="7" t="e">
        <f aca="false">AVERAGE(CJ13:CJ20)-AVERAGE(CJ4:CJ12)</f>
        <v>#REF!</v>
      </c>
      <c r="CK22" s="7" t="e">
        <f aca="false">AVERAGE(CK13:CK20)-AVERAGE(CK4:CK12)</f>
        <v>#REF!</v>
      </c>
      <c r="CL22" s="7" t="e">
        <f aca="false">AVERAGE(CL13:CL20)-AVERAGE(CL4:CL12)</f>
        <v>#REF!</v>
      </c>
      <c r="CM22" s="7" t="e">
        <f aca="false">AVERAGE(CM13:CM20)-AVERAGE(CM4:CM12)</f>
        <v>#REF!</v>
      </c>
      <c r="CN22" s="7" t="e">
        <f aca="false">AVERAGE(CN13:CN20)-AVERAGE(CN4:CN12)</f>
        <v>#REF!</v>
      </c>
      <c r="CO22" s="7" t="e">
        <f aca="false">AVERAGE(CO13:CO20)-AVERAGE(CO4:CO12)</f>
        <v>#REF!</v>
      </c>
      <c r="CP22" s="7" t="e">
        <f aca="false">AVERAGE(CP13:CP20)-AVERAGE(CP4:CP12)</f>
        <v>#REF!</v>
      </c>
      <c r="CQ22" s="7" t="e">
        <f aca="false">AVERAGE(CQ13:CQ20)-AVERAGE(CQ4:CQ12)</f>
        <v>#REF!</v>
      </c>
      <c r="CR22" s="7" t="e">
        <f aca="false">AVERAGE(CR13:CR20)-AVERAGE(CR4:CR12)</f>
        <v>#REF!</v>
      </c>
      <c r="CS22" s="7" t="e">
        <f aca="false">AVERAGE(CS13:CS20)-AVERAGE(CS4:CS12)</f>
        <v>#REF!</v>
      </c>
      <c r="CT22" s="7" t="e">
        <f aca="false">AVERAGE(CT13:CT20)-AVERAGE(CT4:CT12)</f>
        <v>#REF!</v>
      </c>
      <c r="CU22" s="7" t="e">
        <f aca="false">AVERAGE(CU13:CU20)-AVERAGE(CU4:CU12)</f>
        <v>#REF!</v>
      </c>
      <c r="CV22" s="7" t="e">
        <f aca="false">AVERAGE(CV13:CV20)-AVERAGE(CV4:CV12)</f>
        <v>#REF!</v>
      </c>
      <c r="CW22" s="7" t="e">
        <f aca="false">AVERAGE(CW13:CW20)-AVERAGE(CW4:CW12)</f>
        <v>#REF!</v>
      </c>
      <c r="CX22" s="7" t="e">
        <f aca="false">AVERAGE(CX13:CX20)-AVERAGE(CX4:CX12)</f>
        <v>#REF!</v>
      </c>
      <c r="CY22" s="7" t="e">
        <f aca="false">AVERAGE(CY13:CY20)-AVERAGE(CY4:CY12)</f>
        <v>#REF!</v>
      </c>
      <c r="CZ22" s="7" t="e">
        <f aca="false">AVERAGE(CZ13:CZ20)-AVERAGE(CZ4:CZ12)</f>
        <v>#REF!</v>
      </c>
      <c r="DA22" s="7" t="e">
        <f aca="false">AVERAGE(DA13:DA20)-AVERAGE(DA4:DA12)</f>
        <v>#REF!</v>
      </c>
      <c r="DB22" s="7" t="e">
        <f aca="false">AVERAGE(DB13:DB20)-AVERAGE(DB4:DB12)</f>
        <v>#REF!</v>
      </c>
      <c r="DC22" s="7" t="e">
        <f aca="false">AVERAGE(DC13:DC20)-AVERAGE(DC4:DC12)</f>
        <v>#REF!</v>
      </c>
      <c r="DD22" s="7" t="e">
        <f aca="false">AVERAGE(DD13:DD20)-AVERAGE(DD4:DD12)</f>
        <v>#REF!</v>
      </c>
      <c r="DE22" s="7" t="e">
        <f aca="false">AVERAGE(DE13:DE20)-AVERAGE(DE4:DE12)</f>
        <v>#REF!</v>
      </c>
      <c r="DF22" s="7" t="e">
        <f aca="false">AVERAGE(DF13:DF20)-AVERAGE(DF4:DF12)</f>
        <v>#REF!</v>
      </c>
      <c r="DG22" s="7" t="e">
        <f aca="false">AVERAGE(DG13:DG20)-AVERAGE(DG4:DG12)</f>
        <v>#REF!</v>
      </c>
      <c r="DH22" s="7" t="e">
        <f aca="false">AVERAGE(DH13:DH20)-AVERAGE(DH4:DH12)</f>
        <v>#REF!</v>
      </c>
      <c r="DI22" s="7" t="e">
        <f aca="false">AVERAGE(DI13:DI20)-AVERAGE(DI4:DI12)</f>
        <v>#REF!</v>
      </c>
      <c r="DJ22" s="7" t="e">
        <f aca="false">AVERAGE(DJ13:DJ20)-AVERAGE(DJ4:DJ12)</f>
        <v>#REF!</v>
      </c>
      <c r="DK22" s="7" t="e">
        <f aca="false">AVERAGE(DK13:DK20)-AVERAGE(DK4:DK12)</f>
        <v>#REF!</v>
      </c>
      <c r="DL22" s="7" t="e">
        <f aca="false">AVERAGE(DL13:DL20)-AVERAGE(DL4:DL12)</f>
        <v>#REF!</v>
      </c>
      <c r="DM22" s="7" t="e">
        <f aca="false">AVERAGE(DM13:DM20)-AVERAGE(DM4:DM12)</f>
        <v>#REF!</v>
      </c>
      <c r="DN22" s="7" t="e">
        <f aca="false">AVERAGE(DN13:DN20)-AVERAGE(DN4:DN12)</f>
        <v>#REF!</v>
      </c>
      <c r="DO22" s="7" t="e">
        <f aca="false">AVERAGE(DO13:DO20)-AVERAGE(DO4:DO12)</f>
        <v>#REF!</v>
      </c>
      <c r="DP22" s="7" t="e">
        <f aca="false">AVERAGE(DP13:DP20)-AVERAGE(DP4:DP12)</f>
        <v>#REF!</v>
      </c>
      <c r="DQ22" s="7" t="e">
        <f aca="false">AVERAGE(DQ13:DQ20)-AVERAGE(DQ4:DQ12)</f>
        <v>#REF!</v>
      </c>
      <c r="DR22" s="7" t="e">
        <f aca="false">AVERAGE(DR13:DR20)-AVERAGE(DR4:DR12)</f>
        <v>#REF!</v>
      </c>
      <c r="DS22" s="7" t="e">
        <f aca="false">AVERAGE(DS13:DS20)-AVERAGE(DS4:DS12)</f>
        <v>#REF!</v>
      </c>
      <c r="DT22" s="7" t="e">
        <f aca="false">AVERAGE(DT13:DT20)-AVERAGE(DT4:DT12)</f>
        <v>#REF!</v>
      </c>
      <c r="DU22" s="7" t="e">
        <f aca="false">AVERAGE(DU13:DU20)-AVERAGE(DU4:DU12)</f>
        <v>#REF!</v>
      </c>
      <c r="DV22" s="7" t="e">
        <f aca="false">AVERAGE(DV13:DV20)-AVERAGE(DV4:DV12)</f>
        <v>#REF!</v>
      </c>
      <c r="DW22" s="7" t="e">
        <f aca="false">AVERAGE(DW13:DW20)-AVERAGE(DW4:DW12)</f>
        <v>#REF!</v>
      </c>
      <c r="DX22" s="7" t="e">
        <f aca="false">AVERAGE(DX13:DX20)-AVERAGE(DX4:DX12)</f>
        <v>#REF!</v>
      </c>
      <c r="DY22" s="7" t="e">
        <f aca="false">AVERAGE(DY13:DY20)-AVERAGE(DY4:DY12)</f>
        <v>#REF!</v>
      </c>
      <c r="DZ22" s="7" t="e">
        <f aca="false">AVERAGE(DZ13:DZ20)-AVERAGE(DZ4:DZ12)</f>
        <v>#REF!</v>
      </c>
      <c r="EA22" s="7" t="e">
        <f aca="false">AVERAGE(EA13:EA20)-AVERAGE(EA4:EA12)</f>
        <v>#REF!</v>
      </c>
      <c r="EB22" s="7" t="e">
        <f aca="false">AVERAGE(EB13:EB20)-AVERAGE(EB4:EB12)</f>
        <v>#REF!</v>
      </c>
      <c r="EC22" s="7" t="e">
        <f aca="false">AVERAGE(EC13:EC20)-AVERAGE(EC4:EC12)</f>
        <v>#REF!</v>
      </c>
      <c r="ED22" s="7" t="e">
        <f aca="false">AVERAGE(ED13:ED20)-AVERAGE(ED4:ED12)</f>
        <v>#REF!</v>
      </c>
      <c r="EE22" s="7" t="e">
        <f aca="false">AVERAGE(EE13:EE20)-AVERAGE(EE4:EE12)</f>
        <v>#REF!</v>
      </c>
      <c r="EF22" s="7" t="e">
        <f aca="false">AVERAGE(EF13:EF20)-AVERAGE(EF4:EF12)</f>
        <v>#REF!</v>
      </c>
      <c r="EG22" s="7" t="e">
        <f aca="false">AVERAGE(EG13:EG20)-AVERAGE(EG4:EG12)</f>
        <v>#REF!</v>
      </c>
      <c r="EH22" s="7" t="e">
        <f aca="false">AVERAGE(EH13:EH20)-AVERAGE(EH4:EH12)</f>
        <v>#REF!</v>
      </c>
      <c r="EI22" s="7" t="e">
        <f aca="false">AVERAGE(EI13:EI20)-AVERAGE(EI4:EI12)</f>
        <v>#REF!</v>
      </c>
      <c r="EJ22" s="7" t="e">
        <f aca="false">AVERAGE(EJ13:EJ20)-AVERAGE(EJ4:EJ12)</f>
        <v>#REF!</v>
      </c>
      <c r="EK22" s="7" t="e">
        <f aca="false">AVERAGE(EK13:EK20)-AVERAGE(EK4:EK12)</f>
        <v>#REF!</v>
      </c>
      <c r="EL22" s="7" t="e">
        <f aca="false">AVERAGE(EL13:EL20)-AVERAGE(EL4:EL12)</f>
        <v>#REF!</v>
      </c>
      <c r="EM22" s="7" t="e">
        <f aca="false">AVERAGE(EM13:EM20)-AVERAGE(EM4:EM12)</f>
        <v>#REF!</v>
      </c>
      <c r="EN22" s="7" t="e">
        <f aca="false">AVERAGE(EN13:EN20)-AVERAGE(EN4:EN12)</f>
        <v>#REF!</v>
      </c>
      <c r="EO22" s="7" t="e">
        <f aca="false">AVERAGE(EO13:EO20)-AVERAGE(EO4:EO12)</f>
        <v>#REF!</v>
      </c>
      <c r="EP22" s="7" t="e">
        <f aca="false">AVERAGE(EP13:EP20)-AVERAGE(EP4:EP12)</f>
        <v>#REF!</v>
      </c>
      <c r="EQ22" s="7" t="e">
        <f aca="false">AVERAGE(EQ13:EQ20)-AVERAGE(EQ4:EQ12)</f>
        <v>#REF!</v>
      </c>
      <c r="ER22" s="7" t="e">
        <f aca="false">AVERAGE(ER13:ER20)-AVERAGE(ER4:ER12)</f>
        <v>#REF!</v>
      </c>
      <c r="ES22" s="7" t="e">
        <f aca="false">AVERAGE(ES13:ES20)-AVERAGE(ES4:ES12)</f>
        <v>#REF!</v>
      </c>
      <c r="ET22" s="7" t="e">
        <f aca="false">AVERAGE(ET13:ET20)-AVERAGE(ET4:ET12)</f>
        <v>#REF!</v>
      </c>
      <c r="EU22" s="7" t="e">
        <f aca="false">AVERAGE(EU13:EU20)-AVERAGE(EU4:EU12)</f>
        <v>#REF!</v>
      </c>
      <c r="EV22" s="7" t="e">
        <f aca="false">AVERAGE(EV13:EV20)-AVERAGE(EV4:EV12)</f>
        <v>#REF!</v>
      </c>
      <c r="EW22" s="7" t="e">
        <f aca="false">AVERAGE(EW13:EW20)-AVERAGE(EW4:EW12)</f>
        <v>#REF!</v>
      </c>
      <c r="EX22" s="7" t="e">
        <f aca="false">AVERAGE(EX13:EX20)-AVERAGE(EX4:EX12)</f>
        <v>#REF!</v>
      </c>
      <c r="EY22" s="7" t="e">
        <f aca="false">AVERAGE(EY13:EY20)-AVERAGE(EY4:EY12)</f>
        <v>#REF!</v>
      </c>
      <c r="EZ22" s="7" t="e">
        <f aca="false">AVERAGE(EZ13:EZ20)-AVERAGE(EZ4:EZ12)</f>
        <v>#REF!</v>
      </c>
      <c r="FA22" s="7" t="e">
        <f aca="false">AVERAGE(FA13:FA20)-AVERAGE(FA4:FA12)</f>
        <v>#REF!</v>
      </c>
      <c r="FB22" s="7" t="e">
        <f aca="false">AVERAGE(FB13:FB20)-AVERAGE(FB4:FB12)</f>
        <v>#REF!</v>
      </c>
      <c r="FC22" s="7" t="e">
        <f aca="false">AVERAGE(FC13:FC20)-AVERAGE(FC4:FC12)</f>
        <v>#REF!</v>
      </c>
      <c r="FD22" s="7" t="e">
        <f aca="false">AVERAGE(FD13:FD20)-AVERAGE(FD4:FD12)</f>
        <v>#REF!</v>
      </c>
      <c r="FE22" s="7" t="e">
        <f aca="false">AVERAGE(FE13:FE20)-AVERAGE(FE4:FE12)</f>
        <v>#REF!</v>
      </c>
      <c r="FF22" s="7" t="e">
        <f aca="false">AVERAGE(FF13:FF20)-AVERAGE(FF4:FF12)</f>
        <v>#REF!</v>
      </c>
      <c r="FG22" s="7" t="e">
        <f aca="false">AVERAGE(FG13:FG20)-AVERAGE(FG4:FG12)</f>
        <v>#REF!</v>
      </c>
      <c r="FH22" s="7" t="e">
        <f aca="false">AVERAGE(FH13:FH20)-AVERAGE(FH4:FH12)</f>
        <v>#REF!</v>
      </c>
      <c r="FI22" s="7" t="e">
        <f aca="false">AVERAGE(FI13:FI20)-AVERAGE(FI4:FI12)</f>
        <v>#REF!</v>
      </c>
      <c r="FJ22" s="7" t="e">
        <f aca="false">AVERAGE(FJ13:FJ20)-AVERAGE(FJ4:FJ12)</f>
        <v>#REF!</v>
      </c>
      <c r="FK22" s="7" t="e">
        <f aca="false">AVERAGE(FK13:FK20)-AVERAGE(FK4:FK12)</f>
        <v>#REF!</v>
      </c>
      <c r="FL22" s="7" t="e">
        <f aca="false">AVERAGE(FL13:FL20)-AVERAGE(FL4:FL12)</f>
        <v>#REF!</v>
      </c>
      <c r="FM22" s="7" t="e">
        <f aca="false">AVERAGE(FM13:FM20)-AVERAGE(FM4:FM12)</f>
        <v>#REF!</v>
      </c>
      <c r="FN22" s="7" t="e">
        <f aca="false">AVERAGE(FN13:FN20)-AVERAGE(FN4:FN12)</f>
        <v>#REF!</v>
      </c>
      <c r="FO22" s="7" t="e">
        <f aca="false">AVERAGE(FO13:FO20)-AVERAGE(FO4:FO12)</f>
        <v>#REF!</v>
      </c>
      <c r="FP22" s="7" t="e">
        <f aca="false">AVERAGE(FP13:FP20)-AVERAGE(FP4:FP12)</f>
        <v>#REF!</v>
      </c>
      <c r="FQ22" s="7" t="e">
        <f aca="false">AVERAGE(FQ13:FQ20)-AVERAGE(FQ4:FQ12)</f>
        <v>#REF!</v>
      </c>
      <c r="FR22" s="7" t="e">
        <f aca="false">AVERAGE(FR13:FR20)-AVERAGE(FR4:FR12)</f>
        <v>#REF!</v>
      </c>
      <c r="FS22" s="7" t="e">
        <f aca="false">AVERAGE(FS13:FS20)-AVERAGE(FS4:FS12)</f>
        <v>#REF!</v>
      </c>
      <c r="FT22" s="7" t="e">
        <f aca="false">AVERAGE(FT13:FT20)-AVERAGE(FT4:FT12)</f>
        <v>#REF!</v>
      </c>
      <c r="FU22" s="7" t="e">
        <f aca="false">AVERAGE(FU13:FU20)-AVERAGE(FU4:FU12)</f>
        <v>#REF!</v>
      </c>
      <c r="FV22" s="7" t="e">
        <f aca="false">AVERAGE(FV13:FV20)-AVERAGE(FV4:FV12)</f>
        <v>#REF!</v>
      </c>
      <c r="FW22" s="7" t="e">
        <f aca="false">AVERAGE(FW13:FW20)-AVERAGE(FW4:FW12)</f>
        <v>#REF!</v>
      </c>
      <c r="FX22" s="7" t="e">
        <f aca="false">AVERAGE(FX13:FX20)-AVERAGE(FX4:FX12)</f>
        <v>#REF!</v>
      </c>
      <c r="FY22" s="7" t="e">
        <f aca="false">AVERAGE(FY13:FY20)-AVERAGE(FY4:FY12)</f>
        <v>#REF!</v>
      </c>
      <c r="FZ22" s="7" t="e">
        <f aca="false">AVERAGE(FZ13:FZ20)-AVERAGE(FZ4:FZ12)</f>
        <v>#REF!</v>
      </c>
      <c r="GA22" s="7" t="e">
        <f aca="false">AVERAGE(GA13:GA20)-AVERAGE(GA4:GA12)</f>
        <v>#REF!</v>
      </c>
      <c r="GB22" s="7" t="e">
        <f aca="false">AVERAGE(GB13:GB20)-AVERAGE(GB4:GB12)</f>
        <v>#REF!</v>
      </c>
      <c r="GC22" s="7" t="e">
        <f aca="false">AVERAGE(GC13:GC20)-AVERAGE(GC4:GC12)</f>
        <v>#REF!</v>
      </c>
      <c r="GD22" s="7" t="e">
        <f aca="false">AVERAGE(GD13:GD20)-AVERAGE(GD4:GD12)</f>
        <v>#REF!</v>
      </c>
      <c r="GE22" s="7" t="e">
        <f aca="false">AVERAGE(GE13:GE20)-AVERAGE(GE4:GE12)</f>
        <v>#REF!</v>
      </c>
      <c r="GF22" s="7" t="e">
        <f aca="false">AVERAGE(GF13:GF20)-AVERAGE(GF4:GF12)</f>
        <v>#REF!</v>
      </c>
      <c r="GG22" s="7" t="e">
        <f aca="false">AVERAGE(GG13:GG20)-AVERAGE(GG4:GG12)</f>
        <v>#REF!</v>
      </c>
      <c r="GH22" s="7" t="e">
        <f aca="false">AVERAGE(GH13:GH20)-AVERAGE(GH4:GH12)</f>
        <v>#REF!</v>
      </c>
      <c r="GI22" s="7" t="e">
        <f aca="false">AVERAGE(GI13:GI20)-AVERAGE(GI4:GI12)</f>
        <v>#REF!</v>
      </c>
      <c r="GJ22" s="7" t="e">
        <f aca="false">AVERAGE(GJ13:GJ20)-AVERAGE(GJ4:GJ12)</f>
        <v>#REF!</v>
      </c>
      <c r="GK22" s="7" t="e">
        <f aca="false">AVERAGE(GK13:GK20)-AVERAGE(GK4:GK12)</f>
        <v>#REF!</v>
      </c>
      <c r="GL22" s="7" t="e">
        <f aca="false">AVERAGE(GL13:GL20)-AVERAGE(GL4:GL12)</f>
        <v>#REF!</v>
      </c>
      <c r="GM22" s="7" t="e">
        <f aca="false">AVERAGE(GM13:GM20)-AVERAGE(GM4:GM12)</f>
        <v>#REF!</v>
      </c>
      <c r="GN22" s="7" t="e">
        <f aca="false">AVERAGE(GN13:GN20)-AVERAGE(GN4:GN12)</f>
        <v>#REF!</v>
      </c>
      <c r="GO22" s="7" t="e">
        <f aca="false">AVERAGE(GO13:GO20)-AVERAGE(GO4:GO12)</f>
        <v>#REF!</v>
      </c>
      <c r="GP22" s="7" t="e">
        <f aca="false">AVERAGE(GP13:GP20)-AVERAGE(GP4:GP12)</f>
        <v>#REF!</v>
      </c>
      <c r="GQ22" s="7" t="e">
        <f aca="false">AVERAGE(GQ13:GQ20)-AVERAGE(GQ4:GQ12)</f>
        <v>#REF!</v>
      </c>
      <c r="GR22" s="7" t="e">
        <f aca="false">AVERAGE(GR13:GR20)-AVERAGE(GR4:GR12)</f>
        <v>#REF!</v>
      </c>
      <c r="GS22" s="7" t="e">
        <f aca="false">AVERAGE(GS13:GS20)-AVERAGE(GS4:GS12)</f>
        <v>#REF!</v>
      </c>
      <c r="GT22" s="7" t="e">
        <f aca="false">AVERAGE(GT13:GT20)-AVERAGE(GT4:GT12)</f>
        <v>#REF!</v>
      </c>
      <c r="GU22" s="7" t="e">
        <f aca="false">AVERAGE(GU13:GU20)-AVERAGE(GU4:GU12)</f>
        <v>#REF!</v>
      </c>
      <c r="GV22" s="7" t="e">
        <f aca="false">AVERAGE(GV13:GV20)-AVERAGE(GV4:GV12)</f>
        <v>#REF!</v>
      </c>
      <c r="GW22" s="7" t="e">
        <f aca="false">AVERAGE(GW13:GW20)-AVERAGE(GW4:GW12)</f>
        <v>#REF!</v>
      </c>
      <c r="GX22" s="7" t="e">
        <f aca="false">AVERAGE(GX13:GX20)-AVERAGE(GX4:GX12)</f>
        <v>#REF!</v>
      </c>
      <c r="GY22" s="7" t="e">
        <f aca="false">AVERAGE(GY13:GY20)-AVERAGE(GY4:GY12)</f>
        <v>#REF!</v>
      </c>
      <c r="GZ22" s="7" t="e">
        <f aca="false">AVERAGE(GZ13:GZ20)-AVERAGE(GZ4:GZ12)</f>
        <v>#REF!</v>
      </c>
      <c r="HA22" s="7" t="e">
        <f aca="false">AVERAGE(HA13:HA20)-AVERAGE(HA4:HA12)</f>
        <v>#REF!</v>
      </c>
      <c r="HB22" s="7" t="e">
        <f aca="false">AVERAGE(HB13:HB20)-AVERAGE(HB4:HB12)</f>
        <v>#REF!</v>
      </c>
      <c r="HC22" s="7" t="e">
        <f aca="false">AVERAGE(HC13:HC20)-AVERAGE(HC4:HC12)</f>
        <v>#REF!</v>
      </c>
      <c r="HD22" s="7" t="e">
        <f aca="false">AVERAGE(HD13:HD20)-AVERAGE(HD4:HD12)</f>
        <v>#REF!</v>
      </c>
      <c r="HE22" s="7" t="e">
        <f aca="false">AVERAGE(HE13:HE20)-AVERAGE(HE4:HE12)</f>
        <v>#REF!</v>
      </c>
      <c r="HF22" s="7" t="e">
        <f aca="false">AVERAGE(HF13:HF20)-AVERAGE(HF4:HF12)</f>
        <v>#REF!</v>
      </c>
      <c r="HG22" s="7" t="e">
        <f aca="false">AVERAGE(HG13:HG20)-AVERAGE(HG4:HG12)</f>
        <v>#REF!</v>
      </c>
      <c r="HH22" s="7" t="e">
        <f aca="false">AVERAGE(HH13:HH20)-AVERAGE(HH4:HH12)</f>
        <v>#REF!</v>
      </c>
      <c r="HI22" s="7" t="e">
        <f aca="false">AVERAGE(HI13:HI20)-AVERAGE(HI4:HI12)</f>
        <v>#REF!</v>
      </c>
      <c r="HJ22" s="7" t="e">
        <f aca="false">AVERAGE(HJ13:HJ20)-AVERAGE(HJ4:HJ12)</f>
        <v>#REF!</v>
      </c>
      <c r="HK22" s="7" t="e">
        <f aca="false">AVERAGE(HK13:HK20)-AVERAGE(HK4:HK12)</f>
        <v>#REF!</v>
      </c>
      <c r="HL22" s="7" t="e">
        <f aca="false">AVERAGE(HL13:HL20)-AVERAGE(HL4:HL12)</f>
        <v>#REF!</v>
      </c>
      <c r="HM22" s="7" t="e">
        <f aca="false">AVERAGE(HM13:HM20)-AVERAGE(HM4:HM12)</f>
        <v>#REF!</v>
      </c>
      <c r="HN22" s="7" t="e">
        <f aca="false">AVERAGE(HN13:HN20)-AVERAGE(HN4:HN12)</f>
        <v>#REF!</v>
      </c>
      <c r="HO22" s="7" t="e">
        <f aca="false">AVERAGE(HO13:HO20)-AVERAGE(HO4:HO12)</f>
        <v>#REF!</v>
      </c>
      <c r="HP22" s="7" t="e">
        <f aca="false">AVERAGE(HP13:HP20)-AVERAGE(HP4:HP12)</f>
        <v>#REF!</v>
      </c>
      <c r="HQ22" s="7" t="e">
        <f aca="false">AVERAGE(HQ13:HQ20)-AVERAGE(HQ4:HQ12)</f>
        <v>#REF!</v>
      </c>
      <c r="HR22" s="7" t="e">
        <f aca="false">AVERAGE(HR13:HR20)-AVERAGE(HR4:HR12)</f>
        <v>#REF!</v>
      </c>
      <c r="HS22" s="7" t="e">
        <f aca="false">AVERAGE(HS13:HS20)-AVERAGE(HS4:HS12)</f>
        <v>#REF!</v>
      </c>
      <c r="HT22" s="7" t="e">
        <f aca="false">AVERAGE(HT13:HT20)-AVERAGE(HT4:HT12)</f>
        <v>#REF!</v>
      </c>
      <c r="HU22" s="7" t="e">
        <f aca="false">AVERAGE(HU13:HU20)-AVERAGE(HU4:HU12)</f>
        <v>#REF!</v>
      </c>
      <c r="HV22" s="7" t="e">
        <f aca="false">AVERAGE(HV13:HV20)-AVERAGE(HV4:HV12)</f>
        <v>#REF!</v>
      </c>
      <c r="HW22" s="7" t="e">
        <f aca="false">AVERAGE(HW13:HW20)-AVERAGE(HW4:HW12)</f>
        <v>#REF!</v>
      </c>
      <c r="HX22" s="7" t="e">
        <f aca="false">AVERAGE(HX13:HX20)-AVERAGE(HX4:HX12)</f>
        <v>#REF!</v>
      </c>
      <c r="HY22" s="7" t="e">
        <f aca="false">AVERAGE(HY13:HY20)-AVERAGE(HY4:HY12)</f>
        <v>#REF!</v>
      </c>
      <c r="HZ22" s="7" t="e">
        <f aca="false">AVERAGE(HZ13:HZ20)-AVERAGE(HZ4:HZ12)</f>
        <v>#REF!</v>
      </c>
      <c r="IA22" s="7" t="e">
        <f aca="false">AVERAGE(IA13:IA20)-AVERAGE(IA4:IA12)</f>
        <v>#REF!</v>
      </c>
      <c r="IB22" s="7" t="e">
        <f aca="false">AVERAGE(IB13:IB20)-AVERAGE(IB4:IB12)</f>
        <v>#REF!</v>
      </c>
      <c r="IC22" s="7" t="e">
        <f aca="false">AVERAGE(IC13:IC20)-AVERAGE(IC4:IC12)</f>
        <v>#REF!</v>
      </c>
      <c r="ID22" s="7" t="e">
        <f aca="false">AVERAGE(ID13:ID20)-AVERAGE(ID4:ID12)</f>
        <v>#REF!</v>
      </c>
      <c r="IE22" s="7" t="e">
        <f aca="false">AVERAGE(IE13:IE20)-AVERAGE(IE4:IE12)</f>
        <v>#REF!</v>
      </c>
      <c r="IF22" s="7" t="e">
        <f aca="false">AVERAGE(IF13:IF20)-AVERAGE(IF4:IF12)</f>
        <v>#REF!</v>
      </c>
      <c r="IG22" s="7" t="e">
        <f aca="false">AVERAGE(IG13:IG20)-AVERAGE(IG4:IG12)</f>
        <v>#REF!</v>
      </c>
      <c r="IH22" s="7" t="e">
        <f aca="false">AVERAGE(IH13:IH20)-AVERAGE(IH4:IH12)</f>
        <v>#REF!</v>
      </c>
      <c r="II22" s="7" t="e">
        <f aca="false">AVERAGE(II13:II20)-AVERAGE(II4:II12)</f>
        <v>#REF!</v>
      </c>
      <c r="IJ22" s="7" t="e">
        <f aca="false">AVERAGE(IJ13:IJ20)-AVERAGE(IJ4:IJ12)</f>
        <v>#REF!</v>
      </c>
      <c r="IK22" s="7" t="e">
        <f aca="false">AVERAGE(IK13:IK20)-AVERAGE(IK4:IK12)</f>
        <v>#REF!</v>
      </c>
      <c r="IL22" s="7" t="e">
        <f aca="false">AVERAGE(IL13:IL20)-AVERAGE(IL4:IL12)</f>
        <v>#REF!</v>
      </c>
      <c r="IM22" s="7" t="e">
        <f aca="false">AVERAGE(IM13:IM20)-AVERAGE(IM4:IM12)</f>
        <v>#REF!</v>
      </c>
      <c r="IN22" s="7" t="e">
        <f aca="false">AVERAGE(IN13:IN20)-AVERAGE(IN4:IN12)</f>
        <v>#REF!</v>
      </c>
      <c r="IO22" s="7" t="e">
        <f aca="false">AVERAGE(IO13:IO20)-AVERAGE(IO4:IO12)</f>
        <v>#REF!</v>
      </c>
      <c r="IP22" s="7" t="e">
        <f aca="false">AVERAGE(IP13:IP20)-AVERAGE(IP4:IP12)</f>
        <v>#REF!</v>
      </c>
      <c r="IQ22" s="7" t="e">
        <f aca="false">AVERAGE(IQ13:IQ20)-AVERAGE(IQ4:IQ12)</f>
        <v>#REF!</v>
      </c>
      <c r="IR22" s="7" t="e">
        <f aca="false">AVERAGE(IR13:IR20)-AVERAGE(IR4:IR12)</f>
        <v>#REF!</v>
      </c>
      <c r="IS22" s="7" t="e">
        <f aca="false">AVERAGE(IS13:IS20)-AVERAGE(IS4:IS12)</f>
        <v>#REF!</v>
      </c>
      <c r="IT22" s="7" t="e">
        <f aca="false">AVERAGE(IT13:IT20)-AVERAGE(IT4:IT12)</f>
        <v>#REF!</v>
      </c>
      <c r="IU22" s="7" t="e">
        <f aca="false">AVERAGE(IU13:IU20)-AVERAGE(IU4:IU12)</f>
        <v>#REF!</v>
      </c>
      <c r="IV22" s="7" t="e">
        <f aca="false">AVERAGE(IV13:IV20)-AVERAGE(IV4:IV12)</f>
        <v>#REF!</v>
      </c>
      <c r="IW22" s="7" t="e">
        <f aca="false">AVERAGE(IW13:IW20)-AVERAGE(IW4:IW12)</f>
        <v>#REF!</v>
      </c>
      <c r="IX22" s="7" t="e">
        <f aca="false">AVERAGE(IX13:IX20)-AVERAGE(IX4:IX12)</f>
        <v>#REF!</v>
      </c>
      <c r="IY22" s="7" t="e">
        <f aca="false">AVERAGE(IY13:IY20)-AVERAGE(IY4:IY12)</f>
        <v>#REF!</v>
      </c>
      <c r="IZ22" s="7" t="e">
        <f aca="false">AVERAGE(IZ13:IZ20)-AVERAGE(IZ4:IZ12)</f>
        <v>#REF!</v>
      </c>
      <c r="JA22" s="7" t="e">
        <f aca="false">AVERAGE(JA13:JA20)-AVERAGE(JA4:JA12)</f>
        <v>#REF!</v>
      </c>
      <c r="JB22" s="7" t="e">
        <f aca="false">AVERAGE(JB13:JB20)-AVERAGE(JB4:JB12)</f>
        <v>#REF!</v>
      </c>
      <c r="JC22" s="7" t="e">
        <f aca="false">AVERAGE(JC13:JC20)-AVERAGE(JC4:JC12)</f>
        <v>#REF!</v>
      </c>
      <c r="JD22" s="7" t="e">
        <f aca="false">AVERAGE(JD13:JD20)-AVERAGE(JD4:JD12)</f>
        <v>#REF!</v>
      </c>
      <c r="JE22" s="7" t="e">
        <f aca="false">AVERAGE(JE13:JE20)-AVERAGE(JE4:JE12)</f>
        <v>#REF!</v>
      </c>
      <c r="JF22" s="7" t="e">
        <f aca="false">AVERAGE(JF13:JF20)-AVERAGE(JF4:JF12)</f>
        <v>#REF!</v>
      </c>
      <c r="JG22" s="7" t="e">
        <f aca="false">AVERAGE(JG13:JG20)-AVERAGE(JG4:JG12)</f>
        <v>#REF!</v>
      </c>
      <c r="JH22" s="7" t="e">
        <f aca="false">AVERAGE(JH13:JH20)-AVERAGE(JH4:JH12)</f>
        <v>#REF!</v>
      </c>
      <c r="JI22" s="7" t="e">
        <f aca="false">AVERAGE(JI13:JI20)-AVERAGE(JI4:JI12)</f>
        <v>#REF!</v>
      </c>
      <c r="JJ22" s="7" t="e">
        <f aca="false">AVERAGE(JJ13:JJ20)-AVERAGE(JJ4:JJ12)</f>
        <v>#REF!</v>
      </c>
      <c r="JK22" s="7" t="e">
        <f aca="false">AVERAGE(JK13:JK20)-AVERAGE(JK4:JK12)</f>
        <v>#REF!</v>
      </c>
      <c r="JL22" s="7" t="e">
        <f aca="false">AVERAGE(JL13:JL20)-AVERAGE(JL4:JL12)</f>
        <v>#REF!</v>
      </c>
      <c r="JM22" s="7" t="e">
        <f aca="false">AVERAGE(JM13:JM20)-AVERAGE(JM4:JM12)</f>
        <v>#REF!</v>
      </c>
      <c r="JN22" s="7" t="e">
        <f aca="false">AVERAGE(JN13:JN20)-AVERAGE(JN4:JN12)</f>
        <v>#REF!</v>
      </c>
      <c r="JO22" s="7" t="e">
        <f aca="false">AVERAGE(JO13:JO20)-AVERAGE(JO4:JO12)</f>
        <v>#REF!</v>
      </c>
      <c r="JP22" s="7" t="e">
        <f aca="false">AVERAGE(JP13:JP20)-AVERAGE(JP4:JP12)</f>
        <v>#REF!</v>
      </c>
      <c r="JQ22" s="7" t="e">
        <f aca="false">AVERAGE(JQ13:JQ20)-AVERAGE(JQ4:JQ12)</f>
        <v>#REF!</v>
      </c>
      <c r="JR22" s="7" t="e">
        <f aca="false">AVERAGE(JR13:JR20)-AVERAGE(JR4:JR12)</f>
        <v>#REF!</v>
      </c>
      <c r="JS22" s="7" t="e">
        <f aca="false">AVERAGE(JS13:JS20)-AVERAGE(JS4:JS12)</f>
        <v>#REF!</v>
      </c>
      <c r="JT22" s="7" t="e">
        <f aca="false">AVERAGE(JT13:JT20)-AVERAGE(JT4:JT12)</f>
        <v>#REF!</v>
      </c>
      <c r="JU22" s="7" t="e">
        <f aca="false">AVERAGE(JU13:JU20)-AVERAGE(JU4:JU12)</f>
        <v>#REF!</v>
      </c>
      <c r="JV22" s="7" t="e">
        <f aca="false">AVERAGE(JV13:JV20)-AVERAGE(JV4:JV12)</f>
        <v>#REF!</v>
      </c>
      <c r="JW22" s="7" t="e">
        <f aca="false">AVERAGE(JW13:JW20)-AVERAGE(JW4:JW12)</f>
        <v>#REF!</v>
      </c>
      <c r="JX22" s="7" t="e">
        <f aca="false">AVERAGE(JX13:JX20)-AVERAGE(JX4:JX12)</f>
        <v>#REF!</v>
      </c>
      <c r="JY22" s="7" t="e">
        <f aca="false">AVERAGE(JY13:JY20)-AVERAGE(JY4:JY12)</f>
        <v>#REF!</v>
      </c>
      <c r="JZ22" s="7" t="e">
        <f aca="false">AVERAGE(JZ13:JZ20)-AVERAGE(JZ4:JZ12)</f>
        <v>#REF!</v>
      </c>
      <c r="KA22" s="7" t="e">
        <f aca="false">AVERAGE(KA13:KA20)-AVERAGE(KA4:KA12)</f>
        <v>#REF!</v>
      </c>
      <c r="KB22" s="7" t="e">
        <f aca="false">AVERAGE(KB13:KB20)-AVERAGE(KB4:KB12)</f>
        <v>#REF!</v>
      </c>
      <c r="KC22" s="7" t="e">
        <f aca="false">AVERAGE(KC13:KC20)-AVERAGE(KC4:KC12)</f>
        <v>#REF!</v>
      </c>
      <c r="KD22" s="7" t="e">
        <f aca="false">AVERAGE(KD13:KD20)-AVERAGE(KD4:KD12)</f>
        <v>#REF!</v>
      </c>
      <c r="KE22" s="7" t="e">
        <f aca="false">AVERAGE(KE13:KE20)-AVERAGE(KE4:KE12)</f>
        <v>#REF!</v>
      </c>
      <c r="KF22" s="7" t="e">
        <f aca="false">AVERAGE(KF13:KF20)-AVERAGE(KF4:KF12)</f>
        <v>#REF!</v>
      </c>
      <c r="KG22" s="7" t="e">
        <f aca="false">AVERAGE(KG13:KG20)-AVERAGE(KG4:KG12)</f>
        <v>#REF!</v>
      </c>
      <c r="KH22" s="7" t="e">
        <f aca="false">AVERAGE(KH13:KH20)-AVERAGE(KH4:KH12)</f>
        <v>#REF!</v>
      </c>
      <c r="KI22" s="7" t="e">
        <f aca="false">AVERAGE(KI13:KI20)-AVERAGE(KI4:KI12)</f>
        <v>#REF!</v>
      </c>
      <c r="KJ22" s="7" t="e">
        <f aca="false">AVERAGE(KJ13:KJ20)-AVERAGE(KJ4:KJ12)</f>
        <v>#REF!</v>
      </c>
      <c r="KK22" s="7" t="e">
        <f aca="false">AVERAGE(KK13:KK20)-AVERAGE(KK4:KK12)</f>
        <v>#REF!</v>
      </c>
      <c r="KL22" s="7" t="e">
        <f aca="false">AVERAGE(KL13:KL20)-AVERAGE(KL4:KL12)</f>
        <v>#REF!</v>
      </c>
      <c r="KM22" s="7" t="e">
        <f aca="false">AVERAGE(KM13:KM20)-AVERAGE(KM4:KM12)</f>
        <v>#REF!</v>
      </c>
      <c r="KN22" s="7" t="e">
        <f aca="false">AVERAGE(KN13:KN20)-AVERAGE(KN4:KN12)</f>
        <v>#REF!</v>
      </c>
      <c r="KO22" s="7" t="e">
        <f aca="false">AVERAGE(KO13:KO20)-AVERAGE(KO4:KO12)</f>
        <v>#REF!</v>
      </c>
      <c r="KP22" s="7" t="e">
        <f aca="false">AVERAGE(KP13:KP20)-AVERAGE(KP4:KP12)</f>
        <v>#REF!</v>
      </c>
      <c r="KQ22" s="7" t="e">
        <f aca="false">AVERAGE(KQ13:KQ20)-AVERAGE(KQ4:KQ12)</f>
        <v>#REF!</v>
      </c>
      <c r="KR22" s="7" t="e">
        <f aca="false">AVERAGE(KR13:KR20)-AVERAGE(KR4:KR12)</f>
        <v>#REF!</v>
      </c>
      <c r="KS22" s="7" t="e">
        <f aca="false">AVERAGE(KS13:KS20)-AVERAGE(KS4:KS12)</f>
        <v>#REF!</v>
      </c>
      <c r="KT22" s="7" t="e">
        <f aca="false">AVERAGE(KT13:KT20)-AVERAGE(KT4:KT12)</f>
        <v>#REF!</v>
      </c>
      <c r="KU22" s="7" t="e">
        <f aca="false">AVERAGE(KU13:KU20)-AVERAGE(KU4:KU12)</f>
        <v>#REF!</v>
      </c>
      <c r="KV22" s="7" t="e">
        <f aca="false">AVERAGE(KV13:KV20)-AVERAGE(KV4:KV12)</f>
        <v>#REF!</v>
      </c>
      <c r="KW22" s="7" t="e">
        <f aca="false">AVERAGE(KW13:KW20)-AVERAGE(KW4:KW12)</f>
        <v>#REF!</v>
      </c>
      <c r="KX22" s="7" t="e">
        <f aca="false">AVERAGE(KX13:KX20)-AVERAGE(KX4:KX12)</f>
        <v>#REF!</v>
      </c>
      <c r="KY22" s="7" t="e">
        <f aca="false">AVERAGE(KY13:KY20)-AVERAGE(KY4:KY12)</f>
        <v>#REF!</v>
      </c>
      <c r="KZ22" s="7" t="e">
        <f aca="false">AVERAGE(KZ13:KZ20)-AVERAGE(KZ4:KZ12)</f>
        <v>#REF!</v>
      </c>
      <c r="LA22" s="7" t="e">
        <f aca="false">AVERAGE(LA13:LA20)-AVERAGE(LA4:LA12)</f>
        <v>#REF!</v>
      </c>
      <c r="LB22" s="7" t="e">
        <f aca="false">AVERAGE(LB13:LB20)-AVERAGE(LB4:LB12)</f>
        <v>#REF!</v>
      </c>
      <c r="LC22" s="7" t="e">
        <f aca="false">AVERAGE(LC13:LC20)-AVERAGE(LC4:LC12)</f>
        <v>#REF!</v>
      </c>
      <c r="LD22" s="7" t="e">
        <f aca="false">AVERAGE(LD13:LD20)-AVERAGE(LD4:LD12)</f>
        <v>#REF!</v>
      </c>
      <c r="LE22" s="7" t="e">
        <f aca="false">AVERAGE(LE13:LE20)-AVERAGE(LE4:LE12)</f>
        <v>#REF!</v>
      </c>
      <c r="LF22" s="7" t="e">
        <f aca="false">AVERAGE(LF13:LF20)-AVERAGE(LF4:LF12)</f>
        <v>#REF!</v>
      </c>
      <c r="LG22" s="7" t="e">
        <f aca="false">AVERAGE(LG13:LG20)-AVERAGE(LG4:LG12)</f>
        <v>#REF!</v>
      </c>
      <c r="LH22" s="7" t="e">
        <f aca="false">AVERAGE(LH13:LH20)-AVERAGE(LH4:LH12)</f>
        <v>#REF!</v>
      </c>
      <c r="LI22" s="7" t="e">
        <f aca="false">AVERAGE(LI13:LI20)-AVERAGE(LI4:LI12)</f>
        <v>#REF!</v>
      </c>
      <c r="LJ22" s="7" t="e">
        <f aca="false">AVERAGE(LJ13:LJ20)-AVERAGE(LJ4:LJ12)</f>
        <v>#REF!</v>
      </c>
      <c r="LK22" s="7" t="e">
        <f aca="false">AVERAGE(LK13:LK20)-AVERAGE(LK4:LK12)</f>
        <v>#REF!</v>
      </c>
      <c r="LL22" s="7" t="e">
        <f aca="false">AVERAGE(LL13:LL20)-AVERAGE(LL4:LL12)</f>
        <v>#REF!</v>
      </c>
      <c r="LM22" s="7" t="e">
        <f aca="false">AVERAGE(LM13:LM20)-AVERAGE(LM4:LM12)</f>
        <v>#REF!</v>
      </c>
      <c r="LN22" s="7" t="e">
        <f aca="false">AVERAGE(LN13:LN20)-AVERAGE(LN4:LN12)</f>
        <v>#REF!</v>
      </c>
      <c r="LO22" s="7" t="e">
        <f aca="false">AVERAGE(LO13:LO20)-AVERAGE(LO4:LO12)</f>
        <v>#REF!</v>
      </c>
      <c r="LP22" s="7" t="e">
        <f aca="false">AVERAGE(LP13:LP20)-AVERAGE(LP4:LP12)</f>
        <v>#REF!</v>
      </c>
      <c r="LQ22" s="7" t="e">
        <f aca="false">AVERAGE(LQ13:LQ20)-AVERAGE(LQ4:LQ12)</f>
        <v>#REF!</v>
      </c>
      <c r="LR22" s="7" t="e">
        <f aca="false">AVERAGE(LR13:LR20)-AVERAGE(LR4:LR12)</f>
        <v>#REF!</v>
      </c>
      <c r="LS22" s="7" t="e">
        <f aca="false">AVERAGE(LS13:LS20)-AVERAGE(LS4:LS12)</f>
        <v>#REF!</v>
      </c>
      <c r="LT22" s="7" t="e">
        <f aca="false">AVERAGE(LT13:LT20)-AVERAGE(LT4:LT12)</f>
        <v>#REF!</v>
      </c>
      <c r="LU22" s="7" t="e">
        <f aca="false">AVERAGE(LU13:LU20)-AVERAGE(LU4:LU12)</f>
        <v>#REF!</v>
      </c>
      <c r="LV22" s="7" t="e">
        <f aca="false">AVERAGE(LV13:LV20)-AVERAGE(LV4:LV12)</f>
        <v>#REF!</v>
      </c>
      <c r="LW22" s="7" t="e">
        <f aca="false">AVERAGE(LW13:LW20)-AVERAGE(LW4:LW12)</f>
        <v>#REF!</v>
      </c>
      <c r="LX22" s="7" t="e">
        <f aca="false">AVERAGE(LX13:LX20)-AVERAGE(LX4:LX12)</f>
        <v>#REF!</v>
      </c>
      <c r="LY22" s="7" t="e">
        <f aca="false">AVERAGE(LY13:LY20)-AVERAGE(LY4:LY12)</f>
        <v>#REF!</v>
      </c>
      <c r="LZ22" s="7" t="e">
        <f aca="false">AVERAGE(LZ13:LZ20)-AVERAGE(LZ4:LZ12)</f>
        <v>#REF!</v>
      </c>
      <c r="MA22" s="7" t="e">
        <f aca="false">AVERAGE(MA13:MA20)-AVERAGE(MA4:MA12)</f>
        <v>#REF!</v>
      </c>
      <c r="MB22" s="7" t="e">
        <f aca="false">AVERAGE(MB13:MB20)-AVERAGE(MB4:MB12)</f>
        <v>#REF!</v>
      </c>
      <c r="MC22" s="7" t="e">
        <f aca="false">AVERAGE(MC13:MC20)-AVERAGE(MC4:MC12)</f>
        <v>#REF!</v>
      </c>
      <c r="MD22" s="7" t="e">
        <f aca="false">AVERAGE(MD13:MD20)-AVERAGE(MD4:MD12)</f>
        <v>#REF!</v>
      </c>
      <c r="ME22" s="7" t="e">
        <f aca="false">AVERAGE(ME13:ME20)-AVERAGE(ME4:ME12)</f>
        <v>#REF!</v>
      </c>
      <c r="MF22" s="7" t="e">
        <f aca="false">AVERAGE(MF13:MF20)-AVERAGE(MF4:MF12)</f>
        <v>#REF!</v>
      </c>
      <c r="MG22" s="7" t="e">
        <f aca="false">AVERAGE(MG13:MG20)-AVERAGE(MG4:MG12)</f>
        <v>#REF!</v>
      </c>
      <c r="MH22" s="7" t="e">
        <f aca="false">AVERAGE(MH13:MH20)-AVERAGE(MH4:MH12)</f>
        <v>#REF!</v>
      </c>
      <c r="MI22" s="7" t="e">
        <f aca="false">AVERAGE(MI13:MI20)-AVERAGE(MI4:MI12)</f>
        <v>#REF!</v>
      </c>
      <c r="MJ22" s="7" t="e">
        <f aca="false">AVERAGE(MJ13:MJ20)-AVERAGE(MJ4:MJ12)</f>
        <v>#REF!</v>
      </c>
      <c r="MK22" s="7" t="e">
        <f aca="false">AVERAGE(MK13:MK20)-AVERAGE(MK4:MK12)</f>
        <v>#REF!</v>
      </c>
      <c r="ML22" s="7" t="e">
        <f aca="false">AVERAGE(ML13:ML20)-AVERAGE(ML4:ML12)</f>
        <v>#REF!</v>
      </c>
      <c r="MM22" s="7" t="e">
        <f aca="false">AVERAGE(MM13:MM20)-AVERAGE(MM4:MM12)</f>
        <v>#REF!</v>
      </c>
      <c r="MN22" s="7" t="e">
        <f aca="false">AVERAGE(MN13:MN20)-AVERAGE(MN4:MN12)</f>
        <v>#REF!</v>
      </c>
      <c r="MO22" s="7" t="e">
        <f aca="false">AVERAGE(MO13:MO20)-AVERAGE(MO4:MO12)</f>
        <v>#REF!</v>
      </c>
      <c r="MP22" s="7" t="e">
        <f aca="false">AVERAGE(MP13:MP20)-AVERAGE(MP4:MP12)</f>
        <v>#REF!</v>
      </c>
      <c r="MQ22" s="7" t="e">
        <f aca="false">AVERAGE(MQ13:MQ20)-AVERAGE(MQ4:MQ12)</f>
        <v>#REF!</v>
      </c>
      <c r="MR22" s="7" t="e">
        <f aca="false">AVERAGE(MR13:MR20)-AVERAGE(MR4:MR12)</f>
        <v>#REF!</v>
      </c>
      <c r="MS22" s="7" t="e">
        <f aca="false">AVERAGE(MS13:MS20)-AVERAGE(MS4:MS12)</f>
        <v>#REF!</v>
      </c>
      <c r="MT22" s="7" t="e">
        <f aca="false">AVERAGE(MT13:MT20)-AVERAGE(MT4:MT12)</f>
        <v>#REF!</v>
      </c>
      <c r="MU22" s="7" t="e">
        <f aca="false">AVERAGE(MU13:MU20)-AVERAGE(MU4:MU12)</f>
        <v>#REF!</v>
      </c>
      <c r="MV22" s="7" t="e">
        <f aca="false">AVERAGE(MV13:MV20)-AVERAGE(MV4:MV12)</f>
        <v>#REF!</v>
      </c>
      <c r="MW22" s="7" t="e">
        <f aca="false">AVERAGE(MW13:MW20)-AVERAGE(MW4:MW12)</f>
        <v>#REF!</v>
      </c>
      <c r="MX22" s="7" t="e">
        <f aca="false">AVERAGE(MX13:MX20)-AVERAGE(MX4:MX12)</f>
        <v>#REF!</v>
      </c>
      <c r="MY22" s="7" t="e">
        <f aca="false">AVERAGE(MY13:MY20)-AVERAGE(MY4:MY12)</f>
        <v>#REF!</v>
      </c>
      <c r="MZ22" s="7" t="e">
        <f aca="false">AVERAGE(MZ13:MZ20)-AVERAGE(MZ4:MZ12)</f>
        <v>#REF!</v>
      </c>
      <c r="NA22" s="7" t="e">
        <f aca="false">AVERAGE(NA13:NA20)-AVERAGE(NA4:NA12)</f>
        <v>#REF!</v>
      </c>
      <c r="NB22" s="7" t="e">
        <f aca="false">AVERAGE(NB13:NB20)-AVERAGE(NB4:NB12)</f>
        <v>#REF!</v>
      </c>
      <c r="NC22" s="7" t="e">
        <f aca="false">AVERAGE(NC13:NC20)-AVERAGE(NC4:NC12)</f>
        <v>#REF!</v>
      </c>
      <c r="ND22" s="7" t="e">
        <f aca="false">AVERAGE(ND13:ND20)-AVERAGE(ND4:ND12)</f>
        <v>#REF!</v>
      </c>
      <c r="NE22" s="7" t="e">
        <f aca="false">AVERAGE(NE13:NE20)-AVERAGE(NE4:NE12)</f>
        <v>#REF!</v>
      </c>
      <c r="NF22" s="7" t="e">
        <f aca="false">AVERAGE(NF13:NF20)-AVERAGE(NF4:NF12)</f>
        <v>#REF!</v>
      </c>
      <c r="NG22" s="7" t="e">
        <f aca="false">AVERAGE(NG13:NG20)-AVERAGE(NG4:NG12)</f>
        <v>#REF!</v>
      </c>
      <c r="NH22" s="7" t="e">
        <f aca="false">AVERAGE(NH13:NH20)-AVERAGE(NH4:NH12)</f>
        <v>#REF!</v>
      </c>
      <c r="NI22" s="7" t="e">
        <f aca="false">AVERAGE(NI13:NI20)-AVERAGE(NI4:NI12)</f>
        <v>#REF!</v>
      </c>
      <c r="NJ22" s="7" t="e">
        <f aca="false">AVERAGE(NJ13:NJ20)-AVERAGE(NJ4:NJ12)</f>
        <v>#REF!</v>
      </c>
      <c r="NK22" s="7" t="e">
        <f aca="false">AVERAGE(NK13:NK20)-AVERAGE(NK4:NK12)</f>
        <v>#REF!</v>
      </c>
      <c r="NL22" s="7" t="e">
        <f aca="false">AVERAGE(NL13:NL20)-AVERAGE(NL4:NL12)</f>
        <v>#REF!</v>
      </c>
      <c r="NM22" s="7" t="e">
        <f aca="false">AVERAGE(NM13:NM20)-AVERAGE(NM4:NM12)</f>
        <v>#REF!</v>
      </c>
      <c r="NN22" s="7" t="e">
        <f aca="false">AVERAGE(NN13:NN20)-AVERAGE(NN4:NN12)</f>
        <v>#REF!</v>
      </c>
      <c r="NO22" s="7" t="e">
        <f aca="false">AVERAGE(NO13:NO20)-AVERAGE(NO4:NO12)</f>
        <v>#REF!</v>
      </c>
      <c r="NP22" s="7" t="e">
        <f aca="false">AVERAGE(NP13:NP20)-AVERAGE(NP4:NP12)</f>
        <v>#REF!</v>
      </c>
      <c r="NQ22" s="7" t="e">
        <f aca="false">AVERAGE(NQ13:NQ20)-AVERAGE(NQ4:NQ12)</f>
        <v>#REF!</v>
      </c>
      <c r="NR22" s="7" t="e">
        <f aca="false">AVERAGE(NR13:NR20)-AVERAGE(NR4:NR12)</f>
        <v>#REF!</v>
      </c>
      <c r="NS22" s="7" t="e">
        <f aca="false">AVERAGE(NS13:NS20)-AVERAGE(NS4:NS12)</f>
        <v>#REF!</v>
      </c>
      <c r="NT22" s="7" t="e">
        <f aca="false">AVERAGE(NT13:NT20)-AVERAGE(NT4:NT12)</f>
        <v>#REF!</v>
      </c>
      <c r="NU22" s="7" t="e">
        <f aca="false">AVERAGE(NU13:NU20)-AVERAGE(NU4:NU12)</f>
        <v>#REF!</v>
      </c>
      <c r="NV22" s="7" t="e">
        <f aca="false">AVERAGE(NV13:NV20)-AVERAGE(NV4:NV12)</f>
        <v>#REF!</v>
      </c>
      <c r="NW22" s="7" t="e">
        <f aca="false">AVERAGE(NW13:NW20)-AVERAGE(NW4:NW12)</f>
        <v>#REF!</v>
      </c>
      <c r="NX22" s="7" t="e">
        <f aca="false">AVERAGE(NX13:NX20)-AVERAGE(NX4:NX12)</f>
        <v>#REF!</v>
      </c>
      <c r="NY22" s="7" t="e">
        <f aca="false">AVERAGE(NY13:NY20)-AVERAGE(NY4:NY12)</f>
        <v>#REF!</v>
      </c>
      <c r="NZ22" s="7" t="e">
        <f aca="false">AVERAGE(NZ13:NZ20)-AVERAGE(NZ4:NZ12)</f>
        <v>#REF!</v>
      </c>
      <c r="OA22" s="7" t="e">
        <f aca="false">AVERAGE(OA13:OA20)-AVERAGE(OA4:OA12)</f>
        <v>#REF!</v>
      </c>
      <c r="OB22" s="7" t="e">
        <f aca="false">AVERAGE(OB13:OB20)-AVERAGE(OB4:OB12)</f>
        <v>#REF!</v>
      </c>
      <c r="OC22" s="7" t="e">
        <f aca="false">AVERAGE(OC13:OC20)-AVERAGE(OC4:OC12)</f>
        <v>#REF!</v>
      </c>
      <c r="OD22" s="7" t="e">
        <f aca="false">AVERAGE(OD13:OD20)-AVERAGE(OD4:OD12)</f>
        <v>#REF!</v>
      </c>
      <c r="OE22" s="7" t="e">
        <f aca="false">AVERAGE(OE13:OE20)-AVERAGE(OE4:OE12)</f>
        <v>#REF!</v>
      </c>
      <c r="OF22" s="7" t="e">
        <f aca="false">AVERAGE(OF13:OF20)-AVERAGE(OF4:OF12)</f>
        <v>#REF!</v>
      </c>
      <c r="OG22" s="7" t="e">
        <f aca="false">AVERAGE(OG13:OG20)-AVERAGE(OG4:OG12)</f>
        <v>#REF!</v>
      </c>
      <c r="OH22" s="7" t="e">
        <f aca="false">AVERAGE(OH13:OH20)-AVERAGE(OH4:OH12)</f>
        <v>#REF!</v>
      </c>
      <c r="OI22" s="7" t="e">
        <f aca="false">AVERAGE(OI13:OI20)-AVERAGE(OI4:OI12)</f>
        <v>#REF!</v>
      </c>
      <c r="OJ22" s="7" t="e">
        <f aca="false">AVERAGE(OJ13:OJ20)-AVERAGE(OJ4:OJ12)</f>
        <v>#REF!</v>
      </c>
      <c r="OK22" s="7" t="e">
        <f aca="false">AVERAGE(OK13:OK20)-AVERAGE(OK4:OK12)</f>
        <v>#REF!</v>
      </c>
      <c r="OL22" s="7" t="e">
        <f aca="false">AVERAGE(OL13:OL20)-AVERAGE(OL4:OL12)</f>
        <v>#REF!</v>
      </c>
      <c r="OM22" s="7" t="e">
        <f aca="false">AVERAGE(OM13:OM20)-AVERAGE(OM4:OM12)</f>
        <v>#REF!</v>
      </c>
      <c r="ON22" s="7" t="e">
        <f aca="false">AVERAGE(ON13:ON20)-AVERAGE(ON4:ON12)</f>
        <v>#REF!</v>
      </c>
      <c r="OO22" s="7" t="e">
        <f aca="false">AVERAGE(OO13:OO20)-AVERAGE(OO4:OO12)</f>
        <v>#REF!</v>
      </c>
      <c r="OP22" s="7" t="e">
        <f aca="false">AVERAGE(OP13:OP20)-AVERAGE(OP4:OP12)</f>
        <v>#REF!</v>
      </c>
      <c r="OQ22" s="7" t="e">
        <f aca="false">AVERAGE(OQ13:OQ20)-AVERAGE(OQ4:OQ12)</f>
        <v>#REF!</v>
      </c>
      <c r="OR22" s="7" t="e">
        <f aca="false">AVERAGE(OR13:OR20)-AVERAGE(OR4:OR12)</f>
        <v>#REF!</v>
      </c>
      <c r="OS22" s="7" t="e">
        <f aca="false">AVERAGE(OS13:OS20)-AVERAGE(OS4:OS12)</f>
        <v>#REF!</v>
      </c>
      <c r="OT22" s="7" t="e">
        <f aca="false">AVERAGE(OT13:OT20)-AVERAGE(OT4:OT12)</f>
        <v>#REF!</v>
      </c>
      <c r="OU22" s="7" t="e">
        <f aca="false">AVERAGE(OU13:OU20)-AVERAGE(OU4:OU12)</f>
        <v>#REF!</v>
      </c>
      <c r="OV22" s="7" t="e">
        <f aca="false">AVERAGE(OV13:OV20)-AVERAGE(OV4:OV12)</f>
        <v>#REF!</v>
      </c>
      <c r="OW22" s="7" t="e">
        <f aca="false">AVERAGE(OW13:OW20)-AVERAGE(OW4:OW12)</f>
        <v>#REF!</v>
      </c>
      <c r="OX22" s="7" t="e">
        <f aca="false">AVERAGE(OX13:OX20)-AVERAGE(OX4:OX12)</f>
        <v>#REF!</v>
      </c>
      <c r="OY22" s="7" t="e">
        <f aca="false">AVERAGE(OY13:OY20)-AVERAGE(OY4:OY12)</f>
        <v>#REF!</v>
      </c>
      <c r="OZ22" s="7" t="e">
        <f aca="false">AVERAGE(OZ13:OZ20)-AVERAGE(OZ4:OZ12)</f>
        <v>#REF!</v>
      </c>
      <c r="PA22" s="7" t="e">
        <f aca="false">AVERAGE(PA13:PA20)-AVERAGE(PA4:PA12)</f>
        <v>#REF!</v>
      </c>
      <c r="PB22" s="7" t="e">
        <f aca="false">AVERAGE(PB13:PB20)-AVERAGE(PB4:PB12)</f>
        <v>#REF!</v>
      </c>
      <c r="PC22" s="7" t="e">
        <f aca="false">AVERAGE(PC13:PC20)-AVERAGE(PC4:PC12)</f>
        <v>#REF!</v>
      </c>
      <c r="PD22" s="7" t="e">
        <f aca="false">AVERAGE(PD13:PD20)-AVERAGE(PD4:PD12)</f>
        <v>#REF!</v>
      </c>
      <c r="PE22" s="7" t="e">
        <f aca="false">AVERAGE(PE13:PE20)-AVERAGE(PE4:PE12)</f>
        <v>#REF!</v>
      </c>
      <c r="PF22" s="7" t="e">
        <f aca="false">AVERAGE(PF13:PF20)-AVERAGE(PF4:PF12)</f>
        <v>#REF!</v>
      </c>
      <c r="PG22" s="7" t="e">
        <f aca="false">AVERAGE(PG13:PG20)-AVERAGE(PG4:PG12)</f>
        <v>#REF!</v>
      </c>
      <c r="PH22" s="7" t="e">
        <f aca="false">AVERAGE(PH13:PH20)-AVERAGE(PH4:PH12)</f>
        <v>#REF!</v>
      </c>
      <c r="PI22" s="7" t="e">
        <f aca="false">AVERAGE(PI13:PI20)-AVERAGE(PI4:PI12)</f>
        <v>#REF!</v>
      </c>
      <c r="PJ22" s="7" t="e">
        <f aca="false">AVERAGE(PJ13:PJ20)-AVERAGE(PJ4:PJ12)</f>
        <v>#REF!</v>
      </c>
      <c r="PK22" s="7" t="e">
        <f aca="false">AVERAGE(PK13:PK20)-AVERAGE(PK4:PK12)</f>
        <v>#REF!</v>
      </c>
      <c r="PL22" s="7" t="e">
        <f aca="false">AVERAGE(PL13:PL20)-AVERAGE(PL4:PL12)</f>
        <v>#REF!</v>
      </c>
      <c r="PM22" s="7" t="e">
        <f aca="false">AVERAGE(PM13:PM20)-AVERAGE(PM4:PM12)</f>
        <v>#REF!</v>
      </c>
      <c r="PN22" s="7" t="e">
        <f aca="false">AVERAGE(PN13:PN20)-AVERAGE(PN4:PN12)</f>
        <v>#REF!</v>
      </c>
      <c r="PO22" s="7" t="e">
        <f aca="false">AVERAGE(PO13:PO20)-AVERAGE(PO4:PO12)</f>
        <v>#REF!</v>
      </c>
      <c r="PP22" s="7" t="e">
        <f aca="false">AVERAGE(PP13:PP20)-AVERAGE(PP4:PP12)</f>
        <v>#REF!</v>
      </c>
      <c r="PQ22" s="7" t="e">
        <f aca="false">AVERAGE(PQ13:PQ20)-AVERAGE(PQ4:PQ12)</f>
        <v>#REF!</v>
      </c>
      <c r="PR22" s="7" t="e">
        <f aca="false">AVERAGE(PR13:PR20)-AVERAGE(PR4:PR12)</f>
        <v>#REF!</v>
      </c>
      <c r="PS22" s="7" t="e">
        <f aca="false">AVERAGE(PS13:PS20)-AVERAGE(PS4:PS12)</f>
        <v>#REF!</v>
      </c>
      <c r="PT22" s="7" t="e">
        <f aca="false">AVERAGE(PT13:PT20)-AVERAGE(PT4:PT12)</f>
        <v>#REF!</v>
      </c>
      <c r="PU22" s="7" t="e">
        <f aca="false">AVERAGE(PU13:PU20)-AVERAGE(PU4:PU12)</f>
        <v>#REF!</v>
      </c>
      <c r="PV22" s="7" t="e">
        <f aca="false">AVERAGE(PV13:PV20)-AVERAGE(PV4:PV12)</f>
        <v>#REF!</v>
      </c>
      <c r="PW22" s="7" t="e">
        <f aca="false">AVERAGE(PW13:PW20)-AVERAGE(PW4:PW12)</f>
        <v>#REF!</v>
      </c>
      <c r="PX22" s="7" t="e">
        <f aca="false">AVERAGE(PX13:PX20)-AVERAGE(PX4:PX12)</f>
        <v>#REF!</v>
      </c>
      <c r="PY22" s="7" t="e">
        <f aca="false">AVERAGE(PY13:PY20)-AVERAGE(PY4:PY12)</f>
        <v>#REF!</v>
      </c>
      <c r="PZ22" s="7" t="e">
        <f aca="false">AVERAGE(PZ13:PZ20)-AVERAGE(PZ4:PZ12)</f>
        <v>#REF!</v>
      </c>
      <c r="QA22" s="7" t="e">
        <f aca="false">AVERAGE(QA13:QA20)-AVERAGE(QA4:QA12)</f>
        <v>#REF!</v>
      </c>
      <c r="QB22" s="7" t="e">
        <f aca="false">AVERAGE(QB13:QB20)-AVERAGE(QB4:QB12)</f>
        <v>#REF!</v>
      </c>
      <c r="QC22" s="7" t="e">
        <f aca="false">AVERAGE(QC13:QC20)-AVERAGE(QC4:QC12)</f>
        <v>#REF!</v>
      </c>
      <c r="QD22" s="7" t="e">
        <f aca="false">AVERAGE(QD13:QD20)-AVERAGE(QD4:QD12)</f>
        <v>#REF!</v>
      </c>
      <c r="QE22" s="7" t="e">
        <f aca="false">AVERAGE(QE13:QE20)-AVERAGE(QE4:QE12)</f>
        <v>#REF!</v>
      </c>
      <c r="QF22" s="7" t="e">
        <f aca="false">AVERAGE(QF13:QF20)-AVERAGE(QF4:QF12)</f>
        <v>#REF!</v>
      </c>
      <c r="QG22" s="7" t="e">
        <f aca="false">AVERAGE(QG13:QG20)-AVERAGE(QG4:QG12)</f>
        <v>#REF!</v>
      </c>
      <c r="QH22" s="7" t="e">
        <f aca="false">AVERAGE(QH13:QH20)-AVERAGE(QH4:QH12)</f>
        <v>#REF!</v>
      </c>
      <c r="QI22" s="7" t="e">
        <f aca="false">AVERAGE(QI13:QI20)-AVERAGE(QI4:QI12)</f>
        <v>#REF!</v>
      </c>
      <c r="QJ22" s="7" t="e">
        <f aca="false">AVERAGE(QJ13:QJ20)-AVERAGE(QJ4:QJ12)</f>
        <v>#REF!</v>
      </c>
      <c r="QK22" s="7" t="e">
        <f aca="false">AVERAGE(QK13:QK20)-AVERAGE(QK4:QK12)</f>
        <v>#REF!</v>
      </c>
      <c r="QL22" s="7" t="e">
        <f aca="false">AVERAGE(QL13:QL20)-AVERAGE(QL4:QL12)</f>
        <v>#REF!</v>
      </c>
      <c r="QM22" s="7" t="e">
        <f aca="false">AVERAGE(QM13:QM20)-AVERAGE(QM4:QM12)</f>
        <v>#REF!</v>
      </c>
      <c r="QN22" s="7" t="e">
        <f aca="false">AVERAGE(QN13:QN20)-AVERAGE(QN4:QN12)</f>
        <v>#REF!</v>
      </c>
      <c r="QO22" s="7" t="e">
        <f aca="false">AVERAGE(QO13:QO20)-AVERAGE(QO4:QO12)</f>
        <v>#REF!</v>
      </c>
      <c r="QP22" s="7" t="e">
        <f aca="false">AVERAGE(QP13:QP20)-AVERAGE(QP4:QP12)</f>
        <v>#REF!</v>
      </c>
      <c r="QQ22" s="7" t="e">
        <f aca="false">AVERAGE(QQ13:QQ20)-AVERAGE(QQ4:QQ12)</f>
        <v>#REF!</v>
      </c>
      <c r="QR22" s="7" t="e">
        <f aca="false">AVERAGE(QR13:QR20)-AVERAGE(QR4:QR12)</f>
        <v>#REF!</v>
      </c>
      <c r="QS22" s="7" t="e">
        <f aca="false">AVERAGE(QS13:QS20)-AVERAGE(QS4:QS12)</f>
        <v>#REF!</v>
      </c>
      <c r="QT22" s="7" t="e">
        <f aca="false">AVERAGE(QT13:QT20)-AVERAGE(QT4:QT12)</f>
        <v>#REF!</v>
      </c>
      <c r="QU22" s="7" t="e">
        <f aca="false">AVERAGE(QU13:QU20)-AVERAGE(QU4:QU12)</f>
        <v>#REF!</v>
      </c>
      <c r="QV22" s="7" t="e">
        <f aca="false">AVERAGE(QV13:QV20)-AVERAGE(QV4:QV12)</f>
        <v>#REF!</v>
      </c>
      <c r="QW22" s="7" t="e">
        <f aca="false">AVERAGE(QW13:QW20)-AVERAGE(QW4:QW12)</f>
        <v>#REF!</v>
      </c>
      <c r="QX22" s="7" t="e">
        <f aca="false">AVERAGE(QX13:QX20)-AVERAGE(QX4:QX12)</f>
        <v>#REF!</v>
      </c>
      <c r="QY22" s="7" t="e">
        <f aca="false">AVERAGE(QY13:QY20)-AVERAGE(QY4:QY12)</f>
        <v>#REF!</v>
      </c>
      <c r="QZ22" s="7" t="e">
        <f aca="false">AVERAGE(QZ13:QZ20)-AVERAGE(QZ4:QZ12)</f>
        <v>#REF!</v>
      </c>
      <c r="RA22" s="7" t="e">
        <f aca="false">AVERAGE(RA13:RA20)-AVERAGE(RA4:RA12)</f>
        <v>#REF!</v>
      </c>
      <c r="RB22" s="7" t="e">
        <f aca="false">AVERAGE(RB13:RB20)-AVERAGE(RB4:RB12)</f>
        <v>#REF!</v>
      </c>
      <c r="RC22" s="7" t="e">
        <f aca="false">AVERAGE(RC13:RC20)-AVERAGE(RC4:RC12)</f>
        <v>#REF!</v>
      </c>
      <c r="RD22" s="7" t="e">
        <f aca="false">AVERAGE(RD13:RD20)-AVERAGE(RD4:RD12)</f>
        <v>#REF!</v>
      </c>
      <c r="RE22" s="7" t="e">
        <f aca="false">AVERAGE(RE13:RE20)-AVERAGE(RE4:RE12)</f>
        <v>#REF!</v>
      </c>
      <c r="RF22" s="7" t="e">
        <f aca="false">AVERAGE(RF13:RF20)-AVERAGE(RF4:RF12)</f>
        <v>#REF!</v>
      </c>
      <c r="RG22" s="7" t="e">
        <f aca="false">AVERAGE(RG13:RG20)-AVERAGE(RG4:RG12)</f>
        <v>#REF!</v>
      </c>
      <c r="RH22" s="7" t="e">
        <f aca="false">AVERAGE(RH13:RH20)-AVERAGE(RH4:RH12)</f>
        <v>#REF!</v>
      </c>
      <c r="RI22" s="7" t="e">
        <f aca="false">AVERAGE(RI13:RI20)-AVERAGE(RI4:RI12)</f>
        <v>#REF!</v>
      </c>
      <c r="RJ22" s="7" t="e">
        <f aca="false">AVERAGE(RJ13:RJ20)-AVERAGE(RJ4:RJ12)</f>
        <v>#REF!</v>
      </c>
      <c r="RK22" s="7" t="e">
        <f aca="false">AVERAGE(RK13:RK20)-AVERAGE(RK4:RK12)</f>
        <v>#REF!</v>
      </c>
      <c r="RL22" s="7" t="e">
        <f aca="false">AVERAGE(RL13:RL20)-AVERAGE(RL4:RL12)</f>
        <v>#REF!</v>
      </c>
      <c r="RM22" s="7" t="e">
        <f aca="false">AVERAGE(RM13:RM20)-AVERAGE(RM4:RM12)</f>
        <v>#REF!</v>
      </c>
      <c r="RN22" s="7" t="e">
        <f aca="false">AVERAGE(RN13:RN20)-AVERAGE(RN4:RN12)</f>
        <v>#REF!</v>
      </c>
      <c r="RO22" s="7" t="e">
        <f aca="false">AVERAGE(RO13:RO20)-AVERAGE(RO4:RO12)</f>
        <v>#REF!</v>
      </c>
      <c r="RP22" s="7" t="e">
        <f aca="false">AVERAGE(RP13:RP20)-AVERAGE(RP4:RP12)</f>
        <v>#REF!</v>
      </c>
      <c r="RQ22" s="7" t="e">
        <f aca="false">AVERAGE(RQ13:RQ20)-AVERAGE(RQ4:RQ12)</f>
        <v>#REF!</v>
      </c>
      <c r="RR22" s="7" t="e">
        <f aca="false">AVERAGE(RR13:RR20)-AVERAGE(RR4:RR12)</f>
        <v>#REF!</v>
      </c>
      <c r="RS22" s="7" t="e">
        <f aca="false">AVERAGE(RS13:RS20)-AVERAGE(RS4:RS12)</f>
        <v>#REF!</v>
      </c>
      <c r="RT22" s="7" t="e">
        <f aca="false">AVERAGE(RT13:RT20)-AVERAGE(RT4:RT12)</f>
        <v>#REF!</v>
      </c>
      <c r="RU22" s="7" t="e">
        <f aca="false">AVERAGE(RU13:RU20)-AVERAGE(RU4:RU12)</f>
        <v>#REF!</v>
      </c>
      <c r="RV22" s="7" t="e">
        <f aca="false">AVERAGE(RV13:RV20)-AVERAGE(RV4:RV12)</f>
        <v>#REF!</v>
      </c>
      <c r="RW22" s="7" t="e">
        <f aca="false">AVERAGE(RW13:RW20)-AVERAGE(RW4:RW12)</f>
        <v>#REF!</v>
      </c>
      <c r="RX22" s="7" t="e">
        <f aca="false">AVERAGE(RX13:RX20)-AVERAGE(RX4:RX12)</f>
        <v>#REF!</v>
      </c>
      <c r="RY22" s="7" t="e">
        <f aca="false">AVERAGE(RY13:RY20)-AVERAGE(RY4:RY12)</f>
        <v>#REF!</v>
      </c>
      <c r="RZ22" s="7" t="e">
        <f aca="false">AVERAGE(RZ13:RZ20)-AVERAGE(RZ4:RZ12)</f>
        <v>#REF!</v>
      </c>
      <c r="SA22" s="7" t="e">
        <f aca="false">AVERAGE(SA13:SA20)-AVERAGE(SA4:SA12)</f>
        <v>#REF!</v>
      </c>
      <c r="SB22" s="7" t="e">
        <f aca="false">AVERAGE(SB13:SB20)-AVERAGE(SB4:SB12)</f>
        <v>#REF!</v>
      </c>
      <c r="SC22" s="7" t="e">
        <f aca="false">AVERAGE(SC13:SC20)-AVERAGE(SC4:SC12)</f>
        <v>#REF!</v>
      </c>
      <c r="SD22" s="7" t="e">
        <f aca="false">AVERAGE(SD13:SD20)-AVERAGE(SD4:SD12)</f>
        <v>#REF!</v>
      </c>
      <c r="SE22" s="7" t="e">
        <f aca="false">AVERAGE(SE13:SE20)-AVERAGE(SE4:SE12)</f>
        <v>#REF!</v>
      </c>
      <c r="SF22" s="7" t="e">
        <f aca="false">AVERAGE(SF13:SF20)-AVERAGE(SF4:SF12)</f>
        <v>#REF!</v>
      </c>
      <c r="SG22" s="7" t="e">
        <f aca="false">AVERAGE(SG13:SG20)-AVERAGE(SG4:SG12)</f>
        <v>#REF!</v>
      </c>
      <c r="SH22" s="7" t="e">
        <f aca="false">AVERAGE(SH13:SH20)-AVERAGE(SH4:SH12)</f>
        <v>#REF!</v>
      </c>
      <c r="SI22" s="7" t="e">
        <f aca="false">AVERAGE(SI13:SI20)-AVERAGE(SI4:SI12)</f>
        <v>#REF!</v>
      </c>
      <c r="SJ22" s="7" t="e">
        <f aca="false">AVERAGE(SJ13:SJ20)-AVERAGE(SJ4:SJ12)</f>
        <v>#REF!</v>
      </c>
      <c r="SK22" s="7" t="e">
        <f aca="false">AVERAGE(SK13:SK20)-AVERAGE(SK4:SK12)</f>
        <v>#REF!</v>
      </c>
      <c r="SL22" s="7" t="e">
        <f aca="false">AVERAGE(SL13:SL20)-AVERAGE(SL4:SL12)</f>
        <v>#REF!</v>
      </c>
      <c r="SM22" s="7" t="e">
        <f aca="false">AVERAGE(SM13:SM20)-AVERAGE(SM4:SM12)</f>
        <v>#REF!</v>
      </c>
      <c r="SN22" s="7" t="e">
        <f aca="false">AVERAGE(SN13:SN20)-AVERAGE(SN4:SN12)</f>
        <v>#REF!</v>
      </c>
      <c r="SO22" s="7" t="e">
        <f aca="false">AVERAGE(SO13:SO20)-AVERAGE(SO4:SO12)</f>
        <v>#REF!</v>
      </c>
      <c r="SP22" s="7" t="e">
        <f aca="false">AVERAGE(SP13:SP20)-AVERAGE(SP4:SP12)</f>
        <v>#REF!</v>
      </c>
      <c r="SQ22" s="7" t="e">
        <f aca="false">AVERAGE(SQ13:SQ20)-AVERAGE(SQ4:SQ12)</f>
        <v>#REF!</v>
      </c>
      <c r="SR22" s="7" t="e">
        <f aca="false">AVERAGE(SR13:SR20)-AVERAGE(SR4:SR12)</f>
        <v>#REF!</v>
      </c>
      <c r="SS22" s="7" t="e">
        <f aca="false">AVERAGE(SS13:SS20)-AVERAGE(SS4:SS12)</f>
        <v>#REF!</v>
      </c>
      <c r="ST22" s="7" t="e">
        <f aca="false">AVERAGE(ST13:ST20)-AVERAGE(ST4:ST12)</f>
        <v>#REF!</v>
      </c>
      <c r="SU22" s="7" t="e">
        <f aca="false">AVERAGE(SU13:SU20)-AVERAGE(SU4:SU12)</f>
        <v>#REF!</v>
      </c>
      <c r="SV22" s="7" t="e">
        <f aca="false">AVERAGE(SV13:SV20)-AVERAGE(SV4:SV12)</f>
        <v>#REF!</v>
      </c>
      <c r="SW22" s="7" t="e">
        <f aca="false">AVERAGE(SW13:SW20)-AVERAGE(SW4:SW12)</f>
        <v>#REF!</v>
      </c>
      <c r="SX22" s="7" t="e">
        <f aca="false">AVERAGE(SX13:SX20)-AVERAGE(SX4:SX12)</f>
        <v>#REF!</v>
      </c>
      <c r="SY22" s="7" t="e">
        <f aca="false">AVERAGE(SY13:SY20)-AVERAGE(SY4:SY12)</f>
        <v>#REF!</v>
      </c>
      <c r="SZ22" s="7" t="e">
        <f aca="false">AVERAGE(SZ13:SZ20)-AVERAGE(SZ4:SZ12)</f>
        <v>#REF!</v>
      </c>
      <c r="TA22" s="7" t="e">
        <f aca="false">AVERAGE(TA13:TA20)-AVERAGE(TA4:TA12)</f>
        <v>#REF!</v>
      </c>
      <c r="TB22" s="7" t="e">
        <f aca="false">AVERAGE(TB13:TB20)-AVERAGE(TB4:TB12)</f>
        <v>#REF!</v>
      </c>
      <c r="TC22" s="7" t="e">
        <f aca="false">AVERAGE(TC13:TC20)-AVERAGE(TC4:TC12)</f>
        <v>#REF!</v>
      </c>
      <c r="TD22" s="7" t="e">
        <f aca="false">AVERAGE(TD13:TD20)-AVERAGE(TD4:TD12)</f>
        <v>#REF!</v>
      </c>
      <c r="TE22" s="7" t="e">
        <f aca="false">AVERAGE(TE13:TE20)-AVERAGE(TE4:TE12)</f>
        <v>#REF!</v>
      </c>
      <c r="TF22" s="7" t="e">
        <f aca="false">AVERAGE(TF13:TF20)-AVERAGE(TF4:TF12)</f>
        <v>#REF!</v>
      </c>
      <c r="TG22" s="7" t="e">
        <f aca="false">AVERAGE(TG13:TG20)-AVERAGE(TG4:TG12)</f>
        <v>#REF!</v>
      </c>
      <c r="TH22" s="7" t="e">
        <f aca="false">AVERAGE(TH13:TH20)-AVERAGE(TH4:TH12)</f>
        <v>#REF!</v>
      </c>
      <c r="TI22" s="7" t="e">
        <f aca="false">AVERAGE(TI13:TI20)-AVERAGE(TI4:TI12)</f>
        <v>#REF!</v>
      </c>
      <c r="TJ22" s="7" t="e">
        <f aca="false">AVERAGE(TJ13:TJ20)-AVERAGE(TJ4:TJ12)</f>
        <v>#REF!</v>
      </c>
      <c r="TK22" s="7" t="e">
        <f aca="false">AVERAGE(TK13:TK20)-AVERAGE(TK4:TK12)</f>
        <v>#REF!</v>
      </c>
      <c r="TL22" s="7" t="e">
        <f aca="false">AVERAGE(TL13:TL20)-AVERAGE(TL4:TL12)</f>
        <v>#REF!</v>
      </c>
      <c r="TM22" s="7" t="e">
        <f aca="false">AVERAGE(TM13:TM20)-AVERAGE(TM4:TM12)</f>
        <v>#REF!</v>
      </c>
      <c r="TN22" s="7" t="e">
        <f aca="false">AVERAGE(TN13:TN20)-AVERAGE(TN4:TN12)</f>
        <v>#REF!</v>
      </c>
      <c r="TO22" s="7" t="e">
        <f aca="false">AVERAGE(TO13:TO20)-AVERAGE(TO4:TO12)</f>
        <v>#REF!</v>
      </c>
      <c r="TP22" s="7" t="e">
        <f aca="false">AVERAGE(TP13:TP20)-AVERAGE(TP4:TP12)</f>
        <v>#REF!</v>
      </c>
      <c r="TQ22" s="7" t="e">
        <f aca="false">AVERAGE(TQ13:TQ20)-AVERAGE(TQ4:TQ12)</f>
        <v>#REF!</v>
      </c>
      <c r="TR22" s="7" t="e">
        <f aca="false">AVERAGE(TR13:TR20)-AVERAGE(TR4:TR12)</f>
        <v>#REF!</v>
      </c>
      <c r="TS22" s="7" t="e">
        <f aca="false">AVERAGE(TS13:TS20)-AVERAGE(TS4:TS12)</f>
        <v>#REF!</v>
      </c>
      <c r="TT22" s="7" t="e">
        <f aca="false">AVERAGE(TT13:TT20)-AVERAGE(TT4:TT12)</f>
        <v>#REF!</v>
      </c>
      <c r="TU22" s="7" t="e">
        <f aca="false">AVERAGE(TU13:TU20)-AVERAGE(TU4:TU12)</f>
        <v>#REF!</v>
      </c>
      <c r="TV22" s="7" t="e">
        <f aca="false">AVERAGE(TV13:TV20)-AVERAGE(TV4:TV12)</f>
        <v>#REF!</v>
      </c>
      <c r="TW22" s="7" t="e">
        <f aca="false">AVERAGE(TW13:TW20)-AVERAGE(TW4:TW12)</f>
        <v>#REF!</v>
      </c>
      <c r="TX22" s="7" t="e">
        <f aca="false">AVERAGE(TX13:TX20)-AVERAGE(TX4:TX12)</f>
        <v>#REF!</v>
      </c>
      <c r="TY22" s="7" t="e">
        <f aca="false">AVERAGE(TY13:TY20)-AVERAGE(TY4:TY12)</f>
        <v>#REF!</v>
      </c>
      <c r="TZ22" s="7" t="e">
        <f aca="false">AVERAGE(TZ13:TZ20)-AVERAGE(TZ4:TZ12)</f>
        <v>#REF!</v>
      </c>
      <c r="UA22" s="7" t="e">
        <f aca="false">AVERAGE(UA13:UA20)-AVERAGE(UA4:UA12)</f>
        <v>#REF!</v>
      </c>
      <c r="UB22" s="7" t="e">
        <f aca="false">AVERAGE(UB13:UB20)-AVERAGE(UB4:UB12)</f>
        <v>#REF!</v>
      </c>
      <c r="UC22" s="7" t="e">
        <f aca="false">AVERAGE(UC13:UC20)-AVERAGE(UC4:UC12)</f>
        <v>#REF!</v>
      </c>
      <c r="UD22" s="7" t="e">
        <f aca="false">AVERAGE(UD13:UD20)-AVERAGE(UD4:UD12)</f>
        <v>#REF!</v>
      </c>
      <c r="UE22" s="7" t="e">
        <f aca="false">AVERAGE(UE13:UE20)-AVERAGE(UE4:UE12)</f>
        <v>#REF!</v>
      </c>
      <c r="UF22" s="7" t="e">
        <f aca="false">AVERAGE(UF13:UF20)-AVERAGE(UF4:UF12)</f>
        <v>#REF!</v>
      </c>
      <c r="UG22" s="7" t="e">
        <f aca="false">AVERAGE(UG13:UG20)-AVERAGE(UG4:UG12)</f>
        <v>#REF!</v>
      </c>
      <c r="UH22" s="7" t="e">
        <f aca="false">AVERAGE(UH13:UH20)-AVERAGE(UH4:UH12)</f>
        <v>#REF!</v>
      </c>
      <c r="UI22" s="7" t="e">
        <f aca="false">AVERAGE(UI13:UI20)-AVERAGE(UI4:UI12)</f>
        <v>#REF!</v>
      </c>
      <c r="UJ22" s="7" t="e">
        <f aca="false">AVERAGE(UJ13:UJ20)-AVERAGE(UJ4:UJ12)</f>
        <v>#REF!</v>
      </c>
      <c r="UK22" s="7" t="e">
        <f aca="false">AVERAGE(UK13:UK20)-AVERAGE(UK4:UK12)</f>
        <v>#REF!</v>
      </c>
      <c r="UL22" s="7" t="e">
        <f aca="false">AVERAGE(UL13:UL20)-AVERAGE(UL4:UL12)</f>
        <v>#REF!</v>
      </c>
      <c r="UM22" s="7" t="e">
        <f aca="false">AVERAGE(UM13:UM20)-AVERAGE(UM4:UM12)</f>
        <v>#REF!</v>
      </c>
      <c r="UN22" s="7" t="e">
        <f aca="false">AVERAGE(UN13:UN20)-AVERAGE(UN4:UN12)</f>
        <v>#REF!</v>
      </c>
      <c r="UO22" s="7" t="e">
        <f aca="false">AVERAGE(UO13:UO20)-AVERAGE(UO4:UO12)</f>
        <v>#REF!</v>
      </c>
      <c r="UP22" s="7" t="e">
        <f aca="false">AVERAGE(UP13:UP20)-AVERAGE(UP4:UP12)</f>
        <v>#REF!</v>
      </c>
    </row>
    <row r="23" s="8" customFormat="true" ht="14.5" hidden="false" customHeight="false" outlineLevel="0" collapsed="false"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8" t="n">
        <v>1</v>
      </c>
      <c r="I23" s="8" t="n">
        <v>1</v>
      </c>
      <c r="J23" s="8" t="n">
        <v>1</v>
      </c>
      <c r="K23" s="8" t="n">
        <v>1</v>
      </c>
      <c r="L23" s="8" t="n">
        <v>1</v>
      </c>
      <c r="M23" s="8" t="n">
        <v>1</v>
      </c>
      <c r="N23" s="8" t="n">
        <v>1</v>
      </c>
      <c r="O23" s="8" t="n">
        <v>1</v>
      </c>
      <c r="P23" s="8" t="n">
        <v>1</v>
      </c>
      <c r="Q23" s="8" t="n">
        <v>1</v>
      </c>
      <c r="R23" s="8" t="n">
        <v>1</v>
      </c>
      <c r="S23" s="8" t="n">
        <v>1</v>
      </c>
      <c r="T23" s="8" t="n">
        <v>1</v>
      </c>
      <c r="U23" s="8" t="n">
        <v>1</v>
      </c>
      <c r="V23" s="8" t="n">
        <v>1</v>
      </c>
      <c r="W23" s="8" t="n">
        <v>1</v>
      </c>
      <c r="X23" s="8" t="n">
        <v>1</v>
      </c>
      <c r="Y23" s="8" t="n">
        <v>1</v>
      </c>
      <c r="Z23" s="8" t="n">
        <v>1</v>
      </c>
      <c r="AA23" s="8" t="n">
        <v>1</v>
      </c>
      <c r="AB23" s="8" t="n">
        <v>1</v>
      </c>
      <c r="AC23" s="8" t="n">
        <v>1</v>
      </c>
      <c r="AD23" s="8" t="n">
        <v>1</v>
      </c>
      <c r="AE23" s="8" t="n">
        <v>1</v>
      </c>
      <c r="AF23" s="8" t="n">
        <v>1</v>
      </c>
      <c r="AG23" s="8" t="n">
        <v>1</v>
      </c>
      <c r="AH23" s="8" t="n">
        <v>1</v>
      </c>
      <c r="AI23" s="8" t="n">
        <v>1</v>
      </c>
      <c r="AJ23" s="8" t="n">
        <v>1</v>
      </c>
      <c r="AK23" s="8" t="n">
        <v>1</v>
      </c>
      <c r="AL23" s="8" t="n">
        <v>1</v>
      </c>
      <c r="AM23" s="8" t="n">
        <v>1</v>
      </c>
      <c r="AN23" s="8" t="n">
        <v>1</v>
      </c>
      <c r="AO23" s="8" t="n">
        <v>1</v>
      </c>
      <c r="AP23" s="8" t="n">
        <v>1</v>
      </c>
      <c r="AQ23" s="8" t="n">
        <v>1</v>
      </c>
      <c r="AR23" s="8" t="n">
        <v>1</v>
      </c>
      <c r="AS23" s="8" t="n">
        <v>1</v>
      </c>
      <c r="AT23" s="8" t="n">
        <v>1</v>
      </c>
      <c r="AU23" s="8" t="n">
        <v>1</v>
      </c>
      <c r="AV23" s="8" t="n">
        <v>1</v>
      </c>
      <c r="AW23" s="8" t="n">
        <v>1</v>
      </c>
      <c r="AX23" s="8" t="n">
        <v>1</v>
      </c>
      <c r="AY23" s="8" t="n">
        <v>1</v>
      </c>
      <c r="AZ23" s="8" t="n">
        <v>1</v>
      </c>
      <c r="BA23" s="8" t="n">
        <v>1</v>
      </c>
      <c r="BB23" s="8" t="n">
        <v>1</v>
      </c>
      <c r="BC23" s="8" t="n">
        <v>1</v>
      </c>
      <c r="BD23" s="8" t="n">
        <v>1</v>
      </c>
      <c r="BE23" s="8" t="n">
        <v>1</v>
      </c>
      <c r="BF23" s="8" t="n">
        <v>1</v>
      </c>
      <c r="BG23" s="8" t="n">
        <v>1</v>
      </c>
      <c r="BH23" s="8" t="n">
        <v>1</v>
      </c>
      <c r="BI23" s="8" t="n">
        <v>1</v>
      </c>
      <c r="BJ23" s="8" t="n">
        <v>1</v>
      </c>
      <c r="BK23" s="8" t="n">
        <v>1</v>
      </c>
      <c r="BL23" s="8" t="n">
        <v>1</v>
      </c>
      <c r="BM23" s="8" t="n">
        <v>1</v>
      </c>
      <c r="BN23" s="8" t="n">
        <v>1</v>
      </c>
      <c r="BO23" s="8" t="n">
        <v>1</v>
      </c>
      <c r="BP23" s="8" t="n">
        <v>1</v>
      </c>
      <c r="BQ23" s="8" t="n">
        <v>1</v>
      </c>
      <c r="BR23" s="8" t="n">
        <v>1</v>
      </c>
      <c r="BS23" s="8" t="n">
        <v>1</v>
      </c>
      <c r="BT23" s="8" t="n">
        <v>1</v>
      </c>
      <c r="BU23" s="8" t="n">
        <v>1</v>
      </c>
      <c r="BV23" s="8" t="n">
        <v>1</v>
      </c>
      <c r="BW23" s="8" t="n">
        <v>1</v>
      </c>
      <c r="BX23" s="8" t="n">
        <v>1</v>
      </c>
      <c r="BY23" s="8" t="n">
        <v>1</v>
      </c>
      <c r="BZ23" s="8" t="n">
        <v>1</v>
      </c>
      <c r="CA23" s="8" t="n">
        <v>1</v>
      </c>
      <c r="CB23" s="8" t="n">
        <v>1</v>
      </c>
      <c r="CC23" s="8" t="n">
        <v>1</v>
      </c>
      <c r="CD23" s="8" t="n">
        <v>1</v>
      </c>
      <c r="CE23" s="8" t="n">
        <v>1</v>
      </c>
      <c r="CF23" s="8" t="n">
        <v>1</v>
      </c>
      <c r="CG23" s="8" t="n">
        <v>1</v>
      </c>
      <c r="CH23" s="8" t="n">
        <v>1</v>
      </c>
      <c r="CI23" s="8" t="n">
        <v>1</v>
      </c>
      <c r="CJ23" s="8" t="n">
        <v>1</v>
      </c>
      <c r="CK23" s="8" t="n">
        <v>1</v>
      </c>
      <c r="CL23" s="8" t="n">
        <v>1</v>
      </c>
      <c r="CM23" s="8" t="n">
        <v>1</v>
      </c>
      <c r="CN23" s="8" t="n">
        <v>1</v>
      </c>
      <c r="CO23" s="8" t="n">
        <v>1</v>
      </c>
      <c r="CP23" s="8" t="n">
        <v>1</v>
      </c>
      <c r="CQ23" s="8" t="n">
        <v>1</v>
      </c>
      <c r="CR23" s="8" t="n">
        <v>1</v>
      </c>
      <c r="CS23" s="8" t="n">
        <v>1</v>
      </c>
      <c r="CT23" s="8" t="n">
        <v>1</v>
      </c>
      <c r="CU23" s="8" t="n">
        <v>1</v>
      </c>
      <c r="CV23" s="8" t="n">
        <v>1</v>
      </c>
      <c r="CW23" s="8" t="n">
        <v>1</v>
      </c>
      <c r="CX23" s="8" t="n">
        <v>1</v>
      </c>
      <c r="CY23" s="8" t="n">
        <v>1</v>
      </c>
      <c r="CZ23" s="8" t="n">
        <v>1</v>
      </c>
      <c r="DA23" s="8" t="n">
        <v>1</v>
      </c>
      <c r="DB23" s="8" t="n">
        <v>1</v>
      </c>
      <c r="DC23" s="8" t="n">
        <v>1</v>
      </c>
      <c r="DD23" s="8" t="n">
        <v>1</v>
      </c>
      <c r="DE23" s="8" t="n">
        <v>1</v>
      </c>
      <c r="DF23" s="8" t="n">
        <v>1</v>
      </c>
      <c r="DG23" s="8" t="n">
        <v>1</v>
      </c>
      <c r="DH23" s="8" t="n">
        <v>1</v>
      </c>
      <c r="DI23" s="8" t="n">
        <v>1</v>
      </c>
      <c r="DJ23" s="8" t="n">
        <v>1</v>
      </c>
      <c r="DK23" s="8" t="n">
        <v>1</v>
      </c>
      <c r="DL23" s="8" t="n">
        <v>1</v>
      </c>
      <c r="DM23" s="8" t="n">
        <v>1</v>
      </c>
      <c r="DN23" s="8" t="n">
        <v>1</v>
      </c>
      <c r="DO23" s="8" t="n">
        <v>1</v>
      </c>
      <c r="DP23" s="8" t="n">
        <v>1</v>
      </c>
      <c r="DQ23" s="8" t="n">
        <v>1</v>
      </c>
      <c r="DR23" s="8" t="n">
        <v>1</v>
      </c>
      <c r="DS23" s="8" t="n">
        <v>1</v>
      </c>
      <c r="DT23" s="8" t="n">
        <v>1</v>
      </c>
      <c r="DU23" s="8" t="n">
        <v>1</v>
      </c>
      <c r="DV23" s="8" t="n">
        <v>1</v>
      </c>
      <c r="DW23" s="8" t="n">
        <v>1</v>
      </c>
      <c r="DX23" s="8" t="n">
        <v>1</v>
      </c>
      <c r="DY23" s="8" t="n">
        <v>1</v>
      </c>
      <c r="DZ23" s="8" t="n">
        <v>1</v>
      </c>
      <c r="EA23" s="8" t="n">
        <v>1</v>
      </c>
      <c r="EB23" s="8" t="n">
        <v>1</v>
      </c>
      <c r="EC23" s="8" t="n">
        <v>1</v>
      </c>
      <c r="ED23" s="8" t="n">
        <v>1</v>
      </c>
      <c r="EE23" s="8" t="n">
        <v>1</v>
      </c>
      <c r="EF23" s="8" t="n">
        <v>1</v>
      </c>
      <c r="EG23" s="8" t="n">
        <v>1</v>
      </c>
      <c r="EH23" s="8" t="n">
        <v>1</v>
      </c>
      <c r="EI23" s="8" t="n">
        <v>1</v>
      </c>
      <c r="EJ23" s="8" t="n">
        <v>1</v>
      </c>
      <c r="EK23" s="8" t="n">
        <v>1</v>
      </c>
      <c r="EL23" s="8" t="n">
        <v>1</v>
      </c>
      <c r="EM23" s="8" t="n">
        <v>1</v>
      </c>
      <c r="EN23" s="8" t="n">
        <v>1</v>
      </c>
      <c r="EO23" s="8" t="n">
        <v>1</v>
      </c>
      <c r="EP23" s="8" t="n">
        <v>1</v>
      </c>
      <c r="EQ23" s="8" t="n">
        <v>1</v>
      </c>
      <c r="ER23" s="8" t="n">
        <v>1</v>
      </c>
      <c r="ES23" s="8" t="n">
        <v>1</v>
      </c>
      <c r="ET23" s="8" t="n">
        <v>1</v>
      </c>
      <c r="EU23" s="8" t="n">
        <v>1</v>
      </c>
      <c r="EV23" s="8" t="n">
        <v>1</v>
      </c>
      <c r="EW23" s="8" t="n">
        <v>1</v>
      </c>
      <c r="EX23" s="8" t="n">
        <v>1</v>
      </c>
      <c r="EY23" s="8" t="n">
        <v>1</v>
      </c>
      <c r="EZ23" s="8" t="n">
        <v>1</v>
      </c>
      <c r="FA23" s="8" t="n">
        <v>1</v>
      </c>
      <c r="FB23" s="8" t="n">
        <v>1</v>
      </c>
      <c r="FC23" s="8" t="n">
        <v>1</v>
      </c>
      <c r="FD23" s="8" t="n">
        <v>1</v>
      </c>
      <c r="FE23" s="8" t="n">
        <v>1</v>
      </c>
      <c r="FF23" s="8" t="n">
        <v>1</v>
      </c>
      <c r="FG23" s="8" t="n">
        <v>1</v>
      </c>
      <c r="FH23" s="8" t="n">
        <v>1</v>
      </c>
      <c r="FI23" s="8" t="n">
        <v>1</v>
      </c>
      <c r="FJ23" s="8" t="n">
        <v>1</v>
      </c>
      <c r="FK23" s="8" t="n">
        <v>1</v>
      </c>
      <c r="FL23" s="8" t="n">
        <v>1</v>
      </c>
      <c r="FM23" s="8" t="n">
        <v>1</v>
      </c>
      <c r="FN23" s="8" t="n">
        <v>1</v>
      </c>
      <c r="FO23" s="8" t="n">
        <v>1</v>
      </c>
      <c r="FP23" s="8" t="n">
        <v>1</v>
      </c>
      <c r="FQ23" s="8" t="n">
        <v>1</v>
      </c>
      <c r="FR23" s="8" t="n">
        <v>1</v>
      </c>
      <c r="FS23" s="8" t="n">
        <v>1</v>
      </c>
      <c r="FT23" s="8" t="n">
        <v>1</v>
      </c>
      <c r="FU23" s="8" t="n">
        <v>1</v>
      </c>
      <c r="FV23" s="8" t="n">
        <v>1</v>
      </c>
      <c r="FW23" s="8" t="n">
        <v>1</v>
      </c>
      <c r="FX23" s="8" t="n">
        <v>1</v>
      </c>
      <c r="FY23" s="8" t="n">
        <v>1</v>
      </c>
      <c r="FZ23" s="8" t="n">
        <v>1</v>
      </c>
      <c r="GA23" s="8" t="n">
        <v>1</v>
      </c>
      <c r="GB23" s="8" t="n">
        <v>1</v>
      </c>
      <c r="GC23" s="8" t="n">
        <v>1</v>
      </c>
      <c r="GD23" s="8" t="n">
        <v>1</v>
      </c>
      <c r="GE23" s="8" t="n">
        <v>1</v>
      </c>
      <c r="GF23" s="8" t="n">
        <v>1</v>
      </c>
      <c r="GG23" s="8" t="n">
        <v>1</v>
      </c>
      <c r="GH23" s="8" t="n">
        <v>1</v>
      </c>
      <c r="GI23" s="8" t="n">
        <v>1</v>
      </c>
      <c r="GJ23" s="8" t="n">
        <v>1</v>
      </c>
      <c r="GK23" s="8" t="n">
        <v>1</v>
      </c>
      <c r="GL23" s="8" t="n">
        <v>1</v>
      </c>
      <c r="GM23" s="8" t="n">
        <v>1</v>
      </c>
      <c r="GN23" s="8" t="n">
        <v>1</v>
      </c>
      <c r="GO23" s="8" t="n">
        <v>1</v>
      </c>
      <c r="GP23" s="8" t="n">
        <v>1</v>
      </c>
      <c r="GQ23" s="8" t="n">
        <v>1</v>
      </c>
      <c r="GR23" s="8" t="n">
        <v>1</v>
      </c>
      <c r="GS23" s="8" t="n">
        <v>1</v>
      </c>
      <c r="GT23" s="8" t="n">
        <v>1</v>
      </c>
      <c r="GU23" s="8" t="n">
        <v>1</v>
      </c>
      <c r="GV23" s="8" t="n">
        <v>1</v>
      </c>
      <c r="GW23" s="8" t="n">
        <v>1</v>
      </c>
      <c r="GX23" s="8" t="n">
        <v>1</v>
      </c>
      <c r="GY23" s="8" t="n">
        <v>1</v>
      </c>
      <c r="GZ23" s="8" t="n">
        <v>1</v>
      </c>
      <c r="HA23" s="8" t="n">
        <v>1</v>
      </c>
      <c r="HB23" s="8" t="n">
        <v>1</v>
      </c>
      <c r="HC23" s="8" t="n">
        <v>1</v>
      </c>
      <c r="HD23" s="8" t="n">
        <v>1</v>
      </c>
      <c r="HE23" s="8" t="n">
        <v>1</v>
      </c>
      <c r="HF23" s="8" t="n">
        <v>1</v>
      </c>
      <c r="HG23" s="8" t="n">
        <v>1</v>
      </c>
      <c r="HH23" s="8" t="n">
        <v>1</v>
      </c>
      <c r="HI23" s="8" t="n">
        <v>1</v>
      </c>
      <c r="HJ23" s="8" t="n">
        <v>1</v>
      </c>
      <c r="HK23" s="8" t="n">
        <v>1</v>
      </c>
      <c r="HL23" s="8" t="n">
        <v>1</v>
      </c>
      <c r="HM23" s="8" t="n">
        <v>1</v>
      </c>
      <c r="HN23" s="8" t="n">
        <v>1</v>
      </c>
      <c r="HO23" s="8" t="n">
        <v>1</v>
      </c>
      <c r="HP23" s="8" t="n">
        <v>1</v>
      </c>
      <c r="HQ23" s="8" t="n">
        <v>1</v>
      </c>
      <c r="HR23" s="8" t="n">
        <v>1</v>
      </c>
      <c r="HS23" s="8" t="n">
        <v>1</v>
      </c>
      <c r="HT23" s="8" t="n">
        <v>1</v>
      </c>
      <c r="HU23" s="8" t="n">
        <v>1</v>
      </c>
      <c r="HV23" s="8" t="n">
        <v>1</v>
      </c>
      <c r="HW23" s="8" t="n">
        <v>1</v>
      </c>
      <c r="HX23" s="8" t="n">
        <v>1</v>
      </c>
      <c r="HY23" s="8" t="n">
        <v>1</v>
      </c>
      <c r="HZ23" s="8" t="n">
        <v>1</v>
      </c>
      <c r="IA23" s="8" t="n">
        <v>1</v>
      </c>
      <c r="IB23" s="8" t="n">
        <v>1</v>
      </c>
      <c r="IC23" s="8" t="n">
        <v>1</v>
      </c>
      <c r="ID23" s="8" t="n">
        <v>1</v>
      </c>
      <c r="IE23" s="8" t="n">
        <v>1</v>
      </c>
      <c r="IF23" s="8" t="n">
        <v>1</v>
      </c>
      <c r="IG23" s="8" t="n">
        <v>1</v>
      </c>
      <c r="IH23" s="8" t="n">
        <v>1</v>
      </c>
      <c r="II23" s="8" t="n">
        <v>1</v>
      </c>
      <c r="IJ23" s="8" t="n">
        <v>1</v>
      </c>
      <c r="IK23" s="8" t="n">
        <v>1</v>
      </c>
      <c r="IL23" s="8" t="n">
        <v>1</v>
      </c>
      <c r="IM23" s="8" t="n">
        <v>1</v>
      </c>
      <c r="IN23" s="8" t="n">
        <v>1</v>
      </c>
      <c r="IO23" s="8" t="n">
        <v>1</v>
      </c>
      <c r="IP23" s="8" t="n">
        <v>1</v>
      </c>
      <c r="IQ23" s="8" t="n">
        <v>1</v>
      </c>
      <c r="IR23" s="8" t="n">
        <v>1</v>
      </c>
      <c r="IS23" s="8" t="n">
        <v>1</v>
      </c>
      <c r="IT23" s="8" t="n">
        <v>1</v>
      </c>
      <c r="IU23" s="8" t="n">
        <v>1</v>
      </c>
      <c r="IV23" s="8" t="n">
        <v>1</v>
      </c>
      <c r="IW23" s="8" t="n">
        <v>1</v>
      </c>
      <c r="IX23" s="8" t="n">
        <v>1</v>
      </c>
      <c r="IY23" s="8" t="n">
        <v>1</v>
      </c>
      <c r="IZ23" s="8" t="n">
        <v>1</v>
      </c>
      <c r="JA23" s="8" t="n">
        <v>1</v>
      </c>
      <c r="JB23" s="8" t="n">
        <v>1</v>
      </c>
      <c r="JC23" s="8" t="n">
        <v>1</v>
      </c>
      <c r="JD23" s="8" t="n">
        <v>1</v>
      </c>
      <c r="JE23" s="8" t="n">
        <v>1</v>
      </c>
      <c r="JF23" s="8" t="n">
        <v>1</v>
      </c>
      <c r="JG23" s="8" t="n">
        <v>1</v>
      </c>
      <c r="JH23" s="8" t="n">
        <v>1</v>
      </c>
      <c r="JI23" s="8" t="n">
        <v>1</v>
      </c>
      <c r="JJ23" s="8" t="n">
        <v>1</v>
      </c>
      <c r="JK23" s="8" t="n">
        <v>1</v>
      </c>
      <c r="JL23" s="8" t="n">
        <v>1</v>
      </c>
      <c r="JM23" s="8" t="n">
        <v>1</v>
      </c>
      <c r="JN23" s="8" t="n">
        <v>1</v>
      </c>
      <c r="JO23" s="8" t="n">
        <v>1</v>
      </c>
      <c r="JP23" s="8" t="n">
        <v>1</v>
      </c>
      <c r="JQ23" s="8" t="n">
        <v>1</v>
      </c>
      <c r="JR23" s="8" t="n">
        <v>1</v>
      </c>
      <c r="JS23" s="8" t="n">
        <v>1</v>
      </c>
      <c r="JT23" s="8" t="n">
        <v>1</v>
      </c>
      <c r="JU23" s="8" t="n">
        <v>1</v>
      </c>
      <c r="JV23" s="8" t="n">
        <v>1</v>
      </c>
      <c r="JW23" s="8" t="n">
        <v>1</v>
      </c>
      <c r="JX23" s="8" t="n">
        <v>1</v>
      </c>
      <c r="JY23" s="8" t="n">
        <v>1</v>
      </c>
      <c r="JZ23" s="8" t="n">
        <v>1</v>
      </c>
      <c r="KA23" s="8" t="n">
        <v>1</v>
      </c>
      <c r="KB23" s="8" t="n">
        <v>1</v>
      </c>
      <c r="KC23" s="8" t="n">
        <v>1</v>
      </c>
      <c r="KD23" s="8" t="n">
        <v>1</v>
      </c>
      <c r="KE23" s="8" t="n">
        <v>1</v>
      </c>
      <c r="KF23" s="8" t="n">
        <v>1</v>
      </c>
      <c r="KG23" s="8" t="n">
        <v>1</v>
      </c>
      <c r="KH23" s="8" t="n">
        <v>1</v>
      </c>
      <c r="KI23" s="8" t="n">
        <v>1</v>
      </c>
      <c r="KJ23" s="8" t="n">
        <v>1</v>
      </c>
      <c r="KK23" s="8" t="n">
        <v>1</v>
      </c>
      <c r="KL23" s="8" t="n">
        <v>1</v>
      </c>
      <c r="KM23" s="8" t="n">
        <v>1</v>
      </c>
      <c r="KN23" s="8" t="n">
        <v>1</v>
      </c>
      <c r="KO23" s="8" t="n">
        <v>1</v>
      </c>
      <c r="KP23" s="8" t="n">
        <v>1</v>
      </c>
      <c r="KQ23" s="8" t="n">
        <v>1</v>
      </c>
      <c r="KR23" s="8" t="n">
        <v>1</v>
      </c>
      <c r="KS23" s="8" t="n">
        <v>1</v>
      </c>
      <c r="KT23" s="8" t="n">
        <v>1</v>
      </c>
      <c r="KU23" s="8" t="n">
        <v>1</v>
      </c>
      <c r="KV23" s="8" t="n">
        <v>1</v>
      </c>
      <c r="KW23" s="8" t="n">
        <v>1</v>
      </c>
      <c r="KX23" s="8" t="n">
        <v>1</v>
      </c>
      <c r="KY23" s="8" t="n">
        <v>1</v>
      </c>
      <c r="KZ23" s="8" t="n">
        <v>1</v>
      </c>
      <c r="LA23" s="8" t="n">
        <v>1</v>
      </c>
      <c r="LB23" s="8" t="n">
        <v>1</v>
      </c>
      <c r="LC23" s="8" t="n">
        <v>1</v>
      </c>
      <c r="LD23" s="8" t="n">
        <v>1</v>
      </c>
      <c r="LE23" s="8" t="n">
        <v>1</v>
      </c>
      <c r="LF23" s="8" t="n">
        <v>1</v>
      </c>
      <c r="LG23" s="8" t="n">
        <v>1</v>
      </c>
      <c r="LH23" s="8" t="n">
        <v>1</v>
      </c>
      <c r="LI23" s="8" t="n">
        <v>1</v>
      </c>
      <c r="LJ23" s="8" t="n">
        <v>1</v>
      </c>
      <c r="LK23" s="8" t="n">
        <v>1</v>
      </c>
      <c r="LL23" s="8" t="n">
        <v>1</v>
      </c>
      <c r="LM23" s="8" t="n">
        <v>1</v>
      </c>
      <c r="LN23" s="8" t="n">
        <v>1</v>
      </c>
      <c r="LO23" s="8" t="n">
        <v>1</v>
      </c>
      <c r="LP23" s="8" t="n">
        <v>1</v>
      </c>
      <c r="LQ23" s="8" t="n">
        <v>1</v>
      </c>
      <c r="LR23" s="8" t="n">
        <v>1</v>
      </c>
      <c r="LS23" s="8" t="n">
        <v>1</v>
      </c>
      <c r="LT23" s="8" t="n">
        <v>1</v>
      </c>
      <c r="LU23" s="8" t="n">
        <v>1</v>
      </c>
      <c r="LV23" s="8" t="n">
        <v>1</v>
      </c>
      <c r="LW23" s="8" t="n">
        <v>1</v>
      </c>
      <c r="LX23" s="8" t="n">
        <v>1</v>
      </c>
      <c r="LY23" s="8" t="n">
        <v>1</v>
      </c>
      <c r="LZ23" s="8" t="n">
        <v>1</v>
      </c>
      <c r="MA23" s="8" t="n">
        <v>1</v>
      </c>
      <c r="MB23" s="8" t="n">
        <v>1</v>
      </c>
      <c r="MC23" s="8" t="n">
        <v>1</v>
      </c>
      <c r="MD23" s="8" t="n">
        <v>1</v>
      </c>
      <c r="ME23" s="8" t="n">
        <v>1</v>
      </c>
      <c r="MF23" s="8" t="n">
        <v>1</v>
      </c>
      <c r="MG23" s="8" t="n">
        <v>1</v>
      </c>
      <c r="MH23" s="8" t="n">
        <v>1</v>
      </c>
      <c r="MI23" s="8" t="n">
        <v>1</v>
      </c>
      <c r="MJ23" s="8" t="n">
        <v>1</v>
      </c>
      <c r="MK23" s="8" t="n">
        <v>1</v>
      </c>
      <c r="ML23" s="8" t="n">
        <v>1</v>
      </c>
      <c r="MM23" s="8" t="n">
        <v>1</v>
      </c>
      <c r="MN23" s="8" t="n">
        <v>1</v>
      </c>
      <c r="MO23" s="8" t="n">
        <v>1</v>
      </c>
      <c r="MP23" s="8" t="n">
        <v>1</v>
      </c>
      <c r="MQ23" s="8" t="n">
        <v>1</v>
      </c>
      <c r="MR23" s="8" t="n">
        <v>1</v>
      </c>
      <c r="MS23" s="8" t="n">
        <v>1</v>
      </c>
      <c r="MT23" s="8" t="n">
        <v>1</v>
      </c>
      <c r="MU23" s="8" t="n">
        <v>1</v>
      </c>
      <c r="MV23" s="8" t="n">
        <v>1</v>
      </c>
      <c r="MW23" s="8" t="n">
        <v>1</v>
      </c>
      <c r="MX23" s="8" t="n">
        <v>1</v>
      </c>
      <c r="MY23" s="8" t="n">
        <v>1</v>
      </c>
      <c r="MZ23" s="8" t="n">
        <v>1</v>
      </c>
      <c r="NA23" s="8" t="n">
        <v>1</v>
      </c>
      <c r="NB23" s="8" t="n">
        <v>1</v>
      </c>
      <c r="NC23" s="8" t="n">
        <v>1</v>
      </c>
      <c r="ND23" s="8" t="n">
        <v>1</v>
      </c>
      <c r="NE23" s="8" t="n">
        <v>1</v>
      </c>
      <c r="NF23" s="8" t="n">
        <v>1</v>
      </c>
      <c r="NG23" s="8" t="n">
        <v>1</v>
      </c>
      <c r="NH23" s="8" t="n">
        <v>1</v>
      </c>
      <c r="NI23" s="8" t="n">
        <v>1</v>
      </c>
      <c r="NJ23" s="8" t="n">
        <v>1</v>
      </c>
      <c r="NK23" s="8" t="n">
        <v>1</v>
      </c>
      <c r="NL23" s="8" t="n">
        <v>1</v>
      </c>
      <c r="NM23" s="8" t="n">
        <v>1</v>
      </c>
      <c r="NN23" s="8" t="n">
        <v>1</v>
      </c>
      <c r="NO23" s="8" t="n">
        <v>1</v>
      </c>
      <c r="NP23" s="8" t="n">
        <v>1</v>
      </c>
      <c r="NQ23" s="8" t="n">
        <v>1</v>
      </c>
      <c r="NR23" s="8" t="n">
        <v>1</v>
      </c>
      <c r="NS23" s="8" t="n">
        <v>1</v>
      </c>
      <c r="NT23" s="8" t="n">
        <v>1</v>
      </c>
      <c r="NU23" s="8" t="n">
        <v>1</v>
      </c>
      <c r="NV23" s="8" t="n">
        <v>1</v>
      </c>
      <c r="NW23" s="8" t="n">
        <v>1</v>
      </c>
      <c r="NX23" s="8" t="n">
        <v>1</v>
      </c>
      <c r="NY23" s="8" t="n">
        <v>1</v>
      </c>
      <c r="NZ23" s="8" t="n">
        <v>1</v>
      </c>
      <c r="OA23" s="8" t="n">
        <v>1</v>
      </c>
      <c r="OB23" s="8" t="n">
        <v>1</v>
      </c>
      <c r="OC23" s="8" t="n">
        <v>1</v>
      </c>
      <c r="OD23" s="8" t="n">
        <v>1</v>
      </c>
      <c r="OE23" s="8" t="n">
        <v>1</v>
      </c>
      <c r="OF23" s="8" t="n">
        <v>1</v>
      </c>
      <c r="OG23" s="8" t="n">
        <v>1</v>
      </c>
      <c r="OH23" s="8" t="n">
        <v>1</v>
      </c>
      <c r="OI23" s="8" t="n">
        <v>1</v>
      </c>
      <c r="OJ23" s="8" t="n">
        <v>1</v>
      </c>
      <c r="OK23" s="8" t="n">
        <v>1</v>
      </c>
      <c r="OL23" s="8" t="n">
        <v>1</v>
      </c>
      <c r="OM23" s="8" t="n">
        <v>1</v>
      </c>
      <c r="ON23" s="8" t="n">
        <v>1</v>
      </c>
      <c r="OO23" s="8" t="n">
        <v>1</v>
      </c>
      <c r="OP23" s="8" t="n">
        <v>1</v>
      </c>
      <c r="OQ23" s="8" t="n">
        <v>1</v>
      </c>
      <c r="OR23" s="8" t="n">
        <v>1</v>
      </c>
      <c r="OS23" s="8" t="n">
        <v>1</v>
      </c>
      <c r="OT23" s="8" t="n">
        <v>1</v>
      </c>
      <c r="OU23" s="8" t="n">
        <v>1</v>
      </c>
      <c r="OV23" s="8" t="n">
        <v>1</v>
      </c>
      <c r="OW23" s="8" t="n">
        <v>1</v>
      </c>
      <c r="OX23" s="8" t="n">
        <v>1</v>
      </c>
      <c r="OY23" s="8" t="n">
        <v>1</v>
      </c>
      <c r="OZ23" s="8" t="n">
        <v>1</v>
      </c>
      <c r="PA23" s="8" t="n">
        <v>1</v>
      </c>
      <c r="PB23" s="8" t="n">
        <v>1</v>
      </c>
      <c r="PC23" s="8" t="n">
        <v>1</v>
      </c>
      <c r="PD23" s="8" t="n">
        <v>1</v>
      </c>
      <c r="PE23" s="8" t="n">
        <v>1</v>
      </c>
      <c r="PF23" s="8" t="n">
        <v>1</v>
      </c>
      <c r="PG23" s="8" t="n">
        <v>1</v>
      </c>
      <c r="PH23" s="8" t="n">
        <v>1</v>
      </c>
      <c r="PI23" s="8" t="n">
        <v>1</v>
      </c>
      <c r="PJ23" s="8" t="n">
        <v>1</v>
      </c>
      <c r="PK23" s="8" t="n">
        <v>1</v>
      </c>
      <c r="PL23" s="8" t="n">
        <v>1</v>
      </c>
      <c r="PM23" s="8" t="n">
        <v>1</v>
      </c>
      <c r="PN23" s="8" t="n">
        <v>1</v>
      </c>
      <c r="PO23" s="8" t="n">
        <v>1</v>
      </c>
      <c r="PP23" s="8" t="n">
        <v>1</v>
      </c>
      <c r="PQ23" s="8" t="n">
        <v>1</v>
      </c>
      <c r="PR23" s="8" t="n">
        <v>1</v>
      </c>
      <c r="PS23" s="8" t="n">
        <v>1</v>
      </c>
      <c r="PT23" s="8" t="n">
        <v>1</v>
      </c>
      <c r="PU23" s="8" t="n">
        <v>1</v>
      </c>
      <c r="PV23" s="8" t="n">
        <v>1</v>
      </c>
      <c r="PW23" s="8" t="n">
        <v>1</v>
      </c>
      <c r="PX23" s="8" t="n">
        <v>1</v>
      </c>
      <c r="PY23" s="8" t="n">
        <v>1</v>
      </c>
      <c r="PZ23" s="8" t="n">
        <v>1</v>
      </c>
      <c r="QA23" s="8" t="n">
        <v>1</v>
      </c>
      <c r="QB23" s="8" t="n">
        <v>1</v>
      </c>
      <c r="QC23" s="8" t="n">
        <v>1</v>
      </c>
      <c r="QD23" s="8" t="n">
        <v>1</v>
      </c>
      <c r="QE23" s="8" t="n">
        <v>1</v>
      </c>
      <c r="QF23" s="8" t="n">
        <v>1</v>
      </c>
      <c r="QG23" s="8" t="n">
        <v>1</v>
      </c>
      <c r="QH23" s="8" t="n">
        <v>1</v>
      </c>
      <c r="QI23" s="8" t="n">
        <v>1</v>
      </c>
      <c r="QJ23" s="8" t="n">
        <v>1</v>
      </c>
      <c r="QK23" s="8" t="n">
        <v>1</v>
      </c>
      <c r="QL23" s="8" t="n">
        <v>1</v>
      </c>
      <c r="QM23" s="8" t="n">
        <v>1</v>
      </c>
      <c r="QN23" s="8" t="n">
        <v>1</v>
      </c>
      <c r="QO23" s="8" t="n">
        <v>1</v>
      </c>
      <c r="QP23" s="8" t="n">
        <v>1</v>
      </c>
      <c r="QQ23" s="8" t="n">
        <v>1</v>
      </c>
      <c r="QR23" s="8" t="n">
        <v>1</v>
      </c>
      <c r="QS23" s="8" t="n">
        <v>1</v>
      </c>
      <c r="QT23" s="8" t="n">
        <v>1</v>
      </c>
      <c r="QU23" s="8" t="n">
        <v>1</v>
      </c>
      <c r="QV23" s="8" t="n">
        <v>1</v>
      </c>
      <c r="QW23" s="8" t="n">
        <v>1</v>
      </c>
      <c r="QX23" s="8" t="n">
        <v>1</v>
      </c>
      <c r="QY23" s="8" t="n">
        <v>1</v>
      </c>
      <c r="QZ23" s="8" t="n">
        <v>1</v>
      </c>
      <c r="RA23" s="8" t="n">
        <v>1</v>
      </c>
      <c r="RB23" s="8" t="n">
        <v>1</v>
      </c>
      <c r="RC23" s="8" t="n">
        <v>1</v>
      </c>
      <c r="RD23" s="8" t="n">
        <v>1</v>
      </c>
      <c r="RE23" s="8" t="n">
        <v>1</v>
      </c>
      <c r="RF23" s="8" t="n">
        <v>1</v>
      </c>
      <c r="RG23" s="8" t="n">
        <v>1</v>
      </c>
      <c r="RH23" s="8" t="n">
        <v>1</v>
      </c>
      <c r="RI23" s="8" t="n">
        <v>1</v>
      </c>
      <c r="RJ23" s="8" t="n">
        <v>1</v>
      </c>
      <c r="RK23" s="8" t="n">
        <v>1</v>
      </c>
      <c r="RL23" s="8" t="n">
        <v>1</v>
      </c>
      <c r="RM23" s="8" t="n">
        <v>1</v>
      </c>
      <c r="RN23" s="8" t="n">
        <v>1</v>
      </c>
      <c r="RO23" s="8" t="n">
        <v>1</v>
      </c>
      <c r="RP23" s="8" t="n">
        <v>1</v>
      </c>
      <c r="RQ23" s="8" t="n">
        <v>1</v>
      </c>
      <c r="RR23" s="8" t="n">
        <v>1</v>
      </c>
      <c r="RS23" s="8" t="n">
        <v>1</v>
      </c>
      <c r="RT23" s="8" t="n">
        <v>1</v>
      </c>
      <c r="RU23" s="8" t="n">
        <v>1</v>
      </c>
      <c r="RV23" s="8" t="n">
        <v>1</v>
      </c>
      <c r="RW23" s="8" t="n">
        <v>1</v>
      </c>
      <c r="RX23" s="8" t="n">
        <v>1</v>
      </c>
      <c r="RY23" s="8" t="n">
        <v>1</v>
      </c>
      <c r="RZ23" s="8" t="n">
        <v>1</v>
      </c>
      <c r="SA23" s="8" t="n">
        <v>1</v>
      </c>
      <c r="SB23" s="8" t="n">
        <v>1</v>
      </c>
      <c r="SC23" s="8" t="n">
        <v>1</v>
      </c>
      <c r="SD23" s="8" t="n">
        <v>1</v>
      </c>
      <c r="SE23" s="8" t="n">
        <v>1</v>
      </c>
      <c r="SF23" s="8" t="n">
        <v>1</v>
      </c>
      <c r="SG23" s="8" t="n">
        <v>1</v>
      </c>
      <c r="SH23" s="8" t="n">
        <v>1</v>
      </c>
      <c r="SI23" s="8" t="n">
        <v>1</v>
      </c>
      <c r="SJ23" s="8" t="n">
        <v>1</v>
      </c>
      <c r="SK23" s="8" t="n">
        <v>1</v>
      </c>
      <c r="SL23" s="8" t="n">
        <v>1</v>
      </c>
      <c r="SM23" s="8" t="n">
        <v>1</v>
      </c>
      <c r="SN23" s="8" t="n">
        <v>1</v>
      </c>
      <c r="SO23" s="8" t="n">
        <v>1</v>
      </c>
      <c r="SP23" s="8" t="n">
        <v>1</v>
      </c>
      <c r="SQ23" s="8" t="n">
        <v>1</v>
      </c>
      <c r="SR23" s="8" t="n">
        <v>1</v>
      </c>
      <c r="SS23" s="8" t="n">
        <v>1</v>
      </c>
      <c r="ST23" s="8" t="n">
        <v>1</v>
      </c>
      <c r="SU23" s="8" t="n">
        <v>1</v>
      </c>
      <c r="SV23" s="8" t="n">
        <v>1</v>
      </c>
      <c r="SW23" s="8" t="n">
        <v>1</v>
      </c>
      <c r="SX23" s="8" t="n">
        <v>1</v>
      </c>
      <c r="SY23" s="8" t="n">
        <v>1</v>
      </c>
      <c r="SZ23" s="8" t="n">
        <v>1</v>
      </c>
      <c r="TA23" s="8" t="n">
        <v>1</v>
      </c>
      <c r="TB23" s="8" t="n">
        <v>1</v>
      </c>
      <c r="TC23" s="8" t="n">
        <v>1</v>
      </c>
      <c r="TD23" s="8" t="n">
        <v>1</v>
      </c>
      <c r="TE23" s="8" t="n">
        <v>1</v>
      </c>
      <c r="TF23" s="8" t="n">
        <v>1</v>
      </c>
      <c r="TG23" s="8" t="n">
        <v>1</v>
      </c>
      <c r="TH23" s="8" t="n">
        <v>1</v>
      </c>
      <c r="TI23" s="8" t="n">
        <v>1</v>
      </c>
      <c r="TJ23" s="8" t="n">
        <v>1</v>
      </c>
      <c r="TK23" s="8" t="n">
        <v>1</v>
      </c>
      <c r="TL23" s="8" t="n">
        <v>1</v>
      </c>
      <c r="TM23" s="8" t="n">
        <v>1</v>
      </c>
      <c r="TN23" s="8" t="n">
        <v>1</v>
      </c>
      <c r="TO23" s="8" t="n">
        <v>1</v>
      </c>
      <c r="TP23" s="8" t="n">
        <v>1</v>
      </c>
      <c r="TQ23" s="8" t="n">
        <v>1</v>
      </c>
      <c r="TR23" s="8" t="n">
        <v>1</v>
      </c>
      <c r="TS23" s="8" t="n">
        <v>1</v>
      </c>
      <c r="TT23" s="8" t="n">
        <v>1</v>
      </c>
      <c r="TU23" s="8" t="n">
        <v>1</v>
      </c>
      <c r="TV23" s="8" t="n">
        <v>1</v>
      </c>
      <c r="TW23" s="8" t="n">
        <v>1</v>
      </c>
      <c r="TX23" s="8" t="n">
        <v>1</v>
      </c>
      <c r="TY23" s="8" t="n">
        <v>1</v>
      </c>
      <c r="TZ23" s="8" t="n">
        <v>1</v>
      </c>
      <c r="UA23" s="8" t="n">
        <v>1</v>
      </c>
      <c r="UB23" s="8" t="n">
        <v>1</v>
      </c>
      <c r="UC23" s="8" t="n">
        <v>1</v>
      </c>
      <c r="UD23" s="8" t="n">
        <v>1</v>
      </c>
      <c r="UE23" s="8" t="n">
        <v>1</v>
      </c>
      <c r="UF23" s="8" t="n">
        <v>1</v>
      </c>
      <c r="UG23" s="8" t="n">
        <v>1</v>
      </c>
      <c r="UH23" s="8" t="n">
        <v>1</v>
      </c>
      <c r="UI23" s="8" t="n">
        <v>1</v>
      </c>
      <c r="UJ23" s="8" t="n">
        <v>1</v>
      </c>
      <c r="UK23" s="8" t="n">
        <v>1</v>
      </c>
      <c r="UL23" s="8" t="n">
        <v>1</v>
      </c>
      <c r="UM23" s="8" t="n">
        <v>1</v>
      </c>
      <c r="UN23" s="8" t="n">
        <v>1</v>
      </c>
      <c r="UO23" s="8" t="n">
        <v>1</v>
      </c>
      <c r="UP23" s="8" t="n">
        <v>1</v>
      </c>
    </row>
    <row r="24" s="8" customFormat="true" ht="14.5" hidden="false" customHeight="false" outlineLevel="0" collapsed="false">
      <c r="C24" s="8" t="n">
        <v>-1</v>
      </c>
      <c r="D24" s="8" t="n">
        <v>-1</v>
      </c>
      <c r="E24" s="8" t="n">
        <v>-1</v>
      </c>
      <c r="F24" s="8" t="n">
        <v>-1</v>
      </c>
      <c r="G24" s="8" t="n">
        <v>-1</v>
      </c>
      <c r="H24" s="8" t="n">
        <v>-1</v>
      </c>
      <c r="I24" s="8" t="n">
        <v>-1</v>
      </c>
      <c r="J24" s="8" t="n">
        <v>-1</v>
      </c>
      <c r="K24" s="8" t="n">
        <v>-1</v>
      </c>
      <c r="L24" s="8" t="n">
        <v>-1</v>
      </c>
      <c r="M24" s="8" t="n">
        <v>-1</v>
      </c>
      <c r="N24" s="8" t="n">
        <v>-1</v>
      </c>
      <c r="O24" s="8" t="n">
        <v>-1</v>
      </c>
      <c r="P24" s="8" t="n">
        <v>-1</v>
      </c>
      <c r="Q24" s="8" t="n">
        <v>-1</v>
      </c>
      <c r="R24" s="8" t="n">
        <v>-1</v>
      </c>
      <c r="S24" s="8" t="n">
        <v>-1</v>
      </c>
      <c r="T24" s="8" t="n">
        <v>-1</v>
      </c>
      <c r="U24" s="8" t="n">
        <v>-1</v>
      </c>
      <c r="V24" s="8" t="n">
        <v>-1</v>
      </c>
      <c r="W24" s="8" t="n">
        <v>-1</v>
      </c>
      <c r="X24" s="8" t="n">
        <v>-1</v>
      </c>
      <c r="Y24" s="8" t="n">
        <v>-1</v>
      </c>
      <c r="Z24" s="8" t="n">
        <v>-1</v>
      </c>
      <c r="AA24" s="8" t="n">
        <v>-1</v>
      </c>
      <c r="AB24" s="8" t="n">
        <v>-1</v>
      </c>
      <c r="AC24" s="8" t="n">
        <v>-1</v>
      </c>
      <c r="AD24" s="8" t="n">
        <v>-1</v>
      </c>
      <c r="AE24" s="8" t="n">
        <v>-1</v>
      </c>
      <c r="AF24" s="8" t="n">
        <v>-1</v>
      </c>
      <c r="AG24" s="8" t="n">
        <v>-1</v>
      </c>
      <c r="AH24" s="8" t="n">
        <v>-1</v>
      </c>
      <c r="AI24" s="8" t="n">
        <v>-1</v>
      </c>
      <c r="AJ24" s="8" t="n">
        <v>-1</v>
      </c>
      <c r="AK24" s="8" t="n">
        <v>-1</v>
      </c>
      <c r="AL24" s="8" t="n">
        <v>-1</v>
      </c>
      <c r="AM24" s="8" t="n">
        <v>-1</v>
      </c>
      <c r="AN24" s="8" t="n">
        <v>-1</v>
      </c>
      <c r="AO24" s="8" t="n">
        <v>-1</v>
      </c>
      <c r="AP24" s="8" t="n">
        <v>-1</v>
      </c>
      <c r="AQ24" s="8" t="n">
        <v>-1</v>
      </c>
      <c r="AR24" s="8" t="n">
        <v>-1</v>
      </c>
      <c r="AS24" s="8" t="n">
        <v>-1</v>
      </c>
      <c r="AT24" s="8" t="n">
        <v>-1</v>
      </c>
      <c r="AU24" s="8" t="n">
        <v>-1</v>
      </c>
      <c r="AV24" s="8" t="n">
        <v>-1</v>
      </c>
      <c r="AW24" s="8" t="n">
        <v>-1</v>
      </c>
      <c r="AX24" s="8" t="n">
        <v>-1</v>
      </c>
      <c r="AY24" s="8" t="n">
        <v>-1</v>
      </c>
      <c r="AZ24" s="8" t="n">
        <v>-1</v>
      </c>
      <c r="BA24" s="8" t="n">
        <v>-1</v>
      </c>
      <c r="BB24" s="8" t="n">
        <v>-1</v>
      </c>
      <c r="BC24" s="8" t="n">
        <v>-1</v>
      </c>
      <c r="BD24" s="8" t="n">
        <v>-1</v>
      </c>
      <c r="BE24" s="8" t="n">
        <v>-1</v>
      </c>
      <c r="BF24" s="8" t="n">
        <v>-1</v>
      </c>
      <c r="BG24" s="8" t="n">
        <v>-1</v>
      </c>
      <c r="BH24" s="8" t="n">
        <v>-1</v>
      </c>
      <c r="BI24" s="8" t="n">
        <v>-1</v>
      </c>
      <c r="BJ24" s="8" t="n">
        <v>-1</v>
      </c>
      <c r="BK24" s="8" t="n">
        <v>-1</v>
      </c>
      <c r="BL24" s="8" t="n">
        <v>-1</v>
      </c>
      <c r="BM24" s="8" t="n">
        <v>-1</v>
      </c>
      <c r="BN24" s="8" t="n">
        <v>-1</v>
      </c>
      <c r="BO24" s="8" t="n">
        <v>-1</v>
      </c>
      <c r="BP24" s="8" t="n">
        <v>-1</v>
      </c>
      <c r="BQ24" s="8" t="n">
        <v>-1</v>
      </c>
      <c r="BR24" s="8" t="n">
        <v>-1</v>
      </c>
      <c r="BS24" s="8" t="n">
        <v>-1</v>
      </c>
      <c r="BT24" s="8" t="n">
        <v>-1</v>
      </c>
      <c r="BU24" s="8" t="n">
        <v>-1</v>
      </c>
      <c r="BV24" s="8" t="n">
        <v>-1</v>
      </c>
      <c r="BW24" s="8" t="n">
        <v>-1</v>
      </c>
      <c r="BX24" s="8" t="n">
        <v>-1</v>
      </c>
      <c r="BY24" s="8" t="n">
        <v>-1</v>
      </c>
      <c r="BZ24" s="8" t="n">
        <v>-1</v>
      </c>
      <c r="CA24" s="8" t="n">
        <v>-1</v>
      </c>
      <c r="CB24" s="8" t="n">
        <v>-1</v>
      </c>
      <c r="CC24" s="8" t="n">
        <v>-1</v>
      </c>
      <c r="CD24" s="8" t="n">
        <v>-1</v>
      </c>
      <c r="CE24" s="8" t="n">
        <v>-1</v>
      </c>
      <c r="CF24" s="8" t="n">
        <v>-1</v>
      </c>
      <c r="CG24" s="8" t="n">
        <v>-1</v>
      </c>
      <c r="CH24" s="8" t="n">
        <v>-1</v>
      </c>
      <c r="CI24" s="8" t="n">
        <v>-1</v>
      </c>
      <c r="CJ24" s="8" t="n">
        <v>-1</v>
      </c>
      <c r="CK24" s="8" t="n">
        <v>-1</v>
      </c>
      <c r="CL24" s="8" t="n">
        <v>-1</v>
      </c>
      <c r="CM24" s="8" t="n">
        <v>-1</v>
      </c>
      <c r="CN24" s="8" t="n">
        <v>-1</v>
      </c>
      <c r="CO24" s="8" t="n">
        <v>-1</v>
      </c>
      <c r="CP24" s="8" t="n">
        <v>-1</v>
      </c>
      <c r="CQ24" s="8" t="n">
        <v>-1</v>
      </c>
      <c r="CR24" s="8" t="n">
        <v>-1</v>
      </c>
      <c r="CS24" s="8" t="n">
        <v>-1</v>
      </c>
      <c r="CT24" s="8" t="n">
        <v>-1</v>
      </c>
      <c r="CU24" s="8" t="n">
        <v>-1</v>
      </c>
      <c r="CV24" s="8" t="n">
        <v>-1</v>
      </c>
      <c r="CW24" s="8" t="n">
        <v>-1</v>
      </c>
      <c r="CX24" s="8" t="n">
        <v>-1</v>
      </c>
      <c r="CY24" s="8" t="n">
        <v>-1</v>
      </c>
      <c r="CZ24" s="8" t="n">
        <v>-1</v>
      </c>
      <c r="DA24" s="8" t="n">
        <v>-1</v>
      </c>
      <c r="DB24" s="8" t="n">
        <v>-1</v>
      </c>
      <c r="DC24" s="8" t="n">
        <v>-1</v>
      </c>
      <c r="DD24" s="8" t="n">
        <v>-1</v>
      </c>
      <c r="DE24" s="8" t="n">
        <v>-1</v>
      </c>
      <c r="DF24" s="8" t="n">
        <v>-1</v>
      </c>
      <c r="DG24" s="8" t="n">
        <v>-1</v>
      </c>
      <c r="DH24" s="8" t="n">
        <v>-1</v>
      </c>
      <c r="DI24" s="8" t="n">
        <v>-1</v>
      </c>
      <c r="DJ24" s="8" t="n">
        <v>-1</v>
      </c>
      <c r="DK24" s="8" t="n">
        <v>-1</v>
      </c>
      <c r="DL24" s="8" t="n">
        <v>-1</v>
      </c>
      <c r="DM24" s="8" t="n">
        <v>-1</v>
      </c>
      <c r="DN24" s="8" t="n">
        <v>-1</v>
      </c>
      <c r="DO24" s="8" t="n">
        <v>-1</v>
      </c>
      <c r="DP24" s="8" t="n">
        <v>-1</v>
      </c>
      <c r="DQ24" s="8" t="n">
        <v>-1</v>
      </c>
      <c r="DR24" s="8" t="n">
        <v>-1</v>
      </c>
      <c r="DS24" s="8" t="n">
        <v>-1</v>
      </c>
      <c r="DT24" s="8" t="n">
        <v>-1</v>
      </c>
      <c r="DU24" s="8" t="n">
        <v>-1</v>
      </c>
      <c r="DV24" s="8" t="n">
        <v>-1</v>
      </c>
      <c r="DW24" s="8" t="n">
        <v>-1</v>
      </c>
      <c r="DX24" s="8" t="n">
        <v>-1</v>
      </c>
      <c r="DY24" s="8" t="n">
        <v>-1</v>
      </c>
      <c r="DZ24" s="8" t="n">
        <v>-1</v>
      </c>
      <c r="EA24" s="8" t="n">
        <v>-1</v>
      </c>
      <c r="EB24" s="8" t="n">
        <v>-1</v>
      </c>
      <c r="EC24" s="8" t="n">
        <v>-1</v>
      </c>
      <c r="ED24" s="8" t="n">
        <v>-1</v>
      </c>
      <c r="EE24" s="8" t="n">
        <v>-1</v>
      </c>
      <c r="EF24" s="8" t="n">
        <v>-1</v>
      </c>
      <c r="EG24" s="8" t="n">
        <v>-1</v>
      </c>
      <c r="EH24" s="8" t="n">
        <v>-1</v>
      </c>
      <c r="EI24" s="8" t="n">
        <v>-1</v>
      </c>
      <c r="EJ24" s="8" t="n">
        <v>-1</v>
      </c>
      <c r="EK24" s="8" t="n">
        <v>-1</v>
      </c>
      <c r="EL24" s="8" t="n">
        <v>-1</v>
      </c>
      <c r="EM24" s="8" t="n">
        <v>-1</v>
      </c>
      <c r="EN24" s="8" t="n">
        <v>-1</v>
      </c>
      <c r="EO24" s="8" t="n">
        <v>-1</v>
      </c>
      <c r="EP24" s="8" t="n">
        <v>-1</v>
      </c>
      <c r="EQ24" s="8" t="n">
        <v>-1</v>
      </c>
      <c r="ER24" s="8" t="n">
        <v>-1</v>
      </c>
      <c r="ES24" s="8" t="n">
        <v>-1</v>
      </c>
      <c r="ET24" s="8" t="n">
        <v>-1</v>
      </c>
      <c r="EU24" s="8" t="n">
        <v>-1</v>
      </c>
      <c r="EV24" s="8" t="n">
        <v>-1</v>
      </c>
      <c r="EW24" s="8" t="n">
        <v>-1</v>
      </c>
      <c r="EX24" s="8" t="n">
        <v>-1</v>
      </c>
      <c r="EY24" s="8" t="n">
        <v>-1</v>
      </c>
      <c r="EZ24" s="8" t="n">
        <v>-1</v>
      </c>
      <c r="FA24" s="8" t="n">
        <v>-1</v>
      </c>
      <c r="FB24" s="8" t="n">
        <v>-1</v>
      </c>
      <c r="FC24" s="8" t="n">
        <v>-1</v>
      </c>
      <c r="FD24" s="8" t="n">
        <v>-1</v>
      </c>
      <c r="FE24" s="8" t="n">
        <v>-1</v>
      </c>
      <c r="FF24" s="8" t="n">
        <v>-1</v>
      </c>
      <c r="FG24" s="8" t="n">
        <v>-1</v>
      </c>
      <c r="FH24" s="8" t="n">
        <v>-1</v>
      </c>
      <c r="FI24" s="8" t="n">
        <v>-1</v>
      </c>
      <c r="FJ24" s="8" t="n">
        <v>-1</v>
      </c>
      <c r="FK24" s="8" t="n">
        <v>-1</v>
      </c>
      <c r="FL24" s="8" t="n">
        <v>-1</v>
      </c>
      <c r="FM24" s="8" t="n">
        <v>-1</v>
      </c>
      <c r="FN24" s="8" t="n">
        <v>-1</v>
      </c>
      <c r="FO24" s="8" t="n">
        <v>-1</v>
      </c>
      <c r="FP24" s="8" t="n">
        <v>-1</v>
      </c>
      <c r="FQ24" s="8" t="n">
        <v>-1</v>
      </c>
      <c r="FR24" s="8" t="n">
        <v>-1</v>
      </c>
      <c r="FS24" s="8" t="n">
        <v>-1</v>
      </c>
      <c r="FT24" s="8" t="n">
        <v>-1</v>
      </c>
      <c r="FU24" s="8" t="n">
        <v>-1</v>
      </c>
      <c r="FV24" s="8" t="n">
        <v>-1</v>
      </c>
      <c r="FW24" s="8" t="n">
        <v>-1</v>
      </c>
      <c r="FX24" s="8" t="n">
        <v>-1</v>
      </c>
      <c r="FY24" s="8" t="n">
        <v>-1</v>
      </c>
      <c r="FZ24" s="8" t="n">
        <v>-1</v>
      </c>
      <c r="GA24" s="8" t="n">
        <v>-1</v>
      </c>
      <c r="GB24" s="8" t="n">
        <v>-1</v>
      </c>
      <c r="GC24" s="8" t="n">
        <v>-1</v>
      </c>
      <c r="GD24" s="8" t="n">
        <v>-1</v>
      </c>
      <c r="GE24" s="8" t="n">
        <v>-1</v>
      </c>
      <c r="GF24" s="8" t="n">
        <v>-1</v>
      </c>
      <c r="GG24" s="8" t="n">
        <v>-1</v>
      </c>
      <c r="GH24" s="8" t="n">
        <v>-1</v>
      </c>
      <c r="GI24" s="8" t="n">
        <v>-1</v>
      </c>
      <c r="GJ24" s="8" t="n">
        <v>-1</v>
      </c>
      <c r="GK24" s="8" t="n">
        <v>-1</v>
      </c>
      <c r="GL24" s="8" t="n">
        <v>-1</v>
      </c>
      <c r="GM24" s="8" t="n">
        <v>-1</v>
      </c>
      <c r="GN24" s="8" t="n">
        <v>-1</v>
      </c>
      <c r="GO24" s="8" t="n">
        <v>-1</v>
      </c>
      <c r="GP24" s="8" t="n">
        <v>-1</v>
      </c>
      <c r="GQ24" s="8" t="n">
        <v>-1</v>
      </c>
      <c r="GR24" s="8" t="n">
        <v>-1</v>
      </c>
      <c r="GS24" s="8" t="n">
        <v>-1</v>
      </c>
      <c r="GT24" s="8" t="n">
        <v>-1</v>
      </c>
      <c r="GU24" s="8" t="n">
        <v>-1</v>
      </c>
      <c r="GV24" s="8" t="n">
        <v>-1</v>
      </c>
      <c r="GW24" s="8" t="n">
        <v>-1</v>
      </c>
      <c r="GX24" s="8" t="n">
        <v>-1</v>
      </c>
      <c r="GY24" s="8" t="n">
        <v>-1</v>
      </c>
      <c r="GZ24" s="8" t="n">
        <v>-1</v>
      </c>
      <c r="HA24" s="8" t="n">
        <v>-1</v>
      </c>
      <c r="HB24" s="8" t="n">
        <v>-1</v>
      </c>
      <c r="HC24" s="8" t="n">
        <v>-1</v>
      </c>
      <c r="HD24" s="8" t="n">
        <v>-1</v>
      </c>
      <c r="HE24" s="8" t="n">
        <v>-1</v>
      </c>
      <c r="HF24" s="8" t="n">
        <v>-1</v>
      </c>
      <c r="HG24" s="8" t="n">
        <v>-1</v>
      </c>
      <c r="HH24" s="8" t="n">
        <v>-1</v>
      </c>
      <c r="HI24" s="8" t="n">
        <v>-1</v>
      </c>
      <c r="HJ24" s="8" t="n">
        <v>-1</v>
      </c>
      <c r="HK24" s="8" t="n">
        <v>-1</v>
      </c>
      <c r="HL24" s="8" t="n">
        <v>-1</v>
      </c>
      <c r="HM24" s="8" t="n">
        <v>-1</v>
      </c>
      <c r="HN24" s="8" t="n">
        <v>-1</v>
      </c>
      <c r="HO24" s="8" t="n">
        <v>-1</v>
      </c>
      <c r="HP24" s="8" t="n">
        <v>-1</v>
      </c>
      <c r="HQ24" s="8" t="n">
        <v>-1</v>
      </c>
      <c r="HR24" s="8" t="n">
        <v>-1</v>
      </c>
      <c r="HS24" s="8" t="n">
        <v>-1</v>
      </c>
      <c r="HT24" s="8" t="n">
        <v>-1</v>
      </c>
      <c r="HU24" s="8" t="n">
        <v>-1</v>
      </c>
      <c r="HV24" s="8" t="n">
        <v>-1</v>
      </c>
      <c r="HW24" s="8" t="n">
        <v>-1</v>
      </c>
      <c r="HX24" s="8" t="n">
        <v>-1</v>
      </c>
      <c r="HY24" s="8" t="n">
        <v>-1</v>
      </c>
      <c r="HZ24" s="8" t="n">
        <v>-1</v>
      </c>
      <c r="IA24" s="8" t="n">
        <v>-1</v>
      </c>
      <c r="IB24" s="8" t="n">
        <v>-1</v>
      </c>
      <c r="IC24" s="8" t="n">
        <v>-1</v>
      </c>
      <c r="ID24" s="8" t="n">
        <v>-1</v>
      </c>
      <c r="IE24" s="8" t="n">
        <v>-1</v>
      </c>
      <c r="IF24" s="8" t="n">
        <v>-1</v>
      </c>
      <c r="IG24" s="8" t="n">
        <v>-1</v>
      </c>
      <c r="IH24" s="8" t="n">
        <v>-1</v>
      </c>
      <c r="II24" s="8" t="n">
        <v>-1</v>
      </c>
      <c r="IJ24" s="8" t="n">
        <v>-1</v>
      </c>
      <c r="IK24" s="8" t="n">
        <v>-1</v>
      </c>
      <c r="IL24" s="8" t="n">
        <v>-1</v>
      </c>
      <c r="IM24" s="8" t="n">
        <v>-1</v>
      </c>
      <c r="IN24" s="8" t="n">
        <v>-1</v>
      </c>
      <c r="IO24" s="8" t="n">
        <v>-1</v>
      </c>
      <c r="IP24" s="8" t="n">
        <v>-1</v>
      </c>
      <c r="IQ24" s="8" t="n">
        <v>-1</v>
      </c>
      <c r="IR24" s="8" t="n">
        <v>-1</v>
      </c>
      <c r="IS24" s="8" t="n">
        <v>-1</v>
      </c>
      <c r="IT24" s="8" t="n">
        <v>-1</v>
      </c>
      <c r="IU24" s="8" t="n">
        <v>-1</v>
      </c>
      <c r="IV24" s="8" t="n">
        <v>-1</v>
      </c>
      <c r="IW24" s="8" t="n">
        <v>-1</v>
      </c>
      <c r="IX24" s="8" t="n">
        <v>-1</v>
      </c>
      <c r="IY24" s="8" t="n">
        <v>-1</v>
      </c>
      <c r="IZ24" s="8" t="n">
        <v>-1</v>
      </c>
      <c r="JA24" s="8" t="n">
        <v>-1</v>
      </c>
      <c r="JB24" s="8" t="n">
        <v>-1</v>
      </c>
      <c r="JC24" s="8" t="n">
        <v>-1</v>
      </c>
      <c r="JD24" s="8" t="n">
        <v>-1</v>
      </c>
      <c r="JE24" s="8" t="n">
        <v>-1</v>
      </c>
      <c r="JF24" s="8" t="n">
        <v>-1</v>
      </c>
      <c r="JG24" s="8" t="n">
        <v>-1</v>
      </c>
      <c r="JH24" s="8" t="n">
        <v>-1</v>
      </c>
      <c r="JI24" s="8" t="n">
        <v>-1</v>
      </c>
      <c r="JJ24" s="8" t="n">
        <v>-1</v>
      </c>
      <c r="JK24" s="8" t="n">
        <v>-1</v>
      </c>
      <c r="JL24" s="8" t="n">
        <v>-1</v>
      </c>
      <c r="JM24" s="8" t="n">
        <v>-1</v>
      </c>
      <c r="JN24" s="8" t="n">
        <v>-1</v>
      </c>
      <c r="JO24" s="8" t="n">
        <v>-1</v>
      </c>
      <c r="JP24" s="8" t="n">
        <v>-1</v>
      </c>
      <c r="JQ24" s="8" t="n">
        <v>-1</v>
      </c>
      <c r="JR24" s="8" t="n">
        <v>-1</v>
      </c>
      <c r="JS24" s="8" t="n">
        <v>-1</v>
      </c>
      <c r="JT24" s="8" t="n">
        <v>-1</v>
      </c>
      <c r="JU24" s="8" t="n">
        <v>-1</v>
      </c>
      <c r="JV24" s="8" t="n">
        <v>-1</v>
      </c>
      <c r="JW24" s="8" t="n">
        <v>-1</v>
      </c>
      <c r="JX24" s="8" t="n">
        <v>-1</v>
      </c>
      <c r="JY24" s="8" t="n">
        <v>-1</v>
      </c>
      <c r="JZ24" s="8" t="n">
        <v>-1</v>
      </c>
      <c r="KA24" s="8" t="n">
        <v>-1</v>
      </c>
      <c r="KB24" s="8" t="n">
        <v>-1</v>
      </c>
      <c r="KC24" s="8" t="n">
        <v>-1</v>
      </c>
      <c r="KD24" s="8" t="n">
        <v>-1</v>
      </c>
      <c r="KE24" s="8" t="n">
        <v>-1</v>
      </c>
      <c r="KF24" s="8" t="n">
        <v>-1</v>
      </c>
      <c r="KG24" s="8" t="n">
        <v>-1</v>
      </c>
      <c r="KH24" s="8" t="n">
        <v>-1</v>
      </c>
      <c r="KI24" s="8" t="n">
        <v>-1</v>
      </c>
      <c r="KJ24" s="8" t="n">
        <v>-1</v>
      </c>
      <c r="KK24" s="8" t="n">
        <v>-1</v>
      </c>
      <c r="KL24" s="8" t="n">
        <v>-1</v>
      </c>
      <c r="KM24" s="8" t="n">
        <v>-1</v>
      </c>
      <c r="KN24" s="8" t="n">
        <v>-1</v>
      </c>
      <c r="KO24" s="8" t="n">
        <v>-1</v>
      </c>
      <c r="KP24" s="8" t="n">
        <v>-1</v>
      </c>
      <c r="KQ24" s="8" t="n">
        <v>-1</v>
      </c>
      <c r="KR24" s="8" t="n">
        <v>-1</v>
      </c>
      <c r="KS24" s="8" t="n">
        <v>-1</v>
      </c>
      <c r="KT24" s="8" t="n">
        <v>-1</v>
      </c>
      <c r="KU24" s="8" t="n">
        <v>-1</v>
      </c>
      <c r="KV24" s="8" t="n">
        <v>-1</v>
      </c>
      <c r="KW24" s="8" t="n">
        <v>-1</v>
      </c>
      <c r="KX24" s="8" t="n">
        <v>-1</v>
      </c>
      <c r="KY24" s="8" t="n">
        <v>-1</v>
      </c>
      <c r="KZ24" s="8" t="n">
        <v>-1</v>
      </c>
      <c r="LA24" s="8" t="n">
        <v>-1</v>
      </c>
      <c r="LB24" s="8" t="n">
        <v>-1</v>
      </c>
      <c r="LC24" s="8" t="n">
        <v>-1</v>
      </c>
      <c r="LD24" s="8" t="n">
        <v>-1</v>
      </c>
      <c r="LE24" s="8" t="n">
        <v>-1</v>
      </c>
      <c r="LF24" s="8" t="n">
        <v>-1</v>
      </c>
      <c r="LG24" s="8" t="n">
        <v>-1</v>
      </c>
      <c r="LH24" s="8" t="n">
        <v>-1</v>
      </c>
      <c r="LI24" s="8" t="n">
        <v>-1</v>
      </c>
      <c r="LJ24" s="8" t="n">
        <v>-1</v>
      </c>
      <c r="LK24" s="8" t="n">
        <v>-1</v>
      </c>
      <c r="LL24" s="8" t="n">
        <v>-1</v>
      </c>
      <c r="LM24" s="8" t="n">
        <v>-1</v>
      </c>
      <c r="LN24" s="8" t="n">
        <v>-1</v>
      </c>
      <c r="LO24" s="8" t="n">
        <v>-1</v>
      </c>
      <c r="LP24" s="8" t="n">
        <v>-1</v>
      </c>
      <c r="LQ24" s="8" t="n">
        <v>-1</v>
      </c>
      <c r="LR24" s="8" t="n">
        <v>-1</v>
      </c>
      <c r="LS24" s="8" t="n">
        <v>-1</v>
      </c>
      <c r="LT24" s="8" t="n">
        <v>-1</v>
      </c>
      <c r="LU24" s="8" t="n">
        <v>-1</v>
      </c>
      <c r="LV24" s="8" t="n">
        <v>-1</v>
      </c>
      <c r="LW24" s="8" t="n">
        <v>-1</v>
      </c>
      <c r="LX24" s="8" t="n">
        <v>-1</v>
      </c>
      <c r="LY24" s="8" t="n">
        <v>-1</v>
      </c>
      <c r="LZ24" s="8" t="n">
        <v>-1</v>
      </c>
      <c r="MA24" s="8" t="n">
        <v>-1</v>
      </c>
      <c r="MB24" s="8" t="n">
        <v>-1</v>
      </c>
      <c r="MC24" s="8" t="n">
        <v>-1</v>
      </c>
      <c r="MD24" s="8" t="n">
        <v>-1</v>
      </c>
      <c r="ME24" s="8" t="n">
        <v>-1</v>
      </c>
      <c r="MF24" s="8" t="n">
        <v>-1</v>
      </c>
      <c r="MG24" s="8" t="n">
        <v>-1</v>
      </c>
      <c r="MH24" s="8" t="n">
        <v>-1</v>
      </c>
      <c r="MI24" s="8" t="n">
        <v>-1</v>
      </c>
      <c r="MJ24" s="8" t="n">
        <v>-1</v>
      </c>
      <c r="MK24" s="8" t="n">
        <v>-1</v>
      </c>
      <c r="ML24" s="8" t="n">
        <v>-1</v>
      </c>
      <c r="MM24" s="8" t="n">
        <v>-1</v>
      </c>
      <c r="MN24" s="8" t="n">
        <v>-1</v>
      </c>
      <c r="MO24" s="8" t="n">
        <v>-1</v>
      </c>
      <c r="MP24" s="8" t="n">
        <v>-1</v>
      </c>
      <c r="MQ24" s="8" t="n">
        <v>-1</v>
      </c>
      <c r="MR24" s="8" t="n">
        <v>-1</v>
      </c>
      <c r="MS24" s="8" t="n">
        <v>-1</v>
      </c>
      <c r="MT24" s="8" t="n">
        <v>-1</v>
      </c>
      <c r="MU24" s="8" t="n">
        <v>-1</v>
      </c>
      <c r="MV24" s="8" t="n">
        <v>-1</v>
      </c>
      <c r="MW24" s="8" t="n">
        <v>-1</v>
      </c>
      <c r="MX24" s="8" t="n">
        <v>-1</v>
      </c>
      <c r="MY24" s="8" t="n">
        <v>-1</v>
      </c>
      <c r="MZ24" s="8" t="n">
        <v>-1</v>
      </c>
      <c r="NA24" s="8" t="n">
        <v>-1</v>
      </c>
      <c r="NB24" s="8" t="n">
        <v>-1</v>
      </c>
      <c r="NC24" s="8" t="n">
        <v>-1</v>
      </c>
      <c r="ND24" s="8" t="n">
        <v>-1</v>
      </c>
      <c r="NE24" s="8" t="n">
        <v>-1</v>
      </c>
      <c r="NF24" s="8" t="n">
        <v>-1</v>
      </c>
      <c r="NG24" s="8" t="n">
        <v>-1</v>
      </c>
      <c r="NH24" s="8" t="n">
        <v>-1</v>
      </c>
      <c r="NI24" s="8" t="n">
        <v>-1</v>
      </c>
      <c r="NJ24" s="8" t="n">
        <v>-1</v>
      </c>
      <c r="NK24" s="8" t="n">
        <v>-1</v>
      </c>
      <c r="NL24" s="8" t="n">
        <v>-1</v>
      </c>
      <c r="NM24" s="8" t="n">
        <v>-1</v>
      </c>
      <c r="NN24" s="8" t="n">
        <v>-1</v>
      </c>
      <c r="NO24" s="8" t="n">
        <v>-1</v>
      </c>
      <c r="NP24" s="8" t="n">
        <v>-1</v>
      </c>
      <c r="NQ24" s="8" t="n">
        <v>-1</v>
      </c>
      <c r="NR24" s="8" t="n">
        <v>-1</v>
      </c>
      <c r="NS24" s="8" t="n">
        <v>-1</v>
      </c>
      <c r="NT24" s="8" t="n">
        <v>-1</v>
      </c>
      <c r="NU24" s="8" t="n">
        <v>-1</v>
      </c>
      <c r="NV24" s="8" t="n">
        <v>-1</v>
      </c>
      <c r="NW24" s="8" t="n">
        <v>-1</v>
      </c>
      <c r="NX24" s="8" t="n">
        <v>-1</v>
      </c>
      <c r="NY24" s="8" t="n">
        <v>-1</v>
      </c>
      <c r="NZ24" s="8" t="n">
        <v>-1</v>
      </c>
      <c r="OA24" s="8" t="n">
        <v>-1</v>
      </c>
      <c r="OB24" s="8" t="n">
        <v>-1</v>
      </c>
      <c r="OC24" s="8" t="n">
        <v>-1</v>
      </c>
      <c r="OD24" s="8" t="n">
        <v>-1</v>
      </c>
      <c r="OE24" s="8" t="n">
        <v>-1</v>
      </c>
      <c r="OF24" s="8" t="n">
        <v>-1</v>
      </c>
      <c r="OG24" s="8" t="n">
        <v>-1</v>
      </c>
      <c r="OH24" s="8" t="n">
        <v>-1</v>
      </c>
      <c r="OI24" s="8" t="n">
        <v>-1</v>
      </c>
      <c r="OJ24" s="8" t="n">
        <v>-1</v>
      </c>
      <c r="OK24" s="8" t="n">
        <v>-1</v>
      </c>
      <c r="OL24" s="8" t="n">
        <v>-1</v>
      </c>
      <c r="OM24" s="8" t="n">
        <v>-1</v>
      </c>
      <c r="ON24" s="8" t="n">
        <v>-1</v>
      </c>
      <c r="OO24" s="8" t="n">
        <v>-1</v>
      </c>
      <c r="OP24" s="8" t="n">
        <v>-1</v>
      </c>
      <c r="OQ24" s="8" t="n">
        <v>-1</v>
      </c>
      <c r="OR24" s="8" t="n">
        <v>-1</v>
      </c>
      <c r="OS24" s="8" t="n">
        <v>-1</v>
      </c>
      <c r="OT24" s="8" t="n">
        <v>-1</v>
      </c>
      <c r="OU24" s="8" t="n">
        <v>-1</v>
      </c>
      <c r="OV24" s="8" t="n">
        <v>-1</v>
      </c>
      <c r="OW24" s="8" t="n">
        <v>-1</v>
      </c>
      <c r="OX24" s="8" t="n">
        <v>-1</v>
      </c>
      <c r="OY24" s="8" t="n">
        <v>-1</v>
      </c>
      <c r="OZ24" s="8" t="n">
        <v>-1</v>
      </c>
      <c r="PA24" s="8" t="n">
        <v>-1</v>
      </c>
      <c r="PB24" s="8" t="n">
        <v>-1</v>
      </c>
      <c r="PC24" s="8" t="n">
        <v>-1</v>
      </c>
      <c r="PD24" s="8" t="n">
        <v>-1</v>
      </c>
      <c r="PE24" s="8" t="n">
        <v>-1</v>
      </c>
      <c r="PF24" s="8" t="n">
        <v>-1</v>
      </c>
      <c r="PG24" s="8" t="n">
        <v>-1</v>
      </c>
      <c r="PH24" s="8" t="n">
        <v>-1</v>
      </c>
      <c r="PI24" s="8" t="n">
        <v>-1</v>
      </c>
      <c r="PJ24" s="8" t="n">
        <v>-1</v>
      </c>
      <c r="PK24" s="8" t="n">
        <v>-1</v>
      </c>
      <c r="PL24" s="8" t="n">
        <v>-1</v>
      </c>
      <c r="PM24" s="8" t="n">
        <v>-1</v>
      </c>
      <c r="PN24" s="8" t="n">
        <v>-1</v>
      </c>
      <c r="PO24" s="8" t="n">
        <v>-1</v>
      </c>
      <c r="PP24" s="8" t="n">
        <v>-1</v>
      </c>
      <c r="PQ24" s="8" t="n">
        <v>-1</v>
      </c>
      <c r="PR24" s="8" t="n">
        <v>-1</v>
      </c>
      <c r="PS24" s="8" t="n">
        <v>-1</v>
      </c>
      <c r="PT24" s="8" t="n">
        <v>-1</v>
      </c>
      <c r="PU24" s="8" t="n">
        <v>-1</v>
      </c>
      <c r="PV24" s="8" t="n">
        <v>-1</v>
      </c>
      <c r="PW24" s="8" t="n">
        <v>-1</v>
      </c>
      <c r="PX24" s="8" t="n">
        <v>-1</v>
      </c>
      <c r="PY24" s="8" t="n">
        <v>-1</v>
      </c>
      <c r="PZ24" s="8" t="n">
        <v>-1</v>
      </c>
      <c r="QA24" s="8" t="n">
        <v>-1</v>
      </c>
      <c r="QB24" s="8" t="n">
        <v>-1</v>
      </c>
      <c r="QC24" s="8" t="n">
        <v>-1</v>
      </c>
      <c r="QD24" s="8" t="n">
        <v>-1</v>
      </c>
      <c r="QE24" s="8" t="n">
        <v>-1</v>
      </c>
      <c r="QF24" s="8" t="n">
        <v>-1</v>
      </c>
      <c r="QG24" s="8" t="n">
        <v>-1</v>
      </c>
      <c r="QH24" s="8" t="n">
        <v>-1</v>
      </c>
      <c r="QI24" s="8" t="n">
        <v>-1</v>
      </c>
      <c r="QJ24" s="8" t="n">
        <v>-1</v>
      </c>
      <c r="QK24" s="8" t="n">
        <v>-1</v>
      </c>
      <c r="QL24" s="8" t="n">
        <v>-1</v>
      </c>
      <c r="QM24" s="8" t="n">
        <v>-1</v>
      </c>
      <c r="QN24" s="8" t="n">
        <v>-1</v>
      </c>
      <c r="QO24" s="8" t="n">
        <v>-1</v>
      </c>
      <c r="QP24" s="8" t="n">
        <v>-1</v>
      </c>
      <c r="QQ24" s="8" t="n">
        <v>-1</v>
      </c>
      <c r="QR24" s="8" t="n">
        <v>-1</v>
      </c>
      <c r="QS24" s="8" t="n">
        <v>-1</v>
      </c>
      <c r="QT24" s="8" t="n">
        <v>-1</v>
      </c>
      <c r="QU24" s="8" t="n">
        <v>-1</v>
      </c>
      <c r="QV24" s="8" t="n">
        <v>-1</v>
      </c>
      <c r="QW24" s="8" t="n">
        <v>-1</v>
      </c>
      <c r="QX24" s="8" t="n">
        <v>-1</v>
      </c>
      <c r="QY24" s="8" t="n">
        <v>-1</v>
      </c>
      <c r="QZ24" s="8" t="n">
        <v>-1</v>
      </c>
      <c r="RA24" s="8" t="n">
        <v>-1</v>
      </c>
      <c r="RB24" s="8" t="n">
        <v>-1</v>
      </c>
      <c r="RC24" s="8" t="n">
        <v>-1</v>
      </c>
      <c r="RD24" s="8" t="n">
        <v>-1</v>
      </c>
      <c r="RE24" s="8" t="n">
        <v>-1</v>
      </c>
      <c r="RF24" s="8" t="n">
        <v>-1</v>
      </c>
      <c r="RG24" s="8" t="n">
        <v>-1</v>
      </c>
      <c r="RH24" s="8" t="n">
        <v>-1</v>
      </c>
      <c r="RI24" s="8" t="n">
        <v>-1</v>
      </c>
      <c r="RJ24" s="8" t="n">
        <v>-1</v>
      </c>
      <c r="RK24" s="8" t="n">
        <v>-1</v>
      </c>
      <c r="RL24" s="8" t="n">
        <v>-1</v>
      </c>
      <c r="RM24" s="8" t="n">
        <v>-1</v>
      </c>
      <c r="RN24" s="8" t="n">
        <v>-1</v>
      </c>
      <c r="RO24" s="8" t="n">
        <v>-1</v>
      </c>
      <c r="RP24" s="8" t="n">
        <v>-1</v>
      </c>
      <c r="RQ24" s="8" t="n">
        <v>-1</v>
      </c>
      <c r="RR24" s="8" t="n">
        <v>-1</v>
      </c>
      <c r="RS24" s="8" t="n">
        <v>-1</v>
      </c>
      <c r="RT24" s="8" t="n">
        <v>-1</v>
      </c>
      <c r="RU24" s="8" t="n">
        <v>-1</v>
      </c>
      <c r="RV24" s="8" t="n">
        <v>-1</v>
      </c>
      <c r="RW24" s="8" t="n">
        <v>-1</v>
      </c>
      <c r="RX24" s="8" t="n">
        <v>-1</v>
      </c>
      <c r="RY24" s="8" t="n">
        <v>-1</v>
      </c>
      <c r="RZ24" s="8" t="n">
        <v>-1</v>
      </c>
      <c r="SA24" s="8" t="n">
        <v>-1</v>
      </c>
      <c r="SB24" s="8" t="n">
        <v>-1</v>
      </c>
      <c r="SC24" s="8" t="n">
        <v>-1</v>
      </c>
      <c r="SD24" s="8" t="n">
        <v>-1</v>
      </c>
      <c r="SE24" s="8" t="n">
        <v>-1</v>
      </c>
      <c r="SF24" s="8" t="n">
        <v>-1</v>
      </c>
      <c r="SG24" s="8" t="n">
        <v>-1</v>
      </c>
      <c r="SH24" s="8" t="n">
        <v>-1</v>
      </c>
      <c r="SI24" s="8" t="n">
        <v>-1</v>
      </c>
      <c r="SJ24" s="8" t="n">
        <v>-1</v>
      </c>
      <c r="SK24" s="8" t="n">
        <v>-1</v>
      </c>
      <c r="SL24" s="8" t="n">
        <v>-1</v>
      </c>
      <c r="SM24" s="8" t="n">
        <v>-1</v>
      </c>
      <c r="SN24" s="8" t="n">
        <v>-1</v>
      </c>
      <c r="SO24" s="8" t="n">
        <v>-1</v>
      </c>
      <c r="SP24" s="8" t="n">
        <v>-1</v>
      </c>
      <c r="SQ24" s="8" t="n">
        <v>-1</v>
      </c>
      <c r="SR24" s="8" t="n">
        <v>-1</v>
      </c>
      <c r="SS24" s="8" t="n">
        <v>-1</v>
      </c>
      <c r="ST24" s="8" t="n">
        <v>-1</v>
      </c>
      <c r="SU24" s="8" t="n">
        <v>-1</v>
      </c>
      <c r="SV24" s="8" t="n">
        <v>-1</v>
      </c>
      <c r="SW24" s="8" t="n">
        <v>-1</v>
      </c>
      <c r="SX24" s="8" t="n">
        <v>-1</v>
      </c>
      <c r="SY24" s="8" t="n">
        <v>-1</v>
      </c>
      <c r="SZ24" s="8" t="n">
        <v>-1</v>
      </c>
      <c r="TA24" s="8" t="n">
        <v>-1</v>
      </c>
      <c r="TB24" s="8" t="n">
        <v>-1</v>
      </c>
      <c r="TC24" s="8" t="n">
        <v>-1</v>
      </c>
      <c r="TD24" s="8" t="n">
        <v>-1</v>
      </c>
      <c r="TE24" s="8" t="n">
        <v>-1</v>
      </c>
      <c r="TF24" s="8" t="n">
        <v>-1</v>
      </c>
      <c r="TG24" s="8" t="n">
        <v>-1</v>
      </c>
      <c r="TH24" s="8" t="n">
        <v>-1</v>
      </c>
      <c r="TI24" s="8" t="n">
        <v>-1</v>
      </c>
      <c r="TJ24" s="8" t="n">
        <v>-1</v>
      </c>
      <c r="TK24" s="8" t="n">
        <v>-1</v>
      </c>
      <c r="TL24" s="8" t="n">
        <v>-1</v>
      </c>
      <c r="TM24" s="8" t="n">
        <v>-1</v>
      </c>
      <c r="TN24" s="8" t="n">
        <v>-1</v>
      </c>
      <c r="TO24" s="8" t="n">
        <v>-1</v>
      </c>
      <c r="TP24" s="8" t="n">
        <v>-1</v>
      </c>
      <c r="TQ24" s="8" t="n">
        <v>-1</v>
      </c>
      <c r="TR24" s="8" t="n">
        <v>-1</v>
      </c>
      <c r="TS24" s="8" t="n">
        <v>-1</v>
      </c>
      <c r="TT24" s="8" t="n">
        <v>-1</v>
      </c>
      <c r="TU24" s="8" t="n">
        <v>-1</v>
      </c>
      <c r="TV24" s="8" t="n">
        <v>-1</v>
      </c>
      <c r="TW24" s="8" t="n">
        <v>-1</v>
      </c>
      <c r="TX24" s="8" t="n">
        <v>-1</v>
      </c>
      <c r="TY24" s="8" t="n">
        <v>-1</v>
      </c>
      <c r="TZ24" s="8" t="n">
        <v>-1</v>
      </c>
      <c r="UA24" s="8" t="n">
        <v>-1</v>
      </c>
      <c r="UB24" s="8" t="n">
        <v>-1</v>
      </c>
      <c r="UC24" s="8" t="n">
        <v>-1</v>
      </c>
      <c r="UD24" s="8" t="n">
        <v>-1</v>
      </c>
      <c r="UE24" s="8" t="n">
        <v>-1</v>
      </c>
      <c r="UF24" s="8" t="n">
        <v>-1</v>
      </c>
      <c r="UG24" s="8" t="n">
        <v>-1</v>
      </c>
      <c r="UH24" s="8" t="n">
        <v>-1</v>
      </c>
      <c r="UI24" s="8" t="n">
        <v>-1</v>
      </c>
      <c r="UJ24" s="8" t="n">
        <v>-1</v>
      </c>
      <c r="UK24" s="8" t="n">
        <v>-1</v>
      </c>
      <c r="UL24" s="8" t="n">
        <v>-1</v>
      </c>
      <c r="UM24" s="8" t="n">
        <v>-1</v>
      </c>
      <c r="UN24" s="8" t="n">
        <v>-1</v>
      </c>
      <c r="UO24" s="8" t="n">
        <v>-1</v>
      </c>
      <c r="UP24" s="8" t="n">
        <v>-1</v>
      </c>
    </row>
    <row r="26" customFormat="false" ht="14.5" hidden="false" customHeight="false" outlineLevel="0" collapsed="false">
      <c r="R26" s="4" t="s">
        <v>1311</v>
      </c>
      <c r="S26" s="4" t="s">
        <v>1299</v>
      </c>
      <c r="T26" s="4" t="s">
        <v>1298</v>
      </c>
      <c r="U26" s="4" t="s">
        <v>1312</v>
      </c>
    </row>
    <row r="27" customFormat="false" ht="14.5" hidden="false" customHeight="false" outlineLevel="0" collapsed="false">
      <c r="R27" s="0" t="e">
        <f aca="false">AVERAGEIFS(C$22:UP$22,C$2:UP$2,S27)</f>
        <v>#REF!</v>
      </c>
      <c r="S27" s="0" t="n">
        <v>1111</v>
      </c>
      <c r="T27" s="0" t="n">
        <f aca="false">AVERAGEIFS(C$1:UP$1,C$2:UP$2,S27)</f>
        <v>47</v>
      </c>
      <c r="U27" s="0" t="str">
        <f aca="false">HLOOKUP(S27,C$2:UP$3,2,FALSE())</f>
        <v>Primary somatosensory area, trunk, layer 5</v>
      </c>
    </row>
    <row r="28" customFormat="false" ht="14.5" hidden="false" customHeight="false" outlineLevel="0" collapsed="false">
      <c r="R28" s="0" t="e">
        <f aca="false">AVERAGEIFS(C$22:UP$22,C$2:UP$2,S28)</f>
        <v>#REF!</v>
      </c>
      <c r="S28" s="0" t="n">
        <v>721</v>
      </c>
      <c r="T28" s="0" t="n">
        <f aca="false">AVERAGEIFS(C$1:UP$1,C$2:UP$2,S28)</f>
        <v>113</v>
      </c>
      <c r="U28" s="0" t="str">
        <f aca="false">HLOOKUP(S28,C$2:UP$3,2,FALSE())</f>
        <v>Primary visual area, layer 4</v>
      </c>
    </row>
    <row r="29" customFormat="false" ht="14.5" hidden="false" customHeight="false" outlineLevel="0" collapsed="false">
      <c r="R29" s="0" t="e">
        <f aca="false">AVERAGEIFS(C$22:UP$22,C$2:UP$2,S29)</f>
        <v>#REF!</v>
      </c>
      <c r="S29" s="0" t="n">
        <v>778</v>
      </c>
      <c r="T29" s="0" t="n">
        <f aca="false">AVERAGEIFS(C$1:UP$1,C$2:UP$2,S29)</f>
        <v>114</v>
      </c>
      <c r="U29" s="0" t="str">
        <f aca="false">HLOOKUP(S29,C$2:UP$3,2,FALSE())</f>
        <v>Primary visual area, layer 5</v>
      </c>
    </row>
    <row r="30" customFormat="false" ht="14.5" hidden="false" customHeight="false" outlineLevel="0" collapsed="false">
      <c r="R30" s="0" t="e">
        <f aca="false">AVERAGEIFS(C$22:UP$22,C$2:UP$2,S30)</f>
        <v>#REF!</v>
      </c>
      <c r="S30" s="0" t="n">
        <v>257</v>
      </c>
      <c r="T30" s="0" t="n">
        <f aca="false">AVERAGEIFS(C$1:UP$1,C$2:UP$2,S30)</f>
        <v>127</v>
      </c>
      <c r="U30" s="0" t="str">
        <f aca="false">HLOOKUP(S30,C$2:UP$3,2,FALSE())</f>
        <v>posteromedial visual area, layer 6a</v>
      </c>
    </row>
    <row r="31" customFormat="false" ht="14.5" hidden="false" customHeight="false" outlineLevel="0" collapsed="false">
      <c r="R31" s="0" t="e">
        <f aca="false">AVERAGEIFS(C$22:UP$22,C$2:UP$2,S31)</f>
        <v>#REF!</v>
      </c>
      <c r="S31" s="0" t="n">
        <v>694</v>
      </c>
      <c r="T31" s="0" t="n">
        <f aca="false">AVERAGEIFS(C$1:UP$1,C$2:UP$2,S31)</f>
        <v>174</v>
      </c>
      <c r="U31" s="0" t="str">
        <f aca="false">HLOOKUP(S31,C$2:UP$3,2,FALSE())</f>
        <v>Agranular insular area, ventral part, layer 2/3</v>
      </c>
    </row>
    <row r="32" customFormat="false" ht="14.5" hidden="false" customHeight="false" outlineLevel="0" collapsed="false">
      <c r="R32" s="0" t="e">
        <f aca="false">AVERAGEIFS(C$22:UP$22,C$2:UP$2,S32)</f>
        <v>#REF!</v>
      </c>
      <c r="S32" s="0" t="n">
        <v>965</v>
      </c>
      <c r="T32" s="0" t="n">
        <f aca="false">AVERAGEIFS(C$1:UP$1,C$2:UP$2,S32)</f>
        <v>179</v>
      </c>
      <c r="U32" s="0" t="str">
        <f aca="false">HLOOKUP(S32,C$2:UP$3,2,FALSE())</f>
        <v>Retrosplenial area, lateral agranular part, layer 2/3</v>
      </c>
    </row>
    <row r="33" customFormat="false" ht="14.5" hidden="false" customHeight="false" outlineLevel="0" collapsed="false">
      <c r="R33" s="0" t="e">
        <f aca="false">AVERAGEIFS(C$22:UP$22,C$2:UP$2,S33)</f>
        <v>#REF!</v>
      </c>
      <c r="S33" s="0" t="n">
        <v>774</v>
      </c>
      <c r="T33" s="0" t="n">
        <f aca="false">AVERAGEIFS(C$1:UP$1,C$2:UP$2,S33)</f>
        <v>180</v>
      </c>
      <c r="U33" s="0" t="str">
        <f aca="false">HLOOKUP(S33,C$2:UP$3,2,FALSE())</f>
        <v>Retrosplenial area, lateral agranular part, layer 5</v>
      </c>
    </row>
    <row r="34" customFormat="false" ht="14.5" hidden="false" customHeight="false" outlineLevel="0" collapsed="false">
      <c r="R34" s="0" t="e">
        <f aca="false">AVERAGEIFS(C$22:UP$22,C$2:UP$2,S34)</f>
        <v>#REF!</v>
      </c>
      <c r="S34" s="0" t="n">
        <v>906</v>
      </c>
      <c r="T34" s="0" t="n">
        <f aca="false">AVERAGEIFS(C$1:UP$1,C$2:UP$2,S34)</f>
        <v>181</v>
      </c>
      <c r="U34" s="0" t="str">
        <f aca="false">HLOOKUP(S34,C$2:UP$3,2,FALSE())</f>
        <v>Retrosplenial area, lateral agranular part, layer 6a</v>
      </c>
    </row>
    <row r="35" customFormat="false" ht="14.5" hidden="false" customHeight="false" outlineLevel="0" collapsed="false">
      <c r="R35" s="0" t="e">
        <f aca="false">AVERAGEIFS(C$22:UP$22,C$2:UP$2,S35)</f>
        <v>#REF!</v>
      </c>
      <c r="S35" s="0" t="n">
        <v>610</v>
      </c>
      <c r="T35" s="0" t="n">
        <f aca="false">AVERAGEIFS(C$1:UP$1,C$2:UP$2,S35)</f>
        <v>186</v>
      </c>
      <c r="U35" s="0" t="str">
        <f aca="false">HLOOKUP(S35,C$2:UP$3,2,FALSE())</f>
        <v>Retrosplenial area, dorsal part, layer 5</v>
      </c>
    </row>
    <row r="36" customFormat="false" ht="14.5" hidden="false" customHeight="false" outlineLevel="0" collapsed="false">
      <c r="R36" s="0" t="e">
        <f aca="false">AVERAGEIFS(C$22:UP$22,C$2:UP$2,S36)</f>
        <v>#REF!</v>
      </c>
      <c r="S36" s="0" t="n">
        <v>274</v>
      </c>
      <c r="T36" s="0" t="n">
        <f aca="false">AVERAGEIFS(C$1:UP$1,C$2:UP$2,S36)</f>
        <v>187</v>
      </c>
      <c r="U36" s="0" t="str">
        <f aca="false">HLOOKUP(S36,C$2:UP$3,2,FALSE())</f>
        <v>Retrosplenial area, dorsal part, layer 6a</v>
      </c>
    </row>
    <row r="37" customFormat="false" ht="14.5" hidden="false" customHeight="false" outlineLevel="0" collapsed="false">
      <c r="R37" s="0" t="e">
        <f aca="false">AVERAGEIFS(C$22:UP$22,C$2:UP$2,S37)</f>
        <v>#REF!</v>
      </c>
      <c r="S37" s="0" t="n">
        <v>590</v>
      </c>
      <c r="T37" s="0" t="n">
        <f aca="false">AVERAGEIFS(C$1:UP$1,C$2:UP$2,S37)</f>
        <v>192</v>
      </c>
      <c r="U37" s="0" t="str">
        <f aca="false">HLOOKUP(S37,C$2:UP$3,2,FALSE())</f>
        <v>Retrosplenial area, ventral part, layer 6a</v>
      </c>
    </row>
    <row r="38" customFormat="false" ht="14.5" hidden="false" customHeight="false" outlineLevel="0" collapsed="false">
      <c r="R38" s="0" t="e">
        <f aca="false">AVERAGEIFS(C$22:UP$22,C$2:UP$2,S38)</f>
        <v>#REF!</v>
      </c>
      <c r="S38" s="0" t="n">
        <v>814</v>
      </c>
      <c r="T38" s="0" t="n">
        <f aca="false">AVERAGEIFS(C$1:UP$1,C$2:UP$2,S38)</f>
        <v>218</v>
      </c>
      <c r="U38" s="0" t="str">
        <f aca="false">HLOOKUP(S38,C$2:UP$3,2,FALSE())</f>
        <v>Dorsal peduncular area</v>
      </c>
    </row>
    <row r="39" customFormat="false" ht="14.5" hidden="false" customHeight="false" outlineLevel="0" collapsed="false">
      <c r="R39" s="0" t="e">
        <f aca="false">AVERAGEIFS(C$22:UP$22,C$2:UP$2,S39)</f>
        <v>#REF!</v>
      </c>
      <c r="S39" s="0" t="n">
        <v>56</v>
      </c>
      <c r="T39" s="0" t="n">
        <f aca="false">AVERAGEIFS(C$1:UP$1,C$2:UP$2,S39)</f>
        <v>259</v>
      </c>
      <c r="U39" s="0" t="str">
        <f aca="false">HLOOKUP(S39,C$2:UP$3,2,FALSE())</f>
        <v>Nucleus accumbens</v>
      </c>
    </row>
  </sheetData>
  <conditionalFormatting sqref="C22:UP22">
    <cfRule type="cellIs" priority="2" operator="lessThan" aboveAverage="0" equalAverage="0" bottom="0" percent="0" rank="0" text="" dxfId="5">
      <formula>-1</formula>
    </cfRule>
    <cfRule type="cellIs" priority="3" operator="greaterThan" aboveAverage="0" equalAverage="0" bottom="0" percent="0" rank="0" text="" dxfId="6">
      <formula>1</formula>
    </cfRule>
  </conditionalFormatting>
  <conditionalFormatting sqref="C22:AMJ22">
    <cfRule type="cellIs" priority="4" operator="greaterThan" aboveAverage="0" equalAverage="0" bottom="0" percent="0" rank="0" text="" dxfId="7">
      <formula>1</formula>
    </cfRule>
    <cfRule type="cellIs" priority="5" operator="lessThan" aboveAverage="0" equalAverage="0" bottom="0" percent="0" rank="0" text="" dxfId="8">
      <formula>-1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91"/>
  <sheetViews>
    <sheetView showFormulas="false" showGridLines="true" showRowColHeaders="true" showZeros="true" rightToLeft="false" tabSelected="true" showOutlineSymbols="true" defaultGridColor="true" view="normal" topLeftCell="G876" colorId="64" zoomScale="100" zoomScaleNormal="100" zoomScalePageLayoutView="100" workbookViewId="0">
      <selection pane="topLeft" activeCell="J929" activeCellId="0" sqref="J929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8.45"/>
    <col collapsed="false" customWidth="true" hidden="false" outlineLevel="0" max="8" min="2" style="0" width="10.72"/>
    <col collapsed="false" customWidth="true" hidden="false" outlineLevel="0" max="9" min="9" style="0" width="9"/>
    <col collapsed="false" customWidth="true" hidden="false" outlineLevel="0" max="10" min="10" style="0" width="23.85"/>
    <col collapsed="false" customWidth="true" hidden="false" outlineLevel="0" max="11" min="11" style="0" width="7.83"/>
    <col collapsed="false" customWidth="true" hidden="false" outlineLevel="0" max="12" min="12" style="0" width="5.27"/>
    <col collapsed="false" customWidth="true" hidden="false" outlineLevel="0" max="13" min="13" style="0" width="56.72"/>
  </cols>
  <sheetData>
    <row r="1" customFormat="false" ht="13.8" hidden="false" customHeight="false" outlineLevel="0" collapsed="false">
      <c r="A1" s="4" t="s">
        <v>1298</v>
      </c>
      <c r="B1" s="4" t="s">
        <v>1313</v>
      </c>
      <c r="C1" s="4" t="s">
        <v>1314</v>
      </c>
      <c r="D1" s="4" t="s">
        <v>1315</v>
      </c>
      <c r="E1" s="4" t="s">
        <v>1316</v>
      </c>
      <c r="F1" s="4" t="s">
        <v>1317</v>
      </c>
      <c r="G1" s="4" t="s">
        <v>1318</v>
      </c>
      <c r="H1" s="4" t="s">
        <v>1319</v>
      </c>
      <c r="I1" s="4" t="s">
        <v>1320</v>
      </c>
      <c r="J1" s="9" t="s">
        <v>1321</v>
      </c>
      <c r="K1" s="9" t="s">
        <v>1299</v>
      </c>
      <c r="L1" s="4" t="s">
        <v>1299</v>
      </c>
      <c r="M1" s="4" t="s">
        <v>1321</v>
      </c>
      <c r="N1" s="4" t="s">
        <v>1322</v>
      </c>
      <c r="O1" s="4" t="s">
        <v>1323</v>
      </c>
    </row>
    <row r="2" customFormat="false" ht="13.8" hidden="false" customHeight="false" outlineLevel="0" collapsed="false">
      <c r="A2" s="10" t="n">
        <v>1</v>
      </c>
      <c r="B2" s="11" t="s">
        <v>1324</v>
      </c>
      <c r="C2" s="11"/>
      <c r="D2" s="11"/>
      <c r="E2" s="11"/>
      <c r="F2" s="11"/>
      <c r="G2" s="11"/>
      <c r="H2" s="11"/>
      <c r="I2" s="12"/>
      <c r="L2" s="13" t="n">
        <v>8</v>
      </c>
      <c r="M2" s="13" t="s">
        <v>103</v>
      </c>
    </row>
    <row r="3" customFormat="false" ht="13.8" hidden="false" customHeight="false" outlineLevel="0" collapsed="false">
      <c r="A3" s="10" t="n">
        <v>2</v>
      </c>
      <c r="B3" s="4"/>
      <c r="C3" s="11" t="s">
        <v>626</v>
      </c>
      <c r="D3" s="11"/>
      <c r="E3" s="11"/>
      <c r="F3" s="11"/>
      <c r="G3" s="11"/>
      <c r="H3" s="11"/>
      <c r="I3" s="12"/>
      <c r="L3" s="13" t="n">
        <v>567</v>
      </c>
      <c r="M3" s="13" t="s">
        <v>626</v>
      </c>
    </row>
    <row r="4" customFormat="false" ht="13.8" hidden="false" customHeight="false" outlineLevel="0" collapsed="false">
      <c r="A4" s="10" t="n">
        <v>3</v>
      </c>
      <c r="B4" s="4"/>
      <c r="C4" s="11"/>
      <c r="D4" s="11" t="s">
        <v>740</v>
      </c>
      <c r="E4" s="11"/>
      <c r="F4" s="11"/>
      <c r="G4" s="11"/>
      <c r="H4" s="11"/>
      <c r="I4" s="12"/>
      <c r="L4" s="13" t="n">
        <v>688</v>
      </c>
      <c r="M4" s="13" t="s">
        <v>740</v>
      </c>
    </row>
    <row r="5" customFormat="false" ht="13.8" hidden="false" customHeight="false" outlineLevel="0" collapsed="false">
      <c r="A5" s="10" t="n">
        <v>4</v>
      </c>
      <c r="B5" s="4"/>
      <c r="C5" s="11"/>
      <c r="D5" s="11"/>
      <c r="E5" s="11" t="s">
        <v>747</v>
      </c>
      <c r="F5" s="11"/>
      <c r="G5" s="11"/>
      <c r="H5" s="11"/>
      <c r="I5" s="12"/>
      <c r="L5" s="13" t="n">
        <v>695</v>
      </c>
      <c r="M5" s="13" t="s">
        <v>747</v>
      </c>
    </row>
    <row r="6" customFormat="false" ht="13.8" hidden="false" customHeight="false" outlineLevel="0" collapsed="false">
      <c r="A6" s="10" t="n">
        <v>5</v>
      </c>
      <c r="B6" s="4"/>
      <c r="C6" s="11"/>
      <c r="D6" s="11"/>
      <c r="E6" s="11"/>
      <c r="F6" s="11" t="s">
        <v>387</v>
      </c>
      <c r="G6" s="11"/>
      <c r="H6" s="11"/>
      <c r="I6" s="12"/>
      <c r="L6" s="13" t="n">
        <v>315</v>
      </c>
      <c r="M6" s="13" t="s">
        <v>387</v>
      </c>
    </row>
    <row r="7" customFormat="false" ht="13.8" hidden="false" customHeight="false" outlineLevel="0" collapsed="false">
      <c r="A7" s="14" t="n">
        <v>6</v>
      </c>
      <c r="B7" s="15"/>
      <c r="C7" s="16"/>
      <c r="D7" s="16"/>
      <c r="E7" s="16"/>
      <c r="F7" s="16"/>
      <c r="G7" s="16" t="s">
        <v>1325</v>
      </c>
      <c r="H7" s="16"/>
      <c r="I7" s="17"/>
      <c r="J7" s="18" t="s">
        <v>1325</v>
      </c>
      <c r="K7" s="18" t="n">
        <v>184</v>
      </c>
      <c r="L7" s="19" t="n">
        <v>184</v>
      </c>
      <c r="M7" s="20" t="s">
        <v>268</v>
      </c>
      <c r="N7" s="0" t="n">
        <v>1</v>
      </c>
      <c r="O7" s="0" t="s">
        <v>1326</v>
      </c>
      <c r="Q7" s="0" t="n">
        <v>1</v>
      </c>
      <c r="R7" s="0" t="s">
        <v>1326</v>
      </c>
    </row>
    <row r="8" customFormat="false" ht="13.8" hidden="false" customHeight="false" outlineLevel="0" collapsed="false">
      <c r="A8" s="21" t="n">
        <v>7</v>
      </c>
      <c r="B8" s="22"/>
      <c r="C8" s="23"/>
      <c r="D8" s="23"/>
      <c r="E8" s="23"/>
      <c r="F8" s="23"/>
      <c r="G8" s="23"/>
      <c r="H8" s="23"/>
      <c r="I8" s="24" t="n">
        <v>63</v>
      </c>
      <c r="J8" s="18" t="s">
        <v>1325</v>
      </c>
      <c r="K8" s="18" t="n">
        <v>68</v>
      </c>
      <c r="L8" s="25" t="n">
        <v>68</v>
      </c>
      <c r="M8" s="26" t="s">
        <v>157</v>
      </c>
      <c r="N8" s="0" t="n">
        <v>1</v>
      </c>
      <c r="Q8" s="0" t="n">
        <v>2</v>
      </c>
      <c r="R8" s="0" t="s">
        <v>1327</v>
      </c>
    </row>
    <row r="9" customFormat="false" ht="13.8" hidden="false" customHeight="false" outlineLevel="0" collapsed="false">
      <c r="A9" s="27" t="n">
        <v>8</v>
      </c>
      <c r="B9" s="28"/>
      <c r="C9" s="29"/>
      <c r="D9" s="29"/>
      <c r="E9" s="29"/>
      <c r="F9" s="29"/>
      <c r="G9" s="29"/>
      <c r="H9" s="29"/>
      <c r="I9" s="30" t="n">
        <v>656</v>
      </c>
      <c r="J9" s="18" t="s">
        <v>1325</v>
      </c>
      <c r="K9" s="18" t="n">
        <v>667</v>
      </c>
      <c r="L9" s="31" t="n">
        <v>667</v>
      </c>
      <c r="M9" s="32" t="s">
        <v>721</v>
      </c>
      <c r="N9" s="0" t="n">
        <v>1</v>
      </c>
      <c r="Q9" s="0" t="n">
        <v>3</v>
      </c>
      <c r="R9" s="0" t="s">
        <v>1328</v>
      </c>
    </row>
    <row r="10" customFormat="false" ht="13.8" hidden="false" customHeight="false" outlineLevel="0" collapsed="false">
      <c r="A10" s="14" t="n">
        <v>9</v>
      </c>
      <c r="B10" s="15"/>
      <c r="C10" s="16"/>
      <c r="D10" s="16"/>
      <c r="E10" s="16"/>
      <c r="F10" s="16"/>
      <c r="G10" s="16" t="s">
        <v>1329</v>
      </c>
      <c r="H10" s="16"/>
      <c r="I10" s="17"/>
      <c r="J10" s="18" t="s">
        <v>1329</v>
      </c>
      <c r="K10" s="18" t="n">
        <v>500</v>
      </c>
      <c r="L10" s="19" t="n">
        <v>500</v>
      </c>
      <c r="M10" s="20" t="s">
        <v>563</v>
      </c>
      <c r="N10" s="0" t="n">
        <v>2</v>
      </c>
      <c r="O10" s="0" t="s">
        <v>1327</v>
      </c>
      <c r="Q10" s="0" t="n">
        <v>4</v>
      </c>
      <c r="R10" s="0" t="s">
        <v>1330</v>
      </c>
    </row>
    <row r="11" customFormat="false" ht="13.8" hidden="false" customHeight="false" outlineLevel="0" collapsed="false">
      <c r="A11" s="21" t="n">
        <v>10</v>
      </c>
      <c r="B11" s="22"/>
      <c r="C11" s="23"/>
      <c r="D11" s="23"/>
      <c r="E11" s="23"/>
      <c r="F11" s="23"/>
      <c r="G11" s="23"/>
      <c r="H11" s="23"/>
      <c r="I11" s="24"/>
      <c r="J11" s="18" t="s">
        <v>1329</v>
      </c>
      <c r="K11" s="18" t="n">
        <v>107</v>
      </c>
      <c r="L11" s="25" t="n">
        <v>107</v>
      </c>
      <c r="M11" s="26" t="s">
        <v>195</v>
      </c>
      <c r="N11" s="0" t="n">
        <v>2</v>
      </c>
      <c r="Q11" s="0" t="n">
        <v>5</v>
      </c>
      <c r="R11" s="0" t="s">
        <v>1331</v>
      </c>
    </row>
    <row r="12" customFormat="false" ht="13.8" hidden="false" customHeight="false" outlineLevel="0" collapsed="false">
      <c r="A12" s="21" t="n">
        <v>11</v>
      </c>
      <c r="B12" s="22"/>
      <c r="C12" s="23"/>
      <c r="D12" s="23"/>
      <c r="E12" s="23"/>
      <c r="F12" s="23"/>
      <c r="G12" s="23"/>
      <c r="H12" s="23"/>
      <c r="I12" s="24"/>
      <c r="J12" s="18" t="s">
        <v>1329</v>
      </c>
      <c r="K12" s="18" t="n">
        <v>219</v>
      </c>
      <c r="L12" s="25" t="n">
        <v>219</v>
      </c>
      <c r="M12" s="26" t="s">
        <v>302</v>
      </c>
      <c r="N12" s="0" t="n">
        <v>2</v>
      </c>
      <c r="Q12" s="0" t="n">
        <v>5</v>
      </c>
      <c r="R12" s="0" t="s">
        <v>1332</v>
      </c>
    </row>
    <row r="13" customFormat="false" ht="13.8" hidden="false" customHeight="false" outlineLevel="0" collapsed="false">
      <c r="A13" s="21" t="n">
        <v>12</v>
      </c>
      <c r="B13" s="22"/>
      <c r="C13" s="23"/>
      <c r="D13" s="23"/>
      <c r="E13" s="23"/>
      <c r="F13" s="23"/>
      <c r="G13" s="23"/>
      <c r="H13" s="23"/>
      <c r="I13" s="24"/>
      <c r="J13" s="18" t="s">
        <v>1329</v>
      </c>
      <c r="K13" s="18" t="n">
        <v>299</v>
      </c>
      <c r="L13" s="25" t="n">
        <v>299</v>
      </c>
      <c r="M13" s="26" t="s">
        <v>374</v>
      </c>
      <c r="N13" s="0" t="n">
        <v>2</v>
      </c>
      <c r="Q13" s="0" t="n">
        <v>6</v>
      </c>
      <c r="R13" s="0" t="s">
        <v>1333</v>
      </c>
    </row>
    <row r="14" customFormat="false" ht="13.8" hidden="false" customHeight="false" outlineLevel="0" collapsed="false">
      <c r="A14" s="21" t="n">
        <v>13</v>
      </c>
      <c r="B14" s="22"/>
      <c r="C14" s="23"/>
      <c r="D14" s="23"/>
      <c r="E14" s="23"/>
      <c r="F14" s="23"/>
      <c r="G14" s="23"/>
      <c r="H14" s="23"/>
      <c r="I14" s="24"/>
      <c r="J14" s="18" t="s">
        <v>1329</v>
      </c>
      <c r="K14" s="18" t="n">
        <v>644</v>
      </c>
      <c r="L14" s="25" t="n">
        <v>644</v>
      </c>
      <c r="M14" s="26" t="s">
        <v>698</v>
      </c>
      <c r="N14" s="0" t="n">
        <v>2</v>
      </c>
      <c r="Q14" s="0" t="n">
        <v>7</v>
      </c>
      <c r="R14" s="0" t="s">
        <v>1334</v>
      </c>
    </row>
    <row r="15" customFormat="false" ht="13.8" hidden="false" customHeight="false" outlineLevel="0" collapsed="false">
      <c r="A15" s="27" t="n">
        <v>14</v>
      </c>
      <c r="B15" s="28"/>
      <c r="C15" s="29"/>
      <c r="D15" s="29"/>
      <c r="E15" s="29"/>
      <c r="F15" s="29"/>
      <c r="G15" s="29"/>
      <c r="H15" s="29"/>
      <c r="I15" s="30"/>
      <c r="J15" s="18" t="s">
        <v>1329</v>
      </c>
      <c r="K15" s="18" t="n">
        <v>947</v>
      </c>
      <c r="L15" s="31" t="n">
        <v>947</v>
      </c>
      <c r="M15" s="32" t="s">
        <v>987</v>
      </c>
      <c r="N15" s="0" t="n">
        <v>2</v>
      </c>
      <c r="Q15" s="0" t="n">
        <v>8</v>
      </c>
      <c r="R15" s="0" t="s">
        <v>1335</v>
      </c>
    </row>
    <row r="16" customFormat="false" ht="13.8" hidden="false" customHeight="false" outlineLevel="0" collapsed="false">
      <c r="A16" s="14" t="n">
        <v>15</v>
      </c>
      <c r="B16" s="15"/>
      <c r="C16" s="16"/>
      <c r="D16" s="16"/>
      <c r="E16" s="16"/>
      <c r="F16" s="16"/>
      <c r="G16" s="16"/>
      <c r="H16" s="16" t="s">
        <v>1336</v>
      </c>
      <c r="I16" s="17" t="n">
        <v>974</v>
      </c>
      <c r="J16" s="18" t="s">
        <v>1336</v>
      </c>
      <c r="K16" s="18" t="n">
        <v>985</v>
      </c>
      <c r="L16" s="19" t="n">
        <v>985</v>
      </c>
      <c r="M16" s="20" t="s">
        <v>1023</v>
      </c>
      <c r="N16" s="0" t="n">
        <v>3</v>
      </c>
      <c r="O16" s="0" t="s">
        <v>1328</v>
      </c>
      <c r="Q16" s="0" t="n">
        <v>9</v>
      </c>
      <c r="R16" s="0" t="s">
        <v>1337</v>
      </c>
    </row>
    <row r="17" customFormat="false" ht="13.8" hidden="false" customHeight="false" outlineLevel="0" collapsed="false">
      <c r="A17" s="21" t="n">
        <v>16</v>
      </c>
      <c r="B17" s="22"/>
      <c r="C17" s="23"/>
      <c r="D17" s="23"/>
      <c r="E17" s="23"/>
      <c r="F17" s="23"/>
      <c r="G17" s="23"/>
      <c r="H17" s="23"/>
      <c r="I17" s="24" t="n">
        <v>310</v>
      </c>
      <c r="J17" s="18" t="s">
        <v>1336</v>
      </c>
      <c r="K17" s="18" t="n">
        <v>320</v>
      </c>
      <c r="L17" s="25" t="n">
        <v>320</v>
      </c>
      <c r="M17" s="26" t="s">
        <v>392</v>
      </c>
      <c r="N17" s="0" t="n">
        <v>3</v>
      </c>
      <c r="Q17" s="0" t="n">
        <v>10</v>
      </c>
      <c r="R17" s="0" t="s">
        <v>1338</v>
      </c>
    </row>
    <row r="18" customFormat="false" ht="13.8" hidden="false" customHeight="false" outlineLevel="0" collapsed="false">
      <c r="A18" s="21" t="n">
        <v>17</v>
      </c>
      <c r="B18" s="22"/>
      <c r="C18" s="23"/>
      <c r="D18" s="23"/>
      <c r="E18" s="23"/>
      <c r="F18" s="23"/>
      <c r="G18" s="23"/>
      <c r="H18" s="23"/>
      <c r="I18" s="24" t="n">
        <v>932</v>
      </c>
      <c r="J18" s="18" t="s">
        <v>1336</v>
      </c>
      <c r="K18" s="18" t="n">
        <v>943</v>
      </c>
      <c r="L18" s="25" t="n">
        <v>943</v>
      </c>
      <c r="M18" s="26" t="s">
        <v>983</v>
      </c>
      <c r="N18" s="0" t="n">
        <v>3</v>
      </c>
      <c r="Q18" s="0" t="n">
        <v>11</v>
      </c>
      <c r="R18" s="0" t="s">
        <v>1339</v>
      </c>
    </row>
    <row r="19" customFormat="false" ht="13.8" hidden="false" customHeight="false" outlineLevel="0" collapsed="false">
      <c r="A19" s="21" t="n">
        <v>18</v>
      </c>
      <c r="B19" s="22"/>
      <c r="C19" s="23"/>
      <c r="D19" s="23"/>
      <c r="E19" s="23"/>
      <c r="F19" s="23"/>
      <c r="G19" s="23"/>
      <c r="H19" s="23"/>
      <c r="I19" s="24" t="n">
        <v>637</v>
      </c>
      <c r="J19" s="18" t="s">
        <v>1336</v>
      </c>
      <c r="K19" s="18" t="n">
        <v>648</v>
      </c>
      <c r="L19" s="25" t="n">
        <v>648</v>
      </c>
      <c r="M19" s="26" t="s">
        <v>702</v>
      </c>
      <c r="N19" s="0" t="n">
        <v>3</v>
      </c>
      <c r="Q19" s="0" t="n">
        <v>12</v>
      </c>
      <c r="R19" s="0" t="s">
        <v>1340</v>
      </c>
    </row>
    <row r="20" customFormat="false" ht="13.8" hidden="false" customHeight="false" outlineLevel="0" collapsed="false">
      <c r="A20" s="21" t="n">
        <v>19</v>
      </c>
      <c r="B20" s="22"/>
      <c r="C20" s="23"/>
      <c r="D20" s="23"/>
      <c r="E20" s="23"/>
      <c r="F20" s="23"/>
      <c r="G20" s="23"/>
      <c r="H20" s="23"/>
      <c r="I20" s="24" t="n">
        <v>833</v>
      </c>
      <c r="J20" s="18" t="s">
        <v>1336</v>
      </c>
      <c r="K20" s="18" t="n">
        <v>844</v>
      </c>
      <c r="L20" s="25" t="n">
        <v>844</v>
      </c>
      <c r="M20" s="26" t="s">
        <v>889</v>
      </c>
      <c r="N20" s="0" t="n">
        <v>3</v>
      </c>
      <c r="Q20" s="0" t="n">
        <v>13</v>
      </c>
      <c r="R20" s="0" t="s">
        <v>1341</v>
      </c>
    </row>
    <row r="21" customFormat="false" ht="13.8" hidden="false" customHeight="false" outlineLevel="0" collapsed="false">
      <c r="A21" s="27" t="n">
        <v>20</v>
      </c>
      <c r="B21" s="28"/>
      <c r="C21" s="29"/>
      <c r="D21" s="29"/>
      <c r="E21" s="29"/>
      <c r="F21" s="29"/>
      <c r="G21" s="29"/>
      <c r="H21" s="29"/>
      <c r="I21" s="30" t="n">
        <v>871</v>
      </c>
      <c r="J21" s="18" t="s">
        <v>1336</v>
      </c>
      <c r="K21" s="18" t="n">
        <v>882</v>
      </c>
      <c r="L21" s="31" t="n">
        <v>882</v>
      </c>
      <c r="M21" s="32" t="s">
        <v>927</v>
      </c>
      <c r="N21" s="0" t="n">
        <v>3</v>
      </c>
      <c r="Q21" s="0" t="n">
        <v>14</v>
      </c>
      <c r="R21" s="0" t="s">
        <v>1342</v>
      </c>
    </row>
    <row r="22" customFormat="false" ht="13.8" hidden="false" customHeight="false" outlineLevel="0" collapsed="false">
      <c r="A22" s="14" t="n">
        <v>21</v>
      </c>
      <c r="B22" s="15"/>
      <c r="C22" s="16"/>
      <c r="D22" s="16"/>
      <c r="E22" s="16"/>
      <c r="F22" s="16"/>
      <c r="G22" s="16"/>
      <c r="H22" s="16" t="s">
        <v>1343</v>
      </c>
      <c r="I22" s="17"/>
      <c r="J22" s="18" t="s">
        <v>1343</v>
      </c>
      <c r="K22" s="18" t="n">
        <v>993</v>
      </c>
      <c r="L22" s="19" t="n">
        <v>993</v>
      </c>
      <c r="M22" s="20" t="s">
        <v>1031</v>
      </c>
      <c r="N22" s="0" t="n">
        <v>4</v>
      </c>
      <c r="O22" s="0" t="s">
        <v>1330</v>
      </c>
      <c r="Q22" s="0" t="n">
        <v>15</v>
      </c>
      <c r="R22" s="0" t="s">
        <v>1344</v>
      </c>
    </row>
    <row r="23" customFormat="false" ht="13.8" hidden="false" customHeight="false" outlineLevel="0" collapsed="false">
      <c r="A23" s="21" t="n">
        <v>22</v>
      </c>
      <c r="B23" s="22"/>
      <c r="C23" s="23"/>
      <c r="D23" s="23"/>
      <c r="E23" s="23"/>
      <c r="F23" s="23"/>
      <c r="G23" s="23"/>
      <c r="H23" s="23"/>
      <c r="I23" s="24" t="n">
        <v>645</v>
      </c>
      <c r="J23" s="18" t="s">
        <v>1343</v>
      </c>
      <c r="K23" s="18" t="n">
        <v>656</v>
      </c>
      <c r="L23" s="25" t="n">
        <v>656</v>
      </c>
      <c r="M23" s="26" t="s">
        <v>710</v>
      </c>
      <c r="N23" s="0" t="n">
        <v>4</v>
      </c>
      <c r="Q23" s="0" t="n">
        <v>16</v>
      </c>
      <c r="R23" s="0" t="s">
        <v>1345</v>
      </c>
    </row>
    <row r="24" customFormat="false" ht="13.8" hidden="false" customHeight="false" outlineLevel="0" collapsed="false">
      <c r="A24" s="21" t="n">
        <v>23</v>
      </c>
      <c r="B24" s="22"/>
      <c r="C24" s="23"/>
      <c r="D24" s="23"/>
      <c r="E24" s="23"/>
      <c r="F24" s="23"/>
      <c r="G24" s="23"/>
      <c r="H24" s="23"/>
      <c r="I24" s="24" t="n">
        <v>951</v>
      </c>
      <c r="J24" s="18" t="s">
        <v>1343</v>
      </c>
      <c r="K24" s="18" t="n">
        <v>962</v>
      </c>
      <c r="L24" s="25" t="n">
        <v>962</v>
      </c>
      <c r="M24" s="26" t="s">
        <v>1002</v>
      </c>
      <c r="N24" s="0" t="n">
        <v>4</v>
      </c>
      <c r="Q24" s="0" t="n">
        <v>17</v>
      </c>
      <c r="R24" s="0" t="s">
        <v>1346</v>
      </c>
    </row>
    <row r="25" customFormat="false" ht="13.8" hidden="false" customHeight="false" outlineLevel="0" collapsed="false">
      <c r="A25" s="21" t="n">
        <v>24</v>
      </c>
      <c r="B25" s="22"/>
      <c r="C25" s="23"/>
      <c r="D25" s="23"/>
      <c r="E25" s="23"/>
      <c r="F25" s="23"/>
      <c r="G25" s="23"/>
      <c r="H25" s="23"/>
      <c r="I25" s="24" t="n">
        <v>756</v>
      </c>
      <c r="J25" s="18" t="s">
        <v>1343</v>
      </c>
      <c r="K25" s="18" t="n">
        <v>767</v>
      </c>
      <c r="L25" s="25" t="n">
        <v>767</v>
      </c>
      <c r="M25" s="26" t="s">
        <v>817</v>
      </c>
      <c r="N25" s="0" t="n">
        <v>4</v>
      </c>
      <c r="Q25" s="0" t="n">
        <v>18</v>
      </c>
      <c r="R25" s="0" t="s">
        <v>1347</v>
      </c>
    </row>
    <row r="26" customFormat="false" ht="13.8" hidden="false" customHeight="false" outlineLevel="0" collapsed="false">
      <c r="A26" s="21" t="n">
        <v>25</v>
      </c>
      <c r="B26" s="22"/>
      <c r="C26" s="23"/>
      <c r="D26" s="23"/>
      <c r="E26" s="23"/>
      <c r="F26" s="23"/>
      <c r="G26" s="23"/>
      <c r="H26" s="23"/>
      <c r="I26" s="24" t="n">
        <v>1009</v>
      </c>
      <c r="J26" s="18" t="s">
        <v>1343</v>
      </c>
      <c r="K26" s="18" t="n">
        <v>1021</v>
      </c>
      <c r="L26" s="25" t="n">
        <v>1021</v>
      </c>
      <c r="M26" s="26" t="s">
        <v>1057</v>
      </c>
      <c r="N26" s="0" t="n">
        <v>4</v>
      </c>
      <c r="Q26" s="0" t="n">
        <v>19</v>
      </c>
      <c r="R26" s="0" t="s">
        <v>1348</v>
      </c>
    </row>
    <row r="27" customFormat="false" ht="13.8" hidden="false" customHeight="false" outlineLevel="0" collapsed="false">
      <c r="A27" s="27" t="n">
        <v>26</v>
      </c>
      <c r="B27" s="28"/>
      <c r="C27" s="29"/>
      <c r="D27" s="29"/>
      <c r="E27" s="29"/>
      <c r="F27" s="29"/>
      <c r="G27" s="29"/>
      <c r="H27" s="29"/>
      <c r="I27" s="30" t="n">
        <v>1073</v>
      </c>
      <c r="J27" s="18" t="s">
        <v>1343</v>
      </c>
      <c r="K27" s="18" t="n">
        <v>1085</v>
      </c>
      <c r="L27" s="31" t="n">
        <v>1085</v>
      </c>
      <c r="M27" s="32" t="s">
        <v>1119</v>
      </c>
      <c r="N27" s="0" t="n">
        <v>4</v>
      </c>
      <c r="Q27" s="0" t="n">
        <v>20</v>
      </c>
      <c r="R27" s="0" t="s">
        <v>40</v>
      </c>
    </row>
    <row r="28" customFormat="false" ht="13.8" hidden="false" customHeight="false" outlineLevel="0" collapsed="false">
      <c r="A28" s="14" t="n">
        <v>27</v>
      </c>
      <c r="B28" s="15"/>
      <c r="C28" s="16"/>
      <c r="D28" s="16"/>
      <c r="E28" s="16"/>
      <c r="F28" s="16"/>
      <c r="G28" s="16" t="s">
        <v>517</v>
      </c>
      <c r="H28" s="16"/>
      <c r="I28" s="17"/>
      <c r="J28" s="18" t="s">
        <v>517</v>
      </c>
      <c r="K28" s="18" t="n">
        <v>453</v>
      </c>
      <c r="L28" s="19" t="n">
        <v>453</v>
      </c>
      <c r="M28" s="20" t="s">
        <v>517</v>
      </c>
      <c r="N28" s="0" t="n">
        <v>5</v>
      </c>
      <c r="O28" s="0" t="s">
        <v>1332</v>
      </c>
      <c r="Q28" s="0" t="n">
        <v>21</v>
      </c>
      <c r="R28" s="0" t="s">
        <v>1349</v>
      </c>
    </row>
    <row r="29" customFormat="false" ht="13.8" hidden="false" customHeight="false" outlineLevel="0" collapsed="false">
      <c r="A29" s="21" t="n">
        <v>28</v>
      </c>
      <c r="B29" s="22"/>
      <c r="C29" s="23"/>
      <c r="D29" s="23"/>
      <c r="E29" s="23"/>
      <c r="F29" s="23"/>
      <c r="G29" s="23"/>
      <c r="H29" s="23"/>
      <c r="I29" s="24"/>
      <c r="J29" s="18" t="s">
        <v>517</v>
      </c>
      <c r="K29" s="18" t="n">
        <v>12993</v>
      </c>
      <c r="L29" s="25" t="n">
        <v>12993</v>
      </c>
      <c r="M29" s="26" t="s">
        <v>1237</v>
      </c>
      <c r="N29" s="0" t="n">
        <v>5</v>
      </c>
      <c r="Q29" s="0" t="n">
        <v>22</v>
      </c>
      <c r="R29" s="0" t="s">
        <v>1350</v>
      </c>
    </row>
    <row r="30" customFormat="false" ht="13.8" hidden="false" customHeight="false" outlineLevel="0" collapsed="false">
      <c r="A30" s="21" t="n">
        <v>29</v>
      </c>
      <c r="B30" s="22"/>
      <c r="C30" s="23"/>
      <c r="D30" s="23"/>
      <c r="E30" s="23"/>
      <c r="F30" s="23"/>
      <c r="G30" s="23"/>
      <c r="H30" s="23"/>
      <c r="I30" s="24"/>
      <c r="J30" s="18" t="s">
        <v>517</v>
      </c>
      <c r="K30" s="18" t="n">
        <v>12994</v>
      </c>
      <c r="L30" s="25" t="n">
        <v>12994</v>
      </c>
      <c r="M30" s="26" t="s">
        <v>1238</v>
      </c>
      <c r="N30" s="0" t="n">
        <v>5</v>
      </c>
      <c r="Q30" s="0" t="n">
        <v>23</v>
      </c>
      <c r="R30" s="0" t="s">
        <v>1351</v>
      </c>
    </row>
    <row r="31" customFormat="false" ht="13.8" hidden="false" customHeight="false" outlineLevel="0" collapsed="false">
      <c r="A31" s="21" t="n">
        <v>30</v>
      </c>
      <c r="B31" s="22"/>
      <c r="C31" s="23"/>
      <c r="D31" s="23"/>
      <c r="E31" s="23"/>
      <c r="F31" s="23"/>
      <c r="G31" s="23"/>
      <c r="H31" s="23"/>
      <c r="I31" s="24"/>
      <c r="J31" s="18" t="s">
        <v>517</v>
      </c>
      <c r="K31" s="18" t="n">
        <v>12995</v>
      </c>
      <c r="L31" s="25" t="n">
        <v>12995</v>
      </c>
      <c r="M31" s="26" t="s">
        <v>1239</v>
      </c>
      <c r="N31" s="0" t="n">
        <v>5</v>
      </c>
      <c r="Q31" s="0" t="n">
        <v>24</v>
      </c>
      <c r="R31" s="0" t="s">
        <v>44</v>
      </c>
    </row>
    <row r="32" customFormat="false" ht="13.8" hidden="false" customHeight="false" outlineLevel="0" collapsed="false">
      <c r="A32" s="21" t="n">
        <v>31</v>
      </c>
      <c r="B32" s="22"/>
      <c r="C32" s="23"/>
      <c r="D32" s="23"/>
      <c r="E32" s="23"/>
      <c r="F32" s="23"/>
      <c r="G32" s="23"/>
      <c r="H32" s="23"/>
      <c r="I32" s="24"/>
      <c r="J32" s="18" t="s">
        <v>517</v>
      </c>
      <c r="K32" s="18" t="n">
        <v>12996</v>
      </c>
      <c r="L32" s="25" t="n">
        <v>12996</v>
      </c>
      <c r="M32" s="26" t="s">
        <v>1240</v>
      </c>
      <c r="N32" s="0" t="n">
        <v>5</v>
      </c>
      <c r="Q32" s="0" t="n">
        <v>25</v>
      </c>
      <c r="R32" s="0" t="s">
        <v>1352</v>
      </c>
    </row>
    <row r="33" customFormat="false" ht="13.8" hidden="false" customHeight="false" outlineLevel="0" collapsed="false">
      <c r="A33" s="21" t="n">
        <v>32</v>
      </c>
      <c r="B33" s="22"/>
      <c r="C33" s="23"/>
      <c r="D33" s="23"/>
      <c r="E33" s="23"/>
      <c r="F33" s="23"/>
      <c r="G33" s="23"/>
      <c r="H33" s="23"/>
      <c r="I33" s="24"/>
      <c r="J33" s="18" t="s">
        <v>517</v>
      </c>
      <c r="K33" s="18" t="n">
        <v>12997</v>
      </c>
      <c r="L33" s="25" t="n">
        <v>12997</v>
      </c>
      <c r="M33" s="26" t="s">
        <v>1241</v>
      </c>
      <c r="N33" s="0" t="n">
        <v>5</v>
      </c>
      <c r="Q33" s="0" t="n">
        <v>26</v>
      </c>
      <c r="R33" s="0" t="s">
        <v>1353</v>
      </c>
    </row>
    <row r="34" customFormat="false" ht="13.8" hidden="false" customHeight="false" outlineLevel="0" collapsed="false">
      <c r="A34" s="21" t="n">
        <v>33</v>
      </c>
      <c r="B34" s="22"/>
      <c r="C34" s="23"/>
      <c r="D34" s="23"/>
      <c r="E34" s="23"/>
      <c r="F34" s="23"/>
      <c r="G34" s="23"/>
      <c r="H34" s="23"/>
      <c r="I34" s="24"/>
      <c r="J34" s="18" t="s">
        <v>517</v>
      </c>
      <c r="K34" s="18" t="n">
        <v>12998</v>
      </c>
      <c r="L34" s="25" t="n">
        <v>12998</v>
      </c>
      <c r="M34" s="26" t="s">
        <v>1242</v>
      </c>
      <c r="N34" s="0" t="n">
        <v>5</v>
      </c>
      <c r="Q34" s="0" t="n">
        <v>27</v>
      </c>
      <c r="R34" s="0" t="s">
        <v>1354</v>
      </c>
    </row>
    <row r="35" customFormat="false" ht="13.8" hidden="false" customHeight="false" outlineLevel="0" collapsed="false">
      <c r="A35" s="21" t="n">
        <v>34</v>
      </c>
      <c r="B35" s="22"/>
      <c r="C35" s="23"/>
      <c r="D35" s="23"/>
      <c r="E35" s="23"/>
      <c r="F35" s="23"/>
      <c r="G35" s="23"/>
      <c r="H35" s="23" t="s">
        <v>1355</v>
      </c>
      <c r="I35" s="24"/>
      <c r="J35" s="18" t="s">
        <v>1355</v>
      </c>
      <c r="K35" s="18" t="n">
        <v>322</v>
      </c>
      <c r="L35" s="25" t="n">
        <v>322</v>
      </c>
      <c r="M35" s="26" t="s">
        <v>394</v>
      </c>
      <c r="N35" s="0" t="n">
        <v>5</v>
      </c>
      <c r="O35" s="0" t="s">
        <v>1331</v>
      </c>
      <c r="Q35" s="0" t="n">
        <v>28</v>
      </c>
      <c r="R35" s="0" t="s">
        <v>1356</v>
      </c>
    </row>
    <row r="36" customFormat="false" ht="13.8" hidden="false" customHeight="false" outlineLevel="0" collapsed="false">
      <c r="A36" s="21" t="n">
        <v>35</v>
      </c>
      <c r="B36" s="22"/>
      <c r="C36" s="23"/>
      <c r="D36" s="23"/>
      <c r="E36" s="23"/>
      <c r="F36" s="23"/>
      <c r="G36" s="23"/>
      <c r="H36" s="23"/>
      <c r="I36" s="24"/>
      <c r="J36" s="18" t="s">
        <v>1355</v>
      </c>
      <c r="K36" s="18" t="n">
        <v>793</v>
      </c>
      <c r="L36" s="25" t="n">
        <v>793</v>
      </c>
      <c r="M36" s="26" t="s">
        <v>841</v>
      </c>
      <c r="N36" s="0" t="n">
        <v>5</v>
      </c>
      <c r="Q36" s="0" t="n">
        <v>29</v>
      </c>
      <c r="R36" s="0" t="s">
        <v>1357</v>
      </c>
    </row>
    <row r="37" customFormat="false" ht="13.8" hidden="false" customHeight="false" outlineLevel="0" collapsed="false">
      <c r="A37" s="21" t="n">
        <v>36</v>
      </c>
      <c r="B37" s="22"/>
      <c r="C37" s="23"/>
      <c r="D37" s="23"/>
      <c r="E37" s="23"/>
      <c r="F37" s="23"/>
      <c r="G37" s="23"/>
      <c r="H37" s="23"/>
      <c r="I37" s="24"/>
      <c r="J37" s="18" t="s">
        <v>1355</v>
      </c>
      <c r="K37" s="18" t="n">
        <v>346</v>
      </c>
      <c r="L37" s="25" t="n">
        <v>346</v>
      </c>
      <c r="M37" s="26" t="s">
        <v>417</v>
      </c>
      <c r="N37" s="0" t="n">
        <v>5</v>
      </c>
      <c r="Q37" s="0" t="n">
        <v>30</v>
      </c>
      <c r="R37" s="0" t="s">
        <v>1358</v>
      </c>
    </row>
    <row r="38" customFormat="false" ht="13.8" hidden="false" customHeight="false" outlineLevel="0" collapsed="false">
      <c r="A38" s="21" t="n">
        <v>37</v>
      </c>
      <c r="B38" s="22"/>
      <c r="C38" s="23"/>
      <c r="D38" s="23"/>
      <c r="E38" s="23"/>
      <c r="F38" s="23"/>
      <c r="G38" s="23"/>
      <c r="H38" s="23"/>
      <c r="I38" s="24"/>
      <c r="J38" s="18" t="s">
        <v>1355</v>
      </c>
      <c r="K38" s="18" t="n">
        <v>865</v>
      </c>
      <c r="L38" s="25" t="n">
        <v>865</v>
      </c>
      <c r="M38" s="26" t="s">
        <v>910</v>
      </c>
      <c r="N38" s="0" t="n">
        <v>5</v>
      </c>
      <c r="Q38" s="0" t="n">
        <v>31</v>
      </c>
      <c r="R38" s="0" t="s">
        <v>1359</v>
      </c>
    </row>
    <row r="39" customFormat="false" ht="13.8" hidden="false" customHeight="false" outlineLevel="0" collapsed="false">
      <c r="A39" s="21" t="n">
        <v>38</v>
      </c>
      <c r="B39" s="22"/>
      <c r="C39" s="23"/>
      <c r="D39" s="23"/>
      <c r="E39" s="23"/>
      <c r="F39" s="23"/>
      <c r="G39" s="23"/>
      <c r="H39" s="23"/>
      <c r="I39" s="24"/>
      <c r="J39" s="18" t="s">
        <v>1355</v>
      </c>
      <c r="K39" s="18" t="n">
        <v>921</v>
      </c>
      <c r="L39" s="25" t="n">
        <v>921</v>
      </c>
      <c r="M39" s="26" t="s">
        <v>963</v>
      </c>
      <c r="N39" s="0" t="n">
        <v>5</v>
      </c>
      <c r="Q39" s="0" t="n">
        <v>32</v>
      </c>
      <c r="R39" s="0" t="s">
        <v>1360</v>
      </c>
    </row>
    <row r="40" customFormat="false" ht="13.8" hidden="false" customHeight="false" outlineLevel="0" collapsed="false">
      <c r="A40" s="21" t="n">
        <v>39</v>
      </c>
      <c r="B40" s="22"/>
      <c r="C40" s="23"/>
      <c r="D40" s="23"/>
      <c r="E40" s="23"/>
      <c r="F40" s="23"/>
      <c r="G40" s="23"/>
      <c r="H40" s="23"/>
      <c r="I40" s="24"/>
      <c r="J40" s="18" t="s">
        <v>1355</v>
      </c>
      <c r="K40" s="18" t="n">
        <v>686</v>
      </c>
      <c r="L40" s="25" t="n">
        <v>686</v>
      </c>
      <c r="M40" s="26" t="s">
        <v>739</v>
      </c>
      <c r="N40" s="0" t="n">
        <v>5</v>
      </c>
      <c r="Q40" s="0" t="n">
        <v>33</v>
      </c>
      <c r="R40" s="0" t="s">
        <v>1361</v>
      </c>
    </row>
    <row r="41" customFormat="false" ht="13.8" hidden="false" customHeight="false" outlineLevel="0" collapsed="false">
      <c r="A41" s="21" t="n">
        <v>40</v>
      </c>
      <c r="B41" s="22"/>
      <c r="C41" s="23"/>
      <c r="D41" s="23"/>
      <c r="E41" s="23"/>
      <c r="F41" s="23"/>
      <c r="G41" s="23"/>
      <c r="H41" s="23"/>
      <c r="I41" s="24"/>
      <c r="J41" s="18" t="s">
        <v>1362</v>
      </c>
      <c r="K41" s="18" t="n">
        <v>719</v>
      </c>
      <c r="L41" s="25" t="n">
        <v>719</v>
      </c>
      <c r="M41" s="26" t="s">
        <v>770</v>
      </c>
      <c r="N41" s="0" t="n">
        <v>5</v>
      </c>
      <c r="Q41" s="0" t="n">
        <v>34</v>
      </c>
      <c r="R41" s="0" t="s">
        <v>1363</v>
      </c>
    </row>
    <row r="42" customFormat="false" ht="13.8" hidden="false" customHeight="false" outlineLevel="0" collapsed="false">
      <c r="A42" s="21" t="n">
        <v>41</v>
      </c>
      <c r="B42" s="22"/>
      <c r="C42" s="23"/>
      <c r="D42" s="23"/>
      <c r="E42" s="23"/>
      <c r="F42" s="23"/>
      <c r="G42" s="23"/>
      <c r="H42" s="23"/>
      <c r="I42" s="24"/>
      <c r="J42" s="18" t="s">
        <v>1362</v>
      </c>
      <c r="K42" s="18" t="n">
        <v>353</v>
      </c>
      <c r="L42" s="25" t="n">
        <v>353</v>
      </c>
      <c r="M42" s="26" t="s">
        <v>424</v>
      </c>
      <c r="N42" s="0" t="n">
        <v>5</v>
      </c>
      <c r="Q42" s="0" t="n">
        <v>35</v>
      </c>
      <c r="R42" s="0" t="s">
        <v>1364</v>
      </c>
    </row>
    <row r="43" customFormat="false" ht="13.8" hidden="false" customHeight="false" outlineLevel="0" collapsed="false">
      <c r="A43" s="21" t="n">
        <v>42</v>
      </c>
      <c r="B43" s="22"/>
      <c r="C43" s="23"/>
      <c r="D43" s="23"/>
      <c r="E43" s="23"/>
      <c r="F43" s="23"/>
      <c r="G43" s="23"/>
      <c r="H43" s="23"/>
      <c r="I43" s="24" t="n">
        <v>547</v>
      </c>
      <c r="J43" s="18" t="s">
        <v>1362</v>
      </c>
      <c r="K43" s="18" t="n">
        <v>558</v>
      </c>
      <c r="L43" s="25" t="n">
        <v>558</v>
      </c>
      <c r="M43" s="26" t="s">
        <v>617</v>
      </c>
      <c r="N43" s="0" t="n">
        <v>5</v>
      </c>
      <c r="Q43" s="0" t="n">
        <v>36</v>
      </c>
      <c r="R43" s="0" t="s">
        <v>1365</v>
      </c>
    </row>
    <row r="44" customFormat="false" ht="13.8" hidden="false" customHeight="false" outlineLevel="0" collapsed="false">
      <c r="A44" s="21" t="n">
        <v>43</v>
      </c>
      <c r="B44" s="22"/>
      <c r="C44" s="23"/>
      <c r="D44" s="23"/>
      <c r="E44" s="23"/>
      <c r="F44" s="23"/>
      <c r="G44" s="23"/>
      <c r="H44" s="23"/>
      <c r="I44" s="24" t="n">
        <v>827</v>
      </c>
      <c r="J44" s="18" t="s">
        <v>1362</v>
      </c>
      <c r="K44" s="18" t="n">
        <v>838</v>
      </c>
      <c r="L44" s="25" t="n">
        <v>838</v>
      </c>
      <c r="M44" s="26" t="s">
        <v>883</v>
      </c>
      <c r="N44" s="0" t="n">
        <v>5</v>
      </c>
      <c r="Q44" s="0" t="n">
        <v>37</v>
      </c>
      <c r="R44" s="0" t="s">
        <v>1366</v>
      </c>
    </row>
    <row r="45" customFormat="false" ht="13.8" hidden="false" customHeight="false" outlineLevel="0" collapsed="false">
      <c r="A45" s="21" t="n">
        <v>44</v>
      </c>
      <c r="B45" s="22"/>
      <c r="C45" s="23"/>
      <c r="D45" s="23"/>
      <c r="E45" s="23"/>
      <c r="F45" s="23"/>
      <c r="G45" s="23"/>
      <c r="H45" s="23"/>
      <c r="I45" s="24" t="n">
        <v>643</v>
      </c>
      <c r="J45" s="18" t="s">
        <v>1362</v>
      </c>
      <c r="K45" s="18" t="n">
        <v>654</v>
      </c>
      <c r="L45" s="25" t="n">
        <v>654</v>
      </c>
      <c r="M45" s="26" t="s">
        <v>708</v>
      </c>
      <c r="N45" s="0" t="n">
        <v>5</v>
      </c>
      <c r="Q45" s="0" t="n">
        <v>38</v>
      </c>
      <c r="R45" s="0" t="s">
        <v>1367</v>
      </c>
    </row>
    <row r="46" customFormat="false" ht="13.8" hidden="false" customHeight="false" outlineLevel="0" collapsed="false">
      <c r="A46" s="21" t="n">
        <v>45</v>
      </c>
      <c r="B46" s="22"/>
      <c r="C46" s="23"/>
      <c r="D46" s="23"/>
      <c r="E46" s="23"/>
      <c r="F46" s="23"/>
      <c r="G46" s="23"/>
      <c r="H46" s="23"/>
      <c r="I46" s="24" t="n">
        <v>691</v>
      </c>
      <c r="J46" s="18" t="s">
        <v>1362</v>
      </c>
      <c r="K46" s="18" t="n">
        <v>702</v>
      </c>
      <c r="L46" s="25" t="n">
        <v>702</v>
      </c>
      <c r="M46" s="26" t="s">
        <v>754</v>
      </c>
      <c r="N46" s="0" t="n">
        <v>5</v>
      </c>
      <c r="Q46" s="33" t="n">
        <v>39</v>
      </c>
      <c r="R46" s="0" t="s">
        <v>1368</v>
      </c>
    </row>
    <row r="47" customFormat="false" ht="13.8" hidden="false" customHeight="false" outlineLevel="0" collapsed="false">
      <c r="A47" s="21" t="n">
        <v>46</v>
      </c>
      <c r="B47" s="22"/>
      <c r="C47" s="23"/>
      <c r="D47" s="23"/>
      <c r="E47" s="23"/>
      <c r="F47" s="23"/>
      <c r="G47" s="23"/>
      <c r="H47" s="23"/>
      <c r="I47" s="24" t="n">
        <v>878</v>
      </c>
      <c r="J47" s="18" t="s">
        <v>1362</v>
      </c>
      <c r="K47" s="18" t="n">
        <v>889</v>
      </c>
      <c r="L47" s="25" t="n">
        <v>889</v>
      </c>
      <c r="M47" s="26" t="s">
        <v>934</v>
      </c>
      <c r="N47" s="0" t="n">
        <v>5</v>
      </c>
      <c r="Q47" s="0" t="n">
        <v>40</v>
      </c>
      <c r="R47" s="0" t="s">
        <v>26</v>
      </c>
    </row>
    <row r="48" customFormat="false" ht="13.8" hidden="false" customHeight="false" outlineLevel="0" collapsed="false">
      <c r="A48" s="21" t="n">
        <v>47</v>
      </c>
      <c r="B48" s="22"/>
      <c r="C48" s="23"/>
      <c r="D48" s="23"/>
      <c r="E48" s="23"/>
      <c r="F48" s="23"/>
      <c r="G48" s="23"/>
      <c r="H48" s="23"/>
      <c r="I48" s="24" t="n">
        <v>918</v>
      </c>
      <c r="J48" s="18" t="s">
        <v>1362</v>
      </c>
      <c r="K48" s="18" t="n">
        <v>929</v>
      </c>
      <c r="L48" s="25" t="n">
        <v>929</v>
      </c>
      <c r="M48" s="26" t="s">
        <v>970</v>
      </c>
      <c r="N48" s="0" t="n">
        <v>5</v>
      </c>
      <c r="Q48" s="0" t="n">
        <v>41</v>
      </c>
      <c r="R48" s="0" t="s">
        <v>1369</v>
      </c>
    </row>
    <row r="49" customFormat="false" ht="13.8" hidden="false" customHeight="false" outlineLevel="0" collapsed="false">
      <c r="A49" s="21" t="n">
        <v>48</v>
      </c>
      <c r="B49" s="22"/>
      <c r="C49" s="23"/>
      <c r="D49" s="23"/>
      <c r="E49" s="23"/>
      <c r="F49" s="23"/>
      <c r="G49" s="23"/>
      <c r="H49" s="23"/>
      <c r="I49" s="24"/>
      <c r="J49" s="18" t="s">
        <v>1370</v>
      </c>
      <c r="K49" s="18" t="n">
        <v>329</v>
      </c>
      <c r="L49" s="25" t="n">
        <v>329</v>
      </c>
      <c r="M49" s="26" t="s">
        <v>401</v>
      </c>
      <c r="N49" s="0" t="n">
        <v>5</v>
      </c>
      <c r="Q49" s="0" t="n">
        <v>42</v>
      </c>
      <c r="R49" s="0" t="s">
        <v>28</v>
      </c>
    </row>
    <row r="50" customFormat="false" ht="13.8" hidden="false" customHeight="false" outlineLevel="0" collapsed="false">
      <c r="A50" s="21" t="n">
        <v>49</v>
      </c>
      <c r="B50" s="22"/>
      <c r="C50" s="23"/>
      <c r="D50" s="23"/>
      <c r="E50" s="23"/>
      <c r="F50" s="23"/>
      <c r="G50" s="23"/>
      <c r="H50" s="23"/>
      <c r="I50" s="24" t="n">
        <v>970</v>
      </c>
      <c r="J50" s="18" t="s">
        <v>1370</v>
      </c>
      <c r="K50" s="18" t="n">
        <v>981</v>
      </c>
      <c r="L50" s="25" t="n">
        <v>981</v>
      </c>
      <c r="M50" s="26" t="s">
        <v>1019</v>
      </c>
      <c r="N50" s="0" t="n">
        <v>5</v>
      </c>
      <c r="Q50" s="0" t="n">
        <v>43</v>
      </c>
      <c r="R50" s="0" t="s">
        <v>32</v>
      </c>
    </row>
    <row r="51" customFormat="false" ht="13.8" hidden="false" customHeight="false" outlineLevel="0" collapsed="false">
      <c r="A51" s="21" t="n">
        <v>50</v>
      </c>
      <c r="B51" s="22"/>
      <c r="C51" s="23"/>
      <c r="D51" s="23"/>
      <c r="E51" s="23"/>
      <c r="F51" s="23"/>
      <c r="G51" s="23"/>
      <c r="H51" s="23"/>
      <c r="I51" s="24" t="n">
        <v>194</v>
      </c>
      <c r="J51" s="18" t="s">
        <v>1370</v>
      </c>
      <c r="K51" s="18" t="n">
        <v>201</v>
      </c>
      <c r="L51" s="25" t="n">
        <v>201</v>
      </c>
      <c r="M51" s="26" t="s">
        <v>285</v>
      </c>
      <c r="N51" s="0" t="n">
        <v>5</v>
      </c>
      <c r="Q51" s="0" t="n">
        <v>44</v>
      </c>
      <c r="R51" s="0" t="s">
        <v>1371</v>
      </c>
    </row>
    <row r="52" customFormat="false" ht="13.8" hidden="false" customHeight="false" outlineLevel="0" collapsed="false">
      <c r="A52" s="21" t="n">
        <v>51</v>
      </c>
      <c r="B52" s="22"/>
      <c r="C52" s="23"/>
      <c r="D52" s="23"/>
      <c r="E52" s="23"/>
      <c r="F52" s="23"/>
      <c r="G52" s="23"/>
      <c r="H52" s="23"/>
      <c r="I52" s="24" t="n">
        <v>1035</v>
      </c>
      <c r="J52" s="18" t="s">
        <v>1370</v>
      </c>
      <c r="K52" s="18" t="n">
        <v>1047</v>
      </c>
      <c r="L52" s="25" t="n">
        <v>1047</v>
      </c>
      <c r="M52" s="26" t="s">
        <v>1083</v>
      </c>
      <c r="N52" s="0" t="n">
        <v>5</v>
      </c>
      <c r="Q52" s="0" t="n">
        <v>45</v>
      </c>
      <c r="R52" s="0" t="s">
        <v>34</v>
      </c>
    </row>
    <row r="53" customFormat="false" ht="13.8" hidden="false" customHeight="false" outlineLevel="0" collapsed="false">
      <c r="A53" s="21" t="n">
        <v>52</v>
      </c>
      <c r="B53" s="22"/>
      <c r="C53" s="23"/>
      <c r="D53" s="23"/>
      <c r="E53" s="23"/>
      <c r="F53" s="23"/>
      <c r="G53" s="23"/>
      <c r="H53" s="23"/>
      <c r="I53" s="24" t="n">
        <v>1058</v>
      </c>
      <c r="J53" s="18" t="s">
        <v>1370</v>
      </c>
      <c r="K53" s="18" t="n">
        <v>1070</v>
      </c>
      <c r="L53" s="25" t="n">
        <v>1070</v>
      </c>
      <c r="M53" s="26" t="s">
        <v>1301</v>
      </c>
      <c r="N53" s="0" t="n">
        <v>5</v>
      </c>
      <c r="Q53" s="0" t="n">
        <v>46</v>
      </c>
      <c r="R53" s="0" t="s">
        <v>30</v>
      </c>
    </row>
    <row r="54" customFormat="false" ht="13.8" hidden="false" customHeight="false" outlineLevel="0" collapsed="false">
      <c r="A54" s="21" t="n">
        <v>53</v>
      </c>
      <c r="B54" s="22"/>
      <c r="C54" s="23"/>
      <c r="D54" s="23"/>
      <c r="E54" s="23"/>
      <c r="F54" s="23"/>
      <c r="G54" s="23"/>
      <c r="H54" s="23"/>
      <c r="I54" s="24" t="n">
        <v>1026</v>
      </c>
      <c r="J54" s="18" t="s">
        <v>1370</v>
      </c>
      <c r="K54" s="18" t="n">
        <v>1038</v>
      </c>
      <c r="L54" s="25" t="n">
        <v>1038</v>
      </c>
      <c r="M54" s="26" t="s">
        <v>1074</v>
      </c>
      <c r="N54" s="0" t="n">
        <v>5</v>
      </c>
      <c r="Q54" s="0" t="n">
        <v>47</v>
      </c>
      <c r="R54" s="0" t="s">
        <v>36</v>
      </c>
    </row>
    <row r="55" customFormat="false" ht="13.8" hidden="false" customHeight="false" outlineLevel="0" collapsed="false">
      <c r="A55" s="21" t="n">
        <v>54</v>
      </c>
      <c r="B55" s="22"/>
      <c r="C55" s="23"/>
      <c r="D55" s="23"/>
      <c r="E55" s="23"/>
      <c r="F55" s="23"/>
      <c r="G55" s="23"/>
      <c r="H55" s="23"/>
      <c r="I55" s="24" t="n">
        <v>1050</v>
      </c>
      <c r="J55" s="18" t="s">
        <v>1370</v>
      </c>
      <c r="K55" s="18" t="n">
        <v>1062</v>
      </c>
      <c r="L55" s="25" t="n">
        <v>1062</v>
      </c>
      <c r="M55" s="26" t="s">
        <v>1097</v>
      </c>
      <c r="N55" s="0" t="n">
        <v>5</v>
      </c>
      <c r="Q55" s="0" t="n">
        <v>48</v>
      </c>
      <c r="R55" s="0" t="s">
        <v>1372</v>
      </c>
    </row>
    <row r="56" customFormat="false" ht="13.8" hidden="false" customHeight="false" outlineLevel="0" collapsed="false">
      <c r="A56" s="21" t="n">
        <v>55</v>
      </c>
      <c r="B56" s="22"/>
      <c r="C56" s="23"/>
      <c r="D56" s="23"/>
      <c r="E56" s="23"/>
      <c r="F56" s="23"/>
      <c r="G56" s="23"/>
      <c r="H56" s="23"/>
      <c r="I56" s="24"/>
      <c r="J56" s="18" t="s">
        <v>1373</v>
      </c>
      <c r="K56" s="18" t="n">
        <v>337</v>
      </c>
      <c r="L56" s="25" t="n">
        <v>337</v>
      </c>
      <c r="M56" s="26" t="s">
        <v>408</v>
      </c>
      <c r="N56" s="0" t="n">
        <v>5</v>
      </c>
      <c r="Q56" s="0" t="n">
        <v>49</v>
      </c>
      <c r="R56" s="0" t="s">
        <v>1374</v>
      </c>
    </row>
    <row r="57" customFormat="false" ht="13.8" hidden="false" customHeight="false" outlineLevel="0" collapsed="false">
      <c r="A57" s="21" t="n">
        <v>56</v>
      </c>
      <c r="B57" s="22"/>
      <c r="C57" s="23"/>
      <c r="D57" s="23"/>
      <c r="E57" s="23"/>
      <c r="F57" s="23"/>
      <c r="G57" s="23"/>
      <c r="H57" s="23"/>
      <c r="I57" s="24" t="n">
        <v>1018</v>
      </c>
      <c r="J57" s="18" t="s">
        <v>1373</v>
      </c>
      <c r="K57" s="18" t="n">
        <v>1030</v>
      </c>
      <c r="L57" s="25" t="n">
        <v>1030</v>
      </c>
      <c r="M57" s="26" t="s">
        <v>1066</v>
      </c>
      <c r="N57" s="0" t="n">
        <v>5</v>
      </c>
      <c r="Q57" s="0" t="n">
        <v>50</v>
      </c>
      <c r="R57" s="0" t="s">
        <v>1375</v>
      </c>
    </row>
    <row r="58" customFormat="false" ht="13.8" hidden="false" customHeight="false" outlineLevel="0" collapsed="false">
      <c r="A58" s="21" t="n">
        <v>57</v>
      </c>
      <c r="B58" s="22"/>
      <c r="C58" s="23"/>
      <c r="D58" s="23"/>
      <c r="E58" s="23"/>
      <c r="F58" s="23"/>
      <c r="G58" s="23"/>
      <c r="H58" s="23"/>
      <c r="I58" s="24" t="n">
        <v>108</v>
      </c>
      <c r="J58" s="18" t="s">
        <v>1373</v>
      </c>
      <c r="K58" s="18" t="n">
        <v>113</v>
      </c>
      <c r="L58" s="25" t="n">
        <v>113</v>
      </c>
      <c r="M58" s="26" t="s">
        <v>201</v>
      </c>
      <c r="N58" s="0" t="n">
        <v>5</v>
      </c>
    </row>
    <row r="59" customFormat="false" ht="13.8" hidden="false" customHeight="false" outlineLevel="0" collapsed="false">
      <c r="A59" s="21" t="n">
        <v>58</v>
      </c>
      <c r="B59" s="22"/>
      <c r="C59" s="23"/>
      <c r="D59" s="23"/>
      <c r="E59" s="23"/>
      <c r="F59" s="23"/>
      <c r="G59" s="23"/>
      <c r="H59" s="23"/>
      <c r="I59" s="24" t="n">
        <v>1082</v>
      </c>
      <c r="J59" s="18" t="s">
        <v>1373</v>
      </c>
      <c r="K59" s="18" t="n">
        <v>1094</v>
      </c>
      <c r="L59" s="25" t="n">
        <v>1094</v>
      </c>
      <c r="M59" s="26" t="s">
        <v>1128</v>
      </c>
      <c r="N59" s="0" t="n">
        <v>5</v>
      </c>
    </row>
    <row r="60" customFormat="false" ht="13.8" hidden="false" customHeight="false" outlineLevel="0" collapsed="false">
      <c r="A60" s="21" t="n">
        <v>59</v>
      </c>
      <c r="B60" s="22"/>
      <c r="C60" s="23"/>
      <c r="D60" s="23"/>
      <c r="E60" s="23"/>
      <c r="F60" s="23"/>
      <c r="G60" s="23"/>
      <c r="H60" s="23"/>
      <c r="I60" s="24" t="n">
        <v>1114</v>
      </c>
      <c r="J60" s="18" t="s">
        <v>1373</v>
      </c>
      <c r="K60" s="18" t="n">
        <v>1128</v>
      </c>
      <c r="L60" s="25" t="n">
        <v>1128</v>
      </c>
      <c r="M60" s="26" t="s">
        <v>1160</v>
      </c>
      <c r="N60" s="0" t="n">
        <v>5</v>
      </c>
    </row>
    <row r="61" customFormat="false" ht="13.8" hidden="false" customHeight="false" outlineLevel="0" collapsed="false">
      <c r="A61" s="21" t="n">
        <v>60</v>
      </c>
      <c r="B61" s="22"/>
      <c r="C61" s="23"/>
      <c r="D61" s="23"/>
      <c r="E61" s="23"/>
      <c r="F61" s="23"/>
      <c r="G61" s="23"/>
      <c r="H61" s="23"/>
      <c r="I61" s="24" t="n">
        <v>467</v>
      </c>
      <c r="J61" s="18" t="s">
        <v>1373</v>
      </c>
      <c r="K61" s="18" t="n">
        <v>478</v>
      </c>
      <c r="L61" s="25" t="n">
        <v>478</v>
      </c>
      <c r="M61" s="26" t="s">
        <v>541</v>
      </c>
      <c r="N61" s="0" t="n">
        <v>5</v>
      </c>
    </row>
    <row r="62" customFormat="false" ht="13.8" hidden="false" customHeight="false" outlineLevel="0" collapsed="false">
      <c r="A62" s="21" t="n">
        <v>61</v>
      </c>
      <c r="B62" s="22"/>
      <c r="C62" s="23"/>
      <c r="D62" s="23"/>
      <c r="E62" s="23"/>
      <c r="F62" s="23"/>
      <c r="G62" s="23"/>
      <c r="H62" s="23"/>
      <c r="I62" s="24" t="n">
        <v>499</v>
      </c>
      <c r="J62" s="18" t="s">
        <v>1373</v>
      </c>
      <c r="K62" s="18" t="n">
        <v>510</v>
      </c>
      <c r="L62" s="25" t="n">
        <v>510</v>
      </c>
      <c r="M62" s="26" t="s">
        <v>573</v>
      </c>
      <c r="N62" s="0" t="n">
        <v>5</v>
      </c>
    </row>
    <row r="63" customFormat="false" ht="13.8" hidden="false" customHeight="false" outlineLevel="0" collapsed="false">
      <c r="A63" s="21" t="n">
        <v>62</v>
      </c>
      <c r="B63" s="22"/>
      <c r="C63" s="23"/>
      <c r="D63" s="23"/>
      <c r="E63" s="23"/>
      <c r="F63" s="23"/>
      <c r="G63" s="23"/>
      <c r="H63" s="23"/>
      <c r="I63" s="24"/>
      <c r="J63" s="18" t="s">
        <v>1376</v>
      </c>
      <c r="K63" s="18" t="n">
        <v>345</v>
      </c>
      <c r="L63" s="25" t="n">
        <v>345</v>
      </c>
      <c r="M63" s="26" t="s">
        <v>416</v>
      </c>
      <c r="N63" s="0" t="n">
        <v>5</v>
      </c>
    </row>
    <row r="64" customFormat="false" ht="13.8" hidden="false" customHeight="false" outlineLevel="0" collapsed="false">
      <c r="A64" s="21" t="n">
        <v>63</v>
      </c>
      <c r="B64" s="22"/>
      <c r="C64" s="23"/>
      <c r="D64" s="23"/>
      <c r="E64" s="23"/>
      <c r="F64" s="23"/>
      <c r="G64" s="23"/>
      <c r="H64" s="23"/>
      <c r="I64" s="24" t="n">
        <v>867</v>
      </c>
      <c r="J64" s="18" t="s">
        <v>1376</v>
      </c>
      <c r="K64" s="18" t="n">
        <v>878</v>
      </c>
      <c r="L64" s="25" t="n">
        <v>878</v>
      </c>
      <c r="M64" s="26" t="s">
        <v>923</v>
      </c>
      <c r="N64" s="0" t="n">
        <v>5</v>
      </c>
    </row>
    <row r="65" customFormat="false" ht="13.8" hidden="false" customHeight="false" outlineLevel="0" collapsed="false">
      <c r="A65" s="21" t="n">
        <v>64</v>
      </c>
      <c r="B65" s="22"/>
      <c r="C65" s="23"/>
      <c r="D65" s="23"/>
      <c r="E65" s="23"/>
      <c r="F65" s="23"/>
      <c r="G65" s="23"/>
      <c r="H65" s="23"/>
      <c r="I65" s="24" t="n">
        <v>646</v>
      </c>
      <c r="J65" s="18" t="s">
        <v>1376</v>
      </c>
      <c r="K65" s="18" t="n">
        <v>657</v>
      </c>
      <c r="L65" s="25" t="n">
        <v>657</v>
      </c>
      <c r="M65" s="26" t="s">
        <v>711</v>
      </c>
      <c r="N65" s="0" t="n">
        <v>5</v>
      </c>
    </row>
    <row r="66" customFormat="false" ht="13.8" hidden="false" customHeight="false" outlineLevel="0" collapsed="false">
      <c r="A66" s="21" t="n">
        <v>65</v>
      </c>
      <c r="B66" s="22"/>
      <c r="C66" s="23"/>
      <c r="D66" s="23"/>
      <c r="E66" s="23"/>
      <c r="F66" s="23"/>
      <c r="G66" s="23"/>
      <c r="H66" s="23"/>
      <c r="I66" s="24" t="n">
        <v>939</v>
      </c>
      <c r="J66" s="18" t="s">
        <v>1376</v>
      </c>
      <c r="K66" s="18" t="n">
        <v>950</v>
      </c>
      <c r="L66" s="25" t="n">
        <v>950</v>
      </c>
      <c r="M66" s="26" t="s">
        <v>990</v>
      </c>
      <c r="N66" s="0" t="n">
        <v>5</v>
      </c>
    </row>
    <row r="67" customFormat="false" ht="13.8" hidden="false" customHeight="false" outlineLevel="0" collapsed="false">
      <c r="A67" s="21" t="n">
        <v>66</v>
      </c>
      <c r="B67" s="22"/>
      <c r="C67" s="23"/>
      <c r="D67" s="23"/>
      <c r="E67" s="23"/>
      <c r="F67" s="23"/>
      <c r="G67" s="23"/>
      <c r="H67" s="23"/>
      <c r="I67" s="24" t="n">
        <v>963</v>
      </c>
      <c r="J67" s="18" t="s">
        <v>1376</v>
      </c>
      <c r="K67" s="18" t="n">
        <v>974</v>
      </c>
      <c r="L67" s="25" t="n">
        <v>974</v>
      </c>
      <c r="M67" s="26" t="s">
        <v>1012</v>
      </c>
      <c r="N67" s="0" t="n">
        <v>5</v>
      </c>
    </row>
    <row r="68" customFormat="false" ht="13.8" hidden="false" customHeight="false" outlineLevel="0" collapsed="false">
      <c r="A68" s="21" t="n">
        <v>67</v>
      </c>
      <c r="B68" s="22"/>
      <c r="C68" s="23"/>
      <c r="D68" s="23"/>
      <c r="E68" s="23"/>
      <c r="F68" s="23"/>
      <c r="G68" s="23"/>
      <c r="H68" s="23"/>
      <c r="I68" s="24" t="n">
        <v>1090</v>
      </c>
      <c r="J68" s="18" t="s">
        <v>1376</v>
      </c>
      <c r="K68" s="18" t="n">
        <v>1102</v>
      </c>
      <c r="L68" s="25" t="n">
        <v>1102</v>
      </c>
      <c r="M68" s="26" t="s">
        <v>1136</v>
      </c>
      <c r="N68" s="0" t="n">
        <v>5</v>
      </c>
    </row>
    <row r="69" customFormat="false" ht="13.8" hidden="false" customHeight="false" outlineLevel="0" collapsed="false">
      <c r="A69" s="21" t="n">
        <v>68</v>
      </c>
      <c r="B69" s="22"/>
      <c r="C69" s="23"/>
      <c r="D69" s="23"/>
      <c r="E69" s="23"/>
      <c r="F69" s="23"/>
      <c r="G69" s="23"/>
      <c r="H69" s="23"/>
      <c r="I69" s="24" t="n">
        <v>2</v>
      </c>
      <c r="J69" s="18" t="s">
        <v>1376</v>
      </c>
      <c r="K69" s="18" t="n">
        <v>2</v>
      </c>
      <c r="L69" s="25" t="n">
        <v>2</v>
      </c>
      <c r="M69" s="26" t="s">
        <v>98</v>
      </c>
      <c r="N69" s="0" t="n">
        <v>5</v>
      </c>
    </row>
    <row r="70" customFormat="false" ht="13.8" hidden="false" customHeight="false" outlineLevel="0" collapsed="false">
      <c r="A70" s="21" t="n">
        <v>69</v>
      </c>
      <c r="B70" s="22"/>
      <c r="C70" s="23"/>
      <c r="D70" s="23"/>
      <c r="E70" s="23"/>
      <c r="F70" s="23"/>
      <c r="G70" s="23"/>
      <c r="H70" s="23"/>
      <c r="I70" s="24"/>
      <c r="J70" s="18" t="s">
        <v>1377</v>
      </c>
      <c r="K70" s="18" t="n">
        <v>369</v>
      </c>
      <c r="L70" s="25" t="n">
        <v>369</v>
      </c>
      <c r="M70" s="26" t="s">
        <v>439</v>
      </c>
      <c r="N70" s="0" t="n">
        <v>5</v>
      </c>
    </row>
    <row r="71" customFormat="false" ht="13.8" hidden="false" customHeight="false" outlineLevel="0" collapsed="false">
      <c r="A71" s="21" t="n">
        <v>70</v>
      </c>
      <c r="B71" s="22"/>
      <c r="C71" s="23"/>
      <c r="D71" s="23"/>
      <c r="E71" s="23"/>
      <c r="F71" s="23"/>
      <c r="G71" s="23"/>
      <c r="H71" s="23"/>
      <c r="I71" s="24" t="n">
        <v>439</v>
      </c>
      <c r="J71" s="18" t="s">
        <v>1377</v>
      </c>
      <c r="K71" s="18" t="n">
        <v>450</v>
      </c>
      <c r="L71" s="25" t="n">
        <v>450</v>
      </c>
      <c r="M71" s="26" t="s">
        <v>515</v>
      </c>
      <c r="N71" s="0" t="n">
        <v>5</v>
      </c>
    </row>
    <row r="72" customFormat="false" ht="13.8" hidden="false" customHeight="false" outlineLevel="0" collapsed="false">
      <c r="A72" s="21" t="n">
        <v>71</v>
      </c>
      <c r="B72" s="22"/>
      <c r="C72" s="23"/>
      <c r="D72" s="23"/>
      <c r="E72" s="23"/>
      <c r="F72" s="23"/>
      <c r="G72" s="23"/>
      <c r="H72" s="23"/>
      <c r="I72" s="24" t="n">
        <v>843</v>
      </c>
      <c r="J72" s="18" t="s">
        <v>1377</v>
      </c>
      <c r="K72" s="18" t="n">
        <v>854</v>
      </c>
      <c r="L72" s="25" t="n">
        <v>854</v>
      </c>
      <c r="M72" s="26" t="s">
        <v>899</v>
      </c>
      <c r="N72" s="0" t="n">
        <v>5</v>
      </c>
    </row>
    <row r="73" customFormat="false" ht="13.8" hidden="false" customHeight="false" outlineLevel="0" collapsed="false">
      <c r="A73" s="21" t="n">
        <v>72</v>
      </c>
      <c r="B73" s="22"/>
      <c r="C73" s="23"/>
      <c r="D73" s="23"/>
      <c r="E73" s="23"/>
      <c r="F73" s="23"/>
      <c r="G73" s="23"/>
      <c r="H73" s="23"/>
      <c r="I73" s="24" t="n">
        <v>566</v>
      </c>
      <c r="J73" s="18" t="s">
        <v>1377</v>
      </c>
      <c r="K73" s="18" t="n">
        <v>577</v>
      </c>
      <c r="L73" s="25" t="n">
        <v>577</v>
      </c>
      <c r="M73" s="26" t="s">
        <v>636</v>
      </c>
      <c r="N73" s="0" t="n">
        <v>5</v>
      </c>
    </row>
    <row r="74" customFormat="false" ht="13.8" hidden="false" customHeight="false" outlineLevel="0" collapsed="false">
      <c r="A74" s="21" t="n">
        <v>73</v>
      </c>
      <c r="B74" s="22"/>
      <c r="C74" s="23"/>
      <c r="D74" s="23"/>
      <c r="E74" s="23"/>
      <c r="F74" s="23"/>
      <c r="G74" s="23"/>
      <c r="H74" s="23"/>
      <c r="I74" s="24" t="n">
        <v>614</v>
      </c>
      <c r="J74" s="18" t="s">
        <v>1377</v>
      </c>
      <c r="K74" s="18" t="n">
        <v>625</v>
      </c>
      <c r="L74" s="25" t="n">
        <v>625</v>
      </c>
      <c r="M74" s="26" t="s">
        <v>680</v>
      </c>
      <c r="N74" s="0" t="n">
        <v>5</v>
      </c>
    </row>
    <row r="75" customFormat="false" ht="13.8" hidden="false" customHeight="false" outlineLevel="0" collapsed="false">
      <c r="A75" s="21" t="n">
        <v>74</v>
      </c>
      <c r="B75" s="22"/>
      <c r="C75" s="23"/>
      <c r="D75" s="23"/>
      <c r="E75" s="23"/>
      <c r="F75" s="23"/>
      <c r="G75" s="23"/>
      <c r="H75" s="23"/>
      <c r="I75" s="24" t="n">
        <v>934</v>
      </c>
      <c r="J75" s="18" t="s">
        <v>1377</v>
      </c>
      <c r="K75" s="18" t="n">
        <v>945</v>
      </c>
      <c r="L75" s="25" t="n">
        <v>945</v>
      </c>
      <c r="M75" s="26" t="s">
        <v>985</v>
      </c>
      <c r="N75" s="0" t="n">
        <v>5</v>
      </c>
    </row>
    <row r="76" customFormat="false" ht="13.8" hidden="false" customHeight="false" outlineLevel="0" collapsed="false">
      <c r="A76" s="21" t="n">
        <v>75</v>
      </c>
      <c r="B76" s="22"/>
      <c r="C76" s="23"/>
      <c r="D76" s="23"/>
      <c r="E76" s="23"/>
      <c r="F76" s="23"/>
      <c r="G76" s="23"/>
      <c r="H76" s="23"/>
      <c r="I76" s="24" t="n">
        <v>1014</v>
      </c>
      <c r="J76" s="18" t="s">
        <v>1377</v>
      </c>
      <c r="K76" s="18" t="n">
        <v>1026</v>
      </c>
      <c r="L76" s="25" t="n">
        <v>1026</v>
      </c>
      <c r="M76" s="26" t="s">
        <v>1062</v>
      </c>
      <c r="N76" s="0" t="n">
        <v>5</v>
      </c>
    </row>
    <row r="77" customFormat="false" ht="13.8" hidden="false" customHeight="false" outlineLevel="0" collapsed="false">
      <c r="A77" s="21" t="n">
        <v>76</v>
      </c>
      <c r="B77" s="22"/>
      <c r="C77" s="23"/>
      <c r="D77" s="23"/>
      <c r="E77" s="23"/>
      <c r="F77" s="23"/>
      <c r="G77" s="23"/>
      <c r="H77" s="23"/>
      <c r="I77" s="24"/>
      <c r="J77" s="18" t="s">
        <v>1378</v>
      </c>
      <c r="K77" s="18" t="n">
        <v>361</v>
      </c>
      <c r="L77" s="25" t="n">
        <v>361</v>
      </c>
      <c r="M77" s="26" t="s">
        <v>432</v>
      </c>
      <c r="N77" s="0" t="n">
        <v>5</v>
      </c>
    </row>
    <row r="78" customFormat="false" ht="13.8" hidden="false" customHeight="false" outlineLevel="0" collapsed="false">
      <c r="A78" s="21" t="n">
        <v>77</v>
      </c>
      <c r="B78" s="22"/>
      <c r="C78" s="23"/>
      <c r="D78" s="23"/>
      <c r="E78" s="23"/>
      <c r="F78" s="23"/>
      <c r="G78" s="23"/>
      <c r="H78" s="23"/>
      <c r="I78" s="24" t="n">
        <v>995</v>
      </c>
      <c r="J78" s="18" t="s">
        <v>1378</v>
      </c>
      <c r="K78" s="18" t="n">
        <v>1006</v>
      </c>
      <c r="L78" s="25" t="n">
        <v>1006</v>
      </c>
      <c r="M78" s="26" t="s">
        <v>1044</v>
      </c>
      <c r="N78" s="0" t="n">
        <v>5</v>
      </c>
    </row>
    <row r="79" customFormat="false" ht="13.8" hidden="false" customHeight="false" outlineLevel="0" collapsed="false">
      <c r="A79" s="21" t="n">
        <v>78</v>
      </c>
      <c r="B79" s="22"/>
      <c r="C79" s="23"/>
      <c r="D79" s="23"/>
      <c r="E79" s="23"/>
      <c r="F79" s="23"/>
      <c r="G79" s="23"/>
      <c r="H79" s="23"/>
      <c r="I79" s="24" t="n">
        <v>659</v>
      </c>
      <c r="J79" s="18" t="s">
        <v>1378</v>
      </c>
      <c r="K79" s="18" t="n">
        <v>670</v>
      </c>
      <c r="L79" s="25" t="n">
        <v>670</v>
      </c>
      <c r="M79" s="26" t="s">
        <v>724</v>
      </c>
      <c r="N79" s="0" t="n">
        <v>5</v>
      </c>
    </row>
    <row r="80" customFormat="false" ht="13.8" hidden="false" customHeight="false" outlineLevel="0" collapsed="false">
      <c r="A80" s="21" t="n">
        <v>79</v>
      </c>
      <c r="B80" s="22"/>
      <c r="C80" s="23"/>
      <c r="D80" s="23"/>
      <c r="E80" s="23"/>
      <c r="F80" s="23"/>
      <c r="G80" s="23"/>
      <c r="H80" s="23"/>
      <c r="I80" s="24" t="n">
        <v>1074</v>
      </c>
      <c r="J80" s="18" t="s">
        <v>1378</v>
      </c>
      <c r="K80" s="18" t="n">
        <v>1086</v>
      </c>
      <c r="L80" s="25" t="n">
        <v>1086</v>
      </c>
      <c r="M80" s="26" t="s">
        <v>1120</v>
      </c>
      <c r="N80" s="0" t="n">
        <v>5</v>
      </c>
    </row>
    <row r="81" customFormat="false" ht="13.8" hidden="false" customHeight="false" outlineLevel="0" collapsed="false">
      <c r="A81" s="21" t="n">
        <v>80</v>
      </c>
      <c r="B81" s="22"/>
      <c r="C81" s="23"/>
      <c r="D81" s="23"/>
      <c r="E81" s="23"/>
      <c r="F81" s="23"/>
      <c r="G81" s="23"/>
      <c r="H81" s="23"/>
      <c r="I81" s="24" t="n">
        <v>1099</v>
      </c>
      <c r="J81" s="18" t="s">
        <v>1378</v>
      </c>
      <c r="K81" s="18" t="n">
        <v>1111</v>
      </c>
      <c r="L81" s="25" t="n">
        <v>1111</v>
      </c>
      <c r="M81" s="26" t="s">
        <v>1145</v>
      </c>
      <c r="N81" s="0" t="n">
        <v>5</v>
      </c>
    </row>
    <row r="82" customFormat="false" ht="13.8" hidden="false" customHeight="false" outlineLevel="0" collapsed="false">
      <c r="A82" s="21" t="n">
        <v>81</v>
      </c>
      <c r="B82" s="22"/>
      <c r="C82" s="23"/>
      <c r="D82" s="23"/>
      <c r="E82" s="23"/>
      <c r="F82" s="23"/>
      <c r="G82" s="23"/>
      <c r="H82" s="23"/>
      <c r="I82" s="24" t="n">
        <v>8</v>
      </c>
      <c r="J82" s="18" t="s">
        <v>1378</v>
      </c>
      <c r="K82" s="18" t="n">
        <v>9</v>
      </c>
      <c r="L82" s="25" t="n">
        <v>9</v>
      </c>
      <c r="M82" s="26" t="s">
        <v>104</v>
      </c>
      <c r="N82" s="0" t="n">
        <v>5</v>
      </c>
    </row>
    <row r="83" customFormat="false" ht="13.8" hidden="false" customHeight="false" outlineLevel="0" collapsed="false">
      <c r="A83" s="27" t="n">
        <v>82</v>
      </c>
      <c r="B83" s="28"/>
      <c r="C83" s="29"/>
      <c r="D83" s="29"/>
      <c r="E83" s="29"/>
      <c r="F83" s="29"/>
      <c r="G83" s="29"/>
      <c r="H83" s="29"/>
      <c r="I83" s="30" t="n">
        <v>450</v>
      </c>
      <c r="J83" s="18" t="s">
        <v>1378</v>
      </c>
      <c r="K83" s="18" t="n">
        <v>461</v>
      </c>
      <c r="L83" s="31" t="n">
        <v>461</v>
      </c>
      <c r="M83" s="32" t="s">
        <v>525</v>
      </c>
      <c r="N83" s="0" t="n">
        <v>5</v>
      </c>
    </row>
    <row r="84" customFormat="false" ht="13.8" hidden="false" customHeight="false" outlineLevel="0" collapsed="false">
      <c r="A84" s="14" t="n">
        <v>83</v>
      </c>
      <c r="B84" s="15"/>
      <c r="C84" s="16"/>
      <c r="D84" s="16"/>
      <c r="E84" s="16"/>
      <c r="F84" s="16"/>
      <c r="G84" s="16"/>
      <c r="H84" s="16" t="s">
        <v>1379</v>
      </c>
      <c r="I84" s="17"/>
      <c r="J84" s="18" t="s">
        <v>1379</v>
      </c>
      <c r="K84" s="18" t="n">
        <v>378</v>
      </c>
      <c r="L84" s="19" t="n">
        <v>378</v>
      </c>
      <c r="M84" s="20" t="s">
        <v>448</v>
      </c>
      <c r="N84" s="0" t="n">
        <v>6</v>
      </c>
      <c r="O84" s="0" t="s">
        <v>1333</v>
      </c>
    </row>
    <row r="85" customFormat="false" ht="13.8" hidden="false" customHeight="false" outlineLevel="0" collapsed="false">
      <c r="A85" s="21" t="n">
        <v>84</v>
      </c>
      <c r="B85" s="22"/>
      <c r="C85" s="23"/>
      <c r="D85" s="23"/>
      <c r="E85" s="23"/>
      <c r="F85" s="23"/>
      <c r="G85" s="23"/>
      <c r="H85" s="23"/>
      <c r="I85" s="24" t="n">
        <v>862</v>
      </c>
      <c r="J85" s="18" t="s">
        <v>1379</v>
      </c>
      <c r="K85" s="18" t="n">
        <v>873</v>
      </c>
      <c r="L85" s="25" t="n">
        <v>873</v>
      </c>
      <c r="M85" s="26" t="s">
        <v>918</v>
      </c>
      <c r="N85" s="0" t="n">
        <v>6</v>
      </c>
    </row>
    <row r="86" customFormat="false" ht="13.8" hidden="false" customHeight="false" outlineLevel="0" collapsed="false">
      <c r="A86" s="21" t="n">
        <v>85</v>
      </c>
      <c r="B86" s="22"/>
      <c r="C86" s="23"/>
      <c r="D86" s="23"/>
      <c r="E86" s="23"/>
      <c r="F86" s="23"/>
      <c r="G86" s="23"/>
      <c r="H86" s="23"/>
      <c r="I86" s="24" t="n">
        <v>795</v>
      </c>
      <c r="J86" s="18" t="s">
        <v>1379</v>
      </c>
      <c r="K86" s="18" t="n">
        <v>806</v>
      </c>
      <c r="L86" s="25" t="n">
        <v>806</v>
      </c>
      <c r="M86" s="26" t="s">
        <v>854</v>
      </c>
      <c r="N86" s="0" t="n">
        <v>6</v>
      </c>
    </row>
    <row r="87" customFormat="false" ht="13.8" hidden="false" customHeight="false" outlineLevel="0" collapsed="false">
      <c r="A87" s="21" t="n">
        <v>86</v>
      </c>
      <c r="B87" s="22"/>
      <c r="C87" s="23"/>
      <c r="D87" s="23"/>
      <c r="E87" s="23"/>
      <c r="F87" s="23"/>
      <c r="G87" s="23"/>
      <c r="H87" s="23"/>
      <c r="I87" s="24" t="n">
        <v>1023</v>
      </c>
      <c r="J87" s="18" t="s">
        <v>1379</v>
      </c>
      <c r="K87" s="18" t="n">
        <v>1035</v>
      </c>
      <c r="L87" s="25" t="n">
        <v>1035</v>
      </c>
      <c r="M87" s="26" t="s">
        <v>1071</v>
      </c>
      <c r="N87" s="0" t="n">
        <v>6</v>
      </c>
    </row>
    <row r="88" customFormat="false" ht="13.8" hidden="false" customHeight="false" outlineLevel="0" collapsed="false">
      <c r="A88" s="21" t="n">
        <v>87</v>
      </c>
      <c r="B88" s="22"/>
      <c r="C88" s="23"/>
      <c r="D88" s="23"/>
      <c r="E88" s="23"/>
      <c r="F88" s="23"/>
      <c r="G88" s="23"/>
      <c r="H88" s="23"/>
      <c r="I88" s="24" t="n">
        <v>1078</v>
      </c>
      <c r="J88" s="18" t="s">
        <v>1379</v>
      </c>
      <c r="K88" s="18" t="n">
        <v>1090</v>
      </c>
      <c r="L88" s="25" t="n">
        <v>1090</v>
      </c>
      <c r="M88" s="26" t="s">
        <v>1124</v>
      </c>
      <c r="N88" s="0" t="n">
        <v>6</v>
      </c>
    </row>
    <row r="89" customFormat="false" ht="13.8" hidden="false" customHeight="false" outlineLevel="0" collapsed="false">
      <c r="A89" s="21" t="n">
        <v>88</v>
      </c>
      <c r="B89" s="22"/>
      <c r="C89" s="23"/>
      <c r="D89" s="23"/>
      <c r="E89" s="23"/>
      <c r="F89" s="23"/>
      <c r="G89" s="23"/>
      <c r="H89" s="23"/>
      <c r="I89" s="24" t="n">
        <v>851</v>
      </c>
      <c r="J89" s="18" t="s">
        <v>1379</v>
      </c>
      <c r="K89" s="18" t="n">
        <v>862</v>
      </c>
      <c r="L89" s="25" t="n">
        <v>862</v>
      </c>
      <c r="M89" s="26" t="s">
        <v>907</v>
      </c>
      <c r="N89" s="0" t="n">
        <v>6</v>
      </c>
    </row>
    <row r="90" customFormat="false" ht="13.8" hidden="false" customHeight="false" outlineLevel="0" collapsed="false">
      <c r="A90" s="27" t="n">
        <v>89</v>
      </c>
      <c r="B90" s="28"/>
      <c r="C90" s="29"/>
      <c r="D90" s="29"/>
      <c r="E90" s="29"/>
      <c r="F90" s="29"/>
      <c r="G90" s="29"/>
      <c r="H90" s="29"/>
      <c r="I90" s="30" t="n">
        <v>882</v>
      </c>
      <c r="J90" s="18" t="s">
        <v>1379</v>
      </c>
      <c r="K90" s="18" t="n">
        <v>893</v>
      </c>
      <c r="L90" s="31" t="n">
        <v>893</v>
      </c>
      <c r="M90" s="32" t="s">
        <v>938</v>
      </c>
      <c r="N90" s="0" t="n">
        <v>6</v>
      </c>
    </row>
    <row r="91" customFormat="false" ht="13.8" hidden="false" customHeight="false" outlineLevel="0" collapsed="false">
      <c r="A91" s="14" t="n">
        <v>90</v>
      </c>
      <c r="B91" s="15"/>
      <c r="C91" s="16"/>
      <c r="D91" s="16"/>
      <c r="E91" s="16"/>
      <c r="F91" s="16"/>
      <c r="G91" s="16" t="s">
        <v>1380</v>
      </c>
      <c r="H91" s="16"/>
      <c r="I91" s="17"/>
      <c r="J91" s="18" t="s">
        <v>1380</v>
      </c>
      <c r="K91" s="18" t="n">
        <v>1057</v>
      </c>
      <c r="L91" s="19" t="n">
        <v>1057</v>
      </c>
      <c r="M91" s="20" t="s">
        <v>1092</v>
      </c>
      <c r="N91" s="0" t="n">
        <v>7</v>
      </c>
      <c r="O91" s="0" t="s">
        <v>1334</v>
      </c>
    </row>
    <row r="92" customFormat="false" ht="13.8" hidden="false" customHeight="false" outlineLevel="0" collapsed="false">
      <c r="A92" s="21" t="n">
        <v>91</v>
      </c>
      <c r="B92" s="22"/>
      <c r="C92" s="23"/>
      <c r="D92" s="23"/>
      <c r="E92" s="23"/>
      <c r="F92" s="23"/>
      <c r="G92" s="23"/>
      <c r="H92" s="23"/>
      <c r="I92" s="24" t="n">
        <v>32</v>
      </c>
      <c r="J92" s="18" t="s">
        <v>1380</v>
      </c>
      <c r="K92" s="18" t="n">
        <v>36</v>
      </c>
      <c r="L92" s="25" t="n">
        <v>36</v>
      </c>
      <c r="M92" s="26" t="s">
        <v>127</v>
      </c>
      <c r="N92" s="0" t="n">
        <v>7</v>
      </c>
    </row>
    <row r="93" customFormat="false" ht="13.8" hidden="false" customHeight="false" outlineLevel="0" collapsed="false">
      <c r="A93" s="21" t="n">
        <v>92</v>
      </c>
      <c r="B93" s="22"/>
      <c r="C93" s="23"/>
      <c r="D93" s="23"/>
      <c r="E93" s="23"/>
      <c r="F93" s="23"/>
      <c r="G93" s="23"/>
      <c r="H93" s="23"/>
      <c r="I93" s="24" t="n">
        <v>173</v>
      </c>
      <c r="J93" s="18" t="s">
        <v>1380</v>
      </c>
      <c r="K93" s="18" t="n">
        <v>180</v>
      </c>
      <c r="L93" s="25" t="n">
        <v>180</v>
      </c>
      <c r="M93" s="26" t="s">
        <v>264</v>
      </c>
      <c r="N93" s="0" t="n">
        <v>7</v>
      </c>
    </row>
    <row r="94" customFormat="false" ht="13.8" hidden="false" customHeight="false" outlineLevel="0" collapsed="false">
      <c r="A94" s="21" t="n">
        <v>93</v>
      </c>
      <c r="B94" s="22"/>
      <c r="C94" s="23"/>
      <c r="D94" s="23"/>
      <c r="E94" s="23"/>
      <c r="F94" s="23"/>
      <c r="G94" s="23"/>
      <c r="H94" s="23"/>
      <c r="I94" s="24" t="n">
        <v>143</v>
      </c>
      <c r="J94" s="18" t="s">
        <v>1380</v>
      </c>
      <c r="K94" s="18" t="n">
        <v>148</v>
      </c>
      <c r="L94" s="25" t="n">
        <v>148</v>
      </c>
      <c r="M94" s="26" t="s">
        <v>235</v>
      </c>
      <c r="N94" s="0" t="n">
        <v>7</v>
      </c>
    </row>
    <row r="95" customFormat="false" ht="13.8" hidden="false" customHeight="false" outlineLevel="0" collapsed="false">
      <c r="A95" s="21" t="n">
        <v>94</v>
      </c>
      <c r="B95" s="22"/>
      <c r="C95" s="23"/>
      <c r="D95" s="23"/>
      <c r="E95" s="23"/>
      <c r="F95" s="23"/>
      <c r="G95" s="23"/>
      <c r="H95" s="23"/>
      <c r="I95" s="24" t="n">
        <v>180</v>
      </c>
      <c r="J95" s="18" t="s">
        <v>1380</v>
      </c>
      <c r="K95" s="18" t="n">
        <v>187</v>
      </c>
      <c r="L95" s="25" t="n">
        <v>187</v>
      </c>
      <c r="M95" s="26" t="s">
        <v>271</v>
      </c>
      <c r="N95" s="0" t="n">
        <v>7</v>
      </c>
    </row>
    <row r="96" customFormat="false" ht="13.8" hidden="false" customHeight="false" outlineLevel="0" collapsed="false">
      <c r="A96" s="21" t="n">
        <v>95</v>
      </c>
      <c r="B96" s="22"/>
      <c r="C96" s="23"/>
      <c r="D96" s="23"/>
      <c r="E96" s="23"/>
      <c r="F96" s="23"/>
      <c r="G96" s="23"/>
      <c r="H96" s="23"/>
      <c r="I96" s="24" t="n">
        <v>627</v>
      </c>
      <c r="J96" s="18" t="s">
        <v>1380</v>
      </c>
      <c r="K96" s="18" t="n">
        <v>638</v>
      </c>
      <c r="L96" s="25" t="n">
        <v>638</v>
      </c>
      <c r="M96" s="26" t="s">
        <v>692</v>
      </c>
      <c r="N96" s="0" t="n">
        <v>7</v>
      </c>
    </row>
    <row r="97" customFormat="false" ht="13.8" hidden="false" customHeight="false" outlineLevel="0" collapsed="false">
      <c r="A97" s="27" t="n">
        <v>96</v>
      </c>
      <c r="B97" s="28"/>
      <c r="C97" s="29"/>
      <c r="D97" s="29"/>
      <c r="E97" s="29"/>
      <c r="F97" s="29"/>
      <c r="G97" s="29"/>
      <c r="H97" s="29"/>
      <c r="I97" s="30" t="n">
        <v>651</v>
      </c>
      <c r="J97" s="18" t="s">
        <v>1380</v>
      </c>
      <c r="K97" s="18" t="n">
        <v>662</v>
      </c>
      <c r="L97" s="31" t="n">
        <v>662</v>
      </c>
      <c r="M97" s="32" t="s">
        <v>716</v>
      </c>
      <c r="N97" s="0" t="n">
        <v>7</v>
      </c>
    </row>
    <row r="98" customFormat="false" ht="13.8" hidden="false" customHeight="false" outlineLevel="0" collapsed="false">
      <c r="A98" s="14" t="n">
        <v>97</v>
      </c>
      <c r="B98" s="15"/>
      <c r="C98" s="16"/>
      <c r="D98" s="16"/>
      <c r="E98" s="16"/>
      <c r="F98" s="16"/>
      <c r="G98" s="16" t="s">
        <v>1381</v>
      </c>
      <c r="H98" s="16"/>
      <c r="I98" s="17"/>
      <c r="J98" s="18" t="s">
        <v>1381</v>
      </c>
      <c r="K98" s="18" t="n">
        <v>677</v>
      </c>
      <c r="L98" s="19" t="n">
        <v>677</v>
      </c>
      <c r="M98" s="20" t="s">
        <v>730</v>
      </c>
      <c r="N98" s="0" t="n">
        <v>8</v>
      </c>
      <c r="O98" s="0" t="s">
        <v>1335</v>
      </c>
    </row>
    <row r="99" customFormat="false" ht="13.8" hidden="false" customHeight="false" outlineLevel="0" collapsed="false">
      <c r="A99" s="21" t="n">
        <v>98</v>
      </c>
      <c r="B99" s="22"/>
      <c r="C99" s="23"/>
      <c r="D99" s="23"/>
      <c r="E99" s="23"/>
      <c r="F99" s="23"/>
      <c r="G99" s="23"/>
      <c r="H99" s="23"/>
      <c r="I99" s="24" t="n">
        <v>886</v>
      </c>
      <c r="J99" s="18" t="s">
        <v>1381</v>
      </c>
      <c r="K99" s="18" t="n">
        <v>897</v>
      </c>
      <c r="L99" s="25" t="n">
        <v>897</v>
      </c>
      <c r="M99" s="26" t="s">
        <v>941</v>
      </c>
      <c r="N99" s="0" t="n">
        <v>8</v>
      </c>
    </row>
    <row r="100" customFormat="false" ht="13.8" hidden="false" customHeight="false" outlineLevel="0" collapsed="false">
      <c r="A100" s="21" t="n">
        <v>99</v>
      </c>
      <c r="B100" s="22"/>
      <c r="C100" s="23"/>
      <c r="D100" s="23"/>
      <c r="E100" s="23"/>
      <c r="F100" s="23"/>
      <c r="G100" s="23"/>
      <c r="H100" s="23"/>
      <c r="I100" s="24" t="n">
        <v>1094</v>
      </c>
      <c r="J100" s="18" t="s">
        <v>1381</v>
      </c>
      <c r="K100" s="18" t="n">
        <v>1106</v>
      </c>
      <c r="L100" s="25" t="n">
        <v>1106</v>
      </c>
      <c r="M100" s="26" t="s">
        <v>1140</v>
      </c>
      <c r="N100" s="0" t="n">
        <v>8</v>
      </c>
    </row>
    <row r="101" customFormat="false" ht="13.8" hidden="false" customHeight="false" outlineLevel="0" collapsed="false">
      <c r="A101" s="21" t="n">
        <v>100</v>
      </c>
      <c r="B101" s="22"/>
      <c r="C101" s="23"/>
      <c r="D101" s="23"/>
      <c r="E101" s="23"/>
      <c r="F101" s="23"/>
      <c r="G101" s="23"/>
      <c r="H101" s="23"/>
      <c r="I101" s="24" t="n">
        <v>999</v>
      </c>
      <c r="J101" s="18" t="s">
        <v>1381</v>
      </c>
      <c r="K101" s="18" t="n">
        <v>1010</v>
      </c>
      <c r="L101" s="25" t="n">
        <v>1010</v>
      </c>
      <c r="M101" s="26" t="s">
        <v>1048</v>
      </c>
      <c r="N101" s="0" t="n">
        <v>8</v>
      </c>
    </row>
    <row r="102" customFormat="false" ht="13.8" hidden="false" customHeight="false" outlineLevel="0" collapsed="false">
      <c r="A102" s="21" t="n">
        <v>101</v>
      </c>
      <c r="B102" s="22"/>
      <c r="C102" s="23"/>
      <c r="D102" s="23"/>
      <c r="E102" s="23"/>
      <c r="F102" s="23"/>
      <c r="G102" s="23"/>
      <c r="H102" s="23"/>
      <c r="I102" s="24" t="n">
        <v>1046</v>
      </c>
      <c r="J102" s="18" t="s">
        <v>1381</v>
      </c>
      <c r="K102" s="18" t="n">
        <v>1058</v>
      </c>
      <c r="L102" s="25" t="n">
        <v>1058</v>
      </c>
      <c r="M102" s="26" t="s">
        <v>1093</v>
      </c>
      <c r="N102" s="0" t="n">
        <v>8</v>
      </c>
    </row>
    <row r="103" customFormat="false" ht="13.8" hidden="false" customHeight="false" outlineLevel="0" collapsed="false">
      <c r="A103" s="21" t="n">
        <v>102</v>
      </c>
      <c r="B103" s="22"/>
      <c r="C103" s="23"/>
      <c r="D103" s="23"/>
      <c r="E103" s="23"/>
      <c r="F103" s="23"/>
      <c r="G103" s="23"/>
      <c r="H103" s="23"/>
      <c r="I103" s="24" t="n">
        <v>846</v>
      </c>
      <c r="J103" s="18" t="s">
        <v>1381</v>
      </c>
      <c r="K103" s="18" t="n">
        <v>857</v>
      </c>
      <c r="L103" s="25" t="n">
        <v>857</v>
      </c>
      <c r="M103" s="26" t="s">
        <v>902</v>
      </c>
      <c r="N103" s="0" t="n">
        <v>8</v>
      </c>
    </row>
    <row r="104" customFormat="false" ht="13.8" hidden="false" customHeight="false" outlineLevel="0" collapsed="false">
      <c r="A104" s="27" t="n">
        <v>103</v>
      </c>
      <c r="B104" s="28"/>
      <c r="C104" s="29"/>
      <c r="D104" s="29"/>
      <c r="E104" s="29"/>
      <c r="F104" s="29"/>
      <c r="G104" s="29"/>
      <c r="H104" s="29"/>
      <c r="I104" s="30" t="n">
        <v>838</v>
      </c>
      <c r="J104" s="18" t="s">
        <v>1381</v>
      </c>
      <c r="K104" s="18" t="n">
        <v>849</v>
      </c>
      <c r="L104" s="31" t="n">
        <v>849</v>
      </c>
      <c r="M104" s="32" t="s">
        <v>894</v>
      </c>
      <c r="N104" s="0" t="n">
        <v>8</v>
      </c>
    </row>
    <row r="105" customFormat="false" ht="13.8" hidden="false" customHeight="false" outlineLevel="0" collapsed="false">
      <c r="A105" s="14" t="n">
        <v>104</v>
      </c>
      <c r="B105" s="15"/>
      <c r="C105" s="16"/>
      <c r="D105" s="16"/>
      <c r="E105" s="16"/>
      <c r="F105" s="16"/>
      <c r="G105" s="16" t="s">
        <v>1382</v>
      </c>
      <c r="H105" s="16"/>
      <c r="I105" s="17"/>
      <c r="J105" s="18" t="s">
        <v>1383</v>
      </c>
      <c r="K105" s="18" t="n">
        <v>247</v>
      </c>
      <c r="L105" s="19" t="n">
        <v>247</v>
      </c>
      <c r="M105" s="20" t="s">
        <v>330</v>
      </c>
      <c r="N105" s="0" t="n">
        <v>9</v>
      </c>
      <c r="O105" s="0" t="s">
        <v>1337</v>
      </c>
    </row>
    <row r="106" customFormat="false" ht="13.8" hidden="false" customHeight="false" outlineLevel="0" collapsed="false">
      <c r="A106" s="21" t="n">
        <v>105</v>
      </c>
      <c r="B106" s="22"/>
      <c r="C106" s="23"/>
      <c r="D106" s="23"/>
      <c r="E106" s="23"/>
      <c r="F106" s="23"/>
      <c r="G106" s="23"/>
      <c r="H106" s="23" t="s">
        <v>1383</v>
      </c>
      <c r="I106" s="24"/>
      <c r="J106" s="18" t="s">
        <v>1383</v>
      </c>
      <c r="K106" s="18" t="n">
        <v>1011</v>
      </c>
      <c r="L106" s="25" t="n">
        <v>1011</v>
      </c>
      <c r="M106" s="26" t="s">
        <v>1049</v>
      </c>
      <c r="N106" s="0" t="n">
        <v>9</v>
      </c>
    </row>
    <row r="107" customFormat="false" ht="13.8" hidden="false" customHeight="false" outlineLevel="0" collapsed="false">
      <c r="A107" s="21" t="n">
        <v>106</v>
      </c>
      <c r="B107" s="22"/>
      <c r="C107" s="23"/>
      <c r="D107" s="23"/>
      <c r="E107" s="23"/>
      <c r="F107" s="23"/>
      <c r="G107" s="23"/>
      <c r="H107" s="23"/>
      <c r="I107" s="24" t="n">
        <v>516</v>
      </c>
      <c r="J107" s="18" t="s">
        <v>1383</v>
      </c>
      <c r="K107" s="18" t="n">
        <v>527</v>
      </c>
      <c r="L107" s="25" t="n">
        <v>527</v>
      </c>
      <c r="M107" s="26" t="s">
        <v>590</v>
      </c>
      <c r="N107" s="0" t="n">
        <v>9</v>
      </c>
    </row>
    <row r="108" customFormat="false" ht="13.8" hidden="false" customHeight="false" outlineLevel="0" collapsed="false">
      <c r="A108" s="21" t="n">
        <v>107</v>
      </c>
      <c r="B108" s="22"/>
      <c r="C108" s="23"/>
      <c r="D108" s="23"/>
      <c r="E108" s="23"/>
      <c r="F108" s="23"/>
      <c r="G108" s="23"/>
      <c r="H108" s="23"/>
      <c r="I108" s="24" t="n">
        <v>589</v>
      </c>
      <c r="J108" s="18" t="s">
        <v>1383</v>
      </c>
      <c r="K108" s="18" t="n">
        <v>600</v>
      </c>
      <c r="L108" s="25" t="n">
        <v>600</v>
      </c>
      <c r="M108" s="26" t="s">
        <v>657</v>
      </c>
      <c r="N108" s="0" t="n">
        <v>9</v>
      </c>
    </row>
    <row r="109" customFormat="false" ht="13.8" hidden="false" customHeight="false" outlineLevel="0" collapsed="false">
      <c r="A109" s="21" t="n">
        <v>108</v>
      </c>
      <c r="B109" s="22"/>
      <c r="C109" s="23"/>
      <c r="D109" s="23"/>
      <c r="E109" s="23"/>
      <c r="F109" s="23"/>
      <c r="G109" s="23"/>
      <c r="H109" s="23"/>
      <c r="I109" s="24" t="n">
        <v>667</v>
      </c>
      <c r="J109" s="18" t="s">
        <v>1383</v>
      </c>
      <c r="K109" s="18" t="n">
        <v>678</v>
      </c>
      <c r="L109" s="25" t="n">
        <v>678</v>
      </c>
      <c r="M109" s="26" t="s">
        <v>731</v>
      </c>
      <c r="N109" s="0" t="n">
        <v>9</v>
      </c>
    </row>
    <row r="110" customFormat="false" ht="13.8" hidden="false" customHeight="false" outlineLevel="0" collapsed="false">
      <c r="A110" s="21" t="n">
        <v>109</v>
      </c>
      <c r="B110" s="22"/>
      <c r="C110" s="23"/>
      <c r="D110" s="23"/>
      <c r="E110" s="23"/>
      <c r="F110" s="23"/>
      <c r="G110" s="23"/>
      <c r="H110" s="23"/>
      <c r="I110" s="24" t="n">
        <v>245</v>
      </c>
      <c r="J110" s="18" t="s">
        <v>1383</v>
      </c>
      <c r="K110" s="18" t="n">
        <v>252</v>
      </c>
      <c r="L110" s="25" t="n">
        <v>252</v>
      </c>
      <c r="M110" s="26" t="s">
        <v>335</v>
      </c>
      <c r="N110" s="0" t="n">
        <v>9</v>
      </c>
    </row>
    <row r="111" customFormat="false" ht="13.8" hidden="false" customHeight="false" outlineLevel="0" collapsed="false">
      <c r="A111" s="21" t="n">
        <v>110</v>
      </c>
      <c r="B111" s="22"/>
      <c r="C111" s="23"/>
      <c r="D111" s="23"/>
      <c r="E111" s="23"/>
      <c r="F111" s="23"/>
      <c r="G111" s="23"/>
      <c r="H111" s="23"/>
      <c r="I111" s="24" t="n">
        <v>151</v>
      </c>
      <c r="J111" s="18" t="s">
        <v>1383</v>
      </c>
      <c r="K111" s="18" t="n">
        <v>156</v>
      </c>
      <c r="L111" s="25" t="n">
        <v>156</v>
      </c>
      <c r="M111" s="26" t="s">
        <v>243</v>
      </c>
      <c r="N111" s="0" t="n">
        <v>9</v>
      </c>
    </row>
    <row r="112" customFormat="false" ht="13.8" hidden="false" customHeight="false" outlineLevel="0" collapsed="false">
      <c r="A112" s="27" t="n">
        <v>111</v>
      </c>
      <c r="B112" s="28"/>
      <c r="C112" s="29"/>
      <c r="D112" s="29"/>
      <c r="E112" s="29"/>
      <c r="F112" s="29"/>
      <c r="G112" s="29"/>
      <c r="H112" s="29"/>
      <c r="I112" s="30" t="n">
        <v>236</v>
      </c>
      <c r="J112" s="18" t="s">
        <v>1383</v>
      </c>
      <c r="K112" s="18" t="n">
        <v>243</v>
      </c>
      <c r="L112" s="31" t="n">
        <v>243</v>
      </c>
      <c r="M112" s="32" t="s">
        <v>326</v>
      </c>
      <c r="N112" s="0" t="n">
        <v>9</v>
      </c>
    </row>
    <row r="113" customFormat="false" ht="13.8" hidden="false" customHeight="false" outlineLevel="0" collapsed="false">
      <c r="A113" s="14" t="n">
        <v>112</v>
      </c>
      <c r="B113" s="15"/>
      <c r="C113" s="16"/>
      <c r="D113" s="16"/>
      <c r="E113" s="16"/>
      <c r="F113" s="16"/>
      <c r="G113" s="16"/>
      <c r="H113" s="16" t="s">
        <v>1384</v>
      </c>
      <c r="I113" s="17"/>
      <c r="J113" s="18" t="s">
        <v>1384</v>
      </c>
      <c r="K113" s="18" t="n">
        <v>1002</v>
      </c>
      <c r="L113" s="19" t="n">
        <v>1002</v>
      </c>
      <c r="M113" s="20" t="s">
        <v>1040</v>
      </c>
      <c r="N113" s="0" t="n">
        <v>10</v>
      </c>
      <c r="O113" s="0" t="s">
        <v>1338</v>
      </c>
    </row>
    <row r="114" customFormat="false" ht="13.8" hidden="false" customHeight="false" outlineLevel="0" collapsed="false">
      <c r="A114" s="21" t="n">
        <v>113</v>
      </c>
      <c r="B114" s="22"/>
      <c r="C114" s="23"/>
      <c r="D114" s="23"/>
      <c r="E114" s="23"/>
      <c r="F114" s="23"/>
      <c r="G114" s="23"/>
      <c r="H114" s="23"/>
      <c r="I114" s="24" t="n">
        <v>724</v>
      </c>
      <c r="J114" s="18" t="s">
        <v>1384</v>
      </c>
      <c r="K114" s="18" t="n">
        <v>735</v>
      </c>
      <c r="L114" s="25" t="n">
        <v>735</v>
      </c>
      <c r="M114" s="26" t="s">
        <v>785</v>
      </c>
      <c r="N114" s="0" t="n">
        <v>10</v>
      </c>
    </row>
    <row r="115" customFormat="false" ht="13.8" hidden="false" customHeight="false" outlineLevel="0" collapsed="false">
      <c r="A115" s="21" t="n">
        <v>114</v>
      </c>
      <c r="B115" s="22"/>
      <c r="C115" s="23"/>
      <c r="D115" s="23"/>
      <c r="E115" s="23"/>
      <c r="F115" s="23"/>
      <c r="G115" s="23"/>
      <c r="H115" s="23"/>
      <c r="I115" s="24" t="n">
        <v>244</v>
      </c>
      <c r="J115" s="18" t="s">
        <v>1384</v>
      </c>
      <c r="K115" s="18" t="n">
        <v>251</v>
      </c>
      <c r="L115" s="25" t="n">
        <v>251</v>
      </c>
      <c r="M115" s="26" t="s">
        <v>334</v>
      </c>
      <c r="N115" s="0" t="n">
        <v>10</v>
      </c>
    </row>
    <row r="116" customFormat="false" ht="13.8" hidden="false" customHeight="false" outlineLevel="0" collapsed="false">
      <c r="A116" s="21" t="n">
        <v>115</v>
      </c>
      <c r="B116" s="22"/>
      <c r="C116" s="23"/>
      <c r="D116" s="23"/>
      <c r="E116" s="23"/>
      <c r="F116" s="23"/>
      <c r="G116" s="23"/>
      <c r="H116" s="23"/>
      <c r="I116" s="24" t="n">
        <v>805</v>
      </c>
      <c r="J116" s="18" t="s">
        <v>1384</v>
      </c>
      <c r="K116" s="18" t="n">
        <v>816</v>
      </c>
      <c r="L116" s="25" t="n">
        <v>816</v>
      </c>
      <c r="M116" s="26" t="s">
        <v>863</v>
      </c>
      <c r="N116" s="0" t="n">
        <v>10</v>
      </c>
    </row>
    <row r="117" customFormat="false" ht="13.8" hidden="false" customHeight="false" outlineLevel="0" collapsed="false">
      <c r="A117" s="21" t="n">
        <v>116</v>
      </c>
      <c r="B117" s="22"/>
      <c r="C117" s="23"/>
      <c r="D117" s="23"/>
      <c r="E117" s="23"/>
      <c r="F117" s="23"/>
      <c r="G117" s="23"/>
      <c r="H117" s="23"/>
      <c r="I117" s="24" t="n">
        <v>836</v>
      </c>
      <c r="J117" s="18" t="s">
        <v>1384</v>
      </c>
      <c r="K117" s="18" t="n">
        <v>847</v>
      </c>
      <c r="L117" s="25" t="n">
        <v>847</v>
      </c>
      <c r="M117" s="26" t="s">
        <v>892</v>
      </c>
      <c r="N117" s="0" t="n">
        <v>10</v>
      </c>
    </row>
    <row r="118" customFormat="false" ht="13.8" hidden="false" customHeight="false" outlineLevel="0" collapsed="false">
      <c r="A118" s="21" t="n">
        <v>117</v>
      </c>
      <c r="B118" s="22"/>
      <c r="C118" s="23"/>
      <c r="D118" s="23"/>
      <c r="E118" s="23"/>
      <c r="F118" s="23"/>
      <c r="G118" s="23"/>
      <c r="H118" s="23"/>
      <c r="I118" s="24" t="n">
        <v>943</v>
      </c>
      <c r="J118" s="18" t="s">
        <v>1384</v>
      </c>
      <c r="K118" s="18" t="n">
        <v>954</v>
      </c>
      <c r="L118" s="25" t="n">
        <v>954</v>
      </c>
      <c r="M118" s="26" t="s">
        <v>994</v>
      </c>
      <c r="N118" s="0" t="n">
        <v>10</v>
      </c>
    </row>
    <row r="119" customFormat="false" ht="13.8" hidden="false" customHeight="false" outlineLevel="0" collapsed="false">
      <c r="A119" s="27" t="n">
        <v>118</v>
      </c>
      <c r="B119" s="28"/>
      <c r="C119" s="29"/>
      <c r="D119" s="29"/>
      <c r="E119" s="29"/>
      <c r="F119" s="29"/>
      <c r="G119" s="29"/>
      <c r="H119" s="29"/>
      <c r="I119" s="30" t="n">
        <v>994</v>
      </c>
      <c r="J119" s="18" t="s">
        <v>1384</v>
      </c>
      <c r="K119" s="18" t="n">
        <v>1005</v>
      </c>
      <c r="L119" s="31" t="n">
        <v>1005</v>
      </c>
      <c r="M119" s="32" t="s">
        <v>1043</v>
      </c>
      <c r="N119" s="0" t="n">
        <v>10</v>
      </c>
    </row>
    <row r="120" customFormat="false" ht="13.8" hidden="false" customHeight="false" outlineLevel="0" collapsed="false">
      <c r="A120" s="14" t="n">
        <v>119</v>
      </c>
      <c r="B120" s="15"/>
      <c r="C120" s="16"/>
      <c r="D120" s="16"/>
      <c r="E120" s="16"/>
      <c r="F120" s="16"/>
      <c r="G120" s="16"/>
      <c r="H120" s="16" t="s">
        <v>1385</v>
      </c>
      <c r="I120" s="17"/>
      <c r="J120" s="18" t="s">
        <v>1386</v>
      </c>
      <c r="K120" s="18" t="n">
        <v>1027</v>
      </c>
      <c r="L120" s="19" t="n">
        <v>1027</v>
      </c>
      <c r="M120" s="20" t="s">
        <v>1063</v>
      </c>
      <c r="N120" s="0" t="n">
        <v>11</v>
      </c>
      <c r="O120" s="0" t="s">
        <v>1339</v>
      </c>
    </row>
    <row r="121" customFormat="false" ht="13.8" hidden="false" customHeight="false" outlineLevel="0" collapsed="false">
      <c r="A121" s="21" t="n">
        <v>120</v>
      </c>
      <c r="B121" s="22"/>
      <c r="C121" s="23"/>
      <c r="D121" s="23"/>
      <c r="E121" s="23"/>
      <c r="F121" s="23"/>
      <c r="G121" s="23"/>
      <c r="H121" s="23"/>
      <c r="I121" s="24" t="n">
        <v>685</v>
      </c>
      <c r="J121" s="18" t="s">
        <v>1386</v>
      </c>
      <c r="K121" s="18" t="n">
        <v>696</v>
      </c>
      <c r="L121" s="25" t="n">
        <v>696</v>
      </c>
      <c r="M121" s="26" t="s">
        <v>748</v>
      </c>
      <c r="N121" s="0" t="n">
        <v>11</v>
      </c>
    </row>
    <row r="122" customFormat="false" ht="13.8" hidden="false" customHeight="false" outlineLevel="0" collapsed="false">
      <c r="A122" s="21" t="n">
        <v>121</v>
      </c>
      <c r="B122" s="22"/>
      <c r="C122" s="23"/>
      <c r="D122" s="23"/>
      <c r="E122" s="23"/>
      <c r="F122" s="23"/>
      <c r="G122" s="23"/>
      <c r="H122" s="23"/>
      <c r="I122" s="24" t="n">
        <v>632</v>
      </c>
      <c r="J122" s="18" t="s">
        <v>1386</v>
      </c>
      <c r="K122" s="18" t="n">
        <v>643</v>
      </c>
      <c r="L122" s="25" t="n">
        <v>643</v>
      </c>
      <c r="M122" s="26" t="s">
        <v>697</v>
      </c>
      <c r="N122" s="0" t="n">
        <v>11</v>
      </c>
    </row>
    <row r="123" customFormat="false" ht="13.8" hidden="false" customHeight="false" outlineLevel="0" collapsed="false">
      <c r="A123" s="21" t="n">
        <v>122</v>
      </c>
      <c r="B123" s="22"/>
      <c r="C123" s="23"/>
      <c r="D123" s="23"/>
      <c r="E123" s="23"/>
      <c r="F123" s="23"/>
      <c r="G123" s="23"/>
      <c r="H123" s="23"/>
      <c r="I123" s="24" t="n">
        <v>748</v>
      </c>
      <c r="J123" s="18" t="s">
        <v>1386</v>
      </c>
      <c r="K123" s="18" t="n">
        <v>759</v>
      </c>
      <c r="L123" s="25" t="n">
        <v>759</v>
      </c>
      <c r="M123" s="26" t="s">
        <v>809</v>
      </c>
      <c r="N123" s="0" t="n">
        <v>11</v>
      </c>
    </row>
    <row r="124" customFormat="false" ht="13.8" hidden="false" customHeight="false" outlineLevel="0" collapsed="false">
      <c r="A124" s="21" t="n">
        <v>123</v>
      </c>
      <c r="B124" s="22"/>
      <c r="C124" s="23"/>
      <c r="D124" s="23"/>
      <c r="E124" s="23"/>
      <c r="F124" s="23"/>
      <c r="G124" s="23"/>
      <c r="H124" s="23"/>
      <c r="I124" s="24" t="n">
        <v>780</v>
      </c>
      <c r="J124" s="18" t="s">
        <v>1386</v>
      </c>
      <c r="K124" s="18" t="n">
        <v>791</v>
      </c>
      <c r="L124" s="25" t="n">
        <v>791</v>
      </c>
      <c r="M124" s="26" t="s">
        <v>839</v>
      </c>
      <c r="N124" s="0" t="n">
        <v>11</v>
      </c>
    </row>
    <row r="125" customFormat="false" ht="13.8" hidden="false" customHeight="false" outlineLevel="0" collapsed="false">
      <c r="A125" s="21" t="n">
        <v>124</v>
      </c>
      <c r="B125" s="22"/>
      <c r="C125" s="23"/>
      <c r="D125" s="23"/>
      <c r="E125" s="23"/>
      <c r="F125" s="23"/>
      <c r="G125" s="23"/>
      <c r="H125" s="23"/>
      <c r="I125" s="24" t="n">
        <v>242</v>
      </c>
      <c r="J125" s="18" t="s">
        <v>1386</v>
      </c>
      <c r="K125" s="18" t="n">
        <v>249</v>
      </c>
      <c r="L125" s="25" t="n">
        <v>249</v>
      </c>
      <c r="M125" s="26" t="s">
        <v>332</v>
      </c>
      <c r="N125" s="0" t="n">
        <v>11</v>
      </c>
    </row>
    <row r="126" customFormat="false" ht="13.8" hidden="false" customHeight="false" outlineLevel="0" collapsed="false">
      <c r="A126" s="27" t="n">
        <v>125</v>
      </c>
      <c r="B126" s="28"/>
      <c r="C126" s="29"/>
      <c r="D126" s="29"/>
      <c r="E126" s="29"/>
      <c r="F126" s="29"/>
      <c r="G126" s="29"/>
      <c r="H126" s="29"/>
      <c r="I126" s="30" t="n">
        <v>445</v>
      </c>
      <c r="J126" s="18" t="s">
        <v>1386</v>
      </c>
      <c r="K126" s="18" t="n">
        <v>456</v>
      </c>
      <c r="L126" s="31" t="n">
        <v>456</v>
      </c>
      <c r="M126" s="32" t="s">
        <v>520</v>
      </c>
      <c r="N126" s="0" t="n">
        <v>11</v>
      </c>
    </row>
    <row r="127" customFormat="false" ht="13.8" hidden="false" customHeight="false" outlineLevel="0" collapsed="false">
      <c r="A127" s="14" t="n">
        <v>126</v>
      </c>
      <c r="B127" s="15"/>
      <c r="C127" s="16"/>
      <c r="D127" s="16"/>
      <c r="E127" s="16"/>
      <c r="F127" s="16"/>
      <c r="G127" s="16"/>
      <c r="H127" s="16" t="s">
        <v>1387</v>
      </c>
      <c r="I127" s="17"/>
      <c r="J127" s="18" t="s">
        <v>1340</v>
      </c>
      <c r="K127" s="18" t="n">
        <v>1018</v>
      </c>
      <c r="L127" s="19" t="n">
        <v>1018</v>
      </c>
      <c r="M127" s="20" t="s">
        <v>1054</v>
      </c>
      <c r="N127" s="0" t="n">
        <v>12</v>
      </c>
      <c r="O127" s="0" t="s">
        <v>1340</v>
      </c>
    </row>
    <row r="128" customFormat="false" ht="13.8" hidden="false" customHeight="false" outlineLevel="0" collapsed="false">
      <c r="A128" s="21" t="n">
        <v>127</v>
      </c>
      <c r="B128" s="22"/>
      <c r="C128" s="23"/>
      <c r="D128" s="23"/>
      <c r="E128" s="23"/>
      <c r="F128" s="23"/>
      <c r="G128" s="23"/>
      <c r="H128" s="23"/>
      <c r="I128" s="24" t="n">
        <v>948</v>
      </c>
      <c r="J128" s="18" t="s">
        <v>1340</v>
      </c>
      <c r="K128" s="18" t="n">
        <v>959</v>
      </c>
      <c r="L128" s="25" t="n">
        <v>959</v>
      </c>
      <c r="M128" s="26" t="s">
        <v>999</v>
      </c>
      <c r="N128" s="0" t="n">
        <v>12</v>
      </c>
    </row>
    <row r="129" customFormat="false" ht="13.8" hidden="false" customHeight="false" outlineLevel="0" collapsed="false">
      <c r="A129" s="21" t="n">
        <v>128</v>
      </c>
      <c r="B129" s="22"/>
      <c r="C129" s="23"/>
      <c r="D129" s="23"/>
      <c r="E129" s="23"/>
      <c r="F129" s="23"/>
      <c r="G129" s="23"/>
      <c r="H129" s="23"/>
      <c r="I129" s="24" t="n">
        <v>744</v>
      </c>
      <c r="J129" s="18" t="s">
        <v>1340</v>
      </c>
      <c r="K129" s="18" t="n">
        <v>755</v>
      </c>
      <c r="L129" s="25" t="n">
        <v>755</v>
      </c>
      <c r="M129" s="26" t="s">
        <v>805</v>
      </c>
      <c r="N129" s="0" t="n">
        <v>12</v>
      </c>
    </row>
    <row r="130" customFormat="false" ht="13.8" hidden="false" customHeight="false" outlineLevel="0" collapsed="false">
      <c r="A130" s="21" t="n">
        <v>129</v>
      </c>
      <c r="B130" s="22"/>
      <c r="C130" s="23"/>
      <c r="D130" s="23"/>
      <c r="E130" s="23"/>
      <c r="F130" s="23"/>
      <c r="G130" s="23"/>
      <c r="H130" s="23"/>
      <c r="I130" s="24" t="n">
        <v>979</v>
      </c>
      <c r="J130" s="18" t="s">
        <v>1340</v>
      </c>
      <c r="K130" s="18" t="n">
        <v>990</v>
      </c>
      <c r="L130" s="25" t="n">
        <v>990</v>
      </c>
      <c r="M130" s="26" t="s">
        <v>1028</v>
      </c>
      <c r="N130" s="0" t="n">
        <v>12</v>
      </c>
    </row>
    <row r="131" customFormat="false" ht="13.8" hidden="false" customHeight="false" outlineLevel="0" collapsed="false">
      <c r="A131" s="21" t="n">
        <v>130</v>
      </c>
      <c r="B131" s="22"/>
      <c r="C131" s="23"/>
      <c r="D131" s="23"/>
      <c r="E131" s="23"/>
      <c r="F131" s="23"/>
      <c r="G131" s="23"/>
      <c r="H131" s="23"/>
      <c r="I131" s="24" t="n">
        <v>1011</v>
      </c>
      <c r="J131" s="18" t="s">
        <v>1340</v>
      </c>
      <c r="K131" s="18" t="n">
        <v>1023</v>
      </c>
      <c r="L131" s="25" t="n">
        <v>1023</v>
      </c>
      <c r="M131" s="26" t="s">
        <v>1059</v>
      </c>
      <c r="N131" s="0" t="n">
        <v>12</v>
      </c>
    </row>
    <row r="132" customFormat="false" ht="13.8" hidden="false" customHeight="false" outlineLevel="0" collapsed="false">
      <c r="A132" s="21" t="n">
        <v>131</v>
      </c>
      <c r="B132" s="22"/>
      <c r="C132" s="23"/>
      <c r="D132" s="23"/>
      <c r="E132" s="23"/>
      <c r="F132" s="23"/>
      <c r="G132" s="23"/>
      <c r="H132" s="23"/>
      <c r="I132" s="24" t="n">
        <v>509</v>
      </c>
      <c r="J132" s="18" t="s">
        <v>1340</v>
      </c>
      <c r="K132" s="18" t="n">
        <v>520</v>
      </c>
      <c r="L132" s="25" t="n">
        <v>520</v>
      </c>
      <c r="M132" s="26" t="s">
        <v>583</v>
      </c>
      <c r="N132" s="0" t="n">
        <v>12</v>
      </c>
    </row>
    <row r="133" customFormat="false" ht="13.8" hidden="false" customHeight="false" outlineLevel="0" collapsed="false">
      <c r="A133" s="27" t="n">
        <v>132</v>
      </c>
      <c r="B133" s="28"/>
      <c r="C133" s="29"/>
      <c r="D133" s="29"/>
      <c r="E133" s="29"/>
      <c r="F133" s="29"/>
      <c r="G133" s="29"/>
      <c r="H133" s="29"/>
      <c r="I133" s="30" t="n">
        <v>587</v>
      </c>
      <c r="J133" s="18" t="s">
        <v>1340</v>
      </c>
      <c r="K133" s="18" t="n">
        <v>598</v>
      </c>
      <c r="L133" s="31" t="n">
        <v>598</v>
      </c>
      <c r="M133" s="32" t="s">
        <v>655</v>
      </c>
      <c r="N133" s="0" t="n">
        <v>12</v>
      </c>
    </row>
    <row r="134" customFormat="false" ht="13.8" hidden="false" customHeight="false" outlineLevel="0" collapsed="false">
      <c r="A134" s="21" t="n">
        <v>133</v>
      </c>
      <c r="B134" s="22"/>
      <c r="C134" s="23"/>
      <c r="D134" s="23"/>
      <c r="E134" s="23"/>
      <c r="F134" s="23"/>
      <c r="G134" s="23" t="s">
        <v>1388</v>
      </c>
      <c r="H134" s="23"/>
      <c r="I134" s="24"/>
      <c r="J134" s="18" t="s">
        <v>1388</v>
      </c>
      <c r="K134" s="18" t="n">
        <v>669</v>
      </c>
      <c r="L134" s="25" t="n">
        <v>669</v>
      </c>
      <c r="M134" s="26" t="s">
        <v>723</v>
      </c>
      <c r="N134" s="0" t="n">
        <v>13</v>
      </c>
      <c r="O134" s="0" t="s">
        <v>1341</v>
      </c>
    </row>
    <row r="135" customFormat="false" ht="13.8" hidden="false" customHeight="false" outlineLevel="0" collapsed="false">
      <c r="A135" s="21" t="n">
        <v>134</v>
      </c>
      <c r="B135" s="22"/>
      <c r="C135" s="23"/>
      <c r="D135" s="23"/>
      <c r="E135" s="23"/>
      <c r="F135" s="23"/>
      <c r="G135" s="23"/>
      <c r="H135" s="23"/>
      <c r="I135" s="24"/>
      <c r="J135" s="18" t="s">
        <v>1388</v>
      </c>
      <c r="K135" s="18" t="n">
        <v>801</v>
      </c>
      <c r="L135" s="25" t="n">
        <v>801</v>
      </c>
      <c r="M135" s="26" t="s">
        <v>849</v>
      </c>
      <c r="N135" s="0" t="n">
        <v>13</v>
      </c>
    </row>
    <row r="136" customFormat="false" ht="13.8" hidden="false" customHeight="false" outlineLevel="0" collapsed="false">
      <c r="A136" s="21" t="n">
        <v>135</v>
      </c>
      <c r="B136" s="22"/>
      <c r="C136" s="23"/>
      <c r="D136" s="23"/>
      <c r="E136" s="23"/>
      <c r="F136" s="23"/>
      <c r="G136" s="23"/>
      <c r="H136" s="23"/>
      <c r="I136" s="24"/>
      <c r="J136" s="18" t="s">
        <v>1388</v>
      </c>
      <c r="K136" s="18" t="n">
        <v>561</v>
      </c>
      <c r="L136" s="25" t="n">
        <v>561</v>
      </c>
      <c r="M136" s="26" t="s">
        <v>620</v>
      </c>
      <c r="N136" s="0" t="n">
        <v>13</v>
      </c>
    </row>
    <row r="137" customFormat="false" ht="13.8" hidden="false" customHeight="false" outlineLevel="0" collapsed="false">
      <c r="A137" s="21" t="n">
        <v>136</v>
      </c>
      <c r="B137" s="22"/>
      <c r="C137" s="23"/>
      <c r="D137" s="23"/>
      <c r="E137" s="23"/>
      <c r="F137" s="23"/>
      <c r="G137" s="23"/>
      <c r="H137" s="23"/>
      <c r="I137" s="24"/>
      <c r="J137" s="18" t="s">
        <v>1388</v>
      </c>
      <c r="K137" s="18" t="n">
        <v>913</v>
      </c>
      <c r="L137" s="25" t="n">
        <v>913</v>
      </c>
      <c r="M137" s="26" t="s">
        <v>956</v>
      </c>
      <c r="N137" s="0" t="n">
        <v>13</v>
      </c>
    </row>
    <row r="138" customFormat="false" ht="13.8" hidden="false" customHeight="false" outlineLevel="0" collapsed="false">
      <c r="A138" s="21" t="n">
        <v>137</v>
      </c>
      <c r="B138" s="22"/>
      <c r="C138" s="23"/>
      <c r="D138" s="23"/>
      <c r="E138" s="23"/>
      <c r="F138" s="23"/>
      <c r="G138" s="23"/>
      <c r="H138" s="23"/>
      <c r="I138" s="24"/>
      <c r="J138" s="18" t="s">
        <v>1388</v>
      </c>
      <c r="K138" s="18" t="n">
        <v>937</v>
      </c>
      <c r="L138" s="25" t="n">
        <v>937</v>
      </c>
      <c r="M138" s="26" t="s">
        <v>977</v>
      </c>
      <c r="N138" s="0" t="n">
        <v>13</v>
      </c>
    </row>
    <row r="139" customFormat="false" ht="13.8" hidden="false" customHeight="false" outlineLevel="0" collapsed="false">
      <c r="A139" s="21" t="n">
        <v>138</v>
      </c>
      <c r="B139" s="22"/>
      <c r="C139" s="23"/>
      <c r="D139" s="23"/>
      <c r="E139" s="23"/>
      <c r="F139" s="23"/>
      <c r="G139" s="23"/>
      <c r="H139" s="23"/>
      <c r="I139" s="24"/>
      <c r="J139" s="18" t="s">
        <v>1388</v>
      </c>
      <c r="K139" s="18" t="n">
        <v>457</v>
      </c>
      <c r="L139" s="25" t="n">
        <v>457</v>
      </c>
      <c r="M139" s="26" t="s">
        <v>521</v>
      </c>
      <c r="N139" s="0" t="n">
        <v>13</v>
      </c>
    </row>
    <row r="140" customFormat="false" ht="13.8" hidden="false" customHeight="false" outlineLevel="0" collapsed="false">
      <c r="A140" s="27" t="n">
        <v>139</v>
      </c>
      <c r="B140" s="28"/>
      <c r="C140" s="29"/>
      <c r="D140" s="29"/>
      <c r="E140" s="29"/>
      <c r="F140" s="29"/>
      <c r="G140" s="29"/>
      <c r="H140" s="29"/>
      <c r="I140" s="30"/>
      <c r="J140" s="18" t="s">
        <v>1388</v>
      </c>
      <c r="K140" s="18" t="n">
        <v>497</v>
      </c>
      <c r="L140" s="31" t="n">
        <v>497</v>
      </c>
      <c r="M140" s="32" t="s">
        <v>560</v>
      </c>
      <c r="N140" s="0" t="n">
        <v>13</v>
      </c>
    </row>
    <row r="141" customFormat="false" ht="13.8" hidden="false" customHeight="false" outlineLevel="0" collapsed="false">
      <c r="A141" s="14" t="n">
        <v>140</v>
      </c>
      <c r="B141" s="15"/>
      <c r="C141" s="16"/>
      <c r="D141" s="16"/>
      <c r="E141" s="16"/>
      <c r="F141" s="16"/>
      <c r="G141" s="16"/>
      <c r="H141" s="16" t="s">
        <v>1389</v>
      </c>
      <c r="I141" s="17"/>
      <c r="J141" s="18" t="s">
        <v>1389</v>
      </c>
      <c r="K141" s="18" t="n">
        <v>402</v>
      </c>
      <c r="L141" s="19" t="n">
        <v>402</v>
      </c>
      <c r="M141" s="20" t="s">
        <v>471</v>
      </c>
      <c r="N141" s="0" t="n">
        <v>14</v>
      </c>
      <c r="O141" s="0" t="s">
        <v>1342</v>
      </c>
    </row>
    <row r="142" customFormat="false" ht="13.8" hidden="false" customHeight="false" outlineLevel="0" collapsed="false">
      <c r="A142" s="21" t="n">
        <v>141</v>
      </c>
      <c r="B142" s="22"/>
      <c r="C142" s="23"/>
      <c r="D142" s="23"/>
      <c r="E142" s="23"/>
      <c r="F142" s="23"/>
      <c r="G142" s="23"/>
      <c r="H142" s="23"/>
      <c r="I142" s="24" t="n">
        <v>1062</v>
      </c>
      <c r="J142" s="18" t="s">
        <v>1389</v>
      </c>
      <c r="K142" s="18" t="n">
        <v>1074</v>
      </c>
      <c r="L142" s="25" t="n">
        <v>1074</v>
      </c>
      <c r="M142" s="26" t="s">
        <v>1109</v>
      </c>
      <c r="N142" s="0" t="n">
        <v>14</v>
      </c>
    </row>
    <row r="143" customFormat="false" ht="13.8" hidden="false" customHeight="false" outlineLevel="0" collapsed="false">
      <c r="A143" s="21" t="n">
        <v>142</v>
      </c>
      <c r="B143" s="22"/>
      <c r="C143" s="23"/>
      <c r="D143" s="23"/>
      <c r="E143" s="23"/>
      <c r="F143" s="23"/>
      <c r="G143" s="23"/>
      <c r="H143" s="23"/>
      <c r="I143" s="24" t="n">
        <v>894</v>
      </c>
      <c r="J143" s="18" t="s">
        <v>1389</v>
      </c>
      <c r="K143" s="18" t="n">
        <v>905</v>
      </c>
      <c r="L143" s="25" t="n">
        <v>905</v>
      </c>
      <c r="M143" s="26" t="s">
        <v>949</v>
      </c>
      <c r="N143" s="0" t="n">
        <v>14</v>
      </c>
    </row>
    <row r="144" customFormat="false" ht="13.8" hidden="false" customHeight="false" outlineLevel="0" collapsed="false">
      <c r="A144" s="21" t="n">
        <v>143</v>
      </c>
      <c r="B144" s="22"/>
      <c r="C144" s="23"/>
      <c r="D144" s="23"/>
      <c r="E144" s="23"/>
      <c r="F144" s="23"/>
      <c r="G144" s="23"/>
      <c r="H144" s="23"/>
      <c r="I144" s="24" t="n">
        <v>1102</v>
      </c>
      <c r="J144" s="18" t="s">
        <v>1389</v>
      </c>
      <c r="K144" s="18" t="n">
        <v>1114</v>
      </c>
      <c r="L144" s="25" t="n">
        <v>1114</v>
      </c>
      <c r="M144" s="26" t="s">
        <v>1148</v>
      </c>
      <c r="N144" s="0" t="n">
        <v>14</v>
      </c>
    </row>
    <row r="145" customFormat="false" ht="13.8" hidden="false" customHeight="false" outlineLevel="0" collapsed="false">
      <c r="A145" s="21" t="n">
        <v>144</v>
      </c>
      <c r="B145" s="22"/>
      <c r="C145" s="23"/>
      <c r="D145" s="23"/>
      <c r="E145" s="23"/>
      <c r="F145" s="23"/>
      <c r="G145" s="23"/>
      <c r="H145" s="23"/>
      <c r="I145" s="24" t="n">
        <v>226</v>
      </c>
      <c r="J145" s="18" t="s">
        <v>1389</v>
      </c>
      <c r="K145" s="18" t="n">
        <v>233</v>
      </c>
      <c r="L145" s="25" t="n">
        <v>233</v>
      </c>
      <c r="M145" s="26" t="s">
        <v>316</v>
      </c>
      <c r="N145" s="0" t="n">
        <v>14</v>
      </c>
    </row>
    <row r="146" customFormat="false" ht="13.8" hidden="false" customHeight="false" outlineLevel="0" collapsed="false">
      <c r="A146" s="21" t="n">
        <v>145</v>
      </c>
      <c r="B146" s="22"/>
      <c r="C146" s="23"/>
      <c r="D146" s="23"/>
      <c r="E146" s="23"/>
      <c r="F146" s="23"/>
      <c r="G146" s="23"/>
      <c r="H146" s="23"/>
      <c r="I146" s="24" t="n">
        <v>590</v>
      </c>
      <c r="J146" s="18" t="s">
        <v>1389</v>
      </c>
      <c r="K146" s="18" t="n">
        <v>601</v>
      </c>
      <c r="L146" s="25" t="n">
        <v>601</v>
      </c>
      <c r="M146" s="26" t="s">
        <v>658</v>
      </c>
      <c r="N146" s="0" t="n">
        <v>14</v>
      </c>
    </row>
    <row r="147" customFormat="false" ht="13.8" hidden="false" customHeight="false" outlineLevel="0" collapsed="false">
      <c r="A147" s="27" t="n">
        <v>146</v>
      </c>
      <c r="B147" s="28"/>
      <c r="C147" s="29"/>
      <c r="D147" s="29"/>
      <c r="E147" s="29"/>
      <c r="F147" s="29"/>
      <c r="G147" s="29"/>
      <c r="H147" s="29"/>
      <c r="I147" s="30" t="n">
        <v>638</v>
      </c>
      <c r="J147" s="18" t="s">
        <v>1389</v>
      </c>
      <c r="K147" s="18" t="n">
        <v>649</v>
      </c>
      <c r="L147" s="31" t="n">
        <v>649</v>
      </c>
      <c r="M147" s="32" t="s">
        <v>703</v>
      </c>
      <c r="N147" s="0" t="n">
        <v>14</v>
      </c>
    </row>
    <row r="148" customFormat="false" ht="13.8" hidden="false" customHeight="false" outlineLevel="0" collapsed="false">
      <c r="A148" s="14" t="n">
        <v>147</v>
      </c>
      <c r="B148" s="15"/>
      <c r="C148" s="16"/>
      <c r="D148" s="16"/>
      <c r="E148" s="16"/>
      <c r="F148" s="16"/>
      <c r="G148" s="16"/>
      <c r="H148" s="16"/>
      <c r="I148" s="17"/>
      <c r="J148" s="18" t="s">
        <v>1390</v>
      </c>
      <c r="K148" s="18" t="n">
        <v>394</v>
      </c>
      <c r="L148" s="19" t="n">
        <v>394</v>
      </c>
      <c r="M148" s="20" t="s">
        <v>463</v>
      </c>
      <c r="N148" s="0" t="n">
        <v>15</v>
      </c>
      <c r="O148" s="0" t="s">
        <v>1344</v>
      </c>
    </row>
    <row r="149" customFormat="false" ht="13.8" hidden="false" customHeight="false" outlineLevel="0" collapsed="false">
      <c r="A149" s="21" t="n">
        <v>148</v>
      </c>
      <c r="B149" s="22"/>
      <c r="C149" s="23"/>
      <c r="D149" s="23"/>
      <c r="E149" s="23"/>
      <c r="F149" s="23"/>
      <c r="G149" s="23"/>
      <c r="H149" s="23"/>
      <c r="I149" s="24" t="n">
        <v>272</v>
      </c>
      <c r="J149" s="18" t="s">
        <v>1390</v>
      </c>
      <c r="K149" s="18" t="n">
        <v>281</v>
      </c>
      <c r="L149" s="25" t="n">
        <v>281</v>
      </c>
      <c r="M149" s="26" t="s">
        <v>359</v>
      </c>
      <c r="N149" s="0" t="n">
        <v>15</v>
      </c>
    </row>
    <row r="150" customFormat="false" ht="13.8" hidden="false" customHeight="false" outlineLevel="0" collapsed="false">
      <c r="A150" s="21" t="n">
        <v>149</v>
      </c>
      <c r="B150" s="22"/>
      <c r="C150" s="23"/>
      <c r="D150" s="23"/>
      <c r="E150" s="23"/>
      <c r="F150" s="23"/>
      <c r="G150" s="23"/>
      <c r="H150" s="23"/>
      <c r="I150" s="24" t="n">
        <v>1054</v>
      </c>
      <c r="J150" s="18" t="s">
        <v>1390</v>
      </c>
      <c r="K150" s="18" t="n">
        <v>1066</v>
      </c>
      <c r="L150" s="25" t="n">
        <v>1066</v>
      </c>
      <c r="M150" s="26" t="s">
        <v>1101</v>
      </c>
      <c r="N150" s="0" t="n">
        <v>15</v>
      </c>
    </row>
    <row r="151" customFormat="false" ht="13.8" hidden="false" customHeight="false" outlineLevel="0" collapsed="false">
      <c r="A151" s="21" t="n">
        <v>150</v>
      </c>
      <c r="B151" s="22"/>
      <c r="C151" s="23"/>
      <c r="D151" s="23"/>
      <c r="E151" s="23"/>
      <c r="F151" s="23"/>
      <c r="G151" s="23"/>
      <c r="H151" s="23"/>
      <c r="I151" s="24" t="n">
        <v>391</v>
      </c>
      <c r="J151" s="18" t="s">
        <v>1390</v>
      </c>
      <c r="K151" s="18" t="n">
        <v>401</v>
      </c>
      <c r="L151" s="25" t="n">
        <v>401</v>
      </c>
      <c r="M151" s="26" t="s">
        <v>470</v>
      </c>
      <c r="N151" s="0" t="n">
        <v>15</v>
      </c>
    </row>
    <row r="152" customFormat="false" ht="13.8" hidden="false" customHeight="false" outlineLevel="0" collapsed="false">
      <c r="A152" s="21" t="n">
        <v>151</v>
      </c>
      <c r="B152" s="22"/>
      <c r="C152" s="23"/>
      <c r="D152" s="23"/>
      <c r="E152" s="23"/>
      <c r="F152" s="23"/>
      <c r="G152" s="23"/>
      <c r="H152" s="23"/>
      <c r="I152" s="24" t="n">
        <v>422</v>
      </c>
      <c r="J152" s="18" t="s">
        <v>1390</v>
      </c>
      <c r="K152" s="18" t="n">
        <v>433</v>
      </c>
      <c r="L152" s="25" t="n">
        <v>433</v>
      </c>
      <c r="M152" s="26" t="s">
        <v>500</v>
      </c>
      <c r="N152" s="0" t="n">
        <v>15</v>
      </c>
    </row>
    <row r="153" customFormat="false" ht="13.8" hidden="false" customHeight="false" outlineLevel="0" collapsed="false">
      <c r="A153" s="21" t="n">
        <v>152</v>
      </c>
      <c r="B153" s="22"/>
      <c r="C153" s="23"/>
      <c r="D153" s="23"/>
      <c r="E153" s="23"/>
      <c r="F153" s="23"/>
      <c r="G153" s="23"/>
      <c r="H153" s="23"/>
      <c r="I153" s="24" t="n">
        <v>1034</v>
      </c>
      <c r="J153" s="18" t="s">
        <v>1390</v>
      </c>
      <c r="K153" s="18" t="n">
        <v>1046</v>
      </c>
      <c r="L153" s="25" t="n">
        <v>1046</v>
      </c>
      <c r="M153" s="26" t="s">
        <v>1082</v>
      </c>
      <c r="N153" s="0" t="n">
        <v>15</v>
      </c>
    </row>
    <row r="154" customFormat="false" ht="13.8" hidden="false" customHeight="false" outlineLevel="0" collapsed="false">
      <c r="A154" s="27" t="n">
        <v>153</v>
      </c>
      <c r="B154" s="28"/>
      <c r="C154" s="29"/>
      <c r="D154" s="29"/>
      <c r="E154" s="29"/>
      <c r="F154" s="29"/>
      <c r="G154" s="29"/>
      <c r="H154" s="29"/>
      <c r="I154" s="30" t="n">
        <v>430</v>
      </c>
      <c r="J154" s="18" t="s">
        <v>1390</v>
      </c>
      <c r="K154" s="18" t="n">
        <v>441</v>
      </c>
      <c r="L154" s="31" t="n">
        <v>441</v>
      </c>
      <c r="M154" s="32" t="s">
        <v>507</v>
      </c>
      <c r="N154" s="0" t="n">
        <v>15</v>
      </c>
    </row>
    <row r="155" customFormat="false" ht="13.8" hidden="false" customHeight="false" outlineLevel="0" collapsed="false">
      <c r="A155" s="14" t="n">
        <v>154</v>
      </c>
      <c r="B155" s="15"/>
      <c r="C155" s="16"/>
      <c r="D155" s="16"/>
      <c r="E155" s="16"/>
      <c r="F155" s="16"/>
      <c r="G155" s="16"/>
      <c r="H155" s="16"/>
      <c r="I155" s="17"/>
      <c r="J155" s="18" t="s">
        <v>1391</v>
      </c>
      <c r="K155" s="18" t="n">
        <v>409</v>
      </c>
      <c r="L155" s="19" t="n">
        <v>409</v>
      </c>
      <c r="M155" s="20" t="s">
        <v>478</v>
      </c>
      <c r="N155" s="0" t="n">
        <v>16</v>
      </c>
      <c r="O155" s="0" t="s">
        <v>1345</v>
      </c>
    </row>
    <row r="156" customFormat="false" ht="13.8" hidden="false" customHeight="false" outlineLevel="0" collapsed="false">
      <c r="A156" s="21" t="n">
        <v>155</v>
      </c>
      <c r="B156" s="22"/>
      <c r="C156" s="23"/>
      <c r="D156" s="23"/>
      <c r="E156" s="23"/>
      <c r="F156" s="23"/>
      <c r="G156" s="23"/>
      <c r="H156" s="23"/>
      <c r="I156" s="24" t="n">
        <v>410</v>
      </c>
      <c r="J156" s="18" t="s">
        <v>1391</v>
      </c>
      <c r="K156" s="18" t="n">
        <v>421</v>
      </c>
      <c r="L156" s="25" t="n">
        <v>421</v>
      </c>
      <c r="M156" s="26" t="s">
        <v>489</v>
      </c>
      <c r="N156" s="0" t="n">
        <v>16</v>
      </c>
    </row>
    <row r="157" customFormat="false" ht="13.8" hidden="false" customHeight="false" outlineLevel="0" collapsed="false">
      <c r="A157" s="21" t="n">
        <v>156</v>
      </c>
      <c r="B157" s="22"/>
      <c r="C157" s="23"/>
      <c r="D157" s="23"/>
      <c r="E157" s="23"/>
      <c r="F157" s="23"/>
      <c r="G157" s="23"/>
      <c r="H157" s="23"/>
      <c r="I157" s="24" t="n">
        <v>962</v>
      </c>
      <c r="J157" s="18" t="s">
        <v>1391</v>
      </c>
      <c r="K157" s="18" t="n">
        <v>973</v>
      </c>
      <c r="L157" s="25" t="n">
        <v>973</v>
      </c>
      <c r="M157" s="26" t="s">
        <v>1011</v>
      </c>
      <c r="N157" s="0" t="n">
        <v>16</v>
      </c>
    </row>
    <row r="158" customFormat="false" ht="13.8" hidden="false" customHeight="false" outlineLevel="0" collapsed="false">
      <c r="A158" s="21" t="n">
        <v>157</v>
      </c>
      <c r="B158" s="22"/>
      <c r="C158" s="23"/>
      <c r="D158" s="23"/>
      <c r="E158" s="23"/>
      <c r="F158" s="23"/>
      <c r="G158" s="23"/>
      <c r="H158" s="23"/>
      <c r="I158" s="24" t="n">
        <v>562</v>
      </c>
      <c r="J158" s="18" t="s">
        <v>1391</v>
      </c>
      <c r="K158" s="18" t="n">
        <v>573</v>
      </c>
      <c r="L158" s="25" t="n">
        <v>573</v>
      </c>
      <c r="M158" s="26" t="s">
        <v>632</v>
      </c>
      <c r="N158" s="0" t="n">
        <v>16</v>
      </c>
    </row>
    <row r="159" customFormat="false" ht="13.8" hidden="false" customHeight="false" outlineLevel="0" collapsed="false">
      <c r="A159" s="21" t="n">
        <v>158</v>
      </c>
      <c r="B159" s="22"/>
      <c r="C159" s="23"/>
      <c r="D159" s="23"/>
      <c r="E159" s="23"/>
      <c r="F159" s="23"/>
      <c r="G159" s="23"/>
      <c r="H159" s="23"/>
      <c r="I159" s="24" t="n">
        <v>602</v>
      </c>
      <c r="J159" s="18" t="s">
        <v>1391</v>
      </c>
      <c r="K159" s="18" t="n">
        <v>613</v>
      </c>
      <c r="L159" s="25" t="n">
        <v>613</v>
      </c>
      <c r="M159" s="26" t="s">
        <v>669</v>
      </c>
      <c r="N159" s="0" t="n">
        <v>16</v>
      </c>
    </row>
    <row r="160" customFormat="false" ht="13.8" hidden="false" customHeight="false" outlineLevel="0" collapsed="false">
      <c r="A160" s="21" t="n">
        <v>159</v>
      </c>
      <c r="B160" s="22"/>
      <c r="C160" s="23"/>
      <c r="D160" s="23"/>
      <c r="E160" s="23"/>
      <c r="F160" s="23"/>
      <c r="G160" s="23"/>
      <c r="H160" s="23"/>
      <c r="I160" s="24" t="n">
        <v>69</v>
      </c>
      <c r="J160" s="18" t="s">
        <v>1391</v>
      </c>
      <c r="K160" s="18" t="n">
        <v>74</v>
      </c>
      <c r="L160" s="25" t="n">
        <v>74</v>
      </c>
      <c r="M160" s="26" t="s">
        <v>163</v>
      </c>
      <c r="N160" s="0" t="n">
        <v>16</v>
      </c>
    </row>
    <row r="161" customFormat="false" ht="13.8" hidden="false" customHeight="false" outlineLevel="0" collapsed="false">
      <c r="A161" s="27" t="n">
        <v>160</v>
      </c>
      <c r="B161" s="28"/>
      <c r="C161" s="29"/>
      <c r="D161" s="29"/>
      <c r="E161" s="29"/>
      <c r="F161" s="29"/>
      <c r="G161" s="29"/>
      <c r="H161" s="29"/>
      <c r="I161" s="30" t="n">
        <v>116</v>
      </c>
      <c r="J161" s="18" t="s">
        <v>1391</v>
      </c>
      <c r="K161" s="18" t="n">
        <v>121</v>
      </c>
      <c r="L161" s="31" t="n">
        <v>121</v>
      </c>
      <c r="M161" s="32" t="s">
        <v>209</v>
      </c>
      <c r="N161" s="0" t="n">
        <v>16</v>
      </c>
    </row>
    <row r="162" customFormat="false" ht="13.8" hidden="false" customHeight="false" outlineLevel="0" collapsed="false">
      <c r="A162" s="14" t="n">
        <v>161</v>
      </c>
      <c r="B162" s="15"/>
      <c r="C162" s="16"/>
      <c r="D162" s="16"/>
      <c r="E162" s="16"/>
      <c r="F162" s="16"/>
      <c r="G162" s="16"/>
      <c r="H162" s="16"/>
      <c r="I162" s="17"/>
      <c r="J162" s="18" t="s">
        <v>1392</v>
      </c>
      <c r="K162" s="18" t="n">
        <v>385</v>
      </c>
      <c r="L162" s="19" t="n">
        <v>385</v>
      </c>
      <c r="M162" s="20" t="s">
        <v>454</v>
      </c>
      <c r="N162" s="0" t="n">
        <v>17</v>
      </c>
      <c r="O162" s="0" t="s">
        <v>1346</v>
      </c>
    </row>
    <row r="163" customFormat="false" ht="13.8" hidden="false" customHeight="false" outlineLevel="0" collapsed="false">
      <c r="A163" s="21" t="n">
        <v>162</v>
      </c>
      <c r="B163" s="22"/>
      <c r="C163" s="23"/>
      <c r="D163" s="23"/>
      <c r="E163" s="23"/>
      <c r="F163" s="23"/>
      <c r="G163" s="23"/>
      <c r="H163" s="23"/>
      <c r="I163" s="24" t="n">
        <v>582</v>
      </c>
      <c r="J163" s="18" t="s">
        <v>1392</v>
      </c>
      <c r="K163" s="18" t="n">
        <v>593</v>
      </c>
      <c r="L163" s="25" t="n">
        <v>593</v>
      </c>
      <c r="M163" s="26" t="s">
        <v>650</v>
      </c>
      <c r="N163" s="0" t="n">
        <v>17</v>
      </c>
    </row>
    <row r="164" customFormat="false" ht="13.8" hidden="false" customHeight="false" outlineLevel="0" collapsed="false">
      <c r="A164" s="21" t="n">
        <v>163</v>
      </c>
      <c r="B164" s="22"/>
      <c r="C164" s="23"/>
      <c r="D164" s="23"/>
      <c r="E164" s="23"/>
      <c r="F164" s="23"/>
      <c r="G164" s="23"/>
      <c r="H164" s="23"/>
      <c r="I164" s="24" t="n">
        <v>810</v>
      </c>
      <c r="J164" s="18" t="s">
        <v>1392</v>
      </c>
      <c r="K164" s="18" t="n">
        <v>821</v>
      </c>
      <c r="L164" s="25" t="n">
        <v>821</v>
      </c>
      <c r="M164" s="26" t="s">
        <v>867</v>
      </c>
      <c r="N164" s="0" t="n">
        <v>17</v>
      </c>
    </row>
    <row r="165" customFormat="false" ht="13.8" hidden="false" customHeight="false" outlineLevel="0" collapsed="false">
      <c r="A165" s="21" t="n">
        <v>164</v>
      </c>
      <c r="B165" s="22"/>
      <c r="C165" s="23"/>
      <c r="D165" s="23"/>
      <c r="E165" s="23"/>
      <c r="F165" s="23"/>
      <c r="G165" s="23"/>
      <c r="H165" s="23"/>
      <c r="I165" s="24" t="n">
        <v>710</v>
      </c>
      <c r="J165" s="18" t="s">
        <v>1392</v>
      </c>
      <c r="K165" s="18" t="n">
        <v>721</v>
      </c>
      <c r="L165" s="25" t="n">
        <v>721</v>
      </c>
      <c r="M165" s="26" t="s">
        <v>772</v>
      </c>
      <c r="N165" s="0" t="n">
        <v>17</v>
      </c>
    </row>
    <row r="166" customFormat="false" ht="13.8" hidden="false" customHeight="false" outlineLevel="0" collapsed="false">
      <c r="A166" s="21" t="n">
        <v>165</v>
      </c>
      <c r="B166" s="22"/>
      <c r="C166" s="23"/>
      <c r="D166" s="23"/>
      <c r="E166" s="23"/>
      <c r="F166" s="23"/>
      <c r="G166" s="23"/>
      <c r="H166" s="23"/>
      <c r="I166" s="24" t="n">
        <v>767</v>
      </c>
      <c r="J166" s="18" t="s">
        <v>1392</v>
      </c>
      <c r="K166" s="18" t="n">
        <v>778</v>
      </c>
      <c r="L166" s="25" t="n">
        <v>778</v>
      </c>
      <c r="M166" s="26" t="s">
        <v>826</v>
      </c>
      <c r="N166" s="0" t="n">
        <v>17</v>
      </c>
    </row>
    <row r="167" customFormat="false" ht="13.8" hidden="false" customHeight="false" outlineLevel="0" collapsed="false">
      <c r="A167" s="21" t="n">
        <v>166</v>
      </c>
      <c r="B167" s="22"/>
      <c r="C167" s="23"/>
      <c r="D167" s="23"/>
      <c r="E167" s="23"/>
      <c r="F167" s="23"/>
      <c r="G167" s="23"/>
      <c r="H167" s="23"/>
      <c r="I167" s="24" t="n">
        <v>29</v>
      </c>
      <c r="J167" s="18" t="s">
        <v>1392</v>
      </c>
      <c r="K167" s="18" t="n">
        <v>33</v>
      </c>
      <c r="L167" s="25" t="n">
        <v>33</v>
      </c>
      <c r="M167" s="26" t="s">
        <v>124</v>
      </c>
      <c r="N167" s="0" t="n">
        <v>17</v>
      </c>
    </row>
    <row r="168" customFormat="false" ht="13.8" hidden="false" customHeight="false" outlineLevel="0" collapsed="false">
      <c r="A168" s="27" t="n">
        <v>167</v>
      </c>
      <c r="B168" s="28"/>
      <c r="C168" s="29"/>
      <c r="D168" s="29"/>
      <c r="E168" s="29"/>
      <c r="F168" s="29"/>
      <c r="G168" s="29"/>
      <c r="H168" s="29"/>
      <c r="I168" s="30" t="n">
        <v>295</v>
      </c>
      <c r="J168" s="18" t="s">
        <v>1392</v>
      </c>
      <c r="K168" s="18" t="n">
        <v>305</v>
      </c>
      <c r="L168" s="31" t="n">
        <v>305</v>
      </c>
      <c r="M168" s="32" t="s">
        <v>378</v>
      </c>
      <c r="N168" s="0" t="n">
        <v>17</v>
      </c>
    </row>
    <row r="169" customFormat="false" ht="13.8" hidden="false" customHeight="false" outlineLevel="0" collapsed="false">
      <c r="A169" s="14" t="n">
        <v>168</v>
      </c>
      <c r="B169" s="15"/>
      <c r="C169" s="16"/>
      <c r="D169" s="16"/>
      <c r="E169" s="16"/>
      <c r="F169" s="16"/>
      <c r="G169" s="16"/>
      <c r="H169" s="16"/>
      <c r="I169" s="17"/>
      <c r="J169" s="18" t="s">
        <v>1393</v>
      </c>
      <c r="K169" s="18" t="n">
        <v>425</v>
      </c>
      <c r="L169" s="19" t="n">
        <v>425</v>
      </c>
      <c r="M169" s="20" t="s">
        <v>493</v>
      </c>
      <c r="N169" s="0" t="n">
        <v>18</v>
      </c>
      <c r="O169" s="0" t="s">
        <v>1347</v>
      </c>
    </row>
    <row r="170" customFormat="false" ht="13.8" hidden="false" customHeight="false" outlineLevel="0" collapsed="false">
      <c r="A170" s="21" t="n">
        <v>169</v>
      </c>
      <c r="B170" s="22"/>
      <c r="C170" s="23"/>
      <c r="D170" s="23"/>
      <c r="E170" s="23"/>
      <c r="F170" s="23"/>
      <c r="G170" s="23"/>
      <c r="H170" s="23"/>
      <c r="I170" s="24" t="n">
        <v>739</v>
      </c>
      <c r="J170" s="18" t="s">
        <v>1393</v>
      </c>
      <c r="K170" s="18" t="n">
        <v>750</v>
      </c>
      <c r="L170" s="25" t="n">
        <v>750</v>
      </c>
      <c r="M170" s="26" t="s">
        <v>800</v>
      </c>
      <c r="N170" s="0" t="n">
        <v>18</v>
      </c>
    </row>
    <row r="171" customFormat="false" ht="13.8" hidden="false" customHeight="false" outlineLevel="0" collapsed="false">
      <c r="A171" s="21" t="n">
        <v>170</v>
      </c>
      <c r="B171" s="22"/>
      <c r="C171" s="23"/>
      <c r="D171" s="23"/>
      <c r="E171" s="23"/>
      <c r="F171" s="23"/>
      <c r="G171" s="23"/>
      <c r="H171" s="23"/>
      <c r="I171" s="24" t="n">
        <v>261</v>
      </c>
      <c r="J171" s="18" t="s">
        <v>1393</v>
      </c>
      <c r="K171" s="18" t="n">
        <v>269</v>
      </c>
      <c r="L171" s="25" t="n">
        <v>269</v>
      </c>
      <c r="M171" s="26" t="s">
        <v>350</v>
      </c>
      <c r="N171" s="0" t="n">
        <v>18</v>
      </c>
    </row>
    <row r="172" customFormat="false" ht="13.8" hidden="false" customHeight="false" outlineLevel="0" collapsed="false">
      <c r="A172" s="21" t="n">
        <v>171</v>
      </c>
      <c r="B172" s="22"/>
      <c r="C172" s="23"/>
      <c r="D172" s="23"/>
      <c r="E172" s="23"/>
      <c r="F172" s="23"/>
      <c r="G172" s="23"/>
      <c r="H172" s="23"/>
      <c r="I172" s="24" t="n">
        <v>858</v>
      </c>
      <c r="J172" s="18" t="s">
        <v>1393</v>
      </c>
      <c r="K172" s="18" t="n">
        <v>869</v>
      </c>
      <c r="L172" s="25" t="n">
        <v>869</v>
      </c>
      <c r="M172" s="26" t="s">
        <v>914</v>
      </c>
      <c r="N172" s="0" t="n">
        <v>18</v>
      </c>
    </row>
    <row r="173" customFormat="false" ht="13.8" hidden="false" customHeight="false" outlineLevel="0" collapsed="false">
      <c r="A173" s="21" t="n">
        <v>172</v>
      </c>
      <c r="B173" s="22"/>
      <c r="C173" s="23"/>
      <c r="D173" s="23"/>
      <c r="E173" s="23"/>
      <c r="F173" s="23"/>
      <c r="G173" s="23"/>
      <c r="H173" s="23"/>
      <c r="I173" s="24" t="n">
        <v>891</v>
      </c>
      <c r="J173" s="18" t="s">
        <v>1393</v>
      </c>
      <c r="K173" s="18" t="n">
        <v>902</v>
      </c>
      <c r="L173" s="25" t="n">
        <v>902</v>
      </c>
      <c r="M173" s="26" t="s">
        <v>946</v>
      </c>
      <c r="N173" s="0" t="n">
        <v>18</v>
      </c>
    </row>
    <row r="174" customFormat="false" ht="13.8" hidden="false" customHeight="false" outlineLevel="0" collapsed="false">
      <c r="A174" s="21" t="n">
        <v>173</v>
      </c>
      <c r="B174" s="22"/>
      <c r="C174" s="23"/>
      <c r="D174" s="23"/>
      <c r="E174" s="23"/>
      <c r="F174" s="23"/>
      <c r="G174" s="23"/>
      <c r="H174" s="23"/>
      <c r="I174" s="24" t="n">
        <v>367</v>
      </c>
      <c r="J174" s="18" t="s">
        <v>1393</v>
      </c>
      <c r="K174" s="18" t="n">
        <v>377</v>
      </c>
      <c r="L174" s="25" t="n">
        <v>377</v>
      </c>
      <c r="M174" s="26" t="s">
        <v>447</v>
      </c>
      <c r="N174" s="0" t="n">
        <v>18</v>
      </c>
    </row>
    <row r="175" customFormat="false" ht="13.8" hidden="false" customHeight="false" outlineLevel="0" collapsed="false">
      <c r="A175" s="27" t="n">
        <v>174</v>
      </c>
      <c r="B175" s="28"/>
      <c r="C175" s="29"/>
      <c r="D175" s="29"/>
      <c r="E175" s="29"/>
      <c r="F175" s="29"/>
      <c r="G175" s="29"/>
      <c r="H175" s="29"/>
      <c r="I175" s="30" t="n">
        <v>383</v>
      </c>
      <c r="J175" s="18" t="s">
        <v>1393</v>
      </c>
      <c r="K175" s="18" t="n">
        <v>393</v>
      </c>
      <c r="L175" s="31" t="n">
        <v>393</v>
      </c>
      <c r="M175" s="32" t="s">
        <v>462</v>
      </c>
      <c r="N175" s="0" t="n">
        <v>18</v>
      </c>
    </row>
    <row r="176" customFormat="false" ht="13.8" hidden="false" customHeight="false" outlineLevel="0" collapsed="false">
      <c r="A176" s="14" t="n">
        <v>175</v>
      </c>
      <c r="B176" s="15"/>
      <c r="C176" s="16"/>
      <c r="D176" s="16"/>
      <c r="E176" s="16"/>
      <c r="F176" s="16"/>
      <c r="G176" s="16"/>
      <c r="H176" s="16"/>
      <c r="I176" s="17"/>
      <c r="J176" s="18" t="s">
        <v>1394</v>
      </c>
      <c r="K176" s="18" t="n">
        <v>533</v>
      </c>
      <c r="L176" s="19" t="n">
        <v>533</v>
      </c>
      <c r="M176" s="20" t="s">
        <v>596</v>
      </c>
      <c r="N176" s="0" t="n">
        <v>19</v>
      </c>
      <c r="O176" s="0" t="s">
        <v>1348</v>
      </c>
    </row>
    <row r="177" customFormat="false" ht="13.8" hidden="false" customHeight="false" outlineLevel="0" collapsed="false">
      <c r="A177" s="21" t="n">
        <v>176</v>
      </c>
      <c r="B177" s="22"/>
      <c r="C177" s="23"/>
      <c r="D177" s="23"/>
      <c r="E177" s="23"/>
      <c r="F177" s="23"/>
      <c r="G177" s="23"/>
      <c r="H177" s="23"/>
      <c r="I177" s="24" t="n">
        <v>794</v>
      </c>
      <c r="J177" s="18" t="s">
        <v>1394</v>
      </c>
      <c r="K177" s="18" t="n">
        <v>805</v>
      </c>
      <c r="L177" s="25" t="n">
        <v>805</v>
      </c>
      <c r="M177" s="26" t="s">
        <v>853</v>
      </c>
      <c r="N177" s="0" t="n">
        <v>19</v>
      </c>
    </row>
    <row r="178" customFormat="false" ht="13.8" hidden="false" customHeight="false" outlineLevel="0" collapsed="false">
      <c r="A178" s="21" t="n">
        <v>177</v>
      </c>
      <c r="B178" s="22"/>
      <c r="C178" s="23"/>
      <c r="D178" s="23"/>
      <c r="E178" s="23"/>
      <c r="F178" s="23"/>
      <c r="G178" s="23"/>
      <c r="H178" s="23"/>
      <c r="I178" s="24" t="n">
        <v>36</v>
      </c>
      <c r="J178" s="18" t="s">
        <v>1394</v>
      </c>
      <c r="K178" s="18" t="n">
        <v>41</v>
      </c>
      <c r="L178" s="25" t="n">
        <v>41</v>
      </c>
      <c r="M178" s="26" t="s">
        <v>131</v>
      </c>
      <c r="N178" s="0" t="n">
        <v>19</v>
      </c>
    </row>
    <row r="179" customFormat="false" ht="13.8" hidden="false" customHeight="false" outlineLevel="0" collapsed="false">
      <c r="A179" s="21" t="n">
        <v>178</v>
      </c>
      <c r="B179" s="22"/>
      <c r="C179" s="23"/>
      <c r="D179" s="23"/>
      <c r="E179" s="23"/>
      <c r="F179" s="23"/>
      <c r="G179" s="23"/>
      <c r="H179" s="23"/>
      <c r="I179" s="24" t="n">
        <v>490</v>
      </c>
      <c r="J179" s="18" t="s">
        <v>1394</v>
      </c>
      <c r="K179" s="18" t="n">
        <v>501</v>
      </c>
      <c r="L179" s="25" t="n">
        <v>501</v>
      </c>
      <c r="M179" s="26" t="s">
        <v>564</v>
      </c>
      <c r="N179" s="0" t="n">
        <v>19</v>
      </c>
    </row>
    <row r="180" customFormat="false" ht="13.8" hidden="false" customHeight="false" outlineLevel="0" collapsed="false">
      <c r="A180" s="21" t="n">
        <v>179</v>
      </c>
      <c r="B180" s="22"/>
      <c r="C180" s="23"/>
      <c r="D180" s="23"/>
      <c r="E180" s="23"/>
      <c r="F180" s="23"/>
      <c r="G180" s="23"/>
      <c r="H180" s="23"/>
      <c r="I180" s="24" t="n">
        <v>554</v>
      </c>
      <c r="J180" s="18" t="s">
        <v>1394</v>
      </c>
      <c r="K180" s="18" t="n">
        <v>565</v>
      </c>
      <c r="L180" s="25" t="n">
        <v>565</v>
      </c>
      <c r="M180" s="26" t="s">
        <v>624</v>
      </c>
      <c r="N180" s="0" t="n">
        <v>19</v>
      </c>
    </row>
    <row r="181" customFormat="false" ht="13.8" hidden="false" customHeight="false" outlineLevel="0" collapsed="false">
      <c r="A181" s="21" t="n">
        <v>180</v>
      </c>
      <c r="B181" s="22"/>
      <c r="C181" s="23"/>
      <c r="D181" s="23"/>
      <c r="E181" s="23"/>
      <c r="F181" s="23"/>
      <c r="G181" s="23"/>
      <c r="H181" s="23"/>
      <c r="I181" s="24" t="n">
        <v>250</v>
      </c>
      <c r="J181" s="18" t="s">
        <v>1394</v>
      </c>
      <c r="K181" s="18" t="n">
        <v>257</v>
      </c>
      <c r="L181" s="25" t="n">
        <v>257</v>
      </c>
      <c r="M181" s="26" t="s">
        <v>339</v>
      </c>
      <c r="N181" s="0" t="n">
        <v>19</v>
      </c>
    </row>
    <row r="182" customFormat="false" ht="13.8" hidden="false" customHeight="false" outlineLevel="0" collapsed="false">
      <c r="A182" s="27" t="n">
        <v>181</v>
      </c>
      <c r="B182" s="28"/>
      <c r="C182" s="29"/>
      <c r="D182" s="29"/>
      <c r="E182" s="29"/>
      <c r="F182" s="29"/>
      <c r="G182" s="29"/>
      <c r="H182" s="29"/>
      <c r="I182" s="30" t="n">
        <v>458</v>
      </c>
      <c r="J182" s="18" t="s">
        <v>1394</v>
      </c>
      <c r="K182" s="18" t="n">
        <v>469</v>
      </c>
      <c r="L182" s="31" t="n">
        <v>469</v>
      </c>
      <c r="M182" s="32" t="s">
        <v>532</v>
      </c>
      <c r="N182" s="0" t="n">
        <v>19</v>
      </c>
    </row>
    <row r="183" customFormat="false" ht="13.8" hidden="false" customHeight="false" outlineLevel="0" collapsed="false">
      <c r="A183" s="14" t="n">
        <v>182</v>
      </c>
      <c r="B183" s="15"/>
      <c r="C183" s="16"/>
      <c r="D183" s="16"/>
      <c r="E183" s="16"/>
      <c r="F183" s="16"/>
      <c r="G183" s="16" t="s">
        <v>1395</v>
      </c>
      <c r="H183" s="16"/>
      <c r="I183" s="17"/>
      <c r="J183" s="18" t="s">
        <v>1395</v>
      </c>
      <c r="K183" s="18" t="n">
        <v>31</v>
      </c>
      <c r="L183" s="19" t="n">
        <v>31</v>
      </c>
      <c r="M183" s="20" t="s">
        <v>41</v>
      </c>
      <c r="N183" s="0" t="n">
        <v>20</v>
      </c>
      <c r="O183" s="0" t="s">
        <v>40</v>
      </c>
    </row>
    <row r="184" customFormat="false" ht="13.8" hidden="false" customHeight="false" outlineLevel="0" collapsed="false">
      <c r="A184" s="21" t="n">
        <v>183</v>
      </c>
      <c r="B184" s="22"/>
      <c r="C184" s="23"/>
      <c r="D184" s="23"/>
      <c r="E184" s="23"/>
      <c r="F184" s="23"/>
      <c r="G184" s="23"/>
      <c r="H184" s="23"/>
      <c r="I184" s="24"/>
      <c r="J184" s="18" t="s">
        <v>1395</v>
      </c>
      <c r="K184" s="18" t="n">
        <v>572</v>
      </c>
      <c r="L184" s="25" t="n">
        <v>572</v>
      </c>
      <c r="M184" s="26" t="s">
        <v>631</v>
      </c>
      <c r="N184" s="0" t="n">
        <v>20</v>
      </c>
    </row>
    <row r="185" customFormat="false" ht="13.8" hidden="false" customHeight="false" outlineLevel="0" collapsed="false">
      <c r="A185" s="21" t="n">
        <v>184</v>
      </c>
      <c r="B185" s="22"/>
      <c r="C185" s="23"/>
      <c r="D185" s="23"/>
      <c r="E185" s="23"/>
      <c r="F185" s="23"/>
      <c r="G185" s="23"/>
      <c r="H185" s="23"/>
      <c r="I185" s="24"/>
      <c r="J185" s="18" t="s">
        <v>1395</v>
      </c>
      <c r="K185" s="18" t="n">
        <v>1053</v>
      </c>
      <c r="L185" s="25" t="n">
        <v>1053</v>
      </c>
      <c r="M185" s="26" t="s">
        <v>1089</v>
      </c>
      <c r="N185" s="0" t="n">
        <v>20</v>
      </c>
    </row>
    <row r="186" customFormat="false" ht="13.8" hidden="false" customHeight="false" outlineLevel="0" collapsed="false">
      <c r="A186" s="21" t="n">
        <v>185</v>
      </c>
      <c r="B186" s="22"/>
      <c r="C186" s="23"/>
      <c r="D186" s="23"/>
      <c r="E186" s="23"/>
      <c r="F186" s="23"/>
      <c r="G186" s="23"/>
      <c r="H186" s="23"/>
      <c r="I186" s="24"/>
      <c r="J186" s="18" t="s">
        <v>1395</v>
      </c>
      <c r="K186" s="18" t="n">
        <v>739</v>
      </c>
      <c r="L186" s="25" t="n">
        <v>739</v>
      </c>
      <c r="M186" s="26" t="s">
        <v>789</v>
      </c>
      <c r="N186" s="0" t="n">
        <v>20</v>
      </c>
    </row>
    <row r="187" customFormat="false" ht="13.8" hidden="false" customHeight="false" outlineLevel="0" collapsed="false">
      <c r="A187" s="21" t="n">
        <v>186</v>
      </c>
      <c r="B187" s="22"/>
      <c r="C187" s="23"/>
      <c r="D187" s="23"/>
      <c r="E187" s="23"/>
      <c r="F187" s="23"/>
      <c r="G187" s="23"/>
      <c r="H187" s="23"/>
      <c r="I187" s="24"/>
      <c r="J187" s="18" t="s">
        <v>1395</v>
      </c>
      <c r="K187" s="18" t="n">
        <v>179</v>
      </c>
      <c r="L187" s="25" t="n">
        <v>179</v>
      </c>
      <c r="M187" s="26" t="s">
        <v>263</v>
      </c>
      <c r="N187" s="34" t="n">
        <v>20</v>
      </c>
    </row>
    <row r="188" customFormat="false" ht="13.8" hidden="false" customHeight="false" outlineLevel="0" collapsed="false">
      <c r="A188" s="27" t="n">
        <v>187</v>
      </c>
      <c r="B188" s="28"/>
      <c r="C188" s="29"/>
      <c r="D188" s="29"/>
      <c r="E188" s="29"/>
      <c r="F188" s="29"/>
      <c r="G188" s="29"/>
      <c r="H188" s="29"/>
      <c r="I188" s="30"/>
      <c r="J188" s="18" t="s">
        <v>1395</v>
      </c>
      <c r="K188" s="18" t="n">
        <v>227</v>
      </c>
      <c r="L188" s="31" t="n">
        <v>227</v>
      </c>
      <c r="M188" s="32" t="s">
        <v>310</v>
      </c>
      <c r="N188" s="34" t="n">
        <v>20</v>
      </c>
    </row>
    <row r="189" customFormat="false" ht="13.8" hidden="false" customHeight="false" outlineLevel="0" collapsed="false">
      <c r="A189" s="14" t="n">
        <v>188</v>
      </c>
      <c r="B189" s="15"/>
      <c r="C189" s="16"/>
      <c r="D189" s="16"/>
      <c r="E189" s="16"/>
      <c r="F189" s="16"/>
      <c r="G189" s="16"/>
      <c r="H189" s="16"/>
      <c r="I189" s="17"/>
      <c r="J189" s="18" t="s">
        <v>1349</v>
      </c>
      <c r="K189" s="18" t="n">
        <v>39</v>
      </c>
      <c r="L189" s="19" t="n">
        <v>39</v>
      </c>
      <c r="M189" s="20" t="s">
        <v>130</v>
      </c>
      <c r="N189" s="34" t="n">
        <v>21</v>
      </c>
      <c r="O189" s="0" t="s">
        <v>1349</v>
      </c>
    </row>
    <row r="190" customFormat="false" ht="13.8" hidden="false" customHeight="false" outlineLevel="0" collapsed="false">
      <c r="A190" s="21" t="n">
        <v>189</v>
      </c>
      <c r="B190" s="22"/>
      <c r="C190" s="23"/>
      <c r="D190" s="23"/>
      <c r="E190" s="23"/>
      <c r="F190" s="23"/>
      <c r="G190" s="23"/>
      <c r="H190" s="23"/>
      <c r="I190" s="24" t="n">
        <v>924</v>
      </c>
      <c r="J190" s="18" t="s">
        <v>1349</v>
      </c>
      <c r="K190" s="18" t="n">
        <v>935</v>
      </c>
      <c r="L190" s="25" t="n">
        <v>935</v>
      </c>
      <c r="M190" s="26" t="s">
        <v>75</v>
      </c>
      <c r="N190" s="34" t="n">
        <v>21</v>
      </c>
    </row>
    <row r="191" customFormat="false" ht="13.8" hidden="false" customHeight="false" outlineLevel="0" collapsed="false">
      <c r="A191" s="21" t="n">
        <v>190</v>
      </c>
      <c r="B191" s="22"/>
      <c r="C191" s="23"/>
      <c r="D191" s="23"/>
      <c r="E191" s="23"/>
      <c r="F191" s="23"/>
      <c r="G191" s="23"/>
      <c r="H191" s="23"/>
      <c r="I191" s="24" t="n">
        <v>204</v>
      </c>
      <c r="J191" s="18" t="s">
        <v>1349</v>
      </c>
      <c r="K191" s="18" t="n">
        <v>211</v>
      </c>
      <c r="L191" s="25" t="n">
        <v>211</v>
      </c>
      <c r="M191" s="26" t="s">
        <v>72</v>
      </c>
      <c r="N191" s="34" t="n">
        <v>21</v>
      </c>
    </row>
    <row r="192" customFormat="false" ht="13.8" hidden="false" customHeight="false" outlineLevel="0" collapsed="false">
      <c r="A192" s="21" t="n">
        <v>191</v>
      </c>
      <c r="B192" s="22"/>
      <c r="C192" s="23"/>
      <c r="D192" s="23"/>
      <c r="E192" s="23"/>
      <c r="F192" s="23"/>
      <c r="G192" s="23"/>
      <c r="H192" s="23"/>
      <c r="I192" s="24" t="n">
        <v>1003</v>
      </c>
      <c r="J192" s="18" t="s">
        <v>1349</v>
      </c>
      <c r="K192" s="18" t="n">
        <v>1015</v>
      </c>
      <c r="L192" s="25" t="n">
        <v>1015</v>
      </c>
      <c r="M192" s="26" t="s">
        <v>76</v>
      </c>
      <c r="N192" s="34" t="n">
        <v>21</v>
      </c>
    </row>
    <row r="193" customFormat="false" ht="13.8" hidden="false" customHeight="false" outlineLevel="0" collapsed="false">
      <c r="A193" s="21" t="n">
        <v>192</v>
      </c>
      <c r="B193" s="22"/>
      <c r="C193" s="23"/>
      <c r="D193" s="23"/>
      <c r="E193" s="23"/>
      <c r="F193" s="23"/>
      <c r="G193" s="23"/>
      <c r="H193" s="23"/>
      <c r="I193" s="24" t="n">
        <v>908</v>
      </c>
      <c r="J193" s="18" t="s">
        <v>1349</v>
      </c>
      <c r="K193" s="18" t="n">
        <v>919</v>
      </c>
      <c r="L193" s="25" t="n">
        <v>919</v>
      </c>
      <c r="M193" s="26" t="s">
        <v>73</v>
      </c>
      <c r="N193" s="34" t="n">
        <v>21</v>
      </c>
    </row>
    <row r="194" customFormat="false" ht="13.8" hidden="false" customHeight="false" outlineLevel="0" collapsed="false">
      <c r="A194" s="27" t="n">
        <v>193</v>
      </c>
      <c r="B194" s="28"/>
      <c r="C194" s="29"/>
      <c r="D194" s="29"/>
      <c r="E194" s="29"/>
      <c r="F194" s="29"/>
      <c r="G194" s="29"/>
      <c r="H194" s="29"/>
      <c r="I194" s="30" t="n">
        <v>916</v>
      </c>
      <c r="J194" s="18" t="s">
        <v>1349</v>
      </c>
      <c r="K194" s="18" t="n">
        <v>927</v>
      </c>
      <c r="L194" s="31" t="n">
        <v>927</v>
      </c>
      <c r="M194" s="32" t="s">
        <v>74</v>
      </c>
      <c r="N194" s="34" t="n">
        <v>21</v>
      </c>
    </row>
    <row r="195" customFormat="false" ht="13.8" hidden="false" customHeight="false" outlineLevel="0" collapsed="false">
      <c r="A195" s="14" t="n">
        <v>194</v>
      </c>
      <c r="B195" s="15"/>
      <c r="C195" s="16"/>
      <c r="D195" s="16"/>
      <c r="E195" s="16"/>
      <c r="F195" s="16"/>
      <c r="G195" s="16"/>
      <c r="H195" s="16"/>
      <c r="I195" s="17"/>
      <c r="J195" s="18" t="s">
        <v>1350</v>
      </c>
      <c r="K195" s="18" t="n">
        <v>48</v>
      </c>
      <c r="L195" s="19" t="n">
        <v>48</v>
      </c>
      <c r="M195" s="20" t="s">
        <v>137</v>
      </c>
      <c r="N195" s="34" t="n">
        <v>22</v>
      </c>
      <c r="O195" s="0" t="s">
        <v>1350</v>
      </c>
    </row>
    <row r="196" customFormat="false" ht="13.8" hidden="false" customHeight="false" outlineLevel="0" collapsed="false">
      <c r="A196" s="21" t="n">
        <v>195</v>
      </c>
      <c r="B196" s="22"/>
      <c r="C196" s="23"/>
      <c r="D196" s="23"/>
      <c r="E196" s="23"/>
      <c r="F196" s="23"/>
      <c r="G196" s="23"/>
      <c r="H196" s="23"/>
      <c r="I196" s="24" t="n">
        <v>577</v>
      </c>
      <c r="J196" s="18" t="s">
        <v>1350</v>
      </c>
      <c r="K196" s="18" t="n">
        <v>588</v>
      </c>
      <c r="L196" s="25" t="n">
        <v>588</v>
      </c>
      <c r="M196" s="26" t="s">
        <v>78</v>
      </c>
      <c r="N196" s="34" t="n">
        <v>22</v>
      </c>
    </row>
    <row r="197" customFormat="false" ht="13.8" hidden="false" customHeight="false" outlineLevel="0" collapsed="false">
      <c r="A197" s="21" t="n">
        <v>196</v>
      </c>
      <c r="B197" s="22"/>
      <c r="C197" s="23"/>
      <c r="D197" s="23"/>
      <c r="E197" s="23"/>
      <c r="F197" s="23"/>
      <c r="G197" s="23"/>
      <c r="H197" s="23"/>
      <c r="I197" s="24" t="n">
        <v>286</v>
      </c>
      <c r="J197" s="18" t="s">
        <v>1350</v>
      </c>
      <c r="K197" s="18" t="n">
        <v>296</v>
      </c>
      <c r="L197" s="25" t="n">
        <v>296</v>
      </c>
      <c r="M197" s="26" t="s">
        <v>77</v>
      </c>
      <c r="N197" s="34" t="n">
        <v>22</v>
      </c>
    </row>
    <row r="198" customFormat="false" ht="13.8" hidden="false" customHeight="false" outlineLevel="0" collapsed="false">
      <c r="A198" s="21" t="n">
        <v>197</v>
      </c>
      <c r="B198" s="22"/>
      <c r="C198" s="23"/>
      <c r="D198" s="23"/>
      <c r="E198" s="23"/>
      <c r="F198" s="23"/>
      <c r="G198" s="23"/>
      <c r="H198" s="23"/>
      <c r="I198" s="24" t="n">
        <v>761</v>
      </c>
      <c r="J198" s="18" t="s">
        <v>1350</v>
      </c>
      <c r="K198" s="18" t="n">
        <v>772</v>
      </c>
      <c r="L198" s="25" t="n">
        <v>772</v>
      </c>
      <c r="M198" s="26" t="s">
        <v>79</v>
      </c>
      <c r="N198" s="34" t="n">
        <v>22</v>
      </c>
    </row>
    <row r="199" customFormat="false" ht="13.8" hidden="false" customHeight="false" outlineLevel="0" collapsed="false">
      <c r="A199" s="21" t="n">
        <v>198</v>
      </c>
      <c r="B199" s="22"/>
      <c r="C199" s="23"/>
      <c r="D199" s="23"/>
      <c r="E199" s="23"/>
      <c r="F199" s="23"/>
      <c r="G199" s="23"/>
      <c r="H199" s="23"/>
      <c r="I199" s="24" t="n">
        <v>799</v>
      </c>
      <c r="J199" s="18" t="s">
        <v>1350</v>
      </c>
      <c r="K199" s="18" t="n">
        <v>810</v>
      </c>
      <c r="L199" s="25" t="n">
        <v>810</v>
      </c>
      <c r="M199" s="26" t="s">
        <v>80</v>
      </c>
      <c r="N199" s="34" t="n">
        <v>22</v>
      </c>
    </row>
    <row r="200" customFormat="false" ht="13.8" hidden="false" customHeight="false" outlineLevel="0" collapsed="false">
      <c r="A200" s="27" t="n">
        <v>199</v>
      </c>
      <c r="B200" s="28"/>
      <c r="C200" s="29"/>
      <c r="D200" s="29"/>
      <c r="E200" s="29"/>
      <c r="F200" s="29"/>
      <c r="G200" s="29"/>
      <c r="H200" s="29"/>
      <c r="I200" s="30" t="n">
        <v>808</v>
      </c>
      <c r="J200" s="18" t="s">
        <v>1350</v>
      </c>
      <c r="K200" s="18" t="n">
        <v>819</v>
      </c>
      <c r="L200" s="31" t="n">
        <v>819</v>
      </c>
      <c r="M200" s="32" t="s">
        <v>81</v>
      </c>
      <c r="N200" s="34" t="n">
        <v>22</v>
      </c>
    </row>
    <row r="201" customFormat="false" ht="13.8" hidden="false" customHeight="false" outlineLevel="0" collapsed="false">
      <c r="A201" s="14" t="n">
        <v>200</v>
      </c>
      <c r="B201" s="15"/>
      <c r="C201" s="16"/>
      <c r="D201" s="16"/>
      <c r="E201" s="16"/>
      <c r="F201" s="16"/>
      <c r="G201" s="16" t="s">
        <v>1396</v>
      </c>
      <c r="H201" s="16"/>
      <c r="I201" s="17"/>
      <c r="J201" s="18" t="s">
        <v>1351</v>
      </c>
      <c r="K201" s="18" t="n">
        <v>972</v>
      </c>
      <c r="L201" s="19" t="n">
        <v>972</v>
      </c>
      <c r="M201" s="20" t="s">
        <v>43</v>
      </c>
      <c r="N201" s="34" t="n">
        <v>23</v>
      </c>
      <c r="O201" s="0" t="s">
        <v>1351</v>
      </c>
    </row>
    <row r="202" customFormat="false" ht="13.8" hidden="false" customHeight="false" outlineLevel="0" collapsed="false">
      <c r="A202" s="21" t="n">
        <v>201</v>
      </c>
      <c r="B202" s="22"/>
      <c r="C202" s="23"/>
      <c r="D202" s="23"/>
      <c r="E202" s="23"/>
      <c r="F202" s="23"/>
      <c r="G202" s="23"/>
      <c r="H202" s="23"/>
      <c r="I202" s="24" t="n">
        <v>166</v>
      </c>
      <c r="J202" s="18" t="s">
        <v>1351</v>
      </c>
      <c r="K202" s="18" t="n">
        <v>171</v>
      </c>
      <c r="L202" s="25" t="n">
        <v>171</v>
      </c>
      <c r="M202" s="26" t="s">
        <v>84</v>
      </c>
      <c r="N202" s="34" t="n">
        <v>23</v>
      </c>
    </row>
    <row r="203" customFormat="false" ht="13.8" hidden="false" customHeight="false" outlineLevel="0" collapsed="false">
      <c r="A203" s="21" t="n">
        <v>202</v>
      </c>
      <c r="B203" s="22"/>
      <c r="C203" s="23"/>
      <c r="D203" s="23"/>
      <c r="E203" s="23"/>
      <c r="F203" s="23"/>
      <c r="G203" s="23"/>
      <c r="H203" s="23"/>
      <c r="I203" s="24"/>
      <c r="J203" s="18" t="s">
        <v>1351</v>
      </c>
      <c r="K203" s="18" t="n">
        <v>195</v>
      </c>
      <c r="L203" s="25" t="n">
        <v>195</v>
      </c>
      <c r="M203" s="26" t="s">
        <v>279</v>
      </c>
      <c r="N203" s="34" t="n">
        <v>23</v>
      </c>
    </row>
    <row r="204" customFormat="false" ht="13.8" hidden="false" customHeight="false" outlineLevel="0" collapsed="false">
      <c r="A204" s="21" t="n">
        <v>203</v>
      </c>
      <c r="B204" s="22"/>
      <c r="C204" s="23"/>
      <c r="D204" s="23"/>
      <c r="E204" s="23"/>
      <c r="F204" s="23"/>
      <c r="G204" s="23"/>
      <c r="H204" s="23"/>
      <c r="I204" s="24" t="n">
        <v>294</v>
      </c>
      <c r="J204" s="18" t="s">
        <v>1351</v>
      </c>
      <c r="K204" s="18" t="n">
        <v>304</v>
      </c>
      <c r="L204" s="25" t="n">
        <v>304</v>
      </c>
      <c r="M204" s="26" t="s">
        <v>85</v>
      </c>
      <c r="N204" s="34" t="n">
        <v>23</v>
      </c>
    </row>
    <row r="205" customFormat="false" ht="13.8" hidden="false" customHeight="false" outlineLevel="0" collapsed="false">
      <c r="A205" s="21" t="n">
        <v>204</v>
      </c>
      <c r="B205" s="22"/>
      <c r="C205" s="23"/>
      <c r="D205" s="23"/>
      <c r="E205" s="23"/>
      <c r="F205" s="23"/>
      <c r="G205" s="23"/>
      <c r="H205" s="23"/>
      <c r="I205" s="24" t="n">
        <v>353</v>
      </c>
      <c r="J205" s="18" t="s">
        <v>1351</v>
      </c>
      <c r="K205" s="18" t="n">
        <v>363</v>
      </c>
      <c r="L205" s="25" t="n">
        <v>363</v>
      </c>
      <c r="M205" s="26" t="s">
        <v>86</v>
      </c>
      <c r="N205" s="34" t="n">
        <v>23</v>
      </c>
    </row>
    <row r="206" customFormat="false" ht="13.8" hidden="false" customHeight="false" outlineLevel="0" collapsed="false">
      <c r="A206" s="21" t="n">
        <v>205</v>
      </c>
      <c r="B206" s="22"/>
      <c r="C206" s="23"/>
      <c r="D206" s="23"/>
      <c r="E206" s="23"/>
      <c r="F206" s="23"/>
      <c r="G206" s="23"/>
      <c r="H206" s="23"/>
      <c r="I206" s="24" t="n">
        <v>79</v>
      </c>
      <c r="J206" s="18" t="s">
        <v>1351</v>
      </c>
      <c r="K206" s="18" t="n">
        <v>84</v>
      </c>
      <c r="L206" s="25" t="n">
        <v>84</v>
      </c>
      <c r="M206" s="26" t="s">
        <v>82</v>
      </c>
      <c r="N206" s="34" t="n">
        <v>23</v>
      </c>
    </row>
    <row r="207" customFormat="false" ht="13.8" hidden="false" customHeight="false" outlineLevel="0" collapsed="false">
      <c r="A207" s="27" t="n">
        <v>206</v>
      </c>
      <c r="B207" s="28"/>
      <c r="C207" s="29"/>
      <c r="D207" s="29"/>
      <c r="E207" s="29"/>
      <c r="F207" s="29"/>
      <c r="G207" s="29"/>
      <c r="H207" s="29"/>
      <c r="I207" s="30" t="n">
        <v>127</v>
      </c>
      <c r="J207" s="18" t="s">
        <v>1351</v>
      </c>
      <c r="K207" s="18" t="n">
        <v>132</v>
      </c>
      <c r="L207" s="31" t="n">
        <v>132</v>
      </c>
      <c r="M207" s="32" t="s">
        <v>83</v>
      </c>
      <c r="N207" s="34" t="n">
        <v>23</v>
      </c>
    </row>
    <row r="208" customFormat="false" ht="13.8" hidden="false" customHeight="false" outlineLevel="0" collapsed="false">
      <c r="A208" s="14" t="n">
        <v>207</v>
      </c>
      <c r="B208" s="15"/>
      <c r="C208" s="16"/>
      <c r="D208" s="16"/>
      <c r="E208" s="16"/>
      <c r="F208" s="16"/>
      <c r="G208" s="16" t="s">
        <v>1397</v>
      </c>
      <c r="H208" s="16"/>
      <c r="I208" s="17"/>
      <c r="J208" s="18" t="s">
        <v>44</v>
      </c>
      <c r="K208" s="18" t="n">
        <v>44</v>
      </c>
      <c r="L208" s="19" t="n">
        <v>44</v>
      </c>
      <c r="M208" s="20" t="s">
        <v>45</v>
      </c>
      <c r="N208" s="34" t="n">
        <v>24</v>
      </c>
      <c r="O208" s="0" t="s">
        <v>44</v>
      </c>
    </row>
    <row r="209" customFormat="false" ht="13.8" hidden="false" customHeight="false" outlineLevel="0" collapsed="false">
      <c r="A209" s="21" t="n">
        <v>208</v>
      </c>
      <c r="B209" s="22"/>
      <c r="C209" s="23"/>
      <c r="D209" s="23"/>
      <c r="E209" s="23"/>
      <c r="F209" s="23"/>
      <c r="G209" s="23"/>
      <c r="H209" s="23"/>
      <c r="I209" s="24" t="n">
        <v>696</v>
      </c>
      <c r="J209" s="18" t="s">
        <v>44</v>
      </c>
      <c r="K209" s="18" t="n">
        <v>707</v>
      </c>
      <c r="L209" s="25" t="n">
        <v>707</v>
      </c>
      <c r="M209" s="26" t="s">
        <v>88</v>
      </c>
      <c r="N209" s="34" t="n">
        <v>24</v>
      </c>
    </row>
    <row r="210" customFormat="false" ht="13.8" hidden="false" customHeight="false" outlineLevel="0" collapsed="false">
      <c r="A210" s="21" t="n">
        <v>209</v>
      </c>
      <c r="B210" s="22"/>
      <c r="C210" s="23"/>
      <c r="D210" s="23"/>
      <c r="E210" s="23"/>
      <c r="F210" s="23"/>
      <c r="G210" s="23"/>
      <c r="H210" s="23"/>
      <c r="I210" s="24"/>
      <c r="J210" s="18" t="s">
        <v>44</v>
      </c>
      <c r="K210" s="18" t="n">
        <v>747</v>
      </c>
      <c r="L210" s="25" t="n">
        <v>747</v>
      </c>
      <c r="M210" s="26" t="s">
        <v>797</v>
      </c>
      <c r="N210" s="34" t="n">
        <v>24</v>
      </c>
    </row>
    <row r="211" customFormat="false" ht="13.8" hidden="false" customHeight="false" outlineLevel="0" collapsed="false">
      <c r="A211" s="21" t="n">
        <v>210</v>
      </c>
      <c r="B211" s="22"/>
      <c r="C211" s="23"/>
      <c r="D211" s="23"/>
      <c r="E211" s="23"/>
      <c r="F211" s="23"/>
      <c r="G211" s="23"/>
      <c r="H211" s="23"/>
      <c r="I211" s="24" t="n">
        <v>545</v>
      </c>
      <c r="J211" s="18" t="s">
        <v>44</v>
      </c>
      <c r="K211" s="18" t="n">
        <v>556</v>
      </c>
      <c r="L211" s="25" t="n">
        <v>556</v>
      </c>
      <c r="M211" s="26" t="s">
        <v>87</v>
      </c>
      <c r="N211" s="34" t="n">
        <v>24</v>
      </c>
    </row>
    <row r="212" customFormat="false" ht="13.8" hidden="false" customHeight="false" outlineLevel="0" collapsed="false">
      <c r="A212" s="21" t="n">
        <v>211</v>
      </c>
      <c r="B212" s="22"/>
      <c r="C212" s="23"/>
      <c r="D212" s="23"/>
      <c r="E212" s="23"/>
      <c r="F212" s="23"/>
      <c r="G212" s="23"/>
      <c r="H212" s="23"/>
      <c r="I212" s="24" t="n">
        <v>816</v>
      </c>
      <c r="J212" s="18" t="s">
        <v>44</v>
      </c>
      <c r="K212" s="18" t="n">
        <v>827</v>
      </c>
      <c r="L212" s="35" t="n">
        <v>827</v>
      </c>
      <c r="M212" s="36" t="s">
        <v>89</v>
      </c>
      <c r="N212" s="34" t="n">
        <v>24</v>
      </c>
    </row>
    <row r="213" customFormat="false" ht="13.8" hidden="false" customHeight="false" outlineLevel="0" collapsed="false">
      <c r="A213" s="21" t="n">
        <v>212</v>
      </c>
      <c r="B213" s="22"/>
      <c r="C213" s="23"/>
      <c r="D213" s="23"/>
      <c r="E213" s="23"/>
      <c r="F213" s="23"/>
      <c r="G213" s="23"/>
      <c r="H213" s="23"/>
      <c r="I213" s="24" t="n">
        <v>1042</v>
      </c>
      <c r="J213" s="18" t="s">
        <v>44</v>
      </c>
      <c r="K213" s="18" t="n">
        <v>1054</v>
      </c>
      <c r="L213" s="25" t="n">
        <v>1054</v>
      </c>
      <c r="M213" s="26" t="s">
        <v>90</v>
      </c>
      <c r="N213" s="34" t="n">
        <v>24</v>
      </c>
    </row>
    <row r="214" customFormat="false" ht="13.8" hidden="false" customHeight="false" outlineLevel="0" collapsed="false">
      <c r="A214" s="27" t="n">
        <v>213</v>
      </c>
      <c r="B214" s="28"/>
      <c r="C214" s="29"/>
      <c r="D214" s="29"/>
      <c r="E214" s="29"/>
      <c r="F214" s="29"/>
      <c r="G214" s="29"/>
      <c r="H214" s="29"/>
      <c r="I214" s="30" t="n">
        <v>1069</v>
      </c>
      <c r="J214" s="18" t="s">
        <v>44</v>
      </c>
      <c r="K214" s="18" t="n">
        <v>1081</v>
      </c>
      <c r="L214" s="31" t="n">
        <v>1081</v>
      </c>
      <c r="M214" s="32" t="s">
        <v>91</v>
      </c>
      <c r="N214" s="34" t="n">
        <v>24</v>
      </c>
    </row>
    <row r="215" customFormat="false" ht="13.8" hidden="false" customHeight="false" outlineLevel="0" collapsed="false">
      <c r="A215" s="14" t="n">
        <v>214</v>
      </c>
      <c r="B215" s="15"/>
      <c r="C215" s="16"/>
      <c r="D215" s="16"/>
      <c r="E215" s="16"/>
      <c r="F215" s="16"/>
      <c r="G215" s="16" t="s">
        <v>1398</v>
      </c>
      <c r="H215" s="16"/>
      <c r="I215" s="17"/>
      <c r="J215" s="18" t="s">
        <v>1398</v>
      </c>
      <c r="K215" s="18" t="n">
        <v>714</v>
      </c>
      <c r="L215" s="19" t="n">
        <v>714</v>
      </c>
      <c r="M215" s="20" t="s">
        <v>765</v>
      </c>
      <c r="N215" s="34" t="n">
        <v>25</v>
      </c>
      <c r="O215" s="0" t="s">
        <v>1352</v>
      </c>
    </row>
    <row r="216" customFormat="false" ht="13.8" hidden="false" customHeight="false" outlineLevel="0" collapsed="false">
      <c r="A216" s="21" t="n">
        <v>215</v>
      </c>
      <c r="B216" s="22"/>
      <c r="C216" s="23"/>
      <c r="D216" s="23"/>
      <c r="E216" s="23"/>
      <c r="F216" s="23"/>
      <c r="G216" s="23"/>
      <c r="H216" s="23"/>
      <c r="I216" s="24"/>
      <c r="J216" s="18" t="s">
        <v>1398</v>
      </c>
      <c r="K216" s="18" t="n">
        <v>264</v>
      </c>
      <c r="L216" s="25" t="n">
        <v>264</v>
      </c>
      <c r="M216" s="26" t="s">
        <v>346</v>
      </c>
      <c r="N216" s="34" t="n">
        <v>25</v>
      </c>
    </row>
    <row r="217" customFormat="false" ht="13.8" hidden="false" customHeight="false" outlineLevel="0" collapsed="false">
      <c r="A217" s="21" t="n">
        <v>216</v>
      </c>
      <c r="B217" s="22"/>
      <c r="C217" s="23"/>
      <c r="D217" s="23"/>
      <c r="E217" s="23"/>
      <c r="F217" s="23"/>
      <c r="G217" s="23"/>
      <c r="H217" s="23"/>
      <c r="I217" s="24"/>
      <c r="J217" s="18" t="s">
        <v>1398</v>
      </c>
      <c r="K217" s="18" t="n">
        <v>492</v>
      </c>
      <c r="L217" s="25" t="n">
        <v>492</v>
      </c>
      <c r="M217" s="26" t="s">
        <v>555</v>
      </c>
      <c r="N217" s="34" t="n">
        <v>25</v>
      </c>
    </row>
    <row r="218" customFormat="false" ht="13.8" hidden="false" customHeight="false" outlineLevel="0" collapsed="false">
      <c r="A218" s="21" t="n">
        <v>217</v>
      </c>
      <c r="B218" s="22"/>
      <c r="C218" s="23"/>
      <c r="D218" s="23"/>
      <c r="E218" s="23"/>
      <c r="F218" s="23"/>
      <c r="G218" s="23"/>
      <c r="H218" s="23"/>
      <c r="I218" s="24"/>
      <c r="J218" s="18" t="s">
        <v>1398</v>
      </c>
      <c r="K218" s="18" t="n">
        <v>352</v>
      </c>
      <c r="L218" s="25" t="n">
        <v>352</v>
      </c>
      <c r="M218" s="26" t="s">
        <v>423</v>
      </c>
      <c r="N218" s="34" t="n">
        <v>25</v>
      </c>
    </row>
    <row r="219" customFormat="false" ht="13.8" hidden="false" customHeight="false" outlineLevel="0" collapsed="false">
      <c r="A219" s="21" t="n">
        <v>218</v>
      </c>
      <c r="B219" s="22"/>
      <c r="C219" s="23"/>
      <c r="D219" s="23"/>
      <c r="E219" s="23"/>
      <c r="F219" s="23"/>
      <c r="G219" s="23"/>
      <c r="H219" s="23"/>
      <c r="I219" s="24"/>
      <c r="J219" s="18" t="s">
        <v>1398</v>
      </c>
      <c r="K219" s="18" t="n">
        <v>476</v>
      </c>
      <c r="L219" s="25" t="n">
        <v>476</v>
      </c>
      <c r="M219" s="26" t="s">
        <v>539</v>
      </c>
      <c r="N219" s="34" t="n">
        <v>25</v>
      </c>
    </row>
    <row r="220" customFormat="false" ht="13.8" hidden="false" customHeight="false" outlineLevel="0" collapsed="false">
      <c r="A220" s="21" t="n">
        <v>219</v>
      </c>
      <c r="B220" s="22"/>
      <c r="C220" s="23"/>
      <c r="D220" s="23"/>
      <c r="E220" s="23"/>
      <c r="F220" s="23"/>
      <c r="G220" s="23"/>
      <c r="H220" s="23"/>
      <c r="I220" s="24"/>
      <c r="J220" s="18" t="s">
        <v>1398</v>
      </c>
      <c r="K220" s="18" t="n">
        <v>516</v>
      </c>
      <c r="L220" s="25" t="n">
        <v>516</v>
      </c>
      <c r="M220" s="26" t="s">
        <v>579</v>
      </c>
      <c r="N220" s="34" t="n">
        <v>25</v>
      </c>
    </row>
    <row r="221" customFormat="false" ht="13.8" hidden="false" customHeight="false" outlineLevel="0" collapsed="false">
      <c r="A221" s="27" t="n">
        <v>220</v>
      </c>
      <c r="B221" s="28"/>
      <c r="C221" s="29"/>
      <c r="D221" s="29"/>
      <c r="E221" s="29"/>
      <c r="F221" s="29"/>
      <c r="G221" s="29"/>
      <c r="H221" s="29"/>
      <c r="I221" s="37"/>
      <c r="J221" s="18" t="s">
        <v>1398</v>
      </c>
      <c r="K221" s="18" t="n">
        <v>723</v>
      </c>
      <c r="L221" s="31" t="n">
        <v>723</v>
      </c>
      <c r="M221" s="32" t="s">
        <v>774</v>
      </c>
      <c r="N221" s="34" t="n">
        <v>25</v>
      </c>
    </row>
    <row r="222" customFormat="false" ht="13.8" hidden="false" customHeight="false" outlineLevel="0" collapsed="false">
      <c r="A222" s="14" t="n">
        <v>221</v>
      </c>
      <c r="B222" s="15"/>
      <c r="C222" s="16"/>
      <c r="D222" s="16"/>
      <c r="E222" s="16"/>
      <c r="F222" s="16"/>
      <c r="G222" s="16"/>
      <c r="H222" s="16"/>
      <c r="I222" s="38" t="n">
        <v>437</v>
      </c>
      <c r="J222" s="18" t="s">
        <v>1399</v>
      </c>
      <c r="K222" s="18" t="n">
        <v>448</v>
      </c>
      <c r="L222" s="19" t="n">
        <v>448</v>
      </c>
      <c r="M222" s="20" t="s">
        <v>513</v>
      </c>
      <c r="N222" s="34" t="n">
        <v>26</v>
      </c>
      <c r="O222" s="0" t="s">
        <v>1353</v>
      </c>
    </row>
    <row r="223" customFormat="false" ht="13.8" hidden="false" customHeight="false" outlineLevel="0" collapsed="false">
      <c r="A223" s="21" t="n">
        <v>222</v>
      </c>
      <c r="B223" s="22"/>
      <c r="C223" s="23"/>
      <c r="D223" s="23"/>
      <c r="E223" s="23"/>
      <c r="F223" s="23"/>
      <c r="G223" s="23"/>
      <c r="H223" s="23"/>
      <c r="I223" s="24" t="n">
        <v>402</v>
      </c>
      <c r="J223" s="18" t="s">
        <v>1399</v>
      </c>
      <c r="K223" s="18" t="n">
        <v>412</v>
      </c>
      <c r="L223" s="25" t="n">
        <v>412</v>
      </c>
      <c r="M223" s="26" t="s">
        <v>481</v>
      </c>
      <c r="N223" s="34" t="n">
        <v>26</v>
      </c>
    </row>
    <row r="224" customFormat="false" ht="13.8" hidden="false" customHeight="false" outlineLevel="0" collapsed="false">
      <c r="A224" s="21" t="n">
        <v>223</v>
      </c>
      <c r="B224" s="22"/>
      <c r="C224" s="23"/>
      <c r="D224" s="23"/>
      <c r="E224" s="23"/>
      <c r="F224" s="23"/>
      <c r="G224" s="23"/>
      <c r="H224" s="23"/>
      <c r="I224" s="24" t="n">
        <v>619</v>
      </c>
      <c r="J224" s="18" t="s">
        <v>1399</v>
      </c>
      <c r="K224" s="18" t="n">
        <v>630</v>
      </c>
      <c r="L224" s="25" t="n">
        <v>630</v>
      </c>
      <c r="M224" s="26" t="s">
        <v>685</v>
      </c>
      <c r="N224" s="34" t="n">
        <v>26</v>
      </c>
    </row>
    <row r="225" customFormat="false" ht="13.8" hidden="false" customHeight="false" outlineLevel="0" collapsed="false">
      <c r="A225" s="21" t="n">
        <v>224</v>
      </c>
      <c r="B225" s="22"/>
      <c r="C225" s="23"/>
      <c r="D225" s="23"/>
      <c r="E225" s="23"/>
      <c r="F225" s="23"/>
      <c r="G225" s="23"/>
      <c r="H225" s="23"/>
      <c r="I225" s="24" t="n">
        <v>429</v>
      </c>
      <c r="J225" s="18" t="s">
        <v>1399</v>
      </c>
      <c r="K225" s="18" t="n">
        <v>440</v>
      </c>
      <c r="L225" s="25" t="n">
        <v>440</v>
      </c>
      <c r="M225" s="26" t="s">
        <v>506</v>
      </c>
      <c r="N225" s="34" t="n">
        <v>26</v>
      </c>
    </row>
    <row r="226" customFormat="false" ht="13.8" hidden="false" customHeight="false" outlineLevel="0" collapsed="false">
      <c r="A226" s="27" t="n">
        <v>225</v>
      </c>
      <c r="B226" s="28"/>
      <c r="C226" s="29"/>
      <c r="D226" s="29"/>
      <c r="E226" s="29"/>
      <c r="F226" s="29"/>
      <c r="G226" s="29"/>
      <c r="H226" s="29"/>
      <c r="I226" s="30" t="n">
        <v>477</v>
      </c>
      <c r="J226" s="18" t="s">
        <v>1399</v>
      </c>
      <c r="K226" s="18" t="n">
        <v>488</v>
      </c>
      <c r="L226" s="31" t="n">
        <v>488</v>
      </c>
      <c r="M226" s="32" t="s">
        <v>551</v>
      </c>
      <c r="N226" s="34" t="n">
        <v>26</v>
      </c>
    </row>
    <row r="227" customFormat="false" ht="13.8" hidden="false" customHeight="false" outlineLevel="0" collapsed="false">
      <c r="A227" s="14" t="n">
        <v>226</v>
      </c>
      <c r="B227" s="15"/>
      <c r="C227" s="16"/>
      <c r="D227" s="16"/>
      <c r="E227" s="16"/>
      <c r="F227" s="16"/>
      <c r="G227" s="16"/>
      <c r="H227" s="16"/>
      <c r="I227" s="17"/>
      <c r="J227" s="18" t="s">
        <v>1400</v>
      </c>
      <c r="K227" s="18" t="n">
        <v>731</v>
      </c>
      <c r="L227" s="19" t="n">
        <v>731</v>
      </c>
      <c r="M227" s="20" t="s">
        <v>781</v>
      </c>
      <c r="N227" s="34" t="n">
        <v>27</v>
      </c>
      <c r="O227" s="0" t="s">
        <v>1354</v>
      </c>
    </row>
    <row r="228" customFormat="false" ht="13.8" hidden="false" customHeight="false" outlineLevel="0" collapsed="false">
      <c r="A228" s="21" t="n">
        <v>227</v>
      </c>
      <c r="B228" s="22"/>
      <c r="C228" s="23"/>
      <c r="D228" s="23"/>
      <c r="E228" s="23"/>
      <c r="F228" s="23"/>
      <c r="G228" s="23"/>
      <c r="H228" s="23"/>
      <c r="I228" s="24" t="n">
        <v>473</v>
      </c>
      <c r="J228" s="18" t="s">
        <v>1400</v>
      </c>
      <c r="K228" s="18" t="n">
        <v>484</v>
      </c>
      <c r="L228" s="25" t="n">
        <v>484</v>
      </c>
      <c r="M228" s="26" t="s">
        <v>547</v>
      </c>
      <c r="N228" s="34" t="n">
        <v>27</v>
      </c>
    </row>
    <row r="229" customFormat="false" ht="13.8" hidden="false" customHeight="false" outlineLevel="0" collapsed="false">
      <c r="A229" s="21" t="n">
        <v>228</v>
      </c>
      <c r="B229" s="22"/>
      <c r="C229" s="23"/>
      <c r="D229" s="23"/>
      <c r="E229" s="23"/>
      <c r="F229" s="23"/>
      <c r="G229" s="23"/>
      <c r="H229" s="23"/>
      <c r="I229" s="24"/>
      <c r="J229" s="18" t="s">
        <v>1400</v>
      </c>
      <c r="K229" s="18" t="n">
        <v>524</v>
      </c>
      <c r="L229" s="25" t="n">
        <v>524</v>
      </c>
      <c r="M229" s="26" t="s">
        <v>587</v>
      </c>
      <c r="N229" s="34" t="n">
        <v>27</v>
      </c>
    </row>
    <row r="230" customFormat="false" ht="13.8" hidden="false" customHeight="false" outlineLevel="0" collapsed="false">
      <c r="A230" s="21" t="n">
        <v>229</v>
      </c>
      <c r="B230" s="22"/>
      <c r="C230" s="23"/>
      <c r="D230" s="23"/>
      <c r="E230" s="23"/>
      <c r="F230" s="23"/>
      <c r="G230" s="23"/>
      <c r="H230" s="23"/>
      <c r="I230" s="24" t="n">
        <v>571</v>
      </c>
      <c r="J230" s="18" t="s">
        <v>1400</v>
      </c>
      <c r="K230" s="18" t="n">
        <v>582</v>
      </c>
      <c r="L230" s="25" t="n">
        <v>582</v>
      </c>
      <c r="M230" s="26" t="s">
        <v>641</v>
      </c>
      <c r="N230" s="34" t="n">
        <v>27</v>
      </c>
    </row>
    <row r="231" customFormat="false" ht="13.8" hidden="false" customHeight="false" outlineLevel="0" collapsed="false">
      <c r="A231" s="21" t="n">
        <v>230</v>
      </c>
      <c r="B231" s="22"/>
      <c r="C231" s="23"/>
      <c r="D231" s="23"/>
      <c r="E231" s="23"/>
      <c r="F231" s="23"/>
      <c r="G231" s="23"/>
      <c r="H231" s="23"/>
      <c r="I231" s="24" t="n">
        <v>609</v>
      </c>
      <c r="J231" s="18" t="s">
        <v>1400</v>
      </c>
      <c r="K231" s="18" t="n">
        <v>620</v>
      </c>
      <c r="L231" s="25" t="n">
        <v>620</v>
      </c>
      <c r="M231" s="26" t="s">
        <v>676</v>
      </c>
      <c r="N231" s="34" t="n">
        <v>27</v>
      </c>
    </row>
    <row r="232" customFormat="false" ht="13.8" hidden="false" customHeight="false" outlineLevel="0" collapsed="false">
      <c r="A232" s="27" t="n">
        <v>231</v>
      </c>
      <c r="B232" s="28"/>
      <c r="C232" s="29"/>
      <c r="D232" s="29"/>
      <c r="E232" s="29"/>
      <c r="F232" s="29"/>
      <c r="G232" s="29"/>
      <c r="H232" s="29"/>
      <c r="I232" s="30" t="n">
        <v>899</v>
      </c>
      <c r="J232" s="18" t="s">
        <v>1400</v>
      </c>
      <c r="K232" s="18" t="n">
        <v>910</v>
      </c>
      <c r="L232" s="31" t="n">
        <v>910</v>
      </c>
      <c r="M232" s="32" t="s">
        <v>953</v>
      </c>
      <c r="N232" s="34" t="n">
        <v>27</v>
      </c>
    </row>
    <row r="233" customFormat="false" ht="13.8" hidden="false" customHeight="false" outlineLevel="0" collapsed="false">
      <c r="A233" s="14" t="n">
        <v>232</v>
      </c>
      <c r="B233" s="15"/>
      <c r="C233" s="16"/>
      <c r="D233" s="16"/>
      <c r="E233" s="16"/>
      <c r="F233" s="16"/>
      <c r="G233" s="16"/>
      <c r="H233" s="16"/>
      <c r="I233" s="17"/>
      <c r="J233" s="18" t="s">
        <v>1401</v>
      </c>
      <c r="K233" s="18" t="n">
        <v>738</v>
      </c>
      <c r="L233" s="19" t="n">
        <v>738</v>
      </c>
      <c r="M233" s="20" t="s">
        <v>788</v>
      </c>
      <c r="N233" s="34" t="n">
        <v>28</v>
      </c>
      <c r="O233" s="0" t="s">
        <v>1356</v>
      </c>
    </row>
    <row r="234" customFormat="false" ht="13.8" hidden="false" customHeight="false" outlineLevel="0" collapsed="false">
      <c r="A234" s="21" t="n">
        <v>233</v>
      </c>
      <c r="B234" s="22"/>
      <c r="C234" s="23"/>
      <c r="D234" s="23"/>
      <c r="E234" s="23"/>
      <c r="F234" s="23"/>
      <c r="G234" s="23"/>
      <c r="H234" s="23"/>
      <c r="I234" s="24"/>
      <c r="J234" s="18" t="s">
        <v>1401</v>
      </c>
      <c r="K234" s="18" t="n">
        <v>746</v>
      </c>
      <c r="L234" s="25" t="n">
        <v>746</v>
      </c>
      <c r="M234" s="26" t="s">
        <v>796</v>
      </c>
      <c r="N234" s="34" t="n">
        <v>28</v>
      </c>
    </row>
    <row r="235" customFormat="false" ht="13.8" hidden="false" customHeight="false" outlineLevel="0" collapsed="false">
      <c r="A235" s="21" t="n">
        <v>234</v>
      </c>
      <c r="B235" s="22"/>
      <c r="C235" s="23"/>
      <c r="D235" s="23"/>
      <c r="E235" s="23"/>
      <c r="F235" s="23"/>
      <c r="G235" s="23"/>
      <c r="H235" s="23"/>
      <c r="I235" s="24" t="n">
        <v>958</v>
      </c>
      <c r="J235" s="18" t="s">
        <v>1401</v>
      </c>
      <c r="K235" s="18" t="n">
        <v>969</v>
      </c>
      <c r="L235" s="25" t="n">
        <v>969</v>
      </c>
      <c r="M235" s="26" t="s">
        <v>1008</v>
      </c>
      <c r="N235" s="34" t="n">
        <v>28</v>
      </c>
    </row>
    <row r="236" customFormat="false" ht="13.8" hidden="false" customHeight="false" outlineLevel="0" collapsed="false">
      <c r="A236" s="21" t="n">
        <v>235</v>
      </c>
      <c r="B236" s="22"/>
      <c r="C236" s="23"/>
      <c r="D236" s="23"/>
      <c r="E236" s="23"/>
      <c r="F236" s="23"/>
      <c r="G236" s="23"/>
      <c r="H236" s="23"/>
      <c r="I236" s="24" t="n">
        <v>278</v>
      </c>
      <c r="J236" s="18" t="s">
        <v>1401</v>
      </c>
      <c r="K236" s="18" t="n">
        <v>288</v>
      </c>
      <c r="L236" s="25" t="n">
        <v>288</v>
      </c>
      <c r="M236" s="26" t="s">
        <v>365</v>
      </c>
      <c r="N236" s="34" t="n">
        <v>28</v>
      </c>
    </row>
    <row r="237" customFormat="false" ht="13.8" hidden="false" customHeight="false" outlineLevel="0" collapsed="false">
      <c r="A237" s="21" t="n">
        <v>236</v>
      </c>
      <c r="B237" s="22"/>
      <c r="C237" s="23"/>
      <c r="D237" s="23"/>
      <c r="E237" s="23"/>
      <c r="F237" s="23"/>
      <c r="G237" s="23"/>
      <c r="H237" s="23"/>
      <c r="I237" s="24" t="n">
        <v>1111</v>
      </c>
      <c r="J237" s="18" t="s">
        <v>1401</v>
      </c>
      <c r="K237" s="18" t="n">
        <v>1125</v>
      </c>
      <c r="L237" s="25" t="n">
        <v>1125</v>
      </c>
      <c r="M237" s="26" t="s">
        <v>1157</v>
      </c>
      <c r="N237" s="34" t="n">
        <v>28</v>
      </c>
    </row>
    <row r="238" customFormat="false" ht="13.8" hidden="false" customHeight="false" outlineLevel="0" collapsed="false">
      <c r="A238" s="21" t="n">
        <v>237</v>
      </c>
      <c r="B238" s="22"/>
      <c r="C238" s="23"/>
      <c r="D238" s="23"/>
      <c r="E238" s="23"/>
      <c r="F238" s="23"/>
      <c r="G238" s="23"/>
      <c r="H238" s="23"/>
      <c r="I238" s="24" t="n">
        <v>597</v>
      </c>
      <c r="J238" s="18" t="s">
        <v>1401</v>
      </c>
      <c r="K238" s="18" t="n">
        <v>608</v>
      </c>
      <c r="L238" s="25" t="n">
        <v>608</v>
      </c>
      <c r="M238" s="26" t="s">
        <v>665</v>
      </c>
      <c r="N238" s="34" t="n">
        <v>28</v>
      </c>
    </row>
    <row r="239" customFormat="false" ht="13.8" hidden="false" customHeight="false" outlineLevel="0" collapsed="false">
      <c r="A239" s="27" t="n">
        <v>238</v>
      </c>
      <c r="B239" s="28"/>
      <c r="C239" s="29"/>
      <c r="D239" s="29"/>
      <c r="E239" s="29"/>
      <c r="F239" s="29"/>
      <c r="G239" s="29"/>
      <c r="H239" s="29"/>
      <c r="I239" s="30" t="n">
        <v>669</v>
      </c>
      <c r="J239" s="18" t="s">
        <v>1401</v>
      </c>
      <c r="K239" s="18" t="n">
        <v>680</v>
      </c>
      <c r="L239" s="31" t="n">
        <v>680</v>
      </c>
      <c r="M239" s="32" t="s">
        <v>733</v>
      </c>
      <c r="N239" s="34" t="n">
        <v>28</v>
      </c>
    </row>
    <row r="240" customFormat="false" ht="13.8" hidden="false" customHeight="false" outlineLevel="0" collapsed="false">
      <c r="A240" s="14" t="n">
        <v>239</v>
      </c>
      <c r="B240" s="15"/>
      <c r="C240" s="16"/>
      <c r="D240" s="16"/>
      <c r="E240" s="16"/>
      <c r="F240" s="16"/>
      <c r="G240" s="16" t="s">
        <v>1402</v>
      </c>
      <c r="H240" s="16"/>
      <c r="I240" s="17"/>
      <c r="J240" s="18" t="s">
        <v>1403</v>
      </c>
      <c r="K240" s="18" t="n">
        <v>95</v>
      </c>
      <c r="L240" s="19" t="n">
        <v>95</v>
      </c>
      <c r="M240" s="20" t="s">
        <v>183</v>
      </c>
      <c r="N240" s="34" t="n">
        <v>29</v>
      </c>
      <c r="O240" s="0" t="s">
        <v>1357</v>
      </c>
    </row>
    <row r="241" customFormat="false" ht="13.8" hidden="false" customHeight="false" outlineLevel="0" collapsed="false">
      <c r="A241" s="21" t="n">
        <v>240</v>
      </c>
      <c r="B241" s="22"/>
      <c r="C241" s="23"/>
      <c r="D241" s="23"/>
      <c r="E241" s="23"/>
      <c r="F241" s="23"/>
      <c r="G241" s="23"/>
      <c r="H241" s="23"/>
      <c r="I241" s="24" t="n">
        <v>99</v>
      </c>
      <c r="J241" s="18" t="s">
        <v>1403</v>
      </c>
      <c r="K241" s="18" t="n">
        <v>104</v>
      </c>
      <c r="L241" s="25" t="n">
        <v>104</v>
      </c>
      <c r="M241" s="26" t="s">
        <v>192</v>
      </c>
      <c r="N241" s="34" t="n">
        <v>29</v>
      </c>
    </row>
    <row r="242" customFormat="false" ht="13.8" hidden="false" customHeight="false" outlineLevel="0" collapsed="false">
      <c r="A242" s="21" t="n">
        <v>241</v>
      </c>
      <c r="B242" s="22"/>
      <c r="C242" s="23"/>
      <c r="D242" s="23"/>
      <c r="E242" s="23"/>
      <c r="F242" s="23"/>
      <c r="G242" s="23"/>
      <c r="H242" s="23"/>
      <c r="I242" s="24" t="n">
        <v>985</v>
      </c>
      <c r="J242" s="18" t="s">
        <v>1403</v>
      </c>
      <c r="K242" s="18" t="n">
        <v>996</v>
      </c>
      <c r="L242" s="25" t="n">
        <v>996</v>
      </c>
      <c r="M242" s="26" t="s">
        <v>1034</v>
      </c>
      <c r="N242" s="34" t="n">
        <v>29</v>
      </c>
    </row>
    <row r="243" customFormat="false" ht="13.8" hidden="false" customHeight="false" outlineLevel="0" collapsed="false">
      <c r="A243" s="21" t="n">
        <v>242</v>
      </c>
      <c r="B243" s="22"/>
      <c r="C243" s="23"/>
      <c r="D243" s="23"/>
      <c r="E243" s="23"/>
      <c r="F243" s="23"/>
      <c r="G243" s="23"/>
      <c r="H243" s="23"/>
      <c r="I243" s="24" t="n">
        <v>318</v>
      </c>
      <c r="J243" s="18" t="s">
        <v>1403</v>
      </c>
      <c r="K243" s="18" t="n">
        <v>328</v>
      </c>
      <c r="L243" s="25" t="n">
        <v>328</v>
      </c>
      <c r="M243" s="26" t="s">
        <v>400</v>
      </c>
      <c r="N243" s="34" t="n">
        <v>29</v>
      </c>
    </row>
    <row r="244" customFormat="false" ht="13.8" hidden="false" customHeight="false" outlineLevel="0" collapsed="false">
      <c r="A244" s="21" t="n">
        <v>243</v>
      </c>
      <c r="B244" s="22"/>
      <c r="C244" s="23"/>
      <c r="D244" s="23"/>
      <c r="E244" s="23"/>
      <c r="F244" s="23"/>
      <c r="G244" s="23"/>
      <c r="H244" s="23"/>
      <c r="I244" s="24" t="n">
        <v>1089</v>
      </c>
      <c r="J244" s="18" t="s">
        <v>1403</v>
      </c>
      <c r="K244" s="18" t="n">
        <v>1101</v>
      </c>
      <c r="L244" s="25" t="n">
        <v>1101</v>
      </c>
      <c r="M244" s="26" t="s">
        <v>1135</v>
      </c>
      <c r="N244" s="34" t="n">
        <v>29</v>
      </c>
    </row>
    <row r="245" customFormat="false" ht="13.8" hidden="false" customHeight="false" outlineLevel="0" collapsed="false">
      <c r="A245" s="21" t="n">
        <v>244</v>
      </c>
      <c r="B245" s="22"/>
      <c r="C245" s="23"/>
      <c r="D245" s="23"/>
      <c r="E245" s="23"/>
      <c r="F245" s="23"/>
      <c r="G245" s="23"/>
      <c r="H245" s="23"/>
      <c r="I245" s="24" t="n">
        <v>772</v>
      </c>
      <c r="J245" s="18" t="s">
        <v>1403</v>
      </c>
      <c r="K245" s="18" t="n">
        <v>783</v>
      </c>
      <c r="L245" s="25" t="n">
        <v>783</v>
      </c>
      <c r="M245" s="26" t="s">
        <v>831</v>
      </c>
      <c r="N245" s="34" t="n">
        <v>29</v>
      </c>
    </row>
    <row r="246" customFormat="false" ht="13.8" hidden="false" customHeight="false" outlineLevel="0" collapsed="false">
      <c r="A246" s="27" t="n">
        <v>245</v>
      </c>
      <c r="B246" s="28"/>
      <c r="C246" s="29"/>
      <c r="D246" s="29"/>
      <c r="E246" s="29"/>
      <c r="F246" s="29"/>
      <c r="G246" s="29"/>
      <c r="H246" s="29"/>
      <c r="I246" s="30" t="n">
        <v>820</v>
      </c>
      <c r="J246" s="18" t="s">
        <v>1403</v>
      </c>
      <c r="K246" s="18" t="n">
        <v>831</v>
      </c>
      <c r="L246" s="31" t="n">
        <v>831</v>
      </c>
      <c r="M246" s="32" t="s">
        <v>876</v>
      </c>
      <c r="N246" s="34" t="n">
        <v>29</v>
      </c>
    </row>
    <row r="247" customFormat="false" ht="13.8" hidden="false" customHeight="false" outlineLevel="0" collapsed="false">
      <c r="A247" s="14" t="n">
        <v>246</v>
      </c>
      <c r="B247" s="15"/>
      <c r="C247" s="16"/>
      <c r="D247" s="16"/>
      <c r="E247" s="16"/>
      <c r="F247" s="16"/>
      <c r="G247" s="16"/>
      <c r="H247" s="16"/>
      <c r="I247" s="17"/>
      <c r="J247" s="18" t="s">
        <v>1404</v>
      </c>
      <c r="K247" s="18" t="n">
        <v>111</v>
      </c>
      <c r="L247" s="19" t="n">
        <v>111</v>
      </c>
      <c r="M247" s="20" t="s">
        <v>199</v>
      </c>
      <c r="N247" s="34" t="n">
        <v>30</v>
      </c>
      <c r="O247" s="0" t="s">
        <v>1358</v>
      </c>
    </row>
    <row r="248" customFormat="false" ht="13.8" hidden="false" customHeight="false" outlineLevel="0" collapsed="false">
      <c r="A248" s="21" t="n">
        <v>247</v>
      </c>
      <c r="B248" s="22"/>
      <c r="C248" s="23"/>
      <c r="D248" s="23"/>
      <c r="E248" s="23"/>
      <c r="F248" s="23"/>
      <c r="G248" s="23"/>
      <c r="H248" s="23"/>
      <c r="I248" s="24" t="n">
        <v>115</v>
      </c>
      <c r="J248" s="18" t="s">
        <v>1404</v>
      </c>
      <c r="K248" s="18" t="n">
        <v>120</v>
      </c>
      <c r="L248" s="25" t="n">
        <v>120</v>
      </c>
      <c r="M248" s="26" t="s">
        <v>208</v>
      </c>
      <c r="N248" s="34" t="n">
        <v>30</v>
      </c>
    </row>
    <row r="249" customFormat="false" ht="13.8" hidden="false" customHeight="false" outlineLevel="0" collapsed="false">
      <c r="A249" s="21" t="n">
        <v>248</v>
      </c>
      <c r="B249" s="22"/>
      <c r="C249" s="23"/>
      <c r="D249" s="23"/>
      <c r="E249" s="23"/>
      <c r="F249" s="23"/>
      <c r="G249" s="23"/>
      <c r="H249" s="23"/>
      <c r="I249" s="24" t="n">
        <v>158</v>
      </c>
      <c r="J249" s="18" t="s">
        <v>1404</v>
      </c>
      <c r="K249" s="18" t="n">
        <v>163</v>
      </c>
      <c r="L249" s="25" t="n">
        <v>163</v>
      </c>
      <c r="M249" s="26" t="s">
        <v>250</v>
      </c>
      <c r="N249" s="34" t="n">
        <v>30</v>
      </c>
    </row>
    <row r="250" customFormat="false" ht="13.8" hidden="false" customHeight="false" outlineLevel="0" collapsed="false">
      <c r="A250" s="21" t="n">
        <v>249</v>
      </c>
      <c r="B250" s="22"/>
      <c r="C250" s="23"/>
      <c r="D250" s="23"/>
      <c r="E250" s="23"/>
      <c r="F250" s="23"/>
      <c r="G250" s="23"/>
      <c r="H250" s="23"/>
      <c r="I250" s="24" t="n">
        <v>334</v>
      </c>
      <c r="J250" s="18" t="s">
        <v>1404</v>
      </c>
      <c r="K250" s="18" t="n">
        <v>344</v>
      </c>
      <c r="L250" s="25" t="n">
        <v>344</v>
      </c>
      <c r="M250" s="26" t="s">
        <v>415</v>
      </c>
      <c r="N250" s="34" t="n">
        <v>30</v>
      </c>
    </row>
    <row r="251" customFormat="false" ht="13.8" hidden="false" customHeight="false" outlineLevel="0" collapsed="false">
      <c r="A251" s="21" t="n">
        <v>250</v>
      </c>
      <c r="B251" s="22"/>
      <c r="C251" s="23"/>
      <c r="D251" s="23"/>
      <c r="E251" s="23"/>
      <c r="F251" s="23"/>
      <c r="G251" s="23"/>
      <c r="H251" s="23"/>
      <c r="I251" s="24" t="n">
        <v>304</v>
      </c>
      <c r="J251" s="18" t="s">
        <v>1404</v>
      </c>
      <c r="K251" s="18" t="n">
        <v>314</v>
      </c>
      <c r="L251" s="25" t="n">
        <v>314</v>
      </c>
      <c r="M251" s="26" t="s">
        <v>386</v>
      </c>
      <c r="N251" s="34" t="n">
        <v>30</v>
      </c>
    </row>
    <row r="252" customFormat="false" ht="13.8" hidden="false" customHeight="false" outlineLevel="0" collapsed="false">
      <c r="A252" s="27" t="n">
        <v>251</v>
      </c>
      <c r="B252" s="28"/>
      <c r="C252" s="29"/>
      <c r="D252" s="29"/>
      <c r="E252" s="29"/>
      <c r="F252" s="29"/>
      <c r="G252" s="29"/>
      <c r="H252" s="29"/>
      <c r="I252" s="30"/>
      <c r="J252" s="18" t="s">
        <v>1404</v>
      </c>
      <c r="K252" s="18" t="n">
        <v>355</v>
      </c>
      <c r="L252" s="31" t="n">
        <v>355</v>
      </c>
      <c r="M252" s="32" t="s">
        <v>426</v>
      </c>
      <c r="N252" s="34" t="n">
        <v>30</v>
      </c>
    </row>
    <row r="253" customFormat="false" ht="13.8" hidden="false" customHeight="false" outlineLevel="0" collapsed="false">
      <c r="A253" s="14" t="n">
        <v>252</v>
      </c>
      <c r="B253" s="15"/>
      <c r="C253" s="16"/>
      <c r="D253" s="16"/>
      <c r="E253" s="16"/>
      <c r="F253" s="16"/>
      <c r="G253" s="16"/>
      <c r="H253" s="16"/>
      <c r="I253" s="17"/>
      <c r="J253" s="18" t="s">
        <v>1405</v>
      </c>
      <c r="K253" s="18" t="n">
        <v>119</v>
      </c>
      <c r="L253" s="19" t="n">
        <v>119</v>
      </c>
      <c r="M253" s="20" t="s">
        <v>207</v>
      </c>
      <c r="N253" s="34" t="n">
        <v>31</v>
      </c>
      <c r="O253" s="0" t="s">
        <v>1359</v>
      </c>
    </row>
    <row r="254" customFormat="false" ht="13.8" hidden="false" customHeight="false" outlineLevel="0" collapsed="false">
      <c r="A254" s="21" t="n">
        <v>253</v>
      </c>
      <c r="B254" s="22"/>
      <c r="C254" s="23"/>
      <c r="D254" s="23"/>
      <c r="E254" s="23"/>
      <c r="F254" s="23"/>
      <c r="G254" s="23"/>
      <c r="H254" s="23"/>
      <c r="I254" s="24" t="n">
        <v>693</v>
      </c>
      <c r="J254" s="18" t="s">
        <v>1405</v>
      </c>
      <c r="K254" s="18" t="n">
        <v>704</v>
      </c>
      <c r="L254" s="25" t="n">
        <v>704</v>
      </c>
      <c r="M254" s="26" t="s">
        <v>756</v>
      </c>
      <c r="N254" s="34" t="n">
        <v>31</v>
      </c>
    </row>
    <row r="255" customFormat="false" ht="13.8" hidden="false" customHeight="false" outlineLevel="0" collapsed="false">
      <c r="A255" s="21" t="n">
        <v>254</v>
      </c>
      <c r="B255" s="22"/>
      <c r="C255" s="23"/>
      <c r="D255" s="23"/>
      <c r="E255" s="23"/>
      <c r="F255" s="23"/>
      <c r="G255" s="23"/>
      <c r="H255" s="23"/>
      <c r="I255" s="24" t="n">
        <v>683</v>
      </c>
      <c r="J255" s="18" t="s">
        <v>1405</v>
      </c>
      <c r="K255" s="18" t="n">
        <v>694</v>
      </c>
      <c r="L255" s="25" t="n">
        <v>694</v>
      </c>
      <c r="M255" s="26" t="s">
        <v>746</v>
      </c>
      <c r="N255" s="34" t="n">
        <v>31</v>
      </c>
    </row>
    <row r="256" customFormat="false" ht="13.8" hidden="false" customHeight="false" outlineLevel="0" collapsed="false">
      <c r="A256" s="21" t="n">
        <v>255</v>
      </c>
      <c r="B256" s="22"/>
      <c r="C256" s="23"/>
      <c r="D256" s="23"/>
      <c r="E256" s="23"/>
      <c r="F256" s="23"/>
      <c r="G256" s="23"/>
      <c r="H256" s="23"/>
      <c r="I256" s="24" t="n">
        <v>789</v>
      </c>
      <c r="J256" s="18" t="s">
        <v>1405</v>
      </c>
      <c r="K256" s="18" t="n">
        <v>800</v>
      </c>
      <c r="L256" s="25" t="n">
        <v>800</v>
      </c>
      <c r="M256" s="26" t="s">
        <v>848</v>
      </c>
      <c r="N256" s="34" t="n">
        <v>31</v>
      </c>
    </row>
    <row r="257" customFormat="false" ht="13.8" hidden="false" customHeight="false" outlineLevel="0" collapsed="false">
      <c r="A257" s="21" t="n">
        <v>256</v>
      </c>
      <c r="B257" s="22"/>
      <c r="C257" s="23"/>
      <c r="D257" s="23"/>
      <c r="E257" s="23"/>
      <c r="F257" s="23"/>
      <c r="G257" s="23"/>
      <c r="H257" s="23"/>
      <c r="I257" s="24" t="n">
        <v>664</v>
      </c>
      <c r="J257" s="18" t="s">
        <v>1405</v>
      </c>
      <c r="K257" s="18" t="n">
        <v>675</v>
      </c>
      <c r="L257" s="25" t="n">
        <v>675</v>
      </c>
      <c r="M257" s="26" t="s">
        <v>728</v>
      </c>
      <c r="N257" s="34" t="n">
        <v>31</v>
      </c>
    </row>
    <row r="258" customFormat="false" ht="13.8" hidden="false" customHeight="false" outlineLevel="0" collapsed="false">
      <c r="A258" s="27" t="n">
        <v>257</v>
      </c>
      <c r="B258" s="28"/>
      <c r="C258" s="29"/>
      <c r="D258" s="29"/>
      <c r="E258" s="29"/>
      <c r="F258" s="29"/>
      <c r="G258" s="29"/>
      <c r="H258" s="29"/>
      <c r="I258" s="30"/>
      <c r="J258" s="18" t="s">
        <v>1405</v>
      </c>
      <c r="K258" s="18" t="n">
        <v>699</v>
      </c>
      <c r="L258" s="31" t="n">
        <v>699</v>
      </c>
      <c r="M258" s="32" t="s">
        <v>751</v>
      </c>
      <c r="N258" s="34" t="n">
        <v>31</v>
      </c>
    </row>
    <row r="259" customFormat="false" ht="13.8" hidden="false" customHeight="false" outlineLevel="0" collapsed="false">
      <c r="A259" s="14" t="n">
        <v>258</v>
      </c>
      <c r="B259" s="15"/>
      <c r="C259" s="16"/>
      <c r="D259" s="16"/>
      <c r="E259" s="16"/>
      <c r="F259" s="16"/>
      <c r="G259" s="16" t="s">
        <v>1406</v>
      </c>
      <c r="H259" s="16"/>
      <c r="I259" s="17"/>
      <c r="J259" s="18" t="s">
        <v>1407</v>
      </c>
      <c r="K259" s="18" t="n">
        <v>254</v>
      </c>
      <c r="L259" s="19" t="n">
        <v>254</v>
      </c>
      <c r="M259" s="20" t="s">
        <v>39</v>
      </c>
      <c r="N259" s="34" t="n">
        <v>32</v>
      </c>
      <c r="O259" s="0" t="s">
        <v>1360</v>
      </c>
    </row>
    <row r="260" customFormat="false" ht="13.8" hidden="false" customHeight="false" outlineLevel="0" collapsed="false">
      <c r="A260" s="21" t="n">
        <v>259</v>
      </c>
      <c r="B260" s="22"/>
      <c r="C260" s="23"/>
      <c r="D260" s="23"/>
      <c r="E260" s="23"/>
      <c r="F260" s="23"/>
      <c r="G260" s="23"/>
      <c r="H260" s="23"/>
      <c r="I260" s="24" t="n">
        <v>883</v>
      </c>
      <c r="J260" s="18" t="s">
        <v>1407</v>
      </c>
      <c r="K260" s="18" t="n">
        <v>894</v>
      </c>
      <c r="L260" s="25" t="n">
        <v>894</v>
      </c>
      <c r="M260" s="26" t="s">
        <v>55</v>
      </c>
      <c r="N260" s="34" t="n">
        <v>32</v>
      </c>
    </row>
    <row r="261" customFormat="false" ht="13.8" hidden="false" customHeight="false" outlineLevel="0" collapsed="false">
      <c r="A261" s="21" t="n">
        <v>260</v>
      </c>
      <c r="B261" s="22"/>
      <c r="C261" s="23"/>
      <c r="D261" s="23"/>
      <c r="E261" s="23"/>
      <c r="F261" s="23"/>
      <c r="G261" s="23"/>
      <c r="H261" s="23"/>
      <c r="I261" s="24" t="n">
        <v>660</v>
      </c>
      <c r="J261" s="18" t="s">
        <v>1407</v>
      </c>
      <c r="K261" s="18" t="n">
        <v>671</v>
      </c>
      <c r="L261" s="25" t="n">
        <v>671</v>
      </c>
      <c r="M261" s="26" t="s">
        <v>68</v>
      </c>
      <c r="N261" s="34" t="n">
        <v>32</v>
      </c>
    </row>
    <row r="262" customFormat="false" ht="13.8" hidden="false" customHeight="false" outlineLevel="0" collapsed="false">
      <c r="A262" s="21" t="n">
        <v>261</v>
      </c>
      <c r="B262" s="22"/>
      <c r="C262" s="23"/>
      <c r="D262" s="23"/>
      <c r="E262" s="23"/>
      <c r="F262" s="23"/>
      <c r="G262" s="23"/>
      <c r="H262" s="23"/>
      <c r="I262" s="24" t="n">
        <v>954</v>
      </c>
      <c r="J262" s="18" t="s">
        <v>1407</v>
      </c>
      <c r="K262" s="18" t="n">
        <v>965</v>
      </c>
      <c r="L262" s="35" t="n">
        <v>965</v>
      </c>
      <c r="M262" s="36" t="s">
        <v>71</v>
      </c>
      <c r="N262" s="34" t="n">
        <v>32</v>
      </c>
    </row>
    <row r="263" customFormat="false" ht="13.8" hidden="false" customHeight="false" outlineLevel="0" collapsed="false">
      <c r="A263" s="21" t="n">
        <v>262</v>
      </c>
      <c r="B263" s="22"/>
      <c r="C263" s="23"/>
      <c r="D263" s="23"/>
      <c r="E263" s="23"/>
      <c r="F263" s="23"/>
      <c r="G263" s="23"/>
      <c r="H263" s="23"/>
      <c r="I263" s="24" t="n">
        <v>763</v>
      </c>
      <c r="J263" s="18" t="s">
        <v>1407</v>
      </c>
      <c r="K263" s="18" t="n">
        <v>774</v>
      </c>
      <c r="L263" s="25" t="n">
        <v>774</v>
      </c>
      <c r="M263" s="26" t="s">
        <v>69</v>
      </c>
      <c r="N263" s="34" t="n">
        <v>32</v>
      </c>
    </row>
    <row r="264" customFormat="false" ht="13.8" hidden="false" customHeight="false" outlineLevel="0" collapsed="false">
      <c r="A264" s="21" t="n">
        <v>263</v>
      </c>
      <c r="B264" s="22"/>
      <c r="C264" s="23"/>
      <c r="D264" s="23"/>
      <c r="E264" s="23"/>
      <c r="F264" s="23"/>
      <c r="G264" s="23"/>
      <c r="H264" s="23"/>
      <c r="I264" s="24" t="n">
        <v>895</v>
      </c>
      <c r="J264" s="18" t="s">
        <v>1407</v>
      </c>
      <c r="K264" s="18" t="n">
        <v>906</v>
      </c>
      <c r="L264" s="25" t="n">
        <v>906</v>
      </c>
      <c r="M264" s="26" t="s">
        <v>70</v>
      </c>
      <c r="N264" s="34" t="n">
        <v>32</v>
      </c>
    </row>
    <row r="265" customFormat="false" ht="13.8" hidden="false" customHeight="false" outlineLevel="0" collapsed="false">
      <c r="A265" s="27" t="n">
        <v>264</v>
      </c>
      <c r="B265" s="28"/>
      <c r="C265" s="29"/>
      <c r="D265" s="29"/>
      <c r="E265" s="29"/>
      <c r="F265" s="29"/>
      <c r="G265" s="29"/>
      <c r="H265" s="29"/>
      <c r="I265" s="30" t="n">
        <v>270</v>
      </c>
      <c r="J265" s="18" t="s">
        <v>1407</v>
      </c>
      <c r="K265" s="18" t="n">
        <v>279</v>
      </c>
      <c r="L265" s="31" t="n">
        <v>279</v>
      </c>
      <c r="M265" s="32" t="s">
        <v>67</v>
      </c>
      <c r="N265" s="34" t="n">
        <v>32</v>
      </c>
    </row>
    <row r="266" customFormat="false" ht="13.8" hidden="false" customHeight="false" outlineLevel="0" collapsed="false">
      <c r="A266" s="14" t="n">
        <v>265</v>
      </c>
      <c r="B266" s="15"/>
      <c r="C266" s="16"/>
      <c r="D266" s="16"/>
      <c r="E266" s="16"/>
      <c r="F266" s="16"/>
      <c r="G266" s="16"/>
      <c r="H266" s="16"/>
      <c r="I266" s="17"/>
      <c r="J266" s="18" t="s">
        <v>1408</v>
      </c>
      <c r="K266" s="18" t="n">
        <v>879</v>
      </c>
      <c r="L266" s="19" t="n">
        <v>879</v>
      </c>
      <c r="M266" s="20" t="s">
        <v>924</v>
      </c>
      <c r="N266" s="34" t="n">
        <v>33</v>
      </c>
      <c r="O266" s="0" t="s">
        <v>1361</v>
      </c>
    </row>
    <row r="267" customFormat="false" ht="13.8" hidden="false" customHeight="false" outlineLevel="0" collapsed="false">
      <c r="A267" s="21" t="n">
        <v>266</v>
      </c>
      <c r="B267" s="22"/>
      <c r="C267" s="23"/>
      <c r="D267" s="23"/>
      <c r="E267" s="23"/>
      <c r="F267" s="23"/>
      <c r="G267" s="23"/>
      <c r="H267" s="23"/>
      <c r="I267" s="24" t="n">
        <v>431</v>
      </c>
      <c r="J267" s="18" t="s">
        <v>1408</v>
      </c>
      <c r="K267" s="18" t="n">
        <v>442</v>
      </c>
      <c r="L267" s="25" t="n">
        <v>442</v>
      </c>
      <c r="M267" s="26" t="s">
        <v>59</v>
      </c>
      <c r="N267" s="34" t="n">
        <v>33</v>
      </c>
    </row>
    <row r="268" customFormat="false" ht="13.8" hidden="false" customHeight="false" outlineLevel="0" collapsed="false">
      <c r="A268" s="21" t="n">
        <v>267</v>
      </c>
      <c r="B268" s="22"/>
      <c r="C268" s="23"/>
      <c r="D268" s="23"/>
      <c r="E268" s="23"/>
      <c r="F268" s="23"/>
      <c r="G268" s="23"/>
      <c r="H268" s="23"/>
      <c r="I268" s="24" t="n">
        <v>423</v>
      </c>
      <c r="J268" s="18" t="s">
        <v>1408</v>
      </c>
      <c r="K268" s="18" t="n">
        <v>434</v>
      </c>
      <c r="L268" s="25" t="n">
        <v>434</v>
      </c>
      <c r="M268" s="26" t="s">
        <v>58</v>
      </c>
      <c r="N268" s="34" t="n">
        <v>33</v>
      </c>
    </row>
    <row r="269" customFormat="false" ht="13.8" hidden="false" customHeight="false" outlineLevel="0" collapsed="false">
      <c r="A269" s="21" t="n">
        <v>268</v>
      </c>
      <c r="B269" s="22"/>
      <c r="C269" s="23"/>
      <c r="D269" s="23"/>
      <c r="E269" s="23"/>
      <c r="F269" s="23"/>
      <c r="G269" s="23"/>
      <c r="H269" s="23"/>
      <c r="I269" s="24" t="n">
        <v>534</v>
      </c>
      <c r="J269" s="18" t="s">
        <v>1408</v>
      </c>
      <c r="K269" s="18" t="n">
        <v>545</v>
      </c>
      <c r="L269" s="25" t="n">
        <v>545</v>
      </c>
      <c r="M269" s="26" t="s">
        <v>60</v>
      </c>
      <c r="N269" s="34" t="n">
        <v>33</v>
      </c>
    </row>
    <row r="270" customFormat="false" ht="13.8" hidden="false" customHeight="false" outlineLevel="0" collapsed="false">
      <c r="A270" s="21" t="n">
        <v>269</v>
      </c>
      <c r="B270" s="22"/>
      <c r="C270" s="23"/>
      <c r="D270" s="23"/>
      <c r="E270" s="23"/>
      <c r="F270" s="23"/>
      <c r="G270" s="23"/>
      <c r="H270" s="23"/>
      <c r="I270" s="24" t="n">
        <v>599</v>
      </c>
      <c r="J270" s="18" t="s">
        <v>1408</v>
      </c>
      <c r="K270" s="18" t="n">
        <v>610</v>
      </c>
      <c r="L270" s="25" t="n">
        <v>610</v>
      </c>
      <c r="M270" s="26" t="s">
        <v>61</v>
      </c>
      <c r="N270" s="34" t="n">
        <v>33</v>
      </c>
    </row>
    <row r="271" customFormat="false" ht="13.8" hidden="false" customHeight="false" outlineLevel="0" collapsed="false">
      <c r="A271" s="21" t="n">
        <v>270</v>
      </c>
      <c r="B271" s="22"/>
      <c r="C271" s="23"/>
      <c r="D271" s="23"/>
      <c r="E271" s="23"/>
      <c r="F271" s="23"/>
      <c r="G271" s="23"/>
      <c r="H271" s="23"/>
      <c r="I271" s="24" t="n">
        <v>265</v>
      </c>
      <c r="J271" s="18" t="s">
        <v>1408</v>
      </c>
      <c r="K271" s="18" t="n">
        <v>274</v>
      </c>
      <c r="L271" s="25" t="n">
        <v>274</v>
      </c>
      <c r="M271" s="26" t="s">
        <v>56</v>
      </c>
      <c r="N271" s="34" t="n">
        <v>33</v>
      </c>
    </row>
    <row r="272" customFormat="false" ht="13.8" hidden="false" customHeight="false" outlineLevel="0" collapsed="false">
      <c r="A272" s="27" t="n">
        <v>271</v>
      </c>
      <c r="B272" s="28"/>
      <c r="C272" s="29"/>
      <c r="D272" s="29"/>
      <c r="E272" s="29"/>
      <c r="F272" s="29"/>
      <c r="G272" s="29"/>
      <c r="H272" s="29"/>
      <c r="I272" s="30" t="n">
        <v>320</v>
      </c>
      <c r="J272" s="18" t="s">
        <v>1408</v>
      </c>
      <c r="K272" s="18" t="n">
        <v>330</v>
      </c>
      <c r="L272" s="31" t="n">
        <v>330</v>
      </c>
      <c r="M272" s="32" t="s">
        <v>57</v>
      </c>
      <c r="N272" s="34" t="n">
        <v>33</v>
      </c>
    </row>
    <row r="273" customFormat="false" ht="13.8" hidden="false" customHeight="false" outlineLevel="0" collapsed="false">
      <c r="A273" s="14" t="n">
        <v>272</v>
      </c>
      <c r="B273" s="15"/>
      <c r="C273" s="16"/>
      <c r="D273" s="16"/>
      <c r="E273" s="16"/>
      <c r="F273" s="16"/>
      <c r="G273" s="16"/>
      <c r="H273" s="16"/>
      <c r="I273" s="17"/>
      <c r="J273" s="18" t="s">
        <v>1409</v>
      </c>
      <c r="K273" s="18" t="n">
        <v>886</v>
      </c>
      <c r="L273" s="19" t="n">
        <v>886</v>
      </c>
      <c r="M273" s="20" t="s">
        <v>931</v>
      </c>
      <c r="N273" s="34" t="n">
        <v>34</v>
      </c>
      <c r="O273" s="0" t="s">
        <v>1363</v>
      </c>
    </row>
    <row r="274" customFormat="false" ht="13.8" hidden="false" customHeight="false" outlineLevel="0" collapsed="false">
      <c r="A274" s="21" t="n">
        <v>273</v>
      </c>
      <c r="B274" s="22"/>
      <c r="C274" s="23"/>
      <c r="D274" s="23"/>
      <c r="E274" s="23"/>
      <c r="F274" s="23"/>
      <c r="G274" s="23"/>
      <c r="H274" s="23"/>
      <c r="I274" s="24" t="n">
        <v>531</v>
      </c>
      <c r="J274" s="18" t="s">
        <v>1409</v>
      </c>
      <c r="K274" s="18" t="n">
        <v>542</v>
      </c>
      <c r="L274" s="25" t="n">
        <v>542</v>
      </c>
      <c r="M274" s="26" t="s">
        <v>63</v>
      </c>
      <c r="N274" s="34" t="n">
        <v>34</v>
      </c>
    </row>
    <row r="275" customFormat="false" ht="13.8" hidden="false" customHeight="false" outlineLevel="0" collapsed="false">
      <c r="A275" s="21" t="n">
        <v>274</v>
      </c>
      <c r="B275" s="22"/>
      <c r="C275" s="23"/>
      <c r="D275" s="23"/>
      <c r="E275" s="23"/>
      <c r="F275" s="23"/>
      <c r="G275" s="23"/>
      <c r="H275" s="23"/>
      <c r="I275" s="24"/>
      <c r="J275" s="18" t="s">
        <v>1409</v>
      </c>
      <c r="K275" s="18" t="n">
        <v>606</v>
      </c>
      <c r="L275" s="25" t="n">
        <v>606</v>
      </c>
      <c r="M275" s="26" t="s">
        <v>663</v>
      </c>
      <c r="N275" s="34" t="n">
        <v>34</v>
      </c>
    </row>
    <row r="276" customFormat="false" ht="13.8" hidden="false" customHeight="false" outlineLevel="0" collapsed="false">
      <c r="A276" s="21" t="n">
        <v>275</v>
      </c>
      <c r="B276" s="22"/>
      <c r="C276" s="23"/>
      <c r="D276" s="23"/>
      <c r="E276" s="23"/>
      <c r="F276" s="23"/>
      <c r="G276" s="23"/>
      <c r="H276" s="23"/>
      <c r="I276" s="24" t="n">
        <v>419</v>
      </c>
      <c r="J276" s="18" t="s">
        <v>1409</v>
      </c>
      <c r="K276" s="18" t="n">
        <v>430</v>
      </c>
      <c r="L276" s="25" t="n">
        <v>430</v>
      </c>
      <c r="M276" s="26" t="s">
        <v>62</v>
      </c>
      <c r="N276" s="34" t="n">
        <v>34</v>
      </c>
    </row>
    <row r="277" customFormat="false" ht="13.8" hidden="false" customHeight="false" outlineLevel="0" collapsed="false">
      <c r="A277" s="21" t="n">
        <v>276</v>
      </c>
      <c r="B277" s="22"/>
      <c r="C277" s="23"/>
      <c r="D277" s="23"/>
      <c r="E277" s="23"/>
      <c r="F277" s="23"/>
      <c r="G277" s="23"/>
      <c r="H277" s="23"/>
      <c r="I277" s="24" t="n">
        <v>676</v>
      </c>
      <c r="J277" s="18" t="s">
        <v>1409</v>
      </c>
      <c r="K277" s="18" t="n">
        <v>687</v>
      </c>
      <c r="L277" s="25" t="n">
        <v>687</v>
      </c>
      <c r="M277" s="26" t="s">
        <v>66</v>
      </c>
      <c r="N277" s="34" t="n">
        <v>34</v>
      </c>
    </row>
    <row r="278" customFormat="false" ht="13.8" hidden="false" customHeight="false" outlineLevel="0" collapsed="false">
      <c r="A278" s="21" t="n">
        <v>277</v>
      </c>
      <c r="B278" s="22"/>
      <c r="C278" s="23"/>
      <c r="D278" s="23"/>
      <c r="E278" s="23"/>
      <c r="F278" s="23"/>
      <c r="G278" s="23"/>
      <c r="H278" s="23"/>
      <c r="I278" s="24" t="n">
        <v>579</v>
      </c>
      <c r="J278" s="18" t="s">
        <v>1409</v>
      </c>
      <c r="K278" s="18" t="n">
        <v>590</v>
      </c>
      <c r="L278" s="25" t="n">
        <v>590</v>
      </c>
      <c r="M278" s="26" t="s">
        <v>64</v>
      </c>
      <c r="N278" s="34" t="n">
        <v>34</v>
      </c>
    </row>
    <row r="279" customFormat="false" ht="13.8" hidden="false" customHeight="false" outlineLevel="0" collapsed="false">
      <c r="A279" s="27" t="n">
        <v>278</v>
      </c>
      <c r="B279" s="28"/>
      <c r="C279" s="29"/>
      <c r="D279" s="29"/>
      <c r="E279" s="29"/>
      <c r="F279" s="29"/>
      <c r="G279" s="29"/>
      <c r="H279" s="29"/>
      <c r="I279" s="30" t="n">
        <v>611</v>
      </c>
      <c r="J279" s="18" t="s">
        <v>1409</v>
      </c>
      <c r="K279" s="18" t="n">
        <v>622</v>
      </c>
      <c r="L279" s="31" t="n">
        <v>622</v>
      </c>
      <c r="M279" s="32" t="s">
        <v>65</v>
      </c>
      <c r="N279" s="34" t="n">
        <v>34</v>
      </c>
    </row>
    <row r="280" customFormat="false" ht="13.8" hidden="false" customHeight="false" outlineLevel="0" collapsed="false">
      <c r="A280" s="14" t="n">
        <v>279</v>
      </c>
      <c r="B280" s="15"/>
      <c r="C280" s="16"/>
      <c r="D280" s="16"/>
      <c r="E280" s="16"/>
      <c r="F280" s="16"/>
      <c r="G280" s="16" t="s">
        <v>1410</v>
      </c>
      <c r="H280" s="16"/>
      <c r="I280" s="17"/>
      <c r="J280" s="18" t="s">
        <v>1410</v>
      </c>
      <c r="K280" s="18" t="n">
        <v>22</v>
      </c>
      <c r="L280" s="19" t="n">
        <v>22</v>
      </c>
      <c r="M280" s="20" t="s">
        <v>116</v>
      </c>
      <c r="N280" s="34" t="n">
        <v>35</v>
      </c>
      <c r="O280" s="0" t="s">
        <v>1364</v>
      </c>
    </row>
    <row r="281" customFormat="false" ht="13.8" hidden="false" customHeight="false" outlineLevel="0" collapsed="false">
      <c r="A281" s="21" t="n">
        <v>280</v>
      </c>
      <c r="B281" s="22"/>
      <c r="C281" s="23"/>
      <c r="D281" s="23"/>
      <c r="E281" s="23"/>
      <c r="F281" s="23"/>
      <c r="G281" s="23"/>
      <c r="H281" s="23"/>
      <c r="I281" s="24"/>
      <c r="J281" s="18" t="s">
        <v>1410</v>
      </c>
      <c r="K281" s="18" t="n">
        <v>532</v>
      </c>
      <c r="L281" s="25" t="n">
        <v>532</v>
      </c>
      <c r="M281" s="26" t="s">
        <v>595</v>
      </c>
      <c r="N281" s="34" t="n">
        <v>35</v>
      </c>
    </row>
    <row r="282" customFormat="false" ht="13.8" hidden="false" customHeight="false" outlineLevel="0" collapsed="false">
      <c r="A282" s="21" t="n">
        <v>281</v>
      </c>
      <c r="B282" s="22"/>
      <c r="C282" s="23"/>
      <c r="D282" s="23"/>
      <c r="E282" s="23"/>
      <c r="F282" s="23"/>
      <c r="G282" s="23"/>
      <c r="H282" s="23"/>
      <c r="I282" s="24"/>
      <c r="J282" s="18" t="s">
        <v>1410</v>
      </c>
      <c r="K282" s="18" t="n">
        <v>241</v>
      </c>
      <c r="L282" s="25" t="n">
        <v>241</v>
      </c>
      <c r="M282" s="26" t="s">
        <v>324</v>
      </c>
      <c r="N282" s="34" t="n">
        <v>35</v>
      </c>
    </row>
    <row r="283" customFormat="false" ht="13.8" hidden="false" customHeight="false" outlineLevel="0" collapsed="false">
      <c r="A283" s="21" t="n">
        <v>282</v>
      </c>
      <c r="B283" s="22"/>
      <c r="C283" s="23"/>
      <c r="D283" s="23"/>
      <c r="E283" s="23"/>
      <c r="F283" s="23"/>
      <c r="G283" s="23"/>
      <c r="H283" s="23"/>
      <c r="I283" s="24"/>
      <c r="J283" s="18" t="s">
        <v>1410</v>
      </c>
      <c r="K283" s="18" t="n">
        <v>635</v>
      </c>
      <c r="L283" s="25" t="n">
        <v>635</v>
      </c>
      <c r="M283" s="26" t="s">
        <v>689</v>
      </c>
      <c r="N283" s="34" t="n">
        <v>35</v>
      </c>
    </row>
    <row r="284" customFormat="false" ht="13.8" hidden="false" customHeight="false" outlineLevel="0" collapsed="false">
      <c r="A284" s="21" t="n">
        <v>283</v>
      </c>
      <c r="B284" s="22"/>
      <c r="C284" s="23"/>
      <c r="D284" s="23"/>
      <c r="E284" s="23"/>
      <c r="F284" s="23"/>
      <c r="G284" s="23"/>
      <c r="H284" s="23"/>
      <c r="I284" s="24"/>
      <c r="J284" s="18" t="s">
        <v>1410</v>
      </c>
      <c r="K284" s="18" t="n">
        <v>683</v>
      </c>
      <c r="L284" s="25" t="n">
        <v>683</v>
      </c>
      <c r="M284" s="26" t="s">
        <v>736</v>
      </c>
      <c r="N284" s="34" t="n">
        <v>35</v>
      </c>
    </row>
    <row r="285" customFormat="false" ht="13.8" hidden="false" customHeight="false" outlineLevel="0" collapsed="false">
      <c r="A285" s="21" t="n">
        <v>284</v>
      </c>
      <c r="B285" s="22"/>
      <c r="C285" s="23"/>
      <c r="D285" s="23"/>
      <c r="E285" s="23"/>
      <c r="F285" s="23"/>
      <c r="G285" s="23"/>
      <c r="H285" s="23"/>
      <c r="I285" s="24"/>
      <c r="J285" s="18" t="s">
        <v>1410</v>
      </c>
      <c r="K285" s="18" t="n">
        <v>308</v>
      </c>
      <c r="L285" s="25" t="n">
        <v>308</v>
      </c>
      <c r="M285" s="26" t="s">
        <v>381</v>
      </c>
      <c r="N285" s="34" t="n">
        <v>35</v>
      </c>
    </row>
    <row r="286" customFormat="false" ht="13.8" hidden="false" customHeight="false" outlineLevel="0" collapsed="false">
      <c r="A286" s="27" t="n">
        <v>285</v>
      </c>
      <c r="B286" s="28"/>
      <c r="C286" s="29"/>
      <c r="D286" s="29"/>
      <c r="E286" s="29"/>
      <c r="F286" s="29"/>
      <c r="G286" s="29"/>
      <c r="H286" s="29"/>
      <c r="I286" s="30"/>
      <c r="J286" s="18" t="s">
        <v>1410</v>
      </c>
      <c r="K286" s="18" t="n">
        <v>340</v>
      </c>
      <c r="L286" s="31" t="n">
        <v>340</v>
      </c>
      <c r="M286" s="32" t="s">
        <v>411</v>
      </c>
      <c r="N286" s="34" t="n">
        <v>35</v>
      </c>
    </row>
    <row r="287" customFormat="false" ht="13.8" hidden="false" customHeight="false" outlineLevel="0" collapsed="false">
      <c r="A287" s="14" t="n">
        <v>286</v>
      </c>
      <c r="B287" s="15"/>
      <c r="C287" s="16"/>
      <c r="D287" s="16"/>
      <c r="E287" s="16"/>
      <c r="F287" s="16"/>
      <c r="G287" s="16" t="s">
        <v>1411</v>
      </c>
      <c r="H287" s="16"/>
      <c r="I287" s="17"/>
      <c r="J287" s="18" t="s">
        <v>1411</v>
      </c>
      <c r="K287" s="18" t="n">
        <v>541</v>
      </c>
      <c r="L287" s="19" t="n">
        <v>541</v>
      </c>
      <c r="M287" s="20" t="s">
        <v>603</v>
      </c>
      <c r="N287" s="34" t="n">
        <v>36</v>
      </c>
      <c r="O287" s="0" t="s">
        <v>1365</v>
      </c>
    </row>
    <row r="288" customFormat="false" ht="13.8" hidden="false" customHeight="false" outlineLevel="0" collapsed="false">
      <c r="A288" s="21" t="n">
        <v>287</v>
      </c>
      <c r="B288" s="22"/>
      <c r="C288" s="23"/>
      <c r="D288" s="23"/>
      <c r="E288" s="23"/>
      <c r="F288" s="23"/>
      <c r="G288" s="23"/>
      <c r="H288" s="23"/>
      <c r="I288" s="24" t="n">
        <v>92</v>
      </c>
      <c r="J288" s="18" t="s">
        <v>1411</v>
      </c>
      <c r="K288" s="18" t="n">
        <v>97</v>
      </c>
      <c r="L288" s="25" t="n">
        <v>97</v>
      </c>
      <c r="M288" s="26" t="s">
        <v>185</v>
      </c>
      <c r="N288" s="34" t="n">
        <v>36</v>
      </c>
    </row>
    <row r="289" customFormat="false" ht="13.8" hidden="false" customHeight="false" outlineLevel="0" collapsed="false">
      <c r="A289" s="21" t="n">
        <v>288</v>
      </c>
      <c r="B289" s="22"/>
      <c r="C289" s="23"/>
      <c r="D289" s="23"/>
      <c r="E289" s="23"/>
      <c r="F289" s="23"/>
      <c r="G289" s="23"/>
      <c r="H289" s="23"/>
      <c r="I289" s="24" t="n">
        <v>1113</v>
      </c>
      <c r="J289" s="18" t="s">
        <v>1411</v>
      </c>
      <c r="K289" s="18" t="n">
        <v>1127</v>
      </c>
      <c r="L289" s="25" t="n">
        <v>1127</v>
      </c>
      <c r="M289" s="26" t="s">
        <v>1159</v>
      </c>
      <c r="N289" s="34" t="n">
        <v>36</v>
      </c>
    </row>
    <row r="290" customFormat="false" ht="13.8" hidden="false" customHeight="false" outlineLevel="0" collapsed="false">
      <c r="A290" s="21" t="n">
        <v>289</v>
      </c>
      <c r="B290" s="22"/>
      <c r="C290" s="23"/>
      <c r="D290" s="23"/>
      <c r="E290" s="23"/>
      <c r="F290" s="23"/>
      <c r="G290" s="23"/>
      <c r="H290" s="23"/>
      <c r="I290" s="24" t="n">
        <v>227</v>
      </c>
      <c r="J290" s="18" t="s">
        <v>1411</v>
      </c>
      <c r="K290" s="18" t="n">
        <v>234</v>
      </c>
      <c r="L290" s="25" t="n">
        <v>234</v>
      </c>
      <c r="M290" s="26" t="s">
        <v>317</v>
      </c>
      <c r="N290" s="34" t="n">
        <v>36</v>
      </c>
    </row>
    <row r="291" customFormat="false" ht="13.8" hidden="false" customHeight="false" outlineLevel="0" collapsed="false">
      <c r="A291" s="21" t="n">
        <v>290</v>
      </c>
      <c r="B291" s="22"/>
      <c r="C291" s="23"/>
      <c r="D291" s="23"/>
      <c r="E291" s="23"/>
      <c r="F291" s="23"/>
      <c r="G291" s="23"/>
      <c r="H291" s="23"/>
      <c r="I291" s="24" t="n">
        <v>279</v>
      </c>
      <c r="J291" s="18" t="s">
        <v>1411</v>
      </c>
      <c r="K291" s="18" t="n">
        <v>289</v>
      </c>
      <c r="L291" s="25" t="n">
        <v>289</v>
      </c>
      <c r="M291" s="26" t="s">
        <v>366</v>
      </c>
      <c r="N291" s="34" t="n">
        <v>36</v>
      </c>
    </row>
    <row r="292" customFormat="false" ht="13.8" hidden="false" customHeight="false" outlineLevel="0" collapsed="false">
      <c r="A292" s="21" t="n">
        <v>291</v>
      </c>
      <c r="B292" s="22"/>
      <c r="C292" s="23"/>
      <c r="D292" s="23"/>
      <c r="E292" s="23"/>
      <c r="F292" s="23"/>
      <c r="G292" s="23"/>
      <c r="H292" s="23"/>
      <c r="I292" s="24" t="n">
        <v>718</v>
      </c>
      <c r="J292" s="18" t="s">
        <v>1411</v>
      </c>
      <c r="K292" s="18" t="n">
        <v>729</v>
      </c>
      <c r="L292" s="25" t="n">
        <v>729</v>
      </c>
      <c r="M292" s="26" t="s">
        <v>779</v>
      </c>
      <c r="N292" s="34" t="n">
        <v>36</v>
      </c>
    </row>
    <row r="293" customFormat="false" ht="13.8" hidden="false" customHeight="false" outlineLevel="0" collapsed="false">
      <c r="A293" s="27" t="n">
        <v>292</v>
      </c>
      <c r="B293" s="28"/>
      <c r="C293" s="29"/>
      <c r="D293" s="29"/>
      <c r="E293" s="29"/>
      <c r="F293" s="29"/>
      <c r="G293" s="29"/>
      <c r="H293" s="29"/>
      <c r="I293" s="30" t="n">
        <v>775</v>
      </c>
      <c r="J293" s="18" t="s">
        <v>1411</v>
      </c>
      <c r="K293" s="18" t="n">
        <v>786</v>
      </c>
      <c r="L293" s="31" t="n">
        <v>786</v>
      </c>
      <c r="M293" s="32" t="s">
        <v>834</v>
      </c>
      <c r="N293" s="34" t="n">
        <v>36</v>
      </c>
    </row>
    <row r="294" customFormat="false" ht="13.8" hidden="false" customHeight="false" outlineLevel="0" collapsed="false">
      <c r="A294" s="14" t="n">
        <v>293</v>
      </c>
      <c r="B294" s="15"/>
      <c r="C294" s="16"/>
      <c r="D294" s="16"/>
      <c r="E294" s="16"/>
      <c r="F294" s="16"/>
      <c r="G294" s="16" t="s">
        <v>1412</v>
      </c>
      <c r="H294" s="16"/>
      <c r="I294" s="17"/>
      <c r="J294" s="18" t="s">
        <v>1412</v>
      </c>
      <c r="K294" s="18" t="n">
        <v>922</v>
      </c>
      <c r="L294" s="19" t="n">
        <v>922</v>
      </c>
      <c r="M294" s="20" t="s">
        <v>964</v>
      </c>
      <c r="N294" s="34" t="n">
        <v>37</v>
      </c>
      <c r="O294" s="0" t="s">
        <v>1366</v>
      </c>
    </row>
    <row r="295" customFormat="false" ht="13.8" hidden="false" customHeight="false" outlineLevel="0" collapsed="false">
      <c r="A295" s="21" t="n">
        <v>294</v>
      </c>
      <c r="B295" s="22"/>
      <c r="C295" s="23"/>
      <c r="D295" s="23"/>
      <c r="E295" s="23"/>
      <c r="F295" s="23"/>
      <c r="G295" s="23"/>
      <c r="H295" s="23"/>
      <c r="I295" s="24" t="n">
        <v>529</v>
      </c>
      <c r="J295" s="18" t="s">
        <v>1412</v>
      </c>
      <c r="K295" s="18" t="n">
        <v>540</v>
      </c>
      <c r="L295" s="25" t="n">
        <v>540</v>
      </c>
      <c r="M295" s="26" t="s">
        <v>602</v>
      </c>
      <c r="N295" s="34" t="n">
        <v>37</v>
      </c>
    </row>
    <row r="296" customFormat="false" ht="13.8" hidden="false" customHeight="false" outlineLevel="0" collapsed="false">
      <c r="A296" s="21" t="n">
        <v>295</v>
      </c>
      <c r="B296" s="22"/>
      <c r="C296" s="23"/>
      <c r="D296" s="23"/>
      <c r="E296" s="23"/>
      <c r="F296" s="23"/>
      <c r="G296" s="23"/>
      <c r="H296" s="23"/>
      <c r="I296" s="24" t="n">
        <v>877</v>
      </c>
      <c r="J296" s="18" t="s">
        <v>1412</v>
      </c>
      <c r="K296" s="18" t="n">
        <v>888</v>
      </c>
      <c r="L296" s="25" t="n">
        <v>888</v>
      </c>
      <c r="M296" s="26" t="s">
        <v>933</v>
      </c>
      <c r="N296" s="34" t="n">
        <v>37</v>
      </c>
    </row>
    <row r="297" customFormat="false" ht="13.8" hidden="false" customHeight="false" outlineLevel="0" collapsed="false">
      <c r="A297" s="21" t="n">
        <v>296</v>
      </c>
      <c r="B297" s="22"/>
      <c r="C297" s="23"/>
      <c r="D297" s="23"/>
      <c r="E297" s="23"/>
      <c r="F297" s="23"/>
      <c r="G297" s="23"/>
      <c r="H297" s="23"/>
      <c r="I297" s="24" t="n">
        <v>681</v>
      </c>
      <c r="J297" s="18" t="s">
        <v>1412</v>
      </c>
      <c r="K297" s="18" t="n">
        <v>692</v>
      </c>
      <c r="L297" s="25" t="n">
        <v>692</v>
      </c>
      <c r="M297" s="26" t="s">
        <v>744</v>
      </c>
      <c r="N297" s="34" t="n">
        <v>37</v>
      </c>
    </row>
    <row r="298" customFormat="false" ht="13.8" hidden="false" customHeight="false" outlineLevel="0" collapsed="false">
      <c r="A298" s="21" t="n">
        <v>297</v>
      </c>
      <c r="B298" s="22"/>
      <c r="C298" s="23"/>
      <c r="D298" s="23"/>
      <c r="E298" s="23"/>
      <c r="F298" s="23"/>
      <c r="G298" s="23"/>
      <c r="H298" s="23"/>
      <c r="I298" s="24" t="n">
        <v>325</v>
      </c>
      <c r="J298" s="18" t="s">
        <v>1412</v>
      </c>
      <c r="K298" s="18" t="n">
        <v>335</v>
      </c>
      <c r="L298" s="25" t="n">
        <v>335</v>
      </c>
      <c r="M298" s="26" t="s">
        <v>406</v>
      </c>
      <c r="N298" s="34" t="n">
        <v>37</v>
      </c>
    </row>
    <row r="299" customFormat="false" ht="13.8" hidden="false" customHeight="false" outlineLevel="0" collapsed="false">
      <c r="A299" s="27" t="n">
        <v>298</v>
      </c>
      <c r="B299" s="28"/>
      <c r="C299" s="29"/>
      <c r="D299" s="29"/>
      <c r="E299" s="29"/>
      <c r="F299" s="29"/>
      <c r="G299" s="29"/>
      <c r="H299" s="39"/>
      <c r="I299" s="30" t="n">
        <v>358</v>
      </c>
      <c r="J299" s="18" t="s">
        <v>1412</v>
      </c>
      <c r="K299" s="18" t="n">
        <v>368</v>
      </c>
      <c r="L299" s="31" t="n">
        <v>368</v>
      </c>
      <c r="M299" s="32" t="s">
        <v>438</v>
      </c>
      <c r="N299" s="34" t="n">
        <v>37</v>
      </c>
    </row>
    <row r="300" customFormat="false" ht="13.8" hidden="false" customHeight="false" outlineLevel="0" collapsed="false">
      <c r="A300" s="14" t="n">
        <v>299</v>
      </c>
      <c r="B300" s="15"/>
      <c r="C300" s="16"/>
      <c r="D300" s="16"/>
      <c r="E300" s="16"/>
      <c r="F300" s="16"/>
      <c r="G300" s="16" t="s">
        <v>1413</v>
      </c>
      <c r="H300" s="16"/>
      <c r="I300" s="17" t="n">
        <v>884</v>
      </c>
      <c r="J300" s="18" t="s">
        <v>1413</v>
      </c>
      <c r="K300" s="18" t="n">
        <v>895</v>
      </c>
      <c r="L300" s="19" t="n">
        <v>895</v>
      </c>
      <c r="M300" s="20" t="s">
        <v>939</v>
      </c>
      <c r="N300" s="34" t="n">
        <v>38</v>
      </c>
      <c r="O300" s="0" t="s">
        <v>1367</v>
      </c>
    </row>
    <row r="301" customFormat="false" ht="13.8" hidden="false" customHeight="false" outlineLevel="0" collapsed="false">
      <c r="A301" s="21" t="n">
        <v>300</v>
      </c>
      <c r="B301" s="22"/>
      <c r="C301" s="23"/>
      <c r="D301" s="23"/>
      <c r="E301" s="23"/>
      <c r="F301" s="23"/>
      <c r="G301" s="23"/>
      <c r="H301" s="23"/>
      <c r="I301" s="40" t="n">
        <v>825</v>
      </c>
      <c r="J301" s="18" t="s">
        <v>1413</v>
      </c>
      <c r="K301" s="18" t="n">
        <v>836</v>
      </c>
      <c r="L301" s="25" t="n">
        <v>836</v>
      </c>
      <c r="M301" s="26" t="s">
        <v>881</v>
      </c>
      <c r="N301" s="34" t="n">
        <v>38</v>
      </c>
    </row>
    <row r="302" customFormat="false" ht="13.8" hidden="false" customHeight="false" outlineLevel="0" collapsed="false">
      <c r="A302" s="21" t="n">
        <v>301</v>
      </c>
      <c r="B302" s="22"/>
      <c r="C302" s="23"/>
      <c r="D302" s="23"/>
      <c r="E302" s="23"/>
      <c r="F302" s="23"/>
      <c r="G302" s="23"/>
      <c r="H302" s="23"/>
      <c r="I302" s="24" t="n">
        <v>416</v>
      </c>
      <c r="J302" s="18" t="s">
        <v>1413</v>
      </c>
      <c r="K302" s="18" t="n">
        <v>427</v>
      </c>
      <c r="L302" s="25" t="n">
        <v>427</v>
      </c>
      <c r="M302" s="26" t="s">
        <v>495</v>
      </c>
      <c r="N302" s="34" t="n">
        <v>38</v>
      </c>
    </row>
    <row r="303" customFormat="false" ht="13.8" hidden="false" customHeight="false" outlineLevel="0" collapsed="false">
      <c r="A303" s="21" t="n">
        <v>302</v>
      </c>
      <c r="B303" s="22"/>
      <c r="C303" s="23"/>
      <c r="D303" s="23"/>
      <c r="E303" s="23"/>
      <c r="F303" s="23"/>
      <c r="G303" s="23"/>
      <c r="H303" s="23"/>
      <c r="I303" s="24" t="n">
        <v>977</v>
      </c>
      <c r="J303" s="18" t="s">
        <v>1413</v>
      </c>
      <c r="K303" s="18" t="n">
        <v>988</v>
      </c>
      <c r="L303" s="25" t="n">
        <v>988</v>
      </c>
      <c r="M303" s="26" t="s">
        <v>1026</v>
      </c>
      <c r="N303" s="34" t="n">
        <v>38</v>
      </c>
    </row>
    <row r="304" customFormat="false" ht="13.8" hidden="false" customHeight="false" outlineLevel="0" collapsed="false">
      <c r="A304" s="21" t="n">
        <v>303</v>
      </c>
      <c r="B304" s="22"/>
      <c r="C304" s="23"/>
      <c r="D304" s="23"/>
      <c r="E304" s="23"/>
      <c r="F304" s="23"/>
      <c r="G304" s="23"/>
      <c r="H304" s="23"/>
      <c r="I304" s="24" t="n">
        <v>966</v>
      </c>
      <c r="J304" s="18" t="s">
        <v>1413</v>
      </c>
      <c r="K304" s="18" t="n">
        <v>977</v>
      </c>
      <c r="L304" s="25" t="n">
        <v>977</v>
      </c>
      <c r="M304" s="26" t="s">
        <v>1015</v>
      </c>
      <c r="N304" s="34" t="n">
        <v>38</v>
      </c>
    </row>
    <row r="305" customFormat="false" ht="13.8" hidden="false" customHeight="false" outlineLevel="0" collapsed="false">
      <c r="A305" s="27" t="n">
        <v>304</v>
      </c>
      <c r="B305" s="28"/>
      <c r="C305" s="29"/>
      <c r="D305" s="29"/>
      <c r="E305" s="29"/>
      <c r="F305" s="29"/>
      <c r="G305" s="29"/>
      <c r="H305" s="29"/>
      <c r="I305" s="30" t="n">
        <v>1033</v>
      </c>
      <c r="J305" s="18" t="s">
        <v>1413</v>
      </c>
      <c r="K305" s="18" t="n">
        <v>1045</v>
      </c>
      <c r="L305" s="31" t="n">
        <v>1045</v>
      </c>
      <c r="M305" s="32" t="s">
        <v>1081</v>
      </c>
      <c r="N305" s="34" t="n">
        <v>38</v>
      </c>
    </row>
    <row r="306" customFormat="false" ht="13.8" hidden="false" customHeight="false" outlineLevel="0" collapsed="false">
      <c r="A306" s="14" t="n">
        <v>305</v>
      </c>
      <c r="B306" s="15"/>
      <c r="C306" s="16"/>
      <c r="D306" s="16"/>
      <c r="E306" s="16"/>
      <c r="F306" s="16" t="s">
        <v>1414</v>
      </c>
      <c r="G306" s="16"/>
      <c r="H306" s="16"/>
      <c r="I306" s="17" t="n">
        <v>687</v>
      </c>
      <c r="J306" s="18" t="s">
        <v>1415</v>
      </c>
      <c r="K306" s="18" t="n">
        <v>698</v>
      </c>
      <c r="L306" s="19" t="n">
        <v>698</v>
      </c>
      <c r="M306" s="20" t="s">
        <v>750</v>
      </c>
      <c r="N306" s="34" t="n">
        <v>39</v>
      </c>
      <c r="O306" s="0" t="s">
        <v>1368</v>
      </c>
    </row>
    <row r="307" customFormat="false" ht="13.8" hidden="false" customHeight="false" outlineLevel="0" collapsed="false">
      <c r="A307" s="21" t="n">
        <v>306</v>
      </c>
      <c r="B307" s="22"/>
      <c r="C307" s="23"/>
      <c r="D307" s="23"/>
      <c r="E307" s="23"/>
      <c r="F307" s="23"/>
      <c r="G307" s="23" t="s">
        <v>1415</v>
      </c>
      <c r="H307" s="23"/>
      <c r="I307" s="24" t="n">
        <v>496</v>
      </c>
      <c r="J307" s="18" t="s">
        <v>1415</v>
      </c>
      <c r="K307" s="18" t="n">
        <v>507</v>
      </c>
      <c r="L307" s="25" t="n">
        <v>507</v>
      </c>
      <c r="M307" s="26" t="s">
        <v>570</v>
      </c>
      <c r="N307" s="34" t="n">
        <v>39</v>
      </c>
    </row>
    <row r="308" customFormat="false" ht="13.8" hidden="false" customHeight="false" outlineLevel="0" collapsed="false">
      <c r="A308" s="21" t="n">
        <v>307</v>
      </c>
      <c r="B308" s="22"/>
      <c r="C308" s="23"/>
      <c r="D308" s="23"/>
      <c r="E308" s="23"/>
      <c r="F308" s="23"/>
      <c r="G308" s="23"/>
      <c r="H308" s="23"/>
      <c r="I308" s="24"/>
      <c r="J308" s="18" t="s">
        <v>1415</v>
      </c>
      <c r="K308" s="18" t="n">
        <v>212</v>
      </c>
      <c r="L308" s="25" t="n">
        <v>212</v>
      </c>
      <c r="M308" s="26" t="s">
        <v>295</v>
      </c>
      <c r="N308" s="34" t="n">
        <v>39</v>
      </c>
    </row>
    <row r="309" customFormat="false" ht="13.8" hidden="false" customHeight="false" outlineLevel="0" collapsed="false">
      <c r="A309" s="21" t="n">
        <v>308</v>
      </c>
      <c r="B309" s="22"/>
      <c r="C309" s="23"/>
      <c r="D309" s="23"/>
      <c r="E309" s="23"/>
      <c r="F309" s="23"/>
      <c r="G309" s="23"/>
      <c r="H309" s="23"/>
      <c r="I309" s="24"/>
      <c r="J309" s="18" t="s">
        <v>1415</v>
      </c>
      <c r="K309" s="18" t="n">
        <v>220</v>
      </c>
      <c r="L309" s="25" t="n">
        <v>220</v>
      </c>
      <c r="M309" s="26" t="s">
        <v>303</v>
      </c>
      <c r="N309" s="34" t="n">
        <v>39</v>
      </c>
    </row>
    <row r="310" customFormat="false" ht="13.8" hidden="false" customHeight="false" outlineLevel="0" collapsed="false">
      <c r="A310" s="21" t="n">
        <v>309</v>
      </c>
      <c r="B310" s="22"/>
      <c r="C310" s="23"/>
      <c r="D310" s="23"/>
      <c r="E310" s="23"/>
      <c r="F310" s="23"/>
      <c r="G310" s="23"/>
      <c r="H310" s="23"/>
      <c r="I310" s="24"/>
      <c r="J310" s="18" t="s">
        <v>1415</v>
      </c>
      <c r="K310" s="18" t="n">
        <v>228</v>
      </c>
      <c r="L310" s="25" t="n">
        <v>228</v>
      </c>
      <c r="M310" s="26" t="s">
        <v>311</v>
      </c>
      <c r="N310" s="34" t="n">
        <v>39</v>
      </c>
    </row>
    <row r="311" customFormat="false" ht="13.8" hidden="false" customHeight="false" outlineLevel="0" collapsed="false">
      <c r="A311" s="21" t="n">
        <v>310</v>
      </c>
      <c r="B311" s="22"/>
      <c r="C311" s="23"/>
      <c r="D311" s="23"/>
      <c r="E311" s="23"/>
      <c r="F311" s="23"/>
      <c r="G311" s="23"/>
      <c r="H311" s="23"/>
      <c r="I311" s="24"/>
      <c r="J311" s="18" t="s">
        <v>1415</v>
      </c>
      <c r="K311" s="18" t="n">
        <v>236</v>
      </c>
      <c r="L311" s="25" t="n">
        <v>236</v>
      </c>
      <c r="M311" s="26" t="s">
        <v>319</v>
      </c>
      <c r="N311" s="34" t="n">
        <v>39</v>
      </c>
    </row>
    <row r="312" customFormat="false" ht="13.8" hidden="false" customHeight="false" outlineLevel="0" collapsed="false">
      <c r="A312" s="21" t="n">
        <v>311</v>
      </c>
      <c r="B312" s="22"/>
      <c r="C312" s="23"/>
      <c r="D312" s="23"/>
      <c r="E312" s="23"/>
      <c r="F312" s="23"/>
      <c r="G312" s="23"/>
      <c r="H312" s="23"/>
      <c r="I312" s="24"/>
      <c r="J312" s="18" t="s">
        <v>1415</v>
      </c>
      <c r="K312" s="18" t="n">
        <v>244</v>
      </c>
      <c r="L312" s="25" t="n">
        <v>244</v>
      </c>
      <c r="M312" s="26" t="s">
        <v>327</v>
      </c>
      <c r="N312" s="34" t="n">
        <v>39</v>
      </c>
    </row>
    <row r="313" customFormat="false" ht="13.8" hidden="false" customHeight="false" outlineLevel="0" collapsed="false">
      <c r="A313" s="21" t="n">
        <v>312</v>
      </c>
      <c r="B313" s="22"/>
      <c r="C313" s="23"/>
      <c r="D313" s="23"/>
      <c r="E313" s="23"/>
      <c r="F313" s="23"/>
      <c r="G313" s="23" t="s">
        <v>1416</v>
      </c>
      <c r="H313" s="23"/>
      <c r="I313" s="24"/>
      <c r="J313" s="18" t="s">
        <v>1416</v>
      </c>
      <c r="K313" s="18" t="n">
        <v>151</v>
      </c>
      <c r="L313" s="25" t="n">
        <v>151</v>
      </c>
      <c r="M313" s="26" t="s">
        <v>238</v>
      </c>
      <c r="N313" s="34" t="n">
        <v>40</v>
      </c>
    </row>
    <row r="314" customFormat="false" ht="13.8" hidden="false" customHeight="false" outlineLevel="0" collapsed="false">
      <c r="A314" s="21" t="n">
        <v>313</v>
      </c>
      <c r="B314" s="22"/>
      <c r="C314" s="23"/>
      <c r="D314" s="23"/>
      <c r="E314" s="23"/>
      <c r="F314" s="23"/>
      <c r="G314" s="23"/>
      <c r="H314" s="23"/>
      <c r="I314" s="24" t="n">
        <v>181</v>
      </c>
      <c r="J314" s="18" t="s">
        <v>1416</v>
      </c>
      <c r="K314" s="18" t="n">
        <v>188</v>
      </c>
      <c r="L314" s="25" t="n">
        <v>188</v>
      </c>
      <c r="M314" s="26" t="s">
        <v>272</v>
      </c>
      <c r="N314" s="34" t="n">
        <v>40</v>
      </c>
    </row>
    <row r="315" customFormat="false" ht="13.8" hidden="false" customHeight="false" outlineLevel="0" collapsed="false">
      <c r="A315" s="21" t="n">
        <v>314</v>
      </c>
      <c r="B315" s="22"/>
      <c r="C315" s="23"/>
      <c r="D315" s="23"/>
      <c r="E315" s="23"/>
      <c r="F315" s="23"/>
      <c r="G315" s="23"/>
      <c r="H315" s="23"/>
      <c r="I315" s="24" t="n">
        <v>189</v>
      </c>
      <c r="J315" s="18" t="s">
        <v>1416</v>
      </c>
      <c r="K315" s="18" t="n">
        <v>196</v>
      </c>
      <c r="L315" s="25" t="n">
        <v>196</v>
      </c>
      <c r="M315" s="26" t="s">
        <v>280</v>
      </c>
      <c r="N315" s="34" t="n">
        <v>40</v>
      </c>
    </row>
    <row r="316" customFormat="false" ht="13.8" hidden="false" customHeight="false" outlineLevel="0" collapsed="false">
      <c r="A316" s="21" t="n">
        <v>315</v>
      </c>
      <c r="B316" s="22"/>
      <c r="C316" s="23"/>
      <c r="D316" s="23"/>
      <c r="E316" s="23"/>
      <c r="F316" s="23"/>
      <c r="G316" s="23"/>
      <c r="H316" s="23"/>
      <c r="I316" s="24" t="n">
        <v>197</v>
      </c>
      <c r="J316" s="18" t="s">
        <v>1416</v>
      </c>
      <c r="K316" s="18" t="n">
        <v>204</v>
      </c>
      <c r="L316" s="25" t="n">
        <v>204</v>
      </c>
      <c r="M316" s="26" t="s">
        <v>288</v>
      </c>
      <c r="N316" s="34" t="n">
        <v>40</v>
      </c>
    </row>
    <row r="317" customFormat="false" ht="13.8" hidden="false" customHeight="false" outlineLevel="0" collapsed="false">
      <c r="A317" s="21" t="n">
        <v>316</v>
      </c>
      <c r="B317" s="22"/>
      <c r="C317" s="23"/>
      <c r="D317" s="23"/>
      <c r="E317" s="23"/>
      <c r="F317" s="23"/>
      <c r="G317" s="23" t="s">
        <v>1417</v>
      </c>
      <c r="H317" s="23"/>
      <c r="I317" s="24" t="n">
        <v>154</v>
      </c>
      <c r="J317" s="18" t="s">
        <v>1417</v>
      </c>
      <c r="K317" s="18" t="n">
        <v>159</v>
      </c>
      <c r="L317" s="25" t="n">
        <v>159</v>
      </c>
      <c r="M317" s="26" t="s">
        <v>246</v>
      </c>
      <c r="N317" s="34" t="n">
        <v>41</v>
      </c>
    </row>
    <row r="318" customFormat="false" ht="13.8" hidden="false" customHeight="false" outlineLevel="0" collapsed="false">
      <c r="A318" s="21" t="n">
        <v>317</v>
      </c>
      <c r="B318" s="22"/>
      <c r="C318" s="23"/>
      <c r="D318" s="23"/>
      <c r="E318" s="23"/>
      <c r="F318" s="23"/>
      <c r="G318" s="23"/>
      <c r="H318" s="23"/>
      <c r="I318" s="24"/>
      <c r="J318" s="18" t="s">
        <v>1417</v>
      </c>
      <c r="K318" s="18" t="n">
        <v>167</v>
      </c>
      <c r="L318" s="25" t="n">
        <v>167</v>
      </c>
      <c r="M318" s="26" t="s">
        <v>254</v>
      </c>
      <c r="N318" s="34" t="n">
        <v>41</v>
      </c>
      <c r="Q318" s="33"/>
    </row>
    <row r="319" customFormat="false" ht="13.8" hidden="false" customHeight="false" outlineLevel="0" collapsed="false">
      <c r="A319" s="21" t="n">
        <v>318</v>
      </c>
      <c r="B319" s="22"/>
      <c r="C319" s="23"/>
      <c r="D319" s="23"/>
      <c r="E319" s="23"/>
      <c r="F319" s="23"/>
      <c r="G319" s="23"/>
      <c r="H319" s="23"/>
      <c r="I319" s="24"/>
      <c r="J319" s="18" t="s">
        <v>1417</v>
      </c>
      <c r="K319" s="18" t="n">
        <v>175</v>
      </c>
      <c r="L319" s="25" t="n">
        <v>175</v>
      </c>
      <c r="M319" s="26" t="s">
        <v>260</v>
      </c>
      <c r="N319" s="34" t="n">
        <v>41</v>
      </c>
      <c r="Q319" s="33"/>
    </row>
    <row r="320" customFormat="false" ht="13.8" hidden="false" customHeight="false" outlineLevel="0" collapsed="false">
      <c r="A320" s="21" t="n">
        <v>319</v>
      </c>
      <c r="B320" s="22"/>
      <c r="C320" s="23"/>
      <c r="D320" s="23"/>
      <c r="E320" s="23"/>
      <c r="F320" s="23"/>
      <c r="G320" s="23"/>
      <c r="H320" s="23"/>
      <c r="I320" s="24"/>
      <c r="J320" s="18" t="s">
        <v>1417</v>
      </c>
      <c r="K320" s="18" t="n">
        <v>183</v>
      </c>
      <c r="L320" s="25" t="n">
        <v>183</v>
      </c>
      <c r="M320" s="26" t="s">
        <v>267</v>
      </c>
      <c r="N320" s="34" t="n">
        <v>41</v>
      </c>
      <c r="Q320" s="33"/>
    </row>
    <row r="321" customFormat="false" ht="13.8" hidden="false" customHeight="false" outlineLevel="0" collapsed="false">
      <c r="A321" s="21" t="n">
        <v>320</v>
      </c>
      <c r="B321" s="22"/>
      <c r="C321" s="23"/>
      <c r="D321" s="23"/>
      <c r="E321" s="23"/>
      <c r="F321" s="23"/>
      <c r="G321" s="23"/>
      <c r="H321" s="23"/>
      <c r="I321" s="24"/>
      <c r="J321" s="18" t="s">
        <v>1417</v>
      </c>
      <c r="K321" s="18" t="n">
        <v>191</v>
      </c>
      <c r="L321" s="25" t="n">
        <v>191</v>
      </c>
      <c r="M321" s="26" t="s">
        <v>275</v>
      </c>
      <c r="N321" s="34" t="n">
        <v>41</v>
      </c>
      <c r="Q321" s="33"/>
    </row>
    <row r="322" customFormat="false" ht="13.8" hidden="false" customHeight="false" outlineLevel="0" collapsed="false">
      <c r="A322" s="21" t="n">
        <v>321</v>
      </c>
      <c r="B322" s="22"/>
      <c r="C322" s="23"/>
      <c r="D322" s="23"/>
      <c r="E322" s="23"/>
      <c r="F322" s="23"/>
      <c r="G322" s="23"/>
      <c r="H322" s="23"/>
      <c r="I322" s="24"/>
      <c r="J322" s="18" t="s">
        <v>1417</v>
      </c>
      <c r="K322" s="18" t="n">
        <v>160</v>
      </c>
      <c r="L322" s="25" t="n">
        <v>160</v>
      </c>
      <c r="M322" s="26" t="s">
        <v>247</v>
      </c>
      <c r="N322" s="34" t="n">
        <v>41</v>
      </c>
      <c r="Q322" s="33"/>
    </row>
    <row r="323" customFormat="false" ht="13.8" hidden="false" customHeight="false" outlineLevel="0" collapsed="false">
      <c r="A323" s="21" t="n">
        <v>322</v>
      </c>
      <c r="B323" s="22"/>
      <c r="C323" s="23"/>
      <c r="D323" s="23"/>
      <c r="E323" s="23"/>
      <c r="F323" s="23"/>
      <c r="G323" s="23"/>
      <c r="H323" s="23"/>
      <c r="I323" s="24"/>
      <c r="J323" s="18" t="s">
        <v>1417</v>
      </c>
      <c r="K323" s="18" t="n">
        <v>168</v>
      </c>
      <c r="L323" s="25" t="n">
        <v>168</v>
      </c>
      <c r="M323" s="26" t="s">
        <v>255</v>
      </c>
      <c r="N323" s="34" t="n">
        <v>41</v>
      </c>
      <c r="Q323" s="33"/>
    </row>
    <row r="324" customFormat="false" ht="13.8" hidden="false" customHeight="false" outlineLevel="0" collapsed="false">
      <c r="A324" s="21" t="n">
        <v>323</v>
      </c>
      <c r="B324" s="23"/>
      <c r="C324" s="23"/>
      <c r="D324" s="23"/>
      <c r="E324" s="23"/>
      <c r="F324" s="23"/>
      <c r="G324" s="23" t="s">
        <v>1418</v>
      </c>
      <c r="H324" s="23"/>
      <c r="I324" s="24" t="n">
        <v>578</v>
      </c>
      <c r="J324" s="18" t="s">
        <v>1418</v>
      </c>
      <c r="K324" s="18" t="n">
        <v>589</v>
      </c>
      <c r="L324" s="25" t="n">
        <v>589</v>
      </c>
      <c r="M324" s="26" t="s">
        <v>647</v>
      </c>
      <c r="N324" s="34" t="n">
        <v>42</v>
      </c>
      <c r="Q324" s="33"/>
    </row>
    <row r="325" customFormat="false" ht="13.8" hidden="false" customHeight="false" outlineLevel="0" collapsed="false">
      <c r="A325" s="21" t="n">
        <v>324</v>
      </c>
      <c r="B325" s="22"/>
      <c r="C325" s="23"/>
      <c r="D325" s="23"/>
      <c r="E325" s="23"/>
      <c r="F325" s="23"/>
      <c r="G325" s="23"/>
      <c r="H325" s="23"/>
      <c r="I325" s="24"/>
      <c r="J325" s="18" t="s">
        <v>1418</v>
      </c>
      <c r="K325" s="18" t="n">
        <v>597</v>
      </c>
      <c r="L325" s="25" t="n">
        <v>597</v>
      </c>
      <c r="M325" s="26" t="s">
        <v>654</v>
      </c>
      <c r="N325" s="34" t="n">
        <v>42</v>
      </c>
      <c r="Q325" s="33"/>
    </row>
    <row r="326" customFormat="false" ht="13.8" hidden="false" customHeight="false" outlineLevel="0" collapsed="false">
      <c r="A326" s="21" t="n">
        <v>325</v>
      </c>
      <c r="B326" s="22"/>
      <c r="C326" s="23"/>
      <c r="D326" s="23"/>
      <c r="E326" s="23"/>
      <c r="F326" s="23"/>
      <c r="G326" s="23"/>
      <c r="H326" s="23"/>
      <c r="I326" s="24"/>
      <c r="J326" s="18" t="s">
        <v>1418</v>
      </c>
      <c r="K326" s="18" t="n">
        <v>297</v>
      </c>
      <c r="L326" s="25" t="n">
        <v>297</v>
      </c>
      <c r="M326" s="26" t="s">
        <v>372</v>
      </c>
      <c r="N326" s="34" t="n">
        <v>42</v>
      </c>
      <c r="Q326" s="33"/>
    </row>
    <row r="327" customFormat="false" ht="13.8" hidden="false" customHeight="false" outlineLevel="0" collapsed="false">
      <c r="A327" s="21" t="n">
        <v>326</v>
      </c>
      <c r="B327" s="22"/>
      <c r="C327" s="23"/>
      <c r="D327" s="23"/>
      <c r="E327" s="23"/>
      <c r="F327" s="23"/>
      <c r="G327" s="23"/>
      <c r="H327" s="23"/>
      <c r="I327" s="24"/>
      <c r="J327" s="18" t="s">
        <v>1418</v>
      </c>
      <c r="K327" s="18" t="n">
        <v>1034</v>
      </c>
      <c r="L327" s="25" t="n">
        <v>1034</v>
      </c>
      <c r="M327" s="26" t="s">
        <v>1070</v>
      </c>
      <c r="N327" s="34" t="n">
        <v>42</v>
      </c>
      <c r="Q327" s="33"/>
    </row>
    <row r="328" customFormat="false" ht="13.8" hidden="false" customHeight="false" outlineLevel="0" collapsed="false">
      <c r="A328" s="21" t="n">
        <v>327</v>
      </c>
      <c r="B328" s="22"/>
      <c r="C328" s="23"/>
      <c r="D328" s="23"/>
      <c r="E328" s="23"/>
      <c r="F328" s="23"/>
      <c r="G328" s="23"/>
      <c r="H328" s="23"/>
      <c r="I328" s="24"/>
      <c r="J328" s="18" t="s">
        <v>1418</v>
      </c>
      <c r="K328" s="18" t="n">
        <v>1042</v>
      </c>
      <c r="L328" s="25" t="n">
        <v>1042</v>
      </c>
      <c r="M328" s="26" t="s">
        <v>1078</v>
      </c>
      <c r="N328" s="34" t="n">
        <v>42</v>
      </c>
      <c r="Q328" s="33"/>
    </row>
    <row r="329" customFormat="false" ht="13.8" hidden="false" customHeight="false" outlineLevel="0" collapsed="false">
      <c r="A329" s="21" t="n">
        <v>328</v>
      </c>
      <c r="B329" s="22"/>
      <c r="C329" s="23"/>
      <c r="D329" s="23"/>
      <c r="E329" s="23"/>
      <c r="F329" s="23"/>
      <c r="G329" s="23"/>
      <c r="H329" s="23"/>
      <c r="I329" s="24"/>
      <c r="J329" s="18" t="s">
        <v>1418</v>
      </c>
      <c r="K329" s="18" t="n">
        <v>1050</v>
      </c>
      <c r="L329" s="25" t="n">
        <v>1050</v>
      </c>
      <c r="M329" s="26" t="s">
        <v>1086</v>
      </c>
      <c r="N329" s="34" t="n">
        <v>42</v>
      </c>
      <c r="Q329" s="33"/>
    </row>
    <row r="330" customFormat="false" ht="13.8" hidden="false" customHeight="false" outlineLevel="0" collapsed="false">
      <c r="A330" s="21" t="n">
        <v>329</v>
      </c>
      <c r="B330" s="22"/>
      <c r="C330" s="23"/>
      <c r="D330" s="23"/>
      <c r="E330" s="23"/>
      <c r="F330" s="23"/>
      <c r="G330" s="23"/>
      <c r="H330" s="23"/>
      <c r="I330" s="24"/>
      <c r="J330" s="18" t="s">
        <v>1418</v>
      </c>
      <c r="K330" s="18" t="n">
        <v>1059</v>
      </c>
      <c r="L330" s="25" t="n">
        <v>1059</v>
      </c>
      <c r="M330" s="26" t="s">
        <v>1094</v>
      </c>
      <c r="N330" s="34" t="n">
        <v>42</v>
      </c>
      <c r="Q330" s="33"/>
    </row>
    <row r="331" customFormat="false" ht="13.8" hidden="false" customHeight="false" outlineLevel="0" collapsed="false">
      <c r="A331" s="21" t="n">
        <v>330</v>
      </c>
      <c r="B331" s="22"/>
      <c r="C331" s="23"/>
      <c r="D331" s="23"/>
      <c r="E331" s="23"/>
      <c r="F331" s="23"/>
      <c r="G331" s="23"/>
      <c r="H331" s="23"/>
      <c r="I331" s="24"/>
      <c r="J331" s="18" t="s">
        <v>1418</v>
      </c>
      <c r="K331" s="18" t="n">
        <v>605</v>
      </c>
      <c r="L331" s="25" t="n">
        <v>605</v>
      </c>
      <c r="M331" s="26" t="s">
        <v>662</v>
      </c>
      <c r="N331" s="34" t="n">
        <v>42</v>
      </c>
      <c r="Q331" s="33"/>
    </row>
    <row r="332" customFormat="false" ht="13.8" hidden="false" customHeight="false" outlineLevel="0" collapsed="false">
      <c r="A332" s="21" t="n">
        <v>331</v>
      </c>
      <c r="B332" s="22"/>
      <c r="C332" s="23"/>
      <c r="D332" s="23"/>
      <c r="E332" s="23"/>
      <c r="F332" s="23"/>
      <c r="G332" s="23"/>
      <c r="H332" s="23"/>
      <c r="I332" s="24"/>
      <c r="J332" s="18" t="s">
        <v>1418</v>
      </c>
      <c r="K332" s="18" t="n">
        <v>306</v>
      </c>
      <c r="L332" s="25" t="n">
        <v>306</v>
      </c>
      <c r="M332" s="26" t="s">
        <v>379</v>
      </c>
      <c r="N332" s="34" t="n">
        <v>42</v>
      </c>
      <c r="Q332" s="33"/>
    </row>
    <row r="333" customFormat="false" ht="13.8" hidden="false" customHeight="false" outlineLevel="0" collapsed="false">
      <c r="A333" s="21" t="n">
        <v>332</v>
      </c>
      <c r="B333" s="22"/>
      <c r="C333" s="23"/>
      <c r="D333" s="23"/>
      <c r="E333" s="23"/>
      <c r="F333" s="23"/>
      <c r="G333" s="23"/>
      <c r="H333" s="23"/>
      <c r="I333" s="24"/>
      <c r="J333" s="18" t="s">
        <v>1418</v>
      </c>
      <c r="K333" s="18" t="n">
        <v>1067</v>
      </c>
      <c r="L333" s="25" t="n">
        <v>1067</v>
      </c>
      <c r="M333" s="26" t="s">
        <v>1102</v>
      </c>
      <c r="N333" s="34" t="n">
        <v>42</v>
      </c>
      <c r="Q333" s="33"/>
    </row>
    <row r="334" customFormat="false" ht="13.8" hidden="false" customHeight="false" outlineLevel="0" collapsed="false">
      <c r="A334" s="21" t="n">
        <v>333</v>
      </c>
      <c r="B334" s="22"/>
      <c r="C334" s="23"/>
      <c r="D334" s="23"/>
      <c r="E334" s="23"/>
      <c r="F334" s="23"/>
      <c r="G334" s="23"/>
      <c r="H334" s="23"/>
      <c r="I334" s="24"/>
      <c r="J334" s="18" t="s">
        <v>1418</v>
      </c>
      <c r="K334" s="18" t="n">
        <v>1075</v>
      </c>
      <c r="L334" s="25" t="n">
        <v>1075</v>
      </c>
      <c r="M334" s="26" t="s">
        <v>1110</v>
      </c>
      <c r="N334" s="34" t="n">
        <v>42</v>
      </c>
      <c r="Q334" s="33"/>
    </row>
    <row r="335" customFormat="false" ht="13.8" hidden="false" customHeight="false" outlineLevel="0" collapsed="false">
      <c r="A335" s="21" t="n">
        <v>334</v>
      </c>
      <c r="B335" s="22"/>
      <c r="C335" s="23"/>
      <c r="D335" s="23"/>
      <c r="E335" s="23"/>
      <c r="F335" s="23"/>
      <c r="G335" s="23"/>
      <c r="H335" s="23"/>
      <c r="I335" s="24"/>
      <c r="J335" s="18" t="s">
        <v>1418</v>
      </c>
      <c r="K335" s="18" t="n">
        <v>1082</v>
      </c>
      <c r="L335" s="25" t="n">
        <v>1082</v>
      </c>
      <c r="M335" s="26" t="s">
        <v>1116</v>
      </c>
      <c r="N335" s="34" t="n">
        <v>42</v>
      </c>
      <c r="Q335" s="33"/>
    </row>
    <row r="336" customFormat="false" ht="13.8" hidden="false" customHeight="false" outlineLevel="0" collapsed="false">
      <c r="A336" s="21" t="n">
        <v>335</v>
      </c>
      <c r="B336" s="22"/>
      <c r="C336" s="23"/>
      <c r="D336" s="23"/>
      <c r="E336" s="23"/>
      <c r="F336" s="23"/>
      <c r="G336" s="23" t="s">
        <v>1419</v>
      </c>
      <c r="H336" s="23"/>
      <c r="I336" s="24" t="n">
        <v>803</v>
      </c>
      <c r="J336" s="18" t="s">
        <v>1418</v>
      </c>
      <c r="K336" s="18" t="n">
        <v>814</v>
      </c>
      <c r="L336" s="25" t="n">
        <v>814</v>
      </c>
      <c r="M336" s="26" t="s">
        <v>861</v>
      </c>
      <c r="N336" s="34" t="n">
        <v>43</v>
      </c>
      <c r="Q336" s="33"/>
    </row>
    <row r="337" customFormat="false" ht="13.8" hidden="false" customHeight="false" outlineLevel="0" collapsed="false">
      <c r="A337" s="21" t="n">
        <v>336</v>
      </c>
      <c r="B337" s="22"/>
      <c r="C337" s="23"/>
      <c r="D337" s="23"/>
      <c r="E337" s="23"/>
      <c r="F337" s="23"/>
      <c r="G337" s="23"/>
      <c r="H337" s="23"/>
      <c r="I337" s="24"/>
      <c r="J337" s="18" t="s">
        <v>1418</v>
      </c>
      <c r="K337" s="18" t="n">
        <v>496</v>
      </c>
      <c r="L337" s="25" t="n">
        <v>496</v>
      </c>
      <c r="M337" s="26" t="s">
        <v>559</v>
      </c>
      <c r="N337" s="34" t="n">
        <v>43</v>
      </c>
      <c r="Q337" s="33"/>
    </row>
    <row r="338" customFormat="false" ht="13.8" hidden="false" customHeight="false" outlineLevel="0" collapsed="false">
      <c r="A338" s="21" t="n">
        <v>337</v>
      </c>
      <c r="B338" s="22"/>
      <c r="C338" s="23"/>
      <c r="D338" s="23"/>
      <c r="E338" s="23"/>
      <c r="F338" s="23"/>
      <c r="G338" s="23"/>
      <c r="H338" s="23"/>
      <c r="I338" s="24"/>
      <c r="J338" s="18" t="s">
        <v>1418</v>
      </c>
      <c r="K338" s="18" t="n">
        <v>535</v>
      </c>
      <c r="L338" s="25" t="n">
        <v>535</v>
      </c>
      <c r="M338" s="26" t="s">
        <v>598</v>
      </c>
      <c r="N338" s="34" t="n">
        <v>43</v>
      </c>
      <c r="Q338" s="33"/>
    </row>
    <row r="339" customFormat="false" ht="13.8" hidden="false" customHeight="false" outlineLevel="0" collapsed="false">
      <c r="A339" s="21" t="n">
        <v>338</v>
      </c>
      <c r="B339" s="22"/>
      <c r="C339" s="23"/>
      <c r="D339" s="23"/>
      <c r="E339" s="23"/>
      <c r="F339" s="23"/>
      <c r="G339" s="23"/>
      <c r="H339" s="23"/>
      <c r="I339" s="24"/>
      <c r="J339" s="18" t="s">
        <v>1418</v>
      </c>
      <c r="K339" s="18" t="n">
        <v>360</v>
      </c>
      <c r="L339" s="25" t="n">
        <v>360</v>
      </c>
      <c r="M339" s="26" t="s">
        <v>431</v>
      </c>
      <c r="N339" s="34" t="n">
        <v>43</v>
      </c>
      <c r="Q339" s="33"/>
    </row>
    <row r="340" customFormat="false" ht="13.8" hidden="false" customHeight="false" outlineLevel="0" collapsed="false">
      <c r="A340" s="21" t="n">
        <v>339</v>
      </c>
      <c r="B340" s="22"/>
      <c r="C340" s="23"/>
      <c r="D340" s="23"/>
      <c r="E340" s="23"/>
      <c r="F340" s="23"/>
      <c r="G340" s="23"/>
      <c r="H340" s="23"/>
      <c r="I340" s="24"/>
      <c r="J340" s="18" t="s">
        <v>1418</v>
      </c>
      <c r="K340" s="18" t="n">
        <v>646</v>
      </c>
      <c r="L340" s="25" t="n">
        <v>646</v>
      </c>
      <c r="M340" s="26" t="s">
        <v>700</v>
      </c>
      <c r="N340" s="34" t="n">
        <v>43</v>
      </c>
      <c r="Q340" s="33"/>
    </row>
    <row r="341" customFormat="false" ht="13.8" hidden="false" customHeight="false" outlineLevel="0" collapsed="false">
      <c r="A341" s="21" t="n">
        <v>340</v>
      </c>
      <c r="B341" s="22"/>
      <c r="C341" s="23"/>
      <c r="D341" s="23"/>
      <c r="E341" s="23"/>
      <c r="F341" s="23"/>
      <c r="G341" s="23"/>
      <c r="H341" s="23"/>
      <c r="I341" s="24"/>
      <c r="J341" s="18" t="s">
        <v>1418</v>
      </c>
      <c r="K341" s="18" t="n">
        <v>267</v>
      </c>
      <c r="L341" s="25" t="n">
        <v>267</v>
      </c>
      <c r="M341" s="26" t="s">
        <v>348</v>
      </c>
      <c r="N341" s="34" t="n">
        <v>43</v>
      </c>
      <c r="Q341" s="33"/>
    </row>
    <row r="342" customFormat="false" ht="13.8" hidden="false" customHeight="false" outlineLevel="0" collapsed="false">
      <c r="A342" s="21" t="n">
        <v>341</v>
      </c>
      <c r="B342" s="22"/>
      <c r="C342" s="23"/>
      <c r="D342" s="23"/>
      <c r="E342" s="23"/>
      <c r="F342" s="23"/>
      <c r="G342" s="23" t="s">
        <v>1420</v>
      </c>
      <c r="H342" s="23"/>
      <c r="I342" s="24" t="n">
        <v>950</v>
      </c>
      <c r="J342" s="18" t="s">
        <v>1420</v>
      </c>
      <c r="K342" s="18" t="n">
        <v>961</v>
      </c>
      <c r="L342" s="25" t="n">
        <v>961</v>
      </c>
      <c r="M342" s="26" t="s">
        <v>1001</v>
      </c>
      <c r="N342" s="34" t="n">
        <v>44</v>
      </c>
      <c r="Q342" s="33"/>
    </row>
    <row r="343" customFormat="false" ht="13.8" hidden="false" customHeight="false" outlineLevel="0" collapsed="false">
      <c r="A343" s="21" t="n">
        <v>342</v>
      </c>
      <c r="B343" s="22"/>
      <c r="C343" s="23"/>
      <c r="D343" s="23"/>
      <c r="E343" s="23"/>
      <c r="F343" s="23"/>
      <c r="G343" s="23"/>
      <c r="H343" s="23"/>
      <c r="I343" s="24"/>
      <c r="J343" s="18" t="s">
        <v>1420</v>
      </c>
      <c r="K343" s="18" t="n">
        <v>152</v>
      </c>
      <c r="L343" s="25" t="n">
        <v>152</v>
      </c>
      <c r="M343" s="26" t="s">
        <v>239</v>
      </c>
      <c r="N343" s="34" t="n">
        <v>44</v>
      </c>
      <c r="Q343" s="33"/>
    </row>
    <row r="344" customFormat="false" ht="13.8" hidden="false" customHeight="false" outlineLevel="0" collapsed="false">
      <c r="A344" s="21" t="n">
        <v>343</v>
      </c>
      <c r="B344" s="22"/>
      <c r="C344" s="23"/>
      <c r="D344" s="23"/>
      <c r="E344" s="23"/>
      <c r="F344" s="23"/>
      <c r="G344" s="23"/>
      <c r="H344" s="23"/>
      <c r="I344" s="24"/>
      <c r="J344" s="18" t="s">
        <v>1420</v>
      </c>
      <c r="K344" s="18" t="n">
        <v>276</v>
      </c>
      <c r="L344" s="25" t="n">
        <v>276</v>
      </c>
      <c r="M344" s="26" t="s">
        <v>355</v>
      </c>
      <c r="N344" s="34" t="n">
        <v>44</v>
      </c>
      <c r="Q344" s="33"/>
    </row>
    <row r="345" customFormat="false" ht="13.8" hidden="false" customHeight="false" outlineLevel="0" collapsed="false">
      <c r="A345" s="21" t="n">
        <v>344</v>
      </c>
      <c r="B345" s="22"/>
      <c r="C345" s="23"/>
      <c r="D345" s="23"/>
      <c r="E345" s="23"/>
      <c r="F345" s="23"/>
      <c r="G345" s="23"/>
      <c r="H345" s="23"/>
      <c r="I345" s="24"/>
      <c r="J345" s="18" t="s">
        <v>1420</v>
      </c>
      <c r="K345" s="18" t="n">
        <v>284</v>
      </c>
      <c r="L345" s="25" t="n">
        <v>284</v>
      </c>
      <c r="M345" s="26" t="s">
        <v>361</v>
      </c>
      <c r="N345" s="34" t="n">
        <v>44</v>
      </c>
      <c r="Q345" s="33"/>
    </row>
    <row r="346" customFormat="false" ht="13.8" hidden="false" customHeight="false" outlineLevel="0" collapsed="false">
      <c r="A346" s="21" t="n">
        <v>345</v>
      </c>
      <c r="B346" s="22"/>
      <c r="C346" s="23"/>
      <c r="D346" s="23"/>
      <c r="E346" s="23"/>
      <c r="F346" s="23"/>
      <c r="G346" s="23"/>
      <c r="H346" s="23"/>
      <c r="I346" s="24"/>
      <c r="J346" s="18" t="s">
        <v>1420</v>
      </c>
      <c r="K346" s="18" t="n">
        <v>291</v>
      </c>
      <c r="L346" s="25" t="n">
        <v>291</v>
      </c>
      <c r="M346" s="26" t="s">
        <v>368</v>
      </c>
      <c r="N346" s="34" t="n">
        <v>44</v>
      </c>
      <c r="Q346" s="33"/>
    </row>
    <row r="347" customFormat="false" ht="13.8" hidden="false" customHeight="false" outlineLevel="0" collapsed="false">
      <c r="A347" s="21" t="n">
        <v>346</v>
      </c>
      <c r="B347" s="22"/>
      <c r="C347" s="23"/>
      <c r="D347" s="23"/>
      <c r="E347" s="23"/>
      <c r="F347" s="23"/>
      <c r="G347" s="23" t="s">
        <v>1421</v>
      </c>
      <c r="H347" s="23"/>
      <c r="I347" s="24"/>
      <c r="J347" s="18" t="s">
        <v>1421</v>
      </c>
      <c r="K347" s="18" t="n">
        <v>619</v>
      </c>
      <c r="L347" s="35" t="n">
        <v>619</v>
      </c>
      <c r="M347" s="36" t="s">
        <v>675</v>
      </c>
      <c r="N347" s="34" t="n">
        <v>45</v>
      </c>
      <c r="Q347" s="33"/>
    </row>
    <row r="348" customFormat="false" ht="13.8" hidden="false" customHeight="false" outlineLevel="0" collapsed="false">
      <c r="A348" s="21" t="n">
        <v>347</v>
      </c>
      <c r="B348" s="22"/>
      <c r="C348" s="23"/>
      <c r="D348" s="23"/>
      <c r="E348" s="23"/>
      <c r="F348" s="23"/>
      <c r="G348" s="23"/>
      <c r="H348" s="23"/>
      <c r="I348" s="24"/>
      <c r="J348" s="18" t="s">
        <v>1421</v>
      </c>
      <c r="K348" s="18" t="n">
        <v>392</v>
      </c>
      <c r="L348" s="25" t="n">
        <v>392</v>
      </c>
      <c r="M348" s="26" t="s">
        <v>461</v>
      </c>
      <c r="N348" s="34" t="n">
        <v>45</v>
      </c>
      <c r="Q348" s="33"/>
    </row>
    <row r="349" customFormat="false" ht="13.8" hidden="false" customHeight="false" outlineLevel="0" collapsed="false">
      <c r="A349" s="21" t="n">
        <v>348</v>
      </c>
      <c r="B349" s="22"/>
      <c r="C349" s="23"/>
      <c r="D349" s="23"/>
      <c r="E349" s="23"/>
      <c r="F349" s="23"/>
      <c r="G349" s="23"/>
      <c r="H349" s="23"/>
      <c r="I349" s="24" t="n">
        <v>253</v>
      </c>
      <c r="J349" s="18" t="s">
        <v>1421</v>
      </c>
      <c r="K349" s="18" t="n">
        <v>260</v>
      </c>
      <c r="L349" s="25" t="n">
        <v>260</v>
      </c>
      <c r="M349" s="26" t="s">
        <v>342</v>
      </c>
      <c r="N349" s="34" t="n">
        <v>45</v>
      </c>
      <c r="Q349" s="33"/>
    </row>
    <row r="350" customFormat="false" ht="13.8" hidden="false" customHeight="false" outlineLevel="0" collapsed="false">
      <c r="A350" s="21" t="n">
        <v>349</v>
      </c>
      <c r="B350" s="22"/>
      <c r="C350" s="23"/>
      <c r="D350" s="23"/>
      <c r="E350" s="23"/>
      <c r="F350" s="23"/>
      <c r="G350" s="23"/>
      <c r="H350" s="23"/>
      <c r="I350" s="24"/>
      <c r="J350" s="18" t="s">
        <v>1421</v>
      </c>
      <c r="K350" s="18" t="n">
        <v>268</v>
      </c>
      <c r="L350" s="25" t="n">
        <v>268</v>
      </c>
      <c r="M350" s="26" t="s">
        <v>349</v>
      </c>
      <c r="N350" s="34" t="n">
        <v>45</v>
      </c>
      <c r="Q350" s="33"/>
    </row>
    <row r="351" customFormat="false" ht="13.8" hidden="false" customHeight="false" outlineLevel="0" collapsed="false">
      <c r="A351" s="21" t="n">
        <v>350</v>
      </c>
      <c r="B351" s="22"/>
      <c r="C351" s="23"/>
      <c r="D351" s="23"/>
      <c r="E351" s="23"/>
      <c r="F351" s="23"/>
      <c r="G351" s="23"/>
      <c r="H351" s="23"/>
      <c r="I351" s="24" t="n">
        <v>1119</v>
      </c>
      <c r="J351" s="18" t="s">
        <v>1421</v>
      </c>
      <c r="K351" s="18" t="n">
        <v>1139</v>
      </c>
      <c r="L351" s="25" t="n">
        <v>1139</v>
      </c>
      <c r="M351" s="26" t="s">
        <v>1165</v>
      </c>
      <c r="N351" s="34" t="n">
        <v>45</v>
      </c>
      <c r="Q351" s="33"/>
    </row>
    <row r="352" customFormat="false" ht="13.8" hidden="false" customHeight="false" outlineLevel="0" collapsed="false">
      <c r="A352" s="21" t="n">
        <v>351</v>
      </c>
      <c r="B352" s="22"/>
      <c r="C352" s="23"/>
      <c r="D352" s="23"/>
      <c r="E352" s="23"/>
      <c r="F352" s="23"/>
      <c r="G352" s="23" t="s">
        <v>1422</v>
      </c>
      <c r="H352" s="23"/>
      <c r="I352" s="24"/>
      <c r="J352" s="18" t="s">
        <v>1422</v>
      </c>
      <c r="K352" s="18" t="n">
        <v>631</v>
      </c>
      <c r="L352" s="25" t="n">
        <v>631</v>
      </c>
      <c r="M352" s="26" t="s">
        <v>686</v>
      </c>
      <c r="N352" s="34" t="n">
        <v>46</v>
      </c>
      <c r="Q352" s="33"/>
    </row>
    <row r="353" customFormat="false" ht="13.8" hidden="false" customHeight="false" outlineLevel="0" collapsed="false">
      <c r="A353" s="21" t="n">
        <v>352</v>
      </c>
      <c r="B353" s="22"/>
      <c r="C353" s="23"/>
      <c r="D353" s="23"/>
      <c r="E353" s="23"/>
      <c r="F353" s="23"/>
      <c r="G353" s="23"/>
      <c r="H353" s="23"/>
      <c r="I353" s="24" t="n">
        <v>628</v>
      </c>
      <c r="J353" s="18" t="s">
        <v>1422</v>
      </c>
      <c r="K353" s="18" t="n">
        <v>639</v>
      </c>
      <c r="L353" s="25" t="n">
        <v>639</v>
      </c>
      <c r="M353" s="26" t="s">
        <v>693</v>
      </c>
      <c r="N353" s="34" t="n">
        <v>46</v>
      </c>
      <c r="Q353" s="33"/>
    </row>
    <row r="354" customFormat="false" ht="13.8" hidden="false" customHeight="false" outlineLevel="0" collapsed="false">
      <c r="A354" s="21" t="n">
        <v>353</v>
      </c>
      <c r="B354" s="22"/>
      <c r="C354" s="23"/>
      <c r="D354" s="23"/>
      <c r="E354" s="23"/>
      <c r="F354" s="23"/>
      <c r="G354" s="23"/>
      <c r="H354" s="23"/>
      <c r="I354" s="24"/>
      <c r="J354" s="18" t="s">
        <v>1422</v>
      </c>
      <c r="K354" s="18" t="n">
        <v>192</v>
      </c>
      <c r="L354" s="25" t="n">
        <v>192</v>
      </c>
      <c r="M354" s="26" t="s">
        <v>276</v>
      </c>
      <c r="N354" s="34" t="n">
        <v>46</v>
      </c>
      <c r="Q354" s="33"/>
    </row>
    <row r="355" customFormat="false" ht="13.8" hidden="false" customHeight="false" outlineLevel="0" collapsed="false">
      <c r="A355" s="21" t="n">
        <v>354</v>
      </c>
      <c r="B355" s="22"/>
      <c r="C355" s="23"/>
      <c r="D355" s="23"/>
      <c r="E355" s="23"/>
      <c r="F355" s="23"/>
      <c r="G355" s="23"/>
      <c r="H355" s="23"/>
      <c r="I355" s="24"/>
      <c r="J355" s="18" t="s">
        <v>1422</v>
      </c>
      <c r="K355" s="18" t="n">
        <v>208</v>
      </c>
      <c r="L355" s="25" t="n">
        <v>208</v>
      </c>
      <c r="M355" s="26" t="s">
        <v>292</v>
      </c>
      <c r="N355" s="34" t="n">
        <v>46</v>
      </c>
      <c r="Q355" s="33"/>
    </row>
    <row r="356" customFormat="false" ht="13.8" hidden="false" customHeight="false" outlineLevel="0" collapsed="false">
      <c r="A356" s="21" t="n">
        <v>355</v>
      </c>
      <c r="B356" s="22"/>
      <c r="C356" s="23"/>
      <c r="D356" s="23"/>
      <c r="E356" s="23"/>
      <c r="F356" s="23"/>
      <c r="G356" s="23"/>
      <c r="H356" s="23"/>
      <c r="I356" s="24" t="n">
        <v>636</v>
      </c>
      <c r="J356" s="18" t="s">
        <v>1422</v>
      </c>
      <c r="K356" s="18" t="n">
        <v>647</v>
      </c>
      <c r="L356" s="25" t="n">
        <v>647</v>
      </c>
      <c r="M356" s="26" t="s">
        <v>701</v>
      </c>
      <c r="N356" s="34" t="n">
        <v>46</v>
      </c>
      <c r="Q356" s="33"/>
    </row>
    <row r="357" customFormat="false" ht="13.8" hidden="false" customHeight="false" outlineLevel="0" collapsed="false">
      <c r="A357" s="21" t="n">
        <v>356</v>
      </c>
      <c r="B357" s="22"/>
      <c r="C357" s="23"/>
      <c r="D357" s="23"/>
      <c r="E357" s="23"/>
      <c r="F357" s="23"/>
      <c r="G357" s="23"/>
      <c r="H357" s="23"/>
      <c r="I357" s="24"/>
      <c r="J357" s="18" t="s">
        <v>1422</v>
      </c>
      <c r="K357" s="18" t="n">
        <v>655</v>
      </c>
      <c r="L357" s="25" t="n">
        <v>655</v>
      </c>
      <c r="M357" s="26" t="s">
        <v>709</v>
      </c>
      <c r="N357" s="34" t="n">
        <v>46</v>
      </c>
      <c r="Q357" s="33"/>
    </row>
    <row r="358" customFormat="false" ht="13.8" hidden="false" customHeight="false" outlineLevel="0" collapsed="false">
      <c r="A358" s="21" t="n">
        <v>357</v>
      </c>
      <c r="B358" s="22"/>
      <c r="C358" s="23"/>
      <c r="D358" s="23"/>
      <c r="E358" s="23"/>
      <c r="F358" s="23"/>
      <c r="G358" s="23"/>
      <c r="H358" s="23"/>
      <c r="I358" s="24"/>
      <c r="J358" s="18" t="s">
        <v>1422</v>
      </c>
      <c r="K358" s="18" t="n">
        <v>584</v>
      </c>
      <c r="L358" s="25" t="n">
        <v>584</v>
      </c>
      <c r="M358" s="26" t="s">
        <v>643</v>
      </c>
      <c r="N358" s="34" t="n">
        <v>46</v>
      </c>
      <c r="Q358" s="33"/>
    </row>
    <row r="359" customFormat="false" ht="13.8" hidden="false" customHeight="false" outlineLevel="0" collapsed="false">
      <c r="A359" s="21" t="n">
        <v>358</v>
      </c>
      <c r="B359" s="22"/>
      <c r="C359" s="23"/>
      <c r="D359" s="23"/>
      <c r="E359" s="23"/>
      <c r="F359" s="23"/>
      <c r="G359" s="23"/>
      <c r="H359" s="23"/>
      <c r="I359" s="24"/>
      <c r="J359" s="18" t="s">
        <v>1422</v>
      </c>
      <c r="K359" s="18" t="n">
        <v>376</v>
      </c>
      <c r="L359" s="25" t="n">
        <v>376</v>
      </c>
      <c r="M359" s="26" t="s">
        <v>446</v>
      </c>
      <c r="N359" s="34" t="n">
        <v>46</v>
      </c>
      <c r="Q359" s="33"/>
    </row>
    <row r="360" customFormat="false" ht="13.8" hidden="false" customHeight="false" outlineLevel="0" collapsed="false">
      <c r="A360" s="21" t="n">
        <v>359</v>
      </c>
      <c r="B360" s="22"/>
      <c r="C360" s="23"/>
      <c r="D360" s="23"/>
      <c r="E360" s="23"/>
      <c r="F360" s="23"/>
      <c r="G360" s="23"/>
      <c r="H360" s="23"/>
      <c r="I360" s="24"/>
      <c r="J360" s="18" t="s">
        <v>1422</v>
      </c>
      <c r="K360" s="18" t="n">
        <v>216</v>
      </c>
      <c r="L360" s="25" t="n">
        <v>216</v>
      </c>
      <c r="M360" s="26" t="s">
        <v>299</v>
      </c>
      <c r="N360" s="34" t="n">
        <v>46</v>
      </c>
      <c r="Q360" s="33"/>
    </row>
    <row r="361" customFormat="false" ht="13.8" hidden="false" customHeight="false" outlineLevel="0" collapsed="false">
      <c r="A361" s="21" t="n">
        <v>360</v>
      </c>
      <c r="B361" s="22"/>
      <c r="C361" s="23"/>
      <c r="D361" s="23"/>
      <c r="E361" s="23"/>
      <c r="F361" s="23"/>
      <c r="G361" s="23"/>
      <c r="H361" s="23"/>
      <c r="I361" s="24"/>
      <c r="J361" s="18" t="s">
        <v>1422</v>
      </c>
      <c r="K361" s="18" t="n">
        <v>224</v>
      </c>
      <c r="L361" s="25" t="n">
        <v>224</v>
      </c>
      <c r="M361" s="26" t="s">
        <v>307</v>
      </c>
      <c r="N361" s="34" t="n">
        <v>46</v>
      </c>
      <c r="Q361" s="33"/>
    </row>
    <row r="362" customFormat="false" ht="13.8" hidden="false" customHeight="false" outlineLevel="0" collapsed="false">
      <c r="A362" s="21" t="n">
        <v>361</v>
      </c>
      <c r="B362" s="22"/>
      <c r="C362" s="23"/>
      <c r="D362" s="23"/>
      <c r="E362" s="23"/>
      <c r="F362" s="23"/>
      <c r="G362" s="23"/>
      <c r="H362" s="23"/>
      <c r="I362" s="24"/>
      <c r="J362" s="18" t="s">
        <v>1422</v>
      </c>
      <c r="K362" s="18" t="n">
        <v>232</v>
      </c>
      <c r="L362" s="25" t="n">
        <v>232</v>
      </c>
      <c r="M362" s="26" t="s">
        <v>315</v>
      </c>
      <c r="N362" s="34" t="n">
        <v>46</v>
      </c>
      <c r="Q362" s="33"/>
    </row>
    <row r="363" customFormat="false" ht="13.8" hidden="false" customHeight="false" outlineLevel="0" collapsed="false">
      <c r="A363" s="21" t="n">
        <v>362</v>
      </c>
      <c r="B363" s="22"/>
      <c r="C363" s="23"/>
      <c r="D363" s="23"/>
      <c r="E363" s="23"/>
      <c r="F363" s="23"/>
      <c r="G363" s="23"/>
      <c r="H363" s="23"/>
      <c r="I363" s="24"/>
      <c r="J363" s="18" t="s">
        <v>1422</v>
      </c>
      <c r="K363" s="18" t="n">
        <v>663</v>
      </c>
      <c r="L363" s="25" t="n">
        <v>663</v>
      </c>
      <c r="M363" s="26" t="s">
        <v>717</v>
      </c>
      <c r="N363" s="34" t="n">
        <v>46</v>
      </c>
      <c r="Q363" s="33"/>
    </row>
    <row r="364" customFormat="false" ht="13.8" hidden="false" customHeight="false" outlineLevel="0" collapsed="false">
      <c r="A364" s="21" t="n">
        <v>363</v>
      </c>
      <c r="B364" s="22"/>
      <c r="C364" s="23"/>
      <c r="D364" s="23"/>
      <c r="E364" s="23"/>
      <c r="F364" s="23"/>
      <c r="G364" s="23"/>
      <c r="H364" s="23"/>
      <c r="I364" s="24"/>
      <c r="J364" s="18" t="s">
        <v>1422</v>
      </c>
      <c r="K364" s="18" t="n">
        <v>592</v>
      </c>
      <c r="L364" s="25" t="n">
        <v>592</v>
      </c>
      <c r="M364" s="26" t="s">
        <v>649</v>
      </c>
      <c r="N364" s="34" t="n">
        <v>46</v>
      </c>
      <c r="Q364" s="33"/>
    </row>
    <row r="365" customFormat="false" ht="13.8" hidden="false" customHeight="false" outlineLevel="0" collapsed="false">
      <c r="A365" s="21" t="n">
        <v>364</v>
      </c>
      <c r="B365" s="22"/>
      <c r="C365" s="23"/>
      <c r="D365" s="23"/>
      <c r="E365" s="23"/>
      <c r="F365" s="23"/>
      <c r="G365" s="23"/>
      <c r="H365" s="23"/>
      <c r="I365" s="24"/>
      <c r="J365" s="18" t="s">
        <v>1422</v>
      </c>
      <c r="K365" s="18" t="n">
        <v>383</v>
      </c>
      <c r="L365" s="25" t="n">
        <v>383</v>
      </c>
      <c r="M365" s="26" t="s">
        <v>452</v>
      </c>
      <c r="N365" s="34" t="n">
        <v>46</v>
      </c>
      <c r="Q365" s="33"/>
    </row>
    <row r="366" customFormat="false" ht="13.8" hidden="false" customHeight="false" outlineLevel="0" collapsed="false">
      <c r="A366" s="21" t="n">
        <v>365</v>
      </c>
      <c r="B366" s="22"/>
      <c r="C366" s="23"/>
      <c r="D366" s="23"/>
      <c r="E366" s="23"/>
      <c r="F366" s="23"/>
      <c r="G366" s="23"/>
      <c r="H366" s="23"/>
      <c r="I366" s="24"/>
      <c r="J366" s="18" t="s">
        <v>1422</v>
      </c>
      <c r="K366" s="18" t="n">
        <v>240</v>
      </c>
      <c r="L366" s="25" t="n">
        <v>240</v>
      </c>
      <c r="M366" s="26" t="s">
        <v>323</v>
      </c>
      <c r="N366" s="34" t="n">
        <v>46</v>
      </c>
      <c r="Q366" s="33"/>
    </row>
    <row r="367" customFormat="false" ht="13.8" hidden="false" customHeight="false" outlineLevel="0" collapsed="false">
      <c r="A367" s="21" t="n">
        <v>366</v>
      </c>
      <c r="B367" s="22"/>
      <c r="C367" s="23"/>
      <c r="D367" s="23"/>
      <c r="E367" s="23"/>
      <c r="F367" s="23"/>
      <c r="G367" s="23"/>
      <c r="H367" s="23"/>
      <c r="I367" s="24"/>
      <c r="J367" s="18" t="s">
        <v>1422</v>
      </c>
      <c r="K367" s="18" t="n">
        <v>248</v>
      </c>
      <c r="L367" s="25" t="n">
        <v>248</v>
      </c>
      <c r="M367" s="26" t="s">
        <v>331</v>
      </c>
      <c r="N367" s="34" t="n">
        <v>46</v>
      </c>
      <c r="Q367" s="33"/>
    </row>
    <row r="368" customFormat="false" ht="13.8" hidden="false" customHeight="false" outlineLevel="0" collapsed="false">
      <c r="A368" s="21" t="n">
        <v>367</v>
      </c>
      <c r="B368" s="22"/>
      <c r="C368" s="23"/>
      <c r="D368" s="23"/>
      <c r="E368" s="23"/>
      <c r="F368" s="23"/>
      <c r="G368" s="23"/>
      <c r="H368" s="23"/>
      <c r="I368" s="24"/>
      <c r="J368" s="18" t="s">
        <v>1422</v>
      </c>
      <c r="K368" s="18" t="n">
        <v>256</v>
      </c>
      <c r="L368" s="25" t="n">
        <v>256</v>
      </c>
      <c r="M368" s="26" t="s">
        <v>338</v>
      </c>
      <c r="N368" s="34" t="n">
        <v>46</v>
      </c>
      <c r="Q368" s="33"/>
    </row>
    <row r="369" customFormat="false" ht="13.8" hidden="false" customHeight="false" outlineLevel="0" collapsed="false">
      <c r="A369" s="21" t="n">
        <v>368</v>
      </c>
      <c r="B369" s="22"/>
      <c r="C369" s="23"/>
      <c r="D369" s="23"/>
      <c r="E369" s="23"/>
      <c r="F369" s="23"/>
      <c r="G369" s="23" t="s">
        <v>1423</v>
      </c>
      <c r="H369" s="23"/>
      <c r="I369" s="24" t="n">
        <v>777</v>
      </c>
      <c r="J369" s="18" t="s">
        <v>1423</v>
      </c>
      <c r="K369" s="18" t="n">
        <v>788</v>
      </c>
      <c r="L369" s="25" t="n">
        <v>788</v>
      </c>
      <c r="M369" s="26" t="s">
        <v>836</v>
      </c>
      <c r="N369" s="34" t="n">
        <v>47</v>
      </c>
      <c r="Q369" s="33"/>
    </row>
    <row r="370" customFormat="false" ht="13.8" hidden="false" customHeight="false" outlineLevel="0" collapsed="false">
      <c r="A370" s="21" t="n">
        <v>369</v>
      </c>
      <c r="B370" s="22"/>
      <c r="C370" s="23"/>
      <c r="D370" s="23"/>
      <c r="E370" s="23"/>
      <c r="F370" s="23"/>
      <c r="G370" s="23"/>
      <c r="H370" s="23"/>
      <c r="I370" s="24"/>
      <c r="J370" s="18" t="s">
        <v>1423</v>
      </c>
      <c r="K370" s="18" t="n">
        <v>400</v>
      </c>
      <c r="L370" s="25" t="n">
        <v>400</v>
      </c>
      <c r="M370" s="26" t="s">
        <v>469</v>
      </c>
      <c r="N370" s="34" t="n">
        <v>47</v>
      </c>
      <c r="Q370" s="33"/>
    </row>
    <row r="371" customFormat="false" ht="13.8" hidden="false" customHeight="false" outlineLevel="0" collapsed="false">
      <c r="A371" s="21" t="n">
        <v>370</v>
      </c>
      <c r="B371" s="22"/>
      <c r="C371" s="23"/>
      <c r="D371" s="23"/>
      <c r="E371" s="23"/>
      <c r="F371" s="23"/>
      <c r="G371" s="23"/>
      <c r="H371" s="23"/>
      <c r="I371" s="24"/>
      <c r="J371" s="18" t="s">
        <v>1423</v>
      </c>
      <c r="K371" s="18" t="n">
        <v>408</v>
      </c>
      <c r="L371" s="25" t="n">
        <v>408</v>
      </c>
      <c r="M371" s="26" t="s">
        <v>477</v>
      </c>
      <c r="N371" s="34" t="n">
        <v>47</v>
      </c>
      <c r="Q371" s="33"/>
    </row>
    <row r="372" customFormat="false" ht="13.8" hidden="false" customHeight="false" outlineLevel="0" collapsed="false">
      <c r="A372" s="21" t="n">
        <v>371</v>
      </c>
      <c r="B372" s="22"/>
      <c r="C372" s="23"/>
      <c r="D372" s="23"/>
      <c r="E372" s="23"/>
      <c r="F372" s="23"/>
      <c r="G372" s="23"/>
      <c r="H372" s="23"/>
      <c r="I372" s="24"/>
      <c r="J372" s="18" t="s">
        <v>1423</v>
      </c>
      <c r="K372" s="18" t="n">
        <v>416</v>
      </c>
      <c r="L372" s="25" t="n">
        <v>416</v>
      </c>
      <c r="M372" s="26" t="s">
        <v>485</v>
      </c>
      <c r="N372" s="34" t="n">
        <v>47</v>
      </c>
      <c r="Q372" s="33"/>
    </row>
    <row r="373" customFormat="false" ht="13.8" hidden="false" customHeight="false" outlineLevel="0" collapsed="false">
      <c r="A373" s="21" t="n">
        <v>372</v>
      </c>
      <c r="B373" s="22"/>
      <c r="C373" s="23"/>
      <c r="D373" s="23"/>
      <c r="E373" s="23"/>
      <c r="F373" s="23"/>
      <c r="G373" s="23"/>
      <c r="H373" s="23"/>
      <c r="I373" s="24"/>
      <c r="J373" s="18" t="s">
        <v>1423</v>
      </c>
      <c r="K373" s="18" t="n">
        <v>424</v>
      </c>
      <c r="L373" s="25" t="n">
        <v>424</v>
      </c>
      <c r="M373" s="26" t="s">
        <v>492</v>
      </c>
      <c r="N373" s="34" t="n">
        <v>47</v>
      </c>
      <c r="Q373" s="33"/>
    </row>
    <row r="374" customFormat="false" ht="13.8" hidden="false" customHeight="false" outlineLevel="0" collapsed="false">
      <c r="A374" s="21" t="n">
        <v>373</v>
      </c>
      <c r="B374" s="22"/>
      <c r="C374" s="23"/>
      <c r="D374" s="23"/>
      <c r="E374" s="23"/>
      <c r="F374" s="23"/>
      <c r="G374" s="23" t="s">
        <v>1424</v>
      </c>
      <c r="H374" s="23"/>
      <c r="I374" s="24" t="n">
        <v>555</v>
      </c>
      <c r="J374" s="18" t="s">
        <v>1424</v>
      </c>
      <c r="K374" s="18" t="n">
        <v>566</v>
      </c>
      <c r="L374" s="25" t="n">
        <v>566</v>
      </c>
      <c r="M374" s="26" t="s">
        <v>625</v>
      </c>
      <c r="N374" s="34" t="n">
        <v>48</v>
      </c>
      <c r="Q374" s="33"/>
    </row>
    <row r="375" customFormat="false" ht="13.8" hidden="false" customHeight="false" outlineLevel="0" collapsed="false">
      <c r="A375" s="21" t="n">
        <v>374</v>
      </c>
      <c r="B375" s="22"/>
      <c r="C375" s="23"/>
      <c r="D375" s="23"/>
      <c r="E375" s="23"/>
      <c r="F375" s="23"/>
      <c r="G375" s="23"/>
      <c r="H375" s="23"/>
      <c r="I375" s="24"/>
      <c r="J375" s="18" t="s">
        <v>1424</v>
      </c>
      <c r="K375" s="18" t="n">
        <v>517</v>
      </c>
      <c r="L375" s="25" t="n">
        <v>517</v>
      </c>
      <c r="M375" s="26" t="s">
        <v>580</v>
      </c>
      <c r="N375" s="34" t="n">
        <v>48</v>
      </c>
      <c r="Q375" s="33"/>
    </row>
    <row r="376" customFormat="false" ht="13.8" hidden="false" customHeight="false" outlineLevel="0" collapsed="false">
      <c r="A376" s="21" t="n">
        <v>375</v>
      </c>
      <c r="B376" s="22"/>
      <c r="C376" s="23"/>
      <c r="D376" s="23"/>
      <c r="E376" s="23"/>
      <c r="F376" s="23"/>
      <c r="G376" s="23"/>
      <c r="H376" s="23"/>
      <c r="I376" s="24"/>
      <c r="J376" s="18" t="s">
        <v>1424</v>
      </c>
      <c r="K376" s="18" t="n">
        <v>1140</v>
      </c>
      <c r="L376" s="25" t="n">
        <v>1140</v>
      </c>
      <c r="M376" s="26" t="s">
        <v>1166</v>
      </c>
      <c r="N376" s="34" t="n">
        <v>48</v>
      </c>
      <c r="Q376" s="33"/>
    </row>
    <row r="377" customFormat="false" ht="13.8" hidden="false" customHeight="false" outlineLevel="0" collapsed="false">
      <c r="A377" s="21" t="n">
        <v>376</v>
      </c>
      <c r="B377" s="22"/>
      <c r="C377" s="23"/>
      <c r="D377" s="23"/>
      <c r="E377" s="23"/>
      <c r="F377" s="23"/>
      <c r="G377" s="23"/>
      <c r="H377" s="23"/>
      <c r="I377" s="24"/>
      <c r="J377" s="18" t="s">
        <v>1424</v>
      </c>
      <c r="K377" s="18" t="n">
        <v>1141</v>
      </c>
      <c r="L377" s="25" t="n">
        <v>1141</v>
      </c>
      <c r="M377" s="26" t="s">
        <v>1167</v>
      </c>
      <c r="N377" s="34" t="n">
        <v>48</v>
      </c>
      <c r="Q377" s="33"/>
    </row>
    <row r="378" customFormat="false" ht="13.8" hidden="false" customHeight="false" outlineLevel="0" collapsed="false">
      <c r="A378" s="27" t="n">
        <v>377</v>
      </c>
      <c r="B378" s="28"/>
      <c r="C378" s="29"/>
      <c r="D378" s="29"/>
      <c r="E378" s="29"/>
      <c r="F378" s="29"/>
      <c r="G378" s="29"/>
      <c r="H378" s="29"/>
      <c r="I378" s="30"/>
      <c r="J378" s="18" t="s">
        <v>1424</v>
      </c>
      <c r="K378" s="18" t="n">
        <v>1142</v>
      </c>
      <c r="L378" s="31" t="n">
        <v>1142</v>
      </c>
      <c r="M378" s="32" t="s">
        <v>1168</v>
      </c>
      <c r="N378" s="34" t="n">
        <v>48</v>
      </c>
      <c r="Q378" s="33"/>
    </row>
    <row r="379" customFormat="false" ht="13.8" hidden="false" customHeight="false" outlineLevel="0" collapsed="false">
      <c r="A379" s="10" t="n">
        <v>378</v>
      </c>
      <c r="B379" s="4"/>
      <c r="C379" s="11"/>
      <c r="D379" s="11"/>
      <c r="E379" s="11"/>
      <c r="F379" s="11" t="s">
        <v>1425</v>
      </c>
      <c r="G379" s="11"/>
      <c r="H379" s="11"/>
      <c r="I379" s="12" t="n">
        <v>1077</v>
      </c>
      <c r="L379" s="13" t="n">
        <v>1089</v>
      </c>
      <c r="M379" s="13" t="s">
        <v>1123</v>
      </c>
      <c r="Q379" s="33"/>
    </row>
    <row r="380" customFormat="false" ht="13.8" hidden="false" customHeight="false" outlineLevel="0" collapsed="false">
      <c r="A380" s="10" t="n">
        <v>379</v>
      </c>
      <c r="B380" s="4"/>
      <c r="C380" s="11"/>
      <c r="D380" s="11"/>
      <c r="E380" s="11"/>
      <c r="F380" s="11"/>
      <c r="G380" s="11" t="s">
        <v>1426</v>
      </c>
      <c r="H380" s="11"/>
      <c r="I380" s="12"/>
      <c r="L380" s="13" t="n">
        <v>1080</v>
      </c>
      <c r="M380" s="13" t="s">
        <v>1115</v>
      </c>
      <c r="Q380" s="33"/>
    </row>
    <row r="381" customFormat="false" ht="13.8" hidden="false" customHeight="false" outlineLevel="0" collapsed="false">
      <c r="A381" s="10" t="n">
        <v>380</v>
      </c>
      <c r="B381" s="4"/>
      <c r="C381" s="11"/>
      <c r="D381" s="11"/>
      <c r="E381" s="11"/>
      <c r="F381" s="11"/>
      <c r="G381" s="11"/>
      <c r="H381" s="11" t="s">
        <v>1427</v>
      </c>
      <c r="I381" s="12"/>
      <c r="L381" s="13" t="n">
        <v>375</v>
      </c>
      <c r="M381" s="13" t="s">
        <v>445</v>
      </c>
      <c r="Q381" s="33"/>
    </row>
    <row r="382" customFormat="false" ht="13.8" hidden="false" customHeight="false" outlineLevel="0" collapsed="false">
      <c r="A382" s="14" t="n">
        <v>381</v>
      </c>
      <c r="B382" s="15"/>
      <c r="C382" s="16"/>
      <c r="D382" s="16"/>
      <c r="E382" s="16"/>
      <c r="F382" s="16"/>
      <c r="G382" s="16"/>
      <c r="H382" s="16"/>
      <c r="I382" s="17" t="n">
        <v>372</v>
      </c>
      <c r="J382" s="18" t="s">
        <v>26</v>
      </c>
      <c r="K382" s="18" t="n">
        <v>382</v>
      </c>
      <c r="L382" s="19" t="n">
        <v>382</v>
      </c>
      <c r="M382" s="20" t="s">
        <v>27</v>
      </c>
      <c r="N382" s="0" t="n">
        <v>49</v>
      </c>
      <c r="O382" s="0" t="s">
        <v>26</v>
      </c>
      <c r="Q382" s="33"/>
    </row>
    <row r="383" customFormat="false" ht="13.8" hidden="false" customHeight="false" outlineLevel="0" collapsed="false">
      <c r="A383" s="21" t="n">
        <v>382</v>
      </c>
      <c r="B383" s="22"/>
      <c r="C383" s="23"/>
      <c r="D383" s="23"/>
      <c r="E383" s="23"/>
      <c r="F383" s="23"/>
      <c r="G383" s="23"/>
      <c r="H383" s="23"/>
      <c r="I383" s="24"/>
      <c r="J383" s="18" t="s">
        <v>26</v>
      </c>
      <c r="K383" s="18" t="n">
        <v>391</v>
      </c>
      <c r="L383" s="25" t="n">
        <v>391</v>
      </c>
      <c r="M383" s="26" t="s">
        <v>460</v>
      </c>
      <c r="N383" s="0" t="n">
        <v>49</v>
      </c>
      <c r="Q383" s="33"/>
    </row>
    <row r="384" customFormat="false" ht="13.8" hidden="false" customHeight="false" outlineLevel="0" collapsed="false">
      <c r="A384" s="21" t="n">
        <v>383</v>
      </c>
      <c r="B384" s="22"/>
      <c r="C384" s="23"/>
      <c r="D384" s="23"/>
      <c r="E384" s="23"/>
      <c r="F384" s="23"/>
      <c r="G384" s="23"/>
      <c r="H384" s="23"/>
      <c r="I384" s="24"/>
      <c r="J384" s="18" t="s">
        <v>26</v>
      </c>
      <c r="K384" s="18" t="n">
        <v>399</v>
      </c>
      <c r="L384" s="25" t="n">
        <v>399</v>
      </c>
      <c r="M384" s="26" t="s">
        <v>468</v>
      </c>
      <c r="N384" s="0" t="n">
        <v>49</v>
      </c>
      <c r="Q384" s="33"/>
    </row>
    <row r="385" customFormat="false" ht="13.8" hidden="false" customHeight="false" outlineLevel="0" collapsed="false">
      <c r="A385" s="21" t="n">
        <v>384</v>
      </c>
      <c r="B385" s="22"/>
      <c r="C385" s="23"/>
      <c r="D385" s="23"/>
      <c r="E385" s="23"/>
      <c r="F385" s="23"/>
      <c r="G385" s="23"/>
      <c r="H385" s="23"/>
      <c r="I385" s="24"/>
      <c r="J385" s="18" t="s">
        <v>26</v>
      </c>
      <c r="K385" s="18" t="n">
        <v>407</v>
      </c>
      <c r="L385" s="25" t="n">
        <v>407</v>
      </c>
      <c r="M385" s="26" t="s">
        <v>476</v>
      </c>
      <c r="N385" s="0" t="n">
        <v>49</v>
      </c>
      <c r="Q385" s="33"/>
    </row>
    <row r="386" customFormat="false" ht="13.8" hidden="false" customHeight="false" outlineLevel="0" collapsed="false">
      <c r="A386" s="27" t="n">
        <v>385</v>
      </c>
      <c r="B386" s="28"/>
      <c r="C386" s="29"/>
      <c r="D386" s="29"/>
      <c r="E386" s="29"/>
      <c r="F386" s="29"/>
      <c r="G386" s="29"/>
      <c r="H386" s="29"/>
      <c r="I386" s="30"/>
      <c r="J386" s="18" t="s">
        <v>26</v>
      </c>
      <c r="K386" s="18" t="n">
        <v>415</v>
      </c>
      <c r="L386" s="31" t="n">
        <v>415</v>
      </c>
      <c r="M386" s="32" t="s">
        <v>484</v>
      </c>
      <c r="N386" s="0" t="n">
        <v>49</v>
      </c>
      <c r="Q386" s="33"/>
    </row>
    <row r="387" customFormat="false" ht="13.8" hidden="false" customHeight="false" outlineLevel="0" collapsed="false">
      <c r="A387" s="14" t="n">
        <v>386</v>
      </c>
      <c r="B387" s="15"/>
      <c r="C387" s="16"/>
      <c r="D387" s="16"/>
      <c r="E387" s="16"/>
      <c r="F387" s="16"/>
      <c r="G387" s="16"/>
      <c r="H387" s="16"/>
      <c r="I387" s="17" t="n">
        <v>412</v>
      </c>
      <c r="J387" s="18" t="s">
        <v>1369</v>
      </c>
      <c r="K387" s="18" t="n">
        <v>423</v>
      </c>
      <c r="L387" s="19" t="n">
        <v>423</v>
      </c>
      <c r="M387" s="20" t="s">
        <v>491</v>
      </c>
      <c r="N387" s="0" t="n">
        <v>50</v>
      </c>
      <c r="O387" s="0" t="s">
        <v>1369</v>
      </c>
      <c r="Q387" s="33"/>
    </row>
    <row r="388" customFormat="false" ht="13.8" hidden="false" customHeight="false" outlineLevel="0" collapsed="false">
      <c r="A388" s="21" t="n">
        <v>387</v>
      </c>
      <c r="B388" s="22"/>
      <c r="C388" s="23"/>
      <c r="D388" s="23"/>
      <c r="E388" s="23"/>
      <c r="F388" s="23"/>
      <c r="G388" s="23"/>
      <c r="H388" s="23"/>
      <c r="I388" s="24"/>
      <c r="J388" s="18" t="s">
        <v>1369</v>
      </c>
      <c r="K388" s="18" t="n">
        <v>431</v>
      </c>
      <c r="L388" s="25" t="n">
        <v>431</v>
      </c>
      <c r="M388" s="26" t="s">
        <v>498</v>
      </c>
      <c r="N388" s="0" t="n">
        <v>50</v>
      </c>
      <c r="Q388" s="33"/>
    </row>
    <row r="389" customFormat="false" ht="13.8" hidden="false" customHeight="false" outlineLevel="0" collapsed="false">
      <c r="A389" s="21" t="n">
        <v>388</v>
      </c>
      <c r="B389" s="22"/>
      <c r="C389" s="23"/>
      <c r="D389" s="23"/>
      <c r="E389" s="23"/>
      <c r="F389" s="23"/>
      <c r="G389" s="23"/>
      <c r="H389" s="23"/>
      <c r="I389" s="24"/>
      <c r="J389" s="18" t="s">
        <v>1369</v>
      </c>
      <c r="K389" s="18" t="n">
        <v>438</v>
      </c>
      <c r="L389" s="25" t="n">
        <v>438</v>
      </c>
      <c r="M389" s="26" t="s">
        <v>504</v>
      </c>
      <c r="N389" s="0" t="n">
        <v>50</v>
      </c>
      <c r="Q389" s="33"/>
    </row>
    <row r="390" customFormat="false" ht="13.8" hidden="false" customHeight="false" outlineLevel="0" collapsed="false">
      <c r="A390" s="21" t="n">
        <v>389</v>
      </c>
      <c r="B390" s="22"/>
      <c r="C390" s="23"/>
      <c r="D390" s="23"/>
      <c r="E390" s="23"/>
      <c r="F390" s="23"/>
      <c r="G390" s="23"/>
      <c r="H390" s="23"/>
      <c r="I390" s="24"/>
      <c r="J390" s="18" t="s">
        <v>1369</v>
      </c>
      <c r="K390" s="18" t="n">
        <v>446</v>
      </c>
      <c r="L390" s="25" t="n">
        <v>446</v>
      </c>
      <c r="M390" s="26" t="s">
        <v>511</v>
      </c>
      <c r="N390" s="0" t="n">
        <v>50</v>
      </c>
    </row>
    <row r="391" customFormat="false" ht="13.8" hidden="false" customHeight="false" outlineLevel="0" collapsed="false">
      <c r="A391" s="27" t="n">
        <v>390</v>
      </c>
      <c r="B391" s="28"/>
      <c r="C391" s="29"/>
      <c r="D391" s="29"/>
      <c r="E391" s="29"/>
      <c r="F391" s="29"/>
      <c r="G391" s="29"/>
      <c r="H391" s="29"/>
      <c r="I391" s="30"/>
      <c r="J391" s="18" t="s">
        <v>1369</v>
      </c>
      <c r="K391" s="18" t="n">
        <v>454</v>
      </c>
      <c r="L391" s="31" t="n">
        <v>454</v>
      </c>
      <c r="M391" s="32" t="s">
        <v>518</v>
      </c>
      <c r="N391" s="0" t="n">
        <v>50</v>
      </c>
    </row>
    <row r="392" customFormat="false" ht="13.8" hidden="false" customHeight="false" outlineLevel="0" collapsed="false">
      <c r="A392" s="14" t="n">
        <v>391</v>
      </c>
      <c r="B392" s="15"/>
      <c r="C392" s="16"/>
      <c r="D392" s="16"/>
      <c r="E392" s="16"/>
      <c r="F392" s="16"/>
      <c r="G392" s="16"/>
      <c r="H392" s="16"/>
      <c r="I392" s="17" t="n">
        <v>452</v>
      </c>
      <c r="J392" s="18" t="s">
        <v>28</v>
      </c>
      <c r="K392" s="18" t="n">
        <v>463</v>
      </c>
      <c r="L392" s="19" t="n">
        <v>463</v>
      </c>
      <c r="M392" s="20" t="s">
        <v>29</v>
      </c>
      <c r="N392" s="0" t="n">
        <v>51</v>
      </c>
      <c r="O392" s="0" t="s">
        <v>28</v>
      </c>
    </row>
    <row r="393" customFormat="false" ht="13.8" hidden="false" customHeight="false" outlineLevel="0" collapsed="false">
      <c r="A393" s="21" t="n">
        <v>392</v>
      </c>
      <c r="B393" s="22"/>
      <c r="C393" s="23"/>
      <c r="D393" s="23"/>
      <c r="E393" s="23"/>
      <c r="F393" s="23"/>
      <c r="G393" s="23"/>
      <c r="H393" s="23"/>
      <c r="I393" s="24"/>
      <c r="J393" s="18" t="s">
        <v>28</v>
      </c>
      <c r="K393" s="18" t="n">
        <v>471</v>
      </c>
      <c r="L393" s="25" t="n">
        <v>471</v>
      </c>
      <c r="M393" s="26" t="s">
        <v>534</v>
      </c>
      <c r="N393" s="0" t="n">
        <v>51</v>
      </c>
      <c r="Q393" s="0" t="n">
        <v>40</v>
      </c>
    </row>
    <row r="394" customFormat="false" ht="13.8" hidden="false" customHeight="false" outlineLevel="0" collapsed="false">
      <c r="A394" s="21" t="n">
        <v>393</v>
      </c>
      <c r="B394" s="22"/>
      <c r="C394" s="23"/>
      <c r="D394" s="23"/>
      <c r="E394" s="23"/>
      <c r="F394" s="23"/>
      <c r="G394" s="23"/>
      <c r="H394" s="23"/>
      <c r="I394" s="24"/>
      <c r="J394" s="18" t="s">
        <v>28</v>
      </c>
      <c r="K394" s="18" t="n">
        <v>479</v>
      </c>
      <c r="L394" s="25" t="n">
        <v>479</v>
      </c>
      <c r="M394" s="26" t="s">
        <v>542</v>
      </c>
      <c r="N394" s="0" t="n">
        <v>51</v>
      </c>
      <c r="Q394" s="0" t="n">
        <v>40</v>
      </c>
    </row>
    <row r="395" customFormat="false" ht="13.8" hidden="false" customHeight="false" outlineLevel="0" collapsed="false">
      <c r="A395" s="21" t="n">
        <v>394</v>
      </c>
      <c r="B395" s="22"/>
      <c r="C395" s="23"/>
      <c r="D395" s="23"/>
      <c r="E395" s="23"/>
      <c r="F395" s="23"/>
      <c r="G395" s="23"/>
      <c r="H395" s="23"/>
      <c r="I395" s="24"/>
      <c r="J395" s="18" t="s">
        <v>28</v>
      </c>
      <c r="K395" s="18" t="n">
        <v>486</v>
      </c>
      <c r="L395" s="25" t="n">
        <v>486</v>
      </c>
      <c r="M395" s="26" t="s">
        <v>549</v>
      </c>
      <c r="N395" s="0" t="n">
        <v>51</v>
      </c>
      <c r="Q395" s="0" t="n">
        <v>40</v>
      </c>
    </row>
    <row r="396" customFormat="false" ht="13.8" hidden="false" customHeight="false" outlineLevel="0" collapsed="false">
      <c r="A396" s="21" t="n">
        <v>395</v>
      </c>
      <c r="B396" s="22"/>
      <c r="C396" s="23"/>
      <c r="D396" s="23"/>
      <c r="E396" s="23"/>
      <c r="F396" s="23"/>
      <c r="G396" s="23"/>
      <c r="H396" s="23"/>
      <c r="I396" s="24"/>
      <c r="J396" s="18" t="s">
        <v>28</v>
      </c>
      <c r="K396" s="18" t="n">
        <v>495</v>
      </c>
      <c r="L396" s="25" t="n">
        <v>495</v>
      </c>
      <c r="M396" s="26" t="s">
        <v>558</v>
      </c>
      <c r="N396" s="0" t="n">
        <v>51</v>
      </c>
      <c r="Q396" s="0" t="n">
        <v>40</v>
      </c>
    </row>
    <row r="397" customFormat="false" ht="13.8" hidden="false" customHeight="false" outlineLevel="0" collapsed="false">
      <c r="A397" s="27" t="n">
        <v>396</v>
      </c>
      <c r="B397" s="28"/>
      <c r="C397" s="29"/>
      <c r="D397" s="29"/>
      <c r="E397" s="29"/>
      <c r="F397" s="29"/>
      <c r="G397" s="29"/>
      <c r="H397" s="29"/>
      <c r="I397" s="30"/>
      <c r="J397" s="18" t="s">
        <v>28</v>
      </c>
      <c r="K397" s="18" t="n">
        <v>504</v>
      </c>
      <c r="L397" s="31" t="n">
        <v>504</v>
      </c>
      <c r="M397" s="32" t="s">
        <v>567</v>
      </c>
      <c r="N397" s="0" t="n">
        <v>51</v>
      </c>
      <c r="Q397" s="0" t="n">
        <v>41</v>
      </c>
    </row>
    <row r="398" customFormat="false" ht="13.8" hidden="false" customHeight="false" outlineLevel="0" collapsed="false">
      <c r="A398" s="14" t="n">
        <v>397</v>
      </c>
      <c r="B398" s="15"/>
      <c r="C398" s="16"/>
      <c r="D398" s="16"/>
      <c r="E398" s="16"/>
      <c r="F398" s="16"/>
      <c r="G398" s="16"/>
      <c r="H398" s="16"/>
      <c r="I398" s="17" t="n">
        <v>1206</v>
      </c>
      <c r="J398" s="18" t="s">
        <v>32</v>
      </c>
      <c r="K398" s="18" t="n">
        <v>2382</v>
      </c>
      <c r="L398" s="19" t="n">
        <v>2382</v>
      </c>
      <c r="M398" s="20" t="s">
        <v>33</v>
      </c>
      <c r="N398" s="0" t="n">
        <v>52</v>
      </c>
      <c r="O398" s="0" t="s">
        <v>32</v>
      </c>
      <c r="Q398" s="0" t="n">
        <v>41</v>
      </c>
    </row>
    <row r="399" customFormat="false" ht="13.8" hidden="false" customHeight="false" outlineLevel="0" collapsed="false">
      <c r="A399" s="21" t="n">
        <v>398</v>
      </c>
      <c r="B399" s="22"/>
      <c r="C399" s="23"/>
      <c r="D399" s="23"/>
      <c r="E399" s="23"/>
      <c r="F399" s="23"/>
      <c r="G399" s="23"/>
      <c r="H399" s="23"/>
      <c r="I399" s="24"/>
      <c r="J399" s="18" t="s">
        <v>32</v>
      </c>
      <c r="K399" s="18" t="n">
        <v>2407</v>
      </c>
      <c r="L399" s="25" t="n">
        <v>2407</v>
      </c>
      <c r="M399" s="26" t="s">
        <v>1246</v>
      </c>
      <c r="N399" s="0" t="n">
        <v>52</v>
      </c>
      <c r="Q399" s="0" t="n">
        <v>41</v>
      </c>
    </row>
    <row r="400" customFormat="false" ht="13.8" hidden="false" customHeight="false" outlineLevel="0" collapsed="false">
      <c r="A400" s="21" t="n">
        <v>399</v>
      </c>
      <c r="B400" s="22"/>
      <c r="C400" s="23"/>
      <c r="D400" s="23"/>
      <c r="E400" s="23"/>
      <c r="F400" s="23"/>
      <c r="G400" s="23"/>
      <c r="H400" s="23"/>
      <c r="I400" s="24"/>
      <c r="J400" s="18" t="s">
        <v>32</v>
      </c>
      <c r="K400" s="18" t="n">
        <v>2391</v>
      </c>
      <c r="L400" s="25" t="n">
        <v>2391</v>
      </c>
      <c r="M400" s="26" t="s">
        <v>1244</v>
      </c>
      <c r="N400" s="0" t="n">
        <v>52</v>
      </c>
      <c r="Q400" s="0" t="n">
        <v>41</v>
      </c>
    </row>
    <row r="401" customFormat="false" ht="13.8" hidden="false" customHeight="false" outlineLevel="0" collapsed="false">
      <c r="A401" s="21" t="n">
        <v>400</v>
      </c>
      <c r="B401" s="22"/>
      <c r="C401" s="23"/>
      <c r="D401" s="23"/>
      <c r="E401" s="23"/>
      <c r="F401" s="23"/>
      <c r="G401" s="23"/>
      <c r="H401" s="23"/>
      <c r="I401" s="24"/>
      <c r="J401" s="18" t="s">
        <v>32</v>
      </c>
      <c r="K401" s="18" t="n">
        <v>2399</v>
      </c>
      <c r="L401" s="25" t="n">
        <v>2399</v>
      </c>
      <c r="M401" s="26" t="s">
        <v>1245</v>
      </c>
      <c r="N401" s="0" t="n">
        <v>52</v>
      </c>
      <c r="Q401" s="0" t="n">
        <v>42</v>
      </c>
    </row>
    <row r="402" customFormat="false" ht="13.8" hidden="false" customHeight="false" outlineLevel="0" collapsed="false">
      <c r="A402" s="27" t="n">
        <v>401</v>
      </c>
      <c r="B402" s="28"/>
      <c r="C402" s="29"/>
      <c r="D402" s="29"/>
      <c r="E402" s="29"/>
      <c r="F402" s="29"/>
      <c r="G402" s="29"/>
      <c r="H402" s="29"/>
      <c r="I402" s="30"/>
      <c r="J402" s="18" t="s">
        <v>32</v>
      </c>
      <c r="K402" s="18" t="n">
        <v>2415</v>
      </c>
      <c r="L402" s="31" t="n">
        <v>2415</v>
      </c>
      <c r="M402" s="32" t="s">
        <v>1247</v>
      </c>
      <c r="N402" s="0" t="n">
        <v>52</v>
      </c>
      <c r="Q402" s="0" t="n">
        <v>42</v>
      </c>
    </row>
    <row r="403" customFormat="false" ht="13.8" hidden="false" customHeight="false" outlineLevel="0" collapsed="false">
      <c r="A403" s="14" t="n">
        <v>402</v>
      </c>
      <c r="B403" s="15"/>
      <c r="C403" s="16"/>
      <c r="D403" s="16"/>
      <c r="E403" s="16"/>
      <c r="F403" s="16"/>
      <c r="G403" s="16"/>
      <c r="H403" s="16"/>
      <c r="I403" s="17" t="n">
        <v>1211</v>
      </c>
      <c r="J403" s="18" t="s">
        <v>1371</v>
      </c>
      <c r="K403" s="18" t="n">
        <v>2423</v>
      </c>
      <c r="L403" s="19" t="n">
        <v>2423</v>
      </c>
      <c r="M403" s="20" t="s">
        <v>1248</v>
      </c>
      <c r="N403" s="0" t="n">
        <v>53</v>
      </c>
      <c r="O403" s="0" t="s">
        <v>1371</v>
      </c>
      <c r="Q403" s="0" t="n">
        <v>42</v>
      </c>
    </row>
    <row r="404" customFormat="false" ht="13.8" hidden="false" customHeight="false" outlineLevel="0" collapsed="false">
      <c r="A404" s="21" t="n">
        <v>403</v>
      </c>
      <c r="B404" s="22"/>
      <c r="C404" s="23"/>
      <c r="D404" s="23"/>
      <c r="E404" s="23"/>
      <c r="F404" s="23"/>
      <c r="G404" s="23"/>
      <c r="H404" s="23"/>
      <c r="I404" s="24"/>
      <c r="J404" s="18" t="s">
        <v>1371</v>
      </c>
      <c r="K404" s="18" t="n">
        <v>2431</v>
      </c>
      <c r="L404" s="25" t="n">
        <v>2431</v>
      </c>
      <c r="M404" s="26" t="s">
        <v>1249</v>
      </c>
      <c r="N404" s="0" t="n">
        <v>53</v>
      </c>
      <c r="Q404" s="0" t="n">
        <v>42</v>
      </c>
    </row>
    <row r="405" customFormat="false" ht="13.8" hidden="false" customHeight="false" outlineLevel="0" collapsed="false">
      <c r="A405" s="21" t="n">
        <v>404</v>
      </c>
      <c r="B405" s="22"/>
      <c r="C405" s="23"/>
      <c r="D405" s="23"/>
      <c r="E405" s="23"/>
      <c r="F405" s="23"/>
      <c r="G405" s="23"/>
      <c r="H405" s="23"/>
      <c r="I405" s="24"/>
      <c r="J405" s="18" t="s">
        <v>1371</v>
      </c>
      <c r="K405" s="18" t="n">
        <v>2438</v>
      </c>
      <c r="L405" s="25" t="n">
        <v>2438</v>
      </c>
      <c r="M405" s="26" t="s">
        <v>1250</v>
      </c>
      <c r="N405" s="0" t="n">
        <v>53</v>
      </c>
      <c r="Q405" s="0" t="n">
        <v>42</v>
      </c>
    </row>
    <row r="406" customFormat="false" ht="13.8" hidden="false" customHeight="false" outlineLevel="0" collapsed="false">
      <c r="A406" s="21" t="n">
        <v>405</v>
      </c>
      <c r="B406" s="22"/>
      <c r="C406" s="23"/>
      <c r="D406" s="23"/>
      <c r="E406" s="23"/>
      <c r="F406" s="23"/>
      <c r="G406" s="23"/>
      <c r="H406" s="23"/>
      <c r="I406" s="24"/>
      <c r="J406" s="18" t="s">
        <v>1371</v>
      </c>
      <c r="K406" s="18" t="n">
        <v>2446</v>
      </c>
      <c r="L406" s="25" t="n">
        <v>2446</v>
      </c>
      <c r="M406" s="26" t="s">
        <v>1251</v>
      </c>
      <c r="N406" s="0" t="n">
        <v>53</v>
      </c>
      <c r="Q406" s="0" t="n">
        <v>43</v>
      </c>
    </row>
    <row r="407" customFormat="false" ht="13.8" hidden="false" customHeight="false" outlineLevel="0" collapsed="false">
      <c r="A407" s="27" t="n">
        <v>406</v>
      </c>
      <c r="B407" s="28"/>
      <c r="C407" s="29"/>
      <c r="D407" s="29"/>
      <c r="E407" s="29"/>
      <c r="F407" s="29"/>
      <c r="G407" s="29"/>
      <c r="H407" s="29"/>
      <c r="I407" s="30"/>
      <c r="J407" s="18" t="s">
        <v>1371</v>
      </c>
      <c r="K407" s="18" t="n">
        <v>2454</v>
      </c>
      <c r="L407" s="31" t="n">
        <v>2454</v>
      </c>
      <c r="M407" s="32" t="s">
        <v>1252</v>
      </c>
      <c r="N407" s="0" t="n">
        <v>53</v>
      </c>
      <c r="Q407" s="0" t="n">
        <v>43</v>
      </c>
    </row>
    <row r="408" customFormat="false" ht="13.8" hidden="false" customHeight="false" outlineLevel="0" collapsed="false">
      <c r="A408" s="14" t="n">
        <v>407</v>
      </c>
      <c r="B408" s="15"/>
      <c r="C408" s="16"/>
      <c r="D408" s="16"/>
      <c r="E408" s="16"/>
      <c r="F408" s="16"/>
      <c r="G408" s="16"/>
      <c r="H408" s="16"/>
      <c r="I408" s="17" t="n">
        <v>1216</v>
      </c>
      <c r="J408" s="18" t="s">
        <v>34</v>
      </c>
      <c r="K408" s="18" t="n">
        <v>2463</v>
      </c>
      <c r="L408" s="19" t="n">
        <v>2463</v>
      </c>
      <c r="M408" s="20" t="s">
        <v>35</v>
      </c>
      <c r="N408" s="0" t="n">
        <v>54</v>
      </c>
      <c r="O408" s="0" t="s">
        <v>34</v>
      </c>
      <c r="Q408" s="0" t="n">
        <v>43</v>
      </c>
    </row>
    <row r="409" customFormat="false" ht="13.8" hidden="false" customHeight="false" outlineLevel="0" collapsed="false">
      <c r="A409" s="21" t="n">
        <v>408</v>
      </c>
      <c r="B409" s="22"/>
      <c r="C409" s="23"/>
      <c r="D409" s="23"/>
      <c r="E409" s="23"/>
      <c r="F409" s="23"/>
      <c r="G409" s="23"/>
      <c r="H409" s="23"/>
      <c r="I409" s="24"/>
      <c r="J409" s="18" t="s">
        <v>34</v>
      </c>
      <c r="K409" s="18" t="n">
        <v>2471</v>
      </c>
      <c r="L409" s="25" t="n">
        <v>2471</v>
      </c>
      <c r="M409" s="26" t="s">
        <v>1253</v>
      </c>
      <c r="N409" s="0" t="n">
        <v>54</v>
      </c>
      <c r="Q409" s="0" t="n">
        <v>43</v>
      </c>
    </row>
    <row r="410" customFormat="false" ht="13.8" hidden="false" customHeight="false" outlineLevel="0" collapsed="false">
      <c r="A410" s="21" t="n">
        <v>409</v>
      </c>
      <c r="B410" s="22"/>
      <c r="C410" s="23"/>
      <c r="D410" s="23"/>
      <c r="E410" s="23"/>
      <c r="F410" s="23"/>
      <c r="G410" s="23"/>
      <c r="H410" s="23"/>
      <c r="I410" s="24"/>
      <c r="J410" s="18" t="s">
        <v>34</v>
      </c>
      <c r="K410" s="18" t="n">
        <v>2479</v>
      </c>
      <c r="L410" s="25" t="n">
        <v>2479</v>
      </c>
      <c r="M410" s="26" t="s">
        <v>1254</v>
      </c>
      <c r="N410" s="0" t="n">
        <v>54</v>
      </c>
      <c r="Q410" s="0" t="n">
        <v>44</v>
      </c>
    </row>
    <row r="411" customFormat="false" ht="13.8" hidden="false" customHeight="false" outlineLevel="0" collapsed="false">
      <c r="A411" s="21" t="n">
        <v>410</v>
      </c>
      <c r="B411" s="22"/>
      <c r="C411" s="23"/>
      <c r="D411" s="23"/>
      <c r="E411" s="23"/>
      <c r="F411" s="23"/>
      <c r="G411" s="23"/>
      <c r="H411" s="23"/>
      <c r="I411" s="24"/>
      <c r="J411" s="18" t="s">
        <v>34</v>
      </c>
      <c r="K411" s="18" t="n">
        <v>2486</v>
      </c>
      <c r="L411" s="25" t="n">
        <v>2486</v>
      </c>
      <c r="M411" s="26" t="s">
        <v>1255</v>
      </c>
      <c r="N411" s="0" t="n">
        <v>54</v>
      </c>
      <c r="Q411" s="0" t="n">
        <v>44</v>
      </c>
    </row>
    <row r="412" customFormat="false" ht="13.8" hidden="false" customHeight="false" outlineLevel="0" collapsed="false">
      <c r="A412" s="21" t="n">
        <v>411</v>
      </c>
      <c r="B412" s="22"/>
      <c r="C412" s="23"/>
      <c r="D412" s="23"/>
      <c r="E412" s="23"/>
      <c r="F412" s="23"/>
      <c r="G412" s="23"/>
      <c r="H412" s="23"/>
      <c r="I412" s="24"/>
      <c r="J412" s="18" t="s">
        <v>34</v>
      </c>
      <c r="K412" s="18" t="n">
        <v>2495</v>
      </c>
      <c r="L412" s="25" t="n">
        <v>2495</v>
      </c>
      <c r="M412" s="26" t="s">
        <v>1256</v>
      </c>
      <c r="N412" s="0" t="n">
        <v>54</v>
      </c>
      <c r="Q412" s="0" t="n">
        <v>44</v>
      </c>
    </row>
    <row r="413" customFormat="false" ht="13.8" hidden="false" customHeight="false" outlineLevel="0" collapsed="false">
      <c r="A413" s="27" t="n">
        <v>412</v>
      </c>
      <c r="B413" s="28"/>
      <c r="C413" s="29"/>
      <c r="D413" s="29"/>
      <c r="E413" s="29"/>
      <c r="F413" s="29"/>
      <c r="G413" s="29"/>
      <c r="H413" s="29"/>
      <c r="I413" s="30"/>
      <c r="J413" s="18" t="s">
        <v>34</v>
      </c>
      <c r="K413" s="18" t="n">
        <v>2504</v>
      </c>
      <c r="L413" s="31" t="n">
        <v>2504</v>
      </c>
      <c r="M413" s="32" t="s">
        <v>1257</v>
      </c>
      <c r="N413" s="0" t="n">
        <v>54</v>
      </c>
      <c r="Q413" s="0" t="n">
        <v>44</v>
      </c>
    </row>
    <row r="414" customFormat="false" ht="13.8" hidden="false" customHeight="false" outlineLevel="0" collapsed="false">
      <c r="A414" s="14" t="n">
        <v>413</v>
      </c>
      <c r="B414" s="15"/>
      <c r="C414" s="16"/>
      <c r="D414" s="16"/>
      <c r="E414" s="16"/>
      <c r="F414" s="16"/>
      <c r="G414" s="16"/>
      <c r="H414" s="16" t="s">
        <v>1428</v>
      </c>
      <c r="I414" s="17"/>
      <c r="J414" s="18" t="s">
        <v>30</v>
      </c>
      <c r="K414" s="18" t="n">
        <v>726</v>
      </c>
      <c r="L414" s="19" t="n">
        <v>726</v>
      </c>
      <c r="M414" s="20" t="s">
        <v>31</v>
      </c>
      <c r="N414" s="0" t="n">
        <v>55</v>
      </c>
      <c r="O414" s="0" t="s">
        <v>30</v>
      </c>
      <c r="Q414" s="0" t="n">
        <v>45</v>
      </c>
    </row>
    <row r="415" customFormat="false" ht="13.8" hidden="false" customHeight="false" outlineLevel="0" collapsed="false">
      <c r="A415" s="21" t="n">
        <v>414</v>
      </c>
      <c r="B415" s="22"/>
      <c r="C415" s="23"/>
      <c r="D415" s="23"/>
      <c r="E415" s="23"/>
      <c r="F415" s="23"/>
      <c r="G415" s="23"/>
      <c r="H415" s="23"/>
      <c r="I415" s="24" t="n">
        <v>1158</v>
      </c>
      <c r="J415" s="18" t="s">
        <v>30</v>
      </c>
      <c r="K415" s="18" t="n">
        <v>10703</v>
      </c>
      <c r="L415" s="25" t="n">
        <v>10703</v>
      </c>
      <c r="M415" s="26" t="s">
        <v>51</v>
      </c>
      <c r="N415" s="0" t="n">
        <v>55</v>
      </c>
      <c r="Q415" s="0" t="n">
        <v>45</v>
      </c>
    </row>
    <row r="416" customFormat="false" ht="13.8" hidden="false" customHeight="false" outlineLevel="0" collapsed="false">
      <c r="A416" s="21" t="n">
        <v>415</v>
      </c>
      <c r="B416" s="22"/>
      <c r="C416" s="23"/>
      <c r="D416" s="23"/>
      <c r="E416" s="23"/>
      <c r="F416" s="23"/>
      <c r="G416" s="23"/>
      <c r="H416" s="23"/>
      <c r="I416" s="24" t="n">
        <v>1237</v>
      </c>
      <c r="J416" s="18" t="s">
        <v>30</v>
      </c>
      <c r="K416" s="18" t="n">
        <v>12703</v>
      </c>
      <c r="L416" s="25" t="n">
        <v>12703</v>
      </c>
      <c r="M416" s="26" t="s">
        <v>51</v>
      </c>
      <c r="N416" s="0" t="n">
        <v>55</v>
      </c>
      <c r="Q416" s="0" t="n">
        <v>45</v>
      </c>
    </row>
    <row r="417" customFormat="false" ht="13.8" hidden="false" customHeight="false" outlineLevel="0" collapsed="false">
      <c r="A417" s="21" t="n">
        <v>416</v>
      </c>
      <c r="B417" s="22"/>
      <c r="C417" s="23"/>
      <c r="D417" s="23"/>
      <c r="E417" s="23"/>
      <c r="F417" s="23"/>
      <c r="G417" s="23"/>
      <c r="H417" s="23"/>
      <c r="I417" s="24" t="n">
        <v>1159</v>
      </c>
      <c r="J417" s="18" t="s">
        <v>30</v>
      </c>
      <c r="K417" s="18" t="n">
        <v>10704</v>
      </c>
      <c r="L417" s="25" t="n">
        <v>10704</v>
      </c>
      <c r="M417" s="26" t="s">
        <v>52</v>
      </c>
      <c r="N417" s="0" t="n">
        <v>55</v>
      </c>
      <c r="Q417" s="0" t="n">
        <v>45</v>
      </c>
    </row>
    <row r="418" customFormat="false" ht="13.8" hidden="false" customHeight="false" outlineLevel="0" collapsed="false">
      <c r="A418" s="21" t="n">
        <v>417</v>
      </c>
      <c r="B418" s="22"/>
      <c r="C418" s="23"/>
      <c r="D418" s="23"/>
      <c r="E418" s="23"/>
      <c r="F418" s="23"/>
      <c r="G418" s="23"/>
      <c r="H418" s="23"/>
      <c r="I418" s="24"/>
      <c r="J418" s="18" t="s">
        <v>30</v>
      </c>
      <c r="K418" s="18" t="n">
        <v>12705</v>
      </c>
      <c r="L418" s="25" t="n">
        <v>12705</v>
      </c>
      <c r="M418" s="26" t="s">
        <v>52</v>
      </c>
      <c r="N418" s="0" t="n">
        <v>55</v>
      </c>
      <c r="Q418" s="0" t="n">
        <v>45</v>
      </c>
    </row>
    <row r="419" customFormat="false" ht="13.8" hidden="false" customHeight="false" outlineLevel="0" collapsed="false">
      <c r="A419" s="21" t="n">
        <v>418</v>
      </c>
      <c r="B419" s="22"/>
      <c r="C419" s="23"/>
      <c r="D419" s="23"/>
      <c r="E419" s="23"/>
      <c r="F419" s="23"/>
      <c r="G419" s="23"/>
      <c r="H419" s="23"/>
      <c r="I419" s="24" t="n">
        <v>621</v>
      </c>
      <c r="J419" s="18" t="s">
        <v>30</v>
      </c>
      <c r="K419" s="18" t="n">
        <v>632</v>
      </c>
      <c r="L419" s="25" t="n">
        <v>632</v>
      </c>
      <c r="M419" s="26" t="s">
        <v>50</v>
      </c>
      <c r="N419" s="0" t="n">
        <v>55</v>
      </c>
      <c r="Q419" s="0" t="n">
        <v>46</v>
      </c>
    </row>
    <row r="420" customFormat="false" ht="13.8" hidden="false" customHeight="false" outlineLevel="0" collapsed="false">
      <c r="A420" s="21" t="n">
        <v>419</v>
      </c>
      <c r="B420" s="22"/>
      <c r="C420" s="23"/>
      <c r="D420" s="23"/>
      <c r="E420" s="23"/>
      <c r="F420" s="23"/>
      <c r="G420" s="23"/>
      <c r="H420" s="23"/>
      <c r="I420" s="24"/>
      <c r="J420" s="18" t="s">
        <v>30</v>
      </c>
      <c r="K420" s="18" t="n">
        <v>12704</v>
      </c>
      <c r="L420" s="25" t="n">
        <v>12704</v>
      </c>
      <c r="M420" s="26" t="s">
        <v>50</v>
      </c>
      <c r="N420" s="0" t="n">
        <v>55</v>
      </c>
      <c r="Q420" s="0" t="n">
        <v>46</v>
      </c>
    </row>
    <row r="421" customFormat="false" ht="13.8" hidden="false" customHeight="false" outlineLevel="0" collapsed="false">
      <c r="A421" s="21" t="n">
        <v>420</v>
      </c>
      <c r="B421" s="22"/>
      <c r="C421" s="23"/>
      <c r="D421" s="23"/>
      <c r="E421" s="23"/>
      <c r="F421" s="23"/>
      <c r="G421" s="23"/>
      <c r="H421" s="23"/>
      <c r="I421" s="24"/>
      <c r="J421" s="18" t="s">
        <v>30</v>
      </c>
      <c r="K421" s="18" t="n">
        <v>10702</v>
      </c>
      <c r="L421" s="25" t="n">
        <v>10702</v>
      </c>
      <c r="M421" s="26" t="s">
        <v>1203</v>
      </c>
      <c r="N421" s="0" t="n">
        <v>55</v>
      </c>
      <c r="Q421" s="0" t="n">
        <v>46</v>
      </c>
    </row>
    <row r="422" customFormat="false" ht="13.8" hidden="false" customHeight="false" outlineLevel="0" collapsed="false">
      <c r="A422" s="21" t="n">
        <v>421</v>
      </c>
      <c r="B422" s="22"/>
      <c r="C422" s="23"/>
      <c r="D422" s="23"/>
      <c r="E422" s="23"/>
      <c r="F422" s="23"/>
      <c r="G422" s="23"/>
      <c r="H422" s="23"/>
      <c r="I422" s="24"/>
      <c r="J422" s="18" t="s">
        <v>30</v>
      </c>
      <c r="K422" s="18" t="n">
        <v>12702</v>
      </c>
      <c r="L422" s="25" t="n">
        <v>12702</v>
      </c>
      <c r="M422" s="26" t="s">
        <v>1203</v>
      </c>
      <c r="N422" s="0" t="n">
        <v>55</v>
      </c>
      <c r="Q422" s="0" t="n">
        <v>46</v>
      </c>
    </row>
    <row r="423" customFormat="false" ht="13.8" hidden="false" customHeight="false" outlineLevel="0" collapsed="false">
      <c r="A423" s="21" t="n">
        <v>422</v>
      </c>
      <c r="B423" s="22"/>
      <c r="C423" s="23"/>
      <c r="D423" s="23"/>
      <c r="E423" s="23"/>
      <c r="F423" s="23"/>
      <c r="G423" s="23"/>
      <c r="H423" s="23"/>
      <c r="I423" s="24"/>
      <c r="J423" s="18" t="s">
        <v>30</v>
      </c>
      <c r="K423" s="18" t="n">
        <v>734</v>
      </c>
      <c r="L423" s="25" t="n">
        <v>734</v>
      </c>
      <c r="M423" s="26" t="s">
        <v>784</v>
      </c>
      <c r="N423" s="0" t="n">
        <v>55</v>
      </c>
      <c r="Q423" s="0" t="n">
        <v>46</v>
      </c>
    </row>
    <row r="424" customFormat="false" ht="13.8" hidden="false" customHeight="false" outlineLevel="0" collapsed="false">
      <c r="A424" s="21" t="n">
        <v>423</v>
      </c>
      <c r="B424" s="22"/>
      <c r="C424" s="23"/>
      <c r="D424" s="23"/>
      <c r="E424" s="23"/>
      <c r="F424" s="23"/>
      <c r="G424" s="23"/>
      <c r="H424" s="23"/>
      <c r="I424" s="24"/>
      <c r="J424" s="18" t="s">
        <v>30</v>
      </c>
      <c r="K424" s="18" t="n">
        <v>742</v>
      </c>
      <c r="L424" s="25" t="n">
        <v>742</v>
      </c>
      <c r="M424" s="26" t="s">
        <v>792</v>
      </c>
      <c r="N424" s="0" t="n">
        <v>55</v>
      </c>
      <c r="Q424" s="0" t="n">
        <v>46</v>
      </c>
    </row>
    <row r="425" customFormat="false" ht="13.8" hidden="false" customHeight="false" outlineLevel="0" collapsed="false">
      <c r="A425" s="21" t="n">
        <v>424</v>
      </c>
      <c r="B425" s="22"/>
      <c r="C425" s="23"/>
      <c r="D425" s="23"/>
      <c r="E425" s="23"/>
      <c r="F425" s="23"/>
      <c r="G425" s="23"/>
      <c r="H425" s="23"/>
      <c r="I425" s="24"/>
      <c r="J425" s="18" t="s">
        <v>30</v>
      </c>
      <c r="K425" s="18" t="n">
        <v>751</v>
      </c>
      <c r="L425" s="25" t="n">
        <v>751</v>
      </c>
      <c r="M425" s="26" t="s">
        <v>801</v>
      </c>
      <c r="N425" s="0" t="n">
        <v>55</v>
      </c>
      <c r="Q425" s="0" t="n">
        <v>46</v>
      </c>
    </row>
    <row r="426" customFormat="false" ht="13.8" hidden="false" customHeight="false" outlineLevel="0" collapsed="false">
      <c r="A426" s="21" t="n">
        <v>425</v>
      </c>
      <c r="B426" s="22"/>
      <c r="C426" s="23"/>
      <c r="D426" s="23"/>
      <c r="E426" s="23"/>
      <c r="F426" s="23"/>
      <c r="G426" s="23"/>
      <c r="H426" s="23"/>
      <c r="I426" s="24"/>
      <c r="J426" s="18" t="s">
        <v>30</v>
      </c>
      <c r="K426" s="18" t="n">
        <v>758</v>
      </c>
      <c r="L426" s="25" t="n">
        <v>758</v>
      </c>
      <c r="M426" s="26" t="s">
        <v>808</v>
      </c>
      <c r="N426" s="0" t="n">
        <v>55</v>
      </c>
      <c r="Q426" s="0" t="n">
        <v>46</v>
      </c>
    </row>
    <row r="427" customFormat="false" ht="13.8" hidden="false" customHeight="false" outlineLevel="0" collapsed="false">
      <c r="A427" s="21" t="n">
        <v>426</v>
      </c>
      <c r="B427" s="22"/>
      <c r="C427" s="23"/>
      <c r="D427" s="23"/>
      <c r="E427" s="23"/>
      <c r="F427" s="23"/>
      <c r="G427" s="23"/>
      <c r="H427" s="23"/>
      <c r="I427" s="24"/>
      <c r="J427" s="18" t="s">
        <v>30</v>
      </c>
      <c r="K427" s="18" t="n">
        <v>766</v>
      </c>
      <c r="L427" s="25" t="n">
        <v>766</v>
      </c>
      <c r="M427" s="26" t="s">
        <v>816</v>
      </c>
      <c r="N427" s="0" t="n">
        <v>55</v>
      </c>
      <c r="Q427" s="0" t="n">
        <v>46</v>
      </c>
    </row>
    <row r="428" customFormat="false" ht="13.8" hidden="false" customHeight="false" outlineLevel="0" collapsed="false">
      <c r="A428" s="21" t="n">
        <v>427</v>
      </c>
      <c r="B428" s="22"/>
      <c r="C428" s="23"/>
      <c r="D428" s="23"/>
      <c r="E428" s="23"/>
      <c r="F428" s="23"/>
      <c r="G428" s="23"/>
      <c r="H428" s="23"/>
      <c r="I428" s="24"/>
      <c r="J428" s="18" t="s">
        <v>30</v>
      </c>
      <c r="K428" s="18" t="n">
        <v>775</v>
      </c>
      <c r="L428" s="25" t="n">
        <v>775</v>
      </c>
      <c r="M428" s="26" t="s">
        <v>823</v>
      </c>
      <c r="N428" s="0" t="n">
        <v>55</v>
      </c>
      <c r="Q428" s="0" t="n">
        <v>46</v>
      </c>
    </row>
    <row r="429" customFormat="false" ht="13.8" hidden="false" customHeight="false" outlineLevel="0" collapsed="false">
      <c r="A429" s="21" t="n">
        <v>428</v>
      </c>
      <c r="B429" s="22"/>
      <c r="C429" s="23"/>
      <c r="D429" s="23"/>
      <c r="E429" s="23"/>
      <c r="F429" s="23"/>
      <c r="G429" s="23"/>
      <c r="H429" s="23"/>
      <c r="I429" s="24"/>
      <c r="J429" s="18" t="s">
        <v>30</v>
      </c>
      <c r="K429" s="18" t="n">
        <v>782</v>
      </c>
      <c r="L429" s="25" t="n">
        <v>782</v>
      </c>
      <c r="M429" s="26" t="s">
        <v>830</v>
      </c>
      <c r="N429" s="0" t="n">
        <v>55</v>
      </c>
      <c r="Q429" s="0" t="n">
        <v>46</v>
      </c>
    </row>
    <row r="430" customFormat="false" ht="13.8" hidden="false" customHeight="false" outlineLevel="0" collapsed="false">
      <c r="A430" s="21" t="n">
        <v>429</v>
      </c>
      <c r="B430" s="22"/>
      <c r="C430" s="23"/>
      <c r="D430" s="23"/>
      <c r="E430" s="23"/>
      <c r="F430" s="23"/>
      <c r="G430" s="23"/>
      <c r="H430" s="23"/>
      <c r="I430" s="24"/>
      <c r="J430" s="18" t="s">
        <v>30</v>
      </c>
      <c r="K430" s="18" t="n">
        <v>790</v>
      </c>
      <c r="L430" s="25" t="n">
        <v>790</v>
      </c>
      <c r="M430" s="26" t="s">
        <v>838</v>
      </c>
      <c r="N430" s="0" t="n">
        <v>55</v>
      </c>
      <c r="Q430" s="0" t="n">
        <v>46</v>
      </c>
    </row>
    <row r="431" customFormat="false" ht="13.8" hidden="false" customHeight="false" outlineLevel="0" collapsed="false">
      <c r="A431" s="21" t="n">
        <v>430</v>
      </c>
      <c r="B431" s="22"/>
      <c r="C431" s="23"/>
      <c r="D431" s="23"/>
      <c r="E431" s="23"/>
      <c r="F431" s="23"/>
      <c r="G431" s="23"/>
      <c r="H431" s="23"/>
      <c r="I431" s="24"/>
      <c r="J431" s="18" t="s">
        <v>30</v>
      </c>
      <c r="K431" s="18" t="n">
        <v>799</v>
      </c>
      <c r="L431" s="25" t="n">
        <v>799</v>
      </c>
      <c r="M431" s="26" t="s">
        <v>847</v>
      </c>
      <c r="N431" s="0" t="n">
        <v>55</v>
      </c>
      <c r="Q431" s="0" t="n">
        <v>46</v>
      </c>
    </row>
    <row r="432" customFormat="false" ht="13.8" hidden="false" customHeight="false" outlineLevel="0" collapsed="false">
      <c r="A432" s="21" t="n">
        <v>431</v>
      </c>
      <c r="B432" s="22"/>
      <c r="C432" s="23"/>
      <c r="D432" s="23"/>
      <c r="E432" s="23"/>
      <c r="F432" s="23"/>
      <c r="G432" s="23"/>
      <c r="H432" s="23"/>
      <c r="I432" s="24"/>
      <c r="J432" s="18" t="s">
        <v>30</v>
      </c>
      <c r="K432" s="18" t="n">
        <v>807</v>
      </c>
      <c r="L432" s="25" t="n">
        <v>807</v>
      </c>
      <c r="M432" s="26" t="s">
        <v>855</v>
      </c>
      <c r="N432" s="0" t="n">
        <v>55</v>
      </c>
      <c r="Q432" s="0" t="n">
        <v>46</v>
      </c>
    </row>
    <row r="433" customFormat="false" ht="13.8" hidden="false" customHeight="false" outlineLevel="0" collapsed="false">
      <c r="A433" s="21" t="n">
        <v>432</v>
      </c>
      <c r="B433" s="22"/>
      <c r="C433" s="23"/>
      <c r="D433" s="23"/>
      <c r="E433" s="23"/>
      <c r="F433" s="23"/>
      <c r="G433" s="23"/>
      <c r="H433" s="23"/>
      <c r="I433" s="24"/>
      <c r="J433" s="18" t="s">
        <v>30</v>
      </c>
      <c r="K433" s="18" t="n">
        <v>815</v>
      </c>
      <c r="L433" s="25" t="n">
        <v>815</v>
      </c>
      <c r="M433" s="26" t="s">
        <v>862</v>
      </c>
      <c r="N433" s="0" t="n">
        <v>55</v>
      </c>
      <c r="Q433" s="0" t="n">
        <v>46</v>
      </c>
    </row>
    <row r="434" customFormat="false" ht="13.8" hidden="false" customHeight="false" outlineLevel="0" collapsed="false">
      <c r="A434" s="27" t="n">
        <v>433</v>
      </c>
      <c r="B434" s="28"/>
      <c r="C434" s="29"/>
      <c r="D434" s="29"/>
      <c r="E434" s="29"/>
      <c r="F434" s="29"/>
      <c r="G434" s="29"/>
      <c r="H434" s="29"/>
      <c r="I434" s="30"/>
      <c r="J434" s="18" t="s">
        <v>30</v>
      </c>
      <c r="K434" s="18" t="n">
        <v>823</v>
      </c>
      <c r="L434" s="31" t="n">
        <v>823</v>
      </c>
      <c r="M434" s="32" t="s">
        <v>869</v>
      </c>
      <c r="N434" s="0" t="n">
        <v>55</v>
      </c>
      <c r="Q434" s="0" t="n">
        <v>46</v>
      </c>
    </row>
    <row r="435" customFormat="false" ht="13.8" hidden="false" customHeight="false" outlineLevel="0" collapsed="false">
      <c r="A435" s="14" t="n">
        <v>434</v>
      </c>
      <c r="B435" s="15"/>
      <c r="C435" s="16"/>
      <c r="D435" s="16"/>
      <c r="E435" s="16"/>
      <c r="F435" s="16"/>
      <c r="G435" s="16"/>
      <c r="H435" s="16"/>
      <c r="I435" s="17"/>
      <c r="J435" s="18" t="s">
        <v>36</v>
      </c>
      <c r="K435" s="18" t="n">
        <v>2726</v>
      </c>
      <c r="L435" s="19" t="n">
        <v>2726</v>
      </c>
      <c r="M435" s="20" t="s">
        <v>37</v>
      </c>
      <c r="N435" s="0" t="n">
        <v>56</v>
      </c>
      <c r="O435" s="0" t="s">
        <v>36</v>
      </c>
      <c r="Q435" s="0" t="n">
        <v>46</v>
      </c>
    </row>
    <row r="436" customFormat="false" ht="13.8" hidden="false" customHeight="false" outlineLevel="0" collapsed="false">
      <c r="A436" s="21" t="n">
        <v>435</v>
      </c>
      <c r="B436" s="22"/>
      <c r="C436" s="23"/>
      <c r="D436" s="23"/>
      <c r="E436" s="23"/>
      <c r="F436" s="23"/>
      <c r="G436" s="23"/>
      <c r="H436" s="23"/>
      <c r="I436" s="24"/>
      <c r="J436" s="18" t="s">
        <v>36</v>
      </c>
      <c r="K436" s="18" t="n">
        <v>12706</v>
      </c>
      <c r="L436" s="25" t="n">
        <v>12706</v>
      </c>
      <c r="M436" s="26" t="s">
        <v>1270</v>
      </c>
      <c r="N436" s="0" t="n">
        <v>56</v>
      </c>
      <c r="Q436" s="0" t="n">
        <v>46</v>
      </c>
    </row>
    <row r="437" customFormat="false" ht="13.8" hidden="false" customHeight="false" outlineLevel="0" collapsed="false">
      <c r="A437" s="21" t="n">
        <v>436</v>
      </c>
      <c r="B437" s="22"/>
      <c r="C437" s="23"/>
      <c r="D437" s="23"/>
      <c r="E437" s="23"/>
      <c r="F437" s="23"/>
      <c r="G437" s="23"/>
      <c r="H437" s="23"/>
      <c r="I437" s="24"/>
      <c r="J437" s="18" t="s">
        <v>36</v>
      </c>
      <c r="K437" s="18" t="n">
        <v>12707</v>
      </c>
      <c r="L437" s="25" t="n">
        <v>12707</v>
      </c>
      <c r="M437" s="26" t="s">
        <v>1271</v>
      </c>
      <c r="N437" s="0" t="n">
        <v>56</v>
      </c>
      <c r="Q437" s="0" t="n">
        <v>46</v>
      </c>
    </row>
    <row r="438" customFormat="false" ht="13.8" hidden="false" customHeight="false" outlineLevel="0" collapsed="false">
      <c r="A438" s="21" t="n">
        <v>437</v>
      </c>
      <c r="B438" s="22"/>
      <c r="C438" s="23"/>
      <c r="D438" s="23"/>
      <c r="E438" s="23"/>
      <c r="F438" s="23"/>
      <c r="G438" s="23"/>
      <c r="H438" s="23"/>
      <c r="I438" s="24" t="n">
        <v>1222</v>
      </c>
      <c r="J438" s="18" t="s">
        <v>36</v>
      </c>
      <c r="K438" s="18" t="n">
        <v>2632</v>
      </c>
      <c r="L438" s="25" t="n">
        <v>2632</v>
      </c>
      <c r="M438" s="26" t="s">
        <v>53</v>
      </c>
      <c r="N438" s="0" t="n">
        <v>56</v>
      </c>
      <c r="Q438" s="0" t="n">
        <v>46</v>
      </c>
    </row>
    <row r="439" customFormat="false" ht="13.8" hidden="false" customHeight="false" outlineLevel="0" collapsed="false">
      <c r="A439" s="21" t="n">
        <v>438</v>
      </c>
      <c r="B439" s="22"/>
      <c r="C439" s="23"/>
      <c r="D439" s="23"/>
      <c r="E439" s="23"/>
      <c r="F439" s="23"/>
      <c r="G439" s="23"/>
      <c r="H439" s="23"/>
      <c r="I439" s="24" t="n">
        <v>1238</v>
      </c>
      <c r="J439" s="18" t="s">
        <v>36</v>
      </c>
      <c r="K439" s="18" t="n">
        <v>12704</v>
      </c>
      <c r="L439" s="25" t="n">
        <v>12704</v>
      </c>
      <c r="M439" s="26" t="s">
        <v>54</v>
      </c>
      <c r="N439" s="0" t="n">
        <v>56</v>
      </c>
      <c r="Q439" s="0" t="n">
        <v>47</v>
      </c>
    </row>
    <row r="440" customFormat="false" ht="13.8" hidden="false" customHeight="false" outlineLevel="0" collapsed="false">
      <c r="A440" s="21" t="n">
        <v>439</v>
      </c>
      <c r="B440" s="22"/>
      <c r="C440" s="23"/>
      <c r="D440" s="23"/>
      <c r="E440" s="23"/>
      <c r="F440" s="23"/>
      <c r="G440" s="23"/>
      <c r="H440" s="23"/>
      <c r="I440" s="24"/>
      <c r="J440" s="18" t="s">
        <v>36</v>
      </c>
      <c r="K440" s="18" t="n">
        <v>2734</v>
      </c>
      <c r="L440" s="25" t="n">
        <v>2734</v>
      </c>
      <c r="M440" s="26" t="s">
        <v>1258</v>
      </c>
      <c r="N440" s="0" t="n">
        <v>56</v>
      </c>
      <c r="Q440" s="0" t="n">
        <v>47</v>
      </c>
    </row>
    <row r="441" customFormat="false" ht="13.8" hidden="false" customHeight="false" outlineLevel="0" collapsed="false">
      <c r="A441" s="21" t="n">
        <v>440</v>
      </c>
      <c r="B441" s="22"/>
      <c r="C441" s="23"/>
      <c r="D441" s="23"/>
      <c r="E441" s="23"/>
      <c r="F441" s="23"/>
      <c r="G441" s="23"/>
      <c r="H441" s="23"/>
      <c r="I441" s="24"/>
      <c r="J441" s="18" t="s">
        <v>36</v>
      </c>
      <c r="K441" s="18" t="n">
        <v>2742</v>
      </c>
      <c r="L441" s="25" t="n">
        <v>2742</v>
      </c>
      <c r="M441" s="26" t="s">
        <v>1259</v>
      </c>
      <c r="N441" s="0" t="n">
        <v>56</v>
      </c>
      <c r="Q441" s="0" t="n">
        <v>47</v>
      </c>
    </row>
    <row r="442" customFormat="false" ht="13.8" hidden="false" customHeight="false" outlineLevel="0" collapsed="false">
      <c r="A442" s="21" t="n">
        <v>441</v>
      </c>
      <c r="B442" s="22"/>
      <c r="C442" s="23"/>
      <c r="D442" s="23"/>
      <c r="E442" s="23"/>
      <c r="F442" s="23"/>
      <c r="G442" s="23"/>
      <c r="H442" s="23"/>
      <c r="I442" s="24"/>
      <c r="J442" s="18" t="s">
        <v>36</v>
      </c>
      <c r="K442" s="18" t="n">
        <v>2751</v>
      </c>
      <c r="L442" s="25" t="n">
        <v>2751</v>
      </c>
      <c r="M442" s="26" t="s">
        <v>1260</v>
      </c>
      <c r="N442" s="0" t="n">
        <v>56</v>
      </c>
      <c r="Q442" s="0" t="n">
        <v>47</v>
      </c>
    </row>
    <row r="443" customFormat="false" ht="13.8" hidden="false" customHeight="false" outlineLevel="0" collapsed="false">
      <c r="A443" s="21" t="n">
        <v>442</v>
      </c>
      <c r="B443" s="22"/>
      <c r="C443" s="23"/>
      <c r="D443" s="23"/>
      <c r="E443" s="23"/>
      <c r="F443" s="23"/>
      <c r="G443" s="23"/>
      <c r="H443" s="23"/>
      <c r="I443" s="24"/>
      <c r="J443" s="18" t="s">
        <v>36</v>
      </c>
      <c r="K443" s="18" t="n">
        <v>2758</v>
      </c>
      <c r="L443" s="25" t="n">
        <v>2758</v>
      </c>
      <c r="M443" s="26" t="s">
        <v>1261</v>
      </c>
      <c r="N443" s="0" t="n">
        <v>56</v>
      </c>
      <c r="Q443" s="0" t="n">
        <v>47</v>
      </c>
    </row>
    <row r="444" customFormat="false" ht="13.8" hidden="false" customHeight="false" outlineLevel="0" collapsed="false">
      <c r="A444" s="21" t="n">
        <v>443</v>
      </c>
      <c r="B444" s="22"/>
      <c r="C444" s="23"/>
      <c r="D444" s="23"/>
      <c r="E444" s="23"/>
      <c r="F444" s="23"/>
      <c r="G444" s="23"/>
      <c r="H444" s="23"/>
      <c r="I444" s="24"/>
      <c r="J444" s="18" t="s">
        <v>36</v>
      </c>
      <c r="K444" s="18" t="n">
        <v>2766</v>
      </c>
      <c r="L444" s="25" t="n">
        <v>2766</v>
      </c>
      <c r="M444" s="26" t="s">
        <v>1262</v>
      </c>
      <c r="N444" s="0" t="n">
        <v>56</v>
      </c>
      <c r="Q444" s="0" t="n">
        <v>47</v>
      </c>
    </row>
    <row r="445" customFormat="false" ht="13.8" hidden="false" customHeight="false" outlineLevel="0" collapsed="false">
      <c r="A445" s="21" t="n">
        <v>444</v>
      </c>
      <c r="B445" s="22"/>
      <c r="C445" s="23"/>
      <c r="D445" s="23"/>
      <c r="E445" s="23"/>
      <c r="F445" s="23"/>
      <c r="G445" s="23"/>
      <c r="H445" s="23"/>
      <c r="I445" s="24"/>
      <c r="J445" s="18" t="s">
        <v>36</v>
      </c>
      <c r="K445" s="18" t="n">
        <v>2775</v>
      </c>
      <c r="L445" s="25" t="n">
        <v>2775</v>
      </c>
      <c r="M445" s="26" t="s">
        <v>1263</v>
      </c>
      <c r="N445" s="0" t="n">
        <v>56</v>
      </c>
      <c r="Q445" s="0" t="n">
        <v>47</v>
      </c>
    </row>
    <row r="446" customFormat="false" ht="13.8" hidden="false" customHeight="false" outlineLevel="0" collapsed="false">
      <c r="A446" s="21" t="n">
        <v>445</v>
      </c>
      <c r="B446" s="22"/>
      <c r="C446" s="23"/>
      <c r="D446" s="23"/>
      <c r="E446" s="23"/>
      <c r="F446" s="23"/>
      <c r="G446" s="23"/>
      <c r="H446" s="23"/>
      <c r="I446" s="24"/>
      <c r="J446" s="18" t="s">
        <v>36</v>
      </c>
      <c r="K446" s="18" t="n">
        <v>2782</v>
      </c>
      <c r="L446" s="25" t="n">
        <v>2782</v>
      </c>
      <c r="M446" s="26" t="s">
        <v>1264</v>
      </c>
      <c r="N446" s="0" t="n">
        <v>56</v>
      </c>
      <c r="Q446" s="0" t="n">
        <v>47</v>
      </c>
    </row>
    <row r="447" customFormat="false" ht="13.8" hidden="false" customHeight="false" outlineLevel="0" collapsed="false">
      <c r="A447" s="21" t="n">
        <v>446</v>
      </c>
      <c r="B447" s="22"/>
      <c r="C447" s="23"/>
      <c r="D447" s="23"/>
      <c r="E447" s="23"/>
      <c r="F447" s="23"/>
      <c r="G447" s="23"/>
      <c r="H447" s="23"/>
      <c r="I447" s="24"/>
      <c r="J447" s="18" t="s">
        <v>36</v>
      </c>
      <c r="K447" s="18" t="n">
        <v>2790</v>
      </c>
      <c r="L447" s="25" t="n">
        <v>2790</v>
      </c>
      <c r="M447" s="26" t="s">
        <v>1265</v>
      </c>
      <c r="N447" s="0" t="n">
        <v>56</v>
      </c>
      <c r="Q447" s="0" t="n">
        <v>47</v>
      </c>
    </row>
    <row r="448" customFormat="false" ht="13.8" hidden="false" customHeight="false" outlineLevel="0" collapsed="false">
      <c r="A448" s="21" t="n">
        <v>447</v>
      </c>
      <c r="B448" s="22"/>
      <c r="C448" s="23"/>
      <c r="D448" s="23"/>
      <c r="E448" s="23"/>
      <c r="F448" s="23"/>
      <c r="G448" s="23"/>
      <c r="H448" s="23"/>
      <c r="I448" s="24"/>
      <c r="J448" s="18" t="s">
        <v>36</v>
      </c>
      <c r="K448" s="18" t="n">
        <v>2799</v>
      </c>
      <c r="L448" s="25" t="n">
        <v>2799</v>
      </c>
      <c r="M448" s="26" t="s">
        <v>1266</v>
      </c>
      <c r="N448" s="0" t="n">
        <v>56</v>
      </c>
      <c r="Q448" s="0" t="n">
        <v>47</v>
      </c>
    </row>
    <row r="449" customFormat="false" ht="13.8" hidden="false" customHeight="false" outlineLevel="0" collapsed="false">
      <c r="A449" s="21" t="n">
        <v>448</v>
      </c>
      <c r="B449" s="22"/>
      <c r="C449" s="23"/>
      <c r="D449" s="23"/>
      <c r="E449" s="23"/>
      <c r="F449" s="23"/>
      <c r="G449" s="23"/>
      <c r="H449" s="23"/>
      <c r="I449" s="24"/>
      <c r="J449" s="18" t="s">
        <v>36</v>
      </c>
      <c r="K449" s="18" t="n">
        <v>2807</v>
      </c>
      <c r="L449" s="25" t="n">
        <v>2807</v>
      </c>
      <c r="M449" s="26" t="s">
        <v>1267</v>
      </c>
      <c r="N449" s="0" t="n">
        <v>56</v>
      </c>
      <c r="Q449" s="0" t="n">
        <v>47</v>
      </c>
    </row>
    <row r="450" customFormat="false" ht="13.8" hidden="false" customHeight="false" outlineLevel="0" collapsed="false">
      <c r="A450" s="21" t="n">
        <v>449</v>
      </c>
      <c r="B450" s="22"/>
      <c r="C450" s="23"/>
      <c r="D450" s="23"/>
      <c r="E450" s="23"/>
      <c r="F450" s="23"/>
      <c r="G450" s="23"/>
      <c r="H450" s="23"/>
      <c r="I450" s="24"/>
      <c r="J450" s="18" t="s">
        <v>36</v>
      </c>
      <c r="K450" s="18" t="n">
        <v>2815</v>
      </c>
      <c r="L450" s="25" t="n">
        <v>2815</v>
      </c>
      <c r="M450" s="26" t="s">
        <v>1268</v>
      </c>
      <c r="N450" s="0" t="n">
        <v>56</v>
      </c>
      <c r="Q450" s="0" t="n">
        <v>47</v>
      </c>
    </row>
    <row r="451" customFormat="false" ht="13.8" hidden="false" customHeight="false" outlineLevel="0" collapsed="false">
      <c r="A451" s="27" t="n">
        <v>450</v>
      </c>
      <c r="B451" s="28"/>
      <c r="C451" s="29"/>
      <c r="D451" s="29"/>
      <c r="E451" s="29"/>
      <c r="F451" s="29"/>
      <c r="G451" s="29"/>
      <c r="H451" s="29"/>
      <c r="I451" s="30"/>
      <c r="J451" s="18" t="s">
        <v>36</v>
      </c>
      <c r="K451" s="18" t="n">
        <v>2823</v>
      </c>
      <c r="L451" s="31" t="n">
        <v>2823</v>
      </c>
      <c r="M451" s="32" t="s">
        <v>1269</v>
      </c>
      <c r="N451" s="0" t="n">
        <v>56</v>
      </c>
      <c r="Q451" s="0" t="n">
        <v>47</v>
      </c>
    </row>
    <row r="452" customFormat="false" ht="13.8" hidden="false" customHeight="false" outlineLevel="0" collapsed="false">
      <c r="A452" s="10" t="n">
        <v>451</v>
      </c>
      <c r="B452" s="4"/>
      <c r="C452" s="11"/>
      <c r="D452" s="11"/>
      <c r="E452" s="11"/>
      <c r="F452" s="11"/>
      <c r="G452" s="11"/>
      <c r="H452" s="11" t="s">
        <v>1020</v>
      </c>
      <c r="I452" s="12" t="n">
        <v>971</v>
      </c>
      <c r="L452" s="13" t="n">
        <v>982</v>
      </c>
      <c r="M452" s="13" t="s">
        <v>1020</v>
      </c>
      <c r="Q452" s="0" t="n">
        <v>47</v>
      </c>
    </row>
    <row r="453" customFormat="false" ht="13.8" hidden="false" customHeight="false" outlineLevel="0" collapsed="false">
      <c r="A453" s="10" t="n">
        <v>452</v>
      </c>
      <c r="B453" s="4"/>
      <c r="C453" s="11"/>
      <c r="D453" s="11"/>
      <c r="E453" s="11"/>
      <c r="F453" s="11"/>
      <c r="G453" s="11"/>
      <c r="H453" s="11" t="s">
        <v>113</v>
      </c>
      <c r="I453" s="12" t="n">
        <v>17</v>
      </c>
      <c r="L453" s="13" t="n">
        <v>19</v>
      </c>
      <c r="M453" s="13" t="s">
        <v>113</v>
      </c>
      <c r="Q453" s="0" t="n">
        <v>47</v>
      </c>
    </row>
    <row r="454" customFormat="false" ht="13.8" hidden="false" customHeight="false" outlineLevel="0" collapsed="false">
      <c r="A454" s="10" t="n">
        <v>453</v>
      </c>
      <c r="B454" s="4"/>
      <c r="C454" s="11"/>
      <c r="D454" s="11"/>
      <c r="E454" s="11"/>
      <c r="F454" s="11" t="s">
        <v>1429</v>
      </c>
      <c r="G454" s="11"/>
      <c r="H454" s="11"/>
      <c r="I454" s="12"/>
      <c r="L454" s="13" t="n">
        <v>822</v>
      </c>
      <c r="M454" s="13" t="s">
        <v>868</v>
      </c>
      <c r="Q454" s="0" t="n">
        <v>47</v>
      </c>
    </row>
    <row r="455" customFormat="false" ht="13.8" hidden="false" customHeight="false" outlineLevel="0" collapsed="false">
      <c r="A455" s="14" t="n">
        <v>454</v>
      </c>
      <c r="B455" s="15"/>
      <c r="C455" s="16"/>
      <c r="D455" s="16"/>
      <c r="E455" s="16"/>
      <c r="F455" s="16"/>
      <c r="G455" s="16" t="s">
        <v>1430</v>
      </c>
      <c r="H455" s="16"/>
      <c r="I455" s="17"/>
      <c r="J455" s="18" t="s">
        <v>1431</v>
      </c>
      <c r="K455" s="18" t="n">
        <v>909</v>
      </c>
      <c r="L455" s="19" t="n">
        <v>909</v>
      </c>
      <c r="M455" s="20" t="s">
        <v>952</v>
      </c>
      <c r="N455" s="0" t="n">
        <v>57</v>
      </c>
      <c r="O455" s="0" t="s">
        <v>1372</v>
      </c>
    </row>
    <row r="456" customFormat="false" ht="13.8" hidden="false" customHeight="false" outlineLevel="0" collapsed="false">
      <c r="A456" s="21" t="n">
        <v>455</v>
      </c>
      <c r="B456" s="22"/>
      <c r="C456" s="23"/>
      <c r="D456" s="23"/>
      <c r="E456" s="23"/>
      <c r="F456" s="23"/>
      <c r="G456" s="23"/>
      <c r="H456" s="23"/>
      <c r="I456" s="24" t="n">
        <v>907</v>
      </c>
      <c r="J456" s="18" t="s">
        <v>1431</v>
      </c>
      <c r="K456" s="18" t="n">
        <v>918</v>
      </c>
      <c r="L456" s="25" t="n">
        <v>918</v>
      </c>
      <c r="M456" s="26" t="s">
        <v>961</v>
      </c>
      <c r="N456" s="0" t="n">
        <v>57</v>
      </c>
    </row>
    <row r="457" customFormat="false" ht="13.8" hidden="false" customHeight="false" outlineLevel="0" collapsed="false">
      <c r="A457" s="21" t="n">
        <v>456</v>
      </c>
      <c r="B457" s="22"/>
      <c r="C457" s="23"/>
      <c r="D457" s="23"/>
      <c r="E457" s="23"/>
      <c r="F457" s="23"/>
      <c r="G457" s="23"/>
      <c r="H457" s="23"/>
      <c r="I457" s="24"/>
      <c r="J457" s="18" t="s">
        <v>1431</v>
      </c>
      <c r="K457" s="18" t="n">
        <v>1121</v>
      </c>
      <c r="L457" s="25" t="n">
        <v>1121</v>
      </c>
      <c r="M457" s="26" t="s">
        <v>1154</v>
      </c>
      <c r="N457" s="0" t="n">
        <v>57</v>
      </c>
    </row>
    <row r="458" customFormat="false" ht="13.8" hidden="false" customHeight="false" outlineLevel="0" collapsed="false">
      <c r="A458" s="21" t="n">
        <v>457</v>
      </c>
      <c r="B458" s="22"/>
      <c r="C458" s="23"/>
      <c r="D458" s="23"/>
      <c r="E458" s="23"/>
      <c r="F458" s="23"/>
      <c r="G458" s="23"/>
      <c r="H458" s="23"/>
      <c r="I458" s="24"/>
      <c r="J458" s="18" t="s">
        <v>1431</v>
      </c>
      <c r="K458" s="18" t="n">
        <v>20</v>
      </c>
      <c r="L458" s="25" t="n">
        <v>20</v>
      </c>
      <c r="M458" s="26" t="s">
        <v>114</v>
      </c>
      <c r="N458" s="0" t="n">
        <v>57</v>
      </c>
      <c r="Q458" s="0" t="n">
        <v>48</v>
      </c>
    </row>
    <row r="459" customFormat="false" ht="13.8" hidden="false" customHeight="false" outlineLevel="0" collapsed="false">
      <c r="A459" s="21" t="n">
        <v>458</v>
      </c>
      <c r="B459" s="22"/>
      <c r="C459" s="23"/>
      <c r="D459" s="23"/>
      <c r="E459" s="23"/>
      <c r="F459" s="23"/>
      <c r="G459" s="23"/>
      <c r="H459" s="23"/>
      <c r="I459" s="24"/>
      <c r="J459" s="18" t="s">
        <v>1431</v>
      </c>
      <c r="K459" s="18" t="n">
        <v>999</v>
      </c>
      <c r="L459" s="25" t="n">
        <v>999</v>
      </c>
      <c r="M459" s="26" t="s">
        <v>1037</v>
      </c>
      <c r="N459" s="0" t="n">
        <v>57</v>
      </c>
      <c r="Q459" s="0" t="n">
        <v>48</v>
      </c>
    </row>
    <row r="460" customFormat="false" ht="13.8" hidden="false" customHeight="false" outlineLevel="0" collapsed="false">
      <c r="A460" s="21" t="n">
        <v>459</v>
      </c>
      <c r="B460" s="22"/>
      <c r="C460" s="23"/>
      <c r="D460" s="23"/>
      <c r="E460" s="23"/>
      <c r="F460" s="23"/>
      <c r="G460" s="23"/>
      <c r="H460" s="23"/>
      <c r="I460" s="24"/>
      <c r="J460" s="18" t="s">
        <v>1431</v>
      </c>
      <c r="K460" s="18" t="n">
        <v>715</v>
      </c>
      <c r="L460" s="25" t="n">
        <v>715</v>
      </c>
      <c r="M460" s="26" t="s">
        <v>766</v>
      </c>
      <c r="N460" s="0" t="n">
        <v>57</v>
      </c>
      <c r="Q460" s="0" t="n">
        <v>48</v>
      </c>
    </row>
    <row r="461" customFormat="false" ht="13.8" hidden="false" customHeight="false" outlineLevel="0" collapsed="false">
      <c r="A461" s="21" t="n">
        <v>460</v>
      </c>
      <c r="B461" s="22"/>
      <c r="C461" s="23"/>
      <c r="D461" s="23"/>
      <c r="E461" s="23"/>
      <c r="F461" s="23"/>
      <c r="G461" s="23"/>
      <c r="H461" s="23"/>
      <c r="I461" s="24"/>
      <c r="J461" s="18" t="s">
        <v>1431</v>
      </c>
      <c r="K461" s="18" t="n">
        <v>764</v>
      </c>
      <c r="L461" s="25" t="n">
        <v>764</v>
      </c>
      <c r="M461" s="26" t="s">
        <v>814</v>
      </c>
      <c r="N461" s="0" t="n">
        <v>57</v>
      </c>
      <c r="Q461" s="0" t="n">
        <v>48</v>
      </c>
    </row>
    <row r="462" customFormat="false" ht="13.8" hidden="false" customHeight="false" outlineLevel="0" collapsed="false">
      <c r="A462" s="21" t="n">
        <v>461</v>
      </c>
      <c r="B462" s="22"/>
      <c r="C462" s="23"/>
      <c r="D462" s="23"/>
      <c r="E462" s="23"/>
      <c r="F462" s="23"/>
      <c r="G462" s="23"/>
      <c r="H462" s="23"/>
      <c r="I462" s="24"/>
      <c r="J462" s="18" t="s">
        <v>1431</v>
      </c>
      <c r="K462" s="18" t="n">
        <v>52</v>
      </c>
      <c r="L462" s="25" t="n">
        <v>52</v>
      </c>
      <c r="M462" s="26" t="s">
        <v>141</v>
      </c>
      <c r="N462" s="0" t="n">
        <v>57</v>
      </c>
      <c r="Q462" s="0" t="n">
        <v>48</v>
      </c>
    </row>
    <row r="463" customFormat="false" ht="13.8" hidden="false" customHeight="false" outlineLevel="0" collapsed="false">
      <c r="A463" s="21" t="n">
        <v>462</v>
      </c>
      <c r="B463" s="22"/>
      <c r="C463" s="23"/>
      <c r="D463" s="23"/>
      <c r="E463" s="23"/>
      <c r="F463" s="23"/>
      <c r="G463" s="23"/>
      <c r="H463" s="23"/>
      <c r="I463" s="24"/>
      <c r="J463" s="18" t="s">
        <v>1431</v>
      </c>
      <c r="K463" s="18" t="n">
        <v>92</v>
      </c>
      <c r="L463" s="25" t="n">
        <v>92</v>
      </c>
      <c r="M463" s="26" t="s">
        <v>180</v>
      </c>
      <c r="N463" s="0" t="n">
        <v>57</v>
      </c>
      <c r="Q463" s="0" t="n">
        <v>48</v>
      </c>
    </row>
    <row r="464" customFormat="false" ht="13.8" hidden="false" customHeight="false" outlineLevel="0" collapsed="false">
      <c r="A464" s="21" t="n">
        <v>463</v>
      </c>
      <c r="B464" s="22"/>
      <c r="C464" s="23"/>
      <c r="D464" s="23"/>
      <c r="E464" s="23"/>
      <c r="F464" s="23"/>
      <c r="G464" s="23"/>
      <c r="H464" s="23"/>
      <c r="I464" s="24"/>
      <c r="J464" s="18" t="s">
        <v>1431</v>
      </c>
      <c r="K464" s="18" t="n">
        <v>312</v>
      </c>
      <c r="L464" s="25" t="n">
        <v>312</v>
      </c>
      <c r="M464" s="26" t="s">
        <v>384</v>
      </c>
      <c r="N464" s="0" t="n">
        <v>57</v>
      </c>
      <c r="Q464" s="0" t="n">
        <v>48</v>
      </c>
    </row>
    <row r="465" customFormat="false" ht="13.8" hidden="false" customHeight="false" outlineLevel="0" collapsed="false">
      <c r="A465" s="21" t="n">
        <v>464</v>
      </c>
      <c r="B465" s="22"/>
      <c r="C465" s="23"/>
      <c r="D465" s="23"/>
      <c r="E465" s="23"/>
      <c r="F465" s="23"/>
      <c r="G465" s="23"/>
      <c r="H465" s="23"/>
      <c r="I465" s="24"/>
      <c r="J465" s="18" t="s">
        <v>1431</v>
      </c>
      <c r="K465" s="18" t="n">
        <v>139</v>
      </c>
      <c r="L465" s="25" t="n">
        <v>139</v>
      </c>
      <c r="M465" s="26" t="s">
        <v>226</v>
      </c>
      <c r="N465" s="0" t="n">
        <v>57</v>
      </c>
      <c r="Q465" s="0" t="n">
        <v>48</v>
      </c>
    </row>
    <row r="466" customFormat="false" ht="13.8" hidden="false" customHeight="false" outlineLevel="0" collapsed="false">
      <c r="A466" s="21" t="n">
        <v>465</v>
      </c>
      <c r="B466" s="22"/>
      <c r="C466" s="23"/>
      <c r="D466" s="23"/>
      <c r="E466" s="23"/>
      <c r="F466" s="23"/>
      <c r="G466" s="23"/>
      <c r="H466" s="23"/>
      <c r="I466" s="24"/>
      <c r="J466" s="18" t="s">
        <v>1431</v>
      </c>
      <c r="K466" s="18" t="n">
        <v>387</v>
      </c>
      <c r="L466" s="25" t="n">
        <v>387</v>
      </c>
      <c r="M466" s="26" t="s">
        <v>456</v>
      </c>
      <c r="N466" s="0" t="n">
        <v>57</v>
      </c>
      <c r="Q466" s="0" t="n">
        <v>48</v>
      </c>
    </row>
    <row r="467" customFormat="false" ht="13.8" hidden="false" customHeight="false" outlineLevel="0" collapsed="false">
      <c r="A467" s="21" t="n">
        <v>466</v>
      </c>
      <c r="B467" s="22"/>
      <c r="C467" s="23"/>
      <c r="D467" s="23"/>
      <c r="E467" s="23"/>
      <c r="F467" s="23"/>
      <c r="G467" s="23"/>
      <c r="H467" s="23"/>
      <c r="I467" s="24"/>
      <c r="J467" s="18" t="s">
        <v>1431</v>
      </c>
      <c r="K467" s="18" t="n">
        <v>28</v>
      </c>
      <c r="L467" s="25" t="n">
        <v>28</v>
      </c>
      <c r="M467" s="26" t="s">
        <v>121</v>
      </c>
      <c r="N467" s="0" t="n">
        <v>57</v>
      </c>
      <c r="Q467" s="0" t="n">
        <v>48</v>
      </c>
    </row>
    <row r="468" customFormat="false" ht="13.8" hidden="false" customHeight="false" outlineLevel="0" collapsed="false">
      <c r="A468" s="27" t="n">
        <v>467</v>
      </c>
      <c r="B468" s="28"/>
      <c r="C468" s="29"/>
      <c r="D468" s="29"/>
      <c r="E468" s="29"/>
      <c r="F468" s="29"/>
      <c r="G468" s="29"/>
      <c r="H468" s="29"/>
      <c r="I468" s="30"/>
      <c r="J468" s="18" t="s">
        <v>1431</v>
      </c>
      <c r="K468" s="18" t="n">
        <v>60</v>
      </c>
      <c r="L468" s="31" t="n">
        <v>60</v>
      </c>
      <c r="M468" s="32" t="s">
        <v>149</v>
      </c>
      <c r="N468" s="0" t="n">
        <v>57</v>
      </c>
      <c r="Q468" s="0" t="n">
        <v>48</v>
      </c>
    </row>
    <row r="469" customFormat="false" ht="13.8" hidden="false" customHeight="false" outlineLevel="0" collapsed="false">
      <c r="A469" s="14" t="n">
        <v>468</v>
      </c>
      <c r="B469" s="15"/>
      <c r="C469" s="16"/>
      <c r="D469" s="16"/>
      <c r="E469" s="16"/>
      <c r="F469" s="16"/>
      <c r="G469" s="16"/>
      <c r="H469" s="16"/>
      <c r="I469" s="17" t="n">
        <v>915</v>
      </c>
      <c r="J469" s="18" t="s">
        <v>1432</v>
      </c>
      <c r="K469" s="18" t="n">
        <v>926</v>
      </c>
      <c r="L469" s="19" t="n">
        <v>926</v>
      </c>
      <c r="M469" s="20" t="s">
        <v>968</v>
      </c>
      <c r="N469" s="0" t="n">
        <v>58</v>
      </c>
      <c r="O469" s="0" t="s">
        <v>1374</v>
      </c>
      <c r="Q469" s="0" t="n">
        <v>48</v>
      </c>
    </row>
    <row r="470" customFormat="false" ht="13.8" hidden="false" customHeight="false" outlineLevel="0" collapsed="false">
      <c r="A470" s="21" t="n">
        <v>469</v>
      </c>
      <c r="B470" s="22"/>
      <c r="C470" s="23"/>
      <c r="D470" s="23"/>
      <c r="E470" s="23"/>
      <c r="F470" s="23"/>
      <c r="G470" s="23"/>
      <c r="H470" s="23"/>
      <c r="I470" s="24"/>
      <c r="J470" s="18" t="s">
        <v>1432</v>
      </c>
      <c r="K470" s="18" t="n">
        <v>526</v>
      </c>
      <c r="L470" s="25" t="n">
        <v>526</v>
      </c>
      <c r="M470" s="26" t="s">
        <v>589</v>
      </c>
      <c r="N470" s="0" t="n">
        <v>58</v>
      </c>
      <c r="Q470" s="0" t="n">
        <v>48</v>
      </c>
    </row>
    <row r="471" customFormat="false" ht="13.8" hidden="false" customHeight="false" outlineLevel="0" collapsed="false">
      <c r="A471" s="21" t="n">
        <v>470</v>
      </c>
      <c r="B471" s="22"/>
      <c r="C471" s="23"/>
      <c r="D471" s="23"/>
      <c r="E471" s="23"/>
      <c r="F471" s="23"/>
      <c r="G471" s="23"/>
      <c r="H471" s="23"/>
      <c r="I471" s="24"/>
      <c r="J471" s="18" t="s">
        <v>1432</v>
      </c>
      <c r="K471" s="18" t="n">
        <v>543</v>
      </c>
      <c r="L471" s="25" t="n">
        <v>543</v>
      </c>
      <c r="M471" s="26" t="s">
        <v>604</v>
      </c>
      <c r="N471" s="0" t="n">
        <v>58</v>
      </c>
      <c r="Q471" s="0" t="n">
        <v>49</v>
      </c>
    </row>
    <row r="472" customFormat="false" ht="13.8" hidden="false" customHeight="false" outlineLevel="0" collapsed="false">
      <c r="A472" s="21" t="n">
        <v>471</v>
      </c>
      <c r="B472" s="22"/>
      <c r="C472" s="23"/>
      <c r="D472" s="23"/>
      <c r="E472" s="23"/>
      <c r="F472" s="23"/>
      <c r="G472" s="23"/>
      <c r="H472" s="23"/>
      <c r="I472" s="24"/>
      <c r="J472" s="18" t="s">
        <v>1432</v>
      </c>
      <c r="K472" s="18" t="n">
        <v>468</v>
      </c>
      <c r="L472" s="25" t="n">
        <v>468</v>
      </c>
      <c r="M472" s="26" t="s">
        <v>531</v>
      </c>
      <c r="N472" s="0" t="n">
        <v>58</v>
      </c>
      <c r="Q472" s="0" t="n">
        <v>49</v>
      </c>
    </row>
    <row r="473" customFormat="false" ht="13.8" hidden="false" customHeight="false" outlineLevel="0" collapsed="false">
      <c r="A473" s="21" t="n">
        <v>472</v>
      </c>
      <c r="B473" s="22"/>
      <c r="C473" s="23"/>
      <c r="D473" s="23"/>
      <c r="E473" s="23"/>
      <c r="F473" s="23"/>
      <c r="G473" s="23"/>
      <c r="H473" s="23"/>
      <c r="I473" s="24"/>
      <c r="J473" s="18" t="s">
        <v>1432</v>
      </c>
      <c r="K473" s="18" t="n">
        <v>508</v>
      </c>
      <c r="L473" s="25" t="n">
        <v>508</v>
      </c>
      <c r="M473" s="26" t="s">
        <v>571</v>
      </c>
      <c r="N473" s="0" t="n">
        <v>58</v>
      </c>
      <c r="Q473" s="0" t="n">
        <v>49</v>
      </c>
    </row>
    <row r="474" customFormat="false" ht="13.8" hidden="false" customHeight="false" outlineLevel="0" collapsed="false">
      <c r="A474" s="21" t="n">
        <v>473</v>
      </c>
      <c r="B474" s="22"/>
      <c r="C474" s="23"/>
      <c r="D474" s="23"/>
      <c r="E474" s="23"/>
      <c r="F474" s="23"/>
      <c r="G474" s="23"/>
      <c r="H474" s="23"/>
      <c r="I474" s="24"/>
      <c r="J474" s="18" t="s">
        <v>1432</v>
      </c>
      <c r="K474" s="18" t="n">
        <v>664</v>
      </c>
      <c r="L474" s="25" t="n">
        <v>664</v>
      </c>
      <c r="M474" s="26" t="s">
        <v>718</v>
      </c>
      <c r="N474" s="0" t="n">
        <v>58</v>
      </c>
      <c r="Q474" s="0" t="n">
        <v>49</v>
      </c>
    </row>
    <row r="475" customFormat="false" ht="13.8" hidden="false" customHeight="false" outlineLevel="0" collapsed="false">
      <c r="A475" s="21" t="n">
        <v>474</v>
      </c>
      <c r="B475" s="22"/>
      <c r="C475" s="23"/>
      <c r="D475" s="23"/>
      <c r="E475" s="23"/>
      <c r="F475" s="23"/>
      <c r="G475" s="23"/>
      <c r="H475" s="23"/>
      <c r="I475" s="24"/>
      <c r="J475" s="18" t="s">
        <v>1432</v>
      </c>
      <c r="K475" s="18" t="n">
        <v>712</v>
      </c>
      <c r="L475" s="25" t="n">
        <v>712</v>
      </c>
      <c r="M475" s="26" t="s">
        <v>763</v>
      </c>
      <c r="N475" s="0" t="n">
        <v>58</v>
      </c>
      <c r="Q475" s="0" t="n">
        <v>49</v>
      </c>
    </row>
    <row r="476" customFormat="false" ht="13.8" hidden="false" customHeight="false" outlineLevel="0" collapsed="false">
      <c r="A476" s="21" t="n">
        <v>475</v>
      </c>
      <c r="B476" s="22"/>
      <c r="C476" s="23"/>
      <c r="D476" s="23"/>
      <c r="E476" s="23"/>
      <c r="F476" s="23"/>
      <c r="G476" s="23"/>
      <c r="H476" s="23"/>
      <c r="I476" s="24"/>
      <c r="J476" s="18" t="s">
        <v>1432</v>
      </c>
      <c r="K476" s="18" t="n">
        <v>727</v>
      </c>
      <c r="L476" s="25" t="n">
        <v>727</v>
      </c>
      <c r="M476" s="26" t="s">
        <v>777</v>
      </c>
      <c r="N476" s="0" t="n">
        <v>58</v>
      </c>
      <c r="Q476" s="0" t="n">
        <v>49</v>
      </c>
    </row>
    <row r="477" customFormat="false" ht="13.8" hidden="false" customHeight="false" outlineLevel="0" collapsed="false">
      <c r="A477" s="21" t="n">
        <v>476</v>
      </c>
      <c r="B477" s="22"/>
      <c r="C477" s="23"/>
      <c r="D477" s="23"/>
      <c r="E477" s="23"/>
      <c r="F477" s="23"/>
      <c r="G477" s="23"/>
      <c r="H477" s="23"/>
      <c r="I477" s="24"/>
      <c r="J477" s="18" t="s">
        <v>1432</v>
      </c>
      <c r="K477" s="18" t="n">
        <v>550</v>
      </c>
      <c r="L477" s="25" t="n">
        <v>550</v>
      </c>
      <c r="M477" s="26" t="s">
        <v>610</v>
      </c>
      <c r="N477" s="0" t="n">
        <v>58</v>
      </c>
      <c r="Q477" s="0" t="n">
        <v>49</v>
      </c>
    </row>
    <row r="478" customFormat="false" ht="13.8" hidden="false" customHeight="false" outlineLevel="0" collapsed="false">
      <c r="A478" s="27" t="n">
        <v>477</v>
      </c>
      <c r="B478" s="28"/>
      <c r="C478" s="29"/>
      <c r="D478" s="29"/>
      <c r="E478" s="29"/>
      <c r="F478" s="29"/>
      <c r="G478" s="29"/>
      <c r="H478" s="29"/>
      <c r="I478" s="30"/>
      <c r="J478" s="18" t="s">
        <v>1432</v>
      </c>
      <c r="K478" s="18" t="n">
        <v>743</v>
      </c>
      <c r="L478" s="31" t="n">
        <v>743</v>
      </c>
      <c r="M478" s="32" t="s">
        <v>793</v>
      </c>
      <c r="N478" s="0" t="n">
        <v>58</v>
      </c>
      <c r="Q478" s="0" t="n">
        <v>49</v>
      </c>
    </row>
    <row r="479" customFormat="false" ht="13.8" hidden="false" customHeight="false" outlineLevel="0" collapsed="false">
      <c r="A479" s="14" t="n">
        <v>478</v>
      </c>
      <c r="B479" s="15"/>
      <c r="C479" s="16"/>
      <c r="D479" s="16"/>
      <c r="E479" s="16"/>
      <c r="F479" s="16"/>
      <c r="G479" s="16"/>
      <c r="H479" s="16"/>
      <c r="I479" s="17" t="n">
        <v>923</v>
      </c>
      <c r="J479" s="18" t="s">
        <v>1433</v>
      </c>
      <c r="K479" s="18" t="n">
        <v>934</v>
      </c>
      <c r="L479" s="19" t="n">
        <v>934</v>
      </c>
      <c r="M479" s="20" t="s">
        <v>975</v>
      </c>
      <c r="N479" s="0" t="n">
        <v>59</v>
      </c>
      <c r="O479" s="0" t="s">
        <v>1375</v>
      </c>
      <c r="Q479" s="0" t="n">
        <v>49</v>
      </c>
    </row>
    <row r="480" customFormat="false" ht="13.8" hidden="false" customHeight="false" outlineLevel="0" collapsed="false">
      <c r="A480" s="21" t="n">
        <v>479</v>
      </c>
      <c r="B480" s="22"/>
      <c r="C480" s="23"/>
      <c r="D480" s="23"/>
      <c r="E480" s="23"/>
      <c r="F480" s="23"/>
      <c r="G480" s="23"/>
      <c r="H480" s="23"/>
      <c r="I480" s="24"/>
      <c r="J480" s="18" t="s">
        <v>1433</v>
      </c>
      <c r="K480" s="18" t="n">
        <v>259</v>
      </c>
      <c r="L480" s="25" t="n">
        <v>259</v>
      </c>
      <c r="M480" s="26" t="s">
        <v>341</v>
      </c>
      <c r="N480" s="0" t="n">
        <v>59</v>
      </c>
    </row>
    <row r="481" customFormat="false" ht="13.8" hidden="false" customHeight="false" outlineLevel="0" collapsed="false">
      <c r="A481" s="21" t="n">
        <v>480</v>
      </c>
      <c r="B481" s="22"/>
      <c r="C481" s="23"/>
      <c r="D481" s="23"/>
      <c r="E481" s="23"/>
      <c r="F481" s="23"/>
      <c r="G481" s="23"/>
      <c r="H481" s="23"/>
      <c r="I481" s="24"/>
      <c r="J481" s="18" t="s">
        <v>1433</v>
      </c>
      <c r="K481" s="18" t="n">
        <v>324</v>
      </c>
      <c r="L481" s="25" t="n">
        <v>324</v>
      </c>
      <c r="M481" s="26" t="s">
        <v>396</v>
      </c>
      <c r="N481" s="0" t="n">
        <v>59</v>
      </c>
    </row>
    <row r="482" customFormat="false" ht="13.8" hidden="false" customHeight="false" outlineLevel="0" collapsed="false">
      <c r="A482" s="21" t="n">
        <v>481</v>
      </c>
      <c r="B482" s="22"/>
      <c r="C482" s="23"/>
      <c r="D482" s="23"/>
      <c r="E482" s="23"/>
      <c r="F482" s="23"/>
      <c r="G482" s="23"/>
      <c r="H482" s="23"/>
      <c r="I482" s="24"/>
      <c r="J482" s="18" t="s">
        <v>1433</v>
      </c>
      <c r="K482" s="18" t="n">
        <v>371</v>
      </c>
      <c r="L482" s="25" t="n">
        <v>371</v>
      </c>
      <c r="M482" s="26" t="s">
        <v>441</v>
      </c>
      <c r="N482" s="0" t="n">
        <v>59</v>
      </c>
    </row>
    <row r="483" customFormat="false" ht="13.8" hidden="false" customHeight="false" outlineLevel="0" collapsed="false">
      <c r="A483" s="21" t="n">
        <v>482</v>
      </c>
      <c r="B483" s="22"/>
      <c r="C483" s="23"/>
      <c r="D483" s="23"/>
      <c r="E483" s="23"/>
      <c r="F483" s="23"/>
      <c r="G483" s="23"/>
      <c r="H483" s="23"/>
      <c r="I483" s="24"/>
      <c r="J483" s="18" t="s">
        <v>1433</v>
      </c>
      <c r="K483" s="18" t="n">
        <v>419</v>
      </c>
      <c r="L483" s="25" t="n">
        <v>419</v>
      </c>
      <c r="M483" s="26" t="s">
        <v>487</v>
      </c>
      <c r="N483" s="0" t="n">
        <v>59</v>
      </c>
    </row>
    <row r="484" customFormat="false" ht="13.8" hidden="false" customHeight="false" outlineLevel="0" collapsed="false">
      <c r="A484" s="27" t="n">
        <v>483</v>
      </c>
      <c r="B484" s="28"/>
      <c r="C484" s="29"/>
      <c r="D484" s="29"/>
      <c r="E484" s="29"/>
      <c r="F484" s="29"/>
      <c r="G484" s="29"/>
      <c r="H484" s="29"/>
      <c r="I484" s="30"/>
      <c r="J484" s="18" t="s">
        <v>1433</v>
      </c>
      <c r="K484" s="18" t="n">
        <v>1133</v>
      </c>
      <c r="L484" s="31" t="n">
        <v>1133</v>
      </c>
      <c r="M484" s="32" t="s">
        <v>1164</v>
      </c>
      <c r="N484" s="0" t="n">
        <v>59</v>
      </c>
    </row>
    <row r="485" customFormat="false" ht="13.8" hidden="false" customHeight="false" outlineLevel="0" collapsed="false">
      <c r="A485" s="14" t="n">
        <v>484</v>
      </c>
      <c r="B485" s="15"/>
      <c r="C485" s="16"/>
      <c r="D485" s="16"/>
      <c r="E485" s="16"/>
      <c r="F485" s="16"/>
      <c r="G485" s="16" t="s">
        <v>1434</v>
      </c>
      <c r="H485" s="16"/>
      <c r="I485" s="17" t="n">
        <v>832</v>
      </c>
      <c r="J485" s="18" t="s">
        <v>1434</v>
      </c>
      <c r="K485" s="18" t="n">
        <v>843</v>
      </c>
      <c r="L485" s="19" t="n">
        <v>843</v>
      </c>
      <c r="M485" s="20" t="s">
        <v>888</v>
      </c>
      <c r="N485" s="0" t="n">
        <v>60</v>
      </c>
    </row>
    <row r="486" customFormat="false" ht="13.8" hidden="false" customHeight="false" outlineLevel="0" collapsed="false">
      <c r="A486" s="21" t="n">
        <v>485</v>
      </c>
      <c r="B486" s="22"/>
      <c r="C486" s="23"/>
      <c r="D486" s="23"/>
      <c r="E486" s="23"/>
      <c r="F486" s="23"/>
      <c r="G486" s="23"/>
      <c r="H486" s="23"/>
      <c r="I486" s="24"/>
      <c r="J486" s="18" t="s">
        <v>1434</v>
      </c>
      <c r="K486" s="18" t="n">
        <v>10693</v>
      </c>
      <c r="L486" s="25" t="n">
        <v>10693</v>
      </c>
      <c r="M486" s="26" t="s">
        <v>1194</v>
      </c>
      <c r="N486" s="0" t="n">
        <v>60</v>
      </c>
    </row>
    <row r="487" customFormat="false" ht="13.8" hidden="false" customHeight="false" outlineLevel="0" collapsed="false">
      <c r="A487" s="21" t="n">
        <v>486</v>
      </c>
      <c r="B487" s="22"/>
      <c r="C487" s="23"/>
      <c r="D487" s="23"/>
      <c r="E487" s="23"/>
      <c r="F487" s="23"/>
      <c r="G487" s="23"/>
      <c r="H487" s="23"/>
      <c r="I487" s="24"/>
      <c r="J487" s="18" t="s">
        <v>1434</v>
      </c>
      <c r="K487" s="18" t="n">
        <v>10694</v>
      </c>
      <c r="L487" s="25" t="n">
        <v>10694</v>
      </c>
      <c r="M487" s="26" t="s">
        <v>1195</v>
      </c>
      <c r="N487" s="0" t="n">
        <v>60</v>
      </c>
    </row>
    <row r="488" customFormat="false" ht="13.8" hidden="false" customHeight="false" outlineLevel="0" collapsed="false">
      <c r="A488" s="27" t="n">
        <v>487</v>
      </c>
      <c r="B488" s="28"/>
      <c r="C488" s="29"/>
      <c r="D488" s="29"/>
      <c r="E488" s="29"/>
      <c r="F488" s="29"/>
      <c r="G488" s="29"/>
      <c r="H488" s="29"/>
      <c r="I488" s="30"/>
      <c r="J488" s="18" t="s">
        <v>1434</v>
      </c>
      <c r="K488" s="18" t="n">
        <v>10695</v>
      </c>
      <c r="L488" s="31" t="n">
        <v>10695</v>
      </c>
      <c r="M488" s="32" t="s">
        <v>1196</v>
      </c>
      <c r="N488" s="0" t="n">
        <v>60</v>
      </c>
    </row>
    <row r="489" customFormat="false" ht="13.8" hidden="false" customHeight="false" outlineLevel="0" collapsed="false">
      <c r="A489" s="14" t="n">
        <v>488</v>
      </c>
      <c r="B489" s="15"/>
      <c r="C489" s="16"/>
      <c r="D489" s="16"/>
      <c r="E489" s="16"/>
      <c r="F489" s="16"/>
      <c r="G489" s="16" t="s">
        <v>1435</v>
      </c>
      <c r="H489" s="16"/>
      <c r="I489" s="17" t="n">
        <v>1025</v>
      </c>
      <c r="J489" s="18" t="s">
        <v>1435</v>
      </c>
      <c r="K489" s="18" t="n">
        <v>1037</v>
      </c>
      <c r="L489" s="19" t="n">
        <v>1037</v>
      </c>
      <c r="M489" s="20" t="s">
        <v>1073</v>
      </c>
      <c r="N489" s="0" t="n">
        <v>61</v>
      </c>
    </row>
    <row r="490" customFormat="false" ht="13.8" hidden="false" customHeight="false" outlineLevel="0" collapsed="false">
      <c r="A490" s="21" t="n">
        <v>489</v>
      </c>
      <c r="B490" s="23"/>
      <c r="C490" s="23"/>
      <c r="D490" s="23"/>
      <c r="E490" s="23"/>
      <c r="F490" s="23"/>
      <c r="G490" s="23"/>
      <c r="H490" s="23"/>
      <c r="I490" s="24"/>
      <c r="J490" s="18" t="s">
        <v>1435</v>
      </c>
      <c r="K490" s="18" t="n">
        <v>10696</v>
      </c>
      <c r="L490" s="25" t="n">
        <v>10696</v>
      </c>
      <c r="M490" s="26" t="s">
        <v>1197</v>
      </c>
      <c r="N490" s="0" t="n">
        <v>61</v>
      </c>
    </row>
    <row r="491" customFormat="false" ht="13.8" hidden="false" customHeight="false" outlineLevel="0" collapsed="false">
      <c r="A491" s="21" t="n">
        <v>490</v>
      </c>
      <c r="B491" s="22"/>
      <c r="C491" s="23"/>
      <c r="D491" s="23"/>
      <c r="E491" s="23"/>
      <c r="F491" s="23"/>
      <c r="G491" s="23"/>
      <c r="H491" s="23"/>
      <c r="I491" s="24"/>
      <c r="J491" s="18" t="s">
        <v>1435</v>
      </c>
      <c r="K491" s="18" t="n">
        <v>10697</v>
      </c>
      <c r="L491" s="25" t="n">
        <v>10697</v>
      </c>
      <c r="M491" s="26" t="s">
        <v>1198</v>
      </c>
      <c r="N491" s="0" t="n">
        <v>61</v>
      </c>
    </row>
    <row r="492" customFormat="false" ht="13.8" hidden="false" customHeight="false" outlineLevel="0" collapsed="false">
      <c r="A492" s="27" t="n">
        <v>491</v>
      </c>
      <c r="B492" s="28"/>
      <c r="C492" s="29"/>
      <c r="D492" s="29"/>
      <c r="E492" s="29"/>
      <c r="F492" s="29"/>
      <c r="G492" s="29"/>
      <c r="H492" s="29"/>
      <c r="I492" s="30"/>
      <c r="J492" s="18" t="s">
        <v>1435</v>
      </c>
      <c r="K492" s="18" t="n">
        <v>10698</v>
      </c>
      <c r="L492" s="41" t="n">
        <v>10698</v>
      </c>
      <c r="M492" s="42" t="s">
        <v>1199</v>
      </c>
      <c r="N492" s="0" t="n">
        <v>61</v>
      </c>
    </row>
    <row r="493" customFormat="false" ht="13.8" hidden="false" customHeight="false" outlineLevel="0" collapsed="false">
      <c r="A493" s="14" t="n">
        <v>492</v>
      </c>
      <c r="B493" s="15"/>
      <c r="C493" s="16"/>
      <c r="D493" s="16"/>
      <c r="E493" s="16"/>
      <c r="F493" s="16"/>
      <c r="G493" s="16" t="s">
        <v>1436</v>
      </c>
      <c r="H493" s="16"/>
      <c r="I493" s="17" t="n">
        <v>1072</v>
      </c>
      <c r="J493" s="18" t="s">
        <v>1436</v>
      </c>
      <c r="K493" s="18" t="n">
        <v>1084</v>
      </c>
      <c r="L493" s="19" t="n">
        <v>1084</v>
      </c>
      <c r="M493" s="20" t="s">
        <v>1118</v>
      </c>
      <c r="N493" s="0" t="n">
        <v>62</v>
      </c>
    </row>
    <row r="494" customFormat="false" ht="13.8" hidden="false" customHeight="false" outlineLevel="0" collapsed="false">
      <c r="A494" s="21" t="n">
        <v>493</v>
      </c>
      <c r="B494" s="22"/>
      <c r="C494" s="23"/>
      <c r="D494" s="23"/>
      <c r="E494" s="23"/>
      <c r="F494" s="23"/>
      <c r="G494" s="23"/>
      <c r="H494" s="23"/>
      <c r="I494" s="24"/>
      <c r="J494" s="18" t="s">
        <v>1436</v>
      </c>
      <c r="K494" s="18" t="n">
        <v>10699</v>
      </c>
      <c r="L494" s="25" t="n">
        <v>10699</v>
      </c>
      <c r="M494" s="26" t="s">
        <v>1200</v>
      </c>
      <c r="N494" s="0" t="n">
        <v>62</v>
      </c>
    </row>
    <row r="495" customFormat="false" ht="13.8" hidden="false" customHeight="false" outlineLevel="0" collapsed="false">
      <c r="A495" s="21" t="n">
        <v>494</v>
      </c>
      <c r="B495" s="22"/>
      <c r="C495" s="23"/>
      <c r="D495" s="23"/>
      <c r="E495" s="23"/>
      <c r="F495" s="23"/>
      <c r="G495" s="23"/>
      <c r="H495" s="23"/>
      <c r="I495" s="24"/>
      <c r="J495" s="18" t="s">
        <v>1436</v>
      </c>
      <c r="K495" s="18" t="n">
        <v>10700</v>
      </c>
      <c r="L495" s="25" t="n">
        <v>10700</v>
      </c>
      <c r="M495" s="26" t="s">
        <v>1201</v>
      </c>
      <c r="N495" s="0" t="n">
        <v>62</v>
      </c>
    </row>
    <row r="496" customFormat="false" ht="13.8" hidden="false" customHeight="false" outlineLevel="0" collapsed="false">
      <c r="A496" s="27" t="n">
        <v>495</v>
      </c>
      <c r="B496" s="28"/>
      <c r="C496" s="29"/>
      <c r="D496" s="29"/>
      <c r="E496" s="29"/>
      <c r="F496" s="29"/>
      <c r="G496" s="29"/>
      <c r="H496" s="29"/>
      <c r="I496" s="30"/>
      <c r="J496" s="18" t="s">
        <v>1436</v>
      </c>
      <c r="K496" s="18" t="n">
        <v>10701</v>
      </c>
      <c r="L496" s="31" t="n">
        <v>10701</v>
      </c>
      <c r="M496" s="32" t="s">
        <v>1202</v>
      </c>
      <c r="N496" s="0" t="n">
        <v>62</v>
      </c>
    </row>
    <row r="497" customFormat="false" ht="13.8" hidden="false" customHeight="false" outlineLevel="0" collapsed="false">
      <c r="A497" s="14" t="n">
        <v>496</v>
      </c>
      <c r="B497" s="15"/>
      <c r="C497" s="16"/>
      <c r="D497" s="16"/>
      <c r="E497" s="16"/>
      <c r="F497" s="16"/>
      <c r="G497" s="16"/>
      <c r="H497" s="16"/>
      <c r="I497" s="17" t="n">
        <v>491</v>
      </c>
      <c r="J497" s="18" t="s">
        <v>565</v>
      </c>
      <c r="K497" s="18" t="n">
        <v>502</v>
      </c>
      <c r="L497" s="19" t="n">
        <v>502</v>
      </c>
      <c r="M497" s="20" t="s">
        <v>565</v>
      </c>
      <c r="N497" s="0" t="n">
        <v>63</v>
      </c>
    </row>
    <row r="498" customFormat="false" ht="13.8" hidden="false" customHeight="false" outlineLevel="0" collapsed="false">
      <c r="A498" s="21" t="n">
        <v>497</v>
      </c>
      <c r="B498" s="22"/>
      <c r="C498" s="23"/>
      <c r="D498" s="23"/>
      <c r="E498" s="23"/>
      <c r="F498" s="23"/>
      <c r="G498" s="23"/>
      <c r="H498" s="23"/>
      <c r="I498" s="24"/>
      <c r="J498" s="18" t="s">
        <v>565</v>
      </c>
      <c r="K498" s="18" t="n">
        <v>509</v>
      </c>
      <c r="L498" s="25" t="n">
        <v>509</v>
      </c>
      <c r="M498" s="26" t="s">
        <v>572</v>
      </c>
      <c r="N498" s="0" t="n">
        <v>63</v>
      </c>
    </row>
    <row r="499" customFormat="false" ht="13.8" hidden="false" customHeight="false" outlineLevel="0" collapsed="false">
      <c r="A499" s="21" t="n">
        <v>498</v>
      </c>
      <c r="B499" s="22"/>
      <c r="C499" s="23"/>
      <c r="D499" s="23"/>
      <c r="E499" s="23"/>
      <c r="F499" s="23"/>
      <c r="G499" s="23"/>
      <c r="H499" s="23"/>
      <c r="I499" s="24"/>
      <c r="J499" s="18" t="s">
        <v>565</v>
      </c>
      <c r="K499" s="18" t="n">
        <v>829</v>
      </c>
      <c r="L499" s="25" t="n">
        <v>829</v>
      </c>
      <c r="M499" s="26" t="s">
        <v>874</v>
      </c>
      <c r="N499" s="0" t="n">
        <v>63</v>
      </c>
    </row>
    <row r="500" customFormat="false" ht="13.8" hidden="false" customHeight="false" outlineLevel="0" collapsed="false">
      <c r="A500" s="21" t="n">
        <v>499</v>
      </c>
      <c r="B500" s="22"/>
      <c r="C500" s="23"/>
      <c r="D500" s="23"/>
      <c r="E500" s="23"/>
      <c r="F500" s="23"/>
      <c r="G500" s="23"/>
      <c r="H500" s="23"/>
      <c r="I500" s="24"/>
      <c r="J500" s="18" t="s">
        <v>565</v>
      </c>
      <c r="K500" s="18" t="n">
        <v>845</v>
      </c>
      <c r="L500" s="25" t="n">
        <v>845</v>
      </c>
      <c r="M500" s="26" t="s">
        <v>890</v>
      </c>
      <c r="N500" s="0" t="n">
        <v>63</v>
      </c>
    </row>
    <row r="501" customFormat="false" ht="13.8" hidden="false" customHeight="false" outlineLevel="0" collapsed="false">
      <c r="A501" s="27" t="n">
        <v>500</v>
      </c>
      <c r="B501" s="28"/>
      <c r="C501" s="29"/>
      <c r="D501" s="29"/>
      <c r="E501" s="29"/>
      <c r="F501" s="29"/>
      <c r="G501" s="29"/>
      <c r="H501" s="29"/>
      <c r="I501" s="30"/>
      <c r="J501" s="18" t="s">
        <v>565</v>
      </c>
      <c r="K501" s="18" t="n">
        <v>837</v>
      </c>
      <c r="L501" s="31" t="n">
        <v>837</v>
      </c>
      <c r="M501" s="32" t="s">
        <v>882</v>
      </c>
      <c r="N501" s="0" t="n">
        <v>63</v>
      </c>
    </row>
    <row r="502" customFormat="false" ht="13.8" hidden="false" customHeight="false" outlineLevel="0" collapsed="false">
      <c r="A502" s="14" t="n">
        <v>501</v>
      </c>
      <c r="B502" s="15"/>
      <c r="C502" s="16"/>
      <c r="D502" s="16"/>
      <c r="E502" s="16"/>
      <c r="F502" s="16"/>
      <c r="G502" s="16"/>
      <c r="H502" s="16"/>
      <c r="I502" s="17"/>
      <c r="J502" s="18" t="s">
        <v>565</v>
      </c>
      <c r="K502" s="18" t="n">
        <v>518</v>
      </c>
      <c r="L502" s="19" t="n">
        <v>518</v>
      </c>
      <c r="M502" s="20" t="s">
        <v>581</v>
      </c>
      <c r="N502" s="0" t="n">
        <v>64</v>
      </c>
    </row>
    <row r="503" customFormat="false" ht="13.8" hidden="false" customHeight="false" outlineLevel="0" collapsed="false">
      <c r="A503" s="21" t="n">
        <v>502</v>
      </c>
      <c r="B503" s="22"/>
      <c r="C503" s="23"/>
      <c r="D503" s="23"/>
      <c r="E503" s="23"/>
      <c r="F503" s="23"/>
      <c r="G503" s="23"/>
      <c r="H503" s="23"/>
      <c r="I503" s="24"/>
      <c r="J503" s="18" t="s">
        <v>565</v>
      </c>
      <c r="K503" s="18" t="n">
        <v>853</v>
      </c>
      <c r="L503" s="25" t="n">
        <v>853</v>
      </c>
      <c r="M503" s="26" t="s">
        <v>898</v>
      </c>
      <c r="N503" s="0" t="n">
        <v>64</v>
      </c>
    </row>
    <row r="504" customFormat="false" ht="13.8" hidden="false" customHeight="false" outlineLevel="0" collapsed="false">
      <c r="A504" s="21" t="n">
        <v>503</v>
      </c>
      <c r="B504" s="22"/>
      <c r="C504" s="23"/>
      <c r="D504" s="23"/>
      <c r="E504" s="23"/>
      <c r="F504" s="23"/>
      <c r="G504" s="23"/>
      <c r="H504" s="23"/>
      <c r="I504" s="24"/>
      <c r="J504" s="18" t="s">
        <v>565</v>
      </c>
      <c r="K504" s="18" t="n">
        <v>870</v>
      </c>
      <c r="L504" s="25" t="n">
        <v>870</v>
      </c>
      <c r="M504" s="26" t="s">
        <v>915</v>
      </c>
      <c r="N504" s="0" t="n">
        <v>64</v>
      </c>
    </row>
    <row r="505" customFormat="false" ht="13.8" hidden="false" customHeight="false" outlineLevel="0" collapsed="false">
      <c r="A505" s="27" t="n">
        <v>504</v>
      </c>
      <c r="B505" s="28"/>
      <c r="C505" s="29"/>
      <c r="D505" s="29"/>
      <c r="E505" s="29"/>
      <c r="F505" s="29"/>
      <c r="G505" s="29"/>
      <c r="H505" s="29"/>
      <c r="I505" s="30"/>
      <c r="J505" s="18" t="s">
        <v>565</v>
      </c>
      <c r="K505" s="18" t="n">
        <v>861</v>
      </c>
      <c r="L505" s="31" t="n">
        <v>861</v>
      </c>
      <c r="M505" s="32" t="s">
        <v>906</v>
      </c>
      <c r="N505" s="0" t="n">
        <v>64</v>
      </c>
    </row>
    <row r="506" customFormat="false" ht="13.8" hidden="false" customHeight="false" outlineLevel="0" collapsed="false">
      <c r="A506" s="10" t="n">
        <v>505</v>
      </c>
      <c r="B506" s="4"/>
      <c r="C506" s="11"/>
      <c r="D506" s="11"/>
      <c r="E506" s="11" t="s">
        <v>1437</v>
      </c>
      <c r="F506" s="11"/>
      <c r="G506" s="11"/>
      <c r="H506" s="11"/>
      <c r="I506" s="12" t="n">
        <v>692</v>
      </c>
      <c r="J506" s="18" t="s">
        <v>1437</v>
      </c>
      <c r="K506" s="18" t="n">
        <v>703</v>
      </c>
      <c r="L506" s="13" t="n">
        <v>703</v>
      </c>
      <c r="M506" s="13" t="s">
        <v>755</v>
      </c>
    </row>
    <row r="507" customFormat="false" ht="13.8" hidden="false" customHeight="false" outlineLevel="0" collapsed="false">
      <c r="A507" s="10" t="n">
        <v>506</v>
      </c>
      <c r="B507" s="4"/>
      <c r="C507" s="11"/>
      <c r="D507" s="11"/>
      <c r="E507" s="11"/>
      <c r="F507" s="11"/>
      <c r="G507" s="11"/>
      <c r="H507" s="11"/>
      <c r="I507" s="12"/>
      <c r="J507" s="18" t="s">
        <v>1437</v>
      </c>
      <c r="K507" s="18" t="n">
        <v>16</v>
      </c>
      <c r="L507" s="13" t="n">
        <v>16</v>
      </c>
      <c r="M507" s="13" t="s">
        <v>110</v>
      </c>
    </row>
    <row r="508" customFormat="false" ht="13.8" hidden="false" customHeight="false" outlineLevel="0" collapsed="false">
      <c r="A508" s="10" t="n">
        <v>507</v>
      </c>
      <c r="B508" s="4"/>
      <c r="C508" s="11"/>
      <c r="D508" s="11"/>
      <c r="E508" s="11"/>
      <c r="F508" s="11" t="s">
        <v>1438</v>
      </c>
      <c r="G508" s="11"/>
      <c r="H508" s="11"/>
      <c r="I508" s="12" t="n">
        <v>572</v>
      </c>
      <c r="J508" s="18" t="s">
        <v>1437</v>
      </c>
      <c r="K508" s="18" t="n">
        <v>583</v>
      </c>
      <c r="L508" s="13" t="n">
        <v>583</v>
      </c>
      <c r="M508" s="13" t="s">
        <v>642</v>
      </c>
      <c r="N508" s="0" t="n">
        <v>65</v>
      </c>
    </row>
    <row r="509" customFormat="false" ht="13.8" hidden="false" customHeight="false" outlineLevel="0" collapsed="false">
      <c r="A509" s="10" t="n">
        <v>508</v>
      </c>
      <c r="B509" s="4"/>
      <c r="C509" s="11"/>
      <c r="D509" s="11"/>
      <c r="E509" s="11"/>
      <c r="F509" s="11" t="s">
        <v>1439</v>
      </c>
      <c r="G509" s="11"/>
      <c r="H509" s="11"/>
      <c r="I509" s="12"/>
      <c r="J509" s="18" t="s">
        <v>1437</v>
      </c>
      <c r="K509" s="18" t="n">
        <v>942</v>
      </c>
      <c r="L509" s="13" t="n">
        <v>942</v>
      </c>
      <c r="M509" s="13" t="s">
        <v>982</v>
      </c>
      <c r="N509" s="0" t="n">
        <v>66</v>
      </c>
    </row>
    <row r="510" customFormat="false" ht="13.8" hidden="false" customHeight="false" outlineLevel="0" collapsed="false">
      <c r="A510" s="10" t="n">
        <v>509</v>
      </c>
      <c r="B510" s="4"/>
      <c r="C510" s="11"/>
      <c r="D510" s="11"/>
      <c r="E510" s="11"/>
      <c r="F510" s="11"/>
      <c r="G510" s="11"/>
      <c r="H510" s="11"/>
      <c r="I510" s="12" t="n">
        <v>941</v>
      </c>
      <c r="J510" s="18" t="s">
        <v>1437</v>
      </c>
      <c r="K510" s="18" t="n">
        <v>952</v>
      </c>
      <c r="L510" s="13" t="n">
        <v>952</v>
      </c>
      <c r="M510" s="13" t="s">
        <v>992</v>
      </c>
      <c r="N510" s="0" t="n">
        <v>66</v>
      </c>
    </row>
    <row r="511" customFormat="false" ht="13.8" hidden="false" customHeight="false" outlineLevel="0" collapsed="false">
      <c r="A511" s="10" t="n">
        <v>510</v>
      </c>
      <c r="B511" s="4"/>
      <c r="C511" s="11"/>
      <c r="D511" s="11"/>
      <c r="E511" s="11"/>
      <c r="F511" s="11"/>
      <c r="G511" s="11"/>
      <c r="H511" s="11"/>
      <c r="I511" s="12" t="n">
        <v>955</v>
      </c>
      <c r="J511" s="18" t="s">
        <v>1437</v>
      </c>
      <c r="K511" s="18" t="n">
        <v>966</v>
      </c>
      <c r="L511" s="13" t="n">
        <v>966</v>
      </c>
      <c r="M511" s="13" t="s">
        <v>1005</v>
      </c>
      <c r="N511" s="0" t="n">
        <v>66</v>
      </c>
    </row>
    <row r="512" customFormat="false" ht="13.8" hidden="false" customHeight="false" outlineLevel="0" collapsed="false">
      <c r="A512" s="10" t="n">
        <v>511</v>
      </c>
      <c r="B512" s="4"/>
      <c r="C512" s="11"/>
      <c r="D512" s="11"/>
      <c r="E512" s="11"/>
      <c r="F512" s="11" t="s">
        <v>1440</v>
      </c>
      <c r="G512" s="11"/>
      <c r="H512" s="11"/>
      <c r="I512" s="12" t="n">
        <v>126</v>
      </c>
      <c r="J512" s="18" t="s">
        <v>1441</v>
      </c>
      <c r="K512" s="18" t="n">
        <v>131</v>
      </c>
      <c r="L512" s="13" t="n">
        <v>131</v>
      </c>
      <c r="M512" s="13" t="s">
        <v>219</v>
      </c>
      <c r="N512" s="0" t="n">
        <v>67</v>
      </c>
    </row>
    <row r="513" customFormat="false" ht="13.8" hidden="false" customHeight="false" outlineLevel="0" collapsed="false">
      <c r="A513" s="14" t="n">
        <v>512</v>
      </c>
      <c r="B513" s="15"/>
      <c r="C513" s="16"/>
      <c r="D513" s="16"/>
      <c r="E513" s="16"/>
      <c r="F513" s="16" t="s">
        <v>1442</v>
      </c>
      <c r="G513" s="16"/>
      <c r="H513" s="16"/>
      <c r="I513" s="17"/>
      <c r="J513" s="18" t="s">
        <v>1441</v>
      </c>
      <c r="K513" s="18" t="n">
        <v>295</v>
      </c>
      <c r="L513" s="19" t="n">
        <v>295</v>
      </c>
      <c r="M513" s="20" t="s">
        <v>49</v>
      </c>
      <c r="N513" s="0" t="n">
        <v>67</v>
      </c>
    </row>
    <row r="514" customFormat="false" ht="13.8" hidden="false" customHeight="false" outlineLevel="0" collapsed="false">
      <c r="A514" s="21" t="n">
        <v>513</v>
      </c>
      <c r="B514" s="22"/>
      <c r="C514" s="23"/>
      <c r="D514" s="23"/>
      <c r="E514" s="23"/>
      <c r="F514" s="23"/>
      <c r="G514" s="23"/>
      <c r="H514" s="23"/>
      <c r="I514" s="24" t="n">
        <v>293</v>
      </c>
      <c r="J514" s="18" t="s">
        <v>1441</v>
      </c>
      <c r="K514" s="18" t="n">
        <v>303</v>
      </c>
      <c r="L514" s="25" t="n">
        <v>303</v>
      </c>
      <c r="M514" s="26" t="s">
        <v>92</v>
      </c>
      <c r="N514" s="0" t="n">
        <v>67</v>
      </c>
    </row>
    <row r="515" customFormat="false" ht="13.8" hidden="false" customHeight="false" outlineLevel="0" collapsed="false">
      <c r="A515" s="21" t="n">
        <v>514</v>
      </c>
      <c r="B515" s="22"/>
      <c r="C515" s="23"/>
      <c r="D515" s="23"/>
      <c r="E515" s="23"/>
      <c r="F515" s="23"/>
      <c r="G515" s="23"/>
      <c r="H515" s="23"/>
      <c r="I515" s="24" t="n">
        <v>301</v>
      </c>
      <c r="J515" s="18" t="s">
        <v>1441</v>
      </c>
      <c r="K515" s="18" t="n">
        <v>311</v>
      </c>
      <c r="L515" s="25" t="n">
        <v>311</v>
      </c>
      <c r="M515" s="26" t="s">
        <v>93</v>
      </c>
      <c r="N515" s="0" t="n">
        <v>67</v>
      </c>
    </row>
    <row r="516" customFormat="false" ht="13.8" hidden="false" customHeight="false" outlineLevel="0" collapsed="false">
      <c r="A516" s="21" t="n">
        <v>515</v>
      </c>
      <c r="B516" s="22"/>
      <c r="C516" s="23"/>
      <c r="D516" s="23"/>
      <c r="E516" s="23"/>
      <c r="F516" s="23"/>
      <c r="G516" s="23"/>
      <c r="H516" s="23"/>
      <c r="I516" s="24" t="n">
        <v>440</v>
      </c>
      <c r="J516" s="18" t="s">
        <v>1441</v>
      </c>
      <c r="K516" s="18" t="n">
        <v>451</v>
      </c>
      <c r="L516" s="25" t="n">
        <v>451</v>
      </c>
      <c r="M516" s="26" t="s">
        <v>1036</v>
      </c>
      <c r="N516" s="0" t="n">
        <v>67</v>
      </c>
    </row>
    <row r="517" customFormat="false" ht="13.8" hidden="false" customHeight="false" outlineLevel="0" collapsed="false">
      <c r="A517" s="21" t="n">
        <v>516</v>
      </c>
      <c r="B517" s="22"/>
      <c r="C517" s="23"/>
      <c r="D517" s="23"/>
      <c r="E517" s="23"/>
      <c r="F517" s="23" t="s">
        <v>1443</v>
      </c>
      <c r="G517" s="23"/>
      <c r="H517" s="23"/>
      <c r="I517" s="24" t="n">
        <v>309</v>
      </c>
      <c r="J517" s="18" t="s">
        <v>1441</v>
      </c>
      <c r="K517" s="18" t="n">
        <v>319</v>
      </c>
      <c r="L517" s="25" t="n">
        <v>319</v>
      </c>
      <c r="M517" s="26" t="s">
        <v>391</v>
      </c>
      <c r="N517" s="0" t="n">
        <v>67</v>
      </c>
    </row>
    <row r="518" customFormat="false" ht="13.8" hidden="false" customHeight="false" outlineLevel="0" collapsed="false">
      <c r="A518" s="21" t="n">
        <v>517</v>
      </c>
      <c r="B518" s="22"/>
      <c r="C518" s="23"/>
      <c r="D518" s="23"/>
      <c r="E518" s="23"/>
      <c r="F518" s="23"/>
      <c r="G518" s="23"/>
      <c r="H518" s="23"/>
      <c r="I518" s="24"/>
      <c r="J518" s="18" t="s">
        <v>1441</v>
      </c>
      <c r="K518" s="18" t="n">
        <v>327</v>
      </c>
      <c r="L518" s="25" t="n">
        <v>327</v>
      </c>
      <c r="M518" s="26" t="s">
        <v>399</v>
      </c>
      <c r="N518" s="0" t="n">
        <v>67</v>
      </c>
    </row>
    <row r="519" customFormat="false" ht="13.8" hidden="false" customHeight="false" outlineLevel="0" collapsed="false">
      <c r="A519" s="21" t="n">
        <v>518</v>
      </c>
      <c r="B519" s="22"/>
      <c r="C519" s="23"/>
      <c r="D519" s="23"/>
      <c r="E519" s="23"/>
      <c r="F519" s="23"/>
      <c r="G519" s="23"/>
      <c r="H519" s="23"/>
      <c r="I519" s="24"/>
      <c r="J519" s="18" t="s">
        <v>1441</v>
      </c>
      <c r="K519" s="18" t="n">
        <v>334</v>
      </c>
      <c r="L519" s="25" t="n">
        <v>334</v>
      </c>
      <c r="M519" s="26" t="s">
        <v>405</v>
      </c>
      <c r="N519" s="0" t="n">
        <v>67</v>
      </c>
    </row>
    <row r="520" customFormat="false" ht="13.8" hidden="false" customHeight="false" outlineLevel="0" collapsed="false">
      <c r="A520" s="27" t="n">
        <v>519</v>
      </c>
      <c r="B520" s="28"/>
      <c r="C520" s="29"/>
      <c r="D520" s="29"/>
      <c r="E520" s="29"/>
      <c r="F520" s="29"/>
      <c r="G520" s="29"/>
      <c r="H520" s="29"/>
      <c r="I520" s="30" t="n">
        <v>769</v>
      </c>
      <c r="J520" s="18" t="s">
        <v>1441</v>
      </c>
      <c r="K520" s="18" t="n">
        <v>780</v>
      </c>
      <c r="L520" s="31" t="n">
        <v>780</v>
      </c>
      <c r="M520" s="32" t="s">
        <v>828</v>
      </c>
      <c r="N520" s="0" t="n">
        <v>67</v>
      </c>
    </row>
    <row r="521" customFormat="false" ht="13.8" hidden="false" customHeight="false" outlineLevel="0" collapsed="false">
      <c r="A521" s="10" t="n">
        <v>520</v>
      </c>
      <c r="B521" s="4"/>
      <c r="C521" s="11"/>
      <c r="D521" s="11" t="s">
        <v>1444</v>
      </c>
      <c r="E521" s="11"/>
      <c r="F521" s="11"/>
      <c r="G521" s="11"/>
      <c r="H521" s="11"/>
      <c r="I521" s="12"/>
      <c r="L521" s="13" t="n">
        <v>623</v>
      </c>
      <c r="M521" s="13" t="s">
        <v>678</v>
      </c>
    </row>
    <row r="522" customFormat="false" ht="13.8" hidden="false" customHeight="false" outlineLevel="0" collapsed="false">
      <c r="A522" s="10" t="n">
        <v>521</v>
      </c>
      <c r="B522" s="4"/>
      <c r="C522" s="11"/>
      <c r="D522" s="11"/>
      <c r="E522" s="11" t="s">
        <v>1445</v>
      </c>
      <c r="F522" s="11"/>
      <c r="G522" s="11"/>
      <c r="H522" s="11"/>
      <c r="I522" s="12" t="n">
        <v>466</v>
      </c>
      <c r="L522" s="13" t="n">
        <v>477</v>
      </c>
      <c r="M522" s="13" t="s">
        <v>540</v>
      </c>
    </row>
    <row r="523" customFormat="false" ht="13.8" hidden="false" customHeight="false" outlineLevel="0" collapsed="false">
      <c r="A523" s="10" t="n">
        <v>522</v>
      </c>
      <c r="B523" s="4"/>
      <c r="C523" s="11"/>
      <c r="D523" s="11"/>
      <c r="E523" s="11"/>
      <c r="F523" s="11" t="s">
        <v>1446</v>
      </c>
      <c r="G523" s="11"/>
      <c r="H523" s="11"/>
      <c r="I523" s="12"/>
      <c r="J523" s="18" t="s">
        <v>1447</v>
      </c>
      <c r="K523" s="18" t="n">
        <v>485</v>
      </c>
      <c r="L523" s="13" t="n">
        <v>485</v>
      </c>
      <c r="M523" s="13" t="s">
        <v>548</v>
      </c>
      <c r="N523" s="0" t="n">
        <v>68</v>
      </c>
    </row>
    <row r="524" customFormat="false" ht="13.8" hidden="false" customHeight="false" outlineLevel="0" collapsed="false">
      <c r="A524" s="10" t="n">
        <v>523</v>
      </c>
      <c r="B524" s="4"/>
      <c r="C524" s="11"/>
      <c r="D524" s="11"/>
      <c r="E524" s="11"/>
      <c r="F524" s="11"/>
      <c r="G524" s="11"/>
      <c r="H524" s="11"/>
      <c r="I524" s="12" t="n">
        <v>661</v>
      </c>
      <c r="J524" s="18" t="s">
        <v>1447</v>
      </c>
      <c r="K524" s="18" t="n">
        <v>672</v>
      </c>
      <c r="L524" s="13" t="n">
        <v>672</v>
      </c>
      <c r="M524" s="13" t="s">
        <v>725</v>
      </c>
      <c r="N524" s="0" t="n">
        <v>68</v>
      </c>
    </row>
    <row r="525" customFormat="false" ht="13.8" hidden="false" customHeight="false" outlineLevel="0" collapsed="false">
      <c r="A525" s="10" t="n">
        <v>524</v>
      </c>
      <c r="B525" s="4"/>
      <c r="C525" s="11"/>
      <c r="D525" s="11"/>
      <c r="E525" s="11"/>
      <c r="F525" s="11" t="s">
        <v>1448</v>
      </c>
      <c r="G525" s="11"/>
      <c r="H525" s="11"/>
      <c r="I525" s="12"/>
      <c r="J525" s="18" t="s">
        <v>1449</v>
      </c>
      <c r="K525" s="18" t="n">
        <v>493</v>
      </c>
      <c r="L525" s="13" t="n">
        <v>493</v>
      </c>
      <c r="M525" s="13" t="s">
        <v>556</v>
      </c>
      <c r="N525" s="0" t="n">
        <v>69</v>
      </c>
    </row>
    <row r="526" customFormat="false" ht="13.8" hidden="false" customHeight="false" outlineLevel="0" collapsed="false">
      <c r="A526" s="10" t="n">
        <v>525</v>
      </c>
      <c r="B526" s="4"/>
      <c r="C526" s="11"/>
      <c r="D526" s="11"/>
      <c r="E526" s="11"/>
      <c r="F526" s="11"/>
      <c r="G526" s="11"/>
      <c r="H526" s="11"/>
      <c r="I526" s="12" t="n">
        <v>51</v>
      </c>
      <c r="J526" s="18" t="s">
        <v>1449</v>
      </c>
      <c r="K526" s="18" t="n">
        <v>56</v>
      </c>
      <c r="L526" s="43" t="n">
        <v>56</v>
      </c>
      <c r="M526" s="43" t="s">
        <v>145</v>
      </c>
      <c r="N526" s="0" t="n">
        <v>69</v>
      </c>
    </row>
    <row r="527" customFormat="false" ht="13.8" hidden="false" customHeight="false" outlineLevel="0" collapsed="false">
      <c r="A527" s="10" t="n">
        <v>526</v>
      </c>
      <c r="B527" s="4"/>
      <c r="C527" s="11"/>
      <c r="D527" s="11"/>
      <c r="E527" s="11"/>
      <c r="F527" s="11"/>
      <c r="G527" s="11"/>
      <c r="H527" s="11"/>
      <c r="I527" s="12" t="n">
        <v>987</v>
      </c>
      <c r="J527" s="18" t="s">
        <v>1449</v>
      </c>
      <c r="K527" s="18" t="n">
        <v>998</v>
      </c>
      <c r="L527" s="13" t="n">
        <v>998</v>
      </c>
      <c r="M527" s="13" t="s">
        <v>1036</v>
      </c>
      <c r="N527" s="0" t="n">
        <v>69</v>
      </c>
    </row>
    <row r="528" customFormat="false" ht="13.8" hidden="false" customHeight="false" outlineLevel="0" collapsed="false">
      <c r="A528" s="10" t="n">
        <v>527</v>
      </c>
      <c r="B528" s="4"/>
      <c r="C528" s="11"/>
      <c r="D528" s="11"/>
      <c r="E528" s="11"/>
      <c r="F528" s="11"/>
      <c r="G528" s="11"/>
      <c r="H528" s="11"/>
      <c r="I528" s="12" t="n">
        <v>743</v>
      </c>
      <c r="J528" s="18" t="s">
        <v>1449</v>
      </c>
      <c r="K528" s="18" t="n">
        <v>754</v>
      </c>
      <c r="L528" s="13" t="n">
        <v>754</v>
      </c>
      <c r="M528" s="13" t="s">
        <v>804</v>
      </c>
      <c r="N528" s="0" t="n">
        <v>69</v>
      </c>
    </row>
    <row r="529" customFormat="false" ht="13.8" hidden="false" customHeight="false" outlineLevel="0" collapsed="false">
      <c r="A529" s="10" t="n">
        <v>528</v>
      </c>
      <c r="B529" s="4"/>
      <c r="C529" s="11"/>
      <c r="D529" s="11"/>
      <c r="E529" s="11"/>
      <c r="F529" s="11"/>
      <c r="G529" s="11"/>
      <c r="H529" s="11"/>
      <c r="I529" s="12"/>
      <c r="J529" s="18" t="s">
        <v>1449</v>
      </c>
      <c r="K529" s="18" t="n">
        <v>481</v>
      </c>
      <c r="L529" s="13" t="n">
        <v>481</v>
      </c>
      <c r="M529" s="13" t="s">
        <v>544</v>
      </c>
      <c r="N529" s="0" t="n">
        <v>69</v>
      </c>
    </row>
    <row r="530" customFormat="false" ht="13.8" hidden="false" customHeight="false" outlineLevel="0" collapsed="false">
      <c r="A530" s="10" t="n">
        <v>529</v>
      </c>
      <c r="B530" s="4"/>
      <c r="C530" s="11"/>
      <c r="D530" s="11"/>
      <c r="E530" s="11"/>
      <c r="F530" s="11"/>
      <c r="G530" s="11"/>
      <c r="H530" s="11"/>
      <c r="I530" s="12"/>
      <c r="J530" s="18" t="s">
        <v>1449</v>
      </c>
      <c r="K530" s="18" t="n">
        <v>489</v>
      </c>
      <c r="L530" s="13" t="n">
        <v>489</v>
      </c>
      <c r="M530" s="13" t="s">
        <v>552</v>
      </c>
      <c r="N530" s="0" t="n">
        <v>69</v>
      </c>
    </row>
    <row r="531" customFormat="false" ht="13.8" hidden="false" customHeight="false" outlineLevel="0" collapsed="false">
      <c r="A531" s="10" t="n">
        <v>530</v>
      </c>
      <c r="B531" s="4"/>
      <c r="C531" s="11"/>
      <c r="D531" s="11"/>
      <c r="E531" s="11"/>
      <c r="F531" s="11"/>
      <c r="G531" s="11"/>
      <c r="H531" s="11"/>
      <c r="I531" s="12"/>
      <c r="J531" s="18" t="s">
        <v>1449</v>
      </c>
      <c r="K531" s="18" t="n">
        <v>458</v>
      </c>
      <c r="L531" s="13" t="n">
        <v>458</v>
      </c>
      <c r="M531" s="13" t="s">
        <v>522</v>
      </c>
      <c r="N531" s="0" t="n">
        <v>69</v>
      </c>
    </row>
    <row r="532" customFormat="false" ht="13.8" hidden="false" customHeight="false" outlineLevel="0" collapsed="false">
      <c r="A532" s="10" t="n">
        <v>531</v>
      </c>
      <c r="B532" s="4"/>
      <c r="C532" s="11"/>
      <c r="D532" s="11"/>
      <c r="E532" s="11"/>
      <c r="F532" s="11"/>
      <c r="G532" s="11"/>
      <c r="H532" s="11"/>
      <c r="I532" s="12"/>
      <c r="J532" s="18" t="s">
        <v>1449</v>
      </c>
      <c r="K532" s="18" t="n">
        <v>465</v>
      </c>
      <c r="L532" s="13" t="n">
        <v>465</v>
      </c>
      <c r="M532" s="13" t="s">
        <v>528</v>
      </c>
      <c r="N532" s="0" t="n">
        <v>69</v>
      </c>
    </row>
    <row r="533" customFormat="false" ht="13.8" hidden="false" customHeight="false" outlineLevel="0" collapsed="false">
      <c r="A533" s="10" t="n">
        <v>532</v>
      </c>
      <c r="B533" s="4"/>
      <c r="C533" s="11"/>
      <c r="D533" s="11"/>
      <c r="E533" s="11"/>
      <c r="F533" s="11"/>
      <c r="G533" s="11"/>
      <c r="H533" s="11"/>
      <c r="I533" s="12"/>
      <c r="J533" s="18" t="s">
        <v>1449</v>
      </c>
      <c r="K533" s="18" t="n">
        <v>473</v>
      </c>
      <c r="L533" s="13" t="n">
        <v>473</v>
      </c>
      <c r="M533" s="13" t="s">
        <v>536</v>
      </c>
      <c r="N533" s="0" t="n">
        <v>69</v>
      </c>
    </row>
    <row r="534" customFormat="false" ht="13.8" hidden="false" customHeight="false" outlineLevel="0" collapsed="false">
      <c r="A534" s="10" t="n">
        <v>533</v>
      </c>
      <c r="B534" s="4"/>
      <c r="C534" s="11"/>
      <c r="D534" s="11"/>
      <c r="E534" s="11"/>
      <c r="F534" s="11" t="s">
        <v>1450</v>
      </c>
      <c r="G534" s="11"/>
      <c r="H534" s="11"/>
      <c r="I534" s="12"/>
      <c r="J534" s="18" t="s">
        <v>1451</v>
      </c>
      <c r="K534" s="18" t="n">
        <v>275</v>
      </c>
      <c r="L534" s="13" t="n">
        <v>275</v>
      </c>
      <c r="M534" s="13" t="s">
        <v>354</v>
      </c>
    </row>
    <row r="535" customFormat="false" ht="13.8" hidden="false" customHeight="false" outlineLevel="0" collapsed="false">
      <c r="A535" s="10" t="n">
        <v>534</v>
      </c>
      <c r="B535" s="4"/>
      <c r="C535" s="11"/>
      <c r="D535" s="11"/>
      <c r="E535" s="11"/>
      <c r="F535" s="11"/>
      <c r="G535" s="11" t="s">
        <v>1451</v>
      </c>
      <c r="H535" s="11"/>
      <c r="I535" s="12"/>
      <c r="J535" s="18" t="s">
        <v>1451</v>
      </c>
      <c r="K535" s="18" t="n">
        <v>242</v>
      </c>
      <c r="L535" s="13" t="n">
        <v>242</v>
      </c>
      <c r="M535" s="13" t="s">
        <v>325</v>
      </c>
      <c r="N535" s="0" t="n">
        <v>70</v>
      </c>
    </row>
    <row r="536" customFormat="false" ht="13.8" hidden="false" customHeight="false" outlineLevel="0" collapsed="false">
      <c r="A536" s="10" t="n">
        <v>535</v>
      </c>
      <c r="B536" s="4"/>
      <c r="C536" s="11"/>
      <c r="D536" s="11"/>
      <c r="E536" s="11"/>
      <c r="F536" s="11"/>
      <c r="G536" s="11"/>
      <c r="H536" s="11"/>
      <c r="I536" s="12" t="n">
        <v>243</v>
      </c>
      <c r="J536" s="18" t="s">
        <v>1451</v>
      </c>
      <c r="K536" s="18" t="n">
        <v>250</v>
      </c>
      <c r="L536" s="13" t="n">
        <v>250</v>
      </c>
      <c r="M536" s="13" t="s">
        <v>333</v>
      </c>
      <c r="N536" s="0" t="n">
        <v>70</v>
      </c>
    </row>
    <row r="537" customFormat="false" ht="13.8" hidden="false" customHeight="false" outlineLevel="0" collapsed="false">
      <c r="A537" s="10" t="n">
        <v>536</v>
      </c>
      <c r="B537" s="4"/>
      <c r="C537" s="11"/>
      <c r="D537" s="11"/>
      <c r="E537" s="11"/>
      <c r="F537" s="11"/>
      <c r="G537" s="11"/>
      <c r="H537" s="11"/>
      <c r="I537" s="12" t="n">
        <v>251</v>
      </c>
      <c r="J537" s="18" t="s">
        <v>1451</v>
      </c>
      <c r="K537" s="18" t="n">
        <v>258</v>
      </c>
      <c r="L537" s="13" t="n">
        <v>258</v>
      </c>
      <c r="M537" s="13" t="s">
        <v>340</v>
      </c>
      <c r="N537" s="0" t="n">
        <v>70</v>
      </c>
    </row>
    <row r="538" customFormat="false" ht="13.8" hidden="false" customHeight="false" outlineLevel="0" collapsed="false">
      <c r="A538" s="10" t="n">
        <v>537</v>
      </c>
      <c r="B538" s="4"/>
      <c r="C538" s="11"/>
      <c r="D538" s="11"/>
      <c r="E538" s="11"/>
      <c r="F538" s="11"/>
      <c r="G538" s="11"/>
      <c r="H538" s="11"/>
      <c r="I538" s="12" t="n">
        <v>258</v>
      </c>
      <c r="J538" s="18" t="s">
        <v>1451</v>
      </c>
      <c r="K538" s="18" t="n">
        <v>266</v>
      </c>
      <c r="L538" s="13" t="n">
        <v>266</v>
      </c>
      <c r="M538" s="13" t="s">
        <v>347</v>
      </c>
      <c r="N538" s="0" t="n">
        <v>70</v>
      </c>
    </row>
    <row r="539" customFormat="false" ht="13.8" hidden="false" customHeight="false" outlineLevel="0" collapsed="false">
      <c r="A539" s="10" t="n">
        <v>538</v>
      </c>
      <c r="B539" s="4"/>
      <c r="C539" s="11"/>
      <c r="D539" s="11"/>
      <c r="E539" s="11"/>
      <c r="F539" s="11"/>
      <c r="G539" s="11" t="s">
        <v>1452</v>
      </c>
      <c r="H539" s="11"/>
      <c r="I539" s="12" t="n">
        <v>300</v>
      </c>
      <c r="J539" s="18" t="s">
        <v>1451</v>
      </c>
      <c r="K539" s="18" t="n">
        <v>310</v>
      </c>
      <c r="L539" s="13" t="n">
        <v>310</v>
      </c>
      <c r="M539" s="13" t="s">
        <v>383</v>
      </c>
      <c r="N539" s="0" t="n">
        <v>70</v>
      </c>
    </row>
    <row r="540" customFormat="false" ht="13.8" hidden="false" customHeight="false" outlineLevel="0" collapsed="false">
      <c r="A540" s="10" t="n">
        <v>539</v>
      </c>
      <c r="B540" s="4"/>
      <c r="C540" s="11"/>
      <c r="D540" s="11"/>
      <c r="E540" s="11"/>
      <c r="F540" s="11"/>
      <c r="G540" s="11" t="s">
        <v>1453</v>
      </c>
      <c r="H540" s="11"/>
      <c r="I540" s="12" t="n">
        <v>323</v>
      </c>
      <c r="J540" s="18" t="s">
        <v>1451</v>
      </c>
      <c r="K540" s="18" t="n">
        <v>333</v>
      </c>
      <c r="L540" s="13" t="n">
        <v>333</v>
      </c>
      <c r="M540" s="13" t="s">
        <v>404</v>
      </c>
      <c r="N540" s="0" t="n">
        <v>70</v>
      </c>
    </row>
    <row r="541" customFormat="false" ht="13.8" hidden="false" customHeight="false" outlineLevel="0" collapsed="false">
      <c r="A541" s="10" t="n">
        <v>540</v>
      </c>
      <c r="B541" s="11"/>
      <c r="C541" s="11"/>
      <c r="D541" s="11"/>
      <c r="E541" s="11"/>
      <c r="F541" s="11" t="s">
        <v>1454</v>
      </c>
      <c r="G541" s="11"/>
      <c r="H541" s="11"/>
      <c r="I541" s="12" t="n">
        <v>269</v>
      </c>
      <c r="J541" s="18" t="s">
        <v>1454</v>
      </c>
      <c r="K541" s="18" t="n">
        <v>278</v>
      </c>
      <c r="L541" s="13" t="n">
        <v>278</v>
      </c>
      <c r="M541" s="13" t="s">
        <v>357</v>
      </c>
      <c r="N541" s="0" t="n">
        <v>71</v>
      </c>
    </row>
    <row r="542" customFormat="false" ht="13.8" hidden="false" customHeight="false" outlineLevel="0" collapsed="false">
      <c r="A542" s="10" t="n">
        <v>541</v>
      </c>
      <c r="B542" s="4"/>
      <c r="C542" s="11"/>
      <c r="D542" s="11"/>
      <c r="E542" s="11"/>
      <c r="F542" s="11"/>
      <c r="G542" s="11" t="s">
        <v>1455</v>
      </c>
      <c r="H542" s="11"/>
      <c r="I542" s="12" t="n">
        <v>21</v>
      </c>
      <c r="J542" s="18" t="s">
        <v>1454</v>
      </c>
      <c r="K542" s="18" t="n">
        <v>23</v>
      </c>
      <c r="L542" s="13" t="n">
        <v>23</v>
      </c>
      <c r="M542" s="13" t="s">
        <v>117</v>
      </c>
      <c r="N542" s="0" t="n">
        <v>71</v>
      </c>
    </row>
    <row r="543" customFormat="false" ht="13.8" hidden="false" customHeight="false" outlineLevel="0" collapsed="false">
      <c r="A543" s="10" t="n">
        <v>542</v>
      </c>
      <c r="B543" s="4"/>
      <c r="C543" s="11"/>
      <c r="D543" s="11"/>
      <c r="E543" s="11"/>
      <c r="F543" s="11"/>
      <c r="G543" s="11" t="s">
        <v>1456</v>
      </c>
      <c r="H543" s="11"/>
      <c r="I543" s="12" t="n">
        <v>282</v>
      </c>
      <c r="J543" s="18" t="s">
        <v>1454</v>
      </c>
      <c r="K543" s="18" t="n">
        <v>292</v>
      </c>
      <c r="L543" s="13" t="n">
        <v>292</v>
      </c>
      <c r="M543" s="13" t="s">
        <v>369</v>
      </c>
      <c r="N543" s="0" t="n">
        <v>71</v>
      </c>
    </row>
    <row r="544" customFormat="false" ht="13.8" hidden="false" customHeight="false" outlineLevel="0" collapsed="false">
      <c r="A544" s="10" t="n">
        <v>543</v>
      </c>
      <c r="B544" s="4"/>
      <c r="C544" s="11"/>
      <c r="D544" s="11"/>
      <c r="E544" s="11"/>
      <c r="F544" s="11"/>
      <c r="G544" s="11" t="s">
        <v>1457</v>
      </c>
      <c r="H544" s="11"/>
      <c r="I544" s="12" t="n">
        <v>525</v>
      </c>
      <c r="J544" s="18" t="s">
        <v>1454</v>
      </c>
      <c r="K544" s="18" t="n">
        <v>536</v>
      </c>
      <c r="L544" s="13" t="n">
        <v>536</v>
      </c>
      <c r="M544" s="13" t="s">
        <v>47</v>
      </c>
      <c r="N544" s="0" t="n">
        <v>71</v>
      </c>
    </row>
    <row r="545" customFormat="false" ht="13.8" hidden="false" customHeight="false" outlineLevel="0" collapsed="false">
      <c r="A545" s="10" t="n">
        <v>544</v>
      </c>
      <c r="B545" s="4"/>
      <c r="C545" s="11"/>
      <c r="D545" s="11"/>
      <c r="E545" s="11"/>
      <c r="F545" s="11"/>
      <c r="G545" s="11"/>
      <c r="H545" s="11"/>
      <c r="I545" s="12"/>
      <c r="J545" s="18" t="s">
        <v>1454</v>
      </c>
      <c r="K545" s="18" t="n">
        <v>544</v>
      </c>
      <c r="L545" s="13" t="n">
        <v>544</v>
      </c>
      <c r="M545" s="13" t="s">
        <v>605</v>
      </c>
      <c r="N545" s="0" t="n">
        <v>71</v>
      </c>
    </row>
    <row r="546" customFormat="false" ht="13.8" hidden="false" customHeight="false" outlineLevel="0" collapsed="false">
      <c r="A546" s="10" t="n">
        <v>545</v>
      </c>
      <c r="B546" s="4"/>
      <c r="C546" s="11"/>
      <c r="D546" s="11"/>
      <c r="E546" s="11"/>
      <c r="F546" s="11"/>
      <c r="G546" s="11"/>
      <c r="H546" s="11"/>
      <c r="I546" s="12"/>
      <c r="J546" s="18" t="s">
        <v>1454</v>
      </c>
      <c r="K546" s="18" t="n">
        <v>551</v>
      </c>
      <c r="L546" s="13" t="n">
        <v>551</v>
      </c>
      <c r="M546" s="13" t="s">
        <v>611</v>
      </c>
      <c r="N546" s="0" t="n">
        <v>71</v>
      </c>
    </row>
    <row r="547" customFormat="false" ht="13.8" hidden="false" customHeight="false" outlineLevel="0" collapsed="false">
      <c r="A547" s="10" t="n">
        <v>546</v>
      </c>
      <c r="B547" s="4"/>
      <c r="C547" s="11"/>
      <c r="D547" s="11"/>
      <c r="E547" s="11"/>
      <c r="F547" s="11"/>
      <c r="G547" s="11"/>
      <c r="H547" s="11"/>
      <c r="I547" s="12"/>
      <c r="J547" s="18" t="s">
        <v>1454</v>
      </c>
      <c r="K547" s="18" t="n">
        <v>559</v>
      </c>
      <c r="L547" s="13" t="n">
        <v>559</v>
      </c>
      <c r="M547" s="13" t="s">
        <v>618</v>
      </c>
      <c r="N547" s="0" t="n">
        <v>71</v>
      </c>
    </row>
    <row r="548" customFormat="false" ht="13.8" hidden="false" customHeight="false" outlineLevel="0" collapsed="false">
      <c r="A548" s="10" t="n">
        <v>547</v>
      </c>
      <c r="B548" s="4"/>
      <c r="C548" s="11"/>
      <c r="D548" s="11"/>
      <c r="E548" s="11"/>
      <c r="F548" s="11"/>
      <c r="G548" s="11" t="s">
        <v>1458</v>
      </c>
      <c r="H548" s="11"/>
      <c r="I548" s="12" t="n">
        <v>1093</v>
      </c>
      <c r="J548" s="18" t="s">
        <v>1454</v>
      </c>
      <c r="K548" s="18" t="n">
        <v>1105</v>
      </c>
      <c r="L548" s="13" t="n">
        <v>1105</v>
      </c>
      <c r="M548" s="13" t="s">
        <v>1139</v>
      </c>
      <c r="N548" s="0" t="n">
        <v>71</v>
      </c>
    </row>
    <row r="549" customFormat="false" ht="13.8" hidden="false" customHeight="false" outlineLevel="0" collapsed="false">
      <c r="A549" s="10" t="n">
        <v>548</v>
      </c>
      <c r="B549" s="4"/>
      <c r="C549" s="11"/>
      <c r="D549" s="11"/>
      <c r="E549" s="11"/>
      <c r="F549" s="11"/>
      <c r="G549" s="11" t="s">
        <v>1459</v>
      </c>
      <c r="H549" s="11"/>
      <c r="I549" s="12" t="n">
        <v>393</v>
      </c>
      <c r="J549" s="18" t="s">
        <v>1454</v>
      </c>
      <c r="K549" s="18" t="n">
        <v>403</v>
      </c>
      <c r="L549" s="13" t="n">
        <v>403</v>
      </c>
      <c r="M549" s="13" t="s">
        <v>472</v>
      </c>
      <c r="N549" s="0" t="n">
        <v>71</v>
      </c>
    </row>
    <row r="550" customFormat="false" ht="13.8" hidden="false" customHeight="false" outlineLevel="0" collapsed="false">
      <c r="A550" s="10" t="n">
        <v>549</v>
      </c>
      <c r="B550" s="4"/>
      <c r="C550" s="11"/>
      <c r="D550" s="11"/>
      <c r="E550" s="11"/>
      <c r="F550" s="11"/>
      <c r="G550" s="11"/>
      <c r="H550" s="11"/>
      <c r="I550" s="12"/>
      <c r="J550" s="18" t="s">
        <v>1454</v>
      </c>
      <c r="K550" s="18" t="n">
        <v>411</v>
      </c>
      <c r="L550" s="13" t="n">
        <v>411</v>
      </c>
      <c r="M550" s="13" t="s">
        <v>480</v>
      </c>
      <c r="N550" s="0" t="n">
        <v>71</v>
      </c>
    </row>
    <row r="551" customFormat="false" ht="13.8" hidden="false" customHeight="false" outlineLevel="0" collapsed="false">
      <c r="A551" s="10" t="n">
        <v>550</v>
      </c>
      <c r="B551" s="4"/>
      <c r="C551" s="11"/>
      <c r="D551" s="11"/>
      <c r="E551" s="11"/>
      <c r="F551" s="11"/>
      <c r="G551" s="11"/>
      <c r="H551" s="11"/>
      <c r="I551" s="12"/>
      <c r="J551" s="18" t="s">
        <v>1454</v>
      </c>
      <c r="K551" s="18" t="n">
        <v>418</v>
      </c>
      <c r="L551" s="13" t="n">
        <v>418</v>
      </c>
      <c r="M551" s="13" t="s">
        <v>486</v>
      </c>
      <c r="N551" s="0" t="n">
        <v>71</v>
      </c>
    </row>
    <row r="552" customFormat="false" ht="13.8" hidden="false" customHeight="false" outlineLevel="0" collapsed="false">
      <c r="A552" s="10" t="n">
        <v>551</v>
      </c>
      <c r="B552" s="4"/>
      <c r="C552" s="11"/>
      <c r="D552" s="11"/>
      <c r="E552" s="11"/>
      <c r="F552" s="11"/>
      <c r="G552" s="11"/>
      <c r="H552" s="11"/>
      <c r="I552" s="12"/>
      <c r="J552" s="18" t="s">
        <v>1454</v>
      </c>
      <c r="K552" s="18" t="n">
        <v>426</v>
      </c>
      <c r="L552" s="13" t="n">
        <v>426</v>
      </c>
      <c r="M552" s="13" t="s">
        <v>494</v>
      </c>
      <c r="N552" s="0" t="n">
        <v>71</v>
      </c>
    </row>
    <row r="553" customFormat="false" ht="13.8" hidden="false" customHeight="false" outlineLevel="0" collapsed="false">
      <c r="A553" s="10" t="n">
        <v>552</v>
      </c>
      <c r="B553" s="4"/>
      <c r="C553" s="11"/>
      <c r="D553" s="11"/>
      <c r="E553" s="11"/>
      <c r="F553" s="11"/>
      <c r="G553" s="11"/>
      <c r="H553" s="11"/>
      <c r="I553" s="12"/>
      <c r="J553" s="18" t="s">
        <v>1454</v>
      </c>
      <c r="K553" s="18" t="n">
        <v>472</v>
      </c>
      <c r="L553" s="13" t="n">
        <v>472</v>
      </c>
      <c r="M553" s="13" t="s">
        <v>535</v>
      </c>
      <c r="N553" s="0" t="n">
        <v>71</v>
      </c>
    </row>
    <row r="554" customFormat="false" ht="13.8" hidden="false" customHeight="false" outlineLevel="0" collapsed="false">
      <c r="A554" s="10" t="n">
        <v>553</v>
      </c>
      <c r="B554" s="4"/>
      <c r="C554" s="11"/>
      <c r="D554" s="11"/>
      <c r="E554" s="11"/>
      <c r="F554" s="11"/>
      <c r="G554" s="11"/>
      <c r="H554" s="11"/>
      <c r="I554" s="12"/>
      <c r="J554" s="18" t="s">
        <v>1454</v>
      </c>
      <c r="K554" s="18" t="n">
        <v>480</v>
      </c>
      <c r="L554" s="13" t="n">
        <v>480</v>
      </c>
      <c r="M554" s="13" t="s">
        <v>543</v>
      </c>
      <c r="N554" s="0" t="n">
        <v>71</v>
      </c>
    </row>
    <row r="555" customFormat="false" ht="13.8" hidden="false" customHeight="false" outlineLevel="0" collapsed="false">
      <c r="A555" s="10" t="n">
        <v>554</v>
      </c>
      <c r="B555" s="4"/>
      <c r="C555" s="11"/>
      <c r="D555" s="11"/>
      <c r="E555" s="11"/>
      <c r="F555" s="11"/>
      <c r="G555" s="11"/>
      <c r="H555" s="11"/>
      <c r="I555" s="12"/>
      <c r="J555" s="18" t="s">
        <v>1454</v>
      </c>
      <c r="K555" s="18" t="n">
        <v>487</v>
      </c>
      <c r="L555" s="13" t="n">
        <v>487</v>
      </c>
      <c r="M555" s="13" t="s">
        <v>550</v>
      </c>
      <c r="N555" s="0" t="n">
        <v>71</v>
      </c>
    </row>
    <row r="556" customFormat="false" ht="13.8" hidden="false" customHeight="false" outlineLevel="0" collapsed="false">
      <c r="A556" s="10" t="n">
        <v>555</v>
      </c>
      <c r="B556" s="4"/>
      <c r="C556" s="11"/>
      <c r="D556" s="11"/>
      <c r="E556" s="11"/>
      <c r="F556" s="11"/>
      <c r="G556" s="11"/>
      <c r="H556" s="11"/>
      <c r="I556" s="12"/>
      <c r="J556" s="18" t="s">
        <v>1454</v>
      </c>
      <c r="K556" s="18" t="n">
        <v>435</v>
      </c>
      <c r="L556" s="13" t="n">
        <v>435</v>
      </c>
      <c r="M556" s="13" t="s">
        <v>501</v>
      </c>
      <c r="N556" s="0" t="n">
        <v>71</v>
      </c>
    </row>
    <row r="557" customFormat="false" ht="13.8" hidden="false" customHeight="false" outlineLevel="0" collapsed="false">
      <c r="A557" s="10" t="n">
        <v>556</v>
      </c>
      <c r="B557" s="4"/>
      <c r="C557" s="11"/>
      <c r="D557" s="11"/>
      <c r="E557" s="11" t="s">
        <v>1460</v>
      </c>
      <c r="F557" s="11" t="s">
        <v>1461</v>
      </c>
      <c r="G557" s="11"/>
      <c r="H557" s="11"/>
      <c r="I557" s="12" t="n">
        <v>792</v>
      </c>
      <c r="J557" s="18" t="s">
        <v>1461</v>
      </c>
      <c r="K557" s="18" t="n">
        <v>803</v>
      </c>
      <c r="L557" s="13" t="n">
        <v>803</v>
      </c>
      <c r="M557" s="13" t="s">
        <v>851</v>
      </c>
      <c r="N557" s="0" t="n">
        <v>72</v>
      </c>
    </row>
    <row r="558" customFormat="false" ht="13.8" hidden="false" customHeight="false" outlineLevel="0" collapsed="false">
      <c r="A558" s="10" t="n">
        <v>557</v>
      </c>
      <c r="B558" s="4"/>
      <c r="C558" s="11"/>
      <c r="D558" s="11"/>
      <c r="E558" s="11"/>
      <c r="F558" s="11"/>
      <c r="G558" s="11"/>
      <c r="H558" s="11"/>
      <c r="I558" s="12"/>
      <c r="J558" s="18" t="s">
        <v>1461</v>
      </c>
      <c r="K558" s="18" t="n">
        <v>818</v>
      </c>
      <c r="L558" s="13" t="n">
        <v>818</v>
      </c>
      <c r="M558" s="13" t="s">
        <v>865</v>
      </c>
      <c r="N558" s="0" t="n">
        <v>72</v>
      </c>
    </row>
    <row r="559" customFormat="false" ht="13.8" hidden="false" customHeight="false" outlineLevel="0" collapsed="false">
      <c r="A559" s="10" t="n">
        <v>558</v>
      </c>
      <c r="B559" s="4"/>
      <c r="C559" s="11"/>
      <c r="D559" s="11"/>
      <c r="E559" s="11"/>
      <c r="F559" s="11"/>
      <c r="G559" s="11"/>
      <c r="H559" s="11"/>
      <c r="I559" s="12" t="n">
        <v>1019</v>
      </c>
      <c r="J559" s="18" t="s">
        <v>1461</v>
      </c>
      <c r="K559" s="18" t="n">
        <v>1031</v>
      </c>
      <c r="L559" s="13" t="n">
        <v>1031</v>
      </c>
      <c r="M559" s="13" t="s">
        <v>1067</v>
      </c>
      <c r="N559" s="0" t="n">
        <v>72</v>
      </c>
    </row>
    <row r="560" customFormat="false" ht="13.8" hidden="false" customHeight="false" outlineLevel="0" collapsed="false">
      <c r="A560" s="10" t="n">
        <v>559</v>
      </c>
      <c r="B560" s="4"/>
      <c r="C560" s="11"/>
      <c r="D560" s="11"/>
      <c r="E560" s="11"/>
      <c r="F560" s="11"/>
      <c r="G560" s="11"/>
      <c r="H560" s="11"/>
      <c r="I560" s="12" t="n">
        <v>1010</v>
      </c>
      <c r="J560" s="18" t="s">
        <v>1461</v>
      </c>
      <c r="K560" s="18" t="n">
        <v>1022</v>
      </c>
      <c r="L560" s="13" t="n">
        <v>1022</v>
      </c>
      <c r="M560" s="13" t="s">
        <v>1058</v>
      </c>
      <c r="N560" s="0" t="n">
        <v>72</v>
      </c>
    </row>
    <row r="561" customFormat="false" ht="13.8" hidden="false" customHeight="false" outlineLevel="0" collapsed="false">
      <c r="A561" s="10" t="n">
        <v>560</v>
      </c>
      <c r="B561" s="4"/>
      <c r="C561" s="11"/>
      <c r="D561" s="11"/>
      <c r="E561" s="11"/>
      <c r="F561" s="11"/>
      <c r="G561" s="11"/>
      <c r="H561" s="11"/>
      <c r="I561" s="12" t="n">
        <v>332</v>
      </c>
      <c r="J561" s="18" t="s">
        <v>1461</v>
      </c>
      <c r="K561" s="18" t="n">
        <v>342</v>
      </c>
      <c r="L561" s="13" t="n">
        <v>342</v>
      </c>
      <c r="M561" s="13" t="s">
        <v>413</v>
      </c>
      <c r="N561" s="0" t="n">
        <v>72</v>
      </c>
    </row>
    <row r="562" customFormat="false" ht="13.8" hidden="false" customHeight="false" outlineLevel="0" collapsed="false">
      <c r="A562" s="10" t="n">
        <v>561</v>
      </c>
      <c r="B562" s="4"/>
      <c r="C562" s="11"/>
      <c r="D562" s="11"/>
      <c r="E562" s="11"/>
      <c r="F562" s="11" t="s">
        <v>1462</v>
      </c>
      <c r="G562" s="11"/>
      <c r="H562" s="11"/>
      <c r="I562" s="12"/>
      <c r="J562" s="18" t="s">
        <v>1462</v>
      </c>
      <c r="K562" s="18" t="n">
        <v>835</v>
      </c>
      <c r="L562" s="13" t="n">
        <v>835</v>
      </c>
      <c r="M562" s="13" t="s">
        <v>880</v>
      </c>
      <c r="N562" s="0" t="n">
        <v>73</v>
      </c>
    </row>
    <row r="563" customFormat="false" ht="13.8" hidden="false" customHeight="false" outlineLevel="0" collapsed="false">
      <c r="A563" s="10" t="n">
        <v>562</v>
      </c>
      <c r="B563" s="4"/>
      <c r="C563" s="11"/>
      <c r="D563" s="11"/>
      <c r="E563" s="11"/>
      <c r="F563" s="11"/>
      <c r="G563" s="11"/>
      <c r="H563" s="11"/>
      <c r="I563" s="12" t="n">
        <v>288</v>
      </c>
      <c r="J563" s="18" t="s">
        <v>1462</v>
      </c>
      <c r="K563" s="18" t="n">
        <v>298</v>
      </c>
      <c r="L563" s="13" t="n">
        <v>298</v>
      </c>
      <c r="M563" s="13" t="s">
        <v>373</v>
      </c>
      <c r="N563" s="0" t="n">
        <v>73</v>
      </c>
    </row>
    <row r="564" customFormat="false" ht="13.8" hidden="false" customHeight="false" outlineLevel="0" collapsed="false">
      <c r="A564" s="10" t="n">
        <v>563</v>
      </c>
      <c r="B564" s="4"/>
      <c r="C564" s="11"/>
      <c r="D564" s="11"/>
      <c r="E564" s="11"/>
      <c r="F564" s="11" t="s">
        <v>1463</v>
      </c>
      <c r="G564" s="11"/>
      <c r="H564" s="11"/>
      <c r="I564" s="12"/>
      <c r="J564" s="18" t="s">
        <v>1463</v>
      </c>
      <c r="K564" s="18" t="n">
        <v>826</v>
      </c>
      <c r="L564" s="13" t="n">
        <v>826</v>
      </c>
      <c r="M564" s="13" t="s">
        <v>872</v>
      </c>
      <c r="N564" s="0" t="n">
        <v>74</v>
      </c>
    </row>
    <row r="565" customFormat="false" ht="13.8" hidden="false" customHeight="false" outlineLevel="0" collapsed="false">
      <c r="A565" s="10" t="n">
        <v>564</v>
      </c>
      <c r="B565" s="4"/>
      <c r="C565" s="11"/>
      <c r="D565" s="11"/>
      <c r="E565" s="11"/>
      <c r="F565" s="11"/>
      <c r="G565" s="11" t="s">
        <v>1464</v>
      </c>
      <c r="H565" s="11"/>
      <c r="I565" s="12"/>
      <c r="J565" s="18" t="s">
        <v>1464</v>
      </c>
      <c r="K565" s="18" t="n">
        <v>904</v>
      </c>
      <c r="L565" s="13" t="n">
        <v>904</v>
      </c>
      <c r="M565" s="13" t="s">
        <v>948</v>
      </c>
      <c r="N565" s="0" t="n">
        <v>74</v>
      </c>
    </row>
    <row r="566" customFormat="false" ht="13.8" hidden="false" customHeight="false" outlineLevel="0" collapsed="false">
      <c r="A566" s="10" t="n">
        <v>565</v>
      </c>
      <c r="B566" s="4"/>
      <c r="C566" s="11"/>
      <c r="D566" s="11"/>
      <c r="E566" s="11"/>
      <c r="F566" s="11"/>
      <c r="G566" s="11"/>
      <c r="H566" s="11"/>
      <c r="I566" s="12" t="n">
        <v>553</v>
      </c>
      <c r="J566" s="18" t="s">
        <v>1464</v>
      </c>
      <c r="K566" s="18" t="n">
        <v>564</v>
      </c>
      <c r="L566" s="13" t="n">
        <v>564</v>
      </c>
      <c r="M566" s="13" t="s">
        <v>623</v>
      </c>
      <c r="N566" s="0" t="n">
        <v>74</v>
      </c>
    </row>
    <row r="567" customFormat="false" ht="13.8" hidden="false" customHeight="false" outlineLevel="0" collapsed="false">
      <c r="A567" s="10" t="n">
        <v>566</v>
      </c>
      <c r="B567" s="4"/>
      <c r="C567" s="11"/>
      <c r="D567" s="11"/>
      <c r="E567" s="11"/>
      <c r="F567" s="11"/>
      <c r="G567" s="11"/>
      <c r="H567" s="11"/>
      <c r="I567" s="12" t="n">
        <v>585</v>
      </c>
      <c r="J567" s="18" t="s">
        <v>1464</v>
      </c>
      <c r="K567" s="18" t="n">
        <v>596</v>
      </c>
      <c r="L567" s="13" t="n">
        <v>596</v>
      </c>
      <c r="M567" s="13" t="s">
        <v>653</v>
      </c>
      <c r="N567" s="0" t="n">
        <v>74</v>
      </c>
    </row>
    <row r="568" customFormat="false" ht="13.8" hidden="false" customHeight="false" outlineLevel="0" collapsed="false">
      <c r="A568" s="10" t="n">
        <v>567</v>
      </c>
      <c r="B568" s="4"/>
      <c r="C568" s="11"/>
      <c r="D568" s="11"/>
      <c r="E568" s="11"/>
      <c r="F568" s="11"/>
      <c r="G568" s="11" t="s">
        <v>1465</v>
      </c>
      <c r="H568" s="11"/>
      <c r="I568" s="12" t="n">
        <v>570</v>
      </c>
      <c r="J568" s="18" t="s">
        <v>1464</v>
      </c>
      <c r="K568" s="18" t="n">
        <v>581</v>
      </c>
      <c r="L568" s="13" t="n">
        <v>581</v>
      </c>
      <c r="M568" s="13" t="s">
        <v>640</v>
      </c>
      <c r="N568" s="0" t="n">
        <v>74</v>
      </c>
    </row>
    <row r="569" customFormat="false" ht="13.8" hidden="false" customHeight="false" outlineLevel="0" collapsed="false">
      <c r="A569" s="10" t="n">
        <v>568</v>
      </c>
      <c r="B569" s="4"/>
      <c r="C569" s="11"/>
      <c r="D569" s="11"/>
      <c r="E569" s="11"/>
      <c r="F569" s="11" t="s">
        <v>1466</v>
      </c>
      <c r="G569" s="11"/>
      <c r="H569" s="11"/>
      <c r="I569" s="12"/>
      <c r="J569" s="18" t="s">
        <v>1466</v>
      </c>
      <c r="K569" s="18" t="n">
        <v>809</v>
      </c>
      <c r="L569" s="13" t="n">
        <v>809</v>
      </c>
      <c r="M569" s="13" t="s">
        <v>857</v>
      </c>
      <c r="N569" s="0" t="n">
        <v>75</v>
      </c>
    </row>
    <row r="570" customFormat="false" ht="13.8" hidden="false" customHeight="false" outlineLevel="0" collapsed="false">
      <c r="A570" s="10" t="n">
        <v>569</v>
      </c>
      <c r="B570" s="4"/>
      <c r="C570" s="11"/>
      <c r="D570" s="11"/>
      <c r="E570" s="11"/>
      <c r="F570" s="11"/>
      <c r="G570" s="11"/>
      <c r="H570" s="11"/>
      <c r="I570" s="12" t="n">
        <v>341</v>
      </c>
      <c r="J570" s="18" t="s">
        <v>1466</v>
      </c>
      <c r="K570" s="18" t="n">
        <v>351</v>
      </c>
      <c r="L570" s="13" t="n">
        <v>351</v>
      </c>
      <c r="M570" s="13" t="s">
        <v>422</v>
      </c>
      <c r="N570" s="0" t="n">
        <v>75</v>
      </c>
    </row>
    <row r="571" customFormat="false" ht="13.8" hidden="false" customHeight="false" outlineLevel="0" collapsed="false">
      <c r="A571" s="10" t="n">
        <v>570</v>
      </c>
      <c r="B571" s="4"/>
      <c r="C571" s="11"/>
      <c r="D571" s="11"/>
      <c r="E571" s="11"/>
      <c r="F571" s="11"/>
      <c r="G571" s="11"/>
      <c r="H571" s="11"/>
      <c r="I571" s="12"/>
      <c r="J571" s="18" t="s">
        <v>1466</v>
      </c>
      <c r="K571" s="18" t="n">
        <v>359</v>
      </c>
      <c r="L571" s="13" t="n">
        <v>359</v>
      </c>
      <c r="M571" s="13" t="s">
        <v>430</v>
      </c>
      <c r="N571" s="0" t="n">
        <v>75</v>
      </c>
    </row>
    <row r="572" customFormat="false" ht="13.8" hidden="false" customHeight="false" outlineLevel="0" collapsed="false">
      <c r="A572" s="10" t="n">
        <v>571</v>
      </c>
      <c r="B572" s="4"/>
      <c r="C572" s="11"/>
      <c r="D572" s="11"/>
      <c r="E572" s="11"/>
      <c r="F572" s="11"/>
      <c r="G572" s="11"/>
      <c r="H572" s="11"/>
      <c r="I572" s="12"/>
      <c r="J572" s="18" t="s">
        <v>1466</v>
      </c>
      <c r="K572" s="18" t="n">
        <v>537</v>
      </c>
      <c r="L572" s="13" t="n">
        <v>537</v>
      </c>
      <c r="M572" s="13" t="s">
        <v>599</v>
      </c>
      <c r="N572" s="0" t="n">
        <v>75</v>
      </c>
    </row>
    <row r="573" customFormat="false" ht="13.8" hidden="false" customHeight="false" outlineLevel="0" collapsed="false">
      <c r="A573" s="10" t="n">
        <v>572</v>
      </c>
      <c r="B573" s="4"/>
      <c r="C573" s="11"/>
      <c r="D573" s="11"/>
      <c r="E573" s="11"/>
      <c r="F573" s="11"/>
      <c r="G573" s="11"/>
      <c r="H573" s="11"/>
      <c r="I573" s="12"/>
      <c r="J573" s="18" t="s">
        <v>1466</v>
      </c>
      <c r="K573" s="18" t="n">
        <v>498</v>
      </c>
      <c r="L573" s="13" t="n">
        <v>498</v>
      </c>
      <c r="M573" s="13" t="s">
        <v>561</v>
      </c>
      <c r="N573" s="0" t="n">
        <v>75</v>
      </c>
    </row>
    <row r="574" customFormat="false" ht="13.8" hidden="false" customHeight="false" outlineLevel="0" collapsed="false">
      <c r="A574" s="10" t="n">
        <v>573</v>
      </c>
      <c r="B574" s="4"/>
      <c r="C574" s="11"/>
      <c r="D574" s="11"/>
      <c r="E574" s="11"/>
      <c r="F574" s="11"/>
      <c r="G574" s="11"/>
      <c r="H574" s="11"/>
      <c r="I574" s="12"/>
      <c r="J574" s="18" t="s">
        <v>1466</v>
      </c>
      <c r="K574" s="18" t="n">
        <v>505</v>
      </c>
      <c r="L574" s="13" t="n">
        <v>505</v>
      </c>
      <c r="M574" s="13" t="s">
        <v>568</v>
      </c>
      <c r="N574" s="0" t="n">
        <v>75</v>
      </c>
    </row>
    <row r="575" customFormat="false" ht="13.8" hidden="false" customHeight="false" outlineLevel="0" collapsed="false">
      <c r="A575" s="10" t="n">
        <v>574</v>
      </c>
      <c r="B575" s="4"/>
      <c r="C575" s="11"/>
      <c r="D575" s="11"/>
      <c r="E575" s="11"/>
      <c r="F575" s="11"/>
      <c r="G575" s="11"/>
      <c r="H575" s="11"/>
      <c r="I575" s="12"/>
      <c r="J575" s="18" t="s">
        <v>1466</v>
      </c>
      <c r="K575" s="18" t="n">
        <v>513</v>
      </c>
      <c r="L575" s="13" t="n">
        <v>513</v>
      </c>
      <c r="M575" s="13" t="s">
        <v>576</v>
      </c>
      <c r="N575" s="0" t="n">
        <v>75</v>
      </c>
    </row>
    <row r="576" customFormat="false" ht="13.8" hidden="false" customHeight="false" outlineLevel="0" collapsed="false">
      <c r="A576" s="10" t="n">
        <v>575</v>
      </c>
      <c r="B576" s="4"/>
      <c r="C576" s="11"/>
      <c r="D576" s="11"/>
      <c r="E576" s="11"/>
      <c r="F576" s="11"/>
      <c r="G576" s="11"/>
      <c r="H576" s="11"/>
      <c r="I576" s="12"/>
      <c r="J576" s="18" t="s">
        <v>1466</v>
      </c>
      <c r="K576" s="18" t="n">
        <v>546</v>
      </c>
      <c r="L576" s="13" t="n">
        <v>546</v>
      </c>
      <c r="M576" s="13" t="s">
        <v>606</v>
      </c>
      <c r="N576" s="0" t="n">
        <v>75</v>
      </c>
    </row>
    <row r="577" customFormat="false" ht="13.8" hidden="false" customHeight="false" outlineLevel="0" collapsed="false">
      <c r="A577" s="10" t="n">
        <v>576</v>
      </c>
      <c r="B577" s="4"/>
      <c r="C577" s="11"/>
      <c r="D577" s="11"/>
      <c r="E577" s="11"/>
      <c r="F577" s="11"/>
      <c r="G577" s="11"/>
      <c r="H577" s="11"/>
      <c r="I577" s="12"/>
      <c r="J577" s="18" t="s">
        <v>1466</v>
      </c>
      <c r="K577" s="18" t="n">
        <v>521</v>
      </c>
      <c r="L577" s="13" t="n">
        <v>521</v>
      </c>
      <c r="M577" s="13" t="s">
        <v>584</v>
      </c>
      <c r="N577" s="0" t="n">
        <v>75</v>
      </c>
    </row>
    <row r="578" customFormat="false" ht="13.8" hidden="false" customHeight="false" outlineLevel="0" collapsed="false">
      <c r="A578" s="10" t="n">
        <v>577</v>
      </c>
      <c r="B578" s="4"/>
      <c r="C578" s="11"/>
      <c r="D578" s="11"/>
      <c r="E578" s="11"/>
      <c r="F578" s="11"/>
      <c r="G578" s="11"/>
      <c r="H578" s="11"/>
      <c r="I578" s="12"/>
      <c r="J578" s="18" t="s">
        <v>1466</v>
      </c>
      <c r="K578" s="18" t="n">
        <v>554</v>
      </c>
      <c r="L578" s="13" t="n">
        <v>554</v>
      </c>
      <c r="M578" s="13" t="s">
        <v>614</v>
      </c>
      <c r="N578" s="0" t="n">
        <v>75</v>
      </c>
    </row>
    <row r="579" customFormat="false" ht="13.8" hidden="false" customHeight="false" outlineLevel="0" collapsed="false">
      <c r="A579" s="10" t="n">
        <v>578</v>
      </c>
      <c r="B579" s="4"/>
      <c r="C579" s="11"/>
      <c r="D579" s="11"/>
      <c r="E579" s="11"/>
      <c r="F579" s="11"/>
      <c r="G579" s="11"/>
      <c r="H579" s="11"/>
      <c r="I579" s="12"/>
      <c r="J579" s="18" t="s">
        <v>1466</v>
      </c>
      <c r="K579" s="18" t="n">
        <v>562</v>
      </c>
      <c r="L579" s="13" t="n">
        <v>562</v>
      </c>
      <c r="M579" s="13" t="s">
        <v>621</v>
      </c>
      <c r="N579" s="0" t="n">
        <v>75</v>
      </c>
    </row>
    <row r="580" customFormat="false" ht="13.8" hidden="false" customHeight="false" outlineLevel="0" collapsed="false">
      <c r="A580" s="10" t="n">
        <v>579</v>
      </c>
      <c r="B580" s="4"/>
      <c r="C580" s="11"/>
      <c r="D580" s="11"/>
      <c r="E580" s="11"/>
      <c r="F580" s="11"/>
      <c r="G580" s="11"/>
      <c r="H580" s="11"/>
      <c r="I580" s="12"/>
      <c r="J580" s="18" t="s">
        <v>1466</v>
      </c>
      <c r="K580" s="18" t="n">
        <v>529</v>
      </c>
      <c r="L580" s="13" t="n">
        <v>529</v>
      </c>
      <c r="M580" s="13" t="s">
        <v>592</v>
      </c>
      <c r="N580" s="0" t="n">
        <v>75</v>
      </c>
    </row>
    <row r="581" customFormat="false" ht="13.8" hidden="false" customHeight="false" outlineLevel="0" collapsed="false">
      <c r="A581" s="10" t="n">
        <v>580</v>
      </c>
      <c r="B581" s="4"/>
      <c r="C581" s="11"/>
      <c r="D581" s="11"/>
      <c r="E581" s="11"/>
      <c r="F581" s="11"/>
      <c r="G581" s="11"/>
      <c r="H581" s="11"/>
      <c r="I581" s="12"/>
      <c r="J581" s="18" t="s">
        <v>1466</v>
      </c>
      <c r="K581" s="18" t="n">
        <v>367</v>
      </c>
      <c r="L581" s="13" t="n">
        <v>367</v>
      </c>
      <c r="M581" s="13" t="s">
        <v>437</v>
      </c>
      <c r="N581" s="0" t="n">
        <v>75</v>
      </c>
    </row>
    <row r="582" customFormat="false" ht="13.8" hidden="false" customHeight="false" outlineLevel="0" collapsed="false">
      <c r="A582" s="10" t="n">
        <v>581</v>
      </c>
      <c r="B582" s="4"/>
      <c r="C582" s="11"/>
      <c r="D582" s="11"/>
      <c r="E582" s="11"/>
      <c r="F582" s="11"/>
      <c r="G582" s="11"/>
      <c r="H582" s="11"/>
      <c r="I582" s="12"/>
      <c r="J582" s="18" t="s">
        <v>1466</v>
      </c>
      <c r="K582" s="18" t="n">
        <v>569</v>
      </c>
      <c r="L582" s="13" t="n">
        <v>569</v>
      </c>
      <c r="M582" s="13" t="s">
        <v>628</v>
      </c>
      <c r="N582" s="0" t="n">
        <v>75</v>
      </c>
    </row>
    <row r="583" customFormat="false" ht="13.8" hidden="false" customHeight="false" outlineLevel="0" collapsed="false">
      <c r="A583" s="10" t="n">
        <v>582</v>
      </c>
      <c r="B583" s="4"/>
      <c r="C583" s="11"/>
      <c r="D583" s="11"/>
      <c r="E583" s="11"/>
      <c r="F583" s="11"/>
      <c r="G583" s="11"/>
      <c r="H583" s="11"/>
      <c r="I583" s="12"/>
      <c r="J583" s="18" t="s">
        <v>1466</v>
      </c>
      <c r="K583" s="18" t="n">
        <v>578</v>
      </c>
      <c r="L583" s="13" t="n">
        <v>578</v>
      </c>
      <c r="M583" s="13" t="s">
        <v>637</v>
      </c>
      <c r="N583" s="0" t="n">
        <v>75</v>
      </c>
    </row>
    <row r="584" customFormat="false" ht="13.8" hidden="false" customHeight="false" outlineLevel="0" collapsed="false">
      <c r="A584" s="10" t="n">
        <v>583</v>
      </c>
      <c r="B584" s="4"/>
      <c r="C584" s="11"/>
      <c r="D584" s="11"/>
      <c r="E584" s="11"/>
      <c r="F584" s="11"/>
      <c r="G584" s="11"/>
      <c r="H584" s="11"/>
      <c r="I584" s="12"/>
      <c r="J584" s="18" t="s">
        <v>1466</v>
      </c>
      <c r="K584" s="18" t="n">
        <v>585</v>
      </c>
      <c r="L584" s="13" t="n">
        <v>585</v>
      </c>
      <c r="M584" s="13" t="s">
        <v>644</v>
      </c>
      <c r="N584" s="0" t="n">
        <v>75</v>
      </c>
    </row>
    <row r="585" customFormat="false" ht="13.8" hidden="false" customHeight="false" outlineLevel="0" collapsed="false">
      <c r="A585" s="10" t="n">
        <v>584</v>
      </c>
      <c r="B585" s="4"/>
      <c r="C585" s="11"/>
      <c r="D585" s="11"/>
      <c r="E585" s="11"/>
      <c r="F585" s="11"/>
      <c r="G585" s="11"/>
      <c r="H585" s="11"/>
      <c r="I585" s="12"/>
      <c r="J585" s="18" t="s">
        <v>1466</v>
      </c>
      <c r="K585" s="18" t="n">
        <v>594</v>
      </c>
      <c r="L585" s="13" t="n">
        <v>594</v>
      </c>
      <c r="M585" s="13" t="s">
        <v>651</v>
      </c>
      <c r="N585" s="0" t="n">
        <v>75</v>
      </c>
    </row>
    <row r="586" customFormat="false" ht="13.8" hidden="false" customHeight="false" outlineLevel="0" collapsed="false">
      <c r="A586" s="10" t="n">
        <v>585</v>
      </c>
      <c r="B586" s="4"/>
      <c r="C586" s="11"/>
      <c r="D586" s="11"/>
      <c r="E586" s="11"/>
      <c r="F586" s="11"/>
      <c r="G586" s="11"/>
      <c r="H586" s="11"/>
      <c r="I586" s="12"/>
      <c r="J586" s="18" t="s">
        <v>1466</v>
      </c>
      <c r="K586" s="18" t="n">
        <v>602</v>
      </c>
      <c r="L586" s="13" t="n">
        <v>602</v>
      </c>
      <c r="M586" s="13" t="s">
        <v>659</v>
      </c>
      <c r="N586" s="0" t="n">
        <v>75</v>
      </c>
    </row>
    <row r="587" customFormat="false" ht="13.8" hidden="false" customHeight="false" outlineLevel="0" collapsed="false">
      <c r="A587" s="10" t="n">
        <v>586</v>
      </c>
      <c r="B587" s="4"/>
      <c r="C587" s="11"/>
      <c r="D587" s="11"/>
      <c r="E587" s="11"/>
      <c r="F587" s="11"/>
      <c r="G587" s="11"/>
      <c r="H587" s="11"/>
      <c r="I587" s="12" t="n">
        <v>277</v>
      </c>
      <c r="J587" s="18" t="s">
        <v>1466</v>
      </c>
      <c r="K587" s="18" t="n">
        <v>287</v>
      </c>
      <c r="L587" s="13" t="n">
        <v>287</v>
      </c>
      <c r="M587" s="13" t="s">
        <v>364</v>
      </c>
      <c r="N587" s="0" t="n">
        <v>75</v>
      </c>
    </row>
    <row r="588" customFormat="false" ht="13.8" hidden="false" customHeight="false" outlineLevel="0" collapsed="false">
      <c r="A588" s="10" t="n">
        <v>587</v>
      </c>
      <c r="B588" s="4"/>
      <c r="C588" s="11" t="s">
        <v>414</v>
      </c>
      <c r="D588" s="11"/>
      <c r="E588" s="11"/>
      <c r="F588" s="11"/>
      <c r="G588" s="11"/>
      <c r="H588" s="11"/>
      <c r="I588" s="12"/>
      <c r="L588" s="13" t="n">
        <v>343</v>
      </c>
      <c r="M588" s="13" t="s">
        <v>414</v>
      </c>
    </row>
    <row r="589" customFormat="false" ht="13.8" hidden="false" customHeight="false" outlineLevel="0" collapsed="false">
      <c r="A589" s="10" t="n">
        <v>588</v>
      </c>
      <c r="B589" s="4"/>
      <c r="C589" s="11"/>
      <c r="D589" s="11" t="s">
        <v>1467</v>
      </c>
      <c r="E589" s="11"/>
      <c r="F589" s="11"/>
      <c r="G589" s="11"/>
      <c r="H589" s="11"/>
      <c r="I589" s="12"/>
      <c r="L589" s="13" t="n">
        <v>1129</v>
      </c>
      <c r="M589" s="13" t="s">
        <v>1161</v>
      </c>
    </row>
    <row r="590" customFormat="false" ht="13.8" hidden="false" customHeight="false" outlineLevel="0" collapsed="false">
      <c r="A590" s="10" t="n">
        <v>589</v>
      </c>
      <c r="B590" s="4"/>
      <c r="C590" s="11"/>
      <c r="D590" s="11"/>
      <c r="E590" s="11" t="s">
        <v>1468</v>
      </c>
      <c r="F590" s="11"/>
      <c r="G590" s="11"/>
      <c r="H590" s="11"/>
      <c r="I590" s="12" t="n">
        <v>538</v>
      </c>
      <c r="L590" s="13" t="n">
        <v>549</v>
      </c>
      <c r="M590" s="13" t="s">
        <v>609</v>
      </c>
    </row>
    <row r="591" customFormat="false" ht="13.8" hidden="false" customHeight="false" outlineLevel="0" collapsed="false">
      <c r="A591" s="10" t="n">
        <v>590</v>
      </c>
      <c r="B591" s="4"/>
      <c r="C591" s="11"/>
      <c r="D591" s="11"/>
      <c r="E591" s="11"/>
      <c r="F591" s="11" t="s">
        <v>1469</v>
      </c>
      <c r="G591" s="11"/>
      <c r="H591" s="11"/>
      <c r="I591" s="12"/>
      <c r="L591" s="13" t="n">
        <v>864</v>
      </c>
      <c r="M591" s="13" t="s">
        <v>909</v>
      </c>
    </row>
    <row r="592" customFormat="false" ht="13.8" hidden="false" customHeight="false" outlineLevel="0" collapsed="false">
      <c r="A592" s="10" t="n">
        <v>591</v>
      </c>
      <c r="B592" s="4"/>
      <c r="C592" s="11"/>
      <c r="D592" s="11"/>
      <c r="E592" s="11"/>
      <c r="F592" s="11"/>
      <c r="G592" s="11" t="s">
        <v>1470</v>
      </c>
      <c r="H592" s="11"/>
      <c r="I592" s="12"/>
      <c r="J592" s="18" t="s">
        <v>1470</v>
      </c>
      <c r="K592" s="18" t="n">
        <v>637</v>
      </c>
      <c r="L592" s="13" t="n">
        <v>637</v>
      </c>
      <c r="M592" s="13" t="s">
        <v>691</v>
      </c>
      <c r="N592" s="0" t="n">
        <v>76</v>
      </c>
    </row>
    <row r="593" customFormat="false" ht="13.8" hidden="false" customHeight="false" outlineLevel="0" collapsed="false">
      <c r="A593" s="10" t="n">
        <v>592</v>
      </c>
      <c r="B593" s="4"/>
      <c r="C593" s="11"/>
      <c r="D593" s="11"/>
      <c r="E593" s="11"/>
      <c r="F593" s="11"/>
      <c r="G593" s="11"/>
      <c r="H593" s="11"/>
      <c r="I593" s="12" t="n">
        <v>618</v>
      </c>
      <c r="J593" s="18" t="s">
        <v>1470</v>
      </c>
      <c r="K593" s="18" t="n">
        <v>629</v>
      </c>
      <c r="L593" s="13" t="n">
        <v>629</v>
      </c>
      <c r="M593" s="13" t="s">
        <v>684</v>
      </c>
      <c r="N593" s="0" t="n">
        <v>76</v>
      </c>
    </row>
    <row r="594" customFormat="false" ht="13.8" hidden="false" customHeight="false" outlineLevel="0" collapsed="false">
      <c r="A594" s="10" t="n">
        <v>593</v>
      </c>
      <c r="B594" s="4"/>
      <c r="C594" s="11"/>
      <c r="D594" s="11"/>
      <c r="E594" s="11"/>
      <c r="F594" s="11"/>
      <c r="G594" s="11"/>
      <c r="H594" s="11"/>
      <c r="I594" s="12" t="n">
        <v>674</v>
      </c>
      <c r="J594" s="18" t="s">
        <v>1470</v>
      </c>
      <c r="K594" s="18" t="n">
        <v>685</v>
      </c>
      <c r="L594" s="13" t="n">
        <v>685</v>
      </c>
      <c r="M594" s="13" t="s">
        <v>738</v>
      </c>
      <c r="N594" s="0" t="n">
        <v>76</v>
      </c>
    </row>
    <row r="595" customFormat="false" ht="13.8" hidden="false" customHeight="false" outlineLevel="0" collapsed="false">
      <c r="A595" s="10" t="n">
        <v>594</v>
      </c>
      <c r="B595" s="4"/>
      <c r="C595" s="11"/>
      <c r="D595" s="11"/>
      <c r="E595" s="11"/>
      <c r="F595" s="11"/>
      <c r="G595" s="11"/>
      <c r="H595" s="11"/>
      <c r="I595" s="12"/>
      <c r="J595" s="18" t="s">
        <v>1470</v>
      </c>
      <c r="K595" s="18" t="n">
        <v>709</v>
      </c>
      <c r="L595" s="13" t="n">
        <v>709</v>
      </c>
      <c r="M595" s="13" t="s">
        <v>760</v>
      </c>
      <c r="N595" s="0" t="n">
        <v>76</v>
      </c>
    </row>
    <row r="596" customFormat="false" ht="13.8" hidden="false" customHeight="false" outlineLevel="0" collapsed="false">
      <c r="A596" s="10" t="n">
        <v>595</v>
      </c>
      <c r="B596" s="4"/>
      <c r="C596" s="11"/>
      <c r="D596" s="11"/>
      <c r="E596" s="11"/>
      <c r="F596" s="11"/>
      <c r="G596" s="11"/>
      <c r="H596" s="11"/>
      <c r="I596" s="12" t="n">
        <v>707</v>
      </c>
      <c r="J596" s="18" t="s">
        <v>1470</v>
      </c>
      <c r="K596" s="18" t="n">
        <v>718</v>
      </c>
      <c r="L596" s="13" t="n">
        <v>718</v>
      </c>
      <c r="M596" s="13" t="s">
        <v>769</v>
      </c>
      <c r="N596" s="0" t="n">
        <v>76</v>
      </c>
    </row>
    <row r="597" customFormat="false" ht="13.8" hidden="false" customHeight="false" outlineLevel="0" collapsed="false">
      <c r="A597" s="10" t="n">
        <v>596</v>
      </c>
      <c r="B597" s="4"/>
      <c r="C597" s="11"/>
      <c r="D597" s="11"/>
      <c r="E597" s="11"/>
      <c r="F597" s="11"/>
      <c r="G597" s="11"/>
      <c r="H597" s="11"/>
      <c r="I597" s="12" t="n">
        <v>714</v>
      </c>
      <c r="J597" s="18" t="s">
        <v>1470</v>
      </c>
      <c r="K597" s="18" t="n">
        <v>725</v>
      </c>
      <c r="L597" s="13" t="n">
        <v>725</v>
      </c>
      <c r="M597" s="13" t="s">
        <v>776</v>
      </c>
      <c r="N597" s="0" t="n">
        <v>76</v>
      </c>
    </row>
    <row r="598" customFormat="false" ht="13.8" hidden="false" customHeight="false" outlineLevel="0" collapsed="false">
      <c r="A598" s="10" t="n">
        <v>597</v>
      </c>
      <c r="B598" s="4"/>
      <c r="C598" s="11"/>
      <c r="D598" s="11"/>
      <c r="E598" s="11"/>
      <c r="F598" s="11"/>
      <c r="G598" s="11"/>
      <c r="H598" s="11"/>
      <c r="I598" s="12" t="n">
        <v>722</v>
      </c>
      <c r="J598" s="18" t="s">
        <v>1470</v>
      </c>
      <c r="K598" s="18" t="n">
        <v>733</v>
      </c>
      <c r="L598" s="13" t="n">
        <v>733</v>
      </c>
      <c r="M598" s="13" t="s">
        <v>783</v>
      </c>
      <c r="N598" s="0" t="n">
        <v>76</v>
      </c>
    </row>
    <row r="599" customFormat="false" ht="13.8" hidden="false" customHeight="false" outlineLevel="0" collapsed="false">
      <c r="A599" s="10" t="n">
        <v>598</v>
      </c>
      <c r="B599" s="4"/>
      <c r="C599" s="11"/>
      <c r="D599" s="11"/>
      <c r="E599" s="11"/>
      <c r="F599" s="11"/>
      <c r="G599" s="11"/>
      <c r="H599" s="11"/>
      <c r="I599" s="12" t="n">
        <v>730</v>
      </c>
      <c r="J599" s="18" t="s">
        <v>1470</v>
      </c>
      <c r="K599" s="18" t="n">
        <v>741</v>
      </c>
      <c r="L599" s="13" t="n">
        <v>741</v>
      </c>
      <c r="M599" s="13" t="s">
        <v>791</v>
      </c>
      <c r="N599" s="0" t="n">
        <v>76</v>
      </c>
    </row>
    <row r="600" customFormat="false" ht="13.8" hidden="false" customHeight="false" outlineLevel="0" collapsed="false">
      <c r="A600" s="10" t="n">
        <v>599</v>
      </c>
      <c r="B600" s="4"/>
      <c r="C600" s="11"/>
      <c r="D600" s="11"/>
      <c r="E600" s="11"/>
      <c r="F600" s="11"/>
      <c r="G600" s="11"/>
      <c r="H600" s="11"/>
      <c r="I600" s="12"/>
      <c r="J600" s="18" t="s">
        <v>1470</v>
      </c>
      <c r="K600" s="18" t="n">
        <v>406</v>
      </c>
      <c r="L600" s="13" t="n">
        <v>406</v>
      </c>
      <c r="M600" s="13" t="s">
        <v>475</v>
      </c>
      <c r="N600" s="0" t="n">
        <v>77</v>
      </c>
    </row>
    <row r="601" customFormat="false" ht="13.8" hidden="false" customHeight="false" outlineLevel="0" collapsed="false">
      <c r="A601" s="10" t="n">
        <v>600</v>
      </c>
      <c r="B601" s="4"/>
      <c r="C601" s="11"/>
      <c r="D601" s="11"/>
      <c r="E601" s="11"/>
      <c r="F601" s="11"/>
      <c r="G601" s="11"/>
      <c r="H601" s="11"/>
      <c r="I601" s="12" t="n">
        <v>404</v>
      </c>
      <c r="J601" s="18" t="s">
        <v>1470</v>
      </c>
      <c r="K601" s="18" t="n">
        <v>414</v>
      </c>
      <c r="L601" s="13" t="n">
        <v>414</v>
      </c>
      <c r="M601" s="13" t="s">
        <v>483</v>
      </c>
      <c r="N601" s="0" t="n">
        <v>77</v>
      </c>
    </row>
    <row r="602" customFormat="false" ht="13.8" hidden="false" customHeight="false" outlineLevel="0" collapsed="false">
      <c r="A602" s="10" t="n">
        <v>601</v>
      </c>
      <c r="B602" s="4"/>
      <c r="C602" s="11"/>
      <c r="D602" s="11"/>
      <c r="E602" s="11"/>
      <c r="F602" s="11"/>
      <c r="G602" s="11"/>
      <c r="H602" s="11"/>
      <c r="I602" s="12" t="n">
        <v>411</v>
      </c>
      <c r="J602" s="18" t="s">
        <v>1470</v>
      </c>
      <c r="K602" s="18" t="n">
        <v>422</v>
      </c>
      <c r="L602" s="13" t="n">
        <v>422</v>
      </c>
      <c r="M602" s="13" t="s">
        <v>490</v>
      </c>
      <c r="N602" s="0" t="n">
        <v>77</v>
      </c>
    </row>
    <row r="603" customFormat="false" ht="13.8" hidden="false" customHeight="false" outlineLevel="0" collapsed="false">
      <c r="A603" s="10" t="n">
        <v>602</v>
      </c>
      <c r="B603" s="4"/>
      <c r="C603" s="11"/>
      <c r="D603" s="11"/>
      <c r="E603" s="11"/>
      <c r="F603" s="11"/>
      <c r="G603" s="11"/>
      <c r="H603" s="11"/>
      <c r="I603" s="12" t="n">
        <v>598</v>
      </c>
      <c r="J603" s="18" t="s">
        <v>1470</v>
      </c>
      <c r="K603" s="18" t="n">
        <v>609</v>
      </c>
      <c r="L603" s="13" t="n">
        <v>609</v>
      </c>
      <c r="M603" s="13" t="s">
        <v>666</v>
      </c>
      <c r="N603" s="0" t="n">
        <v>77</v>
      </c>
    </row>
    <row r="604" customFormat="false" ht="13.8" hidden="false" customHeight="false" outlineLevel="0" collapsed="false">
      <c r="A604" s="10" t="n">
        <v>603</v>
      </c>
      <c r="B604" s="4"/>
      <c r="C604" s="11"/>
      <c r="D604" s="11"/>
      <c r="E604" s="11"/>
      <c r="F604" s="11"/>
      <c r="G604" s="11" t="s">
        <v>1080</v>
      </c>
      <c r="H604" s="11"/>
      <c r="I604" s="12" t="n">
        <v>1032</v>
      </c>
      <c r="L604" s="13" t="n">
        <v>1044</v>
      </c>
      <c r="M604" s="13" t="s">
        <v>1080</v>
      </c>
      <c r="N604" s="0" t="n">
        <v>77</v>
      </c>
    </row>
    <row r="605" customFormat="false" ht="13.8" hidden="false" customHeight="false" outlineLevel="0" collapsed="false">
      <c r="A605" s="10" t="n">
        <v>604</v>
      </c>
      <c r="B605" s="4"/>
      <c r="C605" s="11"/>
      <c r="D605" s="11"/>
      <c r="E605" s="11"/>
      <c r="F605" s="11"/>
      <c r="G605" s="11" t="s">
        <v>1046</v>
      </c>
      <c r="H605" s="11"/>
      <c r="I605" s="12"/>
      <c r="J605" s="18" t="s">
        <v>1046</v>
      </c>
      <c r="K605" s="18" t="n">
        <v>1008</v>
      </c>
      <c r="L605" s="13" t="n">
        <v>1008</v>
      </c>
      <c r="M605" s="13" t="s">
        <v>1046</v>
      </c>
      <c r="N605" s="0" t="n">
        <v>78</v>
      </c>
    </row>
    <row r="606" customFormat="false" ht="13.8" hidden="false" customHeight="false" outlineLevel="0" collapsed="false">
      <c r="A606" s="10" t="n">
        <v>605</v>
      </c>
      <c r="B606" s="4"/>
      <c r="C606" s="11"/>
      <c r="D606" s="11"/>
      <c r="E606" s="11"/>
      <c r="F606" s="11"/>
      <c r="G606" s="11"/>
      <c r="H606" s="11"/>
      <c r="I606" s="12" t="n">
        <v>464</v>
      </c>
      <c r="J606" s="18" t="s">
        <v>1046</v>
      </c>
      <c r="K606" s="18" t="n">
        <v>475</v>
      </c>
      <c r="L606" s="13" t="n">
        <v>475</v>
      </c>
      <c r="M606" s="13" t="s">
        <v>538</v>
      </c>
      <c r="N606" s="0" t="n">
        <v>78</v>
      </c>
    </row>
    <row r="607" customFormat="false" ht="13.8" hidden="false" customHeight="false" outlineLevel="0" collapsed="false">
      <c r="A607" s="10" t="n">
        <v>606</v>
      </c>
      <c r="B607" s="4"/>
      <c r="C607" s="11"/>
      <c r="D607" s="11"/>
      <c r="E607" s="11"/>
      <c r="F607" s="11"/>
      <c r="G607" s="11"/>
      <c r="H607" s="11"/>
      <c r="I607" s="12"/>
      <c r="J607" s="18" t="s">
        <v>1046</v>
      </c>
      <c r="K607" s="18" t="n">
        <v>1072</v>
      </c>
      <c r="L607" s="13" t="n">
        <v>1072</v>
      </c>
      <c r="M607" s="13" t="s">
        <v>1107</v>
      </c>
      <c r="N607" s="0" t="n">
        <v>78</v>
      </c>
    </row>
    <row r="608" customFormat="false" ht="13.8" hidden="false" customHeight="false" outlineLevel="0" collapsed="false">
      <c r="A608" s="10" t="n">
        <v>607</v>
      </c>
      <c r="B608" s="4"/>
      <c r="C608" s="11"/>
      <c r="D608" s="11"/>
      <c r="E608" s="11"/>
      <c r="F608" s="11"/>
      <c r="G608" s="11"/>
      <c r="H608" s="11"/>
      <c r="I608" s="12"/>
      <c r="J608" s="18" t="s">
        <v>1046</v>
      </c>
      <c r="K608" s="18" t="n">
        <v>1079</v>
      </c>
      <c r="L608" s="13" t="n">
        <v>1079</v>
      </c>
      <c r="M608" s="13" t="s">
        <v>1114</v>
      </c>
      <c r="N608" s="0" t="n">
        <v>78</v>
      </c>
    </row>
    <row r="609" customFormat="false" ht="13.8" hidden="false" customHeight="false" outlineLevel="0" collapsed="false">
      <c r="A609" s="10" t="n">
        <v>608</v>
      </c>
      <c r="B609" s="4"/>
      <c r="C609" s="11"/>
      <c r="D609" s="11"/>
      <c r="E609" s="11"/>
      <c r="F609" s="11"/>
      <c r="G609" s="11"/>
      <c r="H609" s="11"/>
      <c r="I609" s="12"/>
      <c r="J609" s="18" t="s">
        <v>1046</v>
      </c>
      <c r="K609" s="18" t="n">
        <v>1088</v>
      </c>
      <c r="L609" s="13" t="n">
        <v>1088</v>
      </c>
      <c r="M609" s="13" t="s">
        <v>1122</v>
      </c>
      <c r="N609" s="0" t="n">
        <v>78</v>
      </c>
    </row>
    <row r="610" customFormat="false" ht="13.8" hidden="false" customHeight="false" outlineLevel="0" collapsed="false">
      <c r="A610" s="10" t="n">
        <v>609</v>
      </c>
      <c r="B610" s="4"/>
      <c r="C610" s="11"/>
      <c r="D610" s="11"/>
      <c r="E610" s="11"/>
      <c r="F610" s="11"/>
      <c r="G610" s="11"/>
      <c r="H610" s="11"/>
      <c r="I610" s="12" t="n">
        <v>165</v>
      </c>
      <c r="J610" s="18" t="s">
        <v>1046</v>
      </c>
      <c r="K610" s="18" t="n">
        <v>170</v>
      </c>
      <c r="L610" s="13" t="n">
        <v>170</v>
      </c>
      <c r="M610" s="13" t="s">
        <v>257</v>
      </c>
      <c r="N610" s="0" t="n">
        <v>78</v>
      </c>
    </row>
    <row r="611" customFormat="false" ht="13.8" hidden="false" customHeight="false" outlineLevel="0" collapsed="false">
      <c r="A611" s="10" t="n">
        <v>610</v>
      </c>
      <c r="B611" s="4"/>
      <c r="C611" s="11"/>
      <c r="D611" s="11"/>
      <c r="E611" s="11"/>
      <c r="F611" s="11" t="s">
        <v>1471</v>
      </c>
      <c r="G611" s="11"/>
      <c r="H611" s="11"/>
      <c r="I611" s="12"/>
      <c r="L611" s="13" t="n">
        <v>856</v>
      </c>
      <c r="M611" s="13" t="s">
        <v>901</v>
      </c>
    </row>
    <row r="612" customFormat="false" ht="13.8" hidden="false" customHeight="false" outlineLevel="0" collapsed="false">
      <c r="A612" s="10" t="n">
        <v>611</v>
      </c>
      <c r="B612" s="4"/>
      <c r="C612" s="11"/>
      <c r="D612" s="11"/>
      <c r="E612" s="11"/>
      <c r="F612" s="11"/>
      <c r="G612" s="11" t="s">
        <v>1472</v>
      </c>
      <c r="H612" s="11"/>
      <c r="I612" s="12"/>
      <c r="J612" s="18" t="s">
        <v>1473</v>
      </c>
      <c r="K612" s="18" t="n">
        <v>138</v>
      </c>
      <c r="L612" s="13" t="n">
        <v>138</v>
      </c>
      <c r="M612" s="13" t="s">
        <v>225</v>
      </c>
      <c r="N612" s="0" t="n">
        <v>79</v>
      </c>
    </row>
    <row r="613" customFormat="false" ht="13.8" hidden="false" customHeight="false" outlineLevel="0" collapsed="false">
      <c r="A613" s="10" t="n">
        <v>612</v>
      </c>
      <c r="B613" s="4"/>
      <c r="C613" s="11"/>
      <c r="D613" s="11"/>
      <c r="E613" s="11"/>
      <c r="F613" s="11"/>
      <c r="G613" s="11"/>
      <c r="H613" s="11"/>
      <c r="I613" s="12" t="n">
        <v>211</v>
      </c>
      <c r="J613" s="18" t="s">
        <v>1473</v>
      </c>
      <c r="K613" s="18" t="n">
        <v>218</v>
      </c>
      <c r="L613" s="13" t="n">
        <v>218</v>
      </c>
      <c r="M613" s="13" t="s">
        <v>301</v>
      </c>
      <c r="N613" s="0" t="n">
        <v>79</v>
      </c>
    </row>
    <row r="614" customFormat="false" ht="13.8" hidden="false" customHeight="false" outlineLevel="0" collapsed="false">
      <c r="A614" s="10" t="n">
        <v>613</v>
      </c>
      <c r="B614" s="4"/>
      <c r="C614" s="11"/>
      <c r="D614" s="11"/>
      <c r="E614" s="11"/>
      <c r="F614" s="11"/>
      <c r="G614" s="11"/>
      <c r="H614" s="11"/>
      <c r="I614" s="12" t="n">
        <v>1008</v>
      </c>
      <c r="J614" s="18" t="s">
        <v>1473</v>
      </c>
      <c r="K614" s="18" t="n">
        <v>1020</v>
      </c>
      <c r="L614" s="13" t="n">
        <v>1020</v>
      </c>
      <c r="M614" s="13" t="s">
        <v>1056</v>
      </c>
      <c r="N614" s="0" t="n">
        <v>79</v>
      </c>
    </row>
    <row r="615" customFormat="false" ht="13.8" hidden="false" customHeight="false" outlineLevel="0" collapsed="false">
      <c r="A615" s="10" t="n">
        <v>614</v>
      </c>
      <c r="B615" s="4"/>
      <c r="C615" s="11"/>
      <c r="D615" s="11"/>
      <c r="E615" s="11"/>
      <c r="F615" s="11"/>
      <c r="G615" s="11"/>
      <c r="H615" s="11"/>
      <c r="I615" s="12" t="n">
        <v>1017</v>
      </c>
      <c r="J615" s="18" t="s">
        <v>1473</v>
      </c>
      <c r="K615" s="18" t="n">
        <v>1029</v>
      </c>
      <c r="L615" s="13" t="n">
        <v>1029</v>
      </c>
      <c r="M615" s="13" t="s">
        <v>1065</v>
      </c>
      <c r="N615" s="0" t="n">
        <v>79</v>
      </c>
    </row>
    <row r="616" customFormat="false" ht="13.8" hidden="false" customHeight="false" outlineLevel="0" collapsed="false">
      <c r="A616" s="10" t="n">
        <v>615</v>
      </c>
      <c r="B616" s="4"/>
      <c r="C616" s="11"/>
      <c r="D616" s="11"/>
      <c r="E616" s="11"/>
      <c r="F616" s="11"/>
      <c r="G616" s="11"/>
      <c r="H616" s="11"/>
      <c r="I616" s="12" t="n">
        <v>315</v>
      </c>
      <c r="J616" s="18" t="s">
        <v>1473</v>
      </c>
      <c r="K616" s="18" t="n">
        <v>325</v>
      </c>
      <c r="L616" s="13" t="n">
        <v>325</v>
      </c>
      <c r="M616" s="13" t="s">
        <v>397</v>
      </c>
      <c r="N616" s="0" t="n">
        <v>79</v>
      </c>
    </row>
    <row r="617" customFormat="false" ht="13.8" hidden="false" customHeight="false" outlineLevel="0" collapsed="false">
      <c r="A617" s="10" t="n">
        <v>616</v>
      </c>
      <c r="B617" s="4"/>
      <c r="C617" s="11"/>
      <c r="D617" s="11"/>
      <c r="E617" s="11"/>
      <c r="F617" s="11"/>
      <c r="G617" s="11" t="s">
        <v>1474</v>
      </c>
      <c r="H617" s="11"/>
      <c r="I617" s="12"/>
      <c r="J617" s="18" t="s">
        <v>1475</v>
      </c>
      <c r="K617" s="18" t="n">
        <v>239</v>
      </c>
      <c r="L617" s="13" t="n">
        <v>239</v>
      </c>
      <c r="M617" s="13" t="s">
        <v>322</v>
      </c>
    </row>
    <row r="618" customFormat="false" ht="13.8" hidden="false" customHeight="false" outlineLevel="0" collapsed="false">
      <c r="A618" s="10" t="n">
        <v>617</v>
      </c>
      <c r="B618" s="4"/>
      <c r="C618" s="11"/>
      <c r="D618" s="11"/>
      <c r="E618" s="11"/>
      <c r="F618" s="11"/>
      <c r="G618" s="11"/>
      <c r="H618" s="11"/>
      <c r="I618" s="12" t="n">
        <v>248</v>
      </c>
      <c r="J618" s="18" t="s">
        <v>1475</v>
      </c>
      <c r="K618" s="18" t="n">
        <v>255</v>
      </c>
      <c r="L618" s="13" t="n">
        <v>255</v>
      </c>
      <c r="M618" s="13" t="s">
        <v>337</v>
      </c>
      <c r="N618" s="0" t="n">
        <v>80</v>
      </c>
    </row>
    <row r="619" customFormat="false" ht="13.8" hidden="false" customHeight="false" outlineLevel="0" collapsed="false">
      <c r="A619" s="10" t="n">
        <v>618</v>
      </c>
      <c r="B619" s="4"/>
      <c r="C619" s="11"/>
      <c r="D619" s="11"/>
      <c r="E619" s="11"/>
      <c r="F619" s="11"/>
      <c r="G619" s="11"/>
      <c r="H619" s="11"/>
      <c r="I619" s="12" t="n">
        <v>122</v>
      </c>
      <c r="J619" s="18" t="s">
        <v>1475</v>
      </c>
      <c r="K619" s="18" t="n">
        <v>127</v>
      </c>
      <c r="L619" s="13" t="n">
        <v>127</v>
      </c>
      <c r="M619" s="13" t="s">
        <v>215</v>
      </c>
      <c r="N619" s="0" t="n">
        <v>80</v>
      </c>
    </row>
    <row r="620" customFormat="false" ht="13.8" hidden="false" customHeight="false" outlineLevel="0" collapsed="false">
      <c r="A620" s="10" t="n">
        <v>619</v>
      </c>
      <c r="B620" s="4"/>
      <c r="C620" s="11"/>
      <c r="D620" s="11"/>
      <c r="E620" s="11"/>
      <c r="F620" s="11"/>
      <c r="G620" s="11"/>
      <c r="H620" s="11"/>
      <c r="I620" s="12"/>
      <c r="J620" s="18" t="s">
        <v>1475</v>
      </c>
      <c r="K620" s="18" t="n">
        <v>1096</v>
      </c>
      <c r="L620" s="13" t="n">
        <v>1096</v>
      </c>
      <c r="M620" s="13" t="s">
        <v>1130</v>
      </c>
      <c r="N620" s="0" t="n">
        <v>80</v>
      </c>
    </row>
    <row r="621" customFormat="false" ht="13.8" hidden="false" customHeight="false" outlineLevel="0" collapsed="false">
      <c r="A621" s="10" t="n">
        <v>620</v>
      </c>
      <c r="B621" s="4"/>
      <c r="C621" s="11"/>
      <c r="D621" s="11"/>
      <c r="E621" s="11"/>
      <c r="F621" s="11"/>
      <c r="G621" s="11"/>
      <c r="H621" s="11"/>
      <c r="I621" s="12"/>
      <c r="J621" s="18" t="s">
        <v>1475</v>
      </c>
      <c r="K621" s="18" t="n">
        <v>1104</v>
      </c>
      <c r="L621" s="13" t="n">
        <v>1104</v>
      </c>
      <c r="M621" s="13" t="s">
        <v>1138</v>
      </c>
      <c r="N621" s="0" t="n">
        <v>80</v>
      </c>
    </row>
    <row r="622" customFormat="false" ht="13.8" hidden="false" customHeight="false" outlineLevel="0" collapsed="false">
      <c r="A622" s="10" t="n">
        <v>621</v>
      </c>
      <c r="B622" s="4"/>
      <c r="C622" s="11"/>
      <c r="D622" s="11"/>
      <c r="E622" s="11"/>
      <c r="F622" s="11"/>
      <c r="G622" s="11"/>
      <c r="H622" s="11"/>
      <c r="I622" s="12" t="n">
        <v>59</v>
      </c>
      <c r="J622" s="18" t="s">
        <v>1475</v>
      </c>
      <c r="K622" s="18" t="n">
        <v>64</v>
      </c>
      <c r="L622" s="13" t="n">
        <v>64</v>
      </c>
      <c r="M622" s="13" t="s">
        <v>153</v>
      </c>
      <c r="N622" s="0" t="n">
        <v>80</v>
      </c>
    </row>
    <row r="623" customFormat="false" ht="13.8" hidden="false" customHeight="false" outlineLevel="0" collapsed="false">
      <c r="A623" s="10" t="n">
        <v>622</v>
      </c>
      <c r="B623" s="4"/>
      <c r="C623" s="11"/>
      <c r="D623" s="11"/>
      <c r="E623" s="11"/>
      <c r="F623" s="11"/>
      <c r="G623" s="11"/>
      <c r="H623" s="11"/>
      <c r="I623" s="12" t="n">
        <v>1107</v>
      </c>
      <c r="J623" s="18" t="s">
        <v>1475</v>
      </c>
      <c r="K623" s="18" t="n">
        <v>1120</v>
      </c>
      <c r="L623" s="13" t="n">
        <v>1120</v>
      </c>
      <c r="M623" s="13" t="s">
        <v>1153</v>
      </c>
      <c r="N623" s="0" t="n">
        <v>80</v>
      </c>
    </row>
    <row r="624" customFormat="false" ht="13.8" hidden="false" customHeight="false" outlineLevel="0" collapsed="false">
      <c r="A624" s="10" t="n">
        <v>623</v>
      </c>
      <c r="B624" s="4"/>
      <c r="C624" s="11"/>
      <c r="D624" s="11"/>
      <c r="E624" s="11"/>
      <c r="F624" s="11"/>
      <c r="G624" s="11"/>
      <c r="H624" s="11"/>
      <c r="I624" s="12" t="n">
        <v>1101</v>
      </c>
      <c r="J624" s="18" t="s">
        <v>1475</v>
      </c>
      <c r="K624" s="18" t="n">
        <v>1113</v>
      </c>
      <c r="L624" s="13" t="n">
        <v>1113</v>
      </c>
      <c r="M624" s="13" t="s">
        <v>1147</v>
      </c>
      <c r="N624" s="0" t="n">
        <v>80</v>
      </c>
    </row>
    <row r="625" customFormat="false" ht="13.8" hidden="false" customHeight="false" outlineLevel="0" collapsed="false">
      <c r="A625" s="10" t="n">
        <v>624</v>
      </c>
      <c r="B625" s="4"/>
      <c r="C625" s="11"/>
      <c r="D625" s="11"/>
      <c r="E625" s="11"/>
      <c r="F625" s="11"/>
      <c r="G625" s="11"/>
      <c r="H625" s="11"/>
      <c r="I625" s="12" t="n">
        <v>150</v>
      </c>
      <c r="J625" s="18" t="s">
        <v>1475</v>
      </c>
      <c r="K625" s="18" t="n">
        <v>155</v>
      </c>
      <c r="L625" s="13" t="n">
        <v>155</v>
      </c>
      <c r="M625" s="13" t="s">
        <v>242</v>
      </c>
      <c r="N625" s="0" t="n">
        <v>80</v>
      </c>
    </row>
    <row r="626" customFormat="false" ht="13.8" hidden="false" customHeight="false" outlineLevel="0" collapsed="false">
      <c r="A626" s="10" t="n">
        <v>625</v>
      </c>
      <c r="B626" s="4"/>
      <c r="C626" s="11"/>
      <c r="D626" s="11"/>
      <c r="E626" s="11"/>
      <c r="F626" s="11"/>
      <c r="G626" s="11" t="s">
        <v>1476</v>
      </c>
      <c r="H626" s="11"/>
      <c r="I626" s="12"/>
      <c r="J626" s="18" t="s">
        <v>1477</v>
      </c>
      <c r="K626" s="18" t="n">
        <v>444</v>
      </c>
      <c r="L626" s="13" t="n">
        <v>444</v>
      </c>
      <c r="M626" s="13" t="s">
        <v>509</v>
      </c>
      <c r="N626" s="0" t="n">
        <v>81</v>
      </c>
    </row>
    <row r="627" customFormat="false" ht="13.8" hidden="false" customHeight="false" outlineLevel="0" collapsed="false">
      <c r="A627" s="10" t="n">
        <v>626</v>
      </c>
      <c r="B627" s="4"/>
      <c r="C627" s="11"/>
      <c r="D627" s="11"/>
      <c r="E627" s="11"/>
      <c r="F627" s="11"/>
      <c r="G627" s="11"/>
      <c r="H627" s="11"/>
      <c r="I627" s="12"/>
      <c r="J627" s="18" t="s">
        <v>1477</v>
      </c>
      <c r="K627" s="18" t="n">
        <v>59</v>
      </c>
      <c r="L627" s="13" t="n">
        <v>59</v>
      </c>
      <c r="M627" s="13" t="s">
        <v>148</v>
      </c>
      <c r="N627" s="0" t="n">
        <v>81</v>
      </c>
    </row>
    <row r="628" customFormat="false" ht="13.8" hidden="false" customHeight="false" outlineLevel="0" collapsed="false">
      <c r="A628" s="10" t="n">
        <v>627</v>
      </c>
      <c r="B628" s="4"/>
      <c r="C628" s="11"/>
      <c r="D628" s="11"/>
      <c r="E628" s="11"/>
      <c r="F628" s="11"/>
      <c r="G628" s="11"/>
      <c r="H628" s="11"/>
      <c r="I628" s="12" t="n">
        <v>352</v>
      </c>
      <c r="J628" s="18" t="s">
        <v>1477</v>
      </c>
      <c r="K628" s="18" t="n">
        <v>362</v>
      </c>
      <c r="L628" s="13" t="n">
        <v>362</v>
      </c>
      <c r="M628" s="13" t="s">
        <v>433</v>
      </c>
      <c r="N628" s="0" t="n">
        <v>81</v>
      </c>
    </row>
    <row r="629" customFormat="false" ht="13.8" hidden="false" customHeight="false" outlineLevel="0" collapsed="false">
      <c r="A629" s="10" t="n">
        <v>628</v>
      </c>
      <c r="B629" s="4"/>
      <c r="C629" s="11"/>
      <c r="D629" s="11"/>
      <c r="E629" s="11"/>
      <c r="F629" s="11"/>
      <c r="G629" s="11"/>
      <c r="H629" s="11"/>
      <c r="I629" s="12"/>
      <c r="J629" s="18" t="s">
        <v>1477</v>
      </c>
      <c r="K629" s="18" t="n">
        <v>617</v>
      </c>
      <c r="L629" s="13" t="n">
        <v>617</v>
      </c>
      <c r="M629" s="13" t="s">
        <v>673</v>
      </c>
      <c r="N629" s="0" t="n">
        <v>81</v>
      </c>
    </row>
    <row r="630" customFormat="false" ht="13.8" hidden="false" customHeight="false" outlineLevel="0" collapsed="false">
      <c r="A630" s="10" t="n">
        <v>629</v>
      </c>
      <c r="B630" s="4"/>
      <c r="C630" s="11"/>
      <c r="D630" s="11"/>
      <c r="E630" s="11"/>
      <c r="F630" s="11"/>
      <c r="G630" s="11"/>
      <c r="H630" s="11"/>
      <c r="I630" s="12"/>
      <c r="J630" s="18" t="s">
        <v>1477</v>
      </c>
      <c r="K630" s="18" t="n">
        <v>626</v>
      </c>
      <c r="L630" s="13" t="n">
        <v>626</v>
      </c>
      <c r="M630" s="13" t="s">
        <v>681</v>
      </c>
      <c r="N630" s="0" t="n">
        <v>81</v>
      </c>
    </row>
    <row r="631" customFormat="false" ht="13.8" hidden="false" customHeight="false" outlineLevel="0" collapsed="false">
      <c r="A631" s="10" t="n">
        <v>630</v>
      </c>
      <c r="B631" s="4"/>
      <c r="C631" s="11"/>
      <c r="D631" s="11"/>
      <c r="E631" s="11"/>
      <c r="F631" s="11"/>
      <c r="G631" s="11"/>
      <c r="H631" s="11"/>
      <c r="I631" s="12"/>
      <c r="J631" s="18" t="s">
        <v>1477</v>
      </c>
      <c r="K631" s="18" t="n">
        <v>636</v>
      </c>
      <c r="L631" s="13" t="n">
        <v>636</v>
      </c>
      <c r="M631" s="13" t="s">
        <v>690</v>
      </c>
      <c r="N631" s="0" t="n">
        <v>81</v>
      </c>
    </row>
    <row r="632" customFormat="false" ht="13.8" hidden="false" customHeight="false" outlineLevel="0" collapsed="false">
      <c r="A632" s="10" t="n">
        <v>631</v>
      </c>
      <c r="B632" s="4"/>
      <c r="C632" s="11"/>
      <c r="D632" s="11"/>
      <c r="E632" s="11"/>
      <c r="F632" s="11"/>
      <c r="G632" s="11"/>
      <c r="H632" s="11"/>
      <c r="I632" s="12" t="n">
        <v>356</v>
      </c>
      <c r="J632" s="18" t="s">
        <v>1477</v>
      </c>
      <c r="K632" s="18" t="n">
        <v>366</v>
      </c>
      <c r="L632" s="13" t="n">
        <v>366</v>
      </c>
      <c r="M632" s="13" t="s">
        <v>436</v>
      </c>
      <c r="N632" s="0" t="n">
        <v>81</v>
      </c>
    </row>
    <row r="633" customFormat="false" ht="13.8" hidden="false" customHeight="false" outlineLevel="0" collapsed="false">
      <c r="A633" s="10" t="n">
        <v>632</v>
      </c>
      <c r="B633" s="4"/>
      <c r="C633" s="11"/>
      <c r="D633" s="11"/>
      <c r="E633" s="11"/>
      <c r="F633" s="11"/>
      <c r="G633" s="11"/>
      <c r="H633" s="11"/>
      <c r="I633" s="12" t="n">
        <v>1065</v>
      </c>
      <c r="J633" s="18" t="s">
        <v>1477</v>
      </c>
      <c r="K633" s="18" t="n">
        <v>1077</v>
      </c>
      <c r="L633" s="13" t="n">
        <v>1077</v>
      </c>
      <c r="M633" s="13" t="s">
        <v>1112</v>
      </c>
      <c r="N633" s="0" t="n">
        <v>81</v>
      </c>
    </row>
    <row r="634" customFormat="false" ht="13.8" hidden="false" customHeight="false" outlineLevel="0" collapsed="false">
      <c r="A634" s="10" t="n">
        <v>633</v>
      </c>
      <c r="B634" s="4"/>
      <c r="C634" s="11"/>
      <c r="D634" s="11"/>
      <c r="E634" s="11"/>
      <c r="F634" s="11"/>
      <c r="G634" s="11" t="s">
        <v>1478</v>
      </c>
      <c r="H634" s="11"/>
      <c r="I634" s="12"/>
      <c r="J634" s="18" t="s">
        <v>1477</v>
      </c>
      <c r="K634" s="18" t="n">
        <v>571</v>
      </c>
      <c r="L634" s="13" t="n">
        <v>571</v>
      </c>
      <c r="M634" s="13" t="s">
        <v>630</v>
      </c>
      <c r="N634" s="0" t="n">
        <v>82</v>
      </c>
    </row>
    <row r="635" customFormat="false" ht="13.8" hidden="false" customHeight="false" outlineLevel="0" collapsed="false">
      <c r="A635" s="10" t="n">
        <v>634</v>
      </c>
      <c r="B635" s="4"/>
      <c r="C635" s="11"/>
      <c r="D635" s="11"/>
      <c r="E635" s="11"/>
      <c r="F635" s="11"/>
      <c r="G635" s="11"/>
      <c r="H635" s="11"/>
      <c r="I635" s="12"/>
      <c r="J635" s="18" t="s">
        <v>1477</v>
      </c>
      <c r="K635" s="18" t="n">
        <v>149</v>
      </c>
      <c r="L635" s="13" t="n">
        <v>149</v>
      </c>
      <c r="M635" s="13" t="s">
        <v>236</v>
      </c>
      <c r="N635" s="0" t="n">
        <v>82</v>
      </c>
    </row>
    <row r="636" customFormat="false" ht="13.8" hidden="false" customHeight="false" outlineLevel="0" collapsed="false">
      <c r="A636" s="10" t="n">
        <v>635</v>
      </c>
      <c r="B636" s="4"/>
      <c r="C636" s="11"/>
      <c r="D636" s="11"/>
      <c r="E636" s="11"/>
      <c r="F636" s="11"/>
      <c r="G636" s="11"/>
      <c r="H636" s="11"/>
      <c r="I636" s="12" t="n">
        <v>13</v>
      </c>
      <c r="J636" s="18" t="s">
        <v>1477</v>
      </c>
      <c r="K636" s="18" t="n">
        <v>15</v>
      </c>
      <c r="L636" s="13" t="n">
        <v>15</v>
      </c>
      <c r="M636" s="13" t="s">
        <v>109</v>
      </c>
      <c r="N636" s="0" t="n">
        <v>82</v>
      </c>
    </row>
    <row r="637" customFormat="false" ht="13.8" hidden="false" customHeight="false" outlineLevel="0" collapsed="false">
      <c r="A637" s="10" t="n">
        <v>636</v>
      </c>
      <c r="B637" s="4"/>
      <c r="C637" s="11"/>
      <c r="D637" s="11"/>
      <c r="E637" s="11"/>
      <c r="F637" s="11"/>
      <c r="G637" s="11"/>
      <c r="H637" s="11"/>
      <c r="I637" s="12" t="n">
        <v>174</v>
      </c>
      <c r="J637" s="18" t="s">
        <v>1477</v>
      </c>
      <c r="K637" s="18" t="n">
        <v>181</v>
      </c>
      <c r="L637" s="13" t="n">
        <v>181</v>
      </c>
      <c r="M637" s="13" t="s">
        <v>265</v>
      </c>
      <c r="N637" s="0" t="n">
        <v>82</v>
      </c>
    </row>
    <row r="638" customFormat="false" ht="13.8" hidden="false" customHeight="false" outlineLevel="0" collapsed="false">
      <c r="A638" s="10" t="n">
        <v>637</v>
      </c>
      <c r="B638" s="4"/>
      <c r="C638" s="11"/>
      <c r="D638" s="11"/>
      <c r="E638" s="11"/>
      <c r="F638" s="11"/>
      <c r="G638" s="11" t="s">
        <v>1479</v>
      </c>
      <c r="H638" s="11"/>
      <c r="I638" s="12"/>
      <c r="J638" s="18" t="s">
        <v>1480</v>
      </c>
      <c r="K638" s="18" t="n">
        <v>51</v>
      </c>
      <c r="L638" s="13" t="n">
        <v>51</v>
      </c>
      <c r="M638" s="13" t="s">
        <v>140</v>
      </c>
      <c r="N638" s="0" t="n">
        <v>83</v>
      </c>
    </row>
    <row r="639" customFormat="false" ht="13.8" hidden="false" customHeight="false" outlineLevel="0" collapsed="false">
      <c r="A639" s="10" t="n">
        <v>638</v>
      </c>
      <c r="B639" s="4"/>
      <c r="C639" s="11"/>
      <c r="D639" s="11"/>
      <c r="E639" s="11"/>
      <c r="F639" s="11"/>
      <c r="G639" s="11"/>
      <c r="H639" s="11"/>
      <c r="I639" s="12" t="n">
        <v>182</v>
      </c>
      <c r="J639" s="18" t="s">
        <v>1480</v>
      </c>
      <c r="K639" s="18" t="n">
        <v>189</v>
      </c>
      <c r="L639" s="13" t="n">
        <v>189</v>
      </c>
      <c r="M639" s="13" t="s">
        <v>273</v>
      </c>
      <c r="N639" s="0" t="n">
        <v>83</v>
      </c>
    </row>
    <row r="640" customFormat="false" ht="13.8" hidden="false" customHeight="false" outlineLevel="0" collapsed="false">
      <c r="A640" s="10" t="n">
        <v>639</v>
      </c>
      <c r="B640" s="4"/>
      <c r="C640" s="11"/>
      <c r="D640" s="11"/>
      <c r="E640" s="11"/>
      <c r="F640" s="11"/>
      <c r="G640" s="11"/>
      <c r="H640" s="11"/>
      <c r="I640" s="12" t="n">
        <v>588</v>
      </c>
      <c r="J640" s="18" t="s">
        <v>1480</v>
      </c>
      <c r="K640" s="18" t="n">
        <v>599</v>
      </c>
      <c r="L640" s="13" t="n">
        <v>599</v>
      </c>
      <c r="M640" s="13" t="s">
        <v>656</v>
      </c>
      <c r="N640" s="0" t="n">
        <v>83</v>
      </c>
    </row>
    <row r="641" customFormat="false" ht="13.8" hidden="false" customHeight="false" outlineLevel="0" collapsed="false">
      <c r="A641" s="10" t="n">
        <v>640</v>
      </c>
      <c r="B641" s="4"/>
      <c r="C641" s="11"/>
      <c r="D641" s="11"/>
      <c r="E641" s="11"/>
      <c r="F641" s="11"/>
      <c r="G641" s="11"/>
      <c r="H641" s="11"/>
      <c r="I641" s="12" t="n">
        <v>896</v>
      </c>
      <c r="J641" s="18" t="s">
        <v>1480</v>
      </c>
      <c r="K641" s="18" t="n">
        <v>907</v>
      </c>
      <c r="L641" s="13" t="n">
        <v>907</v>
      </c>
      <c r="M641" s="13" t="s">
        <v>950</v>
      </c>
      <c r="N641" s="0" t="n">
        <v>83</v>
      </c>
    </row>
    <row r="642" customFormat="false" ht="13.8" hidden="false" customHeight="false" outlineLevel="0" collapsed="false">
      <c r="A642" s="10" t="n">
        <v>641</v>
      </c>
      <c r="B642" s="4"/>
      <c r="C642" s="11"/>
      <c r="D642" s="11"/>
      <c r="E642" s="11"/>
      <c r="F642" s="11"/>
      <c r="G642" s="11"/>
      <c r="H642" s="11"/>
      <c r="I642" s="12" t="n">
        <v>564</v>
      </c>
      <c r="J642" s="18" t="s">
        <v>1480</v>
      </c>
      <c r="K642" s="18" t="n">
        <v>575</v>
      </c>
      <c r="L642" s="13" t="n">
        <v>575</v>
      </c>
      <c r="M642" s="13" t="s">
        <v>634</v>
      </c>
      <c r="N642" s="0" t="n">
        <v>83</v>
      </c>
    </row>
    <row r="643" customFormat="false" ht="13.8" hidden="false" customHeight="false" outlineLevel="0" collapsed="false">
      <c r="A643" s="10" t="n">
        <v>642</v>
      </c>
      <c r="B643" s="4"/>
      <c r="C643" s="11"/>
      <c r="D643" s="11"/>
      <c r="E643" s="11"/>
      <c r="F643" s="11"/>
      <c r="G643" s="11"/>
      <c r="H643" s="11"/>
      <c r="I643" s="12" t="n">
        <v>919</v>
      </c>
      <c r="J643" s="18" t="s">
        <v>1480</v>
      </c>
      <c r="K643" s="18" t="n">
        <v>930</v>
      </c>
      <c r="L643" s="13" t="n">
        <v>930</v>
      </c>
      <c r="M643" s="13" t="s">
        <v>971</v>
      </c>
      <c r="N643" s="0" t="n">
        <v>83</v>
      </c>
    </row>
    <row r="644" customFormat="false" ht="13.8" hidden="false" customHeight="false" outlineLevel="0" collapsed="false">
      <c r="A644" s="10" t="n">
        <v>643</v>
      </c>
      <c r="B644" s="4"/>
      <c r="C644" s="11"/>
      <c r="D644" s="11"/>
      <c r="E644" s="11"/>
      <c r="F644" s="11"/>
      <c r="G644" s="11"/>
      <c r="H644" s="11"/>
      <c r="I644" s="12" t="n">
        <v>255</v>
      </c>
      <c r="J644" s="18" t="s">
        <v>1480</v>
      </c>
      <c r="K644" s="18" t="n">
        <v>262</v>
      </c>
      <c r="L644" s="13" t="n">
        <v>262</v>
      </c>
      <c r="M644" s="13" t="s">
        <v>344</v>
      </c>
      <c r="N644" s="0" t="n">
        <v>83</v>
      </c>
    </row>
    <row r="645" customFormat="false" ht="13.8" hidden="false" customHeight="false" outlineLevel="0" collapsed="false">
      <c r="A645" s="10" t="n">
        <v>644</v>
      </c>
      <c r="B645" s="4"/>
      <c r="C645" s="11"/>
      <c r="D645" s="11"/>
      <c r="E645" s="11"/>
      <c r="F645" s="11"/>
      <c r="G645" s="11" t="s">
        <v>1481</v>
      </c>
      <c r="H645" s="11"/>
      <c r="I645" s="12"/>
      <c r="J645" s="18" t="s">
        <v>1482</v>
      </c>
      <c r="K645" s="18" t="n">
        <v>1014</v>
      </c>
      <c r="L645" s="13" t="n">
        <v>1014</v>
      </c>
      <c r="M645" s="13" t="s">
        <v>1051</v>
      </c>
      <c r="N645" s="0" t="n">
        <v>84</v>
      </c>
    </row>
    <row r="646" customFormat="false" ht="13.8" hidden="false" customHeight="false" outlineLevel="0" collapsed="false">
      <c r="A646" s="10" t="n">
        <v>645</v>
      </c>
      <c r="B646" s="4"/>
      <c r="C646" s="11"/>
      <c r="D646" s="11"/>
      <c r="E646" s="11"/>
      <c r="F646" s="11"/>
      <c r="G646" s="11"/>
      <c r="H646" s="11"/>
      <c r="I646" s="12" t="n">
        <v>24</v>
      </c>
      <c r="J646" s="18" t="s">
        <v>1482</v>
      </c>
      <c r="K646" s="18" t="n">
        <v>27</v>
      </c>
      <c r="L646" s="13" t="n">
        <v>27</v>
      </c>
      <c r="M646" s="13" t="s">
        <v>120</v>
      </c>
      <c r="N646" s="0" t="n">
        <v>84</v>
      </c>
    </row>
    <row r="647" customFormat="false" ht="13.8" hidden="false" customHeight="false" outlineLevel="0" collapsed="false">
      <c r="A647" s="10" t="n">
        <v>646</v>
      </c>
      <c r="B647" s="4"/>
      <c r="C647" s="11"/>
      <c r="D647" s="11"/>
      <c r="E647" s="11"/>
      <c r="F647" s="11"/>
      <c r="G647" s="11"/>
      <c r="H647" s="11"/>
      <c r="I647" s="12" t="n">
        <v>171</v>
      </c>
      <c r="J647" s="18" t="s">
        <v>1482</v>
      </c>
      <c r="K647" s="18" t="n">
        <v>178</v>
      </c>
      <c r="L647" s="13" t="n">
        <v>178</v>
      </c>
      <c r="M647" s="13" t="s">
        <v>262</v>
      </c>
      <c r="N647" s="0" t="n">
        <v>84</v>
      </c>
    </row>
    <row r="648" customFormat="false" ht="13.8" hidden="false" customHeight="false" outlineLevel="0" collapsed="false">
      <c r="A648" s="10" t="n">
        <v>647</v>
      </c>
      <c r="B648" s="4"/>
      <c r="C648" s="11"/>
      <c r="D648" s="11"/>
      <c r="E648" s="11"/>
      <c r="F648" s="11"/>
      <c r="G648" s="11"/>
      <c r="H648" s="11"/>
      <c r="I648" s="12"/>
      <c r="J648" s="18" t="s">
        <v>1482</v>
      </c>
      <c r="K648" s="18" t="n">
        <v>300</v>
      </c>
      <c r="L648" s="13" t="n">
        <v>300</v>
      </c>
      <c r="M648" s="13" t="s">
        <v>375</v>
      </c>
      <c r="N648" s="0" t="n">
        <v>84</v>
      </c>
    </row>
    <row r="649" customFormat="false" ht="13.8" hidden="false" customHeight="false" outlineLevel="0" collapsed="false">
      <c r="A649" s="10" t="n">
        <v>648</v>
      </c>
      <c r="B649" s="4"/>
      <c r="C649" s="11"/>
      <c r="D649" s="11"/>
      <c r="E649" s="11"/>
      <c r="F649" s="11"/>
      <c r="G649" s="11"/>
      <c r="H649" s="11"/>
      <c r="I649" s="12"/>
      <c r="J649" s="18" t="s">
        <v>1482</v>
      </c>
      <c r="K649" s="18" t="n">
        <v>316</v>
      </c>
      <c r="L649" s="13" t="n">
        <v>316</v>
      </c>
      <c r="M649" s="13" t="s">
        <v>388</v>
      </c>
      <c r="N649" s="0" t="n">
        <v>84</v>
      </c>
    </row>
    <row r="650" customFormat="false" ht="13.8" hidden="false" customHeight="false" outlineLevel="0" collapsed="false">
      <c r="A650" s="10" t="n">
        <v>649</v>
      </c>
      <c r="B650" s="4"/>
      <c r="C650" s="11"/>
      <c r="D650" s="11"/>
      <c r="E650" s="11"/>
      <c r="F650" s="11"/>
      <c r="G650" s="11"/>
      <c r="H650" s="11"/>
      <c r="I650" s="12" t="n">
        <v>311</v>
      </c>
      <c r="J650" s="18" t="s">
        <v>1482</v>
      </c>
      <c r="K650" s="18" t="n">
        <v>321</v>
      </c>
      <c r="L650" s="13" t="n">
        <v>321</v>
      </c>
      <c r="M650" s="13" t="s">
        <v>393</v>
      </c>
      <c r="N650" s="0" t="n">
        <v>84</v>
      </c>
    </row>
    <row r="651" customFormat="false" ht="13.8" hidden="false" customHeight="false" outlineLevel="0" collapsed="false">
      <c r="A651" s="10" t="n">
        <v>650</v>
      </c>
      <c r="B651" s="4"/>
      <c r="C651" s="11"/>
      <c r="D651" s="11"/>
      <c r="E651" s="11"/>
      <c r="F651" s="11"/>
      <c r="G651" s="11"/>
      <c r="H651" s="11"/>
      <c r="I651" s="12" t="n">
        <v>472</v>
      </c>
      <c r="J651" s="18" t="s">
        <v>1482</v>
      </c>
      <c r="K651" s="18" t="n">
        <v>483</v>
      </c>
      <c r="L651" s="13" t="n">
        <v>483</v>
      </c>
      <c r="M651" s="13" t="s">
        <v>546</v>
      </c>
      <c r="N651" s="0" t="n">
        <v>84</v>
      </c>
    </row>
    <row r="652" customFormat="false" ht="13.8" hidden="false" customHeight="false" outlineLevel="0" collapsed="false">
      <c r="A652" s="10" t="n">
        <v>651</v>
      </c>
      <c r="B652" s="4"/>
      <c r="C652" s="11"/>
      <c r="D652" s="11"/>
      <c r="E652" s="11"/>
      <c r="F652" s="11"/>
      <c r="G652" s="11"/>
      <c r="H652" s="11"/>
      <c r="I652" s="12" t="n">
        <v>179</v>
      </c>
      <c r="J652" s="18" t="s">
        <v>1482</v>
      </c>
      <c r="K652" s="18" t="n">
        <v>186</v>
      </c>
      <c r="L652" s="13" t="n">
        <v>186</v>
      </c>
      <c r="M652" s="13" t="s">
        <v>270</v>
      </c>
      <c r="N652" s="0" t="n">
        <v>84</v>
      </c>
    </row>
    <row r="653" customFormat="false" ht="13.8" hidden="false" customHeight="false" outlineLevel="0" collapsed="false">
      <c r="A653" s="10" t="n">
        <v>652</v>
      </c>
      <c r="B653" s="4"/>
      <c r="C653" s="11"/>
      <c r="D653" s="11"/>
      <c r="E653" s="11"/>
      <c r="F653" s="11"/>
      <c r="G653" s="11"/>
      <c r="H653" s="11"/>
      <c r="I653" s="12"/>
      <c r="J653" s="18" t="s">
        <v>1482</v>
      </c>
      <c r="K653" s="18" t="n">
        <v>953</v>
      </c>
      <c r="L653" s="13" t="n">
        <v>953</v>
      </c>
      <c r="M653" s="13" t="s">
        <v>993</v>
      </c>
      <c r="N653" s="0" t="n">
        <v>84</v>
      </c>
    </row>
    <row r="654" customFormat="false" ht="13.8" hidden="false" customHeight="false" outlineLevel="0" collapsed="false">
      <c r="A654" s="10" t="n">
        <v>653</v>
      </c>
      <c r="B654" s="4"/>
      <c r="C654" s="11"/>
      <c r="D654" s="11"/>
      <c r="E654" s="11"/>
      <c r="F654" s="11" t="s">
        <v>1483</v>
      </c>
      <c r="G654" s="11"/>
      <c r="H654" s="11"/>
      <c r="I654" s="12" t="n">
        <v>1085</v>
      </c>
      <c r="L654" s="13" t="n">
        <v>1097</v>
      </c>
      <c r="M654" s="13" t="s">
        <v>1131</v>
      </c>
    </row>
    <row r="655" customFormat="false" ht="13.8" hidden="false" customHeight="false" outlineLevel="0" collapsed="false">
      <c r="A655" s="10" t="n">
        <v>654</v>
      </c>
      <c r="B655" s="4"/>
      <c r="C655" s="11"/>
      <c r="D655" s="11"/>
      <c r="E655" s="11"/>
      <c r="F655" s="11"/>
      <c r="G655" s="11" t="s">
        <v>1484</v>
      </c>
      <c r="H655" s="11"/>
      <c r="I655" s="12"/>
      <c r="J655" s="18" t="s">
        <v>1485</v>
      </c>
      <c r="K655" s="18" t="n">
        <v>157</v>
      </c>
      <c r="L655" s="13" t="n">
        <v>157</v>
      </c>
      <c r="M655" s="13" t="s">
        <v>244</v>
      </c>
      <c r="N655" s="0" t="n">
        <v>85</v>
      </c>
    </row>
    <row r="656" customFormat="false" ht="13.8" hidden="false" customHeight="false" outlineLevel="0" collapsed="false">
      <c r="A656" s="10" t="n">
        <v>655</v>
      </c>
      <c r="B656" s="4"/>
      <c r="C656" s="11"/>
      <c r="D656" s="11"/>
      <c r="E656" s="11"/>
      <c r="F656" s="11"/>
      <c r="G656" s="11"/>
      <c r="H656" s="11"/>
      <c r="I656" s="12" t="n">
        <v>380</v>
      </c>
      <c r="J656" s="18" t="s">
        <v>1485</v>
      </c>
      <c r="K656" s="18" t="n">
        <v>390</v>
      </c>
      <c r="L656" s="13" t="n">
        <v>390</v>
      </c>
      <c r="M656" s="13" t="s">
        <v>459</v>
      </c>
      <c r="N656" s="0" t="n">
        <v>85</v>
      </c>
    </row>
    <row r="657" customFormat="false" ht="13.8" hidden="false" customHeight="false" outlineLevel="0" collapsed="false">
      <c r="A657" s="10" t="n">
        <v>656</v>
      </c>
      <c r="B657" s="4"/>
      <c r="C657" s="11"/>
      <c r="D657" s="11"/>
      <c r="E657" s="11"/>
      <c r="F657" s="11"/>
      <c r="G657" s="11"/>
      <c r="H657" s="11"/>
      <c r="I657" s="12" t="n">
        <v>322</v>
      </c>
      <c r="J657" s="18" t="s">
        <v>1485</v>
      </c>
      <c r="K657" s="18" t="n">
        <v>332</v>
      </c>
      <c r="L657" s="13" t="n">
        <v>332</v>
      </c>
      <c r="M657" s="13" t="s">
        <v>403</v>
      </c>
      <c r="N657" s="0" t="n">
        <v>85</v>
      </c>
    </row>
    <row r="658" customFormat="false" ht="13.8" hidden="false" customHeight="false" outlineLevel="0" collapsed="false">
      <c r="A658" s="10" t="n">
        <v>657</v>
      </c>
      <c r="B658" s="4"/>
      <c r="C658" s="11"/>
      <c r="D658" s="11"/>
      <c r="E658" s="11"/>
      <c r="F658" s="11"/>
      <c r="G658" s="11"/>
      <c r="H658" s="11"/>
      <c r="I658" s="12"/>
      <c r="J658" s="18" t="s">
        <v>1485</v>
      </c>
      <c r="K658" s="18" t="n">
        <v>432</v>
      </c>
      <c r="L658" s="13" t="n">
        <v>432</v>
      </c>
      <c r="M658" s="13" t="s">
        <v>499</v>
      </c>
      <c r="N658" s="0" t="n">
        <v>85</v>
      </c>
    </row>
    <row r="659" customFormat="false" ht="13.8" hidden="false" customHeight="false" outlineLevel="0" collapsed="false">
      <c r="A659" s="10" t="n">
        <v>658</v>
      </c>
      <c r="B659" s="4"/>
      <c r="C659" s="11"/>
      <c r="D659" s="11"/>
      <c r="E659" s="11"/>
      <c r="F659" s="11"/>
      <c r="G659" s="11"/>
      <c r="H659" s="11"/>
      <c r="I659" s="12" t="n">
        <v>34</v>
      </c>
      <c r="J659" s="18" t="s">
        <v>1485</v>
      </c>
      <c r="K659" s="18" t="n">
        <v>38</v>
      </c>
      <c r="L659" s="13" t="n">
        <v>38</v>
      </c>
      <c r="M659" s="13" t="s">
        <v>129</v>
      </c>
      <c r="N659" s="0" t="n">
        <v>85</v>
      </c>
    </row>
    <row r="660" customFormat="false" ht="13.8" hidden="false" customHeight="false" outlineLevel="0" collapsed="false">
      <c r="A660" s="10" t="n">
        <v>659</v>
      </c>
      <c r="B660" s="4"/>
      <c r="C660" s="11"/>
      <c r="D660" s="11"/>
      <c r="E660" s="11"/>
      <c r="F660" s="11"/>
      <c r="G660" s="11"/>
      <c r="H660" s="11"/>
      <c r="I660" s="12"/>
      <c r="J660" s="18" t="s">
        <v>1485</v>
      </c>
      <c r="K660" s="18" t="n">
        <v>71</v>
      </c>
      <c r="L660" s="13" t="n">
        <v>71</v>
      </c>
      <c r="M660" s="13" t="s">
        <v>160</v>
      </c>
      <c r="N660" s="0" t="n">
        <v>85</v>
      </c>
    </row>
    <row r="661" customFormat="false" ht="13.8" hidden="false" customHeight="false" outlineLevel="0" collapsed="false">
      <c r="A661" s="10" t="n">
        <v>660</v>
      </c>
      <c r="B661" s="4"/>
      <c r="C661" s="11"/>
      <c r="D661" s="11"/>
      <c r="E661" s="11"/>
      <c r="F661" s="11"/>
      <c r="G661" s="11"/>
      <c r="H661" s="11"/>
      <c r="I661" s="12"/>
      <c r="J661" s="18" t="s">
        <v>1485</v>
      </c>
      <c r="K661" s="18" t="n">
        <v>47</v>
      </c>
      <c r="L661" s="13" t="n">
        <v>47</v>
      </c>
      <c r="M661" s="13" t="s">
        <v>136</v>
      </c>
      <c r="N661" s="0" t="n">
        <v>85</v>
      </c>
    </row>
    <row r="662" customFormat="false" ht="13.8" hidden="false" customHeight="false" outlineLevel="0" collapsed="false">
      <c r="A662" s="10" t="n">
        <v>661</v>
      </c>
      <c r="B662" s="4"/>
      <c r="C662" s="11"/>
      <c r="D662" s="11"/>
      <c r="E662" s="11"/>
      <c r="F662" s="11"/>
      <c r="G662" s="11"/>
      <c r="H662" s="11"/>
      <c r="I662" s="12"/>
      <c r="J662" s="18" t="s">
        <v>1485</v>
      </c>
      <c r="K662" s="18" t="n">
        <v>79</v>
      </c>
      <c r="L662" s="13" t="n">
        <v>79</v>
      </c>
      <c r="M662" s="13" t="s">
        <v>168</v>
      </c>
      <c r="N662" s="0" t="n">
        <v>85</v>
      </c>
    </row>
    <row r="663" customFormat="false" ht="13.8" hidden="false" customHeight="false" outlineLevel="0" collapsed="false">
      <c r="A663" s="10" t="n">
        <v>662</v>
      </c>
      <c r="B663" s="4"/>
      <c r="C663" s="11"/>
      <c r="D663" s="11"/>
      <c r="E663" s="11"/>
      <c r="F663" s="11"/>
      <c r="G663" s="11"/>
      <c r="H663" s="11"/>
      <c r="I663" s="12"/>
      <c r="J663" s="18" t="s">
        <v>1485</v>
      </c>
      <c r="K663" s="18" t="n">
        <v>103</v>
      </c>
      <c r="L663" s="13" t="n">
        <v>103</v>
      </c>
      <c r="M663" s="13" t="s">
        <v>191</v>
      </c>
      <c r="N663" s="0" t="n">
        <v>85</v>
      </c>
    </row>
    <row r="664" customFormat="false" ht="13.8" hidden="false" customHeight="false" outlineLevel="0" collapsed="false">
      <c r="A664" s="10" t="n">
        <v>663</v>
      </c>
      <c r="B664" s="4"/>
      <c r="C664" s="11"/>
      <c r="D664" s="11"/>
      <c r="E664" s="11"/>
      <c r="F664" s="11"/>
      <c r="G664" s="11"/>
      <c r="H664" s="11"/>
      <c r="I664" s="12"/>
      <c r="J664" s="18" t="s">
        <v>1485</v>
      </c>
      <c r="K664" s="18" t="n">
        <v>652</v>
      </c>
      <c r="L664" s="13" t="n">
        <v>652</v>
      </c>
      <c r="M664" s="13" t="s">
        <v>706</v>
      </c>
      <c r="N664" s="0" t="n">
        <v>85</v>
      </c>
    </row>
    <row r="665" customFormat="false" ht="13.8" hidden="false" customHeight="false" outlineLevel="0" collapsed="false">
      <c r="A665" s="10" t="n">
        <v>664</v>
      </c>
      <c r="B665" s="4"/>
      <c r="C665" s="11"/>
      <c r="D665" s="11"/>
      <c r="E665" s="11"/>
      <c r="F665" s="11"/>
      <c r="G665" s="11"/>
      <c r="H665" s="11"/>
      <c r="I665" s="12"/>
      <c r="J665" s="18" t="s">
        <v>1485</v>
      </c>
      <c r="K665" s="18" t="n">
        <v>660</v>
      </c>
      <c r="L665" s="13" t="n">
        <v>660</v>
      </c>
      <c r="M665" s="13" t="s">
        <v>714</v>
      </c>
      <c r="N665" s="0" t="n">
        <v>85</v>
      </c>
    </row>
    <row r="666" customFormat="false" ht="13.8" hidden="false" customHeight="false" outlineLevel="0" collapsed="false">
      <c r="A666" s="10" t="n">
        <v>665</v>
      </c>
      <c r="B666" s="4"/>
      <c r="C666" s="11"/>
      <c r="D666" s="11"/>
      <c r="E666" s="11"/>
      <c r="F666" s="11"/>
      <c r="G666" s="11"/>
      <c r="H666" s="11"/>
      <c r="I666" s="12"/>
      <c r="J666" s="18" t="s">
        <v>1485</v>
      </c>
      <c r="K666" s="18" t="n">
        <v>94</v>
      </c>
      <c r="L666" s="13" t="n">
        <v>94</v>
      </c>
      <c r="M666" s="13" t="s">
        <v>182</v>
      </c>
      <c r="N666" s="0" t="n">
        <v>85</v>
      </c>
    </row>
    <row r="667" customFormat="false" ht="13.8" hidden="false" customHeight="false" outlineLevel="0" collapsed="false">
      <c r="A667" s="10" t="n">
        <v>666</v>
      </c>
      <c r="B667" s="4"/>
      <c r="C667" s="11"/>
      <c r="D667" s="11"/>
      <c r="E667" s="11"/>
      <c r="F667" s="11"/>
      <c r="G667" s="11"/>
      <c r="H667" s="11"/>
      <c r="I667" s="12"/>
      <c r="J667" s="18" t="s">
        <v>1485</v>
      </c>
      <c r="K667" s="18" t="n">
        <v>55</v>
      </c>
      <c r="L667" s="13" t="n">
        <v>55</v>
      </c>
      <c r="M667" s="13" t="s">
        <v>144</v>
      </c>
      <c r="N667" s="0" t="n">
        <v>85</v>
      </c>
    </row>
    <row r="668" customFormat="false" ht="13.8" hidden="false" customHeight="false" outlineLevel="0" collapsed="false">
      <c r="A668" s="10" t="n">
        <v>667</v>
      </c>
      <c r="B668" s="4"/>
      <c r="C668" s="11"/>
      <c r="D668" s="11"/>
      <c r="E668" s="11"/>
      <c r="F668" s="11"/>
      <c r="G668" s="11"/>
      <c r="H668" s="11"/>
      <c r="I668" s="12"/>
      <c r="J668" s="18" t="s">
        <v>1485</v>
      </c>
      <c r="K668" s="18" t="n">
        <v>87</v>
      </c>
      <c r="L668" s="13" t="n">
        <v>87</v>
      </c>
      <c r="M668" s="13" t="s">
        <v>175</v>
      </c>
      <c r="N668" s="0" t="n">
        <v>85</v>
      </c>
    </row>
    <row r="669" customFormat="false" ht="13.8" hidden="false" customHeight="false" outlineLevel="0" collapsed="false">
      <c r="A669" s="10" t="n">
        <v>668</v>
      </c>
      <c r="B669" s="4"/>
      <c r="C669" s="11"/>
      <c r="D669" s="11"/>
      <c r="E669" s="11"/>
      <c r="F669" s="11"/>
      <c r="G669" s="11"/>
      <c r="H669" s="11"/>
      <c r="I669" s="12"/>
      <c r="J669" s="18" t="s">
        <v>1485</v>
      </c>
      <c r="K669" s="18" t="n">
        <v>110</v>
      </c>
      <c r="L669" s="13" t="n">
        <v>110</v>
      </c>
      <c r="M669" s="13" t="s">
        <v>198</v>
      </c>
      <c r="N669" s="0" t="n">
        <v>85</v>
      </c>
    </row>
    <row r="670" customFormat="false" ht="13.8" hidden="false" customHeight="false" outlineLevel="0" collapsed="false">
      <c r="A670" s="10" t="n">
        <v>669</v>
      </c>
      <c r="B670" s="4"/>
      <c r="C670" s="11"/>
      <c r="D670" s="11"/>
      <c r="E670" s="11"/>
      <c r="F670" s="11"/>
      <c r="G670" s="11"/>
      <c r="H670" s="11"/>
      <c r="I670" s="12"/>
      <c r="J670" s="18" t="s">
        <v>1485</v>
      </c>
      <c r="K670" s="18" t="n">
        <v>30</v>
      </c>
      <c r="L670" s="13" t="n">
        <v>30</v>
      </c>
      <c r="M670" s="13" t="s">
        <v>123</v>
      </c>
      <c r="N670" s="0" t="n">
        <v>85</v>
      </c>
    </row>
    <row r="671" customFormat="false" ht="13.8" hidden="false" customHeight="false" outlineLevel="0" collapsed="false">
      <c r="A671" s="10" t="n">
        <v>670</v>
      </c>
      <c r="B671" s="4"/>
      <c r="C671" s="11"/>
      <c r="D671" s="11"/>
      <c r="E671" s="11"/>
      <c r="F671" s="11"/>
      <c r="G671" s="11"/>
      <c r="H671" s="11"/>
      <c r="I671" s="12" t="n">
        <v>113</v>
      </c>
      <c r="J671" s="18" t="s">
        <v>1485</v>
      </c>
      <c r="K671" s="18" t="n">
        <v>118</v>
      </c>
      <c r="L671" s="13" t="n">
        <v>118</v>
      </c>
      <c r="M671" s="13" t="s">
        <v>206</v>
      </c>
      <c r="N671" s="0" t="n">
        <v>85</v>
      </c>
    </row>
    <row r="672" customFormat="false" ht="13.8" hidden="false" customHeight="false" outlineLevel="0" collapsed="false">
      <c r="A672" s="10" t="n">
        <v>671</v>
      </c>
      <c r="B672" s="4"/>
      <c r="C672" s="11"/>
      <c r="D672" s="11"/>
      <c r="E672" s="11"/>
      <c r="F672" s="11"/>
      <c r="G672" s="11"/>
      <c r="H672" s="11"/>
      <c r="I672" s="12" t="n">
        <v>216</v>
      </c>
      <c r="J672" s="18" t="s">
        <v>1485</v>
      </c>
      <c r="K672" s="18" t="n">
        <v>223</v>
      </c>
      <c r="L672" s="13" t="n">
        <v>223</v>
      </c>
      <c r="M672" s="13" t="s">
        <v>306</v>
      </c>
      <c r="N672" s="0" t="n">
        <v>85</v>
      </c>
    </row>
    <row r="673" customFormat="false" ht="13.8" hidden="false" customHeight="false" outlineLevel="0" collapsed="false">
      <c r="A673" s="10" t="n">
        <v>672</v>
      </c>
      <c r="B673" s="4"/>
      <c r="C673" s="11"/>
      <c r="D673" s="11"/>
      <c r="E673" s="11"/>
      <c r="F673" s="11"/>
      <c r="G673" s="11" t="s">
        <v>1486</v>
      </c>
      <c r="H673" s="11"/>
      <c r="I673" s="12"/>
      <c r="J673" s="18" t="s">
        <v>1487</v>
      </c>
      <c r="K673" s="18" t="n">
        <v>141</v>
      </c>
      <c r="L673" s="13" t="n">
        <v>141</v>
      </c>
      <c r="M673" s="13" t="s">
        <v>228</v>
      </c>
      <c r="N673" s="0" t="n">
        <v>86</v>
      </c>
    </row>
    <row r="674" customFormat="false" ht="13.8" hidden="false" customHeight="false" outlineLevel="0" collapsed="false">
      <c r="A674" s="10" t="n">
        <v>673</v>
      </c>
      <c r="B674" s="4"/>
      <c r="C674" s="11"/>
      <c r="D674" s="11"/>
      <c r="E674" s="11"/>
      <c r="F674" s="11"/>
      <c r="G674" s="11"/>
      <c r="H674" s="11"/>
      <c r="I674" s="12" t="n">
        <v>67</v>
      </c>
      <c r="J674" s="18" t="s">
        <v>1487</v>
      </c>
      <c r="K674" s="18" t="n">
        <v>72</v>
      </c>
      <c r="L674" s="13" t="n">
        <v>72</v>
      </c>
      <c r="M674" s="13" t="s">
        <v>161</v>
      </c>
      <c r="N674" s="0" t="n">
        <v>86</v>
      </c>
    </row>
    <row r="675" customFormat="false" ht="13.8" hidden="false" customHeight="false" outlineLevel="0" collapsed="false">
      <c r="A675" s="10" t="n">
        <v>674</v>
      </c>
      <c r="B675" s="4"/>
      <c r="C675" s="11"/>
      <c r="D675" s="11"/>
      <c r="E675" s="11"/>
      <c r="F675" s="11"/>
      <c r="G675" s="11"/>
      <c r="H675" s="11"/>
      <c r="I675" s="12"/>
      <c r="J675" s="18" t="s">
        <v>1487</v>
      </c>
      <c r="K675" s="18" t="n">
        <v>80</v>
      </c>
      <c r="L675" s="13" t="n">
        <v>80</v>
      </c>
      <c r="M675" s="13" t="s">
        <v>169</v>
      </c>
      <c r="N675" s="0" t="n">
        <v>86</v>
      </c>
    </row>
    <row r="676" customFormat="false" ht="13.8" hidden="false" customHeight="false" outlineLevel="0" collapsed="false">
      <c r="A676" s="10" t="n">
        <v>675</v>
      </c>
      <c r="B676" s="4"/>
      <c r="C676" s="11"/>
      <c r="D676" s="11"/>
      <c r="E676" s="11"/>
      <c r="F676" s="11"/>
      <c r="G676" s="11"/>
      <c r="H676" s="11"/>
      <c r="I676" s="12" t="n">
        <v>256</v>
      </c>
      <c r="J676" s="18" t="s">
        <v>1487</v>
      </c>
      <c r="K676" s="18" t="n">
        <v>263</v>
      </c>
      <c r="L676" s="13" t="n">
        <v>263</v>
      </c>
      <c r="M676" s="13" t="s">
        <v>345</v>
      </c>
      <c r="N676" s="0" t="n">
        <v>86</v>
      </c>
    </row>
    <row r="677" customFormat="false" ht="13.8" hidden="false" customHeight="false" outlineLevel="0" collapsed="false">
      <c r="A677" s="10" t="n">
        <v>676</v>
      </c>
      <c r="B677" s="4"/>
      <c r="C677" s="11"/>
      <c r="D677" s="11"/>
      <c r="E677" s="11"/>
      <c r="F677" s="11"/>
      <c r="G677" s="11"/>
      <c r="H677" s="11"/>
      <c r="I677" s="12" t="n">
        <v>264</v>
      </c>
      <c r="J677" s="18" t="s">
        <v>1487</v>
      </c>
      <c r="K677" s="18" t="n">
        <v>272</v>
      </c>
      <c r="L677" s="13" t="n">
        <v>272</v>
      </c>
      <c r="M677" s="13" t="s">
        <v>353</v>
      </c>
      <c r="N677" s="0" t="n">
        <v>86</v>
      </c>
    </row>
    <row r="678" customFormat="false" ht="13.8" hidden="false" customHeight="false" outlineLevel="0" collapsed="false">
      <c r="A678" s="10" t="n">
        <v>677</v>
      </c>
      <c r="B678" s="4"/>
      <c r="C678" s="11"/>
      <c r="D678" s="11"/>
      <c r="E678" s="11"/>
      <c r="F678" s="11"/>
      <c r="G678" s="11"/>
      <c r="H678" s="11"/>
      <c r="I678" s="12" t="n">
        <v>819</v>
      </c>
      <c r="J678" s="18" t="s">
        <v>1487</v>
      </c>
      <c r="K678" s="18" t="n">
        <v>830</v>
      </c>
      <c r="L678" s="13" t="n">
        <v>830</v>
      </c>
      <c r="M678" s="13" t="s">
        <v>875</v>
      </c>
      <c r="N678" s="0" t="n">
        <v>86</v>
      </c>
    </row>
    <row r="679" customFormat="false" ht="13.8" hidden="false" customHeight="false" outlineLevel="0" collapsed="false">
      <c r="A679" s="10" t="n">
        <v>678</v>
      </c>
      <c r="B679" s="4"/>
      <c r="C679" s="11"/>
      <c r="D679" s="11"/>
      <c r="E679" s="11"/>
      <c r="F679" s="11"/>
      <c r="G679" s="11"/>
      <c r="H679" s="11"/>
      <c r="I679" s="12"/>
      <c r="J679" s="18" t="s">
        <v>1487</v>
      </c>
      <c r="K679" s="18" t="n">
        <v>668</v>
      </c>
      <c r="L679" s="13" t="n">
        <v>668</v>
      </c>
      <c r="M679" s="13" t="s">
        <v>722</v>
      </c>
      <c r="N679" s="0" t="n">
        <v>86</v>
      </c>
    </row>
    <row r="680" customFormat="false" ht="13.8" hidden="false" customHeight="false" outlineLevel="0" collapsed="false">
      <c r="A680" s="10" t="n">
        <v>679</v>
      </c>
      <c r="B680" s="4"/>
      <c r="C680" s="11"/>
      <c r="D680" s="11"/>
      <c r="E680" s="11"/>
      <c r="F680" s="11"/>
      <c r="G680" s="11"/>
      <c r="H680" s="11"/>
      <c r="I680" s="12"/>
      <c r="J680" s="18" t="s">
        <v>1487</v>
      </c>
      <c r="K680" s="18" t="n">
        <v>676</v>
      </c>
      <c r="L680" s="13" t="n">
        <v>676</v>
      </c>
      <c r="M680" s="13" t="s">
        <v>729</v>
      </c>
      <c r="N680" s="0" t="n">
        <v>86</v>
      </c>
    </row>
    <row r="681" customFormat="false" ht="13.8" hidden="false" customHeight="false" outlineLevel="0" collapsed="false">
      <c r="A681" s="10" t="n">
        <v>680</v>
      </c>
      <c r="B681" s="4"/>
      <c r="C681" s="11"/>
      <c r="D681" s="11"/>
      <c r="E681" s="11"/>
      <c r="F681" s="11"/>
      <c r="G681" s="11"/>
      <c r="H681" s="11"/>
      <c r="I681" s="12"/>
      <c r="J681" s="18" t="s">
        <v>1487</v>
      </c>
      <c r="K681" s="18" t="n">
        <v>684</v>
      </c>
      <c r="L681" s="13" t="n">
        <v>684</v>
      </c>
      <c r="M681" s="13" t="s">
        <v>737</v>
      </c>
      <c r="N681" s="0" t="n">
        <v>86</v>
      </c>
    </row>
    <row r="682" customFormat="false" ht="13.8" hidden="false" customHeight="false" outlineLevel="0" collapsed="false">
      <c r="A682" s="10" t="n">
        <v>681</v>
      </c>
      <c r="B682" s="4"/>
      <c r="C682" s="11"/>
      <c r="D682" s="11"/>
      <c r="E682" s="11"/>
      <c r="F682" s="11"/>
      <c r="G682" s="11"/>
      <c r="H682" s="11"/>
      <c r="I682" s="12" t="n">
        <v>441</v>
      </c>
      <c r="J682" s="18" t="s">
        <v>1487</v>
      </c>
      <c r="K682" s="18" t="n">
        <v>452</v>
      </c>
      <c r="L682" s="13" t="n">
        <v>452</v>
      </c>
      <c r="M682" s="13" t="s">
        <v>516</v>
      </c>
      <c r="N682" s="0" t="n">
        <v>86</v>
      </c>
    </row>
    <row r="683" customFormat="false" ht="13.8" hidden="false" customHeight="false" outlineLevel="0" collapsed="false">
      <c r="A683" s="10" t="n">
        <v>682</v>
      </c>
      <c r="B683" s="4"/>
      <c r="C683" s="11"/>
      <c r="D683" s="11"/>
      <c r="E683" s="11"/>
      <c r="F683" s="11"/>
      <c r="G683" s="11"/>
      <c r="H683" s="11"/>
      <c r="I683" s="12" t="n">
        <v>512</v>
      </c>
      <c r="J683" s="18" t="s">
        <v>1487</v>
      </c>
      <c r="K683" s="18" t="n">
        <v>523</v>
      </c>
      <c r="L683" s="13" t="n">
        <v>523</v>
      </c>
      <c r="M683" s="13" t="s">
        <v>586</v>
      </c>
      <c r="N683" s="0" t="n">
        <v>86</v>
      </c>
    </row>
    <row r="684" customFormat="false" ht="13.8" hidden="false" customHeight="false" outlineLevel="0" collapsed="false">
      <c r="A684" s="10" t="n">
        <v>683</v>
      </c>
      <c r="B684" s="4"/>
      <c r="C684" s="11"/>
      <c r="D684" s="11"/>
      <c r="E684" s="11"/>
      <c r="F684" s="11"/>
      <c r="G684" s="11"/>
      <c r="H684" s="11"/>
      <c r="I684" s="12"/>
      <c r="J684" s="18" t="s">
        <v>1487</v>
      </c>
      <c r="K684" s="18" t="n">
        <v>763</v>
      </c>
      <c r="L684" s="13" t="n">
        <v>763</v>
      </c>
      <c r="M684" s="13" t="s">
        <v>813</v>
      </c>
      <c r="N684" s="0" t="n">
        <v>86</v>
      </c>
    </row>
    <row r="685" customFormat="false" ht="13.8" hidden="false" customHeight="false" outlineLevel="0" collapsed="false">
      <c r="A685" s="10" t="n">
        <v>684</v>
      </c>
      <c r="B685" s="4"/>
      <c r="C685" s="11"/>
      <c r="D685" s="11"/>
      <c r="E685" s="11"/>
      <c r="F685" s="11"/>
      <c r="G685" s="11"/>
      <c r="H685" s="11"/>
      <c r="I685" s="12" t="n">
        <v>903</v>
      </c>
      <c r="J685" s="18" t="s">
        <v>1487</v>
      </c>
      <c r="K685" s="18" t="n">
        <v>914</v>
      </c>
      <c r="L685" s="13" t="n">
        <v>914</v>
      </c>
      <c r="M685" s="13" t="s">
        <v>957</v>
      </c>
      <c r="N685" s="0" t="n">
        <v>86</v>
      </c>
    </row>
    <row r="686" customFormat="false" ht="13.8" hidden="false" customHeight="false" outlineLevel="0" collapsed="false">
      <c r="A686" s="10" t="n">
        <v>685</v>
      </c>
      <c r="B686" s="4"/>
      <c r="C686" s="11"/>
      <c r="D686" s="11"/>
      <c r="E686" s="11"/>
      <c r="F686" s="11"/>
      <c r="G686" s="11"/>
      <c r="H686" s="11"/>
      <c r="I686" s="12" t="n">
        <v>1097</v>
      </c>
      <c r="J686" s="18" t="s">
        <v>1487</v>
      </c>
      <c r="K686" s="18" t="n">
        <v>1109</v>
      </c>
      <c r="L686" s="13" t="n">
        <v>1109</v>
      </c>
      <c r="M686" s="13" t="s">
        <v>1143</v>
      </c>
      <c r="N686" s="0" t="n">
        <v>86</v>
      </c>
    </row>
    <row r="687" customFormat="false" ht="13.8" hidden="false" customHeight="false" outlineLevel="0" collapsed="false">
      <c r="A687" s="10" t="n">
        <v>686</v>
      </c>
      <c r="B687" s="4"/>
      <c r="C687" s="11"/>
      <c r="D687" s="11"/>
      <c r="E687" s="11"/>
      <c r="F687" s="11"/>
      <c r="G687" s="11"/>
      <c r="H687" s="11"/>
      <c r="I687" s="12"/>
      <c r="J687" s="18" t="s">
        <v>1487</v>
      </c>
      <c r="K687" s="18" t="n">
        <v>1124</v>
      </c>
      <c r="L687" s="13" t="n">
        <v>1124</v>
      </c>
      <c r="M687" s="13" t="s">
        <v>1156</v>
      </c>
      <c r="N687" s="0" t="n">
        <v>86</v>
      </c>
    </row>
    <row r="688" customFormat="false" ht="13.8" hidden="false" customHeight="false" outlineLevel="0" collapsed="false">
      <c r="A688" s="10" t="n">
        <v>687</v>
      </c>
      <c r="B688" s="4"/>
      <c r="C688" s="11"/>
      <c r="D688" s="11"/>
      <c r="E688" s="11"/>
      <c r="F688" s="11"/>
      <c r="G688" s="11"/>
      <c r="H688" s="11"/>
      <c r="I688" s="12" t="n">
        <v>121</v>
      </c>
      <c r="J688" s="18" t="s">
        <v>1487</v>
      </c>
      <c r="K688" s="18" t="n">
        <v>126</v>
      </c>
      <c r="L688" s="13" t="n">
        <v>126</v>
      </c>
      <c r="M688" s="13" t="s">
        <v>214</v>
      </c>
      <c r="N688" s="0" t="n">
        <v>86</v>
      </c>
    </row>
    <row r="689" customFormat="false" ht="13.8" hidden="false" customHeight="false" outlineLevel="0" collapsed="false">
      <c r="A689" s="10" t="n">
        <v>688</v>
      </c>
      <c r="B689" s="4"/>
      <c r="C689" s="11"/>
      <c r="D689" s="11"/>
      <c r="E689" s="11"/>
      <c r="F689" s="11"/>
      <c r="G689" s="11"/>
      <c r="H689" s="11"/>
      <c r="I689" s="12" t="n">
        <v>128</v>
      </c>
      <c r="J689" s="18" t="s">
        <v>1487</v>
      </c>
      <c r="K689" s="18" t="n">
        <v>133</v>
      </c>
      <c r="L689" s="13" t="n">
        <v>133</v>
      </c>
      <c r="M689" s="13" t="s">
        <v>220</v>
      </c>
      <c r="N689" s="0" t="n">
        <v>86</v>
      </c>
    </row>
    <row r="690" customFormat="false" ht="13.8" hidden="false" customHeight="false" outlineLevel="0" collapsed="false">
      <c r="A690" s="10" t="n">
        <v>689</v>
      </c>
      <c r="B690" s="4"/>
      <c r="C690" s="11"/>
      <c r="D690" s="11"/>
      <c r="E690" s="11"/>
      <c r="F690" s="11"/>
      <c r="G690" s="11"/>
      <c r="H690" s="11"/>
      <c r="I690" s="12" t="n">
        <v>337</v>
      </c>
      <c r="J690" s="18" t="s">
        <v>1487</v>
      </c>
      <c r="K690" s="18" t="n">
        <v>347</v>
      </c>
      <c r="L690" s="13" t="n">
        <v>347</v>
      </c>
      <c r="M690" s="13" t="s">
        <v>418</v>
      </c>
      <c r="N690" s="0" t="n">
        <v>86</v>
      </c>
    </row>
    <row r="691" customFormat="false" ht="13.8" hidden="false" customHeight="false" outlineLevel="0" collapsed="false">
      <c r="A691" s="10" t="n">
        <v>690</v>
      </c>
      <c r="B691" s="4"/>
      <c r="C691" s="11"/>
      <c r="D691" s="11"/>
      <c r="E691" s="11"/>
      <c r="F691" s="11"/>
      <c r="G691" s="11"/>
      <c r="H691" s="11"/>
      <c r="I691" s="12"/>
      <c r="J691" s="18" t="s">
        <v>1487</v>
      </c>
      <c r="K691" s="18" t="n">
        <v>286</v>
      </c>
      <c r="L691" s="13" t="n">
        <v>286</v>
      </c>
      <c r="M691" s="13" t="s">
        <v>363</v>
      </c>
      <c r="N691" s="0" t="n">
        <v>86</v>
      </c>
    </row>
    <row r="692" customFormat="false" ht="13.8" hidden="false" customHeight="false" outlineLevel="0" collapsed="false">
      <c r="A692" s="10" t="n">
        <v>691</v>
      </c>
      <c r="B692" s="4"/>
      <c r="C692" s="11"/>
      <c r="D692" s="11"/>
      <c r="E692" s="11"/>
      <c r="F692" s="11"/>
      <c r="G692" s="11"/>
      <c r="H692" s="11"/>
      <c r="I692" s="12"/>
      <c r="J692" s="18" t="s">
        <v>1487</v>
      </c>
      <c r="K692" s="18" t="n">
        <v>338</v>
      </c>
      <c r="L692" s="13" t="n">
        <v>338</v>
      </c>
      <c r="M692" s="13" t="s">
        <v>409</v>
      </c>
      <c r="N692" s="0" t="n">
        <v>86</v>
      </c>
    </row>
    <row r="693" customFormat="false" ht="13.8" hidden="false" customHeight="false" outlineLevel="0" collapsed="false">
      <c r="A693" s="10" t="n">
        <v>692</v>
      </c>
      <c r="B693" s="4"/>
      <c r="C693" s="11"/>
      <c r="D693" s="11"/>
      <c r="E693" s="11"/>
      <c r="F693" s="11"/>
      <c r="G693" s="11"/>
      <c r="H693" s="11"/>
      <c r="I693" s="12" t="n">
        <v>678</v>
      </c>
      <c r="J693" s="18" t="s">
        <v>1487</v>
      </c>
      <c r="K693" s="18" t="n">
        <v>689</v>
      </c>
      <c r="L693" s="13" t="n">
        <v>689</v>
      </c>
      <c r="M693" s="13" t="s">
        <v>741</v>
      </c>
      <c r="N693" s="0" t="n">
        <v>86</v>
      </c>
    </row>
    <row r="694" customFormat="false" ht="13.8" hidden="false" customHeight="false" outlineLevel="0" collapsed="false">
      <c r="A694" s="10" t="n">
        <v>693</v>
      </c>
      <c r="B694" s="4"/>
      <c r="C694" s="11"/>
      <c r="D694" s="11"/>
      <c r="E694" s="11"/>
      <c r="F694" s="11"/>
      <c r="G694" s="11" t="s">
        <v>1488</v>
      </c>
      <c r="H694" s="11"/>
      <c r="I694" s="12"/>
      <c r="J694" s="18" t="s">
        <v>1488</v>
      </c>
      <c r="K694" s="18" t="n">
        <v>467</v>
      </c>
      <c r="L694" s="13" t="n">
        <v>467</v>
      </c>
      <c r="M694" s="13" t="s">
        <v>530</v>
      </c>
      <c r="N694" s="0" t="n">
        <v>87</v>
      </c>
    </row>
    <row r="695" customFormat="false" ht="13.8" hidden="false" customHeight="false" outlineLevel="0" collapsed="false">
      <c r="A695" s="10" t="n">
        <v>694</v>
      </c>
      <c r="B695" s="4"/>
      <c r="C695" s="11"/>
      <c r="D695" s="11"/>
      <c r="E695" s="11"/>
      <c r="F695" s="11"/>
      <c r="G695" s="11"/>
      <c r="H695" s="11"/>
      <c r="I695" s="12" t="n">
        <v>83</v>
      </c>
      <c r="J695" s="18" t="s">
        <v>1488</v>
      </c>
      <c r="K695" s="18" t="n">
        <v>88</v>
      </c>
      <c r="L695" s="13" t="n">
        <v>88</v>
      </c>
      <c r="M695" s="13" t="s">
        <v>176</v>
      </c>
      <c r="N695" s="0" t="n">
        <v>87</v>
      </c>
    </row>
    <row r="696" customFormat="false" ht="13.8" hidden="false" customHeight="false" outlineLevel="0" collapsed="false">
      <c r="A696" s="10" t="n">
        <v>695</v>
      </c>
      <c r="B696" s="4"/>
      <c r="C696" s="11"/>
      <c r="D696" s="11"/>
      <c r="E696" s="11"/>
      <c r="F696" s="11"/>
      <c r="G696" s="11"/>
      <c r="H696" s="11"/>
      <c r="I696" s="12"/>
      <c r="J696" s="18" t="s">
        <v>1488</v>
      </c>
      <c r="K696" s="18" t="n">
        <v>700</v>
      </c>
      <c r="L696" s="13" t="n">
        <v>700</v>
      </c>
      <c r="M696" s="13" t="s">
        <v>752</v>
      </c>
      <c r="N696" s="0" t="n">
        <v>87</v>
      </c>
    </row>
    <row r="697" customFormat="false" ht="13.8" hidden="false" customHeight="false" outlineLevel="0" collapsed="false">
      <c r="A697" s="10" t="n">
        <v>696</v>
      </c>
      <c r="B697" s="4"/>
      <c r="C697" s="11"/>
      <c r="D697" s="11"/>
      <c r="E697" s="11"/>
      <c r="F697" s="11"/>
      <c r="G697" s="11"/>
      <c r="H697" s="11"/>
      <c r="I697" s="12"/>
      <c r="J697" s="18" t="s">
        <v>1488</v>
      </c>
      <c r="K697" s="18" t="n">
        <v>708</v>
      </c>
      <c r="L697" s="13" t="n">
        <v>708</v>
      </c>
      <c r="M697" s="13" t="s">
        <v>759</v>
      </c>
      <c r="N697" s="0" t="n">
        <v>87</v>
      </c>
    </row>
    <row r="698" customFormat="false" ht="13.8" hidden="false" customHeight="false" outlineLevel="0" collapsed="false">
      <c r="A698" s="10" t="n">
        <v>697</v>
      </c>
      <c r="B698" s="4"/>
      <c r="C698" s="11"/>
      <c r="D698" s="11"/>
      <c r="E698" s="11"/>
      <c r="F698" s="11"/>
      <c r="G698" s="11"/>
      <c r="H698" s="11"/>
      <c r="I698" s="12"/>
      <c r="J698" s="18" t="s">
        <v>1488</v>
      </c>
      <c r="K698" s="18" t="n">
        <v>716</v>
      </c>
      <c r="L698" s="13" t="n">
        <v>716</v>
      </c>
      <c r="M698" s="13" t="s">
        <v>767</v>
      </c>
      <c r="N698" s="0" t="n">
        <v>87</v>
      </c>
    </row>
    <row r="699" customFormat="false" ht="13.8" hidden="false" customHeight="false" outlineLevel="0" collapsed="false">
      <c r="A699" s="10" t="n">
        <v>698</v>
      </c>
      <c r="B699" s="4"/>
      <c r="C699" s="11"/>
      <c r="D699" s="11"/>
      <c r="E699" s="11"/>
      <c r="F699" s="11"/>
      <c r="G699" s="11"/>
      <c r="H699" s="11"/>
      <c r="I699" s="12"/>
      <c r="J699" s="18" t="s">
        <v>1488</v>
      </c>
      <c r="K699" s="18" t="n">
        <v>724</v>
      </c>
      <c r="L699" s="13" t="n">
        <v>724</v>
      </c>
      <c r="M699" s="13" t="s">
        <v>775</v>
      </c>
      <c r="N699" s="0" t="n">
        <v>87</v>
      </c>
    </row>
    <row r="700" customFormat="false" ht="13.8" hidden="false" customHeight="false" outlineLevel="0" collapsed="false">
      <c r="A700" s="10" t="n">
        <v>699</v>
      </c>
      <c r="B700" s="4"/>
      <c r="C700" s="11"/>
      <c r="D700" s="11"/>
      <c r="E700" s="11"/>
      <c r="F700" s="11"/>
      <c r="G700" s="11"/>
      <c r="H700" s="11"/>
      <c r="I700" s="12"/>
      <c r="J700" s="18" t="s">
        <v>1488</v>
      </c>
      <c r="K700" s="18" t="n">
        <v>331</v>
      </c>
      <c r="L700" s="13" t="n">
        <v>331</v>
      </c>
      <c r="M700" s="13" t="s">
        <v>402</v>
      </c>
      <c r="N700" s="0" t="n">
        <v>87</v>
      </c>
    </row>
    <row r="701" customFormat="false" ht="13.8" hidden="false" customHeight="false" outlineLevel="0" collapsed="false">
      <c r="A701" s="10" t="n">
        <v>700</v>
      </c>
      <c r="B701" s="4"/>
      <c r="C701" s="11"/>
      <c r="D701" s="11"/>
      <c r="E701" s="11"/>
      <c r="F701" s="11"/>
      <c r="G701" s="11"/>
      <c r="H701" s="11"/>
      <c r="I701" s="12" t="n">
        <v>203</v>
      </c>
      <c r="J701" s="18" t="s">
        <v>1488</v>
      </c>
      <c r="K701" s="18" t="n">
        <v>210</v>
      </c>
      <c r="L701" s="13" t="n">
        <v>210</v>
      </c>
      <c r="M701" s="13" t="s">
        <v>294</v>
      </c>
      <c r="N701" s="0" t="n">
        <v>87</v>
      </c>
    </row>
    <row r="702" customFormat="false" ht="13.8" hidden="false" customHeight="false" outlineLevel="0" collapsed="false">
      <c r="A702" s="10" t="n">
        <v>701</v>
      </c>
      <c r="B702" s="4"/>
      <c r="C702" s="11"/>
      <c r="D702" s="11"/>
      <c r="E702" s="11"/>
      <c r="F702" s="11"/>
      <c r="G702" s="11"/>
      <c r="H702" s="11"/>
      <c r="I702" s="12" t="n">
        <v>480</v>
      </c>
      <c r="J702" s="18" t="s">
        <v>1488</v>
      </c>
      <c r="K702" s="18" t="n">
        <v>491</v>
      </c>
      <c r="L702" s="13" t="n">
        <v>491</v>
      </c>
      <c r="M702" s="13" t="s">
        <v>554</v>
      </c>
      <c r="N702" s="0" t="n">
        <v>87</v>
      </c>
    </row>
    <row r="703" customFormat="false" ht="13.8" hidden="false" customHeight="false" outlineLevel="0" collapsed="false">
      <c r="A703" s="10" t="n">
        <v>702</v>
      </c>
      <c r="B703" s="4"/>
      <c r="C703" s="11"/>
      <c r="D703" s="11"/>
      <c r="E703" s="11"/>
      <c r="F703" s="11"/>
      <c r="G703" s="11"/>
      <c r="H703" s="11"/>
      <c r="I703" s="12"/>
      <c r="J703" s="18" t="s">
        <v>1488</v>
      </c>
      <c r="K703" s="18" t="n">
        <v>732</v>
      </c>
      <c r="L703" s="13" t="n">
        <v>732</v>
      </c>
      <c r="M703" s="13" t="s">
        <v>782</v>
      </c>
      <c r="N703" s="0" t="n">
        <v>87</v>
      </c>
    </row>
    <row r="704" customFormat="false" ht="13.8" hidden="false" customHeight="false" outlineLevel="0" collapsed="false">
      <c r="A704" s="10" t="n">
        <v>703</v>
      </c>
      <c r="B704" s="4"/>
      <c r="C704" s="11"/>
      <c r="D704" s="11"/>
      <c r="E704" s="11"/>
      <c r="F704" s="11"/>
      <c r="G704" s="11"/>
      <c r="H704" s="11"/>
      <c r="I704" s="12" t="n">
        <v>514</v>
      </c>
      <c r="J704" s="18" t="s">
        <v>1488</v>
      </c>
      <c r="K704" s="18" t="n">
        <v>525</v>
      </c>
      <c r="L704" s="13" t="n">
        <v>525</v>
      </c>
      <c r="M704" s="13" t="s">
        <v>588</v>
      </c>
      <c r="N704" s="0" t="n">
        <v>87</v>
      </c>
    </row>
    <row r="705" customFormat="false" ht="13.8" hidden="false" customHeight="false" outlineLevel="0" collapsed="false">
      <c r="A705" s="10" t="n">
        <v>704</v>
      </c>
      <c r="B705" s="4"/>
      <c r="C705" s="11"/>
      <c r="D705" s="11"/>
      <c r="E705" s="11"/>
      <c r="F705" s="11"/>
      <c r="G705" s="11"/>
      <c r="H705" s="11"/>
      <c r="I705" s="12"/>
      <c r="J705" s="18" t="s">
        <v>1488</v>
      </c>
      <c r="K705" s="18" t="n">
        <v>1110</v>
      </c>
      <c r="L705" s="13" t="n">
        <v>1110</v>
      </c>
      <c r="M705" s="13" t="s">
        <v>1144</v>
      </c>
      <c r="N705" s="0" t="n">
        <v>87</v>
      </c>
    </row>
    <row r="706" customFormat="false" ht="13.8" hidden="false" customHeight="false" outlineLevel="0" collapsed="false">
      <c r="A706" s="10" t="n">
        <v>705</v>
      </c>
      <c r="B706" s="4"/>
      <c r="C706" s="11"/>
      <c r="D706" s="11"/>
      <c r="E706" s="11"/>
      <c r="F706" s="11"/>
      <c r="G706" s="11"/>
      <c r="H706" s="11"/>
      <c r="I706" s="12"/>
      <c r="J706" s="18" t="s">
        <v>1488</v>
      </c>
      <c r="K706" s="18" t="n">
        <v>1118</v>
      </c>
      <c r="L706" s="13" t="n">
        <v>1118</v>
      </c>
      <c r="M706" s="13" t="s">
        <v>1151</v>
      </c>
      <c r="N706" s="0" t="n">
        <v>87</v>
      </c>
    </row>
    <row r="707" customFormat="false" ht="13.8" hidden="false" customHeight="false" outlineLevel="0" collapsed="false">
      <c r="A707" s="10" t="n">
        <v>706</v>
      </c>
      <c r="B707" s="4"/>
      <c r="C707" s="11"/>
      <c r="D707" s="11"/>
      <c r="E707" s="11"/>
      <c r="F707" s="11"/>
      <c r="G707" s="11"/>
      <c r="H707" s="11"/>
      <c r="I707" s="12"/>
      <c r="J707" s="18" t="s">
        <v>1488</v>
      </c>
      <c r="K707" s="18" t="n">
        <v>557</v>
      </c>
      <c r="L707" s="13" t="n">
        <v>557</v>
      </c>
      <c r="M707" s="13" t="s">
        <v>616</v>
      </c>
      <c r="N707" s="0" t="n">
        <v>87</v>
      </c>
    </row>
    <row r="708" customFormat="false" ht="13.8" hidden="false" customHeight="false" outlineLevel="0" collapsed="false">
      <c r="A708" s="10" t="n">
        <v>707</v>
      </c>
      <c r="B708" s="4"/>
      <c r="C708" s="11"/>
      <c r="D708" s="11"/>
      <c r="E708" s="11"/>
      <c r="F708" s="11"/>
      <c r="G708" s="11"/>
      <c r="H708" s="11"/>
      <c r="I708" s="12" t="n">
        <v>1112</v>
      </c>
      <c r="J708" s="18" t="s">
        <v>1488</v>
      </c>
      <c r="K708" s="18" t="n">
        <v>1126</v>
      </c>
      <c r="L708" s="13" t="n">
        <v>1126</v>
      </c>
      <c r="M708" s="13" t="s">
        <v>1158</v>
      </c>
      <c r="N708" s="0" t="n">
        <v>87</v>
      </c>
    </row>
    <row r="709" customFormat="false" ht="13.8" hidden="false" customHeight="false" outlineLevel="0" collapsed="false">
      <c r="A709" s="10" t="n">
        <v>708</v>
      </c>
      <c r="B709" s="4"/>
      <c r="C709" s="11"/>
      <c r="D709" s="11"/>
      <c r="E709" s="11"/>
      <c r="F709" s="11"/>
      <c r="G709" s="11"/>
      <c r="H709" s="11"/>
      <c r="I709" s="12" t="n">
        <v>1</v>
      </c>
      <c r="J709" s="18" t="s">
        <v>1488</v>
      </c>
      <c r="K709" s="18" t="n">
        <v>1</v>
      </c>
      <c r="L709" s="13" t="n">
        <v>1</v>
      </c>
      <c r="M709" s="13" t="s">
        <v>97</v>
      </c>
      <c r="N709" s="0" t="n">
        <v>87</v>
      </c>
    </row>
    <row r="710" customFormat="false" ht="13.8" hidden="false" customHeight="false" outlineLevel="0" collapsed="false">
      <c r="A710" s="10" t="n">
        <v>709</v>
      </c>
      <c r="B710" s="4"/>
      <c r="C710" s="11"/>
      <c r="D710" s="11"/>
      <c r="E710" s="11"/>
      <c r="F710" s="11"/>
      <c r="G710" s="11"/>
      <c r="H710" s="11"/>
      <c r="I710" s="12" t="n">
        <v>504</v>
      </c>
      <c r="J710" s="18" t="s">
        <v>1488</v>
      </c>
      <c r="K710" s="18" t="n">
        <v>515</v>
      </c>
      <c r="L710" s="13" t="n">
        <v>515</v>
      </c>
      <c r="M710" s="13" t="s">
        <v>578</v>
      </c>
      <c r="N710" s="0" t="n">
        <v>87</v>
      </c>
    </row>
    <row r="711" customFormat="false" ht="13.8" hidden="false" customHeight="false" outlineLevel="0" collapsed="false">
      <c r="A711" s="10" t="n">
        <v>710</v>
      </c>
      <c r="B711" s="4"/>
      <c r="C711" s="11"/>
      <c r="D711" s="11"/>
      <c r="E711" s="11"/>
      <c r="F711" s="11"/>
      <c r="G711" s="11"/>
      <c r="H711" s="11"/>
      <c r="I711" s="12"/>
      <c r="J711" s="18" t="s">
        <v>1488</v>
      </c>
      <c r="K711" s="18" t="n">
        <v>740</v>
      </c>
      <c r="L711" s="13" t="n">
        <v>740</v>
      </c>
      <c r="M711" s="13" t="s">
        <v>790</v>
      </c>
      <c r="N711" s="0" t="n">
        <v>87</v>
      </c>
    </row>
    <row r="712" customFormat="false" ht="13.8" hidden="false" customHeight="false" outlineLevel="0" collapsed="false">
      <c r="A712" s="10" t="n">
        <v>711</v>
      </c>
      <c r="B712" s="4"/>
      <c r="C712" s="11"/>
      <c r="D712" s="11"/>
      <c r="E712" s="11"/>
      <c r="F712" s="11"/>
      <c r="G712" s="11"/>
      <c r="H712" s="11"/>
      <c r="I712" s="12"/>
      <c r="J712" s="18" t="s">
        <v>1488</v>
      </c>
      <c r="K712" s="18" t="n">
        <v>748</v>
      </c>
      <c r="L712" s="13" t="n">
        <v>748</v>
      </c>
      <c r="M712" s="13" t="s">
        <v>798</v>
      </c>
      <c r="N712" s="0" t="n">
        <v>87</v>
      </c>
    </row>
    <row r="713" customFormat="false" ht="13.8" hidden="false" customHeight="false" outlineLevel="0" collapsed="false">
      <c r="A713" s="10" t="n">
        <v>712</v>
      </c>
      <c r="B713" s="4"/>
      <c r="C713" s="11"/>
      <c r="D713" s="11"/>
      <c r="E713" s="11"/>
      <c r="F713" s="11"/>
      <c r="G713" s="11"/>
      <c r="H713" s="11"/>
      <c r="I713" s="12"/>
      <c r="J713" s="18" t="s">
        <v>1488</v>
      </c>
      <c r="K713" s="18" t="n">
        <v>756</v>
      </c>
      <c r="L713" s="13" t="n">
        <v>756</v>
      </c>
      <c r="M713" s="13" t="s">
        <v>806</v>
      </c>
      <c r="N713" s="0" t="n">
        <v>87</v>
      </c>
    </row>
    <row r="714" customFormat="false" ht="13.8" hidden="false" customHeight="false" outlineLevel="0" collapsed="false">
      <c r="A714" s="10" t="n">
        <v>713</v>
      </c>
      <c r="B714" s="4"/>
      <c r="C714" s="11"/>
      <c r="D714" s="11"/>
      <c r="E714" s="11"/>
      <c r="F714" s="11"/>
      <c r="G714" s="11"/>
      <c r="H714" s="11"/>
      <c r="I714" s="12" t="n">
        <v>969</v>
      </c>
      <c r="J714" s="18" t="s">
        <v>1488</v>
      </c>
      <c r="K714" s="18" t="n">
        <v>980</v>
      </c>
      <c r="L714" s="13" t="n">
        <v>980</v>
      </c>
      <c r="M714" s="13" t="s">
        <v>1018</v>
      </c>
      <c r="N714" s="0" t="n">
        <v>87</v>
      </c>
    </row>
    <row r="715" customFormat="false" ht="13.8" hidden="false" customHeight="false" outlineLevel="0" collapsed="false">
      <c r="A715" s="10" t="n">
        <v>714</v>
      </c>
      <c r="B715" s="4"/>
      <c r="C715" s="11"/>
      <c r="D715" s="11"/>
      <c r="E715" s="11"/>
      <c r="F715" s="11"/>
      <c r="G715" s="11"/>
      <c r="H715" s="11"/>
      <c r="I715" s="12" t="n">
        <v>993</v>
      </c>
      <c r="J715" s="18" t="s">
        <v>1488</v>
      </c>
      <c r="K715" s="18" t="n">
        <v>1004</v>
      </c>
      <c r="L715" s="13" t="n">
        <v>1004</v>
      </c>
      <c r="M715" s="13" t="s">
        <v>1042</v>
      </c>
      <c r="N715" s="0" t="n">
        <v>87</v>
      </c>
    </row>
    <row r="716" customFormat="false" ht="13.8" hidden="false" customHeight="false" outlineLevel="0" collapsed="false">
      <c r="A716" s="10" t="n">
        <v>715</v>
      </c>
      <c r="B716" s="4"/>
      <c r="C716" s="11"/>
      <c r="D716" s="11"/>
      <c r="E716" s="11"/>
      <c r="F716" s="11"/>
      <c r="G716" s="11"/>
      <c r="H716" s="11"/>
      <c r="I716" s="12" t="n">
        <v>58</v>
      </c>
      <c r="J716" s="18" t="s">
        <v>1488</v>
      </c>
      <c r="K716" s="18" t="n">
        <v>63</v>
      </c>
      <c r="L716" s="13" t="n">
        <v>63</v>
      </c>
      <c r="M716" s="13" t="s">
        <v>152</v>
      </c>
      <c r="N716" s="0" t="n">
        <v>87</v>
      </c>
    </row>
    <row r="717" customFormat="false" ht="13.8" hidden="false" customHeight="false" outlineLevel="0" collapsed="false">
      <c r="A717" s="10" t="n">
        <v>716</v>
      </c>
      <c r="B717" s="4"/>
      <c r="C717" s="11"/>
      <c r="D717" s="11"/>
      <c r="E717" s="11"/>
      <c r="F717" s="11"/>
      <c r="G717" s="11"/>
      <c r="H717" s="11"/>
      <c r="I717" s="12"/>
      <c r="J717" s="18" t="s">
        <v>1488</v>
      </c>
      <c r="K717" s="18" t="n">
        <v>439</v>
      </c>
      <c r="L717" s="13" t="n">
        <v>439</v>
      </c>
      <c r="M717" s="13" t="s">
        <v>505</v>
      </c>
      <c r="N717" s="0" t="n">
        <v>87</v>
      </c>
    </row>
    <row r="718" customFormat="false" ht="13.8" hidden="false" customHeight="false" outlineLevel="0" collapsed="false">
      <c r="A718" s="10" t="n">
        <v>717</v>
      </c>
      <c r="B718" s="4"/>
      <c r="C718" s="11"/>
      <c r="D718" s="11"/>
      <c r="E718" s="11"/>
      <c r="F718" s="11"/>
      <c r="G718" s="11"/>
      <c r="H718" s="11"/>
      <c r="I718" s="12"/>
      <c r="J718" s="18" t="s">
        <v>1488</v>
      </c>
      <c r="K718" s="18" t="n">
        <v>447</v>
      </c>
      <c r="L718" s="13" t="n">
        <v>447</v>
      </c>
      <c r="M718" s="13" t="s">
        <v>512</v>
      </c>
      <c r="N718" s="0" t="n">
        <v>87</v>
      </c>
    </row>
    <row r="719" customFormat="false" ht="13.8" hidden="false" customHeight="false" outlineLevel="0" collapsed="false">
      <c r="A719" s="10" t="n">
        <v>718</v>
      </c>
      <c r="B719" s="4"/>
      <c r="C719" s="11"/>
      <c r="D719" s="11"/>
      <c r="E719" s="11"/>
      <c r="F719" s="11"/>
      <c r="G719" s="11"/>
      <c r="H719" s="11"/>
      <c r="I719" s="12"/>
      <c r="J719" s="18" t="s">
        <v>1488</v>
      </c>
      <c r="K719" s="18" t="n">
        <v>455</v>
      </c>
      <c r="L719" s="13" t="n">
        <v>455</v>
      </c>
      <c r="M719" s="13" t="s">
        <v>519</v>
      </c>
      <c r="N719" s="0" t="n">
        <v>87</v>
      </c>
    </row>
    <row r="720" customFormat="false" ht="13.8" hidden="false" customHeight="false" outlineLevel="0" collapsed="false">
      <c r="A720" s="10" t="n">
        <v>719</v>
      </c>
      <c r="B720" s="4"/>
      <c r="C720" s="11"/>
      <c r="D720" s="11"/>
      <c r="E720" s="11"/>
      <c r="F720" s="11"/>
      <c r="G720" s="11"/>
      <c r="H720" s="11"/>
      <c r="I720" s="12"/>
      <c r="J720" s="18" t="s">
        <v>1488</v>
      </c>
      <c r="K720" s="18" t="n">
        <v>464</v>
      </c>
      <c r="L720" s="13" t="n">
        <v>464</v>
      </c>
      <c r="M720" s="13" t="s">
        <v>527</v>
      </c>
      <c r="N720" s="0" t="n">
        <v>87</v>
      </c>
    </row>
    <row r="721" customFormat="false" ht="13.8" hidden="false" customHeight="false" outlineLevel="0" collapsed="false">
      <c r="A721" s="10" t="n">
        <v>720</v>
      </c>
      <c r="B721" s="4"/>
      <c r="C721" s="11"/>
      <c r="D721" s="11"/>
      <c r="E721" s="11"/>
      <c r="F721" s="11"/>
      <c r="G721" s="11"/>
      <c r="H721" s="11"/>
      <c r="I721" s="12" t="n">
        <v>682</v>
      </c>
      <c r="J721" s="18" t="s">
        <v>1488</v>
      </c>
      <c r="K721" s="18" t="n">
        <v>693</v>
      </c>
      <c r="L721" s="13" t="n">
        <v>693</v>
      </c>
      <c r="M721" s="13" t="s">
        <v>745</v>
      </c>
      <c r="N721" s="0" t="n">
        <v>87</v>
      </c>
    </row>
    <row r="722" customFormat="false" ht="13.8" hidden="false" customHeight="false" outlineLevel="0" collapsed="false">
      <c r="A722" s="10" t="n">
        <v>721</v>
      </c>
      <c r="B722" s="4"/>
      <c r="C722" s="11"/>
      <c r="D722" s="11"/>
      <c r="E722" s="11"/>
      <c r="F722" s="11"/>
      <c r="G722" s="11"/>
      <c r="H722" s="11"/>
      <c r="I722" s="12"/>
      <c r="J722" s="18" t="s">
        <v>1488</v>
      </c>
      <c r="K722" s="18" t="n">
        <v>761</v>
      </c>
      <c r="L722" s="13" t="n">
        <v>761</v>
      </c>
      <c r="M722" s="13" t="s">
        <v>811</v>
      </c>
      <c r="N722" s="0" t="n">
        <v>87</v>
      </c>
    </row>
    <row r="723" customFormat="false" ht="13.8" hidden="false" customHeight="false" outlineLevel="0" collapsed="false">
      <c r="A723" s="10" t="n">
        <v>722</v>
      </c>
      <c r="B723" s="4"/>
      <c r="C723" s="11"/>
      <c r="D723" s="11"/>
      <c r="E723" s="11"/>
      <c r="F723" s="11"/>
      <c r="G723" s="11"/>
      <c r="H723" s="11"/>
      <c r="I723" s="12"/>
      <c r="J723" s="18" t="s">
        <v>1488</v>
      </c>
      <c r="K723" s="18" t="n">
        <v>769</v>
      </c>
      <c r="L723" s="13" t="n">
        <v>769</v>
      </c>
      <c r="M723" s="13" t="s">
        <v>819</v>
      </c>
      <c r="N723" s="0" t="n">
        <v>87</v>
      </c>
    </row>
    <row r="724" customFormat="false" ht="13.8" hidden="false" customHeight="false" outlineLevel="0" collapsed="false">
      <c r="A724" s="10" t="n">
        <v>723</v>
      </c>
      <c r="B724" s="4"/>
      <c r="C724" s="11"/>
      <c r="D724" s="11"/>
      <c r="E724" s="11"/>
      <c r="F724" s="11"/>
      <c r="G724" s="11"/>
      <c r="H724" s="11"/>
      <c r="I724" s="12"/>
      <c r="J724" s="18" t="s">
        <v>1488</v>
      </c>
      <c r="K724" s="18" t="n">
        <v>777</v>
      </c>
      <c r="L724" s="13" t="n">
        <v>777</v>
      </c>
      <c r="M724" s="13" t="s">
        <v>825</v>
      </c>
      <c r="N724" s="0" t="n">
        <v>87</v>
      </c>
    </row>
    <row r="725" customFormat="false" ht="13.8" hidden="false" customHeight="false" outlineLevel="0" collapsed="false">
      <c r="A725" s="10" t="n">
        <v>724</v>
      </c>
      <c r="B725" s="4"/>
      <c r="C725" s="11"/>
      <c r="D725" s="11"/>
      <c r="E725" s="11"/>
      <c r="F725" s="11"/>
      <c r="G725" s="11"/>
      <c r="H725" s="11"/>
      <c r="I725" s="12"/>
      <c r="J725" s="18" t="s">
        <v>1488</v>
      </c>
      <c r="K725" s="18" t="n">
        <v>785</v>
      </c>
      <c r="L725" s="13" t="n">
        <v>785</v>
      </c>
      <c r="M725" s="13" t="s">
        <v>833</v>
      </c>
      <c r="N725" s="0" t="n">
        <v>87</v>
      </c>
    </row>
    <row r="726" customFormat="false" ht="13.8" hidden="false" customHeight="false" outlineLevel="0" collapsed="false">
      <c r="A726" s="10" t="n">
        <v>725</v>
      </c>
      <c r="B726" s="4"/>
      <c r="C726" s="11"/>
      <c r="D726" s="11"/>
      <c r="E726" s="11"/>
      <c r="F726" s="11"/>
      <c r="G726" s="11"/>
      <c r="H726" s="11"/>
      <c r="I726" s="12" t="n">
        <v>935</v>
      </c>
      <c r="J726" s="18" t="s">
        <v>1488</v>
      </c>
      <c r="K726" s="18" t="n">
        <v>946</v>
      </c>
      <c r="L726" s="13" t="n">
        <v>946</v>
      </c>
      <c r="M726" s="13" t="s">
        <v>986</v>
      </c>
      <c r="N726" s="0" t="n">
        <v>87</v>
      </c>
    </row>
    <row r="727" customFormat="false" ht="13.8" hidden="false" customHeight="false" outlineLevel="0" collapsed="false">
      <c r="A727" s="10" t="n">
        <v>726</v>
      </c>
      <c r="B727" s="4"/>
      <c r="C727" s="11"/>
      <c r="D727" s="11"/>
      <c r="E727" s="11"/>
      <c r="F727" s="11"/>
      <c r="G727" s="11" t="s">
        <v>1489</v>
      </c>
      <c r="H727" s="11"/>
      <c r="I727" s="12" t="n">
        <v>187</v>
      </c>
      <c r="J727" s="18" t="s">
        <v>1489</v>
      </c>
      <c r="K727" s="18" t="n">
        <v>194</v>
      </c>
      <c r="L727" s="13" t="n">
        <v>194</v>
      </c>
      <c r="M727" s="13" t="s">
        <v>278</v>
      </c>
      <c r="N727" s="0" t="n">
        <v>88</v>
      </c>
    </row>
    <row r="728" customFormat="false" ht="13.8" hidden="false" customHeight="false" outlineLevel="0" collapsed="false">
      <c r="A728" s="10" t="n">
        <v>727</v>
      </c>
      <c r="B728" s="4"/>
      <c r="C728" s="11"/>
      <c r="D728" s="11"/>
      <c r="E728" s="11"/>
      <c r="F728" s="11"/>
      <c r="G728" s="11"/>
      <c r="H728" s="11"/>
      <c r="I728" s="12"/>
      <c r="J728" s="18" t="s">
        <v>1489</v>
      </c>
      <c r="K728" s="18" t="n">
        <v>290</v>
      </c>
      <c r="L728" s="13" t="n">
        <v>290</v>
      </c>
      <c r="M728" s="13" t="s">
        <v>367</v>
      </c>
      <c r="N728" s="0" t="n">
        <v>88</v>
      </c>
    </row>
    <row r="729" customFormat="false" ht="13.8" hidden="false" customHeight="false" outlineLevel="0" collapsed="false">
      <c r="A729" s="10" t="n">
        <v>728</v>
      </c>
      <c r="B729" s="4"/>
      <c r="C729" s="11"/>
      <c r="D729" s="11"/>
      <c r="E729" s="11"/>
      <c r="F729" s="11"/>
      <c r="G729" s="11"/>
      <c r="H729" s="11"/>
      <c r="I729" s="12" t="n">
        <v>219</v>
      </c>
      <c r="J729" s="18" t="s">
        <v>1489</v>
      </c>
      <c r="K729" s="18" t="n">
        <v>226</v>
      </c>
      <c r="L729" s="13" t="n">
        <v>226</v>
      </c>
      <c r="M729" s="13" t="s">
        <v>309</v>
      </c>
      <c r="N729" s="0" t="n">
        <v>88</v>
      </c>
    </row>
    <row r="730" customFormat="false" ht="13.8" hidden="false" customHeight="false" outlineLevel="0" collapsed="false">
      <c r="A730" s="10" t="n">
        <v>729</v>
      </c>
      <c r="B730" s="4"/>
      <c r="C730" s="11"/>
      <c r="D730" s="11"/>
      <c r="E730" s="11"/>
      <c r="F730" s="11"/>
      <c r="G730" s="11"/>
      <c r="H730" s="11"/>
      <c r="I730" s="12" t="n">
        <v>346</v>
      </c>
      <c r="J730" s="18" t="s">
        <v>1489</v>
      </c>
      <c r="K730" s="18" t="n">
        <v>356</v>
      </c>
      <c r="L730" s="13" t="n">
        <v>356</v>
      </c>
      <c r="M730" s="13" t="s">
        <v>427</v>
      </c>
      <c r="N730" s="0" t="n">
        <v>88</v>
      </c>
    </row>
    <row r="731" customFormat="false" ht="13.8" hidden="false" customHeight="false" outlineLevel="0" collapsed="false">
      <c r="A731" s="10" t="n">
        <v>730</v>
      </c>
      <c r="B731" s="4"/>
      <c r="C731" s="11"/>
      <c r="D731" s="11"/>
      <c r="E731" s="11"/>
      <c r="F731" s="11"/>
      <c r="G731" s="11"/>
      <c r="H731" s="11"/>
      <c r="I731" s="12" t="n">
        <v>354</v>
      </c>
      <c r="J731" s="18" t="s">
        <v>1489</v>
      </c>
      <c r="K731" s="18" t="n">
        <v>364</v>
      </c>
      <c r="L731" s="13" t="n">
        <v>364</v>
      </c>
      <c r="M731" s="13" t="s">
        <v>434</v>
      </c>
      <c r="N731" s="0" t="n">
        <v>88</v>
      </c>
    </row>
    <row r="732" customFormat="false" ht="13.8" hidden="false" customHeight="false" outlineLevel="0" collapsed="false">
      <c r="A732" s="10" t="n">
        <v>731</v>
      </c>
      <c r="B732" s="4"/>
      <c r="C732" s="11"/>
      <c r="D732" s="11"/>
      <c r="E732" s="11"/>
      <c r="F732" s="11"/>
      <c r="G732" s="11"/>
      <c r="H732" s="11"/>
      <c r="I732" s="12" t="n">
        <v>167</v>
      </c>
      <c r="J732" s="18" t="s">
        <v>1489</v>
      </c>
      <c r="K732" s="18" t="n">
        <v>173</v>
      </c>
      <c r="L732" s="13" t="n">
        <v>173</v>
      </c>
      <c r="M732" s="13" t="s">
        <v>258</v>
      </c>
      <c r="N732" s="0" t="n">
        <v>88</v>
      </c>
    </row>
    <row r="733" customFormat="false" ht="13.8" hidden="false" customHeight="false" outlineLevel="0" collapsed="false">
      <c r="A733" s="10" t="n">
        <v>732</v>
      </c>
      <c r="B733" s="4"/>
      <c r="C733" s="11"/>
      <c r="D733" s="11"/>
      <c r="E733" s="11"/>
      <c r="F733" s="11"/>
      <c r="G733" s="11"/>
      <c r="H733" s="11"/>
      <c r="I733" s="12" t="n">
        <v>459</v>
      </c>
      <c r="J733" s="18" t="s">
        <v>1489</v>
      </c>
      <c r="K733" s="18" t="n">
        <v>470</v>
      </c>
      <c r="L733" s="13" t="n">
        <v>470</v>
      </c>
      <c r="M733" s="13" t="s">
        <v>533</v>
      </c>
      <c r="N733" s="0" t="n">
        <v>88</v>
      </c>
    </row>
    <row r="734" customFormat="false" ht="13.8" hidden="false" customHeight="false" outlineLevel="0" collapsed="false">
      <c r="A734" s="10" t="n">
        <v>733</v>
      </c>
      <c r="B734" s="4"/>
      <c r="C734" s="11"/>
      <c r="D734" s="11"/>
      <c r="E734" s="11"/>
      <c r="F734" s="11"/>
      <c r="G734" s="11"/>
      <c r="H734" s="11"/>
      <c r="I734" s="12" t="n">
        <v>603</v>
      </c>
      <c r="J734" s="18" t="s">
        <v>1489</v>
      </c>
      <c r="K734" s="18" t="n">
        <v>614</v>
      </c>
      <c r="L734" s="13" t="n">
        <v>614</v>
      </c>
      <c r="M734" s="13" t="s">
        <v>670</v>
      </c>
      <c r="N734" s="0" t="n">
        <v>88</v>
      </c>
    </row>
    <row r="735" customFormat="false" ht="13.8" hidden="false" customHeight="false" outlineLevel="0" collapsed="false">
      <c r="A735" s="10" t="n">
        <v>734</v>
      </c>
      <c r="B735" s="4"/>
      <c r="C735" s="11"/>
      <c r="D735" s="11"/>
      <c r="E735" s="11"/>
      <c r="F735" s="11"/>
      <c r="G735" s="11"/>
      <c r="H735" s="11"/>
      <c r="I735" s="12" t="n">
        <v>786</v>
      </c>
      <c r="J735" s="18" t="s">
        <v>1489</v>
      </c>
      <c r="K735" s="18" t="n">
        <v>797</v>
      </c>
      <c r="L735" s="13" t="n">
        <v>797</v>
      </c>
      <c r="M735" s="13" t="s">
        <v>845</v>
      </c>
      <c r="N735" s="0" t="n">
        <v>88</v>
      </c>
    </row>
    <row r="736" customFormat="false" ht="13.8" hidden="false" customHeight="false" outlineLevel="0" collapsed="false">
      <c r="A736" s="10" t="n">
        <v>735</v>
      </c>
      <c r="B736" s="4"/>
      <c r="C736" s="11"/>
      <c r="D736" s="11"/>
      <c r="E736" s="11"/>
      <c r="F736" s="11"/>
      <c r="G736" s="11"/>
      <c r="H736" s="11"/>
      <c r="I736" s="12"/>
      <c r="J736" s="18" t="s">
        <v>1489</v>
      </c>
      <c r="K736" s="18" t="n">
        <v>796</v>
      </c>
      <c r="L736" s="13" t="n">
        <v>796</v>
      </c>
      <c r="M736" s="13" t="s">
        <v>844</v>
      </c>
      <c r="N736" s="0" t="n">
        <v>88</v>
      </c>
    </row>
    <row r="737" customFormat="false" ht="13.8" hidden="false" customHeight="false" outlineLevel="0" collapsed="false">
      <c r="A737" s="10" t="n">
        <v>736</v>
      </c>
      <c r="B737" s="4"/>
      <c r="C737" s="11"/>
      <c r="D737" s="11"/>
      <c r="E737" s="11"/>
      <c r="F737" s="11"/>
      <c r="G737" s="11"/>
      <c r="H737" s="11"/>
      <c r="I737" s="12" t="n">
        <v>793</v>
      </c>
      <c r="J737" s="18" t="s">
        <v>1489</v>
      </c>
      <c r="K737" s="18" t="n">
        <v>804</v>
      </c>
      <c r="L737" s="13" t="n">
        <v>804</v>
      </c>
      <c r="M737" s="13" t="s">
        <v>852</v>
      </c>
      <c r="N737" s="0" t="n">
        <v>88</v>
      </c>
    </row>
    <row r="738" customFormat="false" ht="13.8" hidden="false" customHeight="false" outlineLevel="0" collapsed="false">
      <c r="A738" s="10" t="n">
        <v>737</v>
      </c>
      <c r="B738" s="4"/>
      <c r="C738" s="11"/>
      <c r="D738" s="11" t="s">
        <v>1490</v>
      </c>
      <c r="E738" s="11"/>
      <c r="F738" s="11"/>
      <c r="G738" s="11"/>
      <c r="H738" s="11"/>
      <c r="I738" s="12" t="n">
        <v>303</v>
      </c>
      <c r="L738" s="13" t="n">
        <v>313</v>
      </c>
      <c r="M738" s="13" t="s">
        <v>385</v>
      </c>
    </row>
    <row r="739" customFormat="false" ht="13.8" hidden="false" customHeight="false" outlineLevel="0" collapsed="false">
      <c r="A739" s="10" t="n">
        <v>738</v>
      </c>
      <c r="B739" s="4"/>
      <c r="C739" s="11"/>
      <c r="D739" s="11"/>
      <c r="E739" s="11" t="s">
        <v>1491</v>
      </c>
      <c r="F739" s="11"/>
      <c r="G739" s="11"/>
      <c r="H739" s="11"/>
      <c r="I739" s="12"/>
      <c r="J739" s="18" t="s">
        <v>1491</v>
      </c>
      <c r="K739" s="18" t="n">
        <v>339</v>
      </c>
      <c r="L739" s="13" t="n">
        <v>339</v>
      </c>
      <c r="M739" s="13" t="s">
        <v>410</v>
      </c>
      <c r="N739" s="0" t="n">
        <v>89</v>
      </c>
    </row>
    <row r="740" customFormat="false" ht="13.8" hidden="false" customHeight="false" outlineLevel="0" collapsed="false">
      <c r="A740" s="10" t="n">
        <v>739</v>
      </c>
      <c r="B740" s="4"/>
      <c r="C740" s="11"/>
      <c r="D740" s="11"/>
      <c r="E740" s="11"/>
      <c r="F740" s="11" t="s">
        <v>1492</v>
      </c>
      <c r="G740" s="11"/>
      <c r="H740" s="11"/>
      <c r="I740" s="12"/>
      <c r="J740" s="18" t="s">
        <v>1491</v>
      </c>
      <c r="K740" s="18" t="n">
        <v>302</v>
      </c>
      <c r="L740" s="13" t="n">
        <v>302</v>
      </c>
      <c r="M740" s="13" t="s">
        <v>377</v>
      </c>
      <c r="N740" s="0" t="n">
        <v>89</v>
      </c>
    </row>
    <row r="741" customFormat="false" ht="13.8" hidden="false" customHeight="false" outlineLevel="0" collapsed="false">
      <c r="A741" s="10" t="n">
        <v>740</v>
      </c>
      <c r="B741" s="4"/>
      <c r="C741" s="11"/>
      <c r="D741" s="11"/>
      <c r="E741" s="11"/>
      <c r="F741" s="11"/>
      <c r="G741" s="11"/>
      <c r="H741" s="11"/>
      <c r="I741" s="12" t="n">
        <v>840</v>
      </c>
      <c r="J741" s="18" t="s">
        <v>1491</v>
      </c>
      <c r="K741" s="18" t="n">
        <v>851</v>
      </c>
      <c r="L741" s="13" t="n">
        <v>851</v>
      </c>
      <c r="M741" s="13" t="s">
        <v>896</v>
      </c>
      <c r="N741" s="0" t="n">
        <v>89</v>
      </c>
    </row>
    <row r="742" customFormat="false" ht="13.8" hidden="false" customHeight="false" outlineLevel="0" collapsed="false">
      <c r="A742" s="10" t="n">
        <v>741</v>
      </c>
      <c r="B742" s="4"/>
      <c r="C742" s="11"/>
      <c r="D742" s="11"/>
      <c r="E742" s="11"/>
      <c r="F742" s="11"/>
      <c r="G742" s="11"/>
      <c r="H742" s="11"/>
      <c r="I742" s="12" t="n">
        <v>831</v>
      </c>
      <c r="J742" s="18" t="s">
        <v>1491</v>
      </c>
      <c r="K742" s="18" t="n">
        <v>842</v>
      </c>
      <c r="L742" s="13" t="n">
        <v>842</v>
      </c>
      <c r="M742" s="13" t="s">
        <v>887</v>
      </c>
      <c r="N742" s="0" t="n">
        <v>89</v>
      </c>
    </row>
    <row r="743" customFormat="false" ht="13.8" hidden="false" customHeight="false" outlineLevel="0" collapsed="false">
      <c r="A743" s="10" t="n">
        <v>742</v>
      </c>
      <c r="B743" s="4"/>
      <c r="C743" s="11"/>
      <c r="D743" s="11"/>
      <c r="E743" s="11"/>
      <c r="F743" s="11"/>
      <c r="G743" s="11"/>
      <c r="H743" s="11"/>
      <c r="I743" s="12"/>
      <c r="J743" s="18" t="s">
        <v>1491</v>
      </c>
      <c r="K743" s="18" t="n">
        <v>834</v>
      </c>
      <c r="L743" s="13" t="n">
        <v>834</v>
      </c>
      <c r="M743" s="13" t="s">
        <v>879</v>
      </c>
      <c r="N743" s="0" t="n">
        <v>89</v>
      </c>
    </row>
    <row r="744" customFormat="false" ht="13.8" hidden="false" customHeight="false" outlineLevel="0" collapsed="false">
      <c r="A744" s="10" t="n">
        <v>743</v>
      </c>
      <c r="B744" s="4"/>
      <c r="C744" s="11"/>
      <c r="D744" s="11"/>
      <c r="E744" s="11"/>
      <c r="F744" s="11" t="s">
        <v>1493</v>
      </c>
      <c r="G744" s="11"/>
      <c r="H744" s="11"/>
      <c r="I744" s="12" t="n">
        <v>4</v>
      </c>
      <c r="J744" s="18" t="s">
        <v>1491</v>
      </c>
      <c r="K744" s="18" t="n">
        <v>4</v>
      </c>
      <c r="L744" s="13" t="n">
        <v>4</v>
      </c>
      <c r="M744" s="13" t="s">
        <v>100</v>
      </c>
      <c r="N744" s="0" t="n">
        <v>89</v>
      </c>
    </row>
    <row r="745" customFormat="false" ht="13.8" hidden="false" customHeight="false" outlineLevel="0" collapsed="false">
      <c r="A745" s="10" t="n">
        <v>744</v>
      </c>
      <c r="B745" s="4"/>
      <c r="C745" s="11"/>
      <c r="D745" s="11"/>
      <c r="E745" s="11"/>
      <c r="F745" s="11"/>
      <c r="G745" s="11"/>
      <c r="H745" s="11"/>
      <c r="I745" s="12"/>
      <c r="J745" s="18" t="s">
        <v>1491</v>
      </c>
      <c r="K745" s="18" t="n">
        <v>811</v>
      </c>
      <c r="L745" s="13" t="n">
        <v>811</v>
      </c>
      <c r="M745" s="13" t="s">
        <v>858</v>
      </c>
      <c r="N745" s="0" t="n">
        <v>89</v>
      </c>
    </row>
    <row r="746" customFormat="false" ht="13.8" hidden="false" customHeight="false" outlineLevel="0" collapsed="false">
      <c r="A746" s="10" t="n">
        <v>745</v>
      </c>
      <c r="B746" s="4"/>
      <c r="C746" s="11"/>
      <c r="D746" s="11"/>
      <c r="E746" s="11"/>
      <c r="F746" s="11"/>
      <c r="G746" s="11"/>
      <c r="H746" s="11"/>
      <c r="I746" s="12"/>
      <c r="J746" s="18" t="s">
        <v>1491</v>
      </c>
      <c r="K746" s="18" t="n">
        <v>820</v>
      </c>
      <c r="L746" s="13" t="n">
        <v>820</v>
      </c>
      <c r="M746" s="13" t="s">
        <v>866</v>
      </c>
      <c r="N746" s="0" t="n">
        <v>89</v>
      </c>
    </row>
    <row r="747" customFormat="false" ht="13.8" hidden="false" customHeight="false" outlineLevel="0" collapsed="false">
      <c r="A747" s="10" t="n">
        <v>746</v>
      </c>
      <c r="B747" s="4"/>
      <c r="C747" s="11"/>
      <c r="D747" s="11"/>
      <c r="E747" s="11"/>
      <c r="F747" s="11"/>
      <c r="G747" s="11"/>
      <c r="H747" s="11"/>
      <c r="I747" s="12"/>
      <c r="J747" s="18" t="s">
        <v>1491</v>
      </c>
      <c r="K747" s="18" t="n">
        <v>828</v>
      </c>
      <c r="L747" s="13" t="n">
        <v>828</v>
      </c>
      <c r="M747" s="13" t="s">
        <v>873</v>
      </c>
      <c r="N747" s="0" t="n">
        <v>89</v>
      </c>
    </row>
    <row r="748" customFormat="false" ht="13.8" hidden="false" customHeight="false" outlineLevel="0" collapsed="false">
      <c r="A748" s="10" t="n">
        <v>747</v>
      </c>
      <c r="B748" s="4"/>
      <c r="C748" s="11"/>
      <c r="D748" s="11"/>
      <c r="E748" s="11"/>
      <c r="F748" s="11"/>
      <c r="G748" s="11"/>
      <c r="H748" s="11"/>
      <c r="I748" s="12" t="n">
        <v>569</v>
      </c>
      <c r="J748" s="18" t="s">
        <v>1491</v>
      </c>
      <c r="K748" s="18" t="n">
        <v>580</v>
      </c>
      <c r="L748" s="13" t="n">
        <v>580</v>
      </c>
      <c r="M748" s="13" t="s">
        <v>639</v>
      </c>
      <c r="N748" s="0" t="n">
        <v>89</v>
      </c>
    </row>
    <row r="749" customFormat="false" ht="13.8" hidden="false" customHeight="false" outlineLevel="0" collapsed="false">
      <c r="A749" s="10" t="n">
        <v>748</v>
      </c>
      <c r="B749" s="4"/>
      <c r="C749" s="11"/>
      <c r="D749" s="11"/>
      <c r="E749" s="11"/>
      <c r="F749" s="11"/>
      <c r="G749" s="11"/>
      <c r="H749" s="11"/>
      <c r="I749" s="12" t="n">
        <v>263</v>
      </c>
      <c r="J749" s="18" t="s">
        <v>1491</v>
      </c>
      <c r="K749" s="18" t="n">
        <v>271</v>
      </c>
      <c r="L749" s="13" t="n">
        <v>271</v>
      </c>
      <c r="M749" s="13" t="s">
        <v>352</v>
      </c>
      <c r="N749" s="0" t="n">
        <v>89</v>
      </c>
    </row>
    <row r="750" customFormat="false" ht="13.8" hidden="false" customHeight="false" outlineLevel="0" collapsed="false">
      <c r="A750" s="10" t="n">
        <v>749</v>
      </c>
      <c r="B750" s="4"/>
      <c r="C750" s="11"/>
      <c r="D750" s="11"/>
      <c r="E750" s="11"/>
      <c r="F750" s="11"/>
      <c r="G750" s="11"/>
      <c r="H750" s="11"/>
      <c r="I750" s="12" t="n">
        <v>863</v>
      </c>
      <c r="J750" s="18" t="s">
        <v>1491</v>
      </c>
      <c r="K750" s="18" t="n">
        <v>874</v>
      </c>
      <c r="L750" s="13" t="n">
        <v>874</v>
      </c>
      <c r="M750" s="13" t="s">
        <v>919</v>
      </c>
      <c r="N750" s="0" t="n">
        <v>89</v>
      </c>
    </row>
    <row r="751" customFormat="false" ht="13.8" hidden="false" customHeight="false" outlineLevel="0" collapsed="false">
      <c r="A751" s="10" t="n">
        <v>750</v>
      </c>
      <c r="B751" s="4"/>
      <c r="C751" s="11"/>
      <c r="D751" s="11"/>
      <c r="E751" s="11"/>
      <c r="F751" s="11"/>
      <c r="G751" s="11"/>
      <c r="H751" s="11"/>
      <c r="I751" s="12" t="n">
        <v>449</v>
      </c>
      <c r="J751" s="18" t="s">
        <v>1491</v>
      </c>
      <c r="K751" s="18" t="n">
        <v>460</v>
      </c>
      <c r="L751" s="13" t="n">
        <v>460</v>
      </c>
      <c r="M751" s="13" t="s">
        <v>524</v>
      </c>
      <c r="N751" s="0" t="n">
        <v>89</v>
      </c>
    </row>
    <row r="752" customFormat="false" ht="13.8" hidden="false" customHeight="false" outlineLevel="0" collapsed="false">
      <c r="A752" s="10" t="n">
        <v>751</v>
      </c>
      <c r="B752" s="4"/>
      <c r="C752" s="11"/>
      <c r="D752" s="11"/>
      <c r="E752" s="11" t="s">
        <v>1494</v>
      </c>
      <c r="F752" s="11"/>
      <c r="G752" s="11"/>
      <c r="H752" s="11"/>
      <c r="I752" s="12"/>
      <c r="J752" s="18" t="s">
        <v>1494</v>
      </c>
      <c r="K752" s="18" t="n">
        <v>323</v>
      </c>
      <c r="L752" s="13" t="n">
        <v>323</v>
      </c>
      <c r="M752" s="13" t="s">
        <v>395</v>
      </c>
    </row>
    <row r="753" customFormat="false" ht="13.8" hidden="false" customHeight="false" outlineLevel="0" collapsed="false">
      <c r="A753" s="10" t="n">
        <v>752</v>
      </c>
      <c r="B753" s="4"/>
      <c r="C753" s="11"/>
      <c r="D753" s="11"/>
      <c r="E753" s="11"/>
      <c r="F753" s="11"/>
      <c r="G753" s="11"/>
      <c r="H753" s="11"/>
      <c r="I753" s="12" t="n">
        <v>371</v>
      </c>
      <c r="J753" s="18" t="s">
        <v>1494</v>
      </c>
      <c r="K753" s="18" t="n">
        <v>381</v>
      </c>
      <c r="L753" s="13" t="n">
        <v>381</v>
      </c>
      <c r="M753" s="13" t="s">
        <v>451</v>
      </c>
      <c r="N753" s="0" t="n">
        <v>90</v>
      </c>
    </row>
    <row r="754" customFormat="false" ht="13.8" hidden="false" customHeight="false" outlineLevel="0" collapsed="false">
      <c r="A754" s="10" t="n">
        <v>753</v>
      </c>
      <c r="B754" s="4"/>
      <c r="C754" s="11"/>
      <c r="D754" s="11"/>
      <c r="E754" s="11"/>
      <c r="F754" s="11"/>
      <c r="G754" s="11"/>
      <c r="H754" s="11"/>
      <c r="I754" s="12" t="n">
        <v>738</v>
      </c>
      <c r="J754" s="18" t="s">
        <v>1494</v>
      </c>
      <c r="K754" s="18" t="n">
        <v>749</v>
      </c>
      <c r="L754" s="13" t="n">
        <v>749</v>
      </c>
      <c r="M754" s="13" t="s">
        <v>799</v>
      </c>
      <c r="N754" s="0" t="n">
        <v>90</v>
      </c>
    </row>
    <row r="755" customFormat="false" ht="13.8" hidden="false" customHeight="false" outlineLevel="0" collapsed="false">
      <c r="A755" s="10" t="n">
        <v>754</v>
      </c>
      <c r="B755" s="4"/>
      <c r="C755" s="11"/>
      <c r="D755" s="11"/>
      <c r="E755" s="11"/>
      <c r="F755" s="11"/>
      <c r="G755" s="11"/>
      <c r="H755" s="11"/>
      <c r="I755" s="12" t="n">
        <v>123</v>
      </c>
      <c r="J755" s="18" t="s">
        <v>1494</v>
      </c>
      <c r="K755" s="18" t="n">
        <v>128</v>
      </c>
      <c r="L755" s="13" t="n">
        <v>128</v>
      </c>
      <c r="M755" s="13" t="s">
        <v>216</v>
      </c>
      <c r="N755" s="0" t="n">
        <v>91</v>
      </c>
    </row>
    <row r="756" customFormat="false" ht="13.8" hidden="false" customHeight="false" outlineLevel="0" collapsed="false">
      <c r="A756" s="10" t="n">
        <v>755</v>
      </c>
      <c r="B756" s="4"/>
      <c r="C756" s="11"/>
      <c r="D756" s="11"/>
      <c r="E756" s="11"/>
      <c r="F756" s="11"/>
      <c r="G756" s="11"/>
      <c r="H756" s="11"/>
      <c r="I756" s="12"/>
      <c r="J756" s="18" t="s">
        <v>1494</v>
      </c>
      <c r="K756" s="18" t="n">
        <v>539</v>
      </c>
      <c r="L756" s="13" t="n">
        <v>539</v>
      </c>
      <c r="M756" s="13" t="s">
        <v>601</v>
      </c>
      <c r="N756" s="0" t="n">
        <v>91</v>
      </c>
    </row>
    <row r="757" customFormat="false" ht="13.8" hidden="false" customHeight="false" outlineLevel="0" collapsed="false">
      <c r="A757" s="10" t="n">
        <v>756</v>
      </c>
      <c r="B757" s="4"/>
      <c r="C757" s="11"/>
      <c r="D757" s="11"/>
      <c r="E757" s="11"/>
      <c r="F757" s="11"/>
      <c r="G757" s="11"/>
      <c r="H757" s="11"/>
      <c r="I757" s="12"/>
      <c r="J757" s="18" t="s">
        <v>1494</v>
      </c>
      <c r="K757" s="18" t="n">
        <v>548</v>
      </c>
      <c r="L757" s="13" t="n">
        <v>548</v>
      </c>
      <c r="M757" s="13" t="s">
        <v>608</v>
      </c>
      <c r="N757" s="0" t="n">
        <v>91</v>
      </c>
    </row>
    <row r="758" customFormat="false" ht="13.8" hidden="false" customHeight="false" outlineLevel="0" collapsed="false">
      <c r="A758" s="10" t="n">
        <v>757</v>
      </c>
      <c r="B758" s="4"/>
      <c r="C758" s="11"/>
      <c r="D758" s="11"/>
      <c r="E758" s="11"/>
      <c r="F758" s="11"/>
      <c r="G758" s="11"/>
      <c r="H758" s="11"/>
      <c r="I758" s="12"/>
      <c r="J758" s="18" t="s">
        <v>1494</v>
      </c>
      <c r="K758" s="18" t="n">
        <v>555</v>
      </c>
      <c r="L758" s="13" t="n">
        <v>555</v>
      </c>
      <c r="M758" s="13" t="s">
        <v>615</v>
      </c>
      <c r="N758" s="0" t="n">
        <v>91</v>
      </c>
    </row>
    <row r="759" customFormat="false" ht="13.8" hidden="false" customHeight="false" outlineLevel="0" collapsed="false">
      <c r="A759" s="10" t="n">
        <v>758</v>
      </c>
      <c r="B759" s="4"/>
      <c r="C759" s="11"/>
      <c r="D759" s="11"/>
      <c r="E759" s="11"/>
      <c r="F759" s="11"/>
      <c r="G759" s="11"/>
      <c r="H759" s="11"/>
      <c r="I759" s="12" t="n">
        <v>239</v>
      </c>
      <c r="J759" s="18" t="s">
        <v>1494</v>
      </c>
      <c r="K759" s="18" t="n">
        <v>246</v>
      </c>
      <c r="L759" s="13" t="n">
        <v>246</v>
      </c>
      <c r="M759" s="13" t="s">
        <v>329</v>
      </c>
      <c r="N759" s="0" t="n">
        <v>91</v>
      </c>
    </row>
    <row r="760" customFormat="false" ht="13.8" hidden="false" customHeight="false" outlineLevel="0" collapsed="false">
      <c r="A760" s="10" t="n">
        <v>759</v>
      </c>
      <c r="B760" s="4"/>
      <c r="C760" s="11"/>
      <c r="D760" s="11"/>
      <c r="E760" s="11"/>
      <c r="F760" s="11"/>
      <c r="G760" s="11"/>
      <c r="H760" s="11"/>
      <c r="I760" s="12"/>
      <c r="J760" s="18" t="s">
        <v>1494</v>
      </c>
      <c r="K760" s="18" t="n">
        <v>294</v>
      </c>
      <c r="L760" s="13" t="n">
        <v>294</v>
      </c>
      <c r="M760" s="13" t="s">
        <v>371</v>
      </c>
      <c r="N760" s="0" t="n">
        <v>92</v>
      </c>
    </row>
    <row r="761" customFormat="false" ht="13.8" hidden="false" customHeight="false" outlineLevel="0" collapsed="false">
      <c r="A761" s="10" t="n">
        <v>760</v>
      </c>
      <c r="B761" s="4"/>
      <c r="C761" s="11"/>
      <c r="D761" s="11"/>
      <c r="E761" s="11"/>
      <c r="F761" s="11"/>
      <c r="G761" s="11"/>
      <c r="H761" s="11"/>
      <c r="I761" s="12" t="n">
        <v>23</v>
      </c>
      <c r="J761" s="18" t="s">
        <v>1494</v>
      </c>
      <c r="K761" s="18" t="n">
        <v>26</v>
      </c>
      <c r="L761" s="13" t="n">
        <v>26</v>
      </c>
      <c r="M761" s="13" t="s">
        <v>119</v>
      </c>
      <c r="N761" s="0" t="n">
        <v>92</v>
      </c>
    </row>
    <row r="762" customFormat="false" ht="13.8" hidden="false" customHeight="false" outlineLevel="0" collapsed="false">
      <c r="A762" s="10" t="n">
        <v>761</v>
      </c>
      <c r="B762" s="4"/>
      <c r="C762" s="11"/>
      <c r="D762" s="11"/>
      <c r="E762" s="11"/>
      <c r="F762" s="11"/>
      <c r="G762" s="11"/>
      <c r="H762" s="11"/>
      <c r="I762" s="12" t="n">
        <v>37</v>
      </c>
      <c r="J762" s="18" t="s">
        <v>1494</v>
      </c>
      <c r="K762" s="18" t="n">
        <v>42</v>
      </c>
      <c r="L762" s="13" t="n">
        <v>42</v>
      </c>
      <c r="M762" s="13" t="s">
        <v>132</v>
      </c>
      <c r="N762" s="0" t="n">
        <v>92</v>
      </c>
    </row>
    <row r="763" customFormat="false" ht="13.8" hidden="false" customHeight="false" outlineLevel="0" collapsed="false">
      <c r="A763" s="10" t="n">
        <v>762</v>
      </c>
      <c r="B763" s="4"/>
      <c r="C763" s="11"/>
      <c r="D763" s="11"/>
      <c r="E763" s="11"/>
      <c r="F763" s="11"/>
      <c r="G763" s="11"/>
      <c r="H763" s="11"/>
      <c r="I763" s="12" t="n">
        <v>15</v>
      </c>
      <c r="J763" s="18" t="s">
        <v>1494</v>
      </c>
      <c r="K763" s="18" t="n">
        <v>17</v>
      </c>
      <c r="L763" s="13" t="n">
        <v>17</v>
      </c>
      <c r="M763" s="13" t="s">
        <v>111</v>
      </c>
      <c r="N763" s="0" t="n">
        <v>92</v>
      </c>
    </row>
    <row r="764" customFormat="false" ht="13.8" hidden="false" customHeight="false" outlineLevel="0" collapsed="false">
      <c r="A764" s="10" t="n">
        <v>763</v>
      </c>
      <c r="B764" s="4"/>
      <c r="C764" s="11"/>
      <c r="D764" s="11"/>
      <c r="E764" s="11"/>
      <c r="F764" s="11"/>
      <c r="G764" s="11"/>
      <c r="H764" s="11"/>
      <c r="I764" s="12" t="n">
        <v>9</v>
      </c>
      <c r="J764" s="18" t="s">
        <v>1494</v>
      </c>
      <c r="K764" s="18" t="n">
        <v>10</v>
      </c>
      <c r="L764" s="13" t="n">
        <v>10</v>
      </c>
      <c r="M764" s="13" t="s">
        <v>105</v>
      </c>
      <c r="N764" s="0" t="n">
        <v>92</v>
      </c>
    </row>
    <row r="765" customFormat="false" ht="13.8" hidden="false" customHeight="false" outlineLevel="0" collapsed="false">
      <c r="A765" s="10" t="n">
        <v>764</v>
      </c>
      <c r="B765" s="4"/>
      <c r="C765" s="11"/>
      <c r="D765" s="11"/>
      <c r="E765" s="11"/>
      <c r="F765" s="11"/>
      <c r="G765" s="11"/>
      <c r="H765" s="11"/>
      <c r="I765" s="12" t="n">
        <v>483</v>
      </c>
      <c r="J765" s="18" t="s">
        <v>1494</v>
      </c>
      <c r="K765" s="18" t="n">
        <v>494</v>
      </c>
      <c r="L765" s="13" t="n">
        <v>494</v>
      </c>
      <c r="M765" s="13" t="s">
        <v>557</v>
      </c>
      <c r="N765" s="0" t="n">
        <v>92</v>
      </c>
    </row>
    <row r="766" customFormat="false" ht="13.8" hidden="false" customHeight="false" outlineLevel="0" collapsed="false">
      <c r="A766" s="10" t="n">
        <v>765</v>
      </c>
      <c r="B766" s="4"/>
      <c r="C766" s="11"/>
      <c r="D766" s="11"/>
      <c r="E766" s="11"/>
      <c r="F766" s="11"/>
      <c r="G766" s="11"/>
      <c r="H766" s="11"/>
      <c r="I766" s="12" t="n">
        <v>492</v>
      </c>
      <c r="J766" s="18" t="s">
        <v>1494</v>
      </c>
      <c r="K766" s="18" t="n">
        <v>503</v>
      </c>
      <c r="L766" s="13" t="n">
        <v>503</v>
      </c>
      <c r="M766" s="13" t="s">
        <v>566</v>
      </c>
      <c r="N766" s="0" t="n">
        <v>92</v>
      </c>
    </row>
    <row r="767" customFormat="false" ht="13.8" hidden="false" customHeight="false" outlineLevel="0" collapsed="false">
      <c r="A767" s="10" t="n">
        <v>766</v>
      </c>
      <c r="B767" s="4"/>
      <c r="C767" s="11"/>
      <c r="D767" s="11"/>
      <c r="E767" s="11"/>
      <c r="F767" s="11"/>
      <c r="G767" s="11"/>
      <c r="H767" s="11"/>
      <c r="I767" s="12" t="n">
        <v>500</v>
      </c>
      <c r="J767" s="18" t="s">
        <v>1494</v>
      </c>
      <c r="K767" s="18" t="n">
        <v>511</v>
      </c>
      <c r="L767" s="13" t="n">
        <v>511</v>
      </c>
      <c r="M767" s="13" t="s">
        <v>574</v>
      </c>
      <c r="N767" s="0" t="n">
        <v>92</v>
      </c>
    </row>
    <row r="768" customFormat="false" ht="13.8" hidden="false" customHeight="false" outlineLevel="0" collapsed="false">
      <c r="A768" s="10" t="n">
        <v>767</v>
      </c>
      <c r="B768" s="4"/>
      <c r="C768" s="11"/>
      <c r="D768" s="11"/>
      <c r="E768" s="11"/>
      <c r="F768" s="11" t="s">
        <v>1495</v>
      </c>
      <c r="G768" s="11"/>
      <c r="H768" s="11"/>
      <c r="I768" s="12" t="n">
        <v>784</v>
      </c>
      <c r="J768" s="18" t="s">
        <v>1495</v>
      </c>
      <c r="K768" s="18" t="n">
        <v>795</v>
      </c>
      <c r="L768" s="13" t="n">
        <v>795</v>
      </c>
      <c r="M768" s="13" t="s">
        <v>843</v>
      </c>
      <c r="N768" s="0" t="n">
        <v>93</v>
      </c>
    </row>
    <row r="769" customFormat="false" ht="13.8" hidden="false" customHeight="false" outlineLevel="0" collapsed="false">
      <c r="A769" s="10" t="n">
        <v>768</v>
      </c>
      <c r="B769" s="4"/>
      <c r="C769" s="11"/>
      <c r="D769" s="11"/>
      <c r="E769" s="11"/>
      <c r="F769" s="11"/>
      <c r="G769" s="11"/>
      <c r="H769" s="11"/>
      <c r="I769" s="12" t="n">
        <v>45</v>
      </c>
      <c r="J769" s="18" t="s">
        <v>1495</v>
      </c>
      <c r="K769" s="18" t="n">
        <v>50</v>
      </c>
      <c r="L769" s="13" t="n">
        <v>50</v>
      </c>
      <c r="M769" s="13" t="s">
        <v>139</v>
      </c>
      <c r="N769" s="0" t="n">
        <v>93</v>
      </c>
    </row>
    <row r="770" customFormat="false" ht="13.8" hidden="false" customHeight="false" outlineLevel="0" collapsed="false">
      <c r="A770" s="10" t="n">
        <v>769</v>
      </c>
      <c r="B770" s="4"/>
      <c r="C770" s="11"/>
      <c r="D770" s="11"/>
      <c r="E770" s="11"/>
      <c r="F770" s="11"/>
      <c r="G770" s="11"/>
      <c r="H770" s="11"/>
      <c r="I770" s="12" t="n">
        <v>62</v>
      </c>
      <c r="J770" s="18" t="s">
        <v>1495</v>
      </c>
      <c r="K770" s="18" t="n">
        <v>67</v>
      </c>
      <c r="L770" s="13" t="n">
        <v>67</v>
      </c>
      <c r="M770" s="13" t="s">
        <v>156</v>
      </c>
      <c r="N770" s="0" t="n">
        <v>93</v>
      </c>
    </row>
    <row r="771" customFormat="false" ht="13.8" hidden="false" customHeight="false" outlineLevel="0" collapsed="false">
      <c r="A771" s="10" t="n">
        <v>770</v>
      </c>
      <c r="B771" s="4"/>
      <c r="C771" s="11"/>
      <c r="D771" s="11"/>
      <c r="E771" s="11"/>
      <c r="F771" s="11"/>
      <c r="G771" s="11"/>
      <c r="H771" s="11"/>
      <c r="I771" s="12" t="n">
        <v>576</v>
      </c>
      <c r="J771" s="18" t="s">
        <v>1495</v>
      </c>
      <c r="K771" s="18" t="n">
        <v>587</v>
      </c>
      <c r="L771" s="13" t="n">
        <v>587</v>
      </c>
      <c r="M771" s="13" t="s">
        <v>646</v>
      </c>
      <c r="N771" s="0" t="n">
        <v>93</v>
      </c>
    </row>
    <row r="772" customFormat="false" ht="13.8" hidden="false" customHeight="false" outlineLevel="0" collapsed="false">
      <c r="A772" s="10" t="n">
        <v>771</v>
      </c>
      <c r="B772" s="4"/>
      <c r="C772" s="11"/>
      <c r="D772" s="11"/>
      <c r="E772" s="11"/>
      <c r="F772" s="11" t="s">
        <v>1496</v>
      </c>
      <c r="G772" s="11"/>
      <c r="H772" s="11"/>
      <c r="I772" s="12"/>
      <c r="J772" s="18" t="s">
        <v>1496</v>
      </c>
      <c r="K772" s="18" t="n">
        <v>1100</v>
      </c>
      <c r="L772" s="13" t="n">
        <v>1100</v>
      </c>
      <c r="M772" s="13" t="s">
        <v>1134</v>
      </c>
      <c r="N772" s="0" t="n">
        <v>94</v>
      </c>
    </row>
    <row r="773" customFormat="false" ht="13.8" hidden="false" customHeight="false" outlineLevel="0" collapsed="false">
      <c r="A773" s="10" t="n">
        <v>772</v>
      </c>
      <c r="B773" s="4"/>
      <c r="C773" s="11"/>
      <c r="D773" s="11"/>
      <c r="E773" s="11"/>
      <c r="F773" s="11"/>
      <c r="G773" s="11"/>
      <c r="H773" s="11"/>
      <c r="I773" s="12" t="n">
        <v>208</v>
      </c>
      <c r="J773" s="18" t="s">
        <v>1496</v>
      </c>
      <c r="K773" s="18" t="n">
        <v>215</v>
      </c>
      <c r="L773" s="13" t="n">
        <v>215</v>
      </c>
      <c r="M773" s="13" t="s">
        <v>298</v>
      </c>
      <c r="N773" s="0" t="n">
        <v>94</v>
      </c>
    </row>
    <row r="774" customFormat="false" ht="13.8" hidden="false" customHeight="false" outlineLevel="0" collapsed="false">
      <c r="A774" s="10" t="n">
        <v>773</v>
      </c>
      <c r="B774" s="4"/>
      <c r="C774" s="11"/>
      <c r="D774" s="11"/>
      <c r="E774" s="11"/>
      <c r="F774" s="11"/>
      <c r="G774" s="11"/>
      <c r="H774" s="11"/>
      <c r="I774" s="12" t="n">
        <v>520</v>
      </c>
      <c r="J774" s="18" t="s">
        <v>1496</v>
      </c>
      <c r="K774" s="18" t="n">
        <v>531</v>
      </c>
      <c r="L774" s="13" t="n">
        <v>531</v>
      </c>
      <c r="M774" s="13" t="s">
        <v>594</v>
      </c>
      <c r="N774" s="0" t="n">
        <v>94</v>
      </c>
    </row>
    <row r="775" customFormat="false" ht="13.8" hidden="false" customHeight="false" outlineLevel="0" collapsed="false">
      <c r="A775" s="10" t="n">
        <v>774</v>
      </c>
      <c r="B775" s="4"/>
      <c r="C775" s="11"/>
      <c r="D775" s="11"/>
      <c r="E775" s="11"/>
      <c r="F775" s="11"/>
      <c r="G775" s="11"/>
      <c r="H775" s="11"/>
      <c r="I775" s="12" t="n">
        <v>617</v>
      </c>
      <c r="J775" s="18" t="s">
        <v>1496</v>
      </c>
      <c r="K775" s="18" t="n">
        <v>628</v>
      </c>
      <c r="L775" s="13" t="n">
        <v>628</v>
      </c>
      <c r="M775" s="13" t="s">
        <v>683</v>
      </c>
      <c r="N775" s="0" t="n">
        <v>94</v>
      </c>
    </row>
    <row r="776" customFormat="false" ht="13.8" hidden="false" customHeight="false" outlineLevel="0" collapsed="false">
      <c r="A776" s="10" t="n">
        <v>775</v>
      </c>
      <c r="B776" s="4"/>
      <c r="C776" s="11"/>
      <c r="D776" s="11"/>
      <c r="E776" s="11"/>
      <c r="F776" s="11"/>
      <c r="G776" s="11"/>
      <c r="H776" s="11"/>
      <c r="I776" s="12" t="n">
        <v>623</v>
      </c>
      <c r="J776" s="18" t="s">
        <v>1496</v>
      </c>
      <c r="K776" s="18" t="n">
        <v>634</v>
      </c>
      <c r="L776" s="13" t="n">
        <v>634</v>
      </c>
      <c r="M776" s="13" t="s">
        <v>688</v>
      </c>
      <c r="N776" s="0" t="n">
        <v>94</v>
      </c>
    </row>
    <row r="777" customFormat="false" ht="13.8" hidden="false" customHeight="false" outlineLevel="0" collapsed="false">
      <c r="A777" s="10" t="n">
        <v>776</v>
      </c>
      <c r="B777" s="4"/>
      <c r="C777" s="11"/>
      <c r="D777" s="11"/>
      <c r="E777" s="11"/>
      <c r="F777" s="11"/>
      <c r="G777" s="11"/>
      <c r="H777" s="11"/>
      <c r="I777" s="12" t="n">
        <v>695</v>
      </c>
      <c r="J777" s="18" t="s">
        <v>1496</v>
      </c>
      <c r="K777" s="18" t="n">
        <v>706</v>
      </c>
      <c r="L777" s="13" t="n">
        <v>706</v>
      </c>
      <c r="M777" s="13" t="s">
        <v>758</v>
      </c>
      <c r="N777" s="0" t="n">
        <v>94</v>
      </c>
    </row>
    <row r="778" customFormat="false" ht="13.8" hidden="false" customHeight="false" outlineLevel="0" collapsed="false">
      <c r="A778" s="10" t="n">
        <v>777</v>
      </c>
      <c r="B778" s="4"/>
      <c r="C778" s="11"/>
      <c r="D778" s="11"/>
      <c r="E778" s="11"/>
      <c r="F778" s="11"/>
      <c r="G778" s="11"/>
      <c r="H778" s="11"/>
      <c r="I778" s="12" t="n">
        <v>1049</v>
      </c>
      <c r="J778" s="18" t="s">
        <v>1496</v>
      </c>
      <c r="K778" s="18" t="n">
        <v>1061</v>
      </c>
      <c r="L778" s="13" t="n">
        <v>1061</v>
      </c>
      <c r="M778" s="13" t="s">
        <v>1096</v>
      </c>
      <c r="N778" s="0" t="n">
        <v>94</v>
      </c>
    </row>
    <row r="779" customFormat="false" ht="13.8" hidden="false" customHeight="false" outlineLevel="0" collapsed="false">
      <c r="A779" s="10" t="n">
        <v>778</v>
      </c>
      <c r="B779" s="4"/>
      <c r="C779" s="11"/>
      <c r="D779" s="11"/>
      <c r="E779" s="11"/>
      <c r="F779" s="11"/>
      <c r="G779" s="11"/>
      <c r="H779" s="11"/>
      <c r="I779" s="12" t="n">
        <v>605</v>
      </c>
      <c r="J779" s="18" t="s">
        <v>1496</v>
      </c>
      <c r="K779" s="18" t="n">
        <v>616</v>
      </c>
      <c r="L779" s="13" t="n">
        <v>616</v>
      </c>
      <c r="M779" s="13" t="s">
        <v>672</v>
      </c>
      <c r="N779" s="0" t="n">
        <v>94</v>
      </c>
    </row>
    <row r="780" customFormat="false" ht="13.8" hidden="false" customHeight="false" outlineLevel="0" collapsed="false">
      <c r="A780" s="10" t="n">
        <v>779</v>
      </c>
      <c r="B780" s="4"/>
      <c r="C780" s="11"/>
      <c r="D780" s="11"/>
      <c r="E780" s="11"/>
      <c r="F780" s="11"/>
      <c r="G780" s="11"/>
      <c r="H780" s="11"/>
      <c r="I780" s="12" t="n">
        <v>207</v>
      </c>
      <c r="J780" s="18" t="s">
        <v>1496</v>
      </c>
      <c r="K780" s="18" t="n">
        <v>214</v>
      </c>
      <c r="L780" s="13" t="n">
        <v>214</v>
      </c>
      <c r="M780" s="13" t="s">
        <v>297</v>
      </c>
      <c r="N780" s="0" t="n">
        <v>94</v>
      </c>
    </row>
    <row r="781" customFormat="false" ht="13.8" hidden="false" customHeight="false" outlineLevel="0" collapsed="false">
      <c r="A781" s="10" t="n">
        <v>780</v>
      </c>
      <c r="B781" s="4"/>
      <c r="C781" s="11"/>
      <c r="D781" s="11"/>
      <c r="E781" s="11"/>
      <c r="F781" s="11"/>
      <c r="G781" s="11"/>
      <c r="H781" s="11"/>
      <c r="I781" s="12" t="n">
        <v>31</v>
      </c>
      <c r="J781" s="18" t="s">
        <v>1496</v>
      </c>
      <c r="K781" s="18" t="n">
        <v>35</v>
      </c>
      <c r="L781" s="13" t="n">
        <v>35</v>
      </c>
      <c r="M781" s="13" t="s">
        <v>126</v>
      </c>
      <c r="N781" s="0" t="n">
        <v>94</v>
      </c>
    </row>
    <row r="782" customFormat="false" ht="13.8" hidden="false" customHeight="false" outlineLevel="0" collapsed="false">
      <c r="A782" s="10" t="n">
        <v>781</v>
      </c>
      <c r="B782" s="4"/>
      <c r="C782" s="11"/>
      <c r="D782" s="11"/>
      <c r="E782" s="11"/>
      <c r="F782" s="11"/>
      <c r="G782" s="11"/>
      <c r="H782" s="11"/>
      <c r="I782" s="12"/>
      <c r="J782" s="18" t="s">
        <v>1496</v>
      </c>
      <c r="K782" s="18" t="n">
        <v>975</v>
      </c>
      <c r="L782" s="13" t="n">
        <v>975</v>
      </c>
      <c r="M782" s="13" t="s">
        <v>1013</v>
      </c>
      <c r="N782" s="0" t="n">
        <v>94</v>
      </c>
    </row>
    <row r="783" customFormat="false" ht="13.8" hidden="false" customHeight="false" outlineLevel="0" collapsed="false">
      <c r="A783" s="10" t="n">
        <v>782</v>
      </c>
      <c r="B783" s="4"/>
      <c r="C783" s="11"/>
      <c r="D783" s="11"/>
      <c r="E783" s="11"/>
      <c r="F783" s="11"/>
      <c r="G783" s="11"/>
      <c r="H783" s="11"/>
      <c r="I783" s="12" t="n">
        <v>110</v>
      </c>
      <c r="J783" s="18" t="s">
        <v>1496</v>
      </c>
      <c r="K783" s="18" t="n">
        <v>115</v>
      </c>
      <c r="L783" s="13" t="n">
        <v>115</v>
      </c>
      <c r="M783" s="13" t="s">
        <v>203</v>
      </c>
      <c r="N783" s="0" t="n">
        <v>94</v>
      </c>
    </row>
    <row r="784" customFormat="false" ht="13.8" hidden="false" customHeight="false" outlineLevel="0" collapsed="false">
      <c r="A784" s="10" t="n">
        <v>783</v>
      </c>
      <c r="B784" s="4"/>
      <c r="C784" s="11"/>
      <c r="D784" s="11"/>
      <c r="E784" s="11"/>
      <c r="F784" s="11"/>
      <c r="G784" s="11"/>
      <c r="H784" s="11"/>
      <c r="I784" s="12" t="n">
        <v>746</v>
      </c>
      <c r="J784" s="18" t="s">
        <v>1496</v>
      </c>
      <c r="K784" s="18" t="n">
        <v>757</v>
      </c>
      <c r="L784" s="13" t="n">
        <v>757</v>
      </c>
      <c r="M784" s="13" t="s">
        <v>807</v>
      </c>
      <c r="N784" s="0" t="n">
        <v>94</v>
      </c>
    </row>
    <row r="785" customFormat="false" ht="13.8" hidden="false" customHeight="false" outlineLevel="0" collapsed="false">
      <c r="A785" s="10" t="n">
        <v>784</v>
      </c>
      <c r="B785" s="4"/>
      <c r="C785" s="11"/>
      <c r="D785" s="11"/>
      <c r="E785" s="11"/>
      <c r="F785" s="11"/>
      <c r="G785" s="11"/>
      <c r="H785" s="11"/>
      <c r="I785" s="12" t="n">
        <v>224</v>
      </c>
      <c r="J785" s="18" t="s">
        <v>1496</v>
      </c>
      <c r="K785" s="18" t="n">
        <v>231</v>
      </c>
      <c r="L785" s="13" t="n">
        <v>231</v>
      </c>
      <c r="M785" s="13" t="s">
        <v>314</v>
      </c>
      <c r="N785" s="0" t="n">
        <v>94</v>
      </c>
    </row>
    <row r="786" customFormat="false" ht="13.8" hidden="false" customHeight="false" outlineLevel="0" collapsed="false">
      <c r="A786" s="10" t="n">
        <v>785</v>
      </c>
      <c r="B786" s="4"/>
      <c r="C786" s="11"/>
      <c r="D786" s="11"/>
      <c r="E786" s="11"/>
      <c r="F786" s="11"/>
      <c r="G786" s="11"/>
      <c r="H786" s="11"/>
      <c r="I786" s="12" t="n">
        <v>61</v>
      </c>
      <c r="J786" s="18" t="s">
        <v>1496</v>
      </c>
      <c r="K786" s="18" t="n">
        <v>66</v>
      </c>
      <c r="L786" s="13" t="n">
        <v>66</v>
      </c>
      <c r="M786" s="13" t="s">
        <v>155</v>
      </c>
      <c r="N786" s="0" t="n">
        <v>94</v>
      </c>
    </row>
    <row r="787" customFormat="false" ht="13.8" hidden="false" customHeight="false" outlineLevel="0" collapsed="false">
      <c r="A787" s="10" t="n">
        <v>786</v>
      </c>
      <c r="B787" s="4"/>
      <c r="C787" s="11"/>
      <c r="D787" s="11"/>
      <c r="E787" s="11"/>
      <c r="F787" s="11"/>
      <c r="G787" s="11"/>
      <c r="H787" s="11"/>
      <c r="I787" s="12"/>
      <c r="J787" s="18" t="s">
        <v>1496</v>
      </c>
      <c r="K787" s="18" t="n">
        <v>75</v>
      </c>
      <c r="L787" s="13" t="n">
        <v>75</v>
      </c>
      <c r="M787" s="13" t="s">
        <v>852</v>
      </c>
      <c r="N787" s="0" t="n">
        <v>94</v>
      </c>
    </row>
    <row r="788" customFormat="false" ht="13.8" hidden="false" customHeight="false" outlineLevel="0" collapsed="false">
      <c r="A788" s="10" t="n">
        <v>787</v>
      </c>
      <c r="B788" s="4"/>
      <c r="C788" s="11"/>
      <c r="D788" s="11"/>
      <c r="E788" s="11"/>
      <c r="F788" s="11"/>
      <c r="G788" s="11"/>
      <c r="H788" s="11"/>
      <c r="I788" s="12"/>
      <c r="J788" s="18" t="s">
        <v>1496</v>
      </c>
      <c r="K788" s="18" t="n">
        <v>58</v>
      </c>
      <c r="L788" s="13" t="n">
        <v>58</v>
      </c>
      <c r="M788" s="13" t="s">
        <v>147</v>
      </c>
      <c r="N788" s="0" t="n">
        <v>94</v>
      </c>
    </row>
    <row r="789" customFormat="false" ht="13.8" hidden="false" customHeight="false" outlineLevel="0" collapsed="false">
      <c r="A789" s="10" t="n">
        <v>788</v>
      </c>
      <c r="B789" s="4"/>
      <c r="C789" s="11"/>
      <c r="D789" s="11"/>
      <c r="E789" s="11"/>
      <c r="F789" s="11"/>
      <c r="G789" s="11"/>
      <c r="H789" s="11"/>
      <c r="I789" s="12"/>
      <c r="J789" s="18" t="s">
        <v>1496</v>
      </c>
      <c r="K789" s="18" t="n">
        <v>615</v>
      </c>
      <c r="L789" s="13" t="n">
        <v>615</v>
      </c>
      <c r="M789" s="13" t="s">
        <v>671</v>
      </c>
      <c r="N789" s="0" t="n">
        <v>94</v>
      </c>
    </row>
    <row r="790" customFormat="false" ht="13.8" hidden="false" customHeight="false" outlineLevel="0" collapsed="false">
      <c r="A790" s="10" t="n">
        <v>789</v>
      </c>
      <c r="B790" s="4"/>
      <c r="C790" s="11"/>
      <c r="D790" s="11"/>
      <c r="E790" s="11" t="s">
        <v>1497</v>
      </c>
      <c r="F790" s="11"/>
      <c r="G790" s="11"/>
      <c r="H790" s="11"/>
      <c r="I790" s="12"/>
      <c r="J790" s="18" t="s">
        <v>1497</v>
      </c>
      <c r="K790" s="18" t="n">
        <v>348</v>
      </c>
      <c r="L790" s="13" t="n">
        <v>348</v>
      </c>
      <c r="M790" s="13" t="s">
        <v>419</v>
      </c>
    </row>
    <row r="791" customFormat="false" ht="13.8" hidden="false" customHeight="false" outlineLevel="0" collapsed="false">
      <c r="A791" s="10" t="n">
        <v>790</v>
      </c>
      <c r="B791" s="4"/>
      <c r="C791" s="11"/>
      <c r="D791" s="11"/>
      <c r="E791" s="11"/>
      <c r="F791" s="11"/>
      <c r="G791" s="11"/>
      <c r="H791" s="11"/>
      <c r="I791" s="12" t="n">
        <v>364</v>
      </c>
      <c r="J791" s="18" t="s">
        <v>1497</v>
      </c>
      <c r="K791" s="18" t="n">
        <v>374</v>
      </c>
      <c r="L791" s="13" t="n">
        <v>374</v>
      </c>
      <c r="M791" s="13" t="s">
        <v>444</v>
      </c>
      <c r="N791" s="0" t="n">
        <v>95</v>
      </c>
    </row>
    <row r="792" customFormat="false" ht="13.8" hidden="false" customHeight="false" outlineLevel="0" collapsed="false">
      <c r="A792" s="10" t="n">
        <v>791</v>
      </c>
      <c r="B792" s="4"/>
      <c r="C792" s="11"/>
      <c r="D792" s="11"/>
      <c r="E792" s="11"/>
      <c r="F792" s="11"/>
      <c r="G792" s="11"/>
      <c r="H792" s="11"/>
      <c r="I792" s="12" t="n">
        <v>1040</v>
      </c>
      <c r="J792" s="18" t="s">
        <v>1497</v>
      </c>
      <c r="K792" s="18" t="n">
        <v>1052</v>
      </c>
      <c r="L792" s="13" t="n">
        <v>1052</v>
      </c>
      <c r="M792" s="13" t="s">
        <v>1088</v>
      </c>
      <c r="N792" s="0" t="n">
        <v>95</v>
      </c>
    </row>
    <row r="793" customFormat="false" ht="13.8" hidden="false" customHeight="false" outlineLevel="0" collapsed="false">
      <c r="A793" s="10" t="n">
        <v>792</v>
      </c>
      <c r="B793" s="4"/>
      <c r="C793" s="11"/>
      <c r="D793" s="11"/>
      <c r="E793" s="11"/>
      <c r="F793" s="11"/>
      <c r="G793" s="11" t="s">
        <v>1498</v>
      </c>
      <c r="H793" s="11"/>
      <c r="I793" s="12"/>
      <c r="J793" s="18" t="s">
        <v>1497</v>
      </c>
      <c r="K793" s="18" t="n">
        <v>165</v>
      </c>
      <c r="L793" s="13" t="n">
        <v>165</v>
      </c>
      <c r="M793" s="13" t="s">
        <v>1499</v>
      </c>
    </row>
    <row r="794" customFormat="false" ht="13.8" hidden="false" customHeight="false" outlineLevel="0" collapsed="false">
      <c r="A794" s="10" t="n">
        <v>793</v>
      </c>
      <c r="B794" s="4"/>
      <c r="C794" s="11"/>
      <c r="D794" s="11"/>
      <c r="E794" s="11"/>
      <c r="F794" s="11"/>
      <c r="G794" s="11"/>
      <c r="H794" s="11"/>
      <c r="I794" s="12" t="n">
        <v>11</v>
      </c>
      <c r="J794" s="18" t="s">
        <v>1497</v>
      </c>
      <c r="K794" s="18" t="n">
        <v>12</v>
      </c>
      <c r="L794" s="13" t="n">
        <v>12</v>
      </c>
      <c r="M794" s="13" t="s">
        <v>1302</v>
      </c>
      <c r="N794" s="0" t="n">
        <v>96</v>
      </c>
    </row>
    <row r="795" customFormat="false" ht="13.8" hidden="false" customHeight="false" outlineLevel="0" collapsed="false">
      <c r="A795" s="10" t="n">
        <v>794</v>
      </c>
      <c r="B795" s="4"/>
      <c r="C795" s="11"/>
      <c r="D795" s="11"/>
      <c r="E795" s="11"/>
      <c r="F795" s="11"/>
      <c r="G795" s="11"/>
      <c r="H795" s="11"/>
      <c r="I795" s="12" t="n">
        <v>95</v>
      </c>
      <c r="J795" s="18" t="s">
        <v>1497</v>
      </c>
      <c r="K795" s="18" t="n">
        <v>100</v>
      </c>
      <c r="L795" s="13" t="n">
        <v>100</v>
      </c>
      <c r="M795" s="13" t="s">
        <v>188</v>
      </c>
      <c r="N795" s="0" t="n">
        <v>96</v>
      </c>
    </row>
    <row r="796" customFormat="false" ht="13.8" hidden="false" customHeight="false" outlineLevel="0" collapsed="false">
      <c r="A796" s="10" t="n">
        <v>795</v>
      </c>
      <c r="B796" s="4"/>
      <c r="C796" s="11"/>
      <c r="D796" s="11"/>
      <c r="E796" s="11"/>
      <c r="F796" s="11"/>
      <c r="G796" s="11"/>
      <c r="H796" s="11"/>
      <c r="I796" s="12" t="n">
        <v>580</v>
      </c>
      <c r="J796" s="18" t="s">
        <v>1497</v>
      </c>
      <c r="K796" s="18" t="n">
        <v>591</v>
      </c>
      <c r="L796" s="13" t="n">
        <v>591</v>
      </c>
      <c r="M796" s="13" t="s">
        <v>1303</v>
      </c>
      <c r="N796" s="0" t="n">
        <v>96</v>
      </c>
    </row>
    <row r="797" customFormat="false" ht="13.8" hidden="false" customHeight="false" outlineLevel="0" collapsed="false">
      <c r="A797" s="10" t="n">
        <v>796</v>
      </c>
      <c r="B797" s="4"/>
      <c r="C797" s="11"/>
      <c r="D797" s="11"/>
      <c r="E797" s="11"/>
      <c r="F797" s="11"/>
      <c r="G797" s="11"/>
      <c r="H797" s="11"/>
      <c r="I797" s="12" t="n">
        <v>861</v>
      </c>
      <c r="J797" s="18" t="s">
        <v>1497</v>
      </c>
      <c r="K797" s="18" t="n">
        <v>872</v>
      </c>
      <c r="L797" s="13" t="n">
        <v>872</v>
      </c>
      <c r="M797" s="13" t="s">
        <v>1304</v>
      </c>
      <c r="N797" s="0" t="n">
        <v>96</v>
      </c>
    </row>
    <row r="798" customFormat="false" ht="13.8" hidden="false" customHeight="false" outlineLevel="0" collapsed="false">
      <c r="A798" s="10" t="n">
        <v>797</v>
      </c>
      <c r="B798" s="4"/>
      <c r="C798" s="11"/>
      <c r="D798" s="11" t="s">
        <v>1500</v>
      </c>
      <c r="E798" s="11"/>
      <c r="F798" s="11"/>
      <c r="G798" s="11"/>
      <c r="H798" s="11"/>
      <c r="I798" s="12"/>
      <c r="L798" s="13" t="n">
        <v>1065</v>
      </c>
      <c r="M798" s="13" t="s">
        <v>1100</v>
      </c>
    </row>
    <row r="799" customFormat="false" ht="13.8" hidden="false" customHeight="false" outlineLevel="0" collapsed="false">
      <c r="A799" s="10" t="n">
        <v>798</v>
      </c>
      <c r="B799" s="4"/>
      <c r="C799" s="11"/>
      <c r="D799" s="11"/>
      <c r="E799" s="11" t="s">
        <v>1501</v>
      </c>
      <c r="F799" s="11"/>
      <c r="G799" s="11"/>
      <c r="H799" s="11"/>
      <c r="I799" s="12" t="n">
        <v>760</v>
      </c>
      <c r="L799" s="13" t="n">
        <v>771</v>
      </c>
      <c r="M799" s="13" t="s">
        <v>821</v>
      </c>
    </row>
    <row r="800" customFormat="false" ht="13.8" hidden="false" customHeight="false" outlineLevel="0" collapsed="false">
      <c r="A800" s="10" t="n">
        <v>803</v>
      </c>
      <c r="B800" s="4"/>
      <c r="C800" s="11"/>
      <c r="D800" s="11"/>
      <c r="E800" s="11"/>
      <c r="F800" s="11" t="s">
        <v>1502</v>
      </c>
      <c r="G800" s="11"/>
      <c r="H800" s="11"/>
      <c r="I800" s="12"/>
      <c r="J800" s="18" t="s">
        <v>1502</v>
      </c>
      <c r="K800" s="18" t="n">
        <v>1132</v>
      </c>
      <c r="L800" s="13" t="n">
        <v>1132</v>
      </c>
      <c r="M800" s="13" t="s">
        <v>1163</v>
      </c>
      <c r="N800" s="0" t="n">
        <v>97</v>
      </c>
    </row>
    <row r="801" customFormat="false" ht="13.8" hidden="false" customHeight="false" outlineLevel="0" collapsed="false">
      <c r="A801" s="10" t="n">
        <v>799</v>
      </c>
      <c r="B801" s="4"/>
      <c r="C801" s="11"/>
      <c r="D801" s="11"/>
      <c r="E801" s="11"/>
      <c r="F801" s="11"/>
      <c r="G801" s="11"/>
      <c r="H801" s="11"/>
      <c r="I801" s="12" t="n">
        <v>601</v>
      </c>
      <c r="J801" s="18" t="s">
        <v>1502</v>
      </c>
      <c r="K801" s="18" t="n">
        <v>612</v>
      </c>
      <c r="L801" s="13" t="n">
        <v>612</v>
      </c>
      <c r="M801" s="13" t="s">
        <v>668</v>
      </c>
      <c r="N801" s="0" t="n">
        <v>97</v>
      </c>
    </row>
    <row r="802" customFormat="false" ht="13.8" hidden="false" customHeight="false" outlineLevel="0" collapsed="false">
      <c r="A802" s="10" t="n">
        <v>800</v>
      </c>
      <c r="B802" s="4"/>
      <c r="C802" s="11"/>
      <c r="D802" s="11"/>
      <c r="E802" s="11"/>
      <c r="F802" s="11"/>
      <c r="G802" s="11"/>
      <c r="H802" s="11"/>
      <c r="I802" s="12"/>
      <c r="J802" s="18" t="s">
        <v>1502</v>
      </c>
      <c r="K802" s="18" t="n">
        <v>82</v>
      </c>
      <c r="L802" s="13" t="n">
        <v>82</v>
      </c>
      <c r="M802" s="13" t="s">
        <v>171</v>
      </c>
      <c r="N802" s="0" t="n">
        <v>97</v>
      </c>
    </row>
    <row r="803" customFormat="false" ht="13.8" hidden="false" customHeight="false" outlineLevel="0" collapsed="false">
      <c r="A803" s="10" t="n">
        <v>801</v>
      </c>
      <c r="B803" s="4"/>
      <c r="C803" s="11"/>
      <c r="D803" s="11"/>
      <c r="E803" s="11"/>
      <c r="F803" s="11"/>
      <c r="G803" s="11"/>
      <c r="H803" s="11"/>
      <c r="I803" s="12"/>
      <c r="J803" s="18" t="s">
        <v>1502</v>
      </c>
      <c r="K803" s="18" t="n">
        <v>90</v>
      </c>
      <c r="L803" s="13" t="n">
        <v>90</v>
      </c>
      <c r="M803" s="13" t="s">
        <v>178</v>
      </c>
      <c r="N803" s="0" t="n">
        <v>97</v>
      </c>
    </row>
    <row r="804" customFormat="false" ht="13.8" hidden="false" customHeight="false" outlineLevel="0" collapsed="false">
      <c r="A804" s="10" t="n">
        <v>802</v>
      </c>
      <c r="B804" s="4"/>
      <c r="C804" s="11"/>
      <c r="D804" s="11"/>
      <c r="E804" s="11"/>
      <c r="F804" s="11"/>
      <c r="G804" s="11"/>
      <c r="H804" s="11"/>
      <c r="I804" s="12"/>
      <c r="J804" s="18" t="s">
        <v>1502</v>
      </c>
      <c r="K804" s="18" t="n">
        <v>99</v>
      </c>
      <c r="L804" s="13" t="n">
        <v>99</v>
      </c>
      <c r="M804" s="13" t="s">
        <v>187</v>
      </c>
      <c r="N804" s="0" t="n">
        <v>97</v>
      </c>
    </row>
    <row r="805" customFormat="false" ht="13.8" hidden="false" customHeight="false" outlineLevel="0" collapsed="false">
      <c r="A805" s="10" t="n">
        <v>804</v>
      </c>
      <c r="B805" s="4"/>
      <c r="C805" s="11"/>
      <c r="D805" s="11"/>
      <c r="E805" s="11"/>
      <c r="F805" s="11"/>
      <c r="G805" s="11"/>
      <c r="H805" s="11"/>
      <c r="I805" s="12" t="n">
        <v>6</v>
      </c>
      <c r="J805" s="18" t="s">
        <v>1502</v>
      </c>
      <c r="K805" s="18" t="n">
        <v>7</v>
      </c>
      <c r="L805" s="13" t="n">
        <v>7</v>
      </c>
      <c r="M805" s="13" t="s">
        <v>102</v>
      </c>
      <c r="N805" s="0" t="n">
        <v>97</v>
      </c>
    </row>
    <row r="806" customFormat="false" ht="13.8" hidden="false" customHeight="false" outlineLevel="0" collapsed="false">
      <c r="A806" s="10" t="n">
        <v>805</v>
      </c>
      <c r="B806" s="4"/>
      <c r="C806" s="11"/>
      <c r="D806" s="11"/>
      <c r="E806" s="11"/>
      <c r="F806" s="11"/>
      <c r="G806" s="11"/>
      <c r="H806" s="11"/>
      <c r="I806" s="12" t="n">
        <v>856</v>
      </c>
      <c r="J806" s="18" t="s">
        <v>1502</v>
      </c>
      <c r="K806" s="18" t="n">
        <v>867</v>
      </c>
      <c r="L806" s="13" t="n">
        <v>867</v>
      </c>
      <c r="M806" s="13" t="s">
        <v>912</v>
      </c>
      <c r="N806" s="0" t="n">
        <v>97</v>
      </c>
    </row>
    <row r="807" customFormat="false" ht="13.8" hidden="false" customHeight="false" outlineLevel="0" collapsed="false">
      <c r="A807" s="10" t="n">
        <v>806</v>
      </c>
      <c r="B807" s="4"/>
      <c r="C807" s="11"/>
      <c r="D807" s="11"/>
      <c r="E807" s="11"/>
      <c r="F807" s="11"/>
      <c r="G807" s="11"/>
      <c r="H807" s="11"/>
      <c r="I807" s="12"/>
      <c r="J807" s="18" t="s">
        <v>1502</v>
      </c>
      <c r="K807" s="18" t="n">
        <v>123</v>
      </c>
      <c r="L807" s="13" t="n">
        <v>123</v>
      </c>
      <c r="M807" s="13" t="s">
        <v>211</v>
      </c>
      <c r="N807" s="0" t="n">
        <v>97</v>
      </c>
    </row>
    <row r="808" customFormat="false" ht="13.8" hidden="false" customHeight="false" outlineLevel="0" collapsed="false">
      <c r="A808" s="10" t="n">
        <v>807</v>
      </c>
      <c r="B808" s="4"/>
      <c r="C808" s="11"/>
      <c r="D808" s="11"/>
      <c r="E808" s="11"/>
      <c r="F808" s="11"/>
      <c r="G808" s="11"/>
      <c r="H808" s="11"/>
      <c r="I808" s="12"/>
      <c r="J808" s="18" t="s">
        <v>1502</v>
      </c>
      <c r="K808" s="18" t="n">
        <v>881</v>
      </c>
      <c r="L808" s="13" t="n">
        <v>881</v>
      </c>
      <c r="M808" s="13" t="s">
        <v>926</v>
      </c>
      <c r="N808" s="0" t="n">
        <v>97</v>
      </c>
    </row>
    <row r="809" customFormat="false" ht="13.8" hidden="false" customHeight="false" outlineLevel="0" collapsed="false">
      <c r="A809" s="10" t="n">
        <v>808</v>
      </c>
      <c r="B809" s="4"/>
      <c r="C809" s="11"/>
      <c r="D809" s="11"/>
      <c r="E809" s="11"/>
      <c r="F809" s="11"/>
      <c r="G809" s="11"/>
      <c r="H809" s="11"/>
      <c r="I809" s="12"/>
      <c r="J809" s="18" t="s">
        <v>1502</v>
      </c>
      <c r="K809" s="18" t="n">
        <v>860</v>
      </c>
      <c r="L809" s="13" t="n">
        <v>860</v>
      </c>
      <c r="M809" s="13" t="s">
        <v>905</v>
      </c>
      <c r="N809" s="0" t="n">
        <v>97</v>
      </c>
    </row>
    <row r="810" customFormat="false" ht="13.8" hidden="false" customHeight="false" outlineLevel="0" collapsed="false">
      <c r="A810" s="10" t="n">
        <v>809</v>
      </c>
      <c r="B810" s="4"/>
      <c r="C810" s="11"/>
      <c r="D810" s="11"/>
      <c r="E810" s="11"/>
      <c r="F810" s="11"/>
      <c r="G810" s="11"/>
      <c r="H810" s="11"/>
      <c r="I810" s="12"/>
      <c r="J810" s="18" t="s">
        <v>1502</v>
      </c>
      <c r="K810" s="18" t="n">
        <v>868</v>
      </c>
      <c r="L810" s="13" t="n">
        <v>868</v>
      </c>
      <c r="M810" s="13" t="s">
        <v>913</v>
      </c>
      <c r="N810" s="0" t="n">
        <v>97</v>
      </c>
    </row>
    <row r="811" customFormat="false" ht="13.8" hidden="false" customHeight="false" outlineLevel="0" collapsed="false">
      <c r="A811" s="10" t="n">
        <v>810</v>
      </c>
      <c r="B811" s="4"/>
      <c r="C811" s="11"/>
      <c r="D811" s="11"/>
      <c r="E811" s="11"/>
      <c r="F811" s="11"/>
      <c r="G811" s="11"/>
      <c r="H811" s="11"/>
      <c r="I811" s="12"/>
      <c r="J811" s="18" t="s">
        <v>1502</v>
      </c>
      <c r="K811" s="18" t="n">
        <v>875</v>
      </c>
      <c r="L811" s="13" t="n">
        <v>875</v>
      </c>
      <c r="M811" s="13" t="s">
        <v>920</v>
      </c>
      <c r="N811" s="0" t="n">
        <v>97</v>
      </c>
    </row>
    <row r="812" customFormat="false" ht="13.8" hidden="false" customHeight="false" outlineLevel="0" collapsed="false">
      <c r="A812" s="10" t="n">
        <v>811</v>
      </c>
      <c r="B812" s="4"/>
      <c r="C812" s="11"/>
      <c r="D812" s="11"/>
      <c r="E812" s="11"/>
      <c r="F812" s="11"/>
      <c r="G812" s="11"/>
      <c r="H812" s="11"/>
      <c r="I812" s="12"/>
      <c r="J812" s="18" t="s">
        <v>1502</v>
      </c>
      <c r="K812" s="18" t="n">
        <v>883</v>
      </c>
      <c r="L812" s="13" t="n">
        <v>883</v>
      </c>
      <c r="M812" s="13" t="s">
        <v>928</v>
      </c>
      <c r="N812" s="0" t="n">
        <v>97</v>
      </c>
    </row>
    <row r="813" customFormat="false" ht="13.8" hidden="false" customHeight="false" outlineLevel="0" collapsed="false">
      <c r="A813" s="10" t="n">
        <v>812</v>
      </c>
      <c r="B813" s="4"/>
      <c r="C813" s="11"/>
      <c r="D813" s="11"/>
      <c r="E813" s="11"/>
      <c r="F813" s="11"/>
      <c r="G813" s="11"/>
      <c r="H813" s="11"/>
      <c r="I813" s="12"/>
      <c r="J813" s="18" t="s">
        <v>1502</v>
      </c>
      <c r="K813" s="18" t="n">
        <v>891</v>
      </c>
      <c r="L813" s="13" t="n">
        <v>891</v>
      </c>
      <c r="M813" s="13" t="s">
        <v>936</v>
      </c>
      <c r="N813" s="0" t="n">
        <v>97</v>
      </c>
    </row>
    <row r="814" customFormat="false" ht="13.8" hidden="false" customHeight="false" outlineLevel="0" collapsed="false">
      <c r="A814" s="10" t="n">
        <v>813</v>
      </c>
      <c r="B814" s="4"/>
      <c r="C814" s="11"/>
      <c r="D814" s="11"/>
      <c r="E814" s="11"/>
      <c r="F814" s="11"/>
      <c r="G814" s="11"/>
      <c r="H814" s="11"/>
      <c r="I814" s="12"/>
      <c r="J814" s="18" t="s">
        <v>1502</v>
      </c>
      <c r="K814" s="18" t="n">
        <v>890</v>
      </c>
      <c r="L814" s="13" t="n">
        <v>890</v>
      </c>
      <c r="M814" s="13" t="s">
        <v>935</v>
      </c>
      <c r="N814" s="0" t="n">
        <v>97</v>
      </c>
    </row>
    <row r="815" customFormat="false" ht="13.8" hidden="false" customHeight="false" outlineLevel="0" collapsed="false">
      <c r="A815" s="10" t="n">
        <v>814</v>
      </c>
      <c r="B815" s="4"/>
      <c r="C815" s="11"/>
      <c r="D815" s="11"/>
      <c r="E815" s="11"/>
      <c r="F815" s="11"/>
      <c r="G815" s="11"/>
      <c r="H815" s="11"/>
      <c r="I815" s="12"/>
      <c r="J815" s="18" t="s">
        <v>1502</v>
      </c>
      <c r="K815" s="18" t="n">
        <v>899</v>
      </c>
      <c r="L815" s="13" t="n">
        <v>899</v>
      </c>
      <c r="M815" s="13" t="s">
        <v>943</v>
      </c>
      <c r="N815" s="0" t="n">
        <v>97</v>
      </c>
    </row>
    <row r="816" customFormat="false" ht="13.8" hidden="false" customHeight="false" outlineLevel="0" collapsed="false">
      <c r="A816" s="10" t="n">
        <v>815</v>
      </c>
      <c r="B816" s="4"/>
      <c r="C816" s="11"/>
      <c r="D816" s="11"/>
      <c r="E816" s="11"/>
      <c r="F816" s="11"/>
      <c r="G816" s="11"/>
      <c r="H816" s="11"/>
      <c r="I816" s="12"/>
      <c r="J816" s="18" t="s">
        <v>1502</v>
      </c>
      <c r="K816" s="18" t="n">
        <v>915</v>
      </c>
      <c r="L816" s="13" t="n">
        <v>915</v>
      </c>
      <c r="M816" s="13" t="s">
        <v>958</v>
      </c>
      <c r="N816" s="0" t="n">
        <v>97</v>
      </c>
    </row>
    <row r="817" customFormat="false" ht="13.8" hidden="false" customHeight="false" outlineLevel="0" collapsed="false">
      <c r="A817" s="10" t="n">
        <v>816</v>
      </c>
      <c r="B817" s="4"/>
      <c r="C817" s="11"/>
      <c r="D817" s="11"/>
      <c r="E817" s="11"/>
      <c r="F817" s="11"/>
      <c r="G817" s="11"/>
      <c r="H817" s="11"/>
      <c r="I817" s="12"/>
      <c r="J817" s="18" t="s">
        <v>1502</v>
      </c>
      <c r="K817" s="18" t="n">
        <v>923</v>
      </c>
      <c r="L817" s="13" t="n">
        <v>923</v>
      </c>
      <c r="M817" s="13" t="s">
        <v>965</v>
      </c>
      <c r="N817" s="0" t="n">
        <v>97</v>
      </c>
    </row>
    <row r="818" customFormat="false" ht="13.8" hidden="false" customHeight="false" outlineLevel="0" collapsed="false">
      <c r="A818" s="10" t="n">
        <v>817</v>
      </c>
      <c r="B818" s="4"/>
      <c r="C818" s="11"/>
      <c r="D818" s="11"/>
      <c r="E818" s="11"/>
      <c r="F818" s="11"/>
      <c r="G818" s="11"/>
      <c r="H818" s="11"/>
      <c r="I818" s="12"/>
      <c r="J818" s="18" t="s">
        <v>1502</v>
      </c>
      <c r="K818" s="18" t="n">
        <v>398</v>
      </c>
      <c r="L818" s="13" t="n">
        <v>398</v>
      </c>
      <c r="M818" s="13" t="s">
        <v>467</v>
      </c>
      <c r="N818" s="0" t="n">
        <v>97</v>
      </c>
    </row>
    <row r="819" customFormat="false" ht="13.8" hidden="false" customHeight="false" outlineLevel="0" collapsed="false">
      <c r="A819" s="10" t="n">
        <v>818</v>
      </c>
      <c r="B819" s="4"/>
      <c r="C819" s="11"/>
      <c r="D819" s="11"/>
      <c r="E819" s="11"/>
      <c r="F819" s="11"/>
      <c r="G819" s="11"/>
      <c r="H819" s="11"/>
      <c r="I819" s="12" t="n">
        <v>117</v>
      </c>
      <c r="J819" s="18" t="s">
        <v>1502</v>
      </c>
      <c r="K819" s="18" t="n">
        <v>122</v>
      </c>
      <c r="L819" s="13" t="n">
        <v>122</v>
      </c>
      <c r="M819" s="13" t="s">
        <v>210</v>
      </c>
      <c r="N819" s="0" t="n">
        <v>97</v>
      </c>
    </row>
    <row r="820" customFormat="false" ht="13.8" hidden="false" customHeight="false" outlineLevel="0" collapsed="false">
      <c r="A820" s="10" t="n">
        <v>819</v>
      </c>
      <c r="B820" s="4"/>
      <c r="C820" s="11"/>
      <c r="D820" s="11"/>
      <c r="E820" s="11"/>
      <c r="F820" s="11"/>
      <c r="G820" s="11"/>
      <c r="H820" s="11"/>
      <c r="I820" s="12" t="n">
        <v>100</v>
      </c>
      <c r="J820" s="18" t="s">
        <v>1502</v>
      </c>
      <c r="K820" s="18" t="n">
        <v>105</v>
      </c>
      <c r="L820" s="13" t="n">
        <v>105</v>
      </c>
      <c r="M820" s="13" t="s">
        <v>193</v>
      </c>
      <c r="N820" s="0" t="n">
        <v>97</v>
      </c>
    </row>
    <row r="821" customFormat="false" ht="13.8" hidden="false" customHeight="false" outlineLevel="0" collapsed="false">
      <c r="A821" s="10" t="n">
        <v>820</v>
      </c>
      <c r="B821" s="4"/>
      <c r="C821" s="11"/>
      <c r="D821" s="11"/>
      <c r="E821" s="11"/>
      <c r="F821" s="11"/>
      <c r="G821" s="11"/>
      <c r="H821" s="11"/>
      <c r="I821" s="12" t="n">
        <v>109</v>
      </c>
      <c r="J821" s="18" t="s">
        <v>1502</v>
      </c>
      <c r="K821" s="18" t="n">
        <v>114</v>
      </c>
      <c r="L821" s="13" t="n">
        <v>114</v>
      </c>
      <c r="M821" s="13" t="s">
        <v>202</v>
      </c>
      <c r="N821" s="0" t="n">
        <v>97</v>
      </c>
    </row>
    <row r="822" customFormat="false" ht="13.8" hidden="false" customHeight="false" outlineLevel="0" collapsed="false">
      <c r="A822" s="10" t="n">
        <v>821</v>
      </c>
      <c r="B822" s="4"/>
      <c r="C822" s="11"/>
      <c r="D822" s="11"/>
      <c r="E822" s="11"/>
      <c r="F822" s="11" t="s">
        <v>1503</v>
      </c>
      <c r="G822" s="11"/>
      <c r="H822" s="11"/>
      <c r="I822" s="12"/>
      <c r="J822" s="18" t="s">
        <v>1503</v>
      </c>
      <c r="K822" s="18" t="n">
        <v>987</v>
      </c>
      <c r="L822" s="13" t="n">
        <v>987</v>
      </c>
      <c r="M822" s="13" t="s">
        <v>1025</v>
      </c>
      <c r="N822" s="0" t="n">
        <v>98</v>
      </c>
    </row>
    <row r="823" customFormat="false" ht="13.8" hidden="false" customHeight="false" outlineLevel="0" collapsed="false">
      <c r="A823" s="10" t="n">
        <v>822</v>
      </c>
      <c r="B823" s="4"/>
      <c r="C823" s="11"/>
      <c r="D823" s="11"/>
      <c r="E823" s="11"/>
      <c r="F823" s="11"/>
      <c r="G823" s="11"/>
      <c r="H823" s="11"/>
      <c r="I823" s="12" t="n">
        <v>271</v>
      </c>
      <c r="J823" s="18" t="s">
        <v>1503</v>
      </c>
      <c r="K823" s="18" t="n">
        <v>280</v>
      </c>
      <c r="L823" s="13" t="n">
        <v>280</v>
      </c>
      <c r="M823" s="13" t="s">
        <v>358</v>
      </c>
      <c r="N823" s="0" t="n">
        <v>98</v>
      </c>
    </row>
    <row r="824" customFormat="false" ht="13.8" hidden="false" customHeight="false" outlineLevel="0" collapsed="false">
      <c r="A824" s="10" t="n">
        <v>823</v>
      </c>
      <c r="B824" s="4"/>
      <c r="C824" s="11"/>
      <c r="D824" s="11"/>
      <c r="E824" s="11"/>
      <c r="F824" s="11"/>
      <c r="G824" s="11"/>
      <c r="H824" s="11"/>
      <c r="I824" s="12" t="n">
        <v>869</v>
      </c>
      <c r="J824" s="18" t="s">
        <v>1503</v>
      </c>
      <c r="K824" s="18" t="n">
        <v>880</v>
      </c>
      <c r="L824" s="13" t="n">
        <v>880</v>
      </c>
      <c r="M824" s="13" t="s">
        <v>925</v>
      </c>
      <c r="N824" s="0" t="n">
        <v>98</v>
      </c>
    </row>
    <row r="825" customFormat="false" ht="13.8" hidden="false" customHeight="false" outlineLevel="0" collapsed="false">
      <c r="A825" s="10" t="n">
        <v>824</v>
      </c>
      <c r="B825" s="4"/>
      <c r="C825" s="11"/>
      <c r="D825" s="11"/>
      <c r="E825" s="11"/>
      <c r="F825" s="11"/>
      <c r="G825" s="11"/>
      <c r="H825" s="11"/>
      <c r="I825" s="12"/>
      <c r="J825" s="18" t="s">
        <v>1503</v>
      </c>
      <c r="K825" s="18" t="n">
        <v>283</v>
      </c>
      <c r="L825" s="13" t="n">
        <v>283</v>
      </c>
      <c r="M825" s="13" t="s">
        <v>360</v>
      </c>
      <c r="N825" s="0" t="n">
        <v>98</v>
      </c>
    </row>
    <row r="826" customFormat="false" ht="13.8" hidden="false" customHeight="false" outlineLevel="0" collapsed="false">
      <c r="A826" s="10" t="n">
        <v>825</v>
      </c>
      <c r="B826" s="4"/>
      <c r="C826" s="11"/>
      <c r="D826" s="11"/>
      <c r="E826" s="11"/>
      <c r="F826" s="11"/>
      <c r="G826" s="11"/>
      <c r="H826" s="11"/>
      <c r="I826" s="12" t="n">
        <v>887</v>
      </c>
      <c r="J826" s="18" t="s">
        <v>1503</v>
      </c>
      <c r="K826" s="18" t="n">
        <v>898</v>
      </c>
      <c r="L826" s="13" t="n">
        <v>898</v>
      </c>
      <c r="M826" s="13" t="s">
        <v>942</v>
      </c>
      <c r="N826" s="0" t="n">
        <v>98</v>
      </c>
    </row>
    <row r="827" customFormat="false" ht="13.8" hidden="false" customHeight="false" outlineLevel="0" collapsed="false">
      <c r="A827" s="10" t="n">
        <v>826</v>
      </c>
      <c r="B827" s="4"/>
      <c r="C827" s="11"/>
      <c r="D827" s="11"/>
      <c r="E827" s="11"/>
      <c r="F827" s="11"/>
      <c r="G827" s="11"/>
      <c r="H827" s="11"/>
      <c r="I827" s="12" t="n">
        <v>920</v>
      </c>
      <c r="J827" s="18" t="s">
        <v>1503</v>
      </c>
      <c r="K827" s="18" t="n">
        <v>931</v>
      </c>
      <c r="L827" s="13" t="n">
        <v>931</v>
      </c>
      <c r="M827" s="13" t="s">
        <v>972</v>
      </c>
      <c r="N827" s="0" t="n">
        <v>98</v>
      </c>
    </row>
    <row r="828" customFormat="false" ht="13.8" hidden="false" customHeight="false" outlineLevel="0" collapsed="false">
      <c r="A828" s="10" t="n">
        <v>827</v>
      </c>
      <c r="B828" s="4"/>
      <c r="C828" s="11"/>
      <c r="D828" s="11"/>
      <c r="E828" s="11"/>
      <c r="F828" s="11"/>
      <c r="G828" s="11"/>
      <c r="H828" s="11"/>
      <c r="I828" s="12" t="n">
        <v>1081</v>
      </c>
      <c r="J828" s="18" t="s">
        <v>1503</v>
      </c>
      <c r="K828" s="18" t="n">
        <v>1093</v>
      </c>
      <c r="L828" s="13" t="n">
        <v>1093</v>
      </c>
      <c r="M828" s="13" t="s">
        <v>1127</v>
      </c>
      <c r="N828" s="0" t="n">
        <v>98</v>
      </c>
    </row>
    <row r="829" customFormat="false" ht="13.8" hidden="false" customHeight="false" outlineLevel="0" collapsed="false">
      <c r="A829" s="10" t="n">
        <v>828</v>
      </c>
      <c r="B829" s="4"/>
      <c r="C829" s="11"/>
      <c r="D829" s="11"/>
      <c r="E829" s="11"/>
      <c r="F829" s="11"/>
      <c r="G829" s="11"/>
      <c r="H829" s="11"/>
      <c r="I829" s="12"/>
      <c r="J829" s="18" t="s">
        <v>1503</v>
      </c>
      <c r="K829" s="18" t="n">
        <v>552</v>
      </c>
      <c r="L829" s="13" t="n">
        <v>552</v>
      </c>
      <c r="M829" s="13" t="s">
        <v>612</v>
      </c>
      <c r="N829" s="0" t="n">
        <v>98</v>
      </c>
    </row>
    <row r="830" customFormat="false" ht="13.8" hidden="false" customHeight="false" outlineLevel="0" collapsed="false">
      <c r="A830" s="10" t="n">
        <v>829</v>
      </c>
      <c r="B830" s="4"/>
      <c r="C830" s="11"/>
      <c r="D830" s="11"/>
      <c r="E830" s="11"/>
      <c r="F830" s="11"/>
      <c r="G830" s="11"/>
      <c r="H830" s="11"/>
      <c r="I830" s="12" t="n">
        <v>308</v>
      </c>
      <c r="J830" s="18" t="s">
        <v>1503</v>
      </c>
      <c r="K830" s="18" t="n">
        <v>318</v>
      </c>
      <c r="L830" s="13" t="n">
        <v>318</v>
      </c>
      <c r="M830" s="13" t="s">
        <v>390</v>
      </c>
      <c r="N830" s="0" t="n">
        <v>98</v>
      </c>
    </row>
    <row r="831" customFormat="false" ht="13.8" hidden="false" customHeight="false" outlineLevel="0" collapsed="false">
      <c r="A831" s="10" t="n">
        <v>830</v>
      </c>
      <c r="B831" s="4"/>
      <c r="C831" s="11"/>
      <c r="D831" s="11"/>
      <c r="E831" s="11"/>
      <c r="F831" s="11"/>
      <c r="G831" s="11"/>
      <c r="H831" s="11"/>
      <c r="I831" s="12"/>
      <c r="J831" s="18" t="s">
        <v>1503</v>
      </c>
      <c r="K831" s="18" t="n">
        <v>462</v>
      </c>
      <c r="L831" s="13" t="n">
        <v>462</v>
      </c>
      <c r="M831" s="13" t="s">
        <v>526</v>
      </c>
      <c r="N831" s="0" t="n">
        <v>98</v>
      </c>
    </row>
    <row r="832" customFormat="false" ht="13.8" hidden="false" customHeight="false" outlineLevel="0" collapsed="false">
      <c r="A832" s="10" t="n">
        <v>831</v>
      </c>
      <c r="B832" s="4"/>
      <c r="C832" s="11"/>
      <c r="D832" s="11"/>
      <c r="E832" s="11"/>
      <c r="F832" s="11"/>
      <c r="G832" s="11"/>
      <c r="H832" s="11"/>
      <c r="I832" s="12" t="n">
        <v>523</v>
      </c>
      <c r="J832" s="18" t="s">
        <v>1503</v>
      </c>
      <c r="K832" s="18" t="n">
        <v>534</v>
      </c>
      <c r="L832" s="13" t="n">
        <v>534</v>
      </c>
      <c r="M832" s="13" t="s">
        <v>597</v>
      </c>
      <c r="N832" s="0" t="n">
        <v>98</v>
      </c>
    </row>
    <row r="833" customFormat="false" ht="13.8" hidden="false" customHeight="false" outlineLevel="0" collapsed="false">
      <c r="A833" s="10" t="n">
        <v>832</v>
      </c>
      <c r="B833" s="4"/>
      <c r="C833" s="11"/>
      <c r="D833" s="11"/>
      <c r="E833" s="11"/>
      <c r="F833" s="11"/>
      <c r="G833" s="11"/>
      <c r="H833" s="11"/>
      <c r="I833" s="12" t="n">
        <v>563</v>
      </c>
      <c r="J833" s="18" t="s">
        <v>1503</v>
      </c>
      <c r="K833" s="18" t="n">
        <v>574</v>
      </c>
      <c r="L833" s="13" t="n">
        <v>574</v>
      </c>
      <c r="M833" s="13" t="s">
        <v>633</v>
      </c>
      <c r="N833" s="0" t="n">
        <v>98</v>
      </c>
    </row>
    <row r="834" customFormat="false" ht="13.8" hidden="false" customHeight="false" outlineLevel="0" collapsed="false">
      <c r="A834" s="10" t="n">
        <v>833</v>
      </c>
      <c r="B834" s="4"/>
      <c r="C834" s="11"/>
      <c r="D834" s="11"/>
      <c r="E834" s="11"/>
      <c r="F834" s="11"/>
      <c r="G834" s="11"/>
      <c r="H834" s="11"/>
      <c r="I834" s="12" t="n">
        <v>610</v>
      </c>
      <c r="J834" s="18" t="s">
        <v>1503</v>
      </c>
      <c r="K834" s="18" t="n">
        <v>621</v>
      </c>
      <c r="L834" s="13" t="n">
        <v>621</v>
      </c>
      <c r="M834" s="13" t="s">
        <v>677</v>
      </c>
      <c r="N834" s="0" t="n">
        <v>98</v>
      </c>
    </row>
    <row r="835" customFormat="false" ht="13.8" hidden="false" customHeight="false" outlineLevel="0" collapsed="false">
      <c r="A835" s="10" t="n">
        <v>834</v>
      </c>
      <c r="B835" s="4"/>
      <c r="C835" s="11"/>
      <c r="D835" s="11"/>
      <c r="E835" s="11"/>
      <c r="F835" s="11" t="s">
        <v>1504</v>
      </c>
      <c r="G835" s="11"/>
      <c r="H835" s="11"/>
      <c r="I835" s="12"/>
      <c r="J835" s="18" t="s">
        <v>1504</v>
      </c>
      <c r="K835" s="18" t="n">
        <v>1117</v>
      </c>
      <c r="L835" s="13" t="n">
        <v>1117</v>
      </c>
      <c r="M835" s="13" t="s">
        <v>1150</v>
      </c>
      <c r="N835" s="0" t="n">
        <v>99</v>
      </c>
    </row>
    <row r="836" customFormat="false" ht="13.8" hidden="false" customHeight="false" outlineLevel="0" collapsed="false">
      <c r="A836" s="10" t="n">
        <v>835</v>
      </c>
      <c r="B836" s="4"/>
      <c r="C836" s="11"/>
      <c r="D836" s="11"/>
      <c r="E836" s="11"/>
      <c r="F836" s="11"/>
      <c r="G836" s="11"/>
      <c r="H836" s="11"/>
      <c r="I836" s="12" t="n">
        <v>668</v>
      </c>
      <c r="J836" s="18" t="s">
        <v>1504</v>
      </c>
      <c r="K836" s="18" t="n">
        <v>679</v>
      </c>
      <c r="L836" s="13" t="n">
        <v>679</v>
      </c>
      <c r="M836" s="13" t="s">
        <v>1305</v>
      </c>
      <c r="N836" s="0" t="n">
        <v>99</v>
      </c>
    </row>
    <row r="837" customFormat="false" ht="13.8" hidden="false" customHeight="false" outlineLevel="0" collapsed="false">
      <c r="A837" s="10" t="n">
        <v>836</v>
      </c>
      <c r="B837" s="4"/>
      <c r="C837" s="11"/>
      <c r="D837" s="11"/>
      <c r="E837" s="11"/>
      <c r="F837" s="11"/>
      <c r="G837" s="11"/>
      <c r="H837" s="11"/>
      <c r="I837" s="12"/>
      <c r="J837" s="18" t="s">
        <v>1504</v>
      </c>
      <c r="K837" s="18" t="n">
        <v>137</v>
      </c>
      <c r="L837" s="13" t="n">
        <v>137</v>
      </c>
      <c r="M837" s="13" t="s">
        <v>1505</v>
      </c>
      <c r="N837" s="0" t="n">
        <v>99</v>
      </c>
    </row>
    <row r="838" customFormat="false" ht="13.8" hidden="false" customHeight="false" outlineLevel="0" collapsed="false">
      <c r="A838" s="10" t="n">
        <v>837</v>
      </c>
      <c r="B838" s="4"/>
      <c r="C838" s="11"/>
      <c r="D838" s="11"/>
      <c r="E838" s="11"/>
      <c r="F838" s="11"/>
      <c r="G838" s="11"/>
      <c r="H838" s="11"/>
      <c r="I838" s="12"/>
      <c r="J838" s="18" t="s">
        <v>1504</v>
      </c>
      <c r="K838" s="18" t="n">
        <v>130</v>
      </c>
      <c r="L838" s="13" t="n">
        <v>130</v>
      </c>
      <c r="M838" s="13" t="s">
        <v>1506</v>
      </c>
      <c r="N838" s="0" t="n">
        <v>99</v>
      </c>
    </row>
    <row r="839" customFormat="false" ht="13.8" hidden="false" customHeight="false" outlineLevel="0" collapsed="false">
      <c r="A839" s="10" t="n">
        <v>838</v>
      </c>
      <c r="B839" s="4"/>
      <c r="C839" s="11"/>
      <c r="D839" s="11"/>
      <c r="E839" s="11"/>
      <c r="F839" s="11"/>
      <c r="G839" s="11"/>
      <c r="H839" s="11"/>
      <c r="I839" s="12" t="n">
        <v>142</v>
      </c>
      <c r="J839" s="18" t="s">
        <v>1504</v>
      </c>
      <c r="K839" s="18" t="n">
        <v>147</v>
      </c>
      <c r="L839" s="13" t="n">
        <v>147</v>
      </c>
      <c r="M839" s="13" t="s">
        <v>234</v>
      </c>
      <c r="N839" s="0" t="n">
        <v>99</v>
      </c>
    </row>
    <row r="840" customFormat="false" ht="13.8" hidden="false" customHeight="false" outlineLevel="0" collapsed="false">
      <c r="A840" s="10" t="n">
        <v>839</v>
      </c>
      <c r="B840" s="4"/>
      <c r="C840" s="11"/>
      <c r="D840" s="11"/>
      <c r="E840" s="11"/>
      <c r="F840" s="11"/>
      <c r="G840" s="11"/>
      <c r="H840" s="11"/>
      <c r="I840" s="12" t="n">
        <v>157</v>
      </c>
      <c r="J840" s="18" t="s">
        <v>1504</v>
      </c>
      <c r="K840" s="18" t="n">
        <v>162</v>
      </c>
      <c r="L840" s="13" t="n">
        <v>162</v>
      </c>
      <c r="M840" s="13" t="s">
        <v>249</v>
      </c>
      <c r="N840" s="0" t="n">
        <v>99</v>
      </c>
    </row>
    <row r="841" customFormat="false" ht="13.8" hidden="false" customHeight="false" outlineLevel="0" collapsed="false">
      <c r="A841" s="10" t="n">
        <v>840</v>
      </c>
      <c r="B841" s="4"/>
      <c r="C841" s="11"/>
      <c r="D841" s="11"/>
      <c r="E841" s="11"/>
      <c r="F841" s="11"/>
      <c r="G841" s="11"/>
      <c r="H841" s="11"/>
      <c r="I841" s="12" t="n">
        <v>593</v>
      </c>
      <c r="J841" s="18" t="s">
        <v>1504</v>
      </c>
      <c r="K841" s="18" t="n">
        <v>604</v>
      </c>
      <c r="L841" s="13" t="n">
        <v>604</v>
      </c>
      <c r="M841" s="13" t="s">
        <v>661</v>
      </c>
      <c r="N841" s="0" t="n">
        <v>99</v>
      </c>
    </row>
    <row r="842" customFormat="false" ht="13.8" hidden="false" customHeight="false" outlineLevel="0" collapsed="false">
      <c r="A842" s="10" t="n">
        <v>841</v>
      </c>
      <c r="B842" s="4"/>
      <c r="C842" s="11"/>
      <c r="D842" s="11"/>
      <c r="E842" s="11"/>
      <c r="F842" s="11"/>
      <c r="G842" s="11"/>
      <c r="H842" s="11"/>
      <c r="I842" s="12" t="n">
        <v>141</v>
      </c>
      <c r="J842" s="18" t="s">
        <v>1504</v>
      </c>
      <c r="K842" s="18" t="n">
        <v>146</v>
      </c>
      <c r="L842" s="13" t="n">
        <v>146</v>
      </c>
      <c r="M842" s="13" t="s">
        <v>233</v>
      </c>
      <c r="N842" s="0" t="n">
        <v>99</v>
      </c>
    </row>
    <row r="843" customFormat="false" ht="13.8" hidden="false" customHeight="false" outlineLevel="0" collapsed="false">
      <c r="A843" s="10" t="n">
        <v>842</v>
      </c>
      <c r="B843" s="4"/>
      <c r="C843" s="11"/>
      <c r="D843" s="11"/>
      <c r="E843" s="11"/>
      <c r="F843" s="11"/>
      <c r="G843" s="11"/>
      <c r="H843" s="11"/>
      <c r="I843" s="12" t="n">
        <v>231</v>
      </c>
      <c r="J843" s="18" t="s">
        <v>1504</v>
      </c>
      <c r="K843" s="18" t="n">
        <v>238</v>
      </c>
      <c r="L843" s="13" t="n">
        <v>238</v>
      </c>
      <c r="M843" s="13" t="s">
        <v>1306</v>
      </c>
      <c r="N843" s="0" t="n">
        <v>99</v>
      </c>
    </row>
    <row r="844" customFormat="false" ht="13.8" hidden="false" customHeight="false" outlineLevel="0" collapsed="false">
      <c r="A844" s="10" t="n">
        <v>843</v>
      </c>
      <c r="B844" s="4"/>
      <c r="C844" s="11"/>
      <c r="D844" s="11"/>
      <c r="E844" s="11"/>
      <c r="F844" s="11"/>
      <c r="G844" s="11"/>
      <c r="H844" s="11"/>
      <c r="I844" s="12" t="n">
        <v>340</v>
      </c>
      <c r="J844" s="18" t="s">
        <v>1504</v>
      </c>
      <c r="K844" s="18" t="n">
        <v>350</v>
      </c>
      <c r="L844" s="13" t="n">
        <v>350</v>
      </c>
      <c r="M844" s="13" t="s">
        <v>421</v>
      </c>
      <c r="N844" s="0" t="n">
        <v>99</v>
      </c>
    </row>
    <row r="845" customFormat="false" ht="13.8" hidden="false" customHeight="false" outlineLevel="0" collapsed="false">
      <c r="A845" s="10" t="n">
        <v>844</v>
      </c>
      <c r="B845" s="4"/>
      <c r="C845" s="11"/>
      <c r="D845" s="11"/>
      <c r="E845" s="11"/>
      <c r="F845" s="11"/>
      <c r="G845" s="11"/>
      <c r="H845" s="11"/>
      <c r="I845" s="12" t="n">
        <v>348</v>
      </c>
      <c r="J845" s="18" t="s">
        <v>1504</v>
      </c>
      <c r="K845" s="18" t="n">
        <v>358</v>
      </c>
      <c r="L845" s="13" t="n">
        <v>358</v>
      </c>
      <c r="M845" s="13" t="s">
        <v>429</v>
      </c>
      <c r="N845" s="0" t="n">
        <v>99</v>
      </c>
    </row>
    <row r="846" customFormat="false" ht="13.8" hidden="false" customHeight="false" outlineLevel="0" collapsed="false">
      <c r="A846" s="10" t="n">
        <v>845</v>
      </c>
      <c r="B846" s="4"/>
      <c r="C846" s="11"/>
      <c r="D846" s="11"/>
      <c r="E846" s="11" t="s">
        <v>1507</v>
      </c>
      <c r="F846" s="11"/>
      <c r="G846" s="11"/>
      <c r="H846" s="11"/>
      <c r="I846" s="12" t="n">
        <v>344</v>
      </c>
      <c r="J846" s="18" t="s">
        <v>1507</v>
      </c>
      <c r="K846" s="18" t="n">
        <v>354</v>
      </c>
      <c r="L846" s="13" t="n">
        <v>354</v>
      </c>
      <c r="M846" s="13" t="s">
        <v>425</v>
      </c>
      <c r="N846" s="0" t="n">
        <v>99</v>
      </c>
    </row>
    <row r="847" customFormat="false" ht="13.8" hidden="false" customHeight="false" outlineLevel="0" collapsed="false">
      <c r="A847" s="10" t="n">
        <v>846</v>
      </c>
      <c r="B847" s="4"/>
      <c r="C847" s="11"/>
      <c r="D847" s="11"/>
      <c r="E847" s="11"/>
      <c r="F847" s="11" t="s">
        <v>1508</v>
      </c>
      <c r="G847" s="11"/>
      <c r="H847" s="11"/>
      <c r="I847" s="12"/>
      <c r="J847" s="18" t="s">
        <v>1507</v>
      </c>
      <c r="K847" s="18" t="n">
        <v>386</v>
      </c>
      <c r="L847" s="13" t="n">
        <v>386</v>
      </c>
      <c r="M847" s="13" t="s">
        <v>455</v>
      </c>
      <c r="N847" s="0" t="n">
        <v>100</v>
      </c>
    </row>
    <row r="848" customFormat="false" ht="13.8" hidden="false" customHeight="false" outlineLevel="0" collapsed="false">
      <c r="A848" s="10" t="n">
        <v>847</v>
      </c>
      <c r="B848" s="4"/>
      <c r="C848" s="11"/>
      <c r="D848" s="11"/>
      <c r="E848" s="11"/>
      <c r="F848" s="11"/>
      <c r="G848" s="11"/>
      <c r="H848" s="11"/>
      <c r="I848" s="12" t="n">
        <v>200</v>
      </c>
      <c r="J848" s="18" t="s">
        <v>1507</v>
      </c>
      <c r="K848" s="18" t="n">
        <v>207</v>
      </c>
      <c r="L848" s="13" t="n">
        <v>207</v>
      </c>
      <c r="M848" s="13" t="s">
        <v>291</v>
      </c>
      <c r="N848" s="0" t="n">
        <v>100</v>
      </c>
    </row>
    <row r="849" customFormat="false" ht="13.8" hidden="false" customHeight="false" outlineLevel="0" collapsed="false">
      <c r="A849" s="10" t="n">
        <v>848</v>
      </c>
      <c r="B849" s="4"/>
      <c r="C849" s="11"/>
      <c r="D849" s="11"/>
      <c r="E849" s="11"/>
      <c r="F849" s="11"/>
      <c r="G849" s="11" t="s">
        <v>664</v>
      </c>
      <c r="H849" s="11"/>
      <c r="I849" s="12"/>
      <c r="J849" s="18" t="s">
        <v>1507</v>
      </c>
      <c r="K849" s="18" t="n">
        <v>607</v>
      </c>
      <c r="L849" s="13" t="n">
        <v>607</v>
      </c>
      <c r="M849" s="13" t="s">
        <v>664</v>
      </c>
      <c r="N849" s="0" t="n">
        <v>100</v>
      </c>
    </row>
    <row r="850" customFormat="false" ht="13.8" hidden="false" customHeight="false" outlineLevel="0" collapsed="false">
      <c r="A850" s="10" t="n">
        <v>849</v>
      </c>
      <c r="B850" s="4"/>
      <c r="C850" s="11"/>
      <c r="D850" s="11"/>
      <c r="E850" s="11"/>
      <c r="F850" s="11"/>
      <c r="G850" s="11"/>
      <c r="H850" s="11"/>
      <c r="I850" s="12"/>
      <c r="J850" s="18" t="s">
        <v>1507</v>
      </c>
      <c r="K850" s="18" t="n">
        <v>112</v>
      </c>
      <c r="L850" s="13" t="n">
        <v>112</v>
      </c>
      <c r="M850" s="13" t="s">
        <v>200</v>
      </c>
      <c r="N850" s="0" t="n">
        <v>100</v>
      </c>
    </row>
    <row r="851" customFormat="false" ht="13.8" hidden="false" customHeight="false" outlineLevel="0" collapsed="false">
      <c r="A851" s="10" t="n">
        <v>850</v>
      </c>
      <c r="B851" s="4"/>
      <c r="C851" s="11"/>
      <c r="D851" s="11"/>
      <c r="E851" s="11"/>
      <c r="F851" s="11"/>
      <c r="G851" s="11"/>
      <c r="H851" s="11"/>
      <c r="I851" s="12"/>
      <c r="J851" s="18" t="s">
        <v>1507</v>
      </c>
      <c r="K851" s="18" t="n">
        <v>560</v>
      </c>
      <c r="L851" s="13" t="n">
        <v>560</v>
      </c>
      <c r="M851" s="13" t="s">
        <v>619</v>
      </c>
      <c r="N851" s="0" t="n">
        <v>100</v>
      </c>
    </row>
    <row r="852" customFormat="false" ht="13.8" hidden="false" customHeight="false" outlineLevel="0" collapsed="false">
      <c r="A852" s="10" t="n">
        <v>851</v>
      </c>
      <c r="B852" s="4"/>
      <c r="C852" s="11"/>
      <c r="D852" s="11"/>
      <c r="E852" s="11"/>
      <c r="F852" s="11"/>
      <c r="G852" s="11"/>
      <c r="H852" s="11"/>
      <c r="I852" s="12" t="n">
        <v>91</v>
      </c>
      <c r="J852" s="18" t="s">
        <v>1507</v>
      </c>
      <c r="K852" s="18" t="n">
        <v>96</v>
      </c>
      <c r="L852" s="13" t="n">
        <v>96</v>
      </c>
      <c r="M852" s="13" t="s">
        <v>184</v>
      </c>
      <c r="N852" s="0" t="n">
        <v>100</v>
      </c>
    </row>
    <row r="853" customFormat="false" ht="13.8" hidden="false" customHeight="false" outlineLevel="0" collapsed="false">
      <c r="A853" s="10" t="n">
        <v>852</v>
      </c>
      <c r="B853" s="4"/>
      <c r="C853" s="11"/>
      <c r="D853" s="11"/>
      <c r="E853" s="11"/>
      <c r="F853" s="11"/>
      <c r="G853" s="11"/>
      <c r="H853" s="11"/>
      <c r="I853" s="12" t="n">
        <v>96</v>
      </c>
      <c r="J853" s="18" t="s">
        <v>1507</v>
      </c>
      <c r="K853" s="18" t="n">
        <v>101</v>
      </c>
      <c r="L853" s="13" t="n">
        <v>101</v>
      </c>
      <c r="M853" s="13" t="s">
        <v>189</v>
      </c>
      <c r="N853" s="0" t="n">
        <v>100</v>
      </c>
    </row>
    <row r="854" customFormat="false" ht="13.8" hidden="false" customHeight="false" outlineLevel="0" collapsed="false">
      <c r="A854" s="10" t="n">
        <v>853</v>
      </c>
      <c r="B854" s="4"/>
      <c r="C854" s="11"/>
      <c r="D854" s="11"/>
      <c r="E854" s="11"/>
      <c r="F854" s="11"/>
      <c r="G854" s="11" t="s">
        <v>1509</v>
      </c>
      <c r="H854" s="11"/>
      <c r="I854" s="12"/>
      <c r="J854" s="18" t="s">
        <v>1507</v>
      </c>
      <c r="K854" s="18" t="n">
        <v>720</v>
      </c>
      <c r="L854" s="13" t="n">
        <v>720</v>
      </c>
      <c r="M854" s="13" t="s">
        <v>771</v>
      </c>
      <c r="N854" s="0" t="n">
        <v>100</v>
      </c>
    </row>
    <row r="855" customFormat="false" ht="13.8" hidden="false" customHeight="false" outlineLevel="0" collapsed="false">
      <c r="A855" s="10" t="n">
        <v>854</v>
      </c>
      <c r="B855" s="4"/>
      <c r="C855" s="11"/>
      <c r="D855" s="11"/>
      <c r="E855" s="11"/>
      <c r="F855" s="11"/>
      <c r="G855" s="11"/>
      <c r="H855" s="11"/>
      <c r="I855" s="12" t="n">
        <v>700</v>
      </c>
      <c r="J855" s="18" t="s">
        <v>1507</v>
      </c>
      <c r="K855" s="18" t="n">
        <v>711</v>
      </c>
      <c r="L855" s="13" t="n">
        <v>711</v>
      </c>
      <c r="M855" s="13" t="s">
        <v>762</v>
      </c>
      <c r="N855" s="0" t="n">
        <v>100</v>
      </c>
    </row>
    <row r="856" customFormat="false" ht="13.8" hidden="false" customHeight="false" outlineLevel="0" collapsed="false">
      <c r="A856" s="10" t="n">
        <v>855</v>
      </c>
      <c r="B856" s="4"/>
      <c r="C856" s="11"/>
      <c r="D856" s="11"/>
      <c r="E856" s="11"/>
      <c r="F856" s="11"/>
      <c r="G856" s="11"/>
      <c r="H856" s="11"/>
      <c r="I856" s="12" t="n">
        <v>1027</v>
      </c>
      <c r="J856" s="18" t="s">
        <v>1507</v>
      </c>
      <c r="K856" s="18" t="n">
        <v>1039</v>
      </c>
      <c r="L856" s="13" t="n">
        <v>1039</v>
      </c>
      <c r="M856" s="13" t="s">
        <v>1075</v>
      </c>
      <c r="N856" s="0" t="n">
        <v>100</v>
      </c>
    </row>
    <row r="857" customFormat="false" ht="13.8" hidden="false" customHeight="false" outlineLevel="0" collapsed="false">
      <c r="A857" s="10" t="n">
        <v>856</v>
      </c>
      <c r="B857" s="4"/>
      <c r="C857" s="11"/>
      <c r="D857" s="11"/>
      <c r="E857" s="11"/>
      <c r="F857" s="11"/>
      <c r="G857" s="11"/>
      <c r="H857" s="11"/>
      <c r="I857" s="12" t="n">
        <v>892</v>
      </c>
      <c r="J857" s="18" t="s">
        <v>1507</v>
      </c>
      <c r="K857" s="18" t="n">
        <v>903</v>
      </c>
      <c r="L857" s="13" t="n">
        <v>903</v>
      </c>
      <c r="M857" s="13" t="s">
        <v>947</v>
      </c>
      <c r="N857" s="0" t="n">
        <v>100</v>
      </c>
    </row>
    <row r="858" customFormat="false" ht="13.8" hidden="false" customHeight="false" outlineLevel="0" collapsed="false">
      <c r="A858" s="10" t="n">
        <v>857</v>
      </c>
      <c r="B858" s="4"/>
      <c r="C858" s="11"/>
      <c r="D858" s="11"/>
      <c r="E858" s="11"/>
      <c r="F858" s="11"/>
      <c r="G858" s="11"/>
      <c r="H858" s="11"/>
      <c r="I858" s="12" t="n">
        <v>631</v>
      </c>
      <c r="J858" s="18" t="s">
        <v>1507</v>
      </c>
      <c r="K858" s="18" t="n">
        <v>642</v>
      </c>
      <c r="L858" s="13" t="n">
        <v>642</v>
      </c>
      <c r="M858" s="13" t="s">
        <v>696</v>
      </c>
      <c r="N858" s="0" t="n">
        <v>100</v>
      </c>
    </row>
    <row r="859" customFormat="false" ht="13.8" hidden="false" customHeight="false" outlineLevel="0" collapsed="false">
      <c r="A859" s="10" t="n">
        <v>858</v>
      </c>
      <c r="B859" s="4"/>
      <c r="C859" s="11"/>
      <c r="D859" s="11"/>
      <c r="E859" s="11"/>
      <c r="F859" s="11"/>
      <c r="G859" s="11"/>
      <c r="H859" s="11"/>
      <c r="I859" s="12" t="n">
        <v>640</v>
      </c>
      <c r="J859" s="18" t="s">
        <v>1507</v>
      </c>
      <c r="K859" s="18" t="n">
        <v>651</v>
      </c>
      <c r="L859" s="13" t="n">
        <v>651</v>
      </c>
      <c r="M859" s="13" t="s">
        <v>705</v>
      </c>
      <c r="N859" s="0" t="n">
        <v>100</v>
      </c>
    </row>
    <row r="860" customFormat="false" ht="13.8" hidden="false" customHeight="false" outlineLevel="0" collapsed="false">
      <c r="A860" s="10" t="n">
        <v>859</v>
      </c>
      <c r="B860" s="4"/>
      <c r="C860" s="11"/>
      <c r="D860" s="11"/>
      <c r="E860" s="11"/>
      <c r="F860" s="11"/>
      <c r="G860" s="11"/>
      <c r="H860" s="11"/>
      <c r="I860" s="12"/>
      <c r="J860" s="18" t="s">
        <v>1507</v>
      </c>
      <c r="K860" s="18" t="n">
        <v>659</v>
      </c>
      <c r="L860" s="13" t="n">
        <v>659</v>
      </c>
      <c r="M860" s="13" t="s">
        <v>713</v>
      </c>
      <c r="N860" s="0" t="n">
        <v>100</v>
      </c>
    </row>
    <row r="861" customFormat="false" ht="13.8" hidden="false" customHeight="false" outlineLevel="0" collapsed="false">
      <c r="A861" s="10" t="n">
        <v>860</v>
      </c>
      <c r="B861" s="4"/>
      <c r="C861" s="11"/>
      <c r="D861" s="11"/>
      <c r="E861" s="11"/>
      <c r="F861" s="11"/>
      <c r="G861" s="11"/>
      <c r="H861" s="11"/>
      <c r="I861" s="12"/>
      <c r="J861" s="18" t="s">
        <v>1507</v>
      </c>
      <c r="K861" s="18" t="n">
        <v>666</v>
      </c>
      <c r="L861" s="13" t="n">
        <v>666</v>
      </c>
      <c r="M861" s="13" t="s">
        <v>720</v>
      </c>
      <c r="N861" s="0" t="n">
        <v>100</v>
      </c>
    </row>
    <row r="862" customFormat="false" ht="13.8" hidden="false" customHeight="false" outlineLevel="0" collapsed="false">
      <c r="A862" s="10" t="n">
        <v>861</v>
      </c>
      <c r="B862" s="4"/>
      <c r="C862" s="11"/>
      <c r="D862" s="11"/>
      <c r="E862" s="11"/>
      <c r="F862" s="11"/>
      <c r="G862" s="11"/>
      <c r="H862" s="11"/>
      <c r="I862" s="12"/>
      <c r="J862" s="18" t="s">
        <v>1507</v>
      </c>
      <c r="K862" s="18" t="n">
        <v>674</v>
      </c>
      <c r="L862" s="13" t="n">
        <v>674</v>
      </c>
      <c r="M862" s="13" t="s">
        <v>727</v>
      </c>
      <c r="N862" s="0" t="n">
        <v>100</v>
      </c>
    </row>
    <row r="863" customFormat="false" ht="13.8" hidden="false" customHeight="false" outlineLevel="0" collapsed="false">
      <c r="A863" s="10" t="n">
        <v>862</v>
      </c>
      <c r="B863" s="4"/>
      <c r="C863" s="11"/>
      <c r="D863" s="11"/>
      <c r="E863" s="11"/>
      <c r="F863" s="11"/>
      <c r="G863" s="11"/>
      <c r="H863" s="11"/>
      <c r="I863" s="12"/>
      <c r="J863" s="18" t="s">
        <v>1507</v>
      </c>
      <c r="K863" s="18" t="n">
        <v>682</v>
      </c>
      <c r="L863" s="13" t="n">
        <v>682</v>
      </c>
      <c r="M863" s="13" t="s">
        <v>735</v>
      </c>
      <c r="N863" s="0" t="n">
        <v>100</v>
      </c>
    </row>
    <row r="864" customFormat="false" ht="13.8" hidden="false" customHeight="false" outlineLevel="0" collapsed="false">
      <c r="A864" s="10" t="n">
        <v>863</v>
      </c>
      <c r="B864" s="4"/>
      <c r="C864" s="11"/>
      <c r="D864" s="11"/>
      <c r="E864" s="11"/>
      <c r="F864" s="11"/>
      <c r="G864" s="11"/>
      <c r="H864" s="11"/>
      <c r="I864" s="12"/>
      <c r="J864" s="18" t="s">
        <v>1507</v>
      </c>
      <c r="K864" s="18" t="n">
        <v>691</v>
      </c>
      <c r="L864" s="13" t="n">
        <v>691</v>
      </c>
      <c r="M864" s="13" t="s">
        <v>743</v>
      </c>
      <c r="N864" s="0" t="n">
        <v>100</v>
      </c>
    </row>
    <row r="865" customFormat="false" ht="13.8" hidden="false" customHeight="false" outlineLevel="0" collapsed="false">
      <c r="A865" s="10" t="n">
        <v>864</v>
      </c>
      <c r="B865" s="4"/>
      <c r="C865" s="11"/>
      <c r="D865" s="11"/>
      <c r="E865" s="11"/>
      <c r="F865" s="11"/>
      <c r="G865" s="11"/>
      <c r="H865" s="11"/>
      <c r="I865" s="12" t="n">
        <v>418</v>
      </c>
      <c r="J865" s="18" t="s">
        <v>1507</v>
      </c>
      <c r="K865" s="18" t="n">
        <v>429</v>
      </c>
      <c r="L865" s="13" t="n">
        <v>429</v>
      </c>
      <c r="M865" s="13" t="s">
        <v>497</v>
      </c>
      <c r="N865" s="0" t="n">
        <v>100</v>
      </c>
    </row>
    <row r="866" customFormat="false" ht="13.8" hidden="false" customHeight="false" outlineLevel="0" collapsed="false">
      <c r="A866" s="10" t="n">
        <v>865</v>
      </c>
      <c r="B866" s="4"/>
      <c r="C866" s="11"/>
      <c r="D866" s="11"/>
      <c r="E866" s="11"/>
      <c r="F866" s="11"/>
      <c r="G866" s="11"/>
      <c r="H866" s="11"/>
      <c r="I866" s="12" t="n">
        <v>426</v>
      </c>
      <c r="J866" s="18" t="s">
        <v>1507</v>
      </c>
      <c r="K866" s="18" t="n">
        <v>437</v>
      </c>
      <c r="L866" s="13" t="n">
        <v>437</v>
      </c>
      <c r="M866" s="13" t="s">
        <v>503</v>
      </c>
      <c r="N866" s="0" t="n">
        <v>100</v>
      </c>
    </row>
    <row r="867" customFormat="false" ht="13.8" hidden="false" customHeight="false" outlineLevel="0" collapsed="false">
      <c r="A867" s="10" t="n">
        <v>866</v>
      </c>
      <c r="B867" s="4"/>
      <c r="C867" s="11"/>
      <c r="D867" s="11"/>
      <c r="E867" s="11"/>
      <c r="F867" s="11"/>
      <c r="G867" s="11"/>
      <c r="H867" s="11"/>
      <c r="I867" s="12" t="n">
        <v>434</v>
      </c>
      <c r="J867" s="18" t="s">
        <v>1507</v>
      </c>
      <c r="K867" s="18" t="n">
        <v>445</v>
      </c>
      <c r="L867" s="13" t="n">
        <v>445</v>
      </c>
      <c r="M867" s="13" t="s">
        <v>510</v>
      </c>
      <c r="N867" s="0" t="n">
        <v>100</v>
      </c>
    </row>
    <row r="868" customFormat="false" ht="13.8" hidden="false" customHeight="false" outlineLevel="0" collapsed="false">
      <c r="A868" s="10" t="n">
        <v>867</v>
      </c>
      <c r="B868" s="4"/>
      <c r="C868" s="11"/>
      <c r="D868" s="11"/>
      <c r="E868" s="11"/>
      <c r="F868" s="11"/>
      <c r="G868" s="11"/>
      <c r="H868" s="11"/>
      <c r="I868" s="12"/>
      <c r="J868" s="18" t="s">
        <v>1507</v>
      </c>
      <c r="K868" s="18" t="n">
        <v>77</v>
      </c>
      <c r="L868" s="13" t="n">
        <v>77</v>
      </c>
      <c r="M868" s="13" t="s">
        <v>166</v>
      </c>
      <c r="N868" s="0" t="n">
        <v>100</v>
      </c>
    </row>
    <row r="869" customFormat="false" ht="13.8" hidden="false" customHeight="false" outlineLevel="0" collapsed="false">
      <c r="A869" s="10" t="n">
        <v>868</v>
      </c>
      <c r="B869" s="4"/>
      <c r="C869" s="11"/>
      <c r="D869" s="11"/>
      <c r="E869" s="11"/>
      <c r="F869" s="11"/>
      <c r="G869" s="11"/>
      <c r="H869" s="11"/>
      <c r="I869" s="12"/>
      <c r="J869" s="18" t="s">
        <v>1507</v>
      </c>
      <c r="K869" s="18" t="n">
        <v>53</v>
      </c>
      <c r="L869" s="13" t="n">
        <v>53</v>
      </c>
      <c r="M869" s="13" t="s">
        <v>142</v>
      </c>
      <c r="N869" s="0" t="n">
        <v>100</v>
      </c>
    </row>
    <row r="870" customFormat="false" ht="13.8" hidden="false" customHeight="false" outlineLevel="0" collapsed="false">
      <c r="A870" s="10" t="n">
        <v>869</v>
      </c>
      <c r="B870" s="4"/>
      <c r="C870" s="11"/>
      <c r="D870" s="11"/>
      <c r="E870" s="11"/>
      <c r="F870" s="11"/>
      <c r="G870" s="11"/>
      <c r="H870" s="11"/>
      <c r="I870" s="12"/>
      <c r="J870" s="18" t="s">
        <v>1507</v>
      </c>
      <c r="K870" s="18" t="n">
        <v>61</v>
      </c>
      <c r="L870" s="13" t="n">
        <v>61</v>
      </c>
      <c r="M870" s="13" t="s">
        <v>150</v>
      </c>
      <c r="N870" s="0" t="n">
        <v>100</v>
      </c>
    </row>
    <row r="871" customFormat="false" ht="13.8" hidden="false" customHeight="false" outlineLevel="0" collapsed="false">
      <c r="A871" s="10" t="n">
        <v>870</v>
      </c>
      <c r="B871" s="4"/>
      <c r="C871" s="11"/>
      <c r="D871" s="11"/>
      <c r="E871" s="11"/>
      <c r="F871" s="11"/>
      <c r="G871" s="11"/>
      <c r="H871" s="11"/>
      <c r="I871" s="12"/>
      <c r="J871" s="18" t="s">
        <v>1507</v>
      </c>
      <c r="K871" s="18" t="n">
        <v>45</v>
      </c>
      <c r="L871" s="13" t="n">
        <v>45</v>
      </c>
      <c r="M871" s="13" t="s">
        <v>134</v>
      </c>
      <c r="N871" s="0" t="n">
        <v>100</v>
      </c>
    </row>
    <row r="872" customFormat="false" ht="13.8" hidden="false" customHeight="false" outlineLevel="0" collapsed="false">
      <c r="A872" s="10" t="n">
        <v>871</v>
      </c>
      <c r="B872" s="4"/>
      <c r="C872" s="11"/>
      <c r="D872" s="11"/>
      <c r="E872" s="11"/>
      <c r="F872" s="11"/>
      <c r="G872" s="11"/>
      <c r="H872" s="11"/>
      <c r="I872" s="12"/>
      <c r="J872" s="18" t="s">
        <v>1507</v>
      </c>
      <c r="K872" s="18" t="n">
        <v>69</v>
      </c>
      <c r="L872" s="13" t="n">
        <v>69</v>
      </c>
      <c r="M872" s="13" t="s">
        <v>158</v>
      </c>
      <c r="N872" s="0" t="n">
        <v>100</v>
      </c>
    </row>
    <row r="873" customFormat="false" ht="13.8" hidden="false" customHeight="false" outlineLevel="0" collapsed="false">
      <c r="A873" s="10" t="n">
        <v>872</v>
      </c>
      <c r="B873" s="4"/>
      <c r="C873" s="11"/>
      <c r="D873" s="11"/>
      <c r="E873" s="11"/>
      <c r="F873" s="11"/>
      <c r="G873" s="11"/>
      <c r="H873" s="11"/>
      <c r="I873" s="12"/>
      <c r="J873" s="18" t="s">
        <v>1507</v>
      </c>
      <c r="K873" s="18" t="n">
        <v>789</v>
      </c>
      <c r="L873" s="13" t="n">
        <v>789</v>
      </c>
      <c r="M873" s="13" t="s">
        <v>837</v>
      </c>
      <c r="N873" s="0" t="n">
        <v>100</v>
      </c>
    </row>
    <row r="874" customFormat="false" ht="13.8" hidden="false" customHeight="false" outlineLevel="0" collapsed="false">
      <c r="A874" s="10" t="n">
        <v>873</v>
      </c>
      <c r="B874" s="4"/>
      <c r="C874" s="11"/>
      <c r="D874" s="11"/>
      <c r="E874" s="11"/>
      <c r="F874" s="11" t="s">
        <v>1510</v>
      </c>
      <c r="G874" s="11"/>
      <c r="H874" s="11"/>
      <c r="I874" s="12"/>
      <c r="J874" s="18" t="s">
        <v>1507</v>
      </c>
      <c r="K874" s="18" t="n">
        <v>370</v>
      </c>
      <c r="L874" s="13" t="n">
        <v>370</v>
      </c>
      <c r="M874" s="13" t="s">
        <v>440</v>
      </c>
      <c r="N874" s="0" t="n">
        <v>101</v>
      </c>
    </row>
    <row r="875" customFormat="false" ht="13.8" hidden="false" customHeight="false" outlineLevel="0" collapsed="false">
      <c r="A875" s="10" t="n">
        <v>874</v>
      </c>
      <c r="B875" s="4"/>
      <c r="C875" s="11"/>
      <c r="D875" s="11"/>
      <c r="E875" s="11"/>
      <c r="F875" s="11"/>
      <c r="G875" s="11"/>
      <c r="H875" s="11"/>
      <c r="I875" s="12" t="n">
        <v>642</v>
      </c>
      <c r="J875" s="18" t="s">
        <v>1507</v>
      </c>
      <c r="K875" s="18" t="n">
        <v>653</v>
      </c>
      <c r="L875" s="13" t="n">
        <v>653</v>
      </c>
      <c r="M875" s="13" t="s">
        <v>707</v>
      </c>
      <c r="N875" s="0" t="n">
        <v>101</v>
      </c>
    </row>
    <row r="876" customFormat="false" ht="13.8" hidden="false" customHeight="false" outlineLevel="0" collapsed="false">
      <c r="A876" s="10" t="n">
        <v>875</v>
      </c>
      <c r="B876" s="4"/>
      <c r="C876" s="11"/>
      <c r="D876" s="11"/>
      <c r="E876" s="11"/>
      <c r="F876" s="11"/>
      <c r="G876" s="11"/>
      <c r="H876" s="11"/>
      <c r="I876" s="12"/>
      <c r="J876" s="18" t="s">
        <v>1507</v>
      </c>
      <c r="K876" s="18" t="n">
        <v>568</v>
      </c>
      <c r="L876" s="13" t="n">
        <v>568</v>
      </c>
      <c r="M876" s="13" t="s">
        <v>627</v>
      </c>
      <c r="N876" s="0" t="n">
        <v>101</v>
      </c>
    </row>
    <row r="877" customFormat="false" ht="13.8" hidden="false" customHeight="false" outlineLevel="0" collapsed="false">
      <c r="A877" s="10" t="n">
        <v>876</v>
      </c>
      <c r="B877" s="4"/>
      <c r="C877" s="11"/>
      <c r="D877" s="11"/>
      <c r="E877" s="11"/>
      <c r="F877" s="11"/>
      <c r="G877" s="11"/>
      <c r="H877" s="11"/>
      <c r="I877" s="12" t="n">
        <v>650</v>
      </c>
      <c r="J877" s="18" t="s">
        <v>1507</v>
      </c>
      <c r="K877" s="18" t="n">
        <v>661</v>
      </c>
      <c r="L877" s="13" t="n">
        <v>661</v>
      </c>
      <c r="M877" s="13" t="s">
        <v>715</v>
      </c>
      <c r="N877" s="0" t="n">
        <v>101</v>
      </c>
    </row>
    <row r="878" customFormat="false" ht="13.8" hidden="false" customHeight="false" outlineLevel="0" collapsed="false">
      <c r="A878" s="10" t="n">
        <v>877</v>
      </c>
      <c r="B878" s="4"/>
      <c r="C878" s="11"/>
      <c r="D878" s="11"/>
      <c r="E878" s="11"/>
      <c r="F878" s="11"/>
      <c r="G878" s="11"/>
      <c r="H878" s="11"/>
      <c r="I878" s="12" t="n">
        <v>565</v>
      </c>
      <c r="J878" s="18" t="s">
        <v>1507</v>
      </c>
      <c r="K878" s="18" t="n">
        <v>576</v>
      </c>
      <c r="L878" s="13" t="n">
        <v>576</v>
      </c>
      <c r="M878" s="13" t="s">
        <v>635</v>
      </c>
      <c r="N878" s="0" t="n">
        <v>101</v>
      </c>
    </row>
    <row r="879" customFormat="false" ht="13.8" hidden="false" customHeight="false" outlineLevel="0" collapsed="false">
      <c r="A879" s="10" t="n">
        <v>878</v>
      </c>
      <c r="B879" s="4"/>
      <c r="C879" s="11"/>
      <c r="D879" s="11"/>
      <c r="E879" s="11"/>
      <c r="F879" s="11"/>
      <c r="G879" s="11"/>
      <c r="H879" s="11"/>
      <c r="I879" s="12"/>
      <c r="J879" s="18" t="s">
        <v>1507</v>
      </c>
      <c r="K879" s="18" t="n">
        <v>640</v>
      </c>
      <c r="L879" s="13" t="n">
        <v>640</v>
      </c>
      <c r="M879" s="13" t="s">
        <v>694</v>
      </c>
      <c r="N879" s="0" t="n">
        <v>101</v>
      </c>
    </row>
    <row r="880" customFormat="false" ht="13.8" hidden="false" customHeight="false" outlineLevel="0" collapsed="false">
      <c r="A880" s="10" t="n">
        <v>879</v>
      </c>
      <c r="B880" s="4"/>
      <c r="C880" s="11"/>
      <c r="D880" s="11"/>
      <c r="E880" s="11"/>
      <c r="F880" s="11"/>
      <c r="G880" s="11"/>
      <c r="H880" s="11"/>
      <c r="I880" s="12"/>
      <c r="J880" s="18" t="s">
        <v>1507</v>
      </c>
      <c r="K880" s="18" t="n">
        <v>135</v>
      </c>
      <c r="L880" s="13" t="n">
        <v>135</v>
      </c>
      <c r="M880" s="13" t="s">
        <v>222</v>
      </c>
      <c r="N880" s="0" t="n">
        <v>101</v>
      </c>
    </row>
    <row r="881" customFormat="false" ht="13.8" hidden="false" customHeight="false" outlineLevel="0" collapsed="false">
      <c r="A881" s="10" t="n">
        <v>880</v>
      </c>
      <c r="B881" s="4"/>
      <c r="C881" s="11"/>
      <c r="D881" s="11"/>
      <c r="E881" s="11"/>
      <c r="F881" s="11"/>
      <c r="G881" s="11"/>
      <c r="H881" s="11"/>
      <c r="I881" s="12" t="n">
        <v>928</v>
      </c>
      <c r="J881" s="18" t="s">
        <v>1507</v>
      </c>
      <c r="K881" s="18" t="n">
        <v>939</v>
      </c>
      <c r="L881" s="13" t="n">
        <v>939</v>
      </c>
      <c r="M881" s="13" t="s">
        <v>979</v>
      </c>
      <c r="N881" s="0" t="n">
        <v>101</v>
      </c>
    </row>
    <row r="882" customFormat="false" ht="13.8" hidden="false" customHeight="false" outlineLevel="0" collapsed="false">
      <c r="A882" s="10" t="n">
        <v>881</v>
      </c>
      <c r="B882" s="4"/>
      <c r="C882" s="11"/>
      <c r="D882" s="11"/>
      <c r="E882" s="11"/>
      <c r="F882" s="11"/>
      <c r="G882" s="11"/>
      <c r="H882" s="11"/>
      <c r="I882" s="12" t="n">
        <v>138</v>
      </c>
      <c r="J882" s="18" t="s">
        <v>1507</v>
      </c>
      <c r="K882" s="18" t="n">
        <v>143</v>
      </c>
      <c r="L882" s="13" t="n">
        <v>143</v>
      </c>
      <c r="M882" s="13" t="s">
        <v>230</v>
      </c>
      <c r="N882" s="0" t="n">
        <v>101</v>
      </c>
    </row>
    <row r="883" customFormat="false" ht="13.8" hidden="false" customHeight="false" outlineLevel="0" collapsed="false">
      <c r="A883" s="10" t="n">
        <v>882</v>
      </c>
      <c r="B883" s="4"/>
      <c r="C883" s="11"/>
      <c r="D883" s="11"/>
      <c r="E883" s="11"/>
      <c r="F883" s="11"/>
      <c r="G883" s="11"/>
      <c r="H883" s="11"/>
      <c r="I883" s="12" t="n">
        <v>828</v>
      </c>
      <c r="J883" s="18" t="s">
        <v>1507</v>
      </c>
      <c r="K883" s="18" t="n">
        <v>839</v>
      </c>
      <c r="L883" s="13" t="n">
        <v>839</v>
      </c>
      <c r="M883" s="13" t="s">
        <v>884</v>
      </c>
      <c r="N883" s="0" t="n">
        <v>101</v>
      </c>
    </row>
    <row r="884" customFormat="false" ht="13.8" hidden="false" customHeight="false" outlineLevel="0" collapsed="false">
      <c r="A884" s="10" t="n">
        <v>883</v>
      </c>
      <c r="B884" s="4"/>
      <c r="C884" s="11"/>
      <c r="D884" s="11"/>
      <c r="E884" s="11"/>
      <c r="F884" s="11"/>
      <c r="G884" s="11"/>
      <c r="H884" s="11"/>
      <c r="I884" s="12"/>
      <c r="J884" s="18" t="s">
        <v>1507</v>
      </c>
      <c r="K884" s="18" t="n">
        <v>887</v>
      </c>
      <c r="L884" s="13" t="n">
        <v>887</v>
      </c>
      <c r="M884" s="13" t="s">
        <v>932</v>
      </c>
      <c r="N884" s="0" t="n">
        <v>101</v>
      </c>
    </row>
    <row r="885" customFormat="false" ht="13.8" hidden="false" customHeight="false" outlineLevel="0" collapsed="false">
      <c r="A885" s="10" t="n">
        <v>884</v>
      </c>
      <c r="B885" s="4"/>
      <c r="C885" s="11"/>
      <c r="D885" s="11"/>
      <c r="E885" s="11"/>
      <c r="F885" s="11"/>
      <c r="G885" s="11"/>
      <c r="H885" s="11"/>
      <c r="I885" s="12" t="n">
        <v>1036</v>
      </c>
      <c r="J885" s="18" t="s">
        <v>1507</v>
      </c>
      <c r="K885" s="18" t="n">
        <v>1048</v>
      </c>
      <c r="L885" s="13" t="n">
        <v>1048</v>
      </c>
      <c r="M885" s="13" t="s">
        <v>1084</v>
      </c>
      <c r="N885" s="0" t="n">
        <v>101</v>
      </c>
    </row>
    <row r="886" customFormat="false" ht="13.8" hidden="false" customHeight="false" outlineLevel="0" collapsed="false">
      <c r="A886" s="10" t="n">
        <v>885</v>
      </c>
      <c r="B886" s="4"/>
      <c r="C886" s="11"/>
      <c r="D886" s="11"/>
      <c r="E886" s="11"/>
      <c r="F886" s="11"/>
      <c r="G886" s="11"/>
      <c r="H886" s="11"/>
      <c r="I886" s="12" t="n">
        <v>362</v>
      </c>
      <c r="J886" s="18" t="s">
        <v>1507</v>
      </c>
      <c r="K886" s="18" t="n">
        <v>372</v>
      </c>
      <c r="L886" s="13" t="n">
        <v>372</v>
      </c>
      <c r="M886" s="13" t="s">
        <v>442</v>
      </c>
      <c r="N886" s="0" t="n">
        <v>101</v>
      </c>
    </row>
    <row r="887" customFormat="false" ht="13.8" hidden="false" customHeight="false" outlineLevel="0" collapsed="false">
      <c r="A887" s="10" t="n">
        <v>886</v>
      </c>
      <c r="B887" s="4"/>
      <c r="C887" s="11"/>
      <c r="D887" s="11"/>
      <c r="E887" s="11"/>
      <c r="F887" s="11"/>
      <c r="G887" s="11"/>
      <c r="H887" s="11"/>
      <c r="I887" s="12" t="n">
        <v>78</v>
      </c>
      <c r="J887" s="18" t="s">
        <v>1507</v>
      </c>
      <c r="K887" s="18" t="n">
        <v>83</v>
      </c>
      <c r="L887" s="13" t="n">
        <v>83</v>
      </c>
      <c r="M887" s="13" t="s">
        <v>172</v>
      </c>
      <c r="N887" s="0" t="n">
        <v>101</v>
      </c>
    </row>
    <row r="888" customFormat="false" ht="13.8" hidden="false" customHeight="false" outlineLevel="0" collapsed="false">
      <c r="A888" s="10" t="n">
        <v>887</v>
      </c>
      <c r="B888" s="4"/>
      <c r="C888" s="11"/>
      <c r="D888" s="11"/>
      <c r="E888" s="11"/>
      <c r="F888" s="11"/>
      <c r="G888" s="11"/>
      <c r="H888" s="11"/>
      <c r="I888" s="12" t="n">
        <v>131</v>
      </c>
      <c r="J888" s="18" t="s">
        <v>1507</v>
      </c>
      <c r="K888" s="18" t="n">
        <v>136</v>
      </c>
      <c r="L888" s="13" t="n">
        <v>136</v>
      </c>
      <c r="M888" s="13" t="s">
        <v>223</v>
      </c>
      <c r="N888" s="0" t="n">
        <v>101</v>
      </c>
    </row>
    <row r="889" customFormat="false" ht="13.8" hidden="false" customHeight="false" outlineLevel="0" collapsed="false">
      <c r="A889" s="10" t="n">
        <v>888</v>
      </c>
      <c r="B889" s="4"/>
      <c r="C889" s="11"/>
      <c r="D889" s="11"/>
      <c r="E889" s="11"/>
      <c r="F889" s="11"/>
      <c r="G889" s="11"/>
      <c r="H889" s="11"/>
      <c r="I889" s="12" t="n">
        <v>101</v>
      </c>
      <c r="J889" s="18" t="s">
        <v>1507</v>
      </c>
      <c r="K889" s="18" t="n">
        <v>106</v>
      </c>
      <c r="L889" s="13" t="n">
        <v>106</v>
      </c>
      <c r="M889" s="13" t="s">
        <v>194</v>
      </c>
      <c r="N889" s="0" t="n">
        <v>101</v>
      </c>
    </row>
    <row r="890" customFormat="false" ht="13.8" hidden="false" customHeight="false" outlineLevel="0" collapsed="false">
      <c r="A890" s="10" t="n">
        <v>889</v>
      </c>
      <c r="B890" s="4"/>
      <c r="C890" s="11"/>
      <c r="D890" s="11"/>
      <c r="E890" s="11"/>
      <c r="F890" s="11"/>
      <c r="G890" s="11"/>
      <c r="H890" s="11"/>
      <c r="I890" s="12" t="n">
        <v>196</v>
      </c>
      <c r="J890" s="18" t="s">
        <v>1507</v>
      </c>
      <c r="K890" s="18" t="n">
        <v>203</v>
      </c>
      <c r="L890" s="13" t="n">
        <v>203</v>
      </c>
      <c r="M890" s="13" t="s">
        <v>287</v>
      </c>
      <c r="N890" s="0" t="n">
        <v>101</v>
      </c>
    </row>
    <row r="891" customFormat="false" ht="13.8" hidden="false" customHeight="false" outlineLevel="0" collapsed="false">
      <c r="A891" s="10" t="n">
        <v>890</v>
      </c>
      <c r="B891" s="4"/>
      <c r="C891" s="11"/>
      <c r="D891" s="11"/>
      <c r="E891" s="11"/>
      <c r="F891" s="11"/>
      <c r="G891" s="11"/>
      <c r="H891" s="11"/>
      <c r="I891" s="12" t="n">
        <v>228</v>
      </c>
      <c r="J891" s="18" t="s">
        <v>1507</v>
      </c>
      <c r="K891" s="18" t="n">
        <v>235</v>
      </c>
      <c r="L891" s="13" t="n">
        <v>235</v>
      </c>
      <c r="M891" s="13" t="s">
        <v>318</v>
      </c>
      <c r="N891" s="0" t="n">
        <v>101</v>
      </c>
    </row>
    <row r="892" customFormat="false" ht="13.8" hidden="false" customHeight="false" outlineLevel="0" collapsed="false">
      <c r="A892" s="10" t="n">
        <v>891</v>
      </c>
      <c r="B892" s="4"/>
      <c r="C892" s="11"/>
      <c r="D892" s="11"/>
      <c r="E892" s="11"/>
      <c r="F892" s="11"/>
      <c r="G892" s="11"/>
      <c r="H892" s="11"/>
      <c r="I892" s="12"/>
      <c r="J892" s="18" t="s">
        <v>1507</v>
      </c>
      <c r="K892" s="18" t="n">
        <v>955</v>
      </c>
      <c r="L892" s="13" t="n">
        <v>955</v>
      </c>
      <c r="M892" s="13" t="s">
        <v>995</v>
      </c>
      <c r="N892" s="0" t="n">
        <v>101</v>
      </c>
    </row>
    <row r="893" customFormat="false" ht="13.8" hidden="false" customHeight="false" outlineLevel="0" collapsed="false">
      <c r="A893" s="10" t="n">
        <v>892</v>
      </c>
      <c r="B893" s="4"/>
      <c r="C893" s="11"/>
      <c r="D893" s="11"/>
      <c r="E893" s="11"/>
      <c r="F893" s="11"/>
      <c r="G893" s="11"/>
      <c r="H893" s="11"/>
      <c r="I893" s="12"/>
      <c r="J893" s="18" t="s">
        <v>1507</v>
      </c>
      <c r="K893" s="18" t="n">
        <v>963</v>
      </c>
      <c r="L893" s="13" t="n">
        <v>963</v>
      </c>
      <c r="M893" s="13" t="s">
        <v>1003</v>
      </c>
      <c r="N893" s="0" t="n">
        <v>101</v>
      </c>
    </row>
    <row r="894" customFormat="false" ht="13.8" hidden="false" customHeight="false" outlineLevel="0" collapsed="false">
      <c r="A894" s="10" t="n">
        <v>893</v>
      </c>
      <c r="B894" s="4"/>
      <c r="C894" s="11"/>
      <c r="D894" s="11"/>
      <c r="E894" s="11"/>
      <c r="F894" s="11"/>
      <c r="G894" s="11"/>
      <c r="H894" s="11"/>
      <c r="I894" s="12" t="n">
        <v>297</v>
      </c>
      <c r="J894" s="18" t="s">
        <v>1507</v>
      </c>
      <c r="K894" s="18" t="n">
        <v>307</v>
      </c>
      <c r="L894" s="13" t="n">
        <v>307</v>
      </c>
      <c r="M894" s="13" t="s">
        <v>380</v>
      </c>
      <c r="N894" s="0" t="n">
        <v>101</v>
      </c>
    </row>
    <row r="895" customFormat="false" ht="13.8" hidden="false" customHeight="false" outlineLevel="0" collapsed="false">
      <c r="A895" s="10" t="n">
        <v>894</v>
      </c>
      <c r="B895" s="4"/>
      <c r="C895" s="11"/>
      <c r="D895" s="11"/>
      <c r="E895" s="11"/>
      <c r="F895" s="11"/>
      <c r="G895" s="11"/>
      <c r="H895" s="11"/>
      <c r="I895" s="12"/>
      <c r="J895" s="18" t="s">
        <v>1507</v>
      </c>
      <c r="K895" s="18" t="n">
        <v>395</v>
      </c>
      <c r="L895" s="13" t="n">
        <v>395</v>
      </c>
      <c r="M895" s="13" t="s">
        <v>464</v>
      </c>
      <c r="N895" s="0" t="n">
        <v>101</v>
      </c>
    </row>
    <row r="896" customFormat="false" ht="13.8" hidden="false" customHeight="false" outlineLevel="0" collapsed="false">
      <c r="A896" s="10" t="n">
        <v>895</v>
      </c>
      <c r="B896" s="4"/>
      <c r="C896" s="11"/>
      <c r="D896" s="11"/>
      <c r="E896" s="11"/>
      <c r="F896" s="11"/>
      <c r="G896" s="11"/>
      <c r="H896" s="11"/>
      <c r="I896" s="12" t="n">
        <v>1086</v>
      </c>
      <c r="J896" s="18" t="s">
        <v>1507</v>
      </c>
      <c r="K896" s="18" t="n">
        <v>1098</v>
      </c>
      <c r="L896" s="13" t="n">
        <v>1098</v>
      </c>
      <c r="M896" s="13" t="s">
        <v>1132</v>
      </c>
      <c r="N896" s="0" t="n">
        <v>101</v>
      </c>
    </row>
    <row r="897" customFormat="false" ht="13.8" hidden="false" customHeight="false" outlineLevel="0" collapsed="false">
      <c r="A897" s="10" t="n">
        <v>896</v>
      </c>
      <c r="B897" s="4"/>
      <c r="C897" s="11"/>
      <c r="D897" s="11"/>
      <c r="E897" s="11"/>
      <c r="F897" s="11"/>
      <c r="G897" s="11"/>
      <c r="H897" s="11"/>
      <c r="I897" s="12" t="n">
        <v>1095</v>
      </c>
      <c r="J897" s="18" t="s">
        <v>1507</v>
      </c>
      <c r="K897" s="18" t="n">
        <v>1107</v>
      </c>
      <c r="L897" s="13" t="n">
        <v>1107</v>
      </c>
      <c r="M897" s="13" t="s">
        <v>1141</v>
      </c>
      <c r="N897" s="0" t="n">
        <v>101</v>
      </c>
    </row>
    <row r="898" customFormat="false" ht="13.8" hidden="false" customHeight="false" outlineLevel="0" collapsed="false">
      <c r="A898" s="10" t="n">
        <v>897</v>
      </c>
      <c r="B898" s="4"/>
      <c r="C898" s="11"/>
      <c r="D898" s="11"/>
      <c r="E898" s="11"/>
      <c r="F898" s="11"/>
      <c r="G898" s="11"/>
      <c r="H898" s="11"/>
      <c r="I898" s="12" t="n">
        <v>841</v>
      </c>
      <c r="J898" s="18" t="s">
        <v>1507</v>
      </c>
      <c r="K898" s="18" t="n">
        <v>852</v>
      </c>
      <c r="L898" s="13" t="n">
        <v>852</v>
      </c>
      <c r="M898" s="13" t="s">
        <v>897</v>
      </c>
      <c r="N898" s="0" t="n">
        <v>101</v>
      </c>
    </row>
    <row r="899" customFormat="false" ht="13.8" hidden="false" customHeight="false" outlineLevel="0" collapsed="false">
      <c r="A899" s="10" t="n">
        <v>898</v>
      </c>
      <c r="B899" s="4"/>
      <c r="C899" s="11"/>
      <c r="D899" s="11"/>
      <c r="E899" s="11"/>
      <c r="F899" s="11"/>
      <c r="G899" s="11"/>
      <c r="H899" s="11"/>
      <c r="I899" s="12" t="n">
        <v>848</v>
      </c>
      <c r="J899" s="18" t="s">
        <v>1507</v>
      </c>
      <c r="K899" s="18" t="n">
        <v>859</v>
      </c>
      <c r="L899" s="13" t="n">
        <v>859</v>
      </c>
      <c r="M899" s="13" t="s">
        <v>904</v>
      </c>
      <c r="N899" s="0" t="n">
        <v>101</v>
      </c>
    </row>
    <row r="900" customFormat="false" ht="13.8" hidden="false" customHeight="false" outlineLevel="0" collapsed="false">
      <c r="A900" s="10" t="n">
        <v>899</v>
      </c>
      <c r="B900" s="4"/>
      <c r="C900" s="11"/>
      <c r="D900" s="11"/>
      <c r="E900" s="11"/>
      <c r="F900" s="11"/>
      <c r="G900" s="11"/>
      <c r="H900" s="11"/>
      <c r="I900" s="12"/>
      <c r="J900" s="18" t="s">
        <v>1507</v>
      </c>
      <c r="K900" s="18" t="n">
        <v>938</v>
      </c>
      <c r="L900" s="13" t="n">
        <v>938</v>
      </c>
      <c r="M900" s="13" t="s">
        <v>978</v>
      </c>
      <c r="N900" s="0" t="n">
        <v>101</v>
      </c>
    </row>
    <row r="901" customFormat="false" ht="13.8" hidden="false" customHeight="false" outlineLevel="0" collapsed="false">
      <c r="A901" s="10" t="n">
        <v>900</v>
      </c>
      <c r="B901" s="4"/>
      <c r="C901" s="11"/>
      <c r="D901" s="11"/>
      <c r="E901" s="11"/>
      <c r="F901" s="11"/>
      <c r="G901" s="11"/>
      <c r="H901" s="11"/>
      <c r="I901" s="12" t="n">
        <v>959</v>
      </c>
      <c r="J901" s="18" t="s">
        <v>1507</v>
      </c>
      <c r="K901" s="18" t="n">
        <v>970</v>
      </c>
      <c r="L901" s="13" t="n">
        <v>970</v>
      </c>
      <c r="M901" s="13" t="s">
        <v>1009</v>
      </c>
      <c r="N901" s="0" t="n">
        <v>101</v>
      </c>
    </row>
    <row r="902" customFormat="false" ht="13.8" hidden="false" customHeight="false" outlineLevel="0" collapsed="false">
      <c r="A902" s="10" t="n">
        <v>901</v>
      </c>
      <c r="B902" s="4"/>
      <c r="C902" s="11"/>
      <c r="D902" s="11"/>
      <c r="E902" s="11"/>
      <c r="F902" s="11"/>
      <c r="G902" s="11"/>
      <c r="H902" s="11"/>
      <c r="I902" s="12" t="n">
        <v>967</v>
      </c>
      <c r="J902" s="18" t="s">
        <v>1507</v>
      </c>
      <c r="K902" s="18" t="n">
        <v>978</v>
      </c>
      <c r="L902" s="13" t="n">
        <v>978</v>
      </c>
      <c r="M902" s="13" t="s">
        <v>1016</v>
      </c>
      <c r="N902" s="0" t="n">
        <v>101</v>
      </c>
    </row>
    <row r="903" customFormat="false" ht="13.8" hidden="false" customHeight="false" outlineLevel="0" collapsed="false">
      <c r="A903" s="10" t="n">
        <v>902</v>
      </c>
      <c r="B903" s="4"/>
      <c r="C903" s="11"/>
      <c r="D903" s="11"/>
      <c r="E903" s="11"/>
      <c r="F903" s="11"/>
      <c r="G903" s="11"/>
      <c r="H903" s="11"/>
      <c r="I903" s="12"/>
      <c r="J903" s="18" t="s">
        <v>1507</v>
      </c>
      <c r="K903" s="18" t="n">
        <v>154</v>
      </c>
      <c r="L903" s="13" t="n">
        <v>154</v>
      </c>
      <c r="M903" s="13" t="s">
        <v>241</v>
      </c>
      <c r="N903" s="0" t="n">
        <v>101</v>
      </c>
    </row>
    <row r="904" customFormat="false" ht="13.8" hidden="false" customHeight="false" outlineLevel="0" collapsed="false">
      <c r="A904" s="10" t="n">
        <v>903</v>
      </c>
      <c r="B904" s="4"/>
      <c r="C904" s="11"/>
      <c r="D904" s="11"/>
      <c r="E904" s="11"/>
      <c r="F904" s="11"/>
      <c r="G904" s="11"/>
      <c r="H904" s="11"/>
      <c r="I904" s="12"/>
      <c r="J904" s="18" t="s">
        <v>1507</v>
      </c>
      <c r="K904" s="18" t="n">
        <v>161</v>
      </c>
      <c r="L904" s="13" t="n">
        <v>161</v>
      </c>
      <c r="M904" s="13" t="s">
        <v>248</v>
      </c>
      <c r="N904" s="0" t="n">
        <v>101</v>
      </c>
    </row>
    <row r="905" customFormat="false" ht="13.8" hidden="false" customHeight="false" outlineLevel="0" collapsed="false">
      <c r="A905" s="10" t="n">
        <v>904</v>
      </c>
      <c r="B905" s="4"/>
      <c r="C905" s="11"/>
      <c r="D905" s="11"/>
      <c r="E905" s="11"/>
      <c r="F905" s="11"/>
      <c r="G905" s="11"/>
      <c r="H905" s="11"/>
      <c r="I905" s="12" t="n">
        <v>170</v>
      </c>
      <c r="J905" s="18" t="s">
        <v>1507</v>
      </c>
      <c r="K905" s="18" t="n">
        <v>177</v>
      </c>
      <c r="L905" s="13" t="n">
        <v>177</v>
      </c>
      <c r="M905" s="13" t="s">
        <v>261</v>
      </c>
      <c r="N905" s="0" t="n">
        <v>101</v>
      </c>
    </row>
    <row r="906" customFormat="false" ht="13.8" hidden="false" customHeight="false" outlineLevel="0" collapsed="false">
      <c r="A906" s="10" t="n">
        <v>905</v>
      </c>
      <c r="B906" s="4"/>
      <c r="C906" s="11"/>
      <c r="D906" s="11"/>
      <c r="E906" s="11"/>
      <c r="F906" s="11"/>
      <c r="G906" s="11"/>
      <c r="H906" s="11"/>
      <c r="I906" s="12" t="n">
        <v>164</v>
      </c>
      <c r="J906" s="18" t="s">
        <v>1507</v>
      </c>
      <c r="K906" s="18" t="n">
        <v>169</v>
      </c>
      <c r="L906" s="13" t="n">
        <v>169</v>
      </c>
      <c r="M906" s="13" t="s">
        <v>256</v>
      </c>
      <c r="N906" s="0" t="n">
        <v>101</v>
      </c>
    </row>
    <row r="907" customFormat="false" ht="13.8" hidden="false" customHeight="false" outlineLevel="0" collapsed="false">
      <c r="A907" s="10" t="n">
        <v>906</v>
      </c>
      <c r="B907" s="4"/>
      <c r="C907" s="11"/>
      <c r="D907" s="11"/>
      <c r="E907" s="11"/>
      <c r="F907" s="11"/>
      <c r="G907" s="11"/>
      <c r="H907" s="11"/>
      <c r="I907" s="12"/>
      <c r="J907" s="18" t="s">
        <v>1507</v>
      </c>
      <c r="K907" s="18" t="n">
        <v>995</v>
      </c>
      <c r="L907" s="13" t="n">
        <v>995</v>
      </c>
      <c r="M907" s="13" t="s">
        <v>1033</v>
      </c>
      <c r="N907" s="0" t="n">
        <v>101</v>
      </c>
    </row>
    <row r="908" customFormat="false" ht="13.8" hidden="false" customHeight="false" outlineLevel="0" collapsed="false">
      <c r="A908" s="10" t="n">
        <v>907</v>
      </c>
      <c r="B908" s="4"/>
      <c r="C908" s="11"/>
      <c r="D908" s="11"/>
      <c r="E908" s="11"/>
      <c r="F908" s="11"/>
      <c r="G908" s="11"/>
      <c r="H908" s="11"/>
      <c r="I908" s="12" t="n">
        <v>1057</v>
      </c>
      <c r="J908" s="18" t="s">
        <v>1507</v>
      </c>
      <c r="K908" s="18" t="n">
        <v>1069</v>
      </c>
      <c r="L908" s="13" t="n">
        <v>1069</v>
      </c>
      <c r="M908" s="13" t="s">
        <v>1104</v>
      </c>
      <c r="N908" s="0" t="n">
        <v>101</v>
      </c>
    </row>
    <row r="909" customFormat="false" ht="13.8" hidden="false" customHeight="false" outlineLevel="0" collapsed="false">
      <c r="A909" s="10" t="n">
        <v>908</v>
      </c>
      <c r="B909" s="4"/>
      <c r="C909" s="11"/>
      <c r="D909" s="11"/>
      <c r="E909" s="11"/>
      <c r="F909" s="11"/>
      <c r="G909" s="11"/>
      <c r="H909" s="11"/>
      <c r="I909" s="12"/>
      <c r="J909" s="18" t="s">
        <v>1507</v>
      </c>
      <c r="K909" s="18" t="n">
        <v>185</v>
      </c>
      <c r="L909" s="13" t="n">
        <v>185</v>
      </c>
      <c r="M909" s="13" t="s">
        <v>269</v>
      </c>
      <c r="N909" s="0" t="n">
        <v>101</v>
      </c>
    </row>
    <row r="910" customFormat="false" ht="13.8" hidden="false" customHeight="false" outlineLevel="0" collapsed="false">
      <c r="A910" s="10" t="n">
        <v>909</v>
      </c>
      <c r="B910" s="4"/>
      <c r="C910" s="11"/>
      <c r="D910" s="11"/>
      <c r="E910" s="11"/>
      <c r="F910" s="11"/>
      <c r="G910" s="11"/>
      <c r="H910" s="11"/>
      <c r="I910" s="12"/>
      <c r="J910" s="18" t="s">
        <v>1507</v>
      </c>
      <c r="K910" s="18" t="n">
        <v>193</v>
      </c>
      <c r="L910" s="13" t="n">
        <v>193</v>
      </c>
      <c r="M910" s="13" t="s">
        <v>277</v>
      </c>
      <c r="N910" s="0" t="n">
        <v>101</v>
      </c>
    </row>
    <row r="911" customFormat="false" ht="13.8" hidden="false" customHeight="false" outlineLevel="0" collapsed="false">
      <c r="A911" s="10" t="n">
        <v>910</v>
      </c>
      <c r="B911" s="4"/>
      <c r="C911" s="11"/>
      <c r="D911" s="11"/>
      <c r="E911" s="11"/>
      <c r="F911" s="11"/>
      <c r="G911" s="11"/>
      <c r="H911" s="11" t="s">
        <v>1511</v>
      </c>
      <c r="I911" s="12"/>
      <c r="J911" s="18" t="s">
        <v>1507</v>
      </c>
      <c r="K911" s="18" t="n">
        <v>701</v>
      </c>
      <c r="L911" s="13" t="n">
        <v>701</v>
      </c>
      <c r="M911" s="13" t="s">
        <v>753</v>
      </c>
      <c r="N911" s="0" t="n">
        <v>101</v>
      </c>
    </row>
    <row r="912" customFormat="false" ht="13.8" hidden="false" customHeight="false" outlineLevel="0" collapsed="false">
      <c r="A912" s="10" t="n">
        <v>911</v>
      </c>
      <c r="B912" s="4"/>
      <c r="C912" s="11"/>
      <c r="D912" s="11"/>
      <c r="E912" s="11"/>
      <c r="F912" s="11"/>
      <c r="G912" s="11"/>
      <c r="H912" s="11"/>
      <c r="I912" s="12" t="n">
        <v>202</v>
      </c>
      <c r="J912" s="18" t="s">
        <v>1507</v>
      </c>
      <c r="K912" s="18" t="n">
        <v>209</v>
      </c>
      <c r="L912" s="13" t="n">
        <v>209</v>
      </c>
      <c r="M912" s="13" t="s">
        <v>293</v>
      </c>
      <c r="N912" s="0" t="n">
        <v>101</v>
      </c>
    </row>
    <row r="913" customFormat="false" ht="13.8" hidden="false" customHeight="false" outlineLevel="0" collapsed="false">
      <c r="A913" s="10" t="n">
        <v>912</v>
      </c>
      <c r="B913" s="4"/>
      <c r="C913" s="11"/>
      <c r="D913" s="11"/>
      <c r="E913" s="11"/>
      <c r="F913" s="11"/>
      <c r="G913" s="11"/>
      <c r="H913" s="11"/>
      <c r="I913" s="12" t="n">
        <v>195</v>
      </c>
      <c r="J913" s="18" t="s">
        <v>1507</v>
      </c>
      <c r="K913" s="18" t="n">
        <v>202</v>
      </c>
      <c r="L913" s="13" t="n">
        <v>202</v>
      </c>
      <c r="M913" s="13" t="s">
        <v>286</v>
      </c>
      <c r="N913" s="0" t="n">
        <v>101</v>
      </c>
    </row>
    <row r="914" customFormat="false" ht="13.8" hidden="false" customHeight="false" outlineLevel="0" collapsed="false">
      <c r="A914" s="10" t="n">
        <v>913</v>
      </c>
      <c r="B914" s="4"/>
      <c r="C914" s="11"/>
      <c r="D914" s="11"/>
      <c r="E914" s="11"/>
      <c r="F914" s="11"/>
      <c r="G914" s="11"/>
      <c r="H914" s="11"/>
      <c r="I914" s="12" t="n">
        <v>218</v>
      </c>
      <c r="J914" s="18" t="s">
        <v>1507</v>
      </c>
      <c r="K914" s="18" t="n">
        <v>225</v>
      </c>
      <c r="L914" s="13" t="n">
        <v>225</v>
      </c>
      <c r="M914" s="13" t="s">
        <v>308</v>
      </c>
      <c r="N914" s="0" t="n">
        <v>101</v>
      </c>
    </row>
    <row r="915" customFormat="false" ht="13.8" hidden="false" customHeight="false" outlineLevel="0" collapsed="false">
      <c r="A915" s="10" t="n">
        <v>914</v>
      </c>
      <c r="B915" s="4"/>
      <c r="C915" s="11"/>
      <c r="D915" s="11"/>
      <c r="E915" s="11"/>
      <c r="F915" s="11"/>
      <c r="G915" s="11"/>
      <c r="H915" s="11"/>
      <c r="I915" s="12" t="n">
        <v>210</v>
      </c>
      <c r="J915" s="18" t="s">
        <v>1507</v>
      </c>
      <c r="K915" s="18" t="n">
        <v>217</v>
      </c>
      <c r="L915" s="13" t="n">
        <v>217</v>
      </c>
      <c r="M915" s="13" t="s">
        <v>300</v>
      </c>
      <c r="N915" s="0" t="n">
        <v>101</v>
      </c>
    </row>
    <row r="916" customFormat="false" ht="13.8" hidden="false" customHeight="false" outlineLevel="0" collapsed="false">
      <c r="A916" s="10" t="n">
        <v>915</v>
      </c>
      <c r="B916" s="4"/>
      <c r="C916" s="11"/>
      <c r="D916" s="11"/>
      <c r="E916" s="11"/>
      <c r="F916" s="11"/>
      <c r="G916" s="11"/>
      <c r="H916" s="11"/>
      <c r="I916" s="12" t="n">
        <v>754</v>
      </c>
      <c r="J916" s="18" t="s">
        <v>1507</v>
      </c>
      <c r="K916" s="18" t="n">
        <v>765</v>
      </c>
      <c r="L916" s="13" t="n">
        <v>765</v>
      </c>
      <c r="M916" s="13" t="s">
        <v>815</v>
      </c>
      <c r="N916" s="0" t="n">
        <v>101</v>
      </c>
    </row>
    <row r="917" customFormat="false" ht="13.8" hidden="false" customHeight="false" outlineLevel="0" collapsed="false">
      <c r="A917" s="10" t="n">
        <v>916</v>
      </c>
      <c r="B917" s="4"/>
      <c r="C917" s="11"/>
      <c r="D917" s="11"/>
      <c r="E917" s="11"/>
      <c r="F917" s="11"/>
      <c r="G917" s="11"/>
      <c r="H917" s="11"/>
      <c r="I917" s="12" t="n">
        <v>762</v>
      </c>
      <c r="J917" s="18" t="s">
        <v>1507</v>
      </c>
      <c r="K917" s="18" t="n">
        <v>773</v>
      </c>
      <c r="L917" s="13" t="n">
        <v>773</v>
      </c>
      <c r="M917" s="13" t="s">
        <v>822</v>
      </c>
      <c r="N917" s="0" t="n">
        <v>101</v>
      </c>
    </row>
    <row r="918" customFormat="false" ht="13.8" hidden="false" customHeight="false" outlineLevel="0" collapsed="false">
      <c r="A918" s="10" t="n">
        <v>917</v>
      </c>
      <c r="B918" s="4"/>
      <c r="C918" s="11"/>
      <c r="D918" s="11"/>
      <c r="E918" s="11"/>
      <c r="F918" s="11"/>
      <c r="G918" s="11"/>
      <c r="H918" s="11"/>
      <c r="I918" s="12" t="n">
        <v>770</v>
      </c>
      <c r="J918" s="18" t="s">
        <v>1507</v>
      </c>
      <c r="K918" s="18" t="n">
        <v>781</v>
      </c>
      <c r="L918" s="13" t="n">
        <v>781</v>
      </c>
      <c r="M918" s="13" t="s">
        <v>829</v>
      </c>
      <c r="N918" s="0" t="n">
        <v>101</v>
      </c>
    </row>
    <row r="919" customFormat="false" ht="13.8" hidden="false" customHeight="false" outlineLevel="0" collapsed="false">
      <c r="A919" s="10" t="n">
        <v>918</v>
      </c>
      <c r="B919" s="4"/>
      <c r="C919" s="11"/>
      <c r="D919" s="11"/>
      <c r="E919" s="11"/>
      <c r="F919" s="11"/>
      <c r="G919" s="11"/>
      <c r="H919" s="11"/>
      <c r="I919" s="12"/>
      <c r="J919" s="18" t="s">
        <v>1507</v>
      </c>
      <c r="K919" s="18" t="n">
        <v>76</v>
      </c>
      <c r="L919" s="13" t="n">
        <v>76</v>
      </c>
      <c r="M919" s="13" t="s">
        <v>165</v>
      </c>
      <c r="N919" s="0" t="n">
        <v>101</v>
      </c>
    </row>
    <row r="920" customFormat="false" ht="13.8" hidden="false" customHeight="false" outlineLevel="0" collapsed="false">
      <c r="A920" s="10" t="n">
        <v>919</v>
      </c>
      <c r="B920" s="4"/>
      <c r="C920" s="11"/>
      <c r="D920" s="11"/>
      <c r="E920" s="11"/>
      <c r="F920" s="11" t="s">
        <v>1512</v>
      </c>
      <c r="G920" s="11"/>
      <c r="H920" s="11"/>
      <c r="I920" s="12"/>
      <c r="J920" s="18" t="s">
        <v>1507</v>
      </c>
      <c r="K920" s="18" t="n">
        <v>379</v>
      </c>
      <c r="L920" s="13" t="n">
        <v>379</v>
      </c>
      <c r="M920" s="13" t="s">
        <v>449</v>
      </c>
      <c r="N920" s="0" t="n">
        <v>102</v>
      </c>
    </row>
    <row r="921" customFormat="false" ht="13.8" hidden="false" customHeight="false" outlineLevel="0" collapsed="false">
      <c r="A921" s="10" t="n">
        <v>920</v>
      </c>
      <c r="B921" s="4"/>
      <c r="C921" s="11"/>
      <c r="D921" s="11"/>
      <c r="E921" s="11"/>
      <c r="F921" s="11"/>
      <c r="G921" s="11"/>
      <c r="H921" s="11"/>
      <c r="I921" s="12" t="n">
        <v>199</v>
      </c>
      <c r="J921" s="18" t="s">
        <v>1507</v>
      </c>
      <c r="K921" s="18" t="n">
        <v>206</v>
      </c>
      <c r="L921" s="13" t="n">
        <v>206</v>
      </c>
      <c r="M921" s="13" t="s">
        <v>1307</v>
      </c>
      <c r="N921" s="0" t="n">
        <v>102</v>
      </c>
    </row>
    <row r="922" customFormat="false" ht="13.8" hidden="false" customHeight="false" outlineLevel="0" collapsed="false">
      <c r="A922" s="10" t="n">
        <v>921</v>
      </c>
      <c r="B922" s="4"/>
      <c r="C922" s="11"/>
      <c r="D922" s="11"/>
      <c r="E922" s="11"/>
      <c r="F922" s="11"/>
      <c r="G922" s="11"/>
      <c r="H922" s="11"/>
      <c r="I922" s="12" t="n">
        <v>223</v>
      </c>
      <c r="J922" s="18" t="s">
        <v>1507</v>
      </c>
      <c r="K922" s="18" t="n">
        <v>230</v>
      </c>
      <c r="L922" s="13" t="n">
        <v>230</v>
      </c>
      <c r="M922" s="13" t="s">
        <v>1308</v>
      </c>
      <c r="N922" s="0" t="n">
        <v>102</v>
      </c>
    </row>
    <row r="923" customFormat="false" ht="13.8" hidden="false" customHeight="false" outlineLevel="0" collapsed="false">
      <c r="A923" s="10" t="n">
        <v>922</v>
      </c>
      <c r="B923" s="4"/>
      <c r="C923" s="11"/>
      <c r="D923" s="11"/>
      <c r="E923" s="11"/>
      <c r="F923" s="11"/>
      <c r="G923" s="11"/>
      <c r="H923" s="11"/>
      <c r="I923" s="12" t="n">
        <v>215</v>
      </c>
      <c r="J923" s="18" t="s">
        <v>1507</v>
      </c>
      <c r="K923" s="18" t="n">
        <v>222</v>
      </c>
      <c r="L923" s="13" t="n">
        <v>222</v>
      </c>
      <c r="M923" s="13" t="s">
        <v>1309</v>
      </c>
      <c r="N923" s="0" t="n">
        <v>102</v>
      </c>
    </row>
    <row r="924" customFormat="false" ht="13.8" hidden="false" customHeight="false" outlineLevel="0" collapsed="false">
      <c r="A924" s="10" t="n">
        <v>923</v>
      </c>
      <c r="B924" s="4"/>
      <c r="C924" s="11" t="s">
        <v>575</v>
      </c>
      <c r="D924" s="11"/>
      <c r="E924" s="11"/>
      <c r="F924" s="11"/>
      <c r="G924" s="11"/>
      <c r="H924" s="11"/>
      <c r="I924" s="12"/>
      <c r="L924" s="13" t="n">
        <v>512</v>
      </c>
      <c r="M924" s="13" t="s">
        <v>575</v>
      </c>
    </row>
    <row r="925" customFormat="false" ht="13.8" hidden="false" customHeight="false" outlineLevel="0" collapsed="false">
      <c r="A925" s="10" t="n">
        <v>924</v>
      </c>
      <c r="B925" s="4"/>
      <c r="C925" s="11"/>
      <c r="D925" s="11" t="s">
        <v>591</v>
      </c>
      <c r="E925" s="11"/>
      <c r="F925" s="11"/>
      <c r="G925" s="11"/>
      <c r="H925" s="11"/>
      <c r="I925" s="12"/>
      <c r="L925" s="13" t="n">
        <v>528</v>
      </c>
      <c r="M925" s="13" t="s">
        <v>591</v>
      </c>
    </row>
    <row r="926" customFormat="false" ht="13.8" hidden="false" customHeight="false" outlineLevel="0" collapsed="false">
      <c r="A926" s="10" t="n">
        <v>925</v>
      </c>
      <c r="B926" s="4"/>
      <c r="C926" s="11"/>
      <c r="D926" s="11"/>
      <c r="E926" s="11"/>
      <c r="F926" s="11"/>
      <c r="G926" s="11"/>
      <c r="H926" s="11"/>
      <c r="I926" s="12"/>
      <c r="L926" s="13" t="n">
        <v>1144</v>
      </c>
      <c r="M926" s="13" t="s">
        <v>1170</v>
      </c>
    </row>
    <row r="927" customFormat="false" ht="13.8" hidden="false" customHeight="false" outlineLevel="0" collapsed="false">
      <c r="A927" s="10" t="n">
        <v>926</v>
      </c>
      <c r="B927" s="4"/>
      <c r="C927" s="11"/>
      <c r="D927" s="11"/>
      <c r="E927" s="11"/>
      <c r="F927" s="11"/>
      <c r="G927" s="11"/>
      <c r="H927" s="11"/>
      <c r="I927" s="12"/>
      <c r="L927" s="13" t="n">
        <v>1145</v>
      </c>
      <c r="M927" s="13" t="s">
        <v>1171</v>
      </c>
    </row>
    <row r="928" customFormat="false" ht="13.8" hidden="false" customHeight="false" outlineLevel="0" collapsed="false">
      <c r="A928" s="10" t="n">
        <v>927</v>
      </c>
      <c r="B928" s="4"/>
      <c r="C928" s="11"/>
      <c r="D928" s="11"/>
      <c r="E928" s="11"/>
      <c r="F928" s="11"/>
      <c r="G928" s="11"/>
      <c r="H928" s="11"/>
      <c r="I928" s="12"/>
      <c r="L928" s="13" t="n">
        <v>1143</v>
      </c>
      <c r="M928" s="13" t="s">
        <v>1169</v>
      </c>
    </row>
    <row r="929" customFormat="false" ht="13.8" hidden="false" customHeight="false" outlineLevel="0" collapsed="false">
      <c r="A929" s="10" t="n">
        <v>928</v>
      </c>
      <c r="B929" s="4"/>
      <c r="C929" s="11"/>
      <c r="D929" s="11"/>
      <c r="E929" s="11" t="s">
        <v>699</v>
      </c>
      <c r="F929" s="11"/>
      <c r="G929" s="11"/>
      <c r="H929" s="11"/>
      <c r="I929" s="12"/>
      <c r="L929" s="13" t="n">
        <v>645</v>
      </c>
      <c r="M929" s="13" t="s">
        <v>699</v>
      </c>
    </row>
    <row r="930" customFormat="false" ht="13.8" hidden="false" customHeight="false" outlineLevel="0" collapsed="false">
      <c r="A930" s="10" t="n">
        <v>929</v>
      </c>
      <c r="B930" s="4"/>
      <c r="C930" s="11"/>
      <c r="D930" s="11"/>
      <c r="E930" s="11"/>
      <c r="F930" s="11"/>
      <c r="G930" s="11"/>
      <c r="H930" s="11"/>
      <c r="I930" s="12" t="n">
        <v>901</v>
      </c>
      <c r="L930" s="13" t="n">
        <v>912</v>
      </c>
      <c r="M930" s="13" t="s">
        <v>955</v>
      </c>
    </row>
    <row r="931" customFormat="false" ht="13.8" hidden="false" customHeight="false" outlineLevel="0" collapsed="false">
      <c r="A931" s="10" t="n">
        <v>930</v>
      </c>
      <c r="B931" s="4"/>
      <c r="C931" s="11"/>
      <c r="D931" s="11"/>
      <c r="E931" s="11"/>
      <c r="F931" s="11" t="s">
        <v>1513</v>
      </c>
      <c r="G931" s="11"/>
      <c r="H931" s="11"/>
      <c r="I931" s="12"/>
      <c r="L931" s="13" t="n">
        <v>10707</v>
      </c>
      <c r="M931" s="13" t="s">
        <v>1206</v>
      </c>
    </row>
    <row r="932" customFormat="false" ht="13.8" hidden="false" customHeight="false" outlineLevel="0" collapsed="false">
      <c r="A932" s="10" t="n">
        <v>931</v>
      </c>
      <c r="B932" s="4"/>
      <c r="C932" s="11"/>
      <c r="D932" s="11"/>
      <c r="E932" s="11"/>
      <c r="F932" s="11"/>
      <c r="G932" s="11"/>
      <c r="H932" s="11"/>
      <c r="I932" s="12"/>
      <c r="L932" s="13" t="n">
        <v>10705</v>
      </c>
      <c r="M932" s="13" t="s">
        <v>1204</v>
      </c>
    </row>
    <row r="933" customFormat="false" ht="13.8" hidden="false" customHeight="false" outlineLevel="0" collapsed="false">
      <c r="A933" s="10" t="n">
        <v>932</v>
      </c>
      <c r="B933" s="4"/>
      <c r="C933" s="11"/>
      <c r="D933" s="11"/>
      <c r="E933" s="11"/>
      <c r="F933" s="11"/>
      <c r="G933" s="11"/>
      <c r="H933" s="11"/>
      <c r="I933" s="12"/>
      <c r="L933" s="13" t="n">
        <v>10706</v>
      </c>
      <c r="M933" s="13" t="s">
        <v>1205</v>
      </c>
    </row>
    <row r="934" customFormat="false" ht="13.8" hidden="false" customHeight="false" outlineLevel="0" collapsed="false">
      <c r="A934" s="10" t="n">
        <v>933</v>
      </c>
      <c r="B934" s="4"/>
      <c r="C934" s="11"/>
      <c r="D934" s="11"/>
      <c r="E934" s="11"/>
      <c r="F934" s="11" t="s">
        <v>1514</v>
      </c>
      <c r="G934" s="11"/>
      <c r="H934" s="11"/>
      <c r="I934" s="12" t="n">
        <v>909</v>
      </c>
      <c r="L934" s="13" t="n">
        <v>920</v>
      </c>
      <c r="M934" s="13" t="s">
        <v>962</v>
      </c>
    </row>
    <row r="935" customFormat="false" ht="13.8" hidden="false" customHeight="false" outlineLevel="0" collapsed="false">
      <c r="A935" s="10" t="n">
        <v>934</v>
      </c>
      <c r="B935" s="4"/>
      <c r="C935" s="11"/>
      <c r="D935" s="11"/>
      <c r="E935" s="11"/>
      <c r="F935" s="11"/>
      <c r="G935" s="11"/>
      <c r="H935" s="11"/>
      <c r="I935" s="12"/>
      <c r="L935" s="13" t="n">
        <v>976</v>
      </c>
      <c r="M935" s="13" t="s">
        <v>1014</v>
      </c>
    </row>
    <row r="936" customFormat="false" ht="13.8" hidden="false" customHeight="false" outlineLevel="0" collapsed="false">
      <c r="A936" s="10" t="n">
        <v>935</v>
      </c>
      <c r="B936" s="4"/>
      <c r="C936" s="11"/>
      <c r="D936" s="11"/>
      <c r="E936" s="11"/>
      <c r="F936" s="11"/>
      <c r="G936" s="11"/>
      <c r="H936" s="11"/>
      <c r="I936" s="12"/>
      <c r="L936" s="13" t="n">
        <v>10710</v>
      </c>
      <c r="M936" s="13" t="s">
        <v>1209</v>
      </c>
    </row>
    <row r="937" customFormat="false" ht="13.8" hidden="false" customHeight="false" outlineLevel="0" collapsed="false">
      <c r="A937" s="10" t="n">
        <v>936</v>
      </c>
      <c r="B937" s="4"/>
      <c r="C937" s="11"/>
      <c r="D937" s="11"/>
      <c r="E937" s="11"/>
      <c r="F937" s="11"/>
      <c r="G937" s="11"/>
      <c r="H937" s="11"/>
      <c r="I937" s="12"/>
      <c r="L937" s="13" t="n">
        <v>10709</v>
      </c>
      <c r="M937" s="13" t="s">
        <v>1208</v>
      </c>
    </row>
    <row r="938" customFormat="false" ht="13.8" hidden="false" customHeight="false" outlineLevel="0" collapsed="false">
      <c r="A938" s="10" t="n">
        <v>937</v>
      </c>
      <c r="B938" s="4"/>
      <c r="C938" s="11"/>
      <c r="D938" s="11"/>
      <c r="E938" s="11"/>
      <c r="F938" s="11"/>
      <c r="G938" s="11"/>
      <c r="H938" s="11"/>
      <c r="I938" s="12"/>
      <c r="L938" s="13" t="n">
        <v>10708</v>
      </c>
      <c r="M938" s="13" t="s">
        <v>1207</v>
      </c>
    </row>
    <row r="939" customFormat="false" ht="13.8" hidden="false" customHeight="false" outlineLevel="0" collapsed="false">
      <c r="A939" s="10" t="n">
        <v>938</v>
      </c>
      <c r="B939" s="4"/>
      <c r="C939" s="11"/>
      <c r="D939" s="11"/>
      <c r="E939" s="11"/>
      <c r="F939" s="11"/>
      <c r="G939" s="11"/>
      <c r="H939" s="11"/>
      <c r="I939" s="12"/>
      <c r="L939" s="13" t="n">
        <v>984</v>
      </c>
      <c r="M939" s="13" t="s">
        <v>1022</v>
      </c>
    </row>
    <row r="940" customFormat="false" ht="13.8" hidden="false" customHeight="false" outlineLevel="0" collapsed="false">
      <c r="A940" s="10" t="n">
        <v>939</v>
      </c>
      <c r="B940" s="4"/>
      <c r="C940" s="11"/>
      <c r="D940" s="11"/>
      <c r="E940" s="11"/>
      <c r="F940" s="11"/>
      <c r="G940" s="11"/>
      <c r="H940" s="11"/>
      <c r="I940" s="12"/>
      <c r="L940" s="13" t="n">
        <v>10713</v>
      </c>
      <c r="M940" s="13" t="s">
        <v>1212</v>
      </c>
    </row>
    <row r="941" customFormat="false" ht="13.8" hidden="false" customHeight="false" outlineLevel="0" collapsed="false">
      <c r="A941" s="10" t="n">
        <v>940</v>
      </c>
      <c r="B941" s="4"/>
      <c r="C941" s="11"/>
      <c r="D941" s="11"/>
      <c r="E941" s="11"/>
      <c r="F941" s="11"/>
      <c r="G941" s="11"/>
      <c r="H941" s="11"/>
      <c r="I941" s="12"/>
      <c r="L941" s="13" t="n">
        <v>10712</v>
      </c>
      <c r="M941" s="13" t="s">
        <v>1211</v>
      </c>
    </row>
    <row r="942" customFormat="false" ht="13.8" hidden="false" customHeight="false" outlineLevel="0" collapsed="false">
      <c r="A942" s="10" t="n">
        <v>941</v>
      </c>
      <c r="B942" s="4"/>
      <c r="C942" s="11"/>
      <c r="D942" s="11"/>
      <c r="E942" s="11"/>
      <c r="F942" s="11"/>
      <c r="G942" s="11"/>
      <c r="H942" s="11"/>
      <c r="I942" s="12"/>
      <c r="L942" s="13" t="n">
        <v>10711</v>
      </c>
      <c r="M942" s="13" t="s">
        <v>1210</v>
      </c>
    </row>
    <row r="943" customFormat="false" ht="13.8" hidden="false" customHeight="false" outlineLevel="0" collapsed="false">
      <c r="A943" s="10" t="n">
        <v>942</v>
      </c>
      <c r="B943" s="4"/>
      <c r="C943" s="11"/>
      <c r="D943" s="11"/>
      <c r="E943" s="11"/>
      <c r="F943" s="11" t="s">
        <v>969</v>
      </c>
      <c r="G943" s="11"/>
      <c r="H943" s="11"/>
      <c r="I943" s="12" t="n">
        <v>917</v>
      </c>
      <c r="L943" s="13" t="n">
        <v>928</v>
      </c>
      <c r="M943" s="13" t="s">
        <v>969</v>
      </c>
    </row>
    <row r="944" customFormat="false" ht="13.8" hidden="false" customHeight="false" outlineLevel="0" collapsed="false">
      <c r="A944" s="10" t="n">
        <v>943</v>
      </c>
      <c r="B944" s="4"/>
      <c r="C944" s="11"/>
      <c r="D944" s="11"/>
      <c r="E944" s="11"/>
      <c r="F944" s="11"/>
      <c r="G944" s="11"/>
      <c r="H944" s="11"/>
      <c r="I944" s="12"/>
      <c r="L944" s="13" t="n">
        <v>992</v>
      </c>
      <c r="M944" s="13" t="s">
        <v>1030</v>
      </c>
    </row>
    <row r="945" customFormat="false" ht="13.8" hidden="false" customHeight="false" outlineLevel="0" collapsed="false">
      <c r="A945" s="10" t="n">
        <v>944</v>
      </c>
      <c r="B945" s="4"/>
      <c r="C945" s="11"/>
      <c r="D945" s="11"/>
      <c r="E945" s="11"/>
      <c r="F945" s="11"/>
      <c r="G945" s="11"/>
      <c r="H945" s="11"/>
      <c r="I945" s="12"/>
      <c r="L945" s="13" t="n">
        <v>10716</v>
      </c>
      <c r="M945" s="13" t="s">
        <v>1215</v>
      </c>
    </row>
    <row r="946" customFormat="false" ht="13.8" hidden="false" customHeight="false" outlineLevel="0" collapsed="false">
      <c r="A946" s="10" t="n">
        <v>945</v>
      </c>
      <c r="B946" s="4"/>
      <c r="C946" s="11"/>
      <c r="D946" s="11"/>
      <c r="E946" s="11"/>
      <c r="F946" s="11"/>
      <c r="G946" s="11"/>
      <c r="H946" s="11"/>
      <c r="I946" s="12"/>
      <c r="L946" s="13" t="n">
        <v>10715</v>
      </c>
      <c r="M946" s="13" t="s">
        <v>1214</v>
      </c>
    </row>
    <row r="947" customFormat="false" ht="13.8" hidden="false" customHeight="false" outlineLevel="0" collapsed="false">
      <c r="A947" s="10" t="n">
        <v>946</v>
      </c>
      <c r="B947" s="4"/>
      <c r="C947" s="11"/>
      <c r="D947" s="11"/>
      <c r="E947" s="11"/>
      <c r="F947" s="11"/>
      <c r="G947" s="11"/>
      <c r="H947" s="11"/>
      <c r="I947" s="12"/>
      <c r="L947" s="13" t="n">
        <v>10714</v>
      </c>
      <c r="M947" s="13" t="s">
        <v>1213</v>
      </c>
    </row>
    <row r="948" customFormat="false" ht="13.8" hidden="false" customHeight="false" outlineLevel="0" collapsed="false">
      <c r="A948" s="10" t="n">
        <v>947</v>
      </c>
      <c r="B948" s="4"/>
      <c r="C948" s="11"/>
      <c r="D948" s="11"/>
      <c r="E948" s="11"/>
      <c r="F948" s="11"/>
      <c r="G948" s="11"/>
      <c r="H948" s="11"/>
      <c r="I948" s="12"/>
      <c r="L948" s="13" t="n">
        <v>1001</v>
      </c>
      <c r="M948" s="13" t="s">
        <v>1039</v>
      </c>
    </row>
    <row r="949" customFormat="false" ht="13.8" hidden="false" customHeight="false" outlineLevel="0" collapsed="false">
      <c r="A949" s="10" t="n">
        <v>948</v>
      </c>
      <c r="B949" s="4"/>
      <c r="C949" s="11"/>
      <c r="D949" s="11"/>
      <c r="E949" s="11"/>
      <c r="F949" s="11"/>
      <c r="G949" s="11"/>
      <c r="H949" s="11"/>
      <c r="I949" s="12"/>
      <c r="L949" s="13" t="n">
        <v>10719</v>
      </c>
      <c r="M949" s="13" t="s">
        <v>1218</v>
      </c>
    </row>
    <row r="950" customFormat="false" ht="13.8" hidden="false" customHeight="false" outlineLevel="0" collapsed="false">
      <c r="A950" s="10" t="n">
        <v>949</v>
      </c>
      <c r="B950" s="4"/>
      <c r="C950" s="11"/>
      <c r="D950" s="11"/>
      <c r="E950" s="11"/>
      <c r="F950" s="11"/>
      <c r="G950" s="11"/>
      <c r="H950" s="11"/>
      <c r="I950" s="12"/>
      <c r="L950" s="13" t="n">
        <v>10718</v>
      </c>
      <c r="M950" s="13" t="s">
        <v>1217</v>
      </c>
    </row>
    <row r="951" customFormat="false" ht="13.8" hidden="false" customHeight="false" outlineLevel="0" collapsed="false">
      <c r="A951" s="10" t="n">
        <v>950</v>
      </c>
      <c r="B951" s="4"/>
      <c r="C951" s="11"/>
      <c r="D951" s="11"/>
      <c r="E951" s="11"/>
      <c r="F951" s="11"/>
      <c r="G951" s="11"/>
      <c r="H951" s="11"/>
      <c r="I951" s="12"/>
      <c r="L951" s="13" t="n">
        <v>10717</v>
      </c>
      <c r="M951" s="13" t="s">
        <v>1216</v>
      </c>
    </row>
    <row r="952" customFormat="false" ht="13.8" hidden="false" customHeight="false" outlineLevel="0" collapsed="false">
      <c r="A952" s="10" t="n">
        <v>951</v>
      </c>
      <c r="B952" s="4"/>
      <c r="C952" s="11"/>
      <c r="D952" s="11"/>
      <c r="E952" s="11"/>
      <c r="F952" s="11"/>
      <c r="G952" s="11"/>
      <c r="H952" s="11"/>
      <c r="I952" s="12"/>
      <c r="L952" s="13" t="n">
        <v>1091</v>
      </c>
      <c r="M952" s="13" t="s">
        <v>1125</v>
      </c>
    </row>
    <row r="953" customFormat="false" ht="13.8" hidden="false" customHeight="false" outlineLevel="0" collapsed="false">
      <c r="A953" s="10" t="n">
        <v>952</v>
      </c>
      <c r="B953" s="4"/>
      <c r="C953" s="11"/>
      <c r="D953" s="11"/>
      <c r="E953" s="11"/>
      <c r="F953" s="11"/>
      <c r="G953" s="11"/>
      <c r="H953" s="11"/>
      <c r="I953" s="12"/>
      <c r="L953" s="13" t="n">
        <v>10722</v>
      </c>
      <c r="M953" s="13" t="s">
        <v>1221</v>
      </c>
    </row>
    <row r="954" customFormat="false" ht="13.8" hidden="false" customHeight="false" outlineLevel="0" collapsed="false">
      <c r="A954" s="10" t="n">
        <v>953</v>
      </c>
      <c r="B954" s="4"/>
      <c r="C954" s="11"/>
      <c r="D954" s="11"/>
      <c r="E954" s="11"/>
      <c r="F954" s="11"/>
      <c r="G954" s="11"/>
      <c r="H954" s="11"/>
      <c r="I954" s="12"/>
      <c r="L954" s="13" t="n">
        <v>10721</v>
      </c>
      <c r="M954" s="13" t="s">
        <v>1220</v>
      </c>
    </row>
    <row r="955" customFormat="false" ht="13.8" hidden="false" customHeight="false" outlineLevel="0" collapsed="false">
      <c r="A955" s="10" t="n">
        <v>954</v>
      </c>
      <c r="B955" s="4"/>
      <c r="C955" s="11"/>
      <c r="D955" s="11"/>
      <c r="E955" s="11"/>
      <c r="F955" s="11"/>
      <c r="G955" s="11"/>
      <c r="H955" s="11"/>
      <c r="I955" s="12"/>
      <c r="L955" s="13" t="n">
        <v>10720</v>
      </c>
      <c r="M955" s="13" t="s">
        <v>1219</v>
      </c>
    </row>
    <row r="956" customFormat="false" ht="13.8" hidden="false" customHeight="false" outlineLevel="0" collapsed="false">
      <c r="A956" s="10" t="n">
        <v>955</v>
      </c>
      <c r="B956" s="4"/>
      <c r="C956" s="11"/>
      <c r="D956" s="11"/>
      <c r="E956" s="11"/>
      <c r="F956" s="11"/>
      <c r="G956" s="11"/>
      <c r="H956" s="11"/>
      <c r="I956" s="12" t="n">
        <v>925</v>
      </c>
      <c r="L956" s="13" t="n">
        <v>936</v>
      </c>
      <c r="M956" s="13" t="s">
        <v>976</v>
      </c>
    </row>
    <row r="957" customFormat="false" ht="13.8" hidden="false" customHeight="false" outlineLevel="0" collapsed="false">
      <c r="A957" s="10" t="n">
        <v>956</v>
      </c>
      <c r="B957" s="4"/>
      <c r="C957" s="11"/>
      <c r="D957" s="11"/>
      <c r="E957" s="11"/>
      <c r="F957" s="11"/>
      <c r="G957" s="11"/>
      <c r="H957" s="11"/>
      <c r="I957" s="12"/>
      <c r="L957" s="13" t="n">
        <v>10725</v>
      </c>
      <c r="M957" s="13" t="s">
        <v>1224</v>
      </c>
    </row>
    <row r="958" customFormat="false" ht="13.8" hidden="false" customHeight="false" outlineLevel="0" collapsed="false">
      <c r="A958" s="10" t="n">
        <v>957</v>
      </c>
      <c r="B958" s="4"/>
      <c r="C958" s="11"/>
      <c r="D958" s="11"/>
      <c r="E958" s="11"/>
      <c r="F958" s="11"/>
      <c r="G958" s="11"/>
      <c r="H958" s="11"/>
      <c r="I958" s="12"/>
      <c r="L958" s="13" t="n">
        <v>10724</v>
      </c>
      <c r="M958" s="13" t="s">
        <v>1223</v>
      </c>
    </row>
    <row r="959" customFormat="false" ht="13.8" hidden="false" customHeight="false" outlineLevel="0" collapsed="false">
      <c r="A959" s="10" t="n">
        <v>958</v>
      </c>
      <c r="B959" s="4"/>
      <c r="C959" s="11"/>
      <c r="D959" s="11"/>
      <c r="E959" s="11"/>
      <c r="F959" s="11"/>
      <c r="G959" s="11"/>
      <c r="H959" s="11"/>
      <c r="I959" s="12"/>
      <c r="L959" s="13" t="n">
        <v>10723</v>
      </c>
      <c r="M959" s="13" t="s">
        <v>1222</v>
      </c>
    </row>
    <row r="960" customFormat="false" ht="13.8" hidden="false" customHeight="false" outlineLevel="0" collapsed="false">
      <c r="A960" s="10" t="n">
        <v>959</v>
      </c>
      <c r="B960" s="4"/>
      <c r="C960" s="11"/>
      <c r="D960" s="11"/>
      <c r="E960" s="11"/>
      <c r="F960" s="11"/>
      <c r="G960" s="11"/>
      <c r="H960" s="11"/>
      <c r="I960" s="12" t="n">
        <v>933</v>
      </c>
      <c r="L960" s="13" t="n">
        <v>944</v>
      </c>
      <c r="M960" s="13" t="s">
        <v>984</v>
      </c>
    </row>
    <row r="961" customFormat="false" ht="13.8" hidden="false" customHeight="false" outlineLevel="0" collapsed="false">
      <c r="A961" s="10" t="n">
        <v>960</v>
      </c>
      <c r="B961" s="4"/>
      <c r="C961" s="11"/>
      <c r="D961" s="11"/>
      <c r="E961" s="11"/>
      <c r="F961" s="11"/>
      <c r="G961" s="11"/>
      <c r="H961" s="11"/>
      <c r="I961" s="12"/>
      <c r="L961" s="13" t="n">
        <v>10728</v>
      </c>
      <c r="M961" s="13" t="s">
        <v>1227</v>
      </c>
    </row>
    <row r="962" customFormat="false" ht="13.8" hidden="false" customHeight="false" outlineLevel="0" collapsed="false">
      <c r="A962" s="10" t="n">
        <v>961</v>
      </c>
      <c r="B962" s="4"/>
      <c r="C962" s="11"/>
      <c r="D962" s="11"/>
      <c r="E962" s="11"/>
      <c r="F962" s="11"/>
      <c r="G962" s="11"/>
      <c r="H962" s="11"/>
      <c r="I962" s="12"/>
      <c r="L962" s="13" t="n">
        <v>10727</v>
      </c>
      <c r="M962" s="13" t="s">
        <v>1226</v>
      </c>
    </row>
    <row r="963" customFormat="false" ht="13.8" hidden="false" customHeight="false" outlineLevel="0" collapsed="false">
      <c r="A963" s="10" t="n">
        <v>962</v>
      </c>
      <c r="B963" s="4"/>
      <c r="C963" s="11"/>
      <c r="D963" s="11"/>
      <c r="E963" s="11"/>
      <c r="F963" s="11"/>
      <c r="G963" s="11"/>
      <c r="H963" s="11"/>
      <c r="I963" s="12"/>
      <c r="L963" s="13" t="n">
        <v>10726</v>
      </c>
      <c r="M963" s="13" t="s">
        <v>1225</v>
      </c>
    </row>
    <row r="964" customFormat="false" ht="13.8" hidden="false" customHeight="false" outlineLevel="0" collapsed="false">
      <c r="A964" s="10" t="n">
        <v>963</v>
      </c>
      <c r="B964" s="4"/>
      <c r="C964" s="11"/>
      <c r="D964" s="11"/>
      <c r="E964" s="11"/>
      <c r="F964" s="11"/>
      <c r="G964" s="11"/>
      <c r="H964" s="11"/>
      <c r="I964" s="12" t="n">
        <v>940</v>
      </c>
      <c r="L964" s="13" t="n">
        <v>951</v>
      </c>
      <c r="M964" s="13" t="s">
        <v>991</v>
      </c>
    </row>
    <row r="965" customFormat="false" ht="13.8" hidden="false" customHeight="false" outlineLevel="0" collapsed="false">
      <c r="A965" s="10" t="n">
        <v>964</v>
      </c>
      <c r="B965" s="4"/>
      <c r="C965" s="11"/>
      <c r="D965" s="11"/>
      <c r="E965" s="11"/>
      <c r="F965" s="11"/>
      <c r="G965" s="11"/>
      <c r="H965" s="11"/>
      <c r="I965" s="12"/>
      <c r="L965" s="13" t="n">
        <v>10731</v>
      </c>
      <c r="M965" s="13" t="s">
        <v>1230</v>
      </c>
    </row>
    <row r="966" customFormat="false" ht="13.8" hidden="false" customHeight="false" outlineLevel="0" collapsed="false">
      <c r="A966" s="10" t="n">
        <v>965</v>
      </c>
      <c r="B966" s="4"/>
      <c r="C966" s="11"/>
      <c r="D966" s="11"/>
      <c r="E966" s="11"/>
      <c r="F966" s="11"/>
      <c r="G966" s="11"/>
      <c r="H966" s="11"/>
      <c r="I966" s="12"/>
      <c r="L966" s="13" t="n">
        <v>10730</v>
      </c>
      <c r="M966" s="13" t="s">
        <v>1229</v>
      </c>
    </row>
    <row r="967" customFormat="false" ht="13.8" hidden="false" customHeight="false" outlineLevel="0" collapsed="false">
      <c r="A967" s="10" t="n">
        <v>966</v>
      </c>
      <c r="B967" s="4"/>
      <c r="C967" s="11"/>
      <c r="D967" s="11"/>
      <c r="E967" s="11"/>
      <c r="F967" s="11"/>
      <c r="G967" s="11"/>
      <c r="H967" s="11"/>
      <c r="I967" s="12"/>
      <c r="L967" s="13" t="n">
        <v>10729</v>
      </c>
      <c r="M967" s="13" t="s">
        <v>1228</v>
      </c>
    </row>
    <row r="968" customFormat="false" ht="13.8" hidden="false" customHeight="false" outlineLevel="0" collapsed="false">
      <c r="A968" s="10" t="n">
        <v>967</v>
      </c>
      <c r="B968" s="4"/>
      <c r="C968" s="11"/>
      <c r="D968" s="11"/>
      <c r="E968" s="11"/>
      <c r="F968" s="11"/>
      <c r="G968" s="11"/>
      <c r="H968" s="11"/>
      <c r="I968" s="12" t="n">
        <v>946</v>
      </c>
      <c r="L968" s="13" t="n">
        <v>957</v>
      </c>
      <c r="M968" s="13" t="s">
        <v>997</v>
      </c>
    </row>
    <row r="969" customFormat="false" ht="13.8" hidden="false" customHeight="false" outlineLevel="0" collapsed="false">
      <c r="A969" s="10" t="n">
        <v>968</v>
      </c>
      <c r="B969" s="4"/>
      <c r="C969" s="11"/>
      <c r="D969" s="11"/>
      <c r="E969" s="11"/>
      <c r="F969" s="11"/>
      <c r="G969" s="11"/>
      <c r="H969" s="11"/>
      <c r="I969" s="12"/>
      <c r="L969" s="13" t="n">
        <v>10734</v>
      </c>
      <c r="M969" s="13" t="s">
        <v>1233</v>
      </c>
    </row>
    <row r="970" customFormat="false" ht="13.8" hidden="false" customHeight="false" outlineLevel="0" collapsed="false">
      <c r="A970" s="10" t="n">
        <v>969</v>
      </c>
      <c r="B970" s="4"/>
      <c r="C970" s="11"/>
      <c r="D970" s="11"/>
      <c r="E970" s="11"/>
      <c r="F970" s="11"/>
      <c r="G970" s="11"/>
      <c r="H970" s="11"/>
      <c r="I970" s="12"/>
      <c r="L970" s="13" t="n">
        <v>10733</v>
      </c>
      <c r="M970" s="13" t="s">
        <v>1232</v>
      </c>
    </row>
    <row r="971" customFormat="false" ht="13.8" hidden="false" customHeight="false" outlineLevel="0" collapsed="false">
      <c r="A971" s="10" t="n">
        <v>970</v>
      </c>
      <c r="B971" s="4"/>
      <c r="C971" s="11"/>
      <c r="D971" s="11"/>
      <c r="E971" s="11"/>
      <c r="F971" s="11"/>
      <c r="G971" s="11"/>
      <c r="H971" s="11"/>
      <c r="I971" s="12"/>
      <c r="L971" s="13" t="n">
        <v>10732</v>
      </c>
      <c r="M971" s="13" t="s">
        <v>1231</v>
      </c>
    </row>
    <row r="972" customFormat="false" ht="13.8" hidden="false" customHeight="false" outlineLevel="0" collapsed="false">
      <c r="A972" s="10" t="n">
        <v>971</v>
      </c>
      <c r="B972" s="4"/>
      <c r="C972" s="11"/>
      <c r="D972" s="11"/>
      <c r="E972" s="11"/>
      <c r="F972" s="11"/>
      <c r="G972" s="11"/>
      <c r="H972" s="11"/>
      <c r="I972" s="12" t="n">
        <v>957</v>
      </c>
      <c r="L972" s="13" t="n">
        <v>968</v>
      </c>
      <c r="M972" s="13" t="s">
        <v>1007</v>
      </c>
    </row>
    <row r="973" customFormat="false" ht="13.8" hidden="false" customHeight="false" outlineLevel="0" collapsed="false">
      <c r="A973" s="10" t="n">
        <v>972</v>
      </c>
      <c r="B973" s="4"/>
      <c r="C973" s="11"/>
      <c r="D973" s="11"/>
      <c r="E973" s="11"/>
      <c r="F973" s="11"/>
      <c r="G973" s="11"/>
      <c r="H973" s="11"/>
      <c r="I973" s="12"/>
      <c r="L973" s="13" t="n">
        <v>10737</v>
      </c>
      <c r="M973" s="13" t="s">
        <v>1236</v>
      </c>
    </row>
    <row r="974" customFormat="false" ht="13.8" hidden="false" customHeight="false" outlineLevel="0" collapsed="false">
      <c r="A974" s="10" t="n">
        <v>973</v>
      </c>
      <c r="B974" s="4"/>
      <c r="C974" s="11"/>
      <c r="D974" s="11"/>
      <c r="E974" s="11"/>
      <c r="F974" s="11"/>
      <c r="G974" s="11"/>
      <c r="H974" s="11"/>
      <c r="I974" s="12"/>
      <c r="L974" s="13" t="n">
        <v>10736</v>
      </c>
      <c r="M974" s="13" t="s">
        <v>1235</v>
      </c>
    </row>
    <row r="975" customFormat="false" ht="13.8" hidden="false" customHeight="false" outlineLevel="0" collapsed="false">
      <c r="A975" s="10" t="n">
        <v>974</v>
      </c>
      <c r="B975" s="4"/>
      <c r="C975" s="11"/>
      <c r="D975" s="11"/>
      <c r="E975" s="11"/>
      <c r="F975" s="11"/>
      <c r="G975" s="11"/>
      <c r="H975" s="11"/>
      <c r="I975" s="12"/>
      <c r="L975" s="13" t="n">
        <v>10735</v>
      </c>
      <c r="M975" s="13" t="s">
        <v>1234</v>
      </c>
    </row>
    <row r="976" customFormat="false" ht="13.8" hidden="false" customHeight="false" outlineLevel="0" collapsed="false">
      <c r="A976" s="10" t="n">
        <v>975</v>
      </c>
      <c r="B976" s="4"/>
      <c r="C976" s="11"/>
      <c r="D976" s="11"/>
      <c r="E976" s="11"/>
      <c r="F976" s="11"/>
      <c r="G976" s="11"/>
      <c r="H976" s="11"/>
      <c r="I976" s="12" t="n">
        <v>996</v>
      </c>
      <c r="L976" s="13" t="n">
        <v>1007</v>
      </c>
      <c r="M976" s="13" t="s">
        <v>1045</v>
      </c>
    </row>
    <row r="977" customFormat="false" ht="13.8" hidden="false" customHeight="false" outlineLevel="0" collapsed="false">
      <c r="A977" s="10" t="n">
        <v>976</v>
      </c>
      <c r="B977" s="4"/>
      <c r="C977" s="11"/>
      <c r="D977" s="11"/>
      <c r="E977" s="11"/>
      <c r="F977" s="11"/>
      <c r="G977" s="11"/>
      <c r="H977" s="11"/>
      <c r="I977" s="12"/>
      <c r="L977" s="13" t="n">
        <v>10674</v>
      </c>
      <c r="M977" s="13" t="s">
        <v>1175</v>
      </c>
    </row>
    <row r="978" customFormat="false" ht="13.8" hidden="false" customHeight="false" outlineLevel="0" collapsed="false">
      <c r="A978" s="10" t="n">
        <v>977</v>
      </c>
      <c r="B978" s="4"/>
      <c r="C978" s="11"/>
      <c r="D978" s="11"/>
      <c r="E978" s="11"/>
      <c r="F978" s="11"/>
      <c r="G978" s="11"/>
      <c r="H978" s="11"/>
      <c r="I978" s="12"/>
      <c r="L978" s="13" t="n">
        <v>10673</v>
      </c>
      <c r="M978" s="13" t="s">
        <v>1174</v>
      </c>
    </row>
    <row r="979" customFormat="false" ht="13.8" hidden="false" customHeight="false" outlineLevel="0" collapsed="false">
      <c r="A979" s="10" t="n">
        <v>978</v>
      </c>
      <c r="B979" s="4"/>
      <c r="C979" s="11"/>
      <c r="D979" s="11"/>
      <c r="E979" s="11"/>
      <c r="F979" s="11"/>
      <c r="G979" s="11"/>
      <c r="H979" s="11"/>
      <c r="I979" s="12"/>
      <c r="L979" s="13" t="n">
        <v>10672</v>
      </c>
      <c r="M979" s="13" t="s">
        <v>1173</v>
      </c>
    </row>
    <row r="980" customFormat="false" ht="13.8" hidden="false" customHeight="false" outlineLevel="0" collapsed="false">
      <c r="A980" s="10" t="n">
        <v>979</v>
      </c>
      <c r="B980" s="4"/>
      <c r="C980" s="11"/>
      <c r="D980" s="11"/>
      <c r="E980" s="11"/>
      <c r="F980" s="11"/>
      <c r="G980" s="11"/>
      <c r="H980" s="11"/>
      <c r="I980" s="12" t="n">
        <v>1005</v>
      </c>
      <c r="L980" s="13" t="n">
        <v>1017</v>
      </c>
      <c r="M980" s="13" t="s">
        <v>1053</v>
      </c>
    </row>
    <row r="981" customFormat="false" ht="13.8" hidden="false" customHeight="false" outlineLevel="0" collapsed="false">
      <c r="A981" s="10" t="n">
        <v>980</v>
      </c>
      <c r="B981" s="4"/>
      <c r="C981" s="11"/>
      <c r="D981" s="11"/>
      <c r="E981" s="11"/>
      <c r="F981" s="11"/>
      <c r="G981" s="11"/>
      <c r="H981" s="11"/>
      <c r="I981" s="12"/>
      <c r="L981" s="13" t="n">
        <v>1056</v>
      </c>
      <c r="M981" s="13" t="s">
        <v>1091</v>
      </c>
    </row>
    <row r="982" customFormat="false" ht="13.8" hidden="false" customHeight="false" outlineLevel="0" collapsed="false">
      <c r="A982" s="10" t="n">
        <v>981</v>
      </c>
      <c r="B982" s="4"/>
      <c r="C982" s="11"/>
      <c r="D982" s="11"/>
      <c r="E982" s="11"/>
      <c r="F982" s="11"/>
      <c r="G982" s="11"/>
      <c r="H982" s="11"/>
      <c r="I982" s="12"/>
      <c r="L982" s="13" t="n">
        <v>10677</v>
      </c>
      <c r="M982" s="13" t="s">
        <v>1178</v>
      </c>
    </row>
    <row r="983" customFormat="false" ht="13.8" hidden="false" customHeight="false" outlineLevel="0" collapsed="false">
      <c r="A983" s="10" t="n">
        <v>982</v>
      </c>
      <c r="B983" s="4"/>
      <c r="C983" s="11"/>
      <c r="D983" s="11"/>
      <c r="E983" s="11"/>
      <c r="F983" s="11"/>
      <c r="G983" s="11"/>
      <c r="H983" s="11"/>
      <c r="I983" s="12"/>
      <c r="L983" s="13" t="n">
        <v>10676</v>
      </c>
      <c r="M983" s="13" t="s">
        <v>1177</v>
      </c>
    </row>
    <row r="984" customFormat="false" ht="13.8" hidden="false" customHeight="false" outlineLevel="0" collapsed="false">
      <c r="A984" s="10" t="n">
        <v>983</v>
      </c>
      <c r="B984" s="4"/>
      <c r="C984" s="11"/>
      <c r="D984" s="11"/>
      <c r="E984" s="11"/>
      <c r="F984" s="11"/>
      <c r="G984" s="11"/>
      <c r="H984" s="11"/>
      <c r="I984" s="12"/>
      <c r="L984" s="13" t="n">
        <v>10675</v>
      </c>
      <c r="M984" s="13" t="s">
        <v>1176</v>
      </c>
    </row>
    <row r="985" customFormat="false" ht="13.8" hidden="false" customHeight="false" outlineLevel="0" collapsed="false">
      <c r="A985" s="10" t="n">
        <v>984</v>
      </c>
      <c r="B985" s="4"/>
      <c r="C985" s="11"/>
      <c r="D985" s="11"/>
      <c r="E985" s="11"/>
      <c r="F985" s="11"/>
      <c r="G985" s="11"/>
      <c r="H985" s="11"/>
      <c r="I985" s="12"/>
      <c r="L985" s="13" t="n">
        <v>1064</v>
      </c>
      <c r="M985" s="13" t="s">
        <v>1099</v>
      </c>
    </row>
    <row r="986" customFormat="false" ht="13.8" hidden="false" customHeight="false" outlineLevel="0" collapsed="false">
      <c r="A986" s="10" t="n">
        <v>985</v>
      </c>
      <c r="B986" s="4"/>
      <c r="C986" s="11"/>
      <c r="D986" s="11"/>
      <c r="E986" s="11"/>
      <c r="F986" s="11"/>
      <c r="G986" s="11"/>
      <c r="H986" s="11"/>
      <c r="I986" s="12"/>
      <c r="L986" s="13" t="n">
        <v>10680</v>
      </c>
      <c r="M986" s="13" t="s">
        <v>1181</v>
      </c>
    </row>
    <row r="987" customFormat="false" ht="13.8" hidden="false" customHeight="false" outlineLevel="0" collapsed="false">
      <c r="A987" s="10" t="n">
        <v>986</v>
      </c>
      <c r="B987" s="4"/>
      <c r="C987" s="11"/>
      <c r="D987" s="11"/>
      <c r="E987" s="11"/>
      <c r="F987" s="11"/>
      <c r="G987" s="11"/>
      <c r="H987" s="11"/>
      <c r="I987" s="12"/>
      <c r="L987" s="13" t="n">
        <v>10679</v>
      </c>
      <c r="M987" s="13" t="s">
        <v>1180</v>
      </c>
    </row>
    <row r="988" customFormat="false" ht="13.8" hidden="false" customHeight="false" outlineLevel="0" collapsed="false">
      <c r="A988" s="10" t="n">
        <v>987</v>
      </c>
      <c r="B988" s="4"/>
      <c r="C988" s="11"/>
      <c r="D988" s="11"/>
      <c r="E988" s="11"/>
      <c r="F988" s="11"/>
      <c r="G988" s="11"/>
      <c r="H988" s="11"/>
      <c r="I988" s="12"/>
      <c r="L988" s="13" t="n">
        <v>10678</v>
      </c>
      <c r="M988" s="13" t="s">
        <v>1179</v>
      </c>
    </row>
    <row r="989" customFormat="false" ht="13.8" hidden="false" customHeight="false" outlineLevel="0" collapsed="false">
      <c r="A989" s="10" t="n">
        <v>988</v>
      </c>
      <c r="B989" s="4"/>
      <c r="C989" s="11"/>
      <c r="D989" s="11"/>
      <c r="E989" s="11"/>
      <c r="F989" s="11"/>
      <c r="G989" s="11"/>
      <c r="H989" s="11"/>
      <c r="I989" s="12" t="n">
        <v>1013</v>
      </c>
      <c r="L989" s="13" t="n">
        <v>1025</v>
      </c>
      <c r="M989" s="13" t="s">
        <v>1061</v>
      </c>
    </row>
    <row r="990" customFormat="false" ht="13.8" hidden="false" customHeight="false" outlineLevel="0" collapsed="false">
      <c r="A990" s="10" t="n">
        <v>989</v>
      </c>
      <c r="B990" s="4"/>
      <c r="C990" s="11"/>
      <c r="D990" s="11"/>
      <c r="E990" s="11"/>
      <c r="F990" s="11"/>
      <c r="G990" s="11"/>
      <c r="H990" s="11"/>
      <c r="I990" s="12"/>
      <c r="L990" s="13" t="n">
        <v>10683</v>
      </c>
      <c r="M990" s="13" t="s">
        <v>1184</v>
      </c>
    </row>
    <row r="991" customFormat="false" ht="13.8" hidden="false" customHeight="false" outlineLevel="0" collapsed="false">
      <c r="A991" s="10" t="n">
        <v>990</v>
      </c>
      <c r="B991" s="4"/>
      <c r="C991" s="11"/>
      <c r="D991" s="11"/>
      <c r="E991" s="11"/>
      <c r="F991" s="11"/>
      <c r="G991" s="11"/>
      <c r="H991" s="11"/>
      <c r="I991" s="12"/>
      <c r="L991" s="13" t="n">
        <v>10682</v>
      </c>
      <c r="M991" s="13" t="s">
        <v>1183</v>
      </c>
    </row>
    <row r="992" customFormat="false" ht="13.8" hidden="false" customHeight="false" outlineLevel="0" collapsed="false">
      <c r="A992" s="10" t="n">
        <v>991</v>
      </c>
      <c r="B992" s="4"/>
      <c r="C992" s="11"/>
      <c r="D992" s="11"/>
      <c r="E992" s="11"/>
      <c r="F992" s="11"/>
      <c r="G992" s="11"/>
      <c r="H992" s="11"/>
      <c r="I992" s="12"/>
      <c r="L992" s="13" t="n">
        <v>10681</v>
      </c>
      <c r="M992" s="13" t="s">
        <v>1182</v>
      </c>
    </row>
    <row r="993" customFormat="false" ht="13.8" hidden="false" customHeight="false" outlineLevel="0" collapsed="false">
      <c r="A993" s="10" t="n">
        <v>992</v>
      </c>
      <c r="B993" s="4"/>
      <c r="C993" s="11"/>
      <c r="D993" s="11"/>
      <c r="E993" s="11"/>
      <c r="F993" s="11"/>
      <c r="G993" s="11"/>
      <c r="H993" s="11"/>
      <c r="I993" s="12" t="n">
        <v>1021</v>
      </c>
      <c r="L993" s="13" t="n">
        <v>1033</v>
      </c>
      <c r="M993" s="13" t="s">
        <v>1069</v>
      </c>
    </row>
    <row r="994" customFormat="false" ht="13.8" hidden="false" customHeight="false" outlineLevel="0" collapsed="false">
      <c r="A994" s="10" t="n">
        <v>993</v>
      </c>
      <c r="B994" s="4"/>
      <c r="C994" s="11"/>
      <c r="D994" s="11"/>
      <c r="E994" s="11"/>
      <c r="F994" s="11"/>
      <c r="G994" s="11"/>
      <c r="H994" s="11"/>
      <c r="I994" s="12"/>
      <c r="L994" s="13" t="n">
        <v>10686</v>
      </c>
      <c r="M994" s="13" t="s">
        <v>1187</v>
      </c>
    </row>
    <row r="995" customFormat="false" ht="13.8" hidden="false" customHeight="false" outlineLevel="0" collapsed="false">
      <c r="A995" s="10" t="n">
        <v>994</v>
      </c>
      <c r="B995" s="4"/>
      <c r="C995" s="11"/>
      <c r="D995" s="11"/>
      <c r="E995" s="11"/>
      <c r="F995" s="11"/>
      <c r="G995" s="11"/>
      <c r="H995" s="11"/>
      <c r="I995" s="12"/>
      <c r="L995" s="13" t="n">
        <v>10685</v>
      </c>
      <c r="M995" s="13" t="s">
        <v>1186</v>
      </c>
    </row>
    <row r="996" customFormat="false" ht="13.8" hidden="false" customHeight="false" outlineLevel="0" collapsed="false">
      <c r="A996" s="10" t="n">
        <v>995</v>
      </c>
      <c r="B996" s="4"/>
      <c r="C996" s="11"/>
      <c r="D996" s="11"/>
      <c r="E996" s="11"/>
      <c r="F996" s="11"/>
      <c r="G996" s="11"/>
      <c r="H996" s="11"/>
      <c r="I996" s="12"/>
      <c r="L996" s="13" t="n">
        <v>10684</v>
      </c>
      <c r="M996" s="13" t="s">
        <v>1185</v>
      </c>
    </row>
    <row r="997" customFormat="false" ht="13.8" hidden="false" customHeight="false" outlineLevel="0" collapsed="false">
      <c r="A997" s="10" t="n">
        <v>996</v>
      </c>
      <c r="B997" s="4"/>
      <c r="C997" s="11"/>
      <c r="D997" s="11"/>
      <c r="E997" s="11"/>
      <c r="F997" s="11"/>
      <c r="G997" s="11"/>
      <c r="H997" s="11"/>
      <c r="I997" s="12" t="n">
        <v>1029</v>
      </c>
      <c r="L997" s="13" t="n">
        <v>1041</v>
      </c>
      <c r="M997" s="13" t="s">
        <v>1077</v>
      </c>
    </row>
    <row r="998" customFormat="false" ht="13.8" hidden="false" customHeight="false" outlineLevel="0" collapsed="false">
      <c r="A998" s="10" t="n">
        <v>997</v>
      </c>
      <c r="B998" s="4"/>
      <c r="C998" s="11"/>
      <c r="D998" s="11"/>
      <c r="E998" s="11"/>
      <c r="F998" s="11"/>
      <c r="G998" s="11"/>
      <c r="H998" s="11"/>
      <c r="I998" s="12"/>
      <c r="L998" s="13" t="n">
        <v>10689</v>
      </c>
      <c r="M998" s="13" t="s">
        <v>1190</v>
      </c>
    </row>
    <row r="999" customFormat="false" ht="13.8" hidden="false" customHeight="false" outlineLevel="0" collapsed="false">
      <c r="A999" s="10" t="n">
        <v>998</v>
      </c>
      <c r="B999" s="4"/>
      <c r="C999" s="11"/>
      <c r="D999" s="11"/>
      <c r="E999" s="11"/>
      <c r="F999" s="11"/>
      <c r="G999" s="11"/>
      <c r="H999" s="11"/>
      <c r="I999" s="12"/>
      <c r="L999" s="13" t="n">
        <v>10688</v>
      </c>
      <c r="M999" s="13" t="s">
        <v>1189</v>
      </c>
    </row>
    <row r="1000" customFormat="false" ht="13.8" hidden="false" customHeight="false" outlineLevel="0" collapsed="false">
      <c r="A1000" s="10" t="n">
        <v>999</v>
      </c>
      <c r="B1000" s="4"/>
      <c r="C1000" s="11"/>
      <c r="D1000" s="11"/>
      <c r="E1000" s="11"/>
      <c r="F1000" s="11"/>
      <c r="G1000" s="11"/>
      <c r="H1000" s="11"/>
      <c r="I1000" s="12"/>
      <c r="L1000" s="13" t="n">
        <v>10687</v>
      </c>
      <c r="M1000" s="13" t="s">
        <v>1188</v>
      </c>
    </row>
    <row r="1001" customFormat="false" ht="13.8" hidden="false" customHeight="false" outlineLevel="0" collapsed="false">
      <c r="A1001" s="10" t="n">
        <v>1000</v>
      </c>
      <c r="B1001" s="4"/>
      <c r="C1001" s="11"/>
      <c r="D1001" s="11"/>
      <c r="E1001" s="11"/>
      <c r="F1001" s="11"/>
      <c r="G1001" s="11"/>
      <c r="H1001" s="11"/>
      <c r="I1001" s="12" t="n">
        <v>1037</v>
      </c>
      <c r="L1001" s="13" t="n">
        <v>1049</v>
      </c>
      <c r="M1001" s="13" t="s">
        <v>1085</v>
      </c>
    </row>
    <row r="1002" customFormat="false" ht="13.8" hidden="false" customHeight="false" outlineLevel="0" collapsed="false">
      <c r="A1002" s="10" t="n">
        <v>1001</v>
      </c>
      <c r="B1002" s="4"/>
      <c r="C1002" s="11"/>
      <c r="D1002" s="11"/>
      <c r="E1002" s="11"/>
      <c r="F1002" s="11"/>
      <c r="G1002" s="11"/>
      <c r="H1002" s="11"/>
      <c r="I1002" s="12"/>
      <c r="L1002" s="13" t="n">
        <v>10692</v>
      </c>
      <c r="M1002" s="13" t="s">
        <v>1193</v>
      </c>
    </row>
    <row r="1003" customFormat="false" ht="13.8" hidden="false" customHeight="false" outlineLevel="0" collapsed="false">
      <c r="A1003" s="10" t="n">
        <v>1002</v>
      </c>
      <c r="B1003" s="4"/>
      <c r="C1003" s="11"/>
      <c r="D1003" s="11"/>
      <c r="E1003" s="11"/>
      <c r="F1003" s="11"/>
      <c r="G1003" s="11"/>
      <c r="H1003" s="11"/>
      <c r="I1003" s="12"/>
      <c r="L1003" s="13" t="n">
        <v>10691</v>
      </c>
      <c r="M1003" s="13" t="s">
        <v>1192</v>
      </c>
    </row>
    <row r="1004" customFormat="false" ht="13.8" hidden="false" customHeight="false" outlineLevel="0" collapsed="false">
      <c r="A1004" s="10" t="n">
        <v>1003</v>
      </c>
      <c r="B1004" s="4"/>
      <c r="C1004" s="11"/>
      <c r="D1004" s="11"/>
      <c r="E1004" s="11"/>
      <c r="F1004" s="11"/>
      <c r="G1004" s="11"/>
      <c r="H1004" s="11"/>
      <c r="I1004" s="12"/>
      <c r="L1004" s="13" t="n">
        <v>10690</v>
      </c>
      <c r="M1004" s="13" t="s">
        <v>1191</v>
      </c>
    </row>
    <row r="1005" customFormat="false" ht="13.8" hidden="false" customHeight="false" outlineLevel="0" collapsed="false">
      <c r="A1005" s="10" t="n">
        <v>1004</v>
      </c>
      <c r="B1005" s="4"/>
      <c r="C1005" s="11"/>
      <c r="D1005" s="11" t="s">
        <v>582</v>
      </c>
      <c r="E1005" s="11"/>
      <c r="F1005" s="11"/>
      <c r="G1005" s="11"/>
      <c r="H1005" s="11"/>
      <c r="I1005" s="12"/>
      <c r="L1005" s="13" t="n">
        <v>519</v>
      </c>
      <c r="M1005" s="13" t="s">
        <v>582</v>
      </c>
    </row>
    <row r="1006" customFormat="false" ht="13.8" hidden="false" customHeight="false" outlineLevel="0" collapsed="false">
      <c r="A1006" s="10" t="n">
        <v>1005</v>
      </c>
      <c r="B1006" s="4"/>
      <c r="C1006" s="11"/>
      <c r="D1006" s="11"/>
      <c r="E1006" s="11"/>
      <c r="F1006" s="11"/>
      <c r="G1006" s="11"/>
      <c r="H1006" s="11"/>
      <c r="I1006" s="12" t="n">
        <v>978</v>
      </c>
      <c r="L1006" s="13" t="n">
        <v>989</v>
      </c>
      <c r="M1006" s="13" t="s">
        <v>1027</v>
      </c>
    </row>
    <row r="1007" customFormat="false" ht="13.8" hidden="false" customHeight="false" outlineLevel="0" collapsed="false">
      <c r="A1007" s="10" t="n">
        <v>1006</v>
      </c>
      <c r="B1007" s="4"/>
      <c r="C1007" s="11"/>
      <c r="D1007" s="11"/>
      <c r="E1007" s="11"/>
      <c r="F1007" s="11"/>
      <c r="G1007" s="11"/>
      <c r="H1007" s="11"/>
      <c r="I1007" s="12" t="n">
        <v>86</v>
      </c>
      <c r="L1007" s="13" t="n">
        <v>91</v>
      </c>
      <c r="M1007" s="13" t="s">
        <v>179</v>
      </c>
    </row>
    <row r="1008" customFormat="false" ht="13.8" hidden="false" customHeight="false" outlineLevel="0" collapsed="false">
      <c r="A1008" s="10" t="n">
        <v>1007</v>
      </c>
      <c r="B1008" s="4"/>
      <c r="C1008" s="11"/>
      <c r="D1008" s="11"/>
      <c r="E1008" s="11"/>
      <c r="F1008" s="11"/>
      <c r="G1008" s="11"/>
      <c r="H1008" s="11"/>
      <c r="I1008" s="12" t="n">
        <v>835</v>
      </c>
      <c r="L1008" s="13" t="n">
        <v>846</v>
      </c>
      <c r="M1008" s="13" t="s">
        <v>891</v>
      </c>
    </row>
    <row r="1009" customFormat="false" ht="13.8" hidden="false" customHeight="false" outlineLevel="0" collapsed="false">
      <c r="A1009" s="10" t="n">
        <v>1008</v>
      </c>
      <c r="B1009" s="4" t="s">
        <v>1515</v>
      </c>
      <c r="C1009" s="11"/>
      <c r="D1009" s="11"/>
      <c r="E1009" s="11"/>
      <c r="F1009" s="11"/>
      <c r="G1009" s="11"/>
      <c r="H1009" s="11"/>
      <c r="I1009" s="12" t="n">
        <v>998</v>
      </c>
      <c r="L1009" s="13" t="n">
        <v>1009</v>
      </c>
      <c r="M1009" s="13" t="s">
        <v>1047</v>
      </c>
    </row>
    <row r="1010" customFormat="false" ht="13.8" hidden="false" customHeight="false" outlineLevel="0" collapsed="false">
      <c r="A1010" s="10" t="n">
        <v>1009</v>
      </c>
      <c r="B1010" s="4"/>
      <c r="C1010" s="11" t="s">
        <v>1006</v>
      </c>
      <c r="D1010" s="11" t="s">
        <v>885</v>
      </c>
      <c r="E1010" s="11"/>
      <c r="F1010" s="11"/>
      <c r="G1010" s="11"/>
      <c r="H1010" s="11"/>
      <c r="I1010" s="12" t="n">
        <v>938</v>
      </c>
      <c r="L1010" s="13" t="n">
        <v>949</v>
      </c>
      <c r="M1010" s="13" t="s">
        <v>989</v>
      </c>
    </row>
    <row r="1011" customFormat="false" ht="13.8" hidden="false" customHeight="false" outlineLevel="0" collapsed="false">
      <c r="A1011" s="10" t="n">
        <v>1010</v>
      </c>
      <c r="B1011" s="4"/>
      <c r="C1011" s="11"/>
      <c r="D1011" s="11"/>
      <c r="E1011" s="11"/>
      <c r="F1011" s="11"/>
      <c r="G1011" s="11"/>
      <c r="H1011" s="11"/>
      <c r="I1011" s="12" t="n">
        <v>1004</v>
      </c>
      <c r="L1011" s="13" t="n">
        <v>1016</v>
      </c>
      <c r="M1011" s="13" t="s">
        <v>1052</v>
      </c>
    </row>
    <row r="1012" customFormat="false" ht="13.8" hidden="false" customHeight="false" outlineLevel="0" collapsed="false">
      <c r="A1012" s="10" t="n">
        <v>1011</v>
      </c>
      <c r="B1012" s="4"/>
      <c r="C1012" s="11"/>
      <c r="D1012" s="11"/>
      <c r="E1012" s="11"/>
      <c r="F1012" s="11"/>
      <c r="G1012" s="11"/>
      <c r="H1012" s="11"/>
      <c r="I1012" s="12" t="n">
        <v>654</v>
      </c>
      <c r="L1012" s="13" t="n">
        <v>665</v>
      </c>
      <c r="M1012" s="13" t="s">
        <v>719</v>
      </c>
    </row>
    <row r="1013" customFormat="false" ht="13.8" hidden="false" customHeight="false" outlineLevel="0" collapsed="false">
      <c r="A1013" s="10" t="n">
        <v>1012</v>
      </c>
      <c r="B1013" s="4"/>
      <c r="C1013" s="11"/>
      <c r="D1013" s="11"/>
      <c r="E1013" s="11"/>
      <c r="F1013" s="11"/>
      <c r="G1013" s="11"/>
      <c r="H1013" s="11"/>
      <c r="I1013" s="12"/>
      <c r="L1013" s="13" t="n">
        <v>538</v>
      </c>
      <c r="M1013" s="13" t="s">
        <v>600</v>
      </c>
    </row>
    <row r="1014" customFormat="false" ht="13.8" hidden="false" customHeight="false" outlineLevel="0" collapsed="false">
      <c r="A1014" s="10" t="n">
        <v>1013</v>
      </c>
      <c r="B1014" s="4"/>
      <c r="C1014" s="11"/>
      <c r="D1014" s="11"/>
      <c r="E1014" s="11"/>
      <c r="F1014" s="11"/>
      <c r="G1014" s="11"/>
      <c r="H1014" s="11"/>
      <c r="I1014" s="12"/>
      <c r="L1014" s="13" t="n">
        <v>459</v>
      </c>
      <c r="M1014" s="13" t="s">
        <v>523</v>
      </c>
    </row>
    <row r="1015" customFormat="false" ht="13.8" hidden="false" customHeight="false" outlineLevel="0" collapsed="false">
      <c r="A1015" s="10" t="n">
        <v>1014</v>
      </c>
      <c r="B1015" s="4"/>
      <c r="C1015" s="11"/>
      <c r="D1015" s="11"/>
      <c r="E1015" s="11"/>
      <c r="F1015" s="11"/>
      <c r="G1015" s="11"/>
      <c r="H1015" s="11"/>
      <c r="I1015" s="12" t="n">
        <v>889</v>
      </c>
      <c r="L1015" s="13" t="n">
        <v>900</v>
      </c>
      <c r="M1015" s="13" t="s">
        <v>944</v>
      </c>
    </row>
    <row r="1016" customFormat="false" ht="13.8" hidden="false" customHeight="false" outlineLevel="0" collapsed="false">
      <c r="A1016" s="10" t="n">
        <v>1015</v>
      </c>
      <c r="B1016" s="4"/>
      <c r="C1016" s="11"/>
      <c r="D1016" s="11" t="s">
        <v>893</v>
      </c>
      <c r="E1016" s="11"/>
      <c r="F1016" s="11"/>
      <c r="G1016" s="11"/>
      <c r="H1016" s="11"/>
      <c r="I1016" s="12"/>
      <c r="L1016" s="13" t="n">
        <v>876</v>
      </c>
      <c r="M1016" s="13" t="s">
        <v>921</v>
      </c>
    </row>
    <row r="1017" customFormat="false" ht="13.8" hidden="false" customHeight="false" outlineLevel="0" collapsed="false">
      <c r="A1017" s="10" t="n">
        <v>1016</v>
      </c>
      <c r="B1017" s="4"/>
      <c r="C1017" s="11"/>
      <c r="D1017" s="11"/>
      <c r="E1017" s="11"/>
      <c r="F1017" s="11"/>
      <c r="G1017" s="11"/>
      <c r="H1017" s="11"/>
      <c r="I1017" s="12"/>
      <c r="L1017" s="13" t="n">
        <v>916</v>
      </c>
      <c r="M1017" s="13" t="s">
        <v>959</v>
      </c>
    </row>
    <row r="1018" customFormat="false" ht="13.8" hidden="false" customHeight="false" outlineLevel="0" collapsed="false">
      <c r="A1018" s="10" t="n">
        <v>1017</v>
      </c>
      <c r="B1018" s="4"/>
      <c r="C1018" s="11"/>
      <c r="D1018" s="11"/>
      <c r="E1018" s="11"/>
      <c r="F1018" s="11"/>
      <c r="G1018" s="11"/>
      <c r="H1018" s="11"/>
      <c r="I1018" s="12" t="n">
        <v>112</v>
      </c>
      <c r="L1018" s="13" t="n">
        <v>117</v>
      </c>
      <c r="M1018" s="13" t="s">
        <v>205</v>
      </c>
    </row>
    <row r="1019" customFormat="false" ht="13.8" hidden="false" customHeight="false" outlineLevel="0" collapsed="false">
      <c r="A1019" s="10" t="n">
        <v>1018</v>
      </c>
      <c r="B1019" s="4"/>
      <c r="C1019" s="11"/>
      <c r="D1019" s="11"/>
      <c r="E1019" s="11"/>
      <c r="F1019" s="11"/>
      <c r="G1019" s="11"/>
      <c r="H1019" s="11"/>
      <c r="I1019" s="12" t="n">
        <v>120</v>
      </c>
      <c r="L1019" s="13" t="n">
        <v>125</v>
      </c>
      <c r="M1019" s="13" t="s">
        <v>213</v>
      </c>
    </row>
    <row r="1020" customFormat="false" ht="13.8" hidden="false" customHeight="false" outlineLevel="0" collapsed="false">
      <c r="A1020" s="10" t="n">
        <v>1019</v>
      </c>
      <c r="B1020" s="4"/>
      <c r="C1020" s="11"/>
      <c r="D1020" s="11" t="s">
        <v>877</v>
      </c>
      <c r="E1020" s="11"/>
      <c r="F1020" s="11"/>
      <c r="G1020" s="11"/>
      <c r="H1020" s="11"/>
      <c r="I1020" s="12" t="n">
        <v>57</v>
      </c>
      <c r="L1020" s="13" t="n">
        <v>62</v>
      </c>
      <c r="M1020" s="13" t="s">
        <v>151</v>
      </c>
    </row>
    <row r="1021" customFormat="false" ht="13.8" hidden="false" customHeight="false" outlineLevel="0" collapsed="false">
      <c r="A1021" s="10" t="n">
        <v>1020</v>
      </c>
      <c r="B1021" s="4"/>
      <c r="C1021" s="11"/>
      <c r="D1021" s="11"/>
      <c r="E1021" s="11"/>
      <c r="F1021" s="11"/>
      <c r="G1021" s="11"/>
      <c r="H1021" s="11"/>
      <c r="I1021" s="12" t="n">
        <v>153</v>
      </c>
      <c r="L1021" s="13" t="n">
        <v>158</v>
      </c>
      <c r="M1021" s="13" t="s">
        <v>245</v>
      </c>
    </row>
    <row r="1022" customFormat="false" ht="13.8" hidden="false" customHeight="false" outlineLevel="0" collapsed="false">
      <c r="A1022" s="10" t="n">
        <v>1021</v>
      </c>
      <c r="B1022" s="4"/>
      <c r="C1022" s="11"/>
      <c r="D1022" s="11" t="s">
        <v>954</v>
      </c>
      <c r="E1022" s="11"/>
      <c r="F1022" s="11"/>
      <c r="G1022" s="11"/>
      <c r="H1022" s="11"/>
      <c r="I1022" s="12" t="n">
        <v>900</v>
      </c>
      <c r="L1022" s="13" t="n">
        <v>911</v>
      </c>
      <c r="M1022" s="13" t="s">
        <v>954</v>
      </c>
    </row>
    <row r="1023" customFormat="false" ht="13.8" hidden="false" customHeight="false" outlineLevel="0" collapsed="false">
      <c r="A1023" s="10" t="n">
        <v>1022</v>
      </c>
      <c r="B1023" s="4"/>
      <c r="C1023" s="11"/>
      <c r="D1023" s="11"/>
      <c r="E1023" s="11"/>
      <c r="F1023" s="11"/>
      <c r="G1023" s="11"/>
      <c r="H1023" s="11"/>
      <c r="I1023" s="12"/>
      <c r="L1023" s="13" t="n">
        <v>710</v>
      </c>
      <c r="M1023" s="13" t="s">
        <v>761</v>
      </c>
    </row>
    <row r="1024" customFormat="false" ht="13.8" hidden="false" customHeight="false" outlineLevel="0" collapsed="false">
      <c r="A1024" s="10" t="n">
        <v>1023</v>
      </c>
      <c r="B1024" s="4"/>
      <c r="C1024" s="11"/>
      <c r="D1024" s="11" t="s">
        <v>945</v>
      </c>
      <c r="E1024" s="11"/>
      <c r="F1024" s="11"/>
      <c r="G1024" s="11"/>
      <c r="H1024" s="11"/>
      <c r="I1024" s="12" t="n">
        <v>88</v>
      </c>
      <c r="L1024" s="13" t="n">
        <v>93</v>
      </c>
      <c r="M1024" s="13" t="s">
        <v>181</v>
      </c>
    </row>
    <row r="1025" customFormat="false" ht="13.8" hidden="false" customHeight="false" outlineLevel="0" collapsed="false">
      <c r="A1025" s="10" t="n">
        <v>1024</v>
      </c>
      <c r="B1025" s="4"/>
      <c r="C1025" s="11"/>
      <c r="D1025" s="11"/>
      <c r="E1025" s="11"/>
      <c r="F1025" s="11"/>
      <c r="G1025" s="11"/>
      <c r="H1025" s="11"/>
      <c r="I1025" s="12" t="n">
        <v>694</v>
      </c>
      <c r="L1025" s="13" t="n">
        <v>705</v>
      </c>
      <c r="M1025" s="13" t="s">
        <v>757</v>
      </c>
    </row>
    <row r="1026" customFormat="false" ht="13.8" hidden="false" customHeight="false" outlineLevel="0" collapsed="false">
      <c r="A1026" s="10" t="n">
        <v>1025</v>
      </c>
      <c r="B1026" s="4"/>
      <c r="C1026" s="11"/>
      <c r="D1026" s="11"/>
      <c r="E1026" s="11"/>
      <c r="F1026" s="11"/>
      <c r="G1026" s="11"/>
      <c r="H1026" s="11"/>
      <c r="I1026" s="12" t="n">
        <v>783</v>
      </c>
      <c r="L1026" s="13" t="n">
        <v>794</v>
      </c>
      <c r="M1026" s="13" t="s">
        <v>842</v>
      </c>
    </row>
    <row r="1027" customFormat="false" ht="13.8" hidden="false" customHeight="false" outlineLevel="0" collapsed="false">
      <c r="A1027" s="10" t="n">
        <v>1026</v>
      </c>
      <c r="B1027" s="4"/>
      <c r="C1027" s="11"/>
      <c r="D1027" s="11" t="s">
        <v>846</v>
      </c>
      <c r="E1027" s="11"/>
      <c r="F1027" s="11"/>
      <c r="G1027" s="11"/>
      <c r="H1027" s="11"/>
      <c r="I1027" s="12" t="n">
        <v>787</v>
      </c>
      <c r="L1027" s="13" t="n">
        <v>798</v>
      </c>
      <c r="M1027" s="13" t="s">
        <v>846</v>
      </c>
    </row>
    <row r="1028" customFormat="false" ht="13.8" hidden="false" customHeight="false" outlineLevel="0" collapsed="false">
      <c r="A1028" s="10" t="n">
        <v>1027</v>
      </c>
      <c r="B1028" s="4"/>
      <c r="C1028" s="11"/>
      <c r="D1028" s="11" t="s">
        <v>974</v>
      </c>
      <c r="E1028" s="11"/>
      <c r="F1028" s="11"/>
      <c r="G1028" s="11"/>
      <c r="H1028" s="11"/>
      <c r="I1028" s="12" t="n">
        <v>403</v>
      </c>
      <c r="L1028" s="13" t="n">
        <v>413</v>
      </c>
      <c r="M1028" s="13" t="s">
        <v>482</v>
      </c>
    </row>
    <row r="1029" customFormat="false" ht="13.8" hidden="false" customHeight="false" outlineLevel="0" collapsed="false">
      <c r="A1029" s="10" t="n">
        <v>1028</v>
      </c>
      <c r="B1029" s="4"/>
      <c r="C1029" s="11"/>
      <c r="D1029" s="11"/>
      <c r="E1029" s="11"/>
      <c r="F1029" s="11"/>
      <c r="G1029" s="11"/>
      <c r="H1029" s="11"/>
      <c r="I1029" s="12"/>
      <c r="L1029" s="13" t="n">
        <v>948</v>
      </c>
      <c r="M1029" s="13" t="s">
        <v>988</v>
      </c>
    </row>
    <row r="1030" customFormat="false" ht="13.8" hidden="false" customHeight="false" outlineLevel="0" collapsed="false">
      <c r="A1030" s="10" t="n">
        <v>1029</v>
      </c>
      <c r="B1030" s="4"/>
      <c r="C1030" s="11"/>
      <c r="D1030" s="11"/>
      <c r="E1030" s="11"/>
      <c r="F1030" s="11"/>
      <c r="G1030" s="11"/>
      <c r="H1030" s="11"/>
      <c r="I1030" s="12" t="n">
        <v>830</v>
      </c>
      <c r="L1030" s="13" t="n">
        <v>841</v>
      </c>
      <c r="M1030" s="13" t="s">
        <v>886</v>
      </c>
    </row>
    <row r="1031" customFormat="false" ht="13.8" hidden="false" customHeight="false" outlineLevel="0" collapsed="false">
      <c r="A1031" s="10" t="n">
        <v>1030</v>
      </c>
      <c r="B1031" s="4"/>
      <c r="C1031" s="11"/>
      <c r="D1031" s="11"/>
      <c r="E1031" s="11"/>
      <c r="F1031" s="11"/>
      <c r="G1031" s="11"/>
      <c r="H1031" s="11"/>
      <c r="I1031" s="12" t="n">
        <v>647</v>
      </c>
      <c r="L1031" s="13" t="n">
        <v>658</v>
      </c>
      <c r="M1031" s="13" t="s">
        <v>712</v>
      </c>
    </row>
    <row r="1032" customFormat="false" ht="13.8" hidden="false" customHeight="false" outlineLevel="0" collapsed="false">
      <c r="A1032" s="10" t="n">
        <v>1031</v>
      </c>
      <c r="B1032" s="4"/>
      <c r="C1032" s="11"/>
      <c r="D1032" s="11"/>
      <c r="E1032" s="11"/>
      <c r="F1032" s="11"/>
      <c r="G1032" s="11"/>
      <c r="H1032" s="11"/>
      <c r="I1032" s="12" t="n">
        <v>622</v>
      </c>
      <c r="L1032" s="13" t="n">
        <v>633</v>
      </c>
      <c r="M1032" s="13" t="s">
        <v>687</v>
      </c>
    </row>
    <row r="1033" customFormat="false" ht="13.8" hidden="false" customHeight="false" outlineLevel="0" collapsed="false">
      <c r="A1033" s="10" t="n">
        <v>1032</v>
      </c>
      <c r="B1033" s="4"/>
      <c r="C1033" s="11"/>
      <c r="D1033" s="11"/>
      <c r="E1033" s="11"/>
      <c r="F1033" s="11"/>
      <c r="G1033" s="11"/>
      <c r="H1033" s="11"/>
      <c r="I1033" s="12" t="n">
        <v>471</v>
      </c>
      <c r="L1033" s="13" t="n">
        <v>482</v>
      </c>
      <c r="M1033" s="13" t="s">
        <v>545</v>
      </c>
    </row>
    <row r="1034" customFormat="false" ht="13.8" hidden="false" customHeight="false" outlineLevel="0" collapsed="false">
      <c r="A1034" s="10" t="n">
        <v>1033</v>
      </c>
      <c r="B1034" s="4"/>
      <c r="C1034" s="11"/>
      <c r="D1034" s="11"/>
      <c r="E1034" s="11"/>
      <c r="F1034" s="11"/>
      <c r="G1034" s="11"/>
      <c r="H1034" s="11"/>
      <c r="I1034" s="12" t="n">
        <v>230</v>
      </c>
      <c r="L1034" s="13" t="n">
        <v>237</v>
      </c>
      <c r="M1034" s="13" t="s">
        <v>320</v>
      </c>
    </row>
    <row r="1035" customFormat="false" ht="13.8" hidden="false" customHeight="false" outlineLevel="0" collapsed="false">
      <c r="A1035" s="10" t="n">
        <v>1034</v>
      </c>
      <c r="B1035" s="4"/>
      <c r="C1035" s="11"/>
      <c r="D1035" s="11" t="s">
        <v>960</v>
      </c>
      <c r="E1035" s="11"/>
      <c r="F1035" s="11"/>
      <c r="G1035" s="11"/>
      <c r="H1035" s="11"/>
      <c r="I1035" s="12"/>
      <c r="L1035" s="13" t="n">
        <v>917</v>
      </c>
      <c r="M1035" s="13" t="s">
        <v>960</v>
      </c>
    </row>
    <row r="1036" customFormat="false" ht="13.8" hidden="false" customHeight="false" outlineLevel="0" collapsed="false">
      <c r="A1036" s="10" t="n">
        <v>1035</v>
      </c>
      <c r="B1036" s="4"/>
      <c r="C1036" s="11"/>
      <c r="D1036" s="11"/>
      <c r="E1036" s="11"/>
      <c r="F1036" s="11"/>
      <c r="G1036" s="11"/>
      <c r="H1036" s="11"/>
      <c r="I1036" s="12"/>
      <c r="L1036" s="13" t="n">
        <v>717</v>
      </c>
      <c r="M1036" s="13" t="s">
        <v>768</v>
      </c>
    </row>
    <row r="1037" customFormat="false" ht="13.8" hidden="false" customHeight="false" outlineLevel="0" collapsed="false">
      <c r="A1037" s="10" t="n">
        <v>1036</v>
      </c>
      <c r="B1037" s="4"/>
      <c r="C1037" s="11"/>
      <c r="D1037" s="11" t="s">
        <v>840</v>
      </c>
      <c r="E1037" s="11"/>
      <c r="F1037" s="11"/>
      <c r="G1037" s="11"/>
      <c r="H1037" s="11"/>
      <c r="I1037" s="12"/>
      <c r="L1037" s="13" t="n">
        <v>932</v>
      </c>
      <c r="M1037" s="13" t="s">
        <v>973</v>
      </c>
    </row>
    <row r="1038" customFormat="false" ht="13.8" hidden="false" customHeight="false" outlineLevel="0" collapsed="false">
      <c r="A1038" s="10" t="n">
        <v>1037</v>
      </c>
      <c r="B1038" s="4"/>
      <c r="C1038" s="11"/>
      <c r="D1038" s="11"/>
      <c r="E1038" s="11"/>
      <c r="F1038" s="11"/>
      <c r="G1038" s="11"/>
      <c r="H1038" s="11"/>
      <c r="I1038" s="12" t="n">
        <v>370</v>
      </c>
      <c r="L1038" s="13" t="n">
        <v>380</v>
      </c>
      <c r="M1038" s="13" t="s">
        <v>450</v>
      </c>
    </row>
    <row r="1039" customFormat="false" ht="13.8" hidden="false" customHeight="false" outlineLevel="0" collapsed="false">
      <c r="A1039" s="10" t="n">
        <v>1038</v>
      </c>
      <c r="B1039" s="4"/>
      <c r="C1039" s="11"/>
      <c r="D1039" s="11"/>
      <c r="E1039" s="11"/>
      <c r="F1039" s="11"/>
      <c r="G1039" s="11"/>
      <c r="H1039" s="11"/>
      <c r="I1039" s="12" t="n">
        <v>686</v>
      </c>
      <c r="L1039" s="13" t="n">
        <v>697</v>
      </c>
      <c r="M1039" s="13" t="s">
        <v>749</v>
      </c>
    </row>
    <row r="1040" customFormat="false" ht="13.8" hidden="false" customHeight="false" outlineLevel="0" collapsed="false">
      <c r="A1040" s="10" t="n">
        <v>1039</v>
      </c>
      <c r="B1040" s="4"/>
      <c r="C1040" s="11" t="s">
        <v>1000</v>
      </c>
      <c r="D1040" s="11"/>
      <c r="E1040" s="11"/>
      <c r="F1040" s="11"/>
      <c r="G1040" s="11"/>
      <c r="H1040" s="11"/>
      <c r="I1040" s="12"/>
      <c r="L1040" s="13" t="n">
        <v>960</v>
      </c>
      <c r="M1040" s="13" t="s">
        <v>1000</v>
      </c>
    </row>
    <row r="1041" customFormat="false" ht="13.8" hidden="false" customHeight="false" outlineLevel="0" collapsed="false">
      <c r="A1041" s="10" t="n">
        <v>1040</v>
      </c>
      <c r="B1041" s="4"/>
      <c r="C1041" s="11"/>
      <c r="D1041" s="11"/>
      <c r="E1041" s="11"/>
      <c r="F1041" s="11"/>
      <c r="G1041" s="11"/>
      <c r="H1041" s="11"/>
      <c r="I1041" s="12"/>
      <c r="L1041" s="13" t="n">
        <v>744</v>
      </c>
      <c r="M1041" s="13" t="s">
        <v>794</v>
      </c>
    </row>
    <row r="1042" customFormat="false" ht="13.8" hidden="false" customHeight="false" outlineLevel="0" collapsed="false">
      <c r="A1042" s="10" t="n">
        <v>1041</v>
      </c>
      <c r="B1042" s="4"/>
      <c r="C1042" s="11"/>
      <c r="D1042" s="11"/>
      <c r="E1042" s="11"/>
      <c r="F1042" s="11"/>
      <c r="G1042" s="11"/>
      <c r="H1042" s="11"/>
      <c r="I1042" s="12"/>
      <c r="L1042" s="13" t="n">
        <v>752</v>
      </c>
      <c r="M1042" s="13" t="s">
        <v>802</v>
      </c>
    </row>
    <row r="1043" customFormat="false" ht="13.8" hidden="false" customHeight="false" outlineLevel="0" collapsed="false">
      <c r="A1043" s="10" t="n">
        <v>1042</v>
      </c>
      <c r="B1043" s="4"/>
      <c r="C1043" s="11"/>
      <c r="D1043" s="11"/>
      <c r="E1043" s="11"/>
      <c r="F1043" s="11"/>
      <c r="G1043" s="11"/>
      <c r="H1043" s="11"/>
      <c r="I1043" s="12" t="n">
        <v>316</v>
      </c>
      <c r="L1043" s="13" t="n">
        <v>326</v>
      </c>
      <c r="M1043" s="13" t="s">
        <v>398</v>
      </c>
    </row>
    <row r="1044" customFormat="false" ht="13.8" hidden="false" customHeight="false" outlineLevel="0" collapsed="false">
      <c r="A1044" s="10" t="n">
        <v>1043</v>
      </c>
      <c r="B1044" s="4"/>
      <c r="C1044" s="11"/>
      <c r="D1044" s="11"/>
      <c r="E1044" s="11"/>
      <c r="F1044" s="11"/>
      <c r="G1044" s="11"/>
      <c r="H1044" s="11"/>
      <c r="I1044" s="12" t="n">
        <v>73</v>
      </c>
      <c r="L1044" s="13" t="n">
        <v>78</v>
      </c>
      <c r="M1044" s="13" t="s">
        <v>167</v>
      </c>
    </row>
    <row r="1045" customFormat="false" ht="13.8" hidden="false" customHeight="false" outlineLevel="0" collapsed="false">
      <c r="A1045" s="10" t="n">
        <v>1044</v>
      </c>
      <c r="B1045" s="4"/>
      <c r="C1045" s="11"/>
      <c r="D1045" s="11"/>
      <c r="E1045" s="11"/>
      <c r="F1045" s="11"/>
      <c r="G1045" s="11"/>
      <c r="H1045" s="11"/>
      <c r="I1045" s="12" t="n">
        <v>1109</v>
      </c>
      <c r="L1045" s="13" t="n">
        <v>1123</v>
      </c>
      <c r="M1045" s="13" t="s">
        <v>1155</v>
      </c>
    </row>
    <row r="1046" customFormat="false" ht="13.8" hidden="false" customHeight="false" outlineLevel="0" collapsed="false">
      <c r="A1046" s="10" t="n">
        <v>1045</v>
      </c>
      <c r="B1046" s="4"/>
      <c r="C1046" s="11"/>
      <c r="D1046" s="11"/>
      <c r="E1046" s="11"/>
      <c r="F1046" s="11"/>
      <c r="G1046" s="11"/>
      <c r="H1046" s="11"/>
      <c r="I1046" s="12"/>
      <c r="L1046" s="13" t="n">
        <v>490</v>
      </c>
      <c r="M1046" s="13" t="s">
        <v>553</v>
      </c>
    </row>
    <row r="1047" customFormat="false" ht="13.8" hidden="false" customHeight="false" outlineLevel="0" collapsed="false">
      <c r="A1047" s="10" t="n">
        <v>1046</v>
      </c>
      <c r="B1047" s="4"/>
      <c r="C1047" s="11"/>
      <c r="D1047" s="11"/>
      <c r="E1047" s="11"/>
      <c r="F1047" s="11"/>
      <c r="G1047" s="11"/>
      <c r="H1047" s="11"/>
      <c r="I1047" s="12" t="n">
        <v>717</v>
      </c>
      <c r="L1047" s="13" t="n">
        <v>728</v>
      </c>
      <c r="M1047" s="13" t="s">
        <v>778</v>
      </c>
    </row>
    <row r="1048" customFormat="false" ht="13.8" hidden="false" customHeight="false" outlineLevel="0" collapsed="false">
      <c r="A1048" s="10" t="n">
        <v>1047</v>
      </c>
      <c r="B1048" s="4"/>
      <c r="C1048" s="11" t="s">
        <v>1021</v>
      </c>
      <c r="D1048" s="11"/>
      <c r="E1048" s="11"/>
      <c r="F1048" s="11"/>
      <c r="G1048" s="11"/>
      <c r="H1048" s="11"/>
      <c r="I1048" s="12" t="n">
        <v>765</v>
      </c>
      <c r="L1048" s="13" t="n">
        <v>776</v>
      </c>
      <c r="M1048" s="13" t="s">
        <v>824</v>
      </c>
    </row>
    <row r="1049" customFormat="false" ht="13.8" hidden="false" customHeight="false" outlineLevel="0" collapsed="false">
      <c r="A1049" s="10" t="n">
        <v>1048</v>
      </c>
      <c r="B1049" s="4"/>
      <c r="C1049" s="11"/>
      <c r="D1049" s="11"/>
      <c r="E1049" s="11"/>
      <c r="F1049" s="11"/>
      <c r="G1049" s="11"/>
      <c r="H1049" s="11"/>
      <c r="I1049" s="12" t="n">
        <v>773</v>
      </c>
      <c r="L1049" s="13" t="n">
        <v>784</v>
      </c>
      <c r="M1049" s="13" t="s">
        <v>832</v>
      </c>
    </row>
    <row r="1050" customFormat="false" ht="13.8" hidden="false" customHeight="false" outlineLevel="0" collapsed="false">
      <c r="A1050" s="10" t="n">
        <v>1049</v>
      </c>
      <c r="B1050" s="4"/>
      <c r="C1050" s="11"/>
      <c r="D1050" s="11"/>
      <c r="E1050" s="11"/>
      <c r="F1050" s="11"/>
      <c r="G1050" s="11"/>
      <c r="H1050" s="11"/>
      <c r="I1050" s="12" t="n">
        <v>1080</v>
      </c>
      <c r="L1050" s="13" t="n">
        <v>1092</v>
      </c>
      <c r="M1050" s="13" t="s">
        <v>1126</v>
      </c>
    </row>
    <row r="1051" customFormat="false" ht="13.8" hidden="false" customHeight="false" outlineLevel="0" collapsed="false">
      <c r="A1051" s="10" t="n">
        <v>1050</v>
      </c>
      <c r="B1051" s="4"/>
      <c r="C1051" s="11"/>
      <c r="D1051" s="11"/>
      <c r="E1051" s="11"/>
      <c r="F1051" s="11"/>
      <c r="G1051" s="11"/>
      <c r="H1051" s="11"/>
      <c r="I1051" s="12" t="n">
        <v>5</v>
      </c>
      <c r="L1051" s="13" t="n">
        <v>6</v>
      </c>
      <c r="M1051" s="13" t="s">
        <v>101</v>
      </c>
    </row>
    <row r="1052" customFormat="false" ht="13.8" hidden="false" customHeight="false" outlineLevel="0" collapsed="false">
      <c r="A1052" s="10" t="n">
        <v>1051</v>
      </c>
      <c r="B1052" s="4"/>
      <c r="C1052" s="11"/>
      <c r="D1052" s="11"/>
      <c r="E1052" s="11"/>
      <c r="F1052" s="11"/>
      <c r="G1052" s="11"/>
      <c r="H1052" s="11"/>
      <c r="I1052" s="12" t="n">
        <v>913</v>
      </c>
      <c r="L1052" s="13" t="n">
        <v>924</v>
      </c>
      <c r="M1052" s="13" t="s">
        <v>966</v>
      </c>
    </row>
    <row r="1053" customFormat="false" ht="13.8" hidden="false" customHeight="false" outlineLevel="0" collapsed="false">
      <c r="A1053" s="10" t="n">
        <v>1052</v>
      </c>
      <c r="B1053" s="4"/>
      <c r="C1053" s="11"/>
      <c r="D1053" s="11"/>
      <c r="E1053" s="11"/>
      <c r="F1053" s="11"/>
      <c r="G1053" s="11"/>
      <c r="H1053" s="11"/>
      <c r="I1053" s="12" t="n">
        <v>183</v>
      </c>
      <c r="L1053" s="13" t="n">
        <v>190</v>
      </c>
      <c r="M1053" s="13" t="s">
        <v>274</v>
      </c>
    </row>
    <row r="1054" customFormat="false" ht="13.8" hidden="false" customHeight="false" outlineLevel="0" collapsed="false">
      <c r="A1054" s="10" t="n">
        <v>1053</v>
      </c>
      <c r="B1054" s="4"/>
      <c r="C1054" s="11" t="s">
        <v>1038</v>
      </c>
      <c r="D1054" s="11"/>
      <c r="E1054" s="11"/>
      <c r="F1054" s="11"/>
      <c r="G1054" s="11"/>
      <c r="H1054" s="11"/>
      <c r="I1054" s="12"/>
      <c r="L1054" s="13" t="n">
        <v>760</v>
      </c>
      <c r="M1054" s="13" t="s">
        <v>810</v>
      </c>
    </row>
    <row r="1055" customFormat="false" ht="13.8" hidden="false" customHeight="false" outlineLevel="0" collapsed="false">
      <c r="A1055" s="10" t="n">
        <v>1054</v>
      </c>
      <c r="B1055" s="4"/>
      <c r="C1055" s="11"/>
      <c r="D1055" s="11"/>
      <c r="E1055" s="11"/>
      <c r="F1055" s="11"/>
      <c r="G1055" s="11"/>
      <c r="H1055" s="11"/>
      <c r="I1055" s="12" t="n">
        <v>866</v>
      </c>
      <c r="L1055" s="13" t="n">
        <v>877</v>
      </c>
      <c r="M1055" s="13" t="s">
        <v>922</v>
      </c>
    </row>
    <row r="1056" customFormat="false" ht="13.8" hidden="false" customHeight="false" outlineLevel="0" collapsed="false">
      <c r="A1056" s="10" t="n">
        <v>1055</v>
      </c>
      <c r="B1056" s="4"/>
      <c r="C1056" s="11"/>
      <c r="D1056" s="11"/>
      <c r="E1056" s="11"/>
      <c r="F1056" s="11"/>
      <c r="G1056" s="11"/>
      <c r="H1056" s="11"/>
      <c r="I1056" s="12" t="n">
        <v>1048</v>
      </c>
      <c r="L1056" s="13" t="n">
        <v>1060</v>
      </c>
      <c r="M1056" s="13" t="s">
        <v>1095</v>
      </c>
    </row>
    <row r="1057" customFormat="false" ht="13.8" hidden="false" customHeight="false" outlineLevel="0" collapsed="false">
      <c r="A1057" s="10" t="n">
        <v>1056</v>
      </c>
      <c r="B1057" s="4"/>
      <c r="C1057" s="11"/>
      <c r="D1057" s="11"/>
      <c r="E1057" s="11"/>
      <c r="F1057" s="11"/>
      <c r="G1057" s="11"/>
      <c r="H1057" s="11"/>
      <c r="I1057" s="12" t="n">
        <v>852</v>
      </c>
      <c r="L1057" s="13" t="n">
        <v>863</v>
      </c>
      <c r="M1057" s="13" t="s">
        <v>908</v>
      </c>
    </row>
    <row r="1058" customFormat="false" ht="13.8" hidden="false" customHeight="false" outlineLevel="0" collapsed="false">
      <c r="A1058" s="10" t="n">
        <v>1057</v>
      </c>
      <c r="B1058" s="4"/>
      <c r="C1058" s="11"/>
      <c r="D1058" s="11"/>
      <c r="E1058" s="11"/>
      <c r="F1058" s="11"/>
      <c r="G1058" s="11"/>
      <c r="H1058" s="11"/>
      <c r="I1058" s="12"/>
      <c r="L1058" s="13" t="n">
        <v>736</v>
      </c>
      <c r="M1058" s="13" t="s">
        <v>786</v>
      </c>
    </row>
    <row r="1059" customFormat="false" ht="13.8" hidden="false" customHeight="false" outlineLevel="0" collapsed="false">
      <c r="A1059" s="10" t="n">
        <v>1058</v>
      </c>
      <c r="B1059" s="4"/>
      <c r="C1059" s="11"/>
      <c r="D1059" s="11"/>
      <c r="E1059" s="11"/>
      <c r="F1059" s="11"/>
      <c r="G1059" s="11"/>
      <c r="H1059" s="11"/>
      <c r="I1059" s="12" t="n">
        <v>387</v>
      </c>
      <c r="L1059" s="13" t="n">
        <v>397</v>
      </c>
      <c r="M1059" s="13" t="s">
        <v>466</v>
      </c>
    </row>
    <row r="1060" customFormat="false" ht="13.8" hidden="false" customHeight="false" outlineLevel="0" collapsed="false">
      <c r="A1060" s="10" t="n">
        <v>1059</v>
      </c>
      <c r="B1060" s="4"/>
      <c r="C1060" s="11" t="s">
        <v>1029</v>
      </c>
      <c r="D1060" s="11"/>
      <c r="E1060" s="11"/>
      <c r="F1060" s="11"/>
      <c r="G1060" s="11"/>
      <c r="H1060" s="11"/>
      <c r="I1060" s="12"/>
      <c r="L1060" s="13" t="n">
        <v>768</v>
      </c>
      <c r="M1060" s="13" t="s">
        <v>818</v>
      </c>
    </row>
    <row r="1061" customFormat="false" ht="13.8" hidden="false" customHeight="false" outlineLevel="0" collapsed="false">
      <c r="A1061" s="10" t="n">
        <v>1060</v>
      </c>
      <c r="B1061" s="4"/>
      <c r="C1061" s="11"/>
      <c r="D1061" s="11"/>
      <c r="E1061" s="11"/>
      <c r="F1061" s="11"/>
      <c r="G1061" s="11"/>
      <c r="H1061" s="11"/>
      <c r="I1061" s="12" t="n">
        <v>873</v>
      </c>
      <c r="L1061" s="13" t="n">
        <v>884</v>
      </c>
      <c r="M1061" s="13" t="s">
        <v>929</v>
      </c>
    </row>
    <row r="1062" customFormat="false" ht="13.8" hidden="false" customHeight="false" outlineLevel="0" collapsed="false">
      <c r="A1062" s="10" t="n">
        <v>1061</v>
      </c>
      <c r="B1062" s="4"/>
      <c r="C1062" s="11"/>
      <c r="D1062" s="11"/>
      <c r="E1062" s="11"/>
      <c r="F1062" s="11"/>
      <c r="G1062" s="11"/>
      <c r="H1062" s="11"/>
      <c r="I1062" s="12"/>
      <c r="L1062" s="13" t="n">
        <v>892</v>
      </c>
      <c r="M1062" s="13" t="s">
        <v>937</v>
      </c>
    </row>
    <row r="1063" customFormat="false" ht="13.8" hidden="false" customHeight="false" outlineLevel="0" collapsed="false">
      <c r="A1063" s="10" t="n">
        <v>1062</v>
      </c>
      <c r="B1063" s="4"/>
      <c r="C1063" s="11"/>
      <c r="D1063" s="11"/>
      <c r="E1063" s="11"/>
      <c r="F1063" s="11"/>
      <c r="G1063" s="11"/>
      <c r="H1063" s="11"/>
      <c r="I1063" s="12" t="n">
        <v>897</v>
      </c>
      <c r="L1063" s="13" t="n">
        <v>908</v>
      </c>
      <c r="M1063" s="13" t="s">
        <v>951</v>
      </c>
    </row>
    <row r="1064" customFormat="false" ht="13.8" hidden="false" customHeight="false" outlineLevel="0" collapsed="false">
      <c r="A1064" s="10" t="n">
        <v>1063</v>
      </c>
      <c r="B1064" s="4"/>
      <c r="C1064" s="11"/>
      <c r="D1064" s="11"/>
      <c r="E1064" s="11"/>
      <c r="F1064" s="11"/>
      <c r="G1064" s="11"/>
      <c r="H1064" s="11"/>
      <c r="I1064" s="12" t="n">
        <v>929</v>
      </c>
      <c r="L1064" s="13" t="n">
        <v>940</v>
      </c>
      <c r="M1064" s="13" t="s">
        <v>980</v>
      </c>
    </row>
    <row r="1065" customFormat="false" ht="13.8" hidden="false" customHeight="false" outlineLevel="0" collapsed="false">
      <c r="A1065" s="10" t="n">
        <v>1064</v>
      </c>
      <c r="B1065" s="4"/>
      <c r="C1065" s="11"/>
      <c r="D1065" s="11"/>
      <c r="E1065" s="11"/>
      <c r="F1065" s="11"/>
      <c r="G1065" s="11"/>
      <c r="H1065" s="11"/>
      <c r="I1065" s="12" t="n">
        <v>455</v>
      </c>
      <c r="L1065" s="13" t="n">
        <v>466</v>
      </c>
      <c r="M1065" s="13" t="s">
        <v>529</v>
      </c>
    </row>
    <row r="1066" customFormat="false" ht="13.8" hidden="false" customHeight="false" outlineLevel="0" collapsed="false">
      <c r="A1066" s="10" t="n">
        <v>1065</v>
      </c>
      <c r="B1066" s="4"/>
      <c r="C1066" s="11"/>
      <c r="D1066" s="11"/>
      <c r="E1066" s="11"/>
      <c r="F1066" s="11"/>
      <c r="G1066" s="11"/>
      <c r="H1066" s="11"/>
      <c r="I1066" s="12" t="n">
        <v>519</v>
      </c>
      <c r="L1066" s="13" t="n">
        <v>530</v>
      </c>
      <c r="M1066" s="13" t="s">
        <v>593</v>
      </c>
    </row>
    <row r="1067" customFormat="false" ht="13.8" hidden="false" customHeight="false" outlineLevel="0" collapsed="false">
      <c r="A1067" s="10" t="n">
        <v>1066</v>
      </c>
      <c r="B1067" s="4"/>
      <c r="C1067" s="11"/>
      <c r="D1067" s="11"/>
      <c r="E1067" s="11"/>
      <c r="F1067" s="11"/>
      <c r="G1067" s="11"/>
      <c r="H1067" s="11"/>
      <c r="I1067" s="12" t="n">
        <v>592</v>
      </c>
      <c r="L1067" s="13" t="n">
        <v>603</v>
      </c>
      <c r="M1067" s="13" t="s">
        <v>660</v>
      </c>
    </row>
    <row r="1068" customFormat="false" ht="13.8" hidden="false" customHeight="false" outlineLevel="0" collapsed="false">
      <c r="A1068" s="10" t="n">
        <v>1067</v>
      </c>
      <c r="B1068" s="4"/>
      <c r="C1068" s="11"/>
      <c r="D1068" s="11"/>
      <c r="E1068" s="11"/>
      <c r="F1068" s="11"/>
      <c r="G1068" s="11"/>
      <c r="H1068" s="11"/>
      <c r="I1068" s="12" t="n">
        <v>425</v>
      </c>
      <c r="L1068" s="13" t="n">
        <v>436</v>
      </c>
      <c r="M1068" s="13" t="s">
        <v>502</v>
      </c>
    </row>
    <row r="1069" customFormat="false" ht="13.8" hidden="false" customHeight="false" outlineLevel="0" collapsed="false">
      <c r="A1069" s="10" t="n">
        <v>1068</v>
      </c>
      <c r="B1069" s="4"/>
      <c r="C1069" s="11"/>
      <c r="D1069" s="11"/>
      <c r="E1069" s="11"/>
      <c r="F1069" s="11"/>
      <c r="G1069" s="11"/>
      <c r="H1069" s="11"/>
      <c r="I1069" s="12" t="n">
        <v>432</v>
      </c>
      <c r="L1069" s="13" t="n">
        <v>443</v>
      </c>
      <c r="M1069" s="13" t="s">
        <v>508</v>
      </c>
    </row>
    <row r="1070" customFormat="false" ht="13.8" hidden="false" customHeight="false" outlineLevel="0" collapsed="false">
      <c r="A1070" s="10" t="n">
        <v>1069</v>
      </c>
      <c r="B1070" s="4"/>
      <c r="C1070" s="11"/>
      <c r="D1070" s="11"/>
      <c r="E1070" s="11"/>
      <c r="F1070" s="11"/>
      <c r="G1070" s="11"/>
      <c r="H1070" s="11"/>
      <c r="I1070" s="12" t="n">
        <v>438</v>
      </c>
      <c r="L1070" s="13" t="n">
        <v>449</v>
      </c>
      <c r="M1070" s="13" t="s">
        <v>514</v>
      </c>
    </row>
    <row r="1071" customFormat="false" ht="13.8" hidden="false" customHeight="false" outlineLevel="0" collapsed="false">
      <c r="A1071" s="10" t="n">
        <v>1070</v>
      </c>
      <c r="B1071" s="4"/>
      <c r="C1071" s="11"/>
      <c r="D1071" s="11"/>
      <c r="E1071" s="11"/>
      <c r="F1071" s="11"/>
      <c r="G1071" s="11"/>
      <c r="H1071" s="11"/>
      <c r="I1071" s="12"/>
      <c r="L1071" s="13" t="n">
        <v>474</v>
      </c>
      <c r="M1071" s="13" t="s">
        <v>537</v>
      </c>
    </row>
    <row r="1072" customFormat="false" ht="13.8" hidden="false" customHeight="false" outlineLevel="0" collapsed="false">
      <c r="A1072" s="10" t="n">
        <v>1071</v>
      </c>
      <c r="B1072" s="4"/>
      <c r="C1072" s="11"/>
      <c r="D1072" s="11"/>
      <c r="E1072" s="11"/>
      <c r="F1072" s="11"/>
      <c r="G1072" s="11"/>
      <c r="H1072" s="11"/>
      <c r="I1072" s="12" t="n">
        <v>291</v>
      </c>
      <c r="L1072" s="13" t="n">
        <v>301</v>
      </c>
      <c r="M1072" s="13" t="s">
        <v>376</v>
      </c>
    </row>
    <row r="1073" customFormat="false" ht="13.8" hidden="false" customHeight="false" outlineLevel="0" collapsed="false">
      <c r="A1073" s="10" t="n">
        <v>1072</v>
      </c>
      <c r="B1073" s="4"/>
      <c r="C1073" s="11"/>
      <c r="D1073" s="11"/>
      <c r="E1073" s="11"/>
      <c r="F1073" s="11"/>
      <c r="G1073" s="11"/>
      <c r="H1073" s="11"/>
      <c r="I1073" s="12" t="n">
        <v>331</v>
      </c>
      <c r="L1073" s="13" t="n">
        <v>341</v>
      </c>
      <c r="M1073" s="13" t="s">
        <v>412</v>
      </c>
    </row>
    <row r="1074" customFormat="false" ht="13.8" hidden="false" customHeight="false" outlineLevel="0" collapsed="false">
      <c r="A1074" s="10" t="n">
        <v>1073</v>
      </c>
      <c r="B1074" s="4"/>
      <c r="C1074" s="11"/>
      <c r="D1074" s="11"/>
      <c r="E1074" s="11"/>
      <c r="F1074" s="11"/>
      <c r="G1074" s="11"/>
      <c r="H1074" s="11"/>
      <c r="I1074" s="12" t="n">
        <v>679</v>
      </c>
      <c r="L1074" s="13" t="n">
        <v>690</v>
      </c>
      <c r="M1074" s="13" t="s">
        <v>742</v>
      </c>
    </row>
    <row r="1075" customFormat="false" ht="13.8" hidden="false" customHeight="false" outlineLevel="0" collapsed="false">
      <c r="A1075" s="10" t="n">
        <v>1074</v>
      </c>
      <c r="B1075" s="4"/>
      <c r="C1075" s="11"/>
      <c r="D1075" s="11"/>
      <c r="E1075" s="11"/>
      <c r="F1075" s="11"/>
      <c r="G1075" s="11"/>
      <c r="H1075" s="11"/>
      <c r="I1075" s="12" t="n">
        <v>670</v>
      </c>
      <c r="L1075" s="13" t="n">
        <v>681</v>
      </c>
      <c r="M1075" s="13" t="s">
        <v>734</v>
      </c>
    </row>
    <row r="1076" customFormat="false" ht="13.8" hidden="false" customHeight="false" outlineLevel="0" collapsed="false">
      <c r="A1076" s="10" t="n">
        <v>1075</v>
      </c>
      <c r="B1076" s="4"/>
      <c r="C1076" s="11"/>
      <c r="D1076" s="11"/>
      <c r="E1076" s="11"/>
      <c r="F1076" s="11"/>
      <c r="G1076" s="11"/>
      <c r="H1076" s="11"/>
      <c r="I1076" s="12" t="n">
        <v>662</v>
      </c>
      <c r="L1076" s="13" t="n">
        <v>673</v>
      </c>
      <c r="M1076" s="13" t="s">
        <v>726</v>
      </c>
    </row>
    <row r="1077" customFormat="false" ht="13.8" hidden="false" customHeight="false" outlineLevel="0" collapsed="false">
      <c r="A1077" s="10" t="n">
        <v>1076</v>
      </c>
      <c r="B1077" s="4"/>
      <c r="C1077" s="11"/>
      <c r="D1077" s="11"/>
      <c r="E1077" s="11"/>
      <c r="F1077" s="11"/>
      <c r="G1077" s="11"/>
      <c r="H1077" s="11"/>
      <c r="I1077" s="12" t="n">
        <v>791</v>
      </c>
      <c r="L1077" s="13" t="n">
        <v>802</v>
      </c>
      <c r="M1077" s="13" t="s">
        <v>850</v>
      </c>
    </row>
    <row r="1078" customFormat="false" ht="13.8" hidden="false" customHeight="false" outlineLevel="0" collapsed="false">
      <c r="A1078" s="10" t="n">
        <v>1077</v>
      </c>
      <c r="B1078" s="4" t="s">
        <v>1516</v>
      </c>
      <c r="C1078" s="11"/>
      <c r="D1078" s="11"/>
      <c r="E1078" s="11"/>
      <c r="F1078" s="11"/>
      <c r="G1078" s="11"/>
      <c r="H1078" s="11"/>
      <c r="I1078" s="12" t="n">
        <v>584</v>
      </c>
      <c r="L1078" s="13" t="n">
        <v>595</v>
      </c>
      <c r="M1078" s="13" t="s">
        <v>652</v>
      </c>
    </row>
    <row r="1079" customFormat="false" ht="13.8" hidden="false" customHeight="false" outlineLevel="0" collapsed="false">
      <c r="A1079" s="10" t="n">
        <v>1078</v>
      </c>
      <c r="B1079" s="4"/>
      <c r="C1079" s="11"/>
      <c r="D1079" s="11"/>
      <c r="E1079" s="11"/>
      <c r="F1079" s="11"/>
      <c r="G1079" s="11"/>
      <c r="H1079" s="11"/>
      <c r="I1079" s="12" t="n">
        <v>600</v>
      </c>
      <c r="L1079" s="13" t="n">
        <v>611</v>
      </c>
      <c r="M1079" s="13" t="s">
        <v>667</v>
      </c>
    </row>
    <row r="1080" customFormat="false" ht="13.8" hidden="false" customHeight="false" outlineLevel="0" collapsed="false">
      <c r="A1080" s="10" t="n">
        <v>1079</v>
      </c>
      <c r="B1080" s="4"/>
      <c r="C1080" s="11"/>
      <c r="D1080" s="11"/>
      <c r="E1080" s="11"/>
      <c r="F1080" s="11"/>
      <c r="G1080" s="11"/>
      <c r="H1080" s="11"/>
      <c r="I1080" s="12" t="n">
        <v>68</v>
      </c>
      <c r="L1080" s="13" t="n">
        <v>73</v>
      </c>
      <c r="M1080" s="13" t="s">
        <v>162</v>
      </c>
    </row>
    <row r="1081" customFormat="false" ht="13.8" hidden="false" customHeight="false" outlineLevel="0" collapsed="false">
      <c r="A1081" s="10" t="n">
        <v>1080</v>
      </c>
      <c r="B1081" s="4"/>
      <c r="C1081" s="11"/>
      <c r="D1081" s="11"/>
      <c r="E1081" s="11"/>
      <c r="F1081" s="11"/>
      <c r="G1081" s="11"/>
      <c r="H1081" s="11"/>
      <c r="I1081" s="12" t="n">
        <v>76</v>
      </c>
      <c r="L1081" s="13" t="n">
        <v>81</v>
      </c>
      <c r="M1081" s="13" t="s">
        <v>170</v>
      </c>
    </row>
    <row r="1082" customFormat="false" ht="13.8" hidden="false" customHeight="false" outlineLevel="0" collapsed="false">
      <c r="A1082" s="10" t="n">
        <v>1081</v>
      </c>
      <c r="B1082" s="4"/>
      <c r="C1082" s="11"/>
      <c r="D1082" s="11"/>
      <c r="E1082" s="11"/>
      <c r="F1082" s="11"/>
      <c r="G1082" s="11"/>
      <c r="H1082" s="11"/>
      <c r="I1082" s="12"/>
      <c r="L1082" s="13" t="n">
        <v>108</v>
      </c>
      <c r="M1082" s="13" t="s">
        <v>196</v>
      </c>
    </row>
    <row r="1083" customFormat="false" ht="13.8" hidden="false" customHeight="false" outlineLevel="0" collapsed="false">
      <c r="A1083" s="10" t="n">
        <v>1082</v>
      </c>
      <c r="B1083" s="4"/>
      <c r="C1083" s="11"/>
      <c r="D1083" s="11"/>
      <c r="E1083" s="11"/>
      <c r="F1083" s="11"/>
      <c r="G1083" s="11"/>
      <c r="H1083" s="11"/>
      <c r="I1083" s="12"/>
      <c r="L1083" s="13" t="n">
        <v>116</v>
      </c>
      <c r="M1083" s="13" t="s">
        <v>204</v>
      </c>
    </row>
    <row r="1084" customFormat="false" ht="13.8" hidden="false" customHeight="false" outlineLevel="0" collapsed="false">
      <c r="A1084" s="10" t="n">
        <v>1083</v>
      </c>
      <c r="B1084" s="4"/>
      <c r="C1084" s="11"/>
      <c r="D1084" s="11"/>
      <c r="E1084" s="11"/>
      <c r="F1084" s="11"/>
      <c r="G1084" s="11"/>
      <c r="H1084" s="11"/>
      <c r="I1084" s="12" t="n">
        <v>124</v>
      </c>
      <c r="L1084" s="13" t="n">
        <v>129</v>
      </c>
      <c r="M1084" s="13" t="s">
        <v>217</v>
      </c>
    </row>
    <row r="1085" customFormat="false" ht="13.8" hidden="false" customHeight="false" outlineLevel="0" collapsed="false">
      <c r="A1085" s="10" t="n">
        <v>1084</v>
      </c>
      <c r="B1085" s="4"/>
      <c r="C1085" s="11"/>
      <c r="D1085" s="11"/>
      <c r="E1085" s="11"/>
      <c r="F1085" s="11"/>
      <c r="G1085" s="11"/>
      <c r="H1085" s="11"/>
      <c r="I1085" s="12" t="n">
        <v>135</v>
      </c>
      <c r="L1085" s="13" t="n">
        <v>140</v>
      </c>
      <c r="M1085" s="13" t="s">
        <v>227</v>
      </c>
    </row>
    <row r="1086" customFormat="false" ht="13.8" hidden="false" customHeight="false" outlineLevel="0" collapsed="false">
      <c r="A1086" s="10" t="n">
        <v>1085</v>
      </c>
      <c r="B1086" s="4"/>
      <c r="C1086" s="11"/>
      <c r="D1086" s="11"/>
      <c r="E1086" s="11"/>
      <c r="F1086" s="11"/>
      <c r="G1086" s="11"/>
      <c r="H1086" s="11"/>
      <c r="I1086" s="12" t="n">
        <v>140</v>
      </c>
      <c r="L1086" s="13" t="n">
        <v>145</v>
      </c>
      <c r="M1086" s="13" t="s">
        <v>232</v>
      </c>
    </row>
    <row r="1087" customFormat="false" ht="13.8" hidden="false" customHeight="false" outlineLevel="0" collapsed="false">
      <c r="A1087" s="10" t="n">
        <v>1086</v>
      </c>
      <c r="B1087" s="4"/>
      <c r="C1087" s="11"/>
      <c r="D1087" s="11"/>
      <c r="E1087" s="11"/>
      <c r="F1087" s="11"/>
      <c r="G1087" s="11"/>
      <c r="H1087" s="11"/>
      <c r="I1087" s="12" t="n">
        <v>148</v>
      </c>
      <c r="L1087" s="13" t="n">
        <v>153</v>
      </c>
      <c r="M1087" s="13" t="s">
        <v>240</v>
      </c>
    </row>
    <row r="1088" customFormat="false" ht="13.8" hidden="false" customHeight="false" outlineLevel="0" collapsed="false">
      <c r="A1088" s="10" t="n">
        <v>1087</v>
      </c>
      <c r="B1088" s="4"/>
      <c r="C1088" s="11"/>
      <c r="D1088" s="11"/>
      <c r="E1088" s="11"/>
      <c r="F1088" s="11"/>
      <c r="G1088" s="11"/>
      <c r="H1088" s="11"/>
      <c r="I1088" s="12" t="n">
        <v>159</v>
      </c>
      <c r="L1088" s="13" t="n">
        <v>164</v>
      </c>
      <c r="M1088" s="13" t="s">
        <v>251</v>
      </c>
    </row>
    <row r="1089" customFormat="false" ht="13.8" hidden="false" customHeight="false" outlineLevel="0" collapsed="false">
      <c r="A1089" s="10" t="n">
        <v>1088</v>
      </c>
      <c r="B1089" s="4"/>
      <c r="C1089" s="11"/>
      <c r="D1089" s="11"/>
      <c r="E1089" s="11"/>
      <c r="F1089" s="11"/>
      <c r="G1089" s="11"/>
      <c r="H1089" s="11"/>
      <c r="I1089" s="12" t="n">
        <v>986</v>
      </c>
      <c r="L1089" s="13" t="n">
        <v>997</v>
      </c>
      <c r="M1089" s="13" t="s">
        <v>1035</v>
      </c>
    </row>
    <row r="1090" customFormat="false" ht="13.8" hidden="false" customHeight="false" outlineLevel="0" collapsed="false">
      <c r="A1090" s="10"/>
      <c r="B1090" s="4"/>
      <c r="C1090" s="11"/>
      <c r="D1090" s="11"/>
      <c r="E1090" s="11"/>
      <c r="F1090" s="11"/>
      <c r="G1090" s="11"/>
      <c r="H1090" s="11"/>
      <c r="I1090" s="12"/>
      <c r="L1090" s="13"/>
      <c r="M1090" s="13"/>
    </row>
    <row r="1091" customFormat="false" ht="13.8" hidden="false" customHeight="false" outlineLevel="0" collapsed="false">
      <c r="A1091" s="10"/>
      <c r="B1091" s="4"/>
      <c r="C1091" s="11"/>
      <c r="D1091" s="11"/>
      <c r="E1091" s="11"/>
      <c r="F1091" s="11"/>
      <c r="G1091" s="11"/>
      <c r="H1091" s="11"/>
      <c r="I1091" s="12"/>
      <c r="L1091" s="13" t="n">
        <v>43</v>
      </c>
      <c r="M1091" s="13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A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5390625" defaultRowHeight="14.5" zeroHeight="false" outlineLevelRow="0" outlineLevelCol="0"/>
  <sheetData>
    <row r="2" customFormat="false" ht="14.5" hidden="false" customHeight="false" outlineLevel="0" collapsed="false">
      <c r="C2" s="0" t="s">
        <v>1517</v>
      </c>
      <c r="D2" s="0" t="s">
        <v>1518</v>
      </c>
      <c r="E2" s="0" t="s">
        <v>1519</v>
      </c>
      <c r="F2" s="0" t="s">
        <v>1520</v>
      </c>
      <c r="G2" s="0" t="s">
        <v>1521</v>
      </c>
      <c r="H2" s="0" t="s">
        <v>1334</v>
      </c>
      <c r="I2" s="0" t="s">
        <v>1335</v>
      </c>
      <c r="J2" s="0" t="s">
        <v>1337</v>
      </c>
      <c r="K2" s="0" t="s">
        <v>1522</v>
      </c>
      <c r="L2" s="0" t="s">
        <v>1523</v>
      </c>
      <c r="M2" s="0" t="s">
        <v>1524</v>
      </c>
      <c r="N2" s="0" t="s">
        <v>1525</v>
      </c>
      <c r="O2" s="0" t="s">
        <v>1526</v>
      </c>
      <c r="P2" s="0" t="s">
        <v>1527</v>
      </c>
      <c r="Q2" s="0" t="s">
        <v>1528</v>
      </c>
      <c r="R2" s="0" t="s">
        <v>1529</v>
      </c>
      <c r="S2" s="0" t="s">
        <v>1530</v>
      </c>
      <c r="T2" s="0" t="s">
        <v>1349</v>
      </c>
      <c r="U2" s="0" t="s">
        <v>1350</v>
      </c>
      <c r="V2" s="0" t="s">
        <v>1351</v>
      </c>
      <c r="W2" s="0" t="s">
        <v>44</v>
      </c>
      <c r="X2" s="0" t="s">
        <v>1531</v>
      </c>
      <c r="Y2" s="0" t="s">
        <v>1532</v>
      </c>
      <c r="Z2" s="0" t="s">
        <v>1533</v>
      </c>
      <c r="AA2" s="0" t="s">
        <v>1534</v>
      </c>
      <c r="AB2" s="0" t="s">
        <v>1535</v>
      </c>
      <c r="AC2" s="0" t="s">
        <v>1536</v>
      </c>
      <c r="AD2" s="0" t="s">
        <v>1537</v>
      </c>
      <c r="AE2" s="0" t="s">
        <v>1538</v>
      </c>
      <c r="AF2" s="0" t="s">
        <v>1539</v>
      </c>
      <c r="AG2" s="0" t="s">
        <v>1540</v>
      </c>
      <c r="AH2" s="0" t="s">
        <v>1366</v>
      </c>
      <c r="AI2" s="0" t="s">
        <v>1367</v>
      </c>
      <c r="AJ2" s="0" t="s">
        <v>1368</v>
      </c>
      <c r="AK2" s="0" t="s">
        <v>1541</v>
      </c>
      <c r="AL2" s="0" t="s">
        <v>1542</v>
      </c>
      <c r="AM2" s="0" t="s">
        <v>1543</v>
      </c>
      <c r="AN2" s="0" t="s">
        <v>1434</v>
      </c>
      <c r="AO2" s="0" t="s">
        <v>1435</v>
      </c>
      <c r="AP2" s="0" t="s">
        <v>1436</v>
      </c>
      <c r="AQ2" s="0" t="s">
        <v>1544</v>
      </c>
    </row>
    <row r="3" customFormat="false" ht="14.5" hidden="false" customHeight="false" outlineLevel="0" collapsed="false">
      <c r="B3" s="0" t="s">
        <v>1545</v>
      </c>
      <c r="C3" s="0" t="n">
        <v>1</v>
      </c>
      <c r="D3" s="0" t="n">
        <v>3</v>
      </c>
      <c r="E3" s="0" t="n">
        <v>4</v>
      </c>
      <c r="F3" s="0" t="n">
        <v>5</v>
      </c>
      <c r="G3" s="0" t="n">
        <v>6</v>
      </c>
      <c r="H3" s="0" t="n">
        <v>7</v>
      </c>
      <c r="I3" s="0" t="n">
        <v>8</v>
      </c>
      <c r="J3" s="0" t="n">
        <v>9</v>
      </c>
      <c r="K3" s="0" t="n">
        <v>10</v>
      </c>
      <c r="L3" s="0" t="n">
        <v>11</v>
      </c>
      <c r="M3" s="0" t="n">
        <v>12</v>
      </c>
      <c r="N3" s="0" t="n">
        <v>14</v>
      </c>
      <c r="O3" s="0" t="n">
        <v>15</v>
      </c>
      <c r="P3" s="0" t="n">
        <v>16</v>
      </c>
      <c r="Q3" s="0" t="n">
        <v>17</v>
      </c>
      <c r="R3" s="0" t="n">
        <v>18</v>
      </c>
      <c r="S3" s="0" t="n">
        <v>19</v>
      </c>
      <c r="T3" s="0" t="n">
        <v>21</v>
      </c>
      <c r="U3" s="0" t="n">
        <v>22</v>
      </c>
      <c r="V3" s="0" t="n">
        <v>23</v>
      </c>
      <c r="W3" s="0" t="n">
        <v>24</v>
      </c>
      <c r="X3" s="0" t="n">
        <v>26</v>
      </c>
      <c r="Y3" s="0" t="n">
        <v>27</v>
      </c>
      <c r="Z3" s="0" t="n">
        <v>28</v>
      </c>
      <c r="AA3" s="0" t="n">
        <v>29</v>
      </c>
      <c r="AB3" s="0" t="n">
        <v>30</v>
      </c>
      <c r="AC3" s="0" t="n">
        <v>31</v>
      </c>
      <c r="AD3" s="0" t="n">
        <v>32</v>
      </c>
      <c r="AE3" s="0" t="n">
        <v>33</v>
      </c>
      <c r="AF3" s="0" t="n">
        <v>34</v>
      </c>
      <c r="AG3" s="0" t="n">
        <v>36</v>
      </c>
      <c r="AH3" s="0" t="n">
        <v>37</v>
      </c>
      <c r="AI3" s="0" t="n">
        <v>38</v>
      </c>
      <c r="AJ3" s="0" t="n">
        <v>39</v>
      </c>
      <c r="AK3" s="0" t="n">
        <v>48</v>
      </c>
      <c r="AL3" s="0" t="n">
        <v>49</v>
      </c>
      <c r="AM3" s="0" t="n">
        <v>50</v>
      </c>
      <c r="AN3" s="0" t="n">
        <v>51</v>
      </c>
      <c r="AO3" s="0" t="n">
        <v>52</v>
      </c>
      <c r="AP3" s="0" t="n">
        <v>53</v>
      </c>
      <c r="AQ3" s="0" t="n">
        <v>54</v>
      </c>
    </row>
    <row r="4" customFormat="false" ht="14.5" hidden="false" customHeight="false" outlineLevel="0" collapsed="false">
      <c r="B4" s="0" t="s">
        <v>15</v>
      </c>
      <c r="C4" s="0" t="n">
        <v>37.3141039938412</v>
      </c>
      <c r="D4" s="0" t="n">
        <v>565.674261991956</v>
      </c>
      <c r="E4" s="0" t="n">
        <v>250.604364374159</v>
      </c>
      <c r="F4" s="0" t="n">
        <v>860.175985149904</v>
      </c>
      <c r="G4" s="0" t="n">
        <v>249.02150529898</v>
      </c>
      <c r="H4" s="0" t="n">
        <v>120.854887796876</v>
      </c>
      <c r="I4" s="0" t="n">
        <v>97.336839606012</v>
      </c>
      <c r="J4" s="0" t="n">
        <v>154.490643144422</v>
      </c>
      <c r="K4" s="0" t="n">
        <v>89.1257581535229</v>
      </c>
      <c r="L4" s="0" t="n">
        <v>10.6842987574556</v>
      </c>
      <c r="M4" s="0" t="n">
        <v>99.0905755131701</v>
      </c>
      <c r="N4" s="0" t="n">
        <v>26.3420126772622</v>
      </c>
      <c r="O4" s="0" t="n">
        <v>32.2687406917094</v>
      </c>
      <c r="P4" s="0" t="n">
        <v>54.7795149256416</v>
      </c>
      <c r="Q4" s="0" t="n">
        <v>332.418392822454</v>
      </c>
      <c r="R4" s="0" t="n">
        <v>29.6965946945442</v>
      </c>
      <c r="S4" s="0" t="n">
        <v>37.8267344897798</v>
      </c>
      <c r="T4" s="0" t="n">
        <v>62.4869593996647</v>
      </c>
      <c r="U4" s="0" t="n">
        <v>45.8759326277619</v>
      </c>
      <c r="V4" s="0" t="n">
        <v>19.9746023066574</v>
      </c>
      <c r="W4" s="0" t="n">
        <v>13.8680039427581</v>
      </c>
      <c r="X4" s="0" t="n">
        <v>42.1256358416853</v>
      </c>
      <c r="Y4" s="0" t="n">
        <v>8.75069250084539</v>
      </c>
      <c r="Z4" s="0" t="n">
        <v>19.2281403564311</v>
      </c>
      <c r="AA4" s="0" t="n">
        <v>57.9002654886358</v>
      </c>
      <c r="AB4" s="0" t="n">
        <v>47.971422198879</v>
      </c>
      <c r="AC4" s="0" t="n">
        <v>27.2323709070502</v>
      </c>
      <c r="AD4" s="0" t="n">
        <v>42.0177136320141</v>
      </c>
      <c r="AE4" s="0" t="n">
        <v>95.0255056155523</v>
      </c>
      <c r="AF4" s="0" t="n">
        <v>76.8496068034161</v>
      </c>
      <c r="AG4" s="0" t="n">
        <v>118.444625114218</v>
      </c>
      <c r="AH4" s="0" t="n">
        <v>58.6647144738073</v>
      </c>
      <c r="AI4" s="0" t="n">
        <v>65.6077099626589</v>
      </c>
      <c r="AJ4" s="0" t="n">
        <v>476.845289915029</v>
      </c>
      <c r="AK4" s="0" t="n">
        <v>165.094000244624</v>
      </c>
      <c r="AL4" s="0" t="n">
        <v>57.4505896150055</v>
      </c>
      <c r="AM4" s="0" t="n">
        <v>6.62822237731043</v>
      </c>
      <c r="AN4" s="0" t="n">
        <v>18.2208663994992</v>
      </c>
      <c r="AO4" s="0" t="n">
        <v>21.989150220521</v>
      </c>
      <c r="AP4" s="0" t="n">
        <v>29.3278604781673</v>
      </c>
      <c r="AQ4" s="0" t="n">
        <v>83.8015958097403</v>
      </c>
    </row>
    <row r="5" customFormat="false" ht="14.5" hidden="false" customHeight="false" outlineLevel="0" collapsed="false">
      <c r="B5" s="0" t="s">
        <v>6</v>
      </c>
      <c r="C5" s="0" t="n">
        <v>14.7744395985662</v>
      </c>
      <c r="D5" s="0" t="n">
        <v>596.965888941871</v>
      </c>
      <c r="E5" s="0" t="n">
        <v>134.595327368891</v>
      </c>
      <c r="F5" s="0" t="n">
        <v>413.450547540001</v>
      </c>
      <c r="G5" s="0" t="n">
        <v>80.7279762688532</v>
      </c>
      <c r="H5" s="0" t="n">
        <v>93.9902729764908</v>
      </c>
      <c r="I5" s="0" t="n">
        <v>21.9388557351763</v>
      </c>
      <c r="J5" s="0" t="n">
        <v>62.2042258549771</v>
      </c>
      <c r="K5" s="0" t="n">
        <v>35.9645289263986</v>
      </c>
      <c r="L5" s="0" t="n">
        <v>2.56041586121012</v>
      </c>
      <c r="M5" s="0" t="n">
        <v>29.0594416430638</v>
      </c>
      <c r="N5" s="0" t="n">
        <v>8.09398223743456</v>
      </c>
      <c r="O5" s="0" t="n">
        <v>2.57502593745098</v>
      </c>
      <c r="P5" s="0" t="n">
        <v>18.6406310238029</v>
      </c>
      <c r="Q5" s="0" t="n">
        <v>68.9175558876507</v>
      </c>
      <c r="R5" s="0" t="n">
        <v>8.28756574762591</v>
      </c>
      <c r="S5" s="0" t="n">
        <v>3.36031753539702</v>
      </c>
      <c r="T5" s="0" t="n">
        <v>34.8852095441053</v>
      </c>
      <c r="U5" s="0" t="n">
        <v>24.1376722094252</v>
      </c>
      <c r="V5" s="0" t="n">
        <v>35.3728208386439</v>
      </c>
      <c r="W5" s="0" t="n">
        <v>41.547404309936</v>
      </c>
      <c r="X5" s="0" t="n">
        <v>64.7591629375969</v>
      </c>
      <c r="Y5" s="0" t="n">
        <v>16.1660493605078</v>
      </c>
      <c r="Z5" s="0" t="n">
        <v>41.4853114859123</v>
      </c>
      <c r="AA5" s="0" t="n">
        <v>92.9748726777512</v>
      </c>
      <c r="AB5" s="0" t="n">
        <v>17.6489720989548</v>
      </c>
      <c r="AC5" s="0" t="n">
        <v>58.3161193153791</v>
      </c>
      <c r="AD5" s="0" t="n">
        <v>5.85498805352328</v>
      </c>
      <c r="AE5" s="0" t="n">
        <v>14.1809052512814</v>
      </c>
      <c r="AF5" s="0" t="n">
        <v>9.4983758160869</v>
      </c>
      <c r="AG5" s="0" t="n">
        <v>46.0637441278908</v>
      </c>
      <c r="AH5" s="0" t="n">
        <v>57.9125159592255</v>
      </c>
      <c r="AI5" s="0" t="n">
        <v>43.8284024630397</v>
      </c>
      <c r="AJ5" s="0" t="n">
        <v>703.467865959125</v>
      </c>
      <c r="AK5" s="0" t="n">
        <v>291.259174899597</v>
      </c>
      <c r="AL5" s="0" t="n">
        <v>107.077248769238</v>
      </c>
      <c r="AM5" s="0" t="n">
        <v>6.48504759141022</v>
      </c>
      <c r="AN5" s="0" t="n">
        <v>23.4984813738877</v>
      </c>
      <c r="AO5" s="0" t="n">
        <v>7.96614407032706</v>
      </c>
      <c r="AP5" s="0" t="n">
        <v>16.6408768383357</v>
      </c>
      <c r="AQ5" s="0" t="n">
        <v>104.372558405149</v>
      </c>
    </row>
    <row r="6" customFormat="false" ht="14.5" hidden="false" customHeight="false" outlineLevel="0" collapsed="false">
      <c r="B6" s="0" t="s">
        <v>7</v>
      </c>
      <c r="C6" s="0" t="n">
        <v>28.1944019596667</v>
      </c>
      <c r="D6" s="0" t="n">
        <v>478.238727364726</v>
      </c>
      <c r="E6" s="0" t="n">
        <v>362.648239982089</v>
      </c>
      <c r="F6" s="0" t="n">
        <v>428.385972997997</v>
      </c>
      <c r="G6" s="0" t="n">
        <v>118.345961221626</v>
      </c>
      <c r="H6" s="0" t="n">
        <v>127.28484956835</v>
      </c>
      <c r="I6" s="0" t="n">
        <v>38.7242484158076</v>
      </c>
      <c r="J6" s="0" t="n">
        <v>69.3378907995877</v>
      </c>
      <c r="K6" s="0" t="n">
        <v>36.9856756364448</v>
      </c>
      <c r="L6" s="0" t="n">
        <v>2.42744123911034</v>
      </c>
      <c r="M6" s="0" t="n">
        <v>20.6824554224199</v>
      </c>
      <c r="N6" s="0" t="n">
        <v>15.6389541992683</v>
      </c>
      <c r="O6" s="0" t="n">
        <v>0.582257864786602</v>
      </c>
      <c r="P6" s="0" t="n">
        <v>9.70156414144438</v>
      </c>
      <c r="Q6" s="0" t="n">
        <v>96.9008300044859</v>
      </c>
      <c r="R6" s="0" t="n">
        <v>14.5482458046681</v>
      </c>
      <c r="S6" s="0" t="n">
        <v>5.05170203814855</v>
      </c>
      <c r="T6" s="0" t="n">
        <v>40.9384684649961</v>
      </c>
      <c r="U6" s="0" t="n">
        <v>31.3025108435276</v>
      </c>
      <c r="V6" s="0" t="n">
        <v>23.6183471913439</v>
      </c>
      <c r="W6" s="0" t="n">
        <v>40.5612309751343</v>
      </c>
      <c r="X6" s="0" t="n">
        <v>123.012224954916</v>
      </c>
      <c r="Y6" s="0" t="n">
        <v>11.3253255108493</v>
      </c>
      <c r="Z6" s="0" t="n">
        <v>70.9698529839896</v>
      </c>
      <c r="AA6" s="0" t="n">
        <v>168.461141668259</v>
      </c>
      <c r="AB6" s="0" t="n">
        <v>31.3681173635036</v>
      </c>
      <c r="AC6" s="0" t="n">
        <v>76.6612185919037</v>
      </c>
      <c r="AD6" s="0" t="n">
        <v>0.459245639831686</v>
      </c>
      <c r="AE6" s="0" t="n">
        <v>1.467945884462</v>
      </c>
      <c r="AF6" s="0" t="n">
        <v>0.844683944690423</v>
      </c>
      <c r="AG6" s="0" t="n">
        <v>42.1111850095662</v>
      </c>
      <c r="AH6" s="0" t="n">
        <v>44.2269952787908</v>
      </c>
      <c r="AI6" s="0" t="n">
        <v>34.1809969074727</v>
      </c>
      <c r="AJ6" s="0" t="n">
        <v>829.282814126068</v>
      </c>
      <c r="AK6" s="0" t="n">
        <v>193.129193179218</v>
      </c>
      <c r="AL6" s="0" t="n">
        <v>72.1097662685718</v>
      </c>
      <c r="AM6" s="0" t="n">
        <v>9.2259168716187</v>
      </c>
      <c r="AN6" s="0" t="n">
        <v>33.664345562662</v>
      </c>
      <c r="AO6" s="0" t="n">
        <v>7.9137864720996</v>
      </c>
      <c r="AP6" s="0" t="n">
        <v>27.792562024814</v>
      </c>
      <c r="AQ6" s="0" t="n">
        <v>82.1967687148749</v>
      </c>
    </row>
    <row r="7" customFormat="false" ht="14.5" hidden="false" customHeight="false" outlineLevel="0" collapsed="false">
      <c r="B7" s="0" t="s">
        <v>8</v>
      </c>
      <c r="C7" s="0" t="n">
        <v>25.3181492572259</v>
      </c>
      <c r="D7" s="0" t="n">
        <v>274.79250731439</v>
      </c>
      <c r="E7" s="0" t="n">
        <v>266.068198267588</v>
      </c>
      <c r="F7" s="0" t="n">
        <v>474.057955798692</v>
      </c>
      <c r="G7" s="0" t="n">
        <v>161.28357906649</v>
      </c>
      <c r="H7" s="0" t="n">
        <v>72.7861949655441</v>
      </c>
      <c r="I7" s="0" t="n">
        <v>36.5789187617242</v>
      </c>
      <c r="J7" s="0" t="n">
        <v>134.088634891847</v>
      </c>
      <c r="K7" s="0" t="n">
        <v>99.4329663672776</v>
      </c>
      <c r="L7" s="0" t="n">
        <v>3.88366473009924</v>
      </c>
      <c r="M7" s="0" t="n">
        <v>51.8534278915882</v>
      </c>
      <c r="N7" s="0" t="n">
        <v>14.7727916766933</v>
      </c>
      <c r="O7" s="0" t="n">
        <v>10.7033056676419</v>
      </c>
      <c r="P7" s="0" t="n">
        <v>49.3076763699442</v>
      </c>
      <c r="Q7" s="0" t="n">
        <v>215.933617206307</v>
      </c>
      <c r="R7" s="0" t="n">
        <v>29.2018139873251</v>
      </c>
      <c r="S7" s="0" t="n">
        <v>15.4231661530257</v>
      </c>
      <c r="T7" s="0" t="n">
        <v>75.9079924519397</v>
      </c>
      <c r="U7" s="0" t="n">
        <v>62.1479267455354</v>
      </c>
      <c r="V7" s="0" t="n">
        <v>69.5250315199344</v>
      </c>
      <c r="W7" s="0" t="n">
        <v>52.1042866181735</v>
      </c>
      <c r="X7" s="0" t="n">
        <v>16.9376095764854</v>
      </c>
      <c r="Y7" s="0" t="n">
        <v>45.0430780179931</v>
      </c>
      <c r="Z7" s="0" t="n">
        <v>49.0010712596732</v>
      </c>
      <c r="AA7" s="0" t="n">
        <v>93.412356929229</v>
      </c>
      <c r="AB7" s="0" t="n">
        <v>38.3442209117693</v>
      </c>
      <c r="AC7" s="0" t="n">
        <v>39.5241860331152</v>
      </c>
      <c r="AD7" s="0" t="n">
        <v>27.5015492849133</v>
      </c>
      <c r="AE7" s="0" t="n">
        <v>89.4822368793918</v>
      </c>
      <c r="AF7" s="0" t="n">
        <v>144.132275019209</v>
      </c>
      <c r="AG7" s="0" t="n">
        <v>67.8712221372606</v>
      </c>
      <c r="AH7" s="0" t="n">
        <v>63.3464739947766</v>
      </c>
      <c r="AI7" s="0" t="n">
        <v>61.7484109957884</v>
      </c>
      <c r="AJ7" s="0" t="n">
        <v>774.08499279478</v>
      </c>
      <c r="AK7" s="0" t="n">
        <v>237.749035355286</v>
      </c>
      <c r="AL7" s="0" t="n">
        <v>136.457856198487</v>
      </c>
      <c r="AM7" s="0" t="n">
        <v>12.4871899455822</v>
      </c>
      <c r="AN7" s="0" t="n">
        <v>13.4999159158713</v>
      </c>
      <c r="AO7" s="0" t="n">
        <v>74.4957507319036</v>
      </c>
      <c r="AP7" s="0" t="n">
        <v>36.4952991861957</v>
      </c>
      <c r="AQ7" s="0" t="n">
        <v>100.074049779662</v>
      </c>
    </row>
    <row r="8" customFormat="false" ht="14.5" hidden="false" customHeight="false" outlineLevel="0" collapsed="false">
      <c r="B8" s="0" t="s">
        <v>9</v>
      </c>
      <c r="C8" s="0" t="n">
        <v>16.730066648403</v>
      </c>
      <c r="D8" s="0" t="n">
        <v>401.904996922365</v>
      </c>
      <c r="E8" s="0" t="n">
        <v>176.286106446443</v>
      </c>
      <c r="F8" s="0" t="n">
        <v>602.268457620301</v>
      </c>
      <c r="G8" s="0" t="n">
        <v>167.516763178239</v>
      </c>
      <c r="H8" s="0" t="n">
        <v>137.172604794698</v>
      </c>
      <c r="I8" s="0" t="n">
        <v>65.1426970122192</v>
      </c>
      <c r="J8" s="0" t="n">
        <v>70.9354825892288</v>
      </c>
      <c r="K8" s="0" t="n">
        <v>46.4817018381464</v>
      </c>
      <c r="L8" s="0" t="n">
        <v>4.50317627286181</v>
      </c>
      <c r="M8" s="0" t="n">
        <v>49.0051535576138</v>
      </c>
      <c r="N8" s="0" t="n">
        <v>19.441731617665</v>
      </c>
      <c r="O8" s="0" t="n">
        <v>15.8029421216373</v>
      </c>
      <c r="P8" s="0" t="n">
        <v>38.0260473195993</v>
      </c>
      <c r="Q8" s="0" t="n">
        <v>298.527126757441</v>
      </c>
      <c r="R8" s="0" t="n">
        <v>27.5418722199335</v>
      </c>
      <c r="S8" s="0" t="n">
        <v>6.00191141011458</v>
      </c>
      <c r="T8" s="0" t="n">
        <v>13.1888692078244</v>
      </c>
      <c r="U8" s="0" t="n">
        <v>12.1780943478167</v>
      </c>
      <c r="V8" s="0" t="n">
        <v>18.3403355633118</v>
      </c>
      <c r="W8" s="0" t="n">
        <v>8.21864524102798</v>
      </c>
      <c r="X8" s="0" t="n">
        <v>94.608526896719</v>
      </c>
      <c r="Y8" s="0" t="n">
        <v>10.6723883494604</v>
      </c>
      <c r="Z8" s="0" t="n">
        <v>41.2465851494169</v>
      </c>
      <c r="AA8" s="0" t="n">
        <v>135.116200769165</v>
      </c>
      <c r="AB8" s="0" t="n">
        <v>82.8068590484914</v>
      </c>
      <c r="AC8" s="0" t="n">
        <v>89.4222062357141</v>
      </c>
      <c r="AD8" s="0" t="n">
        <v>31.2155160214786</v>
      </c>
      <c r="AE8" s="0" t="n">
        <v>78.4849251643206</v>
      </c>
      <c r="AF8" s="0" t="n">
        <v>10.8536307381515</v>
      </c>
      <c r="AG8" s="0" t="n">
        <v>68.3911182864508</v>
      </c>
      <c r="AH8" s="0" t="n">
        <v>31.8568352430007</v>
      </c>
      <c r="AI8" s="0" t="n">
        <v>53.5710675804071</v>
      </c>
      <c r="AJ8" s="0" t="n">
        <v>701.408044234296</v>
      </c>
      <c r="AK8" s="0" t="n">
        <v>211.962973574163</v>
      </c>
      <c r="AL8" s="0" t="n">
        <v>120.965352729057</v>
      </c>
      <c r="AM8" s="0" t="n">
        <v>4.78898157810536</v>
      </c>
      <c r="AN8" s="0" t="n">
        <v>29.4518881622928</v>
      </c>
      <c r="AO8" s="0" t="n">
        <v>49.1794250852013</v>
      </c>
      <c r="AP8" s="0" t="n">
        <v>40.5634407612738</v>
      </c>
      <c r="AQ8" s="0" t="n">
        <v>68.7117778972119</v>
      </c>
    </row>
    <row r="9" customFormat="false" ht="14.5" hidden="false" customHeight="false" outlineLevel="0" collapsed="false">
      <c r="B9" s="0" t="s">
        <v>10</v>
      </c>
      <c r="C9" s="0" t="n">
        <v>3.4706409484215</v>
      </c>
      <c r="D9" s="0" t="n">
        <v>321.48418562971</v>
      </c>
      <c r="E9" s="0" t="n">
        <v>239.082477609163</v>
      </c>
      <c r="F9" s="0" t="n">
        <v>448.955257500747</v>
      </c>
      <c r="G9" s="0" t="n">
        <v>67.1235425756441</v>
      </c>
      <c r="H9" s="0" t="n">
        <v>73.8934347960218</v>
      </c>
      <c r="I9" s="0" t="n">
        <v>56.9564621253299</v>
      </c>
      <c r="J9" s="0" t="n">
        <v>29.4912664717721</v>
      </c>
      <c r="K9" s="0" t="n">
        <v>46.1038229691548</v>
      </c>
      <c r="L9" s="0" t="n">
        <v>4.33983145049532</v>
      </c>
      <c r="M9" s="0" t="n">
        <v>47.0709504292087</v>
      </c>
      <c r="N9" s="0" t="n">
        <v>1.04670123841283</v>
      </c>
      <c r="O9" s="0" t="n">
        <v>2.93198767953069</v>
      </c>
      <c r="P9" s="0" t="n">
        <v>10.4731334440021</v>
      </c>
      <c r="Q9" s="0" t="n">
        <v>90.2183014793378</v>
      </c>
      <c r="R9" s="0" t="n">
        <v>12.5114463819639</v>
      </c>
      <c r="S9" s="0" t="n">
        <v>8.53887852389417</v>
      </c>
      <c r="T9" s="0" t="n">
        <v>6.280207430477</v>
      </c>
      <c r="U9" s="0" t="n">
        <v>0.783495663841185</v>
      </c>
      <c r="V9" s="0" t="n">
        <v>5.36204844941311</v>
      </c>
      <c r="W9" s="0" t="n">
        <v>8.36136778755515</v>
      </c>
      <c r="X9" s="0" t="n">
        <v>13.1113102495923</v>
      </c>
      <c r="Y9" s="0" t="n">
        <v>5.60076978448972</v>
      </c>
      <c r="Z9" s="0" t="n">
        <v>17.2797520236224</v>
      </c>
      <c r="AA9" s="0" t="n">
        <v>50.9761866286671</v>
      </c>
      <c r="AB9" s="0" t="n">
        <v>82.4017080205472</v>
      </c>
      <c r="AC9" s="0" t="n">
        <v>29.2953925558118</v>
      </c>
      <c r="AD9" s="0" t="n">
        <v>17.1450887063997</v>
      </c>
      <c r="AE9" s="0" t="n">
        <v>40.5703848432764</v>
      </c>
      <c r="AF9" s="0" t="n">
        <v>25.6594829907988</v>
      </c>
      <c r="AG9" s="0" t="n">
        <v>63.5121172501261</v>
      </c>
      <c r="AH9" s="0" t="n">
        <v>56.6932565507583</v>
      </c>
      <c r="AI9" s="0" t="n">
        <v>40.5152953044126</v>
      </c>
      <c r="AJ9" s="0" t="n">
        <v>798.198449657955</v>
      </c>
      <c r="AK9" s="0" t="n">
        <v>229.974340517009</v>
      </c>
      <c r="AL9" s="0" t="n">
        <v>64.1303442973758</v>
      </c>
      <c r="AM9" s="0" t="n">
        <v>7.70029332118915</v>
      </c>
      <c r="AN9" s="0" t="n">
        <v>30.1094935190218</v>
      </c>
      <c r="AO9" s="0" t="n">
        <v>11.1709342696107</v>
      </c>
      <c r="AP9" s="0" t="n">
        <v>15.5780973787173</v>
      </c>
      <c r="AQ9" s="0" t="n">
        <v>69.1128870346158</v>
      </c>
    </row>
    <row r="10" customFormat="false" ht="14.5" hidden="false" customHeight="false" outlineLevel="0" collapsed="false">
      <c r="B10" s="0" t="s">
        <v>11</v>
      </c>
      <c r="C10" s="0" t="n">
        <v>12.8002587664022</v>
      </c>
      <c r="D10" s="0" t="n">
        <v>278.311943686751</v>
      </c>
      <c r="E10" s="0" t="n">
        <v>104.956204969814</v>
      </c>
      <c r="F10" s="0" t="n">
        <v>575.932752292311</v>
      </c>
      <c r="G10" s="0" t="n">
        <v>170.43179671059</v>
      </c>
      <c r="H10" s="0" t="n">
        <v>84.5527108344625</v>
      </c>
      <c r="I10" s="0" t="n">
        <v>70.914222487826</v>
      </c>
      <c r="J10" s="0" t="n">
        <v>75.4998313679315</v>
      </c>
      <c r="K10" s="0" t="n">
        <v>33.8546135169944</v>
      </c>
      <c r="L10" s="0" t="n">
        <v>2.89435743292684</v>
      </c>
      <c r="M10" s="0" t="n">
        <v>28.8548206090083</v>
      </c>
      <c r="N10" s="0" t="n">
        <v>13.5201500529564</v>
      </c>
      <c r="O10" s="0" t="n">
        <v>19.8759025760274</v>
      </c>
      <c r="P10" s="0" t="n">
        <v>25.6103790572777</v>
      </c>
      <c r="Q10" s="0" t="n">
        <v>144.816486891076</v>
      </c>
      <c r="R10" s="0" t="n">
        <v>17.0259220032306</v>
      </c>
      <c r="S10" s="0" t="n">
        <v>9.47199425664815</v>
      </c>
      <c r="T10" s="0" t="n">
        <v>15.6995469615657</v>
      </c>
      <c r="U10" s="0" t="n">
        <v>10.3398084103025</v>
      </c>
      <c r="V10" s="0" t="n">
        <v>7.24822048790879</v>
      </c>
      <c r="W10" s="0" t="n">
        <v>8.56473400510038</v>
      </c>
      <c r="X10" s="0" t="n">
        <v>36.1523487192838</v>
      </c>
      <c r="Y10" s="0" t="n">
        <v>6.68118283069143</v>
      </c>
      <c r="Z10" s="0" t="n">
        <v>21.3945773449226</v>
      </c>
      <c r="AA10" s="0" t="n">
        <v>71.7080752079302</v>
      </c>
      <c r="AB10" s="0" t="n">
        <v>74.7010478855906</v>
      </c>
      <c r="AC10" s="0" t="n">
        <v>61.4027821332844</v>
      </c>
      <c r="AD10" s="0" t="n">
        <v>20.1027176389144</v>
      </c>
      <c r="AE10" s="0" t="n">
        <v>41.6304255642271</v>
      </c>
      <c r="AF10" s="0" t="n">
        <v>32.8339457340031</v>
      </c>
      <c r="AG10" s="0" t="n">
        <v>38.198615047503</v>
      </c>
      <c r="AH10" s="0" t="n">
        <v>21.2466544778224</v>
      </c>
      <c r="AI10" s="0" t="n">
        <v>24.5847805120498</v>
      </c>
      <c r="AJ10" s="0" t="n">
        <v>701.218489963927</v>
      </c>
      <c r="AK10" s="0" t="n">
        <v>72.0828131379174</v>
      </c>
      <c r="AL10" s="0" t="n">
        <v>43.2033387177257</v>
      </c>
      <c r="AM10" s="0" t="n">
        <v>2.54920407635976</v>
      </c>
      <c r="AN10" s="0" t="n">
        <v>19.6688105620872</v>
      </c>
      <c r="AO10" s="0" t="n">
        <v>8.58938781628374</v>
      </c>
      <c r="AP10" s="0" t="n">
        <v>12.9826969691591</v>
      </c>
      <c r="AQ10" s="0" t="n">
        <v>53.666416183945</v>
      </c>
    </row>
    <row r="11" customFormat="false" ht="14.5" hidden="false" customHeight="false" outlineLevel="0" collapsed="false">
      <c r="B11" s="0" t="s">
        <v>16</v>
      </c>
      <c r="C11" s="0" t="n">
        <v>2.27160523741303</v>
      </c>
      <c r="D11" s="0" t="n">
        <v>343.147004493067</v>
      </c>
      <c r="E11" s="0" t="n">
        <v>150.538437748089</v>
      </c>
      <c r="F11" s="0" t="n">
        <v>549.883273144208</v>
      </c>
      <c r="G11" s="0" t="n">
        <v>285.461692827146</v>
      </c>
      <c r="H11" s="0" t="n">
        <v>76.2653598374136</v>
      </c>
      <c r="I11" s="0" t="n">
        <v>85.1397642982406</v>
      </c>
      <c r="J11" s="0" t="n">
        <v>87.2464678221229</v>
      </c>
      <c r="K11" s="0" t="n">
        <v>51.8296181650343</v>
      </c>
      <c r="L11" s="0" t="n">
        <v>4.65090138978491</v>
      </c>
      <c r="M11" s="0" t="n">
        <v>60.4347953384641</v>
      </c>
      <c r="N11" s="0" t="n">
        <v>27.7606986717335</v>
      </c>
      <c r="O11" s="0" t="n">
        <v>15.1776883270115</v>
      </c>
      <c r="P11" s="0" t="n">
        <v>55.477647909265</v>
      </c>
      <c r="Q11" s="0" t="n">
        <v>352.856013544825</v>
      </c>
      <c r="R11" s="0" t="n">
        <v>52.2065363673902</v>
      </c>
      <c r="S11" s="0" t="n">
        <v>24.1934371137219</v>
      </c>
      <c r="T11" s="0" t="n">
        <v>17.5738111848457</v>
      </c>
      <c r="U11" s="0" t="n">
        <v>15.0901894586075</v>
      </c>
      <c r="V11" s="0" t="n">
        <v>7.42057710888258</v>
      </c>
      <c r="W11" s="0" t="n">
        <v>9.43641642326837</v>
      </c>
      <c r="X11" s="0" t="n">
        <v>18.5463947605678</v>
      </c>
      <c r="Y11" s="0" t="n">
        <v>7.18163789131766</v>
      </c>
      <c r="Z11" s="0" t="n">
        <v>12.9834859347252</v>
      </c>
      <c r="AA11" s="0" t="n">
        <v>56.2112922674221</v>
      </c>
      <c r="AB11" s="0" t="n">
        <v>65.3717507211085</v>
      </c>
      <c r="AC11" s="0" t="n">
        <v>31.7082437731935</v>
      </c>
      <c r="AD11" s="0" t="n">
        <v>39.3643947585486</v>
      </c>
      <c r="AE11" s="0" t="n">
        <v>107.451975741275</v>
      </c>
      <c r="AF11" s="0" t="n">
        <v>64.7929120532047</v>
      </c>
      <c r="AG11" s="0" t="n">
        <v>55.3127461957343</v>
      </c>
      <c r="AH11" s="0" t="n">
        <v>26.4818690565973</v>
      </c>
      <c r="AI11" s="0" t="n">
        <v>36.5004894888619</v>
      </c>
      <c r="AJ11" s="0" t="n">
        <v>601.47731743277</v>
      </c>
      <c r="AK11" s="0" t="n">
        <v>172.059794034394</v>
      </c>
      <c r="AL11" s="0" t="n">
        <v>88.4781826619646</v>
      </c>
      <c r="AM11" s="0" t="n">
        <v>2.41294956329651</v>
      </c>
      <c r="AN11" s="0" t="n">
        <v>7.73018848938925</v>
      </c>
      <c r="AO11" s="0" t="n">
        <v>36.8841383734028</v>
      </c>
      <c r="AP11" s="0" t="n">
        <v>31.1260397641973</v>
      </c>
      <c r="AQ11" s="0" t="n">
        <v>50.557519232083</v>
      </c>
    </row>
    <row r="12" customFormat="false" ht="14.5" hidden="false" customHeight="false" outlineLevel="0" collapsed="false">
      <c r="B12" s="0" t="s">
        <v>12</v>
      </c>
      <c r="C12" s="0" t="n">
        <v>22.0736059695079</v>
      </c>
      <c r="D12" s="0" t="n">
        <v>519.488547132136</v>
      </c>
      <c r="E12" s="0" t="n">
        <v>234.369005212747</v>
      </c>
      <c r="F12" s="0" t="n">
        <v>620.50790608529</v>
      </c>
      <c r="G12" s="0" t="n">
        <v>194.237501428092</v>
      </c>
      <c r="H12" s="0" t="n">
        <v>61.3354659500347</v>
      </c>
      <c r="I12" s="0" t="n">
        <v>55.6103109061859</v>
      </c>
      <c r="J12" s="0" t="n">
        <v>112.162735933511</v>
      </c>
      <c r="K12" s="0" t="n">
        <v>53.3253644404354</v>
      </c>
      <c r="L12" s="0" t="n">
        <v>12.0385985434319</v>
      </c>
      <c r="M12" s="0" t="n">
        <v>42.8129055140533</v>
      </c>
      <c r="N12" s="0" t="n">
        <v>29.6360966975703</v>
      </c>
      <c r="O12" s="0" t="n">
        <v>25.113096324135</v>
      </c>
      <c r="P12" s="0" t="n">
        <v>83.7842123840688</v>
      </c>
      <c r="Q12" s="0" t="n">
        <v>481.72298604989</v>
      </c>
      <c r="R12" s="0" t="n">
        <v>21.5449989513119</v>
      </c>
      <c r="S12" s="0" t="n">
        <v>77.0657877011904</v>
      </c>
      <c r="T12" s="0" t="n">
        <v>25.8335365344183</v>
      </c>
      <c r="U12" s="0" t="n">
        <v>17.8490127837639</v>
      </c>
      <c r="V12" s="0" t="n">
        <v>14.6475299558187</v>
      </c>
      <c r="W12" s="0" t="n">
        <v>17.6230759130834</v>
      </c>
      <c r="X12" s="0" t="n">
        <v>65.146552032835</v>
      </c>
      <c r="Y12" s="0" t="n">
        <v>14.0592415000844</v>
      </c>
      <c r="Z12" s="0" t="n">
        <v>57.5286428270585</v>
      </c>
      <c r="AA12" s="0" t="n">
        <v>87.7189243017698</v>
      </c>
      <c r="AB12" s="0" t="n">
        <v>46.3213214493381</v>
      </c>
      <c r="AC12" s="0" t="n">
        <v>42.1095171430666</v>
      </c>
      <c r="AD12" s="0" t="n">
        <v>43.41398284926</v>
      </c>
      <c r="AE12" s="0" t="n">
        <v>90.523951866068</v>
      </c>
      <c r="AF12" s="0" t="n">
        <v>62.0900098389113</v>
      </c>
      <c r="AG12" s="0" t="n">
        <v>58.624223501868</v>
      </c>
      <c r="AH12" s="0" t="n">
        <v>23.4079123944704</v>
      </c>
      <c r="AI12" s="0" t="n">
        <v>30.3224332292603</v>
      </c>
      <c r="AJ12" s="0" t="n">
        <v>618.380689133033</v>
      </c>
      <c r="AK12" s="0" t="n">
        <v>107.963720506712</v>
      </c>
      <c r="AL12" s="0" t="n">
        <v>58.517649506264</v>
      </c>
      <c r="AM12" s="0" t="n">
        <v>3.01817555550629</v>
      </c>
      <c r="AN12" s="0" t="n">
        <v>22.8110980190878</v>
      </c>
      <c r="AO12" s="0" t="n">
        <v>46.3767399270522</v>
      </c>
      <c r="AP12" s="0" t="n">
        <v>44.7653411135192</v>
      </c>
      <c r="AQ12" s="0" t="n">
        <v>55.1456482853523</v>
      </c>
    </row>
    <row r="13" customFormat="false" ht="14.5" hidden="false" customHeight="false" outlineLevel="0" collapsed="false">
      <c r="B13" s="0" t="s">
        <v>17</v>
      </c>
      <c r="C13" s="0" t="n">
        <v>9.36812589188448</v>
      </c>
      <c r="D13" s="0" t="n">
        <v>320.674539254456</v>
      </c>
      <c r="E13" s="0" t="n">
        <v>214.513842559926</v>
      </c>
      <c r="F13" s="0" t="n">
        <v>745.915655241001</v>
      </c>
      <c r="G13" s="0" t="n">
        <v>208.517729135513</v>
      </c>
      <c r="H13" s="0" t="n">
        <v>44.4216699453683</v>
      </c>
      <c r="I13" s="0" t="n">
        <v>62.3501772977658</v>
      </c>
      <c r="J13" s="0" t="n">
        <v>127.149230570007</v>
      </c>
      <c r="K13" s="0" t="n">
        <v>64.2178191840584</v>
      </c>
      <c r="L13" s="0" t="n">
        <v>5.12426229213937</v>
      </c>
      <c r="M13" s="0" t="n">
        <v>71.3635794446565</v>
      </c>
      <c r="N13" s="0" t="n">
        <v>30.8267755739793</v>
      </c>
      <c r="O13" s="0" t="n">
        <v>33.3568533695978</v>
      </c>
      <c r="P13" s="0" t="n">
        <v>72.4875836004802</v>
      </c>
      <c r="Q13" s="0" t="n">
        <v>484.50989786093</v>
      </c>
      <c r="R13" s="0" t="n">
        <v>38.5965077233616</v>
      </c>
      <c r="S13" s="0" t="n">
        <v>11.9623103884054</v>
      </c>
      <c r="T13" s="0" t="n">
        <v>12.1033451303909</v>
      </c>
      <c r="U13" s="0" t="n">
        <v>1.02143343437974</v>
      </c>
      <c r="V13" s="0" t="n">
        <v>25.6042163404562</v>
      </c>
      <c r="W13" s="0" t="n">
        <v>7.85093397052545</v>
      </c>
      <c r="X13" s="0" t="n">
        <v>58.4695850031348</v>
      </c>
      <c r="Y13" s="0" t="n">
        <v>33.0576887653861</v>
      </c>
      <c r="Z13" s="0" t="n">
        <v>50.0502382846073</v>
      </c>
      <c r="AA13" s="0" t="n">
        <v>55.7300919845682</v>
      </c>
      <c r="AB13" s="0" t="n">
        <v>53.7385104765307</v>
      </c>
      <c r="AC13" s="0" t="n">
        <v>25.3606108770267</v>
      </c>
      <c r="AD13" s="0" t="n">
        <v>47.5586245095303</v>
      </c>
      <c r="AE13" s="0" t="n">
        <v>81.3343083250244</v>
      </c>
      <c r="AF13" s="0" t="n">
        <v>23.4203147297112</v>
      </c>
      <c r="AG13" s="0" t="n">
        <v>88.1167972805083</v>
      </c>
      <c r="AH13" s="0" t="n">
        <v>41.2462513606647</v>
      </c>
      <c r="AI13" s="0" t="n">
        <v>48.4262018617441</v>
      </c>
      <c r="AJ13" s="0" t="n">
        <v>719.294279246225</v>
      </c>
      <c r="AK13" s="0" t="n">
        <v>151.791846396926</v>
      </c>
      <c r="AL13" s="0" t="n">
        <v>62.9442327261289</v>
      </c>
      <c r="AM13" s="0" t="n">
        <v>2.80787349952924</v>
      </c>
      <c r="AN13" s="0" t="n">
        <v>34.6432611677078</v>
      </c>
      <c r="AO13" s="0" t="n">
        <v>58.6918215662635</v>
      </c>
      <c r="AP13" s="0" t="n">
        <v>69.1839516139717</v>
      </c>
      <c r="AQ13" s="0" t="n">
        <v>59.9611342441329</v>
      </c>
    </row>
    <row r="14" customFormat="false" ht="14.5" hidden="false" customHeight="false" outlineLevel="0" collapsed="false">
      <c r="B14" s="0" t="s">
        <v>18</v>
      </c>
      <c r="C14" s="0" t="n">
        <v>3.50892583008027</v>
      </c>
      <c r="D14" s="0" t="n">
        <v>355.278740295627</v>
      </c>
      <c r="E14" s="0" t="n">
        <v>131.419019352701</v>
      </c>
      <c r="F14" s="0" t="n">
        <v>624.773991061986</v>
      </c>
      <c r="G14" s="0" t="n">
        <v>174.383866738795</v>
      </c>
      <c r="H14" s="0" t="n">
        <v>64.0573904313542</v>
      </c>
      <c r="I14" s="0" t="n">
        <v>70.1492755530213</v>
      </c>
      <c r="J14" s="0" t="n">
        <v>151.65382497283</v>
      </c>
      <c r="K14" s="0" t="n">
        <v>96.534448391986</v>
      </c>
      <c r="L14" s="0" t="n">
        <v>13.801774931649</v>
      </c>
      <c r="M14" s="0" t="n">
        <v>90.5010453674869</v>
      </c>
      <c r="N14" s="0" t="n">
        <v>30.6056308512557</v>
      </c>
      <c r="O14" s="0" t="n">
        <v>12.807579279793</v>
      </c>
      <c r="P14" s="0" t="n">
        <v>68.1316432007252</v>
      </c>
      <c r="Q14" s="0" t="n">
        <v>351.487150995901</v>
      </c>
      <c r="R14" s="0" t="n">
        <v>42.9551003698993</v>
      </c>
      <c r="S14" s="0" t="n">
        <v>61.5524072693247</v>
      </c>
      <c r="T14" s="0" t="n">
        <v>0.370386615397361</v>
      </c>
      <c r="U14" s="0" t="n">
        <v>0.0292410485840022</v>
      </c>
      <c r="V14" s="0" t="n">
        <v>0.662797101237384</v>
      </c>
      <c r="W14" s="0" t="n">
        <v>1.05267774902408</v>
      </c>
      <c r="X14" s="0" t="n">
        <v>8.01204731201661</v>
      </c>
      <c r="Y14" s="0" t="n">
        <v>0.399627663981364</v>
      </c>
      <c r="Z14" s="0" t="n">
        <v>4.17172293131765</v>
      </c>
      <c r="AA14" s="0" t="n">
        <v>41.5320360054778</v>
      </c>
      <c r="AB14" s="0" t="n">
        <v>68.1998723140879</v>
      </c>
      <c r="AC14" s="0" t="n">
        <v>31.122222709573</v>
      </c>
      <c r="AD14" s="0" t="n">
        <v>44.2319594914007</v>
      </c>
      <c r="AE14" s="0" t="n">
        <v>71.2604353992134</v>
      </c>
      <c r="AF14" s="0" t="n">
        <v>13.8212689640384</v>
      </c>
      <c r="AG14" s="0" t="n">
        <v>135.522513170656</v>
      </c>
      <c r="AH14" s="0" t="n">
        <v>90.8324439181056</v>
      </c>
      <c r="AI14" s="0" t="n">
        <v>80.6078239298995</v>
      </c>
      <c r="AJ14" s="0" t="n">
        <v>737.936849082075</v>
      </c>
      <c r="AK14" s="0" t="n">
        <v>210.213898270392</v>
      </c>
      <c r="AL14" s="0" t="n">
        <v>56.591176026239</v>
      </c>
      <c r="AM14" s="0" t="n">
        <v>2.97283993937356</v>
      </c>
      <c r="AN14" s="0" t="n">
        <v>46.2788328922809</v>
      </c>
      <c r="AO14" s="0" t="n">
        <v>63.1216768766661</v>
      </c>
      <c r="AP14" s="0" t="n">
        <v>38.7054013090243</v>
      </c>
      <c r="AQ14" s="0" t="n">
        <v>66.7085788363037</v>
      </c>
    </row>
    <row r="15" customFormat="false" ht="14.5" hidden="false" customHeight="false" outlineLevel="0" collapsed="false">
      <c r="B15" s="0" t="s">
        <v>19</v>
      </c>
      <c r="C15" s="0" t="n">
        <v>0.421758314354209</v>
      </c>
      <c r="D15" s="0" t="n">
        <v>445.538388284106</v>
      </c>
      <c r="E15" s="0" t="n">
        <v>193.212607972099</v>
      </c>
      <c r="F15" s="0" t="n">
        <v>534.730417603798</v>
      </c>
      <c r="G15" s="0" t="n">
        <v>232.676572862888</v>
      </c>
      <c r="H15" s="0" t="n">
        <v>80.1025463953854</v>
      </c>
      <c r="I15" s="0" t="n">
        <v>70.5321801593852</v>
      </c>
      <c r="J15" s="0" t="n">
        <v>88.6520210106591</v>
      </c>
      <c r="K15" s="0" t="n">
        <v>47.3788312012859</v>
      </c>
      <c r="L15" s="0" t="n">
        <v>3.30705818451571</v>
      </c>
      <c r="M15" s="0" t="n">
        <v>46.6614479002348</v>
      </c>
      <c r="N15" s="0" t="n">
        <v>19.298399131572</v>
      </c>
      <c r="O15" s="0" t="n">
        <v>12.1324494540398</v>
      </c>
      <c r="P15" s="0" t="n">
        <v>40.6188731721507</v>
      </c>
      <c r="Q15" s="0" t="n">
        <v>277.12674586263</v>
      </c>
      <c r="R15" s="0" t="n">
        <v>21.8131823517401</v>
      </c>
      <c r="S15" s="0" t="n">
        <v>51.6003560113173</v>
      </c>
      <c r="T15" s="0" t="n">
        <v>5.38037475788314</v>
      </c>
      <c r="U15" s="0" t="n">
        <v>2.81434987335426</v>
      </c>
      <c r="V15" s="0" t="n">
        <v>1.97083324464584</v>
      </c>
      <c r="W15" s="0" t="n">
        <v>7.51281632858993</v>
      </c>
      <c r="X15" s="0" t="n">
        <v>92.3493041776147</v>
      </c>
      <c r="Y15" s="0" t="n">
        <v>1.8959415813493</v>
      </c>
      <c r="Z15" s="0" t="n">
        <v>37.8675899626251</v>
      </c>
      <c r="AA15" s="0" t="n">
        <v>112.778961591613</v>
      </c>
      <c r="AB15" s="0" t="n">
        <v>58.163230715988</v>
      </c>
      <c r="AC15" s="0" t="n">
        <v>59.5506973202186</v>
      </c>
      <c r="AD15" s="0" t="n">
        <v>46.3461145810915</v>
      </c>
      <c r="AE15" s="0" t="n">
        <v>106.188495221518</v>
      </c>
      <c r="AF15" s="0" t="n">
        <v>70.9815301391645</v>
      </c>
      <c r="AG15" s="0" t="n">
        <v>41.0524564859728</v>
      </c>
      <c r="AH15" s="0" t="n">
        <v>22.230998999605</v>
      </c>
      <c r="AI15" s="0" t="n">
        <v>25.5617071830565</v>
      </c>
      <c r="AJ15" s="0" t="n">
        <v>636.512129690287</v>
      </c>
      <c r="AK15" s="0" t="n">
        <v>149.306384947879</v>
      </c>
      <c r="AL15" s="0" t="n">
        <v>88.1356627005618</v>
      </c>
      <c r="AM15" s="0" t="n">
        <v>3.07055819515821</v>
      </c>
      <c r="AN15" s="0" t="n">
        <v>30.1182736446777</v>
      </c>
      <c r="AO15" s="0" t="n">
        <v>63.7130971329106</v>
      </c>
      <c r="AP15" s="0" t="n">
        <v>50.4020893985726</v>
      </c>
      <c r="AQ15" s="0" t="n">
        <v>64.9547220770375</v>
      </c>
    </row>
    <row r="16" customFormat="false" ht="14.5" hidden="false" customHeight="false" outlineLevel="0" collapsed="false">
      <c r="B16" s="0" t="s">
        <v>20</v>
      </c>
      <c r="C16" s="0" t="n">
        <v>8.08798286553689</v>
      </c>
      <c r="D16" s="0" t="n">
        <v>280.482147457311</v>
      </c>
      <c r="E16" s="0" t="n">
        <v>255.535824897551</v>
      </c>
      <c r="F16" s="0" t="n">
        <v>561.720724966794</v>
      </c>
      <c r="G16" s="0" t="n">
        <v>230.970362224201</v>
      </c>
      <c r="H16" s="0" t="n">
        <v>113.041330174312</v>
      </c>
      <c r="I16" s="0" t="n">
        <v>105.815571773839</v>
      </c>
      <c r="J16" s="0" t="n">
        <v>115.289461448251</v>
      </c>
      <c r="K16" s="0" t="n">
        <v>67.0260502872583</v>
      </c>
      <c r="L16" s="0" t="n">
        <v>17.662377232196</v>
      </c>
      <c r="M16" s="0" t="n">
        <v>72.4109859034235</v>
      </c>
      <c r="N16" s="0" t="n">
        <v>26.8876500363139</v>
      </c>
      <c r="O16" s="0" t="n">
        <v>3.76099137828432</v>
      </c>
      <c r="P16" s="0" t="n">
        <v>57.0919549167689</v>
      </c>
      <c r="Q16" s="0" t="n">
        <v>320.202659777335</v>
      </c>
      <c r="R16" s="0" t="n">
        <v>26.8241733885792</v>
      </c>
      <c r="S16" s="0" t="n">
        <v>20.4606394531698</v>
      </c>
      <c r="T16" s="0" t="n">
        <v>63.1010775689925</v>
      </c>
      <c r="U16" s="0" t="n">
        <v>17.8686763373339</v>
      </c>
      <c r="V16" s="0" t="n">
        <v>27.940304444582</v>
      </c>
      <c r="W16" s="0" t="n">
        <v>10.1456841962719</v>
      </c>
      <c r="X16" s="0" t="n">
        <v>38.0595400376311</v>
      </c>
      <c r="Y16" s="0" t="n">
        <v>9.17237559767231</v>
      </c>
      <c r="Z16" s="0" t="n">
        <v>7.52727247721321</v>
      </c>
      <c r="AA16" s="0" t="n">
        <v>85.333773438091</v>
      </c>
      <c r="AB16" s="0" t="n">
        <v>57.6949830702491</v>
      </c>
      <c r="AC16" s="0" t="n">
        <v>57.9859177057</v>
      </c>
      <c r="AD16" s="0" t="n">
        <v>24.9357431184702</v>
      </c>
      <c r="AE16" s="0" t="n">
        <v>114.686433294771</v>
      </c>
      <c r="AF16" s="0" t="n">
        <v>34.1557262019435</v>
      </c>
      <c r="AG16" s="0" t="n">
        <v>91.0360922929299</v>
      </c>
      <c r="AH16" s="0" t="n">
        <v>68.2003682703513</v>
      </c>
      <c r="AI16" s="0" t="n">
        <v>75.9339398527024</v>
      </c>
      <c r="AJ16" s="0" t="n">
        <v>734.937917193655</v>
      </c>
      <c r="AK16" s="0" t="n">
        <v>217.592658714101</v>
      </c>
      <c r="AL16" s="0" t="n">
        <v>123.4144723583</v>
      </c>
      <c r="AM16" s="0" t="n">
        <v>4.44865506207752</v>
      </c>
      <c r="AN16" s="0" t="n">
        <v>32.3942492273041</v>
      </c>
      <c r="AO16" s="0" t="n">
        <v>68.5283309503142</v>
      </c>
      <c r="AP16" s="0" t="n">
        <v>50.2100283581924</v>
      </c>
      <c r="AQ16" s="0" t="n">
        <v>72.9187990853015</v>
      </c>
    </row>
    <row r="17" customFormat="false" ht="14.5" hidden="false" customHeight="false" outlineLevel="0" collapsed="false">
      <c r="B17" s="0" t="s">
        <v>13</v>
      </c>
      <c r="C17" s="0" t="n">
        <v>0</v>
      </c>
      <c r="D17" s="0" t="n">
        <v>392.181802577752</v>
      </c>
      <c r="E17" s="0" t="n">
        <v>27.780039478288</v>
      </c>
      <c r="F17" s="0" t="n">
        <v>755.628516791476</v>
      </c>
      <c r="G17" s="0" t="n">
        <v>327.34850702093</v>
      </c>
      <c r="H17" s="0" t="n">
        <v>123.808664537979</v>
      </c>
      <c r="I17" s="0" t="n">
        <v>112.462507729514</v>
      </c>
      <c r="J17" s="0" t="n">
        <v>101.626883965962</v>
      </c>
      <c r="K17" s="0" t="n">
        <v>120.991930497088</v>
      </c>
      <c r="L17" s="0" t="n">
        <v>3.37127855519148</v>
      </c>
      <c r="M17" s="0" t="n">
        <v>121.326417664443</v>
      </c>
      <c r="N17" s="0" t="n">
        <v>17.4945590820968</v>
      </c>
      <c r="O17" s="0" t="n">
        <v>1.89689433066257</v>
      </c>
      <c r="P17" s="0" t="n">
        <v>13.5819394534216</v>
      </c>
      <c r="Q17" s="0" t="n">
        <v>142.029412864993</v>
      </c>
      <c r="R17" s="0" t="n">
        <v>11.2141224002975</v>
      </c>
      <c r="S17" s="0" t="n">
        <v>8.76268355533452</v>
      </c>
      <c r="T17" s="0" t="n">
        <v>2.04213217964602</v>
      </c>
      <c r="U17" s="0" t="n">
        <v>1.27633261227876</v>
      </c>
      <c r="V17" s="0" t="n">
        <v>0.787805302061717</v>
      </c>
      <c r="W17" s="0" t="n">
        <v>5.56304973075984</v>
      </c>
      <c r="X17" s="0" t="n">
        <v>17.0104329188186</v>
      </c>
      <c r="Y17" s="0" t="n">
        <v>0.0176045877555691</v>
      </c>
      <c r="Z17" s="0" t="n">
        <v>6.37286076751601</v>
      </c>
      <c r="AA17" s="0" t="n">
        <v>81.3287942837904</v>
      </c>
      <c r="AB17" s="0" t="n">
        <v>94.8491176800674</v>
      </c>
      <c r="AC17" s="0" t="n">
        <v>47.0834699522696</v>
      </c>
      <c r="AD17" s="0" t="n">
        <v>1.52279684085673</v>
      </c>
      <c r="AE17" s="0" t="n">
        <v>10.0258127267966</v>
      </c>
      <c r="AF17" s="0" t="n">
        <v>5.21976026952624</v>
      </c>
      <c r="AG17" s="0" t="n">
        <v>105.807973557909</v>
      </c>
      <c r="AH17" s="0" t="n">
        <v>61.2111516261138</v>
      </c>
      <c r="AI17" s="0" t="n">
        <v>61.8845271077643</v>
      </c>
      <c r="AJ17" s="0" t="n">
        <v>704.020667786025</v>
      </c>
      <c r="AK17" s="0" t="n">
        <v>174.910381645457</v>
      </c>
      <c r="AL17" s="0" t="n">
        <v>68.3322073732415</v>
      </c>
      <c r="AM17" s="0" t="n">
        <v>4.35713546950335</v>
      </c>
      <c r="AN17" s="0" t="n">
        <v>27.2475006986821</v>
      </c>
      <c r="AO17" s="0" t="n">
        <v>9.22480398391821</v>
      </c>
      <c r="AP17" s="0" t="n">
        <v>16.3370574371681</v>
      </c>
      <c r="AQ17" s="0" t="n">
        <v>79.625550418439</v>
      </c>
    </row>
    <row r="18" customFormat="false" ht="14.5" hidden="false" customHeight="false" outlineLevel="0" collapsed="false">
      <c r="B18" s="0" t="s">
        <v>21</v>
      </c>
      <c r="C18" s="0" t="n">
        <v>0.202096413462316</v>
      </c>
      <c r="D18" s="0" t="n">
        <v>557.752418420414</v>
      </c>
      <c r="E18" s="0" t="n">
        <v>279.499339818383</v>
      </c>
      <c r="F18" s="0" t="n">
        <v>849.049136374659</v>
      </c>
      <c r="G18" s="0" t="n">
        <v>219.367236129449</v>
      </c>
      <c r="H18" s="0" t="n">
        <v>67.5338848319905</v>
      </c>
      <c r="I18" s="0" t="n">
        <v>56.1743822586295</v>
      </c>
      <c r="J18" s="0" t="n">
        <v>164.666473552316</v>
      </c>
      <c r="K18" s="0" t="n">
        <v>86.9772439438441</v>
      </c>
      <c r="L18" s="0" t="n">
        <v>5.20398264665463</v>
      </c>
      <c r="M18" s="0" t="n">
        <v>74.4135835736035</v>
      </c>
      <c r="N18" s="0" t="n">
        <v>29.7755382501145</v>
      </c>
      <c r="O18" s="0" t="n">
        <v>28.8829457573226</v>
      </c>
      <c r="P18" s="0" t="n">
        <v>35.9900029640807</v>
      </c>
      <c r="Q18" s="0" t="n">
        <v>303.835116272803</v>
      </c>
      <c r="R18" s="0" t="n">
        <v>18.8033871358896</v>
      </c>
      <c r="S18" s="0" t="n">
        <v>78.8933874053515</v>
      </c>
      <c r="T18" s="0" t="n">
        <v>34.398493708065</v>
      </c>
      <c r="U18" s="0" t="n">
        <v>18.592870038533</v>
      </c>
      <c r="V18" s="0" t="n">
        <v>9.03539381854437</v>
      </c>
      <c r="W18" s="0" t="n">
        <v>13.7341354315432</v>
      </c>
      <c r="X18" s="0" t="n">
        <v>58.4227048583978</v>
      </c>
      <c r="Y18" s="0" t="n">
        <v>3.1072323569831</v>
      </c>
      <c r="Z18" s="0" t="n">
        <v>25.9778098138018</v>
      </c>
      <c r="AA18" s="0" t="n">
        <v>78.2618361132818</v>
      </c>
      <c r="AB18" s="0" t="n">
        <v>32.7480396647894</v>
      </c>
      <c r="AC18" s="0" t="n">
        <v>33.6658942092641</v>
      </c>
      <c r="AD18" s="0" t="n">
        <v>64.9318935086632</v>
      </c>
      <c r="AE18" s="0" t="n">
        <v>140.810676079869</v>
      </c>
      <c r="AF18" s="0" t="n">
        <v>85.0489073320579</v>
      </c>
      <c r="AG18" s="0" t="n">
        <v>83.070046616906</v>
      </c>
      <c r="AH18" s="0" t="n">
        <v>32.1417504244025</v>
      </c>
      <c r="AI18" s="0" t="n">
        <v>44.2254318126701</v>
      </c>
      <c r="AJ18" s="0" t="n">
        <v>668.459149578292</v>
      </c>
      <c r="AK18" s="0" t="n">
        <v>120.17157985503</v>
      </c>
      <c r="AL18" s="0" t="n">
        <v>43.4759909460807</v>
      </c>
      <c r="AM18" s="0" t="n">
        <v>8.24384953248363</v>
      </c>
      <c r="AN18" s="0" t="n">
        <v>28.4366495109267</v>
      </c>
      <c r="AO18" s="0" t="n">
        <v>44.4106868583439</v>
      </c>
      <c r="AP18" s="0" t="n">
        <v>46.5495405674867</v>
      </c>
      <c r="AQ18" s="0" t="n">
        <v>106.311134165072</v>
      </c>
    </row>
    <row r="19" customFormat="false" ht="14.5" hidden="false" customHeight="false" outlineLevel="0" collapsed="false">
      <c r="B19" s="0" t="s">
        <v>14</v>
      </c>
      <c r="C19" s="0" t="n">
        <v>5.49948402436372</v>
      </c>
      <c r="D19" s="0" t="n">
        <v>423.638113886744</v>
      </c>
      <c r="E19" s="0" t="n">
        <v>146.712188653279</v>
      </c>
      <c r="F19" s="0" t="n">
        <v>615.116832114798</v>
      </c>
      <c r="G19" s="0" t="n">
        <v>327.547626854081</v>
      </c>
      <c r="H19" s="0" t="n">
        <v>66.1078108633506</v>
      </c>
      <c r="I19" s="0" t="n">
        <v>83.1580353800139</v>
      </c>
      <c r="J19" s="0" t="n">
        <v>95.5159140748942</v>
      </c>
      <c r="K19" s="0" t="n">
        <v>46.6361717389451</v>
      </c>
      <c r="L19" s="0" t="n">
        <v>4.33665780030671</v>
      </c>
      <c r="M19" s="0" t="n">
        <v>67.4484810981457</v>
      </c>
      <c r="N19" s="0" t="n">
        <v>13.1285360747456</v>
      </c>
      <c r="O19" s="0" t="n">
        <v>5.4858037158454</v>
      </c>
      <c r="P19" s="0" t="n">
        <v>33.5760372067911</v>
      </c>
      <c r="Q19" s="0" t="n">
        <v>189.604515961044</v>
      </c>
      <c r="R19" s="0" t="n">
        <v>5.72748916633568</v>
      </c>
      <c r="S19" s="0" t="n">
        <v>14.0724773625095</v>
      </c>
      <c r="T19" s="0" t="n">
        <v>5.08451466597475</v>
      </c>
      <c r="U19" s="0" t="n">
        <v>1.02602313887383</v>
      </c>
      <c r="V19" s="0" t="n">
        <v>4.95227168363101</v>
      </c>
      <c r="W19" s="0" t="n">
        <v>8.67787570345286</v>
      </c>
      <c r="X19" s="0" t="n">
        <v>31.8523183334831</v>
      </c>
      <c r="Y19" s="0" t="n">
        <v>5.28515919091007</v>
      </c>
      <c r="Z19" s="0" t="n">
        <v>12.0979528330323</v>
      </c>
      <c r="AA19" s="0" t="n">
        <v>76.3726023549283</v>
      </c>
      <c r="AB19" s="0" t="n">
        <v>78.1191217424335</v>
      </c>
      <c r="AC19" s="0" t="n">
        <v>56.1211856449787</v>
      </c>
      <c r="AD19" s="0" t="n">
        <v>12.7774081561087</v>
      </c>
      <c r="AE19" s="0" t="n">
        <v>33.6900397777771</v>
      </c>
      <c r="AF19" s="0" t="n">
        <v>16.5759738213616</v>
      </c>
      <c r="AG19" s="0" t="n">
        <v>64.502654663868</v>
      </c>
      <c r="AH19" s="0" t="n">
        <v>37.9582960354922</v>
      </c>
      <c r="AI19" s="0" t="n">
        <v>48.5194942116335</v>
      </c>
      <c r="AJ19" s="0" t="n">
        <v>774.606428924185</v>
      </c>
      <c r="AK19" s="0" t="n">
        <v>193.62196656259</v>
      </c>
      <c r="AL19" s="0" t="n">
        <v>115.644208008179</v>
      </c>
      <c r="AM19" s="0" t="n">
        <v>1.09898478430486</v>
      </c>
      <c r="AN19" s="0" t="n">
        <v>23.4434886975571</v>
      </c>
      <c r="AO19" s="0" t="n">
        <v>21.8930537321478</v>
      </c>
      <c r="AP19" s="0" t="n">
        <v>24.1047036092758</v>
      </c>
      <c r="AQ19" s="0" t="n">
        <v>87.955263567104</v>
      </c>
    </row>
    <row r="20" customFormat="false" ht="14.5" hidden="false" customHeight="false" outlineLevel="0" collapsed="false">
      <c r="B20" s="0" t="s">
        <v>22</v>
      </c>
      <c r="C20" s="0" t="n">
        <v>2.8833513542793</v>
      </c>
      <c r="D20" s="0" t="n">
        <v>352.360535586681</v>
      </c>
      <c r="E20" s="0" t="n">
        <v>192.588703679398</v>
      </c>
      <c r="F20" s="0" t="n">
        <v>531.315820723879</v>
      </c>
      <c r="G20" s="0" t="n">
        <v>227.722256597437</v>
      </c>
      <c r="H20" s="0" t="n">
        <v>52.3878274239214</v>
      </c>
      <c r="I20" s="0" t="n">
        <v>75.0004687529297</v>
      </c>
      <c r="J20" s="0" t="n">
        <v>85.6172017741778</v>
      </c>
      <c r="K20" s="0" t="n">
        <v>41.3877586734917</v>
      </c>
      <c r="L20" s="0" t="n">
        <v>7.5708806513374</v>
      </c>
      <c r="M20" s="0" t="n">
        <v>64.6129038306489</v>
      </c>
      <c r="N20" s="0" t="n">
        <v>14.2875892974331</v>
      </c>
      <c r="O20" s="0" t="n">
        <v>7.8917159898916</v>
      </c>
      <c r="P20" s="0" t="n">
        <v>45.4919509913604</v>
      </c>
      <c r="Q20" s="0" t="n">
        <v>265.276657979112</v>
      </c>
      <c r="R20" s="0" t="n">
        <v>14.1000881255508</v>
      </c>
      <c r="S20" s="0" t="n">
        <v>22.0626378914868</v>
      </c>
      <c r="T20" s="0" t="n">
        <v>63.6628978931118</v>
      </c>
      <c r="U20" s="0" t="n">
        <v>45.1336154184297</v>
      </c>
      <c r="V20" s="0" t="n">
        <v>26.9751685948037</v>
      </c>
      <c r="W20" s="0" t="n">
        <v>22.7626422665142</v>
      </c>
      <c r="X20" s="0" t="n">
        <v>33.083540105459</v>
      </c>
      <c r="Y20" s="0" t="n">
        <v>22.1126382039888</v>
      </c>
      <c r="Z20" s="0" t="n">
        <v>22.6584749488018</v>
      </c>
      <c r="AA20" s="0" t="n">
        <v>44.3627772673579</v>
      </c>
      <c r="AB20" s="0" t="n">
        <v>42.5169323974942</v>
      </c>
      <c r="AC20" s="0" t="n">
        <v>28.5626785167407</v>
      </c>
      <c r="AD20" s="0" t="n">
        <v>21.2167992716621</v>
      </c>
      <c r="AE20" s="0" t="n">
        <v>75.3129707060669</v>
      </c>
      <c r="AF20" s="0" t="n">
        <v>89.7713944045484</v>
      </c>
      <c r="AG20" s="0" t="n">
        <v>68.8754304714404</v>
      </c>
      <c r="AH20" s="0" t="n">
        <v>27.1918366156455</v>
      </c>
      <c r="AI20" s="0" t="n">
        <v>32.1127007043794</v>
      </c>
      <c r="AJ20" s="0" t="n">
        <v>376.148184259485</v>
      </c>
      <c r="AK20" s="0" t="n">
        <v>89.7130607066294</v>
      </c>
      <c r="AL20" s="0" t="n">
        <v>50.6419831790615</v>
      </c>
      <c r="AM20" s="0" t="n">
        <v>2.12084658862451</v>
      </c>
      <c r="AN20" s="0" t="n">
        <v>11.3250707816924</v>
      </c>
      <c r="AO20" s="0" t="n">
        <v>33.7668777096524</v>
      </c>
      <c r="AP20" s="0" t="n">
        <v>40.6960876838814</v>
      </c>
      <c r="AQ20" s="0" t="n">
        <v>71.0421106798584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5" zeroHeight="false" outlineLevelRow="0" outlineLevelCol="0"/>
  <cols>
    <col collapsed="false" customWidth="true" hidden="false" outlineLevel="0" max="11" min="11" style="0" width="10.54"/>
  </cols>
  <sheetData>
    <row r="1" customFormat="false" ht="14.5" hidden="false" customHeight="false" outlineLevel="0" collapsed="false">
      <c r="B1" s="0" t="n">
        <v>0</v>
      </c>
      <c r="C1" s="0" t="n">
        <v>0</v>
      </c>
      <c r="D1" s="0" t="n">
        <v>0</v>
      </c>
      <c r="E1" s="0" t="n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1</v>
      </c>
      <c r="L1" s="0" t="n">
        <v>1</v>
      </c>
      <c r="M1" s="0" t="n">
        <v>1</v>
      </c>
      <c r="N1" s="0" t="n">
        <v>1</v>
      </c>
      <c r="O1" s="0" t="n">
        <v>1</v>
      </c>
      <c r="P1" s="0" t="n">
        <v>1</v>
      </c>
      <c r="Q1" s="0" t="n">
        <v>1</v>
      </c>
      <c r="R1" s="0" t="n">
        <v>1</v>
      </c>
    </row>
    <row r="2" customFormat="false" ht="14.5" hidden="false" customHeight="false" outlineLevel="0" collapsed="false">
      <c r="A2" s="1" t="s">
        <v>1545</v>
      </c>
      <c r="B2" s="2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T2" s="2" t="s">
        <v>23</v>
      </c>
      <c r="U2" s="2" t="s">
        <v>24</v>
      </c>
      <c r="V2" s="2" t="s">
        <v>25</v>
      </c>
      <c r="W2" s="2" t="s">
        <v>1293</v>
      </c>
      <c r="X2" s="2" t="s">
        <v>1294</v>
      </c>
    </row>
    <row r="3" customFormat="false" ht="14.5" hidden="false" customHeight="false" outlineLevel="0" collapsed="false">
      <c r="A3" s="0" t="n">
        <v>1</v>
      </c>
      <c r="B3" s="0" t="e">
        <f aca="false">SUMIFS(#REF!,#REF!,'Cluster counts corrected Z&lt;3'!$A3)</f>
        <v>#VALUE!</v>
      </c>
      <c r="C3" s="0" t="e">
        <f aca="false">SUMIFS(#REF!,#REF!,'Cluster counts corrected Z&lt;3'!$A3)</f>
        <v>#VALUE!</v>
      </c>
      <c r="D3" s="0" t="e">
        <f aca="false">SUMIFS(#REF!,#REF!,'Cluster counts corrected Z&lt;3'!$A3)</f>
        <v>#VALUE!</v>
      </c>
      <c r="E3" s="0" t="e">
        <f aca="false">SUMIFS(#REF!,#REF!,'Cluster counts corrected Z&lt;3'!$A3)</f>
        <v>#VALUE!</v>
      </c>
      <c r="F3" s="0" t="e">
        <f aca="false">SUMIFS(#REF!,#REF!,'Cluster counts corrected Z&lt;3'!$A3)</f>
        <v>#VALUE!</v>
      </c>
      <c r="G3" s="0" t="e">
        <f aca="false">SUMIFS(#REF!,#REF!,'Cluster counts corrected Z&lt;3'!$A3)</f>
        <v>#VALUE!</v>
      </c>
      <c r="H3" s="0" t="e">
        <f aca="false">SUMIFS(#REF!,#REF!,'Cluster counts corrected Z&lt;3'!$A3)</f>
        <v>#VALUE!</v>
      </c>
      <c r="I3" s="0" t="e">
        <f aca="false">SUMIFS(#REF!,#REF!,'Cluster counts corrected Z&lt;3'!$A3)</f>
        <v>#VALUE!</v>
      </c>
      <c r="J3" s="0" t="e">
        <f aca="false">SUMIFS(#REF!,#REF!,'Cluster counts corrected Z&lt;3'!$A3)</f>
        <v>#VALUE!</v>
      </c>
      <c r="K3" s="0" t="e">
        <f aca="false">SUMIFS(#REF!,#REF!,'Cluster counts corrected Z&lt;3'!$A3)</f>
        <v>#VALUE!</v>
      </c>
      <c r="L3" s="0" t="e">
        <f aca="false">SUMIFS(#REF!,#REF!,'Cluster counts corrected Z&lt;3'!$A3)</f>
        <v>#VALUE!</v>
      </c>
      <c r="M3" s="0" t="e">
        <f aca="false">SUMIFS(#REF!,#REF!,'Cluster counts corrected Z&lt;3'!$A3)</f>
        <v>#VALUE!</v>
      </c>
      <c r="N3" s="0" t="e">
        <f aca="false">SUMIFS(#REF!,#REF!,'Cluster counts corrected Z&lt;3'!$A3)</f>
        <v>#VALUE!</v>
      </c>
      <c r="O3" s="0" t="e">
        <f aca="false">SUMIFS(#REF!,#REF!,'Cluster counts corrected Z&lt;3'!$A3)</f>
        <v>#VALUE!</v>
      </c>
      <c r="P3" s="0" t="e">
        <f aca="false">SUMIFS(#REF!,#REF!,'Cluster counts corrected Z&lt;3'!$A3)</f>
        <v>#VALUE!</v>
      </c>
      <c r="Q3" s="0" t="e">
        <f aca="false">SUMIFS(#REF!,#REF!,'Cluster counts corrected Z&lt;3'!$A3)</f>
        <v>#VALUE!</v>
      </c>
      <c r="R3" s="0" t="e">
        <f aca="false">SUMIFS(#REF!,#REF!,'Cluster counts corrected Z&lt;3'!$A3)</f>
        <v>#VALUE!</v>
      </c>
      <c r="T3" s="3" t="e">
        <f aca="false">_xlfn.T.TEST(B3:J3,K3:R3,2,2)</f>
        <v>#VALUE!</v>
      </c>
      <c r="U3" s="0" t="e">
        <f aca="false">AVERAGE(B3:J3)</f>
        <v>#VALUE!</v>
      </c>
      <c r="V3" s="0" t="e">
        <f aca="false">AVERAGE(K3:R3)</f>
        <v>#VALUE!</v>
      </c>
      <c r="W3" s="0" t="e">
        <f aca="false">STDEV(B3:J3)/SQRT(COUNT(B3:J3))</f>
        <v>#VALUE!</v>
      </c>
      <c r="X3" s="0" t="e">
        <f aca="false">STDEV(K3:R3)/SQRT(COUNT(K3:R3))</f>
        <v>#VALUE!</v>
      </c>
    </row>
    <row r="4" customFormat="false" ht="14.5" hidden="false" customHeight="false" outlineLevel="0" collapsed="false">
      <c r="A4" s="0" t="n">
        <v>2</v>
      </c>
      <c r="B4" s="0" t="e">
        <f aca="false">SUMIFS(#REF!,#REF!,'Cluster counts corrected Z&lt;3'!$A4)</f>
        <v>#VALUE!</v>
      </c>
      <c r="C4" s="0" t="e">
        <f aca="false">SUMIFS(#REF!,#REF!,'Cluster counts corrected Z&lt;3'!$A4)</f>
        <v>#VALUE!</v>
      </c>
      <c r="D4" s="0" t="e">
        <f aca="false">SUMIFS(#REF!,#REF!,'Cluster counts corrected Z&lt;3'!$A4)</f>
        <v>#VALUE!</v>
      </c>
      <c r="E4" s="0" t="e">
        <f aca="false">SUMIFS(#REF!,#REF!,'Cluster counts corrected Z&lt;3'!$A4)</f>
        <v>#VALUE!</v>
      </c>
      <c r="F4" s="0" t="e">
        <f aca="false">SUMIFS(#REF!,#REF!,'Cluster counts corrected Z&lt;3'!$A4)</f>
        <v>#VALUE!</v>
      </c>
      <c r="G4" s="0" t="e">
        <f aca="false">SUMIFS(#REF!,#REF!,'Cluster counts corrected Z&lt;3'!$A4)</f>
        <v>#VALUE!</v>
      </c>
      <c r="H4" s="0" t="e">
        <f aca="false">SUMIFS(#REF!,#REF!,'Cluster counts corrected Z&lt;3'!$A4)</f>
        <v>#VALUE!</v>
      </c>
      <c r="I4" s="0" t="e">
        <f aca="false">SUMIFS(#REF!,#REF!,'Cluster counts corrected Z&lt;3'!$A4)</f>
        <v>#VALUE!</v>
      </c>
      <c r="J4" s="0" t="e">
        <f aca="false">SUMIFS(#REF!,#REF!,'Cluster counts corrected Z&lt;3'!$A4)</f>
        <v>#VALUE!</v>
      </c>
      <c r="K4" s="0" t="e">
        <f aca="false">SUMIFS(#REF!,#REF!,'Cluster counts corrected Z&lt;3'!$A4)</f>
        <v>#VALUE!</v>
      </c>
      <c r="L4" s="0" t="e">
        <f aca="false">SUMIFS(#REF!,#REF!,'Cluster counts corrected Z&lt;3'!$A4)</f>
        <v>#VALUE!</v>
      </c>
      <c r="M4" s="0" t="e">
        <f aca="false">SUMIFS(#REF!,#REF!,'Cluster counts corrected Z&lt;3'!$A4)</f>
        <v>#VALUE!</v>
      </c>
      <c r="N4" s="0" t="e">
        <f aca="false">SUMIFS(#REF!,#REF!,'Cluster counts corrected Z&lt;3'!$A4)</f>
        <v>#VALUE!</v>
      </c>
      <c r="O4" s="0" t="e">
        <f aca="false">SUMIFS(#REF!,#REF!,'Cluster counts corrected Z&lt;3'!$A4)</f>
        <v>#VALUE!</v>
      </c>
      <c r="P4" s="0" t="e">
        <f aca="false">SUMIFS(#REF!,#REF!,'Cluster counts corrected Z&lt;3'!$A4)</f>
        <v>#VALUE!</v>
      </c>
      <c r="Q4" s="0" t="e">
        <f aca="false">SUMIFS(#REF!,#REF!,'Cluster counts corrected Z&lt;3'!$A4)</f>
        <v>#VALUE!</v>
      </c>
      <c r="R4" s="0" t="e">
        <f aca="false">SUMIFS(#REF!,#REF!,'Cluster counts corrected Z&lt;3'!$A4)</f>
        <v>#VALUE!</v>
      </c>
      <c r="T4" s="3" t="e">
        <f aca="false">_xlfn.T.TEST(B4:J4,K4:R4,2,2)</f>
        <v>#VALUE!</v>
      </c>
      <c r="U4" s="0" t="e">
        <f aca="false">AVERAGE(B4:J4)</f>
        <v>#VALUE!</v>
      </c>
      <c r="V4" s="0" t="e">
        <f aca="false">AVERAGE(K4:R4)</f>
        <v>#VALUE!</v>
      </c>
      <c r="W4" s="0" t="e">
        <f aca="false">STDEV(B4:J4)/SQRT(COUNT(B4:J4))</f>
        <v>#VALUE!</v>
      </c>
      <c r="X4" s="0" t="e">
        <f aca="false">STDEV(K4:R4)/SQRT(COUNT(K4:R4))</f>
        <v>#VALUE!</v>
      </c>
    </row>
    <row r="5" customFormat="false" ht="14.5" hidden="false" customHeight="false" outlineLevel="0" collapsed="false">
      <c r="A5" s="0" t="n">
        <v>3</v>
      </c>
      <c r="B5" s="0" t="e">
        <f aca="false">SUMIFS(#REF!,#REF!,'Cluster counts corrected Z&lt;3'!$A5)</f>
        <v>#VALUE!</v>
      </c>
      <c r="C5" s="0" t="e">
        <f aca="false">SUMIFS(#REF!,#REF!,'Cluster counts corrected Z&lt;3'!$A5)</f>
        <v>#VALUE!</v>
      </c>
      <c r="D5" s="0" t="e">
        <f aca="false">SUMIFS(#REF!,#REF!,'Cluster counts corrected Z&lt;3'!$A5)</f>
        <v>#VALUE!</v>
      </c>
      <c r="E5" s="0" t="e">
        <f aca="false">SUMIFS(#REF!,#REF!,'Cluster counts corrected Z&lt;3'!$A5)</f>
        <v>#VALUE!</v>
      </c>
      <c r="F5" s="0" t="e">
        <f aca="false">SUMIFS(#REF!,#REF!,'Cluster counts corrected Z&lt;3'!$A5)</f>
        <v>#VALUE!</v>
      </c>
      <c r="G5" s="0" t="e">
        <f aca="false">SUMIFS(#REF!,#REF!,'Cluster counts corrected Z&lt;3'!$A5)</f>
        <v>#VALUE!</v>
      </c>
      <c r="H5" s="0" t="e">
        <f aca="false">SUMIFS(#REF!,#REF!,'Cluster counts corrected Z&lt;3'!$A5)</f>
        <v>#VALUE!</v>
      </c>
      <c r="I5" s="0" t="e">
        <f aca="false">SUMIFS(#REF!,#REF!,'Cluster counts corrected Z&lt;3'!$A5)</f>
        <v>#VALUE!</v>
      </c>
      <c r="J5" s="0" t="e">
        <f aca="false">SUMIFS(#REF!,#REF!,'Cluster counts corrected Z&lt;3'!$A5)</f>
        <v>#VALUE!</v>
      </c>
      <c r="K5" s="0" t="e">
        <f aca="false">SUMIFS(#REF!,#REF!,'Cluster counts corrected Z&lt;3'!$A5)</f>
        <v>#VALUE!</v>
      </c>
      <c r="L5" s="0" t="e">
        <f aca="false">SUMIFS(#REF!,#REF!,'Cluster counts corrected Z&lt;3'!$A5)</f>
        <v>#VALUE!</v>
      </c>
      <c r="M5" s="0" t="e">
        <f aca="false">SUMIFS(#REF!,#REF!,'Cluster counts corrected Z&lt;3'!$A5)</f>
        <v>#VALUE!</v>
      </c>
      <c r="N5" s="0" t="e">
        <f aca="false">SUMIFS(#REF!,#REF!,'Cluster counts corrected Z&lt;3'!$A5)</f>
        <v>#VALUE!</v>
      </c>
      <c r="O5" s="0" t="e">
        <f aca="false">SUMIFS(#REF!,#REF!,'Cluster counts corrected Z&lt;3'!$A5)</f>
        <v>#VALUE!</v>
      </c>
      <c r="P5" s="0" t="e">
        <f aca="false">SUMIFS(#REF!,#REF!,'Cluster counts corrected Z&lt;3'!$A5)</f>
        <v>#VALUE!</v>
      </c>
      <c r="Q5" s="0" t="e">
        <f aca="false">SUMIFS(#REF!,#REF!,'Cluster counts corrected Z&lt;3'!$A5)</f>
        <v>#VALUE!</v>
      </c>
      <c r="R5" s="0" t="e">
        <f aca="false">SUMIFS(#REF!,#REF!,'Cluster counts corrected Z&lt;3'!$A5)</f>
        <v>#VALUE!</v>
      </c>
      <c r="T5" s="3" t="e">
        <f aca="false">_xlfn.T.TEST(B5:J5,K5:R5,2,2)</f>
        <v>#VALUE!</v>
      </c>
      <c r="U5" s="0" t="e">
        <f aca="false">AVERAGE(B5:J5)</f>
        <v>#VALUE!</v>
      </c>
      <c r="V5" s="0" t="e">
        <f aca="false">AVERAGE(K5:R5)</f>
        <v>#VALUE!</v>
      </c>
      <c r="W5" s="0" t="e">
        <f aca="false">STDEV(B5:J5)/SQRT(COUNT(B5:J5))</f>
        <v>#VALUE!</v>
      </c>
      <c r="X5" s="0" t="e">
        <f aca="false">STDEV(K5:R5)/SQRT(COUNT(K5:R5))</f>
        <v>#VALUE!</v>
      </c>
    </row>
    <row r="6" customFormat="false" ht="14.5" hidden="false" customHeight="false" outlineLevel="0" collapsed="false">
      <c r="A6" s="0" t="n">
        <v>4</v>
      </c>
      <c r="B6" s="0" t="e">
        <f aca="false">SUMIFS(#REF!,#REF!,'Cluster counts corrected Z&lt;3'!$A6)</f>
        <v>#VALUE!</v>
      </c>
      <c r="C6" s="0" t="e">
        <f aca="false">SUMIFS(#REF!,#REF!,'Cluster counts corrected Z&lt;3'!$A6)</f>
        <v>#VALUE!</v>
      </c>
      <c r="D6" s="0" t="e">
        <f aca="false">SUMIFS(#REF!,#REF!,'Cluster counts corrected Z&lt;3'!$A6)</f>
        <v>#VALUE!</v>
      </c>
      <c r="E6" s="0" t="e">
        <f aca="false">SUMIFS(#REF!,#REF!,'Cluster counts corrected Z&lt;3'!$A6)</f>
        <v>#VALUE!</v>
      </c>
      <c r="F6" s="0" t="e">
        <f aca="false">SUMIFS(#REF!,#REF!,'Cluster counts corrected Z&lt;3'!$A6)</f>
        <v>#VALUE!</v>
      </c>
      <c r="G6" s="0" t="e">
        <f aca="false">SUMIFS(#REF!,#REF!,'Cluster counts corrected Z&lt;3'!$A6)</f>
        <v>#VALUE!</v>
      </c>
      <c r="H6" s="0" t="e">
        <f aca="false">SUMIFS(#REF!,#REF!,'Cluster counts corrected Z&lt;3'!$A6)</f>
        <v>#VALUE!</v>
      </c>
      <c r="I6" s="0" t="e">
        <f aca="false">SUMIFS(#REF!,#REF!,'Cluster counts corrected Z&lt;3'!$A6)</f>
        <v>#VALUE!</v>
      </c>
      <c r="J6" s="0" t="e">
        <f aca="false">SUMIFS(#REF!,#REF!,'Cluster counts corrected Z&lt;3'!$A6)</f>
        <v>#VALUE!</v>
      </c>
      <c r="K6" s="0" t="e">
        <f aca="false">SUMIFS(#REF!,#REF!,'Cluster counts corrected Z&lt;3'!$A6)</f>
        <v>#VALUE!</v>
      </c>
      <c r="L6" s="0" t="e">
        <f aca="false">SUMIFS(#REF!,#REF!,'Cluster counts corrected Z&lt;3'!$A6)</f>
        <v>#VALUE!</v>
      </c>
      <c r="M6" s="0" t="e">
        <f aca="false">SUMIFS(#REF!,#REF!,'Cluster counts corrected Z&lt;3'!$A6)</f>
        <v>#VALUE!</v>
      </c>
      <c r="N6" s="0" t="e">
        <f aca="false">SUMIFS(#REF!,#REF!,'Cluster counts corrected Z&lt;3'!$A6)</f>
        <v>#VALUE!</v>
      </c>
      <c r="O6" s="0" t="e">
        <f aca="false">SUMIFS(#REF!,#REF!,'Cluster counts corrected Z&lt;3'!$A6)</f>
        <v>#VALUE!</v>
      </c>
      <c r="P6" s="0" t="e">
        <f aca="false">SUMIFS(#REF!,#REF!,'Cluster counts corrected Z&lt;3'!$A6)</f>
        <v>#VALUE!</v>
      </c>
      <c r="Q6" s="0" t="e">
        <f aca="false">SUMIFS(#REF!,#REF!,'Cluster counts corrected Z&lt;3'!$A6)</f>
        <v>#VALUE!</v>
      </c>
      <c r="R6" s="0" t="e">
        <f aca="false">SUMIFS(#REF!,#REF!,'Cluster counts corrected Z&lt;3'!$A6)</f>
        <v>#VALUE!</v>
      </c>
      <c r="T6" s="3" t="e">
        <f aca="false">_xlfn.T.TEST(B6:J6,K6:R6,2,2)</f>
        <v>#VALUE!</v>
      </c>
      <c r="U6" s="0" t="e">
        <f aca="false">AVERAGE(B6:J6)</f>
        <v>#VALUE!</v>
      </c>
      <c r="V6" s="0" t="e">
        <f aca="false">AVERAGE(K6:R6)</f>
        <v>#VALUE!</v>
      </c>
      <c r="W6" s="0" t="e">
        <f aca="false">STDEV(B6:J6)/SQRT(COUNT(B6:J6))</f>
        <v>#VALUE!</v>
      </c>
      <c r="X6" s="0" t="e">
        <f aca="false">STDEV(K6:R6)/SQRT(COUNT(K6:R6))</f>
        <v>#VALUE!</v>
      </c>
    </row>
    <row r="7" customFormat="false" ht="14.5" hidden="false" customHeight="false" outlineLevel="0" collapsed="false">
      <c r="A7" s="0" t="n">
        <v>5</v>
      </c>
      <c r="B7" s="0" t="e">
        <f aca="false">SUMIFS(#REF!,#REF!,'Cluster counts corrected Z&lt;3'!$A7)</f>
        <v>#VALUE!</v>
      </c>
      <c r="C7" s="0" t="e">
        <f aca="false">SUMIFS(#REF!,#REF!,'Cluster counts corrected Z&lt;3'!$A7)</f>
        <v>#VALUE!</v>
      </c>
      <c r="D7" s="0" t="e">
        <f aca="false">SUMIFS(#REF!,#REF!,'Cluster counts corrected Z&lt;3'!$A7)</f>
        <v>#VALUE!</v>
      </c>
      <c r="E7" s="0" t="e">
        <f aca="false">SUMIFS(#REF!,#REF!,'Cluster counts corrected Z&lt;3'!$A7)</f>
        <v>#VALUE!</v>
      </c>
      <c r="F7" s="0" t="e">
        <f aca="false">SUMIFS(#REF!,#REF!,'Cluster counts corrected Z&lt;3'!$A7)</f>
        <v>#VALUE!</v>
      </c>
      <c r="G7" s="0" t="e">
        <f aca="false">SUMIFS(#REF!,#REF!,'Cluster counts corrected Z&lt;3'!$A7)</f>
        <v>#VALUE!</v>
      </c>
      <c r="H7" s="0" t="e">
        <f aca="false">SUMIFS(#REF!,#REF!,'Cluster counts corrected Z&lt;3'!$A7)</f>
        <v>#VALUE!</v>
      </c>
      <c r="I7" s="0" t="e">
        <f aca="false">SUMIFS(#REF!,#REF!,'Cluster counts corrected Z&lt;3'!$A7)</f>
        <v>#VALUE!</v>
      </c>
      <c r="J7" s="0" t="e">
        <f aca="false">SUMIFS(#REF!,#REF!,'Cluster counts corrected Z&lt;3'!$A7)</f>
        <v>#VALUE!</v>
      </c>
      <c r="K7" s="0" t="e">
        <f aca="false">SUMIFS(#REF!,#REF!,'Cluster counts corrected Z&lt;3'!$A7)</f>
        <v>#VALUE!</v>
      </c>
      <c r="L7" s="0" t="e">
        <f aca="false">SUMIFS(#REF!,#REF!,'Cluster counts corrected Z&lt;3'!$A7)</f>
        <v>#VALUE!</v>
      </c>
      <c r="M7" s="0" t="e">
        <f aca="false">SUMIFS(#REF!,#REF!,'Cluster counts corrected Z&lt;3'!$A7)</f>
        <v>#VALUE!</v>
      </c>
      <c r="N7" s="0" t="e">
        <f aca="false">SUMIFS(#REF!,#REF!,'Cluster counts corrected Z&lt;3'!$A7)</f>
        <v>#VALUE!</v>
      </c>
      <c r="O7" s="0" t="e">
        <f aca="false">SUMIFS(#REF!,#REF!,'Cluster counts corrected Z&lt;3'!$A7)</f>
        <v>#VALUE!</v>
      </c>
      <c r="P7" s="0" t="e">
        <f aca="false">SUMIFS(#REF!,#REF!,'Cluster counts corrected Z&lt;3'!$A7)</f>
        <v>#VALUE!</v>
      </c>
      <c r="Q7" s="0" t="e">
        <f aca="false">SUMIFS(#REF!,#REF!,'Cluster counts corrected Z&lt;3'!$A7)</f>
        <v>#VALUE!</v>
      </c>
      <c r="R7" s="0" t="e">
        <f aca="false">SUMIFS(#REF!,#REF!,'Cluster counts corrected Z&lt;3'!$A7)</f>
        <v>#VALUE!</v>
      </c>
      <c r="T7" s="3" t="e">
        <f aca="false">_xlfn.T.TEST(B7:J7,K7:R7,2,2)</f>
        <v>#VALUE!</v>
      </c>
      <c r="U7" s="0" t="e">
        <f aca="false">AVERAGE(B7:J7)</f>
        <v>#VALUE!</v>
      </c>
      <c r="V7" s="0" t="e">
        <f aca="false">AVERAGE(K7:R7)</f>
        <v>#VALUE!</v>
      </c>
      <c r="W7" s="0" t="e">
        <f aca="false">STDEV(B7:J7)/SQRT(COUNT(B7:J7))</f>
        <v>#VALUE!</v>
      </c>
      <c r="X7" s="0" t="e">
        <f aca="false">STDEV(K7:R7)/SQRT(COUNT(K7:R7))</f>
        <v>#VALUE!</v>
      </c>
    </row>
    <row r="8" customFormat="false" ht="14.5" hidden="false" customHeight="false" outlineLevel="0" collapsed="false">
      <c r="A8" s="0" t="n">
        <v>6</v>
      </c>
      <c r="B8" s="0" t="e">
        <f aca="false">SUMIFS(#REF!,#REF!,'Cluster counts corrected Z&lt;3'!$A8)</f>
        <v>#VALUE!</v>
      </c>
      <c r="C8" s="0" t="e">
        <f aca="false">SUMIFS(#REF!,#REF!,'Cluster counts corrected Z&lt;3'!$A8)</f>
        <v>#VALUE!</v>
      </c>
      <c r="D8" s="0" t="e">
        <f aca="false">SUMIFS(#REF!,#REF!,'Cluster counts corrected Z&lt;3'!$A8)</f>
        <v>#VALUE!</v>
      </c>
      <c r="E8" s="0" t="e">
        <f aca="false">SUMIFS(#REF!,#REF!,'Cluster counts corrected Z&lt;3'!$A8)</f>
        <v>#VALUE!</v>
      </c>
      <c r="F8" s="0" t="e">
        <f aca="false">SUMIFS(#REF!,#REF!,'Cluster counts corrected Z&lt;3'!$A8)</f>
        <v>#VALUE!</v>
      </c>
      <c r="G8" s="0" t="e">
        <f aca="false">SUMIFS(#REF!,#REF!,'Cluster counts corrected Z&lt;3'!$A8)</f>
        <v>#VALUE!</v>
      </c>
      <c r="H8" s="0" t="e">
        <f aca="false">SUMIFS(#REF!,#REF!,'Cluster counts corrected Z&lt;3'!$A8)</f>
        <v>#VALUE!</v>
      </c>
      <c r="I8" s="0" t="e">
        <f aca="false">SUMIFS(#REF!,#REF!,'Cluster counts corrected Z&lt;3'!$A8)</f>
        <v>#VALUE!</v>
      </c>
      <c r="J8" s="0" t="e">
        <f aca="false">SUMIFS(#REF!,#REF!,'Cluster counts corrected Z&lt;3'!$A8)</f>
        <v>#VALUE!</v>
      </c>
      <c r="K8" s="0" t="e">
        <f aca="false">SUMIFS(#REF!,#REF!,'Cluster counts corrected Z&lt;3'!$A8)</f>
        <v>#VALUE!</v>
      </c>
      <c r="L8" s="0" t="e">
        <f aca="false">SUMIFS(#REF!,#REF!,'Cluster counts corrected Z&lt;3'!$A8)</f>
        <v>#VALUE!</v>
      </c>
      <c r="M8" s="0" t="e">
        <f aca="false">SUMIFS(#REF!,#REF!,'Cluster counts corrected Z&lt;3'!$A8)</f>
        <v>#VALUE!</v>
      </c>
      <c r="N8" s="0" t="e">
        <f aca="false">SUMIFS(#REF!,#REF!,'Cluster counts corrected Z&lt;3'!$A8)</f>
        <v>#VALUE!</v>
      </c>
      <c r="O8" s="0" t="e">
        <f aca="false">SUMIFS(#REF!,#REF!,'Cluster counts corrected Z&lt;3'!$A8)</f>
        <v>#VALUE!</v>
      </c>
      <c r="P8" s="0" t="e">
        <f aca="false">SUMIFS(#REF!,#REF!,'Cluster counts corrected Z&lt;3'!$A8)</f>
        <v>#VALUE!</v>
      </c>
      <c r="Q8" s="0" t="e">
        <f aca="false">SUMIFS(#REF!,#REF!,'Cluster counts corrected Z&lt;3'!$A8)</f>
        <v>#VALUE!</v>
      </c>
      <c r="R8" s="0" t="e">
        <f aca="false">SUMIFS(#REF!,#REF!,'Cluster counts corrected Z&lt;3'!$A8)</f>
        <v>#VALUE!</v>
      </c>
      <c r="T8" s="3" t="e">
        <f aca="false">_xlfn.T.TEST(B8:J8,K8:R8,2,2)</f>
        <v>#VALUE!</v>
      </c>
      <c r="U8" s="0" t="e">
        <f aca="false">AVERAGE(B8:J8)</f>
        <v>#VALUE!</v>
      </c>
      <c r="V8" s="0" t="e">
        <f aca="false">AVERAGE(K8:R8)</f>
        <v>#VALUE!</v>
      </c>
      <c r="W8" s="0" t="e">
        <f aca="false">STDEV(B8:J8)/SQRT(COUNT(B8:J8))</f>
        <v>#VALUE!</v>
      </c>
      <c r="X8" s="0" t="e">
        <f aca="false">STDEV(K8:R8)/SQRT(COUNT(K8:R8))</f>
        <v>#VALUE!</v>
      </c>
    </row>
    <row r="9" customFormat="false" ht="14.5" hidden="false" customHeight="false" outlineLevel="0" collapsed="false">
      <c r="A9" s="0" t="n">
        <v>7</v>
      </c>
      <c r="B9" s="0" t="e">
        <f aca="false">SUMIFS(#REF!,#REF!,'Cluster counts corrected Z&lt;3'!$A9)</f>
        <v>#VALUE!</v>
      </c>
      <c r="C9" s="0" t="e">
        <f aca="false">SUMIFS(#REF!,#REF!,'Cluster counts corrected Z&lt;3'!$A9)</f>
        <v>#VALUE!</v>
      </c>
      <c r="D9" s="0" t="e">
        <f aca="false">SUMIFS(#REF!,#REF!,'Cluster counts corrected Z&lt;3'!$A9)</f>
        <v>#VALUE!</v>
      </c>
      <c r="E9" s="0" t="e">
        <f aca="false">SUMIFS(#REF!,#REF!,'Cluster counts corrected Z&lt;3'!$A9)</f>
        <v>#VALUE!</v>
      </c>
      <c r="F9" s="0" t="e">
        <f aca="false">SUMIFS(#REF!,#REF!,'Cluster counts corrected Z&lt;3'!$A9)</f>
        <v>#VALUE!</v>
      </c>
      <c r="G9" s="0" t="e">
        <f aca="false">SUMIFS(#REF!,#REF!,'Cluster counts corrected Z&lt;3'!$A9)</f>
        <v>#VALUE!</v>
      </c>
      <c r="H9" s="0" t="e">
        <f aca="false">SUMIFS(#REF!,#REF!,'Cluster counts corrected Z&lt;3'!$A9)</f>
        <v>#VALUE!</v>
      </c>
      <c r="I9" s="0" t="e">
        <f aca="false">SUMIFS(#REF!,#REF!,'Cluster counts corrected Z&lt;3'!$A9)</f>
        <v>#VALUE!</v>
      </c>
      <c r="J9" s="0" t="e">
        <f aca="false">SUMIFS(#REF!,#REF!,'Cluster counts corrected Z&lt;3'!$A9)</f>
        <v>#VALUE!</v>
      </c>
      <c r="K9" s="0" t="e">
        <f aca="false">SUMIFS(#REF!,#REF!,'Cluster counts corrected Z&lt;3'!$A9)</f>
        <v>#VALUE!</v>
      </c>
      <c r="L9" s="0" t="e">
        <f aca="false">SUMIFS(#REF!,#REF!,'Cluster counts corrected Z&lt;3'!$A9)</f>
        <v>#VALUE!</v>
      </c>
      <c r="M9" s="0" t="e">
        <f aca="false">SUMIFS(#REF!,#REF!,'Cluster counts corrected Z&lt;3'!$A9)</f>
        <v>#VALUE!</v>
      </c>
      <c r="N9" s="0" t="e">
        <f aca="false">SUMIFS(#REF!,#REF!,'Cluster counts corrected Z&lt;3'!$A9)</f>
        <v>#VALUE!</v>
      </c>
      <c r="O9" s="0" t="e">
        <f aca="false">SUMIFS(#REF!,#REF!,'Cluster counts corrected Z&lt;3'!$A9)</f>
        <v>#VALUE!</v>
      </c>
      <c r="P9" s="0" t="e">
        <f aca="false">SUMIFS(#REF!,#REF!,'Cluster counts corrected Z&lt;3'!$A9)</f>
        <v>#VALUE!</v>
      </c>
      <c r="Q9" s="0" t="e">
        <f aca="false">SUMIFS(#REF!,#REF!,'Cluster counts corrected Z&lt;3'!$A9)</f>
        <v>#VALUE!</v>
      </c>
      <c r="R9" s="0" t="e">
        <f aca="false">SUMIFS(#REF!,#REF!,'Cluster counts corrected Z&lt;3'!$A9)</f>
        <v>#VALUE!</v>
      </c>
      <c r="T9" s="3" t="e">
        <f aca="false">_xlfn.T.TEST(B9:J9,K9:R9,2,2)</f>
        <v>#VALUE!</v>
      </c>
      <c r="U9" s="0" t="e">
        <f aca="false">AVERAGE(B9:J9)</f>
        <v>#VALUE!</v>
      </c>
      <c r="V9" s="0" t="e">
        <f aca="false">AVERAGE(K9:R9)</f>
        <v>#VALUE!</v>
      </c>
      <c r="W9" s="0" t="e">
        <f aca="false">STDEV(B9:J9)/SQRT(COUNT(B9:J9))</f>
        <v>#VALUE!</v>
      </c>
      <c r="X9" s="0" t="e">
        <f aca="false">STDEV(K9:R9)/SQRT(COUNT(K9:R9))</f>
        <v>#VALUE!</v>
      </c>
    </row>
    <row r="10" customFormat="false" ht="14.5" hidden="false" customHeight="false" outlineLevel="0" collapsed="false">
      <c r="A10" s="0" t="n">
        <v>8</v>
      </c>
      <c r="B10" s="0" t="e">
        <f aca="false">SUMIFS(#REF!,#REF!,'Cluster counts corrected Z&lt;3'!$A10)</f>
        <v>#VALUE!</v>
      </c>
      <c r="C10" s="0" t="e">
        <f aca="false">SUMIFS(#REF!,#REF!,'Cluster counts corrected Z&lt;3'!$A10)</f>
        <v>#VALUE!</v>
      </c>
      <c r="D10" s="0" t="e">
        <f aca="false">SUMIFS(#REF!,#REF!,'Cluster counts corrected Z&lt;3'!$A10)</f>
        <v>#VALUE!</v>
      </c>
      <c r="E10" s="0" t="e">
        <f aca="false">SUMIFS(#REF!,#REF!,'Cluster counts corrected Z&lt;3'!$A10)</f>
        <v>#VALUE!</v>
      </c>
      <c r="F10" s="0" t="e">
        <f aca="false">SUMIFS(#REF!,#REF!,'Cluster counts corrected Z&lt;3'!$A10)</f>
        <v>#VALUE!</v>
      </c>
      <c r="G10" s="0" t="e">
        <f aca="false">SUMIFS(#REF!,#REF!,'Cluster counts corrected Z&lt;3'!$A10)</f>
        <v>#VALUE!</v>
      </c>
      <c r="H10" s="0" t="e">
        <f aca="false">SUMIFS(#REF!,#REF!,'Cluster counts corrected Z&lt;3'!$A10)</f>
        <v>#VALUE!</v>
      </c>
      <c r="I10" s="0" t="e">
        <f aca="false">SUMIFS(#REF!,#REF!,'Cluster counts corrected Z&lt;3'!$A10)</f>
        <v>#VALUE!</v>
      </c>
      <c r="J10" s="0" t="e">
        <f aca="false">SUMIFS(#REF!,#REF!,'Cluster counts corrected Z&lt;3'!$A10)</f>
        <v>#VALUE!</v>
      </c>
      <c r="K10" s="0" t="e">
        <f aca="false">SUMIFS(#REF!,#REF!,'Cluster counts corrected Z&lt;3'!$A10)</f>
        <v>#VALUE!</v>
      </c>
      <c r="L10" s="0" t="e">
        <f aca="false">SUMIFS(#REF!,#REF!,'Cluster counts corrected Z&lt;3'!$A10)</f>
        <v>#VALUE!</v>
      </c>
      <c r="M10" s="0" t="e">
        <f aca="false">SUMIFS(#REF!,#REF!,'Cluster counts corrected Z&lt;3'!$A10)</f>
        <v>#VALUE!</v>
      </c>
      <c r="N10" s="0" t="e">
        <f aca="false">SUMIFS(#REF!,#REF!,'Cluster counts corrected Z&lt;3'!$A10)</f>
        <v>#VALUE!</v>
      </c>
      <c r="O10" s="0" t="e">
        <f aca="false">SUMIFS(#REF!,#REF!,'Cluster counts corrected Z&lt;3'!$A10)</f>
        <v>#VALUE!</v>
      </c>
      <c r="P10" s="0" t="e">
        <f aca="false">SUMIFS(#REF!,#REF!,'Cluster counts corrected Z&lt;3'!$A10)</f>
        <v>#VALUE!</v>
      </c>
      <c r="Q10" s="0" t="e">
        <f aca="false">SUMIFS(#REF!,#REF!,'Cluster counts corrected Z&lt;3'!$A10)</f>
        <v>#VALUE!</v>
      </c>
      <c r="R10" s="0" t="e">
        <f aca="false">SUMIFS(#REF!,#REF!,'Cluster counts corrected Z&lt;3'!$A10)</f>
        <v>#VALUE!</v>
      </c>
      <c r="T10" s="3" t="e">
        <f aca="false">_xlfn.T.TEST(B10:J10,K10:R10,2,2)</f>
        <v>#VALUE!</v>
      </c>
      <c r="U10" s="0" t="e">
        <f aca="false">AVERAGE(B10:J10)</f>
        <v>#VALUE!</v>
      </c>
      <c r="V10" s="0" t="e">
        <f aca="false">AVERAGE(K10:R10)</f>
        <v>#VALUE!</v>
      </c>
      <c r="W10" s="0" t="e">
        <f aca="false">STDEV(B10:J10)/SQRT(COUNT(B10:J10))</f>
        <v>#VALUE!</v>
      </c>
      <c r="X10" s="0" t="e">
        <f aca="false">STDEV(K10:R10)/SQRT(COUNT(K10:R10))</f>
        <v>#VALUE!</v>
      </c>
    </row>
    <row r="11" customFormat="false" ht="14.5" hidden="false" customHeight="false" outlineLevel="0" collapsed="false">
      <c r="A11" s="0" t="n">
        <v>9</v>
      </c>
      <c r="B11" s="0" t="e">
        <f aca="false">SUMIFS(#REF!,#REF!,'Cluster counts corrected Z&lt;3'!$A11)</f>
        <v>#VALUE!</v>
      </c>
      <c r="C11" s="0" t="e">
        <f aca="false">SUMIFS(#REF!,#REF!,'Cluster counts corrected Z&lt;3'!$A11)</f>
        <v>#VALUE!</v>
      </c>
      <c r="D11" s="0" t="e">
        <f aca="false">SUMIFS(#REF!,#REF!,'Cluster counts corrected Z&lt;3'!$A11)</f>
        <v>#VALUE!</v>
      </c>
      <c r="E11" s="0" t="e">
        <f aca="false">SUMIFS(#REF!,#REF!,'Cluster counts corrected Z&lt;3'!$A11)</f>
        <v>#VALUE!</v>
      </c>
      <c r="F11" s="0" t="e">
        <f aca="false">SUMIFS(#REF!,#REF!,'Cluster counts corrected Z&lt;3'!$A11)</f>
        <v>#VALUE!</v>
      </c>
      <c r="G11" s="0" t="e">
        <f aca="false">SUMIFS(#REF!,#REF!,'Cluster counts corrected Z&lt;3'!$A11)</f>
        <v>#VALUE!</v>
      </c>
      <c r="H11" s="0" t="e">
        <f aca="false">SUMIFS(#REF!,#REF!,'Cluster counts corrected Z&lt;3'!$A11)</f>
        <v>#VALUE!</v>
      </c>
      <c r="I11" s="0" t="e">
        <f aca="false">SUMIFS(#REF!,#REF!,'Cluster counts corrected Z&lt;3'!$A11)</f>
        <v>#VALUE!</v>
      </c>
      <c r="J11" s="0" t="e">
        <f aca="false">SUMIFS(#REF!,#REF!,'Cluster counts corrected Z&lt;3'!$A11)</f>
        <v>#VALUE!</v>
      </c>
      <c r="K11" s="0" t="e">
        <f aca="false">SUMIFS(#REF!,#REF!,'Cluster counts corrected Z&lt;3'!$A11)</f>
        <v>#VALUE!</v>
      </c>
      <c r="L11" s="0" t="e">
        <f aca="false">SUMIFS(#REF!,#REF!,'Cluster counts corrected Z&lt;3'!$A11)</f>
        <v>#VALUE!</v>
      </c>
      <c r="M11" s="0" t="e">
        <f aca="false">SUMIFS(#REF!,#REF!,'Cluster counts corrected Z&lt;3'!$A11)</f>
        <v>#VALUE!</v>
      </c>
      <c r="N11" s="0" t="e">
        <f aca="false">SUMIFS(#REF!,#REF!,'Cluster counts corrected Z&lt;3'!$A11)</f>
        <v>#VALUE!</v>
      </c>
      <c r="O11" s="0" t="e">
        <f aca="false">SUMIFS(#REF!,#REF!,'Cluster counts corrected Z&lt;3'!$A11)</f>
        <v>#VALUE!</v>
      </c>
      <c r="P11" s="0" t="e">
        <f aca="false">SUMIFS(#REF!,#REF!,'Cluster counts corrected Z&lt;3'!$A11)</f>
        <v>#VALUE!</v>
      </c>
      <c r="Q11" s="0" t="e">
        <f aca="false">SUMIFS(#REF!,#REF!,'Cluster counts corrected Z&lt;3'!$A11)</f>
        <v>#VALUE!</v>
      </c>
      <c r="R11" s="0" t="e">
        <f aca="false">SUMIFS(#REF!,#REF!,'Cluster counts corrected Z&lt;3'!$A11)</f>
        <v>#VALUE!</v>
      </c>
      <c r="T11" s="3" t="e">
        <f aca="false">_xlfn.T.TEST(B11:J11,K11:R11,2,2)</f>
        <v>#VALUE!</v>
      </c>
      <c r="U11" s="0" t="e">
        <f aca="false">AVERAGE(B11:J11)</f>
        <v>#VALUE!</v>
      </c>
      <c r="V11" s="0" t="e">
        <f aca="false">AVERAGE(K11:R11)</f>
        <v>#VALUE!</v>
      </c>
      <c r="W11" s="0" t="e">
        <f aca="false">STDEV(B11:J11)/SQRT(COUNT(B11:J11))</f>
        <v>#VALUE!</v>
      </c>
      <c r="X11" s="0" t="e">
        <f aca="false">STDEV(K11:R11)/SQRT(COUNT(K11:R11))</f>
        <v>#VALUE!</v>
      </c>
    </row>
    <row r="12" customFormat="false" ht="14.5" hidden="false" customHeight="false" outlineLevel="0" collapsed="false">
      <c r="A12" s="0" t="n">
        <v>10</v>
      </c>
      <c r="B12" s="0" t="e">
        <f aca="false">SUMIFS(#REF!,#REF!,'Cluster counts corrected Z&lt;3'!$A12)</f>
        <v>#VALUE!</v>
      </c>
      <c r="C12" s="0" t="e">
        <f aca="false">SUMIFS(#REF!,#REF!,'Cluster counts corrected Z&lt;3'!$A12)</f>
        <v>#VALUE!</v>
      </c>
      <c r="D12" s="0" t="e">
        <f aca="false">SUMIFS(#REF!,#REF!,'Cluster counts corrected Z&lt;3'!$A12)</f>
        <v>#VALUE!</v>
      </c>
      <c r="E12" s="0" t="e">
        <f aca="false">SUMIFS(#REF!,#REF!,'Cluster counts corrected Z&lt;3'!$A12)</f>
        <v>#VALUE!</v>
      </c>
      <c r="F12" s="0" t="e">
        <f aca="false">SUMIFS(#REF!,#REF!,'Cluster counts corrected Z&lt;3'!$A12)</f>
        <v>#VALUE!</v>
      </c>
      <c r="G12" s="0" t="e">
        <f aca="false">SUMIFS(#REF!,#REF!,'Cluster counts corrected Z&lt;3'!$A12)</f>
        <v>#VALUE!</v>
      </c>
      <c r="H12" s="0" t="e">
        <f aca="false">SUMIFS(#REF!,#REF!,'Cluster counts corrected Z&lt;3'!$A12)</f>
        <v>#VALUE!</v>
      </c>
      <c r="I12" s="0" t="e">
        <f aca="false">SUMIFS(#REF!,#REF!,'Cluster counts corrected Z&lt;3'!$A12)</f>
        <v>#VALUE!</v>
      </c>
      <c r="J12" s="0" t="e">
        <f aca="false">SUMIFS(#REF!,#REF!,'Cluster counts corrected Z&lt;3'!$A12)</f>
        <v>#VALUE!</v>
      </c>
      <c r="K12" s="0" t="e">
        <f aca="false">SUMIFS(#REF!,#REF!,'Cluster counts corrected Z&lt;3'!$A12)</f>
        <v>#VALUE!</v>
      </c>
      <c r="L12" s="0" t="e">
        <f aca="false">SUMIFS(#REF!,#REF!,'Cluster counts corrected Z&lt;3'!$A12)</f>
        <v>#VALUE!</v>
      </c>
      <c r="M12" s="0" t="e">
        <f aca="false">SUMIFS(#REF!,#REF!,'Cluster counts corrected Z&lt;3'!$A12)</f>
        <v>#VALUE!</v>
      </c>
      <c r="N12" s="0" t="e">
        <f aca="false">SUMIFS(#REF!,#REF!,'Cluster counts corrected Z&lt;3'!$A12)</f>
        <v>#VALUE!</v>
      </c>
      <c r="O12" s="0" t="e">
        <f aca="false">SUMIFS(#REF!,#REF!,'Cluster counts corrected Z&lt;3'!$A12)</f>
        <v>#VALUE!</v>
      </c>
      <c r="P12" s="0" t="e">
        <f aca="false">SUMIFS(#REF!,#REF!,'Cluster counts corrected Z&lt;3'!$A12)</f>
        <v>#VALUE!</v>
      </c>
      <c r="Q12" s="0" t="e">
        <f aca="false">SUMIFS(#REF!,#REF!,'Cluster counts corrected Z&lt;3'!$A12)</f>
        <v>#VALUE!</v>
      </c>
      <c r="R12" s="0" t="e">
        <f aca="false">SUMIFS(#REF!,#REF!,'Cluster counts corrected Z&lt;3'!$A12)</f>
        <v>#VALUE!</v>
      </c>
      <c r="T12" s="3" t="e">
        <f aca="false">_xlfn.T.TEST(B12:J12,K12:R12,2,2)</f>
        <v>#VALUE!</v>
      </c>
      <c r="U12" s="0" t="e">
        <f aca="false">AVERAGE(B12:J12)</f>
        <v>#VALUE!</v>
      </c>
      <c r="V12" s="0" t="e">
        <f aca="false">AVERAGE(K12:R12)</f>
        <v>#VALUE!</v>
      </c>
      <c r="W12" s="0" t="e">
        <f aca="false">STDEV(B12:J12)/SQRT(COUNT(B12:J12))</f>
        <v>#VALUE!</v>
      </c>
      <c r="X12" s="0" t="e">
        <f aca="false">STDEV(K12:R12)/SQRT(COUNT(K12:R12))</f>
        <v>#VALUE!</v>
      </c>
    </row>
    <row r="13" customFormat="false" ht="14.5" hidden="false" customHeight="false" outlineLevel="0" collapsed="false">
      <c r="A13" s="0" t="n">
        <v>11</v>
      </c>
      <c r="B13" s="0" t="e">
        <f aca="false">SUMIFS(#REF!,#REF!,'Cluster counts corrected Z&lt;3'!$A13)</f>
        <v>#VALUE!</v>
      </c>
      <c r="C13" s="0" t="e">
        <f aca="false">SUMIFS(#REF!,#REF!,'Cluster counts corrected Z&lt;3'!$A13)</f>
        <v>#VALUE!</v>
      </c>
      <c r="D13" s="0" t="e">
        <f aca="false">SUMIFS(#REF!,#REF!,'Cluster counts corrected Z&lt;3'!$A13)</f>
        <v>#VALUE!</v>
      </c>
      <c r="E13" s="0" t="e">
        <f aca="false">SUMIFS(#REF!,#REF!,'Cluster counts corrected Z&lt;3'!$A13)</f>
        <v>#VALUE!</v>
      </c>
      <c r="F13" s="0" t="e">
        <f aca="false">SUMIFS(#REF!,#REF!,'Cluster counts corrected Z&lt;3'!$A13)</f>
        <v>#VALUE!</v>
      </c>
      <c r="G13" s="0" t="e">
        <f aca="false">SUMIFS(#REF!,#REF!,'Cluster counts corrected Z&lt;3'!$A13)</f>
        <v>#VALUE!</v>
      </c>
      <c r="H13" s="0" t="e">
        <f aca="false">SUMIFS(#REF!,#REF!,'Cluster counts corrected Z&lt;3'!$A13)</f>
        <v>#VALUE!</v>
      </c>
      <c r="I13" s="0" t="e">
        <f aca="false">SUMIFS(#REF!,#REF!,'Cluster counts corrected Z&lt;3'!$A13)</f>
        <v>#VALUE!</v>
      </c>
      <c r="J13" s="0" t="e">
        <f aca="false">SUMIFS(#REF!,#REF!,'Cluster counts corrected Z&lt;3'!$A13)</f>
        <v>#VALUE!</v>
      </c>
      <c r="K13" s="0" t="e">
        <f aca="false">SUMIFS(#REF!,#REF!,'Cluster counts corrected Z&lt;3'!$A13)</f>
        <v>#VALUE!</v>
      </c>
      <c r="L13" s="0" t="e">
        <f aca="false">SUMIFS(#REF!,#REF!,'Cluster counts corrected Z&lt;3'!$A13)</f>
        <v>#VALUE!</v>
      </c>
      <c r="M13" s="0" t="e">
        <f aca="false">SUMIFS(#REF!,#REF!,'Cluster counts corrected Z&lt;3'!$A13)</f>
        <v>#VALUE!</v>
      </c>
      <c r="N13" s="0" t="e">
        <f aca="false">SUMIFS(#REF!,#REF!,'Cluster counts corrected Z&lt;3'!$A13)</f>
        <v>#VALUE!</v>
      </c>
      <c r="O13" s="0" t="e">
        <f aca="false">SUMIFS(#REF!,#REF!,'Cluster counts corrected Z&lt;3'!$A13)</f>
        <v>#VALUE!</v>
      </c>
      <c r="P13" s="0" t="e">
        <f aca="false">SUMIFS(#REF!,#REF!,'Cluster counts corrected Z&lt;3'!$A13)</f>
        <v>#VALUE!</v>
      </c>
      <c r="Q13" s="0" t="e">
        <f aca="false">SUMIFS(#REF!,#REF!,'Cluster counts corrected Z&lt;3'!$A13)</f>
        <v>#VALUE!</v>
      </c>
      <c r="R13" s="0" t="e">
        <f aca="false">SUMIFS(#REF!,#REF!,'Cluster counts corrected Z&lt;3'!$A13)</f>
        <v>#VALUE!</v>
      </c>
      <c r="T13" s="3" t="e">
        <f aca="false">_xlfn.T.TEST(B13:J13,K13:R13,2,2)</f>
        <v>#VALUE!</v>
      </c>
      <c r="U13" s="0" t="e">
        <f aca="false">AVERAGE(B13:J13)</f>
        <v>#VALUE!</v>
      </c>
      <c r="V13" s="0" t="e">
        <f aca="false">AVERAGE(K13:R13)</f>
        <v>#VALUE!</v>
      </c>
      <c r="W13" s="0" t="e">
        <f aca="false">STDEV(B13:J13)/SQRT(COUNT(B13:J13))</f>
        <v>#VALUE!</v>
      </c>
      <c r="X13" s="0" t="e">
        <f aca="false">STDEV(K13:R13)/SQRT(COUNT(K13:R13))</f>
        <v>#VALUE!</v>
      </c>
    </row>
    <row r="14" customFormat="false" ht="14.5" hidden="false" customHeight="false" outlineLevel="0" collapsed="false">
      <c r="A14" s="0" t="n">
        <v>12</v>
      </c>
      <c r="B14" s="0" t="e">
        <f aca="false">SUMIFS(#REF!,#REF!,'Cluster counts corrected Z&lt;3'!$A14)</f>
        <v>#VALUE!</v>
      </c>
      <c r="C14" s="0" t="e">
        <f aca="false">SUMIFS(#REF!,#REF!,'Cluster counts corrected Z&lt;3'!$A14)</f>
        <v>#VALUE!</v>
      </c>
      <c r="D14" s="0" t="e">
        <f aca="false">SUMIFS(#REF!,#REF!,'Cluster counts corrected Z&lt;3'!$A14)</f>
        <v>#VALUE!</v>
      </c>
      <c r="E14" s="0" t="e">
        <f aca="false">SUMIFS(#REF!,#REF!,'Cluster counts corrected Z&lt;3'!$A14)</f>
        <v>#VALUE!</v>
      </c>
      <c r="F14" s="0" t="e">
        <f aca="false">SUMIFS(#REF!,#REF!,'Cluster counts corrected Z&lt;3'!$A14)</f>
        <v>#VALUE!</v>
      </c>
      <c r="G14" s="0" t="e">
        <f aca="false">SUMIFS(#REF!,#REF!,'Cluster counts corrected Z&lt;3'!$A14)</f>
        <v>#VALUE!</v>
      </c>
      <c r="H14" s="0" t="e">
        <f aca="false">SUMIFS(#REF!,#REF!,'Cluster counts corrected Z&lt;3'!$A14)</f>
        <v>#VALUE!</v>
      </c>
      <c r="I14" s="0" t="e">
        <f aca="false">SUMIFS(#REF!,#REF!,'Cluster counts corrected Z&lt;3'!$A14)</f>
        <v>#VALUE!</v>
      </c>
      <c r="J14" s="0" t="e">
        <f aca="false">SUMIFS(#REF!,#REF!,'Cluster counts corrected Z&lt;3'!$A14)</f>
        <v>#VALUE!</v>
      </c>
      <c r="K14" s="0" t="e">
        <f aca="false">SUMIFS(#REF!,#REF!,'Cluster counts corrected Z&lt;3'!$A14)</f>
        <v>#VALUE!</v>
      </c>
      <c r="L14" s="0" t="e">
        <f aca="false">SUMIFS(#REF!,#REF!,'Cluster counts corrected Z&lt;3'!$A14)</f>
        <v>#VALUE!</v>
      </c>
      <c r="M14" s="0" t="e">
        <f aca="false">SUMIFS(#REF!,#REF!,'Cluster counts corrected Z&lt;3'!$A14)</f>
        <v>#VALUE!</v>
      </c>
      <c r="N14" s="0" t="e">
        <f aca="false">SUMIFS(#REF!,#REF!,'Cluster counts corrected Z&lt;3'!$A14)</f>
        <v>#VALUE!</v>
      </c>
      <c r="O14" s="0" t="e">
        <f aca="false">SUMIFS(#REF!,#REF!,'Cluster counts corrected Z&lt;3'!$A14)</f>
        <v>#VALUE!</v>
      </c>
      <c r="P14" s="0" t="e">
        <f aca="false">SUMIFS(#REF!,#REF!,'Cluster counts corrected Z&lt;3'!$A14)</f>
        <v>#VALUE!</v>
      </c>
      <c r="Q14" s="0" t="e">
        <f aca="false">SUMIFS(#REF!,#REF!,'Cluster counts corrected Z&lt;3'!$A14)</f>
        <v>#VALUE!</v>
      </c>
      <c r="R14" s="0" t="e">
        <f aca="false">SUMIFS(#REF!,#REF!,'Cluster counts corrected Z&lt;3'!$A14)</f>
        <v>#VALUE!</v>
      </c>
      <c r="T14" s="3" t="e">
        <f aca="false">_xlfn.T.TEST(B14:J14,K14:R14,2,2)</f>
        <v>#VALUE!</v>
      </c>
      <c r="U14" s="0" t="e">
        <f aca="false">AVERAGE(B14:J14)</f>
        <v>#VALUE!</v>
      </c>
      <c r="V14" s="0" t="e">
        <f aca="false">AVERAGE(K14:R14)</f>
        <v>#VALUE!</v>
      </c>
      <c r="W14" s="0" t="e">
        <f aca="false">STDEV(B14:J14)/SQRT(COUNT(B14:J14))</f>
        <v>#VALUE!</v>
      </c>
      <c r="X14" s="0" t="e">
        <f aca="false">STDEV(K14:R14)/SQRT(COUNT(K14:R14))</f>
        <v>#VALUE!</v>
      </c>
    </row>
    <row r="15" customFormat="false" ht="14.5" hidden="false" customHeight="false" outlineLevel="0" collapsed="false">
      <c r="A15" s="0" t="n">
        <v>13</v>
      </c>
      <c r="B15" s="0" t="e">
        <f aca="false">SUMIFS(#REF!,#REF!,'Cluster counts corrected Z&lt;3'!$A15)</f>
        <v>#VALUE!</v>
      </c>
      <c r="C15" s="0" t="e">
        <f aca="false">SUMIFS(#REF!,#REF!,'Cluster counts corrected Z&lt;3'!$A15)</f>
        <v>#VALUE!</v>
      </c>
      <c r="D15" s="0" t="e">
        <f aca="false">SUMIFS(#REF!,#REF!,'Cluster counts corrected Z&lt;3'!$A15)</f>
        <v>#VALUE!</v>
      </c>
      <c r="E15" s="0" t="e">
        <f aca="false">SUMIFS(#REF!,#REF!,'Cluster counts corrected Z&lt;3'!$A15)</f>
        <v>#VALUE!</v>
      </c>
      <c r="F15" s="0" t="e">
        <f aca="false">SUMIFS(#REF!,#REF!,'Cluster counts corrected Z&lt;3'!$A15)</f>
        <v>#VALUE!</v>
      </c>
      <c r="G15" s="0" t="e">
        <f aca="false">SUMIFS(#REF!,#REF!,'Cluster counts corrected Z&lt;3'!$A15)</f>
        <v>#VALUE!</v>
      </c>
      <c r="H15" s="0" t="e">
        <f aca="false">SUMIFS(#REF!,#REF!,'Cluster counts corrected Z&lt;3'!$A15)</f>
        <v>#VALUE!</v>
      </c>
      <c r="I15" s="0" t="e">
        <f aca="false">SUMIFS(#REF!,#REF!,'Cluster counts corrected Z&lt;3'!$A15)</f>
        <v>#VALUE!</v>
      </c>
      <c r="J15" s="0" t="e">
        <f aca="false">SUMIFS(#REF!,#REF!,'Cluster counts corrected Z&lt;3'!$A15)</f>
        <v>#VALUE!</v>
      </c>
      <c r="K15" s="0" t="e">
        <f aca="false">SUMIFS(#REF!,#REF!,'Cluster counts corrected Z&lt;3'!$A15)</f>
        <v>#VALUE!</v>
      </c>
      <c r="L15" s="0" t="e">
        <f aca="false">SUMIFS(#REF!,#REF!,'Cluster counts corrected Z&lt;3'!$A15)</f>
        <v>#VALUE!</v>
      </c>
      <c r="M15" s="0" t="e">
        <f aca="false">SUMIFS(#REF!,#REF!,'Cluster counts corrected Z&lt;3'!$A15)</f>
        <v>#VALUE!</v>
      </c>
      <c r="N15" s="0" t="e">
        <f aca="false">SUMIFS(#REF!,#REF!,'Cluster counts corrected Z&lt;3'!$A15)</f>
        <v>#VALUE!</v>
      </c>
      <c r="O15" s="0" t="e">
        <f aca="false">SUMIFS(#REF!,#REF!,'Cluster counts corrected Z&lt;3'!$A15)</f>
        <v>#VALUE!</v>
      </c>
      <c r="P15" s="0" t="e">
        <f aca="false">SUMIFS(#REF!,#REF!,'Cluster counts corrected Z&lt;3'!$A15)</f>
        <v>#VALUE!</v>
      </c>
      <c r="Q15" s="0" t="e">
        <f aca="false">SUMIFS(#REF!,#REF!,'Cluster counts corrected Z&lt;3'!$A15)</f>
        <v>#VALUE!</v>
      </c>
      <c r="R15" s="0" t="e">
        <f aca="false">SUMIFS(#REF!,#REF!,'Cluster counts corrected Z&lt;3'!$A15)</f>
        <v>#VALUE!</v>
      </c>
      <c r="T15" s="3" t="e">
        <f aca="false">_xlfn.T.TEST(B15:J15,K15:R15,2,2)</f>
        <v>#VALUE!</v>
      </c>
      <c r="U15" s="0" t="e">
        <f aca="false">AVERAGE(B15:J15)</f>
        <v>#VALUE!</v>
      </c>
      <c r="V15" s="0" t="e">
        <f aca="false">AVERAGE(K15:R15)</f>
        <v>#VALUE!</v>
      </c>
      <c r="W15" s="0" t="e">
        <f aca="false">STDEV(B15:J15)/SQRT(COUNT(B15:J15))</f>
        <v>#VALUE!</v>
      </c>
      <c r="X15" s="0" t="e">
        <f aca="false">STDEV(K15:R15)/SQRT(COUNT(K15:R15))</f>
        <v>#VALUE!</v>
      </c>
    </row>
    <row r="16" customFormat="false" ht="14.5" hidden="false" customHeight="false" outlineLevel="0" collapsed="false">
      <c r="A16" s="0" t="n">
        <v>14</v>
      </c>
      <c r="B16" s="0" t="e">
        <f aca="false">SUMIFS(#REF!,#REF!,'Cluster counts corrected Z&lt;3'!$A16)</f>
        <v>#VALUE!</v>
      </c>
      <c r="C16" s="0" t="e">
        <f aca="false">SUMIFS(#REF!,#REF!,'Cluster counts corrected Z&lt;3'!$A16)</f>
        <v>#VALUE!</v>
      </c>
      <c r="D16" s="0" t="e">
        <f aca="false">SUMIFS(#REF!,#REF!,'Cluster counts corrected Z&lt;3'!$A16)</f>
        <v>#VALUE!</v>
      </c>
      <c r="E16" s="0" t="e">
        <f aca="false">SUMIFS(#REF!,#REF!,'Cluster counts corrected Z&lt;3'!$A16)</f>
        <v>#VALUE!</v>
      </c>
      <c r="F16" s="0" t="e">
        <f aca="false">SUMIFS(#REF!,#REF!,'Cluster counts corrected Z&lt;3'!$A16)</f>
        <v>#VALUE!</v>
      </c>
      <c r="G16" s="0" t="e">
        <f aca="false">SUMIFS(#REF!,#REF!,'Cluster counts corrected Z&lt;3'!$A16)</f>
        <v>#VALUE!</v>
      </c>
      <c r="H16" s="0" t="e">
        <f aca="false">SUMIFS(#REF!,#REF!,'Cluster counts corrected Z&lt;3'!$A16)</f>
        <v>#VALUE!</v>
      </c>
      <c r="I16" s="0" t="e">
        <f aca="false">SUMIFS(#REF!,#REF!,'Cluster counts corrected Z&lt;3'!$A16)</f>
        <v>#VALUE!</v>
      </c>
      <c r="J16" s="0" t="e">
        <f aca="false">SUMIFS(#REF!,#REF!,'Cluster counts corrected Z&lt;3'!$A16)</f>
        <v>#VALUE!</v>
      </c>
      <c r="K16" s="0" t="e">
        <f aca="false">SUMIFS(#REF!,#REF!,'Cluster counts corrected Z&lt;3'!$A16)</f>
        <v>#VALUE!</v>
      </c>
      <c r="L16" s="0" t="e">
        <f aca="false">SUMIFS(#REF!,#REF!,'Cluster counts corrected Z&lt;3'!$A16)</f>
        <v>#VALUE!</v>
      </c>
      <c r="M16" s="0" t="e">
        <f aca="false">SUMIFS(#REF!,#REF!,'Cluster counts corrected Z&lt;3'!$A16)</f>
        <v>#VALUE!</v>
      </c>
      <c r="N16" s="0" t="e">
        <f aca="false">SUMIFS(#REF!,#REF!,'Cluster counts corrected Z&lt;3'!$A16)</f>
        <v>#VALUE!</v>
      </c>
      <c r="O16" s="0" t="e">
        <f aca="false">SUMIFS(#REF!,#REF!,'Cluster counts corrected Z&lt;3'!$A16)</f>
        <v>#VALUE!</v>
      </c>
      <c r="P16" s="0" t="e">
        <f aca="false">SUMIFS(#REF!,#REF!,'Cluster counts corrected Z&lt;3'!$A16)</f>
        <v>#VALUE!</v>
      </c>
      <c r="Q16" s="0" t="e">
        <f aca="false">SUMIFS(#REF!,#REF!,'Cluster counts corrected Z&lt;3'!$A16)</f>
        <v>#VALUE!</v>
      </c>
      <c r="R16" s="0" t="e">
        <f aca="false">SUMIFS(#REF!,#REF!,'Cluster counts corrected Z&lt;3'!$A16)</f>
        <v>#VALUE!</v>
      </c>
      <c r="T16" s="3" t="e">
        <f aca="false">_xlfn.T.TEST(B16:J16,K16:R16,2,2)</f>
        <v>#VALUE!</v>
      </c>
      <c r="U16" s="0" t="e">
        <f aca="false">AVERAGE(B16:J16)</f>
        <v>#VALUE!</v>
      </c>
      <c r="V16" s="0" t="e">
        <f aca="false">AVERAGE(K16:R16)</f>
        <v>#VALUE!</v>
      </c>
      <c r="W16" s="0" t="e">
        <f aca="false">STDEV(B16:J16)/SQRT(COUNT(B16:J16))</f>
        <v>#VALUE!</v>
      </c>
      <c r="X16" s="0" t="e">
        <f aca="false">STDEV(K16:R16)/SQRT(COUNT(K16:R16))</f>
        <v>#VALUE!</v>
      </c>
    </row>
    <row r="17" customFormat="false" ht="14.5" hidden="false" customHeight="false" outlineLevel="0" collapsed="false">
      <c r="A17" s="0" t="n">
        <v>15</v>
      </c>
      <c r="B17" s="0" t="e">
        <f aca="false">SUMIFS(#REF!,#REF!,'Cluster counts corrected Z&lt;3'!$A17)</f>
        <v>#VALUE!</v>
      </c>
      <c r="C17" s="0" t="e">
        <f aca="false">SUMIFS(#REF!,#REF!,'Cluster counts corrected Z&lt;3'!$A17)</f>
        <v>#VALUE!</v>
      </c>
      <c r="D17" s="0" t="e">
        <f aca="false">SUMIFS(#REF!,#REF!,'Cluster counts corrected Z&lt;3'!$A17)</f>
        <v>#VALUE!</v>
      </c>
      <c r="E17" s="0" t="e">
        <f aca="false">SUMIFS(#REF!,#REF!,'Cluster counts corrected Z&lt;3'!$A17)</f>
        <v>#VALUE!</v>
      </c>
      <c r="F17" s="0" t="e">
        <f aca="false">SUMIFS(#REF!,#REF!,'Cluster counts corrected Z&lt;3'!$A17)</f>
        <v>#VALUE!</v>
      </c>
      <c r="G17" s="0" t="e">
        <f aca="false">SUMIFS(#REF!,#REF!,'Cluster counts corrected Z&lt;3'!$A17)</f>
        <v>#VALUE!</v>
      </c>
      <c r="H17" s="0" t="e">
        <f aca="false">SUMIFS(#REF!,#REF!,'Cluster counts corrected Z&lt;3'!$A17)</f>
        <v>#VALUE!</v>
      </c>
      <c r="I17" s="0" t="e">
        <f aca="false">SUMIFS(#REF!,#REF!,'Cluster counts corrected Z&lt;3'!$A17)</f>
        <v>#VALUE!</v>
      </c>
      <c r="J17" s="0" t="e">
        <f aca="false">SUMIFS(#REF!,#REF!,'Cluster counts corrected Z&lt;3'!$A17)</f>
        <v>#VALUE!</v>
      </c>
      <c r="K17" s="0" t="e">
        <f aca="false">SUMIFS(#REF!,#REF!,'Cluster counts corrected Z&lt;3'!$A17)</f>
        <v>#VALUE!</v>
      </c>
      <c r="L17" s="0" t="e">
        <f aca="false">SUMIFS(#REF!,#REF!,'Cluster counts corrected Z&lt;3'!$A17)</f>
        <v>#VALUE!</v>
      </c>
      <c r="M17" s="0" t="e">
        <f aca="false">SUMIFS(#REF!,#REF!,'Cluster counts corrected Z&lt;3'!$A17)</f>
        <v>#VALUE!</v>
      </c>
      <c r="N17" s="0" t="e">
        <f aca="false">SUMIFS(#REF!,#REF!,'Cluster counts corrected Z&lt;3'!$A17)</f>
        <v>#VALUE!</v>
      </c>
      <c r="O17" s="0" t="e">
        <f aca="false">SUMIFS(#REF!,#REF!,'Cluster counts corrected Z&lt;3'!$A17)</f>
        <v>#VALUE!</v>
      </c>
      <c r="P17" s="0" t="e">
        <f aca="false">SUMIFS(#REF!,#REF!,'Cluster counts corrected Z&lt;3'!$A17)</f>
        <v>#VALUE!</v>
      </c>
      <c r="Q17" s="0" t="e">
        <f aca="false">SUMIFS(#REF!,#REF!,'Cluster counts corrected Z&lt;3'!$A17)</f>
        <v>#VALUE!</v>
      </c>
      <c r="R17" s="0" t="e">
        <f aca="false">SUMIFS(#REF!,#REF!,'Cluster counts corrected Z&lt;3'!$A17)</f>
        <v>#VALUE!</v>
      </c>
      <c r="T17" s="3" t="e">
        <f aca="false">_xlfn.T.TEST(B17:J17,K17:R17,2,2)</f>
        <v>#VALUE!</v>
      </c>
      <c r="U17" s="0" t="e">
        <f aca="false">AVERAGE(B17:J17)</f>
        <v>#VALUE!</v>
      </c>
      <c r="V17" s="0" t="e">
        <f aca="false">AVERAGE(K17:R17)</f>
        <v>#VALUE!</v>
      </c>
      <c r="W17" s="0" t="e">
        <f aca="false">STDEV(B17:J17)/SQRT(COUNT(B17:J17))</f>
        <v>#VALUE!</v>
      </c>
      <c r="X17" s="0" t="e">
        <f aca="false">STDEV(K17:R17)/SQRT(COUNT(K17:R17))</f>
        <v>#VALUE!</v>
      </c>
    </row>
    <row r="18" customFormat="false" ht="14.5" hidden="false" customHeight="false" outlineLevel="0" collapsed="false">
      <c r="A18" s="0" t="n">
        <v>16</v>
      </c>
      <c r="B18" s="0" t="e">
        <f aca="false">SUMIFS(#REF!,#REF!,'Cluster counts corrected Z&lt;3'!$A18)</f>
        <v>#VALUE!</v>
      </c>
      <c r="C18" s="0" t="e">
        <f aca="false">SUMIFS(#REF!,#REF!,'Cluster counts corrected Z&lt;3'!$A18)</f>
        <v>#VALUE!</v>
      </c>
      <c r="D18" s="0" t="e">
        <f aca="false">SUMIFS(#REF!,#REF!,'Cluster counts corrected Z&lt;3'!$A18)</f>
        <v>#VALUE!</v>
      </c>
      <c r="E18" s="0" t="e">
        <f aca="false">SUMIFS(#REF!,#REF!,'Cluster counts corrected Z&lt;3'!$A18)</f>
        <v>#VALUE!</v>
      </c>
      <c r="F18" s="0" t="e">
        <f aca="false">SUMIFS(#REF!,#REF!,'Cluster counts corrected Z&lt;3'!$A18)</f>
        <v>#VALUE!</v>
      </c>
      <c r="G18" s="0" t="e">
        <f aca="false">SUMIFS(#REF!,#REF!,'Cluster counts corrected Z&lt;3'!$A18)</f>
        <v>#VALUE!</v>
      </c>
      <c r="H18" s="0" t="e">
        <f aca="false">SUMIFS(#REF!,#REF!,'Cluster counts corrected Z&lt;3'!$A18)</f>
        <v>#VALUE!</v>
      </c>
      <c r="I18" s="0" t="e">
        <f aca="false">SUMIFS(#REF!,#REF!,'Cluster counts corrected Z&lt;3'!$A18)</f>
        <v>#VALUE!</v>
      </c>
      <c r="J18" s="0" t="e">
        <f aca="false">SUMIFS(#REF!,#REF!,'Cluster counts corrected Z&lt;3'!$A18)</f>
        <v>#VALUE!</v>
      </c>
      <c r="K18" s="0" t="e">
        <f aca="false">SUMIFS(#REF!,#REF!,'Cluster counts corrected Z&lt;3'!$A18)</f>
        <v>#VALUE!</v>
      </c>
      <c r="L18" s="0" t="e">
        <f aca="false">SUMIFS(#REF!,#REF!,'Cluster counts corrected Z&lt;3'!$A18)</f>
        <v>#VALUE!</v>
      </c>
      <c r="M18" s="0" t="e">
        <f aca="false">SUMIFS(#REF!,#REF!,'Cluster counts corrected Z&lt;3'!$A18)</f>
        <v>#VALUE!</v>
      </c>
      <c r="N18" s="0" t="e">
        <f aca="false">SUMIFS(#REF!,#REF!,'Cluster counts corrected Z&lt;3'!$A18)</f>
        <v>#VALUE!</v>
      </c>
      <c r="O18" s="0" t="e">
        <f aca="false">SUMIFS(#REF!,#REF!,'Cluster counts corrected Z&lt;3'!$A18)</f>
        <v>#VALUE!</v>
      </c>
      <c r="P18" s="0" t="e">
        <f aca="false">SUMIFS(#REF!,#REF!,'Cluster counts corrected Z&lt;3'!$A18)</f>
        <v>#VALUE!</v>
      </c>
      <c r="Q18" s="0" t="e">
        <f aca="false">SUMIFS(#REF!,#REF!,'Cluster counts corrected Z&lt;3'!$A18)</f>
        <v>#VALUE!</v>
      </c>
      <c r="R18" s="0" t="e">
        <f aca="false">SUMIFS(#REF!,#REF!,'Cluster counts corrected Z&lt;3'!$A18)</f>
        <v>#VALUE!</v>
      </c>
      <c r="T18" s="3" t="e">
        <f aca="false">_xlfn.T.TEST(B18:J18,K18:R18,2,2)</f>
        <v>#VALUE!</v>
      </c>
      <c r="U18" s="0" t="e">
        <f aca="false">AVERAGE(B18:J18)</f>
        <v>#VALUE!</v>
      </c>
      <c r="V18" s="0" t="e">
        <f aca="false">AVERAGE(K18:R18)</f>
        <v>#VALUE!</v>
      </c>
      <c r="W18" s="0" t="e">
        <f aca="false">STDEV(B18:J18)/SQRT(COUNT(B18:J18))</f>
        <v>#VALUE!</v>
      </c>
      <c r="X18" s="0" t="e">
        <f aca="false">STDEV(K18:R18)/SQRT(COUNT(K18:R18))</f>
        <v>#VALUE!</v>
      </c>
    </row>
    <row r="19" customFormat="false" ht="14.5" hidden="false" customHeight="false" outlineLevel="0" collapsed="false">
      <c r="A19" s="0" t="n">
        <v>17</v>
      </c>
      <c r="B19" s="0" t="e">
        <f aca="false">SUMIFS(#REF!,#REF!,'Cluster counts corrected Z&lt;3'!$A19)</f>
        <v>#VALUE!</v>
      </c>
      <c r="C19" s="0" t="e">
        <f aca="false">SUMIFS(#REF!,#REF!,'Cluster counts corrected Z&lt;3'!$A19)</f>
        <v>#VALUE!</v>
      </c>
      <c r="D19" s="0" t="e">
        <f aca="false">SUMIFS(#REF!,#REF!,'Cluster counts corrected Z&lt;3'!$A19)</f>
        <v>#VALUE!</v>
      </c>
      <c r="E19" s="0" t="e">
        <f aca="false">SUMIFS(#REF!,#REF!,'Cluster counts corrected Z&lt;3'!$A19)</f>
        <v>#VALUE!</v>
      </c>
      <c r="F19" s="0" t="e">
        <f aca="false">SUMIFS(#REF!,#REF!,'Cluster counts corrected Z&lt;3'!$A19)</f>
        <v>#VALUE!</v>
      </c>
      <c r="G19" s="0" t="e">
        <f aca="false">SUMIFS(#REF!,#REF!,'Cluster counts corrected Z&lt;3'!$A19)</f>
        <v>#VALUE!</v>
      </c>
      <c r="H19" s="0" t="e">
        <f aca="false">SUMIFS(#REF!,#REF!,'Cluster counts corrected Z&lt;3'!$A19)</f>
        <v>#VALUE!</v>
      </c>
      <c r="I19" s="0" t="e">
        <f aca="false">SUMIFS(#REF!,#REF!,'Cluster counts corrected Z&lt;3'!$A19)</f>
        <v>#VALUE!</v>
      </c>
      <c r="J19" s="0" t="e">
        <f aca="false">SUMIFS(#REF!,#REF!,'Cluster counts corrected Z&lt;3'!$A19)</f>
        <v>#VALUE!</v>
      </c>
      <c r="K19" s="0" t="e">
        <f aca="false">SUMIFS(#REF!,#REF!,'Cluster counts corrected Z&lt;3'!$A19)</f>
        <v>#VALUE!</v>
      </c>
      <c r="L19" s="0" t="e">
        <f aca="false">SUMIFS(#REF!,#REF!,'Cluster counts corrected Z&lt;3'!$A19)</f>
        <v>#VALUE!</v>
      </c>
      <c r="M19" s="0" t="e">
        <f aca="false">SUMIFS(#REF!,#REF!,'Cluster counts corrected Z&lt;3'!$A19)</f>
        <v>#VALUE!</v>
      </c>
      <c r="N19" s="0" t="e">
        <f aca="false">SUMIFS(#REF!,#REF!,'Cluster counts corrected Z&lt;3'!$A19)</f>
        <v>#VALUE!</v>
      </c>
      <c r="O19" s="0" t="e">
        <f aca="false">SUMIFS(#REF!,#REF!,'Cluster counts corrected Z&lt;3'!$A19)</f>
        <v>#VALUE!</v>
      </c>
      <c r="P19" s="0" t="e">
        <f aca="false">SUMIFS(#REF!,#REF!,'Cluster counts corrected Z&lt;3'!$A19)</f>
        <v>#VALUE!</v>
      </c>
      <c r="Q19" s="0" t="e">
        <f aca="false">SUMIFS(#REF!,#REF!,'Cluster counts corrected Z&lt;3'!$A19)</f>
        <v>#VALUE!</v>
      </c>
      <c r="R19" s="0" t="e">
        <f aca="false">SUMIFS(#REF!,#REF!,'Cluster counts corrected Z&lt;3'!$A19)</f>
        <v>#VALUE!</v>
      </c>
      <c r="T19" s="3" t="e">
        <f aca="false">_xlfn.T.TEST(B19:J19,K19:R19,2,2)</f>
        <v>#VALUE!</v>
      </c>
      <c r="U19" s="0" t="e">
        <f aca="false">AVERAGE(B19:J19)</f>
        <v>#VALUE!</v>
      </c>
      <c r="V19" s="0" t="e">
        <f aca="false">AVERAGE(K19:R19)</f>
        <v>#VALUE!</v>
      </c>
      <c r="W19" s="0" t="e">
        <f aca="false">STDEV(B19:J19)/SQRT(COUNT(B19:J19))</f>
        <v>#VALUE!</v>
      </c>
      <c r="X19" s="0" t="e">
        <f aca="false">STDEV(K19:R19)/SQRT(COUNT(K19:R19))</f>
        <v>#VALUE!</v>
      </c>
    </row>
    <row r="20" customFormat="false" ht="14.5" hidden="false" customHeight="false" outlineLevel="0" collapsed="false">
      <c r="A20" s="0" t="n">
        <v>18</v>
      </c>
      <c r="B20" s="0" t="e">
        <f aca="false">SUMIFS(#REF!,#REF!,'Cluster counts corrected Z&lt;3'!$A20)</f>
        <v>#VALUE!</v>
      </c>
      <c r="C20" s="0" t="e">
        <f aca="false">SUMIFS(#REF!,#REF!,'Cluster counts corrected Z&lt;3'!$A20)</f>
        <v>#VALUE!</v>
      </c>
      <c r="D20" s="0" t="e">
        <f aca="false">SUMIFS(#REF!,#REF!,'Cluster counts corrected Z&lt;3'!$A20)</f>
        <v>#VALUE!</v>
      </c>
      <c r="E20" s="0" t="e">
        <f aca="false">SUMIFS(#REF!,#REF!,'Cluster counts corrected Z&lt;3'!$A20)</f>
        <v>#VALUE!</v>
      </c>
      <c r="F20" s="0" t="e">
        <f aca="false">SUMIFS(#REF!,#REF!,'Cluster counts corrected Z&lt;3'!$A20)</f>
        <v>#VALUE!</v>
      </c>
      <c r="G20" s="0" t="e">
        <f aca="false">SUMIFS(#REF!,#REF!,'Cluster counts corrected Z&lt;3'!$A20)</f>
        <v>#VALUE!</v>
      </c>
      <c r="H20" s="0" t="e">
        <f aca="false">SUMIFS(#REF!,#REF!,'Cluster counts corrected Z&lt;3'!$A20)</f>
        <v>#VALUE!</v>
      </c>
      <c r="I20" s="0" t="e">
        <f aca="false">SUMIFS(#REF!,#REF!,'Cluster counts corrected Z&lt;3'!$A20)</f>
        <v>#VALUE!</v>
      </c>
      <c r="J20" s="0" t="e">
        <f aca="false">SUMIFS(#REF!,#REF!,'Cluster counts corrected Z&lt;3'!$A20)</f>
        <v>#VALUE!</v>
      </c>
      <c r="K20" s="0" t="e">
        <f aca="false">SUMIFS(#REF!,#REF!,'Cluster counts corrected Z&lt;3'!$A20)</f>
        <v>#VALUE!</v>
      </c>
      <c r="L20" s="0" t="e">
        <f aca="false">SUMIFS(#REF!,#REF!,'Cluster counts corrected Z&lt;3'!$A20)</f>
        <v>#VALUE!</v>
      </c>
      <c r="M20" s="0" t="e">
        <f aca="false">SUMIFS(#REF!,#REF!,'Cluster counts corrected Z&lt;3'!$A20)</f>
        <v>#VALUE!</v>
      </c>
      <c r="N20" s="0" t="e">
        <f aca="false">SUMIFS(#REF!,#REF!,'Cluster counts corrected Z&lt;3'!$A20)</f>
        <v>#VALUE!</v>
      </c>
      <c r="O20" s="0" t="e">
        <f aca="false">SUMIFS(#REF!,#REF!,'Cluster counts corrected Z&lt;3'!$A20)</f>
        <v>#VALUE!</v>
      </c>
      <c r="P20" s="0" t="e">
        <f aca="false">SUMIFS(#REF!,#REF!,'Cluster counts corrected Z&lt;3'!$A20)</f>
        <v>#VALUE!</v>
      </c>
      <c r="Q20" s="0" t="e">
        <f aca="false">SUMIFS(#REF!,#REF!,'Cluster counts corrected Z&lt;3'!$A20)</f>
        <v>#VALUE!</v>
      </c>
      <c r="R20" s="0" t="e">
        <f aca="false">SUMIFS(#REF!,#REF!,'Cluster counts corrected Z&lt;3'!$A20)</f>
        <v>#VALUE!</v>
      </c>
      <c r="T20" s="3" t="e">
        <f aca="false">_xlfn.T.TEST(B20:J20,K20:R20,2,2)</f>
        <v>#VALUE!</v>
      </c>
      <c r="U20" s="0" t="e">
        <f aca="false">AVERAGE(B20:J20)</f>
        <v>#VALUE!</v>
      </c>
      <c r="V20" s="0" t="e">
        <f aca="false">AVERAGE(K20:R20)</f>
        <v>#VALUE!</v>
      </c>
      <c r="W20" s="0" t="e">
        <f aca="false">STDEV(B20:J20)/SQRT(COUNT(B20:J20))</f>
        <v>#VALUE!</v>
      </c>
      <c r="X20" s="0" t="e">
        <f aca="false">STDEV(K20:R20)/SQRT(COUNT(K20:R20))</f>
        <v>#VALUE!</v>
      </c>
    </row>
    <row r="21" customFormat="false" ht="14.5" hidden="false" customHeight="false" outlineLevel="0" collapsed="false">
      <c r="A21" s="0" t="n">
        <v>19</v>
      </c>
      <c r="B21" s="0" t="e">
        <f aca="false">SUMIFS(#REF!,#REF!,'Cluster counts corrected Z&lt;3'!$A21)</f>
        <v>#VALUE!</v>
      </c>
      <c r="C21" s="0" t="e">
        <f aca="false">SUMIFS(#REF!,#REF!,'Cluster counts corrected Z&lt;3'!$A21)</f>
        <v>#VALUE!</v>
      </c>
      <c r="D21" s="0" t="e">
        <f aca="false">SUMIFS(#REF!,#REF!,'Cluster counts corrected Z&lt;3'!$A21)</f>
        <v>#VALUE!</v>
      </c>
      <c r="E21" s="0" t="e">
        <f aca="false">SUMIFS(#REF!,#REF!,'Cluster counts corrected Z&lt;3'!$A21)</f>
        <v>#VALUE!</v>
      </c>
      <c r="F21" s="0" t="e">
        <f aca="false">SUMIFS(#REF!,#REF!,'Cluster counts corrected Z&lt;3'!$A21)</f>
        <v>#VALUE!</v>
      </c>
      <c r="G21" s="0" t="e">
        <f aca="false">SUMIFS(#REF!,#REF!,'Cluster counts corrected Z&lt;3'!$A21)</f>
        <v>#VALUE!</v>
      </c>
      <c r="H21" s="0" t="e">
        <f aca="false">SUMIFS(#REF!,#REF!,'Cluster counts corrected Z&lt;3'!$A21)</f>
        <v>#VALUE!</v>
      </c>
      <c r="I21" s="0" t="e">
        <f aca="false">SUMIFS(#REF!,#REF!,'Cluster counts corrected Z&lt;3'!$A21)</f>
        <v>#VALUE!</v>
      </c>
      <c r="J21" s="0" t="e">
        <f aca="false">SUMIFS(#REF!,#REF!,'Cluster counts corrected Z&lt;3'!$A21)</f>
        <v>#VALUE!</v>
      </c>
      <c r="K21" s="0" t="e">
        <f aca="false">SUMIFS(#REF!,#REF!,'Cluster counts corrected Z&lt;3'!$A21)</f>
        <v>#VALUE!</v>
      </c>
      <c r="L21" s="0" t="e">
        <f aca="false">SUMIFS(#REF!,#REF!,'Cluster counts corrected Z&lt;3'!$A21)</f>
        <v>#VALUE!</v>
      </c>
      <c r="M21" s="0" t="e">
        <f aca="false">SUMIFS(#REF!,#REF!,'Cluster counts corrected Z&lt;3'!$A21)</f>
        <v>#VALUE!</v>
      </c>
      <c r="N21" s="0" t="e">
        <f aca="false">SUMIFS(#REF!,#REF!,'Cluster counts corrected Z&lt;3'!$A21)</f>
        <v>#VALUE!</v>
      </c>
      <c r="O21" s="0" t="e">
        <f aca="false">SUMIFS(#REF!,#REF!,'Cluster counts corrected Z&lt;3'!$A21)</f>
        <v>#VALUE!</v>
      </c>
      <c r="P21" s="0" t="e">
        <f aca="false">SUMIFS(#REF!,#REF!,'Cluster counts corrected Z&lt;3'!$A21)</f>
        <v>#VALUE!</v>
      </c>
      <c r="Q21" s="0" t="e">
        <f aca="false">SUMIFS(#REF!,#REF!,'Cluster counts corrected Z&lt;3'!$A21)</f>
        <v>#VALUE!</v>
      </c>
      <c r="R21" s="0" t="e">
        <f aca="false">SUMIFS(#REF!,#REF!,'Cluster counts corrected Z&lt;3'!$A21)</f>
        <v>#VALUE!</v>
      </c>
      <c r="T21" s="3" t="e">
        <f aca="false">_xlfn.T.TEST(B21:J21,K21:R21,2,2)</f>
        <v>#VALUE!</v>
      </c>
      <c r="U21" s="0" t="e">
        <f aca="false">AVERAGE(B21:J21)</f>
        <v>#VALUE!</v>
      </c>
      <c r="V21" s="0" t="e">
        <f aca="false">AVERAGE(K21:R21)</f>
        <v>#VALUE!</v>
      </c>
      <c r="W21" s="0" t="e">
        <f aca="false">STDEV(B21:J21)/SQRT(COUNT(B21:J21))</f>
        <v>#VALUE!</v>
      </c>
      <c r="X21" s="0" t="e">
        <f aca="false">STDEV(K21:R21)/SQRT(COUNT(K21:R21))</f>
        <v>#VALUE!</v>
      </c>
    </row>
    <row r="22" customFormat="false" ht="14.5" hidden="false" customHeight="false" outlineLevel="0" collapsed="false">
      <c r="A22" s="0" t="n">
        <v>20</v>
      </c>
      <c r="B22" s="0" t="e">
        <f aca="false">SUMIFS(#REF!,#REF!,'Cluster counts corrected Z&lt;3'!$A22)</f>
        <v>#VALUE!</v>
      </c>
      <c r="C22" s="0" t="e">
        <f aca="false">SUMIFS(#REF!,#REF!,'Cluster counts corrected Z&lt;3'!$A22)</f>
        <v>#VALUE!</v>
      </c>
      <c r="D22" s="0" t="e">
        <f aca="false">SUMIFS(#REF!,#REF!,'Cluster counts corrected Z&lt;3'!$A22)</f>
        <v>#VALUE!</v>
      </c>
      <c r="E22" s="0" t="e">
        <f aca="false">SUMIFS(#REF!,#REF!,'Cluster counts corrected Z&lt;3'!$A22)</f>
        <v>#VALUE!</v>
      </c>
      <c r="F22" s="0" t="e">
        <f aca="false">SUMIFS(#REF!,#REF!,'Cluster counts corrected Z&lt;3'!$A22)</f>
        <v>#VALUE!</v>
      </c>
      <c r="G22" s="0" t="e">
        <f aca="false">SUMIFS(#REF!,#REF!,'Cluster counts corrected Z&lt;3'!$A22)</f>
        <v>#VALUE!</v>
      </c>
      <c r="H22" s="0" t="e">
        <f aca="false">SUMIFS(#REF!,#REF!,'Cluster counts corrected Z&lt;3'!$A22)</f>
        <v>#VALUE!</v>
      </c>
      <c r="I22" s="0" t="e">
        <f aca="false">SUMIFS(#REF!,#REF!,'Cluster counts corrected Z&lt;3'!$A22)</f>
        <v>#VALUE!</v>
      </c>
      <c r="J22" s="0" t="e">
        <f aca="false">SUMIFS(#REF!,#REF!,'Cluster counts corrected Z&lt;3'!$A22)</f>
        <v>#VALUE!</v>
      </c>
      <c r="K22" s="0" t="e">
        <f aca="false">SUMIFS(#REF!,#REF!,'Cluster counts corrected Z&lt;3'!$A22)</f>
        <v>#VALUE!</v>
      </c>
      <c r="L22" s="0" t="e">
        <f aca="false">SUMIFS(#REF!,#REF!,'Cluster counts corrected Z&lt;3'!$A22)</f>
        <v>#VALUE!</v>
      </c>
      <c r="M22" s="0" t="e">
        <f aca="false">SUMIFS(#REF!,#REF!,'Cluster counts corrected Z&lt;3'!$A22)</f>
        <v>#VALUE!</v>
      </c>
      <c r="N22" s="0" t="e">
        <f aca="false">SUMIFS(#REF!,#REF!,'Cluster counts corrected Z&lt;3'!$A22)</f>
        <v>#VALUE!</v>
      </c>
      <c r="O22" s="0" t="e">
        <f aca="false">SUMIFS(#REF!,#REF!,'Cluster counts corrected Z&lt;3'!$A22)</f>
        <v>#VALUE!</v>
      </c>
      <c r="P22" s="0" t="e">
        <f aca="false">SUMIFS(#REF!,#REF!,'Cluster counts corrected Z&lt;3'!$A22)</f>
        <v>#VALUE!</v>
      </c>
      <c r="Q22" s="0" t="e">
        <f aca="false">SUMIFS(#REF!,#REF!,'Cluster counts corrected Z&lt;3'!$A22)</f>
        <v>#VALUE!</v>
      </c>
      <c r="R22" s="0" t="e">
        <f aca="false">SUMIFS(#REF!,#REF!,'Cluster counts corrected Z&lt;3'!$A22)</f>
        <v>#VALUE!</v>
      </c>
      <c r="T22" s="3" t="e">
        <f aca="false">_xlfn.T.TEST(B22:J22,K22:R22,2,2)</f>
        <v>#VALUE!</v>
      </c>
      <c r="U22" s="0" t="e">
        <f aca="false">AVERAGE(B22:J22)</f>
        <v>#VALUE!</v>
      </c>
      <c r="V22" s="0" t="e">
        <f aca="false">AVERAGE(K22:R22)</f>
        <v>#VALUE!</v>
      </c>
      <c r="W22" s="0" t="e">
        <f aca="false">STDEV(B22:J22)/SQRT(COUNT(B22:J22))</f>
        <v>#VALUE!</v>
      </c>
      <c r="X22" s="0" t="e">
        <f aca="false">STDEV(K22:R22)/SQRT(COUNT(K22:R22))</f>
        <v>#VALUE!</v>
      </c>
    </row>
    <row r="23" customFormat="false" ht="14.5" hidden="false" customHeight="false" outlineLevel="0" collapsed="false">
      <c r="A23" s="0" t="n">
        <v>21</v>
      </c>
      <c r="B23" s="0" t="e">
        <f aca="false">SUMIFS(#REF!,#REF!,'Cluster counts corrected Z&lt;3'!$A23)</f>
        <v>#VALUE!</v>
      </c>
      <c r="C23" s="0" t="e">
        <f aca="false">SUMIFS(#REF!,#REF!,'Cluster counts corrected Z&lt;3'!$A23)</f>
        <v>#VALUE!</v>
      </c>
      <c r="D23" s="0" t="e">
        <f aca="false">SUMIFS(#REF!,#REF!,'Cluster counts corrected Z&lt;3'!$A23)</f>
        <v>#VALUE!</v>
      </c>
      <c r="E23" s="0" t="e">
        <f aca="false">SUMIFS(#REF!,#REF!,'Cluster counts corrected Z&lt;3'!$A23)</f>
        <v>#VALUE!</v>
      </c>
      <c r="F23" s="0" t="e">
        <f aca="false">SUMIFS(#REF!,#REF!,'Cluster counts corrected Z&lt;3'!$A23)</f>
        <v>#VALUE!</v>
      </c>
      <c r="G23" s="0" t="e">
        <f aca="false">SUMIFS(#REF!,#REF!,'Cluster counts corrected Z&lt;3'!$A23)</f>
        <v>#VALUE!</v>
      </c>
      <c r="H23" s="0" t="e">
        <f aca="false">SUMIFS(#REF!,#REF!,'Cluster counts corrected Z&lt;3'!$A23)</f>
        <v>#VALUE!</v>
      </c>
      <c r="I23" s="0" t="e">
        <f aca="false">SUMIFS(#REF!,#REF!,'Cluster counts corrected Z&lt;3'!$A23)</f>
        <v>#VALUE!</v>
      </c>
      <c r="J23" s="0" t="e">
        <f aca="false">SUMIFS(#REF!,#REF!,'Cluster counts corrected Z&lt;3'!$A23)</f>
        <v>#VALUE!</v>
      </c>
      <c r="K23" s="0" t="e">
        <f aca="false">SUMIFS(#REF!,#REF!,'Cluster counts corrected Z&lt;3'!$A23)</f>
        <v>#VALUE!</v>
      </c>
      <c r="L23" s="0" t="e">
        <f aca="false">SUMIFS(#REF!,#REF!,'Cluster counts corrected Z&lt;3'!$A23)</f>
        <v>#VALUE!</v>
      </c>
      <c r="M23" s="0" t="e">
        <f aca="false">SUMIFS(#REF!,#REF!,'Cluster counts corrected Z&lt;3'!$A23)</f>
        <v>#VALUE!</v>
      </c>
      <c r="N23" s="0" t="e">
        <f aca="false">SUMIFS(#REF!,#REF!,'Cluster counts corrected Z&lt;3'!$A23)</f>
        <v>#VALUE!</v>
      </c>
      <c r="O23" s="0" t="e">
        <f aca="false">SUMIFS(#REF!,#REF!,'Cluster counts corrected Z&lt;3'!$A23)</f>
        <v>#VALUE!</v>
      </c>
      <c r="P23" s="0" t="e">
        <f aca="false">SUMIFS(#REF!,#REF!,'Cluster counts corrected Z&lt;3'!$A23)</f>
        <v>#VALUE!</v>
      </c>
      <c r="Q23" s="0" t="e">
        <f aca="false">SUMIFS(#REF!,#REF!,'Cluster counts corrected Z&lt;3'!$A23)</f>
        <v>#VALUE!</v>
      </c>
      <c r="R23" s="0" t="e">
        <f aca="false">SUMIFS(#REF!,#REF!,'Cluster counts corrected Z&lt;3'!$A23)</f>
        <v>#VALUE!</v>
      </c>
      <c r="T23" s="3" t="e">
        <f aca="false">_xlfn.T.TEST(B23:J23,K23:R23,2,2)</f>
        <v>#VALUE!</v>
      </c>
      <c r="U23" s="0" t="e">
        <f aca="false">AVERAGE(B23:J23)</f>
        <v>#VALUE!</v>
      </c>
      <c r="V23" s="0" t="e">
        <f aca="false">AVERAGE(K23:R23)</f>
        <v>#VALUE!</v>
      </c>
      <c r="W23" s="0" t="e">
        <f aca="false">STDEV(B23:J23)/SQRT(COUNT(B23:J23))</f>
        <v>#VALUE!</v>
      </c>
      <c r="X23" s="0" t="e">
        <f aca="false">STDEV(K23:R23)/SQRT(COUNT(K23:R23))</f>
        <v>#VALUE!</v>
      </c>
    </row>
    <row r="24" customFormat="false" ht="14.5" hidden="false" customHeight="false" outlineLevel="0" collapsed="false">
      <c r="A24" s="0" t="n">
        <v>22</v>
      </c>
      <c r="B24" s="0" t="e">
        <f aca="false">SUMIFS(#REF!,#REF!,'Cluster counts corrected Z&lt;3'!$A24)</f>
        <v>#VALUE!</v>
      </c>
      <c r="C24" s="0" t="e">
        <f aca="false">SUMIFS(#REF!,#REF!,'Cluster counts corrected Z&lt;3'!$A24)</f>
        <v>#VALUE!</v>
      </c>
      <c r="D24" s="0" t="e">
        <f aca="false">SUMIFS(#REF!,#REF!,'Cluster counts corrected Z&lt;3'!$A24)</f>
        <v>#VALUE!</v>
      </c>
      <c r="E24" s="0" t="e">
        <f aca="false">SUMIFS(#REF!,#REF!,'Cluster counts corrected Z&lt;3'!$A24)</f>
        <v>#VALUE!</v>
      </c>
      <c r="F24" s="0" t="e">
        <f aca="false">SUMIFS(#REF!,#REF!,'Cluster counts corrected Z&lt;3'!$A24)</f>
        <v>#VALUE!</v>
      </c>
      <c r="G24" s="0" t="e">
        <f aca="false">SUMIFS(#REF!,#REF!,'Cluster counts corrected Z&lt;3'!$A24)</f>
        <v>#VALUE!</v>
      </c>
      <c r="H24" s="0" t="e">
        <f aca="false">SUMIFS(#REF!,#REF!,'Cluster counts corrected Z&lt;3'!$A24)</f>
        <v>#VALUE!</v>
      </c>
      <c r="I24" s="0" t="e">
        <f aca="false">SUMIFS(#REF!,#REF!,'Cluster counts corrected Z&lt;3'!$A24)</f>
        <v>#VALUE!</v>
      </c>
      <c r="J24" s="0" t="e">
        <f aca="false">SUMIFS(#REF!,#REF!,'Cluster counts corrected Z&lt;3'!$A24)</f>
        <v>#VALUE!</v>
      </c>
      <c r="K24" s="0" t="e">
        <f aca="false">SUMIFS(#REF!,#REF!,'Cluster counts corrected Z&lt;3'!$A24)</f>
        <v>#VALUE!</v>
      </c>
      <c r="L24" s="0" t="e">
        <f aca="false">SUMIFS(#REF!,#REF!,'Cluster counts corrected Z&lt;3'!$A24)</f>
        <v>#VALUE!</v>
      </c>
      <c r="M24" s="0" t="e">
        <f aca="false">SUMIFS(#REF!,#REF!,'Cluster counts corrected Z&lt;3'!$A24)</f>
        <v>#VALUE!</v>
      </c>
      <c r="N24" s="0" t="e">
        <f aca="false">SUMIFS(#REF!,#REF!,'Cluster counts corrected Z&lt;3'!$A24)</f>
        <v>#VALUE!</v>
      </c>
      <c r="O24" s="0" t="e">
        <f aca="false">SUMIFS(#REF!,#REF!,'Cluster counts corrected Z&lt;3'!$A24)</f>
        <v>#VALUE!</v>
      </c>
      <c r="P24" s="0" t="e">
        <f aca="false">SUMIFS(#REF!,#REF!,'Cluster counts corrected Z&lt;3'!$A24)</f>
        <v>#VALUE!</v>
      </c>
      <c r="Q24" s="0" t="e">
        <f aca="false">SUMIFS(#REF!,#REF!,'Cluster counts corrected Z&lt;3'!$A24)</f>
        <v>#VALUE!</v>
      </c>
      <c r="R24" s="0" t="e">
        <f aca="false">SUMIFS(#REF!,#REF!,'Cluster counts corrected Z&lt;3'!$A24)</f>
        <v>#VALUE!</v>
      </c>
      <c r="T24" s="3" t="e">
        <f aca="false">_xlfn.T.TEST(B24:J24,K24:R24,2,2)</f>
        <v>#VALUE!</v>
      </c>
      <c r="U24" s="0" t="e">
        <f aca="false">AVERAGE(B24:J24)</f>
        <v>#VALUE!</v>
      </c>
      <c r="V24" s="0" t="e">
        <f aca="false">AVERAGE(K24:R24)</f>
        <v>#VALUE!</v>
      </c>
      <c r="W24" s="0" t="e">
        <f aca="false">STDEV(B24:J24)/SQRT(COUNT(B24:J24))</f>
        <v>#VALUE!</v>
      </c>
      <c r="X24" s="0" t="e">
        <f aca="false">STDEV(K24:R24)/SQRT(COUNT(K24:R24))</f>
        <v>#VALUE!</v>
      </c>
    </row>
    <row r="25" customFormat="false" ht="14.5" hidden="false" customHeight="false" outlineLevel="0" collapsed="false">
      <c r="A25" s="0" t="n">
        <v>23</v>
      </c>
      <c r="B25" s="0" t="e">
        <f aca="false">SUMIFS(#REF!,#REF!,'Cluster counts corrected Z&lt;3'!$A25)</f>
        <v>#VALUE!</v>
      </c>
      <c r="C25" s="0" t="e">
        <f aca="false">SUMIFS(#REF!,#REF!,'Cluster counts corrected Z&lt;3'!$A25)</f>
        <v>#VALUE!</v>
      </c>
      <c r="D25" s="0" t="e">
        <f aca="false">SUMIFS(#REF!,#REF!,'Cluster counts corrected Z&lt;3'!$A25)</f>
        <v>#VALUE!</v>
      </c>
      <c r="E25" s="0" t="e">
        <f aca="false">SUMIFS(#REF!,#REF!,'Cluster counts corrected Z&lt;3'!$A25)</f>
        <v>#VALUE!</v>
      </c>
      <c r="F25" s="0" t="e">
        <f aca="false">SUMIFS(#REF!,#REF!,'Cluster counts corrected Z&lt;3'!$A25)</f>
        <v>#VALUE!</v>
      </c>
      <c r="G25" s="0" t="e">
        <f aca="false">SUMIFS(#REF!,#REF!,'Cluster counts corrected Z&lt;3'!$A25)</f>
        <v>#VALUE!</v>
      </c>
      <c r="H25" s="0" t="e">
        <f aca="false">SUMIFS(#REF!,#REF!,'Cluster counts corrected Z&lt;3'!$A25)</f>
        <v>#VALUE!</v>
      </c>
      <c r="I25" s="0" t="e">
        <f aca="false">SUMIFS(#REF!,#REF!,'Cluster counts corrected Z&lt;3'!$A25)</f>
        <v>#VALUE!</v>
      </c>
      <c r="J25" s="0" t="e">
        <f aca="false">SUMIFS(#REF!,#REF!,'Cluster counts corrected Z&lt;3'!$A25)</f>
        <v>#VALUE!</v>
      </c>
      <c r="K25" s="0" t="e">
        <f aca="false">SUMIFS(#REF!,#REF!,'Cluster counts corrected Z&lt;3'!$A25)</f>
        <v>#VALUE!</v>
      </c>
      <c r="L25" s="0" t="e">
        <f aca="false">SUMIFS(#REF!,#REF!,'Cluster counts corrected Z&lt;3'!$A25)</f>
        <v>#VALUE!</v>
      </c>
      <c r="M25" s="0" t="e">
        <f aca="false">SUMIFS(#REF!,#REF!,'Cluster counts corrected Z&lt;3'!$A25)</f>
        <v>#VALUE!</v>
      </c>
      <c r="N25" s="0" t="e">
        <f aca="false">SUMIFS(#REF!,#REF!,'Cluster counts corrected Z&lt;3'!$A25)</f>
        <v>#VALUE!</v>
      </c>
      <c r="O25" s="0" t="e">
        <f aca="false">SUMIFS(#REF!,#REF!,'Cluster counts corrected Z&lt;3'!$A25)</f>
        <v>#VALUE!</v>
      </c>
      <c r="P25" s="0" t="e">
        <f aca="false">SUMIFS(#REF!,#REF!,'Cluster counts corrected Z&lt;3'!$A25)</f>
        <v>#VALUE!</v>
      </c>
      <c r="Q25" s="0" t="e">
        <f aca="false">SUMIFS(#REF!,#REF!,'Cluster counts corrected Z&lt;3'!$A25)</f>
        <v>#VALUE!</v>
      </c>
      <c r="R25" s="0" t="e">
        <f aca="false">SUMIFS(#REF!,#REF!,'Cluster counts corrected Z&lt;3'!$A25)</f>
        <v>#VALUE!</v>
      </c>
      <c r="T25" s="3" t="e">
        <f aca="false">_xlfn.T.TEST(B25:J25,K25:R25,2,2)</f>
        <v>#VALUE!</v>
      </c>
      <c r="U25" s="0" t="e">
        <f aca="false">AVERAGE(B25:J25)</f>
        <v>#VALUE!</v>
      </c>
      <c r="V25" s="0" t="e">
        <f aca="false">AVERAGE(K25:R25)</f>
        <v>#VALUE!</v>
      </c>
      <c r="W25" s="0" t="e">
        <f aca="false">STDEV(B25:J25)/SQRT(COUNT(B25:J25))</f>
        <v>#VALUE!</v>
      </c>
      <c r="X25" s="0" t="e">
        <f aca="false">STDEV(K25:R25)/SQRT(COUNT(K25:R25))</f>
        <v>#VALUE!</v>
      </c>
    </row>
    <row r="26" customFormat="false" ht="14.5" hidden="false" customHeight="false" outlineLevel="0" collapsed="false">
      <c r="A26" s="0" t="n">
        <v>24</v>
      </c>
      <c r="B26" s="0" t="e">
        <f aca="false">SUMIFS(#REF!,#REF!,'Cluster counts corrected Z&lt;3'!$A26)</f>
        <v>#VALUE!</v>
      </c>
      <c r="C26" s="0" t="e">
        <f aca="false">SUMIFS(#REF!,#REF!,'Cluster counts corrected Z&lt;3'!$A26)</f>
        <v>#VALUE!</v>
      </c>
      <c r="D26" s="0" t="e">
        <f aca="false">SUMIFS(#REF!,#REF!,'Cluster counts corrected Z&lt;3'!$A26)</f>
        <v>#VALUE!</v>
      </c>
      <c r="E26" s="0" t="e">
        <f aca="false">SUMIFS(#REF!,#REF!,'Cluster counts corrected Z&lt;3'!$A26)</f>
        <v>#VALUE!</v>
      </c>
      <c r="F26" s="0" t="e">
        <f aca="false">SUMIFS(#REF!,#REF!,'Cluster counts corrected Z&lt;3'!$A26)</f>
        <v>#VALUE!</v>
      </c>
      <c r="G26" s="0" t="e">
        <f aca="false">SUMIFS(#REF!,#REF!,'Cluster counts corrected Z&lt;3'!$A26)</f>
        <v>#VALUE!</v>
      </c>
      <c r="H26" s="0" t="e">
        <f aca="false">SUMIFS(#REF!,#REF!,'Cluster counts corrected Z&lt;3'!$A26)</f>
        <v>#VALUE!</v>
      </c>
      <c r="I26" s="0" t="e">
        <f aca="false">SUMIFS(#REF!,#REF!,'Cluster counts corrected Z&lt;3'!$A26)</f>
        <v>#VALUE!</v>
      </c>
      <c r="J26" s="0" t="e">
        <f aca="false">SUMIFS(#REF!,#REF!,'Cluster counts corrected Z&lt;3'!$A26)</f>
        <v>#VALUE!</v>
      </c>
      <c r="K26" s="0" t="e">
        <f aca="false">SUMIFS(#REF!,#REF!,'Cluster counts corrected Z&lt;3'!$A26)</f>
        <v>#VALUE!</v>
      </c>
      <c r="L26" s="0" t="e">
        <f aca="false">SUMIFS(#REF!,#REF!,'Cluster counts corrected Z&lt;3'!$A26)</f>
        <v>#VALUE!</v>
      </c>
      <c r="M26" s="0" t="e">
        <f aca="false">SUMIFS(#REF!,#REF!,'Cluster counts corrected Z&lt;3'!$A26)</f>
        <v>#VALUE!</v>
      </c>
      <c r="N26" s="0" t="e">
        <f aca="false">SUMIFS(#REF!,#REF!,'Cluster counts corrected Z&lt;3'!$A26)</f>
        <v>#VALUE!</v>
      </c>
      <c r="O26" s="0" t="e">
        <f aca="false">SUMIFS(#REF!,#REF!,'Cluster counts corrected Z&lt;3'!$A26)</f>
        <v>#VALUE!</v>
      </c>
      <c r="P26" s="0" t="e">
        <f aca="false">SUMIFS(#REF!,#REF!,'Cluster counts corrected Z&lt;3'!$A26)</f>
        <v>#VALUE!</v>
      </c>
      <c r="Q26" s="0" t="e">
        <f aca="false">SUMIFS(#REF!,#REF!,'Cluster counts corrected Z&lt;3'!$A26)</f>
        <v>#VALUE!</v>
      </c>
      <c r="R26" s="0" t="e">
        <f aca="false">SUMIFS(#REF!,#REF!,'Cluster counts corrected Z&lt;3'!$A26)</f>
        <v>#VALUE!</v>
      </c>
      <c r="T26" s="3" t="e">
        <f aca="false">_xlfn.T.TEST(B26:J26,K26:R26,2,2)</f>
        <v>#VALUE!</v>
      </c>
      <c r="U26" s="0" t="e">
        <f aca="false">AVERAGE(B26:J26)</f>
        <v>#VALUE!</v>
      </c>
      <c r="V26" s="0" t="e">
        <f aca="false">AVERAGE(K26:R26)</f>
        <v>#VALUE!</v>
      </c>
      <c r="W26" s="0" t="e">
        <f aca="false">STDEV(B26:J26)/SQRT(COUNT(B26:J26))</f>
        <v>#VALUE!</v>
      </c>
      <c r="X26" s="0" t="e">
        <f aca="false">STDEV(K26:R26)/SQRT(COUNT(K26:R26))</f>
        <v>#VALUE!</v>
      </c>
    </row>
    <row r="27" customFormat="false" ht="14.5" hidden="false" customHeight="false" outlineLevel="0" collapsed="false">
      <c r="A27" s="0" t="n">
        <v>25</v>
      </c>
      <c r="B27" s="0" t="e">
        <f aca="false">SUMIFS(#REF!,#REF!,'Cluster counts corrected Z&lt;3'!$A27)</f>
        <v>#VALUE!</v>
      </c>
      <c r="C27" s="0" t="e">
        <f aca="false">SUMIFS(#REF!,#REF!,'Cluster counts corrected Z&lt;3'!$A27)</f>
        <v>#VALUE!</v>
      </c>
      <c r="D27" s="0" t="e">
        <f aca="false">SUMIFS(#REF!,#REF!,'Cluster counts corrected Z&lt;3'!$A27)</f>
        <v>#VALUE!</v>
      </c>
      <c r="E27" s="0" t="e">
        <f aca="false">SUMIFS(#REF!,#REF!,'Cluster counts corrected Z&lt;3'!$A27)</f>
        <v>#VALUE!</v>
      </c>
      <c r="F27" s="0" t="e">
        <f aca="false">SUMIFS(#REF!,#REF!,'Cluster counts corrected Z&lt;3'!$A27)</f>
        <v>#VALUE!</v>
      </c>
      <c r="G27" s="0" t="e">
        <f aca="false">SUMIFS(#REF!,#REF!,'Cluster counts corrected Z&lt;3'!$A27)</f>
        <v>#VALUE!</v>
      </c>
      <c r="H27" s="0" t="e">
        <f aca="false">SUMIFS(#REF!,#REF!,'Cluster counts corrected Z&lt;3'!$A27)</f>
        <v>#VALUE!</v>
      </c>
      <c r="I27" s="0" t="e">
        <f aca="false">SUMIFS(#REF!,#REF!,'Cluster counts corrected Z&lt;3'!$A27)</f>
        <v>#VALUE!</v>
      </c>
      <c r="J27" s="0" t="e">
        <f aca="false">SUMIFS(#REF!,#REF!,'Cluster counts corrected Z&lt;3'!$A27)</f>
        <v>#VALUE!</v>
      </c>
      <c r="K27" s="0" t="e">
        <f aca="false">SUMIFS(#REF!,#REF!,'Cluster counts corrected Z&lt;3'!$A27)</f>
        <v>#VALUE!</v>
      </c>
      <c r="L27" s="0" t="e">
        <f aca="false">SUMIFS(#REF!,#REF!,'Cluster counts corrected Z&lt;3'!$A27)</f>
        <v>#VALUE!</v>
      </c>
      <c r="M27" s="0" t="e">
        <f aca="false">SUMIFS(#REF!,#REF!,'Cluster counts corrected Z&lt;3'!$A27)</f>
        <v>#VALUE!</v>
      </c>
      <c r="N27" s="0" t="e">
        <f aca="false">SUMIFS(#REF!,#REF!,'Cluster counts corrected Z&lt;3'!$A27)</f>
        <v>#VALUE!</v>
      </c>
      <c r="O27" s="0" t="e">
        <f aca="false">SUMIFS(#REF!,#REF!,'Cluster counts corrected Z&lt;3'!$A27)</f>
        <v>#VALUE!</v>
      </c>
      <c r="P27" s="0" t="e">
        <f aca="false">SUMIFS(#REF!,#REF!,'Cluster counts corrected Z&lt;3'!$A27)</f>
        <v>#VALUE!</v>
      </c>
      <c r="Q27" s="0" t="e">
        <f aca="false">SUMIFS(#REF!,#REF!,'Cluster counts corrected Z&lt;3'!$A27)</f>
        <v>#VALUE!</v>
      </c>
      <c r="R27" s="0" t="e">
        <f aca="false">SUMIFS(#REF!,#REF!,'Cluster counts corrected Z&lt;3'!$A27)</f>
        <v>#VALUE!</v>
      </c>
      <c r="T27" s="3" t="e">
        <f aca="false">_xlfn.T.TEST(B27:J27,K27:R27,2,2)</f>
        <v>#VALUE!</v>
      </c>
      <c r="U27" s="0" t="e">
        <f aca="false">AVERAGE(B27:J27)</f>
        <v>#VALUE!</v>
      </c>
      <c r="V27" s="0" t="e">
        <f aca="false">AVERAGE(K27:R27)</f>
        <v>#VALUE!</v>
      </c>
      <c r="W27" s="0" t="e">
        <f aca="false">STDEV(B27:J27)/SQRT(COUNT(B27:J27))</f>
        <v>#VALUE!</v>
      </c>
      <c r="X27" s="0" t="e">
        <f aca="false">STDEV(K27:R27)/SQRT(COUNT(K27:R27))</f>
        <v>#VALUE!</v>
      </c>
    </row>
    <row r="28" customFormat="false" ht="14.5" hidden="false" customHeight="false" outlineLevel="0" collapsed="false">
      <c r="A28" s="0" t="n">
        <v>26</v>
      </c>
      <c r="B28" s="0" t="e">
        <f aca="false">SUMIFS(#REF!,#REF!,'Cluster counts corrected Z&lt;3'!$A28)</f>
        <v>#VALUE!</v>
      </c>
      <c r="C28" s="0" t="e">
        <f aca="false">SUMIFS(#REF!,#REF!,'Cluster counts corrected Z&lt;3'!$A28)</f>
        <v>#VALUE!</v>
      </c>
      <c r="D28" s="0" t="e">
        <f aca="false">SUMIFS(#REF!,#REF!,'Cluster counts corrected Z&lt;3'!$A28)</f>
        <v>#VALUE!</v>
      </c>
      <c r="E28" s="0" t="e">
        <f aca="false">SUMIFS(#REF!,#REF!,'Cluster counts corrected Z&lt;3'!$A28)</f>
        <v>#VALUE!</v>
      </c>
      <c r="F28" s="0" t="e">
        <f aca="false">SUMIFS(#REF!,#REF!,'Cluster counts corrected Z&lt;3'!$A28)</f>
        <v>#VALUE!</v>
      </c>
      <c r="G28" s="0" t="e">
        <f aca="false">SUMIFS(#REF!,#REF!,'Cluster counts corrected Z&lt;3'!$A28)</f>
        <v>#VALUE!</v>
      </c>
      <c r="H28" s="0" t="e">
        <f aca="false">SUMIFS(#REF!,#REF!,'Cluster counts corrected Z&lt;3'!$A28)</f>
        <v>#VALUE!</v>
      </c>
      <c r="I28" s="0" t="e">
        <f aca="false">SUMIFS(#REF!,#REF!,'Cluster counts corrected Z&lt;3'!$A28)</f>
        <v>#VALUE!</v>
      </c>
      <c r="J28" s="0" t="e">
        <f aca="false">SUMIFS(#REF!,#REF!,'Cluster counts corrected Z&lt;3'!$A28)</f>
        <v>#VALUE!</v>
      </c>
      <c r="K28" s="0" t="e">
        <f aca="false">SUMIFS(#REF!,#REF!,'Cluster counts corrected Z&lt;3'!$A28)</f>
        <v>#VALUE!</v>
      </c>
      <c r="L28" s="0" t="e">
        <f aca="false">SUMIFS(#REF!,#REF!,'Cluster counts corrected Z&lt;3'!$A28)</f>
        <v>#VALUE!</v>
      </c>
      <c r="M28" s="0" t="e">
        <f aca="false">SUMIFS(#REF!,#REF!,'Cluster counts corrected Z&lt;3'!$A28)</f>
        <v>#VALUE!</v>
      </c>
      <c r="N28" s="0" t="e">
        <f aca="false">SUMIFS(#REF!,#REF!,'Cluster counts corrected Z&lt;3'!$A28)</f>
        <v>#VALUE!</v>
      </c>
      <c r="O28" s="0" t="e">
        <f aca="false">SUMIFS(#REF!,#REF!,'Cluster counts corrected Z&lt;3'!$A28)</f>
        <v>#VALUE!</v>
      </c>
      <c r="P28" s="0" t="e">
        <f aca="false">SUMIFS(#REF!,#REF!,'Cluster counts corrected Z&lt;3'!$A28)</f>
        <v>#VALUE!</v>
      </c>
      <c r="Q28" s="0" t="e">
        <f aca="false">SUMIFS(#REF!,#REF!,'Cluster counts corrected Z&lt;3'!$A28)</f>
        <v>#VALUE!</v>
      </c>
      <c r="R28" s="0" t="e">
        <f aca="false">SUMIFS(#REF!,#REF!,'Cluster counts corrected Z&lt;3'!$A28)</f>
        <v>#VALUE!</v>
      </c>
      <c r="T28" s="3" t="e">
        <f aca="false">_xlfn.T.TEST(B28:J28,K28:R28,2,2)</f>
        <v>#VALUE!</v>
      </c>
      <c r="U28" s="0" t="e">
        <f aca="false">AVERAGE(B28:J28)</f>
        <v>#VALUE!</v>
      </c>
      <c r="V28" s="0" t="e">
        <f aca="false">AVERAGE(K28:R28)</f>
        <v>#VALUE!</v>
      </c>
      <c r="W28" s="0" t="e">
        <f aca="false">STDEV(B28:J28)/SQRT(COUNT(B28:J28))</f>
        <v>#VALUE!</v>
      </c>
      <c r="X28" s="0" t="e">
        <f aca="false">STDEV(K28:R28)/SQRT(COUNT(K28:R28))</f>
        <v>#VALUE!</v>
      </c>
    </row>
    <row r="29" customFormat="false" ht="14.5" hidden="false" customHeight="false" outlineLevel="0" collapsed="false">
      <c r="A29" s="0" t="n">
        <v>27</v>
      </c>
      <c r="B29" s="0" t="e">
        <f aca="false">SUMIFS(#REF!,#REF!,'Cluster counts corrected Z&lt;3'!$A29)</f>
        <v>#VALUE!</v>
      </c>
      <c r="C29" s="0" t="e">
        <f aca="false">SUMIFS(#REF!,#REF!,'Cluster counts corrected Z&lt;3'!$A29)</f>
        <v>#VALUE!</v>
      </c>
      <c r="D29" s="0" t="e">
        <f aca="false">SUMIFS(#REF!,#REF!,'Cluster counts corrected Z&lt;3'!$A29)</f>
        <v>#VALUE!</v>
      </c>
      <c r="E29" s="0" t="e">
        <f aca="false">SUMIFS(#REF!,#REF!,'Cluster counts corrected Z&lt;3'!$A29)</f>
        <v>#VALUE!</v>
      </c>
      <c r="F29" s="0" t="e">
        <f aca="false">SUMIFS(#REF!,#REF!,'Cluster counts corrected Z&lt;3'!$A29)</f>
        <v>#VALUE!</v>
      </c>
      <c r="G29" s="0" t="e">
        <f aca="false">SUMIFS(#REF!,#REF!,'Cluster counts corrected Z&lt;3'!$A29)</f>
        <v>#VALUE!</v>
      </c>
      <c r="H29" s="0" t="e">
        <f aca="false">SUMIFS(#REF!,#REF!,'Cluster counts corrected Z&lt;3'!$A29)</f>
        <v>#VALUE!</v>
      </c>
      <c r="I29" s="0" t="e">
        <f aca="false">SUMIFS(#REF!,#REF!,'Cluster counts corrected Z&lt;3'!$A29)</f>
        <v>#VALUE!</v>
      </c>
      <c r="J29" s="0" t="e">
        <f aca="false">SUMIFS(#REF!,#REF!,'Cluster counts corrected Z&lt;3'!$A29)</f>
        <v>#VALUE!</v>
      </c>
      <c r="K29" s="0" t="e">
        <f aca="false">SUMIFS(#REF!,#REF!,'Cluster counts corrected Z&lt;3'!$A29)</f>
        <v>#VALUE!</v>
      </c>
      <c r="L29" s="0" t="e">
        <f aca="false">SUMIFS(#REF!,#REF!,'Cluster counts corrected Z&lt;3'!$A29)</f>
        <v>#VALUE!</v>
      </c>
      <c r="M29" s="0" t="e">
        <f aca="false">SUMIFS(#REF!,#REF!,'Cluster counts corrected Z&lt;3'!$A29)</f>
        <v>#VALUE!</v>
      </c>
      <c r="N29" s="0" t="e">
        <f aca="false">SUMIFS(#REF!,#REF!,'Cluster counts corrected Z&lt;3'!$A29)</f>
        <v>#VALUE!</v>
      </c>
      <c r="O29" s="0" t="e">
        <f aca="false">SUMIFS(#REF!,#REF!,'Cluster counts corrected Z&lt;3'!$A29)</f>
        <v>#VALUE!</v>
      </c>
      <c r="P29" s="0" t="e">
        <f aca="false">SUMIFS(#REF!,#REF!,'Cluster counts corrected Z&lt;3'!$A29)</f>
        <v>#VALUE!</v>
      </c>
      <c r="Q29" s="0" t="e">
        <f aca="false">SUMIFS(#REF!,#REF!,'Cluster counts corrected Z&lt;3'!$A29)</f>
        <v>#VALUE!</v>
      </c>
      <c r="R29" s="0" t="e">
        <f aca="false">SUMIFS(#REF!,#REF!,'Cluster counts corrected Z&lt;3'!$A29)</f>
        <v>#VALUE!</v>
      </c>
      <c r="T29" s="3" t="e">
        <f aca="false">_xlfn.T.TEST(B29:J29,K29:R29,2,2)</f>
        <v>#VALUE!</v>
      </c>
      <c r="U29" s="0" t="e">
        <f aca="false">AVERAGE(B29:J29)</f>
        <v>#VALUE!</v>
      </c>
      <c r="V29" s="0" t="e">
        <f aca="false">AVERAGE(K29:R29)</f>
        <v>#VALUE!</v>
      </c>
      <c r="W29" s="0" t="e">
        <f aca="false">STDEV(B29:J29)/SQRT(COUNT(B29:J29))</f>
        <v>#VALUE!</v>
      </c>
      <c r="X29" s="0" t="e">
        <f aca="false">STDEV(K29:R29)/SQRT(COUNT(K29:R29))</f>
        <v>#VALUE!</v>
      </c>
    </row>
    <row r="30" customFormat="false" ht="14.5" hidden="false" customHeight="false" outlineLevel="0" collapsed="false">
      <c r="A30" s="0" t="n">
        <v>28</v>
      </c>
      <c r="B30" s="0" t="e">
        <f aca="false">SUMIFS(#REF!,#REF!,'Cluster counts corrected Z&lt;3'!$A30)</f>
        <v>#VALUE!</v>
      </c>
      <c r="C30" s="0" t="e">
        <f aca="false">SUMIFS(#REF!,#REF!,'Cluster counts corrected Z&lt;3'!$A30)</f>
        <v>#VALUE!</v>
      </c>
      <c r="D30" s="0" t="e">
        <f aca="false">SUMIFS(#REF!,#REF!,'Cluster counts corrected Z&lt;3'!$A30)</f>
        <v>#VALUE!</v>
      </c>
      <c r="E30" s="0" t="e">
        <f aca="false">SUMIFS(#REF!,#REF!,'Cluster counts corrected Z&lt;3'!$A30)</f>
        <v>#VALUE!</v>
      </c>
      <c r="F30" s="0" t="e">
        <f aca="false">SUMIFS(#REF!,#REF!,'Cluster counts corrected Z&lt;3'!$A30)</f>
        <v>#VALUE!</v>
      </c>
      <c r="G30" s="0" t="e">
        <f aca="false">SUMIFS(#REF!,#REF!,'Cluster counts corrected Z&lt;3'!$A30)</f>
        <v>#VALUE!</v>
      </c>
      <c r="H30" s="0" t="e">
        <f aca="false">SUMIFS(#REF!,#REF!,'Cluster counts corrected Z&lt;3'!$A30)</f>
        <v>#VALUE!</v>
      </c>
      <c r="I30" s="0" t="e">
        <f aca="false">SUMIFS(#REF!,#REF!,'Cluster counts corrected Z&lt;3'!$A30)</f>
        <v>#VALUE!</v>
      </c>
      <c r="J30" s="0" t="e">
        <f aca="false">SUMIFS(#REF!,#REF!,'Cluster counts corrected Z&lt;3'!$A30)</f>
        <v>#VALUE!</v>
      </c>
      <c r="K30" s="0" t="e">
        <f aca="false">SUMIFS(#REF!,#REF!,'Cluster counts corrected Z&lt;3'!$A30)</f>
        <v>#VALUE!</v>
      </c>
      <c r="L30" s="0" t="e">
        <f aca="false">SUMIFS(#REF!,#REF!,'Cluster counts corrected Z&lt;3'!$A30)</f>
        <v>#VALUE!</v>
      </c>
      <c r="M30" s="0" t="e">
        <f aca="false">SUMIFS(#REF!,#REF!,'Cluster counts corrected Z&lt;3'!$A30)</f>
        <v>#VALUE!</v>
      </c>
      <c r="N30" s="0" t="e">
        <f aca="false">SUMIFS(#REF!,#REF!,'Cluster counts corrected Z&lt;3'!$A30)</f>
        <v>#VALUE!</v>
      </c>
      <c r="O30" s="0" t="e">
        <f aca="false">SUMIFS(#REF!,#REF!,'Cluster counts corrected Z&lt;3'!$A30)</f>
        <v>#VALUE!</v>
      </c>
      <c r="P30" s="0" t="e">
        <f aca="false">SUMIFS(#REF!,#REF!,'Cluster counts corrected Z&lt;3'!$A30)</f>
        <v>#VALUE!</v>
      </c>
      <c r="Q30" s="0" t="e">
        <f aca="false">SUMIFS(#REF!,#REF!,'Cluster counts corrected Z&lt;3'!$A30)</f>
        <v>#VALUE!</v>
      </c>
      <c r="R30" s="0" t="e">
        <f aca="false">SUMIFS(#REF!,#REF!,'Cluster counts corrected Z&lt;3'!$A30)</f>
        <v>#VALUE!</v>
      </c>
      <c r="T30" s="3" t="e">
        <f aca="false">_xlfn.T.TEST(B30:J30,K30:R30,2,2)</f>
        <v>#VALUE!</v>
      </c>
      <c r="U30" s="0" t="e">
        <f aca="false">AVERAGE(B30:J30)</f>
        <v>#VALUE!</v>
      </c>
      <c r="V30" s="0" t="e">
        <f aca="false">AVERAGE(K30:R30)</f>
        <v>#VALUE!</v>
      </c>
      <c r="W30" s="0" t="e">
        <f aca="false">STDEV(B30:J30)/SQRT(COUNT(B30:J30))</f>
        <v>#VALUE!</v>
      </c>
      <c r="X30" s="0" t="e">
        <f aca="false">STDEV(K30:R30)/SQRT(COUNT(K30:R30))</f>
        <v>#VALUE!</v>
      </c>
    </row>
    <row r="31" customFormat="false" ht="14.5" hidden="false" customHeight="false" outlineLevel="0" collapsed="false">
      <c r="A31" s="0" t="n">
        <v>29</v>
      </c>
      <c r="B31" s="0" t="e">
        <f aca="false">SUMIFS(#REF!,#REF!,'Cluster counts corrected Z&lt;3'!$A31)</f>
        <v>#VALUE!</v>
      </c>
      <c r="C31" s="0" t="e">
        <f aca="false">SUMIFS(#REF!,#REF!,'Cluster counts corrected Z&lt;3'!$A31)</f>
        <v>#VALUE!</v>
      </c>
      <c r="D31" s="0" t="e">
        <f aca="false">SUMIFS(#REF!,#REF!,'Cluster counts corrected Z&lt;3'!$A31)</f>
        <v>#VALUE!</v>
      </c>
      <c r="E31" s="0" t="e">
        <f aca="false">SUMIFS(#REF!,#REF!,'Cluster counts corrected Z&lt;3'!$A31)</f>
        <v>#VALUE!</v>
      </c>
      <c r="F31" s="0" t="e">
        <f aca="false">SUMIFS(#REF!,#REF!,'Cluster counts corrected Z&lt;3'!$A31)</f>
        <v>#VALUE!</v>
      </c>
      <c r="G31" s="0" t="e">
        <f aca="false">SUMIFS(#REF!,#REF!,'Cluster counts corrected Z&lt;3'!$A31)</f>
        <v>#VALUE!</v>
      </c>
      <c r="H31" s="0" t="e">
        <f aca="false">SUMIFS(#REF!,#REF!,'Cluster counts corrected Z&lt;3'!$A31)</f>
        <v>#VALUE!</v>
      </c>
      <c r="I31" s="0" t="e">
        <f aca="false">SUMIFS(#REF!,#REF!,'Cluster counts corrected Z&lt;3'!$A31)</f>
        <v>#VALUE!</v>
      </c>
      <c r="J31" s="0" t="e">
        <f aca="false">SUMIFS(#REF!,#REF!,'Cluster counts corrected Z&lt;3'!$A31)</f>
        <v>#VALUE!</v>
      </c>
      <c r="K31" s="0" t="e">
        <f aca="false">SUMIFS(#REF!,#REF!,'Cluster counts corrected Z&lt;3'!$A31)</f>
        <v>#VALUE!</v>
      </c>
      <c r="L31" s="0" t="e">
        <f aca="false">SUMIFS(#REF!,#REF!,'Cluster counts corrected Z&lt;3'!$A31)</f>
        <v>#VALUE!</v>
      </c>
      <c r="M31" s="0" t="e">
        <f aca="false">SUMIFS(#REF!,#REF!,'Cluster counts corrected Z&lt;3'!$A31)</f>
        <v>#VALUE!</v>
      </c>
      <c r="N31" s="0" t="e">
        <f aca="false">SUMIFS(#REF!,#REF!,'Cluster counts corrected Z&lt;3'!$A31)</f>
        <v>#VALUE!</v>
      </c>
      <c r="O31" s="0" t="e">
        <f aca="false">SUMIFS(#REF!,#REF!,'Cluster counts corrected Z&lt;3'!$A31)</f>
        <v>#VALUE!</v>
      </c>
      <c r="P31" s="0" t="e">
        <f aca="false">SUMIFS(#REF!,#REF!,'Cluster counts corrected Z&lt;3'!$A31)</f>
        <v>#VALUE!</v>
      </c>
      <c r="Q31" s="0" t="e">
        <f aca="false">SUMIFS(#REF!,#REF!,'Cluster counts corrected Z&lt;3'!$A31)</f>
        <v>#VALUE!</v>
      </c>
      <c r="R31" s="0" t="e">
        <f aca="false">SUMIFS(#REF!,#REF!,'Cluster counts corrected Z&lt;3'!$A31)</f>
        <v>#VALUE!</v>
      </c>
      <c r="T31" s="3" t="e">
        <f aca="false">_xlfn.T.TEST(B31:J31,K31:R31,2,2)</f>
        <v>#VALUE!</v>
      </c>
      <c r="U31" s="0" t="e">
        <f aca="false">AVERAGE(B31:J31)</f>
        <v>#VALUE!</v>
      </c>
      <c r="V31" s="0" t="e">
        <f aca="false">AVERAGE(K31:R31)</f>
        <v>#VALUE!</v>
      </c>
      <c r="W31" s="0" t="e">
        <f aca="false">STDEV(B31:J31)/SQRT(COUNT(B31:J31))</f>
        <v>#VALUE!</v>
      </c>
      <c r="X31" s="0" t="e">
        <f aca="false">STDEV(K31:R31)/SQRT(COUNT(K31:R31))</f>
        <v>#VALUE!</v>
      </c>
    </row>
    <row r="32" customFormat="false" ht="14.5" hidden="false" customHeight="false" outlineLevel="0" collapsed="false">
      <c r="A32" s="0" t="n">
        <v>30</v>
      </c>
      <c r="B32" s="0" t="e">
        <f aca="false">SUMIFS(#REF!,#REF!,'Cluster counts corrected Z&lt;3'!$A32)</f>
        <v>#VALUE!</v>
      </c>
      <c r="C32" s="0" t="e">
        <f aca="false">SUMIFS(#REF!,#REF!,'Cluster counts corrected Z&lt;3'!$A32)</f>
        <v>#VALUE!</v>
      </c>
      <c r="D32" s="0" t="e">
        <f aca="false">SUMIFS(#REF!,#REF!,'Cluster counts corrected Z&lt;3'!$A32)</f>
        <v>#VALUE!</v>
      </c>
      <c r="E32" s="0" t="e">
        <f aca="false">SUMIFS(#REF!,#REF!,'Cluster counts corrected Z&lt;3'!$A32)</f>
        <v>#VALUE!</v>
      </c>
      <c r="F32" s="0" t="e">
        <f aca="false">SUMIFS(#REF!,#REF!,'Cluster counts corrected Z&lt;3'!$A32)</f>
        <v>#VALUE!</v>
      </c>
      <c r="G32" s="0" t="e">
        <f aca="false">SUMIFS(#REF!,#REF!,'Cluster counts corrected Z&lt;3'!$A32)</f>
        <v>#VALUE!</v>
      </c>
      <c r="H32" s="0" t="e">
        <f aca="false">SUMIFS(#REF!,#REF!,'Cluster counts corrected Z&lt;3'!$A32)</f>
        <v>#VALUE!</v>
      </c>
      <c r="I32" s="0" t="e">
        <f aca="false">SUMIFS(#REF!,#REF!,'Cluster counts corrected Z&lt;3'!$A32)</f>
        <v>#VALUE!</v>
      </c>
      <c r="J32" s="0" t="e">
        <f aca="false">SUMIFS(#REF!,#REF!,'Cluster counts corrected Z&lt;3'!$A32)</f>
        <v>#VALUE!</v>
      </c>
      <c r="K32" s="0" t="e">
        <f aca="false">SUMIFS(#REF!,#REF!,'Cluster counts corrected Z&lt;3'!$A32)</f>
        <v>#VALUE!</v>
      </c>
      <c r="L32" s="0" t="e">
        <f aca="false">SUMIFS(#REF!,#REF!,'Cluster counts corrected Z&lt;3'!$A32)</f>
        <v>#VALUE!</v>
      </c>
      <c r="M32" s="0" t="e">
        <f aca="false">SUMIFS(#REF!,#REF!,'Cluster counts corrected Z&lt;3'!$A32)</f>
        <v>#VALUE!</v>
      </c>
      <c r="N32" s="0" t="e">
        <f aca="false">SUMIFS(#REF!,#REF!,'Cluster counts corrected Z&lt;3'!$A32)</f>
        <v>#VALUE!</v>
      </c>
      <c r="O32" s="0" t="e">
        <f aca="false">SUMIFS(#REF!,#REF!,'Cluster counts corrected Z&lt;3'!$A32)</f>
        <v>#VALUE!</v>
      </c>
      <c r="P32" s="0" t="e">
        <f aca="false">SUMIFS(#REF!,#REF!,'Cluster counts corrected Z&lt;3'!$A32)</f>
        <v>#VALUE!</v>
      </c>
      <c r="Q32" s="0" t="e">
        <f aca="false">SUMIFS(#REF!,#REF!,'Cluster counts corrected Z&lt;3'!$A32)</f>
        <v>#VALUE!</v>
      </c>
      <c r="R32" s="0" t="e">
        <f aca="false">SUMIFS(#REF!,#REF!,'Cluster counts corrected Z&lt;3'!$A32)</f>
        <v>#VALUE!</v>
      </c>
      <c r="T32" s="3" t="e">
        <f aca="false">_xlfn.T.TEST(B32:J32,K32:R32,2,2)</f>
        <v>#VALUE!</v>
      </c>
      <c r="U32" s="0" t="e">
        <f aca="false">AVERAGE(B32:J32)</f>
        <v>#VALUE!</v>
      </c>
      <c r="V32" s="0" t="e">
        <f aca="false">AVERAGE(K32:R32)</f>
        <v>#VALUE!</v>
      </c>
      <c r="W32" s="0" t="e">
        <f aca="false">STDEV(B32:J32)/SQRT(COUNT(B32:J32))</f>
        <v>#VALUE!</v>
      </c>
      <c r="X32" s="0" t="e">
        <f aca="false">STDEV(K32:R32)/SQRT(COUNT(K32:R32))</f>
        <v>#VALUE!</v>
      </c>
    </row>
    <row r="33" customFormat="false" ht="14.5" hidden="false" customHeight="false" outlineLevel="0" collapsed="false">
      <c r="A33" s="0" t="n">
        <v>31</v>
      </c>
      <c r="B33" s="0" t="e">
        <f aca="false">SUMIFS(#REF!,#REF!,'Cluster counts corrected Z&lt;3'!$A33)</f>
        <v>#VALUE!</v>
      </c>
      <c r="C33" s="0" t="e">
        <f aca="false">SUMIFS(#REF!,#REF!,'Cluster counts corrected Z&lt;3'!$A33)</f>
        <v>#VALUE!</v>
      </c>
      <c r="D33" s="0" t="e">
        <f aca="false">SUMIFS(#REF!,#REF!,'Cluster counts corrected Z&lt;3'!$A33)</f>
        <v>#VALUE!</v>
      </c>
      <c r="E33" s="0" t="e">
        <f aca="false">SUMIFS(#REF!,#REF!,'Cluster counts corrected Z&lt;3'!$A33)</f>
        <v>#VALUE!</v>
      </c>
      <c r="F33" s="0" t="e">
        <f aca="false">SUMIFS(#REF!,#REF!,'Cluster counts corrected Z&lt;3'!$A33)</f>
        <v>#VALUE!</v>
      </c>
      <c r="G33" s="0" t="e">
        <f aca="false">SUMIFS(#REF!,#REF!,'Cluster counts corrected Z&lt;3'!$A33)</f>
        <v>#VALUE!</v>
      </c>
      <c r="H33" s="0" t="e">
        <f aca="false">SUMIFS(#REF!,#REF!,'Cluster counts corrected Z&lt;3'!$A33)</f>
        <v>#VALUE!</v>
      </c>
      <c r="I33" s="0" t="e">
        <f aca="false">SUMIFS(#REF!,#REF!,'Cluster counts corrected Z&lt;3'!$A33)</f>
        <v>#VALUE!</v>
      </c>
      <c r="J33" s="0" t="e">
        <f aca="false">SUMIFS(#REF!,#REF!,'Cluster counts corrected Z&lt;3'!$A33)</f>
        <v>#VALUE!</v>
      </c>
      <c r="K33" s="0" t="e">
        <f aca="false">SUMIFS(#REF!,#REF!,'Cluster counts corrected Z&lt;3'!$A33)</f>
        <v>#VALUE!</v>
      </c>
      <c r="L33" s="0" t="e">
        <f aca="false">SUMIFS(#REF!,#REF!,'Cluster counts corrected Z&lt;3'!$A33)</f>
        <v>#VALUE!</v>
      </c>
      <c r="M33" s="0" t="e">
        <f aca="false">SUMIFS(#REF!,#REF!,'Cluster counts corrected Z&lt;3'!$A33)</f>
        <v>#VALUE!</v>
      </c>
      <c r="N33" s="0" t="e">
        <f aca="false">SUMIFS(#REF!,#REF!,'Cluster counts corrected Z&lt;3'!$A33)</f>
        <v>#VALUE!</v>
      </c>
      <c r="O33" s="0" t="e">
        <f aca="false">SUMIFS(#REF!,#REF!,'Cluster counts corrected Z&lt;3'!$A33)</f>
        <v>#VALUE!</v>
      </c>
      <c r="P33" s="0" t="e">
        <f aca="false">SUMIFS(#REF!,#REF!,'Cluster counts corrected Z&lt;3'!$A33)</f>
        <v>#VALUE!</v>
      </c>
      <c r="Q33" s="0" t="e">
        <f aca="false">SUMIFS(#REF!,#REF!,'Cluster counts corrected Z&lt;3'!$A33)</f>
        <v>#VALUE!</v>
      </c>
      <c r="R33" s="0" t="e">
        <f aca="false">SUMIFS(#REF!,#REF!,'Cluster counts corrected Z&lt;3'!$A33)</f>
        <v>#VALUE!</v>
      </c>
      <c r="T33" s="3" t="e">
        <f aca="false">_xlfn.T.TEST(B33:J33,K33:R33,2,2)</f>
        <v>#VALUE!</v>
      </c>
      <c r="U33" s="0" t="e">
        <f aca="false">AVERAGE(B33:J33)</f>
        <v>#VALUE!</v>
      </c>
      <c r="V33" s="0" t="e">
        <f aca="false">AVERAGE(K33:R33)</f>
        <v>#VALUE!</v>
      </c>
      <c r="W33" s="0" t="e">
        <f aca="false">STDEV(B33:J33)/SQRT(COUNT(B33:J33))</f>
        <v>#VALUE!</v>
      </c>
      <c r="X33" s="0" t="e">
        <f aca="false">STDEV(K33:R33)/SQRT(COUNT(K33:R33))</f>
        <v>#VALUE!</v>
      </c>
    </row>
    <row r="34" customFormat="false" ht="14.5" hidden="false" customHeight="false" outlineLevel="0" collapsed="false">
      <c r="A34" s="0" t="n">
        <v>32</v>
      </c>
      <c r="B34" s="0" t="e">
        <f aca="false">SUMIFS(#REF!,#REF!,'Cluster counts corrected Z&lt;3'!$A34)</f>
        <v>#VALUE!</v>
      </c>
      <c r="C34" s="0" t="e">
        <f aca="false">SUMIFS(#REF!,#REF!,'Cluster counts corrected Z&lt;3'!$A34)</f>
        <v>#VALUE!</v>
      </c>
      <c r="D34" s="0" t="e">
        <f aca="false">SUMIFS(#REF!,#REF!,'Cluster counts corrected Z&lt;3'!$A34)</f>
        <v>#VALUE!</v>
      </c>
      <c r="E34" s="0" t="e">
        <f aca="false">SUMIFS(#REF!,#REF!,'Cluster counts corrected Z&lt;3'!$A34)</f>
        <v>#VALUE!</v>
      </c>
      <c r="F34" s="0" t="e">
        <f aca="false">SUMIFS(#REF!,#REF!,'Cluster counts corrected Z&lt;3'!$A34)</f>
        <v>#VALUE!</v>
      </c>
      <c r="G34" s="0" t="e">
        <f aca="false">SUMIFS(#REF!,#REF!,'Cluster counts corrected Z&lt;3'!$A34)</f>
        <v>#VALUE!</v>
      </c>
      <c r="H34" s="0" t="e">
        <f aca="false">SUMIFS(#REF!,#REF!,'Cluster counts corrected Z&lt;3'!$A34)</f>
        <v>#VALUE!</v>
      </c>
      <c r="I34" s="0" t="e">
        <f aca="false">SUMIFS(#REF!,#REF!,'Cluster counts corrected Z&lt;3'!$A34)</f>
        <v>#VALUE!</v>
      </c>
      <c r="J34" s="0" t="e">
        <f aca="false">SUMIFS(#REF!,#REF!,'Cluster counts corrected Z&lt;3'!$A34)</f>
        <v>#VALUE!</v>
      </c>
      <c r="K34" s="0" t="e">
        <f aca="false">SUMIFS(#REF!,#REF!,'Cluster counts corrected Z&lt;3'!$A34)</f>
        <v>#VALUE!</v>
      </c>
      <c r="L34" s="0" t="e">
        <f aca="false">SUMIFS(#REF!,#REF!,'Cluster counts corrected Z&lt;3'!$A34)</f>
        <v>#VALUE!</v>
      </c>
      <c r="M34" s="0" t="e">
        <f aca="false">SUMIFS(#REF!,#REF!,'Cluster counts corrected Z&lt;3'!$A34)</f>
        <v>#VALUE!</v>
      </c>
      <c r="N34" s="0" t="e">
        <f aca="false">SUMIFS(#REF!,#REF!,'Cluster counts corrected Z&lt;3'!$A34)</f>
        <v>#VALUE!</v>
      </c>
      <c r="O34" s="0" t="e">
        <f aca="false">SUMIFS(#REF!,#REF!,'Cluster counts corrected Z&lt;3'!$A34)</f>
        <v>#VALUE!</v>
      </c>
      <c r="P34" s="0" t="e">
        <f aca="false">SUMIFS(#REF!,#REF!,'Cluster counts corrected Z&lt;3'!$A34)</f>
        <v>#VALUE!</v>
      </c>
      <c r="Q34" s="0" t="e">
        <f aca="false">SUMIFS(#REF!,#REF!,'Cluster counts corrected Z&lt;3'!$A34)</f>
        <v>#VALUE!</v>
      </c>
      <c r="R34" s="0" t="e">
        <f aca="false">SUMIFS(#REF!,#REF!,'Cluster counts corrected Z&lt;3'!$A34)</f>
        <v>#VALUE!</v>
      </c>
      <c r="T34" s="3" t="e">
        <f aca="false">_xlfn.T.TEST(B34:J34,K34:R34,2,2)</f>
        <v>#VALUE!</v>
      </c>
      <c r="U34" s="0" t="e">
        <f aca="false">AVERAGE(B34:J34)</f>
        <v>#VALUE!</v>
      </c>
      <c r="V34" s="0" t="e">
        <f aca="false">AVERAGE(K34:R34)</f>
        <v>#VALUE!</v>
      </c>
      <c r="W34" s="0" t="e">
        <f aca="false">STDEV(B34:J34)/SQRT(COUNT(B34:J34))</f>
        <v>#VALUE!</v>
      </c>
      <c r="X34" s="0" t="e">
        <f aca="false">STDEV(K34:R34)/SQRT(COUNT(K34:R34))</f>
        <v>#VALUE!</v>
      </c>
    </row>
    <row r="35" customFormat="false" ht="14.5" hidden="false" customHeight="false" outlineLevel="0" collapsed="false">
      <c r="A35" s="0" t="n">
        <v>33</v>
      </c>
      <c r="B35" s="0" t="e">
        <f aca="false">SUMIFS(#REF!,#REF!,'Cluster counts corrected Z&lt;3'!$A35)</f>
        <v>#VALUE!</v>
      </c>
      <c r="C35" s="0" t="e">
        <f aca="false">SUMIFS(#REF!,#REF!,'Cluster counts corrected Z&lt;3'!$A35)</f>
        <v>#VALUE!</v>
      </c>
      <c r="D35" s="0" t="e">
        <f aca="false">SUMIFS(#REF!,#REF!,'Cluster counts corrected Z&lt;3'!$A35)</f>
        <v>#VALUE!</v>
      </c>
      <c r="E35" s="0" t="e">
        <f aca="false">SUMIFS(#REF!,#REF!,'Cluster counts corrected Z&lt;3'!$A35)</f>
        <v>#VALUE!</v>
      </c>
      <c r="F35" s="0" t="e">
        <f aca="false">SUMIFS(#REF!,#REF!,'Cluster counts corrected Z&lt;3'!$A35)</f>
        <v>#VALUE!</v>
      </c>
      <c r="G35" s="0" t="e">
        <f aca="false">SUMIFS(#REF!,#REF!,'Cluster counts corrected Z&lt;3'!$A35)</f>
        <v>#VALUE!</v>
      </c>
      <c r="H35" s="0" t="e">
        <f aca="false">SUMIFS(#REF!,#REF!,'Cluster counts corrected Z&lt;3'!$A35)</f>
        <v>#VALUE!</v>
      </c>
      <c r="I35" s="0" t="e">
        <f aca="false">SUMIFS(#REF!,#REF!,'Cluster counts corrected Z&lt;3'!$A35)</f>
        <v>#VALUE!</v>
      </c>
      <c r="J35" s="0" t="e">
        <f aca="false">SUMIFS(#REF!,#REF!,'Cluster counts corrected Z&lt;3'!$A35)</f>
        <v>#VALUE!</v>
      </c>
      <c r="K35" s="0" t="e">
        <f aca="false">SUMIFS(#REF!,#REF!,'Cluster counts corrected Z&lt;3'!$A35)</f>
        <v>#VALUE!</v>
      </c>
      <c r="L35" s="0" t="e">
        <f aca="false">SUMIFS(#REF!,#REF!,'Cluster counts corrected Z&lt;3'!$A35)</f>
        <v>#VALUE!</v>
      </c>
      <c r="M35" s="0" t="e">
        <f aca="false">SUMIFS(#REF!,#REF!,'Cluster counts corrected Z&lt;3'!$A35)</f>
        <v>#VALUE!</v>
      </c>
      <c r="N35" s="0" t="e">
        <f aca="false">SUMIFS(#REF!,#REF!,'Cluster counts corrected Z&lt;3'!$A35)</f>
        <v>#VALUE!</v>
      </c>
      <c r="O35" s="0" t="e">
        <f aca="false">SUMIFS(#REF!,#REF!,'Cluster counts corrected Z&lt;3'!$A35)</f>
        <v>#VALUE!</v>
      </c>
      <c r="P35" s="0" t="e">
        <f aca="false">SUMIFS(#REF!,#REF!,'Cluster counts corrected Z&lt;3'!$A35)</f>
        <v>#VALUE!</v>
      </c>
      <c r="Q35" s="0" t="e">
        <f aca="false">SUMIFS(#REF!,#REF!,'Cluster counts corrected Z&lt;3'!$A35)</f>
        <v>#VALUE!</v>
      </c>
      <c r="R35" s="0" t="e">
        <f aca="false">SUMIFS(#REF!,#REF!,'Cluster counts corrected Z&lt;3'!$A35)</f>
        <v>#VALUE!</v>
      </c>
      <c r="T35" s="3" t="e">
        <f aca="false">_xlfn.T.TEST(B35:J35,K35:R35,2,2)</f>
        <v>#VALUE!</v>
      </c>
      <c r="U35" s="0" t="e">
        <f aca="false">AVERAGE(B35:J35)</f>
        <v>#VALUE!</v>
      </c>
      <c r="V35" s="0" t="e">
        <f aca="false">AVERAGE(K35:R35)</f>
        <v>#VALUE!</v>
      </c>
      <c r="W35" s="0" t="e">
        <f aca="false">STDEV(B35:J35)/SQRT(COUNT(B35:J35))</f>
        <v>#VALUE!</v>
      </c>
      <c r="X35" s="0" t="e">
        <f aca="false">STDEV(K35:R35)/SQRT(COUNT(K35:R35))</f>
        <v>#VALUE!</v>
      </c>
    </row>
    <row r="36" customFormat="false" ht="14.5" hidden="false" customHeight="false" outlineLevel="0" collapsed="false">
      <c r="A36" s="0" t="n">
        <v>34</v>
      </c>
      <c r="B36" s="0" t="e">
        <f aca="false">SUMIFS(#REF!,#REF!,'Cluster counts corrected Z&lt;3'!$A36)</f>
        <v>#VALUE!</v>
      </c>
      <c r="C36" s="0" t="e">
        <f aca="false">SUMIFS(#REF!,#REF!,'Cluster counts corrected Z&lt;3'!$A36)</f>
        <v>#VALUE!</v>
      </c>
      <c r="D36" s="0" t="e">
        <f aca="false">SUMIFS(#REF!,#REF!,'Cluster counts corrected Z&lt;3'!$A36)</f>
        <v>#VALUE!</v>
      </c>
      <c r="E36" s="0" t="e">
        <f aca="false">SUMIFS(#REF!,#REF!,'Cluster counts corrected Z&lt;3'!$A36)</f>
        <v>#VALUE!</v>
      </c>
      <c r="F36" s="0" t="e">
        <f aca="false">SUMIFS(#REF!,#REF!,'Cluster counts corrected Z&lt;3'!$A36)</f>
        <v>#VALUE!</v>
      </c>
      <c r="G36" s="0" t="e">
        <f aca="false">SUMIFS(#REF!,#REF!,'Cluster counts corrected Z&lt;3'!$A36)</f>
        <v>#VALUE!</v>
      </c>
      <c r="H36" s="0" t="e">
        <f aca="false">SUMIFS(#REF!,#REF!,'Cluster counts corrected Z&lt;3'!$A36)</f>
        <v>#VALUE!</v>
      </c>
      <c r="I36" s="0" t="e">
        <f aca="false">SUMIFS(#REF!,#REF!,'Cluster counts corrected Z&lt;3'!$A36)</f>
        <v>#VALUE!</v>
      </c>
      <c r="J36" s="0" t="e">
        <f aca="false">SUMIFS(#REF!,#REF!,'Cluster counts corrected Z&lt;3'!$A36)</f>
        <v>#VALUE!</v>
      </c>
      <c r="K36" s="0" t="e">
        <f aca="false">SUMIFS(#REF!,#REF!,'Cluster counts corrected Z&lt;3'!$A36)</f>
        <v>#VALUE!</v>
      </c>
      <c r="L36" s="0" t="e">
        <f aca="false">SUMIFS(#REF!,#REF!,'Cluster counts corrected Z&lt;3'!$A36)</f>
        <v>#VALUE!</v>
      </c>
      <c r="M36" s="0" t="e">
        <f aca="false">SUMIFS(#REF!,#REF!,'Cluster counts corrected Z&lt;3'!$A36)</f>
        <v>#VALUE!</v>
      </c>
      <c r="N36" s="0" t="e">
        <f aca="false">SUMIFS(#REF!,#REF!,'Cluster counts corrected Z&lt;3'!$A36)</f>
        <v>#VALUE!</v>
      </c>
      <c r="O36" s="0" t="e">
        <f aca="false">SUMIFS(#REF!,#REF!,'Cluster counts corrected Z&lt;3'!$A36)</f>
        <v>#VALUE!</v>
      </c>
      <c r="P36" s="0" t="e">
        <f aca="false">SUMIFS(#REF!,#REF!,'Cluster counts corrected Z&lt;3'!$A36)</f>
        <v>#VALUE!</v>
      </c>
      <c r="Q36" s="0" t="e">
        <f aca="false">SUMIFS(#REF!,#REF!,'Cluster counts corrected Z&lt;3'!$A36)</f>
        <v>#VALUE!</v>
      </c>
      <c r="R36" s="0" t="e">
        <f aca="false">SUMIFS(#REF!,#REF!,'Cluster counts corrected Z&lt;3'!$A36)</f>
        <v>#VALUE!</v>
      </c>
      <c r="T36" s="3" t="e">
        <f aca="false">_xlfn.T.TEST(B36:J36,K36:R36,2,2)</f>
        <v>#VALUE!</v>
      </c>
      <c r="U36" s="0" t="e">
        <f aca="false">AVERAGE(B36:J36)</f>
        <v>#VALUE!</v>
      </c>
      <c r="V36" s="0" t="e">
        <f aca="false">AVERAGE(K36:R36)</f>
        <v>#VALUE!</v>
      </c>
      <c r="W36" s="0" t="e">
        <f aca="false">STDEV(B36:J36)/SQRT(COUNT(B36:J36))</f>
        <v>#VALUE!</v>
      </c>
      <c r="X36" s="0" t="e">
        <f aca="false">STDEV(K36:R36)/SQRT(COUNT(K36:R36))</f>
        <v>#VALUE!</v>
      </c>
    </row>
    <row r="37" customFormat="false" ht="14.5" hidden="false" customHeight="false" outlineLevel="0" collapsed="false">
      <c r="A37" s="0" t="n">
        <v>35</v>
      </c>
      <c r="B37" s="0" t="e">
        <f aca="false">SUMIFS(#REF!,#REF!,'Cluster counts corrected Z&lt;3'!$A37)</f>
        <v>#VALUE!</v>
      </c>
      <c r="C37" s="0" t="e">
        <f aca="false">SUMIFS(#REF!,#REF!,'Cluster counts corrected Z&lt;3'!$A37)</f>
        <v>#VALUE!</v>
      </c>
      <c r="D37" s="0" t="e">
        <f aca="false">SUMIFS(#REF!,#REF!,'Cluster counts corrected Z&lt;3'!$A37)</f>
        <v>#VALUE!</v>
      </c>
      <c r="E37" s="0" t="e">
        <f aca="false">SUMIFS(#REF!,#REF!,'Cluster counts corrected Z&lt;3'!$A37)</f>
        <v>#VALUE!</v>
      </c>
      <c r="F37" s="0" t="e">
        <f aca="false">SUMIFS(#REF!,#REF!,'Cluster counts corrected Z&lt;3'!$A37)</f>
        <v>#VALUE!</v>
      </c>
      <c r="G37" s="0" t="e">
        <f aca="false">SUMIFS(#REF!,#REF!,'Cluster counts corrected Z&lt;3'!$A37)</f>
        <v>#VALUE!</v>
      </c>
      <c r="H37" s="0" t="e">
        <f aca="false">SUMIFS(#REF!,#REF!,'Cluster counts corrected Z&lt;3'!$A37)</f>
        <v>#VALUE!</v>
      </c>
      <c r="I37" s="0" t="e">
        <f aca="false">SUMIFS(#REF!,#REF!,'Cluster counts corrected Z&lt;3'!$A37)</f>
        <v>#VALUE!</v>
      </c>
      <c r="J37" s="0" t="e">
        <f aca="false">SUMIFS(#REF!,#REF!,'Cluster counts corrected Z&lt;3'!$A37)</f>
        <v>#VALUE!</v>
      </c>
      <c r="K37" s="0" t="e">
        <f aca="false">SUMIFS(#REF!,#REF!,'Cluster counts corrected Z&lt;3'!$A37)</f>
        <v>#VALUE!</v>
      </c>
      <c r="L37" s="0" t="e">
        <f aca="false">SUMIFS(#REF!,#REF!,'Cluster counts corrected Z&lt;3'!$A37)</f>
        <v>#VALUE!</v>
      </c>
      <c r="M37" s="0" t="e">
        <f aca="false">SUMIFS(#REF!,#REF!,'Cluster counts corrected Z&lt;3'!$A37)</f>
        <v>#VALUE!</v>
      </c>
      <c r="N37" s="0" t="e">
        <f aca="false">SUMIFS(#REF!,#REF!,'Cluster counts corrected Z&lt;3'!$A37)</f>
        <v>#VALUE!</v>
      </c>
      <c r="O37" s="0" t="e">
        <f aca="false">SUMIFS(#REF!,#REF!,'Cluster counts corrected Z&lt;3'!$A37)</f>
        <v>#VALUE!</v>
      </c>
      <c r="P37" s="0" t="e">
        <f aca="false">SUMIFS(#REF!,#REF!,'Cluster counts corrected Z&lt;3'!$A37)</f>
        <v>#VALUE!</v>
      </c>
      <c r="Q37" s="0" t="e">
        <f aca="false">SUMIFS(#REF!,#REF!,'Cluster counts corrected Z&lt;3'!$A37)</f>
        <v>#VALUE!</v>
      </c>
      <c r="R37" s="0" t="e">
        <f aca="false">SUMIFS(#REF!,#REF!,'Cluster counts corrected Z&lt;3'!$A37)</f>
        <v>#VALUE!</v>
      </c>
      <c r="T37" s="3" t="e">
        <f aca="false">_xlfn.T.TEST(B37:J37,K37:R37,2,2)</f>
        <v>#VALUE!</v>
      </c>
      <c r="U37" s="0" t="e">
        <f aca="false">AVERAGE(B37:J37)</f>
        <v>#VALUE!</v>
      </c>
      <c r="V37" s="0" t="e">
        <f aca="false">AVERAGE(K37:R37)</f>
        <v>#VALUE!</v>
      </c>
      <c r="W37" s="0" t="e">
        <f aca="false">STDEV(B37:J37)/SQRT(COUNT(B37:J37))</f>
        <v>#VALUE!</v>
      </c>
      <c r="X37" s="0" t="e">
        <f aca="false">STDEV(K37:R37)/SQRT(COUNT(K37:R37))</f>
        <v>#VALUE!</v>
      </c>
    </row>
    <row r="38" customFormat="false" ht="14.5" hidden="false" customHeight="false" outlineLevel="0" collapsed="false">
      <c r="A38" s="0" t="n">
        <v>36</v>
      </c>
      <c r="B38" s="0" t="e">
        <f aca="false">SUMIFS(#REF!,#REF!,'Cluster counts corrected Z&lt;3'!$A38)</f>
        <v>#VALUE!</v>
      </c>
      <c r="C38" s="0" t="e">
        <f aca="false">SUMIFS(#REF!,#REF!,'Cluster counts corrected Z&lt;3'!$A38)</f>
        <v>#VALUE!</v>
      </c>
      <c r="D38" s="0" t="e">
        <f aca="false">SUMIFS(#REF!,#REF!,'Cluster counts corrected Z&lt;3'!$A38)</f>
        <v>#VALUE!</v>
      </c>
      <c r="E38" s="0" t="e">
        <f aca="false">SUMIFS(#REF!,#REF!,'Cluster counts corrected Z&lt;3'!$A38)</f>
        <v>#VALUE!</v>
      </c>
      <c r="F38" s="0" t="e">
        <f aca="false">SUMIFS(#REF!,#REF!,'Cluster counts corrected Z&lt;3'!$A38)</f>
        <v>#VALUE!</v>
      </c>
      <c r="G38" s="0" t="e">
        <f aca="false">SUMIFS(#REF!,#REF!,'Cluster counts corrected Z&lt;3'!$A38)</f>
        <v>#VALUE!</v>
      </c>
      <c r="H38" s="0" t="e">
        <f aca="false">SUMIFS(#REF!,#REF!,'Cluster counts corrected Z&lt;3'!$A38)</f>
        <v>#VALUE!</v>
      </c>
      <c r="I38" s="0" t="e">
        <f aca="false">SUMIFS(#REF!,#REF!,'Cluster counts corrected Z&lt;3'!$A38)</f>
        <v>#VALUE!</v>
      </c>
      <c r="J38" s="0" t="e">
        <f aca="false">SUMIFS(#REF!,#REF!,'Cluster counts corrected Z&lt;3'!$A38)</f>
        <v>#VALUE!</v>
      </c>
      <c r="K38" s="0" t="e">
        <f aca="false">SUMIFS(#REF!,#REF!,'Cluster counts corrected Z&lt;3'!$A38)</f>
        <v>#VALUE!</v>
      </c>
      <c r="L38" s="0" t="e">
        <f aca="false">SUMIFS(#REF!,#REF!,'Cluster counts corrected Z&lt;3'!$A38)</f>
        <v>#VALUE!</v>
      </c>
      <c r="M38" s="0" t="e">
        <f aca="false">SUMIFS(#REF!,#REF!,'Cluster counts corrected Z&lt;3'!$A38)</f>
        <v>#VALUE!</v>
      </c>
      <c r="N38" s="0" t="e">
        <f aca="false">SUMIFS(#REF!,#REF!,'Cluster counts corrected Z&lt;3'!$A38)</f>
        <v>#VALUE!</v>
      </c>
      <c r="O38" s="0" t="e">
        <f aca="false">SUMIFS(#REF!,#REF!,'Cluster counts corrected Z&lt;3'!$A38)</f>
        <v>#VALUE!</v>
      </c>
      <c r="P38" s="0" t="e">
        <f aca="false">SUMIFS(#REF!,#REF!,'Cluster counts corrected Z&lt;3'!$A38)</f>
        <v>#VALUE!</v>
      </c>
      <c r="Q38" s="0" t="e">
        <f aca="false">SUMIFS(#REF!,#REF!,'Cluster counts corrected Z&lt;3'!$A38)</f>
        <v>#VALUE!</v>
      </c>
      <c r="R38" s="0" t="e">
        <f aca="false">SUMIFS(#REF!,#REF!,'Cluster counts corrected Z&lt;3'!$A38)</f>
        <v>#VALUE!</v>
      </c>
      <c r="T38" s="3" t="e">
        <f aca="false">_xlfn.T.TEST(B38:J38,K38:R38,2,2)</f>
        <v>#VALUE!</v>
      </c>
      <c r="U38" s="0" t="e">
        <f aca="false">AVERAGE(B38:J38)</f>
        <v>#VALUE!</v>
      </c>
      <c r="V38" s="0" t="e">
        <f aca="false">AVERAGE(K38:R38)</f>
        <v>#VALUE!</v>
      </c>
      <c r="W38" s="0" t="e">
        <f aca="false">STDEV(B38:J38)/SQRT(COUNT(B38:J38))</f>
        <v>#VALUE!</v>
      </c>
      <c r="X38" s="0" t="e">
        <f aca="false">STDEV(K38:R38)/SQRT(COUNT(K38:R38))</f>
        <v>#VALUE!</v>
      </c>
    </row>
    <row r="39" customFormat="false" ht="14.5" hidden="false" customHeight="false" outlineLevel="0" collapsed="false">
      <c r="A39" s="0" t="n">
        <v>37</v>
      </c>
      <c r="B39" s="0" t="e">
        <f aca="false">SUMIFS(#REF!,#REF!,'Cluster counts corrected Z&lt;3'!$A39)</f>
        <v>#VALUE!</v>
      </c>
      <c r="C39" s="0" t="e">
        <f aca="false">SUMIFS(#REF!,#REF!,'Cluster counts corrected Z&lt;3'!$A39)</f>
        <v>#VALUE!</v>
      </c>
      <c r="D39" s="0" t="e">
        <f aca="false">SUMIFS(#REF!,#REF!,'Cluster counts corrected Z&lt;3'!$A39)</f>
        <v>#VALUE!</v>
      </c>
      <c r="E39" s="0" t="e">
        <f aca="false">SUMIFS(#REF!,#REF!,'Cluster counts corrected Z&lt;3'!$A39)</f>
        <v>#VALUE!</v>
      </c>
      <c r="F39" s="0" t="e">
        <f aca="false">SUMIFS(#REF!,#REF!,'Cluster counts corrected Z&lt;3'!$A39)</f>
        <v>#VALUE!</v>
      </c>
      <c r="G39" s="0" t="e">
        <f aca="false">SUMIFS(#REF!,#REF!,'Cluster counts corrected Z&lt;3'!$A39)</f>
        <v>#VALUE!</v>
      </c>
      <c r="H39" s="0" t="e">
        <f aca="false">SUMIFS(#REF!,#REF!,'Cluster counts corrected Z&lt;3'!$A39)</f>
        <v>#VALUE!</v>
      </c>
      <c r="I39" s="0" t="e">
        <f aca="false">SUMIFS(#REF!,#REF!,'Cluster counts corrected Z&lt;3'!$A39)</f>
        <v>#VALUE!</v>
      </c>
      <c r="J39" s="0" t="e">
        <f aca="false">SUMIFS(#REF!,#REF!,'Cluster counts corrected Z&lt;3'!$A39)</f>
        <v>#VALUE!</v>
      </c>
      <c r="K39" s="0" t="e">
        <f aca="false">SUMIFS(#REF!,#REF!,'Cluster counts corrected Z&lt;3'!$A39)</f>
        <v>#VALUE!</v>
      </c>
      <c r="L39" s="0" t="e">
        <f aca="false">SUMIFS(#REF!,#REF!,'Cluster counts corrected Z&lt;3'!$A39)</f>
        <v>#VALUE!</v>
      </c>
      <c r="M39" s="0" t="e">
        <f aca="false">SUMIFS(#REF!,#REF!,'Cluster counts corrected Z&lt;3'!$A39)</f>
        <v>#VALUE!</v>
      </c>
      <c r="N39" s="0" t="e">
        <f aca="false">SUMIFS(#REF!,#REF!,'Cluster counts corrected Z&lt;3'!$A39)</f>
        <v>#VALUE!</v>
      </c>
      <c r="O39" s="0" t="e">
        <f aca="false">SUMIFS(#REF!,#REF!,'Cluster counts corrected Z&lt;3'!$A39)</f>
        <v>#VALUE!</v>
      </c>
      <c r="P39" s="0" t="e">
        <f aca="false">SUMIFS(#REF!,#REF!,'Cluster counts corrected Z&lt;3'!$A39)</f>
        <v>#VALUE!</v>
      </c>
      <c r="Q39" s="0" t="e">
        <f aca="false">SUMIFS(#REF!,#REF!,'Cluster counts corrected Z&lt;3'!$A39)</f>
        <v>#VALUE!</v>
      </c>
      <c r="R39" s="0" t="e">
        <f aca="false">SUMIFS(#REF!,#REF!,'Cluster counts corrected Z&lt;3'!$A39)</f>
        <v>#VALUE!</v>
      </c>
      <c r="T39" s="3" t="e">
        <f aca="false">_xlfn.T.TEST(B39:J39,K39:R39,2,2)</f>
        <v>#VALUE!</v>
      </c>
      <c r="U39" s="0" t="e">
        <f aca="false">AVERAGE(B39:J39)</f>
        <v>#VALUE!</v>
      </c>
      <c r="V39" s="0" t="e">
        <f aca="false">AVERAGE(K39:R39)</f>
        <v>#VALUE!</v>
      </c>
      <c r="W39" s="0" t="e">
        <f aca="false">STDEV(B39:J39)/SQRT(COUNT(B39:J39))</f>
        <v>#VALUE!</v>
      </c>
      <c r="X39" s="0" t="e">
        <f aca="false">STDEV(K39:R39)/SQRT(COUNT(K39:R39))</f>
        <v>#VALUE!</v>
      </c>
    </row>
    <row r="40" customFormat="false" ht="14.5" hidden="false" customHeight="false" outlineLevel="0" collapsed="false">
      <c r="A40" s="0" t="n">
        <v>38</v>
      </c>
      <c r="B40" s="0" t="e">
        <f aca="false">SUMIFS(#REF!,#REF!,'Cluster counts corrected Z&lt;3'!$A40)</f>
        <v>#VALUE!</v>
      </c>
      <c r="C40" s="0" t="e">
        <f aca="false">SUMIFS(#REF!,#REF!,'Cluster counts corrected Z&lt;3'!$A40)</f>
        <v>#VALUE!</v>
      </c>
      <c r="D40" s="0" t="e">
        <f aca="false">SUMIFS(#REF!,#REF!,'Cluster counts corrected Z&lt;3'!$A40)</f>
        <v>#VALUE!</v>
      </c>
      <c r="E40" s="0" t="e">
        <f aca="false">SUMIFS(#REF!,#REF!,'Cluster counts corrected Z&lt;3'!$A40)</f>
        <v>#VALUE!</v>
      </c>
      <c r="F40" s="0" t="e">
        <f aca="false">SUMIFS(#REF!,#REF!,'Cluster counts corrected Z&lt;3'!$A40)</f>
        <v>#VALUE!</v>
      </c>
      <c r="G40" s="0" t="e">
        <f aca="false">SUMIFS(#REF!,#REF!,'Cluster counts corrected Z&lt;3'!$A40)</f>
        <v>#VALUE!</v>
      </c>
      <c r="H40" s="0" t="e">
        <f aca="false">SUMIFS(#REF!,#REF!,'Cluster counts corrected Z&lt;3'!$A40)</f>
        <v>#VALUE!</v>
      </c>
      <c r="I40" s="0" t="e">
        <f aca="false">SUMIFS(#REF!,#REF!,'Cluster counts corrected Z&lt;3'!$A40)</f>
        <v>#VALUE!</v>
      </c>
      <c r="J40" s="0" t="e">
        <f aca="false">SUMIFS(#REF!,#REF!,'Cluster counts corrected Z&lt;3'!$A40)</f>
        <v>#VALUE!</v>
      </c>
      <c r="K40" s="0" t="e">
        <f aca="false">SUMIFS(#REF!,#REF!,'Cluster counts corrected Z&lt;3'!$A40)</f>
        <v>#VALUE!</v>
      </c>
      <c r="L40" s="0" t="e">
        <f aca="false">SUMIFS(#REF!,#REF!,'Cluster counts corrected Z&lt;3'!$A40)</f>
        <v>#VALUE!</v>
      </c>
      <c r="M40" s="0" t="e">
        <f aca="false">SUMIFS(#REF!,#REF!,'Cluster counts corrected Z&lt;3'!$A40)</f>
        <v>#VALUE!</v>
      </c>
      <c r="N40" s="0" t="e">
        <f aca="false">SUMIFS(#REF!,#REF!,'Cluster counts corrected Z&lt;3'!$A40)</f>
        <v>#VALUE!</v>
      </c>
      <c r="O40" s="0" t="e">
        <f aca="false">SUMIFS(#REF!,#REF!,'Cluster counts corrected Z&lt;3'!$A40)</f>
        <v>#VALUE!</v>
      </c>
      <c r="P40" s="0" t="e">
        <f aca="false">SUMIFS(#REF!,#REF!,'Cluster counts corrected Z&lt;3'!$A40)</f>
        <v>#VALUE!</v>
      </c>
      <c r="Q40" s="0" t="e">
        <f aca="false">SUMIFS(#REF!,#REF!,'Cluster counts corrected Z&lt;3'!$A40)</f>
        <v>#VALUE!</v>
      </c>
      <c r="R40" s="0" t="e">
        <f aca="false">SUMIFS(#REF!,#REF!,'Cluster counts corrected Z&lt;3'!$A40)</f>
        <v>#VALUE!</v>
      </c>
      <c r="T40" s="3" t="e">
        <f aca="false">_xlfn.T.TEST(B40:J40,K40:R40,2,2)</f>
        <v>#VALUE!</v>
      </c>
      <c r="U40" s="0" t="e">
        <f aca="false">AVERAGE(B40:J40)</f>
        <v>#VALUE!</v>
      </c>
      <c r="V40" s="0" t="e">
        <f aca="false">AVERAGE(K40:R40)</f>
        <v>#VALUE!</v>
      </c>
      <c r="W40" s="0" t="e">
        <f aca="false">STDEV(B40:J40)/SQRT(COUNT(B40:J40))</f>
        <v>#VALUE!</v>
      </c>
      <c r="X40" s="0" t="e">
        <f aca="false">STDEV(K40:R40)/SQRT(COUNT(K40:R40))</f>
        <v>#VALUE!</v>
      </c>
    </row>
    <row r="41" customFormat="false" ht="14.5" hidden="false" customHeight="false" outlineLevel="0" collapsed="false">
      <c r="A41" s="0" t="n">
        <v>39</v>
      </c>
      <c r="B41" s="0" t="e">
        <f aca="false">SUMIFS(#REF!,#REF!,'Cluster counts corrected Z&lt;3'!$A41)</f>
        <v>#VALUE!</v>
      </c>
      <c r="C41" s="0" t="e">
        <f aca="false">SUMIFS(#REF!,#REF!,'Cluster counts corrected Z&lt;3'!$A41)</f>
        <v>#VALUE!</v>
      </c>
      <c r="D41" s="0" t="e">
        <f aca="false">SUMIFS(#REF!,#REF!,'Cluster counts corrected Z&lt;3'!$A41)</f>
        <v>#VALUE!</v>
      </c>
      <c r="E41" s="0" t="e">
        <f aca="false">SUMIFS(#REF!,#REF!,'Cluster counts corrected Z&lt;3'!$A41)</f>
        <v>#VALUE!</v>
      </c>
      <c r="F41" s="0" t="e">
        <f aca="false">SUMIFS(#REF!,#REF!,'Cluster counts corrected Z&lt;3'!$A41)</f>
        <v>#VALUE!</v>
      </c>
      <c r="G41" s="0" t="e">
        <f aca="false">SUMIFS(#REF!,#REF!,'Cluster counts corrected Z&lt;3'!$A41)</f>
        <v>#VALUE!</v>
      </c>
      <c r="H41" s="0" t="e">
        <f aca="false">SUMIFS(#REF!,#REF!,'Cluster counts corrected Z&lt;3'!$A41)</f>
        <v>#VALUE!</v>
      </c>
      <c r="I41" s="0" t="e">
        <f aca="false">SUMIFS(#REF!,#REF!,'Cluster counts corrected Z&lt;3'!$A41)</f>
        <v>#VALUE!</v>
      </c>
      <c r="J41" s="0" t="e">
        <f aca="false">SUMIFS(#REF!,#REF!,'Cluster counts corrected Z&lt;3'!$A41)</f>
        <v>#VALUE!</v>
      </c>
      <c r="K41" s="0" t="e">
        <f aca="false">SUMIFS(#REF!,#REF!,'Cluster counts corrected Z&lt;3'!$A41)</f>
        <v>#VALUE!</v>
      </c>
      <c r="L41" s="0" t="e">
        <f aca="false">SUMIFS(#REF!,#REF!,'Cluster counts corrected Z&lt;3'!$A41)</f>
        <v>#VALUE!</v>
      </c>
      <c r="M41" s="0" t="e">
        <f aca="false">SUMIFS(#REF!,#REF!,'Cluster counts corrected Z&lt;3'!$A41)</f>
        <v>#VALUE!</v>
      </c>
      <c r="N41" s="0" t="e">
        <f aca="false">SUMIFS(#REF!,#REF!,'Cluster counts corrected Z&lt;3'!$A41)</f>
        <v>#VALUE!</v>
      </c>
      <c r="O41" s="0" t="e">
        <f aca="false">SUMIFS(#REF!,#REF!,'Cluster counts corrected Z&lt;3'!$A41)</f>
        <v>#VALUE!</v>
      </c>
      <c r="P41" s="0" t="e">
        <f aca="false">SUMIFS(#REF!,#REF!,'Cluster counts corrected Z&lt;3'!$A41)</f>
        <v>#VALUE!</v>
      </c>
      <c r="Q41" s="0" t="e">
        <f aca="false">SUMIFS(#REF!,#REF!,'Cluster counts corrected Z&lt;3'!$A41)</f>
        <v>#VALUE!</v>
      </c>
      <c r="R41" s="0" t="e">
        <f aca="false">SUMIFS(#REF!,#REF!,'Cluster counts corrected Z&lt;3'!$A41)</f>
        <v>#VALUE!</v>
      </c>
      <c r="T41" s="3" t="e">
        <f aca="false">_xlfn.T.TEST(B41:J41,K41:R41,2,2)</f>
        <v>#VALUE!</v>
      </c>
      <c r="U41" s="0" t="e">
        <f aca="false">AVERAGE(B41:J41)</f>
        <v>#VALUE!</v>
      </c>
      <c r="V41" s="0" t="e">
        <f aca="false">AVERAGE(K41:R41)</f>
        <v>#VALUE!</v>
      </c>
      <c r="W41" s="0" t="e">
        <f aca="false">STDEV(B41:J41)/SQRT(COUNT(B41:J41))</f>
        <v>#VALUE!</v>
      </c>
      <c r="X41" s="0" t="e">
        <f aca="false">STDEV(K41:R41)/SQRT(COUNT(K41:R41))</f>
        <v>#VALUE!</v>
      </c>
    </row>
    <row r="42" customFormat="false" ht="14.5" hidden="false" customHeight="false" outlineLevel="0" collapsed="false">
      <c r="A42" s="0" t="n">
        <v>40</v>
      </c>
      <c r="B42" s="0" t="e">
        <f aca="false">SUMIFS(#REF!,#REF!,'Cluster counts corrected Z&lt;3'!$A42)</f>
        <v>#VALUE!</v>
      </c>
      <c r="C42" s="0" t="e">
        <f aca="false">SUMIFS(#REF!,#REF!,'Cluster counts corrected Z&lt;3'!$A42)</f>
        <v>#VALUE!</v>
      </c>
      <c r="D42" s="0" t="e">
        <f aca="false">SUMIFS(#REF!,#REF!,'Cluster counts corrected Z&lt;3'!$A42)</f>
        <v>#VALUE!</v>
      </c>
      <c r="E42" s="0" t="e">
        <f aca="false">SUMIFS(#REF!,#REF!,'Cluster counts corrected Z&lt;3'!$A42)</f>
        <v>#VALUE!</v>
      </c>
      <c r="F42" s="0" t="e">
        <f aca="false">SUMIFS(#REF!,#REF!,'Cluster counts corrected Z&lt;3'!$A42)</f>
        <v>#VALUE!</v>
      </c>
      <c r="G42" s="0" t="e">
        <f aca="false">SUMIFS(#REF!,#REF!,'Cluster counts corrected Z&lt;3'!$A42)</f>
        <v>#VALUE!</v>
      </c>
      <c r="H42" s="0" t="e">
        <f aca="false">SUMIFS(#REF!,#REF!,'Cluster counts corrected Z&lt;3'!$A42)</f>
        <v>#VALUE!</v>
      </c>
      <c r="I42" s="0" t="e">
        <f aca="false">SUMIFS(#REF!,#REF!,'Cluster counts corrected Z&lt;3'!$A42)</f>
        <v>#VALUE!</v>
      </c>
      <c r="J42" s="0" t="e">
        <f aca="false">SUMIFS(#REF!,#REF!,'Cluster counts corrected Z&lt;3'!$A42)</f>
        <v>#VALUE!</v>
      </c>
      <c r="K42" s="0" t="e">
        <f aca="false">SUMIFS(#REF!,#REF!,'Cluster counts corrected Z&lt;3'!$A42)</f>
        <v>#VALUE!</v>
      </c>
      <c r="L42" s="0" t="e">
        <f aca="false">SUMIFS(#REF!,#REF!,'Cluster counts corrected Z&lt;3'!$A42)</f>
        <v>#VALUE!</v>
      </c>
      <c r="M42" s="0" t="e">
        <f aca="false">SUMIFS(#REF!,#REF!,'Cluster counts corrected Z&lt;3'!$A42)</f>
        <v>#VALUE!</v>
      </c>
      <c r="N42" s="0" t="e">
        <f aca="false">SUMIFS(#REF!,#REF!,'Cluster counts corrected Z&lt;3'!$A42)</f>
        <v>#VALUE!</v>
      </c>
      <c r="O42" s="0" t="e">
        <f aca="false">SUMIFS(#REF!,#REF!,'Cluster counts corrected Z&lt;3'!$A42)</f>
        <v>#VALUE!</v>
      </c>
      <c r="P42" s="0" t="e">
        <f aca="false">SUMIFS(#REF!,#REF!,'Cluster counts corrected Z&lt;3'!$A42)</f>
        <v>#VALUE!</v>
      </c>
      <c r="Q42" s="0" t="e">
        <f aca="false">SUMIFS(#REF!,#REF!,'Cluster counts corrected Z&lt;3'!$A42)</f>
        <v>#VALUE!</v>
      </c>
      <c r="R42" s="0" t="e">
        <f aca="false">SUMIFS(#REF!,#REF!,'Cluster counts corrected Z&lt;3'!$A42)</f>
        <v>#VALUE!</v>
      </c>
      <c r="T42" s="3" t="e">
        <f aca="false">_xlfn.T.TEST(B42:J42,K42:R42,2,2)</f>
        <v>#VALUE!</v>
      </c>
      <c r="U42" s="0" t="e">
        <f aca="false">AVERAGE(B42:J42)</f>
        <v>#VALUE!</v>
      </c>
      <c r="V42" s="0" t="e">
        <f aca="false">AVERAGE(K42:R42)</f>
        <v>#VALUE!</v>
      </c>
      <c r="W42" s="0" t="e">
        <f aca="false">STDEV(B42:J42)/SQRT(COUNT(B42:J42))</f>
        <v>#VALUE!</v>
      </c>
      <c r="X42" s="0" t="e">
        <f aca="false">STDEV(K42:R42)/SQRT(COUNT(K42:R42))</f>
        <v>#VALUE!</v>
      </c>
    </row>
    <row r="43" customFormat="false" ht="14.5" hidden="false" customHeight="false" outlineLevel="0" collapsed="false">
      <c r="A43" s="0" t="n">
        <v>41</v>
      </c>
      <c r="B43" s="0" t="e">
        <f aca="false">SUMIFS(#REF!,#REF!,'Cluster counts corrected Z&lt;3'!$A43)</f>
        <v>#VALUE!</v>
      </c>
      <c r="C43" s="0" t="e">
        <f aca="false">SUMIFS(#REF!,#REF!,'Cluster counts corrected Z&lt;3'!$A43)</f>
        <v>#VALUE!</v>
      </c>
      <c r="D43" s="0" t="e">
        <f aca="false">SUMIFS(#REF!,#REF!,'Cluster counts corrected Z&lt;3'!$A43)</f>
        <v>#VALUE!</v>
      </c>
      <c r="E43" s="0" t="e">
        <f aca="false">SUMIFS(#REF!,#REF!,'Cluster counts corrected Z&lt;3'!$A43)</f>
        <v>#VALUE!</v>
      </c>
      <c r="F43" s="0" t="e">
        <f aca="false">SUMIFS(#REF!,#REF!,'Cluster counts corrected Z&lt;3'!$A43)</f>
        <v>#VALUE!</v>
      </c>
      <c r="G43" s="0" t="e">
        <f aca="false">SUMIFS(#REF!,#REF!,'Cluster counts corrected Z&lt;3'!$A43)</f>
        <v>#VALUE!</v>
      </c>
      <c r="H43" s="0" t="e">
        <f aca="false">SUMIFS(#REF!,#REF!,'Cluster counts corrected Z&lt;3'!$A43)</f>
        <v>#VALUE!</v>
      </c>
      <c r="I43" s="0" t="e">
        <f aca="false">SUMIFS(#REF!,#REF!,'Cluster counts corrected Z&lt;3'!$A43)</f>
        <v>#VALUE!</v>
      </c>
      <c r="J43" s="0" t="e">
        <f aca="false">SUMIFS(#REF!,#REF!,'Cluster counts corrected Z&lt;3'!$A43)</f>
        <v>#VALUE!</v>
      </c>
      <c r="K43" s="0" t="e">
        <f aca="false">SUMIFS(#REF!,#REF!,'Cluster counts corrected Z&lt;3'!$A43)</f>
        <v>#VALUE!</v>
      </c>
      <c r="L43" s="0" t="e">
        <f aca="false">SUMIFS(#REF!,#REF!,'Cluster counts corrected Z&lt;3'!$A43)</f>
        <v>#VALUE!</v>
      </c>
      <c r="M43" s="0" t="e">
        <f aca="false">SUMIFS(#REF!,#REF!,'Cluster counts corrected Z&lt;3'!$A43)</f>
        <v>#VALUE!</v>
      </c>
      <c r="N43" s="0" t="e">
        <f aca="false">SUMIFS(#REF!,#REF!,'Cluster counts corrected Z&lt;3'!$A43)</f>
        <v>#VALUE!</v>
      </c>
      <c r="O43" s="0" t="e">
        <f aca="false">SUMIFS(#REF!,#REF!,'Cluster counts corrected Z&lt;3'!$A43)</f>
        <v>#VALUE!</v>
      </c>
      <c r="P43" s="0" t="e">
        <f aca="false">SUMIFS(#REF!,#REF!,'Cluster counts corrected Z&lt;3'!$A43)</f>
        <v>#VALUE!</v>
      </c>
      <c r="Q43" s="0" t="e">
        <f aca="false">SUMIFS(#REF!,#REF!,'Cluster counts corrected Z&lt;3'!$A43)</f>
        <v>#VALUE!</v>
      </c>
      <c r="R43" s="0" t="e">
        <f aca="false">SUMIFS(#REF!,#REF!,'Cluster counts corrected Z&lt;3'!$A43)</f>
        <v>#VALUE!</v>
      </c>
      <c r="T43" s="3" t="e">
        <f aca="false">_xlfn.T.TEST(B43:J43,K43:R43,2,2)</f>
        <v>#VALUE!</v>
      </c>
      <c r="U43" s="0" t="e">
        <f aca="false">AVERAGE(B43:J43)</f>
        <v>#VALUE!</v>
      </c>
      <c r="V43" s="0" t="e">
        <f aca="false">AVERAGE(K43:R43)</f>
        <v>#VALUE!</v>
      </c>
      <c r="W43" s="0" t="e">
        <f aca="false">STDEV(B43:J43)/SQRT(COUNT(B43:J43))</f>
        <v>#VALUE!</v>
      </c>
      <c r="X43" s="0" t="e">
        <f aca="false">STDEV(K43:R43)/SQRT(COUNT(K43:R43))</f>
        <v>#VALUE!</v>
      </c>
    </row>
    <row r="44" customFormat="false" ht="14.5" hidden="false" customHeight="false" outlineLevel="0" collapsed="false">
      <c r="A44" s="0" t="n">
        <v>42</v>
      </c>
      <c r="B44" s="0" t="e">
        <f aca="false">SUMIFS(#REF!,#REF!,'Cluster counts corrected Z&lt;3'!$A44)</f>
        <v>#VALUE!</v>
      </c>
      <c r="C44" s="0" t="e">
        <f aca="false">SUMIFS(#REF!,#REF!,'Cluster counts corrected Z&lt;3'!$A44)</f>
        <v>#VALUE!</v>
      </c>
      <c r="D44" s="0" t="e">
        <f aca="false">SUMIFS(#REF!,#REF!,'Cluster counts corrected Z&lt;3'!$A44)</f>
        <v>#VALUE!</v>
      </c>
      <c r="E44" s="0" t="e">
        <f aca="false">SUMIFS(#REF!,#REF!,'Cluster counts corrected Z&lt;3'!$A44)</f>
        <v>#VALUE!</v>
      </c>
      <c r="F44" s="0" t="e">
        <f aca="false">SUMIFS(#REF!,#REF!,'Cluster counts corrected Z&lt;3'!$A44)</f>
        <v>#VALUE!</v>
      </c>
      <c r="G44" s="0" t="e">
        <f aca="false">SUMIFS(#REF!,#REF!,'Cluster counts corrected Z&lt;3'!$A44)</f>
        <v>#VALUE!</v>
      </c>
      <c r="H44" s="0" t="e">
        <f aca="false">SUMIFS(#REF!,#REF!,'Cluster counts corrected Z&lt;3'!$A44)</f>
        <v>#VALUE!</v>
      </c>
      <c r="I44" s="0" t="e">
        <f aca="false">SUMIFS(#REF!,#REF!,'Cluster counts corrected Z&lt;3'!$A44)</f>
        <v>#VALUE!</v>
      </c>
      <c r="J44" s="0" t="e">
        <f aca="false">SUMIFS(#REF!,#REF!,'Cluster counts corrected Z&lt;3'!$A44)</f>
        <v>#VALUE!</v>
      </c>
      <c r="K44" s="0" t="e">
        <f aca="false">SUMIFS(#REF!,#REF!,'Cluster counts corrected Z&lt;3'!$A44)</f>
        <v>#VALUE!</v>
      </c>
      <c r="L44" s="0" t="e">
        <f aca="false">SUMIFS(#REF!,#REF!,'Cluster counts corrected Z&lt;3'!$A44)</f>
        <v>#VALUE!</v>
      </c>
      <c r="M44" s="0" t="e">
        <f aca="false">SUMIFS(#REF!,#REF!,'Cluster counts corrected Z&lt;3'!$A44)</f>
        <v>#VALUE!</v>
      </c>
      <c r="N44" s="0" t="e">
        <f aca="false">SUMIFS(#REF!,#REF!,'Cluster counts corrected Z&lt;3'!$A44)</f>
        <v>#VALUE!</v>
      </c>
      <c r="O44" s="0" t="e">
        <f aca="false">SUMIFS(#REF!,#REF!,'Cluster counts corrected Z&lt;3'!$A44)</f>
        <v>#VALUE!</v>
      </c>
      <c r="P44" s="0" t="e">
        <f aca="false">SUMIFS(#REF!,#REF!,'Cluster counts corrected Z&lt;3'!$A44)</f>
        <v>#VALUE!</v>
      </c>
      <c r="Q44" s="0" t="e">
        <f aca="false">SUMIFS(#REF!,#REF!,'Cluster counts corrected Z&lt;3'!$A44)</f>
        <v>#VALUE!</v>
      </c>
      <c r="R44" s="0" t="e">
        <f aca="false">SUMIFS(#REF!,#REF!,'Cluster counts corrected Z&lt;3'!$A44)</f>
        <v>#VALUE!</v>
      </c>
      <c r="T44" s="3" t="e">
        <f aca="false">_xlfn.T.TEST(B44:J44,K44:R44,2,2)</f>
        <v>#VALUE!</v>
      </c>
      <c r="U44" s="0" t="e">
        <f aca="false">AVERAGE(B44:J44)</f>
        <v>#VALUE!</v>
      </c>
      <c r="V44" s="0" t="e">
        <f aca="false">AVERAGE(K44:R44)</f>
        <v>#VALUE!</v>
      </c>
      <c r="W44" s="0" t="e">
        <f aca="false">STDEV(B44:J44)/SQRT(COUNT(B44:J44))</f>
        <v>#VALUE!</v>
      </c>
      <c r="X44" s="0" t="e">
        <f aca="false">STDEV(K44:R44)/SQRT(COUNT(K44:R44))</f>
        <v>#VALUE!</v>
      </c>
    </row>
    <row r="45" customFormat="false" ht="14.5" hidden="false" customHeight="false" outlineLevel="0" collapsed="false">
      <c r="A45" s="0" t="n">
        <v>43</v>
      </c>
      <c r="B45" s="0" t="e">
        <f aca="false">SUMIFS(#REF!,#REF!,'Cluster counts corrected Z&lt;3'!$A45)</f>
        <v>#VALUE!</v>
      </c>
      <c r="C45" s="0" t="e">
        <f aca="false">SUMIFS(#REF!,#REF!,'Cluster counts corrected Z&lt;3'!$A45)</f>
        <v>#VALUE!</v>
      </c>
      <c r="D45" s="0" t="e">
        <f aca="false">SUMIFS(#REF!,#REF!,'Cluster counts corrected Z&lt;3'!$A45)</f>
        <v>#VALUE!</v>
      </c>
      <c r="E45" s="0" t="e">
        <f aca="false">SUMIFS(#REF!,#REF!,'Cluster counts corrected Z&lt;3'!$A45)</f>
        <v>#VALUE!</v>
      </c>
      <c r="F45" s="0" t="e">
        <f aca="false">SUMIFS(#REF!,#REF!,'Cluster counts corrected Z&lt;3'!$A45)</f>
        <v>#VALUE!</v>
      </c>
      <c r="G45" s="0" t="e">
        <f aca="false">SUMIFS(#REF!,#REF!,'Cluster counts corrected Z&lt;3'!$A45)</f>
        <v>#VALUE!</v>
      </c>
      <c r="H45" s="0" t="e">
        <f aca="false">SUMIFS(#REF!,#REF!,'Cluster counts corrected Z&lt;3'!$A45)</f>
        <v>#VALUE!</v>
      </c>
      <c r="I45" s="0" t="e">
        <f aca="false">SUMIFS(#REF!,#REF!,'Cluster counts corrected Z&lt;3'!$A45)</f>
        <v>#VALUE!</v>
      </c>
      <c r="J45" s="0" t="e">
        <f aca="false">SUMIFS(#REF!,#REF!,'Cluster counts corrected Z&lt;3'!$A45)</f>
        <v>#VALUE!</v>
      </c>
      <c r="K45" s="0" t="e">
        <f aca="false">SUMIFS(#REF!,#REF!,'Cluster counts corrected Z&lt;3'!$A45)</f>
        <v>#VALUE!</v>
      </c>
      <c r="L45" s="0" t="e">
        <f aca="false">SUMIFS(#REF!,#REF!,'Cluster counts corrected Z&lt;3'!$A45)</f>
        <v>#VALUE!</v>
      </c>
      <c r="M45" s="0" t="e">
        <f aca="false">SUMIFS(#REF!,#REF!,'Cluster counts corrected Z&lt;3'!$A45)</f>
        <v>#VALUE!</v>
      </c>
      <c r="N45" s="0" t="e">
        <f aca="false">SUMIFS(#REF!,#REF!,'Cluster counts corrected Z&lt;3'!$A45)</f>
        <v>#VALUE!</v>
      </c>
      <c r="O45" s="0" t="e">
        <f aca="false">SUMIFS(#REF!,#REF!,'Cluster counts corrected Z&lt;3'!$A45)</f>
        <v>#VALUE!</v>
      </c>
      <c r="P45" s="0" t="e">
        <f aca="false">SUMIFS(#REF!,#REF!,'Cluster counts corrected Z&lt;3'!$A45)</f>
        <v>#VALUE!</v>
      </c>
      <c r="Q45" s="0" t="e">
        <f aca="false">SUMIFS(#REF!,#REF!,'Cluster counts corrected Z&lt;3'!$A45)</f>
        <v>#VALUE!</v>
      </c>
      <c r="R45" s="0" t="e">
        <f aca="false">SUMIFS(#REF!,#REF!,'Cluster counts corrected Z&lt;3'!$A45)</f>
        <v>#VALUE!</v>
      </c>
      <c r="T45" s="3" t="e">
        <f aca="false">_xlfn.T.TEST(B45:J45,K45:R45,2,2)</f>
        <v>#VALUE!</v>
      </c>
      <c r="U45" s="0" t="e">
        <f aca="false">AVERAGE(B45:J45)</f>
        <v>#VALUE!</v>
      </c>
      <c r="V45" s="0" t="e">
        <f aca="false">AVERAGE(K45:R45)</f>
        <v>#VALUE!</v>
      </c>
      <c r="W45" s="0" t="e">
        <f aca="false">STDEV(B45:J45)/SQRT(COUNT(B45:J45))</f>
        <v>#VALUE!</v>
      </c>
      <c r="X45" s="0" t="e">
        <f aca="false">STDEV(K45:R45)/SQRT(COUNT(K45:R45))</f>
        <v>#VALUE!</v>
      </c>
    </row>
    <row r="46" customFormat="false" ht="14.5" hidden="false" customHeight="false" outlineLevel="0" collapsed="false">
      <c r="A46" s="0" t="n">
        <v>44</v>
      </c>
      <c r="B46" s="0" t="e">
        <f aca="false">SUMIFS(#REF!,#REF!,'Cluster counts corrected Z&lt;3'!$A46)</f>
        <v>#VALUE!</v>
      </c>
      <c r="C46" s="0" t="e">
        <f aca="false">SUMIFS(#REF!,#REF!,'Cluster counts corrected Z&lt;3'!$A46)</f>
        <v>#VALUE!</v>
      </c>
      <c r="D46" s="0" t="e">
        <f aca="false">SUMIFS(#REF!,#REF!,'Cluster counts corrected Z&lt;3'!$A46)</f>
        <v>#VALUE!</v>
      </c>
      <c r="E46" s="0" t="e">
        <f aca="false">SUMIFS(#REF!,#REF!,'Cluster counts corrected Z&lt;3'!$A46)</f>
        <v>#VALUE!</v>
      </c>
      <c r="F46" s="0" t="e">
        <f aca="false">SUMIFS(#REF!,#REF!,'Cluster counts corrected Z&lt;3'!$A46)</f>
        <v>#VALUE!</v>
      </c>
      <c r="G46" s="0" t="e">
        <f aca="false">SUMIFS(#REF!,#REF!,'Cluster counts corrected Z&lt;3'!$A46)</f>
        <v>#VALUE!</v>
      </c>
      <c r="H46" s="0" t="e">
        <f aca="false">SUMIFS(#REF!,#REF!,'Cluster counts corrected Z&lt;3'!$A46)</f>
        <v>#VALUE!</v>
      </c>
      <c r="I46" s="0" t="e">
        <f aca="false">SUMIFS(#REF!,#REF!,'Cluster counts corrected Z&lt;3'!$A46)</f>
        <v>#VALUE!</v>
      </c>
      <c r="J46" s="0" t="e">
        <f aca="false">SUMIFS(#REF!,#REF!,'Cluster counts corrected Z&lt;3'!$A46)</f>
        <v>#VALUE!</v>
      </c>
      <c r="K46" s="0" t="e">
        <f aca="false">SUMIFS(#REF!,#REF!,'Cluster counts corrected Z&lt;3'!$A46)</f>
        <v>#VALUE!</v>
      </c>
      <c r="L46" s="0" t="e">
        <f aca="false">SUMIFS(#REF!,#REF!,'Cluster counts corrected Z&lt;3'!$A46)</f>
        <v>#VALUE!</v>
      </c>
      <c r="M46" s="0" t="e">
        <f aca="false">SUMIFS(#REF!,#REF!,'Cluster counts corrected Z&lt;3'!$A46)</f>
        <v>#VALUE!</v>
      </c>
      <c r="N46" s="0" t="e">
        <f aca="false">SUMIFS(#REF!,#REF!,'Cluster counts corrected Z&lt;3'!$A46)</f>
        <v>#VALUE!</v>
      </c>
      <c r="O46" s="0" t="e">
        <f aca="false">SUMIFS(#REF!,#REF!,'Cluster counts corrected Z&lt;3'!$A46)</f>
        <v>#VALUE!</v>
      </c>
      <c r="P46" s="0" t="e">
        <f aca="false">SUMIFS(#REF!,#REF!,'Cluster counts corrected Z&lt;3'!$A46)</f>
        <v>#VALUE!</v>
      </c>
      <c r="Q46" s="0" t="e">
        <f aca="false">SUMIFS(#REF!,#REF!,'Cluster counts corrected Z&lt;3'!$A46)</f>
        <v>#VALUE!</v>
      </c>
      <c r="R46" s="0" t="e">
        <f aca="false">SUMIFS(#REF!,#REF!,'Cluster counts corrected Z&lt;3'!$A46)</f>
        <v>#VALUE!</v>
      </c>
      <c r="T46" s="3" t="e">
        <f aca="false">_xlfn.T.TEST(B46:J46,K46:R46,2,2)</f>
        <v>#VALUE!</v>
      </c>
      <c r="U46" s="0" t="e">
        <f aca="false">AVERAGE(B46:J46)</f>
        <v>#VALUE!</v>
      </c>
      <c r="V46" s="0" t="e">
        <f aca="false">AVERAGE(K46:R46)</f>
        <v>#VALUE!</v>
      </c>
      <c r="W46" s="0" t="e">
        <f aca="false">STDEV(B46:J46)/SQRT(COUNT(B46:J46))</f>
        <v>#VALUE!</v>
      </c>
      <c r="X46" s="0" t="e">
        <f aca="false">STDEV(K46:R46)/SQRT(COUNT(K46:R46))</f>
        <v>#VALUE!</v>
      </c>
    </row>
    <row r="47" customFormat="false" ht="14.5" hidden="false" customHeight="false" outlineLevel="0" collapsed="false">
      <c r="A47" s="0" t="n">
        <v>45</v>
      </c>
      <c r="B47" s="0" t="e">
        <f aca="false">SUMIFS(#REF!,#REF!,'Cluster counts corrected Z&lt;3'!$A47)</f>
        <v>#VALUE!</v>
      </c>
      <c r="C47" s="0" t="e">
        <f aca="false">SUMIFS(#REF!,#REF!,'Cluster counts corrected Z&lt;3'!$A47)</f>
        <v>#VALUE!</v>
      </c>
      <c r="D47" s="0" t="e">
        <f aca="false">SUMIFS(#REF!,#REF!,'Cluster counts corrected Z&lt;3'!$A47)</f>
        <v>#VALUE!</v>
      </c>
      <c r="E47" s="0" t="e">
        <f aca="false">SUMIFS(#REF!,#REF!,'Cluster counts corrected Z&lt;3'!$A47)</f>
        <v>#VALUE!</v>
      </c>
      <c r="F47" s="0" t="e">
        <f aca="false">SUMIFS(#REF!,#REF!,'Cluster counts corrected Z&lt;3'!$A47)</f>
        <v>#VALUE!</v>
      </c>
      <c r="G47" s="0" t="e">
        <f aca="false">SUMIFS(#REF!,#REF!,'Cluster counts corrected Z&lt;3'!$A47)</f>
        <v>#VALUE!</v>
      </c>
      <c r="H47" s="0" t="e">
        <f aca="false">SUMIFS(#REF!,#REF!,'Cluster counts corrected Z&lt;3'!$A47)</f>
        <v>#VALUE!</v>
      </c>
      <c r="I47" s="0" t="e">
        <f aca="false">SUMIFS(#REF!,#REF!,'Cluster counts corrected Z&lt;3'!$A47)</f>
        <v>#VALUE!</v>
      </c>
      <c r="J47" s="0" t="e">
        <f aca="false">SUMIFS(#REF!,#REF!,'Cluster counts corrected Z&lt;3'!$A47)</f>
        <v>#VALUE!</v>
      </c>
      <c r="K47" s="0" t="e">
        <f aca="false">SUMIFS(#REF!,#REF!,'Cluster counts corrected Z&lt;3'!$A47)</f>
        <v>#VALUE!</v>
      </c>
      <c r="L47" s="0" t="e">
        <f aca="false">SUMIFS(#REF!,#REF!,'Cluster counts corrected Z&lt;3'!$A47)</f>
        <v>#VALUE!</v>
      </c>
      <c r="M47" s="0" t="e">
        <f aca="false">SUMIFS(#REF!,#REF!,'Cluster counts corrected Z&lt;3'!$A47)</f>
        <v>#VALUE!</v>
      </c>
      <c r="N47" s="0" t="e">
        <f aca="false">SUMIFS(#REF!,#REF!,'Cluster counts corrected Z&lt;3'!$A47)</f>
        <v>#VALUE!</v>
      </c>
      <c r="O47" s="0" t="e">
        <f aca="false">SUMIFS(#REF!,#REF!,'Cluster counts corrected Z&lt;3'!$A47)</f>
        <v>#VALUE!</v>
      </c>
      <c r="P47" s="0" t="e">
        <f aca="false">SUMIFS(#REF!,#REF!,'Cluster counts corrected Z&lt;3'!$A47)</f>
        <v>#VALUE!</v>
      </c>
      <c r="Q47" s="0" t="e">
        <f aca="false">SUMIFS(#REF!,#REF!,'Cluster counts corrected Z&lt;3'!$A47)</f>
        <v>#VALUE!</v>
      </c>
      <c r="R47" s="0" t="e">
        <f aca="false">SUMIFS(#REF!,#REF!,'Cluster counts corrected Z&lt;3'!$A47)</f>
        <v>#VALUE!</v>
      </c>
      <c r="T47" s="3" t="e">
        <f aca="false">_xlfn.T.TEST(B47:J47,K47:R47,2,2)</f>
        <v>#VALUE!</v>
      </c>
      <c r="U47" s="0" t="e">
        <f aca="false">AVERAGE(B47:J47)</f>
        <v>#VALUE!</v>
      </c>
      <c r="V47" s="0" t="e">
        <f aca="false">AVERAGE(K47:R47)</f>
        <v>#VALUE!</v>
      </c>
      <c r="W47" s="0" t="e">
        <f aca="false">STDEV(B47:J47)/SQRT(COUNT(B47:J47))</f>
        <v>#VALUE!</v>
      </c>
      <c r="X47" s="0" t="e">
        <f aca="false">STDEV(K47:R47)/SQRT(COUNT(K47:R47))</f>
        <v>#VALUE!</v>
      </c>
    </row>
    <row r="48" customFormat="false" ht="14.5" hidden="false" customHeight="false" outlineLevel="0" collapsed="false">
      <c r="A48" s="0" t="n">
        <v>46</v>
      </c>
      <c r="B48" s="0" t="e">
        <f aca="false">SUMIFS(#REF!,#REF!,'Cluster counts corrected Z&lt;3'!$A48)</f>
        <v>#VALUE!</v>
      </c>
      <c r="C48" s="0" t="e">
        <f aca="false">SUMIFS(#REF!,#REF!,'Cluster counts corrected Z&lt;3'!$A48)</f>
        <v>#VALUE!</v>
      </c>
      <c r="D48" s="0" t="e">
        <f aca="false">SUMIFS(#REF!,#REF!,'Cluster counts corrected Z&lt;3'!$A48)</f>
        <v>#VALUE!</v>
      </c>
      <c r="E48" s="0" t="e">
        <f aca="false">SUMIFS(#REF!,#REF!,'Cluster counts corrected Z&lt;3'!$A48)</f>
        <v>#VALUE!</v>
      </c>
      <c r="F48" s="0" t="e">
        <f aca="false">SUMIFS(#REF!,#REF!,'Cluster counts corrected Z&lt;3'!$A48)</f>
        <v>#VALUE!</v>
      </c>
      <c r="G48" s="0" t="e">
        <f aca="false">SUMIFS(#REF!,#REF!,'Cluster counts corrected Z&lt;3'!$A48)</f>
        <v>#VALUE!</v>
      </c>
      <c r="H48" s="0" t="e">
        <f aca="false">SUMIFS(#REF!,#REF!,'Cluster counts corrected Z&lt;3'!$A48)</f>
        <v>#VALUE!</v>
      </c>
      <c r="I48" s="0" t="e">
        <f aca="false">SUMIFS(#REF!,#REF!,'Cluster counts corrected Z&lt;3'!$A48)</f>
        <v>#VALUE!</v>
      </c>
      <c r="J48" s="0" t="e">
        <f aca="false">SUMIFS(#REF!,#REF!,'Cluster counts corrected Z&lt;3'!$A48)</f>
        <v>#VALUE!</v>
      </c>
      <c r="K48" s="0" t="e">
        <f aca="false">SUMIFS(#REF!,#REF!,'Cluster counts corrected Z&lt;3'!$A48)</f>
        <v>#VALUE!</v>
      </c>
      <c r="L48" s="0" t="e">
        <f aca="false">SUMIFS(#REF!,#REF!,'Cluster counts corrected Z&lt;3'!$A48)</f>
        <v>#VALUE!</v>
      </c>
      <c r="M48" s="0" t="e">
        <f aca="false">SUMIFS(#REF!,#REF!,'Cluster counts corrected Z&lt;3'!$A48)</f>
        <v>#VALUE!</v>
      </c>
      <c r="N48" s="0" t="e">
        <f aca="false">SUMIFS(#REF!,#REF!,'Cluster counts corrected Z&lt;3'!$A48)</f>
        <v>#VALUE!</v>
      </c>
      <c r="O48" s="0" t="e">
        <f aca="false">SUMIFS(#REF!,#REF!,'Cluster counts corrected Z&lt;3'!$A48)</f>
        <v>#VALUE!</v>
      </c>
      <c r="P48" s="0" t="e">
        <f aca="false">SUMIFS(#REF!,#REF!,'Cluster counts corrected Z&lt;3'!$A48)</f>
        <v>#VALUE!</v>
      </c>
      <c r="Q48" s="0" t="e">
        <f aca="false">SUMIFS(#REF!,#REF!,'Cluster counts corrected Z&lt;3'!$A48)</f>
        <v>#VALUE!</v>
      </c>
      <c r="R48" s="0" t="e">
        <f aca="false">SUMIFS(#REF!,#REF!,'Cluster counts corrected Z&lt;3'!$A48)</f>
        <v>#VALUE!</v>
      </c>
      <c r="T48" s="3" t="e">
        <f aca="false">_xlfn.T.TEST(B48:J48,K48:R48,2,2)</f>
        <v>#VALUE!</v>
      </c>
      <c r="U48" s="0" t="e">
        <f aca="false">AVERAGE(B48:J48)</f>
        <v>#VALUE!</v>
      </c>
      <c r="V48" s="0" t="e">
        <f aca="false">AVERAGE(K48:R48)</f>
        <v>#VALUE!</v>
      </c>
      <c r="W48" s="0" t="e">
        <f aca="false">STDEV(B48:J48)/SQRT(COUNT(B48:J48))</f>
        <v>#VALUE!</v>
      </c>
      <c r="X48" s="0" t="e">
        <f aca="false">STDEV(K48:R48)/SQRT(COUNT(K48:R48))</f>
        <v>#VALUE!</v>
      </c>
    </row>
    <row r="49" customFormat="false" ht="14.5" hidden="false" customHeight="false" outlineLevel="0" collapsed="false">
      <c r="A49" s="0" t="n">
        <v>47</v>
      </c>
      <c r="B49" s="0" t="e">
        <f aca="false">SUMIFS(#REF!,#REF!,'Cluster counts corrected Z&lt;3'!$A49)</f>
        <v>#VALUE!</v>
      </c>
      <c r="C49" s="0" t="e">
        <f aca="false">SUMIFS(#REF!,#REF!,'Cluster counts corrected Z&lt;3'!$A49)</f>
        <v>#VALUE!</v>
      </c>
      <c r="D49" s="0" t="e">
        <f aca="false">SUMIFS(#REF!,#REF!,'Cluster counts corrected Z&lt;3'!$A49)</f>
        <v>#VALUE!</v>
      </c>
      <c r="E49" s="0" t="e">
        <f aca="false">SUMIFS(#REF!,#REF!,'Cluster counts corrected Z&lt;3'!$A49)</f>
        <v>#VALUE!</v>
      </c>
      <c r="F49" s="0" t="e">
        <f aca="false">SUMIFS(#REF!,#REF!,'Cluster counts corrected Z&lt;3'!$A49)</f>
        <v>#VALUE!</v>
      </c>
      <c r="G49" s="0" t="e">
        <f aca="false">SUMIFS(#REF!,#REF!,'Cluster counts corrected Z&lt;3'!$A49)</f>
        <v>#VALUE!</v>
      </c>
      <c r="H49" s="0" t="e">
        <f aca="false">SUMIFS(#REF!,#REF!,'Cluster counts corrected Z&lt;3'!$A49)</f>
        <v>#VALUE!</v>
      </c>
      <c r="I49" s="0" t="e">
        <f aca="false">SUMIFS(#REF!,#REF!,'Cluster counts corrected Z&lt;3'!$A49)</f>
        <v>#VALUE!</v>
      </c>
      <c r="J49" s="0" t="e">
        <f aca="false">SUMIFS(#REF!,#REF!,'Cluster counts corrected Z&lt;3'!$A49)</f>
        <v>#VALUE!</v>
      </c>
      <c r="K49" s="0" t="e">
        <f aca="false">SUMIFS(#REF!,#REF!,'Cluster counts corrected Z&lt;3'!$A49)</f>
        <v>#VALUE!</v>
      </c>
      <c r="L49" s="0" t="e">
        <f aca="false">SUMIFS(#REF!,#REF!,'Cluster counts corrected Z&lt;3'!$A49)</f>
        <v>#VALUE!</v>
      </c>
      <c r="M49" s="0" t="e">
        <f aca="false">SUMIFS(#REF!,#REF!,'Cluster counts corrected Z&lt;3'!$A49)</f>
        <v>#VALUE!</v>
      </c>
      <c r="N49" s="0" t="e">
        <f aca="false">SUMIFS(#REF!,#REF!,'Cluster counts corrected Z&lt;3'!$A49)</f>
        <v>#VALUE!</v>
      </c>
      <c r="O49" s="0" t="e">
        <f aca="false">SUMIFS(#REF!,#REF!,'Cluster counts corrected Z&lt;3'!$A49)</f>
        <v>#VALUE!</v>
      </c>
      <c r="P49" s="0" t="e">
        <f aca="false">SUMIFS(#REF!,#REF!,'Cluster counts corrected Z&lt;3'!$A49)</f>
        <v>#VALUE!</v>
      </c>
      <c r="Q49" s="0" t="e">
        <f aca="false">SUMIFS(#REF!,#REF!,'Cluster counts corrected Z&lt;3'!$A49)</f>
        <v>#VALUE!</v>
      </c>
      <c r="R49" s="0" t="e">
        <f aca="false">SUMIFS(#REF!,#REF!,'Cluster counts corrected Z&lt;3'!$A49)</f>
        <v>#VALUE!</v>
      </c>
      <c r="T49" s="3" t="e">
        <f aca="false">_xlfn.T.TEST(B49:J49,K49:R49,2,2)</f>
        <v>#VALUE!</v>
      </c>
      <c r="U49" s="0" t="e">
        <f aca="false">AVERAGE(B49:J49)</f>
        <v>#VALUE!</v>
      </c>
      <c r="V49" s="0" t="e">
        <f aca="false">AVERAGE(K49:R49)</f>
        <v>#VALUE!</v>
      </c>
      <c r="W49" s="0" t="e">
        <f aca="false">STDEV(B49:J49)/SQRT(COUNT(B49:J49))</f>
        <v>#VALUE!</v>
      </c>
      <c r="X49" s="0" t="e">
        <f aca="false">STDEV(K49:R49)/SQRT(COUNT(K49:R49))</f>
        <v>#VALUE!</v>
      </c>
    </row>
    <row r="50" customFormat="false" ht="14.5" hidden="false" customHeight="false" outlineLevel="0" collapsed="false">
      <c r="A50" s="0" t="n">
        <v>48</v>
      </c>
      <c r="B50" s="0" t="e">
        <f aca="false">SUMIFS(#REF!,#REF!,'Cluster counts corrected Z&lt;3'!$A50)</f>
        <v>#VALUE!</v>
      </c>
      <c r="C50" s="0" t="e">
        <f aca="false">SUMIFS(#REF!,#REF!,'Cluster counts corrected Z&lt;3'!$A50)</f>
        <v>#VALUE!</v>
      </c>
      <c r="D50" s="0" t="e">
        <f aca="false">SUMIFS(#REF!,#REF!,'Cluster counts corrected Z&lt;3'!$A50)</f>
        <v>#VALUE!</v>
      </c>
      <c r="E50" s="0" t="e">
        <f aca="false">SUMIFS(#REF!,#REF!,'Cluster counts corrected Z&lt;3'!$A50)</f>
        <v>#VALUE!</v>
      </c>
      <c r="F50" s="0" t="e">
        <f aca="false">SUMIFS(#REF!,#REF!,'Cluster counts corrected Z&lt;3'!$A50)</f>
        <v>#VALUE!</v>
      </c>
      <c r="G50" s="0" t="e">
        <f aca="false">SUMIFS(#REF!,#REF!,'Cluster counts corrected Z&lt;3'!$A50)</f>
        <v>#VALUE!</v>
      </c>
      <c r="H50" s="0" t="e">
        <f aca="false">SUMIFS(#REF!,#REF!,'Cluster counts corrected Z&lt;3'!$A50)</f>
        <v>#VALUE!</v>
      </c>
      <c r="I50" s="0" t="e">
        <f aca="false">SUMIFS(#REF!,#REF!,'Cluster counts corrected Z&lt;3'!$A50)</f>
        <v>#VALUE!</v>
      </c>
      <c r="J50" s="0" t="e">
        <f aca="false">SUMIFS(#REF!,#REF!,'Cluster counts corrected Z&lt;3'!$A50)</f>
        <v>#VALUE!</v>
      </c>
      <c r="K50" s="0" t="e">
        <f aca="false">SUMIFS(#REF!,#REF!,'Cluster counts corrected Z&lt;3'!$A50)</f>
        <v>#VALUE!</v>
      </c>
      <c r="L50" s="0" t="e">
        <f aca="false">SUMIFS(#REF!,#REF!,'Cluster counts corrected Z&lt;3'!$A50)</f>
        <v>#VALUE!</v>
      </c>
      <c r="M50" s="0" t="e">
        <f aca="false">SUMIFS(#REF!,#REF!,'Cluster counts corrected Z&lt;3'!$A50)</f>
        <v>#VALUE!</v>
      </c>
      <c r="N50" s="0" t="e">
        <f aca="false">SUMIFS(#REF!,#REF!,'Cluster counts corrected Z&lt;3'!$A50)</f>
        <v>#VALUE!</v>
      </c>
      <c r="O50" s="0" t="e">
        <f aca="false">SUMIFS(#REF!,#REF!,'Cluster counts corrected Z&lt;3'!$A50)</f>
        <v>#VALUE!</v>
      </c>
      <c r="P50" s="0" t="e">
        <f aca="false">SUMIFS(#REF!,#REF!,'Cluster counts corrected Z&lt;3'!$A50)</f>
        <v>#VALUE!</v>
      </c>
      <c r="Q50" s="0" t="e">
        <f aca="false">SUMIFS(#REF!,#REF!,'Cluster counts corrected Z&lt;3'!$A50)</f>
        <v>#VALUE!</v>
      </c>
      <c r="R50" s="0" t="e">
        <f aca="false">SUMIFS(#REF!,#REF!,'Cluster counts corrected Z&lt;3'!$A50)</f>
        <v>#VALUE!</v>
      </c>
      <c r="T50" s="3" t="e">
        <f aca="false">_xlfn.T.TEST(B50:J50,K50:R50,2,2)</f>
        <v>#VALUE!</v>
      </c>
      <c r="U50" s="0" t="e">
        <f aca="false">AVERAGE(B50:J50)</f>
        <v>#VALUE!</v>
      </c>
      <c r="V50" s="0" t="e">
        <f aca="false">AVERAGE(K50:R50)</f>
        <v>#VALUE!</v>
      </c>
      <c r="W50" s="0" t="e">
        <f aca="false">STDEV(B50:J50)/SQRT(COUNT(B50:J50))</f>
        <v>#VALUE!</v>
      </c>
      <c r="X50" s="0" t="e">
        <f aca="false">STDEV(K50:R50)/SQRT(COUNT(K50:R50))</f>
        <v>#VALUE!</v>
      </c>
    </row>
    <row r="51" customFormat="false" ht="14.5" hidden="false" customHeight="false" outlineLevel="0" collapsed="false">
      <c r="A51" s="0" t="n">
        <v>49</v>
      </c>
      <c r="B51" s="0" t="e">
        <f aca="false">SUMIFS(#REF!,#REF!,'Cluster counts corrected Z&lt;3'!$A51)</f>
        <v>#VALUE!</v>
      </c>
      <c r="C51" s="0" t="e">
        <f aca="false">SUMIFS(#REF!,#REF!,'Cluster counts corrected Z&lt;3'!$A51)</f>
        <v>#VALUE!</v>
      </c>
      <c r="D51" s="0" t="e">
        <f aca="false">SUMIFS(#REF!,#REF!,'Cluster counts corrected Z&lt;3'!$A51)</f>
        <v>#VALUE!</v>
      </c>
      <c r="E51" s="0" t="e">
        <f aca="false">SUMIFS(#REF!,#REF!,'Cluster counts corrected Z&lt;3'!$A51)</f>
        <v>#VALUE!</v>
      </c>
      <c r="F51" s="0" t="e">
        <f aca="false">SUMIFS(#REF!,#REF!,'Cluster counts corrected Z&lt;3'!$A51)</f>
        <v>#VALUE!</v>
      </c>
      <c r="G51" s="0" t="e">
        <f aca="false">SUMIFS(#REF!,#REF!,'Cluster counts corrected Z&lt;3'!$A51)</f>
        <v>#VALUE!</v>
      </c>
      <c r="H51" s="0" t="e">
        <f aca="false">SUMIFS(#REF!,#REF!,'Cluster counts corrected Z&lt;3'!$A51)</f>
        <v>#VALUE!</v>
      </c>
      <c r="I51" s="0" t="e">
        <f aca="false">SUMIFS(#REF!,#REF!,'Cluster counts corrected Z&lt;3'!$A51)</f>
        <v>#VALUE!</v>
      </c>
      <c r="J51" s="0" t="e">
        <f aca="false">SUMIFS(#REF!,#REF!,'Cluster counts corrected Z&lt;3'!$A51)</f>
        <v>#VALUE!</v>
      </c>
      <c r="K51" s="0" t="e">
        <f aca="false">SUMIFS(#REF!,#REF!,'Cluster counts corrected Z&lt;3'!$A51)</f>
        <v>#VALUE!</v>
      </c>
      <c r="L51" s="0" t="e">
        <f aca="false">SUMIFS(#REF!,#REF!,'Cluster counts corrected Z&lt;3'!$A51)</f>
        <v>#VALUE!</v>
      </c>
      <c r="M51" s="0" t="e">
        <f aca="false">SUMIFS(#REF!,#REF!,'Cluster counts corrected Z&lt;3'!$A51)</f>
        <v>#VALUE!</v>
      </c>
      <c r="N51" s="0" t="e">
        <f aca="false">SUMIFS(#REF!,#REF!,'Cluster counts corrected Z&lt;3'!$A51)</f>
        <v>#VALUE!</v>
      </c>
      <c r="O51" s="0" t="e">
        <f aca="false">SUMIFS(#REF!,#REF!,'Cluster counts corrected Z&lt;3'!$A51)</f>
        <v>#VALUE!</v>
      </c>
      <c r="P51" s="0" t="e">
        <f aca="false">SUMIFS(#REF!,#REF!,'Cluster counts corrected Z&lt;3'!$A51)</f>
        <v>#VALUE!</v>
      </c>
      <c r="Q51" s="0" t="e">
        <f aca="false">SUMIFS(#REF!,#REF!,'Cluster counts corrected Z&lt;3'!$A51)</f>
        <v>#VALUE!</v>
      </c>
      <c r="R51" s="0" t="e">
        <f aca="false">SUMIFS(#REF!,#REF!,'Cluster counts corrected Z&lt;3'!$A51)</f>
        <v>#VALUE!</v>
      </c>
      <c r="T51" s="3" t="e">
        <f aca="false">_xlfn.T.TEST(B51:J51,K51:R51,2,2)</f>
        <v>#VALUE!</v>
      </c>
      <c r="U51" s="0" t="e">
        <f aca="false">AVERAGE(B51:J51)</f>
        <v>#VALUE!</v>
      </c>
      <c r="V51" s="0" t="e">
        <f aca="false">AVERAGE(K51:R51)</f>
        <v>#VALUE!</v>
      </c>
      <c r="W51" s="0" t="e">
        <f aca="false">STDEV(B51:J51)/SQRT(COUNT(B51:J51))</f>
        <v>#VALUE!</v>
      </c>
      <c r="X51" s="0" t="e">
        <f aca="false">STDEV(K51:R51)/SQRT(COUNT(K51:R51))</f>
        <v>#VALUE!</v>
      </c>
    </row>
    <row r="52" customFormat="false" ht="14.5" hidden="false" customHeight="false" outlineLevel="0" collapsed="false">
      <c r="A52" s="0" t="n">
        <v>50</v>
      </c>
      <c r="B52" s="0" t="e">
        <f aca="false">SUMIFS(#REF!,#REF!,'Cluster counts corrected Z&lt;3'!$A52)</f>
        <v>#VALUE!</v>
      </c>
      <c r="C52" s="0" t="e">
        <f aca="false">SUMIFS(#REF!,#REF!,'Cluster counts corrected Z&lt;3'!$A52)</f>
        <v>#VALUE!</v>
      </c>
      <c r="D52" s="0" t="e">
        <f aca="false">SUMIFS(#REF!,#REF!,'Cluster counts corrected Z&lt;3'!$A52)</f>
        <v>#VALUE!</v>
      </c>
      <c r="E52" s="0" t="e">
        <f aca="false">SUMIFS(#REF!,#REF!,'Cluster counts corrected Z&lt;3'!$A52)</f>
        <v>#VALUE!</v>
      </c>
      <c r="F52" s="0" t="e">
        <f aca="false">SUMIFS(#REF!,#REF!,'Cluster counts corrected Z&lt;3'!$A52)</f>
        <v>#VALUE!</v>
      </c>
      <c r="G52" s="0" t="e">
        <f aca="false">SUMIFS(#REF!,#REF!,'Cluster counts corrected Z&lt;3'!$A52)</f>
        <v>#VALUE!</v>
      </c>
      <c r="H52" s="0" t="e">
        <f aca="false">SUMIFS(#REF!,#REF!,'Cluster counts corrected Z&lt;3'!$A52)</f>
        <v>#VALUE!</v>
      </c>
      <c r="I52" s="0" t="e">
        <f aca="false">SUMIFS(#REF!,#REF!,'Cluster counts corrected Z&lt;3'!$A52)</f>
        <v>#VALUE!</v>
      </c>
      <c r="J52" s="0" t="e">
        <f aca="false">SUMIFS(#REF!,#REF!,'Cluster counts corrected Z&lt;3'!$A52)</f>
        <v>#VALUE!</v>
      </c>
      <c r="K52" s="0" t="e">
        <f aca="false">SUMIFS(#REF!,#REF!,'Cluster counts corrected Z&lt;3'!$A52)</f>
        <v>#VALUE!</v>
      </c>
      <c r="L52" s="0" t="e">
        <f aca="false">SUMIFS(#REF!,#REF!,'Cluster counts corrected Z&lt;3'!$A52)</f>
        <v>#VALUE!</v>
      </c>
      <c r="M52" s="0" t="e">
        <f aca="false">SUMIFS(#REF!,#REF!,'Cluster counts corrected Z&lt;3'!$A52)</f>
        <v>#VALUE!</v>
      </c>
      <c r="N52" s="0" t="e">
        <f aca="false">SUMIFS(#REF!,#REF!,'Cluster counts corrected Z&lt;3'!$A52)</f>
        <v>#VALUE!</v>
      </c>
      <c r="O52" s="0" t="e">
        <f aca="false">SUMIFS(#REF!,#REF!,'Cluster counts corrected Z&lt;3'!$A52)</f>
        <v>#VALUE!</v>
      </c>
      <c r="P52" s="0" t="e">
        <f aca="false">SUMIFS(#REF!,#REF!,'Cluster counts corrected Z&lt;3'!$A52)</f>
        <v>#VALUE!</v>
      </c>
      <c r="Q52" s="0" t="e">
        <f aca="false">SUMIFS(#REF!,#REF!,'Cluster counts corrected Z&lt;3'!$A52)</f>
        <v>#VALUE!</v>
      </c>
      <c r="R52" s="0" t="e">
        <f aca="false">SUMIFS(#REF!,#REF!,'Cluster counts corrected Z&lt;3'!$A52)</f>
        <v>#VALUE!</v>
      </c>
      <c r="T52" s="3" t="e">
        <f aca="false">_xlfn.T.TEST(B52:J52,K52:R52,2,2)</f>
        <v>#VALUE!</v>
      </c>
      <c r="U52" s="0" t="e">
        <f aca="false">AVERAGE(B52:J52)</f>
        <v>#VALUE!</v>
      </c>
      <c r="V52" s="0" t="e">
        <f aca="false">AVERAGE(K52:R52)</f>
        <v>#VALUE!</v>
      </c>
      <c r="W52" s="0" t="e">
        <f aca="false">STDEV(B52:J52)/SQRT(COUNT(B52:J52))</f>
        <v>#VALUE!</v>
      </c>
      <c r="X52" s="0" t="e">
        <f aca="false">STDEV(K52:R52)/SQRT(COUNT(K52:R52))</f>
        <v>#VALUE!</v>
      </c>
    </row>
    <row r="53" customFormat="false" ht="14.5" hidden="false" customHeight="false" outlineLevel="0" collapsed="false">
      <c r="A53" s="0" t="n">
        <v>51</v>
      </c>
      <c r="B53" s="0" t="e">
        <f aca="false">SUMIFS(#REF!,#REF!,'Cluster counts corrected Z&lt;3'!$A53)</f>
        <v>#VALUE!</v>
      </c>
      <c r="C53" s="0" t="e">
        <f aca="false">SUMIFS(#REF!,#REF!,'Cluster counts corrected Z&lt;3'!$A53)</f>
        <v>#VALUE!</v>
      </c>
      <c r="D53" s="0" t="e">
        <f aca="false">SUMIFS(#REF!,#REF!,'Cluster counts corrected Z&lt;3'!$A53)</f>
        <v>#VALUE!</v>
      </c>
      <c r="E53" s="0" t="e">
        <f aca="false">SUMIFS(#REF!,#REF!,'Cluster counts corrected Z&lt;3'!$A53)</f>
        <v>#VALUE!</v>
      </c>
      <c r="F53" s="0" t="e">
        <f aca="false">SUMIFS(#REF!,#REF!,'Cluster counts corrected Z&lt;3'!$A53)</f>
        <v>#VALUE!</v>
      </c>
      <c r="G53" s="0" t="e">
        <f aca="false">SUMIFS(#REF!,#REF!,'Cluster counts corrected Z&lt;3'!$A53)</f>
        <v>#VALUE!</v>
      </c>
      <c r="H53" s="0" t="e">
        <f aca="false">SUMIFS(#REF!,#REF!,'Cluster counts corrected Z&lt;3'!$A53)</f>
        <v>#VALUE!</v>
      </c>
      <c r="I53" s="0" t="e">
        <f aca="false">SUMIFS(#REF!,#REF!,'Cluster counts corrected Z&lt;3'!$A53)</f>
        <v>#VALUE!</v>
      </c>
      <c r="J53" s="0" t="e">
        <f aca="false">SUMIFS(#REF!,#REF!,'Cluster counts corrected Z&lt;3'!$A53)</f>
        <v>#VALUE!</v>
      </c>
      <c r="K53" s="0" t="e">
        <f aca="false">SUMIFS(#REF!,#REF!,'Cluster counts corrected Z&lt;3'!$A53)</f>
        <v>#VALUE!</v>
      </c>
      <c r="L53" s="0" t="e">
        <f aca="false">SUMIFS(#REF!,#REF!,'Cluster counts corrected Z&lt;3'!$A53)</f>
        <v>#VALUE!</v>
      </c>
      <c r="M53" s="0" t="e">
        <f aca="false">SUMIFS(#REF!,#REF!,'Cluster counts corrected Z&lt;3'!$A53)</f>
        <v>#VALUE!</v>
      </c>
      <c r="N53" s="0" t="e">
        <f aca="false">SUMIFS(#REF!,#REF!,'Cluster counts corrected Z&lt;3'!$A53)</f>
        <v>#VALUE!</v>
      </c>
      <c r="O53" s="0" t="e">
        <f aca="false">SUMIFS(#REF!,#REF!,'Cluster counts corrected Z&lt;3'!$A53)</f>
        <v>#VALUE!</v>
      </c>
      <c r="P53" s="0" t="e">
        <f aca="false">SUMIFS(#REF!,#REF!,'Cluster counts corrected Z&lt;3'!$A53)</f>
        <v>#VALUE!</v>
      </c>
      <c r="Q53" s="0" t="e">
        <f aca="false">SUMIFS(#REF!,#REF!,'Cluster counts corrected Z&lt;3'!$A53)</f>
        <v>#VALUE!</v>
      </c>
      <c r="R53" s="0" t="e">
        <f aca="false">SUMIFS(#REF!,#REF!,'Cluster counts corrected Z&lt;3'!$A53)</f>
        <v>#VALUE!</v>
      </c>
      <c r="T53" s="3" t="e">
        <f aca="false">_xlfn.T.TEST(B53:J53,K53:R53,2,2)</f>
        <v>#VALUE!</v>
      </c>
      <c r="U53" s="0" t="e">
        <f aca="false">AVERAGE(B53:J53)</f>
        <v>#VALUE!</v>
      </c>
      <c r="V53" s="0" t="e">
        <f aca="false">AVERAGE(K53:R53)</f>
        <v>#VALUE!</v>
      </c>
      <c r="W53" s="0" t="e">
        <f aca="false">STDEV(B53:J53)/SQRT(COUNT(B53:J53))</f>
        <v>#VALUE!</v>
      </c>
      <c r="X53" s="0" t="e">
        <f aca="false">STDEV(K53:R53)/SQRT(COUNT(K53:R53))</f>
        <v>#VALUE!</v>
      </c>
    </row>
    <row r="54" customFormat="false" ht="14.5" hidden="false" customHeight="false" outlineLevel="0" collapsed="false">
      <c r="A54" s="0" t="n">
        <v>52</v>
      </c>
      <c r="B54" s="0" t="e">
        <f aca="false">SUMIFS(#REF!,#REF!,'Cluster counts corrected Z&lt;3'!$A54)</f>
        <v>#VALUE!</v>
      </c>
      <c r="C54" s="0" t="e">
        <f aca="false">SUMIFS(#REF!,#REF!,'Cluster counts corrected Z&lt;3'!$A54)</f>
        <v>#VALUE!</v>
      </c>
      <c r="D54" s="0" t="e">
        <f aca="false">SUMIFS(#REF!,#REF!,'Cluster counts corrected Z&lt;3'!$A54)</f>
        <v>#VALUE!</v>
      </c>
      <c r="E54" s="0" t="e">
        <f aca="false">SUMIFS(#REF!,#REF!,'Cluster counts corrected Z&lt;3'!$A54)</f>
        <v>#VALUE!</v>
      </c>
      <c r="F54" s="0" t="e">
        <f aca="false">SUMIFS(#REF!,#REF!,'Cluster counts corrected Z&lt;3'!$A54)</f>
        <v>#VALUE!</v>
      </c>
      <c r="G54" s="0" t="e">
        <f aca="false">SUMIFS(#REF!,#REF!,'Cluster counts corrected Z&lt;3'!$A54)</f>
        <v>#VALUE!</v>
      </c>
      <c r="H54" s="0" t="e">
        <f aca="false">SUMIFS(#REF!,#REF!,'Cluster counts corrected Z&lt;3'!$A54)</f>
        <v>#VALUE!</v>
      </c>
      <c r="I54" s="0" t="e">
        <f aca="false">SUMIFS(#REF!,#REF!,'Cluster counts corrected Z&lt;3'!$A54)</f>
        <v>#VALUE!</v>
      </c>
      <c r="J54" s="0" t="e">
        <f aca="false">SUMIFS(#REF!,#REF!,'Cluster counts corrected Z&lt;3'!$A54)</f>
        <v>#VALUE!</v>
      </c>
      <c r="K54" s="0" t="e">
        <f aca="false">SUMIFS(#REF!,#REF!,'Cluster counts corrected Z&lt;3'!$A54)</f>
        <v>#VALUE!</v>
      </c>
      <c r="L54" s="0" t="e">
        <f aca="false">SUMIFS(#REF!,#REF!,'Cluster counts corrected Z&lt;3'!$A54)</f>
        <v>#VALUE!</v>
      </c>
      <c r="M54" s="0" t="e">
        <f aca="false">SUMIFS(#REF!,#REF!,'Cluster counts corrected Z&lt;3'!$A54)</f>
        <v>#VALUE!</v>
      </c>
      <c r="N54" s="0" t="e">
        <f aca="false">SUMIFS(#REF!,#REF!,'Cluster counts corrected Z&lt;3'!$A54)</f>
        <v>#VALUE!</v>
      </c>
      <c r="O54" s="0" t="e">
        <f aca="false">SUMIFS(#REF!,#REF!,'Cluster counts corrected Z&lt;3'!$A54)</f>
        <v>#VALUE!</v>
      </c>
      <c r="P54" s="0" t="e">
        <f aca="false">SUMIFS(#REF!,#REF!,'Cluster counts corrected Z&lt;3'!$A54)</f>
        <v>#VALUE!</v>
      </c>
      <c r="Q54" s="0" t="e">
        <f aca="false">SUMIFS(#REF!,#REF!,'Cluster counts corrected Z&lt;3'!$A54)</f>
        <v>#VALUE!</v>
      </c>
      <c r="R54" s="0" t="e">
        <f aca="false">SUMIFS(#REF!,#REF!,'Cluster counts corrected Z&lt;3'!$A54)</f>
        <v>#VALUE!</v>
      </c>
      <c r="T54" s="3" t="e">
        <f aca="false">_xlfn.T.TEST(B54:J54,K54:R54,2,2)</f>
        <v>#VALUE!</v>
      </c>
      <c r="U54" s="0" t="e">
        <f aca="false">AVERAGE(B54:J54)</f>
        <v>#VALUE!</v>
      </c>
      <c r="V54" s="0" t="e">
        <f aca="false">AVERAGE(K54:R54)</f>
        <v>#VALUE!</v>
      </c>
      <c r="W54" s="0" t="e">
        <f aca="false">STDEV(B54:J54)/SQRT(COUNT(B54:J54))</f>
        <v>#VALUE!</v>
      </c>
      <c r="X54" s="0" t="e">
        <f aca="false">STDEV(K54:R54)/SQRT(COUNT(K54:R54))</f>
        <v>#VALUE!</v>
      </c>
    </row>
    <row r="55" customFormat="false" ht="14.5" hidden="false" customHeight="false" outlineLevel="0" collapsed="false">
      <c r="A55" s="0" t="n">
        <v>53</v>
      </c>
      <c r="B55" s="0" t="e">
        <f aca="false">SUMIFS(#REF!,#REF!,'Cluster counts corrected Z&lt;3'!$A55)</f>
        <v>#VALUE!</v>
      </c>
      <c r="C55" s="0" t="e">
        <f aca="false">SUMIFS(#REF!,#REF!,'Cluster counts corrected Z&lt;3'!$A55)</f>
        <v>#VALUE!</v>
      </c>
      <c r="D55" s="0" t="e">
        <f aca="false">SUMIFS(#REF!,#REF!,'Cluster counts corrected Z&lt;3'!$A55)</f>
        <v>#VALUE!</v>
      </c>
      <c r="E55" s="0" t="e">
        <f aca="false">SUMIFS(#REF!,#REF!,'Cluster counts corrected Z&lt;3'!$A55)</f>
        <v>#VALUE!</v>
      </c>
      <c r="F55" s="0" t="e">
        <f aca="false">SUMIFS(#REF!,#REF!,'Cluster counts corrected Z&lt;3'!$A55)</f>
        <v>#VALUE!</v>
      </c>
      <c r="G55" s="0" t="e">
        <f aca="false">SUMIFS(#REF!,#REF!,'Cluster counts corrected Z&lt;3'!$A55)</f>
        <v>#VALUE!</v>
      </c>
      <c r="H55" s="0" t="e">
        <f aca="false">SUMIFS(#REF!,#REF!,'Cluster counts corrected Z&lt;3'!$A55)</f>
        <v>#VALUE!</v>
      </c>
      <c r="I55" s="0" t="e">
        <f aca="false">SUMIFS(#REF!,#REF!,'Cluster counts corrected Z&lt;3'!$A55)</f>
        <v>#VALUE!</v>
      </c>
      <c r="J55" s="0" t="e">
        <f aca="false">SUMIFS(#REF!,#REF!,'Cluster counts corrected Z&lt;3'!$A55)</f>
        <v>#VALUE!</v>
      </c>
      <c r="K55" s="0" t="e">
        <f aca="false">SUMIFS(#REF!,#REF!,'Cluster counts corrected Z&lt;3'!$A55)</f>
        <v>#VALUE!</v>
      </c>
      <c r="L55" s="0" t="e">
        <f aca="false">SUMIFS(#REF!,#REF!,'Cluster counts corrected Z&lt;3'!$A55)</f>
        <v>#VALUE!</v>
      </c>
      <c r="M55" s="0" t="e">
        <f aca="false">SUMIFS(#REF!,#REF!,'Cluster counts corrected Z&lt;3'!$A55)</f>
        <v>#VALUE!</v>
      </c>
      <c r="N55" s="0" t="e">
        <f aca="false">SUMIFS(#REF!,#REF!,'Cluster counts corrected Z&lt;3'!$A55)</f>
        <v>#VALUE!</v>
      </c>
      <c r="O55" s="0" t="e">
        <f aca="false">SUMIFS(#REF!,#REF!,'Cluster counts corrected Z&lt;3'!$A55)</f>
        <v>#VALUE!</v>
      </c>
      <c r="P55" s="0" t="e">
        <f aca="false">SUMIFS(#REF!,#REF!,'Cluster counts corrected Z&lt;3'!$A55)</f>
        <v>#VALUE!</v>
      </c>
      <c r="Q55" s="0" t="e">
        <f aca="false">SUMIFS(#REF!,#REF!,'Cluster counts corrected Z&lt;3'!$A55)</f>
        <v>#VALUE!</v>
      </c>
      <c r="R55" s="0" t="e">
        <f aca="false">SUMIFS(#REF!,#REF!,'Cluster counts corrected Z&lt;3'!$A55)</f>
        <v>#VALUE!</v>
      </c>
      <c r="T55" s="3" t="e">
        <f aca="false">_xlfn.T.TEST(B55:J55,K55:R55,2,2)</f>
        <v>#VALUE!</v>
      </c>
      <c r="U55" s="0" t="e">
        <f aca="false">AVERAGE(B55:J55)</f>
        <v>#VALUE!</v>
      </c>
      <c r="V55" s="0" t="e">
        <f aca="false">AVERAGE(K55:R55)</f>
        <v>#VALUE!</v>
      </c>
      <c r="W55" s="0" t="e">
        <f aca="false">STDEV(B55:J55)/SQRT(COUNT(B55:J55))</f>
        <v>#VALUE!</v>
      </c>
      <c r="X55" s="0" t="e">
        <f aca="false">STDEV(K55:R55)/SQRT(COUNT(K55:R55))</f>
        <v>#VALUE!</v>
      </c>
    </row>
    <row r="56" customFormat="false" ht="14.5" hidden="false" customHeight="false" outlineLevel="0" collapsed="false">
      <c r="A56" s="0" t="n">
        <v>54</v>
      </c>
      <c r="B56" s="0" t="e">
        <f aca="false">SUMIFS(#REF!,#REF!,'Cluster counts corrected Z&lt;3'!$A56)</f>
        <v>#VALUE!</v>
      </c>
      <c r="C56" s="0" t="e">
        <f aca="false">SUMIFS(#REF!,#REF!,'Cluster counts corrected Z&lt;3'!$A56)</f>
        <v>#VALUE!</v>
      </c>
      <c r="D56" s="0" t="e">
        <f aca="false">SUMIFS(#REF!,#REF!,'Cluster counts corrected Z&lt;3'!$A56)</f>
        <v>#VALUE!</v>
      </c>
      <c r="E56" s="0" t="e">
        <f aca="false">SUMIFS(#REF!,#REF!,'Cluster counts corrected Z&lt;3'!$A56)</f>
        <v>#VALUE!</v>
      </c>
      <c r="F56" s="0" t="e">
        <f aca="false">SUMIFS(#REF!,#REF!,'Cluster counts corrected Z&lt;3'!$A56)</f>
        <v>#VALUE!</v>
      </c>
      <c r="G56" s="0" t="e">
        <f aca="false">SUMIFS(#REF!,#REF!,'Cluster counts corrected Z&lt;3'!$A56)</f>
        <v>#VALUE!</v>
      </c>
      <c r="H56" s="0" t="e">
        <f aca="false">SUMIFS(#REF!,#REF!,'Cluster counts corrected Z&lt;3'!$A56)</f>
        <v>#VALUE!</v>
      </c>
      <c r="I56" s="0" t="e">
        <f aca="false">SUMIFS(#REF!,#REF!,'Cluster counts corrected Z&lt;3'!$A56)</f>
        <v>#VALUE!</v>
      </c>
      <c r="J56" s="0" t="e">
        <f aca="false">SUMIFS(#REF!,#REF!,'Cluster counts corrected Z&lt;3'!$A56)</f>
        <v>#VALUE!</v>
      </c>
      <c r="K56" s="0" t="e">
        <f aca="false">SUMIFS(#REF!,#REF!,'Cluster counts corrected Z&lt;3'!$A56)</f>
        <v>#VALUE!</v>
      </c>
      <c r="L56" s="0" t="e">
        <f aca="false">SUMIFS(#REF!,#REF!,'Cluster counts corrected Z&lt;3'!$A56)</f>
        <v>#VALUE!</v>
      </c>
      <c r="M56" s="0" t="e">
        <f aca="false">SUMIFS(#REF!,#REF!,'Cluster counts corrected Z&lt;3'!$A56)</f>
        <v>#VALUE!</v>
      </c>
      <c r="N56" s="0" t="e">
        <f aca="false">SUMIFS(#REF!,#REF!,'Cluster counts corrected Z&lt;3'!$A56)</f>
        <v>#VALUE!</v>
      </c>
      <c r="O56" s="0" t="e">
        <f aca="false">SUMIFS(#REF!,#REF!,'Cluster counts corrected Z&lt;3'!$A56)</f>
        <v>#VALUE!</v>
      </c>
      <c r="P56" s="0" t="e">
        <f aca="false">SUMIFS(#REF!,#REF!,'Cluster counts corrected Z&lt;3'!$A56)</f>
        <v>#VALUE!</v>
      </c>
      <c r="Q56" s="0" t="e">
        <f aca="false">SUMIFS(#REF!,#REF!,'Cluster counts corrected Z&lt;3'!$A56)</f>
        <v>#VALUE!</v>
      </c>
      <c r="R56" s="0" t="e">
        <f aca="false">SUMIFS(#REF!,#REF!,'Cluster counts corrected Z&lt;3'!$A56)</f>
        <v>#VALUE!</v>
      </c>
      <c r="T56" s="3" t="e">
        <f aca="false">_xlfn.T.TEST(B56:J56,K56:R56,2,2)</f>
        <v>#VALUE!</v>
      </c>
      <c r="U56" s="0" t="e">
        <f aca="false">AVERAGE(B56:J56)</f>
        <v>#VALUE!</v>
      </c>
      <c r="V56" s="0" t="e">
        <f aca="false">AVERAGE(K56:R56)</f>
        <v>#VALUE!</v>
      </c>
      <c r="W56" s="0" t="e">
        <f aca="false">STDEV(B56:J56)/SQRT(COUNT(B56:J56))</f>
        <v>#VALUE!</v>
      </c>
      <c r="X56" s="0" t="e">
        <f aca="false">STDEV(K56:R56)/SQRT(COUNT(K56:R56))</f>
        <v>#VALUE!</v>
      </c>
    </row>
    <row r="57" customFormat="false" ht="14.5" hidden="false" customHeight="false" outlineLevel="0" collapsed="false">
      <c r="A57" s="0" t="n">
        <v>55</v>
      </c>
      <c r="B57" s="0" t="e">
        <f aca="false">SUMIFS(#REF!,#REF!,'Cluster counts corrected Z&lt;3'!$A57)</f>
        <v>#VALUE!</v>
      </c>
      <c r="C57" s="0" t="e">
        <f aca="false">SUMIFS(#REF!,#REF!,'Cluster counts corrected Z&lt;3'!$A57)</f>
        <v>#VALUE!</v>
      </c>
      <c r="D57" s="0" t="e">
        <f aca="false">SUMIFS(#REF!,#REF!,'Cluster counts corrected Z&lt;3'!$A57)</f>
        <v>#VALUE!</v>
      </c>
      <c r="E57" s="0" t="e">
        <f aca="false">SUMIFS(#REF!,#REF!,'Cluster counts corrected Z&lt;3'!$A57)</f>
        <v>#VALUE!</v>
      </c>
      <c r="F57" s="0" t="e">
        <f aca="false">SUMIFS(#REF!,#REF!,'Cluster counts corrected Z&lt;3'!$A57)</f>
        <v>#VALUE!</v>
      </c>
      <c r="G57" s="0" t="e">
        <f aca="false">SUMIFS(#REF!,#REF!,'Cluster counts corrected Z&lt;3'!$A57)</f>
        <v>#VALUE!</v>
      </c>
      <c r="H57" s="0" t="e">
        <f aca="false">SUMIFS(#REF!,#REF!,'Cluster counts corrected Z&lt;3'!$A57)</f>
        <v>#VALUE!</v>
      </c>
      <c r="I57" s="0" t="e">
        <f aca="false">SUMIFS(#REF!,#REF!,'Cluster counts corrected Z&lt;3'!$A57)</f>
        <v>#VALUE!</v>
      </c>
      <c r="J57" s="0" t="e">
        <f aca="false">SUMIFS(#REF!,#REF!,'Cluster counts corrected Z&lt;3'!$A57)</f>
        <v>#VALUE!</v>
      </c>
      <c r="K57" s="0" t="e">
        <f aca="false">SUMIFS(#REF!,#REF!,'Cluster counts corrected Z&lt;3'!$A57)</f>
        <v>#VALUE!</v>
      </c>
      <c r="L57" s="0" t="e">
        <f aca="false">SUMIFS(#REF!,#REF!,'Cluster counts corrected Z&lt;3'!$A57)</f>
        <v>#VALUE!</v>
      </c>
      <c r="M57" s="0" t="e">
        <f aca="false">SUMIFS(#REF!,#REF!,'Cluster counts corrected Z&lt;3'!$A57)</f>
        <v>#VALUE!</v>
      </c>
      <c r="N57" s="0" t="e">
        <f aca="false">SUMIFS(#REF!,#REF!,'Cluster counts corrected Z&lt;3'!$A57)</f>
        <v>#VALUE!</v>
      </c>
      <c r="O57" s="0" t="e">
        <f aca="false">SUMIFS(#REF!,#REF!,'Cluster counts corrected Z&lt;3'!$A57)</f>
        <v>#VALUE!</v>
      </c>
      <c r="P57" s="0" t="e">
        <f aca="false">SUMIFS(#REF!,#REF!,'Cluster counts corrected Z&lt;3'!$A57)</f>
        <v>#VALUE!</v>
      </c>
      <c r="Q57" s="0" t="e">
        <f aca="false">SUMIFS(#REF!,#REF!,'Cluster counts corrected Z&lt;3'!$A57)</f>
        <v>#VALUE!</v>
      </c>
      <c r="R57" s="0" t="e">
        <f aca="false">SUMIFS(#REF!,#REF!,'Cluster counts corrected Z&lt;3'!$A57)</f>
        <v>#VALUE!</v>
      </c>
      <c r="T57" s="3" t="e">
        <f aca="false">_xlfn.T.TEST(B57:J57,K57:R57,2,2)</f>
        <v>#VALUE!</v>
      </c>
      <c r="U57" s="0" t="e">
        <f aca="false">AVERAGE(B57:J57)</f>
        <v>#VALUE!</v>
      </c>
      <c r="V57" s="0" t="e">
        <f aca="false">AVERAGE(K57:R57)</f>
        <v>#VALUE!</v>
      </c>
      <c r="W57" s="0" t="e">
        <f aca="false">STDEV(B57:J57)/SQRT(COUNT(B57:J57))</f>
        <v>#VALUE!</v>
      </c>
      <c r="X57" s="0" t="e">
        <f aca="false">STDEV(K57:R57)/SQRT(COUNT(K57:R57))</f>
        <v>#VALUE!</v>
      </c>
    </row>
    <row r="58" customFormat="false" ht="14.5" hidden="false" customHeight="false" outlineLevel="0" collapsed="false">
      <c r="A58" s="0" t="n">
        <v>56</v>
      </c>
      <c r="B58" s="0" t="e">
        <f aca="false">SUMIFS(#REF!,#REF!,'Cluster counts corrected Z&lt;3'!$A58)</f>
        <v>#VALUE!</v>
      </c>
      <c r="C58" s="0" t="e">
        <f aca="false">SUMIFS(#REF!,#REF!,'Cluster counts corrected Z&lt;3'!$A58)</f>
        <v>#VALUE!</v>
      </c>
      <c r="D58" s="0" t="e">
        <f aca="false">SUMIFS(#REF!,#REF!,'Cluster counts corrected Z&lt;3'!$A58)</f>
        <v>#VALUE!</v>
      </c>
      <c r="E58" s="0" t="e">
        <f aca="false">SUMIFS(#REF!,#REF!,'Cluster counts corrected Z&lt;3'!$A58)</f>
        <v>#VALUE!</v>
      </c>
      <c r="F58" s="0" t="e">
        <f aca="false">SUMIFS(#REF!,#REF!,'Cluster counts corrected Z&lt;3'!$A58)</f>
        <v>#VALUE!</v>
      </c>
      <c r="G58" s="0" t="e">
        <f aca="false">SUMIFS(#REF!,#REF!,'Cluster counts corrected Z&lt;3'!$A58)</f>
        <v>#VALUE!</v>
      </c>
      <c r="H58" s="0" t="e">
        <f aca="false">SUMIFS(#REF!,#REF!,'Cluster counts corrected Z&lt;3'!$A58)</f>
        <v>#VALUE!</v>
      </c>
      <c r="I58" s="0" t="e">
        <f aca="false">SUMIFS(#REF!,#REF!,'Cluster counts corrected Z&lt;3'!$A58)</f>
        <v>#VALUE!</v>
      </c>
      <c r="J58" s="0" t="e">
        <f aca="false">SUMIFS(#REF!,#REF!,'Cluster counts corrected Z&lt;3'!$A58)</f>
        <v>#VALUE!</v>
      </c>
      <c r="K58" s="0" t="e">
        <f aca="false">SUMIFS(#REF!,#REF!,'Cluster counts corrected Z&lt;3'!$A58)</f>
        <v>#VALUE!</v>
      </c>
      <c r="L58" s="0" t="e">
        <f aca="false">SUMIFS(#REF!,#REF!,'Cluster counts corrected Z&lt;3'!$A58)</f>
        <v>#VALUE!</v>
      </c>
      <c r="M58" s="0" t="e">
        <f aca="false">SUMIFS(#REF!,#REF!,'Cluster counts corrected Z&lt;3'!$A58)</f>
        <v>#VALUE!</v>
      </c>
      <c r="N58" s="0" t="e">
        <f aca="false">SUMIFS(#REF!,#REF!,'Cluster counts corrected Z&lt;3'!$A58)</f>
        <v>#VALUE!</v>
      </c>
      <c r="O58" s="0" t="e">
        <f aca="false">SUMIFS(#REF!,#REF!,'Cluster counts corrected Z&lt;3'!$A58)</f>
        <v>#VALUE!</v>
      </c>
      <c r="P58" s="0" t="e">
        <f aca="false">SUMIFS(#REF!,#REF!,'Cluster counts corrected Z&lt;3'!$A58)</f>
        <v>#VALUE!</v>
      </c>
      <c r="Q58" s="0" t="e">
        <f aca="false">SUMIFS(#REF!,#REF!,'Cluster counts corrected Z&lt;3'!$A58)</f>
        <v>#VALUE!</v>
      </c>
      <c r="R58" s="0" t="e">
        <f aca="false">SUMIFS(#REF!,#REF!,'Cluster counts corrected Z&lt;3'!$A58)</f>
        <v>#VALUE!</v>
      </c>
      <c r="T58" s="3" t="e">
        <f aca="false">_xlfn.T.TEST(B58:J58,K58:R58,2,2)</f>
        <v>#VALUE!</v>
      </c>
      <c r="U58" s="0" t="e">
        <f aca="false">AVERAGE(B58:J58)</f>
        <v>#VALUE!</v>
      </c>
      <c r="V58" s="0" t="e">
        <f aca="false">AVERAGE(K58:R58)</f>
        <v>#VALUE!</v>
      </c>
      <c r="W58" s="0" t="e">
        <f aca="false">STDEV(B58:J58)/SQRT(COUNT(B58:J58))</f>
        <v>#VALUE!</v>
      </c>
      <c r="X58" s="0" t="e">
        <f aca="false">STDEV(K58:R58)/SQRT(COUNT(K58:R58))</f>
        <v>#VALUE!</v>
      </c>
    </row>
  </sheetData>
  <conditionalFormatting sqref="T3:T58">
    <cfRule type="cellIs" priority="2" operator="lessThan" aboveAverage="0" equalAverage="0" bottom="0" percent="0" rank="0" text="" dxfId="9">
      <formula>0.05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2020-09-23T13:26:29Z</dcterms:created>
  <dc:creator>openpyxl</dc:creator>
  <dc:description/>
  <dc:language>en-US</dc:language>
  <cp:lastModifiedBy/>
  <dcterms:modified xsi:type="dcterms:W3CDTF">2022-01-25T12:48:15Z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